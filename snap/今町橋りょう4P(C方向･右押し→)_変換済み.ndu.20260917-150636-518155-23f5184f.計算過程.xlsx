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変換結果" sheetId="1" r:id="rId1"/>
    <sheet name="水平地盤ばね" sheetId="2" r:id="rId2"/>
    <sheet name="有効抵抗土圧" sheetId="3" r:id="rId3"/>
    <sheet name="杭周面ばね" sheetId="4" r:id="rId4"/>
    <sheet name="杭先端ばね" sheetId="5" r:id="rId5"/>
    <sheet name="入力根拠" sheetId="6" r:id="rId6"/>
  </sheets>
  <definedNames>
    <definedName name="_xlnm.Print_Area" localSheetId="5">入力根拠!$A$1:$L$356</definedName>
    <definedName name="_xlnm.Print_Area" localSheetId="0">変換結果!$A$1:$L$1705</definedName>
    <definedName name="_xlnm.Print_Area" localSheetId="2">有効抵抗土圧!$A$1:$L$487</definedName>
    <definedName name="_xlnm.Print_Area" localSheetId="4">杭先端ばね!$A$1:$L$65</definedName>
    <definedName name="_xlnm.Print_Area" localSheetId="3">杭周面ばね!$A$1:$L$1044</definedName>
    <definedName name="_xlnm.Print_Area" localSheetId="1">水平地盤ばね!$A$1:$L$322</definedName>
    <definedName name="_xlnm.Print_Titles" localSheetId="5">入力根拠!$1:$4</definedName>
    <definedName name="_xlnm.Print_Titles" localSheetId="0">変換結果!$1:$4</definedName>
    <definedName name="_xlnm.Print_Titles" localSheetId="2">有効抵抗土圧!$1:$4</definedName>
    <definedName name="_xlnm.Print_Titles" localSheetId="4">杭先端ばね!$1:$4</definedName>
    <definedName name="_xlnm.Print_Titles" localSheetId="3">杭周面ばね!$1:$4</definedName>
    <definedName name="_xlnm.Print_Titles" localSheetId="1">水平地盤ばね!$1:$4</definedName>
  </definedNames>
  <calcPr calcId="124519" fullCalcOnLoad="1"/>
</workbook>
</file>

<file path=xl/sharedStrings.xml><?xml version="1.0" encoding="utf-8"?>
<sst xmlns="http://schemas.openxmlformats.org/spreadsheetml/2006/main" count="11138" uniqueCount="833">
  <si>
    <t>変換結果</t>
  </si>
  <si>
    <t>モデル保存と同一実行　2026-09-17T15:06:36.332488+09:00</t>
  </si>
  <si>
    <t>青文字：原値　黄色：変換時の実入力（固定）　数式：再計算値。条件変更時はアプリから再実行してください。</t>
  </si>
  <si>
    <t>モデル: C:\Users\sasai\Documents\structural-design\snap\今町橋りょう4P(C方向･右押し→).ndu</t>
  </si>
  <si>
    <t>計算対象 207件　変更 123件　追加 0件　同値 84件　保留 0件</t>
  </si>
  <si>
    <t>周面の抵抗0による除外: 12節点</t>
  </si>
  <si>
    <t>最終入力一覧</t>
  </si>
  <si>
    <t>処理</t>
  </si>
  <si>
    <t>KG</t>
  </si>
  <si>
    <t>列</t>
  </si>
  <si>
    <t>対象</t>
  </si>
  <si>
    <t>番号</t>
  </si>
  <si>
    <t>支点項目</t>
  </si>
  <si>
    <t>NDU行</t>
  </si>
  <si>
    <t>欄番号</t>
  </si>
  <si>
    <t>入力欄</t>
  </si>
  <si>
    <t>実入力</t>
  </si>
  <si>
    <t>単位</t>
  </si>
  <si>
    <t>結果</t>
  </si>
  <si>
    <t>水平地盤ばね</t>
  </si>
  <si>
    <t>部材</t>
  </si>
  <si>
    <t>水平ばね</t>
  </si>
  <si>
    <t>kN/m²</t>
  </si>
  <si>
    <t>同値</t>
  </si>
  <si>
    <t>変更</t>
  </si>
  <si>
    <t>有効抵抗土圧</t>
  </si>
  <si>
    <t>上端土圧</t>
  </si>
  <si>
    <t>kN/m</t>
  </si>
  <si>
    <t>下端土圧</t>
  </si>
  <si>
    <t>杭周面ばね</t>
  </si>
  <si>
    <t>節点</t>
  </si>
  <si>
    <t>K1+</t>
  </si>
  <si>
    <t>F1+</t>
  </si>
  <si>
    <t>kN</t>
  </si>
  <si>
    <t>F1-</t>
  </si>
  <si>
    <t>K2+</t>
  </si>
  <si>
    <t>F2+</t>
  </si>
  <si>
    <t>F2-</t>
  </si>
  <si>
    <t>K3+</t>
  </si>
  <si>
    <t>K1-</t>
  </si>
  <si>
    <t>K2-</t>
  </si>
  <si>
    <t>K3-</t>
  </si>
  <si>
    <t>杭先端ばね</t>
  </si>
  <si>
    <t>変更前後（空欄と0を区別）</t>
  </si>
  <si>
    <t>変更前</t>
  </si>
  <si>
    <t>差</t>
  </si>
  <si>
    <t>処理結果</t>
  </si>
  <si>
    <t>空欄の変更</t>
  </si>
  <si>
    <t/>
  </si>
  <si>
    <t>部材別の結果</t>
  </si>
  <si>
    <t>方法</t>
  </si>
  <si>
    <t>丸め前</t>
  </si>
  <si>
    <t>再計算値
(kN/m²)</t>
  </si>
  <si>
    <t>実入力
(kN/m²)</t>
  </si>
  <si>
    <t>単一層転記</t>
  </si>
  <si>
    <t>長さ加重平均</t>
  </si>
  <si>
    <t>部材の幾何</t>
  </si>
  <si>
    <t>上端節点</t>
  </si>
  <si>
    <t>下端節点</t>
  </si>
  <si>
    <t>上端深さ
(m)</t>
  </si>
  <si>
    <t>下端深さ
(m)</t>
  </si>
  <si>
    <t>部材長
(m)</t>
  </si>
  <si>
    <t>層別の重なりと加重和</t>
  </si>
  <si>
    <t>層</t>
  </si>
  <si>
    <t>SDC行</t>
  </si>
  <si>
    <t>層上端
(m)</t>
  </si>
  <si>
    <t>層下端
(m)</t>
  </si>
  <si>
    <t>重なり上端
(m)</t>
  </si>
  <si>
    <t>重なり下端
(m)</t>
  </si>
  <si>
    <t>重なり長
(m)</t>
  </si>
  <si>
    <t>原値 k
(kN/m²)</t>
  </si>
  <si>
    <t>k×長さ
(kN/m)</t>
  </si>
  <si>
    <t>Python Decimalの丸め前文字列</t>
  </si>
  <si>
    <t>項目</t>
  </si>
  <si>
    <t>正確な計算記録</t>
  </si>
  <si>
    <t>KG4 98 丸め前: 58812</t>
  </si>
  <si>
    <t>KG4 99 丸め前: 272085.9230769230769230769231</t>
  </si>
  <si>
    <t>KG4 100 丸め前: 141501.0769230769230769230769</t>
  </si>
  <si>
    <t>KG4 101 丸め前: 110708</t>
  </si>
  <si>
    <t>KG4 102 丸め前: 208028.6153846153846153846154</t>
  </si>
  <si>
    <t>KG4 103 丸め前: 268854</t>
  </si>
  <si>
    <t>KG4 104 丸め前: 363439.6923076923076923076923</t>
  </si>
  <si>
    <t>KG4 105 丸め前: 403280</t>
  </si>
  <si>
    <t>KG4 106 丸め前: 403280</t>
  </si>
  <si>
    <t>KG4 107 丸め前: 403280</t>
  </si>
  <si>
    <t>KG4 108 丸め前: 403280</t>
  </si>
  <si>
    <t>KG4 109 丸め前: 403280</t>
  </si>
  <si>
    <t>KG4 110 丸め前: 403280</t>
  </si>
  <si>
    <t>KG4 111 丸め前: 403280</t>
  </si>
  <si>
    <t>KG4 112 丸め前: 225971</t>
  </si>
  <si>
    <t>KG4 113 丸め前: 193733</t>
  </si>
  <si>
    <t>KG4 114 丸め前: 193733</t>
  </si>
  <si>
    <t>KG4 115 丸め前: 193733</t>
  </si>
  <si>
    <t>KG4 116 丸め前: 193733</t>
  </si>
  <si>
    <t>KG4 117 丸め前: 193733</t>
  </si>
  <si>
    <t>KG4 118 丸め前: 193733</t>
  </si>
  <si>
    <t>KG4 119 丸め前: 193733</t>
  </si>
  <si>
    <t>KG4 120 丸め前: 193733</t>
  </si>
  <si>
    <t>KG4 121 丸め前: 193733</t>
  </si>
  <si>
    <t>KG5 123 丸め前: 39208</t>
  </si>
  <si>
    <t>KG5 124 丸め前: 181390.6153846153846153846154</t>
  </si>
  <si>
    <t>KG5 125 丸め前: 94333.76923076923076923076923</t>
  </si>
  <si>
    <t>KG5 126 丸め前: 73805</t>
  </si>
  <si>
    <t>KG5 127 丸め前: 138685.6153846153846153846154</t>
  </si>
  <si>
    <t>KG5 128 丸め前: 179236</t>
  </si>
  <si>
    <t>KG5 129 丸め前: 242293.0769230769230769230769</t>
  </si>
  <si>
    <t>KG5 130 丸め前: 268854</t>
  </si>
  <si>
    <t>KG5 131 丸め前: 268854</t>
  </si>
  <si>
    <t>KG5 132 丸め前: 268854</t>
  </si>
  <si>
    <t>KG5 133 丸め前: 268854</t>
  </si>
  <si>
    <t>KG5 134 丸め前: 268854</t>
  </si>
  <si>
    <t>KG5 135 丸め前: 268854</t>
  </si>
  <si>
    <t>KG5 136 丸め前: 268854</t>
  </si>
  <si>
    <t>KG5 137 丸め前: 150647.1538461538461538461538</t>
  </si>
  <si>
    <t>KG5 138 丸め前: 129155</t>
  </si>
  <si>
    <t>KG5 139 丸め前: 129155</t>
  </si>
  <si>
    <t>KG5 140 丸め前: 129155</t>
  </si>
  <si>
    <t>KG5 141 丸め前: 129155</t>
  </si>
  <si>
    <t>KG5 142 丸め前: 129155</t>
  </si>
  <si>
    <t>KG5 143 丸め前: 129155</t>
  </si>
  <si>
    <t>KG5 144 丸め前: 129155</t>
  </si>
  <si>
    <t>KG5 145 丸め前: 129155</t>
  </si>
  <si>
    <t>KG5 146 丸め前: 129155</t>
  </si>
  <si>
    <t>KG6 148 丸め前: 58812</t>
  </si>
  <si>
    <t>KG6 149 丸め前: 272085.9230769230769230769231</t>
  </si>
  <si>
    <t>KG6 150 丸め前: 141501.0769230769230769230769</t>
  </si>
  <si>
    <t>KG6 151 丸め前: 110708</t>
  </si>
  <si>
    <t>KG6 152 丸め前: 208028.6153846153846153846154</t>
  </si>
  <si>
    <t>KG6 153 丸め前: 268854</t>
  </si>
  <si>
    <t>KG6 154 丸め前: 363439.6923076923076923076923</t>
  </si>
  <si>
    <t>KG6 155 丸め前: 403280</t>
  </si>
  <si>
    <t>KG6 156 丸め前: 403280</t>
  </si>
  <si>
    <t>KG6 157 丸め前: 403280</t>
  </si>
  <si>
    <t>KG6 158 丸め前: 403280</t>
  </si>
  <si>
    <t>KG6 159 丸め前: 403280</t>
  </si>
  <si>
    <t>KG6 160 丸め前: 403280</t>
  </si>
  <si>
    <t>KG6 161 丸め前: 403280</t>
  </si>
  <si>
    <t>KG6 162 丸め前: 225971</t>
  </si>
  <si>
    <t>KG6 163 丸め前: 193733</t>
  </si>
  <si>
    <t>KG6 164 丸め前: 193733</t>
  </si>
  <si>
    <t>KG6 165 丸め前: 193733</t>
  </si>
  <si>
    <t>KG6 166 丸め前: 193733</t>
  </si>
  <si>
    <t>KG6 167 丸め前: 193733</t>
  </si>
  <si>
    <t>KG6 168 丸め前: 193733</t>
  </si>
  <si>
    <t>KG6 169 丸め前: 193733</t>
  </si>
  <si>
    <t>KG6 170 丸め前: 193733</t>
  </si>
  <si>
    <t>KG6 171 丸め前: 193733</t>
  </si>
  <si>
    <t>モデル列</t>
  </si>
  <si>
    <t>土圧列</t>
  </si>
  <si>
    <t>上端再計算
(kN/m)</t>
  </si>
  <si>
    <t>上端実入力
(kN/m)</t>
  </si>
  <si>
    <t>上端差</t>
  </si>
  <si>
    <t>下端再計算
(kN/m)</t>
  </si>
  <si>
    <t>下端実入力
(kN/m)</t>
  </si>
  <si>
    <t>下端差</t>
  </si>
  <si>
    <t>層内線形補間</t>
  </si>
  <si>
    <t>積分平均</t>
  </si>
  <si>
    <t>層別の重なりと原土圧</t>
  </si>
  <si>
    <t>長さ
(m)</t>
  </si>
  <si>
    <t>原上端土圧
(kN/m)</t>
  </si>
  <si>
    <t>原下端土圧
(kN/m)</t>
  </si>
  <si>
    <t>層厚
(m)</t>
  </si>
  <si>
    <t>線形補間と台形積分</t>
  </si>
  <si>
    <t>上端比率</t>
  </si>
  <si>
    <t>下端比率</t>
  </si>
  <si>
    <t>補間上端
(kN/m)</t>
  </si>
  <si>
    <t>補間下端
(kN/m)</t>
  </si>
  <si>
    <t>台形積分
(kN)</t>
  </si>
  <si>
    <t>KG4 98 上端: 1162.9</t>
  </si>
  <si>
    <t>KG4 98 下端: 1307.46</t>
  </si>
  <si>
    <t>KG4 99 上端: 1988.988343195266272189349112</t>
  </si>
  <si>
    <t>KG4 99 下端: 1988.988343195266272189349112</t>
  </si>
  <si>
    <t>KG4 100 上端: 1826.620118343195266272189349</t>
  </si>
  <si>
    <t>KG4 100 下端: 1826.620118343195266272189349</t>
  </si>
  <si>
    <t>KG4 101 上端: 1755.0</t>
  </si>
  <si>
    <t>KG4 101 下端: 1755.0</t>
  </si>
  <si>
    <t>KG4 102 上端: 2158.649704142011834319526627</t>
  </si>
  <si>
    <t>KG4 102 下端: 2158.649704142011834319526627</t>
  </si>
  <si>
    <t>KG4 103 上端: 2472.761538461538461538461538</t>
  </si>
  <si>
    <t>KG4 103 下端: 2673.711538461538461538461538</t>
  </si>
  <si>
    <t>KG4 104 上端: 4642.113352538150109000311429</t>
  </si>
  <si>
    <t>KG4 104 下端: 4642.113352538150109000311429</t>
  </si>
  <si>
    <t>KG4 105 上端: 2980.794736842105263157894737</t>
  </si>
  <si>
    <t>KG4 105 下端: 3190.710526315789473684210526</t>
  </si>
  <si>
    <t>KG4 106 上端: 3190.710526315789473684210526</t>
  </si>
  <si>
    <t>KG4 106 下端: 3400.626315789473684210526316</t>
  </si>
  <si>
    <t>KG4 107 上端: 3400.626315789473684210526316</t>
  </si>
  <si>
    <t>KG4 107 下端: 3610.542105263157894736842105</t>
  </si>
  <si>
    <t>KG4 108 上端: 3610.542105263157894736842105</t>
  </si>
  <si>
    <t>KG4 108 下端: 3820.457894736842105263157895</t>
  </si>
  <si>
    <t>KG4 109 上端: 3820.457894736842105263157895</t>
  </si>
  <si>
    <t>KG4 109 下端: 4030.373684210526315789473684</t>
  </si>
  <si>
    <t>KG4 110 上端: 4030.373684210526315789473684</t>
  </si>
  <si>
    <t>KG4 110 下端: 4240.289473684210526315789474</t>
  </si>
  <si>
    <t>KG4 111 上端: 4240.289473684210526315789474</t>
  </si>
  <si>
    <t>KG4 111 下端: 4450.205263157894736842105263</t>
  </si>
  <si>
    <t>KG4 112 上端: 3300.731174089068825910931174</t>
  </si>
  <si>
    <t>KG4 112 下端: 3300.731174089068825910931174</t>
  </si>
  <si>
    <t>KG4 113 上端: 3088.8</t>
  </si>
  <si>
    <t>KG4 113 下端: 3088.8</t>
  </si>
  <si>
    <t>KG4 114 上端: 3088.8</t>
  </si>
  <si>
    <t>KG4 114 下端: 3088.8</t>
  </si>
  <si>
    <t>KG4 115 上端: 3088.8</t>
  </si>
  <si>
    <t>KG4 115 下端: 3088.8</t>
  </si>
  <si>
    <t>KG4 116 上端: 3088.8</t>
  </si>
  <si>
    <t>KG4 116 下端: 3088.8</t>
  </si>
  <si>
    <t>KG4 117 上端: 3088.8</t>
  </si>
  <si>
    <t>KG4 117 下端: 3088.8</t>
  </si>
  <si>
    <t>KG4 118 上端: 3088.8</t>
  </si>
  <si>
    <t>KG4 118 下端: 3088.8</t>
  </si>
  <si>
    <t>KG4 119 上端: 3088.8</t>
  </si>
  <si>
    <t>KG4 119 下端: 3088.8</t>
  </si>
  <si>
    <t>KG4 120 上端: 3088.8</t>
  </si>
  <si>
    <t>KG4 120 下端: 3088.8</t>
  </si>
  <si>
    <t>KG4 121 上端: 3088.8</t>
  </si>
  <si>
    <t>KG4 121 下端: 3088.8</t>
  </si>
  <si>
    <t>KG5 123 上端: 1005.1</t>
  </si>
  <si>
    <t>KG5 123 下端: 1130.073333333333333333333333</t>
  </si>
  <si>
    <t>KG5 124 上端: 1719.072504930966469428007888</t>
  </si>
  <si>
    <t>KG5 124 下端: 1719.072504930966469428007888</t>
  </si>
  <si>
    <t>KG5 125 上端: 1285.263905325443786982248521</t>
  </si>
  <si>
    <t>KG5 125 下端: 1285.263905325443786982248521</t>
  </si>
  <si>
    <t>KG5 126 上端: 1170.0</t>
  </si>
  <si>
    <t>KG5 126 下端: 1170.0</t>
  </si>
  <si>
    <t>KG5 127 上端: 1732.30532544378698224852071</t>
  </si>
  <si>
    <t>KG5 127 下端: 1732.30532544378698224852071</t>
  </si>
  <si>
    <t>KG5 128 上端: 2137.192307692307692307692308</t>
  </si>
  <si>
    <t>KG5 128 下端: 2310.892307692307692307692308</t>
  </si>
  <si>
    <t>KG5 129 上端: 3391.060949859856742447835565</t>
  </si>
  <si>
    <t>KG5 129 下端: 3391.060949859856742447835565</t>
  </si>
  <si>
    <t>KG5 130 上端: 2576.311578947368421052631579</t>
  </si>
  <si>
    <t>KG5 130 下端: 2757.736842105263157894736842</t>
  </si>
  <si>
    <t>KG5 131 上端: 2757.736842105263157894736842</t>
  </si>
  <si>
    <t>KG5 131 下端: 2939.162105263157894736842105</t>
  </si>
  <si>
    <t>KG5 132 上端: 2939.162105263157894736842105</t>
  </si>
  <si>
    <t>KG5 132 下端: 3120.587368421052631578947368</t>
  </si>
  <si>
    <t>KG5 133 上端: 3120.587368421052631578947368</t>
  </si>
  <si>
    <t>KG5 133 下端: 3302.012631578947368421052632</t>
  </si>
  <si>
    <t>KG5 134 上端: 3302.012631578947368421052632</t>
  </si>
  <si>
    <t>KG5 134 下端: 3483.437894736842105263157895</t>
  </si>
  <si>
    <t>KG5 135 上端: 3483.437894736842105263157895</t>
  </si>
  <si>
    <t>KG5 135 下端: 3664.863157894736842105263158</t>
  </si>
  <si>
    <t>KG5 136 上端: 3664.863157894736842105263158</t>
  </si>
  <si>
    <t>KG5 136 下端: 3846.288421052631578947368421</t>
  </si>
  <si>
    <t>KG5 137 上端: 2336.283724696356275303643725</t>
  </si>
  <si>
    <t>KG5 137 下端: 2336.283724696356275303643725</t>
  </si>
  <si>
    <t>KG5 138 上端: 2059.2</t>
  </si>
  <si>
    <t>KG5 138 下端: 2059.2</t>
  </si>
  <si>
    <t>KG5 139 上端: 2059.2</t>
  </si>
  <si>
    <t>KG5 139 下端: 2059.2</t>
  </si>
  <si>
    <t>KG5 140 上端: 2059.2</t>
  </si>
  <si>
    <t>KG5 140 下端: 2059.2</t>
  </si>
  <si>
    <t>KG5 141 上端: 2059.2</t>
  </si>
  <si>
    <t>KG5 141 下端: 2059.2</t>
  </si>
  <si>
    <t>KG5 142 上端: 2059.2</t>
  </si>
  <si>
    <t>KG5 142 下端: 2059.2</t>
  </si>
  <si>
    <t>KG5 143 上端: 2059.2</t>
  </si>
  <si>
    <t>KG5 143 下端: 2059.2</t>
  </si>
  <si>
    <t>KG5 144 上端: 2059.2</t>
  </si>
  <si>
    <t>KG5 144 下端: 2059.2</t>
  </si>
  <si>
    <t>KG5 145 上端: 2059.2</t>
  </si>
  <si>
    <t>KG5 145 下端: 2059.2</t>
  </si>
  <si>
    <t>KG5 146 上端: 2059.2</t>
  </si>
  <si>
    <t>KG5 146 下端: 2059.2</t>
  </si>
  <si>
    <t>KG6 148 上端: 2907.3</t>
  </si>
  <si>
    <t>KG6 148 下端: 3268.7</t>
  </si>
  <si>
    <t>KG6 149 上端: 4972.489940828402366863905326</t>
  </si>
  <si>
    <t>KG6 149 下端: 4972.489940828402366863905326</t>
  </si>
  <si>
    <t>KG6 150 上端: 2339.063905325443786982248521</t>
  </si>
  <si>
    <t>KG6 150 下端: 2339.063905325443786982248521</t>
  </si>
  <si>
    <t>KG6 151 上端: 1755.0</t>
  </si>
  <si>
    <t>KG6 151 下端: 1755.0</t>
  </si>
  <si>
    <t>KG6 152 上端: 4384.055621301775147928994083</t>
  </si>
  <si>
    <t>KG6 152 下端: 4384.055621301775147928994083</t>
  </si>
  <si>
    <t>KG6 153 上端: 6181.830769230769230769230769</t>
  </si>
  <si>
    <t>KG6 153 下端: 6684.330769230769230769230769</t>
  </si>
  <si>
    <t>KG6 154 上端: 6891.104905014014325755216443</t>
  </si>
  <si>
    <t>KG6 154 下端: 6891.104905014014325755216443</t>
  </si>
  <si>
    <t>KG6 155 上端: 7451.936842105263157894736842</t>
  </si>
  <si>
    <t>KG6 155 下端: 7976.726315789473684210526316</t>
  </si>
  <si>
    <t>KG6 156 上端: 7976.726315789473684210526316</t>
  </si>
  <si>
    <t>KG6 156 下端: 8501.515789473684210526315789</t>
  </si>
  <si>
    <t>KG6 157 上端: 8501.515789473684210526315789</t>
  </si>
  <si>
    <t>KG6 157 下端: 9026.305263157894736842105263</t>
  </si>
  <si>
    <t>KG6 158 上端: 9026.305263157894736842105263</t>
  </si>
  <si>
    <t>KG6 158 下端: 9551.094736842105263157894737</t>
  </si>
  <si>
    <t>KG6 159 上端: 9551.094736842105263157894737</t>
  </si>
  <si>
    <t>KG6 159 下端: 10075.88421052631578947368421</t>
  </si>
  <si>
    <t>KG6 160 上端: 10075.88421052631578947368421</t>
  </si>
  <si>
    <t>KG6 160 下端: 10600.67368421052631578947368</t>
  </si>
  <si>
    <t>KG6 161 上端: 10600.67368421052631578947368</t>
  </si>
  <si>
    <t>KG6 161 下端: 11125.46315789473684210526316</t>
  </si>
  <si>
    <t>KG6 162 上端: 4331.420242914979757085020243</t>
  </si>
  <si>
    <t>KG6 162 下端: 4331.420242914979757085020243</t>
  </si>
  <si>
    <t>KG6 163 上端: 3088.8</t>
  </si>
  <si>
    <t>KG6 163 下端: 3088.8</t>
  </si>
  <si>
    <t>KG6 164 上端: 3088.8</t>
  </si>
  <si>
    <t>KG6 164 下端: 3088.8</t>
  </si>
  <si>
    <t>KG6 165 上端: 3088.8</t>
  </si>
  <si>
    <t>KG6 165 下端: 3088.8</t>
  </si>
  <si>
    <t>KG6 166 上端: 3088.8</t>
  </si>
  <si>
    <t>KG6 166 下端: 3088.8</t>
  </si>
  <si>
    <t>KG6 167 上端: 3088.8</t>
  </si>
  <si>
    <t>KG6 167 下端: 3088.8</t>
  </si>
  <si>
    <t>KG6 168 上端: 3088.8</t>
  </si>
  <si>
    <t>KG6 168 下端: 3088.8</t>
  </si>
  <si>
    <t>KG6 169 上端: 3088.8</t>
  </si>
  <si>
    <t>KG6 169 下端: 3088.8</t>
  </si>
  <si>
    <t>KG6 170 上端: 3088.8</t>
  </si>
  <si>
    <t>KG6 170 下端: 3088.8</t>
  </si>
  <si>
    <t>KG6 171 上端: 3088.8</t>
  </si>
  <si>
    <t>KG6 171 下端: 3088.8</t>
  </si>
  <si>
    <t>既存画面方式：押込みK1/Fyを正負へ配置。長さ積分後に丸め、平均の除算・1.2補正・本数の追加乗算はしません。</t>
  </si>
  <si>
    <t>節点別の結果</t>
  </si>
  <si>
    <t>有効長
(m)</t>
  </si>
  <si>
    <t>K丸め前
(kN/m)</t>
  </si>
  <si>
    <t>K再計算
(kN/m)</t>
  </si>
  <si>
    <t>K実入力
(kN/m)</t>
  </si>
  <si>
    <t>K差</t>
  </si>
  <si>
    <t>F丸め前
(kN)</t>
  </si>
  <si>
    <t>F再計算
(kN)</t>
  </si>
  <si>
    <t>F実入力
(kN)</t>
  </si>
  <si>
    <t>F差</t>
  </si>
  <si>
    <t>抵抗を考慮する範囲</t>
  </si>
  <si>
    <t>杭長 (m)</t>
  </si>
  <si>
    <t>1/β (m)</t>
  </si>
  <si>
    <t>根入れ (m)</t>
  </si>
  <si>
    <t>有効下端 (m)</t>
  </si>
  <si>
    <t>節点の負担区間（隣接座標の中点）</t>
  </si>
  <si>
    <t>前節点</t>
  </si>
  <si>
    <t>次節点</t>
  </si>
  <si>
    <t>前深さ
(m)</t>
  </si>
  <si>
    <t>節点深さ
(m)</t>
  </si>
  <si>
    <t>次深さ
(m)</t>
  </si>
  <si>
    <t>負担上端
(m)</t>
  </si>
  <si>
    <t>負担下端
(m)</t>
  </si>
  <si>
    <t>負担長
(m)</t>
  </si>
  <si>
    <t>除外長
(m)</t>
  </si>
  <si>
    <t>地層と有効な重なり</t>
  </si>
  <si>
    <t>全層厚
(m)</t>
  </si>
  <si>
    <t>有効上端
(m)</t>
  </si>
  <si>
    <t>有効下端
(m)</t>
  </si>
  <si>
    <t>周面K1・Fyの区間積分</t>
  </si>
  <si>
    <t>KのSDC行</t>
  </si>
  <si>
    <t>FのSDC行</t>
  </si>
  <si>
    <t>原値K1
(kN/m²)</t>
  </si>
  <si>
    <t>原値Fy
(kN/m)</t>
  </si>
  <si>
    <t>K1×長さ
(kN/m)</t>
  </si>
  <si>
    <t>Fy×長さ
(kN)</t>
  </si>
  <si>
    <t>周面工程の除外節点</t>
  </si>
  <si>
    <t>深さ (m)</t>
  </si>
  <si>
    <t>負担上端 (m)</t>
  </si>
  <si>
    <t>負担下端 (m)</t>
  </si>
  <si>
    <t>上端・先端除外または抵抗0のため支点を作成しない</t>
  </si>
  <si>
    <t>杭先端ばねを入力</t>
  </si>
  <si>
    <t>正負・勾配別の実入力（固定）</t>
  </si>
  <si>
    <t>KG4 102 K: 51628.885</t>
  </si>
  <si>
    <t>KG4 102 F: 433.7705</t>
  </si>
  <si>
    <t>KG4 103 K: 145626.000</t>
  </si>
  <si>
    <t>KG4 103 F: 1834.9500</t>
  </si>
  <si>
    <t>KG4 104 K: 155633.700</t>
  </si>
  <si>
    <t>KG4 104 F: 1794.3600</t>
  </si>
  <si>
    <t>KG4 105 K: 223256.750</t>
  </si>
  <si>
    <t>KG4 105 F: 2313.0250</t>
  </si>
  <si>
    <t>KG4 106 K: 218437.700</t>
  </si>
  <si>
    <t>KG4 106 F: 2752.3600</t>
  </si>
  <si>
    <t>KG4 107 K: 218437.700</t>
  </si>
  <si>
    <t>KG4 107 F: 2752.3600</t>
  </si>
  <si>
    <t>KG4 108 K: 218437.700</t>
  </si>
  <si>
    <t>KG4 108 F: 2752.3600</t>
  </si>
  <si>
    <t>KG4 109 K: 218437.700</t>
  </si>
  <si>
    <t>KG4 109 F: 2752.3600</t>
  </si>
  <si>
    <t>KG4 110 K: 218437.700</t>
  </si>
  <si>
    <t>KG4 110 F: 2752.3600</t>
  </si>
  <si>
    <t>KG4 111 K: 218437.700</t>
  </si>
  <si>
    <t>KG4 111 F: 2752.3600</t>
  </si>
  <si>
    <t>KG4 112 K: 179148.650</t>
  </si>
  <si>
    <t>KG4 112 F: 2032.4950</t>
  </si>
  <si>
    <t>KG4 113 K: 104936.000</t>
  </si>
  <si>
    <t>KG4 113 F: 672.7500</t>
  </si>
  <si>
    <t>KG4 114 K: 104936.000</t>
  </si>
  <si>
    <t>KG4 114 F: 672.7500</t>
  </si>
  <si>
    <t>KG4 115 K: 104936.000</t>
  </si>
  <si>
    <t>KG4 115 F: 672.7500</t>
  </si>
  <si>
    <t>KG4 116 K: 104936.000</t>
  </si>
  <si>
    <t>KG4 116 F: 672.7500</t>
  </si>
  <si>
    <t>KG4 117 K: 104936.000</t>
  </si>
  <si>
    <t>KG4 117 F: 672.7500</t>
  </si>
  <si>
    <t>KG4 118 K: 104936.000</t>
  </si>
  <si>
    <t>KG4 118 F: 672.7500</t>
  </si>
  <si>
    <t>KG4 119 K: 104936.000</t>
  </si>
  <si>
    <t>KG4 119 F: 672.7500</t>
  </si>
  <si>
    <t>KG4 120 K: 104936.000</t>
  </si>
  <si>
    <t>KG4 120 F: 672.7500</t>
  </si>
  <si>
    <t>KG4 121 K: 36324.000</t>
  </si>
  <si>
    <t>KG4 121 F: 232.8750</t>
  </si>
  <si>
    <t>KG5 127 K: 34419.005</t>
  </si>
  <si>
    <t>KG5 127 F: 289.1300</t>
  </si>
  <si>
    <t>KG5 128 K: 97084.000</t>
  </si>
  <si>
    <t>KG5 128 F: 1223.3000</t>
  </si>
  <si>
    <t>KG5 129 K: 103755.700</t>
  </si>
  <si>
    <t>KG5 129 F: 1196.2400</t>
  </si>
  <si>
    <t>KG5 130 K: 148838.100</t>
  </si>
  <si>
    <t>KG5 130 F: 1542.0450</t>
  </si>
  <si>
    <t>KG5 131 K: 145626.000</t>
  </si>
  <si>
    <t>KG5 131 F: 1834.9500</t>
  </si>
  <si>
    <t>KG5 132 K: 145626.000</t>
  </si>
  <si>
    <t>KG5 132 F: 1834.9500</t>
  </si>
  <si>
    <t>KG5 133 K: 145626.000</t>
  </si>
  <si>
    <t>KG5 133 F: 1834.9500</t>
  </si>
  <si>
    <t>KG5 134 K: 145626.000</t>
  </si>
  <si>
    <t>KG5 134 F: 1834.9500</t>
  </si>
  <si>
    <t>KG5 135 K: 145626.000</t>
  </si>
  <si>
    <t>KG5 135 F: 1834.9500</t>
  </si>
  <si>
    <t>KG5 136 K: 145626.000</t>
  </si>
  <si>
    <t>KG5 136 F: 1834.9500</t>
  </si>
  <si>
    <t>KG5 137 K: 119432.850</t>
  </si>
  <si>
    <t>KG5 137 F: 1355.0250</t>
  </si>
  <si>
    <t>KG5 138 K: 69956.900</t>
  </si>
  <si>
    <t>KG5 138 F: 448.5000</t>
  </si>
  <si>
    <t>KG5 139 K: 69956.900</t>
  </si>
  <si>
    <t>KG5 139 F: 448.5000</t>
  </si>
  <si>
    <t>KG5 140 K: 69956.900</t>
  </si>
  <si>
    <t>KG5 140 F: 448.5000</t>
  </si>
  <si>
    <t>KG5 141 K: 69956.900</t>
  </si>
  <si>
    <t>KG5 141 F: 448.5000</t>
  </si>
  <si>
    <t>KG5 142 K: 69956.900</t>
  </si>
  <si>
    <t>KG5 142 F: 448.5000</t>
  </si>
  <si>
    <t>KG5 143 K: 69956.900</t>
  </si>
  <si>
    <t>KG5 143 F: 448.5000</t>
  </si>
  <si>
    <t>KG5 144 K: 69956.900</t>
  </si>
  <si>
    <t>KG5 144 F: 448.5000</t>
  </si>
  <si>
    <t>KG5 145 K: 69956.900</t>
  </si>
  <si>
    <t>KG5 145 F: 448.5000</t>
  </si>
  <si>
    <t>KG5 146 K: 24215.850</t>
  </si>
  <si>
    <t>KG5 146 F: 155.2500</t>
  </si>
  <si>
    <t>KG6 152 K: 51628.885</t>
  </si>
  <si>
    <t>KG6 152 F: 433.7705</t>
  </si>
  <si>
    <t>KG6 153 K: 145626.000</t>
  </si>
  <si>
    <t>KG6 153 F: 1834.9500</t>
  </si>
  <si>
    <t>KG6 154 K: 155633.700</t>
  </si>
  <si>
    <t>KG6 154 F: 1794.3600</t>
  </si>
  <si>
    <t>KG6 155 K: 223256.750</t>
  </si>
  <si>
    <t>KG6 155 F: 2313.0250</t>
  </si>
  <si>
    <t>KG6 156 K: 218437.700</t>
  </si>
  <si>
    <t>KG6 156 F: 2752.3600</t>
  </si>
  <si>
    <t>KG6 157 K: 218437.700</t>
  </si>
  <si>
    <t>KG6 157 F: 2752.3600</t>
  </si>
  <si>
    <t>KG6 158 K: 218437.700</t>
  </si>
  <si>
    <t>KG6 158 F: 2752.3600</t>
  </si>
  <si>
    <t>KG6 159 K: 218437.700</t>
  </si>
  <si>
    <t>KG6 159 F: 2752.3600</t>
  </si>
  <si>
    <t>KG6 160 K: 218437.700</t>
  </si>
  <si>
    <t>KG6 160 F: 2752.3600</t>
  </si>
  <si>
    <t>KG6 161 K: 218437.700</t>
  </si>
  <si>
    <t>KG6 161 F: 2752.3600</t>
  </si>
  <si>
    <t>KG6 162 K: 179148.650</t>
  </si>
  <si>
    <t>KG6 162 F: 2032.4950</t>
  </si>
  <si>
    <t>KG6 163 K: 104936.000</t>
  </si>
  <si>
    <t>KG6 163 F: 672.7500</t>
  </si>
  <si>
    <t>KG6 164 K: 104936.000</t>
  </si>
  <si>
    <t>KG6 164 F: 672.7500</t>
  </si>
  <si>
    <t>KG6 165 K: 104936.000</t>
  </si>
  <si>
    <t>KG6 165 F: 672.7500</t>
  </si>
  <si>
    <t>KG6 166 K: 104936.000</t>
  </si>
  <si>
    <t>KG6 166 F: 672.7500</t>
  </si>
  <si>
    <t>KG6 167 K: 104936.000</t>
  </si>
  <si>
    <t>KG6 167 F: 672.7500</t>
  </si>
  <si>
    <t>KG6 168 K: 104936.000</t>
  </si>
  <si>
    <t>KG6 168 F: 672.7500</t>
  </si>
  <si>
    <t>KG6 169 K: 104936.000</t>
  </si>
  <si>
    <t>KG6 169 F: 672.7500</t>
  </si>
  <si>
    <t>KG6 170 K: 104936.000</t>
  </si>
  <si>
    <t>KG6 170 F: 672.7500</t>
  </si>
  <si>
    <t>KG6 171 K: 36324.000</t>
  </si>
  <si>
    <t>KG6 171 F: 232.8750</t>
  </si>
  <si>
    <t>SDCの短期K1/K2・押込みFy/Fuを転記。負側制限値F1−/F2−は空欄のまま転記します。</t>
  </si>
  <si>
    <t>杭先端の結果</t>
  </si>
  <si>
    <t>先端節点</t>
  </si>
  <si>
    <t>K1再計算
(kN/m)</t>
  </si>
  <si>
    <t>K1実入力
(kN/m)</t>
  </si>
  <si>
    <t>K2再計算
(kN/m)</t>
  </si>
  <si>
    <t>K2実入力
(kN/m)</t>
  </si>
  <si>
    <t>Fy再計算
(kN)</t>
  </si>
  <si>
    <t>Fy実入力
(kN)</t>
  </si>
  <si>
    <t>Fu再計算
(kN)</t>
  </si>
  <si>
    <t>Fu実入力
(kN)</t>
  </si>
  <si>
    <t>杭頭・最深節点と杭長</t>
  </si>
  <si>
    <t>杭頭節点</t>
  </si>
  <si>
    <t>x座標
(m)</t>
  </si>
  <si>
    <t>杭頭y
(m)</t>
  </si>
  <si>
    <t>先端y
(m)</t>
  </si>
  <si>
    <t>座標差
(m)</t>
  </si>
  <si>
    <t>SDC杭長
(m)</t>
  </si>
  <si>
    <t>KG4 122 k1_kN_per_m: 327072</t>
  </si>
  <si>
    <t>KG4 122 k2_kN_per_m: 88418</t>
  </si>
  <si>
    <t>KG4 122 fy_kN: 7167.5</t>
  </si>
  <si>
    <t>KG4 122 fu_kN: 16724.3</t>
  </si>
  <si>
    <t>KG5 147 k1_kN_per_m: 218048</t>
  </si>
  <si>
    <t>KG5 147 k2_kN_per_m: 58945</t>
  </si>
  <si>
    <t>KG5 147 fy_kN: 4778.4</t>
  </si>
  <si>
    <t>KG5 147 fu_kN: 11149.5</t>
  </si>
  <si>
    <t>KG6 172 k1_kN_per_m: 327072</t>
  </si>
  <si>
    <t>KG6 172 k2_kN_per_m: 88418</t>
  </si>
  <si>
    <t>KG6 172 fy_kN: 7167.5</t>
  </si>
  <si>
    <t>KG6 172 fu_kN: 16724.3</t>
  </si>
  <si>
    <t>入力根拠</t>
  </si>
  <si>
    <t>実行・ファイル情報</t>
  </si>
  <si>
    <t>値</t>
  </si>
  <si>
    <t>実行ID: 20260917-150636-518155-23f5184f</t>
  </si>
  <si>
    <t>アプリ: SDCConverter 1.1.0</t>
  </si>
  <si>
    <t>帳票スキーマ: 1</t>
  </si>
  <si>
    <t>対象モデル: C:\Users\sasai\Documents\structural-design\snap\今町橋りょう4P(C方向･右押し→).ndu</t>
  </si>
  <si>
    <t>状態: モデル保存と同一実行</t>
  </si>
  <si>
    <t>モデル出力: C:\Users\sasai\Documents\structural-design\snap\今町橋りょう4P(C方向･右押し→)_変換済み.ndu</t>
  </si>
  <si>
    <t>出力予定SHA-256: 09d7ed88c1067d4333f6210d06dccb3b6fbf6e8d9fd2b2d4f6f90c7ba2e17ec0</t>
  </si>
  <si>
    <t>JSON: C:\Users\sasai\Documents\structural-design\snap\今町橋りょう4P(C方向･右押し→)_変換済み.ndu.20260917-150636-518155-23f5184f.report.json</t>
  </si>
  <si>
    <t>Excel: C:\Users\sasai\Documents\structural-design\snap\今町橋りょう4P(C方向･右押し→)_変換済み.ndu.20260917-150636-518155-23f5184f.計算過程.xlsx</t>
  </si>
  <si>
    <t>バックアップ: なし</t>
  </si>
  <si>
    <t>杭対応: 4:1 5:2 6:3</t>
  </si>
  <si>
    <t>土圧方向: right</t>
  </si>
  <si>
    <t>周面方式: existing-screen</t>
  </si>
  <si>
    <t>水平境界: length-weighted</t>
  </si>
  <si>
    <t>土圧境界: integral-average</t>
  </si>
  <si>
    <t>土圧小数桁: 1</t>
  </si>
  <si>
    <t>周面K小数桁: 0</t>
  </si>
  <si>
    <t>周面F小数桁: 1</t>
  </si>
  <si>
    <t>丸め: ROUND_HALF_UP（先端・水平単一層は原値）</t>
  </si>
  <si>
    <t>入力: C:\Users\sasai\Documents\structural-design\snap\今町橋りょう4P(右).sdc</t>
  </si>
  <si>
    <t>SHA-256: 9b9aed2461b87acb5193c8eac79cf07b6d9824bdbd80e096416e197f324f64a7</t>
  </si>
  <si>
    <t>入力: C:\Users\sasai\Documents\structural-design\snap\今町橋りょう4P(C方向･右押し→).ndu</t>
  </si>
  <si>
    <t>SHA-256: 703fd48092d3c4e0592ccb945538b03149f4cfa487d44b600f2a671fffe66a72</t>
  </si>
  <si>
    <t>採用したSDC原値</t>
  </si>
  <si>
    <t>CSV欄</t>
  </si>
  <si>
    <t>原値</t>
  </si>
  <si>
    <t>正確な十進文字列</t>
  </si>
  <si>
    <t>1列目 短期(非線形)</t>
  </si>
  <si>
    <t>58812</t>
  </si>
  <si>
    <t>310863</t>
  </si>
  <si>
    <t>110708</t>
  </si>
  <si>
    <t>268854</t>
  </si>
  <si>
    <t>428981</t>
  </si>
  <si>
    <t>403280</t>
  </si>
  <si>
    <t>193733</t>
  </si>
  <si>
    <t>2列目 短期(非線形)</t>
  </si>
  <si>
    <t>39208</t>
  </si>
  <si>
    <t>207242</t>
  </si>
  <si>
    <t>73805</t>
  </si>
  <si>
    <t>179236</t>
  </si>
  <si>
    <t>285987</t>
  </si>
  <si>
    <t>129155</t>
  </si>
  <si>
    <t>3列目 短期(非線形)</t>
  </si>
  <si>
    <t>3列目 上側</t>
  </si>
  <si>
    <t>1162.9</t>
  </si>
  <si>
    <t>3列目 下側</t>
  </si>
  <si>
    <t>1329.7</t>
  </si>
  <si>
    <t>2018.1</t>
  </si>
  <si>
    <t>2237.4</t>
  </si>
  <si>
    <t>1755.0</t>
  </si>
  <si>
    <t>2349.1</t>
  </si>
  <si>
    <t>2751.0</t>
  </si>
  <si>
    <t>6809.4</t>
  </si>
  <si>
    <t>2948.5</t>
  </si>
  <si>
    <t>4482.5</t>
  </si>
  <si>
    <t>3088.8</t>
  </si>
  <si>
    <t>2列目 上側</t>
  </si>
  <si>
    <t>1005.1</t>
  </si>
  <si>
    <t>2列目 下側</t>
  </si>
  <si>
    <t>1149.3</t>
  </si>
  <si>
    <t>1744.2</t>
  </si>
  <si>
    <t>1933.8</t>
  </si>
  <si>
    <t>1170.0</t>
  </si>
  <si>
    <t>2030.3</t>
  </si>
  <si>
    <t>2377.7</t>
  </si>
  <si>
    <t>4539.6</t>
  </si>
  <si>
    <t>2548.4</t>
  </si>
  <si>
    <t>3874.2</t>
  </si>
  <si>
    <t>2059.2</t>
  </si>
  <si>
    <t>1列目 上側</t>
  </si>
  <si>
    <t>2907.3</t>
  </si>
  <si>
    <t>1列目 下側</t>
  </si>
  <si>
    <t>3324.3</t>
  </si>
  <si>
    <t>5045.2</t>
  </si>
  <si>
    <t>5593.6</t>
  </si>
  <si>
    <t>5872.6</t>
  </si>
  <si>
    <t>6877.6</t>
  </si>
  <si>
    <t>7371.2</t>
  </si>
  <si>
    <t>11206.2</t>
  </si>
  <si>
    <t>押込み 短期第1勾配 K1</t>
  </si>
  <si>
    <t>46127</t>
  </si>
  <si>
    <t>押込み 降伏点 Fy</t>
  </si>
  <si>
    <t>294.1</t>
  </si>
  <si>
    <t>112020</t>
  </si>
  <si>
    <t>1411.5</t>
  </si>
  <si>
    <t>178738</t>
  </si>
  <si>
    <t>1140.9</t>
  </si>
  <si>
    <t>168029</t>
  </si>
  <si>
    <t>2117.2</t>
  </si>
  <si>
    <t>80720</t>
  </si>
  <si>
    <t>517.5</t>
  </si>
  <si>
    <t>30751</t>
  </si>
  <si>
    <t>196.0</t>
  </si>
  <si>
    <t>74680</t>
  </si>
  <si>
    <t>941.0</t>
  </si>
  <si>
    <t>119158</t>
  </si>
  <si>
    <t>760.6</t>
  </si>
  <si>
    <t>53813</t>
  </si>
  <si>
    <t>345.0</t>
  </si>
  <si>
    <t>短期K1</t>
  </si>
  <si>
    <t>327072</t>
  </si>
  <si>
    <t>短期K2</t>
  </si>
  <si>
    <t>88418</t>
  </si>
  <si>
    <t>押込みFy</t>
  </si>
  <si>
    <t>7167.5</t>
  </si>
  <si>
    <t>押込みFu</t>
  </si>
  <si>
    <t>16724.3</t>
  </si>
  <si>
    <t>218048</t>
  </si>
  <si>
    <t>58945</t>
  </si>
  <si>
    <t>4778.4</t>
  </si>
  <si>
    <t>11149.5</t>
  </si>
  <si>
    <t>座標演算の保持小数桁: 4（入力座標の最大精度＋中点の1桁）。積分・補間の結果は途中で丸めません。</t>
  </si>
  <si>
    <t>SDC見出しと原行（文字列保存）</t>
  </si>
  <si>
    <t>原行</t>
  </si>
  <si>
    <t>SDC 18行: 杭長,突出長,根入れ深さ,平水位,弾性係数Es,弾性係数Ec,D1,D2,t1,t2,腐食代,A,I</t>
  </si>
  <si>
    <t>SDC 19行: 31, 0, 1.3, 4.86, , 22.4, 1.3, , , , , 1.327323, 0.140198</t>
  </si>
  <si>
    <t>SDC 162行: 杭列数,奥行き本数,,1/β(m)</t>
  </si>
  <si>
    <t>SDC 163行: ,奇数列,偶数列</t>
  </si>
  <si>
    <t>SDC 164行: 3, 3, 2, 4.945</t>
  </si>
  <si>
    <t>SDC 171行: b）水平地盤ばね値</t>
  </si>
  <si>
    <t>SDC 172行: 層番,層厚(m),水平方向ばね値(kN/m2)</t>
  </si>
  <si>
    <t>SDC 173行: ,,長期-1列目,長期-2列目,長期-3列目,短期(線形)-1列目,短期(線形)-2列目,短期(線形)-3列目,短期(非線形)-1列目,短期(非線形)-2列目,短期(非線形)-3列目</t>
  </si>
  <si>
    <t>SDC 174行: 1, 1.500, 14703, 9802, 14703, 29406, 19604, 29406, 58812, 39208, 58812</t>
  </si>
  <si>
    <t>SDC 175行: 2, 1.300, 77716, 51811, 77716, 155432, 103621, 155432, 310863, 207242, 310863</t>
  </si>
  <si>
    <t>SDC 176行: 3, 2.900, 27677, 18451, 27677, 55354, 36903, 55354, 110708, 73805, 110708</t>
  </si>
  <si>
    <t>SDC 177行: 4, 2.600, 67213, 44809, 67213, 134427, 89618, 134427, 268854, 179236, 268854</t>
  </si>
  <si>
    <t>SDC 178行: 5, 0.600, 107245, 71497, 107245, 214491, 142994, 214491, 428981, 285987, 428981</t>
  </si>
  <si>
    <t>SDC 179行: 6, 9.500, 100820, 67213, 100820, 201640, 134427, 201640, 403280, 268854, 403280</t>
  </si>
  <si>
    <t>SDC 180行: 7, 12.600, 48433, 32289, 48433, 96866, 64578, 96866, 193733, 129155, 193733</t>
  </si>
  <si>
    <t>SDC 182行: c）有効抵抗土圧力</t>
  </si>
  <si>
    <t>SDC 183行: ・応答変位法以外の場合</t>
  </si>
  <si>
    <t>SDC 184行: 層番,層厚(m),地震時：有効抵抗土圧力(kN/m)</t>
  </si>
  <si>
    <t>SDC 185行: ,,1列目,,2列目,,3列目</t>
  </si>
  <si>
    <t>SDC 186行: ,,上側,下側,上側,下側,上側,下側</t>
  </si>
  <si>
    <t>SDC 187行: 1, 1.500, 2907.3, 3324.3, 1005.1, 1149.3, 1162.9, 1329.7</t>
  </si>
  <si>
    <t>SDC 188行: 2, 1.300, 5045.2, 5593.6, 1744.2, 1933.8, 2018.1, 2237.4</t>
  </si>
  <si>
    <t>SDC 189行: 3, 2.900, 1755.0, 1755.0, 1170.0, 1170.0, 1755.0, 1755.0</t>
  </si>
  <si>
    <t>SDC 190行: 4, 2.600, 5872.6, 6877.6, 2030.3, 2377.7, 2349.1, 2751.0</t>
  </si>
  <si>
    <t>SDC 191行: 5, 0.600, 6809.4, 6809.4, 4539.6, 4539.6, 6809.4, 6809.4</t>
  </si>
  <si>
    <t>SDC 192行: 6, 9.500, 7371.2, 11206.2, 2548.4, 3874.2, 2948.5, 4482.5</t>
  </si>
  <si>
    <t>SDC 193行: 7, 12.600, 3088.8, 3088.8, 2059.2, 2059.2, 3088.8, 3088.8</t>
  </si>
  <si>
    <t>SDC 207行: d）杭周面の鉛直せん断地盤ばね値</t>
  </si>
  <si>
    <t>SDC 208行: 【押込み側】</t>
  </si>
  <si>
    <t>SDC 209行: 層番,層厚(m),杭周面の鉛直せん断地盤ばね値(kN/m2)</t>
  </si>
  <si>
    <t>SDC 210行: ,,長期,,,短期(使用性・安全性),,,短期(復旧性・地震時-第1勾配),,,,短期(復旧性・地震時-第2勾配)</t>
  </si>
  <si>
    <t>SDC 211行: ,,1列目,2列目,3列目,1列目,2列目,3列目,⊿l(m),1列目,2列目,3列目,1列目,2列目,3列目</t>
  </si>
  <si>
    <t>SDC 214行: 3, 2.900, 23064, 15376, 23064, 46127, 30751, 46127, 0.755, 46127, 30751, 46127, 396, 264, 396</t>
  </si>
  <si>
    <t>SDC 215行: 4, 2.600, 56010, 37340, 56010, 112020, 74680, 112020, 2.600, 112020, 74680, 112020, 2004, 1336, 2004</t>
  </si>
  <si>
    <t>SDC 216行: 5, 0.600, 89369, 59579, 89369, 178738, 119158, 178738, 0.600, 178738, 119158, 178738, 1538, 1026, 1538</t>
  </si>
  <si>
    <t>SDC 217行: 6, 9.500, 84015, 56010, 84015, 168029, 112020, 168029, 9.500, 168029, 112020, 168029, 3006, 2004, 3006</t>
  </si>
  <si>
    <t>SDC 218行: 7, 11.300, 40360, 26907, 40360, 80720, 53813, 80720, 11.300, 80720, 53813, 80720, 698, 465, 698</t>
  </si>
  <si>
    <t>SDC 239行: e）杭周面の支持力</t>
  </si>
  <si>
    <t>SDC 240行: 【押込み側】</t>
  </si>
  <si>
    <t>SDC 241行: 層番,層厚,⊿l(m),地震時：杭周面支持力(kN/m)</t>
  </si>
  <si>
    <t>SDC 242行: ,,,降伏点(ρgfy考慮),,,終局点(ρgfu考慮)</t>
  </si>
  <si>
    <t>SDC 243行: ,,,1列目,2列目,3列目,1列目,2列目,3列目</t>
  </si>
  <si>
    <t>SDC 246行: 3, 2.900, 0.755, 294.1, 196.0, 294.1, 343.1, 228.7, 343.1</t>
  </si>
  <si>
    <t>SDC 247行: 4, 2.600, 2.600, 1411.5, 941.0, 1411.5, 1646.7, 1097.8, 1646.7</t>
  </si>
  <si>
    <t>SDC 248行: 5, 0.600, 0.600, 1140.9, 760.6, 1140.9, 1331.1, 887.4, 1331.1</t>
  </si>
  <si>
    <t>SDC 249行: 6, 9.500, 9.500, 2117.2, 1411.5, 2117.2, 2470.0, 1646.7, 2470.0</t>
  </si>
  <si>
    <t>SDC 250行: 7, 12.600, 11.300, 517.5, 345.0, 517.5, 603.8, 402.5, 603.8</t>
  </si>
  <si>
    <t>SDC 271行: f）杭先端の地盤ばね値</t>
  </si>
  <si>
    <t>SDC 272行: 杭先端の鉛直鉛直ばね値(kN/m)</t>
  </si>
  <si>
    <t>SDC 273行: 長期,,,短期(第1勾配),,,短期(第2勾配)</t>
  </si>
  <si>
    <t>SDC 274行: 1列目,2列目,3列目,1列目,2列目,3列目,1列目,2列目,3列目</t>
  </si>
  <si>
    <t>SDC 275行: 163536, 109024, 163536, 327072, 218048, 327072, 88418, 58945, 88418</t>
  </si>
  <si>
    <t>SDC 289行: g）杭先端の支持力</t>
  </si>
  <si>
    <t>SDC 290行: 地震時：杭先端の鉛直地盤支持力(kN)</t>
  </si>
  <si>
    <t>SDC 291行: 押し込み側(降伏点),,,押し込み側(終局点)</t>
  </si>
  <si>
    <t>SDC 292行: 1列目,2列目,3列目,1列目,2列目,3列目</t>
  </si>
  <si>
    <t>SDC 293行: 7167.5, 4778.4, 7167.5, 16724.3, 11149.5, 16724.3</t>
  </si>
  <si>
    <t>NDU幾何の出典</t>
  </si>
  <si>
    <t>NDU 125行: JointXY98=29.8,13.041,98</t>
  </si>
  <si>
    <t>NDU 126行: JointXY99=29.8,14.341,99</t>
  </si>
  <si>
    <t>NDU 127行: JointXY100=29.8,15.641,100</t>
  </si>
  <si>
    <t>NDU 128行: JointXY101=29.8,16.941,101</t>
  </si>
  <si>
    <t>NDU 129行: JointXY102=29.8,18.241,102</t>
  </si>
  <si>
    <t>NDU 130行: JointXY103=29.8,19.541,103</t>
  </si>
  <si>
    <t>NDU 131行: JointXY104=29.8,20.841,104</t>
  </si>
  <si>
    <t>NDU 132行: JointXY105=29.8,22.141,105</t>
  </si>
  <si>
    <t>NDU 133行: JointXY106=29.8,23.441,106</t>
  </si>
  <si>
    <t>NDU 134行: JointXY107=29.8,24.741,107</t>
  </si>
  <si>
    <t>NDU 135行: JointXY108=29.8,26.041,108</t>
  </si>
  <si>
    <t>NDU 136行: JointXY109=29.8,27.341,109</t>
  </si>
  <si>
    <t>NDU 137行: JointXY110=29.8,28.641,110</t>
  </si>
  <si>
    <t>NDU 138行: JointXY111=29.8,29.941,111</t>
  </si>
  <si>
    <t>NDU 139行: JointXY112=29.8,31.241,112</t>
  </si>
  <si>
    <t>NDU 140行: JointXY113=29.8,32.541,113</t>
  </si>
  <si>
    <t>NDU 141行: JointXY114=29.8,33.841,114</t>
  </si>
  <si>
    <t>NDU 142行: JointXY115=29.8,35.141,115</t>
  </si>
  <si>
    <t>NDU 143行: JointXY116=29.8,36.441,116</t>
  </si>
  <si>
    <t>NDU 144行: JointXY117=29.8,37.741,117</t>
  </si>
  <si>
    <t>NDU 145行: JointXY118=29.8,39.041,118</t>
  </si>
  <si>
    <t>NDU 146行: JointXY119=29.8,40.341,119</t>
  </si>
  <si>
    <t>NDU 147行: JointXY120=29.8,41.641,120</t>
  </si>
  <si>
    <t>NDU 148行: JointXY121=29.8,42.941,121</t>
  </si>
  <si>
    <t>NDU 149行: JointXY122=29.8,44.041,122</t>
  </si>
  <si>
    <t>NDU 150行: JointXY123=33.5,13.041,123</t>
  </si>
  <si>
    <t>NDU 151行: JointXY124=33.5,14.341,124</t>
  </si>
  <si>
    <t>NDU 152行: JointXY125=33.5,15.641,125</t>
  </si>
  <si>
    <t>NDU 153行: JointXY126=33.5,16.941,126</t>
  </si>
  <si>
    <t>NDU 154行: JointXY127=33.5,18.241,127</t>
  </si>
  <si>
    <t>NDU 155行: JointXY128=33.5,19.541,128</t>
  </si>
  <si>
    <t>NDU 156行: JointXY129=33.5,20.841,129</t>
  </si>
  <si>
    <t>NDU 157行: JointXY130=33.5,22.141,130</t>
  </si>
  <si>
    <t>NDU 158行: JointXY131=33.5,23.441,131</t>
  </si>
  <si>
    <t>NDU 159行: JointXY132=33.5,24.741,132</t>
  </si>
  <si>
    <t>NDU 160行: JointXY133=33.5,26.041,133</t>
  </si>
  <si>
    <t>NDU 161行: JointXY134=33.5,27.341,134</t>
  </si>
  <si>
    <t>NDU 162行: JointXY135=33.5,28.641,135</t>
  </si>
  <si>
    <t>NDU 163行: JointXY136=33.5,29.941,136</t>
  </si>
  <si>
    <t>NDU 164行: JointXY137=33.5,31.241,137</t>
  </si>
  <si>
    <t>NDU 165行: JointXY138=33.5,32.541,138</t>
  </si>
  <si>
    <t>NDU 166行: JointXY139=33.5,33.841,139</t>
  </si>
  <si>
    <t>NDU 167行: JointXY140=33.5,35.141,140</t>
  </si>
  <si>
    <t>NDU 168行: JointXY141=33.5,36.441,141</t>
  </si>
  <si>
    <t>NDU 169行: JointXY142=33.5,37.741,142</t>
  </si>
  <si>
    <t>NDU 170行: JointXY143=33.5,39.041,143</t>
  </si>
  <si>
    <t>NDU 171行: JointXY144=33.5,40.341,144</t>
  </si>
  <si>
    <t>NDU 172行: JointXY145=33.5,41.641,145</t>
  </si>
  <si>
    <t>NDU 173行: JointXY146=33.5,42.941,146</t>
  </si>
  <si>
    <t>NDU 174行: JointXY147=33.5,44.041,147</t>
  </si>
  <si>
    <t>NDU 175行: JointXY148=37.2,13.041,148</t>
  </si>
  <si>
    <t>NDU 176行: JointXY149=37.2,14.341,149</t>
  </si>
  <si>
    <t>NDU 177行: JointXY150=37.2,15.641,150</t>
  </si>
  <si>
    <t>NDU 178行: JointXY151=37.2,16.941,151</t>
  </si>
  <si>
    <t>NDU 179行: JointXY152=37.2,18.241,152</t>
  </si>
  <si>
    <t>NDU 180行: JointXY153=37.2,19.541,153</t>
  </si>
  <si>
    <t>NDU 181行: JointXY154=37.2,20.841,154</t>
  </si>
  <si>
    <t>NDU 182行: JointXY155=37.2,22.141,155</t>
  </si>
  <si>
    <t>NDU 183行: JointXY156=37.2,23.441,156</t>
  </si>
  <si>
    <t>NDU 184行: JointXY157=37.2,24.741,157</t>
  </si>
  <si>
    <t>NDU 185行: JointXY158=37.2,26.041,158</t>
  </si>
  <si>
    <t>NDU 186行: JointXY159=37.2,27.341,159</t>
  </si>
  <si>
    <t>NDU 187行: JointXY160=37.2,28.641,160</t>
  </si>
  <si>
    <t>NDU 188行: JointXY161=37.2,29.941,161</t>
  </si>
  <si>
    <t>NDU 189行: JointXY162=37.2,31.241,162</t>
  </si>
  <si>
    <t>NDU 190行: JointXY163=37.2,32.541,163</t>
  </si>
  <si>
    <t>NDU 191行: JointXY164=37.2,33.841,164</t>
  </si>
  <si>
    <t>NDU 192行: JointXY165=37.2,35.141,165</t>
  </si>
  <si>
    <t>NDU 193行: JointXY166=37.2,36.441,166</t>
  </si>
  <si>
    <t>NDU 194行: JointXY167=37.2,37.741,167</t>
  </si>
  <si>
    <t>NDU 195行: JointXY168=37.2,39.041,168</t>
  </si>
  <si>
    <t>NDU 196行: JointXY169=37.2,40.341,169</t>
  </si>
  <si>
    <t>NDU 197行: JointXY170=37.2,41.641,170</t>
  </si>
  <si>
    <t>NDU 198行: JointXY171=37.2,42.941,171</t>
  </si>
  <si>
    <t>NDU 199行: JointXY172=37.2,44.041,172</t>
  </si>
  <si>
    <t>NDU 382行: KGInfo4=21,98,121,4.959</t>
  </si>
  <si>
    <t>NDU 383行: KGInfo5=22,123,146,4.959</t>
  </si>
  <si>
    <t>NDU 384行: KGInfo6=23,148,171,4.959</t>
  </si>
  <si>
    <t>NDU 483行: ElementInfo98=3,0,0,0,98,99,75,0, , , ,0,0,98</t>
  </si>
  <si>
    <t>NDU 484行: ElementInfo99=3,0,0,0,99,100,76,0, , , ,0,0,99</t>
  </si>
  <si>
    <t>NDU 485行: ElementInfo100=3,0,0,0,100,101,77,0, , , ,0,0,100</t>
  </si>
  <si>
    <t>NDU 486行: ElementInfo101=3,0,0,0,101,102,78,0, , , ,0,0,101</t>
  </si>
  <si>
    <t>NDU 487行: ElementInfo102=3,0,0,0,102,103,79,0, , , ,0,0,102</t>
  </si>
  <si>
    <t>NDU 488行: ElementInfo103=3,0,0,0,103,104,80,0, , , ,0,0,103</t>
  </si>
  <si>
    <t>NDU 489行: ElementInfo104=3,0,0,0,104,105,81,0, , , ,0,0,104</t>
  </si>
  <si>
    <t>NDU 490行: ElementInfo105=3,0,0,0,105,106,82,0, , , ,0,0,105</t>
  </si>
  <si>
    <t>NDU 491行: ElementInfo106=3,0,0,0,106,107,83,0, , , ,0,0,106</t>
  </si>
  <si>
    <t>NDU 492行: ElementInfo107=3,0,0,0,107,108,84,0, , , ,0,0,107</t>
  </si>
  <si>
    <t>NDU 493行: ElementInfo108=3,0,0,0,108,109,85,0, , , ,0,0,108</t>
  </si>
  <si>
    <t>NDU 494行: ElementInfo109=3,0,0,0,109,110,86,0, , , ,0,0,109</t>
  </si>
  <si>
    <t>NDU 495行: ElementInfo110=3,0,0,0,110,111,87,0, , , ,0,0,110</t>
  </si>
  <si>
    <t>NDU 496行: ElementInfo111=3,0,0,0,111,112,88,0, , , ,0,0,111</t>
  </si>
  <si>
    <t>NDU 497行: ElementInfo112=3,0,0,0,112,113,89,0, , , ,0,0,112</t>
  </si>
  <si>
    <t>NDU 498行: ElementInfo113=3,0,0,0,113,114,90,0, , , ,0,0,113</t>
  </si>
  <si>
    <t>NDU 499行: ElementInfo114=3,0,0,0,114,115,91,0, , , ,0,0,114</t>
  </si>
  <si>
    <t>NDU 500行: ElementInfo115=3,0,0,0,115,116,92,0, , , ,0,0,115</t>
  </si>
  <si>
    <t>NDU 501行: ElementInfo116=3,0,0,0,116,117,93,0, , , ,0,0,116</t>
  </si>
  <si>
    <t>NDU 502行: ElementInfo117=3,0,0,0,117,118,94,0, , , ,0,0,117</t>
  </si>
  <si>
    <t>NDU 503行: ElementInfo118=3,0,0,0,118,119,95,0, , , ,0,0,118</t>
  </si>
  <si>
    <t>NDU 504行: ElementInfo119=3,0,0,0,119,120,96,0, , , ,0,0,119</t>
  </si>
  <si>
    <t>NDU 505行: ElementInfo120=3,0,0,0,120,121,97,0, , , ,0,0,120</t>
  </si>
  <si>
    <t>NDU 506行: ElementInfo121=3,0,0,0,121,122,98,0, , , ,0,0,121</t>
  </si>
  <si>
    <t>NDU 508行: ElementInfo123=3,0,0,0,123,124,99,0, , , ,0,0,123</t>
  </si>
  <si>
    <t>NDU 509行: ElementInfo124=3,0,0,0,124,125,100,0, , , ,0,0,124</t>
  </si>
  <si>
    <t>NDU 510行: ElementInfo125=3,0,0,0,125,126,101,0, , , ,0,0,125</t>
  </si>
  <si>
    <t>NDU 511行: ElementInfo126=3,0,0,0,126,127,102,0, , , ,0,0,126</t>
  </si>
  <si>
    <t>NDU 512行: ElementInfo127=3,0,0,0,127,128,103,0, , , ,0,0,127</t>
  </si>
  <si>
    <t>NDU 513行: ElementInfo128=3,0,0,0,128,129,104,0, , , ,0,0,128</t>
  </si>
  <si>
    <t>NDU 514行: ElementInfo129=3,0,0,0,129,130,105,0, , , ,0,0,129</t>
  </si>
  <si>
    <t>NDU 515行: ElementInfo130=3,0,0,0,130,131,106,0, , , ,0,0,130</t>
  </si>
  <si>
    <t>NDU 516行: ElementInfo131=3,0,0,0,131,132,107,0, , , ,0,0,131</t>
  </si>
  <si>
    <t>NDU 517行: ElementInfo132=3,0,0,0,132,133,108,0, , , ,0,0,132</t>
  </si>
  <si>
    <t>NDU 518行: ElementInfo133=3,0,0,0,133,134,109,0, , , ,0,0,133</t>
  </si>
  <si>
    <t>NDU 519行: ElementInfo134=3,0,0,0,134,135,110,0, , , ,0,0,134</t>
  </si>
  <si>
    <t>NDU 520行: ElementInfo135=3,0,0,0,135,136,111,0, , , ,0,0,135</t>
  </si>
  <si>
    <t>NDU 521行: ElementInfo136=3,0,0,0,136,137,112,0, , , ,0,0,136</t>
  </si>
  <si>
    <t>NDU 522行: ElementInfo137=3,0,0,0,137,138,113,0, , , ,0,0,137</t>
  </si>
  <si>
    <t>NDU 523行: ElementInfo138=3,0,0,0,138,139,114,0, , , ,0,0,138</t>
  </si>
  <si>
    <t>NDU 524行: ElementInfo139=3,0,0,0,139,140,115,0, , , ,0,0,139</t>
  </si>
  <si>
    <t>NDU 525行: ElementInfo140=3,0,0,0,140,141,116,0, , , ,0,0,140</t>
  </si>
  <si>
    <t>NDU 526行: ElementInfo141=3,0,0,0,141,142,117,0, , , ,0,0,141</t>
  </si>
  <si>
    <t>NDU 527行: ElementInfo142=3,0,0,0,142,143,118,0, , , ,0,0,142</t>
  </si>
  <si>
    <t>NDU 528行: ElementInfo143=3,0,0,0,143,144,119,0, , , ,0,0,143</t>
  </si>
  <si>
    <t>NDU 529行: ElementInfo144=3,0,0,0,144,145,120,0, , , ,0,0,144</t>
  </si>
  <si>
    <t>NDU 530行: ElementInfo145=3,0,0,0,145,146,121,0, , , ,0,0,145</t>
  </si>
  <si>
    <t>NDU 531行: ElementInfo146=3,0,0,0,146,147,122,0, , , ,0,0,146</t>
  </si>
  <si>
    <t>NDU 533行: ElementInfo148=3,0,0,0,148,149,123,0, , , ,0,0,148</t>
  </si>
  <si>
    <t>NDU 534行: ElementInfo149=3,0,0,0,149,150,124,0, , , ,0,0,149</t>
  </si>
  <si>
    <t>NDU 535行: ElementInfo150=3,0,0,0,150,151,125,0, , , ,0,0,150</t>
  </si>
  <si>
    <t>NDU 536行: ElementInfo151=3,0,0,0,151,152,126,0, , , ,0,0,151</t>
  </si>
  <si>
    <t>NDU 537行: ElementInfo152=3,0,0,0,152,153,127,0, , , ,0,0,152</t>
  </si>
  <si>
    <t>NDU 538行: ElementInfo153=3,0,0,0,153,154,128,0, , , ,0,0,153</t>
  </si>
  <si>
    <t>NDU 539行: ElementInfo154=3,0,0,0,154,155,129,0, , , ,0,0,154</t>
  </si>
  <si>
    <t>NDU 540行: ElementInfo155=3,0,0,0,155,156,130,0, , , ,0,0,155</t>
  </si>
  <si>
    <t>NDU 541行: ElementInfo156=3,0,0,0,156,157,131,0, , , ,0,0,156</t>
  </si>
  <si>
    <t>NDU 542行: ElementInfo157=3,0,0,0,157,158,132,0, , , ,0,0,157</t>
  </si>
  <si>
    <t>NDU 543行: ElementInfo158=3,0,0,0,158,159,133,0, , , ,0,0,158</t>
  </si>
  <si>
    <t>NDU 544行: ElementInfo159=3,0,0,0,159,160,134,0, , , ,0,0,159</t>
  </si>
  <si>
    <t>NDU 545行: ElementInfo160=3,0,0,0,160,161,135,0, , , ,0,0,160</t>
  </si>
  <si>
    <t>NDU 546行: ElementInfo161=3,0,0,0,161,162,136,0, , , ,0,0,161</t>
  </si>
  <si>
    <t>NDU 547行: ElementInfo162=3,0,0,0,162,163,137,0, , , ,0,0,162</t>
  </si>
  <si>
    <t>NDU 548行: ElementInfo163=3,0,0,0,163,164,138,0, , , ,0,0,163</t>
  </si>
  <si>
    <t>NDU 549行: ElementInfo164=3,0,0,0,164,165,139,0, , , ,0,0,164</t>
  </si>
  <si>
    <t>NDU 550行: ElementInfo165=3,0,0,0,165,166,140,0, , , ,0,0,165</t>
  </si>
  <si>
    <t>NDU 551行: ElementInfo166=3,0,0,0,166,167,141,0, , , ,0,0,166</t>
  </si>
  <si>
    <t>NDU 552行: ElementInfo167=3,0,0,0,167,168,142,0, , , ,0,0,167</t>
  </si>
  <si>
    <t>NDU 553行: ElementInfo168=3,0,0,0,168,169,143,0, , , ,0,0,168</t>
  </si>
  <si>
    <t>NDU 554行: ElementInfo169=3,0,0,0,169,170,144,0, , , ,0,0,169</t>
  </si>
  <si>
    <t>NDU 555行: ElementInfo170=3,0,0,0,170,171,145,0, , , ,0,0,170</t>
  </si>
  <si>
    <t>NDU 556行: ElementInfo171=3,0,0,0,171,172,146,0, , , ,0,0,171</t>
  </si>
  <si>
    <t>支点数・ケース行の構造変更</t>
  </si>
  <si>
    <t>構造変更なし</t>
  </si>
</sst>
</file>

<file path=xl/styles.xml><?xml version="1.0" encoding="utf-8"?>
<styleSheet xmlns="http://schemas.openxmlformats.org/spreadsheetml/2006/main">
  <numFmts count="3">
    <numFmt numFmtId="164" formatCode="#,##0.###"/>
    <numFmt numFmtId="165" formatCode="0.000######"/>
    <numFmt numFmtId="166" formatCode="0.000000"/>
  </numFmts>
  <fonts count="8">
    <font>
      <sz val="11"/>
      <color theme="1"/>
      <name val="Calibri"/>
      <family val="2"/>
      <scheme val="minor"/>
    </font>
    <font>
      <b/>
      <sz val="16"/>
      <color rgb="FF202B3C"/>
      <name val="Yu Gothic"/>
      <family val="2"/>
    </font>
    <font>
      <sz val="10"/>
      <color rgb="FF526174"/>
      <name val="Yu Gothic"/>
      <family val="2"/>
    </font>
    <font>
      <b/>
      <sz val="10"/>
      <color rgb="FF202B3C"/>
      <name val="Yu Gothic"/>
      <family val="2"/>
    </font>
    <font>
      <b/>
      <sz val="10"/>
      <color rgb="FFFFFFFF"/>
      <name val="Yu Gothic"/>
      <family val="2"/>
    </font>
    <font>
      <u/>
      <sz val="10"/>
      <color rgb="FF175CAD"/>
      <name val="Yu Gothic"/>
      <family val="2"/>
    </font>
    <font>
      <sz val="10"/>
      <color rgb="FF202B3C"/>
      <name val="Yu Gothic"/>
      <family val="2"/>
    </font>
    <font>
      <sz val="10"/>
      <color rgb="FF175CAD"/>
      <name val="Yu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E6EDF5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FFF2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6" fillId="4" borderId="0" xfId="0" applyNumberFormat="1" applyFont="1" applyFill="1" applyAlignment="1">
      <alignment vertical="center" wrapText="1"/>
    </xf>
    <xf numFmtId="165" fontId="7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vertical="center" wrapText="1"/>
    </xf>
  </cellXfs>
  <cellStyles count="1">
    <cellStyle name="Normal" xfId="0" builtinId="0"/>
  </cellStyles>
  <dxfs count="1">
    <dxf>
      <font>
        <color rgb="FFB42318"/>
      </font>
      <fill>
        <patternFill>
          <bgColor rgb="FFFDE5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05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1" width="18.7109375" customWidth="1"/>
    <col min="2" max="3" width="7.7109375" customWidth="1"/>
    <col min="4" max="5" width="9.7109375" customWidth="1"/>
    <col min="6" max="8" width="10.7109375" customWidth="1"/>
    <col min="9" max="9" width="13.7109375" customWidth="1"/>
    <col min="10" max="10" width="16.7109375" customWidth="1"/>
    <col min="11" max="11" width="11.7109375" customWidth="1"/>
    <col min="12" max="12" width="10.7109375" customWidth="1"/>
  </cols>
  <sheetData>
    <row r="1" spans="1:12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4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4" customHeight="1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3" customHeight="1"/>
    <row r="9" spans="1:12" ht="24" customHeight="1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36" customHeight="1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spans="1:12" ht="23" customHeight="1">
      <c r="A11" s="5" t="s">
        <v>19</v>
      </c>
      <c r="B11" s="6">
        <v>4</v>
      </c>
      <c r="C11" s="6">
        <v>1</v>
      </c>
      <c r="D11" s="6" t="s">
        <v>20</v>
      </c>
      <c r="E11" s="6">
        <v>98</v>
      </c>
      <c r="F11" s="6"/>
      <c r="G11" s="6">
        <v>656</v>
      </c>
      <c r="H11" s="6">
        <v>2</v>
      </c>
      <c r="I11" s="6" t="s">
        <v>21</v>
      </c>
      <c r="J11" s="7">
        <v>58812</v>
      </c>
      <c r="K11" s="6" t="s">
        <v>22</v>
      </c>
      <c r="L11" s="6" t="s">
        <v>23</v>
      </c>
    </row>
    <row r="12" spans="1:12" ht="23" customHeight="1">
      <c r="A12" s="5" t="s">
        <v>19</v>
      </c>
      <c r="B12" s="6">
        <v>4</v>
      </c>
      <c r="C12" s="6">
        <v>1</v>
      </c>
      <c r="D12" s="6" t="s">
        <v>20</v>
      </c>
      <c r="E12" s="6">
        <v>99</v>
      </c>
      <c r="F12" s="6"/>
      <c r="G12" s="6">
        <v>657</v>
      </c>
      <c r="H12" s="6">
        <v>2</v>
      </c>
      <c r="I12" s="6" t="s">
        <v>21</v>
      </c>
      <c r="J12" s="7">
        <v>272086</v>
      </c>
      <c r="K12" s="6" t="s">
        <v>22</v>
      </c>
      <c r="L12" s="6" t="s">
        <v>24</v>
      </c>
    </row>
    <row r="13" spans="1:12" ht="23" customHeight="1">
      <c r="A13" s="5" t="s">
        <v>19</v>
      </c>
      <c r="B13" s="6">
        <v>4</v>
      </c>
      <c r="C13" s="6">
        <v>1</v>
      </c>
      <c r="D13" s="6" t="s">
        <v>20</v>
      </c>
      <c r="E13" s="6">
        <v>100</v>
      </c>
      <c r="F13" s="6"/>
      <c r="G13" s="6">
        <v>658</v>
      </c>
      <c r="H13" s="6">
        <v>2</v>
      </c>
      <c r="I13" s="6" t="s">
        <v>21</v>
      </c>
      <c r="J13" s="7">
        <v>141501</v>
      </c>
      <c r="K13" s="6" t="s">
        <v>22</v>
      </c>
      <c r="L13" s="6" t="s">
        <v>24</v>
      </c>
    </row>
    <row r="14" spans="1:12" ht="23" customHeight="1">
      <c r="A14" s="5" t="s">
        <v>19</v>
      </c>
      <c r="B14" s="6">
        <v>4</v>
      </c>
      <c r="C14" s="6">
        <v>1</v>
      </c>
      <c r="D14" s="6" t="s">
        <v>20</v>
      </c>
      <c r="E14" s="6">
        <v>101</v>
      </c>
      <c r="F14" s="6"/>
      <c r="G14" s="6">
        <v>659</v>
      </c>
      <c r="H14" s="6">
        <v>2</v>
      </c>
      <c r="I14" s="6" t="s">
        <v>21</v>
      </c>
      <c r="J14" s="7">
        <v>110708</v>
      </c>
      <c r="K14" s="6" t="s">
        <v>22</v>
      </c>
      <c r="L14" s="6" t="s">
        <v>24</v>
      </c>
    </row>
    <row r="15" spans="1:12" ht="23" customHeight="1">
      <c r="A15" s="5" t="s">
        <v>19</v>
      </c>
      <c r="B15" s="6">
        <v>4</v>
      </c>
      <c r="C15" s="6">
        <v>1</v>
      </c>
      <c r="D15" s="6" t="s">
        <v>20</v>
      </c>
      <c r="E15" s="6">
        <v>102</v>
      </c>
      <c r="F15" s="6"/>
      <c r="G15" s="6">
        <v>660</v>
      </c>
      <c r="H15" s="6">
        <v>2</v>
      </c>
      <c r="I15" s="6" t="s">
        <v>21</v>
      </c>
      <c r="J15" s="7">
        <v>208029</v>
      </c>
      <c r="K15" s="6" t="s">
        <v>22</v>
      </c>
      <c r="L15" s="6" t="s">
        <v>24</v>
      </c>
    </row>
    <row r="16" spans="1:12" ht="23" customHeight="1">
      <c r="A16" s="5" t="s">
        <v>19</v>
      </c>
      <c r="B16" s="6">
        <v>4</v>
      </c>
      <c r="C16" s="6">
        <v>1</v>
      </c>
      <c r="D16" s="6" t="s">
        <v>20</v>
      </c>
      <c r="E16" s="6">
        <v>103</v>
      </c>
      <c r="F16" s="6"/>
      <c r="G16" s="6">
        <v>661</v>
      </c>
      <c r="H16" s="6">
        <v>2</v>
      </c>
      <c r="I16" s="6" t="s">
        <v>21</v>
      </c>
      <c r="J16" s="7">
        <v>268854</v>
      </c>
      <c r="K16" s="6" t="s">
        <v>22</v>
      </c>
      <c r="L16" s="6" t="s">
        <v>23</v>
      </c>
    </row>
    <row r="17" spans="1:12" ht="23" customHeight="1">
      <c r="A17" s="5" t="s">
        <v>19</v>
      </c>
      <c r="B17" s="6">
        <v>4</v>
      </c>
      <c r="C17" s="6">
        <v>1</v>
      </c>
      <c r="D17" s="6" t="s">
        <v>20</v>
      </c>
      <c r="E17" s="6">
        <v>104</v>
      </c>
      <c r="F17" s="6"/>
      <c r="G17" s="6">
        <v>662</v>
      </c>
      <c r="H17" s="6">
        <v>2</v>
      </c>
      <c r="I17" s="6" t="s">
        <v>21</v>
      </c>
      <c r="J17" s="7">
        <v>363440</v>
      </c>
      <c r="K17" s="6" t="s">
        <v>22</v>
      </c>
      <c r="L17" s="6" t="s">
        <v>23</v>
      </c>
    </row>
    <row r="18" spans="1:12" ht="23" customHeight="1">
      <c r="A18" s="5" t="s">
        <v>19</v>
      </c>
      <c r="B18" s="6">
        <v>4</v>
      </c>
      <c r="C18" s="6">
        <v>1</v>
      </c>
      <c r="D18" s="6" t="s">
        <v>20</v>
      </c>
      <c r="E18" s="6">
        <v>105</v>
      </c>
      <c r="F18" s="6"/>
      <c r="G18" s="6">
        <v>663</v>
      </c>
      <c r="H18" s="6">
        <v>2</v>
      </c>
      <c r="I18" s="6" t="s">
        <v>21</v>
      </c>
      <c r="J18" s="7">
        <v>403280</v>
      </c>
      <c r="K18" s="6" t="s">
        <v>22</v>
      </c>
      <c r="L18" s="6" t="s">
        <v>23</v>
      </c>
    </row>
    <row r="19" spans="1:12" ht="23" customHeight="1">
      <c r="A19" s="5" t="s">
        <v>19</v>
      </c>
      <c r="B19" s="6">
        <v>4</v>
      </c>
      <c r="C19" s="6">
        <v>1</v>
      </c>
      <c r="D19" s="6" t="s">
        <v>20</v>
      </c>
      <c r="E19" s="6">
        <v>106</v>
      </c>
      <c r="F19" s="6"/>
      <c r="G19" s="6">
        <v>664</v>
      </c>
      <c r="H19" s="6">
        <v>2</v>
      </c>
      <c r="I19" s="6" t="s">
        <v>21</v>
      </c>
      <c r="J19" s="7">
        <v>403280</v>
      </c>
      <c r="K19" s="6" t="s">
        <v>22</v>
      </c>
      <c r="L19" s="6" t="s">
        <v>23</v>
      </c>
    </row>
    <row r="20" spans="1:12" ht="23" customHeight="1">
      <c r="A20" s="5" t="s">
        <v>19</v>
      </c>
      <c r="B20" s="6">
        <v>4</v>
      </c>
      <c r="C20" s="6">
        <v>1</v>
      </c>
      <c r="D20" s="6" t="s">
        <v>20</v>
      </c>
      <c r="E20" s="6">
        <v>107</v>
      </c>
      <c r="F20" s="6"/>
      <c r="G20" s="6">
        <v>665</v>
      </c>
      <c r="H20" s="6">
        <v>2</v>
      </c>
      <c r="I20" s="6" t="s">
        <v>21</v>
      </c>
      <c r="J20" s="7">
        <v>403280</v>
      </c>
      <c r="K20" s="6" t="s">
        <v>22</v>
      </c>
      <c r="L20" s="6" t="s">
        <v>23</v>
      </c>
    </row>
    <row r="21" spans="1:12" ht="23" customHeight="1">
      <c r="A21" s="5" t="s">
        <v>19</v>
      </c>
      <c r="B21" s="6">
        <v>4</v>
      </c>
      <c r="C21" s="6">
        <v>1</v>
      </c>
      <c r="D21" s="6" t="s">
        <v>20</v>
      </c>
      <c r="E21" s="6">
        <v>108</v>
      </c>
      <c r="F21" s="6"/>
      <c r="G21" s="6">
        <v>666</v>
      </c>
      <c r="H21" s="6">
        <v>2</v>
      </c>
      <c r="I21" s="6" t="s">
        <v>21</v>
      </c>
      <c r="J21" s="7">
        <v>403280</v>
      </c>
      <c r="K21" s="6" t="s">
        <v>22</v>
      </c>
      <c r="L21" s="6" t="s">
        <v>23</v>
      </c>
    </row>
    <row r="22" spans="1:12" ht="23" customHeight="1">
      <c r="A22" s="5" t="s">
        <v>19</v>
      </c>
      <c r="B22" s="6">
        <v>4</v>
      </c>
      <c r="C22" s="6">
        <v>1</v>
      </c>
      <c r="D22" s="6" t="s">
        <v>20</v>
      </c>
      <c r="E22" s="6">
        <v>109</v>
      </c>
      <c r="F22" s="6"/>
      <c r="G22" s="6">
        <v>667</v>
      </c>
      <c r="H22" s="6">
        <v>2</v>
      </c>
      <c r="I22" s="6" t="s">
        <v>21</v>
      </c>
      <c r="J22" s="7">
        <v>403280</v>
      </c>
      <c r="K22" s="6" t="s">
        <v>22</v>
      </c>
      <c r="L22" s="6" t="s">
        <v>23</v>
      </c>
    </row>
    <row r="23" spans="1:12" ht="23" customHeight="1">
      <c r="A23" s="5" t="s">
        <v>19</v>
      </c>
      <c r="B23" s="6">
        <v>4</v>
      </c>
      <c r="C23" s="6">
        <v>1</v>
      </c>
      <c r="D23" s="6" t="s">
        <v>20</v>
      </c>
      <c r="E23" s="6">
        <v>110</v>
      </c>
      <c r="F23" s="6"/>
      <c r="G23" s="6">
        <v>668</v>
      </c>
      <c r="H23" s="6">
        <v>2</v>
      </c>
      <c r="I23" s="6" t="s">
        <v>21</v>
      </c>
      <c r="J23" s="7">
        <v>403280</v>
      </c>
      <c r="K23" s="6" t="s">
        <v>22</v>
      </c>
      <c r="L23" s="6" t="s">
        <v>23</v>
      </c>
    </row>
    <row r="24" spans="1:12" ht="23" customHeight="1">
      <c r="A24" s="5" t="s">
        <v>19</v>
      </c>
      <c r="B24" s="6">
        <v>4</v>
      </c>
      <c r="C24" s="6">
        <v>1</v>
      </c>
      <c r="D24" s="6" t="s">
        <v>20</v>
      </c>
      <c r="E24" s="6">
        <v>111</v>
      </c>
      <c r="F24" s="6"/>
      <c r="G24" s="6">
        <v>669</v>
      </c>
      <c r="H24" s="6">
        <v>2</v>
      </c>
      <c r="I24" s="6" t="s">
        <v>21</v>
      </c>
      <c r="J24" s="7">
        <v>403280</v>
      </c>
      <c r="K24" s="6" t="s">
        <v>22</v>
      </c>
      <c r="L24" s="6" t="s">
        <v>23</v>
      </c>
    </row>
    <row r="25" spans="1:12" ht="23" customHeight="1">
      <c r="A25" s="5" t="s">
        <v>19</v>
      </c>
      <c r="B25" s="6">
        <v>4</v>
      </c>
      <c r="C25" s="6">
        <v>1</v>
      </c>
      <c r="D25" s="6" t="s">
        <v>20</v>
      </c>
      <c r="E25" s="6">
        <v>112</v>
      </c>
      <c r="F25" s="6"/>
      <c r="G25" s="6">
        <v>670</v>
      </c>
      <c r="H25" s="6">
        <v>2</v>
      </c>
      <c r="I25" s="6" t="s">
        <v>21</v>
      </c>
      <c r="J25" s="7">
        <v>225971</v>
      </c>
      <c r="K25" s="6" t="s">
        <v>22</v>
      </c>
      <c r="L25" s="6" t="s">
        <v>23</v>
      </c>
    </row>
    <row r="26" spans="1:12" ht="23" customHeight="1">
      <c r="A26" s="5" t="s">
        <v>19</v>
      </c>
      <c r="B26" s="6">
        <v>4</v>
      </c>
      <c r="C26" s="6">
        <v>1</v>
      </c>
      <c r="D26" s="6" t="s">
        <v>20</v>
      </c>
      <c r="E26" s="6">
        <v>113</v>
      </c>
      <c r="F26" s="6"/>
      <c r="G26" s="6">
        <v>671</v>
      </c>
      <c r="H26" s="6">
        <v>2</v>
      </c>
      <c r="I26" s="6" t="s">
        <v>21</v>
      </c>
      <c r="J26" s="7">
        <v>193733</v>
      </c>
      <c r="K26" s="6" t="s">
        <v>22</v>
      </c>
      <c r="L26" s="6" t="s">
        <v>23</v>
      </c>
    </row>
    <row r="27" spans="1:12" ht="23" customHeight="1">
      <c r="A27" s="5" t="s">
        <v>19</v>
      </c>
      <c r="B27" s="6">
        <v>4</v>
      </c>
      <c r="C27" s="6">
        <v>1</v>
      </c>
      <c r="D27" s="6" t="s">
        <v>20</v>
      </c>
      <c r="E27" s="6">
        <v>114</v>
      </c>
      <c r="F27" s="6"/>
      <c r="G27" s="6">
        <v>672</v>
      </c>
      <c r="H27" s="6">
        <v>2</v>
      </c>
      <c r="I27" s="6" t="s">
        <v>21</v>
      </c>
      <c r="J27" s="7">
        <v>193733</v>
      </c>
      <c r="K27" s="6" t="s">
        <v>22</v>
      </c>
      <c r="L27" s="6" t="s">
        <v>23</v>
      </c>
    </row>
    <row r="28" spans="1:12" ht="23" customHeight="1">
      <c r="A28" s="5" t="s">
        <v>19</v>
      </c>
      <c r="B28" s="6">
        <v>4</v>
      </c>
      <c r="C28" s="6">
        <v>1</v>
      </c>
      <c r="D28" s="6" t="s">
        <v>20</v>
      </c>
      <c r="E28" s="6">
        <v>115</v>
      </c>
      <c r="F28" s="6"/>
      <c r="G28" s="6">
        <v>673</v>
      </c>
      <c r="H28" s="6">
        <v>2</v>
      </c>
      <c r="I28" s="6" t="s">
        <v>21</v>
      </c>
      <c r="J28" s="7">
        <v>193733</v>
      </c>
      <c r="K28" s="6" t="s">
        <v>22</v>
      </c>
      <c r="L28" s="6" t="s">
        <v>23</v>
      </c>
    </row>
    <row r="29" spans="1:12" ht="23" customHeight="1">
      <c r="A29" s="5" t="s">
        <v>19</v>
      </c>
      <c r="B29" s="6">
        <v>4</v>
      </c>
      <c r="C29" s="6">
        <v>1</v>
      </c>
      <c r="D29" s="6" t="s">
        <v>20</v>
      </c>
      <c r="E29" s="6">
        <v>116</v>
      </c>
      <c r="F29" s="6"/>
      <c r="G29" s="6">
        <v>674</v>
      </c>
      <c r="H29" s="6">
        <v>2</v>
      </c>
      <c r="I29" s="6" t="s">
        <v>21</v>
      </c>
      <c r="J29" s="7">
        <v>193733</v>
      </c>
      <c r="K29" s="6" t="s">
        <v>22</v>
      </c>
      <c r="L29" s="6" t="s">
        <v>23</v>
      </c>
    </row>
    <row r="30" spans="1:12" ht="23" customHeight="1">
      <c r="A30" s="5" t="s">
        <v>19</v>
      </c>
      <c r="B30" s="6">
        <v>4</v>
      </c>
      <c r="C30" s="6">
        <v>1</v>
      </c>
      <c r="D30" s="6" t="s">
        <v>20</v>
      </c>
      <c r="E30" s="6">
        <v>117</v>
      </c>
      <c r="F30" s="6"/>
      <c r="G30" s="6">
        <v>675</v>
      </c>
      <c r="H30" s="6">
        <v>2</v>
      </c>
      <c r="I30" s="6" t="s">
        <v>21</v>
      </c>
      <c r="J30" s="7">
        <v>193733</v>
      </c>
      <c r="K30" s="6" t="s">
        <v>22</v>
      </c>
      <c r="L30" s="6" t="s">
        <v>23</v>
      </c>
    </row>
    <row r="31" spans="1:12" ht="23" customHeight="1">
      <c r="A31" s="5" t="s">
        <v>19</v>
      </c>
      <c r="B31" s="6">
        <v>4</v>
      </c>
      <c r="C31" s="6">
        <v>1</v>
      </c>
      <c r="D31" s="6" t="s">
        <v>20</v>
      </c>
      <c r="E31" s="6">
        <v>118</v>
      </c>
      <c r="F31" s="6"/>
      <c r="G31" s="6">
        <v>676</v>
      </c>
      <c r="H31" s="6">
        <v>2</v>
      </c>
      <c r="I31" s="6" t="s">
        <v>21</v>
      </c>
      <c r="J31" s="7">
        <v>193733</v>
      </c>
      <c r="K31" s="6" t="s">
        <v>22</v>
      </c>
      <c r="L31" s="6" t="s">
        <v>23</v>
      </c>
    </row>
    <row r="32" spans="1:12" ht="23" customHeight="1">
      <c r="A32" s="5" t="s">
        <v>19</v>
      </c>
      <c r="B32" s="6">
        <v>4</v>
      </c>
      <c r="C32" s="6">
        <v>1</v>
      </c>
      <c r="D32" s="6" t="s">
        <v>20</v>
      </c>
      <c r="E32" s="6">
        <v>119</v>
      </c>
      <c r="F32" s="6"/>
      <c r="G32" s="6">
        <v>677</v>
      </c>
      <c r="H32" s="6">
        <v>2</v>
      </c>
      <c r="I32" s="6" t="s">
        <v>21</v>
      </c>
      <c r="J32" s="7">
        <v>193733</v>
      </c>
      <c r="K32" s="6" t="s">
        <v>22</v>
      </c>
      <c r="L32" s="6" t="s">
        <v>23</v>
      </c>
    </row>
    <row r="33" spans="1:12" ht="23" customHeight="1">
      <c r="A33" s="5" t="s">
        <v>19</v>
      </c>
      <c r="B33" s="6">
        <v>4</v>
      </c>
      <c r="C33" s="6">
        <v>1</v>
      </c>
      <c r="D33" s="6" t="s">
        <v>20</v>
      </c>
      <c r="E33" s="6">
        <v>120</v>
      </c>
      <c r="F33" s="6"/>
      <c r="G33" s="6">
        <v>678</v>
      </c>
      <c r="H33" s="6">
        <v>2</v>
      </c>
      <c r="I33" s="6" t="s">
        <v>21</v>
      </c>
      <c r="J33" s="7">
        <v>193733</v>
      </c>
      <c r="K33" s="6" t="s">
        <v>22</v>
      </c>
      <c r="L33" s="6" t="s">
        <v>23</v>
      </c>
    </row>
    <row r="34" spans="1:12" ht="23" customHeight="1">
      <c r="A34" s="5" t="s">
        <v>19</v>
      </c>
      <c r="B34" s="6">
        <v>4</v>
      </c>
      <c r="C34" s="6">
        <v>1</v>
      </c>
      <c r="D34" s="6" t="s">
        <v>20</v>
      </c>
      <c r="E34" s="6">
        <v>121</v>
      </c>
      <c r="F34" s="6"/>
      <c r="G34" s="6">
        <v>679</v>
      </c>
      <c r="H34" s="6">
        <v>2</v>
      </c>
      <c r="I34" s="6" t="s">
        <v>21</v>
      </c>
      <c r="J34" s="7">
        <v>193733</v>
      </c>
      <c r="K34" s="6" t="s">
        <v>22</v>
      </c>
      <c r="L34" s="6" t="s">
        <v>23</v>
      </c>
    </row>
    <row r="35" spans="1:12" ht="23" customHeight="1">
      <c r="A35" s="5" t="s">
        <v>19</v>
      </c>
      <c r="B35" s="6">
        <v>5</v>
      </c>
      <c r="C35" s="6">
        <v>2</v>
      </c>
      <c r="D35" s="6" t="s">
        <v>20</v>
      </c>
      <c r="E35" s="6">
        <v>123</v>
      </c>
      <c r="F35" s="6"/>
      <c r="G35" s="6">
        <v>681</v>
      </c>
      <c r="H35" s="6">
        <v>2</v>
      </c>
      <c r="I35" s="6" t="s">
        <v>21</v>
      </c>
      <c r="J35" s="7">
        <v>39208</v>
      </c>
      <c r="K35" s="6" t="s">
        <v>22</v>
      </c>
      <c r="L35" s="6" t="s">
        <v>23</v>
      </c>
    </row>
    <row r="36" spans="1:12" ht="23" customHeight="1">
      <c r="A36" s="5" t="s">
        <v>19</v>
      </c>
      <c r="B36" s="6">
        <v>5</v>
      </c>
      <c r="C36" s="6">
        <v>2</v>
      </c>
      <c r="D36" s="6" t="s">
        <v>20</v>
      </c>
      <c r="E36" s="6">
        <v>124</v>
      </c>
      <c r="F36" s="6"/>
      <c r="G36" s="6">
        <v>682</v>
      </c>
      <c r="H36" s="6">
        <v>2</v>
      </c>
      <c r="I36" s="6" t="s">
        <v>21</v>
      </c>
      <c r="J36" s="7">
        <v>181391</v>
      </c>
      <c r="K36" s="6" t="s">
        <v>22</v>
      </c>
      <c r="L36" s="6" t="s">
        <v>24</v>
      </c>
    </row>
    <row r="37" spans="1:12" ht="23" customHeight="1">
      <c r="A37" s="5" t="s">
        <v>19</v>
      </c>
      <c r="B37" s="6">
        <v>5</v>
      </c>
      <c r="C37" s="6">
        <v>2</v>
      </c>
      <c r="D37" s="6" t="s">
        <v>20</v>
      </c>
      <c r="E37" s="6">
        <v>125</v>
      </c>
      <c r="F37" s="6"/>
      <c r="G37" s="6">
        <v>683</v>
      </c>
      <c r="H37" s="6">
        <v>2</v>
      </c>
      <c r="I37" s="6" t="s">
        <v>21</v>
      </c>
      <c r="J37" s="7">
        <v>94334</v>
      </c>
      <c r="K37" s="6" t="s">
        <v>22</v>
      </c>
      <c r="L37" s="6" t="s">
        <v>24</v>
      </c>
    </row>
    <row r="38" spans="1:12" ht="23" customHeight="1">
      <c r="A38" s="5" t="s">
        <v>19</v>
      </c>
      <c r="B38" s="6">
        <v>5</v>
      </c>
      <c r="C38" s="6">
        <v>2</v>
      </c>
      <c r="D38" s="6" t="s">
        <v>20</v>
      </c>
      <c r="E38" s="6">
        <v>126</v>
      </c>
      <c r="F38" s="6"/>
      <c r="G38" s="6">
        <v>684</v>
      </c>
      <c r="H38" s="6">
        <v>2</v>
      </c>
      <c r="I38" s="6" t="s">
        <v>21</v>
      </c>
      <c r="J38" s="7">
        <v>73805</v>
      </c>
      <c r="K38" s="6" t="s">
        <v>22</v>
      </c>
      <c r="L38" s="6" t="s">
        <v>24</v>
      </c>
    </row>
    <row r="39" spans="1:12" ht="23" customHeight="1">
      <c r="A39" s="5" t="s">
        <v>19</v>
      </c>
      <c r="B39" s="6">
        <v>5</v>
      </c>
      <c r="C39" s="6">
        <v>2</v>
      </c>
      <c r="D39" s="6" t="s">
        <v>20</v>
      </c>
      <c r="E39" s="6">
        <v>127</v>
      </c>
      <c r="F39" s="6"/>
      <c r="G39" s="6">
        <v>685</v>
      </c>
      <c r="H39" s="6">
        <v>2</v>
      </c>
      <c r="I39" s="6" t="s">
        <v>21</v>
      </c>
      <c r="J39" s="7">
        <v>138686</v>
      </c>
      <c r="K39" s="6" t="s">
        <v>22</v>
      </c>
      <c r="L39" s="6" t="s">
        <v>24</v>
      </c>
    </row>
    <row r="40" spans="1:12" ht="23" customHeight="1">
      <c r="A40" s="5" t="s">
        <v>19</v>
      </c>
      <c r="B40" s="6">
        <v>5</v>
      </c>
      <c r="C40" s="6">
        <v>2</v>
      </c>
      <c r="D40" s="6" t="s">
        <v>20</v>
      </c>
      <c r="E40" s="6">
        <v>128</v>
      </c>
      <c r="F40" s="6"/>
      <c r="G40" s="6">
        <v>686</v>
      </c>
      <c r="H40" s="6">
        <v>2</v>
      </c>
      <c r="I40" s="6" t="s">
        <v>21</v>
      </c>
      <c r="J40" s="7">
        <v>179236</v>
      </c>
      <c r="K40" s="6" t="s">
        <v>22</v>
      </c>
      <c r="L40" s="6" t="s">
        <v>23</v>
      </c>
    </row>
    <row r="41" spans="1:12" ht="23" customHeight="1">
      <c r="A41" s="5" t="s">
        <v>19</v>
      </c>
      <c r="B41" s="6">
        <v>5</v>
      </c>
      <c r="C41" s="6">
        <v>2</v>
      </c>
      <c r="D41" s="6" t="s">
        <v>20</v>
      </c>
      <c r="E41" s="6">
        <v>129</v>
      </c>
      <c r="F41" s="6"/>
      <c r="G41" s="6">
        <v>687</v>
      </c>
      <c r="H41" s="6">
        <v>2</v>
      </c>
      <c r="I41" s="6" t="s">
        <v>21</v>
      </c>
      <c r="J41" s="7">
        <v>242293</v>
      </c>
      <c r="K41" s="6" t="s">
        <v>22</v>
      </c>
      <c r="L41" s="6" t="s">
        <v>23</v>
      </c>
    </row>
    <row r="42" spans="1:12" ht="23" customHeight="1">
      <c r="A42" s="5" t="s">
        <v>19</v>
      </c>
      <c r="B42" s="6">
        <v>5</v>
      </c>
      <c r="C42" s="6">
        <v>2</v>
      </c>
      <c r="D42" s="6" t="s">
        <v>20</v>
      </c>
      <c r="E42" s="6">
        <v>130</v>
      </c>
      <c r="F42" s="6"/>
      <c r="G42" s="6">
        <v>688</v>
      </c>
      <c r="H42" s="6">
        <v>2</v>
      </c>
      <c r="I42" s="6" t="s">
        <v>21</v>
      </c>
      <c r="J42" s="7">
        <v>268854</v>
      </c>
      <c r="K42" s="6" t="s">
        <v>22</v>
      </c>
      <c r="L42" s="6" t="s">
        <v>24</v>
      </c>
    </row>
    <row r="43" spans="1:12" ht="23" customHeight="1">
      <c r="A43" s="5" t="s">
        <v>19</v>
      </c>
      <c r="B43" s="6">
        <v>5</v>
      </c>
      <c r="C43" s="6">
        <v>2</v>
      </c>
      <c r="D43" s="6" t="s">
        <v>20</v>
      </c>
      <c r="E43" s="6">
        <v>131</v>
      </c>
      <c r="F43" s="6"/>
      <c r="G43" s="6">
        <v>689</v>
      </c>
      <c r="H43" s="6">
        <v>2</v>
      </c>
      <c r="I43" s="6" t="s">
        <v>21</v>
      </c>
      <c r="J43" s="7">
        <v>268854</v>
      </c>
      <c r="K43" s="6" t="s">
        <v>22</v>
      </c>
      <c r="L43" s="6" t="s">
        <v>24</v>
      </c>
    </row>
    <row r="44" spans="1:12" ht="23" customHeight="1">
      <c r="A44" s="5" t="s">
        <v>19</v>
      </c>
      <c r="B44" s="6">
        <v>5</v>
      </c>
      <c r="C44" s="6">
        <v>2</v>
      </c>
      <c r="D44" s="6" t="s">
        <v>20</v>
      </c>
      <c r="E44" s="6">
        <v>132</v>
      </c>
      <c r="F44" s="6"/>
      <c r="G44" s="6">
        <v>690</v>
      </c>
      <c r="H44" s="6">
        <v>2</v>
      </c>
      <c r="I44" s="6" t="s">
        <v>21</v>
      </c>
      <c r="J44" s="7">
        <v>268854</v>
      </c>
      <c r="K44" s="6" t="s">
        <v>22</v>
      </c>
      <c r="L44" s="6" t="s">
        <v>24</v>
      </c>
    </row>
    <row r="45" spans="1:12" ht="23" customHeight="1">
      <c r="A45" s="5" t="s">
        <v>19</v>
      </c>
      <c r="B45" s="6">
        <v>5</v>
      </c>
      <c r="C45" s="6">
        <v>2</v>
      </c>
      <c r="D45" s="6" t="s">
        <v>20</v>
      </c>
      <c r="E45" s="6">
        <v>133</v>
      </c>
      <c r="F45" s="6"/>
      <c r="G45" s="6">
        <v>691</v>
      </c>
      <c r="H45" s="6">
        <v>2</v>
      </c>
      <c r="I45" s="6" t="s">
        <v>21</v>
      </c>
      <c r="J45" s="7">
        <v>268854</v>
      </c>
      <c r="K45" s="6" t="s">
        <v>22</v>
      </c>
      <c r="L45" s="6" t="s">
        <v>24</v>
      </c>
    </row>
    <row r="46" spans="1:12" ht="23" customHeight="1">
      <c r="A46" s="5" t="s">
        <v>19</v>
      </c>
      <c r="B46" s="6">
        <v>5</v>
      </c>
      <c r="C46" s="6">
        <v>2</v>
      </c>
      <c r="D46" s="6" t="s">
        <v>20</v>
      </c>
      <c r="E46" s="6">
        <v>134</v>
      </c>
      <c r="F46" s="6"/>
      <c r="G46" s="6">
        <v>692</v>
      </c>
      <c r="H46" s="6">
        <v>2</v>
      </c>
      <c r="I46" s="6" t="s">
        <v>21</v>
      </c>
      <c r="J46" s="7">
        <v>268854</v>
      </c>
      <c r="K46" s="6" t="s">
        <v>22</v>
      </c>
      <c r="L46" s="6" t="s">
        <v>24</v>
      </c>
    </row>
    <row r="47" spans="1:12" ht="23" customHeight="1">
      <c r="A47" s="5" t="s">
        <v>19</v>
      </c>
      <c r="B47" s="6">
        <v>5</v>
      </c>
      <c r="C47" s="6">
        <v>2</v>
      </c>
      <c r="D47" s="6" t="s">
        <v>20</v>
      </c>
      <c r="E47" s="6">
        <v>135</v>
      </c>
      <c r="F47" s="6"/>
      <c r="G47" s="6">
        <v>693</v>
      </c>
      <c r="H47" s="6">
        <v>2</v>
      </c>
      <c r="I47" s="6" t="s">
        <v>21</v>
      </c>
      <c r="J47" s="7">
        <v>268854</v>
      </c>
      <c r="K47" s="6" t="s">
        <v>22</v>
      </c>
      <c r="L47" s="6" t="s">
        <v>24</v>
      </c>
    </row>
    <row r="48" spans="1:12" ht="23" customHeight="1">
      <c r="A48" s="5" t="s">
        <v>19</v>
      </c>
      <c r="B48" s="6">
        <v>5</v>
      </c>
      <c r="C48" s="6">
        <v>2</v>
      </c>
      <c r="D48" s="6" t="s">
        <v>20</v>
      </c>
      <c r="E48" s="6">
        <v>136</v>
      </c>
      <c r="F48" s="6"/>
      <c r="G48" s="6">
        <v>694</v>
      </c>
      <c r="H48" s="6">
        <v>2</v>
      </c>
      <c r="I48" s="6" t="s">
        <v>21</v>
      </c>
      <c r="J48" s="7">
        <v>268854</v>
      </c>
      <c r="K48" s="6" t="s">
        <v>22</v>
      </c>
      <c r="L48" s="6" t="s">
        <v>24</v>
      </c>
    </row>
    <row r="49" spans="1:12" ht="23" customHeight="1">
      <c r="A49" s="5" t="s">
        <v>19</v>
      </c>
      <c r="B49" s="6">
        <v>5</v>
      </c>
      <c r="C49" s="6">
        <v>2</v>
      </c>
      <c r="D49" s="6" t="s">
        <v>20</v>
      </c>
      <c r="E49" s="6">
        <v>137</v>
      </c>
      <c r="F49" s="6"/>
      <c r="G49" s="6">
        <v>695</v>
      </c>
      <c r="H49" s="6">
        <v>2</v>
      </c>
      <c r="I49" s="6" t="s">
        <v>21</v>
      </c>
      <c r="J49" s="7">
        <v>150647</v>
      </c>
      <c r="K49" s="6" t="s">
        <v>22</v>
      </c>
      <c r="L49" s="6" t="s">
        <v>23</v>
      </c>
    </row>
    <row r="50" spans="1:12" ht="23" customHeight="1">
      <c r="A50" s="5" t="s">
        <v>19</v>
      </c>
      <c r="B50" s="6">
        <v>5</v>
      </c>
      <c r="C50" s="6">
        <v>2</v>
      </c>
      <c r="D50" s="6" t="s">
        <v>20</v>
      </c>
      <c r="E50" s="6">
        <v>138</v>
      </c>
      <c r="F50" s="6"/>
      <c r="G50" s="6">
        <v>696</v>
      </c>
      <c r="H50" s="6">
        <v>2</v>
      </c>
      <c r="I50" s="6" t="s">
        <v>21</v>
      </c>
      <c r="J50" s="7">
        <v>129155</v>
      </c>
      <c r="K50" s="6" t="s">
        <v>22</v>
      </c>
      <c r="L50" s="6" t="s">
        <v>23</v>
      </c>
    </row>
    <row r="51" spans="1:12" ht="23" customHeight="1">
      <c r="A51" s="5" t="s">
        <v>19</v>
      </c>
      <c r="B51" s="6">
        <v>5</v>
      </c>
      <c r="C51" s="6">
        <v>2</v>
      </c>
      <c r="D51" s="6" t="s">
        <v>20</v>
      </c>
      <c r="E51" s="6">
        <v>139</v>
      </c>
      <c r="F51" s="6"/>
      <c r="G51" s="6">
        <v>697</v>
      </c>
      <c r="H51" s="6">
        <v>2</v>
      </c>
      <c r="I51" s="6" t="s">
        <v>21</v>
      </c>
      <c r="J51" s="7">
        <v>129155</v>
      </c>
      <c r="K51" s="6" t="s">
        <v>22</v>
      </c>
      <c r="L51" s="6" t="s">
        <v>23</v>
      </c>
    </row>
    <row r="52" spans="1:12" ht="23" customHeight="1">
      <c r="A52" s="5" t="s">
        <v>19</v>
      </c>
      <c r="B52" s="6">
        <v>5</v>
      </c>
      <c r="C52" s="6">
        <v>2</v>
      </c>
      <c r="D52" s="6" t="s">
        <v>20</v>
      </c>
      <c r="E52" s="6">
        <v>140</v>
      </c>
      <c r="F52" s="6"/>
      <c r="G52" s="6">
        <v>698</v>
      </c>
      <c r="H52" s="6">
        <v>2</v>
      </c>
      <c r="I52" s="6" t="s">
        <v>21</v>
      </c>
      <c r="J52" s="7">
        <v>129155</v>
      </c>
      <c r="K52" s="6" t="s">
        <v>22</v>
      </c>
      <c r="L52" s="6" t="s">
        <v>23</v>
      </c>
    </row>
    <row r="53" spans="1:12" ht="23" customHeight="1">
      <c r="A53" s="5" t="s">
        <v>19</v>
      </c>
      <c r="B53" s="6">
        <v>5</v>
      </c>
      <c r="C53" s="6">
        <v>2</v>
      </c>
      <c r="D53" s="6" t="s">
        <v>20</v>
      </c>
      <c r="E53" s="6">
        <v>141</v>
      </c>
      <c r="F53" s="6"/>
      <c r="G53" s="6">
        <v>699</v>
      </c>
      <c r="H53" s="6">
        <v>2</v>
      </c>
      <c r="I53" s="6" t="s">
        <v>21</v>
      </c>
      <c r="J53" s="7">
        <v>129155</v>
      </c>
      <c r="K53" s="6" t="s">
        <v>22</v>
      </c>
      <c r="L53" s="6" t="s">
        <v>23</v>
      </c>
    </row>
    <row r="54" spans="1:12" ht="23" customHeight="1">
      <c r="A54" s="5" t="s">
        <v>19</v>
      </c>
      <c r="B54" s="6">
        <v>5</v>
      </c>
      <c r="C54" s="6">
        <v>2</v>
      </c>
      <c r="D54" s="6" t="s">
        <v>20</v>
      </c>
      <c r="E54" s="6">
        <v>142</v>
      </c>
      <c r="F54" s="6"/>
      <c r="G54" s="6">
        <v>700</v>
      </c>
      <c r="H54" s="6">
        <v>2</v>
      </c>
      <c r="I54" s="6" t="s">
        <v>21</v>
      </c>
      <c r="J54" s="7">
        <v>129155</v>
      </c>
      <c r="K54" s="6" t="s">
        <v>22</v>
      </c>
      <c r="L54" s="6" t="s">
        <v>23</v>
      </c>
    </row>
    <row r="55" spans="1:12" ht="23" customHeight="1">
      <c r="A55" s="5" t="s">
        <v>19</v>
      </c>
      <c r="B55" s="6">
        <v>5</v>
      </c>
      <c r="C55" s="6">
        <v>2</v>
      </c>
      <c r="D55" s="6" t="s">
        <v>20</v>
      </c>
      <c r="E55" s="6">
        <v>143</v>
      </c>
      <c r="F55" s="6"/>
      <c r="G55" s="6">
        <v>701</v>
      </c>
      <c r="H55" s="6">
        <v>2</v>
      </c>
      <c r="I55" s="6" t="s">
        <v>21</v>
      </c>
      <c r="J55" s="7">
        <v>129155</v>
      </c>
      <c r="K55" s="6" t="s">
        <v>22</v>
      </c>
      <c r="L55" s="6" t="s">
        <v>23</v>
      </c>
    </row>
    <row r="56" spans="1:12" ht="23" customHeight="1">
      <c r="A56" s="5" t="s">
        <v>19</v>
      </c>
      <c r="B56" s="6">
        <v>5</v>
      </c>
      <c r="C56" s="6">
        <v>2</v>
      </c>
      <c r="D56" s="6" t="s">
        <v>20</v>
      </c>
      <c r="E56" s="6">
        <v>144</v>
      </c>
      <c r="F56" s="6"/>
      <c r="G56" s="6">
        <v>702</v>
      </c>
      <c r="H56" s="6">
        <v>2</v>
      </c>
      <c r="I56" s="6" t="s">
        <v>21</v>
      </c>
      <c r="J56" s="7">
        <v>129155</v>
      </c>
      <c r="K56" s="6" t="s">
        <v>22</v>
      </c>
      <c r="L56" s="6" t="s">
        <v>23</v>
      </c>
    </row>
    <row r="57" spans="1:12" ht="23" customHeight="1">
      <c r="A57" s="5" t="s">
        <v>19</v>
      </c>
      <c r="B57" s="6">
        <v>5</v>
      </c>
      <c r="C57" s="6">
        <v>2</v>
      </c>
      <c r="D57" s="6" t="s">
        <v>20</v>
      </c>
      <c r="E57" s="6">
        <v>145</v>
      </c>
      <c r="F57" s="6"/>
      <c r="G57" s="6">
        <v>703</v>
      </c>
      <c r="H57" s="6">
        <v>2</v>
      </c>
      <c r="I57" s="6" t="s">
        <v>21</v>
      </c>
      <c r="J57" s="7">
        <v>129155</v>
      </c>
      <c r="K57" s="6" t="s">
        <v>22</v>
      </c>
      <c r="L57" s="6" t="s">
        <v>23</v>
      </c>
    </row>
    <row r="58" spans="1:12" ht="23" customHeight="1">
      <c r="A58" s="5" t="s">
        <v>19</v>
      </c>
      <c r="B58" s="6">
        <v>5</v>
      </c>
      <c r="C58" s="6">
        <v>2</v>
      </c>
      <c r="D58" s="6" t="s">
        <v>20</v>
      </c>
      <c r="E58" s="6">
        <v>146</v>
      </c>
      <c r="F58" s="6"/>
      <c r="G58" s="6">
        <v>704</v>
      </c>
      <c r="H58" s="6">
        <v>2</v>
      </c>
      <c r="I58" s="6" t="s">
        <v>21</v>
      </c>
      <c r="J58" s="7">
        <v>129155</v>
      </c>
      <c r="K58" s="6" t="s">
        <v>22</v>
      </c>
      <c r="L58" s="6" t="s">
        <v>23</v>
      </c>
    </row>
    <row r="59" spans="1:12" ht="23" customHeight="1">
      <c r="A59" s="5" t="s">
        <v>19</v>
      </c>
      <c r="B59" s="6">
        <v>6</v>
      </c>
      <c r="C59" s="6">
        <v>3</v>
      </c>
      <c r="D59" s="6" t="s">
        <v>20</v>
      </c>
      <c r="E59" s="6">
        <v>148</v>
      </c>
      <c r="F59" s="6"/>
      <c r="G59" s="6">
        <v>706</v>
      </c>
      <c r="H59" s="6">
        <v>2</v>
      </c>
      <c r="I59" s="6" t="s">
        <v>21</v>
      </c>
      <c r="J59" s="7">
        <v>58812</v>
      </c>
      <c r="K59" s="6" t="s">
        <v>22</v>
      </c>
      <c r="L59" s="6" t="s">
        <v>23</v>
      </c>
    </row>
    <row r="60" spans="1:12" ht="23" customHeight="1">
      <c r="A60" s="5" t="s">
        <v>19</v>
      </c>
      <c r="B60" s="6">
        <v>6</v>
      </c>
      <c r="C60" s="6">
        <v>3</v>
      </c>
      <c r="D60" s="6" t="s">
        <v>20</v>
      </c>
      <c r="E60" s="6">
        <v>149</v>
      </c>
      <c r="F60" s="6"/>
      <c r="G60" s="6">
        <v>707</v>
      </c>
      <c r="H60" s="6">
        <v>2</v>
      </c>
      <c r="I60" s="6" t="s">
        <v>21</v>
      </c>
      <c r="J60" s="7">
        <v>272086</v>
      </c>
      <c r="K60" s="6" t="s">
        <v>22</v>
      </c>
      <c r="L60" s="6" t="s">
        <v>24</v>
      </c>
    </row>
    <row r="61" spans="1:12" ht="23" customHeight="1">
      <c r="A61" s="5" t="s">
        <v>19</v>
      </c>
      <c r="B61" s="6">
        <v>6</v>
      </c>
      <c r="C61" s="6">
        <v>3</v>
      </c>
      <c r="D61" s="6" t="s">
        <v>20</v>
      </c>
      <c r="E61" s="6">
        <v>150</v>
      </c>
      <c r="F61" s="6"/>
      <c r="G61" s="6">
        <v>708</v>
      </c>
      <c r="H61" s="6">
        <v>2</v>
      </c>
      <c r="I61" s="6" t="s">
        <v>21</v>
      </c>
      <c r="J61" s="7">
        <v>141501</v>
      </c>
      <c r="K61" s="6" t="s">
        <v>22</v>
      </c>
      <c r="L61" s="6" t="s">
        <v>24</v>
      </c>
    </row>
    <row r="62" spans="1:12" ht="23" customHeight="1">
      <c r="A62" s="5" t="s">
        <v>19</v>
      </c>
      <c r="B62" s="6">
        <v>6</v>
      </c>
      <c r="C62" s="6">
        <v>3</v>
      </c>
      <c r="D62" s="6" t="s">
        <v>20</v>
      </c>
      <c r="E62" s="6">
        <v>151</v>
      </c>
      <c r="F62" s="6"/>
      <c r="G62" s="6">
        <v>709</v>
      </c>
      <c r="H62" s="6">
        <v>2</v>
      </c>
      <c r="I62" s="6" t="s">
        <v>21</v>
      </c>
      <c r="J62" s="7">
        <v>110708</v>
      </c>
      <c r="K62" s="6" t="s">
        <v>22</v>
      </c>
      <c r="L62" s="6" t="s">
        <v>24</v>
      </c>
    </row>
    <row r="63" spans="1:12" ht="23" customHeight="1">
      <c r="A63" s="5" t="s">
        <v>19</v>
      </c>
      <c r="B63" s="6">
        <v>6</v>
      </c>
      <c r="C63" s="6">
        <v>3</v>
      </c>
      <c r="D63" s="6" t="s">
        <v>20</v>
      </c>
      <c r="E63" s="6">
        <v>152</v>
      </c>
      <c r="F63" s="6"/>
      <c r="G63" s="6">
        <v>710</v>
      </c>
      <c r="H63" s="6">
        <v>2</v>
      </c>
      <c r="I63" s="6" t="s">
        <v>21</v>
      </c>
      <c r="J63" s="7">
        <v>208029</v>
      </c>
      <c r="K63" s="6" t="s">
        <v>22</v>
      </c>
      <c r="L63" s="6" t="s">
        <v>24</v>
      </c>
    </row>
    <row r="64" spans="1:12" ht="23" customHeight="1">
      <c r="A64" s="5" t="s">
        <v>19</v>
      </c>
      <c r="B64" s="6">
        <v>6</v>
      </c>
      <c r="C64" s="6">
        <v>3</v>
      </c>
      <c r="D64" s="6" t="s">
        <v>20</v>
      </c>
      <c r="E64" s="6">
        <v>153</v>
      </c>
      <c r="F64" s="6"/>
      <c r="G64" s="6">
        <v>711</v>
      </c>
      <c r="H64" s="6">
        <v>2</v>
      </c>
      <c r="I64" s="6" t="s">
        <v>21</v>
      </c>
      <c r="J64" s="7">
        <v>268854</v>
      </c>
      <c r="K64" s="6" t="s">
        <v>22</v>
      </c>
      <c r="L64" s="6" t="s">
        <v>23</v>
      </c>
    </row>
    <row r="65" spans="1:12" ht="23" customHeight="1">
      <c r="A65" s="5" t="s">
        <v>19</v>
      </c>
      <c r="B65" s="6">
        <v>6</v>
      </c>
      <c r="C65" s="6">
        <v>3</v>
      </c>
      <c r="D65" s="6" t="s">
        <v>20</v>
      </c>
      <c r="E65" s="6">
        <v>154</v>
      </c>
      <c r="F65" s="6"/>
      <c r="G65" s="6">
        <v>712</v>
      </c>
      <c r="H65" s="6">
        <v>2</v>
      </c>
      <c r="I65" s="6" t="s">
        <v>21</v>
      </c>
      <c r="J65" s="7">
        <v>363440</v>
      </c>
      <c r="K65" s="6" t="s">
        <v>22</v>
      </c>
      <c r="L65" s="6" t="s">
        <v>23</v>
      </c>
    </row>
    <row r="66" spans="1:12" ht="23" customHeight="1">
      <c r="A66" s="5" t="s">
        <v>19</v>
      </c>
      <c r="B66" s="6">
        <v>6</v>
      </c>
      <c r="C66" s="6">
        <v>3</v>
      </c>
      <c r="D66" s="6" t="s">
        <v>20</v>
      </c>
      <c r="E66" s="6">
        <v>155</v>
      </c>
      <c r="F66" s="6"/>
      <c r="G66" s="6">
        <v>713</v>
      </c>
      <c r="H66" s="6">
        <v>2</v>
      </c>
      <c r="I66" s="6" t="s">
        <v>21</v>
      </c>
      <c r="J66" s="7">
        <v>403280</v>
      </c>
      <c r="K66" s="6" t="s">
        <v>22</v>
      </c>
      <c r="L66" s="6" t="s">
        <v>23</v>
      </c>
    </row>
    <row r="67" spans="1:12" ht="23" customHeight="1">
      <c r="A67" s="5" t="s">
        <v>19</v>
      </c>
      <c r="B67" s="6">
        <v>6</v>
      </c>
      <c r="C67" s="6">
        <v>3</v>
      </c>
      <c r="D67" s="6" t="s">
        <v>20</v>
      </c>
      <c r="E67" s="6">
        <v>156</v>
      </c>
      <c r="F67" s="6"/>
      <c r="G67" s="6">
        <v>714</v>
      </c>
      <c r="H67" s="6">
        <v>2</v>
      </c>
      <c r="I67" s="6" t="s">
        <v>21</v>
      </c>
      <c r="J67" s="7">
        <v>403280</v>
      </c>
      <c r="K67" s="6" t="s">
        <v>22</v>
      </c>
      <c r="L67" s="6" t="s">
        <v>23</v>
      </c>
    </row>
    <row r="68" spans="1:12" ht="23" customHeight="1">
      <c r="A68" s="5" t="s">
        <v>19</v>
      </c>
      <c r="B68" s="6">
        <v>6</v>
      </c>
      <c r="C68" s="6">
        <v>3</v>
      </c>
      <c r="D68" s="6" t="s">
        <v>20</v>
      </c>
      <c r="E68" s="6">
        <v>157</v>
      </c>
      <c r="F68" s="6"/>
      <c r="G68" s="6">
        <v>715</v>
      </c>
      <c r="H68" s="6">
        <v>2</v>
      </c>
      <c r="I68" s="6" t="s">
        <v>21</v>
      </c>
      <c r="J68" s="7">
        <v>403280</v>
      </c>
      <c r="K68" s="6" t="s">
        <v>22</v>
      </c>
      <c r="L68" s="6" t="s">
        <v>23</v>
      </c>
    </row>
    <row r="69" spans="1:12" ht="23" customHeight="1">
      <c r="A69" s="5" t="s">
        <v>19</v>
      </c>
      <c r="B69" s="6">
        <v>6</v>
      </c>
      <c r="C69" s="6">
        <v>3</v>
      </c>
      <c r="D69" s="6" t="s">
        <v>20</v>
      </c>
      <c r="E69" s="6">
        <v>158</v>
      </c>
      <c r="F69" s="6"/>
      <c r="G69" s="6">
        <v>716</v>
      </c>
      <c r="H69" s="6">
        <v>2</v>
      </c>
      <c r="I69" s="6" t="s">
        <v>21</v>
      </c>
      <c r="J69" s="7">
        <v>403280</v>
      </c>
      <c r="K69" s="6" t="s">
        <v>22</v>
      </c>
      <c r="L69" s="6" t="s">
        <v>23</v>
      </c>
    </row>
    <row r="70" spans="1:12" ht="23" customHeight="1">
      <c r="A70" s="5" t="s">
        <v>19</v>
      </c>
      <c r="B70" s="6">
        <v>6</v>
      </c>
      <c r="C70" s="6">
        <v>3</v>
      </c>
      <c r="D70" s="6" t="s">
        <v>20</v>
      </c>
      <c r="E70" s="6">
        <v>159</v>
      </c>
      <c r="F70" s="6"/>
      <c r="G70" s="6">
        <v>717</v>
      </c>
      <c r="H70" s="6">
        <v>2</v>
      </c>
      <c r="I70" s="6" t="s">
        <v>21</v>
      </c>
      <c r="J70" s="7">
        <v>403280</v>
      </c>
      <c r="K70" s="6" t="s">
        <v>22</v>
      </c>
      <c r="L70" s="6" t="s">
        <v>23</v>
      </c>
    </row>
    <row r="71" spans="1:12" ht="23" customHeight="1">
      <c r="A71" s="5" t="s">
        <v>19</v>
      </c>
      <c r="B71" s="6">
        <v>6</v>
      </c>
      <c r="C71" s="6">
        <v>3</v>
      </c>
      <c r="D71" s="6" t="s">
        <v>20</v>
      </c>
      <c r="E71" s="6">
        <v>160</v>
      </c>
      <c r="F71" s="6"/>
      <c r="G71" s="6">
        <v>718</v>
      </c>
      <c r="H71" s="6">
        <v>2</v>
      </c>
      <c r="I71" s="6" t="s">
        <v>21</v>
      </c>
      <c r="J71" s="7">
        <v>403280</v>
      </c>
      <c r="K71" s="6" t="s">
        <v>22</v>
      </c>
      <c r="L71" s="6" t="s">
        <v>23</v>
      </c>
    </row>
    <row r="72" spans="1:12" ht="23" customHeight="1">
      <c r="A72" s="5" t="s">
        <v>19</v>
      </c>
      <c r="B72" s="6">
        <v>6</v>
      </c>
      <c r="C72" s="6">
        <v>3</v>
      </c>
      <c r="D72" s="6" t="s">
        <v>20</v>
      </c>
      <c r="E72" s="6">
        <v>161</v>
      </c>
      <c r="F72" s="6"/>
      <c r="G72" s="6">
        <v>719</v>
      </c>
      <c r="H72" s="6">
        <v>2</v>
      </c>
      <c r="I72" s="6" t="s">
        <v>21</v>
      </c>
      <c r="J72" s="7">
        <v>403280</v>
      </c>
      <c r="K72" s="6" t="s">
        <v>22</v>
      </c>
      <c r="L72" s="6" t="s">
        <v>23</v>
      </c>
    </row>
    <row r="73" spans="1:12" ht="23" customHeight="1">
      <c r="A73" s="5" t="s">
        <v>19</v>
      </c>
      <c r="B73" s="6">
        <v>6</v>
      </c>
      <c r="C73" s="6">
        <v>3</v>
      </c>
      <c r="D73" s="6" t="s">
        <v>20</v>
      </c>
      <c r="E73" s="6">
        <v>162</v>
      </c>
      <c r="F73" s="6"/>
      <c r="G73" s="6">
        <v>720</v>
      </c>
      <c r="H73" s="6">
        <v>2</v>
      </c>
      <c r="I73" s="6" t="s">
        <v>21</v>
      </c>
      <c r="J73" s="7">
        <v>225971</v>
      </c>
      <c r="K73" s="6" t="s">
        <v>22</v>
      </c>
      <c r="L73" s="6" t="s">
        <v>23</v>
      </c>
    </row>
    <row r="74" spans="1:12" ht="23" customHeight="1">
      <c r="A74" s="5" t="s">
        <v>19</v>
      </c>
      <c r="B74" s="6">
        <v>6</v>
      </c>
      <c r="C74" s="6">
        <v>3</v>
      </c>
      <c r="D74" s="6" t="s">
        <v>20</v>
      </c>
      <c r="E74" s="6">
        <v>163</v>
      </c>
      <c r="F74" s="6"/>
      <c r="G74" s="6">
        <v>721</v>
      </c>
      <c r="H74" s="6">
        <v>2</v>
      </c>
      <c r="I74" s="6" t="s">
        <v>21</v>
      </c>
      <c r="J74" s="7">
        <v>193733</v>
      </c>
      <c r="K74" s="6" t="s">
        <v>22</v>
      </c>
      <c r="L74" s="6" t="s">
        <v>23</v>
      </c>
    </row>
    <row r="75" spans="1:12" ht="23" customHeight="1">
      <c r="A75" s="5" t="s">
        <v>19</v>
      </c>
      <c r="B75" s="6">
        <v>6</v>
      </c>
      <c r="C75" s="6">
        <v>3</v>
      </c>
      <c r="D75" s="6" t="s">
        <v>20</v>
      </c>
      <c r="E75" s="6">
        <v>164</v>
      </c>
      <c r="F75" s="6"/>
      <c r="G75" s="6">
        <v>722</v>
      </c>
      <c r="H75" s="6">
        <v>2</v>
      </c>
      <c r="I75" s="6" t="s">
        <v>21</v>
      </c>
      <c r="J75" s="7">
        <v>193733</v>
      </c>
      <c r="K75" s="6" t="s">
        <v>22</v>
      </c>
      <c r="L75" s="6" t="s">
        <v>23</v>
      </c>
    </row>
    <row r="76" spans="1:12" ht="23" customHeight="1">
      <c r="A76" s="5" t="s">
        <v>19</v>
      </c>
      <c r="B76" s="6">
        <v>6</v>
      </c>
      <c r="C76" s="6">
        <v>3</v>
      </c>
      <c r="D76" s="6" t="s">
        <v>20</v>
      </c>
      <c r="E76" s="6">
        <v>165</v>
      </c>
      <c r="F76" s="6"/>
      <c r="G76" s="6">
        <v>723</v>
      </c>
      <c r="H76" s="6">
        <v>2</v>
      </c>
      <c r="I76" s="6" t="s">
        <v>21</v>
      </c>
      <c r="J76" s="7">
        <v>193733</v>
      </c>
      <c r="K76" s="6" t="s">
        <v>22</v>
      </c>
      <c r="L76" s="6" t="s">
        <v>23</v>
      </c>
    </row>
    <row r="77" spans="1:12" ht="23" customHeight="1">
      <c r="A77" s="5" t="s">
        <v>19</v>
      </c>
      <c r="B77" s="6">
        <v>6</v>
      </c>
      <c r="C77" s="6">
        <v>3</v>
      </c>
      <c r="D77" s="6" t="s">
        <v>20</v>
      </c>
      <c r="E77" s="6">
        <v>166</v>
      </c>
      <c r="F77" s="6"/>
      <c r="G77" s="6">
        <v>724</v>
      </c>
      <c r="H77" s="6">
        <v>2</v>
      </c>
      <c r="I77" s="6" t="s">
        <v>21</v>
      </c>
      <c r="J77" s="7">
        <v>193733</v>
      </c>
      <c r="K77" s="6" t="s">
        <v>22</v>
      </c>
      <c r="L77" s="6" t="s">
        <v>23</v>
      </c>
    </row>
    <row r="78" spans="1:12" ht="23" customHeight="1">
      <c r="A78" s="5" t="s">
        <v>19</v>
      </c>
      <c r="B78" s="6">
        <v>6</v>
      </c>
      <c r="C78" s="6">
        <v>3</v>
      </c>
      <c r="D78" s="6" t="s">
        <v>20</v>
      </c>
      <c r="E78" s="6">
        <v>167</v>
      </c>
      <c r="F78" s="6"/>
      <c r="G78" s="6">
        <v>725</v>
      </c>
      <c r="H78" s="6">
        <v>2</v>
      </c>
      <c r="I78" s="6" t="s">
        <v>21</v>
      </c>
      <c r="J78" s="7">
        <v>193733</v>
      </c>
      <c r="K78" s="6" t="s">
        <v>22</v>
      </c>
      <c r="L78" s="6" t="s">
        <v>23</v>
      </c>
    </row>
    <row r="79" spans="1:12" ht="23" customHeight="1">
      <c r="A79" s="5" t="s">
        <v>19</v>
      </c>
      <c r="B79" s="6">
        <v>6</v>
      </c>
      <c r="C79" s="6">
        <v>3</v>
      </c>
      <c r="D79" s="6" t="s">
        <v>20</v>
      </c>
      <c r="E79" s="6">
        <v>168</v>
      </c>
      <c r="F79" s="6"/>
      <c r="G79" s="6">
        <v>726</v>
      </c>
      <c r="H79" s="6">
        <v>2</v>
      </c>
      <c r="I79" s="6" t="s">
        <v>21</v>
      </c>
      <c r="J79" s="7">
        <v>193733</v>
      </c>
      <c r="K79" s="6" t="s">
        <v>22</v>
      </c>
      <c r="L79" s="6" t="s">
        <v>23</v>
      </c>
    </row>
    <row r="80" spans="1:12" ht="23" customHeight="1">
      <c r="A80" s="5" t="s">
        <v>19</v>
      </c>
      <c r="B80" s="6">
        <v>6</v>
      </c>
      <c r="C80" s="6">
        <v>3</v>
      </c>
      <c r="D80" s="6" t="s">
        <v>20</v>
      </c>
      <c r="E80" s="6">
        <v>169</v>
      </c>
      <c r="F80" s="6"/>
      <c r="G80" s="6">
        <v>727</v>
      </c>
      <c r="H80" s="6">
        <v>2</v>
      </c>
      <c r="I80" s="6" t="s">
        <v>21</v>
      </c>
      <c r="J80" s="7">
        <v>193733</v>
      </c>
      <c r="K80" s="6" t="s">
        <v>22</v>
      </c>
      <c r="L80" s="6" t="s">
        <v>23</v>
      </c>
    </row>
    <row r="81" spans="1:12" ht="23" customHeight="1">
      <c r="A81" s="5" t="s">
        <v>19</v>
      </c>
      <c r="B81" s="6">
        <v>6</v>
      </c>
      <c r="C81" s="6">
        <v>3</v>
      </c>
      <c r="D81" s="6" t="s">
        <v>20</v>
      </c>
      <c r="E81" s="6">
        <v>170</v>
      </c>
      <c r="F81" s="6"/>
      <c r="G81" s="6">
        <v>728</v>
      </c>
      <c r="H81" s="6">
        <v>2</v>
      </c>
      <c r="I81" s="6" t="s">
        <v>21</v>
      </c>
      <c r="J81" s="7">
        <v>193733</v>
      </c>
      <c r="K81" s="6" t="s">
        <v>22</v>
      </c>
      <c r="L81" s="6" t="s">
        <v>23</v>
      </c>
    </row>
    <row r="82" spans="1:12" ht="23" customHeight="1">
      <c r="A82" s="5" t="s">
        <v>19</v>
      </c>
      <c r="B82" s="6">
        <v>6</v>
      </c>
      <c r="C82" s="6">
        <v>3</v>
      </c>
      <c r="D82" s="6" t="s">
        <v>20</v>
      </c>
      <c r="E82" s="6">
        <v>171</v>
      </c>
      <c r="F82" s="6"/>
      <c r="G82" s="6">
        <v>729</v>
      </c>
      <c r="H82" s="6">
        <v>2</v>
      </c>
      <c r="I82" s="6" t="s">
        <v>21</v>
      </c>
      <c r="J82" s="7">
        <v>193733</v>
      </c>
      <c r="K82" s="6" t="s">
        <v>22</v>
      </c>
      <c r="L82" s="6" t="s">
        <v>23</v>
      </c>
    </row>
    <row r="83" spans="1:12" ht="23" customHeight="1">
      <c r="A83" s="5" t="s">
        <v>25</v>
      </c>
      <c r="B83" s="6">
        <v>4</v>
      </c>
      <c r="C83" s="6">
        <v>1</v>
      </c>
      <c r="D83" s="6" t="s">
        <v>20</v>
      </c>
      <c r="E83" s="6">
        <v>98</v>
      </c>
      <c r="F83" s="6"/>
      <c r="G83" s="6">
        <v>656</v>
      </c>
      <c r="H83" s="6">
        <v>3</v>
      </c>
      <c r="I83" s="6" t="s">
        <v>26</v>
      </c>
      <c r="J83" s="7">
        <v>1162.9</v>
      </c>
      <c r="K83" s="6" t="s">
        <v>27</v>
      </c>
      <c r="L83" s="6" t="s">
        <v>24</v>
      </c>
    </row>
    <row r="84" spans="1:12" ht="23" customHeight="1">
      <c r="A84" s="5" t="s">
        <v>25</v>
      </c>
      <c r="B84" s="6">
        <v>4</v>
      </c>
      <c r="C84" s="6">
        <v>1</v>
      </c>
      <c r="D84" s="6" t="s">
        <v>20</v>
      </c>
      <c r="E84" s="6">
        <v>98</v>
      </c>
      <c r="F84" s="6"/>
      <c r="G84" s="6">
        <v>656</v>
      </c>
      <c r="H84" s="6">
        <v>4</v>
      </c>
      <c r="I84" s="6" t="s">
        <v>28</v>
      </c>
      <c r="J84" s="7">
        <v>1307.5</v>
      </c>
      <c r="K84" s="6" t="s">
        <v>27</v>
      </c>
      <c r="L84" s="6" t="s">
        <v>24</v>
      </c>
    </row>
    <row r="85" spans="1:12" ht="23" customHeight="1">
      <c r="A85" s="5" t="s">
        <v>25</v>
      </c>
      <c r="B85" s="6">
        <v>4</v>
      </c>
      <c r="C85" s="6">
        <v>1</v>
      </c>
      <c r="D85" s="6" t="s">
        <v>20</v>
      </c>
      <c r="E85" s="6">
        <v>99</v>
      </c>
      <c r="F85" s="6"/>
      <c r="G85" s="6">
        <v>657</v>
      </c>
      <c r="H85" s="6">
        <v>3</v>
      </c>
      <c r="I85" s="6" t="s">
        <v>26</v>
      </c>
      <c r="J85" s="7">
        <v>1989</v>
      </c>
      <c r="K85" s="6" t="s">
        <v>27</v>
      </c>
      <c r="L85" s="6" t="s">
        <v>23</v>
      </c>
    </row>
    <row r="86" spans="1:12" ht="23" customHeight="1">
      <c r="A86" s="5" t="s">
        <v>25</v>
      </c>
      <c r="B86" s="6">
        <v>4</v>
      </c>
      <c r="C86" s="6">
        <v>1</v>
      </c>
      <c r="D86" s="6" t="s">
        <v>20</v>
      </c>
      <c r="E86" s="6">
        <v>99</v>
      </c>
      <c r="F86" s="6"/>
      <c r="G86" s="6">
        <v>657</v>
      </c>
      <c r="H86" s="6">
        <v>4</v>
      </c>
      <c r="I86" s="6" t="s">
        <v>28</v>
      </c>
      <c r="J86" s="7">
        <v>1989</v>
      </c>
      <c r="K86" s="6" t="s">
        <v>27</v>
      </c>
      <c r="L86" s="6" t="s">
        <v>23</v>
      </c>
    </row>
    <row r="87" spans="1:12" ht="23" customHeight="1">
      <c r="A87" s="5" t="s">
        <v>25</v>
      </c>
      <c r="B87" s="6">
        <v>4</v>
      </c>
      <c r="C87" s="6">
        <v>1</v>
      </c>
      <c r="D87" s="6" t="s">
        <v>20</v>
      </c>
      <c r="E87" s="6">
        <v>100</v>
      </c>
      <c r="F87" s="6"/>
      <c r="G87" s="6">
        <v>658</v>
      </c>
      <c r="H87" s="6">
        <v>3</v>
      </c>
      <c r="I87" s="6" t="s">
        <v>26</v>
      </c>
      <c r="J87" s="7">
        <v>1826.6</v>
      </c>
      <c r="K87" s="6" t="s">
        <v>27</v>
      </c>
      <c r="L87" s="6" t="s">
        <v>24</v>
      </c>
    </row>
    <row r="88" spans="1:12" ht="23" customHeight="1">
      <c r="A88" s="5" t="s">
        <v>25</v>
      </c>
      <c r="B88" s="6">
        <v>4</v>
      </c>
      <c r="C88" s="6">
        <v>1</v>
      </c>
      <c r="D88" s="6" t="s">
        <v>20</v>
      </c>
      <c r="E88" s="6">
        <v>100</v>
      </c>
      <c r="F88" s="6"/>
      <c r="G88" s="6">
        <v>658</v>
      </c>
      <c r="H88" s="6">
        <v>4</v>
      </c>
      <c r="I88" s="6" t="s">
        <v>28</v>
      </c>
      <c r="J88" s="7">
        <v>1826.6</v>
      </c>
      <c r="K88" s="6" t="s">
        <v>27</v>
      </c>
      <c r="L88" s="6" t="s">
        <v>24</v>
      </c>
    </row>
    <row r="89" spans="1:12" ht="23" customHeight="1">
      <c r="A89" s="5" t="s">
        <v>25</v>
      </c>
      <c r="B89" s="6">
        <v>4</v>
      </c>
      <c r="C89" s="6">
        <v>1</v>
      </c>
      <c r="D89" s="6" t="s">
        <v>20</v>
      </c>
      <c r="E89" s="6">
        <v>101</v>
      </c>
      <c r="F89" s="6"/>
      <c r="G89" s="6">
        <v>659</v>
      </c>
      <c r="H89" s="6">
        <v>3</v>
      </c>
      <c r="I89" s="6" t="s">
        <v>26</v>
      </c>
      <c r="J89" s="7">
        <v>1755</v>
      </c>
      <c r="K89" s="6" t="s">
        <v>27</v>
      </c>
      <c r="L89" s="6" t="s">
        <v>24</v>
      </c>
    </row>
    <row r="90" spans="1:12" ht="23" customHeight="1">
      <c r="A90" s="5" t="s">
        <v>25</v>
      </c>
      <c r="B90" s="6">
        <v>4</v>
      </c>
      <c r="C90" s="6">
        <v>1</v>
      </c>
      <c r="D90" s="6" t="s">
        <v>20</v>
      </c>
      <c r="E90" s="6">
        <v>101</v>
      </c>
      <c r="F90" s="6"/>
      <c r="G90" s="6">
        <v>659</v>
      </c>
      <c r="H90" s="6">
        <v>4</v>
      </c>
      <c r="I90" s="6" t="s">
        <v>28</v>
      </c>
      <c r="J90" s="7">
        <v>1755</v>
      </c>
      <c r="K90" s="6" t="s">
        <v>27</v>
      </c>
      <c r="L90" s="6" t="s">
        <v>24</v>
      </c>
    </row>
    <row r="91" spans="1:12" ht="23" customHeight="1">
      <c r="A91" s="5" t="s">
        <v>25</v>
      </c>
      <c r="B91" s="6">
        <v>4</v>
      </c>
      <c r="C91" s="6">
        <v>1</v>
      </c>
      <c r="D91" s="6" t="s">
        <v>20</v>
      </c>
      <c r="E91" s="6">
        <v>102</v>
      </c>
      <c r="F91" s="6"/>
      <c r="G91" s="6">
        <v>660</v>
      </c>
      <c r="H91" s="6">
        <v>3</v>
      </c>
      <c r="I91" s="6" t="s">
        <v>26</v>
      </c>
      <c r="J91" s="7">
        <v>2158.6</v>
      </c>
      <c r="K91" s="6" t="s">
        <v>27</v>
      </c>
      <c r="L91" s="6" t="s">
        <v>24</v>
      </c>
    </row>
    <row r="92" spans="1:12" ht="23" customHeight="1">
      <c r="A92" s="5" t="s">
        <v>25</v>
      </c>
      <c r="B92" s="6">
        <v>4</v>
      </c>
      <c r="C92" s="6">
        <v>1</v>
      </c>
      <c r="D92" s="6" t="s">
        <v>20</v>
      </c>
      <c r="E92" s="6">
        <v>102</v>
      </c>
      <c r="F92" s="6"/>
      <c r="G92" s="6">
        <v>660</v>
      </c>
      <c r="H92" s="6">
        <v>4</v>
      </c>
      <c r="I92" s="6" t="s">
        <v>28</v>
      </c>
      <c r="J92" s="7">
        <v>2158.6</v>
      </c>
      <c r="K92" s="6" t="s">
        <v>27</v>
      </c>
      <c r="L92" s="6" t="s">
        <v>24</v>
      </c>
    </row>
    <row r="93" spans="1:12" ht="23" customHeight="1">
      <c r="A93" s="5" t="s">
        <v>25</v>
      </c>
      <c r="B93" s="6">
        <v>4</v>
      </c>
      <c r="C93" s="6">
        <v>1</v>
      </c>
      <c r="D93" s="6" t="s">
        <v>20</v>
      </c>
      <c r="E93" s="6">
        <v>103</v>
      </c>
      <c r="F93" s="6"/>
      <c r="G93" s="6">
        <v>661</v>
      </c>
      <c r="H93" s="6">
        <v>3</v>
      </c>
      <c r="I93" s="6" t="s">
        <v>26</v>
      </c>
      <c r="J93" s="7">
        <v>2472.8</v>
      </c>
      <c r="K93" s="6" t="s">
        <v>27</v>
      </c>
      <c r="L93" s="6" t="s">
        <v>24</v>
      </c>
    </row>
    <row r="94" spans="1:12" ht="23" customHeight="1">
      <c r="A94" s="5" t="s">
        <v>25</v>
      </c>
      <c r="B94" s="6">
        <v>4</v>
      </c>
      <c r="C94" s="6">
        <v>1</v>
      </c>
      <c r="D94" s="6" t="s">
        <v>20</v>
      </c>
      <c r="E94" s="6">
        <v>103</v>
      </c>
      <c r="F94" s="6"/>
      <c r="G94" s="6">
        <v>661</v>
      </c>
      <c r="H94" s="6">
        <v>4</v>
      </c>
      <c r="I94" s="6" t="s">
        <v>28</v>
      </c>
      <c r="J94" s="7">
        <v>2673.7</v>
      </c>
      <c r="K94" s="6" t="s">
        <v>27</v>
      </c>
      <c r="L94" s="6" t="s">
        <v>24</v>
      </c>
    </row>
    <row r="95" spans="1:12" ht="23" customHeight="1">
      <c r="A95" s="5" t="s">
        <v>25</v>
      </c>
      <c r="B95" s="6">
        <v>4</v>
      </c>
      <c r="C95" s="6">
        <v>1</v>
      </c>
      <c r="D95" s="6" t="s">
        <v>20</v>
      </c>
      <c r="E95" s="6">
        <v>104</v>
      </c>
      <c r="F95" s="6"/>
      <c r="G95" s="6">
        <v>662</v>
      </c>
      <c r="H95" s="6">
        <v>3</v>
      </c>
      <c r="I95" s="6" t="s">
        <v>26</v>
      </c>
      <c r="J95" s="7">
        <v>4642.1</v>
      </c>
      <c r="K95" s="6" t="s">
        <v>27</v>
      </c>
      <c r="L95" s="6" t="s">
        <v>24</v>
      </c>
    </row>
    <row r="96" spans="1:12" ht="23" customHeight="1">
      <c r="A96" s="5" t="s">
        <v>25</v>
      </c>
      <c r="B96" s="6">
        <v>4</v>
      </c>
      <c r="C96" s="6">
        <v>1</v>
      </c>
      <c r="D96" s="6" t="s">
        <v>20</v>
      </c>
      <c r="E96" s="6">
        <v>104</v>
      </c>
      <c r="F96" s="6"/>
      <c r="G96" s="6">
        <v>662</v>
      </c>
      <c r="H96" s="6">
        <v>4</v>
      </c>
      <c r="I96" s="6" t="s">
        <v>28</v>
      </c>
      <c r="J96" s="7">
        <v>4642.1</v>
      </c>
      <c r="K96" s="6" t="s">
        <v>27</v>
      </c>
      <c r="L96" s="6" t="s">
        <v>24</v>
      </c>
    </row>
    <row r="97" spans="1:12" ht="23" customHeight="1">
      <c r="A97" s="5" t="s">
        <v>25</v>
      </c>
      <c r="B97" s="6">
        <v>4</v>
      </c>
      <c r="C97" s="6">
        <v>1</v>
      </c>
      <c r="D97" s="6" t="s">
        <v>20</v>
      </c>
      <c r="E97" s="6">
        <v>105</v>
      </c>
      <c r="F97" s="6"/>
      <c r="G97" s="6">
        <v>663</v>
      </c>
      <c r="H97" s="6">
        <v>3</v>
      </c>
      <c r="I97" s="6" t="s">
        <v>26</v>
      </c>
      <c r="J97" s="7">
        <v>2980.8</v>
      </c>
      <c r="K97" s="6" t="s">
        <v>27</v>
      </c>
      <c r="L97" s="6" t="s">
        <v>24</v>
      </c>
    </row>
    <row r="98" spans="1:12" ht="23" customHeight="1">
      <c r="A98" s="5" t="s">
        <v>25</v>
      </c>
      <c r="B98" s="6">
        <v>4</v>
      </c>
      <c r="C98" s="6">
        <v>1</v>
      </c>
      <c r="D98" s="6" t="s">
        <v>20</v>
      </c>
      <c r="E98" s="6">
        <v>105</v>
      </c>
      <c r="F98" s="6"/>
      <c r="G98" s="6">
        <v>663</v>
      </c>
      <c r="H98" s="6">
        <v>4</v>
      </c>
      <c r="I98" s="6" t="s">
        <v>28</v>
      </c>
      <c r="J98" s="7">
        <v>3190.7</v>
      </c>
      <c r="K98" s="6" t="s">
        <v>27</v>
      </c>
      <c r="L98" s="6" t="s">
        <v>24</v>
      </c>
    </row>
    <row r="99" spans="1:12" ht="23" customHeight="1">
      <c r="A99" s="5" t="s">
        <v>25</v>
      </c>
      <c r="B99" s="6">
        <v>4</v>
      </c>
      <c r="C99" s="6">
        <v>1</v>
      </c>
      <c r="D99" s="6" t="s">
        <v>20</v>
      </c>
      <c r="E99" s="6">
        <v>106</v>
      </c>
      <c r="F99" s="6"/>
      <c r="G99" s="6">
        <v>664</v>
      </c>
      <c r="H99" s="6">
        <v>3</v>
      </c>
      <c r="I99" s="6" t="s">
        <v>26</v>
      </c>
      <c r="J99" s="7">
        <v>3190.7</v>
      </c>
      <c r="K99" s="6" t="s">
        <v>27</v>
      </c>
      <c r="L99" s="6" t="s">
        <v>24</v>
      </c>
    </row>
    <row r="100" spans="1:12" ht="23" customHeight="1">
      <c r="A100" s="5" t="s">
        <v>25</v>
      </c>
      <c r="B100" s="6">
        <v>4</v>
      </c>
      <c r="C100" s="6">
        <v>1</v>
      </c>
      <c r="D100" s="6" t="s">
        <v>20</v>
      </c>
      <c r="E100" s="6">
        <v>106</v>
      </c>
      <c r="F100" s="6"/>
      <c r="G100" s="6">
        <v>664</v>
      </c>
      <c r="H100" s="6">
        <v>4</v>
      </c>
      <c r="I100" s="6" t="s">
        <v>28</v>
      </c>
      <c r="J100" s="7">
        <v>3400.6</v>
      </c>
      <c r="K100" s="6" t="s">
        <v>27</v>
      </c>
      <c r="L100" s="6" t="s">
        <v>24</v>
      </c>
    </row>
    <row r="101" spans="1:12" ht="23" customHeight="1">
      <c r="A101" s="5" t="s">
        <v>25</v>
      </c>
      <c r="B101" s="6">
        <v>4</v>
      </c>
      <c r="C101" s="6">
        <v>1</v>
      </c>
      <c r="D101" s="6" t="s">
        <v>20</v>
      </c>
      <c r="E101" s="6">
        <v>107</v>
      </c>
      <c r="F101" s="6"/>
      <c r="G101" s="6">
        <v>665</v>
      </c>
      <c r="H101" s="6">
        <v>3</v>
      </c>
      <c r="I101" s="6" t="s">
        <v>26</v>
      </c>
      <c r="J101" s="7">
        <v>3400.6</v>
      </c>
      <c r="K101" s="6" t="s">
        <v>27</v>
      </c>
      <c r="L101" s="6" t="s">
        <v>24</v>
      </c>
    </row>
    <row r="102" spans="1:12" ht="23" customHeight="1">
      <c r="A102" s="5" t="s">
        <v>25</v>
      </c>
      <c r="B102" s="6">
        <v>4</v>
      </c>
      <c r="C102" s="6">
        <v>1</v>
      </c>
      <c r="D102" s="6" t="s">
        <v>20</v>
      </c>
      <c r="E102" s="6">
        <v>107</v>
      </c>
      <c r="F102" s="6"/>
      <c r="G102" s="6">
        <v>665</v>
      </c>
      <c r="H102" s="6">
        <v>4</v>
      </c>
      <c r="I102" s="6" t="s">
        <v>28</v>
      </c>
      <c r="J102" s="7">
        <v>3610.5</v>
      </c>
      <c r="K102" s="6" t="s">
        <v>27</v>
      </c>
      <c r="L102" s="6" t="s">
        <v>24</v>
      </c>
    </row>
    <row r="103" spans="1:12" ht="23" customHeight="1">
      <c r="A103" s="5" t="s">
        <v>25</v>
      </c>
      <c r="B103" s="6">
        <v>4</v>
      </c>
      <c r="C103" s="6">
        <v>1</v>
      </c>
      <c r="D103" s="6" t="s">
        <v>20</v>
      </c>
      <c r="E103" s="6">
        <v>108</v>
      </c>
      <c r="F103" s="6"/>
      <c r="G103" s="6">
        <v>666</v>
      </c>
      <c r="H103" s="6">
        <v>3</v>
      </c>
      <c r="I103" s="6" t="s">
        <v>26</v>
      </c>
      <c r="J103" s="7">
        <v>3610.5</v>
      </c>
      <c r="K103" s="6" t="s">
        <v>27</v>
      </c>
      <c r="L103" s="6" t="s">
        <v>24</v>
      </c>
    </row>
    <row r="104" spans="1:12" ht="23" customHeight="1">
      <c r="A104" s="5" t="s">
        <v>25</v>
      </c>
      <c r="B104" s="6">
        <v>4</v>
      </c>
      <c r="C104" s="6">
        <v>1</v>
      </c>
      <c r="D104" s="6" t="s">
        <v>20</v>
      </c>
      <c r="E104" s="6">
        <v>108</v>
      </c>
      <c r="F104" s="6"/>
      <c r="G104" s="6">
        <v>666</v>
      </c>
      <c r="H104" s="6">
        <v>4</v>
      </c>
      <c r="I104" s="6" t="s">
        <v>28</v>
      </c>
      <c r="J104" s="7">
        <v>3820.5</v>
      </c>
      <c r="K104" s="6" t="s">
        <v>27</v>
      </c>
      <c r="L104" s="6" t="s">
        <v>24</v>
      </c>
    </row>
    <row r="105" spans="1:12" ht="23" customHeight="1">
      <c r="A105" s="5" t="s">
        <v>25</v>
      </c>
      <c r="B105" s="6">
        <v>4</v>
      </c>
      <c r="C105" s="6">
        <v>1</v>
      </c>
      <c r="D105" s="6" t="s">
        <v>20</v>
      </c>
      <c r="E105" s="6">
        <v>109</v>
      </c>
      <c r="F105" s="6"/>
      <c r="G105" s="6">
        <v>667</v>
      </c>
      <c r="H105" s="6">
        <v>3</v>
      </c>
      <c r="I105" s="6" t="s">
        <v>26</v>
      </c>
      <c r="J105" s="7">
        <v>3820.5</v>
      </c>
      <c r="K105" s="6" t="s">
        <v>27</v>
      </c>
      <c r="L105" s="6" t="s">
        <v>24</v>
      </c>
    </row>
    <row r="106" spans="1:12" ht="23" customHeight="1">
      <c r="A106" s="5" t="s">
        <v>25</v>
      </c>
      <c r="B106" s="6">
        <v>4</v>
      </c>
      <c r="C106" s="6">
        <v>1</v>
      </c>
      <c r="D106" s="6" t="s">
        <v>20</v>
      </c>
      <c r="E106" s="6">
        <v>109</v>
      </c>
      <c r="F106" s="6"/>
      <c r="G106" s="6">
        <v>667</v>
      </c>
      <c r="H106" s="6">
        <v>4</v>
      </c>
      <c r="I106" s="6" t="s">
        <v>28</v>
      </c>
      <c r="J106" s="7">
        <v>4030.4</v>
      </c>
      <c r="K106" s="6" t="s">
        <v>27</v>
      </c>
      <c r="L106" s="6" t="s">
        <v>24</v>
      </c>
    </row>
    <row r="107" spans="1:12" ht="23" customHeight="1">
      <c r="A107" s="5" t="s">
        <v>25</v>
      </c>
      <c r="B107" s="6">
        <v>4</v>
      </c>
      <c r="C107" s="6">
        <v>1</v>
      </c>
      <c r="D107" s="6" t="s">
        <v>20</v>
      </c>
      <c r="E107" s="6">
        <v>110</v>
      </c>
      <c r="F107" s="6"/>
      <c r="G107" s="6">
        <v>668</v>
      </c>
      <c r="H107" s="6">
        <v>3</v>
      </c>
      <c r="I107" s="6" t="s">
        <v>26</v>
      </c>
      <c r="J107" s="7">
        <v>4030.4</v>
      </c>
      <c r="K107" s="6" t="s">
        <v>27</v>
      </c>
      <c r="L107" s="6" t="s">
        <v>24</v>
      </c>
    </row>
    <row r="108" spans="1:12" ht="23" customHeight="1">
      <c r="A108" s="5" t="s">
        <v>25</v>
      </c>
      <c r="B108" s="6">
        <v>4</v>
      </c>
      <c r="C108" s="6">
        <v>1</v>
      </c>
      <c r="D108" s="6" t="s">
        <v>20</v>
      </c>
      <c r="E108" s="6">
        <v>110</v>
      </c>
      <c r="F108" s="6"/>
      <c r="G108" s="6">
        <v>668</v>
      </c>
      <c r="H108" s="6">
        <v>4</v>
      </c>
      <c r="I108" s="6" t="s">
        <v>28</v>
      </c>
      <c r="J108" s="7">
        <v>4240.3</v>
      </c>
      <c r="K108" s="6" t="s">
        <v>27</v>
      </c>
      <c r="L108" s="6" t="s">
        <v>24</v>
      </c>
    </row>
    <row r="109" spans="1:12" ht="23" customHeight="1">
      <c r="A109" s="5" t="s">
        <v>25</v>
      </c>
      <c r="B109" s="6">
        <v>4</v>
      </c>
      <c r="C109" s="6">
        <v>1</v>
      </c>
      <c r="D109" s="6" t="s">
        <v>20</v>
      </c>
      <c r="E109" s="6">
        <v>111</v>
      </c>
      <c r="F109" s="6"/>
      <c r="G109" s="6">
        <v>669</v>
      </c>
      <c r="H109" s="6">
        <v>3</v>
      </c>
      <c r="I109" s="6" t="s">
        <v>26</v>
      </c>
      <c r="J109" s="7">
        <v>4240.3</v>
      </c>
      <c r="K109" s="6" t="s">
        <v>27</v>
      </c>
      <c r="L109" s="6" t="s">
        <v>24</v>
      </c>
    </row>
    <row r="110" spans="1:12" ht="23" customHeight="1">
      <c r="A110" s="5" t="s">
        <v>25</v>
      </c>
      <c r="B110" s="6">
        <v>4</v>
      </c>
      <c r="C110" s="6">
        <v>1</v>
      </c>
      <c r="D110" s="6" t="s">
        <v>20</v>
      </c>
      <c r="E110" s="6">
        <v>111</v>
      </c>
      <c r="F110" s="6"/>
      <c r="G110" s="6">
        <v>669</v>
      </c>
      <c r="H110" s="6">
        <v>4</v>
      </c>
      <c r="I110" s="6" t="s">
        <v>28</v>
      </c>
      <c r="J110" s="7">
        <v>4450.2</v>
      </c>
      <c r="K110" s="6" t="s">
        <v>27</v>
      </c>
      <c r="L110" s="6" t="s">
        <v>24</v>
      </c>
    </row>
    <row r="111" spans="1:12" ht="23" customHeight="1">
      <c r="A111" s="5" t="s">
        <v>25</v>
      </c>
      <c r="B111" s="6">
        <v>4</v>
      </c>
      <c r="C111" s="6">
        <v>1</v>
      </c>
      <c r="D111" s="6" t="s">
        <v>20</v>
      </c>
      <c r="E111" s="6">
        <v>112</v>
      </c>
      <c r="F111" s="6"/>
      <c r="G111" s="6">
        <v>670</v>
      </c>
      <c r="H111" s="6">
        <v>3</v>
      </c>
      <c r="I111" s="6" t="s">
        <v>26</v>
      </c>
      <c r="J111" s="7">
        <v>3300.7</v>
      </c>
      <c r="K111" s="6" t="s">
        <v>27</v>
      </c>
      <c r="L111" s="6" t="s">
        <v>24</v>
      </c>
    </row>
    <row r="112" spans="1:12" ht="23" customHeight="1">
      <c r="A112" s="5" t="s">
        <v>25</v>
      </c>
      <c r="B112" s="6">
        <v>4</v>
      </c>
      <c r="C112" s="6">
        <v>1</v>
      </c>
      <c r="D112" s="6" t="s">
        <v>20</v>
      </c>
      <c r="E112" s="6">
        <v>112</v>
      </c>
      <c r="F112" s="6"/>
      <c r="G112" s="6">
        <v>670</v>
      </c>
      <c r="H112" s="6">
        <v>4</v>
      </c>
      <c r="I112" s="6" t="s">
        <v>28</v>
      </c>
      <c r="J112" s="7">
        <v>3300.7</v>
      </c>
      <c r="K112" s="6" t="s">
        <v>27</v>
      </c>
      <c r="L112" s="6" t="s">
        <v>24</v>
      </c>
    </row>
    <row r="113" spans="1:12" ht="23" customHeight="1">
      <c r="A113" s="5" t="s">
        <v>25</v>
      </c>
      <c r="B113" s="6">
        <v>4</v>
      </c>
      <c r="C113" s="6">
        <v>1</v>
      </c>
      <c r="D113" s="6" t="s">
        <v>20</v>
      </c>
      <c r="E113" s="6">
        <v>113</v>
      </c>
      <c r="F113" s="6"/>
      <c r="G113" s="6">
        <v>671</v>
      </c>
      <c r="H113" s="6">
        <v>3</v>
      </c>
      <c r="I113" s="6" t="s">
        <v>26</v>
      </c>
      <c r="J113" s="7">
        <v>3088.8</v>
      </c>
      <c r="K113" s="6" t="s">
        <v>27</v>
      </c>
      <c r="L113" s="6" t="s">
        <v>23</v>
      </c>
    </row>
    <row r="114" spans="1:12" ht="23" customHeight="1">
      <c r="A114" s="5" t="s">
        <v>25</v>
      </c>
      <c r="B114" s="6">
        <v>4</v>
      </c>
      <c r="C114" s="6">
        <v>1</v>
      </c>
      <c r="D114" s="6" t="s">
        <v>20</v>
      </c>
      <c r="E114" s="6">
        <v>113</v>
      </c>
      <c r="F114" s="6"/>
      <c r="G114" s="6">
        <v>671</v>
      </c>
      <c r="H114" s="6">
        <v>4</v>
      </c>
      <c r="I114" s="6" t="s">
        <v>28</v>
      </c>
      <c r="J114" s="7">
        <v>3088.8</v>
      </c>
      <c r="K114" s="6" t="s">
        <v>27</v>
      </c>
      <c r="L114" s="6" t="s">
        <v>23</v>
      </c>
    </row>
    <row r="115" spans="1:12" ht="23" customHeight="1">
      <c r="A115" s="5" t="s">
        <v>25</v>
      </c>
      <c r="B115" s="6">
        <v>4</v>
      </c>
      <c r="C115" s="6">
        <v>1</v>
      </c>
      <c r="D115" s="6" t="s">
        <v>20</v>
      </c>
      <c r="E115" s="6">
        <v>114</v>
      </c>
      <c r="F115" s="6"/>
      <c r="G115" s="6">
        <v>672</v>
      </c>
      <c r="H115" s="6">
        <v>3</v>
      </c>
      <c r="I115" s="6" t="s">
        <v>26</v>
      </c>
      <c r="J115" s="7">
        <v>3088.8</v>
      </c>
      <c r="K115" s="6" t="s">
        <v>27</v>
      </c>
      <c r="L115" s="6" t="s">
        <v>23</v>
      </c>
    </row>
    <row r="116" spans="1:12" ht="23" customHeight="1">
      <c r="A116" s="5" t="s">
        <v>25</v>
      </c>
      <c r="B116" s="6">
        <v>4</v>
      </c>
      <c r="C116" s="6">
        <v>1</v>
      </c>
      <c r="D116" s="6" t="s">
        <v>20</v>
      </c>
      <c r="E116" s="6">
        <v>114</v>
      </c>
      <c r="F116" s="6"/>
      <c r="G116" s="6">
        <v>672</v>
      </c>
      <c r="H116" s="6">
        <v>4</v>
      </c>
      <c r="I116" s="6" t="s">
        <v>28</v>
      </c>
      <c r="J116" s="7">
        <v>3088.8</v>
      </c>
      <c r="K116" s="6" t="s">
        <v>27</v>
      </c>
      <c r="L116" s="6" t="s">
        <v>23</v>
      </c>
    </row>
    <row r="117" spans="1:12" ht="23" customHeight="1">
      <c r="A117" s="5" t="s">
        <v>25</v>
      </c>
      <c r="B117" s="6">
        <v>4</v>
      </c>
      <c r="C117" s="6">
        <v>1</v>
      </c>
      <c r="D117" s="6" t="s">
        <v>20</v>
      </c>
      <c r="E117" s="6">
        <v>115</v>
      </c>
      <c r="F117" s="6"/>
      <c r="G117" s="6">
        <v>673</v>
      </c>
      <c r="H117" s="6">
        <v>3</v>
      </c>
      <c r="I117" s="6" t="s">
        <v>26</v>
      </c>
      <c r="J117" s="7">
        <v>3088.8</v>
      </c>
      <c r="K117" s="6" t="s">
        <v>27</v>
      </c>
      <c r="L117" s="6" t="s">
        <v>23</v>
      </c>
    </row>
    <row r="118" spans="1:12" ht="23" customHeight="1">
      <c r="A118" s="5" t="s">
        <v>25</v>
      </c>
      <c r="B118" s="6">
        <v>4</v>
      </c>
      <c r="C118" s="6">
        <v>1</v>
      </c>
      <c r="D118" s="6" t="s">
        <v>20</v>
      </c>
      <c r="E118" s="6">
        <v>115</v>
      </c>
      <c r="F118" s="6"/>
      <c r="G118" s="6">
        <v>673</v>
      </c>
      <c r="H118" s="6">
        <v>4</v>
      </c>
      <c r="I118" s="6" t="s">
        <v>28</v>
      </c>
      <c r="J118" s="7">
        <v>3088.8</v>
      </c>
      <c r="K118" s="6" t="s">
        <v>27</v>
      </c>
      <c r="L118" s="6" t="s">
        <v>23</v>
      </c>
    </row>
    <row r="119" spans="1:12" ht="23" customHeight="1">
      <c r="A119" s="5" t="s">
        <v>25</v>
      </c>
      <c r="B119" s="6">
        <v>4</v>
      </c>
      <c r="C119" s="6">
        <v>1</v>
      </c>
      <c r="D119" s="6" t="s">
        <v>20</v>
      </c>
      <c r="E119" s="6">
        <v>116</v>
      </c>
      <c r="F119" s="6"/>
      <c r="G119" s="6">
        <v>674</v>
      </c>
      <c r="H119" s="6">
        <v>3</v>
      </c>
      <c r="I119" s="6" t="s">
        <v>26</v>
      </c>
      <c r="J119" s="7">
        <v>3088.8</v>
      </c>
      <c r="K119" s="6" t="s">
        <v>27</v>
      </c>
      <c r="L119" s="6" t="s">
        <v>23</v>
      </c>
    </row>
    <row r="120" spans="1:12" ht="23" customHeight="1">
      <c r="A120" s="5" t="s">
        <v>25</v>
      </c>
      <c r="B120" s="6">
        <v>4</v>
      </c>
      <c r="C120" s="6">
        <v>1</v>
      </c>
      <c r="D120" s="6" t="s">
        <v>20</v>
      </c>
      <c r="E120" s="6">
        <v>116</v>
      </c>
      <c r="F120" s="6"/>
      <c r="G120" s="6">
        <v>674</v>
      </c>
      <c r="H120" s="6">
        <v>4</v>
      </c>
      <c r="I120" s="6" t="s">
        <v>28</v>
      </c>
      <c r="J120" s="7">
        <v>3088.8</v>
      </c>
      <c r="K120" s="6" t="s">
        <v>27</v>
      </c>
      <c r="L120" s="6" t="s">
        <v>23</v>
      </c>
    </row>
    <row r="121" spans="1:12" ht="23" customHeight="1">
      <c r="A121" s="5" t="s">
        <v>25</v>
      </c>
      <c r="B121" s="6">
        <v>4</v>
      </c>
      <c r="C121" s="6">
        <v>1</v>
      </c>
      <c r="D121" s="6" t="s">
        <v>20</v>
      </c>
      <c r="E121" s="6">
        <v>117</v>
      </c>
      <c r="F121" s="6"/>
      <c r="G121" s="6">
        <v>675</v>
      </c>
      <c r="H121" s="6">
        <v>3</v>
      </c>
      <c r="I121" s="6" t="s">
        <v>26</v>
      </c>
      <c r="J121" s="7">
        <v>3088.8</v>
      </c>
      <c r="K121" s="6" t="s">
        <v>27</v>
      </c>
      <c r="L121" s="6" t="s">
        <v>23</v>
      </c>
    </row>
    <row r="122" spans="1:12" ht="23" customHeight="1">
      <c r="A122" s="5" t="s">
        <v>25</v>
      </c>
      <c r="B122" s="6">
        <v>4</v>
      </c>
      <c r="C122" s="6">
        <v>1</v>
      </c>
      <c r="D122" s="6" t="s">
        <v>20</v>
      </c>
      <c r="E122" s="6">
        <v>117</v>
      </c>
      <c r="F122" s="6"/>
      <c r="G122" s="6">
        <v>675</v>
      </c>
      <c r="H122" s="6">
        <v>4</v>
      </c>
      <c r="I122" s="6" t="s">
        <v>28</v>
      </c>
      <c r="J122" s="7">
        <v>3088.8</v>
      </c>
      <c r="K122" s="6" t="s">
        <v>27</v>
      </c>
      <c r="L122" s="6" t="s">
        <v>23</v>
      </c>
    </row>
    <row r="123" spans="1:12" ht="23" customHeight="1">
      <c r="A123" s="5" t="s">
        <v>25</v>
      </c>
      <c r="B123" s="6">
        <v>4</v>
      </c>
      <c r="C123" s="6">
        <v>1</v>
      </c>
      <c r="D123" s="6" t="s">
        <v>20</v>
      </c>
      <c r="E123" s="6">
        <v>118</v>
      </c>
      <c r="F123" s="6"/>
      <c r="G123" s="6">
        <v>676</v>
      </c>
      <c r="H123" s="6">
        <v>3</v>
      </c>
      <c r="I123" s="6" t="s">
        <v>26</v>
      </c>
      <c r="J123" s="7">
        <v>3088.8</v>
      </c>
      <c r="K123" s="6" t="s">
        <v>27</v>
      </c>
      <c r="L123" s="6" t="s">
        <v>23</v>
      </c>
    </row>
    <row r="124" spans="1:12" ht="23" customHeight="1">
      <c r="A124" s="5" t="s">
        <v>25</v>
      </c>
      <c r="B124" s="6">
        <v>4</v>
      </c>
      <c r="C124" s="6">
        <v>1</v>
      </c>
      <c r="D124" s="6" t="s">
        <v>20</v>
      </c>
      <c r="E124" s="6">
        <v>118</v>
      </c>
      <c r="F124" s="6"/>
      <c r="G124" s="6">
        <v>676</v>
      </c>
      <c r="H124" s="6">
        <v>4</v>
      </c>
      <c r="I124" s="6" t="s">
        <v>28</v>
      </c>
      <c r="J124" s="7">
        <v>3088.8</v>
      </c>
      <c r="K124" s="6" t="s">
        <v>27</v>
      </c>
      <c r="L124" s="6" t="s">
        <v>23</v>
      </c>
    </row>
    <row r="125" spans="1:12" ht="23" customHeight="1">
      <c r="A125" s="5" t="s">
        <v>25</v>
      </c>
      <c r="B125" s="6">
        <v>4</v>
      </c>
      <c r="C125" s="6">
        <v>1</v>
      </c>
      <c r="D125" s="6" t="s">
        <v>20</v>
      </c>
      <c r="E125" s="6">
        <v>119</v>
      </c>
      <c r="F125" s="6"/>
      <c r="G125" s="6">
        <v>677</v>
      </c>
      <c r="H125" s="6">
        <v>3</v>
      </c>
      <c r="I125" s="6" t="s">
        <v>26</v>
      </c>
      <c r="J125" s="7">
        <v>3088.8</v>
      </c>
      <c r="K125" s="6" t="s">
        <v>27</v>
      </c>
      <c r="L125" s="6" t="s">
        <v>23</v>
      </c>
    </row>
    <row r="126" spans="1:12" ht="23" customHeight="1">
      <c r="A126" s="5" t="s">
        <v>25</v>
      </c>
      <c r="B126" s="6">
        <v>4</v>
      </c>
      <c r="C126" s="6">
        <v>1</v>
      </c>
      <c r="D126" s="6" t="s">
        <v>20</v>
      </c>
      <c r="E126" s="6">
        <v>119</v>
      </c>
      <c r="F126" s="6"/>
      <c r="G126" s="6">
        <v>677</v>
      </c>
      <c r="H126" s="6">
        <v>4</v>
      </c>
      <c r="I126" s="6" t="s">
        <v>28</v>
      </c>
      <c r="J126" s="7">
        <v>3088.8</v>
      </c>
      <c r="K126" s="6" t="s">
        <v>27</v>
      </c>
      <c r="L126" s="6" t="s">
        <v>23</v>
      </c>
    </row>
    <row r="127" spans="1:12" ht="23" customHeight="1">
      <c r="A127" s="5" t="s">
        <v>25</v>
      </c>
      <c r="B127" s="6">
        <v>4</v>
      </c>
      <c r="C127" s="6">
        <v>1</v>
      </c>
      <c r="D127" s="6" t="s">
        <v>20</v>
      </c>
      <c r="E127" s="6">
        <v>120</v>
      </c>
      <c r="F127" s="6"/>
      <c r="G127" s="6">
        <v>678</v>
      </c>
      <c r="H127" s="6">
        <v>3</v>
      </c>
      <c r="I127" s="6" t="s">
        <v>26</v>
      </c>
      <c r="J127" s="7">
        <v>3088.8</v>
      </c>
      <c r="K127" s="6" t="s">
        <v>27</v>
      </c>
      <c r="L127" s="6" t="s">
        <v>23</v>
      </c>
    </row>
    <row r="128" spans="1:12" ht="23" customHeight="1">
      <c r="A128" s="5" t="s">
        <v>25</v>
      </c>
      <c r="B128" s="6">
        <v>4</v>
      </c>
      <c r="C128" s="6">
        <v>1</v>
      </c>
      <c r="D128" s="6" t="s">
        <v>20</v>
      </c>
      <c r="E128" s="6">
        <v>120</v>
      </c>
      <c r="F128" s="6"/>
      <c r="G128" s="6">
        <v>678</v>
      </c>
      <c r="H128" s="6">
        <v>4</v>
      </c>
      <c r="I128" s="6" t="s">
        <v>28</v>
      </c>
      <c r="J128" s="7">
        <v>3088.8</v>
      </c>
      <c r="K128" s="6" t="s">
        <v>27</v>
      </c>
      <c r="L128" s="6" t="s">
        <v>23</v>
      </c>
    </row>
    <row r="129" spans="1:12" ht="23" customHeight="1">
      <c r="A129" s="5" t="s">
        <v>25</v>
      </c>
      <c r="B129" s="6">
        <v>4</v>
      </c>
      <c r="C129" s="6">
        <v>1</v>
      </c>
      <c r="D129" s="6" t="s">
        <v>20</v>
      </c>
      <c r="E129" s="6">
        <v>121</v>
      </c>
      <c r="F129" s="6"/>
      <c r="G129" s="6">
        <v>679</v>
      </c>
      <c r="H129" s="6">
        <v>3</v>
      </c>
      <c r="I129" s="6" t="s">
        <v>26</v>
      </c>
      <c r="J129" s="7">
        <v>3088.8</v>
      </c>
      <c r="K129" s="6" t="s">
        <v>27</v>
      </c>
      <c r="L129" s="6" t="s">
        <v>23</v>
      </c>
    </row>
    <row r="130" spans="1:12" ht="23" customHeight="1">
      <c r="A130" s="5" t="s">
        <v>25</v>
      </c>
      <c r="B130" s="6">
        <v>4</v>
      </c>
      <c r="C130" s="6">
        <v>1</v>
      </c>
      <c r="D130" s="6" t="s">
        <v>20</v>
      </c>
      <c r="E130" s="6">
        <v>121</v>
      </c>
      <c r="F130" s="6"/>
      <c r="G130" s="6">
        <v>679</v>
      </c>
      <c r="H130" s="6">
        <v>4</v>
      </c>
      <c r="I130" s="6" t="s">
        <v>28</v>
      </c>
      <c r="J130" s="7">
        <v>3088.8</v>
      </c>
      <c r="K130" s="6" t="s">
        <v>27</v>
      </c>
      <c r="L130" s="6" t="s">
        <v>23</v>
      </c>
    </row>
    <row r="131" spans="1:12" ht="23" customHeight="1">
      <c r="A131" s="5" t="s">
        <v>25</v>
      </c>
      <c r="B131" s="6">
        <v>5</v>
      </c>
      <c r="C131" s="6">
        <v>2</v>
      </c>
      <c r="D131" s="6" t="s">
        <v>20</v>
      </c>
      <c r="E131" s="6">
        <v>123</v>
      </c>
      <c r="F131" s="6"/>
      <c r="G131" s="6">
        <v>681</v>
      </c>
      <c r="H131" s="6">
        <v>3</v>
      </c>
      <c r="I131" s="6" t="s">
        <v>26</v>
      </c>
      <c r="J131" s="7">
        <v>1005.1</v>
      </c>
      <c r="K131" s="6" t="s">
        <v>27</v>
      </c>
      <c r="L131" s="6" t="s">
        <v>24</v>
      </c>
    </row>
    <row r="132" spans="1:12" ht="23" customHeight="1">
      <c r="A132" s="5" t="s">
        <v>25</v>
      </c>
      <c r="B132" s="6">
        <v>5</v>
      </c>
      <c r="C132" s="6">
        <v>2</v>
      </c>
      <c r="D132" s="6" t="s">
        <v>20</v>
      </c>
      <c r="E132" s="6">
        <v>123</v>
      </c>
      <c r="F132" s="6"/>
      <c r="G132" s="6">
        <v>681</v>
      </c>
      <c r="H132" s="6">
        <v>4</v>
      </c>
      <c r="I132" s="6" t="s">
        <v>28</v>
      </c>
      <c r="J132" s="7">
        <v>1130.1</v>
      </c>
      <c r="K132" s="6" t="s">
        <v>27</v>
      </c>
      <c r="L132" s="6" t="s">
        <v>24</v>
      </c>
    </row>
    <row r="133" spans="1:12" ht="23" customHeight="1">
      <c r="A133" s="5" t="s">
        <v>25</v>
      </c>
      <c r="B133" s="6">
        <v>5</v>
      </c>
      <c r="C133" s="6">
        <v>2</v>
      </c>
      <c r="D133" s="6" t="s">
        <v>20</v>
      </c>
      <c r="E133" s="6">
        <v>124</v>
      </c>
      <c r="F133" s="6"/>
      <c r="G133" s="6">
        <v>682</v>
      </c>
      <c r="H133" s="6">
        <v>3</v>
      </c>
      <c r="I133" s="6" t="s">
        <v>26</v>
      </c>
      <c r="J133" s="7">
        <v>1719.1</v>
      </c>
      <c r="K133" s="6" t="s">
        <v>27</v>
      </c>
      <c r="L133" s="6" t="s">
        <v>24</v>
      </c>
    </row>
    <row r="134" spans="1:12" ht="23" customHeight="1">
      <c r="A134" s="5" t="s">
        <v>25</v>
      </c>
      <c r="B134" s="6">
        <v>5</v>
      </c>
      <c r="C134" s="6">
        <v>2</v>
      </c>
      <c r="D134" s="6" t="s">
        <v>20</v>
      </c>
      <c r="E134" s="6">
        <v>124</v>
      </c>
      <c r="F134" s="6"/>
      <c r="G134" s="6">
        <v>682</v>
      </c>
      <c r="H134" s="6">
        <v>4</v>
      </c>
      <c r="I134" s="6" t="s">
        <v>28</v>
      </c>
      <c r="J134" s="7">
        <v>1719.1</v>
      </c>
      <c r="K134" s="6" t="s">
        <v>27</v>
      </c>
      <c r="L134" s="6" t="s">
        <v>24</v>
      </c>
    </row>
    <row r="135" spans="1:12" ht="23" customHeight="1">
      <c r="A135" s="5" t="s">
        <v>25</v>
      </c>
      <c r="B135" s="6">
        <v>5</v>
      </c>
      <c r="C135" s="6">
        <v>2</v>
      </c>
      <c r="D135" s="6" t="s">
        <v>20</v>
      </c>
      <c r="E135" s="6">
        <v>125</v>
      </c>
      <c r="F135" s="6"/>
      <c r="G135" s="6">
        <v>683</v>
      </c>
      <c r="H135" s="6">
        <v>3</v>
      </c>
      <c r="I135" s="6" t="s">
        <v>26</v>
      </c>
      <c r="J135" s="7">
        <v>1285.3</v>
      </c>
      <c r="K135" s="6" t="s">
        <v>27</v>
      </c>
      <c r="L135" s="6" t="s">
        <v>24</v>
      </c>
    </row>
    <row r="136" spans="1:12" ht="23" customHeight="1">
      <c r="A136" s="5" t="s">
        <v>25</v>
      </c>
      <c r="B136" s="6">
        <v>5</v>
      </c>
      <c r="C136" s="6">
        <v>2</v>
      </c>
      <c r="D136" s="6" t="s">
        <v>20</v>
      </c>
      <c r="E136" s="6">
        <v>125</v>
      </c>
      <c r="F136" s="6"/>
      <c r="G136" s="6">
        <v>683</v>
      </c>
      <c r="H136" s="6">
        <v>4</v>
      </c>
      <c r="I136" s="6" t="s">
        <v>28</v>
      </c>
      <c r="J136" s="7">
        <v>1285.3</v>
      </c>
      <c r="K136" s="6" t="s">
        <v>27</v>
      </c>
      <c r="L136" s="6" t="s">
        <v>24</v>
      </c>
    </row>
    <row r="137" spans="1:12" ht="23" customHeight="1">
      <c r="A137" s="5" t="s">
        <v>25</v>
      </c>
      <c r="B137" s="6">
        <v>5</v>
      </c>
      <c r="C137" s="6">
        <v>2</v>
      </c>
      <c r="D137" s="6" t="s">
        <v>20</v>
      </c>
      <c r="E137" s="6">
        <v>126</v>
      </c>
      <c r="F137" s="6"/>
      <c r="G137" s="6">
        <v>684</v>
      </c>
      <c r="H137" s="6">
        <v>3</v>
      </c>
      <c r="I137" s="6" t="s">
        <v>26</v>
      </c>
      <c r="J137" s="7">
        <v>1170</v>
      </c>
      <c r="K137" s="6" t="s">
        <v>27</v>
      </c>
      <c r="L137" s="6" t="s">
        <v>24</v>
      </c>
    </row>
    <row r="138" spans="1:12" ht="23" customHeight="1">
      <c r="A138" s="5" t="s">
        <v>25</v>
      </c>
      <c r="B138" s="6">
        <v>5</v>
      </c>
      <c r="C138" s="6">
        <v>2</v>
      </c>
      <c r="D138" s="6" t="s">
        <v>20</v>
      </c>
      <c r="E138" s="6">
        <v>126</v>
      </c>
      <c r="F138" s="6"/>
      <c r="G138" s="6">
        <v>684</v>
      </c>
      <c r="H138" s="6">
        <v>4</v>
      </c>
      <c r="I138" s="6" t="s">
        <v>28</v>
      </c>
      <c r="J138" s="7">
        <v>1170</v>
      </c>
      <c r="K138" s="6" t="s">
        <v>27</v>
      </c>
      <c r="L138" s="6" t="s">
        <v>24</v>
      </c>
    </row>
    <row r="139" spans="1:12" ht="23" customHeight="1">
      <c r="A139" s="5" t="s">
        <v>25</v>
      </c>
      <c r="B139" s="6">
        <v>5</v>
      </c>
      <c r="C139" s="6">
        <v>2</v>
      </c>
      <c r="D139" s="6" t="s">
        <v>20</v>
      </c>
      <c r="E139" s="6">
        <v>127</v>
      </c>
      <c r="F139" s="6"/>
      <c r="G139" s="6">
        <v>685</v>
      </c>
      <c r="H139" s="6">
        <v>3</v>
      </c>
      <c r="I139" s="6" t="s">
        <v>26</v>
      </c>
      <c r="J139" s="7">
        <v>1732.3</v>
      </c>
      <c r="K139" s="6" t="s">
        <v>27</v>
      </c>
      <c r="L139" s="6" t="s">
        <v>24</v>
      </c>
    </row>
    <row r="140" spans="1:12" ht="23" customHeight="1">
      <c r="A140" s="5" t="s">
        <v>25</v>
      </c>
      <c r="B140" s="6">
        <v>5</v>
      </c>
      <c r="C140" s="6">
        <v>2</v>
      </c>
      <c r="D140" s="6" t="s">
        <v>20</v>
      </c>
      <c r="E140" s="6">
        <v>127</v>
      </c>
      <c r="F140" s="6"/>
      <c r="G140" s="6">
        <v>685</v>
      </c>
      <c r="H140" s="6">
        <v>4</v>
      </c>
      <c r="I140" s="6" t="s">
        <v>28</v>
      </c>
      <c r="J140" s="7">
        <v>1732.3</v>
      </c>
      <c r="K140" s="6" t="s">
        <v>27</v>
      </c>
      <c r="L140" s="6" t="s">
        <v>24</v>
      </c>
    </row>
    <row r="141" spans="1:12" ht="23" customHeight="1">
      <c r="A141" s="5" t="s">
        <v>25</v>
      </c>
      <c r="B141" s="6">
        <v>5</v>
      </c>
      <c r="C141" s="6">
        <v>2</v>
      </c>
      <c r="D141" s="6" t="s">
        <v>20</v>
      </c>
      <c r="E141" s="6">
        <v>128</v>
      </c>
      <c r="F141" s="6"/>
      <c r="G141" s="6">
        <v>686</v>
      </c>
      <c r="H141" s="6">
        <v>3</v>
      </c>
      <c r="I141" s="6" t="s">
        <v>26</v>
      </c>
      <c r="J141" s="7">
        <v>2137.2</v>
      </c>
      <c r="K141" s="6" t="s">
        <v>27</v>
      </c>
      <c r="L141" s="6" t="s">
        <v>24</v>
      </c>
    </row>
    <row r="142" spans="1:12" ht="23" customHeight="1">
      <c r="A142" s="5" t="s">
        <v>25</v>
      </c>
      <c r="B142" s="6">
        <v>5</v>
      </c>
      <c r="C142" s="6">
        <v>2</v>
      </c>
      <c r="D142" s="6" t="s">
        <v>20</v>
      </c>
      <c r="E142" s="6">
        <v>128</v>
      </c>
      <c r="F142" s="6"/>
      <c r="G142" s="6">
        <v>686</v>
      </c>
      <c r="H142" s="6">
        <v>4</v>
      </c>
      <c r="I142" s="6" t="s">
        <v>28</v>
      </c>
      <c r="J142" s="7">
        <v>2310.9</v>
      </c>
      <c r="K142" s="6" t="s">
        <v>27</v>
      </c>
      <c r="L142" s="6" t="s">
        <v>24</v>
      </c>
    </row>
    <row r="143" spans="1:12" ht="23" customHeight="1">
      <c r="A143" s="5" t="s">
        <v>25</v>
      </c>
      <c r="B143" s="6">
        <v>5</v>
      </c>
      <c r="C143" s="6">
        <v>2</v>
      </c>
      <c r="D143" s="6" t="s">
        <v>20</v>
      </c>
      <c r="E143" s="6">
        <v>129</v>
      </c>
      <c r="F143" s="6"/>
      <c r="G143" s="6">
        <v>687</v>
      </c>
      <c r="H143" s="6">
        <v>3</v>
      </c>
      <c r="I143" s="6" t="s">
        <v>26</v>
      </c>
      <c r="J143" s="7">
        <v>3391.1</v>
      </c>
      <c r="K143" s="6" t="s">
        <v>27</v>
      </c>
      <c r="L143" s="6" t="s">
        <v>24</v>
      </c>
    </row>
    <row r="144" spans="1:12" ht="23" customHeight="1">
      <c r="A144" s="5" t="s">
        <v>25</v>
      </c>
      <c r="B144" s="6">
        <v>5</v>
      </c>
      <c r="C144" s="6">
        <v>2</v>
      </c>
      <c r="D144" s="6" t="s">
        <v>20</v>
      </c>
      <c r="E144" s="6">
        <v>129</v>
      </c>
      <c r="F144" s="6"/>
      <c r="G144" s="6">
        <v>687</v>
      </c>
      <c r="H144" s="6">
        <v>4</v>
      </c>
      <c r="I144" s="6" t="s">
        <v>28</v>
      </c>
      <c r="J144" s="7">
        <v>3391.1</v>
      </c>
      <c r="K144" s="6" t="s">
        <v>27</v>
      </c>
      <c r="L144" s="6" t="s">
        <v>24</v>
      </c>
    </row>
    <row r="145" spans="1:12" ht="23" customHeight="1">
      <c r="A145" s="5" t="s">
        <v>25</v>
      </c>
      <c r="B145" s="6">
        <v>5</v>
      </c>
      <c r="C145" s="6">
        <v>2</v>
      </c>
      <c r="D145" s="6" t="s">
        <v>20</v>
      </c>
      <c r="E145" s="6">
        <v>130</v>
      </c>
      <c r="F145" s="6"/>
      <c r="G145" s="6">
        <v>688</v>
      </c>
      <c r="H145" s="6">
        <v>3</v>
      </c>
      <c r="I145" s="6" t="s">
        <v>26</v>
      </c>
      <c r="J145" s="7">
        <v>2576.3</v>
      </c>
      <c r="K145" s="6" t="s">
        <v>27</v>
      </c>
      <c r="L145" s="6" t="s">
        <v>24</v>
      </c>
    </row>
    <row r="146" spans="1:12" ht="23" customHeight="1">
      <c r="A146" s="5" t="s">
        <v>25</v>
      </c>
      <c r="B146" s="6">
        <v>5</v>
      </c>
      <c r="C146" s="6">
        <v>2</v>
      </c>
      <c r="D146" s="6" t="s">
        <v>20</v>
      </c>
      <c r="E146" s="6">
        <v>130</v>
      </c>
      <c r="F146" s="6"/>
      <c r="G146" s="6">
        <v>688</v>
      </c>
      <c r="H146" s="6">
        <v>4</v>
      </c>
      <c r="I146" s="6" t="s">
        <v>28</v>
      </c>
      <c r="J146" s="7">
        <v>2757.7</v>
      </c>
      <c r="K146" s="6" t="s">
        <v>27</v>
      </c>
      <c r="L146" s="6" t="s">
        <v>24</v>
      </c>
    </row>
    <row r="147" spans="1:12" ht="23" customHeight="1">
      <c r="A147" s="5" t="s">
        <v>25</v>
      </c>
      <c r="B147" s="6">
        <v>5</v>
      </c>
      <c r="C147" s="6">
        <v>2</v>
      </c>
      <c r="D147" s="6" t="s">
        <v>20</v>
      </c>
      <c r="E147" s="6">
        <v>131</v>
      </c>
      <c r="F147" s="6"/>
      <c r="G147" s="6">
        <v>689</v>
      </c>
      <c r="H147" s="6">
        <v>3</v>
      </c>
      <c r="I147" s="6" t="s">
        <v>26</v>
      </c>
      <c r="J147" s="7">
        <v>2757.7</v>
      </c>
      <c r="K147" s="6" t="s">
        <v>27</v>
      </c>
      <c r="L147" s="6" t="s">
        <v>24</v>
      </c>
    </row>
    <row r="148" spans="1:12" ht="23" customHeight="1">
      <c r="A148" s="5" t="s">
        <v>25</v>
      </c>
      <c r="B148" s="6">
        <v>5</v>
      </c>
      <c r="C148" s="6">
        <v>2</v>
      </c>
      <c r="D148" s="6" t="s">
        <v>20</v>
      </c>
      <c r="E148" s="6">
        <v>131</v>
      </c>
      <c r="F148" s="6"/>
      <c r="G148" s="6">
        <v>689</v>
      </c>
      <c r="H148" s="6">
        <v>4</v>
      </c>
      <c r="I148" s="6" t="s">
        <v>28</v>
      </c>
      <c r="J148" s="7">
        <v>2939.2</v>
      </c>
      <c r="K148" s="6" t="s">
        <v>27</v>
      </c>
      <c r="L148" s="6" t="s">
        <v>24</v>
      </c>
    </row>
    <row r="149" spans="1:12" ht="23" customHeight="1">
      <c r="A149" s="5" t="s">
        <v>25</v>
      </c>
      <c r="B149" s="6">
        <v>5</v>
      </c>
      <c r="C149" s="6">
        <v>2</v>
      </c>
      <c r="D149" s="6" t="s">
        <v>20</v>
      </c>
      <c r="E149" s="6">
        <v>132</v>
      </c>
      <c r="F149" s="6"/>
      <c r="G149" s="6">
        <v>690</v>
      </c>
      <c r="H149" s="6">
        <v>3</v>
      </c>
      <c r="I149" s="6" t="s">
        <v>26</v>
      </c>
      <c r="J149" s="7">
        <v>2939.2</v>
      </c>
      <c r="K149" s="6" t="s">
        <v>27</v>
      </c>
      <c r="L149" s="6" t="s">
        <v>24</v>
      </c>
    </row>
    <row r="150" spans="1:12" ht="23" customHeight="1">
      <c r="A150" s="5" t="s">
        <v>25</v>
      </c>
      <c r="B150" s="6">
        <v>5</v>
      </c>
      <c r="C150" s="6">
        <v>2</v>
      </c>
      <c r="D150" s="6" t="s">
        <v>20</v>
      </c>
      <c r="E150" s="6">
        <v>132</v>
      </c>
      <c r="F150" s="6"/>
      <c r="G150" s="6">
        <v>690</v>
      </c>
      <c r="H150" s="6">
        <v>4</v>
      </c>
      <c r="I150" s="6" t="s">
        <v>28</v>
      </c>
      <c r="J150" s="7">
        <v>3120.6</v>
      </c>
      <c r="K150" s="6" t="s">
        <v>27</v>
      </c>
      <c r="L150" s="6" t="s">
        <v>24</v>
      </c>
    </row>
    <row r="151" spans="1:12" ht="23" customHeight="1">
      <c r="A151" s="5" t="s">
        <v>25</v>
      </c>
      <c r="B151" s="6">
        <v>5</v>
      </c>
      <c r="C151" s="6">
        <v>2</v>
      </c>
      <c r="D151" s="6" t="s">
        <v>20</v>
      </c>
      <c r="E151" s="6">
        <v>133</v>
      </c>
      <c r="F151" s="6"/>
      <c r="G151" s="6">
        <v>691</v>
      </c>
      <c r="H151" s="6">
        <v>3</v>
      </c>
      <c r="I151" s="6" t="s">
        <v>26</v>
      </c>
      <c r="J151" s="7">
        <v>3120.6</v>
      </c>
      <c r="K151" s="6" t="s">
        <v>27</v>
      </c>
      <c r="L151" s="6" t="s">
        <v>24</v>
      </c>
    </row>
    <row r="152" spans="1:12" ht="23" customHeight="1">
      <c r="A152" s="5" t="s">
        <v>25</v>
      </c>
      <c r="B152" s="6">
        <v>5</v>
      </c>
      <c r="C152" s="6">
        <v>2</v>
      </c>
      <c r="D152" s="6" t="s">
        <v>20</v>
      </c>
      <c r="E152" s="6">
        <v>133</v>
      </c>
      <c r="F152" s="6"/>
      <c r="G152" s="6">
        <v>691</v>
      </c>
      <c r="H152" s="6">
        <v>4</v>
      </c>
      <c r="I152" s="6" t="s">
        <v>28</v>
      </c>
      <c r="J152" s="7">
        <v>3302</v>
      </c>
      <c r="K152" s="6" t="s">
        <v>27</v>
      </c>
      <c r="L152" s="6" t="s">
        <v>24</v>
      </c>
    </row>
    <row r="153" spans="1:12" ht="23" customHeight="1">
      <c r="A153" s="5" t="s">
        <v>25</v>
      </c>
      <c r="B153" s="6">
        <v>5</v>
      </c>
      <c r="C153" s="6">
        <v>2</v>
      </c>
      <c r="D153" s="6" t="s">
        <v>20</v>
      </c>
      <c r="E153" s="6">
        <v>134</v>
      </c>
      <c r="F153" s="6"/>
      <c r="G153" s="6">
        <v>692</v>
      </c>
      <c r="H153" s="6">
        <v>3</v>
      </c>
      <c r="I153" s="6" t="s">
        <v>26</v>
      </c>
      <c r="J153" s="7">
        <v>3302</v>
      </c>
      <c r="K153" s="6" t="s">
        <v>27</v>
      </c>
      <c r="L153" s="6" t="s">
        <v>24</v>
      </c>
    </row>
    <row r="154" spans="1:12" ht="23" customHeight="1">
      <c r="A154" s="5" t="s">
        <v>25</v>
      </c>
      <c r="B154" s="6">
        <v>5</v>
      </c>
      <c r="C154" s="6">
        <v>2</v>
      </c>
      <c r="D154" s="6" t="s">
        <v>20</v>
      </c>
      <c r="E154" s="6">
        <v>134</v>
      </c>
      <c r="F154" s="6"/>
      <c r="G154" s="6">
        <v>692</v>
      </c>
      <c r="H154" s="6">
        <v>4</v>
      </c>
      <c r="I154" s="6" t="s">
        <v>28</v>
      </c>
      <c r="J154" s="7">
        <v>3483.4</v>
      </c>
      <c r="K154" s="6" t="s">
        <v>27</v>
      </c>
      <c r="L154" s="6" t="s">
        <v>24</v>
      </c>
    </row>
    <row r="155" spans="1:12" ht="23" customHeight="1">
      <c r="A155" s="5" t="s">
        <v>25</v>
      </c>
      <c r="B155" s="6">
        <v>5</v>
      </c>
      <c r="C155" s="6">
        <v>2</v>
      </c>
      <c r="D155" s="6" t="s">
        <v>20</v>
      </c>
      <c r="E155" s="6">
        <v>135</v>
      </c>
      <c r="F155" s="6"/>
      <c r="G155" s="6">
        <v>693</v>
      </c>
      <c r="H155" s="6">
        <v>3</v>
      </c>
      <c r="I155" s="6" t="s">
        <v>26</v>
      </c>
      <c r="J155" s="7">
        <v>3483.4</v>
      </c>
      <c r="K155" s="6" t="s">
        <v>27</v>
      </c>
      <c r="L155" s="6" t="s">
        <v>24</v>
      </c>
    </row>
    <row r="156" spans="1:12" ht="23" customHeight="1">
      <c r="A156" s="5" t="s">
        <v>25</v>
      </c>
      <c r="B156" s="6">
        <v>5</v>
      </c>
      <c r="C156" s="6">
        <v>2</v>
      </c>
      <c r="D156" s="6" t="s">
        <v>20</v>
      </c>
      <c r="E156" s="6">
        <v>135</v>
      </c>
      <c r="F156" s="6"/>
      <c r="G156" s="6">
        <v>693</v>
      </c>
      <c r="H156" s="6">
        <v>4</v>
      </c>
      <c r="I156" s="6" t="s">
        <v>28</v>
      </c>
      <c r="J156" s="7">
        <v>3664.9</v>
      </c>
      <c r="K156" s="6" t="s">
        <v>27</v>
      </c>
      <c r="L156" s="6" t="s">
        <v>24</v>
      </c>
    </row>
    <row r="157" spans="1:12" ht="23" customHeight="1">
      <c r="A157" s="5" t="s">
        <v>25</v>
      </c>
      <c r="B157" s="6">
        <v>5</v>
      </c>
      <c r="C157" s="6">
        <v>2</v>
      </c>
      <c r="D157" s="6" t="s">
        <v>20</v>
      </c>
      <c r="E157" s="6">
        <v>136</v>
      </c>
      <c r="F157" s="6"/>
      <c r="G157" s="6">
        <v>694</v>
      </c>
      <c r="H157" s="6">
        <v>3</v>
      </c>
      <c r="I157" s="6" t="s">
        <v>26</v>
      </c>
      <c r="J157" s="7">
        <v>3664.9</v>
      </c>
      <c r="K157" s="6" t="s">
        <v>27</v>
      </c>
      <c r="L157" s="6" t="s">
        <v>24</v>
      </c>
    </row>
    <row r="158" spans="1:12" ht="23" customHeight="1">
      <c r="A158" s="5" t="s">
        <v>25</v>
      </c>
      <c r="B158" s="6">
        <v>5</v>
      </c>
      <c r="C158" s="6">
        <v>2</v>
      </c>
      <c r="D158" s="6" t="s">
        <v>20</v>
      </c>
      <c r="E158" s="6">
        <v>136</v>
      </c>
      <c r="F158" s="6"/>
      <c r="G158" s="6">
        <v>694</v>
      </c>
      <c r="H158" s="6">
        <v>4</v>
      </c>
      <c r="I158" s="6" t="s">
        <v>28</v>
      </c>
      <c r="J158" s="7">
        <v>3846.3</v>
      </c>
      <c r="K158" s="6" t="s">
        <v>27</v>
      </c>
      <c r="L158" s="6" t="s">
        <v>24</v>
      </c>
    </row>
    <row r="159" spans="1:12" ht="23" customHeight="1">
      <c r="A159" s="5" t="s">
        <v>25</v>
      </c>
      <c r="B159" s="6">
        <v>5</v>
      </c>
      <c r="C159" s="6">
        <v>2</v>
      </c>
      <c r="D159" s="6" t="s">
        <v>20</v>
      </c>
      <c r="E159" s="6">
        <v>137</v>
      </c>
      <c r="F159" s="6"/>
      <c r="G159" s="6">
        <v>695</v>
      </c>
      <c r="H159" s="6">
        <v>3</v>
      </c>
      <c r="I159" s="6" t="s">
        <v>26</v>
      </c>
      <c r="J159" s="7">
        <v>2336.3</v>
      </c>
      <c r="K159" s="6" t="s">
        <v>27</v>
      </c>
      <c r="L159" s="6" t="s">
        <v>24</v>
      </c>
    </row>
    <row r="160" spans="1:12" ht="23" customHeight="1">
      <c r="A160" s="5" t="s">
        <v>25</v>
      </c>
      <c r="B160" s="6">
        <v>5</v>
      </c>
      <c r="C160" s="6">
        <v>2</v>
      </c>
      <c r="D160" s="6" t="s">
        <v>20</v>
      </c>
      <c r="E160" s="6">
        <v>137</v>
      </c>
      <c r="F160" s="6"/>
      <c r="G160" s="6">
        <v>695</v>
      </c>
      <c r="H160" s="6">
        <v>4</v>
      </c>
      <c r="I160" s="6" t="s">
        <v>28</v>
      </c>
      <c r="J160" s="7">
        <v>2336.3</v>
      </c>
      <c r="K160" s="6" t="s">
        <v>27</v>
      </c>
      <c r="L160" s="6" t="s">
        <v>24</v>
      </c>
    </row>
    <row r="161" spans="1:12" ht="23" customHeight="1">
      <c r="A161" s="5" t="s">
        <v>25</v>
      </c>
      <c r="B161" s="6">
        <v>5</v>
      </c>
      <c r="C161" s="6">
        <v>2</v>
      </c>
      <c r="D161" s="6" t="s">
        <v>20</v>
      </c>
      <c r="E161" s="6">
        <v>138</v>
      </c>
      <c r="F161" s="6"/>
      <c r="G161" s="6">
        <v>696</v>
      </c>
      <c r="H161" s="6">
        <v>3</v>
      </c>
      <c r="I161" s="6" t="s">
        <v>26</v>
      </c>
      <c r="J161" s="7">
        <v>2059.2</v>
      </c>
      <c r="K161" s="6" t="s">
        <v>27</v>
      </c>
      <c r="L161" s="6" t="s">
        <v>23</v>
      </c>
    </row>
    <row r="162" spans="1:12" ht="23" customHeight="1">
      <c r="A162" s="5" t="s">
        <v>25</v>
      </c>
      <c r="B162" s="6">
        <v>5</v>
      </c>
      <c r="C162" s="6">
        <v>2</v>
      </c>
      <c r="D162" s="6" t="s">
        <v>20</v>
      </c>
      <c r="E162" s="6">
        <v>138</v>
      </c>
      <c r="F162" s="6"/>
      <c r="G162" s="6">
        <v>696</v>
      </c>
      <c r="H162" s="6">
        <v>4</v>
      </c>
      <c r="I162" s="6" t="s">
        <v>28</v>
      </c>
      <c r="J162" s="7">
        <v>2059.2</v>
      </c>
      <c r="K162" s="6" t="s">
        <v>27</v>
      </c>
      <c r="L162" s="6" t="s">
        <v>23</v>
      </c>
    </row>
    <row r="163" spans="1:12" ht="23" customHeight="1">
      <c r="A163" s="5" t="s">
        <v>25</v>
      </c>
      <c r="B163" s="6">
        <v>5</v>
      </c>
      <c r="C163" s="6">
        <v>2</v>
      </c>
      <c r="D163" s="6" t="s">
        <v>20</v>
      </c>
      <c r="E163" s="6">
        <v>139</v>
      </c>
      <c r="F163" s="6"/>
      <c r="G163" s="6">
        <v>697</v>
      </c>
      <c r="H163" s="6">
        <v>3</v>
      </c>
      <c r="I163" s="6" t="s">
        <v>26</v>
      </c>
      <c r="J163" s="7">
        <v>2059.2</v>
      </c>
      <c r="K163" s="6" t="s">
        <v>27</v>
      </c>
      <c r="L163" s="6" t="s">
        <v>23</v>
      </c>
    </row>
    <row r="164" spans="1:12" ht="23" customHeight="1">
      <c r="A164" s="5" t="s">
        <v>25</v>
      </c>
      <c r="B164" s="6">
        <v>5</v>
      </c>
      <c r="C164" s="6">
        <v>2</v>
      </c>
      <c r="D164" s="6" t="s">
        <v>20</v>
      </c>
      <c r="E164" s="6">
        <v>139</v>
      </c>
      <c r="F164" s="6"/>
      <c r="G164" s="6">
        <v>697</v>
      </c>
      <c r="H164" s="6">
        <v>4</v>
      </c>
      <c r="I164" s="6" t="s">
        <v>28</v>
      </c>
      <c r="J164" s="7">
        <v>2059.2</v>
      </c>
      <c r="K164" s="6" t="s">
        <v>27</v>
      </c>
      <c r="L164" s="6" t="s">
        <v>23</v>
      </c>
    </row>
    <row r="165" spans="1:12" ht="23" customHeight="1">
      <c r="A165" s="5" t="s">
        <v>25</v>
      </c>
      <c r="B165" s="6">
        <v>5</v>
      </c>
      <c r="C165" s="6">
        <v>2</v>
      </c>
      <c r="D165" s="6" t="s">
        <v>20</v>
      </c>
      <c r="E165" s="6">
        <v>140</v>
      </c>
      <c r="F165" s="6"/>
      <c r="G165" s="6">
        <v>698</v>
      </c>
      <c r="H165" s="6">
        <v>3</v>
      </c>
      <c r="I165" s="6" t="s">
        <v>26</v>
      </c>
      <c r="J165" s="7">
        <v>2059.2</v>
      </c>
      <c r="K165" s="6" t="s">
        <v>27</v>
      </c>
      <c r="L165" s="6" t="s">
        <v>23</v>
      </c>
    </row>
    <row r="166" spans="1:12" ht="23" customHeight="1">
      <c r="A166" s="5" t="s">
        <v>25</v>
      </c>
      <c r="B166" s="6">
        <v>5</v>
      </c>
      <c r="C166" s="6">
        <v>2</v>
      </c>
      <c r="D166" s="6" t="s">
        <v>20</v>
      </c>
      <c r="E166" s="6">
        <v>140</v>
      </c>
      <c r="F166" s="6"/>
      <c r="G166" s="6">
        <v>698</v>
      </c>
      <c r="H166" s="6">
        <v>4</v>
      </c>
      <c r="I166" s="6" t="s">
        <v>28</v>
      </c>
      <c r="J166" s="7">
        <v>2059.2</v>
      </c>
      <c r="K166" s="6" t="s">
        <v>27</v>
      </c>
      <c r="L166" s="6" t="s">
        <v>23</v>
      </c>
    </row>
    <row r="167" spans="1:12" ht="23" customHeight="1">
      <c r="A167" s="5" t="s">
        <v>25</v>
      </c>
      <c r="B167" s="6">
        <v>5</v>
      </c>
      <c r="C167" s="6">
        <v>2</v>
      </c>
      <c r="D167" s="6" t="s">
        <v>20</v>
      </c>
      <c r="E167" s="6">
        <v>141</v>
      </c>
      <c r="F167" s="6"/>
      <c r="G167" s="6">
        <v>699</v>
      </c>
      <c r="H167" s="6">
        <v>3</v>
      </c>
      <c r="I167" s="6" t="s">
        <v>26</v>
      </c>
      <c r="J167" s="7">
        <v>2059.2</v>
      </c>
      <c r="K167" s="6" t="s">
        <v>27</v>
      </c>
      <c r="L167" s="6" t="s">
        <v>23</v>
      </c>
    </row>
    <row r="168" spans="1:12" ht="23" customHeight="1">
      <c r="A168" s="5" t="s">
        <v>25</v>
      </c>
      <c r="B168" s="6">
        <v>5</v>
      </c>
      <c r="C168" s="6">
        <v>2</v>
      </c>
      <c r="D168" s="6" t="s">
        <v>20</v>
      </c>
      <c r="E168" s="6">
        <v>141</v>
      </c>
      <c r="F168" s="6"/>
      <c r="G168" s="6">
        <v>699</v>
      </c>
      <c r="H168" s="6">
        <v>4</v>
      </c>
      <c r="I168" s="6" t="s">
        <v>28</v>
      </c>
      <c r="J168" s="7">
        <v>2059.2</v>
      </c>
      <c r="K168" s="6" t="s">
        <v>27</v>
      </c>
      <c r="L168" s="6" t="s">
        <v>23</v>
      </c>
    </row>
    <row r="169" spans="1:12" ht="23" customHeight="1">
      <c r="A169" s="5" t="s">
        <v>25</v>
      </c>
      <c r="B169" s="6">
        <v>5</v>
      </c>
      <c r="C169" s="6">
        <v>2</v>
      </c>
      <c r="D169" s="6" t="s">
        <v>20</v>
      </c>
      <c r="E169" s="6">
        <v>142</v>
      </c>
      <c r="F169" s="6"/>
      <c r="G169" s="6">
        <v>700</v>
      </c>
      <c r="H169" s="6">
        <v>3</v>
      </c>
      <c r="I169" s="6" t="s">
        <v>26</v>
      </c>
      <c r="J169" s="7">
        <v>2059.2</v>
      </c>
      <c r="K169" s="6" t="s">
        <v>27</v>
      </c>
      <c r="L169" s="6" t="s">
        <v>23</v>
      </c>
    </row>
    <row r="170" spans="1:12" ht="23" customHeight="1">
      <c r="A170" s="5" t="s">
        <v>25</v>
      </c>
      <c r="B170" s="6">
        <v>5</v>
      </c>
      <c r="C170" s="6">
        <v>2</v>
      </c>
      <c r="D170" s="6" t="s">
        <v>20</v>
      </c>
      <c r="E170" s="6">
        <v>142</v>
      </c>
      <c r="F170" s="6"/>
      <c r="G170" s="6">
        <v>700</v>
      </c>
      <c r="H170" s="6">
        <v>4</v>
      </c>
      <c r="I170" s="6" t="s">
        <v>28</v>
      </c>
      <c r="J170" s="7">
        <v>2059.2</v>
      </c>
      <c r="K170" s="6" t="s">
        <v>27</v>
      </c>
      <c r="L170" s="6" t="s">
        <v>23</v>
      </c>
    </row>
    <row r="171" spans="1:12" ht="23" customHeight="1">
      <c r="A171" s="5" t="s">
        <v>25</v>
      </c>
      <c r="B171" s="6">
        <v>5</v>
      </c>
      <c r="C171" s="6">
        <v>2</v>
      </c>
      <c r="D171" s="6" t="s">
        <v>20</v>
      </c>
      <c r="E171" s="6">
        <v>143</v>
      </c>
      <c r="F171" s="6"/>
      <c r="G171" s="6">
        <v>701</v>
      </c>
      <c r="H171" s="6">
        <v>3</v>
      </c>
      <c r="I171" s="6" t="s">
        <v>26</v>
      </c>
      <c r="J171" s="7">
        <v>2059.2</v>
      </c>
      <c r="K171" s="6" t="s">
        <v>27</v>
      </c>
      <c r="L171" s="6" t="s">
        <v>23</v>
      </c>
    </row>
    <row r="172" spans="1:12" ht="23" customHeight="1">
      <c r="A172" s="5" t="s">
        <v>25</v>
      </c>
      <c r="B172" s="6">
        <v>5</v>
      </c>
      <c r="C172" s="6">
        <v>2</v>
      </c>
      <c r="D172" s="6" t="s">
        <v>20</v>
      </c>
      <c r="E172" s="6">
        <v>143</v>
      </c>
      <c r="F172" s="6"/>
      <c r="G172" s="6">
        <v>701</v>
      </c>
      <c r="H172" s="6">
        <v>4</v>
      </c>
      <c r="I172" s="6" t="s">
        <v>28</v>
      </c>
      <c r="J172" s="7">
        <v>2059.2</v>
      </c>
      <c r="K172" s="6" t="s">
        <v>27</v>
      </c>
      <c r="L172" s="6" t="s">
        <v>23</v>
      </c>
    </row>
    <row r="173" spans="1:12" ht="23" customHeight="1">
      <c r="A173" s="5" t="s">
        <v>25</v>
      </c>
      <c r="B173" s="6">
        <v>5</v>
      </c>
      <c r="C173" s="6">
        <v>2</v>
      </c>
      <c r="D173" s="6" t="s">
        <v>20</v>
      </c>
      <c r="E173" s="6">
        <v>144</v>
      </c>
      <c r="F173" s="6"/>
      <c r="G173" s="6">
        <v>702</v>
      </c>
      <c r="H173" s="6">
        <v>3</v>
      </c>
      <c r="I173" s="6" t="s">
        <v>26</v>
      </c>
      <c r="J173" s="7">
        <v>2059.2</v>
      </c>
      <c r="K173" s="6" t="s">
        <v>27</v>
      </c>
      <c r="L173" s="6" t="s">
        <v>23</v>
      </c>
    </row>
    <row r="174" spans="1:12" ht="23" customHeight="1">
      <c r="A174" s="5" t="s">
        <v>25</v>
      </c>
      <c r="B174" s="6">
        <v>5</v>
      </c>
      <c r="C174" s="6">
        <v>2</v>
      </c>
      <c r="D174" s="6" t="s">
        <v>20</v>
      </c>
      <c r="E174" s="6">
        <v>144</v>
      </c>
      <c r="F174" s="6"/>
      <c r="G174" s="6">
        <v>702</v>
      </c>
      <c r="H174" s="6">
        <v>4</v>
      </c>
      <c r="I174" s="6" t="s">
        <v>28</v>
      </c>
      <c r="J174" s="7">
        <v>2059.2</v>
      </c>
      <c r="K174" s="6" t="s">
        <v>27</v>
      </c>
      <c r="L174" s="6" t="s">
        <v>23</v>
      </c>
    </row>
    <row r="175" spans="1:12" ht="23" customHeight="1">
      <c r="A175" s="5" t="s">
        <v>25</v>
      </c>
      <c r="B175" s="6">
        <v>5</v>
      </c>
      <c r="C175" s="6">
        <v>2</v>
      </c>
      <c r="D175" s="6" t="s">
        <v>20</v>
      </c>
      <c r="E175" s="6">
        <v>145</v>
      </c>
      <c r="F175" s="6"/>
      <c r="G175" s="6">
        <v>703</v>
      </c>
      <c r="H175" s="6">
        <v>3</v>
      </c>
      <c r="I175" s="6" t="s">
        <v>26</v>
      </c>
      <c r="J175" s="7">
        <v>2059.2</v>
      </c>
      <c r="K175" s="6" t="s">
        <v>27</v>
      </c>
      <c r="L175" s="6" t="s">
        <v>23</v>
      </c>
    </row>
    <row r="176" spans="1:12" ht="23" customHeight="1">
      <c r="A176" s="5" t="s">
        <v>25</v>
      </c>
      <c r="B176" s="6">
        <v>5</v>
      </c>
      <c r="C176" s="6">
        <v>2</v>
      </c>
      <c r="D176" s="6" t="s">
        <v>20</v>
      </c>
      <c r="E176" s="6">
        <v>145</v>
      </c>
      <c r="F176" s="6"/>
      <c r="G176" s="6">
        <v>703</v>
      </c>
      <c r="H176" s="6">
        <v>4</v>
      </c>
      <c r="I176" s="6" t="s">
        <v>28</v>
      </c>
      <c r="J176" s="7">
        <v>2059.2</v>
      </c>
      <c r="K176" s="6" t="s">
        <v>27</v>
      </c>
      <c r="L176" s="6" t="s">
        <v>23</v>
      </c>
    </row>
    <row r="177" spans="1:12" ht="23" customHeight="1">
      <c r="A177" s="5" t="s">
        <v>25</v>
      </c>
      <c r="B177" s="6">
        <v>5</v>
      </c>
      <c r="C177" s="6">
        <v>2</v>
      </c>
      <c r="D177" s="6" t="s">
        <v>20</v>
      </c>
      <c r="E177" s="6">
        <v>146</v>
      </c>
      <c r="F177" s="6"/>
      <c r="G177" s="6">
        <v>704</v>
      </c>
      <c r="H177" s="6">
        <v>3</v>
      </c>
      <c r="I177" s="6" t="s">
        <v>26</v>
      </c>
      <c r="J177" s="7">
        <v>2059.2</v>
      </c>
      <c r="K177" s="6" t="s">
        <v>27</v>
      </c>
      <c r="L177" s="6" t="s">
        <v>23</v>
      </c>
    </row>
    <row r="178" spans="1:12" ht="23" customHeight="1">
      <c r="A178" s="5" t="s">
        <v>25</v>
      </c>
      <c r="B178" s="6">
        <v>5</v>
      </c>
      <c r="C178" s="6">
        <v>2</v>
      </c>
      <c r="D178" s="6" t="s">
        <v>20</v>
      </c>
      <c r="E178" s="6">
        <v>146</v>
      </c>
      <c r="F178" s="6"/>
      <c r="G178" s="6">
        <v>704</v>
      </c>
      <c r="H178" s="6">
        <v>4</v>
      </c>
      <c r="I178" s="6" t="s">
        <v>28</v>
      </c>
      <c r="J178" s="7">
        <v>2059.2</v>
      </c>
      <c r="K178" s="6" t="s">
        <v>27</v>
      </c>
      <c r="L178" s="6" t="s">
        <v>23</v>
      </c>
    </row>
    <row r="179" spans="1:12" ht="23" customHeight="1">
      <c r="A179" s="5" t="s">
        <v>25</v>
      </c>
      <c r="B179" s="6">
        <v>6</v>
      </c>
      <c r="C179" s="6">
        <v>3</v>
      </c>
      <c r="D179" s="6" t="s">
        <v>20</v>
      </c>
      <c r="E179" s="6">
        <v>148</v>
      </c>
      <c r="F179" s="6"/>
      <c r="G179" s="6">
        <v>706</v>
      </c>
      <c r="H179" s="6">
        <v>3</v>
      </c>
      <c r="I179" s="6" t="s">
        <v>26</v>
      </c>
      <c r="J179" s="7">
        <v>2907.3</v>
      </c>
      <c r="K179" s="6" t="s">
        <v>27</v>
      </c>
      <c r="L179" s="6" t="s">
        <v>24</v>
      </c>
    </row>
    <row r="180" spans="1:12" ht="23" customHeight="1">
      <c r="A180" s="5" t="s">
        <v>25</v>
      </c>
      <c r="B180" s="6">
        <v>6</v>
      </c>
      <c r="C180" s="6">
        <v>3</v>
      </c>
      <c r="D180" s="6" t="s">
        <v>20</v>
      </c>
      <c r="E180" s="6">
        <v>148</v>
      </c>
      <c r="F180" s="6"/>
      <c r="G180" s="6">
        <v>706</v>
      </c>
      <c r="H180" s="6">
        <v>4</v>
      </c>
      <c r="I180" s="6" t="s">
        <v>28</v>
      </c>
      <c r="J180" s="7">
        <v>3268.7</v>
      </c>
      <c r="K180" s="6" t="s">
        <v>27</v>
      </c>
      <c r="L180" s="6" t="s">
        <v>24</v>
      </c>
    </row>
    <row r="181" spans="1:12" ht="23" customHeight="1">
      <c r="A181" s="5" t="s">
        <v>25</v>
      </c>
      <c r="B181" s="6">
        <v>6</v>
      </c>
      <c r="C181" s="6">
        <v>3</v>
      </c>
      <c r="D181" s="6" t="s">
        <v>20</v>
      </c>
      <c r="E181" s="6">
        <v>149</v>
      </c>
      <c r="F181" s="6"/>
      <c r="G181" s="6">
        <v>707</v>
      </c>
      <c r="H181" s="6">
        <v>3</v>
      </c>
      <c r="I181" s="6" t="s">
        <v>26</v>
      </c>
      <c r="J181" s="7">
        <v>4972.5</v>
      </c>
      <c r="K181" s="6" t="s">
        <v>27</v>
      </c>
      <c r="L181" s="6" t="s">
        <v>24</v>
      </c>
    </row>
    <row r="182" spans="1:12" ht="23" customHeight="1">
      <c r="A182" s="5" t="s">
        <v>25</v>
      </c>
      <c r="B182" s="6">
        <v>6</v>
      </c>
      <c r="C182" s="6">
        <v>3</v>
      </c>
      <c r="D182" s="6" t="s">
        <v>20</v>
      </c>
      <c r="E182" s="6">
        <v>149</v>
      </c>
      <c r="F182" s="6"/>
      <c r="G182" s="6">
        <v>707</v>
      </c>
      <c r="H182" s="6">
        <v>4</v>
      </c>
      <c r="I182" s="6" t="s">
        <v>28</v>
      </c>
      <c r="J182" s="7">
        <v>4972.5</v>
      </c>
      <c r="K182" s="6" t="s">
        <v>27</v>
      </c>
      <c r="L182" s="6" t="s">
        <v>24</v>
      </c>
    </row>
    <row r="183" spans="1:12" ht="23" customHeight="1">
      <c r="A183" s="5" t="s">
        <v>25</v>
      </c>
      <c r="B183" s="6">
        <v>6</v>
      </c>
      <c r="C183" s="6">
        <v>3</v>
      </c>
      <c r="D183" s="6" t="s">
        <v>20</v>
      </c>
      <c r="E183" s="6">
        <v>150</v>
      </c>
      <c r="F183" s="6"/>
      <c r="G183" s="6">
        <v>708</v>
      </c>
      <c r="H183" s="6">
        <v>3</v>
      </c>
      <c r="I183" s="6" t="s">
        <v>26</v>
      </c>
      <c r="J183" s="7">
        <v>2339.1</v>
      </c>
      <c r="K183" s="6" t="s">
        <v>27</v>
      </c>
      <c r="L183" s="6" t="s">
        <v>24</v>
      </c>
    </row>
    <row r="184" spans="1:12" ht="23" customHeight="1">
      <c r="A184" s="5" t="s">
        <v>25</v>
      </c>
      <c r="B184" s="6">
        <v>6</v>
      </c>
      <c r="C184" s="6">
        <v>3</v>
      </c>
      <c r="D184" s="6" t="s">
        <v>20</v>
      </c>
      <c r="E184" s="6">
        <v>150</v>
      </c>
      <c r="F184" s="6"/>
      <c r="G184" s="6">
        <v>708</v>
      </c>
      <c r="H184" s="6">
        <v>4</v>
      </c>
      <c r="I184" s="6" t="s">
        <v>28</v>
      </c>
      <c r="J184" s="7">
        <v>2339.1</v>
      </c>
      <c r="K184" s="6" t="s">
        <v>27</v>
      </c>
      <c r="L184" s="6" t="s">
        <v>24</v>
      </c>
    </row>
    <row r="185" spans="1:12" ht="23" customHeight="1">
      <c r="A185" s="5" t="s">
        <v>25</v>
      </c>
      <c r="B185" s="6">
        <v>6</v>
      </c>
      <c r="C185" s="6">
        <v>3</v>
      </c>
      <c r="D185" s="6" t="s">
        <v>20</v>
      </c>
      <c r="E185" s="6">
        <v>151</v>
      </c>
      <c r="F185" s="6"/>
      <c r="G185" s="6">
        <v>709</v>
      </c>
      <c r="H185" s="6">
        <v>3</v>
      </c>
      <c r="I185" s="6" t="s">
        <v>26</v>
      </c>
      <c r="J185" s="7">
        <v>1755</v>
      </c>
      <c r="K185" s="6" t="s">
        <v>27</v>
      </c>
      <c r="L185" s="6" t="s">
        <v>24</v>
      </c>
    </row>
    <row r="186" spans="1:12" ht="23" customHeight="1">
      <c r="A186" s="5" t="s">
        <v>25</v>
      </c>
      <c r="B186" s="6">
        <v>6</v>
      </c>
      <c r="C186" s="6">
        <v>3</v>
      </c>
      <c r="D186" s="6" t="s">
        <v>20</v>
      </c>
      <c r="E186" s="6">
        <v>151</v>
      </c>
      <c r="F186" s="6"/>
      <c r="G186" s="6">
        <v>709</v>
      </c>
      <c r="H186" s="6">
        <v>4</v>
      </c>
      <c r="I186" s="6" t="s">
        <v>28</v>
      </c>
      <c r="J186" s="7">
        <v>1755</v>
      </c>
      <c r="K186" s="6" t="s">
        <v>27</v>
      </c>
      <c r="L186" s="6" t="s">
        <v>24</v>
      </c>
    </row>
    <row r="187" spans="1:12" ht="23" customHeight="1">
      <c r="A187" s="5" t="s">
        <v>25</v>
      </c>
      <c r="B187" s="6">
        <v>6</v>
      </c>
      <c r="C187" s="6">
        <v>3</v>
      </c>
      <c r="D187" s="6" t="s">
        <v>20</v>
      </c>
      <c r="E187" s="6">
        <v>152</v>
      </c>
      <c r="F187" s="6"/>
      <c r="G187" s="6">
        <v>710</v>
      </c>
      <c r="H187" s="6">
        <v>3</v>
      </c>
      <c r="I187" s="6" t="s">
        <v>26</v>
      </c>
      <c r="J187" s="7">
        <v>4384.1</v>
      </c>
      <c r="K187" s="6" t="s">
        <v>27</v>
      </c>
      <c r="L187" s="6" t="s">
        <v>24</v>
      </c>
    </row>
    <row r="188" spans="1:12" ht="23" customHeight="1">
      <c r="A188" s="5" t="s">
        <v>25</v>
      </c>
      <c r="B188" s="6">
        <v>6</v>
      </c>
      <c r="C188" s="6">
        <v>3</v>
      </c>
      <c r="D188" s="6" t="s">
        <v>20</v>
      </c>
      <c r="E188" s="6">
        <v>152</v>
      </c>
      <c r="F188" s="6"/>
      <c r="G188" s="6">
        <v>710</v>
      </c>
      <c r="H188" s="6">
        <v>4</v>
      </c>
      <c r="I188" s="6" t="s">
        <v>28</v>
      </c>
      <c r="J188" s="7">
        <v>4384.1</v>
      </c>
      <c r="K188" s="6" t="s">
        <v>27</v>
      </c>
      <c r="L188" s="6" t="s">
        <v>24</v>
      </c>
    </row>
    <row r="189" spans="1:12" ht="23" customHeight="1">
      <c r="A189" s="5" t="s">
        <v>25</v>
      </c>
      <c r="B189" s="6">
        <v>6</v>
      </c>
      <c r="C189" s="6">
        <v>3</v>
      </c>
      <c r="D189" s="6" t="s">
        <v>20</v>
      </c>
      <c r="E189" s="6">
        <v>153</v>
      </c>
      <c r="F189" s="6"/>
      <c r="G189" s="6">
        <v>711</v>
      </c>
      <c r="H189" s="6">
        <v>3</v>
      </c>
      <c r="I189" s="6" t="s">
        <v>26</v>
      </c>
      <c r="J189" s="7">
        <v>6181.8</v>
      </c>
      <c r="K189" s="6" t="s">
        <v>27</v>
      </c>
      <c r="L189" s="6" t="s">
        <v>24</v>
      </c>
    </row>
    <row r="190" spans="1:12" ht="23" customHeight="1">
      <c r="A190" s="5" t="s">
        <v>25</v>
      </c>
      <c r="B190" s="6">
        <v>6</v>
      </c>
      <c r="C190" s="6">
        <v>3</v>
      </c>
      <c r="D190" s="6" t="s">
        <v>20</v>
      </c>
      <c r="E190" s="6">
        <v>153</v>
      </c>
      <c r="F190" s="6"/>
      <c r="G190" s="6">
        <v>711</v>
      </c>
      <c r="H190" s="6">
        <v>4</v>
      </c>
      <c r="I190" s="6" t="s">
        <v>28</v>
      </c>
      <c r="J190" s="7">
        <v>6684.3</v>
      </c>
      <c r="K190" s="6" t="s">
        <v>27</v>
      </c>
      <c r="L190" s="6" t="s">
        <v>24</v>
      </c>
    </row>
    <row r="191" spans="1:12" ht="23" customHeight="1">
      <c r="A191" s="5" t="s">
        <v>25</v>
      </c>
      <c r="B191" s="6">
        <v>6</v>
      </c>
      <c r="C191" s="6">
        <v>3</v>
      </c>
      <c r="D191" s="6" t="s">
        <v>20</v>
      </c>
      <c r="E191" s="6">
        <v>154</v>
      </c>
      <c r="F191" s="6"/>
      <c r="G191" s="6">
        <v>712</v>
      </c>
      <c r="H191" s="6">
        <v>3</v>
      </c>
      <c r="I191" s="6" t="s">
        <v>26</v>
      </c>
      <c r="J191" s="7">
        <v>6891.1</v>
      </c>
      <c r="K191" s="6" t="s">
        <v>27</v>
      </c>
      <c r="L191" s="6" t="s">
        <v>24</v>
      </c>
    </row>
    <row r="192" spans="1:12" ht="23" customHeight="1">
      <c r="A192" s="5" t="s">
        <v>25</v>
      </c>
      <c r="B192" s="6">
        <v>6</v>
      </c>
      <c r="C192" s="6">
        <v>3</v>
      </c>
      <c r="D192" s="6" t="s">
        <v>20</v>
      </c>
      <c r="E192" s="6">
        <v>154</v>
      </c>
      <c r="F192" s="6"/>
      <c r="G192" s="6">
        <v>712</v>
      </c>
      <c r="H192" s="6">
        <v>4</v>
      </c>
      <c r="I192" s="6" t="s">
        <v>28</v>
      </c>
      <c r="J192" s="7">
        <v>6891.1</v>
      </c>
      <c r="K192" s="6" t="s">
        <v>27</v>
      </c>
      <c r="L192" s="6" t="s">
        <v>24</v>
      </c>
    </row>
    <row r="193" spans="1:12" ht="23" customHeight="1">
      <c r="A193" s="5" t="s">
        <v>25</v>
      </c>
      <c r="B193" s="6">
        <v>6</v>
      </c>
      <c r="C193" s="6">
        <v>3</v>
      </c>
      <c r="D193" s="6" t="s">
        <v>20</v>
      </c>
      <c r="E193" s="6">
        <v>155</v>
      </c>
      <c r="F193" s="6"/>
      <c r="G193" s="6">
        <v>713</v>
      </c>
      <c r="H193" s="6">
        <v>3</v>
      </c>
      <c r="I193" s="6" t="s">
        <v>26</v>
      </c>
      <c r="J193" s="7">
        <v>7451.9</v>
      </c>
      <c r="K193" s="6" t="s">
        <v>27</v>
      </c>
      <c r="L193" s="6" t="s">
        <v>24</v>
      </c>
    </row>
    <row r="194" spans="1:12" ht="23" customHeight="1">
      <c r="A194" s="5" t="s">
        <v>25</v>
      </c>
      <c r="B194" s="6">
        <v>6</v>
      </c>
      <c r="C194" s="6">
        <v>3</v>
      </c>
      <c r="D194" s="6" t="s">
        <v>20</v>
      </c>
      <c r="E194" s="6">
        <v>155</v>
      </c>
      <c r="F194" s="6"/>
      <c r="G194" s="6">
        <v>713</v>
      </c>
      <c r="H194" s="6">
        <v>4</v>
      </c>
      <c r="I194" s="6" t="s">
        <v>28</v>
      </c>
      <c r="J194" s="7">
        <v>7976.7</v>
      </c>
      <c r="K194" s="6" t="s">
        <v>27</v>
      </c>
      <c r="L194" s="6" t="s">
        <v>24</v>
      </c>
    </row>
    <row r="195" spans="1:12" ht="23" customHeight="1">
      <c r="A195" s="5" t="s">
        <v>25</v>
      </c>
      <c r="B195" s="6">
        <v>6</v>
      </c>
      <c r="C195" s="6">
        <v>3</v>
      </c>
      <c r="D195" s="6" t="s">
        <v>20</v>
      </c>
      <c r="E195" s="6">
        <v>156</v>
      </c>
      <c r="F195" s="6"/>
      <c r="G195" s="6">
        <v>714</v>
      </c>
      <c r="H195" s="6">
        <v>3</v>
      </c>
      <c r="I195" s="6" t="s">
        <v>26</v>
      </c>
      <c r="J195" s="7">
        <v>7976.7</v>
      </c>
      <c r="K195" s="6" t="s">
        <v>27</v>
      </c>
      <c r="L195" s="6" t="s">
        <v>24</v>
      </c>
    </row>
    <row r="196" spans="1:12" ht="23" customHeight="1">
      <c r="A196" s="5" t="s">
        <v>25</v>
      </c>
      <c r="B196" s="6">
        <v>6</v>
      </c>
      <c r="C196" s="6">
        <v>3</v>
      </c>
      <c r="D196" s="6" t="s">
        <v>20</v>
      </c>
      <c r="E196" s="6">
        <v>156</v>
      </c>
      <c r="F196" s="6"/>
      <c r="G196" s="6">
        <v>714</v>
      </c>
      <c r="H196" s="6">
        <v>4</v>
      </c>
      <c r="I196" s="6" t="s">
        <v>28</v>
      </c>
      <c r="J196" s="7">
        <v>8501.5</v>
      </c>
      <c r="K196" s="6" t="s">
        <v>27</v>
      </c>
      <c r="L196" s="6" t="s">
        <v>24</v>
      </c>
    </row>
    <row r="197" spans="1:12" ht="23" customHeight="1">
      <c r="A197" s="5" t="s">
        <v>25</v>
      </c>
      <c r="B197" s="6">
        <v>6</v>
      </c>
      <c r="C197" s="6">
        <v>3</v>
      </c>
      <c r="D197" s="6" t="s">
        <v>20</v>
      </c>
      <c r="E197" s="6">
        <v>157</v>
      </c>
      <c r="F197" s="6"/>
      <c r="G197" s="6">
        <v>715</v>
      </c>
      <c r="H197" s="6">
        <v>3</v>
      </c>
      <c r="I197" s="6" t="s">
        <v>26</v>
      </c>
      <c r="J197" s="7">
        <v>8501.5</v>
      </c>
      <c r="K197" s="6" t="s">
        <v>27</v>
      </c>
      <c r="L197" s="6" t="s">
        <v>24</v>
      </c>
    </row>
    <row r="198" spans="1:12" ht="23" customHeight="1">
      <c r="A198" s="5" t="s">
        <v>25</v>
      </c>
      <c r="B198" s="6">
        <v>6</v>
      </c>
      <c r="C198" s="6">
        <v>3</v>
      </c>
      <c r="D198" s="6" t="s">
        <v>20</v>
      </c>
      <c r="E198" s="6">
        <v>157</v>
      </c>
      <c r="F198" s="6"/>
      <c r="G198" s="6">
        <v>715</v>
      </c>
      <c r="H198" s="6">
        <v>4</v>
      </c>
      <c r="I198" s="6" t="s">
        <v>28</v>
      </c>
      <c r="J198" s="7">
        <v>9026.299999999999</v>
      </c>
      <c r="K198" s="6" t="s">
        <v>27</v>
      </c>
      <c r="L198" s="6" t="s">
        <v>24</v>
      </c>
    </row>
    <row r="199" spans="1:12" ht="23" customHeight="1">
      <c r="A199" s="5" t="s">
        <v>25</v>
      </c>
      <c r="B199" s="6">
        <v>6</v>
      </c>
      <c r="C199" s="6">
        <v>3</v>
      </c>
      <c r="D199" s="6" t="s">
        <v>20</v>
      </c>
      <c r="E199" s="6">
        <v>158</v>
      </c>
      <c r="F199" s="6"/>
      <c r="G199" s="6">
        <v>716</v>
      </c>
      <c r="H199" s="6">
        <v>3</v>
      </c>
      <c r="I199" s="6" t="s">
        <v>26</v>
      </c>
      <c r="J199" s="7">
        <v>9026.299999999999</v>
      </c>
      <c r="K199" s="6" t="s">
        <v>27</v>
      </c>
      <c r="L199" s="6" t="s">
        <v>24</v>
      </c>
    </row>
    <row r="200" spans="1:12" ht="23" customHeight="1">
      <c r="A200" s="5" t="s">
        <v>25</v>
      </c>
      <c r="B200" s="6">
        <v>6</v>
      </c>
      <c r="C200" s="6">
        <v>3</v>
      </c>
      <c r="D200" s="6" t="s">
        <v>20</v>
      </c>
      <c r="E200" s="6">
        <v>158</v>
      </c>
      <c r="F200" s="6"/>
      <c r="G200" s="6">
        <v>716</v>
      </c>
      <c r="H200" s="6">
        <v>4</v>
      </c>
      <c r="I200" s="6" t="s">
        <v>28</v>
      </c>
      <c r="J200" s="7">
        <v>9551.1</v>
      </c>
      <c r="K200" s="6" t="s">
        <v>27</v>
      </c>
      <c r="L200" s="6" t="s">
        <v>24</v>
      </c>
    </row>
    <row r="201" spans="1:12" ht="23" customHeight="1">
      <c r="A201" s="5" t="s">
        <v>25</v>
      </c>
      <c r="B201" s="6">
        <v>6</v>
      </c>
      <c r="C201" s="6">
        <v>3</v>
      </c>
      <c r="D201" s="6" t="s">
        <v>20</v>
      </c>
      <c r="E201" s="6">
        <v>159</v>
      </c>
      <c r="F201" s="6"/>
      <c r="G201" s="6">
        <v>717</v>
      </c>
      <c r="H201" s="6">
        <v>3</v>
      </c>
      <c r="I201" s="6" t="s">
        <v>26</v>
      </c>
      <c r="J201" s="7">
        <v>9551.1</v>
      </c>
      <c r="K201" s="6" t="s">
        <v>27</v>
      </c>
      <c r="L201" s="6" t="s">
        <v>24</v>
      </c>
    </row>
    <row r="202" spans="1:12" ht="23" customHeight="1">
      <c r="A202" s="5" t="s">
        <v>25</v>
      </c>
      <c r="B202" s="6">
        <v>6</v>
      </c>
      <c r="C202" s="6">
        <v>3</v>
      </c>
      <c r="D202" s="6" t="s">
        <v>20</v>
      </c>
      <c r="E202" s="6">
        <v>159</v>
      </c>
      <c r="F202" s="6"/>
      <c r="G202" s="6">
        <v>717</v>
      </c>
      <c r="H202" s="6">
        <v>4</v>
      </c>
      <c r="I202" s="6" t="s">
        <v>28</v>
      </c>
      <c r="J202" s="7">
        <v>10075.9</v>
      </c>
      <c r="K202" s="6" t="s">
        <v>27</v>
      </c>
      <c r="L202" s="6" t="s">
        <v>24</v>
      </c>
    </row>
    <row r="203" spans="1:12" ht="23" customHeight="1">
      <c r="A203" s="5" t="s">
        <v>25</v>
      </c>
      <c r="B203" s="6">
        <v>6</v>
      </c>
      <c r="C203" s="6">
        <v>3</v>
      </c>
      <c r="D203" s="6" t="s">
        <v>20</v>
      </c>
      <c r="E203" s="6">
        <v>160</v>
      </c>
      <c r="F203" s="6"/>
      <c r="G203" s="6">
        <v>718</v>
      </c>
      <c r="H203" s="6">
        <v>3</v>
      </c>
      <c r="I203" s="6" t="s">
        <v>26</v>
      </c>
      <c r="J203" s="7">
        <v>10075.9</v>
      </c>
      <c r="K203" s="6" t="s">
        <v>27</v>
      </c>
      <c r="L203" s="6" t="s">
        <v>24</v>
      </c>
    </row>
    <row r="204" spans="1:12" ht="23" customHeight="1">
      <c r="A204" s="5" t="s">
        <v>25</v>
      </c>
      <c r="B204" s="6">
        <v>6</v>
      </c>
      <c r="C204" s="6">
        <v>3</v>
      </c>
      <c r="D204" s="6" t="s">
        <v>20</v>
      </c>
      <c r="E204" s="6">
        <v>160</v>
      </c>
      <c r="F204" s="6"/>
      <c r="G204" s="6">
        <v>718</v>
      </c>
      <c r="H204" s="6">
        <v>4</v>
      </c>
      <c r="I204" s="6" t="s">
        <v>28</v>
      </c>
      <c r="J204" s="7">
        <v>10600.7</v>
      </c>
      <c r="K204" s="6" t="s">
        <v>27</v>
      </c>
      <c r="L204" s="6" t="s">
        <v>24</v>
      </c>
    </row>
    <row r="205" spans="1:12" ht="23" customHeight="1">
      <c r="A205" s="5" t="s">
        <v>25</v>
      </c>
      <c r="B205" s="6">
        <v>6</v>
      </c>
      <c r="C205" s="6">
        <v>3</v>
      </c>
      <c r="D205" s="6" t="s">
        <v>20</v>
      </c>
      <c r="E205" s="6">
        <v>161</v>
      </c>
      <c r="F205" s="6"/>
      <c r="G205" s="6">
        <v>719</v>
      </c>
      <c r="H205" s="6">
        <v>3</v>
      </c>
      <c r="I205" s="6" t="s">
        <v>26</v>
      </c>
      <c r="J205" s="7">
        <v>10600.7</v>
      </c>
      <c r="K205" s="6" t="s">
        <v>27</v>
      </c>
      <c r="L205" s="6" t="s">
        <v>24</v>
      </c>
    </row>
    <row r="206" spans="1:12" ht="23" customHeight="1">
      <c r="A206" s="5" t="s">
        <v>25</v>
      </c>
      <c r="B206" s="6">
        <v>6</v>
      </c>
      <c r="C206" s="6">
        <v>3</v>
      </c>
      <c r="D206" s="6" t="s">
        <v>20</v>
      </c>
      <c r="E206" s="6">
        <v>161</v>
      </c>
      <c r="F206" s="6"/>
      <c r="G206" s="6">
        <v>719</v>
      </c>
      <c r="H206" s="6">
        <v>4</v>
      </c>
      <c r="I206" s="6" t="s">
        <v>28</v>
      </c>
      <c r="J206" s="7">
        <v>11125.5</v>
      </c>
      <c r="K206" s="6" t="s">
        <v>27</v>
      </c>
      <c r="L206" s="6" t="s">
        <v>24</v>
      </c>
    </row>
    <row r="207" spans="1:12" ht="23" customHeight="1">
      <c r="A207" s="5" t="s">
        <v>25</v>
      </c>
      <c r="B207" s="6">
        <v>6</v>
      </c>
      <c r="C207" s="6">
        <v>3</v>
      </c>
      <c r="D207" s="6" t="s">
        <v>20</v>
      </c>
      <c r="E207" s="6">
        <v>162</v>
      </c>
      <c r="F207" s="6"/>
      <c r="G207" s="6">
        <v>720</v>
      </c>
      <c r="H207" s="6">
        <v>3</v>
      </c>
      <c r="I207" s="6" t="s">
        <v>26</v>
      </c>
      <c r="J207" s="7">
        <v>4331.4</v>
      </c>
      <c r="K207" s="6" t="s">
        <v>27</v>
      </c>
      <c r="L207" s="6" t="s">
        <v>24</v>
      </c>
    </row>
    <row r="208" spans="1:12" ht="23" customHeight="1">
      <c r="A208" s="5" t="s">
        <v>25</v>
      </c>
      <c r="B208" s="6">
        <v>6</v>
      </c>
      <c r="C208" s="6">
        <v>3</v>
      </c>
      <c r="D208" s="6" t="s">
        <v>20</v>
      </c>
      <c r="E208" s="6">
        <v>162</v>
      </c>
      <c r="F208" s="6"/>
      <c r="G208" s="6">
        <v>720</v>
      </c>
      <c r="H208" s="6">
        <v>4</v>
      </c>
      <c r="I208" s="6" t="s">
        <v>28</v>
      </c>
      <c r="J208" s="7">
        <v>4331.4</v>
      </c>
      <c r="K208" s="6" t="s">
        <v>27</v>
      </c>
      <c r="L208" s="6" t="s">
        <v>24</v>
      </c>
    </row>
    <row r="209" spans="1:12" ht="23" customHeight="1">
      <c r="A209" s="5" t="s">
        <v>25</v>
      </c>
      <c r="B209" s="6">
        <v>6</v>
      </c>
      <c r="C209" s="6">
        <v>3</v>
      </c>
      <c r="D209" s="6" t="s">
        <v>20</v>
      </c>
      <c r="E209" s="6">
        <v>163</v>
      </c>
      <c r="F209" s="6"/>
      <c r="G209" s="6">
        <v>721</v>
      </c>
      <c r="H209" s="6">
        <v>3</v>
      </c>
      <c r="I209" s="6" t="s">
        <v>26</v>
      </c>
      <c r="J209" s="7">
        <v>3088.8</v>
      </c>
      <c r="K209" s="6" t="s">
        <v>27</v>
      </c>
      <c r="L209" s="6" t="s">
        <v>23</v>
      </c>
    </row>
    <row r="210" spans="1:12" ht="23" customHeight="1">
      <c r="A210" s="5" t="s">
        <v>25</v>
      </c>
      <c r="B210" s="6">
        <v>6</v>
      </c>
      <c r="C210" s="6">
        <v>3</v>
      </c>
      <c r="D210" s="6" t="s">
        <v>20</v>
      </c>
      <c r="E210" s="6">
        <v>163</v>
      </c>
      <c r="F210" s="6"/>
      <c r="G210" s="6">
        <v>721</v>
      </c>
      <c r="H210" s="6">
        <v>4</v>
      </c>
      <c r="I210" s="6" t="s">
        <v>28</v>
      </c>
      <c r="J210" s="7">
        <v>3088.8</v>
      </c>
      <c r="K210" s="6" t="s">
        <v>27</v>
      </c>
      <c r="L210" s="6" t="s">
        <v>23</v>
      </c>
    </row>
    <row r="211" spans="1:12" ht="23" customHeight="1">
      <c r="A211" s="5" t="s">
        <v>25</v>
      </c>
      <c r="B211" s="6">
        <v>6</v>
      </c>
      <c r="C211" s="6">
        <v>3</v>
      </c>
      <c r="D211" s="6" t="s">
        <v>20</v>
      </c>
      <c r="E211" s="6">
        <v>164</v>
      </c>
      <c r="F211" s="6"/>
      <c r="G211" s="6">
        <v>722</v>
      </c>
      <c r="H211" s="6">
        <v>3</v>
      </c>
      <c r="I211" s="6" t="s">
        <v>26</v>
      </c>
      <c r="J211" s="7">
        <v>3088.8</v>
      </c>
      <c r="K211" s="6" t="s">
        <v>27</v>
      </c>
      <c r="L211" s="6" t="s">
        <v>23</v>
      </c>
    </row>
    <row r="212" spans="1:12" ht="23" customHeight="1">
      <c r="A212" s="5" t="s">
        <v>25</v>
      </c>
      <c r="B212" s="6">
        <v>6</v>
      </c>
      <c r="C212" s="6">
        <v>3</v>
      </c>
      <c r="D212" s="6" t="s">
        <v>20</v>
      </c>
      <c r="E212" s="6">
        <v>164</v>
      </c>
      <c r="F212" s="6"/>
      <c r="G212" s="6">
        <v>722</v>
      </c>
      <c r="H212" s="6">
        <v>4</v>
      </c>
      <c r="I212" s="6" t="s">
        <v>28</v>
      </c>
      <c r="J212" s="7">
        <v>3088.8</v>
      </c>
      <c r="K212" s="6" t="s">
        <v>27</v>
      </c>
      <c r="L212" s="6" t="s">
        <v>23</v>
      </c>
    </row>
    <row r="213" spans="1:12" ht="23" customHeight="1">
      <c r="A213" s="5" t="s">
        <v>25</v>
      </c>
      <c r="B213" s="6">
        <v>6</v>
      </c>
      <c r="C213" s="6">
        <v>3</v>
      </c>
      <c r="D213" s="6" t="s">
        <v>20</v>
      </c>
      <c r="E213" s="6">
        <v>165</v>
      </c>
      <c r="F213" s="6"/>
      <c r="G213" s="6">
        <v>723</v>
      </c>
      <c r="H213" s="6">
        <v>3</v>
      </c>
      <c r="I213" s="6" t="s">
        <v>26</v>
      </c>
      <c r="J213" s="7">
        <v>3088.8</v>
      </c>
      <c r="K213" s="6" t="s">
        <v>27</v>
      </c>
      <c r="L213" s="6" t="s">
        <v>23</v>
      </c>
    </row>
    <row r="214" spans="1:12" ht="23" customHeight="1">
      <c r="A214" s="5" t="s">
        <v>25</v>
      </c>
      <c r="B214" s="6">
        <v>6</v>
      </c>
      <c r="C214" s="6">
        <v>3</v>
      </c>
      <c r="D214" s="6" t="s">
        <v>20</v>
      </c>
      <c r="E214" s="6">
        <v>165</v>
      </c>
      <c r="F214" s="6"/>
      <c r="G214" s="6">
        <v>723</v>
      </c>
      <c r="H214" s="6">
        <v>4</v>
      </c>
      <c r="I214" s="6" t="s">
        <v>28</v>
      </c>
      <c r="J214" s="7">
        <v>3088.8</v>
      </c>
      <c r="K214" s="6" t="s">
        <v>27</v>
      </c>
      <c r="L214" s="6" t="s">
        <v>23</v>
      </c>
    </row>
    <row r="215" spans="1:12" ht="23" customHeight="1">
      <c r="A215" s="5" t="s">
        <v>25</v>
      </c>
      <c r="B215" s="6">
        <v>6</v>
      </c>
      <c r="C215" s="6">
        <v>3</v>
      </c>
      <c r="D215" s="6" t="s">
        <v>20</v>
      </c>
      <c r="E215" s="6">
        <v>166</v>
      </c>
      <c r="F215" s="6"/>
      <c r="G215" s="6">
        <v>724</v>
      </c>
      <c r="H215" s="6">
        <v>3</v>
      </c>
      <c r="I215" s="6" t="s">
        <v>26</v>
      </c>
      <c r="J215" s="7">
        <v>3088.8</v>
      </c>
      <c r="K215" s="6" t="s">
        <v>27</v>
      </c>
      <c r="L215" s="6" t="s">
        <v>23</v>
      </c>
    </row>
    <row r="216" spans="1:12" ht="23" customHeight="1">
      <c r="A216" s="5" t="s">
        <v>25</v>
      </c>
      <c r="B216" s="6">
        <v>6</v>
      </c>
      <c r="C216" s="6">
        <v>3</v>
      </c>
      <c r="D216" s="6" t="s">
        <v>20</v>
      </c>
      <c r="E216" s="6">
        <v>166</v>
      </c>
      <c r="F216" s="6"/>
      <c r="G216" s="6">
        <v>724</v>
      </c>
      <c r="H216" s="6">
        <v>4</v>
      </c>
      <c r="I216" s="6" t="s">
        <v>28</v>
      </c>
      <c r="J216" s="7">
        <v>3088.8</v>
      </c>
      <c r="K216" s="6" t="s">
        <v>27</v>
      </c>
      <c r="L216" s="6" t="s">
        <v>23</v>
      </c>
    </row>
    <row r="217" spans="1:12" ht="23" customHeight="1">
      <c r="A217" s="5" t="s">
        <v>25</v>
      </c>
      <c r="B217" s="6">
        <v>6</v>
      </c>
      <c r="C217" s="6">
        <v>3</v>
      </c>
      <c r="D217" s="6" t="s">
        <v>20</v>
      </c>
      <c r="E217" s="6">
        <v>167</v>
      </c>
      <c r="F217" s="6"/>
      <c r="G217" s="6">
        <v>725</v>
      </c>
      <c r="H217" s="6">
        <v>3</v>
      </c>
      <c r="I217" s="6" t="s">
        <v>26</v>
      </c>
      <c r="J217" s="7">
        <v>3088.8</v>
      </c>
      <c r="K217" s="6" t="s">
        <v>27</v>
      </c>
      <c r="L217" s="6" t="s">
        <v>23</v>
      </c>
    </row>
    <row r="218" spans="1:12" ht="23" customHeight="1">
      <c r="A218" s="5" t="s">
        <v>25</v>
      </c>
      <c r="B218" s="6">
        <v>6</v>
      </c>
      <c r="C218" s="6">
        <v>3</v>
      </c>
      <c r="D218" s="6" t="s">
        <v>20</v>
      </c>
      <c r="E218" s="6">
        <v>167</v>
      </c>
      <c r="F218" s="6"/>
      <c r="G218" s="6">
        <v>725</v>
      </c>
      <c r="H218" s="6">
        <v>4</v>
      </c>
      <c r="I218" s="6" t="s">
        <v>28</v>
      </c>
      <c r="J218" s="7">
        <v>3088.8</v>
      </c>
      <c r="K218" s="6" t="s">
        <v>27</v>
      </c>
      <c r="L218" s="6" t="s">
        <v>23</v>
      </c>
    </row>
    <row r="219" spans="1:12" ht="23" customHeight="1">
      <c r="A219" s="5" t="s">
        <v>25</v>
      </c>
      <c r="B219" s="6">
        <v>6</v>
      </c>
      <c r="C219" s="6">
        <v>3</v>
      </c>
      <c r="D219" s="6" t="s">
        <v>20</v>
      </c>
      <c r="E219" s="6">
        <v>168</v>
      </c>
      <c r="F219" s="6"/>
      <c r="G219" s="6">
        <v>726</v>
      </c>
      <c r="H219" s="6">
        <v>3</v>
      </c>
      <c r="I219" s="6" t="s">
        <v>26</v>
      </c>
      <c r="J219" s="7">
        <v>3088.8</v>
      </c>
      <c r="K219" s="6" t="s">
        <v>27</v>
      </c>
      <c r="L219" s="6" t="s">
        <v>23</v>
      </c>
    </row>
    <row r="220" spans="1:12" ht="23" customHeight="1">
      <c r="A220" s="5" t="s">
        <v>25</v>
      </c>
      <c r="B220" s="6">
        <v>6</v>
      </c>
      <c r="C220" s="6">
        <v>3</v>
      </c>
      <c r="D220" s="6" t="s">
        <v>20</v>
      </c>
      <c r="E220" s="6">
        <v>168</v>
      </c>
      <c r="F220" s="6"/>
      <c r="G220" s="6">
        <v>726</v>
      </c>
      <c r="H220" s="6">
        <v>4</v>
      </c>
      <c r="I220" s="6" t="s">
        <v>28</v>
      </c>
      <c r="J220" s="7">
        <v>3088.8</v>
      </c>
      <c r="K220" s="6" t="s">
        <v>27</v>
      </c>
      <c r="L220" s="6" t="s">
        <v>23</v>
      </c>
    </row>
    <row r="221" spans="1:12" ht="23" customHeight="1">
      <c r="A221" s="5" t="s">
        <v>25</v>
      </c>
      <c r="B221" s="6">
        <v>6</v>
      </c>
      <c r="C221" s="6">
        <v>3</v>
      </c>
      <c r="D221" s="6" t="s">
        <v>20</v>
      </c>
      <c r="E221" s="6">
        <v>169</v>
      </c>
      <c r="F221" s="6"/>
      <c r="G221" s="6">
        <v>727</v>
      </c>
      <c r="H221" s="6">
        <v>3</v>
      </c>
      <c r="I221" s="6" t="s">
        <v>26</v>
      </c>
      <c r="J221" s="7">
        <v>3088.8</v>
      </c>
      <c r="K221" s="6" t="s">
        <v>27</v>
      </c>
      <c r="L221" s="6" t="s">
        <v>23</v>
      </c>
    </row>
    <row r="222" spans="1:12" ht="23" customHeight="1">
      <c r="A222" s="5" t="s">
        <v>25</v>
      </c>
      <c r="B222" s="6">
        <v>6</v>
      </c>
      <c r="C222" s="6">
        <v>3</v>
      </c>
      <c r="D222" s="6" t="s">
        <v>20</v>
      </c>
      <c r="E222" s="6">
        <v>169</v>
      </c>
      <c r="F222" s="6"/>
      <c r="G222" s="6">
        <v>727</v>
      </c>
      <c r="H222" s="6">
        <v>4</v>
      </c>
      <c r="I222" s="6" t="s">
        <v>28</v>
      </c>
      <c r="J222" s="7">
        <v>3088.8</v>
      </c>
      <c r="K222" s="6" t="s">
        <v>27</v>
      </c>
      <c r="L222" s="6" t="s">
        <v>23</v>
      </c>
    </row>
    <row r="223" spans="1:12" ht="23" customHeight="1">
      <c r="A223" s="5" t="s">
        <v>25</v>
      </c>
      <c r="B223" s="6">
        <v>6</v>
      </c>
      <c r="C223" s="6">
        <v>3</v>
      </c>
      <c r="D223" s="6" t="s">
        <v>20</v>
      </c>
      <c r="E223" s="6">
        <v>170</v>
      </c>
      <c r="F223" s="6"/>
      <c r="G223" s="6">
        <v>728</v>
      </c>
      <c r="H223" s="6">
        <v>3</v>
      </c>
      <c r="I223" s="6" t="s">
        <v>26</v>
      </c>
      <c r="J223" s="7">
        <v>3088.8</v>
      </c>
      <c r="K223" s="6" t="s">
        <v>27</v>
      </c>
      <c r="L223" s="6" t="s">
        <v>23</v>
      </c>
    </row>
    <row r="224" spans="1:12" ht="23" customHeight="1">
      <c r="A224" s="5" t="s">
        <v>25</v>
      </c>
      <c r="B224" s="6">
        <v>6</v>
      </c>
      <c r="C224" s="6">
        <v>3</v>
      </c>
      <c r="D224" s="6" t="s">
        <v>20</v>
      </c>
      <c r="E224" s="6">
        <v>170</v>
      </c>
      <c r="F224" s="6"/>
      <c r="G224" s="6">
        <v>728</v>
      </c>
      <c r="H224" s="6">
        <v>4</v>
      </c>
      <c r="I224" s="6" t="s">
        <v>28</v>
      </c>
      <c r="J224" s="7">
        <v>3088.8</v>
      </c>
      <c r="K224" s="6" t="s">
        <v>27</v>
      </c>
      <c r="L224" s="6" t="s">
        <v>23</v>
      </c>
    </row>
    <row r="225" spans="1:12" ht="23" customHeight="1">
      <c r="A225" s="5" t="s">
        <v>25</v>
      </c>
      <c r="B225" s="6">
        <v>6</v>
      </c>
      <c r="C225" s="6">
        <v>3</v>
      </c>
      <c r="D225" s="6" t="s">
        <v>20</v>
      </c>
      <c r="E225" s="6">
        <v>171</v>
      </c>
      <c r="F225" s="6"/>
      <c r="G225" s="6">
        <v>729</v>
      </c>
      <c r="H225" s="6">
        <v>3</v>
      </c>
      <c r="I225" s="6" t="s">
        <v>26</v>
      </c>
      <c r="J225" s="7">
        <v>3088.8</v>
      </c>
      <c r="K225" s="6" t="s">
        <v>27</v>
      </c>
      <c r="L225" s="6" t="s">
        <v>23</v>
      </c>
    </row>
    <row r="226" spans="1:12" ht="23" customHeight="1">
      <c r="A226" s="5" t="s">
        <v>25</v>
      </c>
      <c r="B226" s="6">
        <v>6</v>
      </c>
      <c r="C226" s="6">
        <v>3</v>
      </c>
      <c r="D226" s="6" t="s">
        <v>20</v>
      </c>
      <c r="E226" s="6">
        <v>171</v>
      </c>
      <c r="F226" s="6"/>
      <c r="G226" s="6">
        <v>729</v>
      </c>
      <c r="H226" s="6">
        <v>4</v>
      </c>
      <c r="I226" s="6" t="s">
        <v>28</v>
      </c>
      <c r="J226" s="7">
        <v>3088.8</v>
      </c>
      <c r="K226" s="6" t="s">
        <v>27</v>
      </c>
      <c r="L226" s="6" t="s">
        <v>23</v>
      </c>
    </row>
    <row r="227" spans="1:12" ht="23" customHeight="1">
      <c r="A227" s="5" t="s">
        <v>29</v>
      </c>
      <c r="B227" s="6">
        <v>4</v>
      </c>
      <c r="C227" s="6">
        <v>1</v>
      </c>
      <c r="D227" s="6" t="s">
        <v>30</v>
      </c>
      <c r="E227" s="6">
        <v>102</v>
      </c>
      <c r="F227" s="6">
        <v>61</v>
      </c>
      <c r="G227" s="6">
        <v>1416</v>
      </c>
      <c r="H227" s="6">
        <v>4</v>
      </c>
      <c r="I227" s="6" t="s">
        <v>31</v>
      </c>
      <c r="J227" s="7">
        <v>51629</v>
      </c>
      <c r="K227" s="6" t="s">
        <v>27</v>
      </c>
      <c r="L227" s="6" t="s">
        <v>24</v>
      </c>
    </row>
    <row r="228" spans="1:12" ht="23" customHeight="1">
      <c r="A228" s="5" t="s">
        <v>29</v>
      </c>
      <c r="B228" s="6">
        <v>4</v>
      </c>
      <c r="C228" s="6">
        <v>1</v>
      </c>
      <c r="D228" s="6" t="s">
        <v>30</v>
      </c>
      <c r="E228" s="6">
        <v>102</v>
      </c>
      <c r="F228" s="6">
        <v>61</v>
      </c>
      <c r="G228" s="6">
        <v>1416</v>
      </c>
      <c r="H228" s="6">
        <v>5</v>
      </c>
      <c r="I228" s="6" t="s">
        <v>32</v>
      </c>
      <c r="J228" s="7">
        <v>433.8</v>
      </c>
      <c r="K228" s="6" t="s">
        <v>33</v>
      </c>
      <c r="L228" s="6" t="s">
        <v>24</v>
      </c>
    </row>
    <row r="229" spans="1:12" ht="23" customHeight="1">
      <c r="A229" s="5" t="s">
        <v>29</v>
      </c>
      <c r="B229" s="6">
        <v>4</v>
      </c>
      <c r="C229" s="6">
        <v>1</v>
      </c>
      <c r="D229" s="6" t="s">
        <v>30</v>
      </c>
      <c r="E229" s="6">
        <v>102</v>
      </c>
      <c r="F229" s="6">
        <v>61</v>
      </c>
      <c r="G229" s="6">
        <v>1416</v>
      </c>
      <c r="H229" s="6">
        <v>6</v>
      </c>
      <c r="I229" s="6" t="s">
        <v>34</v>
      </c>
      <c r="J229" s="7">
        <v>433.8</v>
      </c>
      <c r="K229" s="6" t="s">
        <v>33</v>
      </c>
      <c r="L229" s="6" t="s">
        <v>24</v>
      </c>
    </row>
    <row r="230" spans="1:12" ht="23" customHeight="1">
      <c r="A230" s="5" t="s">
        <v>29</v>
      </c>
      <c r="B230" s="6">
        <v>4</v>
      </c>
      <c r="C230" s="6">
        <v>1</v>
      </c>
      <c r="D230" s="6" t="s">
        <v>30</v>
      </c>
      <c r="E230" s="6">
        <v>102</v>
      </c>
      <c r="F230" s="6">
        <v>61</v>
      </c>
      <c r="G230" s="6">
        <v>1416</v>
      </c>
      <c r="H230" s="6">
        <v>7</v>
      </c>
      <c r="I230" s="6" t="s">
        <v>35</v>
      </c>
      <c r="J230" s="7">
        <v>51629</v>
      </c>
      <c r="K230" s="6" t="s">
        <v>27</v>
      </c>
      <c r="L230" s="6" t="s">
        <v>24</v>
      </c>
    </row>
    <row r="231" spans="1:12" ht="23" customHeight="1">
      <c r="A231" s="5" t="s">
        <v>29</v>
      </c>
      <c r="B231" s="6">
        <v>4</v>
      </c>
      <c r="C231" s="6">
        <v>1</v>
      </c>
      <c r="D231" s="6" t="s">
        <v>30</v>
      </c>
      <c r="E231" s="6">
        <v>102</v>
      </c>
      <c r="F231" s="6">
        <v>61</v>
      </c>
      <c r="G231" s="6">
        <v>1416</v>
      </c>
      <c r="H231" s="6">
        <v>8</v>
      </c>
      <c r="I231" s="6" t="s">
        <v>36</v>
      </c>
      <c r="J231" s="7">
        <v>433.8</v>
      </c>
      <c r="K231" s="6" t="s">
        <v>33</v>
      </c>
      <c r="L231" s="6" t="s">
        <v>24</v>
      </c>
    </row>
    <row r="232" spans="1:12" ht="23" customHeight="1">
      <c r="A232" s="5" t="s">
        <v>29</v>
      </c>
      <c r="B232" s="6">
        <v>4</v>
      </c>
      <c r="C232" s="6">
        <v>1</v>
      </c>
      <c r="D232" s="6" t="s">
        <v>30</v>
      </c>
      <c r="E232" s="6">
        <v>102</v>
      </c>
      <c r="F232" s="6">
        <v>61</v>
      </c>
      <c r="G232" s="6">
        <v>1416</v>
      </c>
      <c r="H232" s="6">
        <v>9</v>
      </c>
      <c r="I232" s="6" t="s">
        <v>37</v>
      </c>
      <c r="J232" s="7">
        <v>433.8</v>
      </c>
      <c r="K232" s="6" t="s">
        <v>33</v>
      </c>
      <c r="L232" s="6" t="s">
        <v>24</v>
      </c>
    </row>
    <row r="233" spans="1:12" ht="23" customHeight="1">
      <c r="A233" s="5" t="s">
        <v>29</v>
      </c>
      <c r="B233" s="6">
        <v>4</v>
      </c>
      <c r="C233" s="6">
        <v>1</v>
      </c>
      <c r="D233" s="6" t="s">
        <v>30</v>
      </c>
      <c r="E233" s="6">
        <v>102</v>
      </c>
      <c r="F233" s="6">
        <v>61</v>
      </c>
      <c r="G233" s="6">
        <v>1416</v>
      </c>
      <c r="H233" s="6">
        <v>10</v>
      </c>
      <c r="I233" s="6" t="s">
        <v>38</v>
      </c>
      <c r="J233" s="7">
        <v>51629</v>
      </c>
      <c r="K233" s="6" t="s">
        <v>27</v>
      </c>
      <c r="L233" s="6" t="s">
        <v>24</v>
      </c>
    </row>
    <row r="234" spans="1:12" ht="23" customHeight="1">
      <c r="A234" s="5" t="s">
        <v>29</v>
      </c>
      <c r="B234" s="6">
        <v>4</v>
      </c>
      <c r="C234" s="6">
        <v>1</v>
      </c>
      <c r="D234" s="6" t="s">
        <v>30</v>
      </c>
      <c r="E234" s="6">
        <v>102</v>
      </c>
      <c r="F234" s="6">
        <v>61</v>
      </c>
      <c r="G234" s="6">
        <v>1416</v>
      </c>
      <c r="H234" s="6">
        <v>11</v>
      </c>
      <c r="I234" s="6" t="s">
        <v>39</v>
      </c>
      <c r="J234" s="7">
        <v>51629</v>
      </c>
      <c r="K234" s="6" t="s">
        <v>27</v>
      </c>
      <c r="L234" s="6" t="s">
        <v>24</v>
      </c>
    </row>
    <row r="235" spans="1:12" ht="23" customHeight="1">
      <c r="A235" s="5" t="s">
        <v>29</v>
      </c>
      <c r="B235" s="6">
        <v>4</v>
      </c>
      <c r="C235" s="6">
        <v>1</v>
      </c>
      <c r="D235" s="6" t="s">
        <v>30</v>
      </c>
      <c r="E235" s="6">
        <v>102</v>
      </c>
      <c r="F235" s="6">
        <v>61</v>
      </c>
      <c r="G235" s="6">
        <v>1416</v>
      </c>
      <c r="H235" s="6">
        <v>12</v>
      </c>
      <c r="I235" s="6" t="s">
        <v>40</v>
      </c>
      <c r="J235" s="7">
        <v>51629</v>
      </c>
      <c r="K235" s="6" t="s">
        <v>27</v>
      </c>
      <c r="L235" s="6" t="s">
        <v>24</v>
      </c>
    </row>
    <row r="236" spans="1:12" ht="23" customHeight="1">
      <c r="A236" s="5" t="s">
        <v>29</v>
      </c>
      <c r="B236" s="6">
        <v>4</v>
      </c>
      <c r="C236" s="6">
        <v>1</v>
      </c>
      <c r="D236" s="6" t="s">
        <v>30</v>
      </c>
      <c r="E236" s="6">
        <v>102</v>
      </c>
      <c r="F236" s="6">
        <v>61</v>
      </c>
      <c r="G236" s="6">
        <v>1416</v>
      </c>
      <c r="H236" s="6">
        <v>13</v>
      </c>
      <c r="I236" s="6" t="s">
        <v>41</v>
      </c>
      <c r="J236" s="7">
        <v>51629</v>
      </c>
      <c r="K236" s="6" t="s">
        <v>27</v>
      </c>
      <c r="L236" s="6" t="s">
        <v>24</v>
      </c>
    </row>
    <row r="237" spans="1:12" ht="23" customHeight="1">
      <c r="A237" s="5" t="s">
        <v>29</v>
      </c>
      <c r="B237" s="6">
        <v>4</v>
      </c>
      <c r="C237" s="6">
        <v>1</v>
      </c>
      <c r="D237" s="6" t="s">
        <v>30</v>
      </c>
      <c r="E237" s="6">
        <v>103</v>
      </c>
      <c r="F237" s="6">
        <v>62</v>
      </c>
      <c r="G237" s="6">
        <v>1417</v>
      </c>
      <c r="H237" s="6">
        <v>4</v>
      </c>
      <c r="I237" s="6" t="s">
        <v>31</v>
      </c>
      <c r="J237" s="7">
        <v>145626</v>
      </c>
      <c r="K237" s="6" t="s">
        <v>27</v>
      </c>
      <c r="L237" s="6" t="s">
        <v>24</v>
      </c>
    </row>
    <row r="238" spans="1:12" ht="23" customHeight="1">
      <c r="A238" s="5" t="s">
        <v>29</v>
      </c>
      <c r="B238" s="6">
        <v>4</v>
      </c>
      <c r="C238" s="6">
        <v>1</v>
      </c>
      <c r="D238" s="6" t="s">
        <v>30</v>
      </c>
      <c r="E238" s="6">
        <v>103</v>
      </c>
      <c r="F238" s="6">
        <v>62</v>
      </c>
      <c r="G238" s="6">
        <v>1417</v>
      </c>
      <c r="H238" s="6">
        <v>5</v>
      </c>
      <c r="I238" s="6" t="s">
        <v>32</v>
      </c>
      <c r="J238" s="7">
        <v>1835</v>
      </c>
      <c r="K238" s="6" t="s">
        <v>33</v>
      </c>
      <c r="L238" s="6" t="s">
        <v>24</v>
      </c>
    </row>
    <row r="239" spans="1:12" ht="23" customHeight="1">
      <c r="A239" s="5" t="s">
        <v>29</v>
      </c>
      <c r="B239" s="6">
        <v>4</v>
      </c>
      <c r="C239" s="6">
        <v>1</v>
      </c>
      <c r="D239" s="6" t="s">
        <v>30</v>
      </c>
      <c r="E239" s="6">
        <v>103</v>
      </c>
      <c r="F239" s="6">
        <v>62</v>
      </c>
      <c r="G239" s="6">
        <v>1417</v>
      </c>
      <c r="H239" s="6">
        <v>6</v>
      </c>
      <c r="I239" s="6" t="s">
        <v>34</v>
      </c>
      <c r="J239" s="7">
        <v>1835</v>
      </c>
      <c r="K239" s="6" t="s">
        <v>33</v>
      </c>
      <c r="L239" s="6" t="s">
        <v>24</v>
      </c>
    </row>
    <row r="240" spans="1:12" ht="23" customHeight="1">
      <c r="A240" s="5" t="s">
        <v>29</v>
      </c>
      <c r="B240" s="6">
        <v>4</v>
      </c>
      <c r="C240" s="6">
        <v>1</v>
      </c>
      <c r="D240" s="6" t="s">
        <v>30</v>
      </c>
      <c r="E240" s="6">
        <v>103</v>
      </c>
      <c r="F240" s="6">
        <v>62</v>
      </c>
      <c r="G240" s="6">
        <v>1417</v>
      </c>
      <c r="H240" s="6">
        <v>7</v>
      </c>
      <c r="I240" s="6" t="s">
        <v>35</v>
      </c>
      <c r="J240" s="7">
        <v>145626</v>
      </c>
      <c r="K240" s="6" t="s">
        <v>27</v>
      </c>
      <c r="L240" s="6" t="s">
        <v>24</v>
      </c>
    </row>
    <row r="241" spans="1:12" ht="23" customHeight="1">
      <c r="A241" s="5" t="s">
        <v>29</v>
      </c>
      <c r="B241" s="6">
        <v>4</v>
      </c>
      <c r="C241" s="6">
        <v>1</v>
      </c>
      <c r="D241" s="6" t="s">
        <v>30</v>
      </c>
      <c r="E241" s="6">
        <v>103</v>
      </c>
      <c r="F241" s="6">
        <v>62</v>
      </c>
      <c r="G241" s="6">
        <v>1417</v>
      </c>
      <c r="H241" s="6">
        <v>8</v>
      </c>
      <c r="I241" s="6" t="s">
        <v>36</v>
      </c>
      <c r="J241" s="7">
        <v>1835</v>
      </c>
      <c r="K241" s="6" t="s">
        <v>33</v>
      </c>
      <c r="L241" s="6" t="s">
        <v>24</v>
      </c>
    </row>
    <row r="242" spans="1:12" ht="23" customHeight="1">
      <c r="A242" s="5" t="s">
        <v>29</v>
      </c>
      <c r="B242" s="6">
        <v>4</v>
      </c>
      <c r="C242" s="6">
        <v>1</v>
      </c>
      <c r="D242" s="6" t="s">
        <v>30</v>
      </c>
      <c r="E242" s="6">
        <v>103</v>
      </c>
      <c r="F242" s="6">
        <v>62</v>
      </c>
      <c r="G242" s="6">
        <v>1417</v>
      </c>
      <c r="H242" s="6">
        <v>9</v>
      </c>
      <c r="I242" s="6" t="s">
        <v>37</v>
      </c>
      <c r="J242" s="7">
        <v>1835</v>
      </c>
      <c r="K242" s="6" t="s">
        <v>33</v>
      </c>
      <c r="L242" s="6" t="s">
        <v>24</v>
      </c>
    </row>
    <row r="243" spans="1:12" ht="23" customHeight="1">
      <c r="A243" s="5" t="s">
        <v>29</v>
      </c>
      <c r="B243" s="6">
        <v>4</v>
      </c>
      <c r="C243" s="6">
        <v>1</v>
      </c>
      <c r="D243" s="6" t="s">
        <v>30</v>
      </c>
      <c r="E243" s="6">
        <v>103</v>
      </c>
      <c r="F243" s="6">
        <v>62</v>
      </c>
      <c r="G243" s="6">
        <v>1417</v>
      </c>
      <c r="H243" s="6">
        <v>10</v>
      </c>
      <c r="I243" s="6" t="s">
        <v>38</v>
      </c>
      <c r="J243" s="7">
        <v>145626</v>
      </c>
      <c r="K243" s="6" t="s">
        <v>27</v>
      </c>
      <c r="L243" s="6" t="s">
        <v>24</v>
      </c>
    </row>
    <row r="244" spans="1:12" ht="23" customHeight="1">
      <c r="A244" s="5" t="s">
        <v>29</v>
      </c>
      <c r="B244" s="6">
        <v>4</v>
      </c>
      <c r="C244" s="6">
        <v>1</v>
      </c>
      <c r="D244" s="6" t="s">
        <v>30</v>
      </c>
      <c r="E244" s="6">
        <v>103</v>
      </c>
      <c r="F244" s="6">
        <v>62</v>
      </c>
      <c r="G244" s="6">
        <v>1417</v>
      </c>
      <c r="H244" s="6">
        <v>11</v>
      </c>
      <c r="I244" s="6" t="s">
        <v>39</v>
      </c>
      <c r="J244" s="7">
        <v>145626</v>
      </c>
      <c r="K244" s="6" t="s">
        <v>27</v>
      </c>
      <c r="L244" s="6" t="s">
        <v>24</v>
      </c>
    </row>
    <row r="245" spans="1:12" ht="23" customHeight="1">
      <c r="A245" s="5" t="s">
        <v>29</v>
      </c>
      <c r="B245" s="6">
        <v>4</v>
      </c>
      <c r="C245" s="6">
        <v>1</v>
      </c>
      <c r="D245" s="6" t="s">
        <v>30</v>
      </c>
      <c r="E245" s="6">
        <v>103</v>
      </c>
      <c r="F245" s="6">
        <v>62</v>
      </c>
      <c r="G245" s="6">
        <v>1417</v>
      </c>
      <c r="H245" s="6">
        <v>12</v>
      </c>
      <c r="I245" s="6" t="s">
        <v>40</v>
      </c>
      <c r="J245" s="7">
        <v>145626</v>
      </c>
      <c r="K245" s="6" t="s">
        <v>27</v>
      </c>
      <c r="L245" s="6" t="s">
        <v>24</v>
      </c>
    </row>
    <row r="246" spans="1:12" ht="23" customHeight="1">
      <c r="A246" s="5" t="s">
        <v>29</v>
      </c>
      <c r="B246" s="6">
        <v>4</v>
      </c>
      <c r="C246" s="6">
        <v>1</v>
      </c>
      <c r="D246" s="6" t="s">
        <v>30</v>
      </c>
      <c r="E246" s="6">
        <v>103</v>
      </c>
      <c r="F246" s="6">
        <v>62</v>
      </c>
      <c r="G246" s="6">
        <v>1417</v>
      </c>
      <c r="H246" s="6">
        <v>13</v>
      </c>
      <c r="I246" s="6" t="s">
        <v>41</v>
      </c>
      <c r="J246" s="7">
        <v>145626</v>
      </c>
      <c r="K246" s="6" t="s">
        <v>27</v>
      </c>
      <c r="L246" s="6" t="s">
        <v>24</v>
      </c>
    </row>
    <row r="247" spans="1:12" ht="23" customHeight="1">
      <c r="A247" s="5" t="s">
        <v>29</v>
      </c>
      <c r="B247" s="6">
        <v>4</v>
      </c>
      <c r="C247" s="6">
        <v>1</v>
      </c>
      <c r="D247" s="6" t="s">
        <v>30</v>
      </c>
      <c r="E247" s="6">
        <v>104</v>
      </c>
      <c r="F247" s="6">
        <v>63</v>
      </c>
      <c r="G247" s="6">
        <v>1418</v>
      </c>
      <c r="H247" s="6">
        <v>4</v>
      </c>
      <c r="I247" s="6" t="s">
        <v>31</v>
      </c>
      <c r="J247" s="7">
        <v>155634</v>
      </c>
      <c r="K247" s="6" t="s">
        <v>27</v>
      </c>
      <c r="L247" s="6" t="s">
        <v>24</v>
      </c>
    </row>
    <row r="248" spans="1:12" ht="23" customHeight="1">
      <c r="A248" s="5" t="s">
        <v>29</v>
      </c>
      <c r="B248" s="6">
        <v>4</v>
      </c>
      <c r="C248" s="6">
        <v>1</v>
      </c>
      <c r="D248" s="6" t="s">
        <v>30</v>
      </c>
      <c r="E248" s="6">
        <v>104</v>
      </c>
      <c r="F248" s="6">
        <v>63</v>
      </c>
      <c r="G248" s="6">
        <v>1418</v>
      </c>
      <c r="H248" s="6">
        <v>5</v>
      </c>
      <c r="I248" s="6" t="s">
        <v>32</v>
      </c>
      <c r="J248" s="7">
        <v>1794.4</v>
      </c>
      <c r="K248" s="6" t="s">
        <v>33</v>
      </c>
      <c r="L248" s="6" t="s">
        <v>24</v>
      </c>
    </row>
    <row r="249" spans="1:12" ht="23" customHeight="1">
      <c r="A249" s="5" t="s">
        <v>29</v>
      </c>
      <c r="B249" s="6">
        <v>4</v>
      </c>
      <c r="C249" s="6">
        <v>1</v>
      </c>
      <c r="D249" s="6" t="s">
        <v>30</v>
      </c>
      <c r="E249" s="6">
        <v>104</v>
      </c>
      <c r="F249" s="6">
        <v>63</v>
      </c>
      <c r="G249" s="6">
        <v>1418</v>
      </c>
      <c r="H249" s="6">
        <v>6</v>
      </c>
      <c r="I249" s="6" t="s">
        <v>34</v>
      </c>
      <c r="J249" s="7">
        <v>1794.4</v>
      </c>
      <c r="K249" s="6" t="s">
        <v>33</v>
      </c>
      <c r="L249" s="6" t="s">
        <v>24</v>
      </c>
    </row>
    <row r="250" spans="1:12" ht="23" customHeight="1">
      <c r="A250" s="5" t="s">
        <v>29</v>
      </c>
      <c r="B250" s="6">
        <v>4</v>
      </c>
      <c r="C250" s="6">
        <v>1</v>
      </c>
      <c r="D250" s="6" t="s">
        <v>30</v>
      </c>
      <c r="E250" s="6">
        <v>104</v>
      </c>
      <c r="F250" s="6">
        <v>63</v>
      </c>
      <c r="G250" s="6">
        <v>1418</v>
      </c>
      <c r="H250" s="6">
        <v>7</v>
      </c>
      <c r="I250" s="6" t="s">
        <v>35</v>
      </c>
      <c r="J250" s="7">
        <v>155634</v>
      </c>
      <c r="K250" s="6" t="s">
        <v>27</v>
      </c>
      <c r="L250" s="6" t="s">
        <v>24</v>
      </c>
    </row>
    <row r="251" spans="1:12" ht="23" customHeight="1">
      <c r="A251" s="5" t="s">
        <v>29</v>
      </c>
      <c r="B251" s="6">
        <v>4</v>
      </c>
      <c r="C251" s="6">
        <v>1</v>
      </c>
      <c r="D251" s="6" t="s">
        <v>30</v>
      </c>
      <c r="E251" s="6">
        <v>104</v>
      </c>
      <c r="F251" s="6">
        <v>63</v>
      </c>
      <c r="G251" s="6">
        <v>1418</v>
      </c>
      <c r="H251" s="6">
        <v>8</v>
      </c>
      <c r="I251" s="6" t="s">
        <v>36</v>
      </c>
      <c r="J251" s="7">
        <v>1794.4</v>
      </c>
      <c r="K251" s="6" t="s">
        <v>33</v>
      </c>
      <c r="L251" s="6" t="s">
        <v>24</v>
      </c>
    </row>
    <row r="252" spans="1:12" ht="23" customHeight="1">
      <c r="A252" s="5" t="s">
        <v>29</v>
      </c>
      <c r="B252" s="6">
        <v>4</v>
      </c>
      <c r="C252" s="6">
        <v>1</v>
      </c>
      <c r="D252" s="6" t="s">
        <v>30</v>
      </c>
      <c r="E252" s="6">
        <v>104</v>
      </c>
      <c r="F252" s="6">
        <v>63</v>
      </c>
      <c r="G252" s="6">
        <v>1418</v>
      </c>
      <c r="H252" s="6">
        <v>9</v>
      </c>
      <c r="I252" s="6" t="s">
        <v>37</v>
      </c>
      <c r="J252" s="7">
        <v>1794.4</v>
      </c>
      <c r="K252" s="6" t="s">
        <v>33</v>
      </c>
      <c r="L252" s="6" t="s">
        <v>24</v>
      </c>
    </row>
    <row r="253" spans="1:12" ht="23" customHeight="1">
      <c r="A253" s="5" t="s">
        <v>29</v>
      </c>
      <c r="B253" s="6">
        <v>4</v>
      </c>
      <c r="C253" s="6">
        <v>1</v>
      </c>
      <c r="D253" s="6" t="s">
        <v>30</v>
      </c>
      <c r="E253" s="6">
        <v>104</v>
      </c>
      <c r="F253" s="6">
        <v>63</v>
      </c>
      <c r="G253" s="6">
        <v>1418</v>
      </c>
      <c r="H253" s="6">
        <v>10</v>
      </c>
      <c r="I253" s="6" t="s">
        <v>38</v>
      </c>
      <c r="J253" s="7">
        <v>155634</v>
      </c>
      <c r="K253" s="6" t="s">
        <v>27</v>
      </c>
      <c r="L253" s="6" t="s">
        <v>24</v>
      </c>
    </row>
    <row r="254" spans="1:12" ht="23" customHeight="1">
      <c r="A254" s="5" t="s">
        <v>29</v>
      </c>
      <c r="B254" s="6">
        <v>4</v>
      </c>
      <c r="C254" s="6">
        <v>1</v>
      </c>
      <c r="D254" s="6" t="s">
        <v>30</v>
      </c>
      <c r="E254" s="6">
        <v>104</v>
      </c>
      <c r="F254" s="6">
        <v>63</v>
      </c>
      <c r="G254" s="6">
        <v>1418</v>
      </c>
      <c r="H254" s="6">
        <v>11</v>
      </c>
      <c r="I254" s="6" t="s">
        <v>39</v>
      </c>
      <c r="J254" s="7">
        <v>155634</v>
      </c>
      <c r="K254" s="6" t="s">
        <v>27</v>
      </c>
      <c r="L254" s="6" t="s">
        <v>24</v>
      </c>
    </row>
    <row r="255" spans="1:12" ht="23" customHeight="1">
      <c r="A255" s="5" t="s">
        <v>29</v>
      </c>
      <c r="B255" s="6">
        <v>4</v>
      </c>
      <c r="C255" s="6">
        <v>1</v>
      </c>
      <c r="D255" s="6" t="s">
        <v>30</v>
      </c>
      <c r="E255" s="6">
        <v>104</v>
      </c>
      <c r="F255" s="6">
        <v>63</v>
      </c>
      <c r="G255" s="6">
        <v>1418</v>
      </c>
      <c r="H255" s="6">
        <v>12</v>
      </c>
      <c r="I255" s="6" t="s">
        <v>40</v>
      </c>
      <c r="J255" s="7">
        <v>155634</v>
      </c>
      <c r="K255" s="6" t="s">
        <v>27</v>
      </c>
      <c r="L255" s="6" t="s">
        <v>24</v>
      </c>
    </row>
    <row r="256" spans="1:12" ht="23" customHeight="1">
      <c r="A256" s="5" t="s">
        <v>29</v>
      </c>
      <c r="B256" s="6">
        <v>4</v>
      </c>
      <c r="C256" s="6">
        <v>1</v>
      </c>
      <c r="D256" s="6" t="s">
        <v>30</v>
      </c>
      <c r="E256" s="6">
        <v>104</v>
      </c>
      <c r="F256" s="6">
        <v>63</v>
      </c>
      <c r="G256" s="6">
        <v>1418</v>
      </c>
      <c r="H256" s="6">
        <v>13</v>
      </c>
      <c r="I256" s="6" t="s">
        <v>41</v>
      </c>
      <c r="J256" s="7">
        <v>155634</v>
      </c>
      <c r="K256" s="6" t="s">
        <v>27</v>
      </c>
      <c r="L256" s="6" t="s">
        <v>24</v>
      </c>
    </row>
    <row r="257" spans="1:12" ht="23" customHeight="1">
      <c r="A257" s="5" t="s">
        <v>29</v>
      </c>
      <c r="B257" s="6">
        <v>4</v>
      </c>
      <c r="C257" s="6">
        <v>1</v>
      </c>
      <c r="D257" s="6" t="s">
        <v>30</v>
      </c>
      <c r="E257" s="6">
        <v>105</v>
      </c>
      <c r="F257" s="6">
        <v>64</v>
      </c>
      <c r="G257" s="6">
        <v>1419</v>
      </c>
      <c r="H257" s="6">
        <v>4</v>
      </c>
      <c r="I257" s="6" t="s">
        <v>31</v>
      </c>
      <c r="J257" s="7">
        <v>223257</v>
      </c>
      <c r="K257" s="6" t="s">
        <v>27</v>
      </c>
      <c r="L257" s="6" t="s">
        <v>24</v>
      </c>
    </row>
    <row r="258" spans="1:12" ht="23" customHeight="1">
      <c r="A258" s="5" t="s">
        <v>29</v>
      </c>
      <c r="B258" s="6">
        <v>4</v>
      </c>
      <c r="C258" s="6">
        <v>1</v>
      </c>
      <c r="D258" s="6" t="s">
        <v>30</v>
      </c>
      <c r="E258" s="6">
        <v>105</v>
      </c>
      <c r="F258" s="6">
        <v>64</v>
      </c>
      <c r="G258" s="6">
        <v>1419</v>
      </c>
      <c r="H258" s="6">
        <v>5</v>
      </c>
      <c r="I258" s="6" t="s">
        <v>32</v>
      </c>
      <c r="J258" s="7">
        <v>2313</v>
      </c>
      <c r="K258" s="6" t="s">
        <v>33</v>
      </c>
      <c r="L258" s="6" t="s">
        <v>24</v>
      </c>
    </row>
    <row r="259" spans="1:12" ht="23" customHeight="1">
      <c r="A259" s="5" t="s">
        <v>29</v>
      </c>
      <c r="B259" s="6">
        <v>4</v>
      </c>
      <c r="C259" s="6">
        <v>1</v>
      </c>
      <c r="D259" s="6" t="s">
        <v>30</v>
      </c>
      <c r="E259" s="6">
        <v>105</v>
      </c>
      <c r="F259" s="6">
        <v>64</v>
      </c>
      <c r="G259" s="6">
        <v>1419</v>
      </c>
      <c r="H259" s="6">
        <v>6</v>
      </c>
      <c r="I259" s="6" t="s">
        <v>34</v>
      </c>
      <c r="J259" s="7">
        <v>2313</v>
      </c>
      <c r="K259" s="6" t="s">
        <v>33</v>
      </c>
      <c r="L259" s="6" t="s">
        <v>24</v>
      </c>
    </row>
    <row r="260" spans="1:12" ht="23" customHeight="1">
      <c r="A260" s="5" t="s">
        <v>29</v>
      </c>
      <c r="B260" s="6">
        <v>4</v>
      </c>
      <c r="C260" s="6">
        <v>1</v>
      </c>
      <c r="D260" s="6" t="s">
        <v>30</v>
      </c>
      <c r="E260" s="6">
        <v>105</v>
      </c>
      <c r="F260" s="6">
        <v>64</v>
      </c>
      <c r="G260" s="6">
        <v>1419</v>
      </c>
      <c r="H260" s="6">
        <v>7</v>
      </c>
      <c r="I260" s="6" t="s">
        <v>35</v>
      </c>
      <c r="J260" s="7">
        <v>223257</v>
      </c>
      <c r="K260" s="6" t="s">
        <v>27</v>
      </c>
      <c r="L260" s="6" t="s">
        <v>24</v>
      </c>
    </row>
    <row r="261" spans="1:12" ht="23" customHeight="1">
      <c r="A261" s="5" t="s">
        <v>29</v>
      </c>
      <c r="B261" s="6">
        <v>4</v>
      </c>
      <c r="C261" s="6">
        <v>1</v>
      </c>
      <c r="D261" s="6" t="s">
        <v>30</v>
      </c>
      <c r="E261" s="6">
        <v>105</v>
      </c>
      <c r="F261" s="6">
        <v>64</v>
      </c>
      <c r="G261" s="6">
        <v>1419</v>
      </c>
      <c r="H261" s="6">
        <v>8</v>
      </c>
      <c r="I261" s="6" t="s">
        <v>36</v>
      </c>
      <c r="J261" s="7">
        <v>2313</v>
      </c>
      <c r="K261" s="6" t="s">
        <v>33</v>
      </c>
      <c r="L261" s="6" t="s">
        <v>24</v>
      </c>
    </row>
    <row r="262" spans="1:12" ht="23" customHeight="1">
      <c r="A262" s="5" t="s">
        <v>29</v>
      </c>
      <c r="B262" s="6">
        <v>4</v>
      </c>
      <c r="C262" s="6">
        <v>1</v>
      </c>
      <c r="D262" s="6" t="s">
        <v>30</v>
      </c>
      <c r="E262" s="6">
        <v>105</v>
      </c>
      <c r="F262" s="6">
        <v>64</v>
      </c>
      <c r="G262" s="6">
        <v>1419</v>
      </c>
      <c r="H262" s="6">
        <v>9</v>
      </c>
      <c r="I262" s="6" t="s">
        <v>37</v>
      </c>
      <c r="J262" s="7">
        <v>2313</v>
      </c>
      <c r="K262" s="6" t="s">
        <v>33</v>
      </c>
      <c r="L262" s="6" t="s">
        <v>24</v>
      </c>
    </row>
    <row r="263" spans="1:12" ht="23" customHeight="1">
      <c r="A263" s="5" t="s">
        <v>29</v>
      </c>
      <c r="B263" s="6">
        <v>4</v>
      </c>
      <c r="C263" s="6">
        <v>1</v>
      </c>
      <c r="D263" s="6" t="s">
        <v>30</v>
      </c>
      <c r="E263" s="6">
        <v>105</v>
      </c>
      <c r="F263" s="6">
        <v>64</v>
      </c>
      <c r="G263" s="6">
        <v>1419</v>
      </c>
      <c r="H263" s="6">
        <v>10</v>
      </c>
      <c r="I263" s="6" t="s">
        <v>38</v>
      </c>
      <c r="J263" s="7">
        <v>223257</v>
      </c>
      <c r="K263" s="6" t="s">
        <v>27</v>
      </c>
      <c r="L263" s="6" t="s">
        <v>24</v>
      </c>
    </row>
    <row r="264" spans="1:12" ht="23" customHeight="1">
      <c r="A264" s="5" t="s">
        <v>29</v>
      </c>
      <c r="B264" s="6">
        <v>4</v>
      </c>
      <c r="C264" s="6">
        <v>1</v>
      </c>
      <c r="D264" s="6" t="s">
        <v>30</v>
      </c>
      <c r="E264" s="6">
        <v>105</v>
      </c>
      <c r="F264" s="6">
        <v>64</v>
      </c>
      <c r="G264" s="6">
        <v>1419</v>
      </c>
      <c r="H264" s="6">
        <v>11</v>
      </c>
      <c r="I264" s="6" t="s">
        <v>39</v>
      </c>
      <c r="J264" s="7">
        <v>223257</v>
      </c>
      <c r="K264" s="6" t="s">
        <v>27</v>
      </c>
      <c r="L264" s="6" t="s">
        <v>24</v>
      </c>
    </row>
    <row r="265" spans="1:12" ht="23" customHeight="1">
      <c r="A265" s="5" t="s">
        <v>29</v>
      </c>
      <c r="B265" s="6">
        <v>4</v>
      </c>
      <c r="C265" s="6">
        <v>1</v>
      </c>
      <c r="D265" s="6" t="s">
        <v>30</v>
      </c>
      <c r="E265" s="6">
        <v>105</v>
      </c>
      <c r="F265" s="6">
        <v>64</v>
      </c>
      <c r="G265" s="6">
        <v>1419</v>
      </c>
      <c r="H265" s="6">
        <v>12</v>
      </c>
      <c r="I265" s="6" t="s">
        <v>40</v>
      </c>
      <c r="J265" s="7">
        <v>223257</v>
      </c>
      <c r="K265" s="6" t="s">
        <v>27</v>
      </c>
      <c r="L265" s="6" t="s">
        <v>24</v>
      </c>
    </row>
    <row r="266" spans="1:12" ht="23" customHeight="1">
      <c r="A266" s="5" t="s">
        <v>29</v>
      </c>
      <c r="B266" s="6">
        <v>4</v>
      </c>
      <c r="C266" s="6">
        <v>1</v>
      </c>
      <c r="D266" s="6" t="s">
        <v>30</v>
      </c>
      <c r="E266" s="6">
        <v>105</v>
      </c>
      <c r="F266" s="6">
        <v>64</v>
      </c>
      <c r="G266" s="6">
        <v>1419</v>
      </c>
      <c r="H266" s="6">
        <v>13</v>
      </c>
      <c r="I266" s="6" t="s">
        <v>41</v>
      </c>
      <c r="J266" s="7">
        <v>223257</v>
      </c>
      <c r="K266" s="6" t="s">
        <v>27</v>
      </c>
      <c r="L266" s="6" t="s">
        <v>24</v>
      </c>
    </row>
    <row r="267" spans="1:12" ht="23" customHeight="1">
      <c r="A267" s="5" t="s">
        <v>29</v>
      </c>
      <c r="B267" s="6">
        <v>4</v>
      </c>
      <c r="C267" s="6">
        <v>1</v>
      </c>
      <c r="D267" s="6" t="s">
        <v>30</v>
      </c>
      <c r="E267" s="6">
        <v>106</v>
      </c>
      <c r="F267" s="6">
        <v>65</v>
      </c>
      <c r="G267" s="6">
        <v>1420</v>
      </c>
      <c r="H267" s="6">
        <v>4</v>
      </c>
      <c r="I267" s="6" t="s">
        <v>31</v>
      </c>
      <c r="J267" s="7">
        <v>218438</v>
      </c>
      <c r="K267" s="6" t="s">
        <v>27</v>
      </c>
      <c r="L267" s="6" t="s">
        <v>24</v>
      </c>
    </row>
    <row r="268" spans="1:12" ht="23" customHeight="1">
      <c r="A268" s="5" t="s">
        <v>29</v>
      </c>
      <c r="B268" s="6">
        <v>4</v>
      </c>
      <c r="C268" s="6">
        <v>1</v>
      </c>
      <c r="D268" s="6" t="s">
        <v>30</v>
      </c>
      <c r="E268" s="6">
        <v>106</v>
      </c>
      <c r="F268" s="6">
        <v>65</v>
      </c>
      <c r="G268" s="6">
        <v>1420</v>
      </c>
      <c r="H268" s="6">
        <v>5</v>
      </c>
      <c r="I268" s="6" t="s">
        <v>32</v>
      </c>
      <c r="J268" s="7">
        <v>2752.4</v>
      </c>
      <c r="K268" s="6" t="s">
        <v>33</v>
      </c>
      <c r="L268" s="6" t="s">
        <v>24</v>
      </c>
    </row>
    <row r="269" spans="1:12" ht="23" customHeight="1">
      <c r="A269" s="5" t="s">
        <v>29</v>
      </c>
      <c r="B269" s="6">
        <v>4</v>
      </c>
      <c r="C269" s="6">
        <v>1</v>
      </c>
      <c r="D269" s="6" t="s">
        <v>30</v>
      </c>
      <c r="E269" s="6">
        <v>106</v>
      </c>
      <c r="F269" s="6">
        <v>65</v>
      </c>
      <c r="G269" s="6">
        <v>1420</v>
      </c>
      <c r="H269" s="6">
        <v>6</v>
      </c>
      <c r="I269" s="6" t="s">
        <v>34</v>
      </c>
      <c r="J269" s="7">
        <v>2752.4</v>
      </c>
      <c r="K269" s="6" t="s">
        <v>33</v>
      </c>
      <c r="L269" s="6" t="s">
        <v>24</v>
      </c>
    </row>
    <row r="270" spans="1:12" ht="23" customHeight="1">
      <c r="A270" s="5" t="s">
        <v>29</v>
      </c>
      <c r="B270" s="6">
        <v>4</v>
      </c>
      <c r="C270" s="6">
        <v>1</v>
      </c>
      <c r="D270" s="6" t="s">
        <v>30</v>
      </c>
      <c r="E270" s="6">
        <v>106</v>
      </c>
      <c r="F270" s="6">
        <v>65</v>
      </c>
      <c r="G270" s="6">
        <v>1420</v>
      </c>
      <c r="H270" s="6">
        <v>7</v>
      </c>
      <c r="I270" s="6" t="s">
        <v>35</v>
      </c>
      <c r="J270" s="7">
        <v>218438</v>
      </c>
      <c r="K270" s="6" t="s">
        <v>27</v>
      </c>
      <c r="L270" s="6" t="s">
        <v>24</v>
      </c>
    </row>
    <row r="271" spans="1:12" ht="23" customHeight="1">
      <c r="A271" s="5" t="s">
        <v>29</v>
      </c>
      <c r="B271" s="6">
        <v>4</v>
      </c>
      <c r="C271" s="6">
        <v>1</v>
      </c>
      <c r="D271" s="6" t="s">
        <v>30</v>
      </c>
      <c r="E271" s="6">
        <v>106</v>
      </c>
      <c r="F271" s="6">
        <v>65</v>
      </c>
      <c r="G271" s="6">
        <v>1420</v>
      </c>
      <c r="H271" s="6">
        <v>8</v>
      </c>
      <c r="I271" s="6" t="s">
        <v>36</v>
      </c>
      <c r="J271" s="7">
        <v>2752.4</v>
      </c>
      <c r="K271" s="6" t="s">
        <v>33</v>
      </c>
      <c r="L271" s="6" t="s">
        <v>24</v>
      </c>
    </row>
    <row r="272" spans="1:12" ht="23" customHeight="1">
      <c r="A272" s="5" t="s">
        <v>29</v>
      </c>
      <c r="B272" s="6">
        <v>4</v>
      </c>
      <c r="C272" s="6">
        <v>1</v>
      </c>
      <c r="D272" s="6" t="s">
        <v>30</v>
      </c>
      <c r="E272" s="6">
        <v>106</v>
      </c>
      <c r="F272" s="6">
        <v>65</v>
      </c>
      <c r="G272" s="6">
        <v>1420</v>
      </c>
      <c r="H272" s="6">
        <v>9</v>
      </c>
      <c r="I272" s="6" t="s">
        <v>37</v>
      </c>
      <c r="J272" s="7">
        <v>2752.4</v>
      </c>
      <c r="K272" s="6" t="s">
        <v>33</v>
      </c>
      <c r="L272" s="6" t="s">
        <v>24</v>
      </c>
    </row>
    <row r="273" spans="1:12" ht="23" customHeight="1">
      <c r="A273" s="5" t="s">
        <v>29</v>
      </c>
      <c r="B273" s="6">
        <v>4</v>
      </c>
      <c r="C273" s="6">
        <v>1</v>
      </c>
      <c r="D273" s="6" t="s">
        <v>30</v>
      </c>
      <c r="E273" s="6">
        <v>106</v>
      </c>
      <c r="F273" s="6">
        <v>65</v>
      </c>
      <c r="G273" s="6">
        <v>1420</v>
      </c>
      <c r="H273" s="6">
        <v>10</v>
      </c>
      <c r="I273" s="6" t="s">
        <v>38</v>
      </c>
      <c r="J273" s="7">
        <v>218438</v>
      </c>
      <c r="K273" s="6" t="s">
        <v>27</v>
      </c>
      <c r="L273" s="6" t="s">
        <v>24</v>
      </c>
    </row>
    <row r="274" spans="1:12" ht="23" customHeight="1">
      <c r="A274" s="5" t="s">
        <v>29</v>
      </c>
      <c r="B274" s="6">
        <v>4</v>
      </c>
      <c r="C274" s="6">
        <v>1</v>
      </c>
      <c r="D274" s="6" t="s">
        <v>30</v>
      </c>
      <c r="E274" s="6">
        <v>106</v>
      </c>
      <c r="F274" s="6">
        <v>65</v>
      </c>
      <c r="G274" s="6">
        <v>1420</v>
      </c>
      <c r="H274" s="6">
        <v>11</v>
      </c>
      <c r="I274" s="6" t="s">
        <v>39</v>
      </c>
      <c r="J274" s="7">
        <v>218438</v>
      </c>
      <c r="K274" s="6" t="s">
        <v>27</v>
      </c>
      <c r="L274" s="6" t="s">
        <v>24</v>
      </c>
    </row>
    <row r="275" spans="1:12" ht="23" customHeight="1">
      <c r="A275" s="5" t="s">
        <v>29</v>
      </c>
      <c r="B275" s="6">
        <v>4</v>
      </c>
      <c r="C275" s="6">
        <v>1</v>
      </c>
      <c r="D275" s="6" t="s">
        <v>30</v>
      </c>
      <c r="E275" s="6">
        <v>106</v>
      </c>
      <c r="F275" s="6">
        <v>65</v>
      </c>
      <c r="G275" s="6">
        <v>1420</v>
      </c>
      <c r="H275" s="6">
        <v>12</v>
      </c>
      <c r="I275" s="6" t="s">
        <v>40</v>
      </c>
      <c r="J275" s="7">
        <v>218438</v>
      </c>
      <c r="K275" s="6" t="s">
        <v>27</v>
      </c>
      <c r="L275" s="6" t="s">
        <v>24</v>
      </c>
    </row>
    <row r="276" spans="1:12" ht="23" customHeight="1">
      <c r="A276" s="5" t="s">
        <v>29</v>
      </c>
      <c r="B276" s="6">
        <v>4</v>
      </c>
      <c r="C276" s="6">
        <v>1</v>
      </c>
      <c r="D276" s="6" t="s">
        <v>30</v>
      </c>
      <c r="E276" s="6">
        <v>106</v>
      </c>
      <c r="F276" s="6">
        <v>65</v>
      </c>
      <c r="G276" s="6">
        <v>1420</v>
      </c>
      <c r="H276" s="6">
        <v>13</v>
      </c>
      <c r="I276" s="6" t="s">
        <v>41</v>
      </c>
      <c r="J276" s="7">
        <v>218438</v>
      </c>
      <c r="K276" s="6" t="s">
        <v>27</v>
      </c>
      <c r="L276" s="6" t="s">
        <v>24</v>
      </c>
    </row>
    <row r="277" spans="1:12" ht="23" customHeight="1">
      <c r="A277" s="5" t="s">
        <v>29</v>
      </c>
      <c r="B277" s="6">
        <v>4</v>
      </c>
      <c r="C277" s="6">
        <v>1</v>
      </c>
      <c r="D277" s="6" t="s">
        <v>30</v>
      </c>
      <c r="E277" s="6">
        <v>107</v>
      </c>
      <c r="F277" s="6">
        <v>66</v>
      </c>
      <c r="G277" s="6">
        <v>1421</v>
      </c>
      <c r="H277" s="6">
        <v>4</v>
      </c>
      <c r="I277" s="6" t="s">
        <v>31</v>
      </c>
      <c r="J277" s="7">
        <v>218438</v>
      </c>
      <c r="K277" s="6" t="s">
        <v>27</v>
      </c>
      <c r="L277" s="6" t="s">
        <v>24</v>
      </c>
    </row>
    <row r="278" spans="1:12" ht="23" customHeight="1">
      <c r="A278" s="5" t="s">
        <v>29</v>
      </c>
      <c r="B278" s="6">
        <v>4</v>
      </c>
      <c r="C278" s="6">
        <v>1</v>
      </c>
      <c r="D278" s="6" t="s">
        <v>30</v>
      </c>
      <c r="E278" s="6">
        <v>107</v>
      </c>
      <c r="F278" s="6">
        <v>66</v>
      </c>
      <c r="G278" s="6">
        <v>1421</v>
      </c>
      <c r="H278" s="6">
        <v>5</v>
      </c>
      <c r="I278" s="6" t="s">
        <v>32</v>
      </c>
      <c r="J278" s="7">
        <v>2752.4</v>
      </c>
      <c r="K278" s="6" t="s">
        <v>33</v>
      </c>
      <c r="L278" s="6" t="s">
        <v>24</v>
      </c>
    </row>
    <row r="279" spans="1:12" ht="23" customHeight="1">
      <c r="A279" s="5" t="s">
        <v>29</v>
      </c>
      <c r="B279" s="6">
        <v>4</v>
      </c>
      <c r="C279" s="6">
        <v>1</v>
      </c>
      <c r="D279" s="6" t="s">
        <v>30</v>
      </c>
      <c r="E279" s="6">
        <v>107</v>
      </c>
      <c r="F279" s="6">
        <v>66</v>
      </c>
      <c r="G279" s="6">
        <v>1421</v>
      </c>
      <c r="H279" s="6">
        <v>6</v>
      </c>
      <c r="I279" s="6" t="s">
        <v>34</v>
      </c>
      <c r="J279" s="7">
        <v>2752.4</v>
      </c>
      <c r="K279" s="6" t="s">
        <v>33</v>
      </c>
      <c r="L279" s="6" t="s">
        <v>24</v>
      </c>
    </row>
    <row r="280" spans="1:12" ht="23" customHeight="1">
      <c r="A280" s="5" t="s">
        <v>29</v>
      </c>
      <c r="B280" s="6">
        <v>4</v>
      </c>
      <c r="C280" s="6">
        <v>1</v>
      </c>
      <c r="D280" s="6" t="s">
        <v>30</v>
      </c>
      <c r="E280" s="6">
        <v>107</v>
      </c>
      <c r="F280" s="6">
        <v>66</v>
      </c>
      <c r="G280" s="6">
        <v>1421</v>
      </c>
      <c r="H280" s="6">
        <v>7</v>
      </c>
      <c r="I280" s="6" t="s">
        <v>35</v>
      </c>
      <c r="J280" s="7">
        <v>218438</v>
      </c>
      <c r="K280" s="6" t="s">
        <v>27</v>
      </c>
      <c r="L280" s="6" t="s">
        <v>24</v>
      </c>
    </row>
    <row r="281" spans="1:12" ht="23" customHeight="1">
      <c r="A281" s="5" t="s">
        <v>29</v>
      </c>
      <c r="B281" s="6">
        <v>4</v>
      </c>
      <c r="C281" s="6">
        <v>1</v>
      </c>
      <c r="D281" s="6" t="s">
        <v>30</v>
      </c>
      <c r="E281" s="6">
        <v>107</v>
      </c>
      <c r="F281" s="6">
        <v>66</v>
      </c>
      <c r="G281" s="6">
        <v>1421</v>
      </c>
      <c r="H281" s="6">
        <v>8</v>
      </c>
      <c r="I281" s="6" t="s">
        <v>36</v>
      </c>
      <c r="J281" s="7">
        <v>2752.4</v>
      </c>
      <c r="K281" s="6" t="s">
        <v>33</v>
      </c>
      <c r="L281" s="6" t="s">
        <v>24</v>
      </c>
    </row>
    <row r="282" spans="1:12" ht="23" customHeight="1">
      <c r="A282" s="5" t="s">
        <v>29</v>
      </c>
      <c r="B282" s="6">
        <v>4</v>
      </c>
      <c r="C282" s="6">
        <v>1</v>
      </c>
      <c r="D282" s="6" t="s">
        <v>30</v>
      </c>
      <c r="E282" s="6">
        <v>107</v>
      </c>
      <c r="F282" s="6">
        <v>66</v>
      </c>
      <c r="G282" s="6">
        <v>1421</v>
      </c>
      <c r="H282" s="6">
        <v>9</v>
      </c>
      <c r="I282" s="6" t="s">
        <v>37</v>
      </c>
      <c r="J282" s="7">
        <v>2752.4</v>
      </c>
      <c r="K282" s="6" t="s">
        <v>33</v>
      </c>
      <c r="L282" s="6" t="s">
        <v>24</v>
      </c>
    </row>
    <row r="283" spans="1:12" ht="23" customHeight="1">
      <c r="A283" s="5" t="s">
        <v>29</v>
      </c>
      <c r="B283" s="6">
        <v>4</v>
      </c>
      <c r="C283" s="6">
        <v>1</v>
      </c>
      <c r="D283" s="6" t="s">
        <v>30</v>
      </c>
      <c r="E283" s="6">
        <v>107</v>
      </c>
      <c r="F283" s="6">
        <v>66</v>
      </c>
      <c r="G283" s="6">
        <v>1421</v>
      </c>
      <c r="H283" s="6">
        <v>10</v>
      </c>
      <c r="I283" s="6" t="s">
        <v>38</v>
      </c>
      <c r="J283" s="7">
        <v>218438</v>
      </c>
      <c r="K283" s="6" t="s">
        <v>27</v>
      </c>
      <c r="L283" s="6" t="s">
        <v>24</v>
      </c>
    </row>
    <row r="284" spans="1:12" ht="23" customHeight="1">
      <c r="A284" s="5" t="s">
        <v>29</v>
      </c>
      <c r="B284" s="6">
        <v>4</v>
      </c>
      <c r="C284" s="6">
        <v>1</v>
      </c>
      <c r="D284" s="6" t="s">
        <v>30</v>
      </c>
      <c r="E284" s="6">
        <v>107</v>
      </c>
      <c r="F284" s="6">
        <v>66</v>
      </c>
      <c r="G284" s="6">
        <v>1421</v>
      </c>
      <c r="H284" s="6">
        <v>11</v>
      </c>
      <c r="I284" s="6" t="s">
        <v>39</v>
      </c>
      <c r="J284" s="7">
        <v>218438</v>
      </c>
      <c r="K284" s="6" t="s">
        <v>27</v>
      </c>
      <c r="L284" s="6" t="s">
        <v>24</v>
      </c>
    </row>
    <row r="285" spans="1:12" ht="23" customHeight="1">
      <c r="A285" s="5" t="s">
        <v>29</v>
      </c>
      <c r="B285" s="6">
        <v>4</v>
      </c>
      <c r="C285" s="6">
        <v>1</v>
      </c>
      <c r="D285" s="6" t="s">
        <v>30</v>
      </c>
      <c r="E285" s="6">
        <v>107</v>
      </c>
      <c r="F285" s="6">
        <v>66</v>
      </c>
      <c r="G285" s="6">
        <v>1421</v>
      </c>
      <c r="H285" s="6">
        <v>12</v>
      </c>
      <c r="I285" s="6" t="s">
        <v>40</v>
      </c>
      <c r="J285" s="7">
        <v>218438</v>
      </c>
      <c r="K285" s="6" t="s">
        <v>27</v>
      </c>
      <c r="L285" s="6" t="s">
        <v>24</v>
      </c>
    </row>
    <row r="286" spans="1:12" ht="23" customHeight="1">
      <c r="A286" s="5" t="s">
        <v>29</v>
      </c>
      <c r="B286" s="6">
        <v>4</v>
      </c>
      <c r="C286" s="6">
        <v>1</v>
      </c>
      <c r="D286" s="6" t="s">
        <v>30</v>
      </c>
      <c r="E286" s="6">
        <v>107</v>
      </c>
      <c r="F286" s="6">
        <v>66</v>
      </c>
      <c r="G286" s="6">
        <v>1421</v>
      </c>
      <c r="H286" s="6">
        <v>13</v>
      </c>
      <c r="I286" s="6" t="s">
        <v>41</v>
      </c>
      <c r="J286" s="7">
        <v>218438</v>
      </c>
      <c r="K286" s="6" t="s">
        <v>27</v>
      </c>
      <c r="L286" s="6" t="s">
        <v>24</v>
      </c>
    </row>
    <row r="287" spans="1:12" ht="23" customHeight="1">
      <c r="A287" s="5" t="s">
        <v>29</v>
      </c>
      <c r="B287" s="6">
        <v>4</v>
      </c>
      <c r="C287" s="6">
        <v>1</v>
      </c>
      <c r="D287" s="6" t="s">
        <v>30</v>
      </c>
      <c r="E287" s="6">
        <v>108</v>
      </c>
      <c r="F287" s="6">
        <v>67</v>
      </c>
      <c r="G287" s="6">
        <v>1422</v>
      </c>
      <c r="H287" s="6">
        <v>4</v>
      </c>
      <c r="I287" s="6" t="s">
        <v>31</v>
      </c>
      <c r="J287" s="7">
        <v>218438</v>
      </c>
      <c r="K287" s="6" t="s">
        <v>27</v>
      </c>
      <c r="L287" s="6" t="s">
        <v>24</v>
      </c>
    </row>
    <row r="288" spans="1:12" ht="23" customHeight="1">
      <c r="A288" s="5" t="s">
        <v>29</v>
      </c>
      <c r="B288" s="6">
        <v>4</v>
      </c>
      <c r="C288" s="6">
        <v>1</v>
      </c>
      <c r="D288" s="6" t="s">
        <v>30</v>
      </c>
      <c r="E288" s="6">
        <v>108</v>
      </c>
      <c r="F288" s="6">
        <v>67</v>
      </c>
      <c r="G288" s="6">
        <v>1422</v>
      </c>
      <c r="H288" s="6">
        <v>5</v>
      </c>
      <c r="I288" s="6" t="s">
        <v>32</v>
      </c>
      <c r="J288" s="7">
        <v>2752.4</v>
      </c>
      <c r="K288" s="6" t="s">
        <v>33</v>
      </c>
      <c r="L288" s="6" t="s">
        <v>24</v>
      </c>
    </row>
    <row r="289" spans="1:12" ht="23" customHeight="1">
      <c r="A289" s="5" t="s">
        <v>29</v>
      </c>
      <c r="B289" s="6">
        <v>4</v>
      </c>
      <c r="C289" s="6">
        <v>1</v>
      </c>
      <c r="D289" s="6" t="s">
        <v>30</v>
      </c>
      <c r="E289" s="6">
        <v>108</v>
      </c>
      <c r="F289" s="6">
        <v>67</v>
      </c>
      <c r="G289" s="6">
        <v>1422</v>
      </c>
      <c r="H289" s="6">
        <v>6</v>
      </c>
      <c r="I289" s="6" t="s">
        <v>34</v>
      </c>
      <c r="J289" s="7">
        <v>2752.4</v>
      </c>
      <c r="K289" s="6" t="s">
        <v>33</v>
      </c>
      <c r="L289" s="6" t="s">
        <v>24</v>
      </c>
    </row>
    <row r="290" spans="1:12" ht="23" customHeight="1">
      <c r="A290" s="5" t="s">
        <v>29</v>
      </c>
      <c r="B290" s="6">
        <v>4</v>
      </c>
      <c r="C290" s="6">
        <v>1</v>
      </c>
      <c r="D290" s="6" t="s">
        <v>30</v>
      </c>
      <c r="E290" s="6">
        <v>108</v>
      </c>
      <c r="F290" s="6">
        <v>67</v>
      </c>
      <c r="G290" s="6">
        <v>1422</v>
      </c>
      <c r="H290" s="6">
        <v>7</v>
      </c>
      <c r="I290" s="6" t="s">
        <v>35</v>
      </c>
      <c r="J290" s="7">
        <v>218438</v>
      </c>
      <c r="K290" s="6" t="s">
        <v>27</v>
      </c>
      <c r="L290" s="6" t="s">
        <v>24</v>
      </c>
    </row>
    <row r="291" spans="1:12" ht="23" customHeight="1">
      <c r="A291" s="5" t="s">
        <v>29</v>
      </c>
      <c r="B291" s="6">
        <v>4</v>
      </c>
      <c r="C291" s="6">
        <v>1</v>
      </c>
      <c r="D291" s="6" t="s">
        <v>30</v>
      </c>
      <c r="E291" s="6">
        <v>108</v>
      </c>
      <c r="F291" s="6">
        <v>67</v>
      </c>
      <c r="G291" s="6">
        <v>1422</v>
      </c>
      <c r="H291" s="6">
        <v>8</v>
      </c>
      <c r="I291" s="6" t="s">
        <v>36</v>
      </c>
      <c r="J291" s="7">
        <v>2752.4</v>
      </c>
      <c r="K291" s="6" t="s">
        <v>33</v>
      </c>
      <c r="L291" s="6" t="s">
        <v>24</v>
      </c>
    </row>
    <row r="292" spans="1:12" ht="23" customHeight="1">
      <c r="A292" s="5" t="s">
        <v>29</v>
      </c>
      <c r="B292" s="6">
        <v>4</v>
      </c>
      <c r="C292" s="6">
        <v>1</v>
      </c>
      <c r="D292" s="6" t="s">
        <v>30</v>
      </c>
      <c r="E292" s="6">
        <v>108</v>
      </c>
      <c r="F292" s="6">
        <v>67</v>
      </c>
      <c r="G292" s="6">
        <v>1422</v>
      </c>
      <c r="H292" s="6">
        <v>9</v>
      </c>
      <c r="I292" s="6" t="s">
        <v>37</v>
      </c>
      <c r="J292" s="7">
        <v>2752.4</v>
      </c>
      <c r="K292" s="6" t="s">
        <v>33</v>
      </c>
      <c r="L292" s="6" t="s">
        <v>24</v>
      </c>
    </row>
    <row r="293" spans="1:12" ht="23" customHeight="1">
      <c r="A293" s="5" t="s">
        <v>29</v>
      </c>
      <c r="B293" s="6">
        <v>4</v>
      </c>
      <c r="C293" s="6">
        <v>1</v>
      </c>
      <c r="D293" s="6" t="s">
        <v>30</v>
      </c>
      <c r="E293" s="6">
        <v>108</v>
      </c>
      <c r="F293" s="6">
        <v>67</v>
      </c>
      <c r="G293" s="6">
        <v>1422</v>
      </c>
      <c r="H293" s="6">
        <v>10</v>
      </c>
      <c r="I293" s="6" t="s">
        <v>38</v>
      </c>
      <c r="J293" s="7">
        <v>218438</v>
      </c>
      <c r="K293" s="6" t="s">
        <v>27</v>
      </c>
      <c r="L293" s="6" t="s">
        <v>24</v>
      </c>
    </row>
    <row r="294" spans="1:12" ht="23" customHeight="1">
      <c r="A294" s="5" t="s">
        <v>29</v>
      </c>
      <c r="B294" s="6">
        <v>4</v>
      </c>
      <c r="C294" s="6">
        <v>1</v>
      </c>
      <c r="D294" s="6" t="s">
        <v>30</v>
      </c>
      <c r="E294" s="6">
        <v>108</v>
      </c>
      <c r="F294" s="6">
        <v>67</v>
      </c>
      <c r="G294" s="6">
        <v>1422</v>
      </c>
      <c r="H294" s="6">
        <v>11</v>
      </c>
      <c r="I294" s="6" t="s">
        <v>39</v>
      </c>
      <c r="J294" s="7">
        <v>218438</v>
      </c>
      <c r="K294" s="6" t="s">
        <v>27</v>
      </c>
      <c r="L294" s="6" t="s">
        <v>24</v>
      </c>
    </row>
    <row r="295" spans="1:12" ht="23" customHeight="1">
      <c r="A295" s="5" t="s">
        <v>29</v>
      </c>
      <c r="B295" s="6">
        <v>4</v>
      </c>
      <c r="C295" s="6">
        <v>1</v>
      </c>
      <c r="D295" s="6" t="s">
        <v>30</v>
      </c>
      <c r="E295" s="6">
        <v>108</v>
      </c>
      <c r="F295" s="6">
        <v>67</v>
      </c>
      <c r="G295" s="6">
        <v>1422</v>
      </c>
      <c r="H295" s="6">
        <v>12</v>
      </c>
      <c r="I295" s="6" t="s">
        <v>40</v>
      </c>
      <c r="J295" s="7">
        <v>218438</v>
      </c>
      <c r="K295" s="6" t="s">
        <v>27</v>
      </c>
      <c r="L295" s="6" t="s">
        <v>24</v>
      </c>
    </row>
    <row r="296" spans="1:12" ht="23" customHeight="1">
      <c r="A296" s="5" t="s">
        <v>29</v>
      </c>
      <c r="B296" s="6">
        <v>4</v>
      </c>
      <c r="C296" s="6">
        <v>1</v>
      </c>
      <c r="D296" s="6" t="s">
        <v>30</v>
      </c>
      <c r="E296" s="6">
        <v>108</v>
      </c>
      <c r="F296" s="6">
        <v>67</v>
      </c>
      <c r="G296" s="6">
        <v>1422</v>
      </c>
      <c r="H296" s="6">
        <v>13</v>
      </c>
      <c r="I296" s="6" t="s">
        <v>41</v>
      </c>
      <c r="J296" s="7">
        <v>218438</v>
      </c>
      <c r="K296" s="6" t="s">
        <v>27</v>
      </c>
      <c r="L296" s="6" t="s">
        <v>24</v>
      </c>
    </row>
    <row r="297" spans="1:12" ht="23" customHeight="1">
      <c r="A297" s="5" t="s">
        <v>29</v>
      </c>
      <c r="B297" s="6">
        <v>4</v>
      </c>
      <c r="C297" s="6">
        <v>1</v>
      </c>
      <c r="D297" s="6" t="s">
        <v>30</v>
      </c>
      <c r="E297" s="6">
        <v>109</v>
      </c>
      <c r="F297" s="6">
        <v>68</v>
      </c>
      <c r="G297" s="6">
        <v>1423</v>
      </c>
      <c r="H297" s="6">
        <v>4</v>
      </c>
      <c r="I297" s="6" t="s">
        <v>31</v>
      </c>
      <c r="J297" s="7">
        <v>218438</v>
      </c>
      <c r="K297" s="6" t="s">
        <v>27</v>
      </c>
      <c r="L297" s="6" t="s">
        <v>24</v>
      </c>
    </row>
    <row r="298" spans="1:12" ht="23" customHeight="1">
      <c r="A298" s="5" t="s">
        <v>29</v>
      </c>
      <c r="B298" s="6">
        <v>4</v>
      </c>
      <c r="C298" s="6">
        <v>1</v>
      </c>
      <c r="D298" s="6" t="s">
        <v>30</v>
      </c>
      <c r="E298" s="6">
        <v>109</v>
      </c>
      <c r="F298" s="6">
        <v>68</v>
      </c>
      <c r="G298" s="6">
        <v>1423</v>
      </c>
      <c r="H298" s="6">
        <v>5</v>
      </c>
      <c r="I298" s="6" t="s">
        <v>32</v>
      </c>
      <c r="J298" s="7">
        <v>2752.4</v>
      </c>
      <c r="K298" s="6" t="s">
        <v>33</v>
      </c>
      <c r="L298" s="6" t="s">
        <v>24</v>
      </c>
    </row>
    <row r="299" spans="1:12" ht="23" customHeight="1">
      <c r="A299" s="5" t="s">
        <v>29</v>
      </c>
      <c r="B299" s="6">
        <v>4</v>
      </c>
      <c r="C299" s="6">
        <v>1</v>
      </c>
      <c r="D299" s="6" t="s">
        <v>30</v>
      </c>
      <c r="E299" s="6">
        <v>109</v>
      </c>
      <c r="F299" s="6">
        <v>68</v>
      </c>
      <c r="G299" s="6">
        <v>1423</v>
      </c>
      <c r="H299" s="6">
        <v>6</v>
      </c>
      <c r="I299" s="6" t="s">
        <v>34</v>
      </c>
      <c r="J299" s="7">
        <v>2752.4</v>
      </c>
      <c r="K299" s="6" t="s">
        <v>33</v>
      </c>
      <c r="L299" s="6" t="s">
        <v>24</v>
      </c>
    </row>
    <row r="300" spans="1:12" ht="23" customHeight="1">
      <c r="A300" s="5" t="s">
        <v>29</v>
      </c>
      <c r="B300" s="6">
        <v>4</v>
      </c>
      <c r="C300" s="6">
        <v>1</v>
      </c>
      <c r="D300" s="6" t="s">
        <v>30</v>
      </c>
      <c r="E300" s="6">
        <v>109</v>
      </c>
      <c r="F300" s="6">
        <v>68</v>
      </c>
      <c r="G300" s="6">
        <v>1423</v>
      </c>
      <c r="H300" s="6">
        <v>7</v>
      </c>
      <c r="I300" s="6" t="s">
        <v>35</v>
      </c>
      <c r="J300" s="7">
        <v>218438</v>
      </c>
      <c r="K300" s="6" t="s">
        <v>27</v>
      </c>
      <c r="L300" s="6" t="s">
        <v>24</v>
      </c>
    </row>
    <row r="301" spans="1:12" ht="23" customHeight="1">
      <c r="A301" s="5" t="s">
        <v>29</v>
      </c>
      <c r="B301" s="6">
        <v>4</v>
      </c>
      <c r="C301" s="6">
        <v>1</v>
      </c>
      <c r="D301" s="6" t="s">
        <v>30</v>
      </c>
      <c r="E301" s="6">
        <v>109</v>
      </c>
      <c r="F301" s="6">
        <v>68</v>
      </c>
      <c r="G301" s="6">
        <v>1423</v>
      </c>
      <c r="H301" s="6">
        <v>8</v>
      </c>
      <c r="I301" s="6" t="s">
        <v>36</v>
      </c>
      <c r="J301" s="7">
        <v>2752.4</v>
      </c>
      <c r="K301" s="6" t="s">
        <v>33</v>
      </c>
      <c r="L301" s="6" t="s">
        <v>24</v>
      </c>
    </row>
    <row r="302" spans="1:12" ht="23" customHeight="1">
      <c r="A302" s="5" t="s">
        <v>29</v>
      </c>
      <c r="B302" s="6">
        <v>4</v>
      </c>
      <c r="C302" s="6">
        <v>1</v>
      </c>
      <c r="D302" s="6" t="s">
        <v>30</v>
      </c>
      <c r="E302" s="6">
        <v>109</v>
      </c>
      <c r="F302" s="6">
        <v>68</v>
      </c>
      <c r="G302" s="6">
        <v>1423</v>
      </c>
      <c r="H302" s="6">
        <v>9</v>
      </c>
      <c r="I302" s="6" t="s">
        <v>37</v>
      </c>
      <c r="J302" s="7">
        <v>2752.4</v>
      </c>
      <c r="K302" s="6" t="s">
        <v>33</v>
      </c>
      <c r="L302" s="6" t="s">
        <v>24</v>
      </c>
    </row>
    <row r="303" spans="1:12" ht="23" customHeight="1">
      <c r="A303" s="5" t="s">
        <v>29</v>
      </c>
      <c r="B303" s="6">
        <v>4</v>
      </c>
      <c r="C303" s="6">
        <v>1</v>
      </c>
      <c r="D303" s="6" t="s">
        <v>30</v>
      </c>
      <c r="E303" s="6">
        <v>109</v>
      </c>
      <c r="F303" s="6">
        <v>68</v>
      </c>
      <c r="G303" s="6">
        <v>1423</v>
      </c>
      <c r="H303" s="6">
        <v>10</v>
      </c>
      <c r="I303" s="6" t="s">
        <v>38</v>
      </c>
      <c r="J303" s="7">
        <v>218438</v>
      </c>
      <c r="K303" s="6" t="s">
        <v>27</v>
      </c>
      <c r="L303" s="6" t="s">
        <v>24</v>
      </c>
    </row>
    <row r="304" spans="1:12" ht="23" customHeight="1">
      <c r="A304" s="5" t="s">
        <v>29</v>
      </c>
      <c r="B304" s="6">
        <v>4</v>
      </c>
      <c r="C304" s="6">
        <v>1</v>
      </c>
      <c r="D304" s="6" t="s">
        <v>30</v>
      </c>
      <c r="E304" s="6">
        <v>109</v>
      </c>
      <c r="F304" s="6">
        <v>68</v>
      </c>
      <c r="G304" s="6">
        <v>1423</v>
      </c>
      <c r="H304" s="6">
        <v>11</v>
      </c>
      <c r="I304" s="6" t="s">
        <v>39</v>
      </c>
      <c r="J304" s="7">
        <v>218438</v>
      </c>
      <c r="K304" s="6" t="s">
        <v>27</v>
      </c>
      <c r="L304" s="6" t="s">
        <v>24</v>
      </c>
    </row>
    <row r="305" spans="1:12" ht="23" customHeight="1">
      <c r="A305" s="5" t="s">
        <v>29</v>
      </c>
      <c r="B305" s="6">
        <v>4</v>
      </c>
      <c r="C305" s="6">
        <v>1</v>
      </c>
      <c r="D305" s="6" t="s">
        <v>30</v>
      </c>
      <c r="E305" s="6">
        <v>109</v>
      </c>
      <c r="F305" s="6">
        <v>68</v>
      </c>
      <c r="G305" s="6">
        <v>1423</v>
      </c>
      <c r="H305" s="6">
        <v>12</v>
      </c>
      <c r="I305" s="6" t="s">
        <v>40</v>
      </c>
      <c r="J305" s="7">
        <v>218438</v>
      </c>
      <c r="K305" s="6" t="s">
        <v>27</v>
      </c>
      <c r="L305" s="6" t="s">
        <v>24</v>
      </c>
    </row>
    <row r="306" spans="1:12" ht="23" customHeight="1">
      <c r="A306" s="5" t="s">
        <v>29</v>
      </c>
      <c r="B306" s="6">
        <v>4</v>
      </c>
      <c r="C306" s="6">
        <v>1</v>
      </c>
      <c r="D306" s="6" t="s">
        <v>30</v>
      </c>
      <c r="E306" s="6">
        <v>109</v>
      </c>
      <c r="F306" s="6">
        <v>68</v>
      </c>
      <c r="G306" s="6">
        <v>1423</v>
      </c>
      <c r="H306" s="6">
        <v>13</v>
      </c>
      <c r="I306" s="6" t="s">
        <v>41</v>
      </c>
      <c r="J306" s="7">
        <v>218438</v>
      </c>
      <c r="K306" s="6" t="s">
        <v>27</v>
      </c>
      <c r="L306" s="6" t="s">
        <v>24</v>
      </c>
    </row>
    <row r="307" spans="1:12" ht="23" customHeight="1">
      <c r="A307" s="5" t="s">
        <v>29</v>
      </c>
      <c r="B307" s="6">
        <v>4</v>
      </c>
      <c r="C307" s="6">
        <v>1</v>
      </c>
      <c r="D307" s="6" t="s">
        <v>30</v>
      </c>
      <c r="E307" s="6">
        <v>110</v>
      </c>
      <c r="F307" s="6">
        <v>69</v>
      </c>
      <c r="G307" s="6">
        <v>1424</v>
      </c>
      <c r="H307" s="6">
        <v>4</v>
      </c>
      <c r="I307" s="6" t="s">
        <v>31</v>
      </c>
      <c r="J307" s="7">
        <v>218438</v>
      </c>
      <c r="K307" s="6" t="s">
        <v>27</v>
      </c>
      <c r="L307" s="6" t="s">
        <v>24</v>
      </c>
    </row>
    <row r="308" spans="1:12" ht="23" customHeight="1">
      <c r="A308" s="5" t="s">
        <v>29</v>
      </c>
      <c r="B308" s="6">
        <v>4</v>
      </c>
      <c r="C308" s="6">
        <v>1</v>
      </c>
      <c r="D308" s="6" t="s">
        <v>30</v>
      </c>
      <c r="E308" s="6">
        <v>110</v>
      </c>
      <c r="F308" s="6">
        <v>69</v>
      </c>
      <c r="G308" s="6">
        <v>1424</v>
      </c>
      <c r="H308" s="6">
        <v>5</v>
      </c>
      <c r="I308" s="6" t="s">
        <v>32</v>
      </c>
      <c r="J308" s="7">
        <v>2752.4</v>
      </c>
      <c r="K308" s="6" t="s">
        <v>33</v>
      </c>
      <c r="L308" s="6" t="s">
        <v>24</v>
      </c>
    </row>
    <row r="309" spans="1:12" ht="23" customHeight="1">
      <c r="A309" s="5" t="s">
        <v>29</v>
      </c>
      <c r="B309" s="6">
        <v>4</v>
      </c>
      <c r="C309" s="6">
        <v>1</v>
      </c>
      <c r="D309" s="6" t="s">
        <v>30</v>
      </c>
      <c r="E309" s="6">
        <v>110</v>
      </c>
      <c r="F309" s="6">
        <v>69</v>
      </c>
      <c r="G309" s="6">
        <v>1424</v>
      </c>
      <c r="H309" s="6">
        <v>6</v>
      </c>
      <c r="I309" s="6" t="s">
        <v>34</v>
      </c>
      <c r="J309" s="7">
        <v>2752.4</v>
      </c>
      <c r="K309" s="6" t="s">
        <v>33</v>
      </c>
      <c r="L309" s="6" t="s">
        <v>24</v>
      </c>
    </row>
    <row r="310" spans="1:12" ht="23" customHeight="1">
      <c r="A310" s="5" t="s">
        <v>29</v>
      </c>
      <c r="B310" s="6">
        <v>4</v>
      </c>
      <c r="C310" s="6">
        <v>1</v>
      </c>
      <c r="D310" s="6" t="s">
        <v>30</v>
      </c>
      <c r="E310" s="6">
        <v>110</v>
      </c>
      <c r="F310" s="6">
        <v>69</v>
      </c>
      <c r="G310" s="6">
        <v>1424</v>
      </c>
      <c r="H310" s="6">
        <v>7</v>
      </c>
      <c r="I310" s="6" t="s">
        <v>35</v>
      </c>
      <c r="J310" s="7">
        <v>218438</v>
      </c>
      <c r="K310" s="6" t="s">
        <v>27</v>
      </c>
      <c r="L310" s="6" t="s">
        <v>24</v>
      </c>
    </row>
    <row r="311" spans="1:12" ht="23" customHeight="1">
      <c r="A311" s="5" t="s">
        <v>29</v>
      </c>
      <c r="B311" s="6">
        <v>4</v>
      </c>
      <c r="C311" s="6">
        <v>1</v>
      </c>
      <c r="D311" s="6" t="s">
        <v>30</v>
      </c>
      <c r="E311" s="6">
        <v>110</v>
      </c>
      <c r="F311" s="6">
        <v>69</v>
      </c>
      <c r="G311" s="6">
        <v>1424</v>
      </c>
      <c r="H311" s="6">
        <v>8</v>
      </c>
      <c r="I311" s="6" t="s">
        <v>36</v>
      </c>
      <c r="J311" s="7">
        <v>2752.4</v>
      </c>
      <c r="K311" s="6" t="s">
        <v>33</v>
      </c>
      <c r="L311" s="6" t="s">
        <v>24</v>
      </c>
    </row>
    <row r="312" spans="1:12" ht="23" customHeight="1">
      <c r="A312" s="5" t="s">
        <v>29</v>
      </c>
      <c r="B312" s="6">
        <v>4</v>
      </c>
      <c r="C312" s="6">
        <v>1</v>
      </c>
      <c r="D312" s="6" t="s">
        <v>30</v>
      </c>
      <c r="E312" s="6">
        <v>110</v>
      </c>
      <c r="F312" s="6">
        <v>69</v>
      </c>
      <c r="G312" s="6">
        <v>1424</v>
      </c>
      <c r="H312" s="6">
        <v>9</v>
      </c>
      <c r="I312" s="6" t="s">
        <v>37</v>
      </c>
      <c r="J312" s="7">
        <v>2752.4</v>
      </c>
      <c r="K312" s="6" t="s">
        <v>33</v>
      </c>
      <c r="L312" s="6" t="s">
        <v>24</v>
      </c>
    </row>
    <row r="313" spans="1:12" ht="23" customHeight="1">
      <c r="A313" s="5" t="s">
        <v>29</v>
      </c>
      <c r="B313" s="6">
        <v>4</v>
      </c>
      <c r="C313" s="6">
        <v>1</v>
      </c>
      <c r="D313" s="6" t="s">
        <v>30</v>
      </c>
      <c r="E313" s="6">
        <v>110</v>
      </c>
      <c r="F313" s="6">
        <v>69</v>
      </c>
      <c r="G313" s="6">
        <v>1424</v>
      </c>
      <c r="H313" s="6">
        <v>10</v>
      </c>
      <c r="I313" s="6" t="s">
        <v>38</v>
      </c>
      <c r="J313" s="7">
        <v>218438</v>
      </c>
      <c r="K313" s="6" t="s">
        <v>27</v>
      </c>
      <c r="L313" s="6" t="s">
        <v>24</v>
      </c>
    </row>
    <row r="314" spans="1:12" ht="23" customHeight="1">
      <c r="A314" s="5" t="s">
        <v>29</v>
      </c>
      <c r="B314" s="6">
        <v>4</v>
      </c>
      <c r="C314" s="6">
        <v>1</v>
      </c>
      <c r="D314" s="6" t="s">
        <v>30</v>
      </c>
      <c r="E314" s="6">
        <v>110</v>
      </c>
      <c r="F314" s="6">
        <v>69</v>
      </c>
      <c r="G314" s="6">
        <v>1424</v>
      </c>
      <c r="H314" s="6">
        <v>11</v>
      </c>
      <c r="I314" s="6" t="s">
        <v>39</v>
      </c>
      <c r="J314" s="7">
        <v>218438</v>
      </c>
      <c r="K314" s="6" t="s">
        <v>27</v>
      </c>
      <c r="L314" s="6" t="s">
        <v>24</v>
      </c>
    </row>
    <row r="315" spans="1:12" ht="23" customHeight="1">
      <c r="A315" s="5" t="s">
        <v>29</v>
      </c>
      <c r="B315" s="6">
        <v>4</v>
      </c>
      <c r="C315" s="6">
        <v>1</v>
      </c>
      <c r="D315" s="6" t="s">
        <v>30</v>
      </c>
      <c r="E315" s="6">
        <v>110</v>
      </c>
      <c r="F315" s="6">
        <v>69</v>
      </c>
      <c r="G315" s="6">
        <v>1424</v>
      </c>
      <c r="H315" s="6">
        <v>12</v>
      </c>
      <c r="I315" s="6" t="s">
        <v>40</v>
      </c>
      <c r="J315" s="7">
        <v>218438</v>
      </c>
      <c r="K315" s="6" t="s">
        <v>27</v>
      </c>
      <c r="L315" s="6" t="s">
        <v>24</v>
      </c>
    </row>
    <row r="316" spans="1:12" ht="23" customHeight="1">
      <c r="A316" s="5" t="s">
        <v>29</v>
      </c>
      <c r="B316" s="6">
        <v>4</v>
      </c>
      <c r="C316" s="6">
        <v>1</v>
      </c>
      <c r="D316" s="6" t="s">
        <v>30</v>
      </c>
      <c r="E316" s="6">
        <v>110</v>
      </c>
      <c r="F316" s="6">
        <v>69</v>
      </c>
      <c r="G316" s="6">
        <v>1424</v>
      </c>
      <c r="H316" s="6">
        <v>13</v>
      </c>
      <c r="I316" s="6" t="s">
        <v>41</v>
      </c>
      <c r="J316" s="7">
        <v>218438</v>
      </c>
      <c r="K316" s="6" t="s">
        <v>27</v>
      </c>
      <c r="L316" s="6" t="s">
        <v>24</v>
      </c>
    </row>
    <row r="317" spans="1:12" ht="23" customHeight="1">
      <c r="A317" s="5" t="s">
        <v>29</v>
      </c>
      <c r="B317" s="6">
        <v>4</v>
      </c>
      <c r="C317" s="6">
        <v>1</v>
      </c>
      <c r="D317" s="6" t="s">
        <v>30</v>
      </c>
      <c r="E317" s="6">
        <v>111</v>
      </c>
      <c r="F317" s="6">
        <v>70</v>
      </c>
      <c r="G317" s="6">
        <v>1425</v>
      </c>
      <c r="H317" s="6">
        <v>4</v>
      </c>
      <c r="I317" s="6" t="s">
        <v>31</v>
      </c>
      <c r="J317" s="7">
        <v>218438</v>
      </c>
      <c r="K317" s="6" t="s">
        <v>27</v>
      </c>
      <c r="L317" s="6" t="s">
        <v>24</v>
      </c>
    </row>
    <row r="318" spans="1:12" ht="23" customHeight="1">
      <c r="A318" s="5" t="s">
        <v>29</v>
      </c>
      <c r="B318" s="6">
        <v>4</v>
      </c>
      <c r="C318" s="6">
        <v>1</v>
      </c>
      <c r="D318" s="6" t="s">
        <v>30</v>
      </c>
      <c r="E318" s="6">
        <v>111</v>
      </c>
      <c r="F318" s="6">
        <v>70</v>
      </c>
      <c r="G318" s="6">
        <v>1425</v>
      </c>
      <c r="H318" s="6">
        <v>5</v>
      </c>
      <c r="I318" s="6" t="s">
        <v>32</v>
      </c>
      <c r="J318" s="7">
        <v>2752.4</v>
      </c>
      <c r="K318" s="6" t="s">
        <v>33</v>
      </c>
      <c r="L318" s="6" t="s">
        <v>24</v>
      </c>
    </row>
    <row r="319" spans="1:12" ht="23" customHeight="1">
      <c r="A319" s="5" t="s">
        <v>29</v>
      </c>
      <c r="B319" s="6">
        <v>4</v>
      </c>
      <c r="C319" s="6">
        <v>1</v>
      </c>
      <c r="D319" s="6" t="s">
        <v>30</v>
      </c>
      <c r="E319" s="6">
        <v>111</v>
      </c>
      <c r="F319" s="6">
        <v>70</v>
      </c>
      <c r="G319" s="6">
        <v>1425</v>
      </c>
      <c r="H319" s="6">
        <v>6</v>
      </c>
      <c r="I319" s="6" t="s">
        <v>34</v>
      </c>
      <c r="J319" s="7">
        <v>2752.4</v>
      </c>
      <c r="K319" s="6" t="s">
        <v>33</v>
      </c>
      <c r="L319" s="6" t="s">
        <v>24</v>
      </c>
    </row>
    <row r="320" spans="1:12" ht="23" customHeight="1">
      <c r="A320" s="5" t="s">
        <v>29</v>
      </c>
      <c r="B320" s="6">
        <v>4</v>
      </c>
      <c r="C320" s="6">
        <v>1</v>
      </c>
      <c r="D320" s="6" t="s">
        <v>30</v>
      </c>
      <c r="E320" s="6">
        <v>111</v>
      </c>
      <c r="F320" s="6">
        <v>70</v>
      </c>
      <c r="G320" s="6">
        <v>1425</v>
      </c>
      <c r="H320" s="6">
        <v>7</v>
      </c>
      <c r="I320" s="6" t="s">
        <v>35</v>
      </c>
      <c r="J320" s="7">
        <v>218438</v>
      </c>
      <c r="K320" s="6" t="s">
        <v>27</v>
      </c>
      <c r="L320" s="6" t="s">
        <v>24</v>
      </c>
    </row>
    <row r="321" spans="1:12" ht="23" customHeight="1">
      <c r="A321" s="5" t="s">
        <v>29</v>
      </c>
      <c r="B321" s="6">
        <v>4</v>
      </c>
      <c r="C321" s="6">
        <v>1</v>
      </c>
      <c r="D321" s="6" t="s">
        <v>30</v>
      </c>
      <c r="E321" s="6">
        <v>111</v>
      </c>
      <c r="F321" s="6">
        <v>70</v>
      </c>
      <c r="G321" s="6">
        <v>1425</v>
      </c>
      <c r="H321" s="6">
        <v>8</v>
      </c>
      <c r="I321" s="6" t="s">
        <v>36</v>
      </c>
      <c r="J321" s="7">
        <v>2752.4</v>
      </c>
      <c r="K321" s="6" t="s">
        <v>33</v>
      </c>
      <c r="L321" s="6" t="s">
        <v>24</v>
      </c>
    </row>
    <row r="322" spans="1:12" ht="23" customHeight="1">
      <c r="A322" s="5" t="s">
        <v>29</v>
      </c>
      <c r="B322" s="6">
        <v>4</v>
      </c>
      <c r="C322" s="6">
        <v>1</v>
      </c>
      <c r="D322" s="6" t="s">
        <v>30</v>
      </c>
      <c r="E322" s="6">
        <v>111</v>
      </c>
      <c r="F322" s="6">
        <v>70</v>
      </c>
      <c r="G322" s="6">
        <v>1425</v>
      </c>
      <c r="H322" s="6">
        <v>9</v>
      </c>
      <c r="I322" s="6" t="s">
        <v>37</v>
      </c>
      <c r="J322" s="7">
        <v>2752.4</v>
      </c>
      <c r="K322" s="6" t="s">
        <v>33</v>
      </c>
      <c r="L322" s="6" t="s">
        <v>24</v>
      </c>
    </row>
    <row r="323" spans="1:12" ht="23" customHeight="1">
      <c r="A323" s="5" t="s">
        <v>29</v>
      </c>
      <c r="B323" s="6">
        <v>4</v>
      </c>
      <c r="C323" s="6">
        <v>1</v>
      </c>
      <c r="D323" s="6" t="s">
        <v>30</v>
      </c>
      <c r="E323" s="6">
        <v>111</v>
      </c>
      <c r="F323" s="6">
        <v>70</v>
      </c>
      <c r="G323" s="6">
        <v>1425</v>
      </c>
      <c r="H323" s="6">
        <v>10</v>
      </c>
      <c r="I323" s="6" t="s">
        <v>38</v>
      </c>
      <c r="J323" s="7">
        <v>218438</v>
      </c>
      <c r="K323" s="6" t="s">
        <v>27</v>
      </c>
      <c r="L323" s="6" t="s">
        <v>24</v>
      </c>
    </row>
    <row r="324" spans="1:12" ht="23" customHeight="1">
      <c r="A324" s="5" t="s">
        <v>29</v>
      </c>
      <c r="B324" s="6">
        <v>4</v>
      </c>
      <c r="C324" s="6">
        <v>1</v>
      </c>
      <c r="D324" s="6" t="s">
        <v>30</v>
      </c>
      <c r="E324" s="6">
        <v>111</v>
      </c>
      <c r="F324" s="6">
        <v>70</v>
      </c>
      <c r="G324" s="6">
        <v>1425</v>
      </c>
      <c r="H324" s="6">
        <v>11</v>
      </c>
      <c r="I324" s="6" t="s">
        <v>39</v>
      </c>
      <c r="J324" s="7">
        <v>218438</v>
      </c>
      <c r="K324" s="6" t="s">
        <v>27</v>
      </c>
      <c r="L324" s="6" t="s">
        <v>24</v>
      </c>
    </row>
    <row r="325" spans="1:12" ht="23" customHeight="1">
      <c r="A325" s="5" t="s">
        <v>29</v>
      </c>
      <c r="B325" s="6">
        <v>4</v>
      </c>
      <c r="C325" s="6">
        <v>1</v>
      </c>
      <c r="D325" s="6" t="s">
        <v>30</v>
      </c>
      <c r="E325" s="6">
        <v>111</v>
      </c>
      <c r="F325" s="6">
        <v>70</v>
      </c>
      <c r="G325" s="6">
        <v>1425</v>
      </c>
      <c r="H325" s="6">
        <v>12</v>
      </c>
      <c r="I325" s="6" t="s">
        <v>40</v>
      </c>
      <c r="J325" s="7">
        <v>218438</v>
      </c>
      <c r="K325" s="6" t="s">
        <v>27</v>
      </c>
      <c r="L325" s="6" t="s">
        <v>24</v>
      </c>
    </row>
    <row r="326" spans="1:12" ht="23" customHeight="1">
      <c r="A326" s="5" t="s">
        <v>29</v>
      </c>
      <c r="B326" s="6">
        <v>4</v>
      </c>
      <c r="C326" s="6">
        <v>1</v>
      </c>
      <c r="D326" s="6" t="s">
        <v>30</v>
      </c>
      <c r="E326" s="6">
        <v>111</v>
      </c>
      <c r="F326" s="6">
        <v>70</v>
      </c>
      <c r="G326" s="6">
        <v>1425</v>
      </c>
      <c r="H326" s="6">
        <v>13</v>
      </c>
      <c r="I326" s="6" t="s">
        <v>41</v>
      </c>
      <c r="J326" s="7">
        <v>218438</v>
      </c>
      <c r="K326" s="6" t="s">
        <v>27</v>
      </c>
      <c r="L326" s="6" t="s">
        <v>24</v>
      </c>
    </row>
    <row r="327" spans="1:12" ht="23" customHeight="1">
      <c r="A327" s="5" t="s">
        <v>29</v>
      </c>
      <c r="B327" s="6">
        <v>4</v>
      </c>
      <c r="C327" s="6">
        <v>1</v>
      </c>
      <c r="D327" s="6" t="s">
        <v>30</v>
      </c>
      <c r="E327" s="6">
        <v>112</v>
      </c>
      <c r="F327" s="6">
        <v>71</v>
      </c>
      <c r="G327" s="6">
        <v>1426</v>
      </c>
      <c r="H327" s="6">
        <v>4</v>
      </c>
      <c r="I327" s="6" t="s">
        <v>31</v>
      </c>
      <c r="J327" s="7">
        <v>179149</v>
      </c>
      <c r="K327" s="6" t="s">
        <v>27</v>
      </c>
      <c r="L327" s="6" t="s">
        <v>24</v>
      </c>
    </row>
    <row r="328" spans="1:12" ht="23" customHeight="1">
      <c r="A328" s="5" t="s">
        <v>29</v>
      </c>
      <c r="B328" s="6">
        <v>4</v>
      </c>
      <c r="C328" s="6">
        <v>1</v>
      </c>
      <c r="D328" s="6" t="s">
        <v>30</v>
      </c>
      <c r="E328" s="6">
        <v>112</v>
      </c>
      <c r="F328" s="6">
        <v>71</v>
      </c>
      <c r="G328" s="6">
        <v>1426</v>
      </c>
      <c r="H328" s="6">
        <v>5</v>
      </c>
      <c r="I328" s="6" t="s">
        <v>32</v>
      </c>
      <c r="J328" s="7">
        <v>2032.5</v>
      </c>
      <c r="K328" s="6" t="s">
        <v>33</v>
      </c>
      <c r="L328" s="6" t="s">
        <v>24</v>
      </c>
    </row>
    <row r="329" spans="1:12" ht="23" customHeight="1">
      <c r="A329" s="5" t="s">
        <v>29</v>
      </c>
      <c r="B329" s="6">
        <v>4</v>
      </c>
      <c r="C329" s="6">
        <v>1</v>
      </c>
      <c r="D329" s="6" t="s">
        <v>30</v>
      </c>
      <c r="E329" s="6">
        <v>112</v>
      </c>
      <c r="F329" s="6">
        <v>71</v>
      </c>
      <c r="G329" s="6">
        <v>1426</v>
      </c>
      <c r="H329" s="6">
        <v>6</v>
      </c>
      <c r="I329" s="6" t="s">
        <v>34</v>
      </c>
      <c r="J329" s="7">
        <v>2032.5</v>
      </c>
      <c r="K329" s="6" t="s">
        <v>33</v>
      </c>
      <c r="L329" s="6" t="s">
        <v>24</v>
      </c>
    </row>
    <row r="330" spans="1:12" ht="23" customHeight="1">
      <c r="A330" s="5" t="s">
        <v>29</v>
      </c>
      <c r="B330" s="6">
        <v>4</v>
      </c>
      <c r="C330" s="6">
        <v>1</v>
      </c>
      <c r="D330" s="6" t="s">
        <v>30</v>
      </c>
      <c r="E330" s="6">
        <v>112</v>
      </c>
      <c r="F330" s="6">
        <v>71</v>
      </c>
      <c r="G330" s="6">
        <v>1426</v>
      </c>
      <c r="H330" s="6">
        <v>7</v>
      </c>
      <c r="I330" s="6" t="s">
        <v>35</v>
      </c>
      <c r="J330" s="7">
        <v>179149</v>
      </c>
      <c r="K330" s="6" t="s">
        <v>27</v>
      </c>
      <c r="L330" s="6" t="s">
        <v>24</v>
      </c>
    </row>
    <row r="331" spans="1:12" ht="23" customHeight="1">
      <c r="A331" s="5" t="s">
        <v>29</v>
      </c>
      <c r="B331" s="6">
        <v>4</v>
      </c>
      <c r="C331" s="6">
        <v>1</v>
      </c>
      <c r="D331" s="6" t="s">
        <v>30</v>
      </c>
      <c r="E331" s="6">
        <v>112</v>
      </c>
      <c r="F331" s="6">
        <v>71</v>
      </c>
      <c r="G331" s="6">
        <v>1426</v>
      </c>
      <c r="H331" s="6">
        <v>8</v>
      </c>
      <c r="I331" s="6" t="s">
        <v>36</v>
      </c>
      <c r="J331" s="7">
        <v>2032.5</v>
      </c>
      <c r="K331" s="6" t="s">
        <v>33</v>
      </c>
      <c r="L331" s="6" t="s">
        <v>24</v>
      </c>
    </row>
    <row r="332" spans="1:12" ht="23" customHeight="1">
      <c r="A332" s="5" t="s">
        <v>29</v>
      </c>
      <c r="B332" s="6">
        <v>4</v>
      </c>
      <c r="C332" s="6">
        <v>1</v>
      </c>
      <c r="D332" s="6" t="s">
        <v>30</v>
      </c>
      <c r="E332" s="6">
        <v>112</v>
      </c>
      <c r="F332" s="6">
        <v>71</v>
      </c>
      <c r="G332" s="6">
        <v>1426</v>
      </c>
      <c r="H332" s="6">
        <v>9</v>
      </c>
      <c r="I332" s="6" t="s">
        <v>37</v>
      </c>
      <c r="J332" s="7">
        <v>2032.5</v>
      </c>
      <c r="K332" s="6" t="s">
        <v>33</v>
      </c>
      <c r="L332" s="6" t="s">
        <v>24</v>
      </c>
    </row>
    <row r="333" spans="1:12" ht="23" customHeight="1">
      <c r="A333" s="5" t="s">
        <v>29</v>
      </c>
      <c r="B333" s="6">
        <v>4</v>
      </c>
      <c r="C333" s="6">
        <v>1</v>
      </c>
      <c r="D333" s="6" t="s">
        <v>30</v>
      </c>
      <c r="E333" s="6">
        <v>112</v>
      </c>
      <c r="F333" s="6">
        <v>71</v>
      </c>
      <c r="G333" s="6">
        <v>1426</v>
      </c>
      <c r="H333" s="6">
        <v>10</v>
      </c>
      <c r="I333" s="6" t="s">
        <v>38</v>
      </c>
      <c r="J333" s="7">
        <v>179149</v>
      </c>
      <c r="K333" s="6" t="s">
        <v>27</v>
      </c>
      <c r="L333" s="6" t="s">
        <v>24</v>
      </c>
    </row>
    <row r="334" spans="1:12" ht="23" customHeight="1">
      <c r="A334" s="5" t="s">
        <v>29</v>
      </c>
      <c r="B334" s="6">
        <v>4</v>
      </c>
      <c r="C334" s="6">
        <v>1</v>
      </c>
      <c r="D334" s="6" t="s">
        <v>30</v>
      </c>
      <c r="E334" s="6">
        <v>112</v>
      </c>
      <c r="F334" s="6">
        <v>71</v>
      </c>
      <c r="G334" s="6">
        <v>1426</v>
      </c>
      <c r="H334" s="6">
        <v>11</v>
      </c>
      <c r="I334" s="6" t="s">
        <v>39</v>
      </c>
      <c r="J334" s="7">
        <v>179149</v>
      </c>
      <c r="K334" s="6" t="s">
        <v>27</v>
      </c>
      <c r="L334" s="6" t="s">
        <v>24</v>
      </c>
    </row>
    <row r="335" spans="1:12" ht="23" customHeight="1">
      <c r="A335" s="5" t="s">
        <v>29</v>
      </c>
      <c r="B335" s="6">
        <v>4</v>
      </c>
      <c r="C335" s="6">
        <v>1</v>
      </c>
      <c r="D335" s="6" t="s">
        <v>30</v>
      </c>
      <c r="E335" s="6">
        <v>112</v>
      </c>
      <c r="F335" s="6">
        <v>71</v>
      </c>
      <c r="G335" s="6">
        <v>1426</v>
      </c>
      <c r="H335" s="6">
        <v>12</v>
      </c>
      <c r="I335" s="6" t="s">
        <v>40</v>
      </c>
      <c r="J335" s="7">
        <v>179149</v>
      </c>
      <c r="K335" s="6" t="s">
        <v>27</v>
      </c>
      <c r="L335" s="6" t="s">
        <v>24</v>
      </c>
    </row>
    <row r="336" spans="1:12" ht="23" customHeight="1">
      <c r="A336" s="5" t="s">
        <v>29</v>
      </c>
      <c r="B336" s="6">
        <v>4</v>
      </c>
      <c r="C336" s="6">
        <v>1</v>
      </c>
      <c r="D336" s="6" t="s">
        <v>30</v>
      </c>
      <c r="E336" s="6">
        <v>112</v>
      </c>
      <c r="F336" s="6">
        <v>71</v>
      </c>
      <c r="G336" s="6">
        <v>1426</v>
      </c>
      <c r="H336" s="6">
        <v>13</v>
      </c>
      <c r="I336" s="6" t="s">
        <v>41</v>
      </c>
      <c r="J336" s="7">
        <v>179149</v>
      </c>
      <c r="K336" s="6" t="s">
        <v>27</v>
      </c>
      <c r="L336" s="6" t="s">
        <v>24</v>
      </c>
    </row>
    <row r="337" spans="1:12" ht="23" customHeight="1">
      <c r="A337" s="5" t="s">
        <v>29</v>
      </c>
      <c r="B337" s="6">
        <v>4</v>
      </c>
      <c r="C337" s="6">
        <v>1</v>
      </c>
      <c r="D337" s="6" t="s">
        <v>30</v>
      </c>
      <c r="E337" s="6">
        <v>113</v>
      </c>
      <c r="F337" s="6">
        <v>72</v>
      </c>
      <c r="G337" s="6">
        <v>1427</v>
      </c>
      <c r="H337" s="6">
        <v>4</v>
      </c>
      <c r="I337" s="6" t="s">
        <v>31</v>
      </c>
      <c r="J337" s="7">
        <v>104936</v>
      </c>
      <c r="K337" s="6" t="s">
        <v>27</v>
      </c>
      <c r="L337" s="6" t="s">
        <v>24</v>
      </c>
    </row>
    <row r="338" spans="1:12" ht="23" customHeight="1">
      <c r="A338" s="5" t="s">
        <v>29</v>
      </c>
      <c r="B338" s="6">
        <v>4</v>
      </c>
      <c r="C338" s="6">
        <v>1</v>
      </c>
      <c r="D338" s="6" t="s">
        <v>30</v>
      </c>
      <c r="E338" s="6">
        <v>113</v>
      </c>
      <c r="F338" s="6">
        <v>72</v>
      </c>
      <c r="G338" s="6">
        <v>1427</v>
      </c>
      <c r="H338" s="6">
        <v>5</v>
      </c>
      <c r="I338" s="6" t="s">
        <v>32</v>
      </c>
      <c r="J338" s="7">
        <v>672.8</v>
      </c>
      <c r="K338" s="6" t="s">
        <v>33</v>
      </c>
      <c r="L338" s="6" t="s">
        <v>24</v>
      </c>
    </row>
    <row r="339" spans="1:12" ht="23" customHeight="1">
      <c r="A339" s="5" t="s">
        <v>29</v>
      </c>
      <c r="B339" s="6">
        <v>4</v>
      </c>
      <c r="C339" s="6">
        <v>1</v>
      </c>
      <c r="D339" s="6" t="s">
        <v>30</v>
      </c>
      <c r="E339" s="6">
        <v>113</v>
      </c>
      <c r="F339" s="6">
        <v>72</v>
      </c>
      <c r="G339" s="6">
        <v>1427</v>
      </c>
      <c r="H339" s="6">
        <v>6</v>
      </c>
      <c r="I339" s="6" t="s">
        <v>34</v>
      </c>
      <c r="J339" s="7">
        <v>672.8</v>
      </c>
      <c r="K339" s="6" t="s">
        <v>33</v>
      </c>
      <c r="L339" s="6" t="s">
        <v>24</v>
      </c>
    </row>
    <row r="340" spans="1:12" ht="23" customHeight="1">
      <c r="A340" s="5" t="s">
        <v>29</v>
      </c>
      <c r="B340" s="6">
        <v>4</v>
      </c>
      <c r="C340" s="6">
        <v>1</v>
      </c>
      <c r="D340" s="6" t="s">
        <v>30</v>
      </c>
      <c r="E340" s="6">
        <v>113</v>
      </c>
      <c r="F340" s="6">
        <v>72</v>
      </c>
      <c r="G340" s="6">
        <v>1427</v>
      </c>
      <c r="H340" s="6">
        <v>7</v>
      </c>
      <c r="I340" s="6" t="s">
        <v>35</v>
      </c>
      <c r="J340" s="7">
        <v>104936</v>
      </c>
      <c r="K340" s="6" t="s">
        <v>27</v>
      </c>
      <c r="L340" s="6" t="s">
        <v>24</v>
      </c>
    </row>
    <row r="341" spans="1:12" ht="23" customHeight="1">
      <c r="A341" s="5" t="s">
        <v>29</v>
      </c>
      <c r="B341" s="6">
        <v>4</v>
      </c>
      <c r="C341" s="6">
        <v>1</v>
      </c>
      <c r="D341" s="6" t="s">
        <v>30</v>
      </c>
      <c r="E341" s="6">
        <v>113</v>
      </c>
      <c r="F341" s="6">
        <v>72</v>
      </c>
      <c r="G341" s="6">
        <v>1427</v>
      </c>
      <c r="H341" s="6">
        <v>8</v>
      </c>
      <c r="I341" s="6" t="s">
        <v>36</v>
      </c>
      <c r="J341" s="7">
        <v>672.8</v>
      </c>
      <c r="K341" s="6" t="s">
        <v>33</v>
      </c>
      <c r="L341" s="6" t="s">
        <v>24</v>
      </c>
    </row>
    <row r="342" spans="1:12" ht="23" customHeight="1">
      <c r="A342" s="5" t="s">
        <v>29</v>
      </c>
      <c r="B342" s="6">
        <v>4</v>
      </c>
      <c r="C342" s="6">
        <v>1</v>
      </c>
      <c r="D342" s="6" t="s">
        <v>30</v>
      </c>
      <c r="E342" s="6">
        <v>113</v>
      </c>
      <c r="F342" s="6">
        <v>72</v>
      </c>
      <c r="G342" s="6">
        <v>1427</v>
      </c>
      <c r="H342" s="6">
        <v>9</v>
      </c>
      <c r="I342" s="6" t="s">
        <v>37</v>
      </c>
      <c r="J342" s="7">
        <v>672.8</v>
      </c>
      <c r="K342" s="6" t="s">
        <v>33</v>
      </c>
      <c r="L342" s="6" t="s">
        <v>24</v>
      </c>
    </row>
    <row r="343" spans="1:12" ht="23" customHeight="1">
      <c r="A343" s="5" t="s">
        <v>29</v>
      </c>
      <c r="B343" s="6">
        <v>4</v>
      </c>
      <c r="C343" s="6">
        <v>1</v>
      </c>
      <c r="D343" s="6" t="s">
        <v>30</v>
      </c>
      <c r="E343" s="6">
        <v>113</v>
      </c>
      <c r="F343" s="6">
        <v>72</v>
      </c>
      <c r="G343" s="6">
        <v>1427</v>
      </c>
      <c r="H343" s="6">
        <v>10</v>
      </c>
      <c r="I343" s="6" t="s">
        <v>38</v>
      </c>
      <c r="J343" s="7">
        <v>104936</v>
      </c>
      <c r="K343" s="6" t="s">
        <v>27</v>
      </c>
      <c r="L343" s="6" t="s">
        <v>24</v>
      </c>
    </row>
    <row r="344" spans="1:12" ht="23" customHeight="1">
      <c r="A344" s="5" t="s">
        <v>29</v>
      </c>
      <c r="B344" s="6">
        <v>4</v>
      </c>
      <c r="C344" s="6">
        <v>1</v>
      </c>
      <c r="D344" s="6" t="s">
        <v>30</v>
      </c>
      <c r="E344" s="6">
        <v>113</v>
      </c>
      <c r="F344" s="6">
        <v>72</v>
      </c>
      <c r="G344" s="6">
        <v>1427</v>
      </c>
      <c r="H344" s="6">
        <v>11</v>
      </c>
      <c r="I344" s="6" t="s">
        <v>39</v>
      </c>
      <c r="J344" s="7">
        <v>104936</v>
      </c>
      <c r="K344" s="6" t="s">
        <v>27</v>
      </c>
      <c r="L344" s="6" t="s">
        <v>24</v>
      </c>
    </row>
    <row r="345" spans="1:12" ht="23" customHeight="1">
      <c r="A345" s="5" t="s">
        <v>29</v>
      </c>
      <c r="B345" s="6">
        <v>4</v>
      </c>
      <c r="C345" s="6">
        <v>1</v>
      </c>
      <c r="D345" s="6" t="s">
        <v>30</v>
      </c>
      <c r="E345" s="6">
        <v>113</v>
      </c>
      <c r="F345" s="6">
        <v>72</v>
      </c>
      <c r="G345" s="6">
        <v>1427</v>
      </c>
      <c r="H345" s="6">
        <v>12</v>
      </c>
      <c r="I345" s="6" t="s">
        <v>40</v>
      </c>
      <c r="J345" s="7">
        <v>104936</v>
      </c>
      <c r="K345" s="6" t="s">
        <v>27</v>
      </c>
      <c r="L345" s="6" t="s">
        <v>24</v>
      </c>
    </row>
    <row r="346" spans="1:12" ht="23" customHeight="1">
      <c r="A346" s="5" t="s">
        <v>29</v>
      </c>
      <c r="B346" s="6">
        <v>4</v>
      </c>
      <c r="C346" s="6">
        <v>1</v>
      </c>
      <c r="D346" s="6" t="s">
        <v>30</v>
      </c>
      <c r="E346" s="6">
        <v>113</v>
      </c>
      <c r="F346" s="6">
        <v>72</v>
      </c>
      <c r="G346" s="6">
        <v>1427</v>
      </c>
      <c r="H346" s="6">
        <v>13</v>
      </c>
      <c r="I346" s="6" t="s">
        <v>41</v>
      </c>
      <c r="J346" s="7">
        <v>104936</v>
      </c>
      <c r="K346" s="6" t="s">
        <v>27</v>
      </c>
      <c r="L346" s="6" t="s">
        <v>24</v>
      </c>
    </row>
    <row r="347" spans="1:12" ht="23" customHeight="1">
      <c r="A347" s="5" t="s">
        <v>29</v>
      </c>
      <c r="B347" s="6">
        <v>4</v>
      </c>
      <c r="C347" s="6">
        <v>1</v>
      </c>
      <c r="D347" s="6" t="s">
        <v>30</v>
      </c>
      <c r="E347" s="6">
        <v>114</v>
      </c>
      <c r="F347" s="6">
        <v>73</v>
      </c>
      <c r="G347" s="6">
        <v>1428</v>
      </c>
      <c r="H347" s="6">
        <v>4</v>
      </c>
      <c r="I347" s="6" t="s">
        <v>31</v>
      </c>
      <c r="J347" s="7">
        <v>104936</v>
      </c>
      <c r="K347" s="6" t="s">
        <v>27</v>
      </c>
      <c r="L347" s="6" t="s">
        <v>24</v>
      </c>
    </row>
    <row r="348" spans="1:12" ht="23" customHeight="1">
      <c r="A348" s="5" t="s">
        <v>29</v>
      </c>
      <c r="B348" s="6">
        <v>4</v>
      </c>
      <c r="C348" s="6">
        <v>1</v>
      </c>
      <c r="D348" s="6" t="s">
        <v>30</v>
      </c>
      <c r="E348" s="6">
        <v>114</v>
      </c>
      <c r="F348" s="6">
        <v>73</v>
      </c>
      <c r="G348" s="6">
        <v>1428</v>
      </c>
      <c r="H348" s="6">
        <v>5</v>
      </c>
      <c r="I348" s="6" t="s">
        <v>32</v>
      </c>
      <c r="J348" s="7">
        <v>672.8</v>
      </c>
      <c r="K348" s="6" t="s">
        <v>33</v>
      </c>
      <c r="L348" s="6" t="s">
        <v>24</v>
      </c>
    </row>
    <row r="349" spans="1:12" ht="23" customHeight="1">
      <c r="A349" s="5" t="s">
        <v>29</v>
      </c>
      <c r="B349" s="6">
        <v>4</v>
      </c>
      <c r="C349" s="6">
        <v>1</v>
      </c>
      <c r="D349" s="6" t="s">
        <v>30</v>
      </c>
      <c r="E349" s="6">
        <v>114</v>
      </c>
      <c r="F349" s="6">
        <v>73</v>
      </c>
      <c r="G349" s="6">
        <v>1428</v>
      </c>
      <c r="H349" s="6">
        <v>6</v>
      </c>
      <c r="I349" s="6" t="s">
        <v>34</v>
      </c>
      <c r="J349" s="7">
        <v>672.8</v>
      </c>
      <c r="K349" s="6" t="s">
        <v>33</v>
      </c>
      <c r="L349" s="6" t="s">
        <v>24</v>
      </c>
    </row>
    <row r="350" spans="1:12" ht="23" customHeight="1">
      <c r="A350" s="5" t="s">
        <v>29</v>
      </c>
      <c r="B350" s="6">
        <v>4</v>
      </c>
      <c r="C350" s="6">
        <v>1</v>
      </c>
      <c r="D350" s="6" t="s">
        <v>30</v>
      </c>
      <c r="E350" s="6">
        <v>114</v>
      </c>
      <c r="F350" s="6">
        <v>73</v>
      </c>
      <c r="G350" s="6">
        <v>1428</v>
      </c>
      <c r="H350" s="6">
        <v>7</v>
      </c>
      <c r="I350" s="6" t="s">
        <v>35</v>
      </c>
      <c r="J350" s="7">
        <v>104936</v>
      </c>
      <c r="K350" s="6" t="s">
        <v>27</v>
      </c>
      <c r="L350" s="6" t="s">
        <v>24</v>
      </c>
    </row>
    <row r="351" spans="1:12" ht="23" customHeight="1">
      <c r="A351" s="5" t="s">
        <v>29</v>
      </c>
      <c r="B351" s="6">
        <v>4</v>
      </c>
      <c r="C351" s="6">
        <v>1</v>
      </c>
      <c r="D351" s="6" t="s">
        <v>30</v>
      </c>
      <c r="E351" s="6">
        <v>114</v>
      </c>
      <c r="F351" s="6">
        <v>73</v>
      </c>
      <c r="G351" s="6">
        <v>1428</v>
      </c>
      <c r="H351" s="6">
        <v>8</v>
      </c>
      <c r="I351" s="6" t="s">
        <v>36</v>
      </c>
      <c r="J351" s="7">
        <v>672.8</v>
      </c>
      <c r="K351" s="6" t="s">
        <v>33</v>
      </c>
      <c r="L351" s="6" t="s">
        <v>24</v>
      </c>
    </row>
    <row r="352" spans="1:12" ht="23" customHeight="1">
      <c r="A352" s="5" t="s">
        <v>29</v>
      </c>
      <c r="B352" s="6">
        <v>4</v>
      </c>
      <c r="C352" s="6">
        <v>1</v>
      </c>
      <c r="D352" s="6" t="s">
        <v>30</v>
      </c>
      <c r="E352" s="6">
        <v>114</v>
      </c>
      <c r="F352" s="6">
        <v>73</v>
      </c>
      <c r="G352" s="6">
        <v>1428</v>
      </c>
      <c r="H352" s="6">
        <v>9</v>
      </c>
      <c r="I352" s="6" t="s">
        <v>37</v>
      </c>
      <c r="J352" s="7">
        <v>672.8</v>
      </c>
      <c r="K352" s="6" t="s">
        <v>33</v>
      </c>
      <c r="L352" s="6" t="s">
        <v>24</v>
      </c>
    </row>
    <row r="353" spans="1:12" ht="23" customHeight="1">
      <c r="A353" s="5" t="s">
        <v>29</v>
      </c>
      <c r="B353" s="6">
        <v>4</v>
      </c>
      <c r="C353" s="6">
        <v>1</v>
      </c>
      <c r="D353" s="6" t="s">
        <v>30</v>
      </c>
      <c r="E353" s="6">
        <v>114</v>
      </c>
      <c r="F353" s="6">
        <v>73</v>
      </c>
      <c r="G353" s="6">
        <v>1428</v>
      </c>
      <c r="H353" s="6">
        <v>10</v>
      </c>
      <c r="I353" s="6" t="s">
        <v>38</v>
      </c>
      <c r="J353" s="7">
        <v>104936</v>
      </c>
      <c r="K353" s="6" t="s">
        <v>27</v>
      </c>
      <c r="L353" s="6" t="s">
        <v>24</v>
      </c>
    </row>
    <row r="354" spans="1:12" ht="23" customHeight="1">
      <c r="A354" s="5" t="s">
        <v>29</v>
      </c>
      <c r="B354" s="6">
        <v>4</v>
      </c>
      <c r="C354" s="6">
        <v>1</v>
      </c>
      <c r="D354" s="6" t="s">
        <v>30</v>
      </c>
      <c r="E354" s="6">
        <v>114</v>
      </c>
      <c r="F354" s="6">
        <v>73</v>
      </c>
      <c r="G354" s="6">
        <v>1428</v>
      </c>
      <c r="H354" s="6">
        <v>11</v>
      </c>
      <c r="I354" s="6" t="s">
        <v>39</v>
      </c>
      <c r="J354" s="7">
        <v>104936</v>
      </c>
      <c r="K354" s="6" t="s">
        <v>27</v>
      </c>
      <c r="L354" s="6" t="s">
        <v>24</v>
      </c>
    </row>
    <row r="355" spans="1:12" ht="23" customHeight="1">
      <c r="A355" s="5" t="s">
        <v>29</v>
      </c>
      <c r="B355" s="6">
        <v>4</v>
      </c>
      <c r="C355" s="6">
        <v>1</v>
      </c>
      <c r="D355" s="6" t="s">
        <v>30</v>
      </c>
      <c r="E355" s="6">
        <v>114</v>
      </c>
      <c r="F355" s="6">
        <v>73</v>
      </c>
      <c r="G355" s="6">
        <v>1428</v>
      </c>
      <c r="H355" s="6">
        <v>12</v>
      </c>
      <c r="I355" s="6" t="s">
        <v>40</v>
      </c>
      <c r="J355" s="7">
        <v>104936</v>
      </c>
      <c r="K355" s="6" t="s">
        <v>27</v>
      </c>
      <c r="L355" s="6" t="s">
        <v>24</v>
      </c>
    </row>
    <row r="356" spans="1:12" ht="23" customHeight="1">
      <c r="A356" s="5" t="s">
        <v>29</v>
      </c>
      <c r="B356" s="6">
        <v>4</v>
      </c>
      <c r="C356" s="6">
        <v>1</v>
      </c>
      <c r="D356" s="6" t="s">
        <v>30</v>
      </c>
      <c r="E356" s="6">
        <v>114</v>
      </c>
      <c r="F356" s="6">
        <v>73</v>
      </c>
      <c r="G356" s="6">
        <v>1428</v>
      </c>
      <c r="H356" s="6">
        <v>13</v>
      </c>
      <c r="I356" s="6" t="s">
        <v>41</v>
      </c>
      <c r="J356" s="7">
        <v>104936</v>
      </c>
      <c r="K356" s="6" t="s">
        <v>27</v>
      </c>
      <c r="L356" s="6" t="s">
        <v>24</v>
      </c>
    </row>
    <row r="357" spans="1:12" ht="23" customHeight="1">
      <c r="A357" s="5" t="s">
        <v>29</v>
      </c>
      <c r="B357" s="6">
        <v>4</v>
      </c>
      <c r="C357" s="6">
        <v>1</v>
      </c>
      <c r="D357" s="6" t="s">
        <v>30</v>
      </c>
      <c r="E357" s="6">
        <v>115</v>
      </c>
      <c r="F357" s="6">
        <v>74</v>
      </c>
      <c r="G357" s="6">
        <v>1429</v>
      </c>
      <c r="H357" s="6">
        <v>4</v>
      </c>
      <c r="I357" s="6" t="s">
        <v>31</v>
      </c>
      <c r="J357" s="7">
        <v>104936</v>
      </c>
      <c r="K357" s="6" t="s">
        <v>27</v>
      </c>
      <c r="L357" s="6" t="s">
        <v>24</v>
      </c>
    </row>
    <row r="358" spans="1:12" ht="23" customHeight="1">
      <c r="A358" s="5" t="s">
        <v>29</v>
      </c>
      <c r="B358" s="6">
        <v>4</v>
      </c>
      <c r="C358" s="6">
        <v>1</v>
      </c>
      <c r="D358" s="6" t="s">
        <v>30</v>
      </c>
      <c r="E358" s="6">
        <v>115</v>
      </c>
      <c r="F358" s="6">
        <v>74</v>
      </c>
      <c r="G358" s="6">
        <v>1429</v>
      </c>
      <c r="H358" s="6">
        <v>5</v>
      </c>
      <c r="I358" s="6" t="s">
        <v>32</v>
      </c>
      <c r="J358" s="7">
        <v>672.8</v>
      </c>
      <c r="K358" s="6" t="s">
        <v>33</v>
      </c>
      <c r="L358" s="6" t="s">
        <v>24</v>
      </c>
    </row>
    <row r="359" spans="1:12" ht="23" customHeight="1">
      <c r="A359" s="5" t="s">
        <v>29</v>
      </c>
      <c r="B359" s="6">
        <v>4</v>
      </c>
      <c r="C359" s="6">
        <v>1</v>
      </c>
      <c r="D359" s="6" t="s">
        <v>30</v>
      </c>
      <c r="E359" s="6">
        <v>115</v>
      </c>
      <c r="F359" s="6">
        <v>74</v>
      </c>
      <c r="G359" s="6">
        <v>1429</v>
      </c>
      <c r="H359" s="6">
        <v>6</v>
      </c>
      <c r="I359" s="6" t="s">
        <v>34</v>
      </c>
      <c r="J359" s="7">
        <v>672.8</v>
      </c>
      <c r="K359" s="6" t="s">
        <v>33</v>
      </c>
      <c r="L359" s="6" t="s">
        <v>24</v>
      </c>
    </row>
    <row r="360" spans="1:12" ht="23" customHeight="1">
      <c r="A360" s="5" t="s">
        <v>29</v>
      </c>
      <c r="B360" s="6">
        <v>4</v>
      </c>
      <c r="C360" s="6">
        <v>1</v>
      </c>
      <c r="D360" s="6" t="s">
        <v>30</v>
      </c>
      <c r="E360" s="6">
        <v>115</v>
      </c>
      <c r="F360" s="6">
        <v>74</v>
      </c>
      <c r="G360" s="6">
        <v>1429</v>
      </c>
      <c r="H360" s="6">
        <v>7</v>
      </c>
      <c r="I360" s="6" t="s">
        <v>35</v>
      </c>
      <c r="J360" s="7">
        <v>104936</v>
      </c>
      <c r="K360" s="6" t="s">
        <v>27</v>
      </c>
      <c r="L360" s="6" t="s">
        <v>24</v>
      </c>
    </row>
    <row r="361" spans="1:12" ht="23" customHeight="1">
      <c r="A361" s="5" t="s">
        <v>29</v>
      </c>
      <c r="B361" s="6">
        <v>4</v>
      </c>
      <c r="C361" s="6">
        <v>1</v>
      </c>
      <c r="D361" s="6" t="s">
        <v>30</v>
      </c>
      <c r="E361" s="6">
        <v>115</v>
      </c>
      <c r="F361" s="6">
        <v>74</v>
      </c>
      <c r="G361" s="6">
        <v>1429</v>
      </c>
      <c r="H361" s="6">
        <v>8</v>
      </c>
      <c r="I361" s="6" t="s">
        <v>36</v>
      </c>
      <c r="J361" s="7">
        <v>672.8</v>
      </c>
      <c r="K361" s="6" t="s">
        <v>33</v>
      </c>
      <c r="L361" s="6" t="s">
        <v>24</v>
      </c>
    </row>
    <row r="362" spans="1:12" ht="23" customHeight="1">
      <c r="A362" s="5" t="s">
        <v>29</v>
      </c>
      <c r="B362" s="6">
        <v>4</v>
      </c>
      <c r="C362" s="6">
        <v>1</v>
      </c>
      <c r="D362" s="6" t="s">
        <v>30</v>
      </c>
      <c r="E362" s="6">
        <v>115</v>
      </c>
      <c r="F362" s="6">
        <v>74</v>
      </c>
      <c r="G362" s="6">
        <v>1429</v>
      </c>
      <c r="H362" s="6">
        <v>9</v>
      </c>
      <c r="I362" s="6" t="s">
        <v>37</v>
      </c>
      <c r="J362" s="7">
        <v>672.8</v>
      </c>
      <c r="K362" s="6" t="s">
        <v>33</v>
      </c>
      <c r="L362" s="6" t="s">
        <v>24</v>
      </c>
    </row>
    <row r="363" spans="1:12" ht="23" customHeight="1">
      <c r="A363" s="5" t="s">
        <v>29</v>
      </c>
      <c r="B363" s="6">
        <v>4</v>
      </c>
      <c r="C363" s="6">
        <v>1</v>
      </c>
      <c r="D363" s="6" t="s">
        <v>30</v>
      </c>
      <c r="E363" s="6">
        <v>115</v>
      </c>
      <c r="F363" s="6">
        <v>74</v>
      </c>
      <c r="G363" s="6">
        <v>1429</v>
      </c>
      <c r="H363" s="6">
        <v>10</v>
      </c>
      <c r="I363" s="6" t="s">
        <v>38</v>
      </c>
      <c r="J363" s="7">
        <v>104936</v>
      </c>
      <c r="K363" s="6" t="s">
        <v>27</v>
      </c>
      <c r="L363" s="6" t="s">
        <v>24</v>
      </c>
    </row>
    <row r="364" spans="1:12" ht="23" customHeight="1">
      <c r="A364" s="5" t="s">
        <v>29</v>
      </c>
      <c r="B364" s="6">
        <v>4</v>
      </c>
      <c r="C364" s="6">
        <v>1</v>
      </c>
      <c r="D364" s="6" t="s">
        <v>30</v>
      </c>
      <c r="E364" s="6">
        <v>115</v>
      </c>
      <c r="F364" s="6">
        <v>74</v>
      </c>
      <c r="G364" s="6">
        <v>1429</v>
      </c>
      <c r="H364" s="6">
        <v>11</v>
      </c>
      <c r="I364" s="6" t="s">
        <v>39</v>
      </c>
      <c r="J364" s="7">
        <v>104936</v>
      </c>
      <c r="K364" s="6" t="s">
        <v>27</v>
      </c>
      <c r="L364" s="6" t="s">
        <v>24</v>
      </c>
    </row>
    <row r="365" spans="1:12" ht="23" customHeight="1">
      <c r="A365" s="5" t="s">
        <v>29</v>
      </c>
      <c r="B365" s="6">
        <v>4</v>
      </c>
      <c r="C365" s="6">
        <v>1</v>
      </c>
      <c r="D365" s="6" t="s">
        <v>30</v>
      </c>
      <c r="E365" s="6">
        <v>115</v>
      </c>
      <c r="F365" s="6">
        <v>74</v>
      </c>
      <c r="G365" s="6">
        <v>1429</v>
      </c>
      <c r="H365" s="6">
        <v>12</v>
      </c>
      <c r="I365" s="6" t="s">
        <v>40</v>
      </c>
      <c r="J365" s="7">
        <v>104936</v>
      </c>
      <c r="K365" s="6" t="s">
        <v>27</v>
      </c>
      <c r="L365" s="6" t="s">
        <v>24</v>
      </c>
    </row>
    <row r="366" spans="1:12" ht="23" customHeight="1">
      <c r="A366" s="5" t="s">
        <v>29</v>
      </c>
      <c r="B366" s="6">
        <v>4</v>
      </c>
      <c r="C366" s="6">
        <v>1</v>
      </c>
      <c r="D366" s="6" t="s">
        <v>30</v>
      </c>
      <c r="E366" s="6">
        <v>115</v>
      </c>
      <c r="F366" s="6">
        <v>74</v>
      </c>
      <c r="G366" s="6">
        <v>1429</v>
      </c>
      <c r="H366" s="6">
        <v>13</v>
      </c>
      <c r="I366" s="6" t="s">
        <v>41</v>
      </c>
      <c r="J366" s="7">
        <v>104936</v>
      </c>
      <c r="K366" s="6" t="s">
        <v>27</v>
      </c>
      <c r="L366" s="6" t="s">
        <v>24</v>
      </c>
    </row>
    <row r="367" spans="1:12" ht="23" customHeight="1">
      <c r="A367" s="5" t="s">
        <v>29</v>
      </c>
      <c r="B367" s="6">
        <v>4</v>
      </c>
      <c r="C367" s="6">
        <v>1</v>
      </c>
      <c r="D367" s="6" t="s">
        <v>30</v>
      </c>
      <c r="E367" s="6">
        <v>116</v>
      </c>
      <c r="F367" s="6">
        <v>75</v>
      </c>
      <c r="G367" s="6">
        <v>1430</v>
      </c>
      <c r="H367" s="6">
        <v>4</v>
      </c>
      <c r="I367" s="6" t="s">
        <v>31</v>
      </c>
      <c r="J367" s="7">
        <v>104936</v>
      </c>
      <c r="K367" s="6" t="s">
        <v>27</v>
      </c>
      <c r="L367" s="6" t="s">
        <v>24</v>
      </c>
    </row>
    <row r="368" spans="1:12" ht="23" customHeight="1">
      <c r="A368" s="5" t="s">
        <v>29</v>
      </c>
      <c r="B368" s="6">
        <v>4</v>
      </c>
      <c r="C368" s="6">
        <v>1</v>
      </c>
      <c r="D368" s="6" t="s">
        <v>30</v>
      </c>
      <c r="E368" s="6">
        <v>116</v>
      </c>
      <c r="F368" s="6">
        <v>75</v>
      </c>
      <c r="G368" s="6">
        <v>1430</v>
      </c>
      <c r="H368" s="6">
        <v>5</v>
      </c>
      <c r="I368" s="6" t="s">
        <v>32</v>
      </c>
      <c r="J368" s="7">
        <v>672.8</v>
      </c>
      <c r="K368" s="6" t="s">
        <v>33</v>
      </c>
      <c r="L368" s="6" t="s">
        <v>24</v>
      </c>
    </row>
    <row r="369" spans="1:12" ht="23" customHeight="1">
      <c r="A369" s="5" t="s">
        <v>29</v>
      </c>
      <c r="B369" s="6">
        <v>4</v>
      </c>
      <c r="C369" s="6">
        <v>1</v>
      </c>
      <c r="D369" s="6" t="s">
        <v>30</v>
      </c>
      <c r="E369" s="6">
        <v>116</v>
      </c>
      <c r="F369" s="6">
        <v>75</v>
      </c>
      <c r="G369" s="6">
        <v>1430</v>
      </c>
      <c r="H369" s="6">
        <v>6</v>
      </c>
      <c r="I369" s="6" t="s">
        <v>34</v>
      </c>
      <c r="J369" s="7">
        <v>672.8</v>
      </c>
      <c r="K369" s="6" t="s">
        <v>33</v>
      </c>
      <c r="L369" s="6" t="s">
        <v>24</v>
      </c>
    </row>
    <row r="370" spans="1:12" ht="23" customHeight="1">
      <c r="A370" s="5" t="s">
        <v>29</v>
      </c>
      <c r="B370" s="6">
        <v>4</v>
      </c>
      <c r="C370" s="6">
        <v>1</v>
      </c>
      <c r="D370" s="6" t="s">
        <v>30</v>
      </c>
      <c r="E370" s="6">
        <v>116</v>
      </c>
      <c r="F370" s="6">
        <v>75</v>
      </c>
      <c r="G370" s="6">
        <v>1430</v>
      </c>
      <c r="H370" s="6">
        <v>7</v>
      </c>
      <c r="I370" s="6" t="s">
        <v>35</v>
      </c>
      <c r="J370" s="7">
        <v>104936</v>
      </c>
      <c r="K370" s="6" t="s">
        <v>27</v>
      </c>
      <c r="L370" s="6" t="s">
        <v>24</v>
      </c>
    </row>
    <row r="371" spans="1:12" ht="23" customHeight="1">
      <c r="A371" s="5" t="s">
        <v>29</v>
      </c>
      <c r="B371" s="6">
        <v>4</v>
      </c>
      <c r="C371" s="6">
        <v>1</v>
      </c>
      <c r="D371" s="6" t="s">
        <v>30</v>
      </c>
      <c r="E371" s="6">
        <v>116</v>
      </c>
      <c r="F371" s="6">
        <v>75</v>
      </c>
      <c r="G371" s="6">
        <v>1430</v>
      </c>
      <c r="H371" s="6">
        <v>8</v>
      </c>
      <c r="I371" s="6" t="s">
        <v>36</v>
      </c>
      <c r="J371" s="7">
        <v>672.8</v>
      </c>
      <c r="K371" s="6" t="s">
        <v>33</v>
      </c>
      <c r="L371" s="6" t="s">
        <v>24</v>
      </c>
    </row>
    <row r="372" spans="1:12" ht="23" customHeight="1">
      <c r="A372" s="5" t="s">
        <v>29</v>
      </c>
      <c r="B372" s="6">
        <v>4</v>
      </c>
      <c r="C372" s="6">
        <v>1</v>
      </c>
      <c r="D372" s="6" t="s">
        <v>30</v>
      </c>
      <c r="E372" s="6">
        <v>116</v>
      </c>
      <c r="F372" s="6">
        <v>75</v>
      </c>
      <c r="G372" s="6">
        <v>1430</v>
      </c>
      <c r="H372" s="6">
        <v>9</v>
      </c>
      <c r="I372" s="6" t="s">
        <v>37</v>
      </c>
      <c r="J372" s="7">
        <v>672.8</v>
      </c>
      <c r="K372" s="6" t="s">
        <v>33</v>
      </c>
      <c r="L372" s="6" t="s">
        <v>24</v>
      </c>
    </row>
    <row r="373" spans="1:12" ht="23" customHeight="1">
      <c r="A373" s="5" t="s">
        <v>29</v>
      </c>
      <c r="B373" s="6">
        <v>4</v>
      </c>
      <c r="C373" s="6">
        <v>1</v>
      </c>
      <c r="D373" s="6" t="s">
        <v>30</v>
      </c>
      <c r="E373" s="6">
        <v>116</v>
      </c>
      <c r="F373" s="6">
        <v>75</v>
      </c>
      <c r="G373" s="6">
        <v>1430</v>
      </c>
      <c r="H373" s="6">
        <v>10</v>
      </c>
      <c r="I373" s="6" t="s">
        <v>38</v>
      </c>
      <c r="J373" s="7">
        <v>104936</v>
      </c>
      <c r="K373" s="6" t="s">
        <v>27</v>
      </c>
      <c r="L373" s="6" t="s">
        <v>24</v>
      </c>
    </row>
    <row r="374" spans="1:12" ht="23" customHeight="1">
      <c r="A374" s="5" t="s">
        <v>29</v>
      </c>
      <c r="B374" s="6">
        <v>4</v>
      </c>
      <c r="C374" s="6">
        <v>1</v>
      </c>
      <c r="D374" s="6" t="s">
        <v>30</v>
      </c>
      <c r="E374" s="6">
        <v>116</v>
      </c>
      <c r="F374" s="6">
        <v>75</v>
      </c>
      <c r="G374" s="6">
        <v>1430</v>
      </c>
      <c r="H374" s="6">
        <v>11</v>
      </c>
      <c r="I374" s="6" t="s">
        <v>39</v>
      </c>
      <c r="J374" s="7">
        <v>104936</v>
      </c>
      <c r="K374" s="6" t="s">
        <v>27</v>
      </c>
      <c r="L374" s="6" t="s">
        <v>24</v>
      </c>
    </row>
    <row r="375" spans="1:12" ht="23" customHeight="1">
      <c r="A375" s="5" t="s">
        <v>29</v>
      </c>
      <c r="B375" s="6">
        <v>4</v>
      </c>
      <c r="C375" s="6">
        <v>1</v>
      </c>
      <c r="D375" s="6" t="s">
        <v>30</v>
      </c>
      <c r="E375" s="6">
        <v>116</v>
      </c>
      <c r="F375" s="6">
        <v>75</v>
      </c>
      <c r="G375" s="6">
        <v>1430</v>
      </c>
      <c r="H375" s="6">
        <v>12</v>
      </c>
      <c r="I375" s="6" t="s">
        <v>40</v>
      </c>
      <c r="J375" s="7">
        <v>104936</v>
      </c>
      <c r="K375" s="6" t="s">
        <v>27</v>
      </c>
      <c r="L375" s="6" t="s">
        <v>24</v>
      </c>
    </row>
    <row r="376" spans="1:12" ht="23" customHeight="1">
      <c r="A376" s="5" t="s">
        <v>29</v>
      </c>
      <c r="B376" s="6">
        <v>4</v>
      </c>
      <c r="C376" s="6">
        <v>1</v>
      </c>
      <c r="D376" s="6" t="s">
        <v>30</v>
      </c>
      <c r="E376" s="6">
        <v>116</v>
      </c>
      <c r="F376" s="6">
        <v>75</v>
      </c>
      <c r="G376" s="6">
        <v>1430</v>
      </c>
      <c r="H376" s="6">
        <v>13</v>
      </c>
      <c r="I376" s="6" t="s">
        <v>41</v>
      </c>
      <c r="J376" s="7">
        <v>104936</v>
      </c>
      <c r="K376" s="6" t="s">
        <v>27</v>
      </c>
      <c r="L376" s="6" t="s">
        <v>24</v>
      </c>
    </row>
    <row r="377" spans="1:12" ht="23" customHeight="1">
      <c r="A377" s="5" t="s">
        <v>29</v>
      </c>
      <c r="B377" s="6">
        <v>4</v>
      </c>
      <c r="C377" s="6">
        <v>1</v>
      </c>
      <c r="D377" s="6" t="s">
        <v>30</v>
      </c>
      <c r="E377" s="6">
        <v>117</v>
      </c>
      <c r="F377" s="6">
        <v>76</v>
      </c>
      <c r="G377" s="6">
        <v>1431</v>
      </c>
      <c r="H377" s="6">
        <v>4</v>
      </c>
      <c r="I377" s="6" t="s">
        <v>31</v>
      </c>
      <c r="J377" s="7">
        <v>104936</v>
      </c>
      <c r="K377" s="6" t="s">
        <v>27</v>
      </c>
      <c r="L377" s="6" t="s">
        <v>24</v>
      </c>
    </row>
    <row r="378" spans="1:12" ht="23" customHeight="1">
      <c r="A378" s="5" t="s">
        <v>29</v>
      </c>
      <c r="B378" s="6">
        <v>4</v>
      </c>
      <c r="C378" s="6">
        <v>1</v>
      </c>
      <c r="D378" s="6" t="s">
        <v>30</v>
      </c>
      <c r="E378" s="6">
        <v>117</v>
      </c>
      <c r="F378" s="6">
        <v>76</v>
      </c>
      <c r="G378" s="6">
        <v>1431</v>
      </c>
      <c r="H378" s="6">
        <v>5</v>
      </c>
      <c r="I378" s="6" t="s">
        <v>32</v>
      </c>
      <c r="J378" s="7">
        <v>672.8</v>
      </c>
      <c r="K378" s="6" t="s">
        <v>33</v>
      </c>
      <c r="L378" s="6" t="s">
        <v>24</v>
      </c>
    </row>
    <row r="379" spans="1:12" ht="23" customHeight="1">
      <c r="A379" s="5" t="s">
        <v>29</v>
      </c>
      <c r="B379" s="6">
        <v>4</v>
      </c>
      <c r="C379" s="6">
        <v>1</v>
      </c>
      <c r="D379" s="6" t="s">
        <v>30</v>
      </c>
      <c r="E379" s="6">
        <v>117</v>
      </c>
      <c r="F379" s="6">
        <v>76</v>
      </c>
      <c r="G379" s="6">
        <v>1431</v>
      </c>
      <c r="H379" s="6">
        <v>6</v>
      </c>
      <c r="I379" s="6" t="s">
        <v>34</v>
      </c>
      <c r="J379" s="7">
        <v>672.8</v>
      </c>
      <c r="K379" s="6" t="s">
        <v>33</v>
      </c>
      <c r="L379" s="6" t="s">
        <v>24</v>
      </c>
    </row>
    <row r="380" spans="1:12" ht="23" customHeight="1">
      <c r="A380" s="5" t="s">
        <v>29</v>
      </c>
      <c r="B380" s="6">
        <v>4</v>
      </c>
      <c r="C380" s="6">
        <v>1</v>
      </c>
      <c r="D380" s="6" t="s">
        <v>30</v>
      </c>
      <c r="E380" s="6">
        <v>117</v>
      </c>
      <c r="F380" s="6">
        <v>76</v>
      </c>
      <c r="G380" s="6">
        <v>1431</v>
      </c>
      <c r="H380" s="6">
        <v>7</v>
      </c>
      <c r="I380" s="6" t="s">
        <v>35</v>
      </c>
      <c r="J380" s="7">
        <v>104936</v>
      </c>
      <c r="K380" s="6" t="s">
        <v>27</v>
      </c>
      <c r="L380" s="6" t="s">
        <v>24</v>
      </c>
    </row>
    <row r="381" spans="1:12" ht="23" customHeight="1">
      <c r="A381" s="5" t="s">
        <v>29</v>
      </c>
      <c r="B381" s="6">
        <v>4</v>
      </c>
      <c r="C381" s="6">
        <v>1</v>
      </c>
      <c r="D381" s="6" t="s">
        <v>30</v>
      </c>
      <c r="E381" s="6">
        <v>117</v>
      </c>
      <c r="F381" s="6">
        <v>76</v>
      </c>
      <c r="G381" s="6">
        <v>1431</v>
      </c>
      <c r="H381" s="6">
        <v>8</v>
      </c>
      <c r="I381" s="6" t="s">
        <v>36</v>
      </c>
      <c r="J381" s="7">
        <v>672.8</v>
      </c>
      <c r="K381" s="6" t="s">
        <v>33</v>
      </c>
      <c r="L381" s="6" t="s">
        <v>24</v>
      </c>
    </row>
    <row r="382" spans="1:12" ht="23" customHeight="1">
      <c r="A382" s="5" t="s">
        <v>29</v>
      </c>
      <c r="B382" s="6">
        <v>4</v>
      </c>
      <c r="C382" s="6">
        <v>1</v>
      </c>
      <c r="D382" s="6" t="s">
        <v>30</v>
      </c>
      <c r="E382" s="6">
        <v>117</v>
      </c>
      <c r="F382" s="6">
        <v>76</v>
      </c>
      <c r="G382" s="6">
        <v>1431</v>
      </c>
      <c r="H382" s="6">
        <v>9</v>
      </c>
      <c r="I382" s="6" t="s">
        <v>37</v>
      </c>
      <c r="J382" s="7">
        <v>672.8</v>
      </c>
      <c r="K382" s="6" t="s">
        <v>33</v>
      </c>
      <c r="L382" s="6" t="s">
        <v>24</v>
      </c>
    </row>
    <row r="383" spans="1:12" ht="23" customHeight="1">
      <c r="A383" s="5" t="s">
        <v>29</v>
      </c>
      <c r="B383" s="6">
        <v>4</v>
      </c>
      <c r="C383" s="6">
        <v>1</v>
      </c>
      <c r="D383" s="6" t="s">
        <v>30</v>
      </c>
      <c r="E383" s="6">
        <v>117</v>
      </c>
      <c r="F383" s="6">
        <v>76</v>
      </c>
      <c r="G383" s="6">
        <v>1431</v>
      </c>
      <c r="H383" s="6">
        <v>10</v>
      </c>
      <c r="I383" s="6" t="s">
        <v>38</v>
      </c>
      <c r="J383" s="7">
        <v>104936</v>
      </c>
      <c r="K383" s="6" t="s">
        <v>27</v>
      </c>
      <c r="L383" s="6" t="s">
        <v>24</v>
      </c>
    </row>
    <row r="384" spans="1:12" ht="23" customHeight="1">
      <c r="A384" s="5" t="s">
        <v>29</v>
      </c>
      <c r="B384" s="6">
        <v>4</v>
      </c>
      <c r="C384" s="6">
        <v>1</v>
      </c>
      <c r="D384" s="6" t="s">
        <v>30</v>
      </c>
      <c r="E384" s="6">
        <v>117</v>
      </c>
      <c r="F384" s="6">
        <v>76</v>
      </c>
      <c r="G384" s="6">
        <v>1431</v>
      </c>
      <c r="H384" s="6">
        <v>11</v>
      </c>
      <c r="I384" s="6" t="s">
        <v>39</v>
      </c>
      <c r="J384" s="7">
        <v>104936</v>
      </c>
      <c r="K384" s="6" t="s">
        <v>27</v>
      </c>
      <c r="L384" s="6" t="s">
        <v>24</v>
      </c>
    </row>
    <row r="385" spans="1:12" ht="23" customHeight="1">
      <c r="A385" s="5" t="s">
        <v>29</v>
      </c>
      <c r="B385" s="6">
        <v>4</v>
      </c>
      <c r="C385" s="6">
        <v>1</v>
      </c>
      <c r="D385" s="6" t="s">
        <v>30</v>
      </c>
      <c r="E385" s="6">
        <v>117</v>
      </c>
      <c r="F385" s="6">
        <v>76</v>
      </c>
      <c r="G385" s="6">
        <v>1431</v>
      </c>
      <c r="H385" s="6">
        <v>12</v>
      </c>
      <c r="I385" s="6" t="s">
        <v>40</v>
      </c>
      <c r="J385" s="7">
        <v>104936</v>
      </c>
      <c r="K385" s="6" t="s">
        <v>27</v>
      </c>
      <c r="L385" s="6" t="s">
        <v>24</v>
      </c>
    </row>
    <row r="386" spans="1:12" ht="23" customHeight="1">
      <c r="A386" s="5" t="s">
        <v>29</v>
      </c>
      <c r="B386" s="6">
        <v>4</v>
      </c>
      <c r="C386" s="6">
        <v>1</v>
      </c>
      <c r="D386" s="6" t="s">
        <v>30</v>
      </c>
      <c r="E386" s="6">
        <v>117</v>
      </c>
      <c r="F386" s="6">
        <v>76</v>
      </c>
      <c r="G386" s="6">
        <v>1431</v>
      </c>
      <c r="H386" s="6">
        <v>13</v>
      </c>
      <c r="I386" s="6" t="s">
        <v>41</v>
      </c>
      <c r="J386" s="7">
        <v>104936</v>
      </c>
      <c r="K386" s="6" t="s">
        <v>27</v>
      </c>
      <c r="L386" s="6" t="s">
        <v>24</v>
      </c>
    </row>
    <row r="387" spans="1:12" ht="23" customHeight="1">
      <c r="A387" s="5" t="s">
        <v>29</v>
      </c>
      <c r="B387" s="6">
        <v>4</v>
      </c>
      <c r="C387" s="6">
        <v>1</v>
      </c>
      <c r="D387" s="6" t="s">
        <v>30</v>
      </c>
      <c r="E387" s="6">
        <v>118</v>
      </c>
      <c r="F387" s="6">
        <v>77</v>
      </c>
      <c r="G387" s="6">
        <v>1432</v>
      </c>
      <c r="H387" s="6">
        <v>4</v>
      </c>
      <c r="I387" s="6" t="s">
        <v>31</v>
      </c>
      <c r="J387" s="7">
        <v>104936</v>
      </c>
      <c r="K387" s="6" t="s">
        <v>27</v>
      </c>
      <c r="L387" s="6" t="s">
        <v>24</v>
      </c>
    </row>
    <row r="388" spans="1:12" ht="23" customHeight="1">
      <c r="A388" s="5" t="s">
        <v>29</v>
      </c>
      <c r="B388" s="6">
        <v>4</v>
      </c>
      <c r="C388" s="6">
        <v>1</v>
      </c>
      <c r="D388" s="6" t="s">
        <v>30</v>
      </c>
      <c r="E388" s="6">
        <v>118</v>
      </c>
      <c r="F388" s="6">
        <v>77</v>
      </c>
      <c r="G388" s="6">
        <v>1432</v>
      </c>
      <c r="H388" s="6">
        <v>5</v>
      </c>
      <c r="I388" s="6" t="s">
        <v>32</v>
      </c>
      <c r="J388" s="7">
        <v>672.8</v>
      </c>
      <c r="K388" s="6" t="s">
        <v>33</v>
      </c>
      <c r="L388" s="6" t="s">
        <v>24</v>
      </c>
    </row>
    <row r="389" spans="1:12" ht="23" customHeight="1">
      <c r="A389" s="5" t="s">
        <v>29</v>
      </c>
      <c r="B389" s="6">
        <v>4</v>
      </c>
      <c r="C389" s="6">
        <v>1</v>
      </c>
      <c r="D389" s="6" t="s">
        <v>30</v>
      </c>
      <c r="E389" s="6">
        <v>118</v>
      </c>
      <c r="F389" s="6">
        <v>77</v>
      </c>
      <c r="G389" s="6">
        <v>1432</v>
      </c>
      <c r="H389" s="6">
        <v>6</v>
      </c>
      <c r="I389" s="6" t="s">
        <v>34</v>
      </c>
      <c r="J389" s="7">
        <v>672.8</v>
      </c>
      <c r="K389" s="6" t="s">
        <v>33</v>
      </c>
      <c r="L389" s="6" t="s">
        <v>24</v>
      </c>
    </row>
    <row r="390" spans="1:12" ht="23" customHeight="1">
      <c r="A390" s="5" t="s">
        <v>29</v>
      </c>
      <c r="B390" s="6">
        <v>4</v>
      </c>
      <c r="C390" s="6">
        <v>1</v>
      </c>
      <c r="D390" s="6" t="s">
        <v>30</v>
      </c>
      <c r="E390" s="6">
        <v>118</v>
      </c>
      <c r="F390" s="6">
        <v>77</v>
      </c>
      <c r="G390" s="6">
        <v>1432</v>
      </c>
      <c r="H390" s="6">
        <v>7</v>
      </c>
      <c r="I390" s="6" t="s">
        <v>35</v>
      </c>
      <c r="J390" s="7">
        <v>104936</v>
      </c>
      <c r="K390" s="6" t="s">
        <v>27</v>
      </c>
      <c r="L390" s="6" t="s">
        <v>24</v>
      </c>
    </row>
    <row r="391" spans="1:12" ht="23" customHeight="1">
      <c r="A391" s="5" t="s">
        <v>29</v>
      </c>
      <c r="B391" s="6">
        <v>4</v>
      </c>
      <c r="C391" s="6">
        <v>1</v>
      </c>
      <c r="D391" s="6" t="s">
        <v>30</v>
      </c>
      <c r="E391" s="6">
        <v>118</v>
      </c>
      <c r="F391" s="6">
        <v>77</v>
      </c>
      <c r="G391" s="6">
        <v>1432</v>
      </c>
      <c r="H391" s="6">
        <v>8</v>
      </c>
      <c r="I391" s="6" t="s">
        <v>36</v>
      </c>
      <c r="J391" s="7">
        <v>672.8</v>
      </c>
      <c r="K391" s="6" t="s">
        <v>33</v>
      </c>
      <c r="L391" s="6" t="s">
        <v>24</v>
      </c>
    </row>
    <row r="392" spans="1:12" ht="23" customHeight="1">
      <c r="A392" s="5" t="s">
        <v>29</v>
      </c>
      <c r="B392" s="6">
        <v>4</v>
      </c>
      <c r="C392" s="6">
        <v>1</v>
      </c>
      <c r="D392" s="6" t="s">
        <v>30</v>
      </c>
      <c r="E392" s="6">
        <v>118</v>
      </c>
      <c r="F392" s="6">
        <v>77</v>
      </c>
      <c r="G392" s="6">
        <v>1432</v>
      </c>
      <c r="H392" s="6">
        <v>9</v>
      </c>
      <c r="I392" s="6" t="s">
        <v>37</v>
      </c>
      <c r="J392" s="7">
        <v>672.8</v>
      </c>
      <c r="K392" s="6" t="s">
        <v>33</v>
      </c>
      <c r="L392" s="6" t="s">
        <v>24</v>
      </c>
    </row>
    <row r="393" spans="1:12" ht="23" customHeight="1">
      <c r="A393" s="5" t="s">
        <v>29</v>
      </c>
      <c r="B393" s="6">
        <v>4</v>
      </c>
      <c r="C393" s="6">
        <v>1</v>
      </c>
      <c r="D393" s="6" t="s">
        <v>30</v>
      </c>
      <c r="E393" s="6">
        <v>118</v>
      </c>
      <c r="F393" s="6">
        <v>77</v>
      </c>
      <c r="G393" s="6">
        <v>1432</v>
      </c>
      <c r="H393" s="6">
        <v>10</v>
      </c>
      <c r="I393" s="6" t="s">
        <v>38</v>
      </c>
      <c r="J393" s="7">
        <v>104936</v>
      </c>
      <c r="K393" s="6" t="s">
        <v>27</v>
      </c>
      <c r="L393" s="6" t="s">
        <v>24</v>
      </c>
    </row>
    <row r="394" spans="1:12" ht="23" customHeight="1">
      <c r="A394" s="5" t="s">
        <v>29</v>
      </c>
      <c r="B394" s="6">
        <v>4</v>
      </c>
      <c r="C394" s="6">
        <v>1</v>
      </c>
      <c r="D394" s="6" t="s">
        <v>30</v>
      </c>
      <c r="E394" s="6">
        <v>118</v>
      </c>
      <c r="F394" s="6">
        <v>77</v>
      </c>
      <c r="G394" s="6">
        <v>1432</v>
      </c>
      <c r="H394" s="6">
        <v>11</v>
      </c>
      <c r="I394" s="6" t="s">
        <v>39</v>
      </c>
      <c r="J394" s="7">
        <v>104936</v>
      </c>
      <c r="K394" s="6" t="s">
        <v>27</v>
      </c>
      <c r="L394" s="6" t="s">
        <v>24</v>
      </c>
    </row>
    <row r="395" spans="1:12" ht="23" customHeight="1">
      <c r="A395" s="5" t="s">
        <v>29</v>
      </c>
      <c r="B395" s="6">
        <v>4</v>
      </c>
      <c r="C395" s="6">
        <v>1</v>
      </c>
      <c r="D395" s="6" t="s">
        <v>30</v>
      </c>
      <c r="E395" s="6">
        <v>118</v>
      </c>
      <c r="F395" s="6">
        <v>77</v>
      </c>
      <c r="G395" s="6">
        <v>1432</v>
      </c>
      <c r="H395" s="6">
        <v>12</v>
      </c>
      <c r="I395" s="6" t="s">
        <v>40</v>
      </c>
      <c r="J395" s="7">
        <v>104936</v>
      </c>
      <c r="K395" s="6" t="s">
        <v>27</v>
      </c>
      <c r="L395" s="6" t="s">
        <v>24</v>
      </c>
    </row>
    <row r="396" spans="1:12" ht="23" customHeight="1">
      <c r="A396" s="5" t="s">
        <v>29</v>
      </c>
      <c r="B396" s="6">
        <v>4</v>
      </c>
      <c r="C396" s="6">
        <v>1</v>
      </c>
      <c r="D396" s="6" t="s">
        <v>30</v>
      </c>
      <c r="E396" s="6">
        <v>118</v>
      </c>
      <c r="F396" s="6">
        <v>77</v>
      </c>
      <c r="G396" s="6">
        <v>1432</v>
      </c>
      <c r="H396" s="6">
        <v>13</v>
      </c>
      <c r="I396" s="6" t="s">
        <v>41</v>
      </c>
      <c r="J396" s="7">
        <v>104936</v>
      </c>
      <c r="K396" s="6" t="s">
        <v>27</v>
      </c>
      <c r="L396" s="6" t="s">
        <v>24</v>
      </c>
    </row>
    <row r="397" spans="1:12" ht="23" customHeight="1">
      <c r="A397" s="5" t="s">
        <v>29</v>
      </c>
      <c r="B397" s="6">
        <v>4</v>
      </c>
      <c r="C397" s="6">
        <v>1</v>
      </c>
      <c r="D397" s="6" t="s">
        <v>30</v>
      </c>
      <c r="E397" s="6">
        <v>119</v>
      </c>
      <c r="F397" s="6">
        <v>78</v>
      </c>
      <c r="G397" s="6">
        <v>1433</v>
      </c>
      <c r="H397" s="6">
        <v>4</v>
      </c>
      <c r="I397" s="6" t="s">
        <v>31</v>
      </c>
      <c r="J397" s="7">
        <v>104936</v>
      </c>
      <c r="K397" s="6" t="s">
        <v>27</v>
      </c>
      <c r="L397" s="6" t="s">
        <v>24</v>
      </c>
    </row>
    <row r="398" spans="1:12" ht="23" customHeight="1">
      <c r="A398" s="5" t="s">
        <v>29</v>
      </c>
      <c r="B398" s="6">
        <v>4</v>
      </c>
      <c r="C398" s="6">
        <v>1</v>
      </c>
      <c r="D398" s="6" t="s">
        <v>30</v>
      </c>
      <c r="E398" s="6">
        <v>119</v>
      </c>
      <c r="F398" s="6">
        <v>78</v>
      </c>
      <c r="G398" s="6">
        <v>1433</v>
      </c>
      <c r="H398" s="6">
        <v>5</v>
      </c>
      <c r="I398" s="6" t="s">
        <v>32</v>
      </c>
      <c r="J398" s="7">
        <v>672.8</v>
      </c>
      <c r="K398" s="6" t="s">
        <v>33</v>
      </c>
      <c r="L398" s="6" t="s">
        <v>24</v>
      </c>
    </row>
    <row r="399" spans="1:12" ht="23" customHeight="1">
      <c r="A399" s="5" t="s">
        <v>29</v>
      </c>
      <c r="B399" s="6">
        <v>4</v>
      </c>
      <c r="C399" s="6">
        <v>1</v>
      </c>
      <c r="D399" s="6" t="s">
        <v>30</v>
      </c>
      <c r="E399" s="6">
        <v>119</v>
      </c>
      <c r="F399" s="6">
        <v>78</v>
      </c>
      <c r="G399" s="6">
        <v>1433</v>
      </c>
      <c r="H399" s="6">
        <v>6</v>
      </c>
      <c r="I399" s="6" t="s">
        <v>34</v>
      </c>
      <c r="J399" s="7">
        <v>672.8</v>
      </c>
      <c r="K399" s="6" t="s">
        <v>33</v>
      </c>
      <c r="L399" s="6" t="s">
        <v>24</v>
      </c>
    </row>
    <row r="400" spans="1:12" ht="23" customHeight="1">
      <c r="A400" s="5" t="s">
        <v>29</v>
      </c>
      <c r="B400" s="6">
        <v>4</v>
      </c>
      <c r="C400" s="6">
        <v>1</v>
      </c>
      <c r="D400" s="6" t="s">
        <v>30</v>
      </c>
      <c r="E400" s="6">
        <v>119</v>
      </c>
      <c r="F400" s="6">
        <v>78</v>
      </c>
      <c r="G400" s="6">
        <v>1433</v>
      </c>
      <c r="H400" s="6">
        <v>7</v>
      </c>
      <c r="I400" s="6" t="s">
        <v>35</v>
      </c>
      <c r="J400" s="7">
        <v>104936</v>
      </c>
      <c r="K400" s="6" t="s">
        <v>27</v>
      </c>
      <c r="L400" s="6" t="s">
        <v>24</v>
      </c>
    </row>
    <row r="401" spans="1:12" ht="23" customHeight="1">
      <c r="A401" s="5" t="s">
        <v>29</v>
      </c>
      <c r="B401" s="6">
        <v>4</v>
      </c>
      <c r="C401" s="6">
        <v>1</v>
      </c>
      <c r="D401" s="6" t="s">
        <v>30</v>
      </c>
      <c r="E401" s="6">
        <v>119</v>
      </c>
      <c r="F401" s="6">
        <v>78</v>
      </c>
      <c r="G401" s="6">
        <v>1433</v>
      </c>
      <c r="H401" s="6">
        <v>8</v>
      </c>
      <c r="I401" s="6" t="s">
        <v>36</v>
      </c>
      <c r="J401" s="7">
        <v>672.8</v>
      </c>
      <c r="K401" s="6" t="s">
        <v>33</v>
      </c>
      <c r="L401" s="6" t="s">
        <v>24</v>
      </c>
    </row>
    <row r="402" spans="1:12" ht="23" customHeight="1">
      <c r="A402" s="5" t="s">
        <v>29</v>
      </c>
      <c r="B402" s="6">
        <v>4</v>
      </c>
      <c r="C402" s="6">
        <v>1</v>
      </c>
      <c r="D402" s="6" t="s">
        <v>30</v>
      </c>
      <c r="E402" s="6">
        <v>119</v>
      </c>
      <c r="F402" s="6">
        <v>78</v>
      </c>
      <c r="G402" s="6">
        <v>1433</v>
      </c>
      <c r="H402" s="6">
        <v>9</v>
      </c>
      <c r="I402" s="6" t="s">
        <v>37</v>
      </c>
      <c r="J402" s="7">
        <v>672.8</v>
      </c>
      <c r="K402" s="6" t="s">
        <v>33</v>
      </c>
      <c r="L402" s="6" t="s">
        <v>24</v>
      </c>
    </row>
    <row r="403" spans="1:12" ht="23" customHeight="1">
      <c r="A403" s="5" t="s">
        <v>29</v>
      </c>
      <c r="B403" s="6">
        <v>4</v>
      </c>
      <c r="C403" s="6">
        <v>1</v>
      </c>
      <c r="D403" s="6" t="s">
        <v>30</v>
      </c>
      <c r="E403" s="6">
        <v>119</v>
      </c>
      <c r="F403" s="6">
        <v>78</v>
      </c>
      <c r="G403" s="6">
        <v>1433</v>
      </c>
      <c r="H403" s="6">
        <v>10</v>
      </c>
      <c r="I403" s="6" t="s">
        <v>38</v>
      </c>
      <c r="J403" s="7">
        <v>104936</v>
      </c>
      <c r="K403" s="6" t="s">
        <v>27</v>
      </c>
      <c r="L403" s="6" t="s">
        <v>24</v>
      </c>
    </row>
    <row r="404" spans="1:12" ht="23" customHeight="1">
      <c r="A404" s="5" t="s">
        <v>29</v>
      </c>
      <c r="B404" s="6">
        <v>4</v>
      </c>
      <c r="C404" s="6">
        <v>1</v>
      </c>
      <c r="D404" s="6" t="s">
        <v>30</v>
      </c>
      <c r="E404" s="6">
        <v>119</v>
      </c>
      <c r="F404" s="6">
        <v>78</v>
      </c>
      <c r="G404" s="6">
        <v>1433</v>
      </c>
      <c r="H404" s="6">
        <v>11</v>
      </c>
      <c r="I404" s="6" t="s">
        <v>39</v>
      </c>
      <c r="J404" s="7">
        <v>104936</v>
      </c>
      <c r="K404" s="6" t="s">
        <v>27</v>
      </c>
      <c r="L404" s="6" t="s">
        <v>24</v>
      </c>
    </row>
    <row r="405" spans="1:12" ht="23" customHeight="1">
      <c r="A405" s="5" t="s">
        <v>29</v>
      </c>
      <c r="B405" s="6">
        <v>4</v>
      </c>
      <c r="C405" s="6">
        <v>1</v>
      </c>
      <c r="D405" s="6" t="s">
        <v>30</v>
      </c>
      <c r="E405" s="6">
        <v>119</v>
      </c>
      <c r="F405" s="6">
        <v>78</v>
      </c>
      <c r="G405" s="6">
        <v>1433</v>
      </c>
      <c r="H405" s="6">
        <v>12</v>
      </c>
      <c r="I405" s="6" t="s">
        <v>40</v>
      </c>
      <c r="J405" s="7">
        <v>104936</v>
      </c>
      <c r="K405" s="6" t="s">
        <v>27</v>
      </c>
      <c r="L405" s="6" t="s">
        <v>24</v>
      </c>
    </row>
    <row r="406" spans="1:12" ht="23" customHeight="1">
      <c r="A406" s="5" t="s">
        <v>29</v>
      </c>
      <c r="B406" s="6">
        <v>4</v>
      </c>
      <c r="C406" s="6">
        <v>1</v>
      </c>
      <c r="D406" s="6" t="s">
        <v>30</v>
      </c>
      <c r="E406" s="6">
        <v>119</v>
      </c>
      <c r="F406" s="6">
        <v>78</v>
      </c>
      <c r="G406" s="6">
        <v>1433</v>
      </c>
      <c r="H406" s="6">
        <v>13</v>
      </c>
      <c r="I406" s="6" t="s">
        <v>41</v>
      </c>
      <c r="J406" s="7">
        <v>104936</v>
      </c>
      <c r="K406" s="6" t="s">
        <v>27</v>
      </c>
      <c r="L406" s="6" t="s">
        <v>24</v>
      </c>
    </row>
    <row r="407" spans="1:12" ht="23" customHeight="1">
      <c r="A407" s="5" t="s">
        <v>29</v>
      </c>
      <c r="B407" s="6">
        <v>4</v>
      </c>
      <c r="C407" s="6">
        <v>1</v>
      </c>
      <c r="D407" s="6" t="s">
        <v>30</v>
      </c>
      <c r="E407" s="6">
        <v>120</v>
      </c>
      <c r="F407" s="6">
        <v>79</v>
      </c>
      <c r="G407" s="6">
        <v>1434</v>
      </c>
      <c r="H407" s="6">
        <v>4</v>
      </c>
      <c r="I407" s="6" t="s">
        <v>31</v>
      </c>
      <c r="J407" s="7">
        <v>104936</v>
      </c>
      <c r="K407" s="6" t="s">
        <v>27</v>
      </c>
      <c r="L407" s="6" t="s">
        <v>24</v>
      </c>
    </row>
    <row r="408" spans="1:12" ht="23" customHeight="1">
      <c r="A408" s="5" t="s">
        <v>29</v>
      </c>
      <c r="B408" s="6">
        <v>4</v>
      </c>
      <c r="C408" s="6">
        <v>1</v>
      </c>
      <c r="D408" s="6" t="s">
        <v>30</v>
      </c>
      <c r="E408" s="6">
        <v>120</v>
      </c>
      <c r="F408" s="6">
        <v>79</v>
      </c>
      <c r="G408" s="6">
        <v>1434</v>
      </c>
      <c r="H408" s="6">
        <v>5</v>
      </c>
      <c r="I408" s="6" t="s">
        <v>32</v>
      </c>
      <c r="J408" s="7">
        <v>672.8</v>
      </c>
      <c r="K408" s="6" t="s">
        <v>33</v>
      </c>
      <c r="L408" s="6" t="s">
        <v>24</v>
      </c>
    </row>
    <row r="409" spans="1:12" ht="23" customHeight="1">
      <c r="A409" s="5" t="s">
        <v>29</v>
      </c>
      <c r="B409" s="6">
        <v>4</v>
      </c>
      <c r="C409" s="6">
        <v>1</v>
      </c>
      <c r="D409" s="6" t="s">
        <v>30</v>
      </c>
      <c r="E409" s="6">
        <v>120</v>
      </c>
      <c r="F409" s="6">
        <v>79</v>
      </c>
      <c r="G409" s="6">
        <v>1434</v>
      </c>
      <c r="H409" s="6">
        <v>6</v>
      </c>
      <c r="I409" s="6" t="s">
        <v>34</v>
      </c>
      <c r="J409" s="7">
        <v>672.8</v>
      </c>
      <c r="K409" s="6" t="s">
        <v>33</v>
      </c>
      <c r="L409" s="6" t="s">
        <v>24</v>
      </c>
    </row>
    <row r="410" spans="1:12" ht="23" customHeight="1">
      <c r="A410" s="5" t="s">
        <v>29</v>
      </c>
      <c r="B410" s="6">
        <v>4</v>
      </c>
      <c r="C410" s="6">
        <v>1</v>
      </c>
      <c r="D410" s="6" t="s">
        <v>30</v>
      </c>
      <c r="E410" s="6">
        <v>120</v>
      </c>
      <c r="F410" s="6">
        <v>79</v>
      </c>
      <c r="G410" s="6">
        <v>1434</v>
      </c>
      <c r="H410" s="6">
        <v>7</v>
      </c>
      <c r="I410" s="6" t="s">
        <v>35</v>
      </c>
      <c r="J410" s="7">
        <v>104936</v>
      </c>
      <c r="K410" s="6" t="s">
        <v>27</v>
      </c>
      <c r="L410" s="6" t="s">
        <v>24</v>
      </c>
    </row>
    <row r="411" spans="1:12" ht="23" customHeight="1">
      <c r="A411" s="5" t="s">
        <v>29</v>
      </c>
      <c r="B411" s="6">
        <v>4</v>
      </c>
      <c r="C411" s="6">
        <v>1</v>
      </c>
      <c r="D411" s="6" t="s">
        <v>30</v>
      </c>
      <c r="E411" s="6">
        <v>120</v>
      </c>
      <c r="F411" s="6">
        <v>79</v>
      </c>
      <c r="G411" s="6">
        <v>1434</v>
      </c>
      <c r="H411" s="6">
        <v>8</v>
      </c>
      <c r="I411" s="6" t="s">
        <v>36</v>
      </c>
      <c r="J411" s="7">
        <v>672.8</v>
      </c>
      <c r="K411" s="6" t="s">
        <v>33</v>
      </c>
      <c r="L411" s="6" t="s">
        <v>24</v>
      </c>
    </row>
    <row r="412" spans="1:12" ht="23" customHeight="1">
      <c r="A412" s="5" t="s">
        <v>29</v>
      </c>
      <c r="B412" s="6">
        <v>4</v>
      </c>
      <c r="C412" s="6">
        <v>1</v>
      </c>
      <c r="D412" s="6" t="s">
        <v>30</v>
      </c>
      <c r="E412" s="6">
        <v>120</v>
      </c>
      <c r="F412" s="6">
        <v>79</v>
      </c>
      <c r="G412" s="6">
        <v>1434</v>
      </c>
      <c r="H412" s="6">
        <v>9</v>
      </c>
      <c r="I412" s="6" t="s">
        <v>37</v>
      </c>
      <c r="J412" s="7">
        <v>672.8</v>
      </c>
      <c r="K412" s="6" t="s">
        <v>33</v>
      </c>
      <c r="L412" s="6" t="s">
        <v>24</v>
      </c>
    </row>
    <row r="413" spans="1:12" ht="23" customHeight="1">
      <c r="A413" s="5" t="s">
        <v>29</v>
      </c>
      <c r="B413" s="6">
        <v>4</v>
      </c>
      <c r="C413" s="6">
        <v>1</v>
      </c>
      <c r="D413" s="6" t="s">
        <v>30</v>
      </c>
      <c r="E413" s="6">
        <v>120</v>
      </c>
      <c r="F413" s="6">
        <v>79</v>
      </c>
      <c r="G413" s="6">
        <v>1434</v>
      </c>
      <c r="H413" s="6">
        <v>10</v>
      </c>
      <c r="I413" s="6" t="s">
        <v>38</v>
      </c>
      <c r="J413" s="7">
        <v>104936</v>
      </c>
      <c r="K413" s="6" t="s">
        <v>27</v>
      </c>
      <c r="L413" s="6" t="s">
        <v>24</v>
      </c>
    </row>
    <row r="414" spans="1:12" ht="23" customHeight="1">
      <c r="A414" s="5" t="s">
        <v>29</v>
      </c>
      <c r="B414" s="6">
        <v>4</v>
      </c>
      <c r="C414" s="6">
        <v>1</v>
      </c>
      <c r="D414" s="6" t="s">
        <v>30</v>
      </c>
      <c r="E414" s="6">
        <v>120</v>
      </c>
      <c r="F414" s="6">
        <v>79</v>
      </c>
      <c r="G414" s="6">
        <v>1434</v>
      </c>
      <c r="H414" s="6">
        <v>11</v>
      </c>
      <c r="I414" s="6" t="s">
        <v>39</v>
      </c>
      <c r="J414" s="7">
        <v>104936</v>
      </c>
      <c r="K414" s="6" t="s">
        <v>27</v>
      </c>
      <c r="L414" s="6" t="s">
        <v>24</v>
      </c>
    </row>
    <row r="415" spans="1:12" ht="23" customHeight="1">
      <c r="A415" s="5" t="s">
        <v>29</v>
      </c>
      <c r="B415" s="6">
        <v>4</v>
      </c>
      <c r="C415" s="6">
        <v>1</v>
      </c>
      <c r="D415" s="6" t="s">
        <v>30</v>
      </c>
      <c r="E415" s="6">
        <v>120</v>
      </c>
      <c r="F415" s="6">
        <v>79</v>
      </c>
      <c r="G415" s="6">
        <v>1434</v>
      </c>
      <c r="H415" s="6">
        <v>12</v>
      </c>
      <c r="I415" s="6" t="s">
        <v>40</v>
      </c>
      <c r="J415" s="7">
        <v>104936</v>
      </c>
      <c r="K415" s="6" t="s">
        <v>27</v>
      </c>
      <c r="L415" s="6" t="s">
        <v>24</v>
      </c>
    </row>
    <row r="416" spans="1:12" ht="23" customHeight="1">
      <c r="A416" s="5" t="s">
        <v>29</v>
      </c>
      <c r="B416" s="6">
        <v>4</v>
      </c>
      <c r="C416" s="6">
        <v>1</v>
      </c>
      <c r="D416" s="6" t="s">
        <v>30</v>
      </c>
      <c r="E416" s="6">
        <v>120</v>
      </c>
      <c r="F416" s="6">
        <v>79</v>
      </c>
      <c r="G416" s="6">
        <v>1434</v>
      </c>
      <c r="H416" s="6">
        <v>13</v>
      </c>
      <c r="I416" s="6" t="s">
        <v>41</v>
      </c>
      <c r="J416" s="7">
        <v>104936</v>
      </c>
      <c r="K416" s="6" t="s">
        <v>27</v>
      </c>
      <c r="L416" s="6" t="s">
        <v>24</v>
      </c>
    </row>
    <row r="417" spans="1:12" ht="23" customHeight="1">
      <c r="A417" s="5" t="s">
        <v>29</v>
      </c>
      <c r="B417" s="6">
        <v>4</v>
      </c>
      <c r="C417" s="6">
        <v>1</v>
      </c>
      <c r="D417" s="6" t="s">
        <v>30</v>
      </c>
      <c r="E417" s="6">
        <v>121</v>
      </c>
      <c r="F417" s="6">
        <v>80</v>
      </c>
      <c r="G417" s="6">
        <v>1435</v>
      </c>
      <c r="H417" s="6">
        <v>4</v>
      </c>
      <c r="I417" s="6" t="s">
        <v>31</v>
      </c>
      <c r="J417" s="7">
        <v>36324</v>
      </c>
      <c r="K417" s="6" t="s">
        <v>27</v>
      </c>
      <c r="L417" s="6" t="s">
        <v>24</v>
      </c>
    </row>
    <row r="418" spans="1:12" ht="23" customHeight="1">
      <c r="A418" s="5" t="s">
        <v>29</v>
      </c>
      <c r="B418" s="6">
        <v>4</v>
      </c>
      <c r="C418" s="6">
        <v>1</v>
      </c>
      <c r="D418" s="6" t="s">
        <v>30</v>
      </c>
      <c r="E418" s="6">
        <v>121</v>
      </c>
      <c r="F418" s="6">
        <v>80</v>
      </c>
      <c r="G418" s="6">
        <v>1435</v>
      </c>
      <c r="H418" s="6">
        <v>5</v>
      </c>
      <c r="I418" s="6" t="s">
        <v>32</v>
      </c>
      <c r="J418" s="7">
        <v>232.9</v>
      </c>
      <c r="K418" s="6" t="s">
        <v>33</v>
      </c>
      <c r="L418" s="6" t="s">
        <v>24</v>
      </c>
    </row>
    <row r="419" spans="1:12" ht="23" customHeight="1">
      <c r="A419" s="5" t="s">
        <v>29</v>
      </c>
      <c r="B419" s="6">
        <v>4</v>
      </c>
      <c r="C419" s="6">
        <v>1</v>
      </c>
      <c r="D419" s="6" t="s">
        <v>30</v>
      </c>
      <c r="E419" s="6">
        <v>121</v>
      </c>
      <c r="F419" s="6">
        <v>80</v>
      </c>
      <c r="G419" s="6">
        <v>1435</v>
      </c>
      <c r="H419" s="6">
        <v>6</v>
      </c>
      <c r="I419" s="6" t="s">
        <v>34</v>
      </c>
      <c r="J419" s="7">
        <v>232.9</v>
      </c>
      <c r="K419" s="6" t="s">
        <v>33</v>
      </c>
      <c r="L419" s="6" t="s">
        <v>24</v>
      </c>
    </row>
    <row r="420" spans="1:12" ht="23" customHeight="1">
      <c r="A420" s="5" t="s">
        <v>29</v>
      </c>
      <c r="B420" s="6">
        <v>4</v>
      </c>
      <c r="C420" s="6">
        <v>1</v>
      </c>
      <c r="D420" s="6" t="s">
        <v>30</v>
      </c>
      <c r="E420" s="6">
        <v>121</v>
      </c>
      <c r="F420" s="6">
        <v>80</v>
      </c>
      <c r="G420" s="6">
        <v>1435</v>
      </c>
      <c r="H420" s="6">
        <v>7</v>
      </c>
      <c r="I420" s="6" t="s">
        <v>35</v>
      </c>
      <c r="J420" s="7">
        <v>36324</v>
      </c>
      <c r="K420" s="6" t="s">
        <v>27</v>
      </c>
      <c r="L420" s="6" t="s">
        <v>24</v>
      </c>
    </row>
    <row r="421" spans="1:12" ht="23" customHeight="1">
      <c r="A421" s="5" t="s">
        <v>29</v>
      </c>
      <c r="B421" s="6">
        <v>4</v>
      </c>
      <c r="C421" s="6">
        <v>1</v>
      </c>
      <c r="D421" s="6" t="s">
        <v>30</v>
      </c>
      <c r="E421" s="6">
        <v>121</v>
      </c>
      <c r="F421" s="6">
        <v>80</v>
      </c>
      <c r="G421" s="6">
        <v>1435</v>
      </c>
      <c r="H421" s="6">
        <v>8</v>
      </c>
      <c r="I421" s="6" t="s">
        <v>36</v>
      </c>
      <c r="J421" s="7">
        <v>232.9</v>
      </c>
      <c r="K421" s="6" t="s">
        <v>33</v>
      </c>
      <c r="L421" s="6" t="s">
        <v>24</v>
      </c>
    </row>
    <row r="422" spans="1:12" ht="23" customHeight="1">
      <c r="A422" s="5" t="s">
        <v>29</v>
      </c>
      <c r="B422" s="6">
        <v>4</v>
      </c>
      <c r="C422" s="6">
        <v>1</v>
      </c>
      <c r="D422" s="6" t="s">
        <v>30</v>
      </c>
      <c r="E422" s="6">
        <v>121</v>
      </c>
      <c r="F422" s="6">
        <v>80</v>
      </c>
      <c r="G422" s="6">
        <v>1435</v>
      </c>
      <c r="H422" s="6">
        <v>9</v>
      </c>
      <c r="I422" s="6" t="s">
        <v>37</v>
      </c>
      <c r="J422" s="7">
        <v>232.9</v>
      </c>
      <c r="K422" s="6" t="s">
        <v>33</v>
      </c>
      <c r="L422" s="6" t="s">
        <v>24</v>
      </c>
    </row>
    <row r="423" spans="1:12" ht="23" customHeight="1">
      <c r="A423" s="5" t="s">
        <v>29</v>
      </c>
      <c r="B423" s="6">
        <v>4</v>
      </c>
      <c r="C423" s="6">
        <v>1</v>
      </c>
      <c r="D423" s="6" t="s">
        <v>30</v>
      </c>
      <c r="E423" s="6">
        <v>121</v>
      </c>
      <c r="F423" s="6">
        <v>80</v>
      </c>
      <c r="G423" s="6">
        <v>1435</v>
      </c>
      <c r="H423" s="6">
        <v>10</v>
      </c>
      <c r="I423" s="6" t="s">
        <v>38</v>
      </c>
      <c r="J423" s="7">
        <v>36324</v>
      </c>
      <c r="K423" s="6" t="s">
        <v>27</v>
      </c>
      <c r="L423" s="6" t="s">
        <v>24</v>
      </c>
    </row>
    <row r="424" spans="1:12" ht="23" customHeight="1">
      <c r="A424" s="5" t="s">
        <v>29</v>
      </c>
      <c r="B424" s="6">
        <v>4</v>
      </c>
      <c r="C424" s="6">
        <v>1</v>
      </c>
      <c r="D424" s="6" t="s">
        <v>30</v>
      </c>
      <c r="E424" s="6">
        <v>121</v>
      </c>
      <c r="F424" s="6">
        <v>80</v>
      </c>
      <c r="G424" s="6">
        <v>1435</v>
      </c>
      <c r="H424" s="6">
        <v>11</v>
      </c>
      <c r="I424" s="6" t="s">
        <v>39</v>
      </c>
      <c r="J424" s="7">
        <v>36324</v>
      </c>
      <c r="K424" s="6" t="s">
        <v>27</v>
      </c>
      <c r="L424" s="6" t="s">
        <v>24</v>
      </c>
    </row>
    <row r="425" spans="1:12" ht="23" customHeight="1">
      <c r="A425" s="5" t="s">
        <v>29</v>
      </c>
      <c r="B425" s="6">
        <v>4</v>
      </c>
      <c r="C425" s="6">
        <v>1</v>
      </c>
      <c r="D425" s="6" t="s">
        <v>30</v>
      </c>
      <c r="E425" s="6">
        <v>121</v>
      </c>
      <c r="F425" s="6">
        <v>80</v>
      </c>
      <c r="G425" s="6">
        <v>1435</v>
      </c>
      <c r="H425" s="6">
        <v>12</v>
      </c>
      <c r="I425" s="6" t="s">
        <v>40</v>
      </c>
      <c r="J425" s="7">
        <v>36324</v>
      </c>
      <c r="K425" s="6" t="s">
        <v>27</v>
      </c>
      <c r="L425" s="6" t="s">
        <v>24</v>
      </c>
    </row>
    <row r="426" spans="1:12" ht="23" customHeight="1">
      <c r="A426" s="5" t="s">
        <v>29</v>
      </c>
      <c r="B426" s="6">
        <v>4</v>
      </c>
      <c r="C426" s="6">
        <v>1</v>
      </c>
      <c r="D426" s="6" t="s">
        <v>30</v>
      </c>
      <c r="E426" s="6">
        <v>121</v>
      </c>
      <c r="F426" s="6">
        <v>80</v>
      </c>
      <c r="G426" s="6">
        <v>1435</v>
      </c>
      <c r="H426" s="6">
        <v>13</v>
      </c>
      <c r="I426" s="6" t="s">
        <v>41</v>
      </c>
      <c r="J426" s="7">
        <v>36324</v>
      </c>
      <c r="K426" s="6" t="s">
        <v>27</v>
      </c>
      <c r="L426" s="6" t="s">
        <v>24</v>
      </c>
    </row>
    <row r="427" spans="1:12" ht="23" customHeight="1">
      <c r="A427" s="5" t="s">
        <v>29</v>
      </c>
      <c r="B427" s="6">
        <v>5</v>
      </c>
      <c r="C427" s="6">
        <v>2</v>
      </c>
      <c r="D427" s="6" t="s">
        <v>30</v>
      </c>
      <c r="E427" s="6">
        <v>127</v>
      </c>
      <c r="F427" s="6">
        <v>81</v>
      </c>
      <c r="G427" s="6">
        <v>1436</v>
      </c>
      <c r="H427" s="6">
        <v>4</v>
      </c>
      <c r="I427" s="6" t="s">
        <v>31</v>
      </c>
      <c r="J427" s="7">
        <v>34419</v>
      </c>
      <c r="K427" s="6" t="s">
        <v>27</v>
      </c>
      <c r="L427" s="6" t="s">
        <v>24</v>
      </c>
    </row>
    <row r="428" spans="1:12" ht="23" customHeight="1">
      <c r="A428" s="5" t="s">
        <v>29</v>
      </c>
      <c r="B428" s="6">
        <v>5</v>
      </c>
      <c r="C428" s="6">
        <v>2</v>
      </c>
      <c r="D428" s="6" t="s">
        <v>30</v>
      </c>
      <c r="E428" s="6">
        <v>127</v>
      </c>
      <c r="F428" s="6">
        <v>81</v>
      </c>
      <c r="G428" s="6">
        <v>1436</v>
      </c>
      <c r="H428" s="6">
        <v>5</v>
      </c>
      <c r="I428" s="6" t="s">
        <v>32</v>
      </c>
      <c r="J428" s="7">
        <v>289.1</v>
      </c>
      <c r="K428" s="6" t="s">
        <v>33</v>
      </c>
      <c r="L428" s="6" t="s">
        <v>24</v>
      </c>
    </row>
    <row r="429" spans="1:12" ht="23" customHeight="1">
      <c r="A429" s="5" t="s">
        <v>29</v>
      </c>
      <c r="B429" s="6">
        <v>5</v>
      </c>
      <c r="C429" s="6">
        <v>2</v>
      </c>
      <c r="D429" s="6" t="s">
        <v>30</v>
      </c>
      <c r="E429" s="6">
        <v>127</v>
      </c>
      <c r="F429" s="6">
        <v>81</v>
      </c>
      <c r="G429" s="6">
        <v>1436</v>
      </c>
      <c r="H429" s="6">
        <v>6</v>
      </c>
      <c r="I429" s="6" t="s">
        <v>34</v>
      </c>
      <c r="J429" s="7">
        <v>289.1</v>
      </c>
      <c r="K429" s="6" t="s">
        <v>33</v>
      </c>
      <c r="L429" s="6" t="s">
        <v>24</v>
      </c>
    </row>
    <row r="430" spans="1:12" ht="23" customHeight="1">
      <c r="A430" s="5" t="s">
        <v>29</v>
      </c>
      <c r="B430" s="6">
        <v>5</v>
      </c>
      <c r="C430" s="6">
        <v>2</v>
      </c>
      <c r="D430" s="6" t="s">
        <v>30</v>
      </c>
      <c r="E430" s="6">
        <v>127</v>
      </c>
      <c r="F430" s="6">
        <v>81</v>
      </c>
      <c r="G430" s="6">
        <v>1436</v>
      </c>
      <c r="H430" s="6">
        <v>7</v>
      </c>
      <c r="I430" s="6" t="s">
        <v>35</v>
      </c>
      <c r="J430" s="7">
        <v>34419</v>
      </c>
      <c r="K430" s="6" t="s">
        <v>27</v>
      </c>
      <c r="L430" s="6" t="s">
        <v>24</v>
      </c>
    </row>
    <row r="431" spans="1:12" ht="23" customHeight="1">
      <c r="A431" s="5" t="s">
        <v>29</v>
      </c>
      <c r="B431" s="6">
        <v>5</v>
      </c>
      <c r="C431" s="6">
        <v>2</v>
      </c>
      <c r="D431" s="6" t="s">
        <v>30</v>
      </c>
      <c r="E431" s="6">
        <v>127</v>
      </c>
      <c r="F431" s="6">
        <v>81</v>
      </c>
      <c r="G431" s="6">
        <v>1436</v>
      </c>
      <c r="H431" s="6">
        <v>8</v>
      </c>
      <c r="I431" s="6" t="s">
        <v>36</v>
      </c>
      <c r="J431" s="7">
        <v>289.1</v>
      </c>
      <c r="K431" s="6" t="s">
        <v>33</v>
      </c>
      <c r="L431" s="6" t="s">
        <v>24</v>
      </c>
    </row>
    <row r="432" spans="1:12" ht="23" customHeight="1">
      <c r="A432" s="5" t="s">
        <v>29</v>
      </c>
      <c r="B432" s="6">
        <v>5</v>
      </c>
      <c r="C432" s="6">
        <v>2</v>
      </c>
      <c r="D432" s="6" t="s">
        <v>30</v>
      </c>
      <c r="E432" s="6">
        <v>127</v>
      </c>
      <c r="F432" s="6">
        <v>81</v>
      </c>
      <c r="G432" s="6">
        <v>1436</v>
      </c>
      <c r="H432" s="6">
        <v>9</v>
      </c>
      <c r="I432" s="6" t="s">
        <v>37</v>
      </c>
      <c r="J432" s="7">
        <v>289.1</v>
      </c>
      <c r="K432" s="6" t="s">
        <v>33</v>
      </c>
      <c r="L432" s="6" t="s">
        <v>24</v>
      </c>
    </row>
    <row r="433" spans="1:12" ht="23" customHeight="1">
      <c r="A433" s="5" t="s">
        <v>29</v>
      </c>
      <c r="B433" s="6">
        <v>5</v>
      </c>
      <c r="C433" s="6">
        <v>2</v>
      </c>
      <c r="D433" s="6" t="s">
        <v>30</v>
      </c>
      <c r="E433" s="6">
        <v>127</v>
      </c>
      <c r="F433" s="6">
        <v>81</v>
      </c>
      <c r="G433" s="6">
        <v>1436</v>
      </c>
      <c r="H433" s="6">
        <v>10</v>
      </c>
      <c r="I433" s="6" t="s">
        <v>38</v>
      </c>
      <c r="J433" s="7">
        <v>34419</v>
      </c>
      <c r="K433" s="6" t="s">
        <v>27</v>
      </c>
      <c r="L433" s="6" t="s">
        <v>24</v>
      </c>
    </row>
    <row r="434" spans="1:12" ht="23" customHeight="1">
      <c r="A434" s="5" t="s">
        <v>29</v>
      </c>
      <c r="B434" s="6">
        <v>5</v>
      </c>
      <c r="C434" s="6">
        <v>2</v>
      </c>
      <c r="D434" s="6" t="s">
        <v>30</v>
      </c>
      <c r="E434" s="6">
        <v>127</v>
      </c>
      <c r="F434" s="6">
        <v>81</v>
      </c>
      <c r="G434" s="6">
        <v>1436</v>
      </c>
      <c r="H434" s="6">
        <v>11</v>
      </c>
      <c r="I434" s="6" t="s">
        <v>39</v>
      </c>
      <c r="J434" s="7">
        <v>34419</v>
      </c>
      <c r="K434" s="6" t="s">
        <v>27</v>
      </c>
      <c r="L434" s="6" t="s">
        <v>24</v>
      </c>
    </row>
    <row r="435" spans="1:12" ht="23" customHeight="1">
      <c r="A435" s="5" t="s">
        <v>29</v>
      </c>
      <c r="B435" s="6">
        <v>5</v>
      </c>
      <c r="C435" s="6">
        <v>2</v>
      </c>
      <c r="D435" s="6" t="s">
        <v>30</v>
      </c>
      <c r="E435" s="6">
        <v>127</v>
      </c>
      <c r="F435" s="6">
        <v>81</v>
      </c>
      <c r="G435" s="6">
        <v>1436</v>
      </c>
      <c r="H435" s="6">
        <v>12</v>
      </c>
      <c r="I435" s="6" t="s">
        <v>40</v>
      </c>
      <c r="J435" s="7">
        <v>34419</v>
      </c>
      <c r="K435" s="6" t="s">
        <v>27</v>
      </c>
      <c r="L435" s="6" t="s">
        <v>24</v>
      </c>
    </row>
    <row r="436" spans="1:12" ht="23" customHeight="1">
      <c r="A436" s="5" t="s">
        <v>29</v>
      </c>
      <c r="B436" s="6">
        <v>5</v>
      </c>
      <c r="C436" s="6">
        <v>2</v>
      </c>
      <c r="D436" s="6" t="s">
        <v>30</v>
      </c>
      <c r="E436" s="6">
        <v>127</v>
      </c>
      <c r="F436" s="6">
        <v>81</v>
      </c>
      <c r="G436" s="6">
        <v>1436</v>
      </c>
      <c r="H436" s="6">
        <v>13</v>
      </c>
      <c r="I436" s="6" t="s">
        <v>41</v>
      </c>
      <c r="J436" s="7">
        <v>34419</v>
      </c>
      <c r="K436" s="6" t="s">
        <v>27</v>
      </c>
      <c r="L436" s="6" t="s">
        <v>24</v>
      </c>
    </row>
    <row r="437" spans="1:12" ht="23" customHeight="1">
      <c r="A437" s="5" t="s">
        <v>29</v>
      </c>
      <c r="B437" s="6">
        <v>5</v>
      </c>
      <c r="C437" s="6">
        <v>2</v>
      </c>
      <c r="D437" s="6" t="s">
        <v>30</v>
      </c>
      <c r="E437" s="6">
        <v>128</v>
      </c>
      <c r="F437" s="6">
        <v>82</v>
      </c>
      <c r="G437" s="6">
        <v>1437</v>
      </c>
      <c r="H437" s="6">
        <v>4</v>
      </c>
      <c r="I437" s="6" t="s">
        <v>31</v>
      </c>
      <c r="J437" s="7">
        <v>97084</v>
      </c>
      <c r="K437" s="6" t="s">
        <v>27</v>
      </c>
      <c r="L437" s="6" t="s">
        <v>24</v>
      </c>
    </row>
    <row r="438" spans="1:12" ht="23" customHeight="1">
      <c r="A438" s="5" t="s">
        <v>29</v>
      </c>
      <c r="B438" s="6">
        <v>5</v>
      </c>
      <c r="C438" s="6">
        <v>2</v>
      </c>
      <c r="D438" s="6" t="s">
        <v>30</v>
      </c>
      <c r="E438" s="6">
        <v>128</v>
      </c>
      <c r="F438" s="6">
        <v>82</v>
      </c>
      <c r="G438" s="6">
        <v>1437</v>
      </c>
      <c r="H438" s="6">
        <v>5</v>
      </c>
      <c r="I438" s="6" t="s">
        <v>32</v>
      </c>
      <c r="J438" s="7">
        <v>1223.3</v>
      </c>
      <c r="K438" s="6" t="s">
        <v>33</v>
      </c>
      <c r="L438" s="6" t="s">
        <v>24</v>
      </c>
    </row>
    <row r="439" spans="1:12" ht="23" customHeight="1">
      <c r="A439" s="5" t="s">
        <v>29</v>
      </c>
      <c r="B439" s="6">
        <v>5</v>
      </c>
      <c r="C439" s="6">
        <v>2</v>
      </c>
      <c r="D439" s="6" t="s">
        <v>30</v>
      </c>
      <c r="E439" s="6">
        <v>128</v>
      </c>
      <c r="F439" s="6">
        <v>82</v>
      </c>
      <c r="G439" s="6">
        <v>1437</v>
      </c>
      <c r="H439" s="6">
        <v>6</v>
      </c>
      <c r="I439" s="6" t="s">
        <v>34</v>
      </c>
      <c r="J439" s="7">
        <v>1223.3</v>
      </c>
      <c r="K439" s="6" t="s">
        <v>33</v>
      </c>
      <c r="L439" s="6" t="s">
        <v>24</v>
      </c>
    </row>
    <row r="440" spans="1:12" ht="23" customHeight="1">
      <c r="A440" s="5" t="s">
        <v>29</v>
      </c>
      <c r="B440" s="6">
        <v>5</v>
      </c>
      <c r="C440" s="6">
        <v>2</v>
      </c>
      <c r="D440" s="6" t="s">
        <v>30</v>
      </c>
      <c r="E440" s="6">
        <v>128</v>
      </c>
      <c r="F440" s="6">
        <v>82</v>
      </c>
      <c r="G440" s="6">
        <v>1437</v>
      </c>
      <c r="H440" s="6">
        <v>7</v>
      </c>
      <c r="I440" s="6" t="s">
        <v>35</v>
      </c>
      <c r="J440" s="7">
        <v>97084</v>
      </c>
      <c r="K440" s="6" t="s">
        <v>27</v>
      </c>
      <c r="L440" s="6" t="s">
        <v>24</v>
      </c>
    </row>
    <row r="441" spans="1:12" ht="23" customHeight="1">
      <c r="A441" s="5" t="s">
        <v>29</v>
      </c>
      <c r="B441" s="6">
        <v>5</v>
      </c>
      <c r="C441" s="6">
        <v>2</v>
      </c>
      <c r="D441" s="6" t="s">
        <v>30</v>
      </c>
      <c r="E441" s="6">
        <v>128</v>
      </c>
      <c r="F441" s="6">
        <v>82</v>
      </c>
      <c r="G441" s="6">
        <v>1437</v>
      </c>
      <c r="H441" s="6">
        <v>8</v>
      </c>
      <c r="I441" s="6" t="s">
        <v>36</v>
      </c>
      <c r="J441" s="7">
        <v>1223.3</v>
      </c>
      <c r="K441" s="6" t="s">
        <v>33</v>
      </c>
      <c r="L441" s="6" t="s">
        <v>24</v>
      </c>
    </row>
    <row r="442" spans="1:12" ht="23" customHeight="1">
      <c r="A442" s="5" t="s">
        <v>29</v>
      </c>
      <c r="B442" s="6">
        <v>5</v>
      </c>
      <c r="C442" s="6">
        <v>2</v>
      </c>
      <c r="D442" s="6" t="s">
        <v>30</v>
      </c>
      <c r="E442" s="6">
        <v>128</v>
      </c>
      <c r="F442" s="6">
        <v>82</v>
      </c>
      <c r="G442" s="6">
        <v>1437</v>
      </c>
      <c r="H442" s="6">
        <v>9</v>
      </c>
      <c r="I442" s="6" t="s">
        <v>37</v>
      </c>
      <c r="J442" s="7">
        <v>1223.3</v>
      </c>
      <c r="K442" s="6" t="s">
        <v>33</v>
      </c>
      <c r="L442" s="6" t="s">
        <v>24</v>
      </c>
    </row>
    <row r="443" spans="1:12" ht="23" customHeight="1">
      <c r="A443" s="5" t="s">
        <v>29</v>
      </c>
      <c r="B443" s="6">
        <v>5</v>
      </c>
      <c r="C443" s="6">
        <v>2</v>
      </c>
      <c r="D443" s="6" t="s">
        <v>30</v>
      </c>
      <c r="E443" s="6">
        <v>128</v>
      </c>
      <c r="F443" s="6">
        <v>82</v>
      </c>
      <c r="G443" s="6">
        <v>1437</v>
      </c>
      <c r="H443" s="6">
        <v>10</v>
      </c>
      <c r="I443" s="6" t="s">
        <v>38</v>
      </c>
      <c r="J443" s="7">
        <v>97084</v>
      </c>
      <c r="K443" s="6" t="s">
        <v>27</v>
      </c>
      <c r="L443" s="6" t="s">
        <v>24</v>
      </c>
    </row>
    <row r="444" spans="1:12" ht="23" customHeight="1">
      <c r="A444" s="5" t="s">
        <v>29</v>
      </c>
      <c r="B444" s="6">
        <v>5</v>
      </c>
      <c r="C444" s="6">
        <v>2</v>
      </c>
      <c r="D444" s="6" t="s">
        <v>30</v>
      </c>
      <c r="E444" s="6">
        <v>128</v>
      </c>
      <c r="F444" s="6">
        <v>82</v>
      </c>
      <c r="G444" s="6">
        <v>1437</v>
      </c>
      <c r="H444" s="6">
        <v>11</v>
      </c>
      <c r="I444" s="6" t="s">
        <v>39</v>
      </c>
      <c r="J444" s="7">
        <v>97084</v>
      </c>
      <c r="K444" s="6" t="s">
        <v>27</v>
      </c>
      <c r="L444" s="6" t="s">
        <v>24</v>
      </c>
    </row>
    <row r="445" spans="1:12" ht="23" customHeight="1">
      <c r="A445" s="5" t="s">
        <v>29</v>
      </c>
      <c r="B445" s="6">
        <v>5</v>
      </c>
      <c r="C445" s="6">
        <v>2</v>
      </c>
      <c r="D445" s="6" t="s">
        <v>30</v>
      </c>
      <c r="E445" s="6">
        <v>128</v>
      </c>
      <c r="F445" s="6">
        <v>82</v>
      </c>
      <c r="G445" s="6">
        <v>1437</v>
      </c>
      <c r="H445" s="6">
        <v>12</v>
      </c>
      <c r="I445" s="6" t="s">
        <v>40</v>
      </c>
      <c r="J445" s="7">
        <v>97084</v>
      </c>
      <c r="K445" s="6" t="s">
        <v>27</v>
      </c>
      <c r="L445" s="6" t="s">
        <v>24</v>
      </c>
    </row>
    <row r="446" spans="1:12" ht="23" customHeight="1">
      <c r="A446" s="5" t="s">
        <v>29</v>
      </c>
      <c r="B446" s="6">
        <v>5</v>
      </c>
      <c r="C446" s="6">
        <v>2</v>
      </c>
      <c r="D446" s="6" t="s">
        <v>30</v>
      </c>
      <c r="E446" s="6">
        <v>128</v>
      </c>
      <c r="F446" s="6">
        <v>82</v>
      </c>
      <c r="G446" s="6">
        <v>1437</v>
      </c>
      <c r="H446" s="6">
        <v>13</v>
      </c>
      <c r="I446" s="6" t="s">
        <v>41</v>
      </c>
      <c r="J446" s="7">
        <v>97084</v>
      </c>
      <c r="K446" s="6" t="s">
        <v>27</v>
      </c>
      <c r="L446" s="6" t="s">
        <v>24</v>
      </c>
    </row>
    <row r="447" spans="1:12" ht="23" customHeight="1">
      <c r="A447" s="5" t="s">
        <v>29</v>
      </c>
      <c r="B447" s="6">
        <v>5</v>
      </c>
      <c r="C447" s="6">
        <v>2</v>
      </c>
      <c r="D447" s="6" t="s">
        <v>30</v>
      </c>
      <c r="E447" s="6">
        <v>129</v>
      </c>
      <c r="F447" s="6">
        <v>83</v>
      </c>
      <c r="G447" s="6">
        <v>1438</v>
      </c>
      <c r="H447" s="6">
        <v>4</v>
      </c>
      <c r="I447" s="6" t="s">
        <v>31</v>
      </c>
      <c r="J447" s="7">
        <v>103756</v>
      </c>
      <c r="K447" s="6" t="s">
        <v>27</v>
      </c>
      <c r="L447" s="6" t="s">
        <v>24</v>
      </c>
    </row>
    <row r="448" spans="1:12" ht="23" customHeight="1">
      <c r="A448" s="5" t="s">
        <v>29</v>
      </c>
      <c r="B448" s="6">
        <v>5</v>
      </c>
      <c r="C448" s="6">
        <v>2</v>
      </c>
      <c r="D448" s="6" t="s">
        <v>30</v>
      </c>
      <c r="E448" s="6">
        <v>129</v>
      </c>
      <c r="F448" s="6">
        <v>83</v>
      </c>
      <c r="G448" s="6">
        <v>1438</v>
      </c>
      <c r="H448" s="6">
        <v>5</v>
      </c>
      <c r="I448" s="6" t="s">
        <v>32</v>
      </c>
      <c r="J448" s="7">
        <v>1196.2</v>
      </c>
      <c r="K448" s="6" t="s">
        <v>33</v>
      </c>
      <c r="L448" s="6" t="s">
        <v>24</v>
      </c>
    </row>
    <row r="449" spans="1:12" ht="23" customHeight="1">
      <c r="A449" s="5" t="s">
        <v>29</v>
      </c>
      <c r="B449" s="6">
        <v>5</v>
      </c>
      <c r="C449" s="6">
        <v>2</v>
      </c>
      <c r="D449" s="6" t="s">
        <v>30</v>
      </c>
      <c r="E449" s="6">
        <v>129</v>
      </c>
      <c r="F449" s="6">
        <v>83</v>
      </c>
      <c r="G449" s="6">
        <v>1438</v>
      </c>
      <c r="H449" s="6">
        <v>6</v>
      </c>
      <c r="I449" s="6" t="s">
        <v>34</v>
      </c>
      <c r="J449" s="7">
        <v>1196.2</v>
      </c>
      <c r="K449" s="6" t="s">
        <v>33</v>
      </c>
      <c r="L449" s="6" t="s">
        <v>24</v>
      </c>
    </row>
    <row r="450" spans="1:12" ht="23" customHeight="1">
      <c r="A450" s="5" t="s">
        <v>29</v>
      </c>
      <c r="B450" s="6">
        <v>5</v>
      </c>
      <c r="C450" s="6">
        <v>2</v>
      </c>
      <c r="D450" s="6" t="s">
        <v>30</v>
      </c>
      <c r="E450" s="6">
        <v>129</v>
      </c>
      <c r="F450" s="6">
        <v>83</v>
      </c>
      <c r="G450" s="6">
        <v>1438</v>
      </c>
      <c r="H450" s="6">
        <v>7</v>
      </c>
      <c r="I450" s="6" t="s">
        <v>35</v>
      </c>
      <c r="J450" s="7">
        <v>103756</v>
      </c>
      <c r="K450" s="6" t="s">
        <v>27</v>
      </c>
      <c r="L450" s="6" t="s">
        <v>24</v>
      </c>
    </row>
    <row r="451" spans="1:12" ht="23" customHeight="1">
      <c r="A451" s="5" t="s">
        <v>29</v>
      </c>
      <c r="B451" s="6">
        <v>5</v>
      </c>
      <c r="C451" s="6">
        <v>2</v>
      </c>
      <c r="D451" s="6" t="s">
        <v>30</v>
      </c>
      <c r="E451" s="6">
        <v>129</v>
      </c>
      <c r="F451" s="6">
        <v>83</v>
      </c>
      <c r="G451" s="6">
        <v>1438</v>
      </c>
      <c r="H451" s="6">
        <v>8</v>
      </c>
      <c r="I451" s="6" t="s">
        <v>36</v>
      </c>
      <c r="J451" s="7">
        <v>1196.2</v>
      </c>
      <c r="K451" s="6" t="s">
        <v>33</v>
      </c>
      <c r="L451" s="6" t="s">
        <v>24</v>
      </c>
    </row>
    <row r="452" spans="1:12" ht="23" customHeight="1">
      <c r="A452" s="5" t="s">
        <v>29</v>
      </c>
      <c r="B452" s="6">
        <v>5</v>
      </c>
      <c r="C452" s="6">
        <v>2</v>
      </c>
      <c r="D452" s="6" t="s">
        <v>30</v>
      </c>
      <c r="E452" s="6">
        <v>129</v>
      </c>
      <c r="F452" s="6">
        <v>83</v>
      </c>
      <c r="G452" s="6">
        <v>1438</v>
      </c>
      <c r="H452" s="6">
        <v>9</v>
      </c>
      <c r="I452" s="6" t="s">
        <v>37</v>
      </c>
      <c r="J452" s="7">
        <v>1196.2</v>
      </c>
      <c r="K452" s="6" t="s">
        <v>33</v>
      </c>
      <c r="L452" s="6" t="s">
        <v>24</v>
      </c>
    </row>
    <row r="453" spans="1:12" ht="23" customHeight="1">
      <c r="A453" s="5" t="s">
        <v>29</v>
      </c>
      <c r="B453" s="6">
        <v>5</v>
      </c>
      <c r="C453" s="6">
        <v>2</v>
      </c>
      <c r="D453" s="6" t="s">
        <v>30</v>
      </c>
      <c r="E453" s="6">
        <v>129</v>
      </c>
      <c r="F453" s="6">
        <v>83</v>
      </c>
      <c r="G453" s="6">
        <v>1438</v>
      </c>
      <c r="H453" s="6">
        <v>10</v>
      </c>
      <c r="I453" s="6" t="s">
        <v>38</v>
      </c>
      <c r="J453" s="7">
        <v>103756</v>
      </c>
      <c r="K453" s="6" t="s">
        <v>27</v>
      </c>
      <c r="L453" s="6" t="s">
        <v>24</v>
      </c>
    </row>
    <row r="454" spans="1:12" ht="23" customHeight="1">
      <c r="A454" s="5" t="s">
        <v>29</v>
      </c>
      <c r="B454" s="6">
        <v>5</v>
      </c>
      <c r="C454" s="6">
        <v>2</v>
      </c>
      <c r="D454" s="6" t="s">
        <v>30</v>
      </c>
      <c r="E454" s="6">
        <v>129</v>
      </c>
      <c r="F454" s="6">
        <v>83</v>
      </c>
      <c r="G454" s="6">
        <v>1438</v>
      </c>
      <c r="H454" s="6">
        <v>11</v>
      </c>
      <c r="I454" s="6" t="s">
        <v>39</v>
      </c>
      <c r="J454" s="7">
        <v>103756</v>
      </c>
      <c r="K454" s="6" t="s">
        <v>27</v>
      </c>
      <c r="L454" s="6" t="s">
        <v>24</v>
      </c>
    </row>
    <row r="455" spans="1:12" ht="23" customHeight="1">
      <c r="A455" s="5" t="s">
        <v>29</v>
      </c>
      <c r="B455" s="6">
        <v>5</v>
      </c>
      <c r="C455" s="6">
        <v>2</v>
      </c>
      <c r="D455" s="6" t="s">
        <v>30</v>
      </c>
      <c r="E455" s="6">
        <v>129</v>
      </c>
      <c r="F455" s="6">
        <v>83</v>
      </c>
      <c r="G455" s="6">
        <v>1438</v>
      </c>
      <c r="H455" s="6">
        <v>12</v>
      </c>
      <c r="I455" s="6" t="s">
        <v>40</v>
      </c>
      <c r="J455" s="7">
        <v>103756</v>
      </c>
      <c r="K455" s="6" t="s">
        <v>27</v>
      </c>
      <c r="L455" s="6" t="s">
        <v>24</v>
      </c>
    </row>
    <row r="456" spans="1:12" ht="23" customHeight="1">
      <c r="A456" s="5" t="s">
        <v>29</v>
      </c>
      <c r="B456" s="6">
        <v>5</v>
      </c>
      <c r="C456" s="6">
        <v>2</v>
      </c>
      <c r="D456" s="6" t="s">
        <v>30</v>
      </c>
      <c r="E456" s="6">
        <v>129</v>
      </c>
      <c r="F456" s="6">
        <v>83</v>
      </c>
      <c r="G456" s="6">
        <v>1438</v>
      </c>
      <c r="H456" s="6">
        <v>13</v>
      </c>
      <c r="I456" s="6" t="s">
        <v>41</v>
      </c>
      <c r="J456" s="7">
        <v>103756</v>
      </c>
      <c r="K456" s="6" t="s">
        <v>27</v>
      </c>
      <c r="L456" s="6" t="s">
        <v>24</v>
      </c>
    </row>
    <row r="457" spans="1:12" ht="23" customHeight="1">
      <c r="A457" s="5" t="s">
        <v>29</v>
      </c>
      <c r="B457" s="6">
        <v>5</v>
      </c>
      <c r="C457" s="6">
        <v>2</v>
      </c>
      <c r="D457" s="6" t="s">
        <v>30</v>
      </c>
      <c r="E457" s="6">
        <v>130</v>
      </c>
      <c r="F457" s="6">
        <v>84</v>
      </c>
      <c r="G457" s="6">
        <v>1439</v>
      </c>
      <c r="H457" s="6">
        <v>4</v>
      </c>
      <c r="I457" s="6" t="s">
        <v>31</v>
      </c>
      <c r="J457" s="7">
        <v>148838</v>
      </c>
      <c r="K457" s="6" t="s">
        <v>27</v>
      </c>
      <c r="L457" s="6" t="s">
        <v>24</v>
      </c>
    </row>
    <row r="458" spans="1:12" ht="23" customHeight="1">
      <c r="A458" s="5" t="s">
        <v>29</v>
      </c>
      <c r="B458" s="6">
        <v>5</v>
      </c>
      <c r="C458" s="6">
        <v>2</v>
      </c>
      <c r="D458" s="6" t="s">
        <v>30</v>
      </c>
      <c r="E458" s="6">
        <v>130</v>
      </c>
      <c r="F458" s="6">
        <v>84</v>
      </c>
      <c r="G458" s="6">
        <v>1439</v>
      </c>
      <c r="H458" s="6">
        <v>5</v>
      </c>
      <c r="I458" s="6" t="s">
        <v>32</v>
      </c>
      <c r="J458" s="7">
        <v>1542</v>
      </c>
      <c r="K458" s="6" t="s">
        <v>33</v>
      </c>
      <c r="L458" s="6" t="s">
        <v>24</v>
      </c>
    </row>
    <row r="459" spans="1:12" ht="23" customHeight="1">
      <c r="A459" s="5" t="s">
        <v>29</v>
      </c>
      <c r="B459" s="6">
        <v>5</v>
      </c>
      <c r="C459" s="6">
        <v>2</v>
      </c>
      <c r="D459" s="6" t="s">
        <v>30</v>
      </c>
      <c r="E459" s="6">
        <v>130</v>
      </c>
      <c r="F459" s="6">
        <v>84</v>
      </c>
      <c r="G459" s="6">
        <v>1439</v>
      </c>
      <c r="H459" s="6">
        <v>6</v>
      </c>
      <c r="I459" s="6" t="s">
        <v>34</v>
      </c>
      <c r="J459" s="7">
        <v>1542</v>
      </c>
      <c r="K459" s="6" t="s">
        <v>33</v>
      </c>
      <c r="L459" s="6" t="s">
        <v>24</v>
      </c>
    </row>
    <row r="460" spans="1:12" ht="23" customHeight="1">
      <c r="A460" s="5" t="s">
        <v>29</v>
      </c>
      <c r="B460" s="6">
        <v>5</v>
      </c>
      <c r="C460" s="6">
        <v>2</v>
      </c>
      <c r="D460" s="6" t="s">
        <v>30</v>
      </c>
      <c r="E460" s="6">
        <v>130</v>
      </c>
      <c r="F460" s="6">
        <v>84</v>
      </c>
      <c r="G460" s="6">
        <v>1439</v>
      </c>
      <c r="H460" s="6">
        <v>7</v>
      </c>
      <c r="I460" s="6" t="s">
        <v>35</v>
      </c>
      <c r="J460" s="7">
        <v>148838</v>
      </c>
      <c r="K460" s="6" t="s">
        <v>27</v>
      </c>
      <c r="L460" s="6" t="s">
        <v>24</v>
      </c>
    </row>
    <row r="461" spans="1:12" ht="23" customHeight="1">
      <c r="A461" s="5" t="s">
        <v>29</v>
      </c>
      <c r="B461" s="6">
        <v>5</v>
      </c>
      <c r="C461" s="6">
        <v>2</v>
      </c>
      <c r="D461" s="6" t="s">
        <v>30</v>
      </c>
      <c r="E461" s="6">
        <v>130</v>
      </c>
      <c r="F461" s="6">
        <v>84</v>
      </c>
      <c r="G461" s="6">
        <v>1439</v>
      </c>
      <c r="H461" s="6">
        <v>8</v>
      </c>
      <c r="I461" s="6" t="s">
        <v>36</v>
      </c>
      <c r="J461" s="7">
        <v>1542</v>
      </c>
      <c r="K461" s="6" t="s">
        <v>33</v>
      </c>
      <c r="L461" s="6" t="s">
        <v>24</v>
      </c>
    </row>
    <row r="462" spans="1:12" ht="23" customHeight="1">
      <c r="A462" s="5" t="s">
        <v>29</v>
      </c>
      <c r="B462" s="6">
        <v>5</v>
      </c>
      <c r="C462" s="6">
        <v>2</v>
      </c>
      <c r="D462" s="6" t="s">
        <v>30</v>
      </c>
      <c r="E462" s="6">
        <v>130</v>
      </c>
      <c r="F462" s="6">
        <v>84</v>
      </c>
      <c r="G462" s="6">
        <v>1439</v>
      </c>
      <c r="H462" s="6">
        <v>9</v>
      </c>
      <c r="I462" s="6" t="s">
        <v>37</v>
      </c>
      <c r="J462" s="7">
        <v>1542</v>
      </c>
      <c r="K462" s="6" t="s">
        <v>33</v>
      </c>
      <c r="L462" s="6" t="s">
        <v>24</v>
      </c>
    </row>
    <row r="463" spans="1:12" ht="23" customHeight="1">
      <c r="A463" s="5" t="s">
        <v>29</v>
      </c>
      <c r="B463" s="6">
        <v>5</v>
      </c>
      <c r="C463" s="6">
        <v>2</v>
      </c>
      <c r="D463" s="6" t="s">
        <v>30</v>
      </c>
      <c r="E463" s="6">
        <v>130</v>
      </c>
      <c r="F463" s="6">
        <v>84</v>
      </c>
      <c r="G463" s="6">
        <v>1439</v>
      </c>
      <c r="H463" s="6">
        <v>10</v>
      </c>
      <c r="I463" s="6" t="s">
        <v>38</v>
      </c>
      <c r="J463" s="7">
        <v>148838</v>
      </c>
      <c r="K463" s="6" t="s">
        <v>27</v>
      </c>
      <c r="L463" s="6" t="s">
        <v>24</v>
      </c>
    </row>
    <row r="464" spans="1:12" ht="23" customHeight="1">
      <c r="A464" s="5" t="s">
        <v>29</v>
      </c>
      <c r="B464" s="6">
        <v>5</v>
      </c>
      <c r="C464" s="6">
        <v>2</v>
      </c>
      <c r="D464" s="6" t="s">
        <v>30</v>
      </c>
      <c r="E464" s="6">
        <v>130</v>
      </c>
      <c r="F464" s="6">
        <v>84</v>
      </c>
      <c r="G464" s="6">
        <v>1439</v>
      </c>
      <c r="H464" s="6">
        <v>11</v>
      </c>
      <c r="I464" s="6" t="s">
        <v>39</v>
      </c>
      <c r="J464" s="7">
        <v>148838</v>
      </c>
      <c r="K464" s="6" t="s">
        <v>27</v>
      </c>
      <c r="L464" s="6" t="s">
        <v>24</v>
      </c>
    </row>
    <row r="465" spans="1:12" ht="23" customHeight="1">
      <c r="A465" s="5" t="s">
        <v>29</v>
      </c>
      <c r="B465" s="6">
        <v>5</v>
      </c>
      <c r="C465" s="6">
        <v>2</v>
      </c>
      <c r="D465" s="6" t="s">
        <v>30</v>
      </c>
      <c r="E465" s="6">
        <v>130</v>
      </c>
      <c r="F465" s="6">
        <v>84</v>
      </c>
      <c r="G465" s="6">
        <v>1439</v>
      </c>
      <c r="H465" s="6">
        <v>12</v>
      </c>
      <c r="I465" s="6" t="s">
        <v>40</v>
      </c>
      <c r="J465" s="7">
        <v>148838</v>
      </c>
      <c r="K465" s="6" t="s">
        <v>27</v>
      </c>
      <c r="L465" s="6" t="s">
        <v>24</v>
      </c>
    </row>
    <row r="466" spans="1:12" ht="23" customHeight="1">
      <c r="A466" s="5" t="s">
        <v>29</v>
      </c>
      <c r="B466" s="6">
        <v>5</v>
      </c>
      <c r="C466" s="6">
        <v>2</v>
      </c>
      <c r="D466" s="6" t="s">
        <v>30</v>
      </c>
      <c r="E466" s="6">
        <v>130</v>
      </c>
      <c r="F466" s="6">
        <v>84</v>
      </c>
      <c r="G466" s="6">
        <v>1439</v>
      </c>
      <c r="H466" s="6">
        <v>13</v>
      </c>
      <c r="I466" s="6" t="s">
        <v>41</v>
      </c>
      <c r="J466" s="7">
        <v>148838</v>
      </c>
      <c r="K466" s="6" t="s">
        <v>27</v>
      </c>
      <c r="L466" s="6" t="s">
        <v>24</v>
      </c>
    </row>
    <row r="467" spans="1:12" ht="23" customHeight="1">
      <c r="A467" s="5" t="s">
        <v>29</v>
      </c>
      <c r="B467" s="6">
        <v>5</v>
      </c>
      <c r="C467" s="6">
        <v>2</v>
      </c>
      <c r="D467" s="6" t="s">
        <v>30</v>
      </c>
      <c r="E467" s="6">
        <v>131</v>
      </c>
      <c r="F467" s="6">
        <v>85</v>
      </c>
      <c r="G467" s="6">
        <v>1440</v>
      </c>
      <c r="H467" s="6">
        <v>4</v>
      </c>
      <c r="I467" s="6" t="s">
        <v>31</v>
      </c>
      <c r="J467" s="7">
        <v>145626</v>
      </c>
      <c r="K467" s="6" t="s">
        <v>27</v>
      </c>
      <c r="L467" s="6" t="s">
        <v>24</v>
      </c>
    </row>
    <row r="468" spans="1:12" ht="23" customHeight="1">
      <c r="A468" s="5" t="s">
        <v>29</v>
      </c>
      <c r="B468" s="6">
        <v>5</v>
      </c>
      <c r="C468" s="6">
        <v>2</v>
      </c>
      <c r="D468" s="6" t="s">
        <v>30</v>
      </c>
      <c r="E468" s="6">
        <v>131</v>
      </c>
      <c r="F468" s="6">
        <v>85</v>
      </c>
      <c r="G468" s="6">
        <v>1440</v>
      </c>
      <c r="H468" s="6">
        <v>5</v>
      </c>
      <c r="I468" s="6" t="s">
        <v>32</v>
      </c>
      <c r="J468" s="7">
        <v>1835</v>
      </c>
      <c r="K468" s="6" t="s">
        <v>33</v>
      </c>
      <c r="L468" s="6" t="s">
        <v>24</v>
      </c>
    </row>
    <row r="469" spans="1:12" ht="23" customHeight="1">
      <c r="A469" s="5" t="s">
        <v>29</v>
      </c>
      <c r="B469" s="6">
        <v>5</v>
      </c>
      <c r="C469" s="6">
        <v>2</v>
      </c>
      <c r="D469" s="6" t="s">
        <v>30</v>
      </c>
      <c r="E469" s="6">
        <v>131</v>
      </c>
      <c r="F469" s="6">
        <v>85</v>
      </c>
      <c r="G469" s="6">
        <v>1440</v>
      </c>
      <c r="H469" s="6">
        <v>6</v>
      </c>
      <c r="I469" s="6" t="s">
        <v>34</v>
      </c>
      <c r="J469" s="7">
        <v>1835</v>
      </c>
      <c r="K469" s="6" t="s">
        <v>33</v>
      </c>
      <c r="L469" s="6" t="s">
        <v>24</v>
      </c>
    </row>
    <row r="470" spans="1:12" ht="23" customHeight="1">
      <c r="A470" s="5" t="s">
        <v>29</v>
      </c>
      <c r="B470" s="6">
        <v>5</v>
      </c>
      <c r="C470" s="6">
        <v>2</v>
      </c>
      <c r="D470" s="6" t="s">
        <v>30</v>
      </c>
      <c r="E470" s="6">
        <v>131</v>
      </c>
      <c r="F470" s="6">
        <v>85</v>
      </c>
      <c r="G470" s="6">
        <v>1440</v>
      </c>
      <c r="H470" s="6">
        <v>7</v>
      </c>
      <c r="I470" s="6" t="s">
        <v>35</v>
      </c>
      <c r="J470" s="7">
        <v>145626</v>
      </c>
      <c r="K470" s="6" t="s">
        <v>27</v>
      </c>
      <c r="L470" s="6" t="s">
        <v>24</v>
      </c>
    </row>
    <row r="471" spans="1:12" ht="23" customHeight="1">
      <c r="A471" s="5" t="s">
        <v>29</v>
      </c>
      <c r="B471" s="6">
        <v>5</v>
      </c>
      <c r="C471" s="6">
        <v>2</v>
      </c>
      <c r="D471" s="6" t="s">
        <v>30</v>
      </c>
      <c r="E471" s="6">
        <v>131</v>
      </c>
      <c r="F471" s="6">
        <v>85</v>
      </c>
      <c r="G471" s="6">
        <v>1440</v>
      </c>
      <c r="H471" s="6">
        <v>8</v>
      </c>
      <c r="I471" s="6" t="s">
        <v>36</v>
      </c>
      <c r="J471" s="7">
        <v>1835</v>
      </c>
      <c r="K471" s="6" t="s">
        <v>33</v>
      </c>
      <c r="L471" s="6" t="s">
        <v>24</v>
      </c>
    </row>
    <row r="472" spans="1:12" ht="23" customHeight="1">
      <c r="A472" s="5" t="s">
        <v>29</v>
      </c>
      <c r="B472" s="6">
        <v>5</v>
      </c>
      <c r="C472" s="6">
        <v>2</v>
      </c>
      <c r="D472" s="6" t="s">
        <v>30</v>
      </c>
      <c r="E472" s="6">
        <v>131</v>
      </c>
      <c r="F472" s="6">
        <v>85</v>
      </c>
      <c r="G472" s="6">
        <v>1440</v>
      </c>
      <c r="H472" s="6">
        <v>9</v>
      </c>
      <c r="I472" s="6" t="s">
        <v>37</v>
      </c>
      <c r="J472" s="7">
        <v>1835</v>
      </c>
      <c r="K472" s="6" t="s">
        <v>33</v>
      </c>
      <c r="L472" s="6" t="s">
        <v>24</v>
      </c>
    </row>
    <row r="473" spans="1:12" ht="23" customHeight="1">
      <c r="A473" s="5" t="s">
        <v>29</v>
      </c>
      <c r="B473" s="6">
        <v>5</v>
      </c>
      <c r="C473" s="6">
        <v>2</v>
      </c>
      <c r="D473" s="6" t="s">
        <v>30</v>
      </c>
      <c r="E473" s="6">
        <v>131</v>
      </c>
      <c r="F473" s="6">
        <v>85</v>
      </c>
      <c r="G473" s="6">
        <v>1440</v>
      </c>
      <c r="H473" s="6">
        <v>10</v>
      </c>
      <c r="I473" s="6" t="s">
        <v>38</v>
      </c>
      <c r="J473" s="7">
        <v>145626</v>
      </c>
      <c r="K473" s="6" t="s">
        <v>27</v>
      </c>
      <c r="L473" s="6" t="s">
        <v>24</v>
      </c>
    </row>
    <row r="474" spans="1:12" ht="23" customHeight="1">
      <c r="A474" s="5" t="s">
        <v>29</v>
      </c>
      <c r="B474" s="6">
        <v>5</v>
      </c>
      <c r="C474" s="6">
        <v>2</v>
      </c>
      <c r="D474" s="6" t="s">
        <v>30</v>
      </c>
      <c r="E474" s="6">
        <v>131</v>
      </c>
      <c r="F474" s="6">
        <v>85</v>
      </c>
      <c r="G474" s="6">
        <v>1440</v>
      </c>
      <c r="H474" s="6">
        <v>11</v>
      </c>
      <c r="I474" s="6" t="s">
        <v>39</v>
      </c>
      <c r="J474" s="7">
        <v>145626</v>
      </c>
      <c r="K474" s="6" t="s">
        <v>27</v>
      </c>
      <c r="L474" s="6" t="s">
        <v>24</v>
      </c>
    </row>
    <row r="475" spans="1:12" ht="23" customHeight="1">
      <c r="A475" s="5" t="s">
        <v>29</v>
      </c>
      <c r="B475" s="6">
        <v>5</v>
      </c>
      <c r="C475" s="6">
        <v>2</v>
      </c>
      <c r="D475" s="6" t="s">
        <v>30</v>
      </c>
      <c r="E475" s="6">
        <v>131</v>
      </c>
      <c r="F475" s="6">
        <v>85</v>
      </c>
      <c r="G475" s="6">
        <v>1440</v>
      </c>
      <c r="H475" s="6">
        <v>12</v>
      </c>
      <c r="I475" s="6" t="s">
        <v>40</v>
      </c>
      <c r="J475" s="7">
        <v>145626</v>
      </c>
      <c r="K475" s="6" t="s">
        <v>27</v>
      </c>
      <c r="L475" s="6" t="s">
        <v>24</v>
      </c>
    </row>
    <row r="476" spans="1:12" ht="23" customHeight="1">
      <c r="A476" s="5" t="s">
        <v>29</v>
      </c>
      <c r="B476" s="6">
        <v>5</v>
      </c>
      <c r="C476" s="6">
        <v>2</v>
      </c>
      <c r="D476" s="6" t="s">
        <v>30</v>
      </c>
      <c r="E476" s="6">
        <v>131</v>
      </c>
      <c r="F476" s="6">
        <v>85</v>
      </c>
      <c r="G476" s="6">
        <v>1440</v>
      </c>
      <c r="H476" s="6">
        <v>13</v>
      </c>
      <c r="I476" s="6" t="s">
        <v>41</v>
      </c>
      <c r="J476" s="7">
        <v>145626</v>
      </c>
      <c r="K476" s="6" t="s">
        <v>27</v>
      </c>
      <c r="L476" s="6" t="s">
        <v>24</v>
      </c>
    </row>
    <row r="477" spans="1:12" ht="23" customHeight="1">
      <c r="A477" s="5" t="s">
        <v>29</v>
      </c>
      <c r="B477" s="6">
        <v>5</v>
      </c>
      <c r="C477" s="6">
        <v>2</v>
      </c>
      <c r="D477" s="6" t="s">
        <v>30</v>
      </c>
      <c r="E477" s="6">
        <v>132</v>
      </c>
      <c r="F477" s="6">
        <v>86</v>
      </c>
      <c r="G477" s="6">
        <v>1441</v>
      </c>
      <c r="H477" s="6">
        <v>4</v>
      </c>
      <c r="I477" s="6" t="s">
        <v>31</v>
      </c>
      <c r="J477" s="7">
        <v>145626</v>
      </c>
      <c r="K477" s="6" t="s">
        <v>27</v>
      </c>
      <c r="L477" s="6" t="s">
        <v>24</v>
      </c>
    </row>
    <row r="478" spans="1:12" ht="23" customHeight="1">
      <c r="A478" s="5" t="s">
        <v>29</v>
      </c>
      <c r="B478" s="6">
        <v>5</v>
      </c>
      <c r="C478" s="6">
        <v>2</v>
      </c>
      <c r="D478" s="6" t="s">
        <v>30</v>
      </c>
      <c r="E478" s="6">
        <v>132</v>
      </c>
      <c r="F478" s="6">
        <v>86</v>
      </c>
      <c r="G478" s="6">
        <v>1441</v>
      </c>
      <c r="H478" s="6">
        <v>5</v>
      </c>
      <c r="I478" s="6" t="s">
        <v>32</v>
      </c>
      <c r="J478" s="7">
        <v>1835</v>
      </c>
      <c r="K478" s="6" t="s">
        <v>33</v>
      </c>
      <c r="L478" s="6" t="s">
        <v>24</v>
      </c>
    </row>
    <row r="479" spans="1:12" ht="23" customHeight="1">
      <c r="A479" s="5" t="s">
        <v>29</v>
      </c>
      <c r="B479" s="6">
        <v>5</v>
      </c>
      <c r="C479" s="6">
        <v>2</v>
      </c>
      <c r="D479" s="6" t="s">
        <v>30</v>
      </c>
      <c r="E479" s="6">
        <v>132</v>
      </c>
      <c r="F479" s="6">
        <v>86</v>
      </c>
      <c r="G479" s="6">
        <v>1441</v>
      </c>
      <c r="H479" s="6">
        <v>6</v>
      </c>
      <c r="I479" s="6" t="s">
        <v>34</v>
      </c>
      <c r="J479" s="7">
        <v>1835</v>
      </c>
      <c r="K479" s="6" t="s">
        <v>33</v>
      </c>
      <c r="L479" s="6" t="s">
        <v>24</v>
      </c>
    </row>
    <row r="480" spans="1:12" ht="23" customHeight="1">
      <c r="A480" s="5" t="s">
        <v>29</v>
      </c>
      <c r="B480" s="6">
        <v>5</v>
      </c>
      <c r="C480" s="6">
        <v>2</v>
      </c>
      <c r="D480" s="6" t="s">
        <v>30</v>
      </c>
      <c r="E480" s="6">
        <v>132</v>
      </c>
      <c r="F480" s="6">
        <v>86</v>
      </c>
      <c r="G480" s="6">
        <v>1441</v>
      </c>
      <c r="H480" s="6">
        <v>7</v>
      </c>
      <c r="I480" s="6" t="s">
        <v>35</v>
      </c>
      <c r="J480" s="7">
        <v>145626</v>
      </c>
      <c r="K480" s="6" t="s">
        <v>27</v>
      </c>
      <c r="L480" s="6" t="s">
        <v>24</v>
      </c>
    </row>
    <row r="481" spans="1:12" ht="23" customHeight="1">
      <c r="A481" s="5" t="s">
        <v>29</v>
      </c>
      <c r="B481" s="6">
        <v>5</v>
      </c>
      <c r="C481" s="6">
        <v>2</v>
      </c>
      <c r="D481" s="6" t="s">
        <v>30</v>
      </c>
      <c r="E481" s="6">
        <v>132</v>
      </c>
      <c r="F481" s="6">
        <v>86</v>
      </c>
      <c r="G481" s="6">
        <v>1441</v>
      </c>
      <c r="H481" s="6">
        <v>8</v>
      </c>
      <c r="I481" s="6" t="s">
        <v>36</v>
      </c>
      <c r="J481" s="7">
        <v>1835</v>
      </c>
      <c r="K481" s="6" t="s">
        <v>33</v>
      </c>
      <c r="L481" s="6" t="s">
        <v>24</v>
      </c>
    </row>
    <row r="482" spans="1:12" ht="23" customHeight="1">
      <c r="A482" s="5" t="s">
        <v>29</v>
      </c>
      <c r="B482" s="6">
        <v>5</v>
      </c>
      <c r="C482" s="6">
        <v>2</v>
      </c>
      <c r="D482" s="6" t="s">
        <v>30</v>
      </c>
      <c r="E482" s="6">
        <v>132</v>
      </c>
      <c r="F482" s="6">
        <v>86</v>
      </c>
      <c r="G482" s="6">
        <v>1441</v>
      </c>
      <c r="H482" s="6">
        <v>9</v>
      </c>
      <c r="I482" s="6" t="s">
        <v>37</v>
      </c>
      <c r="J482" s="7">
        <v>1835</v>
      </c>
      <c r="K482" s="6" t="s">
        <v>33</v>
      </c>
      <c r="L482" s="6" t="s">
        <v>24</v>
      </c>
    </row>
    <row r="483" spans="1:12" ht="23" customHeight="1">
      <c r="A483" s="5" t="s">
        <v>29</v>
      </c>
      <c r="B483" s="6">
        <v>5</v>
      </c>
      <c r="C483" s="6">
        <v>2</v>
      </c>
      <c r="D483" s="6" t="s">
        <v>30</v>
      </c>
      <c r="E483" s="6">
        <v>132</v>
      </c>
      <c r="F483" s="6">
        <v>86</v>
      </c>
      <c r="G483" s="6">
        <v>1441</v>
      </c>
      <c r="H483" s="6">
        <v>10</v>
      </c>
      <c r="I483" s="6" t="s">
        <v>38</v>
      </c>
      <c r="J483" s="7">
        <v>145626</v>
      </c>
      <c r="K483" s="6" t="s">
        <v>27</v>
      </c>
      <c r="L483" s="6" t="s">
        <v>24</v>
      </c>
    </row>
    <row r="484" spans="1:12" ht="23" customHeight="1">
      <c r="A484" s="5" t="s">
        <v>29</v>
      </c>
      <c r="B484" s="6">
        <v>5</v>
      </c>
      <c r="C484" s="6">
        <v>2</v>
      </c>
      <c r="D484" s="6" t="s">
        <v>30</v>
      </c>
      <c r="E484" s="6">
        <v>132</v>
      </c>
      <c r="F484" s="6">
        <v>86</v>
      </c>
      <c r="G484" s="6">
        <v>1441</v>
      </c>
      <c r="H484" s="6">
        <v>11</v>
      </c>
      <c r="I484" s="6" t="s">
        <v>39</v>
      </c>
      <c r="J484" s="7">
        <v>145626</v>
      </c>
      <c r="K484" s="6" t="s">
        <v>27</v>
      </c>
      <c r="L484" s="6" t="s">
        <v>24</v>
      </c>
    </row>
    <row r="485" spans="1:12" ht="23" customHeight="1">
      <c r="A485" s="5" t="s">
        <v>29</v>
      </c>
      <c r="B485" s="6">
        <v>5</v>
      </c>
      <c r="C485" s="6">
        <v>2</v>
      </c>
      <c r="D485" s="6" t="s">
        <v>30</v>
      </c>
      <c r="E485" s="6">
        <v>132</v>
      </c>
      <c r="F485" s="6">
        <v>86</v>
      </c>
      <c r="G485" s="6">
        <v>1441</v>
      </c>
      <c r="H485" s="6">
        <v>12</v>
      </c>
      <c r="I485" s="6" t="s">
        <v>40</v>
      </c>
      <c r="J485" s="7">
        <v>145626</v>
      </c>
      <c r="K485" s="6" t="s">
        <v>27</v>
      </c>
      <c r="L485" s="6" t="s">
        <v>24</v>
      </c>
    </row>
    <row r="486" spans="1:12" ht="23" customHeight="1">
      <c r="A486" s="5" t="s">
        <v>29</v>
      </c>
      <c r="B486" s="6">
        <v>5</v>
      </c>
      <c r="C486" s="6">
        <v>2</v>
      </c>
      <c r="D486" s="6" t="s">
        <v>30</v>
      </c>
      <c r="E486" s="6">
        <v>132</v>
      </c>
      <c r="F486" s="6">
        <v>86</v>
      </c>
      <c r="G486" s="6">
        <v>1441</v>
      </c>
      <c r="H486" s="6">
        <v>13</v>
      </c>
      <c r="I486" s="6" t="s">
        <v>41</v>
      </c>
      <c r="J486" s="7">
        <v>145626</v>
      </c>
      <c r="K486" s="6" t="s">
        <v>27</v>
      </c>
      <c r="L486" s="6" t="s">
        <v>24</v>
      </c>
    </row>
    <row r="487" spans="1:12" ht="23" customHeight="1">
      <c r="A487" s="5" t="s">
        <v>29</v>
      </c>
      <c r="B487" s="6">
        <v>5</v>
      </c>
      <c r="C487" s="6">
        <v>2</v>
      </c>
      <c r="D487" s="6" t="s">
        <v>30</v>
      </c>
      <c r="E487" s="6">
        <v>133</v>
      </c>
      <c r="F487" s="6">
        <v>87</v>
      </c>
      <c r="G487" s="6">
        <v>1442</v>
      </c>
      <c r="H487" s="6">
        <v>4</v>
      </c>
      <c r="I487" s="6" t="s">
        <v>31</v>
      </c>
      <c r="J487" s="7">
        <v>145626</v>
      </c>
      <c r="K487" s="6" t="s">
        <v>27</v>
      </c>
      <c r="L487" s="6" t="s">
        <v>24</v>
      </c>
    </row>
    <row r="488" spans="1:12" ht="23" customHeight="1">
      <c r="A488" s="5" t="s">
        <v>29</v>
      </c>
      <c r="B488" s="6">
        <v>5</v>
      </c>
      <c r="C488" s="6">
        <v>2</v>
      </c>
      <c r="D488" s="6" t="s">
        <v>30</v>
      </c>
      <c r="E488" s="6">
        <v>133</v>
      </c>
      <c r="F488" s="6">
        <v>87</v>
      </c>
      <c r="G488" s="6">
        <v>1442</v>
      </c>
      <c r="H488" s="6">
        <v>5</v>
      </c>
      <c r="I488" s="6" t="s">
        <v>32</v>
      </c>
      <c r="J488" s="7">
        <v>1835</v>
      </c>
      <c r="K488" s="6" t="s">
        <v>33</v>
      </c>
      <c r="L488" s="6" t="s">
        <v>24</v>
      </c>
    </row>
    <row r="489" spans="1:12" ht="23" customHeight="1">
      <c r="A489" s="5" t="s">
        <v>29</v>
      </c>
      <c r="B489" s="6">
        <v>5</v>
      </c>
      <c r="C489" s="6">
        <v>2</v>
      </c>
      <c r="D489" s="6" t="s">
        <v>30</v>
      </c>
      <c r="E489" s="6">
        <v>133</v>
      </c>
      <c r="F489" s="6">
        <v>87</v>
      </c>
      <c r="G489" s="6">
        <v>1442</v>
      </c>
      <c r="H489" s="6">
        <v>6</v>
      </c>
      <c r="I489" s="6" t="s">
        <v>34</v>
      </c>
      <c r="J489" s="7">
        <v>1835</v>
      </c>
      <c r="K489" s="6" t="s">
        <v>33</v>
      </c>
      <c r="L489" s="6" t="s">
        <v>24</v>
      </c>
    </row>
    <row r="490" spans="1:12" ht="23" customHeight="1">
      <c r="A490" s="5" t="s">
        <v>29</v>
      </c>
      <c r="B490" s="6">
        <v>5</v>
      </c>
      <c r="C490" s="6">
        <v>2</v>
      </c>
      <c r="D490" s="6" t="s">
        <v>30</v>
      </c>
      <c r="E490" s="6">
        <v>133</v>
      </c>
      <c r="F490" s="6">
        <v>87</v>
      </c>
      <c r="G490" s="6">
        <v>1442</v>
      </c>
      <c r="H490" s="6">
        <v>7</v>
      </c>
      <c r="I490" s="6" t="s">
        <v>35</v>
      </c>
      <c r="J490" s="7">
        <v>145626</v>
      </c>
      <c r="K490" s="6" t="s">
        <v>27</v>
      </c>
      <c r="L490" s="6" t="s">
        <v>24</v>
      </c>
    </row>
    <row r="491" spans="1:12" ht="23" customHeight="1">
      <c r="A491" s="5" t="s">
        <v>29</v>
      </c>
      <c r="B491" s="6">
        <v>5</v>
      </c>
      <c r="C491" s="6">
        <v>2</v>
      </c>
      <c r="D491" s="6" t="s">
        <v>30</v>
      </c>
      <c r="E491" s="6">
        <v>133</v>
      </c>
      <c r="F491" s="6">
        <v>87</v>
      </c>
      <c r="G491" s="6">
        <v>1442</v>
      </c>
      <c r="H491" s="6">
        <v>8</v>
      </c>
      <c r="I491" s="6" t="s">
        <v>36</v>
      </c>
      <c r="J491" s="7">
        <v>1835</v>
      </c>
      <c r="K491" s="6" t="s">
        <v>33</v>
      </c>
      <c r="L491" s="6" t="s">
        <v>24</v>
      </c>
    </row>
    <row r="492" spans="1:12" ht="23" customHeight="1">
      <c r="A492" s="5" t="s">
        <v>29</v>
      </c>
      <c r="B492" s="6">
        <v>5</v>
      </c>
      <c r="C492" s="6">
        <v>2</v>
      </c>
      <c r="D492" s="6" t="s">
        <v>30</v>
      </c>
      <c r="E492" s="6">
        <v>133</v>
      </c>
      <c r="F492" s="6">
        <v>87</v>
      </c>
      <c r="G492" s="6">
        <v>1442</v>
      </c>
      <c r="H492" s="6">
        <v>9</v>
      </c>
      <c r="I492" s="6" t="s">
        <v>37</v>
      </c>
      <c r="J492" s="7">
        <v>1835</v>
      </c>
      <c r="K492" s="6" t="s">
        <v>33</v>
      </c>
      <c r="L492" s="6" t="s">
        <v>24</v>
      </c>
    </row>
    <row r="493" spans="1:12" ht="23" customHeight="1">
      <c r="A493" s="5" t="s">
        <v>29</v>
      </c>
      <c r="B493" s="6">
        <v>5</v>
      </c>
      <c r="C493" s="6">
        <v>2</v>
      </c>
      <c r="D493" s="6" t="s">
        <v>30</v>
      </c>
      <c r="E493" s="6">
        <v>133</v>
      </c>
      <c r="F493" s="6">
        <v>87</v>
      </c>
      <c r="G493" s="6">
        <v>1442</v>
      </c>
      <c r="H493" s="6">
        <v>10</v>
      </c>
      <c r="I493" s="6" t="s">
        <v>38</v>
      </c>
      <c r="J493" s="7">
        <v>145626</v>
      </c>
      <c r="K493" s="6" t="s">
        <v>27</v>
      </c>
      <c r="L493" s="6" t="s">
        <v>24</v>
      </c>
    </row>
    <row r="494" spans="1:12" ht="23" customHeight="1">
      <c r="A494" s="5" t="s">
        <v>29</v>
      </c>
      <c r="B494" s="6">
        <v>5</v>
      </c>
      <c r="C494" s="6">
        <v>2</v>
      </c>
      <c r="D494" s="6" t="s">
        <v>30</v>
      </c>
      <c r="E494" s="6">
        <v>133</v>
      </c>
      <c r="F494" s="6">
        <v>87</v>
      </c>
      <c r="G494" s="6">
        <v>1442</v>
      </c>
      <c r="H494" s="6">
        <v>11</v>
      </c>
      <c r="I494" s="6" t="s">
        <v>39</v>
      </c>
      <c r="J494" s="7">
        <v>145626</v>
      </c>
      <c r="K494" s="6" t="s">
        <v>27</v>
      </c>
      <c r="L494" s="6" t="s">
        <v>24</v>
      </c>
    </row>
    <row r="495" spans="1:12" ht="23" customHeight="1">
      <c r="A495" s="5" t="s">
        <v>29</v>
      </c>
      <c r="B495" s="6">
        <v>5</v>
      </c>
      <c r="C495" s="6">
        <v>2</v>
      </c>
      <c r="D495" s="6" t="s">
        <v>30</v>
      </c>
      <c r="E495" s="6">
        <v>133</v>
      </c>
      <c r="F495" s="6">
        <v>87</v>
      </c>
      <c r="G495" s="6">
        <v>1442</v>
      </c>
      <c r="H495" s="6">
        <v>12</v>
      </c>
      <c r="I495" s="6" t="s">
        <v>40</v>
      </c>
      <c r="J495" s="7">
        <v>145626</v>
      </c>
      <c r="K495" s="6" t="s">
        <v>27</v>
      </c>
      <c r="L495" s="6" t="s">
        <v>24</v>
      </c>
    </row>
    <row r="496" spans="1:12" ht="23" customHeight="1">
      <c r="A496" s="5" t="s">
        <v>29</v>
      </c>
      <c r="B496" s="6">
        <v>5</v>
      </c>
      <c r="C496" s="6">
        <v>2</v>
      </c>
      <c r="D496" s="6" t="s">
        <v>30</v>
      </c>
      <c r="E496" s="6">
        <v>133</v>
      </c>
      <c r="F496" s="6">
        <v>87</v>
      </c>
      <c r="G496" s="6">
        <v>1442</v>
      </c>
      <c r="H496" s="6">
        <v>13</v>
      </c>
      <c r="I496" s="6" t="s">
        <v>41</v>
      </c>
      <c r="J496" s="7">
        <v>145626</v>
      </c>
      <c r="K496" s="6" t="s">
        <v>27</v>
      </c>
      <c r="L496" s="6" t="s">
        <v>24</v>
      </c>
    </row>
    <row r="497" spans="1:12" ht="23" customHeight="1">
      <c r="A497" s="5" t="s">
        <v>29</v>
      </c>
      <c r="B497" s="6">
        <v>5</v>
      </c>
      <c r="C497" s="6">
        <v>2</v>
      </c>
      <c r="D497" s="6" t="s">
        <v>30</v>
      </c>
      <c r="E497" s="6">
        <v>134</v>
      </c>
      <c r="F497" s="6">
        <v>88</v>
      </c>
      <c r="G497" s="6">
        <v>1443</v>
      </c>
      <c r="H497" s="6">
        <v>4</v>
      </c>
      <c r="I497" s="6" t="s">
        <v>31</v>
      </c>
      <c r="J497" s="7">
        <v>145626</v>
      </c>
      <c r="K497" s="6" t="s">
        <v>27</v>
      </c>
      <c r="L497" s="6" t="s">
        <v>24</v>
      </c>
    </row>
    <row r="498" spans="1:12" ht="23" customHeight="1">
      <c r="A498" s="5" t="s">
        <v>29</v>
      </c>
      <c r="B498" s="6">
        <v>5</v>
      </c>
      <c r="C498" s="6">
        <v>2</v>
      </c>
      <c r="D498" s="6" t="s">
        <v>30</v>
      </c>
      <c r="E498" s="6">
        <v>134</v>
      </c>
      <c r="F498" s="6">
        <v>88</v>
      </c>
      <c r="G498" s="6">
        <v>1443</v>
      </c>
      <c r="H498" s="6">
        <v>5</v>
      </c>
      <c r="I498" s="6" t="s">
        <v>32</v>
      </c>
      <c r="J498" s="7">
        <v>1835</v>
      </c>
      <c r="K498" s="6" t="s">
        <v>33</v>
      </c>
      <c r="L498" s="6" t="s">
        <v>24</v>
      </c>
    </row>
    <row r="499" spans="1:12" ht="23" customHeight="1">
      <c r="A499" s="5" t="s">
        <v>29</v>
      </c>
      <c r="B499" s="6">
        <v>5</v>
      </c>
      <c r="C499" s="6">
        <v>2</v>
      </c>
      <c r="D499" s="6" t="s">
        <v>30</v>
      </c>
      <c r="E499" s="6">
        <v>134</v>
      </c>
      <c r="F499" s="6">
        <v>88</v>
      </c>
      <c r="G499" s="6">
        <v>1443</v>
      </c>
      <c r="H499" s="6">
        <v>6</v>
      </c>
      <c r="I499" s="6" t="s">
        <v>34</v>
      </c>
      <c r="J499" s="7">
        <v>1835</v>
      </c>
      <c r="K499" s="6" t="s">
        <v>33</v>
      </c>
      <c r="L499" s="6" t="s">
        <v>24</v>
      </c>
    </row>
    <row r="500" spans="1:12" ht="23" customHeight="1">
      <c r="A500" s="5" t="s">
        <v>29</v>
      </c>
      <c r="B500" s="6">
        <v>5</v>
      </c>
      <c r="C500" s="6">
        <v>2</v>
      </c>
      <c r="D500" s="6" t="s">
        <v>30</v>
      </c>
      <c r="E500" s="6">
        <v>134</v>
      </c>
      <c r="F500" s="6">
        <v>88</v>
      </c>
      <c r="G500" s="6">
        <v>1443</v>
      </c>
      <c r="H500" s="6">
        <v>7</v>
      </c>
      <c r="I500" s="6" t="s">
        <v>35</v>
      </c>
      <c r="J500" s="7">
        <v>145626</v>
      </c>
      <c r="K500" s="6" t="s">
        <v>27</v>
      </c>
      <c r="L500" s="6" t="s">
        <v>24</v>
      </c>
    </row>
    <row r="501" spans="1:12" ht="23" customHeight="1">
      <c r="A501" s="5" t="s">
        <v>29</v>
      </c>
      <c r="B501" s="6">
        <v>5</v>
      </c>
      <c r="C501" s="6">
        <v>2</v>
      </c>
      <c r="D501" s="6" t="s">
        <v>30</v>
      </c>
      <c r="E501" s="6">
        <v>134</v>
      </c>
      <c r="F501" s="6">
        <v>88</v>
      </c>
      <c r="G501" s="6">
        <v>1443</v>
      </c>
      <c r="H501" s="6">
        <v>8</v>
      </c>
      <c r="I501" s="6" t="s">
        <v>36</v>
      </c>
      <c r="J501" s="7">
        <v>1835</v>
      </c>
      <c r="K501" s="6" t="s">
        <v>33</v>
      </c>
      <c r="L501" s="6" t="s">
        <v>24</v>
      </c>
    </row>
    <row r="502" spans="1:12" ht="23" customHeight="1">
      <c r="A502" s="5" t="s">
        <v>29</v>
      </c>
      <c r="B502" s="6">
        <v>5</v>
      </c>
      <c r="C502" s="6">
        <v>2</v>
      </c>
      <c r="D502" s="6" t="s">
        <v>30</v>
      </c>
      <c r="E502" s="6">
        <v>134</v>
      </c>
      <c r="F502" s="6">
        <v>88</v>
      </c>
      <c r="G502" s="6">
        <v>1443</v>
      </c>
      <c r="H502" s="6">
        <v>9</v>
      </c>
      <c r="I502" s="6" t="s">
        <v>37</v>
      </c>
      <c r="J502" s="7">
        <v>1835</v>
      </c>
      <c r="K502" s="6" t="s">
        <v>33</v>
      </c>
      <c r="L502" s="6" t="s">
        <v>24</v>
      </c>
    </row>
    <row r="503" spans="1:12" ht="23" customHeight="1">
      <c r="A503" s="5" t="s">
        <v>29</v>
      </c>
      <c r="B503" s="6">
        <v>5</v>
      </c>
      <c r="C503" s="6">
        <v>2</v>
      </c>
      <c r="D503" s="6" t="s">
        <v>30</v>
      </c>
      <c r="E503" s="6">
        <v>134</v>
      </c>
      <c r="F503" s="6">
        <v>88</v>
      </c>
      <c r="G503" s="6">
        <v>1443</v>
      </c>
      <c r="H503" s="6">
        <v>10</v>
      </c>
      <c r="I503" s="6" t="s">
        <v>38</v>
      </c>
      <c r="J503" s="7">
        <v>145626</v>
      </c>
      <c r="K503" s="6" t="s">
        <v>27</v>
      </c>
      <c r="L503" s="6" t="s">
        <v>24</v>
      </c>
    </row>
    <row r="504" spans="1:12" ht="23" customHeight="1">
      <c r="A504" s="5" t="s">
        <v>29</v>
      </c>
      <c r="B504" s="6">
        <v>5</v>
      </c>
      <c r="C504" s="6">
        <v>2</v>
      </c>
      <c r="D504" s="6" t="s">
        <v>30</v>
      </c>
      <c r="E504" s="6">
        <v>134</v>
      </c>
      <c r="F504" s="6">
        <v>88</v>
      </c>
      <c r="G504" s="6">
        <v>1443</v>
      </c>
      <c r="H504" s="6">
        <v>11</v>
      </c>
      <c r="I504" s="6" t="s">
        <v>39</v>
      </c>
      <c r="J504" s="7">
        <v>145626</v>
      </c>
      <c r="K504" s="6" t="s">
        <v>27</v>
      </c>
      <c r="L504" s="6" t="s">
        <v>24</v>
      </c>
    </row>
    <row r="505" spans="1:12" ht="23" customHeight="1">
      <c r="A505" s="5" t="s">
        <v>29</v>
      </c>
      <c r="B505" s="6">
        <v>5</v>
      </c>
      <c r="C505" s="6">
        <v>2</v>
      </c>
      <c r="D505" s="6" t="s">
        <v>30</v>
      </c>
      <c r="E505" s="6">
        <v>134</v>
      </c>
      <c r="F505" s="6">
        <v>88</v>
      </c>
      <c r="G505" s="6">
        <v>1443</v>
      </c>
      <c r="H505" s="6">
        <v>12</v>
      </c>
      <c r="I505" s="6" t="s">
        <v>40</v>
      </c>
      <c r="J505" s="7">
        <v>145626</v>
      </c>
      <c r="K505" s="6" t="s">
        <v>27</v>
      </c>
      <c r="L505" s="6" t="s">
        <v>24</v>
      </c>
    </row>
    <row r="506" spans="1:12" ht="23" customHeight="1">
      <c r="A506" s="5" t="s">
        <v>29</v>
      </c>
      <c r="B506" s="6">
        <v>5</v>
      </c>
      <c r="C506" s="6">
        <v>2</v>
      </c>
      <c r="D506" s="6" t="s">
        <v>30</v>
      </c>
      <c r="E506" s="6">
        <v>134</v>
      </c>
      <c r="F506" s="6">
        <v>88</v>
      </c>
      <c r="G506" s="6">
        <v>1443</v>
      </c>
      <c r="H506" s="6">
        <v>13</v>
      </c>
      <c r="I506" s="6" t="s">
        <v>41</v>
      </c>
      <c r="J506" s="7">
        <v>145626</v>
      </c>
      <c r="K506" s="6" t="s">
        <v>27</v>
      </c>
      <c r="L506" s="6" t="s">
        <v>24</v>
      </c>
    </row>
    <row r="507" spans="1:12" ht="23" customHeight="1">
      <c r="A507" s="5" t="s">
        <v>29</v>
      </c>
      <c r="B507" s="6">
        <v>5</v>
      </c>
      <c r="C507" s="6">
        <v>2</v>
      </c>
      <c r="D507" s="6" t="s">
        <v>30</v>
      </c>
      <c r="E507" s="6">
        <v>135</v>
      </c>
      <c r="F507" s="6">
        <v>89</v>
      </c>
      <c r="G507" s="6">
        <v>1444</v>
      </c>
      <c r="H507" s="6">
        <v>4</v>
      </c>
      <c r="I507" s="6" t="s">
        <v>31</v>
      </c>
      <c r="J507" s="7">
        <v>145626</v>
      </c>
      <c r="K507" s="6" t="s">
        <v>27</v>
      </c>
      <c r="L507" s="6" t="s">
        <v>24</v>
      </c>
    </row>
    <row r="508" spans="1:12" ht="23" customHeight="1">
      <c r="A508" s="5" t="s">
        <v>29</v>
      </c>
      <c r="B508" s="6">
        <v>5</v>
      </c>
      <c r="C508" s="6">
        <v>2</v>
      </c>
      <c r="D508" s="6" t="s">
        <v>30</v>
      </c>
      <c r="E508" s="6">
        <v>135</v>
      </c>
      <c r="F508" s="6">
        <v>89</v>
      </c>
      <c r="G508" s="6">
        <v>1444</v>
      </c>
      <c r="H508" s="6">
        <v>5</v>
      </c>
      <c r="I508" s="6" t="s">
        <v>32</v>
      </c>
      <c r="J508" s="7">
        <v>1835</v>
      </c>
      <c r="K508" s="6" t="s">
        <v>33</v>
      </c>
      <c r="L508" s="6" t="s">
        <v>24</v>
      </c>
    </row>
    <row r="509" spans="1:12" ht="23" customHeight="1">
      <c r="A509" s="5" t="s">
        <v>29</v>
      </c>
      <c r="B509" s="6">
        <v>5</v>
      </c>
      <c r="C509" s="6">
        <v>2</v>
      </c>
      <c r="D509" s="6" t="s">
        <v>30</v>
      </c>
      <c r="E509" s="6">
        <v>135</v>
      </c>
      <c r="F509" s="6">
        <v>89</v>
      </c>
      <c r="G509" s="6">
        <v>1444</v>
      </c>
      <c r="H509" s="6">
        <v>6</v>
      </c>
      <c r="I509" s="6" t="s">
        <v>34</v>
      </c>
      <c r="J509" s="7">
        <v>1835</v>
      </c>
      <c r="K509" s="6" t="s">
        <v>33</v>
      </c>
      <c r="L509" s="6" t="s">
        <v>24</v>
      </c>
    </row>
    <row r="510" spans="1:12" ht="23" customHeight="1">
      <c r="A510" s="5" t="s">
        <v>29</v>
      </c>
      <c r="B510" s="6">
        <v>5</v>
      </c>
      <c r="C510" s="6">
        <v>2</v>
      </c>
      <c r="D510" s="6" t="s">
        <v>30</v>
      </c>
      <c r="E510" s="6">
        <v>135</v>
      </c>
      <c r="F510" s="6">
        <v>89</v>
      </c>
      <c r="G510" s="6">
        <v>1444</v>
      </c>
      <c r="H510" s="6">
        <v>7</v>
      </c>
      <c r="I510" s="6" t="s">
        <v>35</v>
      </c>
      <c r="J510" s="7">
        <v>145626</v>
      </c>
      <c r="K510" s="6" t="s">
        <v>27</v>
      </c>
      <c r="L510" s="6" t="s">
        <v>24</v>
      </c>
    </row>
    <row r="511" spans="1:12" ht="23" customHeight="1">
      <c r="A511" s="5" t="s">
        <v>29</v>
      </c>
      <c r="B511" s="6">
        <v>5</v>
      </c>
      <c r="C511" s="6">
        <v>2</v>
      </c>
      <c r="D511" s="6" t="s">
        <v>30</v>
      </c>
      <c r="E511" s="6">
        <v>135</v>
      </c>
      <c r="F511" s="6">
        <v>89</v>
      </c>
      <c r="G511" s="6">
        <v>1444</v>
      </c>
      <c r="H511" s="6">
        <v>8</v>
      </c>
      <c r="I511" s="6" t="s">
        <v>36</v>
      </c>
      <c r="J511" s="7">
        <v>1835</v>
      </c>
      <c r="K511" s="6" t="s">
        <v>33</v>
      </c>
      <c r="L511" s="6" t="s">
        <v>24</v>
      </c>
    </row>
    <row r="512" spans="1:12" ht="23" customHeight="1">
      <c r="A512" s="5" t="s">
        <v>29</v>
      </c>
      <c r="B512" s="6">
        <v>5</v>
      </c>
      <c r="C512" s="6">
        <v>2</v>
      </c>
      <c r="D512" s="6" t="s">
        <v>30</v>
      </c>
      <c r="E512" s="6">
        <v>135</v>
      </c>
      <c r="F512" s="6">
        <v>89</v>
      </c>
      <c r="G512" s="6">
        <v>1444</v>
      </c>
      <c r="H512" s="6">
        <v>9</v>
      </c>
      <c r="I512" s="6" t="s">
        <v>37</v>
      </c>
      <c r="J512" s="7">
        <v>1835</v>
      </c>
      <c r="K512" s="6" t="s">
        <v>33</v>
      </c>
      <c r="L512" s="6" t="s">
        <v>24</v>
      </c>
    </row>
    <row r="513" spans="1:12" ht="23" customHeight="1">
      <c r="A513" s="5" t="s">
        <v>29</v>
      </c>
      <c r="B513" s="6">
        <v>5</v>
      </c>
      <c r="C513" s="6">
        <v>2</v>
      </c>
      <c r="D513" s="6" t="s">
        <v>30</v>
      </c>
      <c r="E513" s="6">
        <v>135</v>
      </c>
      <c r="F513" s="6">
        <v>89</v>
      </c>
      <c r="G513" s="6">
        <v>1444</v>
      </c>
      <c r="H513" s="6">
        <v>10</v>
      </c>
      <c r="I513" s="6" t="s">
        <v>38</v>
      </c>
      <c r="J513" s="7">
        <v>145626</v>
      </c>
      <c r="K513" s="6" t="s">
        <v>27</v>
      </c>
      <c r="L513" s="6" t="s">
        <v>24</v>
      </c>
    </row>
    <row r="514" spans="1:12" ht="23" customHeight="1">
      <c r="A514" s="5" t="s">
        <v>29</v>
      </c>
      <c r="B514" s="6">
        <v>5</v>
      </c>
      <c r="C514" s="6">
        <v>2</v>
      </c>
      <c r="D514" s="6" t="s">
        <v>30</v>
      </c>
      <c r="E514" s="6">
        <v>135</v>
      </c>
      <c r="F514" s="6">
        <v>89</v>
      </c>
      <c r="G514" s="6">
        <v>1444</v>
      </c>
      <c r="H514" s="6">
        <v>11</v>
      </c>
      <c r="I514" s="6" t="s">
        <v>39</v>
      </c>
      <c r="J514" s="7">
        <v>145626</v>
      </c>
      <c r="K514" s="6" t="s">
        <v>27</v>
      </c>
      <c r="L514" s="6" t="s">
        <v>24</v>
      </c>
    </row>
    <row r="515" spans="1:12" ht="23" customHeight="1">
      <c r="A515" s="5" t="s">
        <v>29</v>
      </c>
      <c r="B515" s="6">
        <v>5</v>
      </c>
      <c r="C515" s="6">
        <v>2</v>
      </c>
      <c r="D515" s="6" t="s">
        <v>30</v>
      </c>
      <c r="E515" s="6">
        <v>135</v>
      </c>
      <c r="F515" s="6">
        <v>89</v>
      </c>
      <c r="G515" s="6">
        <v>1444</v>
      </c>
      <c r="H515" s="6">
        <v>12</v>
      </c>
      <c r="I515" s="6" t="s">
        <v>40</v>
      </c>
      <c r="J515" s="7">
        <v>145626</v>
      </c>
      <c r="K515" s="6" t="s">
        <v>27</v>
      </c>
      <c r="L515" s="6" t="s">
        <v>24</v>
      </c>
    </row>
    <row r="516" spans="1:12" ht="23" customHeight="1">
      <c r="A516" s="5" t="s">
        <v>29</v>
      </c>
      <c r="B516" s="6">
        <v>5</v>
      </c>
      <c r="C516" s="6">
        <v>2</v>
      </c>
      <c r="D516" s="6" t="s">
        <v>30</v>
      </c>
      <c r="E516" s="6">
        <v>135</v>
      </c>
      <c r="F516" s="6">
        <v>89</v>
      </c>
      <c r="G516" s="6">
        <v>1444</v>
      </c>
      <c r="H516" s="6">
        <v>13</v>
      </c>
      <c r="I516" s="6" t="s">
        <v>41</v>
      </c>
      <c r="J516" s="7">
        <v>145626</v>
      </c>
      <c r="K516" s="6" t="s">
        <v>27</v>
      </c>
      <c r="L516" s="6" t="s">
        <v>24</v>
      </c>
    </row>
    <row r="517" spans="1:12" ht="23" customHeight="1">
      <c r="A517" s="5" t="s">
        <v>29</v>
      </c>
      <c r="B517" s="6">
        <v>5</v>
      </c>
      <c r="C517" s="6">
        <v>2</v>
      </c>
      <c r="D517" s="6" t="s">
        <v>30</v>
      </c>
      <c r="E517" s="6">
        <v>136</v>
      </c>
      <c r="F517" s="6">
        <v>90</v>
      </c>
      <c r="G517" s="6">
        <v>1445</v>
      </c>
      <c r="H517" s="6">
        <v>4</v>
      </c>
      <c r="I517" s="6" t="s">
        <v>31</v>
      </c>
      <c r="J517" s="7">
        <v>145626</v>
      </c>
      <c r="K517" s="6" t="s">
        <v>27</v>
      </c>
      <c r="L517" s="6" t="s">
        <v>24</v>
      </c>
    </row>
    <row r="518" spans="1:12" ht="23" customHeight="1">
      <c r="A518" s="5" t="s">
        <v>29</v>
      </c>
      <c r="B518" s="6">
        <v>5</v>
      </c>
      <c r="C518" s="6">
        <v>2</v>
      </c>
      <c r="D518" s="6" t="s">
        <v>30</v>
      </c>
      <c r="E518" s="6">
        <v>136</v>
      </c>
      <c r="F518" s="6">
        <v>90</v>
      </c>
      <c r="G518" s="6">
        <v>1445</v>
      </c>
      <c r="H518" s="6">
        <v>5</v>
      </c>
      <c r="I518" s="6" t="s">
        <v>32</v>
      </c>
      <c r="J518" s="7">
        <v>1835</v>
      </c>
      <c r="K518" s="6" t="s">
        <v>33</v>
      </c>
      <c r="L518" s="6" t="s">
        <v>24</v>
      </c>
    </row>
    <row r="519" spans="1:12" ht="23" customHeight="1">
      <c r="A519" s="5" t="s">
        <v>29</v>
      </c>
      <c r="B519" s="6">
        <v>5</v>
      </c>
      <c r="C519" s="6">
        <v>2</v>
      </c>
      <c r="D519" s="6" t="s">
        <v>30</v>
      </c>
      <c r="E519" s="6">
        <v>136</v>
      </c>
      <c r="F519" s="6">
        <v>90</v>
      </c>
      <c r="G519" s="6">
        <v>1445</v>
      </c>
      <c r="H519" s="6">
        <v>6</v>
      </c>
      <c r="I519" s="6" t="s">
        <v>34</v>
      </c>
      <c r="J519" s="7">
        <v>1835</v>
      </c>
      <c r="K519" s="6" t="s">
        <v>33</v>
      </c>
      <c r="L519" s="6" t="s">
        <v>24</v>
      </c>
    </row>
    <row r="520" spans="1:12" ht="23" customHeight="1">
      <c r="A520" s="5" t="s">
        <v>29</v>
      </c>
      <c r="B520" s="6">
        <v>5</v>
      </c>
      <c r="C520" s="6">
        <v>2</v>
      </c>
      <c r="D520" s="6" t="s">
        <v>30</v>
      </c>
      <c r="E520" s="6">
        <v>136</v>
      </c>
      <c r="F520" s="6">
        <v>90</v>
      </c>
      <c r="G520" s="6">
        <v>1445</v>
      </c>
      <c r="H520" s="6">
        <v>7</v>
      </c>
      <c r="I520" s="6" t="s">
        <v>35</v>
      </c>
      <c r="J520" s="7">
        <v>145626</v>
      </c>
      <c r="K520" s="6" t="s">
        <v>27</v>
      </c>
      <c r="L520" s="6" t="s">
        <v>24</v>
      </c>
    </row>
    <row r="521" spans="1:12" ht="23" customHeight="1">
      <c r="A521" s="5" t="s">
        <v>29</v>
      </c>
      <c r="B521" s="6">
        <v>5</v>
      </c>
      <c r="C521" s="6">
        <v>2</v>
      </c>
      <c r="D521" s="6" t="s">
        <v>30</v>
      </c>
      <c r="E521" s="6">
        <v>136</v>
      </c>
      <c r="F521" s="6">
        <v>90</v>
      </c>
      <c r="G521" s="6">
        <v>1445</v>
      </c>
      <c r="H521" s="6">
        <v>8</v>
      </c>
      <c r="I521" s="6" t="s">
        <v>36</v>
      </c>
      <c r="J521" s="7">
        <v>1835</v>
      </c>
      <c r="K521" s="6" t="s">
        <v>33</v>
      </c>
      <c r="L521" s="6" t="s">
        <v>24</v>
      </c>
    </row>
    <row r="522" spans="1:12" ht="23" customHeight="1">
      <c r="A522" s="5" t="s">
        <v>29</v>
      </c>
      <c r="B522" s="6">
        <v>5</v>
      </c>
      <c r="C522" s="6">
        <v>2</v>
      </c>
      <c r="D522" s="6" t="s">
        <v>30</v>
      </c>
      <c r="E522" s="6">
        <v>136</v>
      </c>
      <c r="F522" s="6">
        <v>90</v>
      </c>
      <c r="G522" s="6">
        <v>1445</v>
      </c>
      <c r="H522" s="6">
        <v>9</v>
      </c>
      <c r="I522" s="6" t="s">
        <v>37</v>
      </c>
      <c r="J522" s="7">
        <v>1835</v>
      </c>
      <c r="K522" s="6" t="s">
        <v>33</v>
      </c>
      <c r="L522" s="6" t="s">
        <v>24</v>
      </c>
    </row>
    <row r="523" spans="1:12" ht="23" customHeight="1">
      <c r="A523" s="5" t="s">
        <v>29</v>
      </c>
      <c r="B523" s="6">
        <v>5</v>
      </c>
      <c r="C523" s="6">
        <v>2</v>
      </c>
      <c r="D523" s="6" t="s">
        <v>30</v>
      </c>
      <c r="E523" s="6">
        <v>136</v>
      </c>
      <c r="F523" s="6">
        <v>90</v>
      </c>
      <c r="G523" s="6">
        <v>1445</v>
      </c>
      <c r="H523" s="6">
        <v>10</v>
      </c>
      <c r="I523" s="6" t="s">
        <v>38</v>
      </c>
      <c r="J523" s="7">
        <v>145626</v>
      </c>
      <c r="K523" s="6" t="s">
        <v>27</v>
      </c>
      <c r="L523" s="6" t="s">
        <v>24</v>
      </c>
    </row>
    <row r="524" spans="1:12" ht="23" customHeight="1">
      <c r="A524" s="5" t="s">
        <v>29</v>
      </c>
      <c r="B524" s="6">
        <v>5</v>
      </c>
      <c r="C524" s="6">
        <v>2</v>
      </c>
      <c r="D524" s="6" t="s">
        <v>30</v>
      </c>
      <c r="E524" s="6">
        <v>136</v>
      </c>
      <c r="F524" s="6">
        <v>90</v>
      </c>
      <c r="G524" s="6">
        <v>1445</v>
      </c>
      <c r="H524" s="6">
        <v>11</v>
      </c>
      <c r="I524" s="6" t="s">
        <v>39</v>
      </c>
      <c r="J524" s="7">
        <v>145626</v>
      </c>
      <c r="K524" s="6" t="s">
        <v>27</v>
      </c>
      <c r="L524" s="6" t="s">
        <v>24</v>
      </c>
    </row>
    <row r="525" spans="1:12" ht="23" customHeight="1">
      <c r="A525" s="5" t="s">
        <v>29</v>
      </c>
      <c r="B525" s="6">
        <v>5</v>
      </c>
      <c r="C525" s="6">
        <v>2</v>
      </c>
      <c r="D525" s="6" t="s">
        <v>30</v>
      </c>
      <c r="E525" s="6">
        <v>136</v>
      </c>
      <c r="F525" s="6">
        <v>90</v>
      </c>
      <c r="G525" s="6">
        <v>1445</v>
      </c>
      <c r="H525" s="6">
        <v>12</v>
      </c>
      <c r="I525" s="6" t="s">
        <v>40</v>
      </c>
      <c r="J525" s="7">
        <v>145626</v>
      </c>
      <c r="K525" s="6" t="s">
        <v>27</v>
      </c>
      <c r="L525" s="6" t="s">
        <v>24</v>
      </c>
    </row>
    <row r="526" spans="1:12" ht="23" customHeight="1">
      <c r="A526" s="5" t="s">
        <v>29</v>
      </c>
      <c r="B526" s="6">
        <v>5</v>
      </c>
      <c r="C526" s="6">
        <v>2</v>
      </c>
      <c r="D526" s="6" t="s">
        <v>30</v>
      </c>
      <c r="E526" s="6">
        <v>136</v>
      </c>
      <c r="F526" s="6">
        <v>90</v>
      </c>
      <c r="G526" s="6">
        <v>1445</v>
      </c>
      <c r="H526" s="6">
        <v>13</v>
      </c>
      <c r="I526" s="6" t="s">
        <v>41</v>
      </c>
      <c r="J526" s="7">
        <v>145626</v>
      </c>
      <c r="K526" s="6" t="s">
        <v>27</v>
      </c>
      <c r="L526" s="6" t="s">
        <v>24</v>
      </c>
    </row>
    <row r="527" spans="1:12" ht="23" customHeight="1">
      <c r="A527" s="5" t="s">
        <v>29</v>
      </c>
      <c r="B527" s="6">
        <v>5</v>
      </c>
      <c r="C527" s="6">
        <v>2</v>
      </c>
      <c r="D527" s="6" t="s">
        <v>30</v>
      </c>
      <c r="E527" s="6">
        <v>137</v>
      </c>
      <c r="F527" s="6">
        <v>91</v>
      </c>
      <c r="G527" s="6">
        <v>1446</v>
      </c>
      <c r="H527" s="6">
        <v>4</v>
      </c>
      <c r="I527" s="6" t="s">
        <v>31</v>
      </c>
      <c r="J527" s="7">
        <v>119433</v>
      </c>
      <c r="K527" s="6" t="s">
        <v>27</v>
      </c>
      <c r="L527" s="6" t="s">
        <v>24</v>
      </c>
    </row>
    <row r="528" spans="1:12" ht="23" customHeight="1">
      <c r="A528" s="5" t="s">
        <v>29</v>
      </c>
      <c r="B528" s="6">
        <v>5</v>
      </c>
      <c r="C528" s="6">
        <v>2</v>
      </c>
      <c r="D528" s="6" t="s">
        <v>30</v>
      </c>
      <c r="E528" s="6">
        <v>137</v>
      </c>
      <c r="F528" s="6">
        <v>91</v>
      </c>
      <c r="G528" s="6">
        <v>1446</v>
      </c>
      <c r="H528" s="6">
        <v>5</v>
      </c>
      <c r="I528" s="6" t="s">
        <v>32</v>
      </c>
      <c r="J528" s="7">
        <v>1355</v>
      </c>
      <c r="K528" s="6" t="s">
        <v>33</v>
      </c>
      <c r="L528" s="6" t="s">
        <v>24</v>
      </c>
    </row>
    <row r="529" spans="1:12" ht="23" customHeight="1">
      <c r="A529" s="5" t="s">
        <v>29</v>
      </c>
      <c r="B529" s="6">
        <v>5</v>
      </c>
      <c r="C529" s="6">
        <v>2</v>
      </c>
      <c r="D529" s="6" t="s">
        <v>30</v>
      </c>
      <c r="E529" s="6">
        <v>137</v>
      </c>
      <c r="F529" s="6">
        <v>91</v>
      </c>
      <c r="G529" s="6">
        <v>1446</v>
      </c>
      <c r="H529" s="6">
        <v>6</v>
      </c>
      <c r="I529" s="6" t="s">
        <v>34</v>
      </c>
      <c r="J529" s="7">
        <v>1355</v>
      </c>
      <c r="K529" s="6" t="s">
        <v>33</v>
      </c>
      <c r="L529" s="6" t="s">
        <v>24</v>
      </c>
    </row>
    <row r="530" spans="1:12" ht="23" customHeight="1">
      <c r="A530" s="5" t="s">
        <v>29</v>
      </c>
      <c r="B530" s="6">
        <v>5</v>
      </c>
      <c r="C530" s="6">
        <v>2</v>
      </c>
      <c r="D530" s="6" t="s">
        <v>30</v>
      </c>
      <c r="E530" s="6">
        <v>137</v>
      </c>
      <c r="F530" s="6">
        <v>91</v>
      </c>
      <c r="G530" s="6">
        <v>1446</v>
      </c>
      <c r="H530" s="6">
        <v>7</v>
      </c>
      <c r="I530" s="6" t="s">
        <v>35</v>
      </c>
      <c r="J530" s="7">
        <v>119433</v>
      </c>
      <c r="K530" s="6" t="s">
        <v>27</v>
      </c>
      <c r="L530" s="6" t="s">
        <v>24</v>
      </c>
    </row>
    <row r="531" spans="1:12" ht="23" customHeight="1">
      <c r="A531" s="5" t="s">
        <v>29</v>
      </c>
      <c r="B531" s="6">
        <v>5</v>
      </c>
      <c r="C531" s="6">
        <v>2</v>
      </c>
      <c r="D531" s="6" t="s">
        <v>30</v>
      </c>
      <c r="E531" s="6">
        <v>137</v>
      </c>
      <c r="F531" s="6">
        <v>91</v>
      </c>
      <c r="G531" s="6">
        <v>1446</v>
      </c>
      <c r="H531" s="6">
        <v>8</v>
      </c>
      <c r="I531" s="6" t="s">
        <v>36</v>
      </c>
      <c r="J531" s="7">
        <v>1355</v>
      </c>
      <c r="K531" s="6" t="s">
        <v>33</v>
      </c>
      <c r="L531" s="6" t="s">
        <v>24</v>
      </c>
    </row>
    <row r="532" spans="1:12" ht="23" customHeight="1">
      <c r="A532" s="5" t="s">
        <v>29</v>
      </c>
      <c r="B532" s="6">
        <v>5</v>
      </c>
      <c r="C532" s="6">
        <v>2</v>
      </c>
      <c r="D532" s="6" t="s">
        <v>30</v>
      </c>
      <c r="E532" s="6">
        <v>137</v>
      </c>
      <c r="F532" s="6">
        <v>91</v>
      </c>
      <c r="G532" s="6">
        <v>1446</v>
      </c>
      <c r="H532" s="6">
        <v>9</v>
      </c>
      <c r="I532" s="6" t="s">
        <v>37</v>
      </c>
      <c r="J532" s="7">
        <v>1355</v>
      </c>
      <c r="K532" s="6" t="s">
        <v>33</v>
      </c>
      <c r="L532" s="6" t="s">
        <v>24</v>
      </c>
    </row>
    <row r="533" spans="1:12" ht="23" customHeight="1">
      <c r="A533" s="5" t="s">
        <v>29</v>
      </c>
      <c r="B533" s="6">
        <v>5</v>
      </c>
      <c r="C533" s="6">
        <v>2</v>
      </c>
      <c r="D533" s="6" t="s">
        <v>30</v>
      </c>
      <c r="E533" s="6">
        <v>137</v>
      </c>
      <c r="F533" s="6">
        <v>91</v>
      </c>
      <c r="G533" s="6">
        <v>1446</v>
      </c>
      <c r="H533" s="6">
        <v>10</v>
      </c>
      <c r="I533" s="6" t="s">
        <v>38</v>
      </c>
      <c r="J533" s="7">
        <v>119433</v>
      </c>
      <c r="K533" s="6" t="s">
        <v>27</v>
      </c>
      <c r="L533" s="6" t="s">
        <v>24</v>
      </c>
    </row>
    <row r="534" spans="1:12" ht="23" customHeight="1">
      <c r="A534" s="5" t="s">
        <v>29</v>
      </c>
      <c r="B534" s="6">
        <v>5</v>
      </c>
      <c r="C534" s="6">
        <v>2</v>
      </c>
      <c r="D534" s="6" t="s">
        <v>30</v>
      </c>
      <c r="E534" s="6">
        <v>137</v>
      </c>
      <c r="F534" s="6">
        <v>91</v>
      </c>
      <c r="G534" s="6">
        <v>1446</v>
      </c>
      <c r="H534" s="6">
        <v>11</v>
      </c>
      <c r="I534" s="6" t="s">
        <v>39</v>
      </c>
      <c r="J534" s="7">
        <v>119433</v>
      </c>
      <c r="K534" s="6" t="s">
        <v>27</v>
      </c>
      <c r="L534" s="6" t="s">
        <v>24</v>
      </c>
    </row>
    <row r="535" spans="1:12" ht="23" customHeight="1">
      <c r="A535" s="5" t="s">
        <v>29</v>
      </c>
      <c r="B535" s="6">
        <v>5</v>
      </c>
      <c r="C535" s="6">
        <v>2</v>
      </c>
      <c r="D535" s="6" t="s">
        <v>30</v>
      </c>
      <c r="E535" s="6">
        <v>137</v>
      </c>
      <c r="F535" s="6">
        <v>91</v>
      </c>
      <c r="G535" s="6">
        <v>1446</v>
      </c>
      <c r="H535" s="6">
        <v>12</v>
      </c>
      <c r="I535" s="6" t="s">
        <v>40</v>
      </c>
      <c r="J535" s="7">
        <v>119433</v>
      </c>
      <c r="K535" s="6" t="s">
        <v>27</v>
      </c>
      <c r="L535" s="6" t="s">
        <v>24</v>
      </c>
    </row>
    <row r="536" spans="1:12" ht="23" customHeight="1">
      <c r="A536" s="5" t="s">
        <v>29</v>
      </c>
      <c r="B536" s="6">
        <v>5</v>
      </c>
      <c r="C536" s="6">
        <v>2</v>
      </c>
      <c r="D536" s="6" t="s">
        <v>30</v>
      </c>
      <c r="E536" s="6">
        <v>137</v>
      </c>
      <c r="F536" s="6">
        <v>91</v>
      </c>
      <c r="G536" s="6">
        <v>1446</v>
      </c>
      <c r="H536" s="6">
        <v>13</v>
      </c>
      <c r="I536" s="6" t="s">
        <v>41</v>
      </c>
      <c r="J536" s="7">
        <v>119433</v>
      </c>
      <c r="K536" s="6" t="s">
        <v>27</v>
      </c>
      <c r="L536" s="6" t="s">
        <v>24</v>
      </c>
    </row>
    <row r="537" spans="1:12" ht="23" customHeight="1">
      <c r="A537" s="5" t="s">
        <v>29</v>
      </c>
      <c r="B537" s="6">
        <v>5</v>
      </c>
      <c r="C537" s="6">
        <v>2</v>
      </c>
      <c r="D537" s="6" t="s">
        <v>30</v>
      </c>
      <c r="E537" s="6">
        <v>138</v>
      </c>
      <c r="F537" s="6">
        <v>92</v>
      </c>
      <c r="G537" s="6">
        <v>1447</v>
      </c>
      <c r="H537" s="6">
        <v>4</v>
      </c>
      <c r="I537" s="6" t="s">
        <v>31</v>
      </c>
      <c r="J537" s="7">
        <v>69957</v>
      </c>
      <c r="K537" s="6" t="s">
        <v>27</v>
      </c>
      <c r="L537" s="6" t="s">
        <v>24</v>
      </c>
    </row>
    <row r="538" spans="1:12" ht="23" customHeight="1">
      <c r="A538" s="5" t="s">
        <v>29</v>
      </c>
      <c r="B538" s="6">
        <v>5</v>
      </c>
      <c r="C538" s="6">
        <v>2</v>
      </c>
      <c r="D538" s="6" t="s">
        <v>30</v>
      </c>
      <c r="E538" s="6">
        <v>138</v>
      </c>
      <c r="F538" s="6">
        <v>92</v>
      </c>
      <c r="G538" s="6">
        <v>1447</v>
      </c>
      <c r="H538" s="6">
        <v>5</v>
      </c>
      <c r="I538" s="6" t="s">
        <v>32</v>
      </c>
      <c r="J538" s="7">
        <v>448.5</v>
      </c>
      <c r="K538" s="6" t="s">
        <v>33</v>
      </c>
      <c r="L538" s="6" t="s">
        <v>24</v>
      </c>
    </row>
    <row r="539" spans="1:12" ht="23" customHeight="1">
      <c r="A539" s="5" t="s">
        <v>29</v>
      </c>
      <c r="B539" s="6">
        <v>5</v>
      </c>
      <c r="C539" s="6">
        <v>2</v>
      </c>
      <c r="D539" s="6" t="s">
        <v>30</v>
      </c>
      <c r="E539" s="6">
        <v>138</v>
      </c>
      <c r="F539" s="6">
        <v>92</v>
      </c>
      <c r="G539" s="6">
        <v>1447</v>
      </c>
      <c r="H539" s="6">
        <v>6</v>
      </c>
      <c r="I539" s="6" t="s">
        <v>34</v>
      </c>
      <c r="J539" s="7">
        <v>448.5</v>
      </c>
      <c r="K539" s="6" t="s">
        <v>33</v>
      </c>
      <c r="L539" s="6" t="s">
        <v>24</v>
      </c>
    </row>
    <row r="540" spans="1:12" ht="23" customHeight="1">
      <c r="A540" s="5" t="s">
        <v>29</v>
      </c>
      <c r="B540" s="6">
        <v>5</v>
      </c>
      <c r="C540" s="6">
        <v>2</v>
      </c>
      <c r="D540" s="6" t="s">
        <v>30</v>
      </c>
      <c r="E540" s="6">
        <v>138</v>
      </c>
      <c r="F540" s="6">
        <v>92</v>
      </c>
      <c r="G540" s="6">
        <v>1447</v>
      </c>
      <c r="H540" s="6">
        <v>7</v>
      </c>
      <c r="I540" s="6" t="s">
        <v>35</v>
      </c>
      <c r="J540" s="7">
        <v>69957</v>
      </c>
      <c r="K540" s="6" t="s">
        <v>27</v>
      </c>
      <c r="L540" s="6" t="s">
        <v>24</v>
      </c>
    </row>
    <row r="541" spans="1:12" ht="23" customHeight="1">
      <c r="A541" s="5" t="s">
        <v>29</v>
      </c>
      <c r="B541" s="6">
        <v>5</v>
      </c>
      <c r="C541" s="6">
        <v>2</v>
      </c>
      <c r="D541" s="6" t="s">
        <v>30</v>
      </c>
      <c r="E541" s="6">
        <v>138</v>
      </c>
      <c r="F541" s="6">
        <v>92</v>
      </c>
      <c r="G541" s="6">
        <v>1447</v>
      </c>
      <c r="H541" s="6">
        <v>8</v>
      </c>
      <c r="I541" s="6" t="s">
        <v>36</v>
      </c>
      <c r="J541" s="7">
        <v>448.5</v>
      </c>
      <c r="K541" s="6" t="s">
        <v>33</v>
      </c>
      <c r="L541" s="6" t="s">
        <v>24</v>
      </c>
    </row>
    <row r="542" spans="1:12" ht="23" customHeight="1">
      <c r="A542" s="5" t="s">
        <v>29</v>
      </c>
      <c r="B542" s="6">
        <v>5</v>
      </c>
      <c r="C542" s="6">
        <v>2</v>
      </c>
      <c r="D542" s="6" t="s">
        <v>30</v>
      </c>
      <c r="E542" s="6">
        <v>138</v>
      </c>
      <c r="F542" s="6">
        <v>92</v>
      </c>
      <c r="G542" s="6">
        <v>1447</v>
      </c>
      <c r="H542" s="6">
        <v>9</v>
      </c>
      <c r="I542" s="6" t="s">
        <v>37</v>
      </c>
      <c r="J542" s="7">
        <v>448.5</v>
      </c>
      <c r="K542" s="6" t="s">
        <v>33</v>
      </c>
      <c r="L542" s="6" t="s">
        <v>24</v>
      </c>
    </row>
    <row r="543" spans="1:12" ht="23" customHeight="1">
      <c r="A543" s="5" t="s">
        <v>29</v>
      </c>
      <c r="B543" s="6">
        <v>5</v>
      </c>
      <c r="C543" s="6">
        <v>2</v>
      </c>
      <c r="D543" s="6" t="s">
        <v>30</v>
      </c>
      <c r="E543" s="6">
        <v>138</v>
      </c>
      <c r="F543" s="6">
        <v>92</v>
      </c>
      <c r="G543" s="6">
        <v>1447</v>
      </c>
      <c r="H543" s="6">
        <v>10</v>
      </c>
      <c r="I543" s="6" t="s">
        <v>38</v>
      </c>
      <c r="J543" s="7">
        <v>69957</v>
      </c>
      <c r="K543" s="6" t="s">
        <v>27</v>
      </c>
      <c r="L543" s="6" t="s">
        <v>24</v>
      </c>
    </row>
    <row r="544" spans="1:12" ht="23" customHeight="1">
      <c r="A544" s="5" t="s">
        <v>29</v>
      </c>
      <c r="B544" s="6">
        <v>5</v>
      </c>
      <c r="C544" s="6">
        <v>2</v>
      </c>
      <c r="D544" s="6" t="s">
        <v>30</v>
      </c>
      <c r="E544" s="6">
        <v>138</v>
      </c>
      <c r="F544" s="6">
        <v>92</v>
      </c>
      <c r="G544" s="6">
        <v>1447</v>
      </c>
      <c r="H544" s="6">
        <v>11</v>
      </c>
      <c r="I544" s="6" t="s">
        <v>39</v>
      </c>
      <c r="J544" s="7">
        <v>69957</v>
      </c>
      <c r="K544" s="6" t="s">
        <v>27</v>
      </c>
      <c r="L544" s="6" t="s">
        <v>24</v>
      </c>
    </row>
    <row r="545" spans="1:12" ht="23" customHeight="1">
      <c r="A545" s="5" t="s">
        <v>29</v>
      </c>
      <c r="B545" s="6">
        <v>5</v>
      </c>
      <c r="C545" s="6">
        <v>2</v>
      </c>
      <c r="D545" s="6" t="s">
        <v>30</v>
      </c>
      <c r="E545" s="6">
        <v>138</v>
      </c>
      <c r="F545" s="6">
        <v>92</v>
      </c>
      <c r="G545" s="6">
        <v>1447</v>
      </c>
      <c r="H545" s="6">
        <v>12</v>
      </c>
      <c r="I545" s="6" t="s">
        <v>40</v>
      </c>
      <c r="J545" s="7">
        <v>69957</v>
      </c>
      <c r="K545" s="6" t="s">
        <v>27</v>
      </c>
      <c r="L545" s="6" t="s">
        <v>24</v>
      </c>
    </row>
    <row r="546" spans="1:12" ht="23" customHeight="1">
      <c r="A546" s="5" t="s">
        <v>29</v>
      </c>
      <c r="B546" s="6">
        <v>5</v>
      </c>
      <c r="C546" s="6">
        <v>2</v>
      </c>
      <c r="D546" s="6" t="s">
        <v>30</v>
      </c>
      <c r="E546" s="6">
        <v>138</v>
      </c>
      <c r="F546" s="6">
        <v>92</v>
      </c>
      <c r="G546" s="6">
        <v>1447</v>
      </c>
      <c r="H546" s="6">
        <v>13</v>
      </c>
      <c r="I546" s="6" t="s">
        <v>41</v>
      </c>
      <c r="J546" s="7">
        <v>69957</v>
      </c>
      <c r="K546" s="6" t="s">
        <v>27</v>
      </c>
      <c r="L546" s="6" t="s">
        <v>24</v>
      </c>
    </row>
    <row r="547" spans="1:12" ht="23" customHeight="1">
      <c r="A547" s="5" t="s">
        <v>29</v>
      </c>
      <c r="B547" s="6">
        <v>5</v>
      </c>
      <c r="C547" s="6">
        <v>2</v>
      </c>
      <c r="D547" s="6" t="s">
        <v>30</v>
      </c>
      <c r="E547" s="6">
        <v>139</v>
      </c>
      <c r="F547" s="6">
        <v>93</v>
      </c>
      <c r="G547" s="6">
        <v>1448</v>
      </c>
      <c r="H547" s="6">
        <v>4</v>
      </c>
      <c r="I547" s="6" t="s">
        <v>31</v>
      </c>
      <c r="J547" s="7">
        <v>69957</v>
      </c>
      <c r="K547" s="6" t="s">
        <v>27</v>
      </c>
      <c r="L547" s="6" t="s">
        <v>24</v>
      </c>
    </row>
    <row r="548" spans="1:12" ht="23" customHeight="1">
      <c r="A548" s="5" t="s">
        <v>29</v>
      </c>
      <c r="B548" s="6">
        <v>5</v>
      </c>
      <c r="C548" s="6">
        <v>2</v>
      </c>
      <c r="D548" s="6" t="s">
        <v>30</v>
      </c>
      <c r="E548" s="6">
        <v>139</v>
      </c>
      <c r="F548" s="6">
        <v>93</v>
      </c>
      <c r="G548" s="6">
        <v>1448</v>
      </c>
      <c r="H548" s="6">
        <v>5</v>
      </c>
      <c r="I548" s="6" t="s">
        <v>32</v>
      </c>
      <c r="J548" s="7">
        <v>448.5</v>
      </c>
      <c r="K548" s="6" t="s">
        <v>33</v>
      </c>
      <c r="L548" s="6" t="s">
        <v>24</v>
      </c>
    </row>
    <row r="549" spans="1:12" ht="23" customHeight="1">
      <c r="A549" s="5" t="s">
        <v>29</v>
      </c>
      <c r="B549" s="6">
        <v>5</v>
      </c>
      <c r="C549" s="6">
        <v>2</v>
      </c>
      <c r="D549" s="6" t="s">
        <v>30</v>
      </c>
      <c r="E549" s="6">
        <v>139</v>
      </c>
      <c r="F549" s="6">
        <v>93</v>
      </c>
      <c r="G549" s="6">
        <v>1448</v>
      </c>
      <c r="H549" s="6">
        <v>6</v>
      </c>
      <c r="I549" s="6" t="s">
        <v>34</v>
      </c>
      <c r="J549" s="7">
        <v>448.5</v>
      </c>
      <c r="K549" s="6" t="s">
        <v>33</v>
      </c>
      <c r="L549" s="6" t="s">
        <v>24</v>
      </c>
    </row>
    <row r="550" spans="1:12" ht="23" customHeight="1">
      <c r="A550" s="5" t="s">
        <v>29</v>
      </c>
      <c r="B550" s="6">
        <v>5</v>
      </c>
      <c r="C550" s="6">
        <v>2</v>
      </c>
      <c r="D550" s="6" t="s">
        <v>30</v>
      </c>
      <c r="E550" s="6">
        <v>139</v>
      </c>
      <c r="F550" s="6">
        <v>93</v>
      </c>
      <c r="G550" s="6">
        <v>1448</v>
      </c>
      <c r="H550" s="6">
        <v>7</v>
      </c>
      <c r="I550" s="6" t="s">
        <v>35</v>
      </c>
      <c r="J550" s="7">
        <v>69957</v>
      </c>
      <c r="K550" s="6" t="s">
        <v>27</v>
      </c>
      <c r="L550" s="6" t="s">
        <v>24</v>
      </c>
    </row>
    <row r="551" spans="1:12" ht="23" customHeight="1">
      <c r="A551" s="5" t="s">
        <v>29</v>
      </c>
      <c r="B551" s="6">
        <v>5</v>
      </c>
      <c r="C551" s="6">
        <v>2</v>
      </c>
      <c r="D551" s="6" t="s">
        <v>30</v>
      </c>
      <c r="E551" s="6">
        <v>139</v>
      </c>
      <c r="F551" s="6">
        <v>93</v>
      </c>
      <c r="G551" s="6">
        <v>1448</v>
      </c>
      <c r="H551" s="6">
        <v>8</v>
      </c>
      <c r="I551" s="6" t="s">
        <v>36</v>
      </c>
      <c r="J551" s="7">
        <v>448.5</v>
      </c>
      <c r="K551" s="6" t="s">
        <v>33</v>
      </c>
      <c r="L551" s="6" t="s">
        <v>24</v>
      </c>
    </row>
    <row r="552" spans="1:12" ht="23" customHeight="1">
      <c r="A552" s="5" t="s">
        <v>29</v>
      </c>
      <c r="B552" s="6">
        <v>5</v>
      </c>
      <c r="C552" s="6">
        <v>2</v>
      </c>
      <c r="D552" s="6" t="s">
        <v>30</v>
      </c>
      <c r="E552" s="6">
        <v>139</v>
      </c>
      <c r="F552" s="6">
        <v>93</v>
      </c>
      <c r="G552" s="6">
        <v>1448</v>
      </c>
      <c r="H552" s="6">
        <v>9</v>
      </c>
      <c r="I552" s="6" t="s">
        <v>37</v>
      </c>
      <c r="J552" s="7">
        <v>448.5</v>
      </c>
      <c r="K552" s="6" t="s">
        <v>33</v>
      </c>
      <c r="L552" s="6" t="s">
        <v>24</v>
      </c>
    </row>
    <row r="553" spans="1:12" ht="23" customHeight="1">
      <c r="A553" s="5" t="s">
        <v>29</v>
      </c>
      <c r="B553" s="6">
        <v>5</v>
      </c>
      <c r="C553" s="6">
        <v>2</v>
      </c>
      <c r="D553" s="6" t="s">
        <v>30</v>
      </c>
      <c r="E553" s="6">
        <v>139</v>
      </c>
      <c r="F553" s="6">
        <v>93</v>
      </c>
      <c r="G553" s="6">
        <v>1448</v>
      </c>
      <c r="H553" s="6">
        <v>10</v>
      </c>
      <c r="I553" s="6" t="s">
        <v>38</v>
      </c>
      <c r="J553" s="7">
        <v>69957</v>
      </c>
      <c r="K553" s="6" t="s">
        <v>27</v>
      </c>
      <c r="L553" s="6" t="s">
        <v>24</v>
      </c>
    </row>
    <row r="554" spans="1:12" ht="23" customHeight="1">
      <c r="A554" s="5" t="s">
        <v>29</v>
      </c>
      <c r="B554" s="6">
        <v>5</v>
      </c>
      <c r="C554" s="6">
        <v>2</v>
      </c>
      <c r="D554" s="6" t="s">
        <v>30</v>
      </c>
      <c r="E554" s="6">
        <v>139</v>
      </c>
      <c r="F554" s="6">
        <v>93</v>
      </c>
      <c r="G554" s="6">
        <v>1448</v>
      </c>
      <c r="H554" s="6">
        <v>11</v>
      </c>
      <c r="I554" s="6" t="s">
        <v>39</v>
      </c>
      <c r="J554" s="7">
        <v>69957</v>
      </c>
      <c r="K554" s="6" t="s">
        <v>27</v>
      </c>
      <c r="L554" s="6" t="s">
        <v>24</v>
      </c>
    </row>
    <row r="555" spans="1:12" ht="23" customHeight="1">
      <c r="A555" s="5" t="s">
        <v>29</v>
      </c>
      <c r="B555" s="6">
        <v>5</v>
      </c>
      <c r="C555" s="6">
        <v>2</v>
      </c>
      <c r="D555" s="6" t="s">
        <v>30</v>
      </c>
      <c r="E555" s="6">
        <v>139</v>
      </c>
      <c r="F555" s="6">
        <v>93</v>
      </c>
      <c r="G555" s="6">
        <v>1448</v>
      </c>
      <c r="H555" s="6">
        <v>12</v>
      </c>
      <c r="I555" s="6" t="s">
        <v>40</v>
      </c>
      <c r="J555" s="7">
        <v>69957</v>
      </c>
      <c r="K555" s="6" t="s">
        <v>27</v>
      </c>
      <c r="L555" s="6" t="s">
        <v>24</v>
      </c>
    </row>
    <row r="556" spans="1:12" ht="23" customHeight="1">
      <c r="A556" s="5" t="s">
        <v>29</v>
      </c>
      <c r="B556" s="6">
        <v>5</v>
      </c>
      <c r="C556" s="6">
        <v>2</v>
      </c>
      <c r="D556" s="6" t="s">
        <v>30</v>
      </c>
      <c r="E556" s="6">
        <v>139</v>
      </c>
      <c r="F556" s="6">
        <v>93</v>
      </c>
      <c r="G556" s="6">
        <v>1448</v>
      </c>
      <c r="H556" s="6">
        <v>13</v>
      </c>
      <c r="I556" s="6" t="s">
        <v>41</v>
      </c>
      <c r="J556" s="7">
        <v>69957</v>
      </c>
      <c r="K556" s="6" t="s">
        <v>27</v>
      </c>
      <c r="L556" s="6" t="s">
        <v>24</v>
      </c>
    </row>
    <row r="557" spans="1:12" ht="23" customHeight="1">
      <c r="A557" s="5" t="s">
        <v>29</v>
      </c>
      <c r="B557" s="6">
        <v>5</v>
      </c>
      <c r="C557" s="6">
        <v>2</v>
      </c>
      <c r="D557" s="6" t="s">
        <v>30</v>
      </c>
      <c r="E557" s="6">
        <v>140</v>
      </c>
      <c r="F557" s="6">
        <v>94</v>
      </c>
      <c r="G557" s="6">
        <v>1449</v>
      </c>
      <c r="H557" s="6">
        <v>4</v>
      </c>
      <c r="I557" s="6" t="s">
        <v>31</v>
      </c>
      <c r="J557" s="7">
        <v>69957</v>
      </c>
      <c r="K557" s="6" t="s">
        <v>27</v>
      </c>
      <c r="L557" s="6" t="s">
        <v>24</v>
      </c>
    </row>
    <row r="558" spans="1:12" ht="23" customHeight="1">
      <c r="A558" s="5" t="s">
        <v>29</v>
      </c>
      <c r="B558" s="6">
        <v>5</v>
      </c>
      <c r="C558" s="6">
        <v>2</v>
      </c>
      <c r="D558" s="6" t="s">
        <v>30</v>
      </c>
      <c r="E558" s="6">
        <v>140</v>
      </c>
      <c r="F558" s="6">
        <v>94</v>
      </c>
      <c r="G558" s="6">
        <v>1449</v>
      </c>
      <c r="H558" s="6">
        <v>5</v>
      </c>
      <c r="I558" s="6" t="s">
        <v>32</v>
      </c>
      <c r="J558" s="7">
        <v>448.5</v>
      </c>
      <c r="K558" s="6" t="s">
        <v>33</v>
      </c>
      <c r="L558" s="6" t="s">
        <v>24</v>
      </c>
    </row>
    <row r="559" spans="1:12" ht="23" customHeight="1">
      <c r="A559" s="5" t="s">
        <v>29</v>
      </c>
      <c r="B559" s="6">
        <v>5</v>
      </c>
      <c r="C559" s="6">
        <v>2</v>
      </c>
      <c r="D559" s="6" t="s">
        <v>30</v>
      </c>
      <c r="E559" s="6">
        <v>140</v>
      </c>
      <c r="F559" s="6">
        <v>94</v>
      </c>
      <c r="G559" s="6">
        <v>1449</v>
      </c>
      <c r="H559" s="6">
        <v>6</v>
      </c>
      <c r="I559" s="6" t="s">
        <v>34</v>
      </c>
      <c r="J559" s="7">
        <v>448.5</v>
      </c>
      <c r="K559" s="6" t="s">
        <v>33</v>
      </c>
      <c r="L559" s="6" t="s">
        <v>24</v>
      </c>
    </row>
    <row r="560" spans="1:12" ht="23" customHeight="1">
      <c r="A560" s="5" t="s">
        <v>29</v>
      </c>
      <c r="B560" s="6">
        <v>5</v>
      </c>
      <c r="C560" s="6">
        <v>2</v>
      </c>
      <c r="D560" s="6" t="s">
        <v>30</v>
      </c>
      <c r="E560" s="6">
        <v>140</v>
      </c>
      <c r="F560" s="6">
        <v>94</v>
      </c>
      <c r="G560" s="6">
        <v>1449</v>
      </c>
      <c r="H560" s="6">
        <v>7</v>
      </c>
      <c r="I560" s="6" t="s">
        <v>35</v>
      </c>
      <c r="J560" s="7">
        <v>69957</v>
      </c>
      <c r="K560" s="6" t="s">
        <v>27</v>
      </c>
      <c r="L560" s="6" t="s">
        <v>24</v>
      </c>
    </row>
    <row r="561" spans="1:12" ht="23" customHeight="1">
      <c r="A561" s="5" t="s">
        <v>29</v>
      </c>
      <c r="B561" s="6">
        <v>5</v>
      </c>
      <c r="C561" s="6">
        <v>2</v>
      </c>
      <c r="D561" s="6" t="s">
        <v>30</v>
      </c>
      <c r="E561" s="6">
        <v>140</v>
      </c>
      <c r="F561" s="6">
        <v>94</v>
      </c>
      <c r="G561" s="6">
        <v>1449</v>
      </c>
      <c r="H561" s="6">
        <v>8</v>
      </c>
      <c r="I561" s="6" t="s">
        <v>36</v>
      </c>
      <c r="J561" s="7">
        <v>448.5</v>
      </c>
      <c r="K561" s="6" t="s">
        <v>33</v>
      </c>
      <c r="L561" s="6" t="s">
        <v>24</v>
      </c>
    </row>
    <row r="562" spans="1:12" ht="23" customHeight="1">
      <c r="A562" s="5" t="s">
        <v>29</v>
      </c>
      <c r="B562" s="6">
        <v>5</v>
      </c>
      <c r="C562" s="6">
        <v>2</v>
      </c>
      <c r="D562" s="6" t="s">
        <v>30</v>
      </c>
      <c r="E562" s="6">
        <v>140</v>
      </c>
      <c r="F562" s="6">
        <v>94</v>
      </c>
      <c r="G562" s="6">
        <v>1449</v>
      </c>
      <c r="H562" s="6">
        <v>9</v>
      </c>
      <c r="I562" s="6" t="s">
        <v>37</v>
      </c>
      <c r="J562" s="7">
        <v>448.5</v>
      </c>
      <c r="K562" s="6" t="s">
        <v>33</v>
      </c>
      <c r="L562" s="6" t="s">
        <v>24</v>
      </c>
    </row>
    <row r="563" spans="1:12" ht="23" customHeight="1">
      <c r="A563" s="5" t="s">
        <v>29</v>
      </c>
      <c r="B563" s="6">
        <v>5</v>
      </c>
      <c r="C563" s="6">
        <v>2</v>
      </c>
      <c r="D563" s="6" t="s">
        <v>30</v>
      </c>
      <c r="E563" s="6">
        <v>140</v>
      </c>
      <c r="F563" s="6">
        <v>94</v>
      </c>
      <c r="G563" s="6">
        <v>1449</v>
      </c>
      <c r="H563" s="6">
        <v>10</v>
      </c>
      <c r="I563" s="6" t="s">
        <v>38</v>
      </c>
      <c r="J563" s="7">
        <v>69957</v>
      </c>
      <c r="K563" s="6" t="s">
        <v>27</v>
      </c>
      <c r="L563" s="6" t="s">
        <v>24</v>
      </c>
    </row>
    <row r="564" spans="1:12" ht="23" customHeight="1">
      <c r="A564" s="5" t="s">
        <v>29</v>
      </c>
      <c r="B564" s="6">
        <v>5</v>
      </c>
      <c r="C564" s="6">
        <v>2</v>
      </c>
      <c r="D564" s="6" t="s">
        <v>30</v>
      </c>
      <c r="E564" s="6">
        <v>140</v>
      </c>
      <c r="F564" s="6">
        <v>94</v>
      </c>
      <c r="G564" s="6">
        <v>1449</v>
      </c>
      <c r="H564" s="6">
        <v>11</v>
      </c>
      <c r="I564" s="6" t="s">
        <v>39</v>
      </c>
      <c r="J564" s="7">
        <v>69957</v>
      </c>
      <c r="K564" s="6" t="s">
        <v>27</v>
      </c>
      <c r="L564" s="6" t="s">
        <v>24</v>
      </c>
    </row>
    <row r="565" spans="1:12" ht="23" customHeight="1">
      <c r="A565" s="5" t="s">
        <v>29</v>
      </c>
      <c r="B565" s="6">
        <v>5</v>
      </c>
      <c r="C565" s="6">
        <v>2</v>
      </c>
      <c r="D565" s="6" t="s">
        <v>30</v>
      </c>
      <c r="E565" s="6">
        <v>140</v>
      </c>
      <c r="F565" s="6">
        <v>94</v>
      </c>
      <c r="G565" s="6">
        <v>1449</v>
      </c>
      <c r="H565" s="6">
        <v>12</v>
      </c>
      <c r="I565" s="6" t="s">
        <v>40</v>
      </c>
      <c r="J565" s="7">
        <v>69957</v>
      </c>
      <c r="K565" s="6" t="s">
        <v>27</v>
      </c>
      <c r="L565" s="6" t="s">
        <v>24</v>
      </c>
    </row>
    <row r="566" spans="1:12" ht="23" customHeight="1">
      <c r="A566" s="5" t="s">
        <v>29</v>
      </c>
      <c r="B566" s="6">
        <v>5</v>
      </c>
      <c r="C566" s="6">
        <v>2</v>
      </c>
      <c r="D566" s="6" t="s">
        <v>30</v>
      </c>
      <c r="E566" s="6">
        <v>140</v>
      </c>
      <c r="F566" s="6">
        <v>94</v>
      </c>
      <c r="G566" s="6">
        <v>1449</v>
      </c>
      <c r="H566" s="6">
        <v>13</v>
      </c>
      <c r="I566" s="6" t="s">
        <v>41</v>
      </c>
      <c r="J566" s="7">
        <v>69957</v>
      </c>
      <c r="K566" s="6" t="s">
        <v>27</v>
      </c>
      <c r="L566" s="6" t="s">
        <v>24</v>
      </c>
    </row>
    <row r="567" spans="1:12" ht="23" customHeight="1">
      <c r="A567" s="5" t="s">
        <v>29</v>
      </c>
      <c r="B567" s="6">
        <v>5</v>
      </c>
      <c r="C567" s="6">
        <v>2</v>
      </c>
      <c r="D567" s="6" t="s">
        <v>30</v>
      </c>
      <c r="E567" s="6">
        <v>141</v>
      </c>
      <c r="F567" s="6">
        <v>95</v>
      </c>
      <c r="G567" s="6">
        <v>1450</v>
      </c>
      <c r="H567" s="6">
        <v>4</v>
      </c>
      <c r="I567" s="6" t="s">
        <v>31</v>
      </c>
      <c r="J567" s="7">
        <v>69957</v>
      </c>
      <c r="K567" s="6" t="s">
        <v>27</v>
      </c>
      <c r="L567" s="6" t="s">
        <v>24</v>
      </c>
    </row>
    <row r="568" spans="1:12" ht="23" customHeight="1">
      <c r="A568" s="5" t="s">
        <v>29</v>
      </c>
      <c r="B568" s="6">
        <v>5</v>
      </c>
      <c r="C568" s="6">
        <v>2</v>
      </c>
      <c r="D568" s="6" t="s">
        <v>30</v>
      </c>
      <c r="E568" s="6">
        <v>141</v>
      </c>
      <c r="F568" s="6">
        <v>95</v>
      </c>
      <c r="G568" s="6">
        <v>1450</v>
      </c>
      <c r="H568" s="6">
        <v>5</v>
      </c>
      <c r="I568" s="6" t="s">
        <v>32</v>
      </c>
      <c r="J568" s="7">
        <v>448.5</v>
      </c>
      <c r="K568" s="6" t="s">
        <v>33</v>
      </c>
      <c r="L568" s="6" t="s">
        <v>24</v>
      </c>
    </row>
    <row r="569" spans="1:12" ht="23" customHeight="1">
      <c r="A569" s="5" t="s">
        <v>29</v>
      </c>
      <c r="B569" s="6">
        <v>5</v>
      </c>
      <c r="C569" s="6">
        <v>2</v>
      </c>
      <c r="D569" s="6" t="s">
        <v>30</v>
      </c>
      <c r="E569" s="6">
        <v>141</v>
      </c>
      <c r="F569" s="6">
        <v>95</v>
      </c>
      <c r="G569" s="6">
        <v>1450</v>
      </c>
      <c r="H569" s="6">
        <v>6</v>
      </c>
      <c r="I569" s="6" t="s">
        <v>34</v>
      </c>
      <c r="J569" s="7">
        <v>448.5</v>
      </c>
      <c r="K569" s="6" t="s">
        <v>33</v>
      </c>
      <c r="L569" s="6" t="s">
        <v>24</v>
      </c>
    </row>
    <row r="570" spans="1:12" ht="23" customHeight="1">
      <c r="A570" s="5" t="s">
        <v>29</v>
      </c>
      <c r="B570" s="6">
        <v>5</v>
      </c>
      <c r="C570" s="6">
        <v>2</v>
      </c>
      <c r="D570" s="6" t="s">
        <v>30</v>
      </c>
      <c r="E570" s="6">
        <v>141</v>
      </c>
      <c r="F570" s="6">
        <v>95</v>
      </c>
      <c r="G570" s="6">
        <v>1450</v>
      </c>
      <c r="H570" s="6">
        <v>7</v>
      </c>
      <c r="I570" s="6" t="s">
        <v>35</v>
      </c>
      <c r="J570" s="7">
        <v>69957</v>
      </c>
      <c r="K570" s="6" t="s">
        <v>27</v>
      </c>
      <c r="L570" s="6" t="s">
        <v>24</v>
      </c>
    </row>
    <row r="571" spans="1:12" ht="23" customHeight="1">
      <c r="A571" s="5" t="s">
        <v>29</v>
      </c>
      <c r="B571" s="6">
        <v>5</v>
      </c>
      <c r="C571" s="6">
        <v>2</v>
      </c>
      <c r="D571" s="6" t="s">
        <v>30</v>
      </c>
      <c r="E571" s="6">
        <v>141</v>
      </c>
      <c r="F571" s="6">
        <v>95</v>
      </c>
      <c r="G571" s="6">
        <v>1450</v>
      </c>
      <c r="H571" s="6">
        <v>8</v>
      </c>
      <c r="I571" s="6" t="s">
        <v>36</v>
      </c>
      <c r="J571" s="7">
        <v>448.5</v>
      </c>
      <c r="K571" s="6" t="s">
        <v>33</v>
      </c>
      <c r="L571" s="6" t="s">
        <v>24</v>
      </c>
    </row>
    <row r="572" spans="1:12" ht="23" customHeight="1">
      <c r="A572" s="5" t="s">
        <v>29</v>
      </c>
      <c r="B572" s="6">
        <v>5</v>
      </c>
      <c r="C572" s="6">
        <v>2</v>
      </c>
      <c r="D572" s="6" t="s">
        <v>30</v>
      </c>
      <c r="E572" s="6">
        <v>141</v>
      </c>
      <c r="F572" s="6">
        <v>95</v>
      </c>
      <c r="G572" s="6">
        <v>1450</v>
      </c>
      <c r="H572" s="6">
        <v>9</v>
      </c>
      <c r="I572" s="6" t="s">
        <v>37</v>
      </c>
      <c r="J572" s="7">
        <v>448.5</v>
      </c>
      <c r="K572" s="6" t="s">
        <v>33</v>
      </c>
      <c r="L572" s="6" t="s">
        <v>24</v>
      </c>
    </row>
    <row r="573" spans="1:12" ht="23" customHeight="1">
      <c r="A573" s="5" t="s">
        <v>29</v>
      </c>
      <c r="B573" s="6">
        <v>5</v>
      </c>
      <c r="C573" s="6">
        <v>2</v>
      </c>
      <c r="D573" s="6" t="s">
        <v>30</v>
      </c>
      <c r="E573" s="6">
        <v>141</v>
      </c>
      <c r="F573" s="6">
        <v>95</v>
      </c>
      <c r="G573" s="6">
        <v>1450</v>
      </c>
      <c r="H573" s="6">
        <v>10</v>
      </c>
      <c r="I573" s="6" t="s">
        <v>38</v>
      </c>
      <c r="J573" s="7">
        <v>69957</v>
      </c>
      <c r="K573" s="6" t="s">
        <v>27</v>
      </c>
      <c r="L573" s="6" t="s">
        <v>24</v>
      </c>
    </row>
    <row r="574" spans="1:12" ht="23" customHeight="1">
      <c r="A574" s="5" t="s">
        <v>29</v>
      </c>
      <c r="B574" s="6">
        <v>5</v>
      </c>
      <c r="C574" s="6">
        <v>2</v>
      </c>
      <c r="D574" s="6" t="s">
        <v>30</v>
      </c>
      <c r="E574" s="6">
        <v>141</v>
      </c>
      <c r="F574" s="6">
        <v>95</v>
      </c>
      <c r="G574" s="6">
        <v>1450</v>
      </c>
      <c r="H574" s="6">
        <v>11</v>
      </c>
      <c r="I574" s="6" t="s">
        <v>39</v>
      </c>
      <c r="J574" s="7">
        <v>69957</v>
      </c>
      <c r="K574" s="6" t="s">
        <v>27</v>
      </c>
      <c r="L574" s="6" t="s">
        <v>24</v>
      </c>
    </row>
    <row r="575" spans="1:12" ht="23" customHeight="1">
      <c r="A575" s="5" t="s">
        <v>29</v>
      </c>
      <c r="B575" s="6">
        <v>5</v>
      </c>
      <c r="C575" s="6">
        <v>2</v>
      </c>
      <c r="D575" s="6" t="s">
        <v>30</v>
      </c>
      <c r="E575" s="6">
        <v>141</v>
      </c>
      <c r="F575" s="6">
        <v>95</v>
      </c>
      <c r="G575" s="6">
        <v>1450</v>
      </c>
      <c r="H575" s="6">
        <v>12</v>
      </c>
      <c r="I575" s="6" t="s">
        <v>40</v>
      </c>
      <c r="J575" s="7">
        <v>69957</v>
      </c>
      <c r="K575" s="6" t="s">
        <v>27</v>
      </c>
      <c r="L575" s="6" t="s">
        <v>24</v>
      </c>
    </row>
    <row r="576" spans="1:12" ht="23" customHeight="1">
      <c r="A576" s="5" t="s">
        <v>29</v>
      </c>
      <c r="B576" s="6">
        <v>5</v>
      </c>
      <c r="C576" s="6">
        <v>2</v>
      </c>
      <c r="D576" s="6" t="s">
        <v>30</v>
      </c>
      <c r="E576" s="6">
        <v>141</v>
      </c>
      <c r="F576" s="6">
        <v>95</v>
      </c>
      <c r="G576" s="6">
        <v>1450</v>
      </c>
      <c r="H576" s="6">
        <v>13</v>
      </c>
      <c r="I576" s="6" t="s">
        <v>41</v>
      </c>
      <c r="J576" s="7">
        <v>69957</v>
      </c>
      <c r="K576" s="6" t="s">
        <v>27</v>
      </c>
      <c r="L576" s="6" t="s">
        <v>24</v>
      </c>
    </row>
    <row r="577" spans="1:12" ht="23" customHeight="1">
      <c r="A577" s="5" t="s">
        <v>29</v>
      </c>
      <c r="B577" s="6">
        <v>5</v>
      </c>
      <c r="C577" s="6">
        <v>2</v>
      </c>
      <c r="D577" s="6" t="s">
        <v>30</v>
      </c>
      <c r="E577" s="6">
        <v>142</v>
      </c>
      <c r="F577" s="6">
        <v>96</v>
      </c>
      <c r="G577" s="6">
        <v>1451</v>
      </c>
      <c r="H577" s="6">
        <v>4</v>
      </c>
      <c r="I577" s="6" t="s">
        <v>31</v>
      </c>
      <c r="J577" s="7">
        <v>69957</v>
      </c>
      <c r="K577" s="6" t="s">
        <v>27</v>
      </c>
      <c r="L577" s="6" t="s">
        <v>24</v>
      </c>
    </row>
    <row r="578" spans="1:12" ht="23" customHeight="1">
      <c r="A578" s="5" t="s">
        <v>29</v>
      </c>
      <c r="B578" s="6">
        <v>5</v>
      </c>
      <c r="C578" s="6">
        <v>2</v>
      </c>
      <c r="D578" s="6" t="s">
        <v>30</v>
      </c>
      <c r="E578" s="6">
        <v>142</v>
      </c>
      <c r="F578" s="6">
        <v>96</v>
      </c>
      <c r="G578" s="6">
        <v>1451</v>
      </c>
      <c r="H578" s="6">
        <v>5</v>
      </c>
      <c r="I578" s="6" t="s">
        <v>32</v>
      </c>
      <c r="J578" s="7">
        <v>448.5</v>
      </c>
      <c r="K578" s="6" t="s">
        <v>33</v>
      </c>
      <c r="L578" s="6" t="s">
        <v>24</v>
      </c>
    </row>
    <row r="579" spans="1:12" ht="23" customHeight="1">
      <c r="A579" s="5" t="s">
        <v>29</v>
      </c>
      <c r="B579" s="6">
        <v>5</v>
      </c>
      <c r="C579" s="6">
        <v>2</v>
      </c>
      <c r="D579" s="6" t="s">
        <v>30</v>
      </c>
      <c r="E579" s="6">
        <v>142</v>
      </c>
      <c r="F579" s="6">
        <v>96</v>
      </c>
      <c r="G579" s="6">
        <v>1451</v>
      </c>
      <c r="H579" s="6">
        <v>6</v>
      </c>
      <c r="I579" s="6" t="s">
        <v>34</v>
      </c>
      <c r="J579" s="7">
        <v>448.5</v>
      </c>
      <c r="K579" s="6" t="s">
        <v>33</v>
      </c>
      <c r="L579" s="6" t="s">
        <v>24</v>
      </c>
    </row>
    <row r="580" spans="1:12" ht="23" customHeight="1">
      <c r="A580" s="5" t="s">
        <v>29</v>
      </c>
      <c r="B580" s="6">
        <v>5</v>
      </c>
      <c r="C580" s="6">
        <v>2</v>
      </c>
      <c r="D580" s="6" t="s">
        <v>30</v>
      </c>
      <c r="E580" s="6">
        <v>142</v>
      </c>
      <c r="F580" s="6">
        <v>96</v>
      </c>
      <c r="G580" s="6">
        <v>1451</v>
      </c>
      <c r="H580" s="6">
        <v>7</v>
      </c>
      <c r="I580" s="6" t="s">
        <v>35</v>
      </c>
      <c r="J580" s="7">
        <v>69957</v>
      </c>
      <c r="K580" s="6" t="s">
        <v>27</v>
      </c>
      <c r="L580" s="6" t="s">
        <v>24</v>
      </c>
    </row>
    <row r="581" spans="1:12" ht="23" customHeight="1">
      <c r="A581" s="5" t="s">
        <v>29</v>
      </c>
      <c r="B581" s="6">
        <v>5</v>
      </c>
      <c r="C581" s="6">
        <v>2</v>
      </c>
      <c r="D581" s="6" t="s">
        <v>30</v>
      </c>
      <c r="E581" s="6">
        <v>142</v>
      </c>
      <c r="F581" s="6">
        <v>96</v>
      </c>
      <c r="G581" s="6">
        <v>1451</v>
      </c>
      <c r="H581" s="6">
        <v>8</v>
      </c>
      <c r="I581" s="6" t="s">
        <v>36</v>
      </c>
      <c r="J581" s="7">
        <v>448.5</v>
      </c>
      <c r="K581" s="6" t="s">
        <v>33</v>
      </c>
      <c r="L581" s="6" t="s">
        <v>24</v>
      </c>
    </row>
    <row r="582" spans="1:12" ht="23" customHeight="1">
      <c r="A582" s="5" t="s">
        <v>29</v>
      </c>
      <c r="B582" s="6">
        <v>5</v>
      </c>
      <c r="C582" s="6">
        <v>2</v>
      </c>
      <c r="D582" s="6" t="s">
        <v>30</v>
      </c>
      <c r="E582" s="6">
        <v>142</v>
      </c>
      <c r="F582" s="6">
        <v>96</v>
      </c>
      <c r="G582" s="6">
        <v>1451</v>
      </c>
      <c r="H582" s="6">
        <v>9</v>
      </c>
      <c r="I582" s="6" t="s">
        <v>37</v>
      </c>
      <c r="J582" s="7">
        <v>448.5</v>
      </c>
      <c r="K582" s="6" t="s">
        <v>33</v>
      </c>
      <c r="L582" s="6" t="s">
        <v>24</v>
      </c>
    </row>
    <row r="583" spans="1:12" ht="23" customHeight="1">
      <c r="A583" s="5" t="s">
        <v>29</v>
      </c>
      <c r="B583" s="6">
        <v>5</v>
      </c>
      <c r="C583" s="6">
        <v>2</v>
      </c>
      <c r="D583" s="6" t="s">
        <v>30</v>
      </c>
      <c r="E583" s="6">
        <v>142</v>
      </c>
      <c r="F583" s="6">
        <v>96</v>
      </c>
      <c r="G583" s="6">
        <v>1451</v>
      </c>
      <c r="H583" s="6">
        <v>10</v>
      </c>
      <c r="I583" s="6" t="s">
        <v>38</v>
      </c>
      <c r="J583" s="7">
        <v>69957</v>
      </c>
      <c r="K583" s="6" t="s">
        <v>27</v>
      </c>
      <c r="L583" s="6" t="s">
        <v>24</v>
      </c>
    </row>
    <row r="584" spans="1:12" ht="23" customHeight="1">
      <c r="A584" s="5" t="s">
        <v>29</v>
      </c>
      <c r="B584" s="6">
        <v>5</v>
      </c>
      <c r="C584" s="6">
        <v>2</v>
      </c>
      <c r="D584" s="6" t="s">
        <v>30</v>
      </c>
      <c r="E584" s="6">
        <v>142</v>
      </c>
      <c r="F584" s="6">
        <v>96</v>
      </c>
      <c r="G584" s="6">
        <v>1451</v>
      </c>
      <c r="H584" s="6">
        <v>11</v>
      </c>
      <c r="I584" s="6" t="s">
        <v>39</v>
      </c>
      <c r="J584" s="7">
        <v>69957</v>
      </c>
      <c r="K584" s="6" t="s">
        <v>27</v>
      </c>
      <c r="L584" s="6" t="s">
        <v>24</v>
      </c>
    </row>
    <row r="585" spans="1:12" ht="23" customHeight="1">
      <c r="A585" s="5" t="s">
        <v>29</v>
      </c>
      <c r="B585" s="6">
        <v>5</v>
      </c>
      <c r="C585" s="6">
        <v>2</v>
      </c>
      <c r="D585" s="6" t="s">
        <v>30</v>
      </c>
      <c r="E585" s="6">
        <v>142</v>
      </c>
      <c r="F585" s="6">
        <v>96</v>
      </c>
      <c r="G585" s="6">
        <v>1451</v>
      </c>
      <c r="H585" s="6">
        <v>12</v>
      </c>
      <c r="I585" s="6" t="s">
        <v>40</v>
      </c>
      <c r="J585" s="7">
        <v>69957</v>
      </c>
      <c r="K585" s="6" t="s">
        <v>27</v>
      </c>
      <c r="L585" s="6" t="s">
        <v>24</v>
      </c>
    </row>
    <row r="586" spans="1:12" ht="23" customHeight="1">
      <c r="A586" s="5" t="s">
        <v>29</v>
      </c>
      <c r="B586" s="6">
        <v>5</v>
      </c>
      <c r="C586" s="6">
        <v>2</v>
      </c>
      <c r="D586" s="6" t="s">
        <v>30</v>
      </c>
      <c r="E586" s="6">
        <v>142</v>
      </c>
      <c r="F586" s="6">
        <v>96</v>
      </c>
      <c r="G586" s="6">
        <v>1451</v>
      </c>
      <c r="H586" s="6">
        <v>13</v>
      </c>
      <c r="I586" s="6" t="s">
        <v>41</v>
      </c>
      <c r="J586" s="7">
        <v>69957</v>
      </c>
      <c r="K586" s="6" t="s">
        <v>27</v>
      </c>
      <c r="L586" s="6" t="s">
        <v>24</v>
      </c>
    </row>
    <row r="587" spans="1:12" ht="23" customHeight="1">
      <c r="A587" s="5" t="s">
        <v>29</v>
      </c>
      <c r="B587" s="6">
        <v>5</v>
      </c>
      <c r="C587" s="6">
        <v>2</v>
      </c>
      <c r="D587" s="6" t="s">
        <v>30</v>
      </c>
      <c r="E587" s="6">
        <v>143</v>
      </c>
      <c r="F587" s="6">
        <v>97</v>
      </c>
      <c r="G587" s="6">
        <v>1452</v>
      </c>
      <c r="H587" s="6">
        <v>4</v>
      </c>
      <c r="I587" s="6" t="s">
        <v>31</v>
      </c>
      <c r="J587" s="7">
        <v>69957</v>
      </c>
      <c r="K587" s="6" t="s">
        <v>27</v>
      </c>
      <c r="L587" s="6" t="s">
        <v>24</v>
      </c>
    </row>
    <row r="588" spans="1:12" ht="23" customHeight="1">
      <c r="A588" s="5" t="s">
        <v>29</v>
      </c>
      <c r="B588" s="6">
        <v>5</v>
      </c>
      <c r="C588" s="6">
        <v>2</v>
      </c>
      <c r="D588" s="6" t="s">
        <v>30</v>
      </c>
      <c r="E588" s="6">
        <v>143</v>
      </c>
      <c r="F588" s="6">
        <v>97</v>
      </c>
      <c r="G588" s="6">
        <v>1452</v>
      </c>
      <c r="H588" s="6">
        <v>5</v>
      </c>
      <c r="I588" s="6" t="s">
        <v>32</v>
      </c>
      <c r="J588" s="7">
        <v>448.5</v>
      </c>
      <c r="K588" s="6" t="s">
        <v>33</v>
      </c>
      <c r="L588" s="6" t="s">
        <v>24</v>
      </c>
    </row>
    <row r="589" spans="1:12" ht="23" customHeight="1">
      <c r="A589" s="5" t="s">
        <v>29</v>
      </c>
      <c r="B589" s="6">
        <v>5</v>
      </c>
      <c r="C589" s="6">
        <v>2</v>
      </c>
      <c r="D589" s="6" t="s">
        <v>30</v>
      </c>
      <c r="E589" s="6">
        <v>143</v>
      </c>
      <c r="F589" s="6">
        <v>97</v>
      </c>
      <c r="G589" s="6">
        <v>1452</v>
      </c>
      <c r="H589" s="6">
        <v>6</v>
      </c>
      <c r="I589" s="6" t="s">
        <v>34</v>
      </c>
      <c r="J589" s="7">
        <v>448.5</v>
      </c>
      <c r="K589" s="6" t="s">
        <v>33</v>
      </c>
      <c r="L589" s="6" t="s">
        <v>24</v>
      </c>
    </row>
    <row r="590" spans="1:12" ht="23" customHeight="1">
      <c r="A590" s="5" t="s">
        <v>29</v>
      </c>
      <c r="B590" s="6">
        <v>5</v>
      </c>
      <c r="C590" s="6">
        <v>2</v>
      </c>
      <c r="D590" s="6" t="s">
        <v>30</v>
      </c>
      <c r="E590" s="6">
        <v>143</v>
      </c>
      <c r="F590" s="6">
        <v>97</v>
      </c>
      <c r="G590" s="6">
        <v>1452</v>
      </c>
      <c r="H590" s="6">
        <v>7</v>
      </c>
      <c r="I590" s="6" t="s">
        <v>35</v>
      </c>
      <c r="J590" s="7">
        <v>69957</v>
      </c>
      <c r="K590" s="6" t="s">
        <v>27</v>
      </c>
      <c r="L590" s="6" t="s">
        <v>24</v>
      </c>
    </row>
    <row r="591" spans="1:12" ht="23" customHeight="1">
      <c r="A591" s="5" t="s">
        <v>29</v>
      </c>
      <c r="B591" s="6">
        <v>5</v>
      </c>
      <c r="C591" s="6">
        <v>2</v>
      </c>
      <c r="D591" s="6" t="s">
        <v>30</v>
      </c>
      <c r="E591" s="6">
        <v>143</v>
      </c>
      <c r="F591" s="6">
        <v>97</v>
      </c>
      <c r="G591" s="6">
        <v>1452</v>
      </c>
      <c r="H591" s="6">
        <v>8</v>
      </c>
      <c r="I591" s="6" t="s">
        <v>36</v>
      </c>
      <c r="J591" s="7">
        <v>448.5</v>
      </c>
      <c r="K591" s="6" t="s">
        <v>33</v>
      </c>
      <c r="L591" s="6" t="s">
        <v>24</v>
      </c>
    </row>
    <row r="592" spans="1:12" ht="23" customHeight="1">
      <c r="A592" s="5" t="s">
        <v>29</v>
      </c>
      <c r="B592" s="6">
        <v>5</v>
      </c>
      <c r="C592" s="6">
        <v>2</v>
      </c>
      <c r="D592" s="6" t="s">
        <v>30</v>
      </c>
      <c r="E592" s="6">
        <v>143</v>
      </c>
      <c r="F592" s="6">
        <v>97</v>
      </c>
      <c r="G592" s="6">
        <v>1452</v>
      </c>
      <c r="H592" s="6">
        <v>9</v>
      </c>
      <c r="I592" s="6" t="s">
        <v>37</v>
      </c>
      <c r="J592" s="7">
        <v>448.5</v>
      </c>
      <c r="K592" s="6" t="s">
        <v>33</v>
      </c>
      <c r="L592" s="6" t="s">
        <v>24</v>
      </c>
    </row>
    <row r="593" spans="1:12" ht="23" customHeight="1">
      <c r="A593" s="5" t="s">
        <v>29</v>
      </c>
      <c r="B593" s="6">
        <v>5</v>
      </c>
      <c r="C593" s="6">
        <v>2</v>
      </c>
      <c r="D593" s="6" t="s">
        <v>30</v>
      </c>
      <c r="E593" s="6">
        <v>143</v>
      </c>
      <c r="F593" s="6">
        <v>97</v>
      </c>
      <c r="G593" s="6">
        <v>1452</v>
      </c>
      <c r="H593" s="6">
        <v>10</v>
      </c>
      <c r="I593" s="6" t="s">
        <v>38</v>
      </c>
      <c r="J593" s="7">
        <v>69957</v>
      </c>
      <c r="K593" s="6" t="s">
        <v>27</v>
      </c>
      <c r="L593" s="6" t="s">
        <v>24</v>
      </c>
    </row>
    <row r="594" spans="1:12" ht="23" customHeight="1">
      <c r="A594" s="5" t="s">
        <v>29</v>
      </c>
      <c r="B594" s="6">
        <v>5</v>
      </c>
      <c r="C594" s="6">
        <v>2</v>
      </c>
      <c r="D594" s="6" t="s">
        <v>30</v>
      </c>
      <c r="E594" s="6">
        <v>143</v>
      </c>
      <c r="F594" s="6">
        <v>97</v>
      </c>
      <c r="G594" s="6">
        <v>1452</v>
      </c>
      <c r="H594" s="6">
        <v>11</v>
      </c>
      <c r="I594" s="6" t="s">
        <v>39</v>
      </c>
      <c r="J594" s="7">
        <v>69957</v>
      </c>
      <c r="K594" s="6" t="s">
        <v>27</v>
      </c>
      <c r="L594" s="6" t="s">
        <v>24</v>
      </c>
    </row>
    <row r="595" spans="1:12" ht="23" customHeight="1">
      <c r="A595" s="5" t="s">
        <v>29</v>
      </c>
      <c r="B595" s="6">
        <v>5</v>
      </c>
      <c r="C595" s="6">
        <v>2</v>
      </c>
      <c r="D595" s="6" t="s">
        <v>30</v>
      </c>
      <c r="E595" s="6">
        <v>143</v>
      </c>
      <c r="F595" s="6">
        <v>97</v>
      </c>
      <c r="G595" s="6">
        <v>1452</v>
      </c>
      <c r="H595" s="6">
        <v>12</v>
      </c>
      <c r="I595" s="6" t="s">
        <v>40</v>
      </c>
      <c r="J595" s="7">
        <v>69957</v>
      </c>
      <c r="K595" s="6" t="s">
        <v>27</v>
      </c>
      <c r="L595" s="6" t="s">
        <v>24</v>
      </c>
    </row>
    <row r="596" spans="1:12" ht="23" customHeight="1">
      <c r="A596" s="5" t="s">
        <v>29</v>
      </c>
      <c r="B596" s="6">
        <v>5</v>
      </c>
      <c r="C596" s="6">
        <v>2</v>
      </c>
      <c r="D596" s="6" t="s">
        <v>30</v>
      </c>
      <c r="E596" s="6">
        <v>143</v>
      </c>
      <c r="F596" s="6">
        <v>97</v>
      </c>
      <c r="G596" s="6">
        <v>1452</v>
      </c>
      <c r="H596" s="6">
        <v>13</v>
      </c>
      <c r="I596" s="6" t="s">
        <v>41</v>
      </c>
      <c r="J596" s="7">
        <v>69957</v>
      </c>
      <c r="K596" s="6" t="s">
        <v>27</v>
      </c>
      <c r="L596" s="6" t="s">
        <v>24</v>
      </c>
    </row>
    <row r="597" spans="1:12" ht="23" customHeight="1">
      <c r="A597" s="5" t="s">
        <v>29</v>
      </c>
      <c r="B597" s="6">
        <v>5</v>
      </c>
      <c r="C597" s="6">
        <v>2</v>
      </c>
      <c r="D597" s="6" t="s">
        <v>30</v>
      </c>
      <c r="E597" s="6">
        <v>144</v>
      </c>
      <c r="F597" s="6">
        <v>98</v>
      </c>
      <c r="G597" s="6">
        <v>1453</v>
      </c>
      <c r="H597" s="6">
        <v>4</v>
      </c>
      <c r="I597" s="6" t="s">
        <v>31</v>
      </c>
      <c r="J597" s="7">
        <v>69957</v>
      </c>
      <c r="K597" s="6" t="s">
        <v>27</v>
      </c>
      <c r="L597" s="6" t="s">
        <v>24</v>
      </c>
    </row>
    <row r="598" spans="1:12" ht="23" customHeight="1">
      <c r="A598" s="5" t="s">
        <v>29</v>
      </c>
      <c r="B598" s="6">
        <v>5</v>
      </c>
      <c r="C598" s="6">
        <v>2</v>
      </c>
      <c r="D598" s="6" t="s">
        <v>30</v>
      </c>
      <c r="E598" s="6">
        <v>144</v>
      </c>
      <c r="F598" s="6">
        <v>98</v>
      </c>
      <c r="G598" s="6">
        <v>1453</v>
      </c>
      <c r="H598" s="6">
        <v>5</v>
      </c>
      <c r="I598" s="6" t="s">
        <v>32</v>
      </c>
      <c r="J598" s="7">
        <v>448.5</v>
      </c>
      <c r="K598" s="6" t="s">
        <v>33</v>
      </c>
      <c r="L598" s="6" t="s">
        <v>24</v>
      </c>
    </row>
    <row r="599" spans="1:12" ht="23" customHeight="1">
      <c r="A599" s="5" t="s">
        <v>29</v>
      </c>
      <c r="B599" s="6">
        <v>5</v>
      </c>
      <c r="C599" s="6">
        <v>2</v>
      </c>
      <c r="D599" s="6" t="s">
        <v>30</v>
      </c>
      <c r="E599" s="6">
        <v>144</v>
      </c>
      <c r="F599" s="6">
        <v>98</v>
      </c>
      <c r="G599" s="6">
        <v>1453</v>
      </c>
      <c r="H599" s="6">
        <v>6</v>
      </c>
      <c r="I599" s="6" t="s">
        <v>34</v>
      </c>
      <c r="J599" s="7">
        <v>448.5</v>
      </c>
      <c r="K599" s="6" t="s">
        <v>33</v>
      </c>
      <c r="L599" s="6" t="s">
        <v>24</v>
      </c>
    </row>
    <row r="600" spans="1:12" ht="23" customHeight="1">
      <c r="A600" s="5" t="s">
        <v>29</v>
      </c>
      <c r="B600" s="6">
        <v>5</v>
      </c>
      <c r="C600" s="6">
        <v>2</v>
      </c>
      <c r="D600" s="6" t="s">
        <v>30</v>
      </c>
      <c r="E600" s="6">
        <v>144</v>
      </c>
      <c r="F600" s="6">
        <v>98</v>
      </c>
      <c r="G600" s="6">
        <v>1453</v>
      </c>
      <c r="H600" s="6">
        <v>7</v>
      </c>
      <c r="I600" s="6" t="s">
        <v>35</v>
      </c>
      <c r="J600" s="7">
        <v>69957</v>
      </c>
      <c r="K600" s="6" t="s">
        <v>27</v>
      </c>
      <c r="L600" s="6" t="s">
        <v>24</v>
      </c>
    </row>
    <row r="601" spans="1:12" ht="23" customHeight="1">
      <c r="A601" s="5" t="s">
        <v>29</v>
      </c>
      <c r="B601" s="6">
        <v>5</v>
      </c>
      <c r="C601" s="6">
        <v>2</v>
      </c>
      <c r="D601" s="6" t="s">
        <v>30</v>
      </c>
      <c r="E601" s="6">
        <v>144</v>
      </c>
      <c r="F601" s="6">
        <v>98</v>
      </c>
      <c r="G601" s="6">
        <v>1453</v>
      </c>
      <c r="H601" s="6">
        <v>8</v>
      </c>
      <c r="I601" s="6" t="s">
        <v>36</v>
      </c>
      <c r="J601" s="7">
        <v>448.5</v>
      </c>
      <c r="K601" s="6" t="s">
        <v>33</v>
      </c>
      <c r="L601" s="6" t="s">
        <v>24</v>
      </c>
    </row>
    <row r="602" spans="1:12" ht="23" customHeight="1">
      <c r="A602" s="5" t="s">
        <v>29</v>
      </c>
      <c r="B602" s="6">
        <v>5</v>
      </c>
      <c r="C602" s="6">
        <v>2</v>
      </c>
      <c r="D602" s="6" t="s">
        <v>30</v>
      </c>
      <c r="E602" s="6">
        <v>144</v>
      </c>
      <c r="F602" s="6">
        <v>98</v>
      </c>
      <c r="G602" s="6">
        <v>1453</v>
      </c>
      <c r="H602" s="6">
        <v>9</v>
      </c>
      <c r="I602" s="6" t="s">
        <v>37</v>
      </c>
      <c r="J602" s="7">
        <v>448.5</v>
      </c>
      <c r="K602" s="6" t="s">
        <v>33</v>
      </c>
      <c r="L602" s="6" t="s">
        <v>24</v>
      </c>
    </row>
    <row r="603" spans="1:12" ht="23" customHeight="1">
      <c r="A603" s="5" t="s">
        <v>29</v>
      </c>
      <c r="B603" s="6">
        <v>5</v>
      </c>
      <c r="C603" s="6">
        <v>2</v>
      </c>
      <c r="D603" s="6" t="s">
        <v>30</v>
      </c>
      <c r="E603" s="6">
        <v>144</v>
      </c>
      <c r="F603" s="6">
        <v>98</v>
      </c>
      <c r="G603" s="6">
        <v>1453</v>
      </c>
      <c r="H603" s="6">
        <v>10</v>
      </c>
      <c r="I603" s="6" t="s">
        <v>38</v>
      </c>
      <c r="J603" s="7">
        <v>69957</v>
      </c>
      <c r="K603" s="6" t="s">
        <v>27</v>
      </c>
      <c r="L603" s="6" t="s">
        <v>24</v>
      </c>
    </row>
    <row r="604" spans="1:12" ht="23" customHeight="1">
      <c r="A604" s="5" t="s">
        <v>29</v>
      </c>
      <c r="B604" s="6">
        <v>5</v>
      </c>
      <c r="C604" s="6">
        <v>2</v>
      </c>
      <c r="D604" s="6" t="s">
        <v>30</v>
      </c>
      <c r="E604" s="6">
        <v>144</v>
      </c>
      <c r="F604" s="6">
        <v>98</v>
      </c>
      <c r="G604" s="6">
        <v>1453</v>
      </c>
      <c r="H604" s="6">
        <v>11</v>
      </c>
      <c r="I604" s="6" t="s">
        <v>39</v>
      </c>
      <c r="J604" s="7">
        <v>69957</v>
      </c>
      <c r="K604" s="6" t="s">
        <v>27</v>
      </c>
      <c r="L604" s="6" t="s">
        <v>24</v>
      </c>
    </row>
    <row r="605" spans="1:12" ht="23" customHeight="1">
      <c r="A605" s="5" t="s">
        <v>29</v>
      </c>
      <c r="B605" s="6">
        <v>5</v>
      </c>
      <c r="C605" s="6">
        <v>2</v>
      </c>
      <c r="D605" s="6" t="s">
        <v>30</v>
      </c>
      <c r="E605" s="6">
        <v>144</v>
      </c>
      <c r="F605" s="6">
        <v>98</v>
      </c>
      <c r="G605" s="6">
        <v>1453</v>
      </c>
      <c r="H605" s="6">
        <v>12</v>
      </c>
      <c r="I605" s="6" t="s">
        <v>40</v>
      </c>
      <c r="J605" s="7">
        <v>69957</v>
      </c>
      <c r="K605" s="6" t="s">
        <v>27</v>
      </c>
      <c r="L605" s="6" t="s">
        <v>24</v>
      </c>
    </row>
    <row r="606" spans="1:12" ht="23" customHeight="1">
      <c r="A606" s="5" t="s">
        <v>29</v>
      </c>
      <c r="B606" s="6">
        <v>5</v>
      </c>
      <c r="C606" s="6">
        <v>2</v>
      </c>
      <c r="D606" s="6" t="s">
        <v>30</v>
      </c>
      <c r="E606" s="6">
        <v>144</v>
      </c>
      <c r="F606" s="6">
        <v>98</v>
      </c>
      <c r="G606" s="6">
        <v>1453</v>
      </c>
      <c r="H606" s="6">
        <v>13</v>
      </c>
      <c r="I606" s="6" t="s">
        <v>41</v>
      </c>
      <c r="J606" s="7">
        <v>69957</v>
      </c>
      <c r="K606" s="6" t="s">
        <v>27</v>
      </c>
      <c r="L606" s="6" t="s">
        <v>24</v>
      </c>
    </row>
    <row r="607" spans="1:12" ht="23" customHeight="1">
      <c r="A607" s="5" t="s">
        <v>29</v>
      </c>
      <c r="B607" s="6">
        <v>5</v>
      </c>
      <c r="C607" s="6">
        <v>2</v>
      </c>
      <c r="D607" s="6" t="s">
        <v>30</v>
      </c>
      <c r="E607" s="6">
        <v>145</v>
      </c>
      <c r="F607" s="6">
        <v>99</v>
      </c>
      <c r="G607" s="6">
        <v>1454</v>
      </c>
      <c r="H607" s="6">
        <v>4</v>
      </c>
      <c r="I607" s="6" t="s">
        <v>31</v>
      </c>
      <c r="J607" s="7">
        <v>69957</v>
      </c>
      <c r="K607" s="6" t="s">
        <v>27</v>
      </c>
      <c r="L607" s="6" t="s">
        <v>24</v>
      </c>
    </row>
    <row r="608" spans="1:12" ht="23" customHeight="1">
      <c r="A608" s="5" t="s">
        <v>29</v>
      </c>
      <c r="B608" s="6">
        <v>5</v>
      </c>
      <c r="C608" s="6">
        <v>2</v>
      </c>
      <c r="D608" s="6" t="s">
        <v>30</v>
      </c>
      <c r="E608" s="6">
        <v>145</v>
      </c>
      <c r="F608" s="6">
        <v>99</v>
      </c>
      <c r="G608" s="6">
        <v>1454</v>
      </c>
      <c r="H608" s="6">
        <v>5</v>
      </c>
      <c r="I608" s="6" t="s">
        <v>32</v>
      </c>
      <c r="J608" s="7">
        <v>448.5</v>
      </c>
      <c r="K608" s="6" t="s">
        <v>33</v>
      </c>
      <c r="L608" s="6" t="s">
        <v>24</v>
      </c>
    </row>
    <row r="609" spans="1:12" ht="23" customHeight="1">
      <c r="A609" s="5" t="s">
        <v>29</v>
      </c>
      <c r="B609" s="6">
        <v>5</v>
      </c>
      <c r="C609" s="6">
        <v>2</v>
      </c>
      <c r="D609" s="6" t="s">
        <v>30</v>
      </c>
      <c r="E609" s="6">
        <v>145</v>
      </c>
      <c r="F609" s="6">
        <v>99</v>
      </c>
      <c r="G609" s="6">
        <v>1454</v>
      </c>
      <c r="H609" s="6">
        <v>6</v>
      </c>
      <c r="I609" s="6" t="s">
        <v>34</v>
      </c>
      <c r="J609" s="7">
        <v>448.5</v>
      </c>
      <c r="K609" s="6" t="s">
        <v>33</v>
      </c>
      <c r="L609" s="6" t="s">
        <v>24</v>
      </c>
    </row>
    <row r="610" spans="1:12" ht="23" customHeight="1">
      <c r="A610" s="5" t="s">
        <v>29</v>
      </c>
      <c r="B610" s="6">
        <v>5</v>
      </c>
      <c r="C610" s="6">
        <v>2</v>
      </c>
      <c r="D610" s="6" t="s">
        <v>30</v>
      </c>
      <c r="E610" s="6">
        <v>145</v>
      </c>
      <c r="F610" s="6">
        <v>99</v>
      </c>
      <c r="G610" s="6">
        <v>1454</v>
      </c>
      <c r="H610" s="6">
        <v>7</v>
      </c>
      <c r="I610" s="6" t="s">
        <v>35</v>
      </c>
      <c r="J610" s="7">
        <v>69957</v>
      </c>
      <c r="K610" s="6" t="s">
        <v>27</v>
      </c>
      <c r="L610" s="6" t="s">
        <v>24</v>
      </c>
    </row>
    <row r="611" spans="1:12" ht="23" customHeight="1">
      <c r="A611" s="5" t="s">
        <v>29</v>
      </c>
      <c r="B611" s="6">
        <v>5</v>
      </c>
      <c r="C611" s="6">
        <v>2</v>
      </c>
      <c r="D611" s="6" t="s">
        <v>30</v>
      </c>
      <c r="E611" s="6">
        <v>145</v>
      </c>
      <c r="F611" s="6">
        <v>99</v>
      </c>
      <c r="G611" s="6">
        <v>1454</v>
      </c>
      <c r="H611" s="6">
        <v>8</v>
      </c>
      <c r="I611" s="6" t="s">
        <v>36</v>
      </c>
      <c r="J611" s="7">
        <v>448.5</v>
      </c>
      <c r="K611" s="6" t="s">
        <v>33</v>
      </c>
      <c r="L611" s="6" t="s">
        <v>24</v>
      </c>
    </row>
    <row r="612" spans="1:12" ht="23" customHeight="1">
      <c r="A612" s="5" t="s">
        <v>29</v>
      </c>
      <c r="B612" s="6">
        <v>5</v>
      </c>
      <c r="C612" s="6">
        <v>2</v>
      </c>
      <c r="D612" s="6" t="s">
        <v>30</v>
      </c>
      <c r="E612" s="6">
        <v>145</v>
      </c>
      <c r="F612" s="6">
        <v>99</v>
      </c>
      <c r="G612" s="6">
        <v>1454</v>
      </c>
      <c r="H612" s="6">
        <v>9</v>
      </c>
      <c r="I612" s="6" t="s">
        <v>37</v>
      </c>
      <c r="J612" s="7">
        <v>448.5</v>
      </c>
      <c r="K612" s="6" t="s">
        <v>33</v>
      </c>
      <c r="L612" s="6" t="s">
        <v>24</v>
      </c>
    </row>
    <row r="613" spans="1:12" ht="23" customHeight="1">
      <c r="A613" s="5" t="s">
        <v>29</v>
      </c>
      <c r="B613" s="6">
        <v>5</v>
      </c>
      <c r="C613" s="6">
        <v>2</v>
      </c>
      <c r="D613" s="6" t="s">
        <v>30</v>
      </c>
      <c r="E613" s="6">
        <v>145</v>
      </c>
      <c r="F613" s="6">
        <v>99</v>
      </c>
      <c r="G613" s="6">
        <v>1454</v>
      </c>
      <c r="H613" s="6">
        <v>10</v>
      </c>
      <c r="I613" s="6" t="s">
        <v>38</v>
      </c>
      <c r="J613" s="7">
        <v>69957</v>
      </c>
      <c r="K613" s="6" t="s">
        <v>27</v>
      </c>
      <c r="L613" s="6" t="s">
        <v>24</v>
      </c>
    </row>
    <row r="614" spans="1:12" ht="23" customHeight="1">
      <c r="A614" s="5" t="s">
        <v>29</v>
      </c>
      <c r="B614" s="6">
        <v>5</v>
      </c>
      <c r="C614" s="6">
        <v>2</v>
      </c>
      <c r="D614" s="6" t="s">
        <v>30</v>
      </c>
      <c r="E614" s="6">
        <v>145</v>
      </c>
      <c r="F614" s="6">
        <v>99</v>
      </c>
      <c r="G614" s="6">
        <v>1454</v>
      </c>
      <c r="H614" s="6">
        <v>11</v>
      </c>
      <c r="I614" s="6" t="s">
        <v>39</v>
      </c>
      <c r="J614" s="7">
        <v>69957</v>
      </c>
      <c r="K614" s="6" t="s">
        <v>27</v>
      </c>
      <c r="L614" s="6" t="s">
        <v>24</v>
      </c>
    </row>
    <row r="615" spans="1:12" ht="23" customHeight="1">
      <c r="A615" s="5" t="s">
        <v>29</v>
      </c>
      <c r="B615" s="6">
        <v>5</v>
      </c>
      <c r="C615" s="6">
        <v>2</v>
      </c>
      <c r="D615" s="6" t="s">
        <v>30</v>
      </c>
      <c r="E615" s="6">
        <v>145</v>
      </c>
      <c r="F615" s="6">
        <v>99</v>
      </c>
      <c r="G615" s="6">
        <v>1454</v>
      </c>
      <c r="H615" s="6">
        <v>12</v>
      </c>
      <c r="I615" s="6" t="s">
        <v>40</v>
      </c>
      <c r="J615" s="7">
        <v>69957</v>
      </c>
      <c r="K615" s="6" t="s">
        <v>27</v>
      </c>
      <c r="L615" s="6" t="s">
        <v>24</v>
      </c>
    </row>
    <row r="616" spans="1:12" ht="23" customHeight="1">
      <c r="A616" s="5" t="s">
        <v>29</v>
      </c>
      <c r="B616" s="6">
        <v>5</v>
      </c>
      <c r="C616" s="6">
        <v>2</v>
      </c>
      <c r="D616" s="6" t="s">
        <v>30</v>
      </c>
      <c r="E616" s="6">
        <v>145</v>
      </c>
      <c r="F616" s="6">
        <v>99</v>
      </c>
      <c r="G616" s="6">
        <v>1454</v>
      </c>
      <c r="H616" s="6">
        <v>13</v>
      </c>
      <c r="I616" s="6" t="s">
        <v>41</v>
      </c>
      <c r="J616" s="7">
        <v>69957</v>
      </c>
      <c r="K616" s="6" t="s">
        <v>27</v>
      </c>
      <c r="L616" s="6" t="s">
        <v>24</v>
      </c>
    </row>
    <row r="617" spans="1:12" ht="23" customHeight="1">
      <c r="A617" s="5" t="s">
        <v>29</v>
      </c>
      <c r="B617" s="6">
        <v>5</v>
      </c>
      <c r="C617" s="6">
        <v>2</v>
      </c>
      <c r="D617" s="6" t="s">
        <v>30</v>
      </c>
      <c r="E617" s="6">
        <v>146</v>
      </c>
      <c r="F617" s="6">
        <v>100</v>
      </c>
      <c r="G617" s="6">
        <v>1455</v>
      </c>
      <c r="H617" s="6">
        <v>4</v>
      </c>
      <c r="I617" s="6" t="s">
        <v>31</v>
      </c>
      <c r="J617" s="7">
        <v>24216</v>
      </c>
      <c r="K617" s="6" t="s">
        <v>27</v>
      </c>
      <c r="L617" s="6" t="s">
        <v>24</v>
      </c>
    </row>
    <row r="618" spans="1:12" ht="23" customHeight="1">
      <c r="A618" s="5" t="s">
        <v>29</v>
      </c>
      <c r="B618" s="6">
        <v>5</v>
      </c>
      <c r="C618" s="6">
        <v>2</v>
      </c>
      <c r="D618" s="6" t="s">
        <v>30</v>
      </c>
      <c r="E618" s="6">
        <v>146</v>
      </c>
      <c r="F618" s="6">
        <v>100</v>
      </c>
      <c r="G618" s="6">
        <v>1455</v>
      </c>
      <c r="H618" s="6">
        <v>5</v>
      </c>
      <c r="I618" s="6" t="s">
        <v>32</v>
      </c>
      <c r="J618" s="7">
        <v>155.3</v>
      </c>
      <c r="K618" s="6" t="s">
        <v>33</v>
      </c>
      <c r="L618" s="6" t="s">
        <v>24</v>
      </c>
    </row>
    <row r="619" spans="1:12" ht="23" customHeight="1">
      <c r="A619" s="5" t="s">
        <v>29</v>
      </c>
      <c r="B619" s="6">
        <v>5</v>
      </c>
      <c r="C619" s="6">
        <v>2</v>
      </c>
      <c r="D619" s="6" t="s">
        <v>30</v>
      </c>
      <c r="E619" s="6">
        <v>146</v>
      </c>
      <c r="F619" s="6">
        <v>100</v>
      </c>
      <c r="G619" s="6">
        <v>1455</v>
      </c>
      <c r="H619" s="6">
        <v>6</v>
      </c>
      <c r="I619" s="6" t="s">
        <v>34</v>
      </c>
      <c r="J619" s="7">
        <v>155.3</v>
      </c>
      <c r="K619" s="6" t="s">
        <v>33</v>
      </c>
      <c r="L619" s="6" t="s">
        <v>24</v>
      </c>
    </row>
    <row r="620" spans="1:12" ht="23" customHeight="1">
      <c r="A620" s="5" t="s">
        <v>29</v>
      </c>
      <c r="B620" s="6">
        <v>5</v>
      </c>
      <c r="C620" s="6">
        <v>2</v>
      </c>
      <c r="D620" s="6" t="s">
        <v>30</v>
      </c>
      <c r="E620" s="6">
        <v>146</v>
      </c>
      <c r="F620" s="6">
        <v>100</v>
      </c>
      <c r="G620" s="6">
        <v>1455</v>
      </c>
      <c r="H620" s="6">
        <v>7</v>
      </c>
      <c r="I620" s="6" t="s">
        <v>35</v>
      </c>
      <c r="J620" s="7">
        <v>24216</v>
      </c>
      <c r="K620" s="6" t="s">
        <v>27</v>
      </c>
      <c r="L620" s="6" t="s">
        <v>24</v>
      </c>
    </row>
    <row r="621" spans="1:12" ht="23" customHeight="1">
      <c r="A621" s="5" t="s">
        <v>29</v>
      </c>
      <c r="B621" s="6">
        <v>5</v>
      </c>
      <c r="C621" s="6">
        <v>2</v>
      </c>
      <c r="D621" s="6" t="s">
        <v>30</v>
      </c>
      <c r="E621" s="6">
        <v>146</v>
      </c>
      <c r="F621" s="6">
        <v>100</v>
      </c>
      <c r="G621" s="6">
        <v>1455</v>
      </c>
      <c r="H621" s="6">
        <v>8</v>
      </c>
      <c r="I621" s="6" t="s">
        <v>36</v>
      </c>
      <c r="J621" s="7">
        <v>155.3</v>
      </c>
      <c r="K621" s="6" t="s">
        <v>33</v>
      </c>
      <c r="L621" s="6" t="s">
        <v>24</v>
      </c>
    </row>
    <row r="622" spans="1:12" ht="23" customHeight="1">
      <c r="A622" s="5" t="s">
        <v>29</v>
      </c>
      <c r="B622" s="6">
        <v>5</v>
      </c>
      <c r="C622" s="6">
        <v>2</v>
      </c>
      <c r="D622" s="6" t="s">
        <v>30</v>
      </c>
      <c r="E622" s="6">
        <v>146</v>
      </c>
      <c r="F622" s="6">
        <v>100</v>
      </c>
      <c r="G622" s="6">
        <v>1455</v>
      </c>
      <c r="H622" s="6">
        <v>9</v>
      </c>
      <c r="I622" s="6" t="s">
        <v>37</v>
      </c>
      <c r="J622" s="7">
        <v>155.3</v>
      </c>
      <c r="K622" s="6" t="s">
        <v>33</v>
      </c>
      <c r="L622" s="6" t="s">
        <v>24</v>
      </c>
    </row>
    <row r="623" spans="1:12" ht="23" customHeight="1">
      <c r="A623" s="5" t="s">
        <v>29</v>
      </c>
      <c r="B623" s="6">
        <v>5</v>
      </c>
      <c r="C623" s="6">
        <v>2</v>
      </c>
      <c r="D623" s="6" t="s">
        <v>30</v>
      </c>
      <c r="E623" s="6">
        <v>146</v>
      </c>
      <c r="F623" s="6">
        <v>100</v>
      </c>
      <c r="G623" s="6">
        <v>1455</v>
      </c>
      <c r="H623" s="6">
        <v>10</v>
      </c>
      <c r="I623" s="6" t="s">
        <v>38</v>
      </c>
      <c r="J623" s="7">
        <v>24216</v>
      </c>
      <c r="K623" s="6" t="s">
        <v>27</v>
      </c>
      <c r="L623" s="6" t="s">
        <v>24</v>
      </c>
    </row>
    <row r="624" spans="1:12" ht="23" customHeight="1">
      <c r="A624" s="5" t="s">
        <v>29</v>
      </c>
      <c r="B624" s="6">
        <v>5</v>
      </c>
      <c r="C624" s="6">
        <v>2</v>
      </c>
      <c r="D624" s="6" t="s">
        <v>30</v>
      </c>
      <c r="E624" s="6">
        <v>146</v>
      </c>
      <c r="F624" s="6">
        <v>100</v>
      </c>
      <c r="G624" s="6">
        <v>1455</v>
      </c>
      <c r="H624" s="6">
        <v>11</v>
      </c>
      <c r="I624" s="6" t="s">
        <v>39</v>
      </c>
      <c r="J624" s="7">
        <v>24216</v>
      </c>
      <c r="K624" s="6" t="s">
        <v>27</v>
      </c>
      <c r="L624" s="6" t="s">
        <v>24</v>
      </c>
    </row>
    <row r="625" spans="1:12" ht="23" customHeight="1">
      <c r="A625" s="5" t="s">
        <v>29</v>
      </c>
      <c r="B625" s="6">
        <v>5</v>
      </c>
      <c r="C625" s="6">
        <v>2</v>
      </c>
      <c r="D625" s="6" t="s">
        <v>30</v>
      </c>
      <c r="E625" s="6">
        <v>146</v>
      </c>
      <c r="F625" s="6">
        <v>100</v>
      </c>
      <c r="G625" s="6">
        <v>1455</v>
      </c>
      <c r="H625" s="6">
        <v>12</v>
      </c>
      <c r="I625" s="6" t="s">
        <v>40</v>
      </c>
      <c r="J625" s="7">
        <v>24216</v>
      </c>
      <c r="K625" s="6" t="s">
        <v>27</v>
      </c>
      <c r="L625" s="6" t="s">
        <v>24</v>
      </c>
    </row>
    <row r="626" spans="1:12" ht="23" customHeight="1">
      <c r="A626" s="5" t="s">
        <v>29</v>
      </c>
      <c r="B626" s="6">
        <v>5</v>
      </c>
      <c r="C626" s="6">
        <v>2</v>
      </c>
      <c r="D626" s="6" t="s">
        <v>30</v>
      </c>
      <c r="E626" s="6">
        <v>146</v>
      </c>
      <c r="F626" s="6">
        <v>100</v>
      </c>
      <c r="G626" s="6">
        <v>1455</v>
      </c>
      <c r="H626" s="6">
        <v>13</v>
      </c>
      <c r="I626" s="6" t="s">
        <v>41</v>
      </c>
      <c r="J626" s="7">
        <v>24216</v>
      </c>
      <c r="K626" s="6" t="s">
        <v>27</v>
      </c>
      <c r="L626" s="6" t="s">
        <v>24</v>
      </c>
    </row>
    <row r="627" spans="1:12" ht="23" customHeight="1">
      <c r="A627" s="5" t="s">
        <v>29</v>
      </c>
      <c r="B627" s="6">
        <v>6</v>
      </c>
      <c r="C627" s="6">
        <v>3</v>
      </c>
      <c r="D627" s="6" t="s">
        <v>30</v>
      </c>
      <c r="E627" s="6">
        <v>152</v>
      </c>
      <c r="F627" s="6">
        <v>101</v>
      </c>
      <c r="G627" s="6">
        <v>1456</v>
      </c>
      <c r="H627" s="6">
        <v>4</v>
      </c>
      <c r="I627" s="6" t="s">
        <v>31</v>
      </c>
      <c r="J627" s="7">
        <v>51629</v>
      </c>
      <c r="K627" s="6" t="s">
        <v>27</v>
      </c>
      <c r="L627" s="6" t="s">
        <v>24</v>
      </c>
    </row>
    <row r="628" spans="1:12" ht="23" customHeight="1">
      <c r="A628" s="5" t="s">
        <v>29</v>
      </c>
      <c r="B628" s="6">
        <v>6</v>
      </c>
      <c r="C628" s="6">
        <v>3</v>
      </c>
      <c r="D628" s="6" t="s">
        <v>30</v>
      </c>
      <c r="E628" s="6">
        <v>152</v>
      </c>
      <c r="F628" s="6">
        <v>101</v>
      </c>
      <c r="G628" s="6">
        <v>1456</v>
      </c>
      <c r="H628" s="6">
        <v>5</v>
      </c>
      <c r="I628" s="6" t="s">
        <v>32</v>
      </c>
      <c r="J628" s="7">
        <v>433.8</v>
      </c>
      <c r="K628" s="6" t="s">
        <v>33</v>
      </c>
      <c r="L628" s="6" t="s">
        <v>24</v>
      </c>
    </row>
    <row r="629" spans="1:12" ht="23" customHeight="1">
      <c r="A629" s="5" t="s">
        <v>29</v>
      </c>
      <c r="B629" s="6">
        <v>6</v>
      </c>
      <c r="C629" s="6">
        <v>3</v>
      </c>
      <c r="D629" s="6" t="s">
        <v>30</v>
      </c>
      <c r="E629" s="6">
        <v>152</v>
      </c>
      <c r="F629" s="6">
        <v>101</v>
      </c>
      <c r="G629" s="6">
        <v>1456</v>
      </c>
      <c r="H629" s="6">
        <v>6</v>
      </c>
      <c r="I629" s="6" t="s">
        <v>34</v>
      </c>
      <c r="J629" s="7">
        <v>433.8</v>
      </c>
      <c r="K629" s="6" t="s">
        <v>33</v>
      </c>
      <c r="L629" s="6" t="s">
        <v>24</v>
      </c>
    </row>
    <row r="630" spans="1:12" ht="23" customHeight="1">
      <c r="A630" s="5" t="s">
        <v>29</v>
      </c>
      <c r="B630" s="6">
        <v>6</v>
      </c>
      <c r="C630" s="6">
        <v>3</v>
      </c>
      <c r="D630" s="6" t="s">
        <v>30</v>
      </c>
      <c r="E630" s="6">
        <v>152</v>
      </c>
      <c r="F630" s="6">
        <v>101</v>
      </c>
      <c r="G630" s="6">
        <v>1456</v>
      </c>
      <c r="H630" s="6">
        <v>7</v>
      </c>
      <c r="I630" s="6" t="s">
        <v>35</v>
      </c>
      <c r="J630" s="7">
        <v>51629</v>
      </c>
      <c r="K630" s="6" t="s">
        <v>27</v>
      </c>
      <c r="L630" s="6" t="s">
        <v>24</v>
      </c>
    </row>
    <row r="631" spans="1:12" ht="23" customHeight="1">
      <c r="A631" s="5" t="s">
        <v>29</v>
      </c>
      <c r="B631" s="6">
        <v>6</v>
      </c>
      <c r="C631" s="6">
        <v>3</v>
      </c>
      <c r="D631" s="6" t="s">
        <v>30</v>
      </c>
      <c r="E631" s="6">
        <v>152</v>
      </c>
      <c r="F631" s="6">
        <v>101</v>
      </c>
      <c r="G631" s="6">
        <v>1456</v>
      </c>
      <c r="H631" s="6">
        <v>8</v>
      </c>
      <c r="I631" s="6" t="s">
        <v>36</v>
      </c>
      <c r="J631" s="7">
        <v>433.8</v>
      </c>
      <c r="K631" s="6" t="s">
        <v>33</v>
      </c>
      <c r="L631" s="6" t="s">
        <v>24</v>
      </c>
    </row>
    <row r="632" spans="1:12" ht="23" customHeight="1">
      <c r="A632" s="5" t="s">
        <v>29</v>
      </c>
      <c r="B632" s="6">
        <v>6</v>
      </c>
      <c r="C632" s="6">
        <v>3</v>
      </c>
      <c r="D632" s="6" t="s">
        <v>30</v>
      </c>
      <c r="E632" s="6">
        <v>152</v>
      </c>
      <c r="F632" s="6">
        <v>101</v>
      </c>
      <c r="G632" s="6">
        <v>1456</v>
      </c>
      <c r="H632" s="6">
        <v>9</v>
      </c>
      <c r="I632" s="6" t="s">
        <v>37</v>
      </c>
      <c r="J632" s="7">
        <v>433.8</v>
      </c>
      <c r="K632" s="6" t="s">
        <v>33</v>
      </c>
      <c r="L632" s="6" t="s">
        <v>24</v>
      </c>
    </row>
    <row r="633" spans="1:12" ht="23" customHeight="1">
      <c r="A633" s="5" t="s">
        <v>29</v>
      </c>
      <c r="B633" s="6">
        <v>6</v>
      </c>
      <c r="C633" s="6">
        <v>3</v>
      </c>
      <c r="D633" s="6" t="s">
        <v>30</v>
      </c>
      <c r="E633" s="6">
        <v>152</v>
      </c>
      <c r="F633" s="6">
        <v>101</v>
      </c>
      <c r="G633" s="6">
        <v>1456</v>
      </c>
      <c r="H633" s="6">
        <v>10</v>
      </c>
      <c r="I633" s="6" t="s">
        <v>38</v>
      </c>
      <c r="J633" s="7">
        <v>51629</v>
      </c>
      <c r="K633" s="6" t="s">
        <v>27</v>
      </c>
      <c r="L633" s="6" t="s">
        <v>24</v>
      </c>
    </row>
    <row r="634" spans="1:12" ht="23" customHeight="1">
      <c r="A634" s="5" t="s">
        <v>29</v>
      </c>
      <c r="B634" s="6">
        <v>6</v>
      </c>
      <c r="C634" s="6">
        <v>3</v>
      </c>
      <c r="D634" s="6" t="s">
        <v>30</v>
      </c>
      <c r="E634" s="6">
        <v>152</v>
      </c>
      <c r="F634" s="6">
        <v>101</v>
      </c>
      <c r="G634" s="6">
        <v>1456</v>
      </c>
      <c r="H634" s="6">
        <v>11</v>
      </c>
      <c r="I634" s="6" t="s">
        <v>39</v>
      </c>
      <c r="J634" s="7">
        <v>51629</v>
      </c>
      <c r="K634" s="6" t="s">
        <v>27</v>
      </c>
      <c r="L634" s="6" t="s">
        <v>24</v>
      </c>
    </row>
    <row r="635" spans="1:12" ht="23" customHeight="1">
      <c r="A635" s="5" t="s">
        <v>29</v>
      </c>
      <c r="B635" s="6">
        <v>6</v>
      </c>
      <c r="C635" s="6">
        <v>3</v>
      </c>
      <c r="D635" s="6" t="s">
        <v>30</v>
      </c>
      <c r="E635" s="6">
        <v>152</v>
      </c>
      <c r="F635" s="6">
        <v>101</v>
      </c>
      <c r="G635" s="6">
        <v>1456</v>
      </c>
      <c r="H635" s="6">
        <v>12</v>
      </c>
      <c r="I635" s="6" t="s">
        <v>40</v>
      </c>
      <c r="J635" s="7">
        <v>51629</v>
      </c>
      <c r="K635" s="6" t="s">
        <v>27</v>
      </c>
      <c r="L635" s="6" t="s">
        <v>24</v>
      </c>
    </row>
    <row r="636" spans="1:12" ht="23" customHeight="1">
      <c r="A636" s="5" t="s">
        <v>29</v>
      </c>
      <c r="B636" s="6">
        <v>6</v>
      </c>
      <c r="C636" s="6">
        <v>3</v>
      </c>
      <c r="D636" s="6" t="s">
        <v>30</v>
      </c>
      <c r="E636" s="6">
        <v>152</v>
      </c>
      <c r="F636" s="6">
        <v>101</v>
      </c>
      <c r="G636" s="6">
        <v>1456</v>
      </c>
      <c r="H636" s="6">
        <v>13</v>
      </c>
      <c r="I636" s="6" t="s">
        <v>41</v>
      </c>
      <c r="J636" s="7">
        <v>51629</v>
      </c>
      <c r="K636" s="6" t="s">
        <v>27</v>
      </c>
      <c r="L636" s="6" t="s">
        <v>24</v>
      </c>
    </row>
    <row r="637" spans="1:12" ht="23" customHeight="1">
      <c r="A637" s="5" t="s">
        <v>29</v>
      </c>
      <c r="B637" s="6">
        <v>6</v>
      </c>
      <c r="C637" s="6">
        <v>3</v>
      </c>
      <c r="D637" s="6" t="s">
        <v>30</v>
      </c>
      <c r="E637" s="6">
        <v>153</v>
      </c>
      <c r="F637" s="6">
        <v>102</v>
      </c>
      <c r="G637" s="6">
        <v>1457</v>
      </c>
      <c r="H637" s="6">
        <v>4</v>
      </c>
      <c r="I637" s="6" t="s">
        <v>31</v>
      </c>
      <c r="J637" s="7">
        <v>145626</v>
      </c>
      <c r="K637" s="6" t="s">
        <v>27</v>
      </c>
      <c r="L637" s="6" t="s">
        <v>24</v>
      </c>
    </row>
    <row r="638" spans="1:12" ht="23" customHeight="1">
      <c r="A638" s="5" t="s">
        <v>29</v>
      </c>
      <c r="B638" s="6">
        <v>6</v>
      </c>
      <c r="C638" s="6">
        <v>3</v>
      </c>
      <c r="D638" s="6" t="s">
        <v>30</v>
      </c>
      <c r="E638" s="6">
        <v>153</v>
      </c>
      <c r="F638" s="6">
        <v>102</v>
      </c>
      <c r="G638" s="6">
        <v>1457</v>
      </c>
      <c r="H638" s="6">
        <v>5</v>
      </c>
      <c r="I638" s="6" t="s">
        <v>32</v>
      </c>
      <c r="J638" s="7">
        <v>1835</v>
      </c>
      <c r="K638" s="6" t="s">
        <v>33</v>
      </c>
      <c r="L638" s="6" t="s">
        <v>24</v>
      </c>
    </row>
    <row r="639" spans="1:12" ht="23" customHeight="1">
      <c r="A639" s="5" t="s">
        <v>29</v>
      </c>
      <c r="B639" s="6">
        <v>6</v>
      </c>
      <c r="C639" s="6">
        <v>3</v>
      </c>
      <c r="D639" s="6" t="s">
        <v>30</v>
      </c>
      <c r="E639" s="6">
        <v>153</v>
      </c>
      <c r="F639" s="6">
        <v>102</v>
      </c>
      <c r="G639" s="6">
        <v>1457</v>
      </c>
      <c r="H639" s="6">
        <v>6</v>
      </c>
      <c r="I639" s="6" t="s">
        <v>34</v>
      </c>
      <c r="J639" s="7">
        <v>1835</v>
      </c>
      <c r="K639" s="6" t="s">
        <v>33</v>
      </c>
      <c r="L639" s="6" t="s">
        <v>24</v>
      </c>
    </row>
    <row r="640" spans="1:12" ht="23" customHeight="1">
      <c r="A640" s="5" t="s">
        <v>29</v>
      </c>
      <c r="B640" s="6">
        <v>6</v>
      </c>
      <c r="C640" s="6">
        <v>3</v>
      </c>
      <c r="D640" s="6" t="s">
        <v>30</v>
      </c>
      <c r="E640" s="6">
        <v>153</v>
      </c>
      <c r="F640" s="6">
        <v>102</v>
      </c>
      <c r="G640" s="6">
        <v>1457</v>
      </c>
      <c r="H640" s="6">
        <v>7</v>
      </c>
      <c r="I640" s="6" t="s">
        <v>35</v>
      </c>
      <c r="J640" s="7">
        <v>145626</v>
      </c>
      <c r="K640" s="6" t="s">
        <v>27</v>
      </c>
      <c r="L640" s="6" t="s">
        <v>24</v>
      </c>
    </row>
    <row r="641" spans="1:12" ht="23" customHeight="1">
      <c r="A641" s="5" t="s">
        <v>29</v>
      </c>
      <c r="B641" s="6">
        <v>6</v>
      </c>
      <c r="C641" s="6">
        <v>3</v>
      </c>
      <c r="D641" s="6" t="s">
        <v>30</v>
      </c>
      <c r="E641" s="6">
        <v>153</v>
      </c>
      <c r="F641" s="6">
        <v>102</v>
      </c>
      <c r="G641" s="6">
        <v>1457</v>
      </c>
      <c r="H641" s="6">
        <v>8</v>
      </c>
      <c r="I641" s="6" t="s">
        <v>36</v>
      </c>
      <c r="J641" s="7">
        <v>1835</v>
      </c>
      <c r="K641" s="6" t="s">
        <v>33</v>
      </c>
      <c r="L641" s="6" t="s">
        <v>24</v>
      </c>
    </row>
    <row r="642" spans="1:12" ht="23" customHeight="1">
      <c r="A642" s="5" t="s">
        <v>29</v>
      </c>
      <c r="B642" s="6">
        <v>6</v>
      </c>
      <c r="C642" s="6">
        <v>3</v>
      </c>
      <c r="D642" s="6" t="s">
        <v>30</v>
      </c>
      <c r="E642" s="6">
        <v>153</v>
      </c>
      <c r="F642" s="6">
        <v>102</v>
      </c>
      <c r="G642" s="6">
        <v>1457</v>
      </c>
      <c r="H642" s="6">
        <v>9</v>
      </c>
      <c r="I642" s="6" t="s">
        <v>37</v>
      </c>
      <c r="J642" s="7">
        <v>1835</v>
      </c>
      <c r="K642" s="6" t="s">
        <v>33</v>
      </c>
      <c r="L642" s="6" t="s">
        <v>24</v>
      </c>
    </row>
    <row r="643" spans="1:12" ht="23" customHeight="1">
      <c r="A643" s="5" t="s">
        <v>29</v>
      </c>
      <c r="B643" s="6">
        <v>6</v>
      </c>
      <c r="C643" s="6">
        <v>3</v>
      </c>
      <c r="D643" s="6" t="s">
        <v>30</v>
      </c>
      <c r="E643" s="6">
        <v>153</v>
      </c>
      <c r="F643" s="6">
        <v>102</v>
      </c>
      <c r="G643" s="6">
        <v>1457</v>
      </c>
      <c r="H643" s="6">
        <v>10</v>
      </c>
      <c r="I643" s="6" t="s">
        <v>38</v>
      </c>
      <c r="J643" s="7">
        <v>145626</v>
      </c>
      <c r="K643" s="6" t="s">
        <v>27</v>
      </c>
      <c r="L643" s="6" t="s">
        <v>24</v>
      </c>
    </row>
    <row r="644" spans="1:12" ht="23" customHeight="1">
      <c r="A644" s="5" t="s">
        <v>29</v>
      </c>
      <c r="B644" s="6">
        <v>6</v>
      </c>
      <c r="C644" s="6">
        <v>3</v>
      </c>
      <c r="D644" s="6" t="s">
        <v>30</v>
      </c>
      <c r="E644" s="6">
        <v>153</v>
      </c>
      <c r="F644" s="6">
        <v>102</v>
      </c>
      <c r="G644" s="6">
        <v>1457</v>
      </c>
      <c r="H644" s="6">
        <v>11</v>
      </c>
      <c r="I644" s="6" t="s">
        <v>39</v>
      </c>
      <c r="J644" s="7">
        <v>145626</v>
      </c>
      <c r="K644" s="6" t="s">
        <v>27</v>
      </c>
      <c r="L644" s="6" t="s">
        <v>24</v>
      </c>
    </row>
    <row r="645" spans="1:12" ht="23" customHeight="1">
      <c r="A645" s="5" t="s">
        <v>29</v>
      </c>
      <c r="B645" s="6">
        <v>6</v>
      </c>
      <c r="C645" s="6">
        <v>3</v>
      </c>
      <c r="D645" s="6" t="s">
        <v>30</v>
      </c>
      <c r="E645" s="6">
        <v>153</v>
      </c>
      <c r="F645" s="6">
        <v>102</v>
      </c>
      <c r="G645" s="6">
        <v>1457</v>
      </c>
      <c r="H645" s="6">
        <v>12</v>
      </c>
      <c r="I645" s="6" t="s">
        <v>40</v>
      </c>
      <c r="J645" s="7">
        <v>145626</v>
      </c>
      <c r="K645" s="6" t="s">
        <v>27</v>
      </c>
      <c r="L645" s="6" t="s">
        <v>24</v>
      </c>
    </row>
    <row r="646" spans="1:12" ht="23" customHeight="1">
      <c r="A646" s="5" t="s">
        <v>29</v>
      </c>
      <c r="B646" s="6">
        <v>6</v>
      </c>
      <c r="C646" s="6">
        <v>3</v>
      </c>
      <c r="D646" s="6" t="s">
        <v>30</v>
      </c>
      <c r="E646" s="6">
        <v>153</v>
      </c>
      <c r="F646" s="6">
        <v>102</v>
      </c>
      <c r="G646" s="6">
        <v>1457</v>
      </c>
      <c r="H646" s="6">
        <v>13</v>
      </c>
      <c r="I646" s="6" t="s">
        <v>41</v>
      </c>
      <c r="J646" s="7">
        <v>145626</v>
      </c>
      <c r="K646" s="6" t="s">
        <v>27</v>
      </c>
      <c r="L646" s="6" t="s">
        <v>24</v>
      </c>
    </row>
    <row r="647" spans="1:12" ht="23" customHeight="1">
      <c r="A647" s="5" t="s">
        <v>29</v>
      </c>
      <c r="B647" s="6">
        <v>6</v>
      </c>
      <c r="C647" s="6">
        <v>3</v>
      </c>
      <c r="D647" s="6" t="s">
        <v>30</v>
      </c>
      <c r="E647" s="6">
        <v>154</v>
      </c>
      <c r="F647" s="6">
        <v>103</v>
      </c>
      <c r="G647" s="6">
        <v>1458</v>
      </c>
      <c r="H647" s="6">
        <v>4</v>
      </c>
      <c r="I647" s="6" t="s">
        <v>31</v>
      </c>
      <c r="J647" s="7">
        <v>155634</v>
      </c>
      <c r="K647" s="6" t="s">
        <v>27</v>
      </c>
      <c r="L647" s="6" t="s">
        <v>24</v>
      </c>
    </row>
    <row r="648" spans="1:12" ht="23" customHeight="1">
      <c r="A648" s="5" t="s">
        <v>29</v>
      </c>
      <c r="B648" s="6">
        <v>6</v>
      </c>
      <c r="C648" s="6">
        <v>3</v>
      </c>
      <c r="D648" s="6" t="s">
        <v>30</v>
      </c>
      <c r="E648" s="6">
        <v>154</v>
      </c>
      <c r="F648" s="6">
        <v>103</v>
      </c>
      <c r="G648" s="6">
        <v>1458</v>
      </c>
      <c r="H648" s="6">
        <v>5</v>
      </c>
      <c r="I648" s="6" t="s">
        <v>32</v>
      </c>
      <c r="J648" s="7">
        <v>1794.4</v>
      </c>
      <c r="K648" s="6" t="s">
        <v>33</v>
      </c>
      <c r="L648" s="6" t="s">
        <v>24</v>
      </c>
    </row>
    <row r="649" spans="1:12" ht="23" customHeight="1">
      <c r="A649" s="5" t="s">
        <v>29</v>
      </c>
      <c r="B649" s="6">
        <v>6</v>
      </c>
      <c r="C649" s="6">
        <v>3</v>
      </c>
      <c r="D649" s="6" t="s">
        <v>30</v>
      </c>
      <c r="E649" s="6">
        <v>154</v>
      </c>
      <c r="F649" s="6">
        <v>103</v>
      </c>
      <c r="G649" s="6">
        <v>1458</v>
      </c>
      <c r="H649" s="6">
        <v>6</v>
      </c>
      <c r="I649" s="6" t="s">
        <v>34</v>
      </c>
      <c r="J649" s="7">
        <v>1794.4</v>
      </c>
      <c r="K649" s="6" t="s">
        <v>33</v>
      </c>
      <c r="L649" s="6" t="s">
        <v>24</v>
      </c>
    </row>
    <row r="650" spans="1:12" ht="23" customHeight="1">
      <c r="A650" s="5" t="s">
        <v>29</v>
      </c>
      <c r="B650" s="6">
        <v>6</v>
      </c>
      <c r="C650" s="6">
        <v>3</v>
      </c>
      <c r="D650" s="6" t="s">
        <v>30</v>
      </c>
      <c r="E650" s="6">
        <v>154</v>
      </c>
      <c r="F650" s="6">
        <v>103</v>
      </c>
      <c r="G650" s="6">
        <v>1458</v>
      </c>
      <c r="H650" s="6">
        <v>7</v>
      </c>
      <c r="I650" s="6" t="s">
        <v>35</v>
      </c>
      <c r="J650" s="7">
        <v>155634</v>
      </c>
      <c r="K650" s="6" t="s">
        <v>27</v>
      </c>
      <c r="L650" s="6" t="s">
        <v>24</v>
      </c>
    </row>
    <row r="651" spans="1:12" ht="23" customHeight="1">
      <c r="A651" s="5" t="s">
        <v>29</v>
      </c>
      <c r="B651" s="6">
        <v>6</v>
      </c>
      <c r="C651" s="6">
        <v>3</v>
      </c>
      <c r="D651" s="6" t="s">
        <v>30</v>
      </c>
      <c r="E651" s="6">
        <v>154</v>
      </c>
      <c r="F651" s="6">
        <v>103</v>
      </c>
      <c r="G651" s="6">
        <v>1458</v>
      </c>
      <c r="H651" s="6">
        <v>8</v>
      </c>
      <c r="I651" s="6" t="s">
        <v>36</v>
      </c>
      <c r="J651" s="7">
        <v>1794.4</v>
      </c>
      <c r="K651" s="6" t="s">
        <v>33</v>
      </c>
      <c r="L651" s="6" t="s">
        <v>24</v>
      </c>
    </row>
    <row r="652" spans="1:12" ht="23" customHeight="1">
      <c r="A652" s="5" t="s">
        <v>29</v>
      </c>
      <c r="B652" s="6">
        <v>6</v>
      </c>
      <c r="C652" s="6">
        <v>3</v>
      </c>
      <c r="D652" s="6" t="s">
        <v>30</v>
      </c>
      <c r="E652" s="6">
        <v>154</v>
      </c>
      <c r="F652" s="6">
        <v>103</v>
      </c>
      <c r="G652" s="6">
        <v>1458</v>
      </c>
      <c r="H652" s="6">
        <v>9</v>
      </c>
      <c r="I652" s="6" t="s">
        <v>37</v>
      </c>
      <c r="J652" s="7">
        <v>1794.4</v>
      </c>
      <c r="K652" s="6" t="s">
        <v>33</v>
      </c>
      <c r="L652" s="6" t="s">
        <v>24</v>
      </c>
    </row>
    <row r="653" spans="1:12" ht="23" customHeight="1">
      <c r="A653" s="5" t="s">
        <v>29</v>
      </c>
      <c r="B653" s="6">
        <v>6</v>
      </c>
      <c r="C653" s="6">
        <v>3</v>
      </c>
      <c r="D653" s="6" t="s">
        <v>30</v>
      </c>
      <c r="E653" s="6">
        <v>154</v>
      </c>
      <c r="F653" s="6">
        <v>103</v>
      </c>
      <c r="G653" s="6">
        <v>1458</v>
      </c>
      <c r="H653" s="6">
        <v>10</v>
      </c>
      <c r="I653" s="6" t="s">
        <v>38</v>
      </c>
      <c r="J653" s="7">
        <v>155634</v>
      </c>
      <c r="K653" s="6" t="s">
        <v>27</v>
      </c>
      <c r="L653" s="6" t="s">
        <v>24</v>
      </c>
    </row>
    <row r="654" spans="1:12" ht="23" customHeight="1">
      <c r="A654" s="5" t="s">
        <v>29</v>
      </c>
      <c r="B654" s="6">
        <v>6</v>
      </c>
      <c r="C654" s="6">
        <v>3</v>
      </c>
      <c r="D654" s="6" t="s">
        <v>30</v>
      </c>
      <c r="E654" s="6">
        <v>154</v>
      </c>
      <c r="F654" s="6">
        <v>103</v>
      </c>
      <c r="G654" s="6">
        <v>1458</v>
      </c>
      <c r="H654" s="6">
        <v>11</v>
      </c>
      <c r="I654" s="6" t="s">
        <v>39</v>
      </c>
      <c r="J654" s="7">
        <v>155634</v>
      </c>
      <c r="K654" s="6" t="s">
        <v>27</v>
      </c>
      <c r="L654" s="6" t="s">
        <v>24</v>
      </c>
    </row>
    <row r="655" spans="1:12" ht="23" customHeight="1">
      <c r="A655" s="5" t="s">
        <v>29</v>
      </c>
      <c r="B655" s="6">
        <v>6</v>
      </c>
      <c r="C655" s="6">
        <v>3</v>
      </c>
      <c r="D655" s="6" t="s">
        <v>30</v>
      </c>
      <c r="E655" s="6">
        <v>154</v>
      </c>
      <c r="F655" s="6">
        <v>103</v>
      </c>
      <c r="G655" s="6">
        <v>1458</v>
      </c>
      <c r="H655" s="6">
        <v>12</v>
      </c>
      <c r="I655" s="6" t="s">
        <v>40</v>
      </c>
      <c r="J655" s="7">
        <v>155634</v>
      </c>
      <c r="K655" s="6" t="s">
        <v>27</v>
      </c>
      <c r="L655" s="6" t="s">
        <v>24</v>
      </c>
    </row>
    <row r="656" spans="1:12" ht="23" customHeight="1">
      <c r="A656" s="5" t="s">
        <v>29</v>
      </c>
      <c r="B656" s="6">
        <v>6</v>
      </c>
      <c r="C656" s="6">
        <v>3</v>
      </c>
      <c r="D656" s="6" t="s">
        <v>30</v>
      </c>
      <c r="E656" s="6">
        <v>154</v>
      </c>
      <c r="F656" s="6">
        <v>103</v>
      </c>
      <c r="G656" s="6">
        <v>1458</v>
      </c>
      <c r="H656" s="6">
        <v>13</v>
      </c>
      <c r="I656" s="6" t="s">
        <v>41</v>
      </c>
      <c r="J656" s="7">
        <v>155634</v>
      </c>
      <c r="K656" s="6" t="s">
        <v>27</v>
      </c>
      <c r="L656" s="6" t="s">
        <v>24</v>
      </c>
    </row>
    <row r="657" spans="1:12" ht="23" customHeight="1">
      <c r="A657" s="5" t="s">
        <v>29</v>
      </c>
      <c r="B657" s="6">
        <v>6</v>
      </c>
      <c r="C657" s="6">
        <v>3</v>
      </c>
      <c r="D657" s="6" t="s">
        <v>30</v>
      </c>
      <c r="E657" s="6">
        <v>155</v>
      </c>
      <c r="F657" s="6">
        <v>104</v>
      </c>
      <c r="G657" s="6">
        <v>1459</v>
      </c>
      <c r="H657" s="6">
        <v>4</v>
      </c>
      <c r="I657" s="6" t="s">
        <v>31</v>
      </c>
      <c r="J657" s="7">
        <v>223257</v>
      </c>
      <c r="K657" s="6" t="s">
        <v>27</v>
      </c>
      <c r="L657" s="6" t="s">
        <v>24</v>
      </c>
    </row>
    <row r="658" spans="1:12" ht="23" customHeight="1">
      <c r="A658" s="5" t="s">
        <v>29</v>
      </c>
      <c r="B658" s="6">
        <v>6</v>
      </c>
      <c r="C658" s="6">
        <v>3</v>
      </c>
      <c r="D658" s="6" t="s">
        <v>30</v>
      </c>
      <c r="E658" s="6">
        <v>155</v>
      </c>
      <c r="F658" s="6">
        <v>104</v>
      </c>
      <c r="G658" s="6">
        <v>1459</v>
      </c>
      <c r="H658" s="6">
        <v>5</v>
      </c>
      <c r="I658" s="6" t="s">
        <v>32</v>
      </c>
      <c r="J658" s="7">
        <v>2313</v>
      </c>
      <c r="K658" s="6" t="s">
        <v>33</v>
      </c>
      <c r="L658" s="6" t="s">
        <v>24</v>
      </c>
    </row>
    <row r="659" spans="1:12" ht="23" customHeight="1">
      <c r="A659" s="5" t="s">
        <v>29</v>
      </c>
      <c r="B659" s="6">
        <v>6</v>
      </c>
      <c r="C659" s="6">
        <v>3</v>
      </c>
      <c r="D659" s="6" t="s">
        <v>30</v>
      </c>
      <c r="E659" s="6">
        <v>155</v>
      </c>
      <c r="F659" s="6">
        <v>104</v>
      </c>
      <c r="G659" s="6">
        <v>1459</v>
      </c>
      <c r="H659" s="6">
        <v>6</v>
      </c>
      <c r="I659" s="6" t="s">
        <v>34</v>
      </c>
      <c r="J659" s="7">
        <v>2313</v>
      </c>
      <c r="K659" s="6" t="s">
        <v>33</v>
      </c>
      <c r="L659" s="6" t="s">
        <v>24</v>
      </c>
    </row>
    <row r="660" spans="1:12" ht="23" customHeight="1">
      <c r="A660" s="5" t="s">
        <v>29</v>
      </c>
      <c r="B660" s="6">
        <v>6</v>
      </c>
      <c r="C660" s="6">
        <v>3</v>
      </c>
      <c r="D660" s="6" t="s">
        <v>30</v>
      </c>
      <c r="E660" s="6">
        <v>155</v>
      </c>
      <c r="F660" s="6">
        <v>104</v>
      </c>
      <c r="G660" s="6">
        <v>1459</v>
      </c>
      <c r="H660" s="6">
        <v>7</v>
      </c>
      <c r="I660" s="6" t="s">
        <v>35</v>
      </c>
      <c r="J660" s="7">
        <v>223257</v>
      </c>
      <c r="K660" s="6" t="s">
        <v>27</v>
      </c>
      <c r="L660" s="6" t="s">
        <v>24</v>
      </c>
    </row>
    <row r="661" spans="1:12" ht="23" customHeight="1">
      <c r="A661" s="5" t="s">
        <v>29</v>
      </c>
      <c r="B661" s="6">
        <v>6</v>
      </c>
      <c r="C661" s="6">
        <v>3</v>
      </c>
      <c r="D661" s="6" t="s">
        <v>30</v>
      </c>
      <c r="E661" s="6">
        <v>155</v>
      </c>
      <c r="F661" s="6">
        <v>104</v>
      </c>
      <c r="G661" s="6">
        <v>1459</v>
      </c>
      <c r="H661" s="6">
        <v>8</v>
      </c>
      <c r="I661" s="6" t="s">
        <v>36</v>
      </c>
      <c r="J661" s="7">
        <v>2313</v>
      </c>
      <c r="K661" s="6" t="s">
        <v>33</v>
      </c>
      <c r="L661" s="6" t="s">
        <v>24</v>
      </c>
    </row>
    <row r="662" spans="1:12" ht="23" customHeight="1">
      <c r="A662" s="5" t="s">
        <v>29</v>
      </c>
      <c r="B662" s="6">
        <v>6</v>
      </c>
      <c r="C662" s="6">
        <v>3</v>
      </c>
      <c r="D662" s="6" t="s">
        <v>30</v>
      </c>
      <c r="E662" s="6">
        <v>155</v>
      </c>
      <c r="F662" s="6">
        <v>104</v>
      </c>
      <c r="G662" s="6">
        <v>1459</v>
      </c>
      <c r="H662" s="6">
        <v>9</v>
      </c>
      <c r="I662" s="6" t="s">
        <v>37</v>
      </c>
      <c r="J662" s="7">
        <v>2313</v>
      </c>
      <c r="K662" s="6" t="s">
        <v>33</v>
      </c>
      <c r="L662" s="6" t="s">
        <v>24</v>
      </c>
    </row>
    <row r="663" spans="1:12" ht="23" customHeight="1">
      <c r="A663" s="5" t="s">
        <v>29</v>
      </c>
      <c r="B663" s="6">
        <v>6</v>
      </c>
      <c r="C663" s="6">
        <v>3</v>
      </c>
      <c r="D663" s="6" t="s">
        <v>30</v>
      </c>
      <c r="E663" s="6">
        <v>155</v>
      </c>
      <c r="F663" s="6">
        <v>104</v>
      </c>
      <c r="G663" s="6">
        <v>1459</v>
      </c>
      <c r="H663" s="6">
        <v>10</v>
      </c>
      <c r="I663" s="6" t="s">
        <v>38</v>
      </c>
      <c r="J663" s="7">
        <v>223257</v>
      </c>
      <c r="K663" s="6" t="s">
        <v>27</v>
      </c>
      <c r="L663" s="6" t="s">
        <v>24</v>
      </c>
    </row>
    <row r="664" spans="1:12" ht="23" customHeight="1">
      <c r="A664" s="5" t="s">
        <v>29</v>
      </c>
      <c r="B664" s="6">
        <v>6</v>
      </c>
      <c r="C664" s="6">
        <v>3</v>
      </c>
      <c r="D664" s="6" t="s">
        <v>30</v>
      </c>
      <c r="E664" s="6">
        <v>155</v>
      </c>
      <c r="F664" s="6">
        <v>104</v>
      </c>
      <c r="G664" s="6">
        <v>1459</v>
      </c>
      <c r="H664" s="6">
        <v>11</v>
      </c>
      <c r="I664" s="6" t="s">
        <v>39</v>
      </c>
      <c r="J664" s="7">
        <v>223257</v>
      </c>
      <c r="K664" s="6" t="s">
        <v>27</v>
      </c>
      <c r="L664" s="6" t="s">
        <v>24</v>
      </c>
    </row>
    <row r="665" spans="1:12" ht="23" customHeight="1">
      <c r="A665" s="5" t="s">
        <v>29</v>
      </c>
      <c r="B665" s="6">
        <v>6</v>
      </c>
      <c r="C665" s="6">
        <v>3</v>
      </c>
      <c r="D665" s="6" t="s">
        <v>30</v>
      </c>
      <c r="E665" s="6">
        <v>155</v>
      </c>
      <c r="F665" s="6">
        <v>104</v>
      </c>
      <c r="G665" s="6">
        <v>1459</v>
      </c>
      <c r="H665" s="6">
        <v>12</v>
      </c>
      <c r="I665" s="6" t="s">
        <v>40</v>
      </c>
      <c r="J665" s="7">
        <v>223257</v>
      </c>
      <c r="K665" s="6" t="s">
        <v>27</v>
      </c>
      <c r="L665" s="6" t="s">
        <v>24</v>
      </c>
    </row>
    <row r="666" spans="1:12" ht="23" customHeight="1">
      <c r="A666" s="5" t="s">
        <v>29</v>
      </c>
      <c r="B666" s="6">
        <v>6</v>
      </c>
      <c r="C666" s="6">
        <v>3</v>
      </c>
      <c r="D666" s="6" t="s">
        <v>30</v>
      </c>
      <c r="E666" s="6">
        <v>155</v>
      </c>
      <c r="F666" s="6">
        <v>104</v>
      </c>
      <c r="G666" s="6">
        <v>1459</v>
      </c>
      <c r="H666" s="6">
        <v>13</v>
      </c>
      <c r="I666" s="6" t="s">
        <v>41</v>
      </c>
      <c r="J666" s="7">
        <v>223257</v>
      </c>
      <c r="K666" s="6" t="s">
        <v>27</v>
      </c>
      <c r="L666" s="6" t="s">
        <v>24</v>
      </c>
    </row>
    <row r="667" spans="1:12" ht="23" customHeight="1">
      <c r="A667" s="5" t="s">
        <v>29</v>
      </c>
      <c r="B667" s="6">
        <v>6</v>
      </c>
      <c r="C667" s="6">
        <v>3</v>
      </c>
      <c r="D667" s="6" t="s">
        <v>30</v>
      </c>
      <c r="E667" s="6">
        <v>156</v>
      </c>
      <c r="F667" s="6">
        <v>105</v>
      </c>
      <c r="G667" s="6">
        <v>1460</v>
      </c>
      <c r="H667" s="6">
        <v>4</v>
      </c>
      <c r="I667" s="6" t="s">
        <v>31</v>
      </c>
      <c r="J667" s="7">
        <v>218438</v>
      </c>
      <c r="K667" s="6" t="s">
        <v>27</v>
      </c>
      <c r="L667" s="6" t="s">
        <v>24</v>
      </c>
    </row>
    <row r="668" spans="1:12" ht="23" customHeight="1">
      <c r="A668" s="5" t="s">
        <v>29</v>
      </c>
      <c r="B668" s="6">
        <v>6</v>
      </c>
      <c r="C668" s="6">
        <v>3</v>
      </c>
      <c r="D668" s="6" t="s">
        <v>30</v>
      </c>
      <c r="E668" s="6">
        <v>156</v>
      </c>
      <c r="F668" s="6">
        <v>105</v>
      </c>
      <c r="G668" s="6">
        <v>1460</v>
      </c>
      <c r="H668" s="6">
        <v>5</v>
      </c>
      <c r="I668" s="6" t="s">
        <v>32</v>
      </c>
      <c r="J668" s="7">
        <v>2752.4</v>
      </c>
      <c r="K668" s="6" t="s">
        <v>33</v>
      </c>
      <c r="L668" s="6" t="s">
        <v>24</v>
      </c>
    </row>
    <row r="669" spans="1:12" ht="23" customHeight="1">
      <c r="A669" s="5" t="s">
        <v>29</v>
      </c>
      <c r="B669" s="6">
        <v>6</v>
      </c>
      <c r="C669" s="6">
        <v>3</v>
      </c>
      <c r="D669" s="6" t="s">
        <v>30</v>
      </c>
      <c r="E669" s="6">
        <v>156</v>
      </c>
      <c r="F669" s="6">
        <v>105</v>
      </c>
      <c r="G669" s="6">
        <v>1460</v>
      </c>
      <c r="H669" s="6">
        <v>6</v>
      </c>
      <c r="I669" s="6" t="s">
        <v>34</v>
      </c>
      <c r="J669" s="7">
        <v>2752.4</v>
      </c>
      <c r="K669" s="6" t="s">
        <v>33</v>
      </c>
      <c r="L669" s="6" t="s">
        <v>24</v>
      </c>
    </row>
    <row r="670" spans="1:12" ht="23" customHeight="1">
      <c r="A670" s="5" t="s">
        <v>29</v>
      </c>
      <c r="B670" s="6">
        <v>6</v>
      </c>
      <c r="C670" s="6">
        <v>3</v>
      </c>
      <c r="D670" s="6" t="s">
        <v>30</v>
      </c>
      <c r="E670" s="6">
        <v>156</v>
      </c>
      <c r="F670" s="6">
        <v>105</v>
      </c>
      <c r="G670" s="6">
        <v>1460</v>
      </c>
      <c r="H670" s="6">
        <v>7</v>
      </c>
      <c r="I670" s="6" t="s">
        <v>35</v>
      </c>
      <c r="J670" s="7">
        <v>218438</v>
      </c>
      <c r="K670" s="6" t="s">
        <v>27</v>
      </c>
      <c r="L670" s="6" t="s">
        <v>24</v>
      </c>
    </row>
    <row r="671" spans="1:12" ht="23" customHeight="1">
      <c r="A671" s="5" t="s">
        <v>29</v>
      </c>
      <c r="B671" s="6">
        <v>6</v>
      </c>
      <c r="C671" s="6">
        <v>3</v>
      </c>
      <c r="D671" s="6" t="s">
        <v>30</v>
      </c>
      <c r="E671" s="6">
        <v>156</v>
      </c>
      <c r="F671" s="6">
        <v>105</v>
      </c>
      <c r="G671" s="6">
        <v>1460</v>
      </c>
      <c r="H671" s="6">
        <v>8</v>
      </c>
      <c r="I671" s="6" t="s">
        <v>36</v>
      </c>
      <c r="J671" s="7">
        <v>2752.4</v>
      </c>
      <c r="K671" s="6" t="s">
        <v>33</v>
      </c>
      <c r="L671" s="6" t="s">
        <v>24</v>
      </c>
    </row>
    <row r="672" spans="1:12" ht="23" customHeight="1">
      <c r="A672" s="5" t="s">
        <v>29</v>
      </c>
      <c r="B672" s="6">
        <v>6</v>
      </c>
      <c r="C672" s="6">
        <v>3</v>
      </c>
      <c r="D672" s="6" t="s">
        <v>30</v>
      </c>
      <c r="E672" s="6">
        <v>156</v>
      </c>
      <c r="F672" s="6">
        <v>105</v>
      </c>
      <c r="G672" s="6">
        <v>1460</v>
      </c>
      <c r="H672" s="6">
        <v>9</v>
      </c>
      <c r="I672" s="6" t="s">
        <v>37</v>
      </c>
      <c r="J672" s="7">
        <v>2752.4</v>
      </c>
      <c r="K672" s="6" t="s">
        <v>33</v>
      </c>
      <c r="L672" s="6" t="s">
        <v>24</v>
      </c>
    </row>
    <row r="673" spans="1:12" ht="23" customHeight="1">
      <c r="A673" s="5" t="s">
        <v>29</v>
      </c>
      <c r="B673" s="6">
        <v>6</v>
      </c>
      <c r="C673" s="6">
        <v>3</v>
      </c>
      <c r="D673" s="6" t="s">
        <v>30</v>
      </c>
      <c r="E673" s="6">
        <v>156</v>
      </c>
      <c r="F673" s="6">
        <v>105</v>
      </c>
      <c r="G673" s="6">
        <v>1460</v>
      </c>
      <c r="H673" s="6">
        <v>10</v>
      </c>
      <c r="I673" s="6" t="s">
        <v>38</v>
      </c>
      <c r="J673" s="7">
        <v>218438</v>
      </c>
      <c r="K673" s="6" t="s">
        <v>27</v>
      </c>
      <c r="L673" s="6" t="s">
        <v>24</v>
      </c>
    </row>
    <row r="674" spans="1:12" ht="23" customHeight="1">
      <c r="A674" s="5" t="s">
        <v>29</v>
      </c>
      <c r="B674" s="6">
        <v>6</v>
      </c>
      <c r="C674" s="6">
        <v>3</v>
      </c>
      <c r="D674" s="6" t="s">
        <v>30</v>
      </c>
      <c r="E674" s="6">
        <v>156</v>
      </c>
      <c r="F674" s="6">
        <v>105</v>
      </c>
      <c r="G674" s="6">
        <v>1460</v>
      </c>
      <c r="H674" s="6">
        <v>11</v>
      </c>
      <c r="I674" s="6" t="s">
        <v>39</v>
      </c>
      <c r="J674" s="7">
        <v>218438</v>
      </c>
      <c r="K674" s="6" t="s">
        <v>27</v>
      </c>
      <c r="L674" s="6" t="s">
        <v>24</v>
      </c>
    </row>
    <row r="675" spans="1:12" ht="23" customHeight="1">
      <c r="A675" s="5" t="s">
        <v>29</v>
      </c>
      <c r="B675" s="6">
        <v>6</v>
      </c>
      <c r="C675" s="6">
        <v>3</v>
      </c>
      <c r="D675" s="6" t="s">
        <v>30</v>
      </c>
      <c r="E675" s="6">
        <v>156</v>
      </c>
      <c r="F675" s="6">
        <v>105</v>
      </c>
      <c r="G675" s="6">
        <v>1460</v>
      </c>
      <c r="H675" s="6">
        <v>12</v>
      </c>
      <c r="I675" s="6" t="s">
        <v>40</v>
      </c>
      <c r="J675" s="7">
        <v>218438</v>
      </c>
      <c r="K675" s="6" t="s">
        <v>27</v>
      </c>
      <c r="L675" s="6" t="s">
        <v>24</v>
      </c>
    </row>
    <row r="676" spans="1:12" ht="23" customHeight="1">
      <c r="A676" s="5" t="s">
        <v>29</v>
      </c>
      <c r="B676" s="6">
        <v>6</v>
      </c>
      <c r="C676" s="6">
        <v>3</v>
      </c>
      <c r="D676" s="6" t="s">
        <v>30</v>
      </c>
      <c r="E676" s="6">
        <v>156</v>
      </c>
      <c r="F676" s="6">
        <v>105</v>
      </c>
      <c r="G676" s="6">
        <v>1460</v>
      </c>
      <c r="H676" s="6">
        <v>13</v>
      </c>
      <c r="I676" s="6" t="s">
        <v>41</v>
      </c>
      <c r="J676" s="7">
        <v>218438</v>
      </c>
      <c r="K676" s="6" t="s">
        <v>27</v>
      </c>
      <c r="L676" s="6" t="s">
        <v>24</v>
      </c>
    </row>
    <row r="677" spans="1:12" ht="23" customHeight="1">
      <c r="A677" s="5" t="s">
        <v>29</v>
      </c>
      <c r="B677" s="6">
        <v>6</v>
      </c>
      <c r="C677" s="6">
        <v>3</v>
      </c>
      <c r="D677" s="6" t="s">
        <v>30</v>
      </c>
      <c r="E677" s="6">
        <v>157</v>
      </c>
      <c r="F677" s="6">
        <v>106</v>
      </c>
      <c r="G677" s="6">
        <v>1461</v>
      </c>
      <c r="H677" s="6">
        <v>4</v>
      </c>
      <c r="I677" s="6" t="s">
        <v>31</v>
      </c>
      <c r="J677" s="7">
        <v>218438</v>
      </c>
      <c r="K677" s="6" t="s">
        <v>27</v>
      </c>
      <c r="L677" s="6" t="s">
        <v>24</v>
      </c>
    </row>
    <row r="678" spans="1:12" ht="23" customHeight="1">
      <c r="A678" s="5" t="s">
        <v>29</v>
      </c>
      <c r="B678" s="6">
        <v>6</v>
      </c>
      <c r="C678" s="6">
        <v>3</v>
      </c>
      <c r="D678" s="6" t="s">
        <v>30</v>
      </c>
      <c r="E678" s="6">
        <v>157</v>
      </c>
      <c r="F678" s="6">
        <v>106</v>
      </c>
      <c r="G678" s="6">
        <v>1461</v>
      </c>
      <c r="H678" s="6">
        <v>5</v>
      </c>
      <c r="I678" s="6" t="s">
        <v>32</v>
      </c>
      <c r="J678" s="7">
        <v>2752.4</v>
      </c>
      <c r="K678" s="6" t="s">
        <v>33</v>
      </c>
      <c r="L678" s="6" t="s">
        <v>24</v>
      </c>
    </row>
    <row r="679" spans="1:12" ht="23" customHeight="1">
      <c r="A679" s="5" t="s">
        <v>29</v>
      </c>
      <c r="B679" s="6">
        <v>6</v>
      </c>
      <c r="C679" s="6">
        <v>3</v>
      </c>
      <c r="D679" s="6" t="s">
        <v>30</v>
      </c>
      <c r="E679" s="6">
        <v>157</v>
      </c>
      <c r="F679" s="6">
        <v>106</v>
      </c>
      <c r="G679" s="6">
        <v>1461</v>
      </c>
      <c r="H679" s="6">
        <v>6</v>
      </c>
      <c r="I679" s="6" t="s">
        <v>34</v>
      </c>
      <c r="J679" s="7">
        <v>2752.4</v>
      </c>
      <c r="K679" s="6" t="s">
        <v>33</v>
      </c>
      <c r="L679" s="6" t="s">
        <v>24</v>
      </c>
    </row>
    <row r="680" spans="1:12" ht="23" customHeight="1">
      <c r="A680" s="5" t="s">
        <v>29</v>
      </c>
      <c r="B680" s="6">
        <v>6</v>
      </c>
      <c r="C680" s="6">
        <v>3</v>
      </c>
      <c r="D680" s="6" t="s">
        <v>30</v>
      </c>
      <c r="E680" s="6">
        <v>157</v>
      </c>
      <c r="F680" s="6">
        <v>106</v>
      </c>
      <c r="G680" s="6">
        <v>1461</v>
      </c>
      <c r="H680" s="6">
        <v>7</v>
      </c>
      <c r="I680" s="6" t="s">
        <v>35</v>
      </c>
      <c r="J680" s="7">
        <v>218438</v>
      </c>
      <c r="K680" s="6" t="s">
        <v>27</v>
      </c>
      <c r="L680" s="6" t="s">
        <v>24</v>
      </c>
    </row>
    <row r="681" spans="1:12" ht="23" customHeight="1">
      <c r="A681" s="5" t="s">
        <v>29</v>
      </c>
      <c r="B681" s="6">
        <v>6</v>
      </c>
      <c r="C681" s="6">
        <v>3</v>
      </c>
      <c r="D681" s="6" t="s">
        <v>30</v>
      </c>
      <c r="E681" s="6">
        <v>157</v>
      </c>
      <c r="F681" s="6">
        <v>106</v>
      </c>
      <c r="G681" s="6">
        <v>1461</v>
      </c>
      <c r="H681" s="6">
        <v>8</v>
      </c>
      <c r="I681" s="6" t="s">
        <v>36</v>
      </c>
      <c r="J681" s="7">
        <v>2752.4</v>
      </c>
      <c r="K681" s="6" t="s">
        <v>33</v>
      </c>
      <c r="L681" s="6" t="s">
        <v>24</v>
      </c>
    </row>
    <row r="682" spans="1:12" ht="23" customHeight="1">
      <c r="A682" s="5" t="s">
        <v>29</v>
      </c>
      <c r="B682" s="6">
        <v>6</v>
      </c>
      <c r="C682" s="6">
        <v>3</v>
      </c>
      <c r="D682" s="6" t="s">
        <v>30</v>
      </c>
      <c r="E682" s="6">
        <v>157</v>
      </c>
      <c r="F682" s="6">
        <v>106</v>
      </c>
      <c r="G682" s="6">
        <v>1461</v>
      </c>
      <c r="H682" s="6">
        <v>9</v>
      </c>
      <c r="I682" s="6" t="s">
        <v>37</v>
      </c>
      <c r="J682" s="7">
        <v>2752.4</v>
      </c>
      <c r="K682" s="6" t="s">
        <v>33</v>
      </c>
      <c r="L682" s="6" t="s">
        <v>24</v>
      </c>
    </row>
    <row r="683" spans="1:12" ht="23" customHeight="1">
      <c r="A683" s="5" t="s">
        <v>29</v>
      </c>
      <c r="B683" s="6">
        <v>6</v>
      </c>
      <c r="C683" s="6">
        <v>3</v>
      </c>
      <c r="D683" s="6" t="s">
        <v>30</v>
      </c>
      <c r="E683" s="6">
        <v>157</v>
      </c>
      <c r="F683" s="6">
        <v>106</v>
      </c>
      <c r="G683" s="6">
        <v>1461</v>
      </c>
      <c r="H683" s="6">
        <v>10</v>
      </c>
      <c r="I683" s="6" t="s">
        <v>38</v>
      </c>
      <c r="J683" s="7">
        <v>218438</v>
      </c>
      <c r="K683" s="6" t="s">
        <v>27</v>
      </c>
      <c r="L683" s="6" t="s">
        <v>24</v>
      </c>
    </row>
    <row r="684" spans="1:12" ht="23" customHeight="1">
      <c r="A684" s="5" t="s">
        <v>29</v>
      </c>
      <c r="B684" s="6">
        <v>6</v>
      </c>
      <c r="C684" s="6">
        <v>3</v>
      </c>
      <c r="D684" s="6" t="s">
        <v>30</v>
      </c>
      <c r="E684" s="6">
        <v>157</v>
      </c>
      <c r="F684" s="6">
        <v>106</v>
      </c>
      <c r="G684" s="6">
        <v>1461</v>
      </c>
      <c r="H684" s="6">
        <v>11</v>
      </c>
      <c r="I684" s="6" t="s">
        <v>39</v>
      </c>
      <c r="J684" s="7">
        <v>218438</v>
      </c>
      <c r="K684" s="6" t="s">
        <v>27</v>
      </c>
      <c r="L684" s="6" t="s">
        <v>24</v>
      </c>
    </row>
    <row r="685" spans="1:12" ht="23" customHeight="1">
      <c r="A685" s="5" t="s">
        <v>29</v>
      </c>
      <c r="B685" s="6">
        <v>6</v>
      </c>
      <c r="C685" s="6">
        <v>3</v>
      </c>
      <c r="D685" s="6" t="s">
        <v>30</v>
      </c>
      <c r="E685" s="6">
        <v>157</v>
      </c>
      <c r="F685" s="6">
        <v>106</v>
      </c>
      <c r="G685" s="6">
        <v>1461</v>
      </c>
      <c r="H685" s="6">
        <v>12</v>
      </c>
      <c r="I685" s="6" t="s">
        <v>40</v>
      </c>
      <c r="J685" s="7">
        <v>218438</v>
      </c>
      <c r="K685" s="6" t="s">
        <v>27</v>
      </c>
      <c r="L685" s="6" t="s">
        <v>24</v>
      </c>
    </row>
    <row r="686" spans="1:12" ht="23" customHeight="1">
      <c r="A686" s="5" t="s">
        <v>29</v>
      </c>
      <c r="B686" s="6">
        <v>6</v>
      </c>
      <c r="C686" s="6">
        <v>3</v>
      </c>
      <c r="D686" s="6" t="s">
        <v>30</v>
      </c>
      <c r="E686" s="6">
        <v>157</v>
      </c>
      <c r="F686" s="6">
        <v>106</v>
      </c>
      <c r="G686" s="6">
        <v>1461</v>
      </c>
      <c r="H686" s="6">
        <v>13</v>
      </c>
      <c r="I686" s="6" t="s">
        <v>41</v>
      </c>
      <c r="J686" s="7">
        <v>218438</v>
      </c>
      <c r="K686" s="6" t="s">
        <v>27</v>
      </c>
      <c r="L686" s="6" t="s">
        <v>24</v>
      </c>
    </row>
    <row r="687" spans="1:12" ht="23" customHeight="1">
      <c r="A687" s="5" t="s">
        <v>29</v>
      </c>
      <c r="B687" s="6">
        <v>6</v>
      </c>
      <c r="C687" s="6">
        <v>3</v>
      </c>
      <c r="D687" s="6" t="s">
        <v>30</v>
      </c>
      <c r="E687" s="6">
        <v>158</v>
      </c>
      <c r="F687" s="6">
        <v>107</v>
      </c>
      <c r="G687" s="6">
        <v>1462</v>
      </c>
      <c r="H687" s="6">
        <v>4</v>
      </c>
      <c r="I687" s="6" t="s">
        <v>31</v>
      </c>
      <c r="J687" s="7">
        <v>218438</v>
      </c>
      <c r="K687" s="6" t="s">
        <v>27</v>
      </c>
      <c r="L687" s="6" t="s">
        <v>24</v>
      </c>
    </row>
    <row r="688" spans="1:12" ht="23" customHeight="1">
      <c r="A688" s="5" t="s">
        <v>29</v>
      </c>
      <c r="B688" s="6">
        <v>6</v>
      </c>
      <c r="C688" s="6">
        <v>3</v>
      </c>
      <c r="D688" s="6" t="s">
        <v>30</v>
      </c>
      <c r="E688" s="6">
        <v>158</v>
      </c>
      <c r="F688" s="6">
        <v>107</v>
      </c>
      <c r="G688" s="6">
        <v>1462</v>
      </c>
      <c r="H688" s="6">
        <v>5</v>
      </c>
      <c r="I688" s="6" t="s">
        <v>32</v>
      </c>
      <c r="J688" s="7">
        <v>2752.4</v>
      </c>
      <c r="K688" s="6" t="s">
        <v>33</v>
      </c>
      <c r="L688" s="6" t="s">
        <v>24</v>
      </c>
    </row>
    <row r="689" spans="1:12" ht="23" customHeight="1">
      <c r="A689" s="5" t="s">
        <v>29</v>
      </c>
      <c r="B689" s="6">
        <v>6</v>
      </c>
      <c r="C689" s="6">
        <v>3</v>
      </c>
      <c r="D689" s="6" t="s">
        <v>30</v>
      </c>
      <c r="E689" s="6">
        <v>158</v>
      </c>
      <c r="F689" s="6">
        <v>107</v>
      </c>
      <c r="G689" s="6">
        <v>1462</v>
      </c>
      <c r="H689" s="6">
        <v>6</v>
      </c>
      <c r="I689" s="6" t="s">
        <v>34</v>
      </c>
      <c r="J689" s="7">
        <v>2752.4</v>
      </c>
      <c r="K689" s="6" t="s">
        <v>33</v>
      </c>
      <c r="L689" s="6" t="s">
        <v>24</v>
      </c>
    </row>
    <row r="690" spans="1:12" ht="23" customHeight="1">
      <c r="A690" s="5" t="s">
        <v>29</v>
      </c>
      <c r="B690" s="6">
        <v>6</v>
      </c>
      <c r="C690" s="6">
        <v>3</v>
      </c>
      <c r="D690" s="6" t="s">
        <v>30</v>
      </c>
      <c r="E690" s="6">
        <v>158</v>
      </c>
      <c r="F690" s="6">
        <v>107</v>
      </c>
      <c r="G690" s="6">
        <v>1462</v>
      </c>
      <c r="H690" s="6">
        <v>7</v>
      </c>
      <c r="I690" s="6" t="s">
        <v>35</v>
      </c>
      <c r="J690" s="7">
        <v>218438</v>
      </c>
      <c r="K690" s="6" t="s">
        <v>27</v>
      </c>
      <c r="L690" s="6" t="s">
        <v>24</v>
      </c>
    </row>
    <row r="691" spans="1:12" ht="23" customHeight="1">
      <c r="A691" s="5" t="s">
        <v>29</v>
      </c>
      <c r="B691" s="6">
        <v>6</v>
      </c>
      <c r="C691" s="6">
        <v>3</v>
      </c>
      <c r="D691" s="6" t="s">
        <v>30</v>
      </c>
      <c r="E691" s="6">
        <v>158</v>
      </c>
      <c r="F691" s="6">
        <v>107</v>
      </c>
      <c r="G691" s="6">
        <v>1462</v>
      </c>
      <c r="H691" s="6">
        <v>8</v>
      </c>
      <c r="I691" s="6" t="s">
        <v>36</v>
      </c>
      <c r="J691" s="7">
        <v>2752.4</v>
      </c>
      <c r="K691" s="6" t="s">
        <v>33</v>
      </c>
      <c r="L691" s="6" t="s">
        <v>24</v>
      </c>
    </row>
    <row r="692" spans="1:12" ht="23" customHeight="1">
      <c r="A692" s="5" t="s">
        <v>29</v>
      </c>
      <c r="B692" s="6">
        <v>6</v>
      </c>
      <c r="C692" s="6">
        <v>3</v>
      </c>
      <c r="D692" s="6" t="s">
        <v>30</v>
      </c>
      <c r="E692" s="6">
        <v>158</v>
      </c>
      <c r="F692" s="6">
        <v>107</v>
      </c>
      <c r="G692" s="6">
        <v>1462</v>
      </c>
      <c r="H692" s="6">
        <v>9</v>
      </c>
      <c r="I692" s="6" t="s">
        <v>37</v>
      </c>
      <c r="J692" s="7">
        <v>2752.4</v>
      </c>
      <c r="K692" s="6" t="s">
        <v>33</v>
      </c>
      <c r="L692" s="6" t="s">
        <v>24</v>
      </c>
    </row>
    <row r="693" spans="1:12" ht="23" customHeight="1">
      <c r="A693" s="5" t="s">
        <v>29</v>
      </c>
      <c r="B693" s="6">
        <v>6</v>
      </c>
      <c r="C693" s="6">
        <v>3</v>
      </c>
      <c r="D693" s="6" t="s">
        <v>30</v>
      </c>
      <c r="E693" s="6">
        <v>158</v>
      </c>
      <c r="F693" s="6">
        <v>107</v>
      </c>
      <c r="G693" s="6">
        <v>1462</v>
      </c>
      <c r="H693" s="6">
        <v>10</v>
      </c>
      <c r="I693" s="6" t="s">
        <v>38</v>
      </c>
      <c r="J693" s="7">
        <v>218438</v>
      </c>
      <c r="K693" s="6" t="s">
        <v>27</v>
      </c>
      <c r="L693" s="6" t="s">
        <v>24</v>
      </c>
    </row>
    <row r="694" spans="1:12" ht="23" customHeight="1">
      <c r="A694" s="5" t="s">
        <v>29</v>
      </c>
      <c r="B694" s="6">
        <v>6</v>
      </c>
      <c r="C694" s="6">
        <v>3</v>
      </c>
      <c r="D694" s="6" t="s">
        <v>30</v>
      </c>
      <c r="E694" s="6">
        <v>158</v>
      </c>
      <c r="F694" s="6">
        <v>107</v>
      </c>
      <c r="G694" s="6">
        <v>1462</v>
      </c>
      <c r="H694" s="6">
        <v>11</v>
      </c>
      <c r="I694" s="6" t="s">
        <v>39</v>
      </c>
      <c r="J694" s="7">
        <v>218438</v>
      </c>
      <c r="K694" s="6" t="s">
        <v>27</v>
      </c>
      <c r="L694" s="6" t="s">
        <v>24</v>
      </c>
    </row>
    <row r="695" spans="1:12" ht="23" customHeight="1">
      <c r="A695" s="5" t="s">
        <v>29</v>
      </c>
      <c r="B695" s="6">
        <v>6</v>
      </c>
      <c r="C695" s="6">
        <v>3</v>
      </c>
      <c r="D695" s="6" t="s">
        <v>30</v>
      </c>
      <c r="E695" s="6">
        <v>158</v>
      </c>
      <c r="F695" s="6">
        <v>107</v>
      </c>
      <c r="G695" s="6">
        <v>1462</v>
      </c>
      <c r="H695" s="6">
        <v>12</v>
      </c>
      <c r="I695" s="6" t="s">
        <v>40</v>
      </c>
      <c r="J695" s="7">
        <v>218438</v>
      </c>
      <c r="K695" s="6" t="s">
        <v>27</v>
      </c>
      <c r="L695" s="6" t="s">
        <v>24</v>
      </c>
    </row>
    <row r="696" spans="1:12" ht="23" customHeight="1">
      <c r="A696" s="5" t="s">
        <v>29</v>
      </c>
      <c r="B696" s="6">
        <v>6</v>
      </c>
      <c r="C696" s="6">
        <v>3</v>
      </c>
      <c r="D696" s="6" t="s">
        <v>30</v>
      </c>
      <c r="E696" s="6">
        <v>158</v>
      </c>
      <c r="F696" s="6">
        <v>107</v>
      </c>
      <c r="G696" s="6">
        <v>1462</v>
      </c>
      <c r="H696" s="6">
        <v>13</v>
      </c>
      <c r="I696" s="6" t="s">
        <v>41</v>
      </c>
      <c r="J696" s="7">
        <v>218438</v>
      </c>
      <c r="K696" s="6" t="s">
        <v>27</v>
      </c>
      <c r="L696" s="6" t="s">
        <v>24</v>
      </c>
    </row>
    <row r="697" spans="1:12" ht="23" customHeight="1">
      <c r="A697" s="5" t="s">
        <v>29</v>
      </c>
      <c r="B697" s="6">
        <v>6</v>
      </c>
      <c r="C697" s="6">
        <v>3</v>
      </c>
      <c r="D697" s="6" t="s">
        <v>30</v>
      </c>
      <c r="E697" s="6">
        <v>159</v>
      </c>
      <c r="F697" s="6">
        <v>108</v>
      </c>
      <c r="G697" s="6">
        <v>1463</v>
      </c>
      <c r="H697" s="6">
        <v>4</v>
      </c>
      <c r="I697" s="6" t="s">
        <v>31</v>
      </c>
      <c r="J697" s="7">
        <v>218438</v>
      </c>
      <c r="K697" s="6" t="s">
        <v>27</v>
      </c>
      <c r="L697" s="6" t="s">
        <v>24</v>
      </c>
    </row>
    <row r="698" spans="1:12" ht="23" customHeight="1">
      <c r="A698" s="5" t="s">
        <v>29</v>
      </c>
      <c r="B698" s="6">
        <v>6</v>
      </c>
      <c r="C698" s="6">
        <v>3</v>
      </c>
      <c r="D698" s="6" t="s">
        <v>30</v>
      </c>
      <c r="E698" s="6">
        <v>159</v>
      </c>
      <c r="F698" s="6">
        <v>108</v>
      </c>
      <c r="G698" s="6">
        <v>1463</v>
      </c>
      <c r="H698" s="6">
        <v>5</v>
      </c>
      <c r="I698" s="6" t="s">
        <v>32</v>
      </c>
      <c r="J698" s="7">
        <v>2752.4</v>
      </c>
      <c r="K698" s="6" t="s">
        <v>33</v>
      </c>
      <c r="L698" s="6" t="s">
        <v>24</v>
      </c>
    </row>
    <row r="699" spans="1:12" ht="23" customHeight="1">
      <c r="A699" s="5" t="s">
        <v>29</v>
      </c>
      <c r="B699" s="6">
        <v>6</v>
      </c>
      <c r="C699" s="6">
        <v>3</v>
      </c>
      <c r="D699" s="6" t="s">
        <v>30</v>
      </c>
      <c r="E699" s="6">
        <v>159</v>
      </c>
      <c r="F699" s="6">
        <v>108</v>
      </c>
      <c r="G699" s="6">
        <v>1463</v>
      </c>
      <c r="H699" s="6">
        <v>6</v>
      </c>
      <c r="I699" s="6" t="s">
        <v>34</v>
      </c>
      <c r="J699" s="7">
        <v>2752.4</v>
      </c>
      <c r="K699" s="6" t="s">
        <v>33</v>
      </c>
      <c r="L699" s="6" t="s">
        <v>24</v>
      </c>
    </row>
    <row r="700" spans="1:12" ht="23" customHeight="1">
      <c r="A700" s="5" t="s">
        <v>29</v>
      </c>
      <c r="B700" s="6">
        <v>6</v>
      </c>
      <c r="C700" s="6">
        <v>3</v>
      </c>
      <c r="D700" s="6" t="s">
        <v>30</v>
      </c>
      <c r="E700" s="6">
        <v>159</v>
      </c>
      <c r="F700" s="6">
        <v>108</v>
      </c>
      <c r="G700" s="6">
        <v>1463</v>
      </c>
      <c r="H700" s="6">
        <v>7</v>
      </c>
      <c r="I700" s="6" t="s">
        <v>35</v>
      </c>
      <c r="J700" s="7">
        <v>218438</v>
      </c>
      <c r="K700" s="6" t="s">
        <v>27</v>
      </c>
      <c r="L700" s="6" t="s">
        <v>24</v>
      </c>
    </row>
    <row r="701" spans="1:12" ht="23" customHeight="1">
      <c r="A701" s="5" t="s">
        <v>29</v>
      </c>
      <c r="B701" s="6">
        <v>6</v>
      </c>
      <c r="C701" s="6">
        <v>3</v>
      </c>
      <c r="D701" s="6" t="s">
        <v>30</v>
      </c>
      <c r="E701" s="6">
        <v>159</v>
      </c>
      <c r="F701" s="6">
        <v>108</v>
      </c>
      <c r="G701" s="6">
        <v>1463</v>
      </c>
      <c r="H701" s="6">
        <v>8</v>
      </c>
      <c r="I701" s="6" t="s">
        <v>36</v>
      </c>
      <c r="J701" s="7">
        <v>2752.4</v>
      </c>
      <c r="K701" s="6" t="s">
        <v>33</v>
      </c>
      <c r="L701" s="6" t="s">
        <v>24</v>
      </c>
    </row>
    <row r="702" spans="1:12" ht="23" customHeight="1">
      <c r="A702" s="5" t="s">
        <v>29</v>
      </c>
      <c r="B702" s="6">
        <v>6</v>
      </c>
      <c r="C702" s="6">
        <v>3</v>
      </c>
      <c r="D702" s="6" t="s">
        <v>30</v>
      </c>
      <c r="E702" s="6">
        <v>159</v>
      </c>
      <c r="F702" s="6">
        <v>108</v>
      </c>
      <c r="G702" s="6">
        <v>1463</v>
      </c>
      <c r="H702" s="6">
        <v>9</v>
      </c>
      <c r="I702" s="6" t="s">
        <v>37</v>
      </c>
      <c r="J702" s="7">
        <v>2752.4</v>
      </c>
      <c r="K702" s="6" t="s">
        <v>33</v>
      </c>
      <c r="L702" s="6" t="s">
        <v>24</v>
      </c>
    </row>
    <row r="703" spans="1:12" ht="23" customHeight="1">
      <c r="A703" s="5" t="s">
        <v>29</v>
      </c>
      <c r="B703" s="6">
        <v>6</v>
      </c>
      <c r="C703" s="6">
        <v>3</v>
      </c>
      <c r="D703" s="6" t="s">
        <v>30</v>
      </c>
      <c r="E703" s="6">
        <v>159</v>
      </c>
      <c r="F703" s="6">
        <v>108</v>
      </c>
      <c r="G703" s="6">
        <v>1463</v>
      </c>
      <c r="H703" s="6">
        <v>10</v>
      </c>
      <c r="I703" s="6" t="s">
        <v>38</v>
      </c>
      <c r="J703" s="7">
        <v>218438</v>
      </c>
      <c r="K703" s="6" t="s">
        <v>27</v>
      </c>
      <c r="L703" s="6" t="s">
        <v>24</v>
      </c>
    </row>
    <row r="704" spans="1:12" ht="23" customHeight="1">
      <c r="A704" s="5" t="s">
        <v>29</v>
      </c>
      <c r="B704" s="6">
        <v>6</v>
      </c>
      <c r="C704" s="6">
        <v>3</v>
      </c>
      <c r="D704" s="6" t="s">
        <v>30</v>
      </c>
      <c r="E704" s="6">
        <v>159</v>
      </c>
      <c r="F704" s="6">
        <v>108</v>
      </c>
      <c r="G704" s="6">
        <v>1463</v>
      </c>
      <c r="H704" s="6">
        <v>11</v>
      </c>
      <c r="I704" s="6" t="s">
        <v>39</v>
      </c>
      <c r="J704" s="7">
        <v>218438</v>
      </c>
      <c r="K704" s="6" t="s">
        <v>27</v>
      </c>
      <c r="L704" s="6" t="s">
        <v>24</v>
      </c>
    </row>
    <row r="705" spans="1:12" ht="23" customHeight="1">
      <c r="A705" s="5" t="s">
        <v>29</v>
      </c>
      <c r="B705" s="6">
        <v>6</v>
      </c>
      <c r="C705" s="6">
        <v>3</v>
      </c>
      <c r="D705" s="6" t="s">
        <v>30</v>
      </c>
      <c r="E705" s="6">
        <v>159</v>
      </c>
      <c r="F705" s="6">
        <v>108</v>
      </c>
      <c r="G705" s="6">
        <v>1463</v>
      </c>
      <c r="H705" s="6">
        <v>12</v>
      </c>
      <c r="I705" s="6" t="s">
        <v>40</v>
      </c>
      <c r="J705" s="7">
        <v>218438</v>
      </c>
      <c r="K705" s="6" t="s">
        <v>27</v>
      </c>
      <c r="L705" s="6" t="s">
        <v>24</v>
      </c>
    </row>
    <row r="706" spans="1:12" ht="23" customHeight="1">
      <c r="A706" s="5" t="s">
        <v>29</v>
      </c>
      <c r="B706" s="6">
        <v>6</v>
      </c>
      <c r="C706" s="6">
        <v>3</v>
      </c>
      <c r="D706" s="6" t="s">
        <v>30</v>
      </c>
      <c r="E706" s="6">
        <v>159</v>
      </c>
      <c r="F706" s="6">
        <v>108</v>
      </c>
      <c r="G706" s="6">
        <v>1463</v>
      </c>
      <c r="H706" s="6">
        <v>13</v>
      </c>
      <c r="I706" s="6" t="s">
        <v>41</v>
      </c>
      <c r="J706" s="7">
        <v>218438</v>
      </c>
      <c r="K706" s="6" t="s">
        <v>27</v>
      </c>
      <c r="L706" s="6" t="s">
        <v>24</v>
      </c>
    </row>
    <row r="707" spans="1:12" ht="23" customHeight="1">
      <c r="A707" s="5" t="s">
        <v>29</v>
      </c>
      <c r="B707" s="6">
        <v>6</v>
      </c>
      <c r="C707" s="6">
        <v>3</v>
      </c>
      <c r="D707" s="6" t="s">
        <v>30</v>
      </c>
      <c r="E707" s="6">
        <v>160</v>
      </c>
      <c r="F707" s="6">
        <v>109</v>
      </c>
      <c r="G707" s="6">
        <v>1464</v>
      </c>
      <c r="H707" s="6">
        <v>4</v>
      </c>
      <c r="I707" s="6" t="s">
        <v>31</v>
      </c>
      <c r="J707" s="7">
        <v>218438</v>
      </c>
      <c r="K707" s="6" t="s">
        <v>27</v>
      </c>
      <c r="L707" s="6" t="s">
        <v>24</v>
      </c>
    </row>
    <row r="708" spans="1:12" ht="23" customHeight="1">
      <c r="A708" s="5" t="s">
        <v>29</v>
      </c>
      <c r="B708" s="6">
        <v>6</v>
      </c>
      <c r="C708" s="6">
        <v>3</v>
      </c>
      <c r="D708" s="6" t="s">
        <v>30</v>
      </c>
      <c r="E708" s="6">
        <v>160</v>
      </c>
      <c r="F708" s="6">
        <v>109</v>
      </c>
      <c r="G708" s="6">
        <v>1464</v>
      </c>
      <c r="H708" s="6">
        <v>5</v>
      </c>
      <c r="I708" s="6" t="s">
        <v>32</v>
      </c>
      <c r="J708" s="7">
        <v>2752.4</v>
      </c>
      <c r="K708" s="6" t="s">
        <v>33</v>
      </c>
      <c r="L708" s="6" t="s">
        <v>24</v>
      </c>
    </row>
    <row r="709" spans="1:12" ht="23" customHeight="1">
      <c r="A709" s="5" t="s">
        <v>29</v>
      </c>
      <c r="B709" s="6">
        <v>6</v>
      </c>
      <c r="C709" s="6">
        <v>3</v>
      </c>
      <c r="D709" s="6" t="s">
        <v>30</v>
      </c>
      <c r="E709" s="6">
        <v>160</v>
      </c>
      <c r="F709" s="6">
        <v>109</v>
      </c>
      <c r="G709" s="6">
        <v>1464</v>
      </c>
      <c r="H709" s="6">
        <v>6</v>
      </c>
      <c r="I709" s="6" t="s">
        <v>34</v>
      </c>
      <c r="J709" s="7">
        <v>2752.4</v>
      </c>
      <c r="K709" s="6" t="s">
        <v>33</v>
      </c>
      <c r="L709" s="6" t="s">
        <v>24</v>
      </c>
    </row>
    <row r="710" spans="1:12" ht="23" customHeight="1">
      <c r="A710" s="5" t="s">
        <v>29</v>
      </c>
      <c r="B710" s="6">
        <v>6</v>
      </c>
      <c r="C710" s="6">
        <v>3</v>
      </c>
      <c r="D710" s="6" t="s">
        <v>30</v>
      </c>
      <c r="E710" s="6">
        <v>160</v>
      </c>
      <c r="F710" s="6">
        <v>109</v>
      </c>
      <c r="G710" s="6">
        <v>1464</v>
      </c>
      <c r="H710" s="6">
        <v>7</v>
      </c>
      <c r="I710" s="6" t="s">
        <v>35</v>
      </c>
      <c r="J710" s="7">
        <v>218438</v>
      </c>
      <c r="K710" s="6" t="s">
        <v>27</v>
      </c>
      <c r="L710" s="6" t="s">
        <v>24</v>
      </c>
    </row>
    <row r="711" spans="1:12" ht="23" customHeight="1">
      <c r="A711" s="5" t="s">
        <v>29</v>
      </c>
      <c r="B711" s="6">
        <v>6</v>
      </c>
      <c r="C711" s="6">
        <v>3</v>
      </c>
      <c r="D711" s="6" t="s">
        <v>30</v>
      </c>
      <c r="E711" s="6">
        <v>160</v>
      </c>
      <c r="F711" s="6">
        <v>109</v>
      </c>
      <c r="G711" s="6">
        <v>1464</v>
      </c>
      <c r="H711" s="6">
        <v>8</v>
      </c>
      <c r="I711" s="6" t="s">
        <v>36</v>
      </c>
      <c r="J711" s="7">
        <v>2752.4</v>
      </c>
      <c r="K711" s="6" t="s">
        <v>33</v>
      </c>
      <c r="L711" s="6" t="s">
        <v>24</v>
      </c>
    </row>
    <row r="712" spans="1:12" ht="23" customHeight="1">
      <c r="A712" s="5" t="s">
        <v>29</v>
      </c>
      <c r="B712" s="6">
        <v>6</v>
      </c>
      <c r="C712" s="6">
        <v>3</v>
      </c>
      <c r="D712" s="6" t="s">
        <v>30</v>
      </c>
      <c r="E712" s="6">
        <v>160</v>
      </c>
      <c r="F712" s="6">
        <v>109</v>
      </c>
      <c r="G712" s="6">
        <v>1464</v>
      </c>
      <c r="H712" s="6">
        <v>9</v>
      </c>
      <c r="I712" s="6" t="s">
        <v>37</v>
      </c>
      <c r="J712" s="7">
        <v>2752.4</v>
      </c>
      <c r="K712" s="6" t="s">
        <v>33</v>
      </c>
      <c r="L712" s="6" t="s">
        <v>24</v>
      </c>
    </row>
    <row r="713" spans="1:12" ht="23" customHeight="1">
      <c r="A713" s="5" t="s">
        <v>29</v>
      </c>
      <c r="B713" s="6">
        <v>6</v>
      </c>
      <c r="C713" s="6">
        <v>3</v>
      </c>
      <c r="D713" s="6" t="s">
        <v>30</v>
      </c>
      <c r="E713" s="6">
        <v>160</v>
      </c>
      <c r="F713" s="6">
        <v>109</v>
      </c>
      <c r="G713" s="6">
        <v>1464</v>
      </c>
      <c r="H713" s="6">
        <v>10</v>
      </c>
      <c r="I713" s="6" t="s">
        <v>38</v>
      </c>
      <c r="J713" s="7">
        <v>218438</v>
      </c>
      <c r="K713" s="6" t="s">
        <v>27</v>
      </c>
      <c r="L713" s="6" t="s">
        <v>24</v>
      </c>
    </row>
    <row r="714" spans="1:12" ht="23" customHeight="1">
      <c r="A714" s="5" t="s">
        <v>29</v>
      </c>
      <c r="B714" s="6">
        <v>6</v>
      </c>
      <c r="C714" s="6">
        <v>3</v>
      </c>
      <c r="D714" s="6" t="s">
        <v>30</v>
      </c>
      <c r="E714" s="6">
        <v>160</v>
      </c>
      <c r="F714" s="6">
        <v>109</v>
      </c>
      <c r="G714" s="6">
        <v>1464</v>
      </c>
      <c r="H714" s="6">
        <v>11</v>
      </c>
      <c r="I714" s="6" t="s">
        <v>39</v>
      </c>
      <c r="J714" s="7">
        <v>218438</v>
      </c>
      <c r="K714" s="6" t="s">
        <v>27</v>
      </c>
      <c r="L714" s="6" t="s">
        <v>24</v>
      </c>
    </row>
    <row r="715" spans="1:12" ht="23" customHeight="1">
      <c r="A715" s="5" t="s">
        <v>29</v>
      </c>
      <c r="B715" s="6">
        <v>6</v>
      </c>
      <c r="C715" s="6">
        <v>3</v>
      </c>
      <c r="D715" s="6" t="s">
        <v>30</v>
      </c>
      <c r="E715" s="6">
        <v>160</v>
      </c>
      <c r="F715" s="6">
        <v>109</v>
      </c>
      <c r="G715" s="6">
        <v>1464</v>
      </c>
      <c r="H715" s="6">
        <v>12</v>
      </c>
      <c r="I715" s="6" t="s">
        <v>40</v>
      </c>
      <c r="J715" s="7">
        <v>218438</v>
      </c>
      <c r="K715" s="6" t="s">
        <v>27</v>
      </c>
      <c r="L715" s="6" t="s">
        <v>24</v>
      </c>
    </row>
    <row r="716" spans="1:12" ht="23" customHeight="1">
      <c r="A716" s="5" t="s">
        <v>29</v>
      </c>
      <c r="B716" s="6">
        <v>6</v>
      </c>
      <c r="C716" s="6">
        <v>3</v>
      </c>
      <c r="D716" s="6" t="s">
        <v>30</v>
      </c>
      <c r="E716" s="6">
        <v>160</v>
      </c>
      <c r="F716" s="6">
        <v>109</v>
      </c>
      <c r="G716" s="6">
        <v>1464</v>
      </c>
      <c r="H716" s="6">
        <v>13</v>
      </c>
      <c r="I716" s="6" t="s">
        <v>41</v>
      </c>
      <c r="J716" s="7">
        <v>218438</v>
      </c>
      <c r="K716" s="6" t="s">
        <v>27</v>
      </c>
      <c r="L716" s="6" t="s">
        <v>24</v>
      </c>
    </row>
    <row r="717" spans="1:12" ht="23" customHeight="1">
      <c r="A717" s="5" t="s">
        <v>29</v>
      </c>
      <c r="B717" s="6">
        <v>6</v>
      </c>
      <c r="C717" s="6">
        <v>3</v>
      </c>
      <c r="D717" s="6" t="s">
        <v>30</v>
      </c>
      <c r="E717" s="6">
        <v>161</v>
      </c>
      <c r="F717" s="6">
        <v>110</v>
      </c>
      <c r="G717" s="6">
        <v>1465</v>
      </c>
      <c r="H717" s="6">
        <v>4</v>
      </c>
      <c r="I717" s="6" t="s">
        <v>31</v>
      </c>
      <c r="J717" s="7">
        <v>218438</v>
      </c>
      <c r="K717" s="6" t="s">
        <v>27</v>
      </c>
      <c r="L717" s="6" t="s">
        <v>24</v>
      </c>
    </row>
    <row r="718" spans="1:12" ht="23" customHeight="1">
      <c r="A718" s="5" t="s">
        <v>29</v>
      </c>
      <c r="B718" s="6">
        <v>6</v>
      </c>
      <c r="C718" s="6">
        <v>3</v>
      </c>
      <c r="D718" s="6" t="s">
        <v>30</v>
      </c>
      <c r="E718" s="6">
        <v>161</v>
      </c>
      <c r="F718" s="6">
        <v>110</v>
      </c>
      <c r="G718" s="6">
        <v>1465</v>
      </c>
      <c r="H718" s="6">
        <v>5</v>
      </c>
      <c r="I718" s="6" t="s">
        <v>32</v>
      </c>
      <c r="J718" s="7">
        <v>2752.4</v>
      </c>
      <c r="K718" s="6" t="s">
        <v>33</v>
      </c>
      <c r="L718" s="6" t="s">
        <v>24</v>
      </c>
    </row>
    <row r="719" spans="1:12" ht="23" customHeight="1">
      <c r="A719" s="5" t="s">
        <v>29</v>
      </c>
      <c r="B719" s="6">
        <v>6</v>
      </c>
      <c r="C719" s="6">
        <v>3</v>
      </c>
      <c r="D719" s="6" t="s">
        <v>30</v>
      </c>
      <c r="E719" s="6">
        <v>161</v>
      </c>
      <c r="F719" s="6">
        <v>110</v>
      </c>
      <c r="G719" s="6">
        <v>1465</v>
      </c>
      <c r="H719" s="6">
        <v>6</v>
      </c>
      <c r="I719" s="6" t="s">
        <v>34</v>
      </c>
      <c r="J719" s="7">
        <v>2752.4</v>
      </c>
      <c r="K719" s="6" t="s">
        <v>33</v>
      </c>
      <c r="L719" s="6" t="s">
        <v>24</v>
      </c>
    </row>
    <row r="720" spans="1:12" ht="23" customHeight="1">
      <c r="A720" s="5" t="s">
        <v>29</v>
      </c>
      <c r="B720" s="6">
        <v>6</v>
      </c>
      <c r="C720" s="6">
        <v>3</v>
      </c>
      <c r="D720" s="6" t="s">
        <v>30</v>
      </c>
      <c r="E720" s="6">
        <v>161</v>
      </c>
      <c r="F720" s="6">
        <v>110</v>
      </c>
      <c r="G720" s="6">
        <v>1465</v>
      </c>
      <c r="H720" s="6">
        <v>7</v>
      </c>
      <c r="I720" s="6" t="s">
        <v>35</v>
      </c>
      <c r="J720" s="7">
        <v>218438</v>
      </c>
      <c r="K720" s="6" t="s">
        <v>27</v>
      </c>
      <c r="L720" s="6" t="s">
        <v>24</v>
      </c>
    </row>
    <row r="721" spans="1:12" ht="23" customHeight="1">
      <c r="A721" s="5" t="s">
        <v>29</v>
      </c>
      <c r="B721" s="6">
        <v>6</v>
      </c>
      <c r="C721" s="6">
        <v>3</v>
      </c>
      <c r="D721" s="6" t="s">
        <v>30</v>
      </c>
      <c r="E721" s="6">
        <v>161</v>
      </c>
      <c r="F721" s="6">
        <v>110</v>
      </c>
      <c r="G721" s="6">
        <v>1465</v>
      </c>
      <c r="H721" s="6">
        <v>8</v>
      </c>
      <c r="I721" s="6" t="s">
        <v>36</v>
      </c>
      <c r="J721" s="7">
        <v>2752.4</v>
      </c>
      <c r="K721" s="6" t="s">
        <v>33</v>
      </c>
      <c r="L721" s="6" t="s">
        <v>24</v>
      </c>
    </row>
    <row r="722" spans="1:12" ht="23" customHeight="1">
      <c r="A722" s="5" t="s">
        <v>29</v>
      </c>
      <c r="B722" s="6">
        <v>6</v>
      </c>
      <c r="C722" s="6">
        <v>3</v>
      </c>
      <c r="D722" s="6" t="s">
        <v>30</v>
      </c>
      <c r="E722" s="6">
        <v>161</v>
      </c>
      <c r="F722" s="6">
        <v>110</v>
      </c>
      <c r="G722" s="6">
        <v>1465</v>
      </c>
      <c r="H722" s="6">
        <v>9</v>
      </c>
      <c r="I722" s="6" t="s">
        <v>37</v>
      </c>
      <c r="J722" s="7">
        <v>2752.4</v>
      </c>
      <c r="K722" s="6" t="s">
        <v>33</v>
      </c>
      <c r="L722" s="6" t="s">
        <v>24</v>
      </c>
    </row>
    <row r="723" spans="1:12" ht="23" customHeight="1">
      <c r="A723" s="5" t="s">
        <v>29</v>
      </c>
      <c r="B723" s="6">
        <v>6</v>
      </c>
      <c r="C723" s="6">
        <v>3</v>
      </c>
      <c r="D723" s="6" t="s">
        <v>30</v>
      </c>
      <c r="E723" s="6">
        <v>161</v>
      </c>
      <c r="F723" s="6">
        <v>110</v>
      </c>
      <c r="G723" s="6">
        <v>1465</v>
      </c>
      <c r="H723" s="6">
        <v>10</v>
      </c>
      <c r="I723" s="6" t="s">
        <v>38</v>
      </c>
      <c r="J723" s="7">
        <v>218438</v>
      </c>
      <c r="K723" s="6" t="s">
        <v>27</v>
      </c>
      <c r="L723" s="6" t="s">
        <v>24</v>
      </c>
    </row>
    <row r="724" spans="1:12" ht="23" customHeight="1">
      <c r="A724" s="5" t="s">
        <v>29</v>
      </c>
      <c r="B724" s="6">
        <v>6</v>
      </c>
      <c r="C724" s="6">
        <v>3</v>
      </c>
      <c r="D724" s="6" t="s">
        <v>30</v>
      </c>
      <c r="E724" s="6">
        <v>161</v>
      </c>
      <c r="F724" s="6">
        <v>110</v>
      </c>
      <c r="G724" s="6">
        <v>1465</v>
      </c>
      <c r="H724" s="6">
        <v>11</v>
      </c>
      <c r="I724" s="6" t="s">
        <v>39</v>
      </c>
      <c r="J724" s="7">
        <v>218438</v>
      </c>
      <c r="K724" s="6" t="s">
        <v>27</v>
      </c>
      <c r="L724" s="6" t="s">
        <v>24</v>
      </c>
    </row>
    <row r="725" spans="1:12" ht="23" customHeight="1">
      <c r="A725" s="5" t="s">
        <v>29</v>
      </c>
      <c r="B725" s="6">
        <v>6</v>
      </c>
      <c r="C725" s="6">
        <v>3</v>
      </c>
      <c r="D725" s="6" t="s">
        <v>30</v>
      </c>
      <c r="E725" s="6">
        <v>161</v>
      </c>
      <c r="F725" s="6">
        <v>110</v>
      </c>
      <c r="G725" s="6">
        <v>1465</v>
      </c>
      <c r="H725" s="6">
        <v>12</v>
      </c>
      <c r="I725" s="6" t="s">
        <v>40</v>
      </c>
      <c r="J725" s="7">
        <v>218438</v>
      </c>
      <c r="K725" s="6" t="s">
        <v>27</v>
      </c>
      <c r="L725" s="6" t="s">
        <v>24</v>
      </c>
    </row>
    <row r="726" spans="1:12" ht="23" customHeight="1">
      <c r="A726" s="5" t="s">
        <v>29</v>
      </c>
      <c r="B726" s="6">
        <v>6</v>
      </c>
      <c r="C726" s="6">
        <v>3</v>
      </c>
      <c r="D726" s="6" t="s">
        <v>30</v>
      </c>
      <c r="E726" s="6">
        <v>161</v>
      </c>
      <c r="F726" s="6">
        <v>110</v>
      </c>
      <c r="G726" s="6">
        <v>1465</v>
      </c>
      <c r="H726" s="6">
        <v>13</v>
      </c>
      <c r="I726" s="6" t="s">
        <v>41</v>
      </c>
      <c r="J726" s="7">
        <v>218438</v>
      </c>
      <c r="K726" s="6" t="s">
        <v>27</v>
      </c>
      <c r="L726" s="6" t="s">
        <v>24</v>
      </c>
    </row>
    <row r="727" spans="1:12" ht="23" customHeight="1">
      <c r="A727" s="5" t="s">
        <v>29</v>
      </c>
      <c r="B727" s="6">
        <v>6</v>
      </c>
      <c r="C727" s="6">
        <v>3</v>
      </c>
      <c r="D727" s="6" t="s">
        <v>30</v>
      </c>
      <c r="E727" s="6">
        <v>162</v>
      </c>
      <c r="F727" s="6">
        <v>111</v>
      </c>
      <c r="G727" s="6">
        <v>1466</v>
      </c>
      <c r="H727" s="6">
        <v>4</v>
      </c>
      <c r="I727" s="6" t="s">
        <v>31</v>
      </c>
      <c r="J727" s="7">
        <v>179149</v>
      </c>
      <c r="K727" s="6" t="s">
        <v>27</v>
      </c>
      <c r="L727" s="6" t="s">
        <v>24</v>
      </c>
    </row>
    <row r="728" spans="1:12" ht="23" customHeight="1">
      <c r="A728" s="5" t="s">
        <v>29</v>
      </c>
      <c r="B728" s="6">
        <v>6</v>
      </c>
      <c r="C728" s="6">
        <v>3</v>
      </c>
      <c r="D728" s="6" t="s">
        <v>30</v>
      </c>
      <c r="E728" s="6">
        <v>162</v>
      </c>
      <c r="F728" s="6">
        <v>111</v>
      </c>
      <c r="G728" s="6">
        <v>1466</v>
      </c>
      <c r="H728" s="6">
        <v>5</v>
      </c>
      <c r="I728" s="6" t="s">
        <v>32</v>
      </c>
      <c r="J728" s="7">
        <v>2032.5</v>
      </c>
      <c r="K728" s="6" t="s">
        <v>33</v>
      </c>
      <c r="L728" s="6" t="s">
        <v>24</v>
      </c>
    </row>
    <row r="729" spans="1:12" ht="23" customHeight="1">
      <c r="A729" s="5" t="s">
        <v>29</v>
      </c>
      <c r="B729" s="6">
        <v>6</v>
      </c>
      <c r="C729" s="6">
        <v>3</v>
      </c>
      <c r="D729" s="6" t="s">
        <v>30</v>
      </c>
      <c r="E729" s="6">
        <v>162</v>
      </c>
      <c r="F729" s="6">
        <v>111</v>
      </c>
      <c r="G729" s="6">
        <v>1466</v>
      </c>
      <c r="H729" s="6">
        <v>6</v>
      </c>
      <c r="I729" s="6" t="s">
        <v>34</v>
      </c>
      <c r="J729" s="7">
        <v>2032.5</v>
      </c>
      <c r="K729" s="6" t="s">
        <v>33</v>
      </c>
      <c r="L729" s="6" t="s">
        <v>24</v>
      </c>
    </row>
    <row r="730" spans="1:12" ht="23" customHeight="1">
      <c r="A730" s="5" t="s">
        <v>29</v>
      </c>
      <c r="B730" s="6">
        <v>6</v>
      </c>
      <c r="C730" s="6">
        <v>3</v>
      </c>
      <c r="D730" s="6" t="s">
        <v>30</v>
      </c>
      <c r="E730" s="6">
        <v>162</v>
      </c>
      <c r="F730" s="6">
        <v>111</v>
      </c>
      <c r="G730" s="6">
        <v>1466</v>
      </c>
      <c r="H730" s="6">
        <v>7</v>
      </c>
      <c r="I730" s="6" t="s">
        <v>35</v>
      </c>
      <c r="J730" s="7">
        <v>179149</v>
      </c>
      <c r="K730" s="6" t="s">
        <v>27</v>
      </c>
      <c r="L730" s="6" t="s">
        <v>24</v>
      </c>
    </row>
    <row r="731" spans="1:12" ht="23" customHeight="1">
      <c r="A731" s="5" t="s">
        <v>29</v>
      </c>
      <c r="B731" s="6">
        <v>6</v>
      </c>
      <c r="C731" s="6">
        <v>3</v>
      </c>
      <c r="D731" s="6" t="s">
        <v>30</v>
      </c>
      <c r="E731" s="6">
        <v>162</v>
      </c>
      <c r="F731" s="6">
        <v>111</v>
      </c>
      <c r="G731" s="6">
        <v>1466</v>
      </c>
      <c r="H731" s="6">
        <v>8</v>
      </c>
      <c r="I731" s="6" t="s">
        <v>36</v>
      </c>
      <c r="J731" s="7">
        <v>2032.5</v>
      </c>
      <c r="K731" s="6" t="s">
        <v>33</v>
      </c>
      <c r="L731" s="6" t="s">
        <v>24</v>
      </c>
    </row>
    <row r="732" spans="1:12" ht="23" customHeight="1">
      <c r="A732" s="5" t="s">
        <v>29</v>
      </c>
      <c r="B732" s="6">
        <v>6</v>
      </c>
      <c r="C732" s="6">
        <v>3</v>
      </c>
      <c r="D732" s="6" t="s">
        <v>30</v>
      </c>
      <c r="E732" s="6">
        <v>162</v>
      </c>
      <c r="F732" s="6">
        <v>111</v>
      </c>
      <c r="G732" s="6">
        <v>1466</v>
      </c>
      <c r="H732" s="6">
        <v>9</v>
      </c>
      <c r="I732" s="6" t="s">
        <v>37</v>
      </c>
      <c r="J732" s="7">
        <v>2032.5</v>
      </c>
      <c r="K732" s="6" t="s">
        <v>33</v>
      </c>
      <c r="L732" s="6" t="s">
        <v>24</v>
      </c>
    </row>
    <row r="733" spans="1:12" ht="23" customHeight="1">
      <c r="A733" s="5" t="s">
        <v>29</v>
      </c>
      <c r="B733" s="6">
        <v>6</v>
      </c>
      <c r="C733" s="6">
        <v>3</v>
      </c>
      <c r="D733" s="6" t="s">
        <v>30</v>
      </c>
      <c r="E733" s="6">
        <v>162</v>
      </c>
      <c r="F733" s="6">
        <v>111</v>
      </c>
      <c r="G733" s="6">
        <v>1466</v>
      </c>
      <c r="H733" s="6">
        <v>10</v>
      </c>
      <c r="I733" s="6" t="s">
        <v>38</v>
      </c>
      <c r="J733" s="7">
        <v>179149</v>
      </c>
      <c r="K733" s="6" t="s">
        <v>27</v>
      </c>
      <c r="L733" s="6" t="s">
        <v>24</v>
      </c>
    </row>
    <row r="734" spans="1:12" ht="23" customHeight="1">
      <c r="A734" s="5" t="s">
        <v>29</v>
      </c>
      <c r="B734" s="6">
        <v>6</v>
      </c>
      <c r="C734" s="6">
        <v>3</v>
      </c>
      <c r="D734" s="6" t="s">
        <v>30</v>
      </c>
      <c r="E734" s="6">
        <v>162</v>
      </c>
      <c r="F734" s="6">
        <v>111</v>
      </c>
      <c r="G734" s="6">
        <v>1466</v>
      </c>
      <c r="H734" s="6">
        <v>11</v>
      </c>
      <c r="I734" s="6" t="s">
        <v>39</v>
      </c>
      <c r="J734" s="7">
        <v>179149</v>
      </c>
      <c r="K734" s="6" t="s">
        <v>27</v>
      </c>
      <c r="L734" s="6" t="s">
        <v>24</v>
      </c>
    </row>
    <row r="735" spans="1:12" ht="23" customHeight="1">
      <c r="A735" s="5" t="s">
        <v>29</v>
      </c>
      <c r="B735" s="6">
        <v>6</v>
      </c>
      <c r="C735" s="6">
        <v>3</v>
      </c>
      <c r="D735" s="6" t="s">
        <v>30</v>
      </c>
      <c r="E735" s="6">
        <v>162</v>
      </c>
      <c r="F735" s="6">
        <v>111</v>
      </c>
      <c r="G735" s="6">
        <v>1466</v>
      </c>
      <c r="H735" s="6">
        <v>12</v>
      </c>
      <c r="I735" s="6" t="s">
        <v>40</v>
      </c>
      <c r="J735" s="7">
        <v>179149</v>
      </c>
      <c r="K735" s="6" t="s">
        <v>27</v>
      </c>
      <c r="L735" s="6" t="s">
        <v>24</v>
      </c>
    </row>
    <row r="736" spans="1:12" ht="23" customHeight="1">
      <c r="A736" s="5" t="s">
        <v>29</v>
      </c>
      <c r="B736" s="6">
        <v>6</v>
      </c>
      <c r="C736" s="6">
        <v>3</v>
      </c>
      <c r="D736" s="6" t="s">
        <v>30</v>
      </c>
      <c r="E736" s="6">
        <v>162</v>
      </c>
      <c r="F736" s="6">
        <v>111</v>
      </c>
      <c r="G736" s="6">
        <v>1466</v>
      </c>
      <c r="H736" s="6">
        <v>13</v>
      </c>
      <c r="I736" s="6" t="s">
        <v>41</v>
      </c>
      <c r="J736" s="7">
        <v>179149</v>
      </c>
      <c r="K736" s="6" t="s">
        <v>27</v>
      </c>
      <c r="L736" s="6" t="s">
        <v>24</v>
      </c>
    </row>
    <row r="737" spans="1:12" ht="23" customHeight="1">
      <c r="A737" s="5" t="s">
        <v>29</v>
      </c>
      <c r="B737" s="6">
        <v>6</v>
      </c>
      <c r="C737" s="6">
        <v>3</v>
      </c>
      <c r="D737" s="6" t="s">
        <v>30</v>
      </c>
      <c r="E737" s="6">
        <v>163</v>
      </c>
      <c r="F737" s="6">
        <v>112</v>
      </c>
      <c r="G737" s="6">
        <v>1467</v>
      </c>
      <c r="H737" s="6">
        <v>4</v>
      </c>
      <c r="I737" s="6" t="s">
        <v>31</v>
      </c>
      <c r="J737" s="7">
        <v>104936</v>
      </c>
      <c r="K737" s="6" t="s">
        <v>27</v>
      </c>
      <c r="L737" s="6" t="s">
        <v>24</v>
      </c>
    </row>
    <row r="738" spans="1:12" ht="23" customHeight="1">
      <c r="A738" s="5" t="s">
        <v>29</v>
      </c>
      <c r="B738" s="6">
        <v>6</v>
      </c>
      <c r="C738" s="6">
        <v>3</v>
      </c>
      <c r="D738" s="6" t="s">
        <v>30</v>
      </c>
      <c r="E738" s="6">
        <v>163</v>
      </c>
      <c r="F738" s="6">
        <v>112</v>
      </c>
      <c r="G738" s="6">
        <v>1467</v>
      </c>
      <c r="H738" s="6">
        <v>5</v>
      </c>
      <c r="I738" s="6" t="s">
        <v>32</v>
      </c>
      <c r="J738" s="7">
        <v>672.8</v>
      </c>
      <c r="K738" s="6" t="s">
        <v>33</v>
      </c>
      <c r="L738" s="6" t="s">
        <v>24</v>
      </c>
    </row>
    <row r="739" spans="1:12" ht="23" customHeight="1">
      <c r="A739" s="5" t="s">
        <v>29</v>
      </c>
      <c r="B739" s="6">
        <v>6</v>
      </c>
      <c r="C739" s="6">
        <v>3</v>
      </c>
      <c r="D739" s="6" t="s">
        <v>30</v>
      </c>
      <c r="E739" s="6">
        <v>163</v>
      </c>
      <c r="F739" s="6">
        <v>112</v>
      </c>
      <c r="G739" s="6">
        <v>1467</v>
      </c>
      <c r="H739" s="6">
        <v>6</v>
      </c>
      <c r="I739" s="6" t="s">
        <v>34</v>
      </c>
      <c r="J739" s="7">
        <v>672.8</v>
      </c>
      <c r="K739" s="6" t="s">
        <v>33</v>
      </c>
      <c r="L739" s="6" t="s">
        <v>24</v>
      </c>
    </row>
    <row r="740" spans="1:12" ht="23" customHeight="1">
      <c r="A740" s="5" t="s">
        <v>29</v>
      </c>
      <c r="B740" s="6">
        <v>6</v>
      </c>
      <c r="C740" s="6">
        <v>3</v>
      </c>
      <c r="D740" s="6" t="s">
        <v>30</v>
      </c>
      <c r="E740" s="6">
        <v>163</v>
      </c>
      <c r="F740" s="6">
        <v>112</v>
      </c>
      <c r="G740" s="6">
        <v>1467</v>
      </c>
      <c r="H740" s="6">
        <v>7</v>
      </c>
      <c r="I740" s="6" t="s">
        <v>35</v>
      </c>
      <c r="J740" s="7">
        <v>104936</v>
      </c>
      <c r="K740" s="6" t="s">
        <v>27</v>
      </c>
      <c r="L740" s="6" t="s">
        <v>24</v>
      </c>
    </row>
    <row r="741" spans="1:12" ht="23" customHeight="1">
      <c r="A741" s="5" t="s">
        <v>29</v>
      </c>
      <c r="B741" s="6">
        <v>6</v>
      </c>
      <c r="C741" s="6">
        <v>3</v>
      </c>
      <c r="D741" s="6" t="s">
        <v>30</v>
      </c>
      <c r="E741" s="6">
        <v>163</v>
      </c>
      <c r="F741" s="6">
        <v>112</v>
      </c>
      <c r="G741" s="6">
        <v>1467</v>
      </c>
      <c r="H741" s="6">
        <v>8</v>
      </c>
      <c r="I741" s="6" t="s">
        <v>36</v>
      </c>
      <c r="J741" s="7">
        <v>672.8</v>
      </c>
      <c r="K741" s="6" t="s">
        <v>33</v>
      </c>
      <c r="L741" s="6" t="s">
        <v>24</v>
      </c>
    </row>
    <row r="742" spans="1:12" ht="23" customHeight="1">
      <c r="A742" s="5" t="s">
        <v>29</v>
      </c>
      <c r="B742" s="6">
        <v>6</v>
      </c>
      <c r="C742" s="6">
        <v>3</v>
      </c>
      <c r="D742" s="6" t="s">
        <v>30</v>
      </c>
      <c r="E742" s="6">
        <v>163</v>
      </c>
      <c r="F742" s="6">
        <v>112</v>
      </c>
      <c r="G742" s="6">
        <v>1467</v>
      </c>
      <c r="H742" s="6">
        <v>9</v>
      </c>
      <c r="I742" s="6" t="s">
        <v>37</v>
      </c>
      <c r="J742" s="7">
        <v>672.8</v>
      </c>
      <c r="K742" s="6" t="s">
        <v>33</v>
      </c>
      <c r="L742" s="6" t="s">
        <v>24</v>
      </c>
    </row>
    <row r="743" spans="1:12" ht="23" customHeight="1">
      <c r="A743" s="5" t="s">
        <v>29</v>
      </c>
      <c r="B743" s="6">
        <v>6</v>
      </c>
      <c r="C743" s="6">
        <v>3</v>
      </c>
      <c r="D743" s="6" t="s">
        <v>30</v>
      </c>
      <c r="E743" s="6">
        <v>163</v>
      </c>
      <c r="F743" s="6">
        <v>112</v>
      </c>
      <c r="G743" s="6">
        <v>1467</v>
      </c>
      <c r="H743" s="6">
        <v>10</v>
      </c>
      <c r="I743" s="6" t="s">
        <v>38</v>
      </c>
      <c r="J743" s="7">
        <v>104936</v>
      </c>
      <c r="K743" s="6" t="s">
        <v>27</v>
      </c>
      <c r="L743" s="6" t="s">
        <v>24</v>
      </c>
    </row>
    <row r="744" spans="1:12" ht="23" customHeight="1">
      <c r="A744" s="5" t="s">
        <v>29</v>
      </c>
      <c r="B744" s="6">
        <v>6</v>
      </c>
      <c r="C744" s="6">
        <v>3</v>
      </c>
      <c r="D744" s="6" t="s">
        <v>30</v>
      </c>
      <c r="E744" s="6">
        <v>163</v>
      </c>
      <c r="F744" s="6">
        <v>112</v>
      </c>
      <c r="G744" s="6">
        <v>1467</v>
      </c>
      <c r="H744" s="6">
        <v>11</v>
      </c>
      <c r="I744" s="6" t="s">
        <v>39</v>
      </c>
      <c r="J744" s="7">
        <v>104936</v>
      </c>
      <c r="K744" s="6" t="s">
        <v>27</v>
      </c>
      <c r="L744" s="6" t="s">
        <v>24</v>
      </c>
    </row>
    <row r="745" spans="1:12" ht="23" customHeight="1">
      <c r="A745" s="5" t="s">
        <v>29</v>
      </c>
      <c r="B745" s="6">
        <v>6</v>
      </c>
      <c r="C745" s="6">
        <v>3</v>
      </c>
      <c r="D745" s="6" t="s">
        <v>30</v>
      </c>
      <c r="E745" s="6">
        <v>163</v>
      </c>
      <c r="F745" s="6">
        <v>112</v>
      </c>
      <c r="G745" s="6">
        <v>1467</v>
      </c>
      <c r="H745" s="6">
        <v>12</v>
      </c>
      <c r="I745" s="6" t="s">
        <v>40</v>
      </c>
      <c r="J745" s="7">
        <v>104936</v>
      </c>
      <c r="K745" s="6" t="s">
        <v>27</v>
      </c>
      <c r="L745" s="6" t="s">
        <v>24</v>
      </c>
    </row>
    <row r="746" spans="1:12" ht="23" customHeight="1">
      <c r="A746" s="5" t="s">
        <v>29</v>
      </c>
      <c r="B746" s="6">
        <v>6</v>
      </c>
      <c r="C746" s="6">
        <v>3</v>
      </c>
      <c r="D746" s="6" t="s">
        <v>30</v>
      </c>
      <c r="E746" s="6">
        <v>163</v>
      </c>
      <c r="F746" s="6">
        <v>112</v>
      </c>
      <c r="G746" s="6">
        <v>1467</v>
      </c>
      <c r="H746" s="6">
        <v>13</v>
      </c>
      <c r="I746" s="6" t="s">
        <v>41</v>
      </c>
      <c r="J746" s="7">
        <v>104936</v>
      </c>
      <c r="K746" s="6" t="s">
        <v>27</v>
      </c>
      <c r="L746" s="6" t="s">
        <v>24</v>
      </c>
    </row>
    <row r="747" spans="1:12" ht="23" customHeight="1">
      <c r="A747" s="5" t="s">
        <v>29</v>
      </c>
      <c r="B747" s="6">
        <v>6</v>
      </c>
      <c r="C747" s="6">
        <v>3</v>
      </c>
      <c r="D747" s="6" t="s">
        <v>30</v>
      </c>
      <c r="E747" s="6">
        <v>164</v>
      </c>
      <c r="F747" s="6">
        <v>113</v>
      </c>
      <c r="G747" s="6">
        <v>1468</v>
      </c>
      <c r="H747" s="6">
        <v>4</v>
      </c>
      <c r="I747" s="6" t="s">
        <v>31</v>
      </c>
      <c r="J747" s="7">
        <v>104936</v>
      </c>
      <c r="K747" s="6" t="s">
        <v>27</v>
      </c>
      <c r="L747" s="6" t="s">
        <v>24</v>
      </c>
    </row>
    <row r="748" spans="1:12" ht="23" customHeight="1">
      <c r="A748" s="5" t="s">
        <v>29</v>
      </c>
      <c r="B748" s="6">
        <v>6</v>
      </c>
      <c r="C748" s="6">
        <v>3</v>
      </c>
      <c r="D748" s="6" t="s">
        <v>30</v>
      </c>
      <c r="E748" s="6">
        <v>164</v>
      </c>
      <c r="F748" s="6">
        <v>113</v>
      </c>
      <c r="G748" s="6">
        <v>1468</v>
      </c>
      <c r="H748" s="6">
        <v>5</v>
      </c>
      <c r="I748" s="6" t="s">
        <v>32</v>
      </c>
      <c r="J748" s="7">
        <v>672.8</v>
      </c>
      <c r="K748" s="6" t="s">
        <v>33</v>
      </c>
      <c r="L748" s="6" t="s">
        <v>24</v>
      </c>
    </row>
    <row r="749" spans="1:12" ht="23" customHeight="1">
      <c r="A749" s="5" t="s">
        <v>29</v>
      </c>
      <c r="B749" s="6">
        <v>6</v>
      </c>
      <c r="C749" s="6">
        <v>3</v>
      </c>
      <c r="D749" s="6" t="s">
        <v>30</v>
      </c>
      <c r="E749" s="6">
        <v>164</v>
      </c>
      <c r="F749" s="6">
        <v>113</v>
      </c>
      <c r="G749" s="6">
        <v>1468</v>
      </c>
      <c r="H749" s="6">
        <v>6</v>
      </c>
      <c r="I749" s="6" t="s">
        <v>34</v>
      </c>
      <c r="J749" s="7">
        <v>672.8</v>
      </c>
      <c r="K749" s="6" t="s">
        <v>33</v>
      </c>
      <c r="L749" s="6" t="s">
        <v>24</v>
      </c>
    </row>
    <row r="750" spans="1:12" ht="23" customHeight="1">
      <c r="A750" s="5" t="s">
        <v>29</v>
      </c>
      <c r="B750" s="6">
        <v>6</v>
      </c>
      <c r="C750" s="6">
        <v>3</v>
      </c>
      <c r="D750" s="6" t="s">
        <v>30</v>
      </c>
      <c r="E750" s="6">
        <v>164</v>
      </c>
      <c r="F750" s="6">
        <v>113</v>
      </c>
      <c r="G750" s="6">
        <v>1468</v>
      </c>
      <c r="H750" s="6">
        <v>7</v>
      </c>
      <c r="I750" s="6" t="s">
        <v>35</v>
      </c>
      <c r="J750" s="7">
        <v>104936</v>
      </c>
      <c r="K750" s="6" t="s">
        <v>27</v>
      </c>
      <c r="L750" s="6" t="s">
        <v>24</v>
      </c>
    </row>
    <row r="751" spans="1:12" ht="23" customHeight="1">
      <c r="A751" s="5" t="s">
        <v>29</v>
      </c>
      <c r="B751" s="6">
        <v>6</v>
      </c>
      <c r="C751" s="6">
        <v>3</v>
      </c>
      <c r="D751" s="6" t="s">
        <v>30</v>
      </c>
      <c r="E751" s="6">
        <v>164</v>
      </c>
      <c r="F751" s="6">
        <v>113</v>
      </c>
      <c r="G751" s="6">
        <v>1468</v>
      </c>
      <c r="H751" s="6">
        <v>8</v>
      </c>
      <c r="I751" s="6" t="s">
        <v>36</v>
      </c>
      <c r="J751" s="7">
        <v>672.8</v>
      </c>
      <c r="K751" s="6" t="s">
        <v>33</v>
      </c>
      <c r="L751" s="6" t="s">
        <v>24</v>
      </c>
    </row>
    <row r="752" spans="1:12" ht="23" customHeight="1">
      <c r="A752" s="5" t="s">
        <v>29</v>
      </c>
      <c r="B752" s="6">
        <v>6</v>
      </c>
      <c r="C752" s="6">
        <v>3</v>
      </c>
      <c r="D752" s="6" t="s">
        <v>30</v>
      </c>
      <c r="E752" s="6">
        <v>164</v>
      </c>
      <c r="F752" s="6">
        <v>113</v>
      </c>
      <c r="G752" s="6">
        <v>1468</v>
      </c>
      <c r="H752" s="6">
        <v>9</v>
      </c>
      <c r="I752" s="6" t="s">
        <v>37</v>
      </c>
      <c r="J752" s="7">
        <v>672.8</v>
      </c>
      <c r="K752" s="6" t="s">
        <v>33</v>
      </c>
      <c r="L752" s="6" t="s">
        <v>24</v>
      </c>
    </row>
    <row r="753" spans="1:12" ht="23" customHeight="1">
      <c r="A753" s="5" t="s">
        <v>29</v>
      </c>
      <c r="B753" s="6">
        <v>6</v>
      </c>
      <c r="C753" s="6">
        <v>3</v>
      </c>
      <c r="D753" s="6" t="s">
        <v>30</v>
      </c>
      <c r="E753" s="6">
        <v>164</v>
      </c>
      <c r="F753" s="6">
        <v>113</v>
      </c>
      <c r="G753" s="6">
        <v>1468</v>
      </c>
      <c r="H753" s="6">
        <v>10</v>
      </c>
      <c r="I753" s="6" t="s">
        <v>38</v>
      </c>
      <c r="J753" s="7">
        <v>104936</v>
      </c>
      <c r="K753" s="6" t="s">
        <v>27</v>
      </c>
      <c r="L753" s="6" t="s">
        <v>24</v>
      </c>
    </row>
    <row r="754" spans="1:12" ht="23" customHeight="1">
      <c r="A754" s="5" t="s">
        <v>29</v>
      </c>
      <c r="B754" s="6">
        <v>6</v>
      </c>
      <c r="C754" s="6">
        <v>3</v>
      </c>
      <c r="D754" s="6" t="s">
        <v>30</v>
      </c>
      <c r="E754" s="6">
        <v>164</v>
      </c>
      <c r="F754" s="6">
        <v>113</v>
      </c>
      <c r="G754" s="6">
        <v>1468</v>
      </c>
      <c r="H754" s="6">
        <v>11</v>
      </c>
      <c r="I754" s="6" t="s">
        <v>39</v>
      </c>
      <c r="J754" s="7">
        <v>104936</v>
      </c>
      <c r="K754" s="6" t="s">
        <v>27</v>
      </c>
      <c r="L754" s="6" t="s">
        <v>24</v>
      </c>
    </row>
    <row r="755" spans="1:12" ht="23" customHeight="1">
      <c r="A755" s="5" t="s">
        <v>29</v>
      </c>
      <c r="B755" s="6">
        <v>6</v>
      </c>
      <c r="C755" s="6">
        <v>3</v>
      </c>
      <c r="D755" s="6" t="s">
        <v>30</v>
      </c>
      <c r="E755" s="6">
        <v>164</v>
      </c>
      <c r="F755" s="6">
        <v>113</v>
      </c>
      <c r="G755" s="6">
        <v>1468</v>
      </c>
      <c r="H755" s="6">
        <v>12</v>
      </c>
      <c r="I755" s="6" t="s">
        <v>40</v>
      </c>
      <c r="J755" s="7">
        <v>104936</v>
      </c>
      <c r="K755" s="6" t="s">
        <v>27</v>
      </c>
      <c r="L755" s="6" t="s">
        <v>24</v>
      </c>
    </row>
    <row r="756" spans="1:12" ht="23" customHeight="1">
      <c r="A756" s="5" t="s">
        <v>29</v>
      </c>
      <c r="B756" s="6">
        <v>6</v>
      </c>
      <c r="C756" s="6">
        <v>3</v>
      </c>
      <c r="D756" s="6" t="s">
        <v>30</v>
      </c>
      <c r="E756" s="6">
        <v>164</v>
      </c>
      <c r="F756" s="6">
        <v>113</v>
      </c>
      <c r="G756" s="6">
        <v>1468</v>
      </c>
      <c r="H756" s="6">
        <v>13</v>
      </c>
      <c r="I756" s="6" t="s">
        <v>41</v>
      </c>
      <c r="J756" s="7">
        <v>104936</v>
      </c>
      <c r="K756" s="6" t="s">
        <v>27</v>
      </c>
      <c r="L756" s="6" t="s">
        <v>24</v>
      </c>
    </row>
    <row r="757" spans="1:12" ht="23" customHeight="1">
      <c r="A757" s="5" t="s">
        <v>29</v>
      </c>
      <c r="B757" s="6">
        <v>6</v>
      </c>
      <c r="C757" s="6">
        <v>3</v>
      </c>
      <c r="D757" s="6" t="s">
        <v>30</v>
      </c>
      <c r="E757" s="6">
        <v>165</v>
      </c>
      <c r="F757" s="6">
        <v>114</v>
      </c>
      <c r="G757" s="6">
        <v>1469</v>
      </c>
      <c r="H757" s="6">
        <v>4</v>
      </c>
      <c r="I757" s="6" t="s">
        <v>31</v>
      </c>
      <c r="J757" s="7">
        <v>104936</v>
      </c>
      <c r="K757" s="6" t="s">
        <v>27</v>
      </c>
      <c r="L757" s="6" t="s">
        <v>24</v>
      </c>
    </row>
    <row r="758" spans="1:12" ht="23" customHeight="1">
      <c r="A758" s="5" t="s">
        <v>29</v>
      </c>
      <c r="B758" s="6">
        <v>6</v>
      </c>
      <c r="C758" s="6">
        <v>3</v>
      </c>
      <c r="D758" s="6" t="s">
        <v>30</v>
      </c>
      <c r="E758" s="6">
        <v>165</v>
      </c>
      <c r="F758" s="6">
        <v>114</v>
      </c>
      <c r="G758" s="6">
        <v>1469</v>
      </c>
      <c r="H758" s="6">
        <v>5</v>
      </c>
      <c r="I758" s="6" t="s">
        <v>32</v>
      </c>
      <c r="J758" s="7">
        <v>672.8</v>
      </c>
      <c r="K758" s="6" t="s">
        <v>33</v>
      </c>
      <c r="L758" s="6" t="s">
        <v>24</v>
      </c>
    </row>
    <row r="759" spans="1:12" ht="23" customHeight="1">
      <c r="A759" s="5" t="s">
        <v>29</v>
      </c>
      <c r="B759" s="6">
        <v>6</v>
      </c>
      <c r="C759" s="6">
        <v>3</v>
      </c>
      <c r="D759" s="6" t="s">
        <v>30</v>
      </c>
      <c r="E759" s="6">
        <v>165</v>
      </c>
      <c r="F759" s="6">
        <v>114</v>
      </c>
      <c r="G759" s="6">
        <v>1469</v>
      </c>
      <c r="H759" s="6">
        <v>6</v>
      </c>
      <c r="I759" s="6" t="s">
        <v>34</v>
      </c>
      <c r="J759" s="7">
        <v>672.8</v>
      </c>
      <c r="K759" s="6" t="s">
        <v>33</v>
      </c>
      <c r="L759" s="6" t="s">
        <v>24</v>
      </c>
    </row>
    <row r="760" spans="1:12" ht="23" customHeight="1">
      <c r="A760" s="5" t="s">
        <v>29</v>
      </c>
      <c r="B760" s="6">
        <v>6</v>
      </c>
      <c r="C760" s="6">
        <v>3</v>
      </c>
      <c r="D760" s="6" t="s">
        <v>30</v>
      </c>
      <c r="E760" s="6">
        <v>165</v>
      </c>
      <c r="F760" s="6">
        <v>114</v>
      </c>
      <c r="G760" s="6">
        <v>1469</v>
      </c>
      <c r="H760" s="6">
        <v>7</v>
      </c>
      <c r="I760" s="6" t="s">
        <v>35</v>
      </c>
      <c r="J760" s="7">
        <v>104936</v>
      </c>
      <c r="K760" s="6" t="s">
        <v>27</v>
      </c>
      <c r="L760" s="6" t="s">
        <v>24</v>
      </c>
    </row>
    <row r="761" spans="1:12" ht="23" customHeight="1">
      <c r="A761" s="5" t="s">
        <v>29</v>
      </c>
      <c r="B761" s="6">
        <v>6</v>
      </c>
      <c r="C761" s="6">
        <v>3</v>
      </c>
      <c r="D761" s="6" t="s">
        <v>30</v>
      </c>
      <c r="E761" s="6">
        <v>165</v>
      </c>
      <c r="F761" s="6">
        <v>114</v>
      </c>
      <c r="G761" s="6">
        <v>1469</v>
      </c>
      <c r="H761" s="6">
        <v>8</v>
      </c>
      <c r="I761" s="6" t="s">
        <v>36</v>
      </c>
      <c r="J761" s="7">
        <v>672.8</v>
      </c>
      <c r="K761" s="6" t="s">
        <v>33</v>
      </c>
      <c r="L761" s="6" t="s">
        <v>24</v>
      </c>
    </row>
    <row r="762" spans="1:12" ht="23" customHeight="1">
      <c r="A762" s="5" t="s">
        <v>29</v>
      </c>
      <c r="B762" s="6">
        <v>6</v>
      </c>
      <c r="C762" s="6">
        <v>3</v>
      </c>
      <c r="D762" s="6" t="s">
        <v>30</v>
      </c>
      <c r="E762" s="6">
        <v>165</v>
      </c>
      <c r="F762" s="6">
        <v>114</v>
      </c>
      <c r="G762" s="6">
        <v>1469</v>
      </c>
      <c r="H762" s="6">
        <v>9</v>
      </c>
      <c r="I762" s="6" t="s">
        <v>37</v>
      </c>
      <c r="J762" s="7">
        <v>672.8</v>
      </c>
      <c r="K762" s="6" t="s">
        <v>33</v>
      </c>
      <c r="L762" s="6" t="s">
        <v>24</v>
      </c>
    </row>
    <row r="763" spans="1:12" ht="23" customHeight="1">
      <c r="A763" s="5" t="s">
        <v>29</v>
      </c>
      <c r="B763" s="6">
        <v>6</v>
      </c>
      <c r="C763" s="6">
        <v>3</v>
      </c>
      <c r="D763" s="6" t="s">
        <v>30</v>
      </c>
      <c r="E763" s="6">
        <v>165</v>
      </c>
      <c r="F763" s="6">
        <v>114</v>
      </c>
      <c r="G763" s="6">
        <v>1469</v>
      </c>
      <c r="H763" s="6">
        <v>10</v>
      </c>
      <c r="I763" s="6" t="s">
        <v>38</v>
      </c>
      <c r="J763" s="7">
        <v>104936</v>
      </c>
      <c r="K763" s="6" t="s">
        <v>27</v>
      </c>
      <c r="L763" s="6" t="s">
        <v>24</v>
      </c>
    </row>
    <row r="764" spans="1:12" ht="23" customHeight="1">
      <c r="A764" s="5" t="s">
        <v>29</v>
      </c>
      <c r="B764" s="6">
        <v>6</v>
      </c>
      <c r="C764" s="6">
        <v>3</v>
      </c>
      <c r="D764" s="6" t="s">
        <v>30</v>
      </c>
      <c r="E764" s="6">
        <v>165</v>
      </c>
      <c r="F764" s="6">
        <v>114</v>
      </c>
      <c r="G764" s="6">
        <v>1469</v>
      </c>
      <c r="H764" s="6">
        <v>11</v>
      </c>
      <c r="I764" s="6" t="s">
        <v>39</v>
      </c>
      <c r="J764" s="7">
        <v>104936</v>
      </c>
      <c r="K764" s="6" t="s">
        <v>27</v>
      </c>
      <c r="L764" s="6" t="s">
        <v>24</v>
      </c>
    </row>
    <row r="765" spans="1:12" ht="23" customHeight="1">
      <c r="A765" s="5" t="s">
        <v>29</v>
      </c>
      <c r="B765" s="6">
        <v>6</v>
      </c>
      <c r="C765" s="6">
        <v>3</v>
      </c>
      <c r="D765" s="6" t="s">
        <v>30</v>
      </c>
      <c r="E765" s="6">
        <v>165</v>
      </c>
      <c r="F765" s="6">
        <v>114</v>
      </c>
      <c r="G765" s="6">
        <v>1469</v>
      </c>
      <c r="H765" s="6">
        <v>12</v>
      </c>
      <c r="I765" s="6" t="s">
        <v>40</v>
      </c>
      <c r="J765" s="7">
        <v>104936</v>
      </c>
      <c r="K765" s="6" t="s">
        <v>27</v>
      </c>
      <c r="L765" s="6" t="s">
        <v>24</v>
      </c>
    </row>
    <row r="766" spans="1:12" ht="23" customHeight="1">
      <c r="A766" s="5" t="s">
        <v>29</v>
      </c>
      <c r="B766" s="6">
        <v>6</v>
      </c>
      <c r="C766" s="6">
        <v>3</v>
      </c>
      <c r="D766" s="6" t="s">
        <v>30</v>
      </c>
      <c r="E766" s="6">
        <v>165</v>
      </c>
      <c r="F766" s="6">
        <v>114</v>
      </c>
      <c r="G766" s="6">
        <v>1469</v>
      </c>
      <c r="H766" s="6">
        <v>13</v>
      </c>
      <c r="I766" s="6" t="s">
        <v>41</v>
      </c>
      <c r="J766" s="7">
        <v>104936</v>
      </c>
      <c r="K766" s="6" t="s">
        <v>27</v>
      </c>
      <c r="L766" s="6" t="s">
        <v>24</v>
      </c>
    </row>
    <row r="767" spans="1:12" ht="23" customHeight="1">
      <c r="A767" s="5" t="s">
        <v>29</v>
      </c>
      <c r="B767" s="6">
        <v>6</v>
      </c>
      <c r="C767" s="6">
        <v>3</v>
      </c>
      <c r="D767" s="6" t="s">
        <v>30</v>
      </c>
      <c r="E767" s="6">
        <v>166</v>
      </c>
      <c r="F767" s="6">
        <v>115</v>
      </c>
      <c r="G767" s="6">
        <v>1470</v>
      </c>
      <c r="H767" s="6">
        <v>4</v>
      </c>
      <c r="I767" s="6" t="s">
        <v>31</v>
      </c>
      <c r="J767" s="7">
        <v>104936</v>
      </c>
      <c r="K767" s="6" t="s">
        <v>27</v>
      </c>
      <c r="L767" s="6" t="s">
        <v>24</v>
      </c>
    </row>
    <row r="768" spans="1:12" ht="23" customHeight="1">
      <c r="A768" s="5" t="s">
        <v>29</v>
      </c>
      <c r="B768" s="6">
        <v>6</v>
      </c>
      <c r="C768" s="6">
        <v>3</v>
      </c>
      <c r="D768" s="6" t="s">
        <v>30</v>
      </c>
      <c r="E768" s="6">
        <v>166</v>
      </c>
      <c r="F768" s="6">
        <v>115</v>
      </c>
      <c r="G768" s="6">
        <v>1470</v>
      </c>
      <c r="H768" s="6">
        <v>5</v>
      </c>
      <c r="I768" s="6" t="s">
        <v>32</v>
      </c>
      <c r="J768" s="7">
        <v>672.8</v>
      </c>
      <c r="K768" s="6" t="s">
        <v>33</v>
      </c>
      <c r="L768" s="6" t="s">
        <v>24</v>
      </c>
    </row>
    <row r="769" spans="1:12" ht="23" customHeight="1">
      <c r="A769" s="5" t="s">
        <v>29</v>
      </c>
      <c r="B769" s="6">
        <v>6</v>
      </c>
      <c r="C769" s="6">
        <v>3</v>
      </c>
      <c r="D769" s="6" t="s">
        <v>30</v>
      </c>
      <c r="E769" s="6">
        <v>166</v>
      </c>
      <c r="F769" s="6">
        <v>115</v>
      </c>
      <c r="G769" s="6">
        <v>1470</v>
      </c>
      <c r="H769" s="6">
        <v>6</v>
      </c>
      <c r="I769" s="6" t="s">
        <v>34</v>
      </c>
      <c r="J769" s="7">
        <v>672.8</v>
      </c>
      <c r="K769" s="6" t="s">
        <v>33</v>
      </c>
      <c r="L769" s="6" t="s">
        <v>24</v>
      </c>
    </row>
    <row r="770" spans="1:12" ht="23" customHeight="1">
      <c r="A770" s="5" t="s">
        <v>29</v>
      </c>
      <c r="B770" s="6">
        <v>6</v>
      </c>
      <c r="C770" s="6">
        <v>3</v>
      </c>
      <c r="D770" s="6" t="s">
        <v>30</v>
      </c>
      <c r="E770" s="6">
        <v>166</v>
      </c>
      <c r="F770" s="6">
        <v>115</v>
      </c>
      <c r="G770" s="6">
        <v>1470</v>
      </c>
      <c r="H770" s="6">
        <v>7</v>
      </c>
      <c r="I770" s="6" t="s">
        <v>35</v>
      </c>
      <c r="J770" s="7">
        <v>104936</v>
      </c>
      <c r="K770" s="6" t="s">
        <v>27</v>
      </c>
      <c r="L770" s="6" t="s">
        <v>24</v>
      </c>
    </row>
    <row r="771" spans="1:12" ht="23" customHeight="1">
      <c r="A771" s="5" t="s">
        <v>29</v>
      </c>
      <c r="B771" s="6">
        <v>6</v>
      </c>
      <c r="C771" s="6">
        <v>3</v>
      </c>
      <c r="D771" s="6" t="s">
        <v>30</v>
      </c>
      <c r="E771" s="6">
        <v>166</v>
      </c>
      <c r="F771" s="6">
        <v>115</v>
      </c>
      <c r="G771" s="6">
        <v>1470</v>
      </c>
      <c r="H771" s="6">
        <v>8</v>
      </c>
      <c r="I771" s="6" t="s">
        <v>36</v>
      </c>
      <c r="J771" s="7">
        <v>672.8</v>
      </c>
      <c r="K771" s="6" t="s">
        <v>33</v>
      </c>
      <c r="L771" s="6" t="s">
        <v>24</v>
      </c>
    </row>
    <row r="772" spans="1:12" ht="23" customHeight="1">
      <c r="A772" s="5" t="s">
        <v>29</v>
      </c>
      <c r="B772" s="6">
        <v>6</v>
      </c>
      <c r="C772" s="6">
        <v>3</v>
      </c>
      <c r="D772" s="6" t="s">
        <v>30</v>
      </c>
      <c r="E772" s="6">
        <v>166</v>
      </c>
      <c r="F772" s="6">
        <v>115</v>
      </c>
      <c r="G772" s="6">
        <v>1470</v>
      </c>
      <c r="H772" s="6">
        <v>9</v>
      </c>
      <c r="I772" s="6" t="s">
        <v>37</v>
      </c>
      <c r="J772" s="7">
        <v>672.8</v>
      </c>
      <c r="K772" s="6" t="s">
        <v>33</v>
      </c>
      <c r="L772" s="6" t="s">
        <v>24</v>
      </c>
    </row>
    <row r="773" spans="1:12" ht="23" customHeight="1">
      <c r="A773" s="5" t="s">
        <v>29</v>
      </c>
      <c r="B773" s="6">
        <v>6</v>
      </c>
      <c r="C773" s="6">
        <v>3</v>
      </c>
      <c r="D773" s="6" t="s">
        <v>30</v>
      </c>
      <c r="E773" s="6">
        <v>166</v>
      </c>
      <c r="F773" s="6">
        <v>115</v>
      </c>
      <c r="G773" s="6">
        <v>1470</v>
      </c>
      <c r="H773" s="6">
        <v>10</v>
      </c>
      <c r="I773" s="6" t="s">
        <v>38</v>
      </c>
      <c r="J773" s="7">
        <v>104936</v>
      </c>
      <c r="K773" s="6" t="s">
        <v>27</v>
      </c>
      <c r="L773" s="6" t="s">
        <v>24</v>
      </c>
    </row>
    <row r="774" spans="1:12" ht="23" customHeight="1">
      <c r="A774" s="5" t="s">
        <v>29</v>
      </c>
      <c r="B774" s="6">
        <v>6</v>
      </c>
      <c r="C774" s="6">
        <v>3</v>
      </c>
      <c r="D774" s="6" t="s">
        <v>30</v>
      </c>
      <c r="E774" s="6">
        <v>166</v>
      </c>
      <c r="F774" s="6">
        <v>115</v>
      </c>
      <c r="G774" s="6">
        <v>1470</v>
      </c>
      <c r="H774" s="6">
        <v>11</v>
      </c>
      <c r="I774" s="6" t="s">
        <v>39</v>
      </c>
      <c r="J774" s="7">
        <v>104936</v>
      </c>
      <c r="K774" s="6" t="s">
        <v>27</v>
      </c>
      <c r="L774" s="6" t="s">
        <v>24</v>
      </c>
    </row>
    <row r="775" spans="1:12" ht="23" customHeight="1">
      <c r="A775" s="5" t="s">
        <v>29</v>
      </c>
      <c r="B775" s="6">
        <v>6</v>
      </c>
      <c r="C775" s="6">
        <v>3</v>
      </c>
      <c r="D775" s="6" t="s">
        <v>30</v>
      </c>
      <c r="E775" s="6">
        <v>166</v>
      </c>
      <c r="F775" s="6">
        <v>115</v>
      </c>
      <c r="G775" s="6">
        <v>1470</v>
      </c>
      <c r="H775" s="6">
        <v>12</v>
      </c>
      <c r="I775" s="6" t="s">
        <v>40</v>
      </c>
      <c r="J775" s="7">
        <v>104936</v>
      </c>
      <c r="K775" s="6" t="s">
        <v>27</v>
      </c>
      <c r="L775" s="6" t="s">
        <v>24</v>
      </c>
    </row>
    <row r="776" spans="1:12" ht="23" customHeight="1">
      <c r="A776" s="5" t="s">
        <v>29</v>
      </c>
      <c r="B776" s="6">
        <v>6</v>
      </c>
      <c r="C776" s="6">
        <v>3</v>
      </c>
      <c r="D776" s="6" t="s">
        <v>30</v>
      </c>
      <c r="E776" s="6">
        <v>166</v>
      </c>
      <c r="F776" s="6">
        <v>115</v>
      </c>
      <c r="G776" s="6">
        <v>1470</v>
      </c>
      <c r="H776" s="6">
        <v>13</v>
      </c>
      <c r="I776" s="6" t="s">
        <v>41</v>
      </c>
      <c r="J776" s="7">
        <v>104936</v>
      </c>
      <c r="K776" s="6" t="s">
        <v>27</v>
      </c>
      <c r="L776" s="6" t="s">
        <v>24</v>
      </c>
    </row>
    <row r="777" spans="1:12" ht="23" customHeight="1">
      <c r="A777" s="5" t="s">
        <v>29</v>
      </c>
      <c r="B777" s="6">
        <v>6</v>
      </c>
      <c r="C777" s="6">
        <v>3</v>
      </c>
      <c r="D777" s="6" t="s">
        <v>30</v>
      </c>
      <c r="E777" s="6">
        <v>167</v>
      </c>
      <c r="F777" s="6">
        <v>116</v>
      </c>
      <c r="G777" s="6">
        <v>1471</v>
      </c>
      <c r="H777" s="6">
        <v>4</v>
      </c>
      <c r="I777" s="6" t="s">
        <v>31</v>
      </c>
      <c r="J777" s="7">
        <v>104936</v>
      </c>
      <c r="K777" s="6" t="s">
        <v>27</v>
      </c>
      <c r="L777" s="6" t="s">
        <v>24</v>
      </c>
    </row>
    <row r="778" spans="1:12" ht="23" customHeight="1">
      <c r="A778" s="5" t="s">
        <v>29</v>
      </c>
      <c r="B778" s="6">
        <v>6</v>
      </c>
      <c r="C778" s="6">
        <v>3</v>
      </c>
      <c r="D778" s="6" t="s">
        <v>30</v>
      </c>
      <c r="E778" s="6">
        <v>167</v>
      </c>
      <c r="F778" s="6">
        <v>116</v>
      </c>
      <c r="G778" s="6">
        <v>1471</v>
      </c>
      <c r="H778" s="6">
        <v>5</v>
      </c>
      <c r="I778" s="6" t="s">
        <v>32</v>
      </c>
      <c r="J778" s="7">
        <v>672.8</v>
      </c>
      <c r="K778" s="6" t="s">
        <v>33</v>
      </c>
      <c r="L778" s="6" t="s">
        <v>24</v>
      </c>
    </row>
    <row r="779" spans="1:12" ht="23" customHeight="1">
      <c r="A779" s="5" t="s">
        <v>29</v>
      </c>
      <c r="B779" s="6">
        <v>6</v>
      </c>
      <c r="C779" s="6">
        <v>3</v>
      </c>
      <c r="D779" s="6" t="s">
        <v>30</v>
      </c>
      <c r="E779" s="6">
        <v>167</v>
      </c>
      <c r="F779" s="6">
        <v>116</v>
      </c>
      <c r="G779" s="6">
        <v>1471</v>
      </c>
      <c r="H779" s="6">
        <v>6</v>
      </c>
      <c r="I779" s="6" t="s">
        <v>34</v>
      </c>
      <c r="J779" s="7">
        <v>672.8</v>
      </c>
      <c r="K779" s="6" t="s">
        <v>33</v>
      </c>
      <c r="L779" s="6" t="s">
        <v>24</v>
      </c>
    </row>
    <row r="780" spans="1:12" ht="23" customHeight="1">
      <c r="A780" s="5" t="s">
        <v>29</v>
      </c>
      <c r="B780" s="6">
        <v>6</v>
      </c>
      <c r="C780" s="6">
        <v>3</v>
      </c>
      <c r="D780" s="6" t="s">
        <v>30</v>
      </c>
      <c r="E780" s="6">
        <v>167</v>
      </c>
      <c r="F780" s="6">
        <v>116</v>
      </c>
      <c r="G780" s="6">
        <v>1471</v>
      </c>
      <c r="H780" s="6">
        <v>7</v>
      </c>
      <c r="I780" s="6" t="s">
        <v>35</v>
      </c>
      <c r="J780" s="7">
        <v>104936</v>
      </c>
      <c r="K780" s="6" t="s">
        <v>27</v>
      </c>
      <c r="L780" s="6" t="s">
        <v>24</v>
      </c>
    </row>
    <row r="781" spans="1:12" ht="23" customHeight="1">
      <c r="A781" s="5" t="s">
        <v>29</v>
      </c>
      <c r="B781" s="6">
        <v>6</v>
      </c>
      <c r="C781" s="6">
        <v>3</v>
      </c>
      <c r="D781" s="6" t="s">
        <v>30</v>
      </c>
      <c r="E781" s="6">
        <v>167</v>
      </c>
      <c r="F781" s="6">
        <v>116</v>
      </c>
      <c r="G781" s="6">
        <v>1471</v>
      </c>
      <c r="H781" s="6">
        <v>8</v>
      </c>
      <c r="I781" s="6" t="s">
        <v>36</v>
      </c>
      <c r="J781" s="7">
        <v>672.8</v>
      </c>
      <c r="K781" s="6" t="s">
        <v>33</v>
      </c>
      <c r="L781" s="6" t="s">
        <v>24</v>
      </c>
    </row>
    <row r="782" spans="1:12" ht="23" customHeight="1">
      <c r="A782" s="5" t="s">
        <v>29</v>
      </c>
      <c r="B782" s="6">
        <v>6</v>
      </c>
      <c r="C782" s="6">
        <v>3</v>
      </c>
      <c r="D782" s="6" t="s">
        <v>30</v>
      </c>
      <c r="E782" s="6">
        <v>167</v>
      </c>
      <c r="F782" s="6">
        <v>116</v>
      </c>
      <c r="G782" s="6">
        <v>1471</v>
      </c>
      <c r="H782" s="6">
        <v>9</v>
      </c>
      <c r="I782" s="6" t="s">
        <v>37</v>
      </c>
      <c r="J782" s="7">
        <v>672.8</v>
      </c>
      <c r="K782" s="6" t="s">
        <v>33</v>
      </c>
      <c r="L782" s="6" t="s">
        <v>24</v>
      </c>
    </row>
    <row r="783" spans="1:12" ht="23" customHeight="1">
      <c r="A783" s="5" t="s">
        <v>29</v>
      </c>
      <c r="B783" s="6">
        <v>6</v>
      </c>
      <c r="C783" s="6">
        <v>3</v>
      </c>
      <c r="D783" s="6" t="s">
        <v>30</v>
      </c>
      <c r="E783" s="6">
        <v>167</v>
      </c>
      <c r="F783" s="6">
        <v>116</v>
      </c>
      <c r="G783" s="6">
        <v>1471</v>
      </c>
      <c r="H783" s="6">
        <v>10</v>
      </c>
      <c r="I783" s="6" t="s">
        <v>38</v>
      </c>
      <c r="J783" s="7">
        <v>104936</v>
      </c>
      <c r="K783" s="6" t="s">
        <v>27</v>
      </c>
      <c r="L783" s="6" t="s">
        <v>24</v>
      </c>
    </row>
    <row r="784" spans="1:12" ht="23" customHeight="1">
      <c r="A784" s="5" t="s">
        <v>29</v>
      </c>
      <c r="B784" s="6">
        <v>6</v>
      </c>
      <c r="C784" s="6">
        <v>3</v>
      </c>
      <c r="D784" s="6" t="s">
        <v>30</v>
      </c>
      <c r="E784" s="6">
        <v>167</v>
      </c>
      <c r="F784" s="6">
        <v>116</v>
      </c>
      <c r="G784" s="6">
        <v>1471</v>
      </c>
      <c r="H784" s="6">
        <v>11</v>
      </c>
      <c r="I784" s="6" t="s">
        <v>39</v>
      </c>
      <c r="J784" s="7">
        <v>104936</v>
      </c>
      <c r="K784" s="6" t="s">
        <v>27</v>
      </c>
      <c r="L784" s="6" t="s">
        <v>24</v>
      </c>
    </row>
    <row r="785" spans="1:12" ht="23" customHeight="1">
      <c r="A785" s="5" t="s">
        <v>29</v>
      </c>
      <c r="B785" s="6">
        <v>6</v>
      </c>
      <c r="C785" s="6">
        <v>3</v>
      </c>
      <c r="D785" s="6" t="s">
        <v>30</v>
      </c>
      <c r="E785" s="6">
        <v>167</v>
      </c>
      <c r="F785" s="6">
        <v>116</v>
      </c>
      <c r="G785" s="6">
        <v>1471</v>
      </c>
      <c r="H785" s="6">
        <v>12</v>
      </c>
      <c r="I785" s="6" t="s">
        <v>40</v>
      </c>
      <c r="J785" s="7">
        <v>104936</v>
      </c>
      <c r="K785" s="6" t="s">
        <v>27</v>
      </c>
      <c r="L785" s="6" t="s">
        <v>24</v>
      </c>
    </row>
    <row r="786" spans="1:12" ht="23" customHeight="1">
      <c r="A786" s="5" t="s">
        <v>29</v>
      </c>
      <c r="B786" s="6">
        <v>6</v>
      </c>
      <c r="C786" s="6">
        <v>3</v>
      </c>
      <c r="D786" s="6" t="s">
        <v>30</v>
      </c>
      <c r="E786" s="6">
        <v>167</v>
      </c>
      <c r="F786" s="6">
        <v>116</v>
      </c>
      <c r="G786" s="6">
        <v>1471</v>
      </c>
      <c r="H786" s="6">
        <v>13</v>
      </c>
      <c r="I786" s="6" t="s">
        <v>41</v>
      </c>
      <c r="J786" s="7">
        <v>104936</v>
      </c>
      <c r="K786" s="6" t="s">
        <v>27</v>
      </c>
      <c r="L786" s="6" t="s">
        <v>24</v>
      </c>
    </row>
    <row r="787" spans="1:12" ht="23" customHeight="1">
      <c r="A787" s="5" t="s">
        <v>29</v>
      </c>
      <c r="B787" s="6">
        <v>6</v>
      </c>
      <c r="C787" s="6">
        <v>3</v>
      </c>
      <c r="D787" s="6" t="s">
        <v>30</v>
      </c>
      <c r="E787" s="6">
        <v>168</v>
      </c>
      <c r="F787" s="6">
        <v>117</v>
      </c>
      <c r="G787" s="6">
        <v>1472</v>
      </c>
      <c r="H787" s="6">
        <v>4</v>
      </c>
      <c r="I787" s="6" t="s">
        <v>31</v>
      </c>
      <c r="J787" s="7">
        <v>104936</v>
      </c>
      <c r="K787" s="6" t="s">
        <v>27</v>
      </c>
      <c r="L787" s="6" t="s">
        <v>24</v>
      </c>
    </row>
    <row r="788" spans="1:12" ht="23" customHeight="1">
      <c r="A788" s="5" t="s">
        <v>29</v>
      </c>
      <c r="B788" s="6">
        <v>6</v>
      </c>
      <c r="C788" s="6">
        <v>3</v>
      </c>
      <c r="D788" s="6" t="s">
        <v>30</v>
      </c>
      <c r="E788" s="6">
        <v>168</v>
      </c>
      <c r="F788" s="6">
        <v>117</v>
      </c>
      <c r="G788" s="6">
        <v>1472</v>
      </c>
      <c r="H788" s="6">
        <v>5</v>
      </c>
      <c r="I788" s="6" t="s">
        <v>32</v>
      </c>
      <c r="J788" s="7">
        <v>672.8</v>
      </c>
      <c r="K788" s="6" t="s">
        <v>33</v>
      </c>
      <c r="L788" s="6" t="s">
        <v>24</v>
      </c>
    </row>
    <row r="789" spans="1:12" ht="23" customHeight="1">
      <c r="A789" s="5" t="s">
        <v>29</v>
      </c>
      <c r="B789" s="6">
        <v>6</v>
      </c>
      <c r="C789" s="6">
        <v>3</v>
      </c>
      <c r="D789" s="6" t="s">
        <v>30</v>
      </c>
      <c r="E789" s="6">
        <v>168</v>
      </c>
      <c r="F789" s="6">
        <v>117</v>
      </c>
      <c r="G789" s="6">
        <v>1472</v>
      </c>
      <c r="H789" s="6">
        <v>6</v>
      </c>
      <c r="I789" s="6" t="s">
        <v>34</v>
      </c>
      <c r="J789" s="7">
        <v>672.8</v>
      </c>
      <c r="K789" s="6" t="s">
        <v>33</v>
      </c>
      <c r="L789" s="6" t="s">
        <v>24</v>
      </c>
    </row>
    <row r="790" spans="1:12" ht="23" customHeight="1">
      <c r="A790" s="5" t="s">
        <v>29</v>
      </c>
      <c r="B790" s="6">
        <v>6</v>
      </c>
      <c r="C790" s="6">
        <v>3</v>
      </c>
      <c r="D790" s="6" t="s">
        <v>30</v>
      </c>
      <c r="E790" s="6">
        <v>168</v>
      </c>
      <c r="F790" s="6">
        <v>117</v>
      </c>
      <c r="G790" s="6">
        <v>1472</v>
      </c>
      <c r="H790" s="6">
        <v>7</v>
      </c>
      <c r="I790" s="6" t="s">
        <v>35</v>
      </c>
      <c r="J790" s="7">
        <v>104936</v>
      </c>
      <c r="K790" s="6" t="s">
        <v>27</v>
      </c>
      <c r="L790" s="6" t="s">
        <v>24</v>
      </c>
    </row>
    <row r="791" spans="1:12" ht="23" customHeight="1">
      <c r="A791" s="5" t="s">
        <v>29</v>
      </c>
      <c r="B791" s="6">
        <v>6</v>
      </c>
      <c r="C791" s="6">
        <v>3</v>
      </c>
      <c r="D791" s="6" t="s">
        <v>30</v>
      </c>
      <c r="E791" s="6">
        <v>168</v>
      </c>
      <c r="F791" s="6">
        <v>117</v>
      </c>
      <c r="G791" s="6">
        <v>1472</v>
      </c>
      <c r="H791" s="6">
        <v>8</v>
      </c>
      <c r="I791" s="6" t="s">
        <v>36</v>
      </c>
      <c r="J791" s="7">
        <v>672.8</v>
      </c>
      <c r="K791" s="6" t="s">
        <v>33</v>
      </c>
      <c r="L791" s="6" t="s">
        <v>24</v>
      </c>
    </row>
    <row r="792" spans="1:12" ht="23" customHeight="1">
      <c r="A792" s="5" t="s">
        <v>29</v>
      </c>
      <c r="B792" s="6">
        <v>6</v>
      </c>
      <c r="C792" s="6">
        <v>3</v>
      </c>
      <c r="D792" s="6" t="s">
        <v>30</v>
      </c>
      <c r="E792" s="6">
        <v>168</v>
      </c>
      <c r="F792" s="6">
        <v>117</v>
      </c>
      <c r="G792" s="6">
        <v>1472</v>
      </c>
      <c r="H792" s="6">
        <v>9</v>
      </c>
      <c r="I792" s="6" t="s">
        <v>37</v>
      </c>
      <c r="J792" s="7">
        <v>672.8</v>
      </c>
      <c r="K792" s="6" t="s">
        <v>33</v>
      </c>
      <c r="L792" s="6" t="s">
        <v>24</v>
      </c>
    </row>
    <row r="793" spans="1:12" ht="23" customHeight="1">
      <c r="A793" s="5" t="s">
        <v>29</v>
      </c>
      <c r="B793" s="6">
        <v>6</v>
      </c>
      <c r="C793" s="6">
        <v>3</v>
      </c>
      <c r="D793" s="6" t="s">
        <v>30</v>
      </c>
      <c r="E793" s="6">
        <v>168</v>
      </c>
      <c r="F793" s="6">
        <v>117</v>
      </c>
      <c r="G793" s="6">
        <v>1472</v>
      </c>
      <c r="H793" s="6">
        <v>10</v>
      </c>
      <c r="I793" s="6" t="s">
        <v>38</v>
      </c>
      <c r="J793" s="7">
        <v>104936</v>
      </c>
      <c r="K793" s="6" t="s">
        <v>27</v>
      </c>
      <c r="L793" s="6" t="s">
        <v>24</v>
      </c>
    </row>
    <row r="794" spans="1:12" ht="23" customHeight="1">
      <c r="A794" s="5" t="s">
        <v>29</v>
      </c>
      <c r="B794" s="6">
        <v>6</v>
      </c>
      <c r="C794" s="6">
        <v>3</v>
      </c>
      <c r="D794" s="6" t="s">
        <v>30</v>
      </c>
      <c r="E794" s="6">
        <v>168</v>
      </c>
      <c r="F794" s="6">
        <v>117</v>
      </c>
      <c r="G794" s="6">
        <v>1472</v>
      </c>
      <c r="H794" s="6">
        <v>11</v>
      </c>
      <c r="I794" s="6" t="s">
        <v>39</v>
      </c>
      <c r="J794" s="7">
        <v>104936</v>
      </c>
      <c r="K794" s="6" t="s">
        <v>27</v>
      </c>
      <c r="L794" s="6" t="s">
        <v>24</v>
      </c>
    </row>
    <row r="795" spans="1:12" ht="23" customHeight="1">
      <c r="A795" s="5" t="s">
        <v>29</v>
      </c>
      <c r="B795" s="6">
        <v>6</v>
      </c>
      <c r="C795" s="6">
        <v>3</v>
      </c>
      <c r="D795" s="6" t="s">
        <v>30</v>
      </c>
      <c r="E795" s="6">
        <v>168</v>
      </c>
      <c r="F795" s="6">
        <v>117</v>
      </c>
      <c r="G795" s="6">
        <v>1472</v>
      </c>
      <c r="H795" s="6">
        <v>12</v>
      </c>
      <c r="I795" s="6" t="s">
        <v>40</v>
      </c>
      <c r="J795" s="7">
        <v>104936</v>
      </c>
      <c r="K795" s="6" t="s">
        <v>27</v>
      </c>
      <c r="L795" s="6" t="s">
        <v>24</v>
      </c>
    </row>
    <row r="796" spans="1:12" ht="23" customHeight="1">
      <c r="A796" s="5" t="s">
        <v>29</v>
      </c>
      <c r="B796" s="6">
        <v>6</v>
      </c>
      <c r="C796" s="6">
        <v>3</v>
      </c>
      <c r="D796" s="6" t="s">
        <v>30</v>
      </c>
      <c r="E796" s="6">
        <v>168</v>
      </c>
      <c r="F796" s="6">
        <v>117</v>
      </c>
      <c r="G796" s="6">
        <v>1472</v>
      </c>
      <c r="H796" s="6">
        <v>13</v>
      </c>
      <c r="I796" s="6" t="s">
        <v>41</v>
      </c>
      <c r="J796" s="7">
        <v>104936</v>
      </c>
      <c r="K796" s="6" t="s">
        <v>27</v>
      </c>
      <c r="L796" s="6" t="s">
        <v>24</v>
      </c>
    </row>
    <row r="797" spans="1:12" ht="23" customHeight="1">
      <c r="A797" s="5" t="s">
        <v>29</v>
      </c>
      <c r="B797" s="6">
        <v>6</v>
      </c>
      <c r="C797" s="6">
        <v>3</v>
      </c>
      <c r="D797" s="6" t="s">
        <v>30</v>
      </c>
      <c r="E797" s="6">
        <v>169</v>
      </c>
      <c r="F797" s="6">
        <v>118</v>
      </c>
      <c r="G797" s="6">
        <v>1473</v>
      </c>
      <c r="H797" s="6">
        <v>4</v>
      </c>
      <c r="I797" s="6" t="s">
        <v>31</v>
      </c>
      <c r="J797" s="7">
        <v>104936</v>
      </c>
      <c r="K797" s="6" t="s">
        <v>27</v>
      </c>
      <c r="L797" s="6" t="s">
        <v>24</v>
      </c>
    </row>
    <row r="798" spans="1:12" ht="23" customHeight="1">
      <c r="A798" s="5" t="s">
        <v>29</v>
      </c>
      <c r="B798" s="6">
        <v>6</v>
      </c>
      <c r="C798" s="6">
        <v>3</v>
      </c>
      <c r="D798" s="6" t="s">
        <v>30</v>
      </c>
      <c r="E798" s="6">
        <v>169</v>
      </c>
      <c r="F798" s="6">
        <v>118</v>
      </c>
      <c r="G798" s="6">
        <v>1473</v>
      </c>
      <c r="H798" s="6">
        <v>5</v>
      </c>
      <c r="I798" s="6" t="s">
        <v>32</v>
      </c>
      <c r="J798" s="7">
        <v>672.8</v>
      </c>
      <c r="K798" s="6" t="s">
        <v>33</v>
      </c>
      <c r="L798" s="6" t="s">
        <v>24</v>
      </c>
    </row>
    <row r="799" spans="1:12" ht="23" customHeight="1">
      <c r="A799" s="5" t="s">
        <v>29</v>
      </c>
      <c r="B799" s="6">
        <v>6</v>
      </c>
      <c r="C799" s="6">
        <v>3</v>
      </c>
      <c r="D799" s="6" t="s">
        <v>30</v>
      </c>
      <c r="E799" s="6">
        <v>169</v>
      </c>
      <c r="F799" s="6">
        <v>118</v>
      </c>
      <c r="G799" s="6">
        <v>1473</v>
      </c>
      <c r="H799" s="6">
        <v>6</v>
      </c>
      <c r="I799" s="6" t="s">
        <v>34</v>
      </c>
      <c r="J799" s="7">
        <v>672.8</v>
      </c>
      <c r="K799" s="6" t="s">
        <v>33</v>
      </c>
      <c r="L799" s="6" t="s">
        <v>24</v>
      </c>
    </row>
    <row r="800" spans="1:12" ht="23" customHeight="1">
      <c r="A800" s="5" t="s">
        <v>29</v>
      </c>
      <c r="B800" s="6">
        <v>6</v>
      </c>
      <c r="C800" s="6">
        <v>3</v>
      </c>
      <c r="D800" s="6" t="s">
        <v>30</v>
      </c>
      <c r="E800" s="6">
        <v>169</v>
      </c>
      <c r="F800" s="6">
        <v>118</v>
      </c>
      <c r="G800" s="6">
        <v>1473</v>
      </c>
      <c r="H800" s="6">
        <v>7</v>
      </c>
      <c r="I800" s="6" t="s">
        <v>35</v>
      </c>
      <c r="J800" s="7">
        <v>104936</v>
      </c>
      <c r="K800" s="6" t="s">
        <v>27</v>
      </c>
      <c r="L800" s="6" t="s">
        <v>24</v>
      </c>
    </row>
    <row r="801" spans="1:12" ht="23" customHeight="1">
      <c r="A801" s="5" t="s">
        <v>29</v>
      </c>
      <c r="B801" s="6">
        <v>6</v>
      </c>
      <c r="C801" s="6">
        <v>3</v>
      </c>
      <c r="D801" s="6" t="s">
        <v>30</v>
      </c>
      <c r="E801" s="6">
        <v>169</v>
      </c>
      <c r="F801" s="6">
        <v>118</v>
      </c>
      <c r="G801" s="6">
        <v>1473</v>
      </c>
      <c r="H801" s="6">
        <v>8</v>
      </c>
      <c r="I801" s="6" t="s">
        <v>36</v>
      </c>
      <c r="J801" s="7">
        <v>672.8</v>
      </c>
      <c r="K801" s="6" t="s">
        <v>33</v>
      </c>
      <c r="L801" s="6" t="s">
        <v>24</v>
      </c>
    </row>
    <row r="802" spans="1:12" ht="23" customHeight="1">
      <c r="A802" s="5" t="s">
        <v>29</v>
      </c>
      <c r="B802" s="6">
        <v>6</v>
      </c>
      <c r="C802" s="6">
        <v>3</v>
      </c>
      <c r="D802" s="6" t="s">
        <v>30</v>
      </c>
      <c r="E802" s="6">
        <v>169</v>
      </c>
      <c r="F802" s="6">
        <v>118</v>
      </c>
      <c r="G802" s="6">
        <v>1473</v>
      </c>
      <c r="H802" s="6">
        <v>9</v>
      </c>
      <c r="I802" s="6" t="s">
        <v>37</v>
      </c>
      <c r="J802" s="7">
        <v>672.8</v>
      </c>
      <c r="K802" s="6" t="s">
        <v>33</v>
      </c>
      <c r="L802" s="6" t="s">
        <v>24</v>
      </c>
    </row>
    <row r="803" spans="1:12" ht="23" customHeight="1">
      <c r="A803" s="5" t="s">
        <v>29</v>
      </c>
      <c r="B803" s="6">
        <v>6</v>
      </c>
      <c r="C803" s="6">
        <v>3</v>
      </c>
      <c r="D803" s="6" t="s">
        <v>30</v>
      </c>
      <c r="E803" s="6">
        <v>169</v>
      </c>
      <c r="F803" s="6">
        <v>118</v>
      </c>
      <c r="G803" s="6">
        <v>1473</v>
      </c>
      <c r="H803" s="6">
        <v>10</v>
      </c>
      <c r="I803" s="6" t="s">
        <v>38</v>
      </c>
      <c r="J803" s="7">
        <v>104936</v>
      </c>
      <c r="K803" s="6" t="s">
        <v>27</v>
      </c>
      <c r="L803" s="6" t="s">
        <v>24</v>
      </c>
    </row>
    <row r="804" spans="1:12" ht="23" customHeight="1">
      <c r="A804" s="5" t="s">
        <v>29</v>
      </c>
      <c r="B804" s="6">
        <v>6</v>
      </c>
      <c r="C804" s="6">
        <v>3</v>
      </c>
      <c r="D804" s="6" t="s">
        <v>30</v>
      </c>
      <c r="E804" s="6">
        <v>169</v>
      </c>
      <c r="F804" s="6">
        <v>118</v>
      </c>
      <c r="G804" s="6">
        <v>1473</v>
      </c>
      <c r="H804" s="6">
        <v>11</v>
      </c>
      <c r="I804" s="6" t="s">
        <v>39</v>
      </c>
      <c r="J804" s="7">
        <v>104936</v>
      </c>
      <c r="K804" s="6" t="s">
        <v>27</v>
      </c>
      <c r="L804" s="6" t="s">
        <v>24</v>
      </c>
    </row>
    <row r="805" spans="1:12" ht="23" customHeight="1">
      <c r="A805" s="5" t="s">
        <v>29</v>
      </c>
      <c r="B805" s="6">
        <v>6</v>
      </c>
      <c r="C805" s="6">
        <v>3</v>
      </c>
      <c r="D805" s="6" t="s">
        <v>30</v>
      </c>
      <c r="E805" s="6">
        <v>169</v>
      </c>
      <c r="F805" s="6">
        <v>118</v>
      </c>
      <c r="G805" s="6">
        <v>1473</v>
      </c>
      <c r="H805" s="6">
        <v>12</v>
      </c>
      <c r="I805" s="6" t="s">
        <v>40</v>
      </c>
      <c r="J805" s="7">
        <v>104936</v>
      </c>
      <c r="K805" s="6" t="s">
        <v>27</v>
      </c>
      <c r="L805" s="6" t="s">
        <v>24</v>
      </c>
    </row>
    <row r="806" spans="1:12" ht="23" customHeight="1">
      <c r="A806" s="5" t="s">
        <v>29</v>
      </c>
      <c r="B806" s="6">
        <v>6</v>
      </c>
      <c r="C806" s="6">
        <v>3</v>
      </c>
      <c r="D806" s="6" t="s">
        <v>30</v>
      </c>
      <c r="E806" s="6">
        <v>169</v>
      </c>
      <c r="F806" s="6">
        <v>118</v>
      </c>
      <c r="G806" s="6">
        <v>1473</v>
      </c>
      <c r="H806" s="6">
        <v>13</v>
      </c>
      <c r="I806" s="6" t="s">
        <v>41</v>
      </c>
      <c r="J806" s="7">
        <v>104936</v>
      </c>
      <c r="K806" s="6" t="s">
        <v>27</v>
      </c>
      <c r="L806" s="6" t="s">
        <v>24</v>
      </c>
    </row>
    <row r="807" spans="1:12" ht="23" customHeight="1">
      <c r="A807" s="5" t="s">
        <v>29</v>
      </c>
      <c r="B807" s="6">
        <v>6</v>
      </c>
      <c r="C807" s="6">
        <v>3</v>
      </c>
      <c r="D807" s="6" t="s">
        <v>30</v>
      </c>
      <c r="E807" s="6">
        <v>170</v>
      </c>
      <c r="F807" s="6">
        <v>119</v>
      </c>
      <c r="G807" s="6">
        <v>1474</v>
      </c>
      <c r="H807" s="6">
        <v>4</v>
      </c>
      <c r="I807" s="6" t="s">
        <v>31</v>
      </c>
      <c r="J807" s="7">
        <v>104936</v>
      </c>
      <c r="K807" s="6" t="s">
        <v>27</v>
      </c>
      <c r="L807" s="6" t="s">
        <v>24</v>
      </c>
    </row>
    <row r="808" spans="1:12" ht="23" customHeight="1">
      <c r="A808" s="5" t="s">
        <v>29</v>
      </c>
      <c r="B808" s="6">
        <v>6</v>
      </c>
      <c r="C808" s="6">
        <v>3</v>
      </c>
      <c r="D808" s="6" t="s">
        <v>30</v>
      </c>
      <c r="E808" s="6">
        <v>170</v>
      </c>
      <c r="F808" s="6">
        <v>119</v>
      </c>
      <c r="G808" s="6">
        <v>1474</v>
      </c>
      <c r="H808" s="6">
        <v>5</v>
      </c>
      <c r="I808" s="6" t="s">
        <v>32</v>
      </c>
      <c r="J808" s="7">
        <v>672.8</v>
      </c>
      <c r="K808" s="6" t="s">
        <v>33</v>
      </c>
      <c r="L808" s="6" t="s">
        <v>24</v>
      </c>
    </row>
    <row r="809" spans="1:12" ht="23" customHeight="1">
      <c r="A809" s="5" t="s">
        <v>29</v>
      </c>
      <c r="B809" s="6">
        <v>6</v>
      </c>
      <c r="C809" s="6">
        <v>3</v>
      </c>
      <c r="D809" s="6" t="s">
        <v>30</v>
      </c>
      <c r="E809" s="6">
        <v>170</v>
      </c>
      <c r="F809" s="6">
        <v>119</v>
      </c>
      <c r="G809" s="6">
        <v>1474</v>
      </c>
      <c r="H809" s="6">
        <v>6</v>
      </c>
      <c r="I809" s="6" t="s">
        <v>34</v>
      </c>
      <c r="J809" s="7">
        <v>672.8</v>
      </c>
      <c r="K809" s="6" t="s">
        <v>33</v>
      </c>
      <c r="L809" s="6" t="s">
        <v>24</v>
      </c>
    </row>
    <row r="810" spans="1:12" ht="23" customHeight="1">
      <c r="A810" s="5" t="s">
        <v>29</v>
      </c>
      <c r="B810" s="6">
        <v>6</v>
      </c>
      <c r="C810" s="6">
        <v>3</v>
      </c>
      <c r="D810" s="6" t="s">
        <v>30</v>
      </c>
      <c r="E810" s="6">
        <v>170</v>
      </c>
      <c r="F810" s="6">
        <v>119</v>
      </c>
      <c r="G810" s="6">
        <v>1474</v>
      </c>
      <c r="H810" s="6">
        <v>7</v>
      </c>
      <c r="I810" s="6" t="s">
        <v>35</v>
      </c>
      <c r="J810" s="7">
        <v>104936</v>
      </c>
      <c r="K810" s="6" t="s">
        <v>27</v>
      </c>
      <c r="L810" s="6" t="s">
        <v>24</v>
      </c>
    </row>
    <row r="811" spans="1:12" ht="23" customHeight="1">
      <c r="A811" s="5" t="s">
        <v>29</v>
      </c>
      <c r="B811" s="6">
        <v>6</v>
      </c>
      <c r="C811" s="6">
        <v>3</v>
      </c>
      <c r="D811" s="6" t="s">
        <v>30</v>
      </c>
      <c r="E811" s="6">
        <v>170</v>
      </c>
      <c r="F811" s="6">
        <v>119</v>
      </c>
      <c r="G811" s="6">
        <v>1474</v>
      </c>
      <c r="H811" s="6">
        <v>8</v>
      </c>
      <c r="I811" s="6" t="s">
        <v>36</v>
      </c>
      <c r="J811" s="7">
        <v>672.8</v>
      </c>
      <c r="K811" s="6" t="s">
        <v>33</v>
      </c>
      <c r="L811" s="6" t="s">
        <v>24</v>
      </c>
    </row>
    <row r="812" spans="1:12" ht="23" customHeight="1">
      <c r="A812" s="5" t="s">
        <v>29</v>
      </c>
      <c r="B812" s="6">
        <v>6</v>
      </c>
      <c r="C812" s="6">
        <v>3</v>
      </c>
      <c r="D812" s="6" t="s">
        <v>30</v>
      </c>
      <c r="E812" s="6">
        <v>170</v>
      </c>
      <c r="F812" s="6">
        <v>119</v>
      </c>
      <c r="G812" s="6">
        <v>1474</v>
      </c>
      <c r="H812" s="6">
        <v>9</v>
      </c>
      <c r="I812" s="6" t="s">
        <v>37</v>
      </c>
      <c r="J812" s="7">
        <v>672.8</v>
      </c>
      <c r="K812" s="6" t="s">
        <v>33</v>
      </c>
      <c r="L812" s="6" t="s">
        <v>24</v>
      </c>
    </row>
    <row r="813" spans="1:12" ht="23" customHeight="1">
      <c r="A813" s="5" t="s">
        <v>29</v>
      </c>
      <c r="B813" s="6">
        <v>6</v>
      </c>
      <c r="C813" s="6">
        <v>3</v>
      </c>
      <c r="D813" s="6" t="s">
        <v>30</v>
      </c>
      <c r="E813" s="6">
        <v>170</v>
      </c>
      <c r="F813" s="6">
        <v>119</v>
      </c>
      <c r="G813" s="6">
        <v>1474</v>
      </c>
      <c r="H813" s="6">
        <v>10</v>
      </c>
      <c r="I813" s="6" t="s">
        <v>38</v>
      </c>
      <c r="J813" s="7">
        <v>104936</v>
      </c>
      <c r="K813" s="6" t="s">
        <v>27</v>
      </c>
      <c r="L813" s="6" t="s">
        <v>24</v>
      </c>
    </row>
    <row r="814" spans="1:12" ht="23" customHeight="1">
      <c r="A814" s="5" t="s">
        <v>29</v>
      </c>
      <c r="B814" s="6">
        <v>6</v>
      </c>
      <c r="C814" s="6">
        <v>3</v>
      </c>
      <c r="D814" s="6" t="s">
        <v>30</v>
      </c>
      <c r="E814" s="6">
        <v>170</v>
      </c>
      <c r="F814" s="6">
        <v>119</v>
      </c>
      <c r="G814" s="6">
        <v>1474</v>
      </c>
      <c r="H814" s="6">
        <v>11</v>
      </c>
      <c r="I814" s="6" t="s">
        <v>39</v>
      </c>
      <c r="J814" s="7">
        <v>104936</v>
      </c>
      <c r="K814" s="6" t="s">
        <v>27</v>
      </c>
      <c r="L814" s="6" t="s">
        <v>24</v>
      </c>
    </row>
    <row r="815" spans="1:12" ht="23" customHeight="1">
      <c r="A815" s="5" t="s">
        <v>29</v>
      </c>
      <c r="B815" s="6">
        <v>6</v>
      </c>
      <c r="C815" s="6">
        <v>3</v>
      </c>
      <c r="D815" s="6" t="s">
        <v>30</v>
      </c>
      <c r="E815" s="6">
        <v>170</v>
      </c>
      <c r="F815" s="6">
        <v>119</v>
      </c>
      <c r="G815" s="6">
        <v>1474</v>
      </c>
      <c r="H815" s="6">
        <v>12</v>
      </c>
      <c r="I815" s="6" t="s">
        <v>40</v>
      </c>
      <c r="J815" s="7">
        <v>104936</v>
      </c>
      <c r="K815" s="6" t="s">
        <v>27</v>
      </c>
      <c r="L815" s="6" t="s">
        <v>24</v>
      </c>
    </row>
    <row r="816" spans="1:12" ht="23" customHeight="1">
      <c r="A816" s="5" t="s">
        <v>29</v>
      </c>
      <c r="B816" s="6">
        <v>6</v>
      </c>
      <c r="C816" s="6">
        <v>3</v>
      </c>
      <c r="D816" s="6" t="s">
        <v>30</v>
      </c>
      <c r="E816" s="6">
        <v>170</v>
      </c>
      <c r="F816" s="6">
        <v>119</v>
      </c>
      <c r="G816" s="6">
        <v>1474</v>
      </c>
      <c r="H816" s="6">
        <v>13</v>
      </c>
      <c r="I816" s="6" t="s">
        <v>41</v>
      </c>
      <c r="J816" s="7">
        <v>104936</v>
      </c>
      <c r="K816" s="6" t="s">
        <v>27</v>
      </c>
      <c r="L816" s="6" t="s">
        <v>24</v>
      </c>
    </row>
    <row r="817" spans="1:12" ht="23" customHeight="1">
      <c r="A817" s="5" t="s">
        <v>29</v>
      </c>
      <c r="B817" s="6">
        <v>6</v>
      </c>
      <c r="C817" s="6">
        <v>3</v>
      </c>
      <c r="D817" s="6" t="s">
        <v>30</v>
      </c>
      <c r="E817" s="6">
        <v>171</v>
      </c>
      <c r="F817" s="6">
        <v>120</v>
      </c>
      <c r="G817" s="6">
        <v>1475</v>
      </c>
      <c r="H817" s="6">
        <v>4</v>
      </c>
      <c r="I817" s="6" t="s">
        <v>31</v>
      </c>
      <c r="J817" s="7">
        <v>36324</v>
      </c>
      <c r="K817" s="6" t="s">
        <v>27</v>
      </c>
      <c r="L817" s="6" t="s">
        <v>24</v>
      </c>
    </row>
    <row r="818" spans="1:12" ht="23" customHeight="1">
      <c r="A818" s="5" t="s">
        <v>29</v>
      </c>
      <c r="B818" s="6">
        <v>6</v>
      </c>
      <c r="C818" s="6">
        <v>3</v>
      </c>
      <c r="D818" s="6" t="s">
        <v>30</v>
      </c>
      <c r="E818" s="6">
        <v>171</v>
      </c>
      <c r="F818" s="6">
        <v>120</v>
      </c>
      <c r="G818" s="6">
        <v>1475</v>
      </c>
      <c r="H818" s="6">
        <v>5</v>
      </c>
      <c r="I818" s="6" t="s">
        <v>32</v>
      </c>
      <c r="J818" s="7">
        <v>232.9</v>
      </c>
      <c r="K818" s="6" t="s">
        <v>33</v>
      </c>
      <c r="L818" s="6" t="s">
        <v>24</v>
      </c>
    </row>
    <row r="819" spans="1:12" ht="23" customHeight="1">
      <c r="A819" s="5" t="s">
        <v>29</v>
      </c>
      <c r="B819" s="6">
        <v>6</v>
      </c>
      <c r="C819" s="6">
        <v>3</v>
      </c>
      <c r="D819" s="6" t="s">
        <v>30</v>
      </c>
      <c r="E819" s="6">
        <v>171</v>
      </c>
      <c r="F819" s="6">
        <v>120</v>
      </c>
      <c r="G819" s="6">
        <v>1475</v>
      </c>
      <c r="H819" s="6">
        <v>6</v>
      </c>
      <c r="I819" s="6" t="s">
        <v>34</v>
      </c>
      <c r="J819" s="7">
        <v>232.9</v>
      </c>
      <c r="K819" s="6" t="s">
        <v>33</v>
      </c>
      <c r="L819" s="6" t="s">
        <v>24</v>
      </c>
    </row>
    <row r="820" spans="1:12" ht="23" customHeight="1">
      <c r="A820" s="5" t="s">
        <v>29</v>
      </c>
      <c r="B820" s="6">
        <v>6</v>
      </c>
      <c r="C820" s="6">
        <v>3</v>
      </c>
      <c r="D820" s="6" t="s">
        <v>30</v>
      </c>
      <c r="E820" s="6">
        <v>171</v>
      </c>
      <c r="F820" s="6">
        <v>120</v>
      </c>
      <c r="G820" s="6">
        <v>1475</v>
      </c>
      <c r="H820" s="6">
        <v>7</v>
      </c>
      <c r="I820" s="6" t="s">
        <v>35</v>
      </c>
      <c r="J820" s="7">
        <v>36324</v>
      </c>
      <c r="K820" s="6" t="s">
        <v>27</v>
      </c>
      <c r="L820" s="6" t="s">
        <v>24</v>
      </c>
    </row>
    <row r="821" spans="1:12" ht="23" customHeight="1">
      <c r="A821" s="5" t="s">
        <v>29</v>
      </c>
      <c r="B821" s="6">
        <v>6</v>
      </c>
      <c r="C821" s="6">
        <v>3</v>
      </c>
      <c r="D821" s="6" t="s">
        <v>30</v>
      </c>
      <c r="E821" s="6">
        <v>171</v>
      </c>
      <c r="F821" s="6">
        <v>120</v>
      </c>
      <c r="G821" s="6">
        <v>1475</v>
      </c>
      <c r="H821" s="6">
        <v>8</v>
      </c>
      <c r="I821" s="6" t="s">
        <v>36</v>
      </c>
      <c r="J821" s="7">
        <v>232.9</v>
      </c>
      <c r="K821" s="6" t="s">
        <v>33</v>
      </c>
      <c r="L821" s="6" t="s">
        <v>24</v>
      </c>
    </row>
    <row r="822" spans="1:12" ht="23" customHeight="1">
      <c r="A822" s="5" t="s">
        <v>29</v>
      </c>
      <c r="B822" s="6">
        <v>6</v>
      </c>
      <c r="C822" s="6">
        <v>3</v>
      </c>
      <c r="D822" s="6" t="s">
        <v>30</v>
      </c>
      <c r="E822" s="6">
        <v>171</v>
      </c>
      <c r="F822" s="6">
        <v>120</v>
      </c>
      <c r="G822" s="6">
        <v>1475</v>
      </c>
      <c r="H822" s="6">
        <v>9</v>
      </c>
      <c r="I822" s="6" t="s">
        <v>37</v>
      </c>
      <c r="J822" s="7">
        <v>232.9</v>
      </c>
      <c r="K822" s="6" t="s">
        <v>33</v>
      </c>
      <c r="L822" s="6" t="s">
        <v>24</v>
      </c>
    </row>
    <row r="823" spans="1:12" ht="23" customHeight="1">
      <c r="A823" s="5" t="s">
        <v>29</v>
      </c>
      <c r="B823" s="6">
        <v>6</v>
      </c>
      <c r="C823" s="6">
        <v>3</v>
      </c>
      <c r="D823" s="6" t="s">
        <v>30</v>
      </c>
      <c r="E823" s="6">
        <v>171</v>
      </c>
      <c r="F823" s="6">
        <v>120</v>
      </c>
      <c r="G823" s="6">
        <v>1475</v>
      </c>
      <c r="H823" s="6">
        <v>10</v>
      </c>
      <c r="I823" s="6" t="s">
        <v>38</v>
      </c>
      <c r="J823" s="7">
        <v>36324</v>
      </c>
      <c r="K823" s="6" t="s">
        <v>27</v>
      </c>
      <c r="L823" s="6" t="s">
        <v>24</v>
      </c>
    </row>
    <row r="824" spans="1:12" ht="23" customHeight="1">
      <c r="A824" s="5" t="s">
        <v>29</v>
      </c>
      <c r="B824" s="6">
        <v>6</v>
      </c>
      <c r="C824" s="6">
        <v>3</v>
      </c>
      <c r="D824" s="6" t="s">
        <v>30</v>
      </c>
      <c r="E824" s="6">
        <v>171</v>
      </c>
      <c r="F824" s="6">
        <v>120</v>
      </c>
      <c r="G824" s="6">
        <v>1475</v>
      </c>
      <c r="H824" s="6">
        <v>11</v>
      </c>
      <c r="I824" s="6" t="s">
        <v>39</v>
      </c>
      <c r="J824" s="7">
        <v>36324</v>
      </c>
      <c r="K824" s="6" t="s">
        <v>27</v>
      </c>
      <c r="L824" s="6" t="s">
        <v>24</v>
      </c>
    </row>
    <row r="825" spans="1:12" ht="23" customHeight="1">
      <c r="A825" s="5" t="s">
        <v>29</v>
      </c>
      <c r="B825" s="6">
        <v>6</v>
      </c>
      <c r="C825" s="6">
        <v>3</v>
      </c>
      <c r="D825" s="6" t="s">
        <v>30</v>
      </c>
      <c r="E825" s="6">
        <v>171</v>
      </c>
      <c r="F825" s="6">
        <v>120</v>
      </c>
      <c r="G825" s="6">
        <v>1475</v>
      </c>
      <c r="H825" s="6">
        <v>12</v>
      </c>
      <c r="I825" s="6" t="s">
        <v>40</v>
      </c>
      <c r="J825" s="7">
        <v>36324</v>
      </c>
      <c r="K825" s="6" t="s">
        <v>27</v>
      </c>
      <c r="L825" s="6" t="s">
        <v>24</v>
      </c>
    </row>
    <row r="826" spans="1:12" ht="23" customHeight="1">
      <c r="A826" s="5" t="s">
        <v>29</v>
      </c>
      <c r="B826" s="6">
        <v>6</v>
      </c>
      <c r="C826" s="6">
        <v>3</v>
      </c>
      <c r="D826" s="6" t="s">
        <v>30</v>
      </c>
      <c r="E826" s="6">
        <v>171</v>
      </c>
      <c r="F826" s="6">
        <v>120</v>
      </c>
      <c r="G826" s="6">
        <v>1475</v>
      </c>
      <c r="H826" s="6">
        <v>13</v>
      </c>
      <c r="I826" s="6" t="s">
        <v>41</v>
      </c>
      <c r="J826" s="7">
        <v>36324</v>
      </c>
      <c r="K826" s="6" t="s">
        <v>27</v>
      </c>
      <c r="L826" s="6" t="s">
        <v>24</v>
      </c>
    </row>
    <row r="827" spans="1:12" ht="23" customHeight="1">
      <c r="A827" s="5" t="s">
        <v>42</v>
      </c>
      <c r="B827" s="6">
        <v>4</v>
      </c>
      <c r="C827" s="6">
        <v>1</v>
      </c>
      <c r="D827" s="6" t="s">
        <v>30</v>
      </c>
      <c r="E827" s="6">
        <v>122</v>
      </c>
      <c r="F827" s="6">
        <v>124</v>
      </c>
      <c r="G827" s="6">
        <v>1479</v>
      </c>
      <c r="H827" s="6">
        <v>4</v>
      </c>
      <c r="I827" s="6" t="s">
        <v>31</v>
      </c>
      <c r="J827" s="7">
        <v>327072</v>
      </c>
      <c r="K827" s="6" t="s">
        <v>27</v>
      </c>
      <c r="L827" s="6" t="s">
        <v>23</v>
      </c>
    </row>
    <row r="828" spans="1:12" ht="23" customHeight="1">
      <c r="A828" s="5" t="s">
        <v>42</v>
      </c>
      <c r="B828" s="6">
        <v>4</v>
      </c>
      <c r="C828" s="6">
        <v>1</v>
      </c>
      <c r="D828" s="6" t="s">
        <v>30</v>
      </c>
      <c r="E828" s="6">
        <v>122</v>
      </c>
      <c r="F828" s="6">
        <v>124</v>
      </c>
      <c r="G828" s="6">
        <v>1479</v>
      </c>
      <c r="H828" s="6">
        <v>5</v>
      </c>
      <c r="I828" s="6" t="s">
        <v>32</v>
      </c>
      <c r="J828" s="7">
        <v>7167.5</v>
      </c>
      <c r="K828" s="6" t="s">
        <v>33</v>
      </c>
      <c r="L828" s="6" t="s">
        <v>23</v>
      </c>
    </row>
    <row r="829" spans="1:12" ht="23" customHeight="1">
      <c r="A829" s="5" t="s">
        <v>42</v>
      </c>
      <c r="B829" s="6">
        <v>4</v>
      </c>
      <c r="C829" s="6">
        <v>1</v>
      </c>
      <c r="D829" s="6" t="s">
        <v>30</v>
      </c>
      <c r="E829" s="6">
        <v>122</v>
      </c>
      <c r="F829" s="6">
        <v>124</v>
      </c>
      <c r="G829" s="6">
        <v>1479</v>
      </c>
      <c r="H829" s="6">
        <v>6</v>
      </c>
      <c r="I829" s="6" t="s">
        <v>34</v>
      </c>
      <c r="J829" s="7"/>
      <c r="K829" s="6" t="s">
        <v>33</v>
      </c>
      <c r="L829" s="6" t="s">
        <v>23</v>
      </c>
    </row>
    <row r="830" spans="1:12" ht="23" customHeight="1">
      <c r="A830" s="5" t="s">
        <v>42</v>
      </c>
      <c r="B830" s="6">
        <v>4</v>
      </c>
      <c r="C830" s="6">
        <v>1</v>
      </c>
      <c r="D830" s="6" t="s">
        <v>30</v>
      </c>
      <c r="E830" s="6">
        <v>122</v>
      </c>
      <c r="F830" s="6">
        <v>124</v>
      </c>
      <c r="G830" s="6">
        <v>1479</v>
      </c>
      <c r="H830" s="6">
        <v>7</v>
      </c>
      <c r="I830" s="6" t="s">
        <v>35</v>
      </c>
      <c r="J830" s="7">
        <v>88418</v>
      </c>
      <c r="K830" s="6" t="s">
        <v>27</v>
      </c>
      <c r="L830" s="6" t="s">
        <v>23</v>
      </c>
    </row>
    <row r="831" spans="1:12" ht="23" customHeight="1">
      <c r="A831" s="5" t="s">
        <v>42</v>
      </c>
      <c r="B831" s="6">
        <v>4</v>
      </c>
      <c r="C831" s="6">
        <v>1</v>
      </c>
      <c r="D831" s="6" t="s">
        <v>30</v>
      </c>
      <c r="E831" s="6">
        <v>122</v>
      </c>
      <c r="F831" s="6">
        <v>124</v>
      </c>
      <c r="G831" s="6">
        <v>1479</v>
      </c>
      <c r="H831" s="6">
        <v>8</v>
      </c>
      <c r="I831" s="6" t="s">
        <v>36</v>
      </c>
      <c r="J831" s="7">
        <v>16724.3</v>
      </c>
      <c r="K831" s="6" t="s">
        <v>33</v>
      </c>
      <c r="L831" s="6" t="s">
        <v>23</v>
      </c>
    </row>
    <row r="832" spans="1:12" ht="23" customHeight="1">
      <c r="A832" s="5" t="s">
        <v>42</v>
      </c>
      <c r="B832" s="6">
        <v>4</v>
      </c>
      <c r="C832" s="6">
        <v>1</v>
      </c>
      <c r="D832" s="6" t="s">
        <v>30</v>
      </c>
      <c r="E832" s="6">
        <v>122</v>
      </c>
      <c r="F832" s="6">
        <v>124</v>
      </c>
      <c r="G832" s="6">
        <v>1479</v>
      </c>
      <c r="H832" s="6">
        <v>9</v>
      </c>
      <c r="I832" s="6" t="s">
        <v>37</v>
      </c>
      <c r="J832" s="7"/>
      <c r="K832" s="6" t="s">
        <v>33</v>
      </c>
      <c r="L832" s="6" t="s">
        <v>23</v>
      </c>
    </row>
    <row r="833" spans="1:12" ht="23" customHeight="1">
      <c r="A833" s="5" t="s">
        <v>42</v>
      </c>
      <c r="B833" s="6">
        <v>4</v>
      </c>
      <c r="C833" s="6">
        <v>1</v>
      </c>
      <c r="D833" s="6" t="s">
        <v>30</v>
      </c>
      <c r="E833" s="6">
        <v>122</v>
      </c>
      <c r="F833" s="6">
        <v>124</v>
      </c>
      <c r="G833" s="6">
        <v>1479</v>
      </c>
      <c r="H833" s="6">
        <v>10</v>
      </c>
      <c r="I833" s="6" t="s">
        <v>38</v>
      </c>
      <c r="J833" s="7">
        <v>88418</v>
      </c>
      <c r="K833" s="6" t="s">
        <v>27</v>
      </c>
      <c r="L833" s="6" t="s">
        <v>23</v>
      </c>
    </row>
    <row r="834" spans="1:12" ht="23" customHeight="1">
      <c r="A834" s="5" t="s">
        <v>42</v>
      </c>
      <c r="B834" s="6">
        <v>4</v>
      </c>
      <c r="C834" s="6">
        <v>1</v>
      </c>
      <c r="D834" s="6" t="s">
        <v>30</v>
      </c>
      <c r="E834" s="6">
        <v>122</v>
      </c>
      <c r="F834" s="6">
        <v>124</v>
      </c>
      <c r="G834" s="6">
        <v>1479</v>
      </c>
      <c r="H834" s="6">
        <v>11</v>
      </c>
      <c r="I834" s="6" t="s">
        <v>39</v>
      </c>
      <c r="J834" s="7">
        <v>327072</v>
      </c>
      <c r="K834" s="6" t="s">
        <v>27</v>
      </c>
      <c r="L834" s="6" t="s">
        <v>23</v>
      </c>
    </row>
    <row r="835" spans="1:12" ht="23" customHeight="1">
      <c r="A835" s="5" t="s">
        <v>42</v>
      </c>
      <c r="B835" s="6">
        <v>4</v>
      </c>
      <c r="C835" s="6">
        <v>1</v>
      </c>
      <c r="D835" s="6" t="s">
        <v>30</v>
      </c>
      <c r="E835" s="6">
        <v>122</v>
      </c>
      <c r="F835" s="6">
        <v>124</v>
      </c>
      <c r="G835" s="6">
        <v>1479</v>
      </c>
      <c r="H835" s="6">
        <v>12</v>
      </c>
      <c r="I835" s="6" t="s">
        <v>40</v>
      </c>
      <c r="J835" s="7">
        <v>88418</v>
      </c>
      <c r="K835" s="6" t="s">
        <v>27</v>
      </c>
      <c r="L835" s="6" t="s">
        <v>23</v>
      </c>
    </row>
    <row r="836" spans="1:12" ht="23" customHeight="1">
      <c r="A836" s="5" t="s">
        <v>42</v>
      </c>
      <c r="B836" s="6">
        <v>4</v>
      </c>
      <c r="C836" s="6">
        <v>1</v>
      </c>
      <c r="D836" s="6" t="s">
        <v>30</v>
      </c>
      <c r="E836" s="6">
        <v>122</v>
      </c>
      <c r="F836" s="6">
        <v>124</v>
      </c>
      <c r="G836" s="6">
        <v>1479</v>
      </c>
      <c r="H836" s="6">
        <v>13</v>
      </c>
      <c r="I836" s="6" t="s">
        <v>41</v>
      </c>
      <c r="J836" s="7">
        <v>88418</v>
      </c>
      <c r="K836" s="6" t="s">
        <v>27</v>
      </c>
      <c r="L836" s="6" t="s">
        <v>23</v>
      </c>
    </row>
    <row r="837" spans="1:12" ht="23" customHeight="1">
      <c r="A837" s="5" t="s">
        <v>42</v>
      </c>
      <c r="B837" s="6">
        <v>5</v>
      </c>
      <c r="C837" s="6">
        <v>2</v>
      </c>
      <c r="D837" s="6" t="s">
        <v>30</v>
      </c>
      <c r="E837" s="6">
        <v>147</v>
      </c>
      <c r="F837" s="6">
        <v>125</v>
      </c>
      <c r="G837" s="6">
        <v>1480</v>
      </c>
      <c r="H837" s="6">
        <v>4</v>
      </c>
      <c r="I837" s="6" t="s">
        <v>31</v>
      </c>
      <c r="J837" s="7">
        <v>218048</v>
      </c>
      <c r="K837" s="6" t="s">
        <v>27</v>
      </c>
      <c r="L837" s="6" t="s">
        <v>23</v>
      </c>
    </row>
    <row r="838" spans="1:12" ht="23" customHeight="1">
      <c r="A838" s="5" t="s">
        <v>42</v>
      </c>
      <c r="B838" s="6">
        <v>5</v>
      </c>
      <c r="C838" s="6">
        <v>2</v>
      </c>
      <c r="D838" s="6" t="s">
        <v>30</v>
      </c>
      <c r="E838" s="6">
        <v>147</v>
      </c>
      <c r="F838" s="6">
        <v>125</v>
      </c>
      <c r="G838" s="6">
        <v>1480</v>
      </c>
      <c r="H838" s="6">
        <v>5</v>
      </c>
      <c r="I838" s="6" t="s">
        <v>32</v>
      </c>
      <c r="J838" s="7">
        <v>4778.4</v>
      </c>
      <c r="K838" s="6" t="s">
        <v>33</v>
      </c>
      <c r="L838" s="6" t="s">
        <v>23</v>
      </c>
    </row>
    <row r="839" spans="1:12" ht="23" customHeight="1">
      <c r="A839" s="5" t="s">
        <v>42</v>
      </c>
      <c r="B839" s="6">
        <v>5</v>
      </c>
      <c r="C839" s="6">
        <v>2</v>
      </c>
      <c r="D839" s="6" t="s">
        <v>30</v>
      </c>
      <c r="E839" s="6">
        <v>147</v>
      </c>
      <c r="F839" s="6">
        <v>125</v>
      </c>
      <c r="G839" s="6">
        <v>1480</v>
      </c>
      <c r="H839" s="6">
        <v>6</v>
      </c>
      <c r="I839" s="6" t="s">
        <v>34</v>
      </c>
      <c r="J839" s="7"/>
      <c r="K839" s="6" t="s">
        <v>33</v>
      </c>
      <c r="L839" s="6" t="s">
        <v>23</v>
      </c>
    </row>
    <row r="840" spans="1:12" ht="23" customHeight="1">
      <c r="A840" s="5" t="s">
        <v>42</v>
      </c>
      <c r="B840" s="6">
        <v>5</v>
      </c>
      <c r="C840" s="6">
        <v>2</v>
      </c>
      <c r="D840" s="6" t="s">
        <v>30</v>
      </c>
      <c r="E840" s="6">
        <v>147</v>
      </c>
      <c r="F840" s="6">
        <v>125</v>
      </c>
      <c r="G840" s="6">
        <v>1480</v>
      </c>
      <c r="H840" s="6">
        <v>7</v>
      </c>
      <c r="I840" s="6" t="s">
        <v>35</v>
      </c>
      <c r="J840" s="7">
        <v>58945</v>
      </c>
      <c r="K840" s="6" t="s">
        <v>27</v>
      </c>
      <c r="L840" s="6" t="s">
        <v>23</v>
      </c>
    </row>
    <row r="841" spans="1:12" ht="23" customHeight="1">
      <c r="A841" s="5" t="s">
        <v>42</v>
      </c>
      <c r="B841" s="6">
        <v>5</v>
      </c>
      <c r="C841" s="6">
        <v>2</v>
      </c>
      <c r="D841" s="6" t="s">
        <v>30</v>
      </c>
      <c r="E841" s="6">
        <v>147</v>
      </c>
      <c r="F841" s="6">
        <v>125</v>
      </c>
      <c r="G841" s="6">
        <v>1480</v>
      </c>
      <c r="H841" s="6">
        <v>8</v>
      </c>
      <c r="I841" s="6" t="s">
        <v>36</v>
      </c>
      <c r="J841" s="7">
        <v>11149.5</v>
      </c>
      <c r="K841" s="6" t="s">
        <v>33</v>
      </c>
      <c r="L841" s="6" t="s">
        <v>23</v>
      </c>
    </row>
    <row r="842" spans="1:12" ht="23" customHeight="1">
      <c r="A842" s="5" t="s">
        <v>42</v>
      </c>
      <c r="B842" s="6">
        <v>5</v>
      </c>
      <c r="C842" s="6">
        <v>2</v>
      </c>
      <c r="D842" s="6" t="s">
        <v>30</v>
      </c>
      <c r="E842" s="6">
        <v>147</v>
      </c>
      <c r="F842" s="6">
        <v>125</v>
      </c>
      <c r="G842" s="6">
        <v>1480</v>
      </c>
      <c r="H842" s="6">
        <v>9</v>
      </c>
      <c r="I842" s="6" t="s">
        <v>37</v>
      </c>
      <c r="J842" s="7"/>
      <c r="K842" s="6" t="s">
        <v>33</v>
      </c>
      <c r="L842" s="6" t="s">
        <v>23</v>
      </c>
    </row>
    <row r="843" spans="1:12" ht="23" customHeight="1">
      <c r="A843" s="5" t="s">
        <v>42</v>
      </c>
      <c r="B843" s="6">
        <v>5</v>
      </c>
      <c r="C843" s="6">
        <v>2</v>
      </c>
      <c r="D843" s="6" t="s">
        <v>30</v>
      </c>
      <c r="E843" s="6">
        <v>147</v>
      </c>
      <c r="F843" s="6">
        <v>125</v>
      </c>
      <c r="G843" s="6">
        <v>1480</v>
      </c>
      <c r="H843" s="6">
        <v>10</v>
      </c>
      <c r="I843" s="6" t="s">
        <v>38</v>
      </c>
      <c r="J843" s="7">
        <v>58945</v>
      </c>
      <c r="K843" s="6" t="s">
        <v>27</v>
      </c>
      <c r="L843" s="6" t="s">
        <v>23</v>
      </c>
    </row>
    <row r="844" spans="1:12" ht="23" customHeight="1">
      <c r="A844" s="5" t="s">
        <v>42</v>
      </c>
      <c r="B844" s="6">
        <v>5</v>
      </c>
      <c r="C844" s="6">
        <v>2</v>
      </c>
      <c r="D844" s="6" t="s">
        <v>30</v>
      </c>
      <c r="E844" s="6">
        <v>147</v>
      </c>
      <c r="F844" s="6">
        <v>125</v>
      </c>
      <c r="G844" s="6">
        <v>1480</v>
      </c>
      <c r="H844" s="6">
        <v>11</v>
      </c>
      <c r="I844" s="6" t="s">
        <v>39</v>
      </c>
      <c r="J844" s="7">
        <v>218048</v>
      </c>
      <c r="K844" s="6" t="s">
        <v>27</v>
      </c>
      <c r="L844" s="6" t="s">
        <v>23</v>
      </c>
    </row>
    <row r="845" spans="1:12" ht="23" customHeight="1">
      <c r="A845" s="5" t="s">
        <v>42</v>
      </c>
      <c r="B845" s="6">
        <v>5</v>
      </c>
      <c r="C845" s="6">
        <v>2</v>
      </c>
      <c r="D845" s="6" t="s">
        <v>30</v>
      </c>
      <c r="E845" s="6">
        <v>147</v>
      </c>
      <c r="F845" s="6">
        <v>125</v>
      </c>
      <c r="G845" s="6">
        <v>1480</v>
      </c>
      <c r="H845" s="6">
        <v>12</v>
      </c>
      <c r="I845" s="6" t="s">
        <v>40</v>
      </c>
      <c r="J845" s="7">
        <v>58945</v>
      </c>
      <c r="K845" s="6" t="s">
        <v>27</v>
      </c>
      <c r="L845" s="6" t="s">
        <v>23</v>
      </c>
    </row>
    <row r="846" spans="1:12" ht="23" customHeight="1">
      <c r="A846" s="5" t="s">
        <v>42</v>
      </c>
      <c r="B846" s="6">
        <v>5</v>
      </c>
      <c r="C846" s="6">
        <v>2</v>
      </c>
      <c r="D846" s="6" t="s">
        <v>30</v>
      </c>
      <c r="E846" s="6">
        <v>147</v>
      </c>
      <c r="F846" s="6">
        <v>125</v>
      </c>
      <c r="G846" s="6">
        <v>1480</v>
      </c>
      <c r="H846" s="6">
        <v>13</v>
      </c>
      <c r="I846" s="6" t="s">
        <v>41</v>
      </c>
      <c r="J846" s="7">
        <v>58945</v>
      </c>
      <c r="K846" s="6" t="s">
        <v>27</v>
      </c>
      <c r="L846" s="6" t="s">
        <v>23</v>
      </c>
    </row>
    <row r="847" spans="1:12" ht="23" customHeight="1">
      <c r="A847" s="5" t="s">
        <v>42</v>
      </c>
      <c r="B847" s="6">
        <v>6</v>
      </c>
      <c r="C847" s="6">
        <v>3</v>
      </c>
      <c r="D847" s="6" t="s">
        <v>30</v>
      </c>
      <c r="E847" s="6">
        <v>172</v>
      </c>
      <c r="F847" s="6">
        <v>126</v>
      </c>
      <c r="G847" s="6">
        <v>1481</v>
      </c>
      <c r="H847" s="6">
        <v>4</v>
      </c>
      <c r="I847" s="6" t="s">
        <v>31</v>
      </c>
      <c r="J847" s="7">
        <v>327072</v>
      </c>
      <c r="K847" s="6" t="s">
        <v>27</v>
      </c>
      <c r="L847" s="6" t="s">
        <v>23</v>
      </c>
    </row>
    <row r="848" spans="1:12" ht="23" customHeight="1">
      <c r="A848" s="5" t="s">
        <v>42</v>
      </c>
      <c r="B848" s="6">
        <v>6</v>
      </c>
      <c r="C848" s="6">
        <v>3</v>
      </c>
      <c r="D848" s="6" t="s">
        <v>30</v>
      </c>
      <c r="E848" s="6">
        <v>172</v>
      </c>
      <c r="F848" s="6">
        <v>126</v>
      </c>
      <c r="G848" s="6">
        <v>1481</v>
      </c>
      <c r="H848" s="6">
        <v>5</v>
      </c>
      <c r="I848" s="6" t="s">
        <v>32</v>
      </c>
      <c r="J848" s="7">
        <v>7167.5</v>
      </c>
      <c r="K848" s="6" t="s">
        <v>33</v>
      </c>
      <c r="L848" s="6" t="s">
        <v>23</v>
      </c>
    </row>
    <row r="849" spans="1:12" ht="23" customHeight="1">
      <c r="A849" s="5" t="s">
        <v>42</v>
      </c>
      <c r="B849" s="6">
        <v>6</v>
      </c>
      <c r="C849" s="6">
        <v>3</v>
      </c>
      <c r="D849" s="6" t="s">
        <v>30</v>
      </c>
      <c r="E849" s="6">
        <v>172</v>
      </c>
      <c r="F849" s="6">
        <v>126</v>
      </c>
      <c r="G849" s="6">
        <v>1481</v>
      </c>
      <c r="H849" s="6">
        <v>6</v>
      </c>
      <c r="I849" s="6" t="s">
        <v>34</v>
      </c>
      <c r="J849" s="7"/>
      <c r="K849" s="6" t="s">
        <v>33</v>
      </c>
      <c r="L849" s="6" t="s">
        <v>23</v>
      </c>
    </row>
    <row r="850" spans="1:12" ht="23" customHeight="1">
      <c r="A850" s="5" t="s">
        <v>42</v>
      </c>
      <c r="B850" s="6">
        <v>6</v>
      </c>
      <c r="C850" s="6">
        <v>3</v>
      </c>
      <c r="D850" s="6" t="s">
        <v>30</v>
      </c>
      <c r="E850" s="6">
        <v>172</v>
      </c>
      <c r="F850" s="6">
        <v>126</v>
      </c>
      <c r="G850" s="6">
        <v>1481</v>
      </c>
      <c r="H850" s="6">
        <v>7</v>
      </c>
      <c r="I850" s="6" t="s">
        <v>35</v>
      </c>
      <c r="J850" s="7">
        <v>88418</v>
      </c>
      <c r="K850" s="6" t="s">
        <v>27</v>
      </c>
      <c r="L850" s="6" t="s">
        <v>23</v>
      </c>
    </row>
    <row r="851" spans="1:12" ht="23" customHeight="1">
      <c r="A851" s="5" t="s">
        <v>42</v>
      </c>
      <c r="B851" s="6">
        <v>6</v>
      </c>
      <c r="C851" s="6">
        <v>3</v>
      </c>
      <c r="D851" s="6" t="s">
        <v>30</v>
      </c>
      <c r="E851" s="6">
        <v>172</v>
      </c>
      <c r="F851" s="6">
        <v>126</v>
      </c>
      <c r="G851" s="6">
        <v>1481</v>
      </c>
      <c r="H851" s="6">
        <v>8</v>
      </c>
      <c r="I851" s="6" t="s">
        <v>36</v>
      </c>
      <c r="J851" s="7">
        <v>16724.3</v>
      </c>
      <c r="K851" s="6" t="s">
        <v>33</v>
      </c>
      <c r="L851" s="6" t="s">
        <v>23</v>
      </c>
    </row>
    <row r="852" spans="1:12" ht="23" customHeight="1">
      <c r="A852" s="5" t="s">
        <v>42</v>
      </c>
      <c r="B852" s="6">
        <v>6</v>
      </c>
      <c r="C852" s="6">
        <v>3</v>
      </c>
      <c r="D852" s="6" t="s">
        <v>30</v>
      </c>
      <c r="E852" s="6">
        <v>172</v>
      </c>
      <c r="F852" s="6">
        <v>126</v>
      </c>
      <c r="G852" s="6">
        <v>1481</v>
      </c>
      <c r="H852" s="6">
        <v>9</v>
      </c>
      <c r="I852" s="6" t="s">
        <v>37</v>
      </c>
      <c r="J852" s="7"/>
      <c r="K852" s="6" t="s">
        <v>33</v>
      </c>
      <c r="L852" s="6" t="s">
        <v>23</v>
      </c>
    </row>
    <row r="853" spans="1:12" ht="23" customHeight="1">
      <c r="A853" s="5" t="s">
        <v>42</v>
      </c>
      <c r="B853" s="6">
        <v>6</v>
      </c>
      <c r="C853" s="6">
        <v>3</v>
      </c>
      <c r="D853" s="6" t="s">
        <v>30</v>
      </c>
      <c r="E853" s="6">
        <v>172</v>
      </c>
      <c r="F853" s="6">
        <v>126</v>
      </c>
      <c r="G853" s="6">
        <v>1481</v>
      </c>
      <c r="H853" s="6">
        <v>10</v>
      </c>
      <c r="I853" s="6" t="s">
        <v>38</v>
      </c>
      <c r="J853" s="7">
        <v>88418</v>
      </c>
      <c r="K853" s="6" t="s">
        <v>27</v>
      </c>
      <c r="L853" s="6" t="s">
        <v>23</v>
      </c>
    </row>
    <row r="854" spans="1:12" ht="23" customHeight="1">
      <c r="A854" s="5" t="s">
        <v>42</v>
      </c>
      <c r="B854" s="6">
        <v>6</v>
      </c>
      <c r="C854" s="6">
        <v>3</v>
      </c>
      <c r="D854" s="6" t="s">
        <v>30</v>
      </c>
      <c r="E854" s="6">
        <v>172</v>
      </c>
      <c r="F854" s="6">
        <v>126</v>
      </c>
      <c r="G854" s="6">
        <v>1481</v>
      </c>
      <c r="H854" s="6">
        <v>11</v>
      </c>
      <c r="I854" s="6" t="s">
        <v>39</v>
      </c>
      <c r="J854" s="7">
        <v>327072</v>
      </c>
      <c r="K854" s="6" t="s">
        <v>27</v>
      </c>
      <c r="L854" s="6" t="s">
        <v>23</v>
      </c>
    </row>
    <row r="855" spans="1:12" ht="23" customHeight="1">
      <c r="A855" s="5" t="s">
        <v>42</v>
      </c>
      <c r="B855" s="6">
        <v>6</v>
      </c>
      <c r="C855" s="6">
        <v>3</v>
      </c>
      <c r="D855" s="6" t="s">
        <v>30</v>
      </c>
      <c r="E855" s="6">
        <v>172</v>
      </c>
      <c r="F855" s="6">
        <v>126</v>
      </c>
      <c r="G855" s="6">
        <v>1481</v>
      </c>
      <c r="H855" s="6">
        <v>12</v>
      </c>
      <c r="I855" s="6" t="s">
        <v>40</v>
      </c>
      <c r="J855" s="7">
        <v>88418</v>
      </c>
      <c r="K855" s="6" t="s">
        <v>27</v>
      </c>
      <c r="L855" s="6" t="s">
        <v>23</v>
      </c>
    </row>
    <row r="856" spans="1:12" ht="23" customHeight="1">
      <c r="A856" s="5" t="s">
        <v>42</v>
      </c>
      <c r="B856" s="6">
        <v>6</v>
      </c>
      <c r="C856" s="6">
        <v>3</v>
      </c>
      <c r="D856" s="6" t="s">
        <v>30</v>
      </c>
      <c r="E856" s="6">
        <v>172</v>
      </c>
      <c r="F856" s="6">
        <v>126</v>
      </c>
      <c r="G856" s="6">
        <v>1481</v>
      </c>
      <c r="H856" s="6">
        <v>13</v>
      </c>
      <c r="I856" s="6" t="s">
        <v>41</v>
      </c>
      <c r="J856" s="7">
        <v>88418</v>
      </c>
      <c r="K856" s="6" t="s">
        <v>27</v>
      </c>
      <c r="L856" s="6" t="s">
        <v>23</v>
      </c>
    </row>
    <row r="857" spans="1:12" ht="23" customHeight="1"/>
    <row r="858" spans="1:12" ht="24" customHeight="1">
      <c r="A858" s="3" t="s">
        <v>43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ht="36" customHeight="1">
      <c r="A859" s="4" t="s">
        <v>7</v>
      </c>
      <c r="B859" s="4" t="s">
        <v>8</v>
      </c>
      <c r="C859" s="4" t="s">
        <v>10</v>
      </c>
      <c r="D859" s="4" t="s">
        <v>11</v>
      </c>
      <c r="E859" s="4" t="s">
        <v>15</v>
      </c>
      <c r="F859" s="4" t="s">
        <v>44</v>
      </c>
      <c r="G859" s="4" t="s">
        <v>16</v>
      </c>
      <c r="H859" s="4" t="s">
        <v>45</v>
      </c>
      <c r="I859" s="4" t="s">
        <v>46</v>
      </c>
      <c r="J859" s="4" t="s">
        <v>47</v>
      </c>
    </row>
    <row r="860" spans="1:12" ht="32" customHeight="1">
      <c r="A860" s="6" t="s">
        <v>19</v>
      </c>
      <c r="B860" s="6">
        <v>4</v>
      </c>
      <c r="C860" s="6" t="s">
        <v>20</v>
      </c>
      <c r="D860" s="6">
        <v>98</v>
      </c>
      <c r="E860" s="6" t="s">
        <v>21</v>
      </c>
      <c r="F860" s="6">
        <v>58812</v>
      </c>
      <c r="G860" s="7">
        <v>58812</v>
      </c>
      <c r="H860" s="6">
        <f>(G860-F860)</f>
        <v>0.0</v>
      </c>
      <c r="I860" s="6" t="s">
        <v>23</v>
      </c>
      <c r="J860" s="6" t="s">
        <v>48</v>
      </c>
    </row>
    <row r="861" spans="1:12" ht="32" customHeight="1">
      <c r="A861" s="6" t="s">
        <v>19</v>
      </c>
      <c r="B861" s="6">
        <v>4</v>
      </c>
      <c r="C861" s="6" t="s">
        <v>20</v>
      </c>
      <c r="D861" s="6">
        <v>99</v>
      </c>
      <c r="E861" s="6" t="s">
        <v>21</v>
      </c>
      <c r="F861" s="6">
        <v>272084</v>
      </c>
      <c r="G861" s="7">
        <v>272086</v>
      </c>
      <c r="H861" s="6">
        <f>(G861-F861)</f>
        <v>2.0</v>
      </c>
      <c r="I861" s="6" t="s">
        <v>24</v>
      </c>
      <c r="J861" s="6" t="s">
        <v>48</v>
      </c>
    </row>
    <row r="862" spans="1:12" ht="32" customHeight="1">
      <c r="A862" s="6" t="s">
        <v>19</v>
      </c>
      <c r="B862" s="6">
        <v>4</v>
      </c>
      <c r="C862" s="6" t="s">
        <v>20</v>
      </c>
      <c r="D862" s="6">
        <v>100</v>
      </c>
      <c r="E862" s="6" t="s">
        <v>21</v>
      </c>
      <c r="F862" s="6">
        <v>141502</v>
      </c>
      <c r="G862" s="7">
        <v>141501</v>
      </c>
      <c r="H862" s="6">
        <f>(G862-F862)</f>
        <v>-1.0</v>
      </c>
      <c r="I862" s="6" t="s">
        <v>24</v>
      </c>
      <c r="J862" s="6" t="s">
        <v>48</v>
      </c>
    </row>
    <row r="863" spans="1:12" ht="32" customHeight="1">
      <c r="A863" s="6" t="s">
        <v>19</v>
      </c>
      <c r="B863" s="6">
        <v>4</v>
      </c>
      <c r="C863" s="6" t="s">
        <v>20</v>
      </c>
      <c r="D863" s="6">
        <v>101</v>
      </c>
      <c r="E863" s="6" t="s">
        <v>21</v>
      </c>
      <c r="F863" s="6">
        <v>110709</v>
      </c>
      <c r="G863" s="7">
        <v>110708</v>
      </c>
      <c r="H863" s="6">
        <f>(G863-F863)</f>
        <v>-1.0</v>
      </c>
      <c r="I863" s="6" t="s">
        <v>24</v>
      </c>
      <c r="J863" s="6" t="s">
        <v>48</v>
      </c>
    </row>
    <row r="864" spans="1:12" ht="32" customHeight="1">
      <c r="A864" s="6" t="s">
        <v>19</v>
      </c>
      <c r="B864" s="6">
        <v>4</v>
      </c>
      <c r="C864" s="6" t="s">
        <v>20</v>
      </c>
      <c r="D864" s="6">
        <v>102</v>
      </c>
      <c r="E864" s="6" t="s">
        <v>21</v>
      </c>
      <c r="F864" s="6">
        <v>165449</v>
      </c>
      <c r="G864" s="7">
        <v>208029</v>
      </c>
      <c r="H864" s="6">
        <f>(G864-F864)</f>
        <v>42580.0</v>
      </c>
      <c r="I864" s="6" t="s">
        <v>24</v>
      </c>
      <c r="J864" s="6" t="s">
        <v>48</v>
      </c>
    </row>
    <row r="865" spans="1:10" ht="32" customHeight="1">
      <c r="A865" s="6" t="s">
        <v>19</v>
      </c>
      <c r="B865" s="6">
        <v>4</v>
      </c>
      <c r="C865" s="6" t="s">
        <v>20</v>
      </c>
      <c r="D865" s="6">
        <v>103</v>
      </c>
      <c r="E865" s="6" t="s">
        <v>21</v>
      </c>
      <c r="F865" s="6">
        <v>268854</v>
      </c>
      <c r="G865" s="7">
        <v>268854</v>
      </c>
      <c r="H865" s="6">
        <f>(G865-F865)</f>
        <v>0.0</v>
      </c>
      <c r="I865" s="6" t="s">
        <v>23</v>
      </c>
      <c r="J865" s="6" t="s">
        <v>48</v>
      </c>
    </row>
    <row r="866" spans="1:10" ht="32" customHeight="1">
      <c r="A866" s="6" t="s">
        <v>19</v>
      </c>
      <c r="B866" s="6">
        <v>4</v>
      </c>
      <c r="C866" s="6" t="s">
        <v>20</v>
      </c>
      <c r="D866" s="6">
        <v>104</v>
      </c>
      <c r="E866" s="6" t="s">
        <v>21</v>
      </c>
      <c r="F866" s="6">
        <v>363440</v>
      </c>
      <c r="G866" s="7">
        <v>363440</v>
      </c>
      <c r="H866" s="6">
        <f>(G866-F866)</f>
        <v>0.0</v>
      </c>
      <c r="I866" s="6" t="s">
        <v>23</v>
      </c>
      <c r="J866" s="6" t="s">
        <v>48</v>
      </c>
    </row>
    <row r="867" spans="1:10" ht="32" customHeight="1">
      <c r="A867" s="6" t="s">
        <v>19</v>
      </c>
      <c r="B867" s="6">
        <v>4</v>
      </c>
      <c r="C867" s="6" t="s">
        <v>20</v>
      </c>
      <c r="D867" s="6">
        <v>105</v>
      </c>
      <c r="E867" s="6" t="s">
        <v>21</v>
      </c>
      <c r="F867" s="6">
        <v>403280</v>
      </c>
      <c r="G867" s="7">
        <v>403280</v>
      </c>
      <c r="H867" s="6">
        <f>(G867-F867)</f>
        <v>0.0</v>
      </c>
      <c r="I867" s="6" t="s">
        <v>23</v>
      </c>
      <c r="J867" s="6" t="s">
        <v>48</v>
      </c>
    </row>
    <row r="868" spans="1:10" ht="32" customHeight="1">
      <c r="A868" s="6" t="s">
        <v>19</v>
      </c>
      <c r="B868" s="6">
        <v>4</v>
      </c>
      <c r="C868" s="6" t="s">
        <v>20</v>
      </c>
      <c r="D868" s="6">
        <v>106</v>
      </c>
      <c r="E868" s="6" t="s">
        <v>21</v>
      </c>
      <c r="F868" s="6">
        <v>403280</v>
      </c>
      <c r="G868" s="7">
        <v>403280</v>
      </c>
      <c r="H868" s="6">
        <f>(G868-F868)</f>
        <v>0.0</v>
      </c>
      <c r="I868" s="6" t="s">
        <v>23</v>
      </c>
      <c r="J868" s="6" t="s">
        <v>48</v>
      </c>
    </row>
    <row r="869" spans="1:10" ht="32" customHeight="1">
      <c r="A869" s="6" t="s">
        <v>19</v>
      </c>
      <c r="B869" s="6">
        <v>4</v>
      </c>
      <c r="C869" s="6" t="s">
        <v>20</v>
      </c>
      <c r="D869" s="6">
        <v>107</v>
      </c>
      <c r="E869" s="6" t="s">
        <v>21</v>
      </c>
      <c r="F869" s="6">
        <v>403280</v>
      </c>
      <c r="G869" s="7">
        <v>403280</v>
      </c>
      <c r="H869" s="6">
        <f>(G869-F869)</f>
        <v>0.0</v>
      </c>
      <c r="I869" s="6" t="s">
        <v>23</v>
      </c>
      <c r="J869" s="6" t="s">
        <v>48</v>
      </c>
    </row>
    <row r="870" spans="1:10" ht="32" customHeight="1">
      <c r="A870" s="6" t="s">
        <v>19</v>
      </c>
      <c r="B870" s="6">
        <v>4</v>
      </c>
      <c r="C870" s="6" t="s">
        <v>20</v>
      </c>
      <c r="D870" s="6">
        <v>108</v>
      </c>
      <c r="E870" s="6" t="s">
        <v>21</v>
      </c>
      <c r="F870" s="6">
        <v>403280</v>
      </c>
      <c r="G870" s="7">
        <v>403280</v>
      </c>
      <c r="H870" s="6">
        <f>(G870-F870)</f>
        <v>0.0</v>
      </c>
      <c r="I870" s="6" t="s">
        <v>23</v>
      </c>
      <c r="J870" s="6" t="s">
        <v>48</v>
      </c>
    </row>
    <row r="871" spans="1:10" ht="32" customHeight="1">
      <c r="A871" s="6" t="s">
        <v>19</v>
      </c>
      <c r="B871" s="6">
        <v>4</v>
      </c>
      <c r="C871" s="6" t="s">
        <v>20</v>
      </c>
      <c r="D871" s="6">
        <v>109</v>
      </c>
      <c r="E871" s="6" t="s">
        <v>21</v>
      </c>
      <c r="F871" s="6">
        <v>403280</v>
      </c>
      <c r="G871" s="7">
        <v>403280</v>
      </c>
      <c r="H871" s="6">
        <f>(G871-F871)</f>
        <v>0.0</v>
      </c>
      <c r="I871" s="6" t="s">
        <v>23</v>
      </c>
      <c r="J871" s="6" t="s">
        <v>48</v>
      </c>
    </row>
    <row r="872" spans="1:10" ht="32" customHeight="1">
      <c r="A872" s="6" t="s">
        <v>19</v>
      </c>
      <c r="B872" s="6">
        <v>4</v>
      </c>
      <c r="C872" s="6" t="s">
        <v>20</v>
      </c>
      <c r="D872" s="6">
        <v>110</v>
      </c>
      <c r="E872" s="6" t="s">
        <v>21</v>
      </c>
      <c r="F872" s="6">
        <v>403280</v>
      </c>
      <c r="G872" s="7">
        <v>403280</v>
      </c>
      <c r="H872" s="6">
        <f>(G872-F872)</f>
        <v>0.0</v>
      </c>
      <c r="I872" s="6" t="s">
        <v>23</v>
      </c>
      <c r="J872" s="6" t="s">
        <v>48</v>
      </c>
    </row>
    <row r="873" spans="1:10" ht="32" customHeight="1">
      <c r="A873" s="6" t="s">
        <v>19</v>
      </c>
      <c r="B873" s="6">
        <v>4</v>
      </c>
      <c r="C873" s="6" t="s">
        <v>20</v>
      </c>
      <c r="D873" s="6">
        <v>111</v>
      </c>
      <c r="E873" s="6" t="s">
        <v>21</v>
      </c>
      <c r="F873" s="6">
        <v>403280</v>
      </c>
      <c r="G873" s="7">
        <v>403280</v>
      </c>
      <c r="H873" s="6">
        <f>(G873-F873)</f>
        <v>0.0</v>
      </c>
      <c r="I873" s="6" t="s">
        <v>23</v>
      </c>
      <c r="J873" s="6" t="s">
        <v>48</v>
      </c>
    </row>
    <row r="874" spans="1:10" ht="32" customHeight="1">
      <c r="A874" s="6" t="s">
        <v>19</v>
      </c>
      <c r="B874" s="6">
        <v>4</v>
      </c>
      <c r="C874" s="6" t="s">
        <v>20</v>
      </c>
      <c r="D874" s="6">
        <v>112</v>
      </c>
      <c r="E874" s="6" t="s">
        <v>21</v>
      </c>
      <c r="F874" s="6">
        <v>225971</v>
      </c>
      <c r="G874" s="7">
        <v>225971</v>
      </c>
      <c r="H874" s="6">
        <f>(G874-F874)</f>
        <v>0.0</v>
      </c>
      <c r="I874" s="6" t="s">
        <v>23</v>
      </c>
      <c r="J874" s="6" t="s">
        <v>48</v>
      </c>
    </row>
    <row r="875" spans="1:10" ht="32" customHeight="1">
      <c r="A875" s="6" t="s">
        <v>19</v>
      </c>
      <c r="B875" s="6">
        <v>4</v>
      </c>
      <c r="C875" s="6" t="s">
        <v>20</v>
      </c>
      <c r="D875" s="6">
        <v>113</v>
      </c>
      <c r="E875" s="6" t="s">
        <v>21</v>
      </c>
      <c r="F875" s="6">
        <v>193733</v>
      </c>
      <c r="G875" s="7">
        <v>193733</v>
      </c>
      <c r="H875" s="6">
        <f>(G875-F875)</f>
        <v>0.0</v>
      </c>
      <c r="I875" s="6" t="s">
        <v>23</v>
      </c>
      <c r="J875" s="6" t="s">
        <v>48</v>
      </c>
    </row>
    <row r="876" spans="1:10" ht="32" customHeight="1">
      <c r="A876" s="6" t="s">
        <v>19</v>
      </c>
      <c r="B876" s="6">
        <v>4</v>
      </c>
      <c r="C876" s="6" t="s">
        <v>20</v>
      </c>
      <c r="D876" s="6">
        <v>114</v>
      </c>
      <c r="E876" s="6" t="s">
        <v>21</v>
      </c>
      <c r="F876" s="6">
        <v>193733</v>
      </c>
      <c r="G876" s="7">
        <v>193733</v>
      </c>
      <c r="H876" s="6">
        <f>(G876-F876)</f>
        <v>0.0</v>
      </c>
      <c r="I876" s="6" t="s">
        <v>23</v>
      </c>
      <c r="J876" s="6" t="s">
        <v>48</v>
      </c>
    </row>
    <row r="877" spans="1:10" ht="32" customHeight="1">
      <c r="A877" s="6" t="s">
        <v>19</v>
      </c>
      <c r="B877" s="6">
        <v>4</v>
      </c>
      <c r="C877" s="6" t="s">
        <v>20</v>
      </c>
      <c r="D877" s="6">
        <v>115</v>
      </c>
      <c r="E877" s="6" t="s">
        <v>21</v>
      </c>
      <c r="F877" s="6">
        <v>193733</v>
      </c>
      <c r="G877" s="7">
        <v>193733</v>
      </c>
      <c r="H877" s="6">
        <f>(G877-F877)</f>
        <v>0.0</v>
      </c>
      <c r="I877" s="6" t="s">
        <v>23</v>
      </c>
      <c r="J877" s="6" t="s">
        <v>48</v>
      </c>
    </row>
    <row r="878" spans="1:10" ht="32" customHeight="1">
      <c r="A878" s="6" t="s">
        <v>19</v>
      </c>
      <c r="B878" s="6">
        <v>4</v>
      </c>
      <c r="C878" s="6" t="s">
        <v>20</v>
      </c>
      <c r="D878" s="6">
        <v>116</v>
      </c>
      <c r="E878" s="6" t="s">
        <v>21</v>
      </c>
      <c r="F878" s="6">
        <v>193733</v>
      </c>
      <c r="G878" s="7">
        <v>193733</v>
      </c>
      <c r="H878" s="6">
        <f>(G878-F878)</f>
        <v>0.0</v>
      </c>
      <c r="I878" s="6" t="s">
        <v>23</v>
      </c>
      <c r="J878" s="6" t="s">
        <v>48</v>
      </c>
    </row>
    <row r="879" spans="1:10" ht="32" customHeight="1">
      <c r="A879" s="6" t="s">
        <v>19</v>
      </c>
      <c r="B879" s="6">
        <v>4</v>
      </c>
      <c r="C879" s="6" t="s">
        <v>20</v>
      </c>
      <c r="D879" s="6">
        <v>117</v>
      </c>
      <c r="E879" s="6" t="s">
        <v>21</v>
      </c>
      <c r="F879" s="6">
        <v>193733</v>
      </c>
      <c r="G879" s="7">
        <v>193733</v>
      </c>
      <c r="H879" s="6">
        <f>(G879-F879)</f>
        <v>0.0</v>
      </c>
      <c r="I879" s="6" t="s">
        <v>23</v>
      </c>
      <c r="J879" s="6" t="s">
        <v>48</v>
      </c>
    </row>
    <row r="880" spans="1:10" ht="32" customHeight="1">
      <c r="A880" s="6" t="s">
        <v>19</v>
      </c>
      <c r="B880" s="6">
        <v>4</v>
      </c>
      <c r="C880" s="6" t="s">
        <v>20</v>
      </c>
      <c r="D880" s="6">
        <v>118</v>
      </c>
      <c r="E880" s="6" t="s">
        <v>21</v>
      </c>
      <c r="F880" s="6">
        <v>193733</v>
      </c>
      <c r="G880" s="7">
        <v>193733</v>
      </c>
      <c r="H880" s="6">
        <f>(G880-F880)</f>
        <v>0.0</v>
      </c>
      <c r="I880" s="6" t="s">
        <v>23</v>
      </c>
      <c r="J880" s="6" t="s">
        <v>48</v>
      </c>
    </row>
    <row r="881" spans="1:10" ht="32" customHeight="1">
      <c r="A881" s="6" t="s">
        <v>19</v>
      </c>
      <c r="B881" s="6">
        <v>4</v>
      </c>
      <c r="C881" s="6" t="s">
        <v>20</v>
      </c>
      <c r="D881" s="6">
        <v>119</v>
      </c>
      <c r="E881" s="6" t="s">
        <v>21</v>
      </c>
      <c r="F881" s="6">
        <v>193733</v>
      </c>
      <c r="G881" s="7">
        <v>193733</v>
      </c>
      <c r="H881" s="6">
        <f>(G881-F881)</f>
        <v>0.0</v>
      </c>
      <c r="I881" s="6" t="s">
        <v>23</v>
      </c>
      <c r="J881" s="6" t="s">
        <v>48</v>
      </c>
    </row>
    <row r="882" spans="1:10" ht="32" customHeight="1">
      <c r="A882" s="6" t="s">
        <v>19</v>
      </c>
      <c r="B882" s="6">
        <v>4</v>
      </c>
      <c r="C882" s="6" t="s">
        <v>20</v>
      </c>
      <c r="D882" s="6">
        <v>120</v>
      </c>
      <c r="E882" s="6" t="s">
        <v>21</v>
      </c>
      <c r="F882" s="6">
        <v>193733</v>
      </c>
      <c r="G882" s="7">
        <v>193733</v>
      </c>
      <c r="H882" s="6">
        <f>(G882-F882)</f>
        <v>0.0</v>
      </c>
      <c r="I882" s="6" t="s">
        <v>23</v>
      </c>
      <c r="J882" s="6" t="s">
        <v>48</v>
      </c>
    </row>
    <row r="883" spans="1:10" ht="32" customHeight="1">
      <c r="A883" s="6" t="s">
        <v>19</v>
      </c>
      <c r="B883" s="6">
        <v>4</v>
      </c>
      <c r="C883" s="6" t="s">
        <v>20</v>
      </c>
      <c r="D883" s="6">
        <v>121</v>
      </c>
      <c r="E883" s="6" t="s">
        <v>21</v>
      </c>
      <c r="F883" s="6">
        <v>193733</v>
      </c>
      <c r="G883" s="7">
        <v>193733</v>
      </c>
      <c r="H883" s="6">
        <f>(G883-F883)</f>
        <v>0.0</v>
      </c>
      <c r="I883" s="6" t="s">
        <v>23</v>
      </c>
      <c r="J883" s="6" t="s">
        <v>48</v>
      </c>
    </row>
    <row r="884" spans="1:10" ht="32" customHeight="1">
      <c r="A884" s="6" t="s">
        <v>19</v>
      </c>
      <c r="B884" s="6">
        <v>5</v>
      </c>
      <c r="C884" s="6" t="s">
        <v>20</v>
      </c>
      <c r="D884" s="6">
        <v>123</v>
      </c>
      <c r="E884" s="6" t="s">
        <v>21</v>
      </c>
      <c r="F884" s="6">
        <v>39208</v>
      </c>
      <c r="G884" s="7">
        <v>39208</v>
      </c>
      <c r="H884" s="6">
        <f>(G884-F884)</f>
        <v>0.0</v>
      </c>
      <c r="I884" s="6" t="s">
        <v>23</v>
      </c>
      <c r="J884" s="6" t="s">
        <v>48</v>
      </c>
    </row>
    <row r="885" spans="1:10" ht="32" customHeight="1">
      <c r="A885" s="6" t="s">
        <v>19</v>
      </c>
      <c r="B885" s="6">
        <v>5</v>
      </c>
      <c r="C885" s="6" t="s">
        <v>20</v>
      </c>
      <c r="D885" s="6">
        <v>124</v>
      </c>
      <c r="E885" s="6" t="s">
        <v>21</v>
      </c>
      <c r="F885" s="6">
        <v>181390</v>
      </c>
      <c r="G885" s="7">
        <v>181391</v>
      </c>
      <c r="H885" s="6">
        <f>(G885-F885)</f>
        <v>1.0</v>
      </c>
      <c r="I885" s="6" t="s">
        <v>24</v>
      </c>
      <c r="J885" s="6" t="s">
        <v>48</v>
      </c>
    </row>
    <row r="886" spans="1:10" ht="32" customHeight="1">
      <c r="A886" s="6" t="s">
        <v>19</v>
      </c>
      <c r="B886" s="6">
        <v>5</v>
      </c>
      <c r="C886" s="6" t="s">
        <v>20</v>
      </c>
      <c r="D886" s="6">
        <v>125</v>
      </c>
      <c r="E886" s="6" t="s">
        <v>21</v>
      </c>
      <c r="F886" s="6">
        <v>94335</v>
      </c>
      <c r="G886" s="7">
        <v>94334</v>
      </c>
      <c r="H886" s="6">
        <f>(G886-F886)</f>
        <v>-1.0</v>
      </c>
      <c r="I886" s="6" t="s">
        <v>24</v>
      </c>
      <c r="J886" s="6" t="s">
        <v>48</v>
      </c>
    </row>
    <row r="887" spans="1:10" ht="32" customHeight="1">
      <c r="A887" s="6" t="s">
        <v>19</v>
      </c>
      <c r="B887" s="6">
        <v>5</v>
      </c>
      <c r="C887" s="6" t="s">
        <v>20</v>
      </c>
      <c r="D887" s="6">
        <v>126</v>
      </c>
      <c r="E887" s="6" t="s">
        <v>21</v>
      </c>
      <c r="F887" s="6">
        <v>73806</v>
      </c>
      <c r="G887" s="7">
        <v>73805</v>
      </c>
      <c r="H887" s="6">
        <f>(G887-F887)</f>
        <v>-1.0</v>
      </c>
      <c r="I887" s="6" t="s">
        <v>24</v>
      </c>
      <c r="J887" s="6" t="s">
        <v>48</v>
      </c>
    </row>
    <row r="888" spans="1:10" ht="32" customHeight="1">
      <c r="A888" s="6" t="s">
        <v>19</v>
      </c>
      <c r="B888" s="6">
        <v>5</v>
      </c>
      <c r="C888" s="6" t="s">
        <v>20</v>
      </c>
      <c r="D888" s="6">
        <v>127</v>
      </c>
      <c r="E888" s="6" t="s">
        <v>21</v>
      </c>
      <c r="F888" s="6">
        <v>110299</v>
      </c>
      <c r="G888" s="7">
        <v>138686</v>
      </c>
      <c r="H888" s="6">
        <f>(G888-F888)</f>
        <v>28387.0</v>
      </c>
      <c r="I888" s="6" t="s">
        <v>24</v>
      </c>
      <c r="J888" s="6" t="s">
        <v>48</v>
      </c>
    </row>
    <row r="889" spans="1:10" ht="32" customHeight="1">
      <c r="A889" s="6" t="s">
        <v>19</v>
      </c>
      <c r="B889" s="6">
        <v>5</v>
      </c>
      <c r="C889" s="6" t="s">
        <v>20</v>
      </c>
      <c r="D889" s="6">
        <v>128</v>
      </c>
      <c r="E889" s="6" t="s">
        <v>21</v>
      </c>
      <c r="F889" s="6">
        <v>179236</v>
      </c>
      <c r="G889" s="7">
        <v>179236</v>
      </c>
      <c r="H889" s="6">
        <f>(G889-F889)</f>
        <v>0.0</v>
      </c>
      <c r="I889" s="6" t="s">
        <v>23</v>
      </c>
      <c r="J889" s="6" t="s">
        <v>48</v>
      </c>
    </row>
    <row r="890" spans="1:10" ht="32" customHeight="1">
      <c r="A890" s="6" t="s">
        <v>19</v>
      </c>
      <c r="B890" s="6">
        <v>5</v>
      </c>
      <c r="C890" s="6" t="s">
        <v>20</v>
      </c>
      <c r="D890" s="6">
        <v>129</v>
      </c>
      <c r="E890" s="6" t="s">
        <v>21</v>
      </c>
      <c r="F890" s="6">
        <v>242293</v>
      </c>
      <c r="G890" s="7">
        <v>242293</v>
      </c>
      <c r="H890" s="6">
        <f>(G890-F890)</f>
        <v>0.0</v>
      </c>
      <c r="I890" s="6" t="s">
        <v>23</v>
      </c>
      <c r="J890" s="6" t="s">
        <v>48</v>
      </c>
    </row>
    <row r="891" spans="1:10" ht="32" customHeight="1">
      <c r="A891" s="6" t="s">
        <v>19</v>
      </c>
      <c r="B891" s="6">
        <v>5</v>
      </c>
      <c r="C891" s="6" t="s">
        <v>20</v>
      </c>
      <c r="D891" s="6">
        <v>130</v>
      </c>
      <c r="E891" s="6" t="s">
        <v>21</v>
      </c>
      <c r="F891" s="6">
        <v>268853</v>
      </c>
      <c r="G891" s="7">
        <v>268854</v>
      </c>
      <c r="H891" s="6">
        <f>(G891-F891)</f>
        <v>1.0</v>
      </c>
      <c r="I891" s="6" t="s">
        <v>24</v>
      </c>
      <c r="J891" s="6" t="s">
        <v>48</v>
      </c>
    </row>
    <row r="892" spans="1:10" ht="32" customHeight="1">
      <c r="A892" s="6" t="s">
        <v>19</v>
      </c>
      <c r="B892" s="6">
        <v>5</v>
      </c>
      <c r="C892" s="6" t="s">
        <v>20</v>
      </c>
      <c r="D892" s="6">
        <v>131</v>
      </c>
      <c r="E892" s="6" t="s">
        <v>21</v>
      </c>
      <c r="F892" s="6">
        <v>268853</v>
      </c>
      <c r="G892" s="7">
        <v>268854</v>
      </c>
      <c r="H892" s="6">
        <f>(G892-F892)</f>
        <v>1.0</v>
      </c>
      <c r="I892" s="6" t="s">
        <v>24</v>
      </c>
      <c r="J892" s="6" t="s">
        <v>48</v>
      </c>
    </row>
    <row r="893" spans="1:10" ht="32" customHeight="1">
      <c r="A893" s="6" t="s">
        <v>19</v>
      </c>
      <c r="B893" s="6">
        <v>5</v>
      </c>
      <c r="C893" s="6" t="s">
        <v>20</v>
      </c>
      <c r="D893" s="6">
        <v>132</v>
      </c>
      <c r="E893" s="6" t="s">
        <v>21</v>
      </c>
      <c r="F893" s="6">
        <v>268853</v>
      </c>
      <c r="G893" s="7">
        <v>268854</v>
      </c>
      <c r="H893" s="6">
        <f>(G893-F893)</f>
        <v>1.0</v>
      </c>
      <c r="I893" s="6" t="s">
        <v>24</v>
      </c>
      <c r="J893" s="6" t="s">
        <v>48</v>
      </c>
    </row>
    <row r="894" spans="1:10" ht="32" customHeight="1">
      <c r="A894" s="6" t="s">
        <v>19</v>
      </c>
      <c r="B894" s="6">
        <v>5</v>
      </c>
      <c r="C894" s="6" t="s">
        <v>20</v>
      </c>
      <c r="D894" s="6">
        <v>133</v>
      </c>
      <c r="E894" s="6" t="s">
        <v>21</v>
      </c>
      <c r="F894" s="6">
        <v>268853</v>
      </c>
      <c r="G894" s="7">
        <v>268854</v>
      </c>
      <c r="H894" s="6">
        <f>(G894-F894)</f>
        <v>1.0</v>
      </c>
      <c r="I894" s="6" t="s">
        <v>24</v>
      </c>
      <c r="J894" s="6" t="s">
        <v>48</v>
      </c>
    </row>
    <row r="895" spans="1:10" ht="32" customHeight="1">
      <c r="A895" s="6" t="s">
        <v>19</v>
      </c>
      <c r="B895" s="6">
        <v>5</v>
      </c>
      <c r="C895" s="6" t="s">
        <v>20</v>
      </c>
      <c r="D895" s="6">
        <v>134</v>
      </c>
      <c r="E895" s="6" t="s">
        <v>21</v>
      </c>
      <c r="F895" s="6">
        <v>268853</v>
      </c>
      <c r="G895" s="7">
        <v>268854</v>
      </c>
      <c r="H895" s="6">
        <f>(G895-F895)</f>
        <v>1.0</v>
      </c>
      <c r="I895" s="6" t="s">
        <v>24</v>
      </c>
      <c r="J895" s="6" t="s">
        <v>48</v>
      </c>
    </row>
    <row r="896" spans="1:10" ht="32" customHeight="1">
      <c r="A896" s="6" t="s">
        <v>19</v>
      </c>
      <c r="B896" s="6">
        <v>5</v>
      </c>
      <c r="C896" s="6" t="s">
        <v>20</v>
      </c>
      <c r="D896" s="6">
        <v>135</v>
      </c>
      <c r="E896" s="6" t="s">
        <v>21</v>
      </c>
      <c r="F896" s="6">
        <v>268853</v>
      </c>
      <c r="G896" s="7">
        <v>268854</v>
      </c>
      <c r="H896" s="6">
        <f>(G896-F896)</f>
        <v>1.0</v>
      </c>
      <c r="I896" s="6" t="s">
        <v>24</v>
      </c>
      <c r="J896" s="6" t="s">
        <v>48</v>
      </c>
    </row>
    <row r="897" spans="1:10" ht="32" customHeight="1">
      <c r="A897" s="6" t="s">
        <v>19</v>
      </c>
      <c r="B897" s="6">
        <v>5</v>
      </c>
      <c r="C897" s="6" t="s">
        <v>20</v>
      </c>
      <c r="D897" s="6">
        <v>136</v>
      </c>
      <c r="E897" s="6" t="s">
        <v>21</v>
      </c>
      <c r="F897" s="6">
        <v>268853</v>
      </c>
      <c r="G897" s="7">
        <v>268854</v>
      </c>
      <c r="H897" s="6">
        <f>(G897-F897)</f>
        <v>1.0</v>
      </c>
      <c r="I897" s="6" t="s">
        <v>24</v>
      </c>
      <c r="J897" s="6" t="s">
        <v>48</v>
      </c>
    </row>
    <row r="898" spans="1:10" ht="32" customHeight="1">
      <c r="A898" s="6" t="s">
        <v>19</v>
      </c>
      <c r="B898" s="6">
        <v>5</v>
      </c>
      <c r="C898" s="6" t="s">
        <v>20</v>
      </c>
      <c r="D898" s="6">
        <v>137</v>
      </c>
      <c r="E898" s="6" t="s">
        <v>21</v>
      </c>
      <c r="F898" s="6">
        <v>150647</v>
      </c>
      <c r="G898" s="7">
        <v>150647</v>
      </c>
      <c r="H898" s="6">
        <f>(G898-F898)</f>
        <v>0.0</v>
      </c>
      <c r="I898" s="6" t="s">
        <v>23</v>
      </c>
      <c r="J898" s="6" t="s">
        <v>48</v>
      </c>
    </row>
    <row r="899" spans="1:10" ht="32" customHeight="1">
      <c r="A899" s="6" t="s">
        <v>19</v>
      </c>
      <c r="B899" s="6">
        <v>5</v>
      </c>
      <c r="C899" s="6" t="s">
        <v>20</v>
      </c>
      <c r="D899" s="6">
        <v>138</v>
      </c>
      <c r="E899" s="6" t="s">
        <v>21</v>
      </c>
      <c r="F899" s="6">
        <v>129155</v>
      </c>
      <c r="G899" s="7">
        <v>129155</v>
      </c>
      <c r="H899" s="6">
        <f>(G899-F899)</f>
        <v>0.0</v>
      </c>
      <c r="I899" s="6" t="s">
        <v>23</v>
      </c>
      <c r="J899" s="6" t="s">
        <v>48</v>
      </c>
    </row>
    <row r="900" spans="1:10" ht="32" customHeight="1">
      <c r="A900" s="6" t="s">
        <v>19</v>
      </c>
      <c r="B900" s="6">
        <v>5</v>
      </c>
      <c r="C900" s="6" t="s">
        <v>20</v>
      </c>
      <c r="D900" s="6">
        <v>139</v>
      </c>
      <c r="E900" s="6" t="s">
        <v>21</v>
      </c>
      <c r="F900" s="6">
        <v>129155</v>
      </c>
      <c r="G900" s="7">
        <v>129155</v>
      </c>
      <c r="H900" s="6">
        <f>(G900-F900)</f>
        <v>0.0</v>
      </c>
      <c r="I900" s="6" t="s">
        <v>23</v>
      </c>
      <c r="J900" s="6" t="s">
        <v>48</v>
      </c>
    </row>
    <row r="901" spans="1:10" ht="32" customHeight="1">
      <c r="A901" s="6" t="s">
        <v>19</v>
      </c>
      <c r="B901" s="6">
        <v>5</v>
      </c>
      <c r="C901" s="6" t="s">
        <v>20</v>
      </c>
      <c r="D901" s="6">
        <v>140</v>
      </c>
      <c r="E901" s="6" t="s">
        <v>21</v>
      </c>
      <c r="F901" s="6">
        <v>129155</v>
      </c>
      <c r="G901" s="7">
        <v>129155</v>
      </c>
      <c r="H901" s="6">
        <f>(G901-F901)</f>
        <v>0.0</v>
      </c>
      <c r="I901" s="6" t="s">
        <v>23</v>
      </c>
      <c r="J901" s="6" t="s">
        <v>48</v>
      </c>
    </row>
    <row r="902" spans="1:10" ht="32" customHeight="1">
      <c r="A902" s="6" t="s">
        <v>19</v>
      </c>
      <c r="B902" s="6">
        <v>5</v>
      </c>
      <c r="C902" s="6" t="s">
        <v>20</v>
      </c>
      <c r="D902" s="6">
        <v>141</v>
      </c>
      <c r="E902" s="6" t="s">
        <v>21</v>
      </c>
      <c r="F902" s="6">
        <v>129155</v>
      </c>
      <c r="G902" s="7">
        <v>129155</v>
      </c>
      <c r="H902" s="6">
        <f>(G902-F902)</f>
        <v>0.0</v>
      </c>
      <c r="I902" s="6" t="s">
        <v>23</v>
      </c>
      <c r="J902" s="6" t="s">
        <v>48</v>
      </c>
    </row>
    <row r="903" spans="1:10" ht="32" customHeight="1">
      <c r="A903" s="6" t="s">
        <v>19</v>
      </c>
      <c r="B903" s="6">
        <v>5</v>
      </c>
      <c r="C903" s="6" t="s">
        <v>20</v>
      </c>
      <c r="D903" s="6">
        <v>142</v>
      </c>
      <c r="E903" s="6" t="s">
        <v>21</v>
      </c>
      <c r="F903" s="6">
        <v>129155</v>
      </c>
      <c r="G903" s="7">
        <v>129155</v>
      </c>
      <c r="H903" s="6">
        <f>(G903-F903)</f>
        <v>0.0</v>
      </c>
      <c r="I903" s="6" t="s">
        <v>23</v>
      </c>
      <c r="J903" s="6" t="s">
        <v>48</v>
      </c>
    </row>
    <row r="904" spans="1:10" ht="32" customHeight="1">
      <c r="A904" s="6" t="s">
        <v>19</v>
      </c>
      <c r="B904" s="6">
        <v>5</v>
      </c>
      <c r="C904" s="6" t="s">
        <v>20</v>
      </c>
      <c r="D904" s="6">
        <v>143</v>
      </c>
      <c r="E904" s="6" t="s">
        <v>21</v>
      </c>
      <c r="F904" s="6">
        <v>129155</v>
      </c>
      <c r="G904" s="7">
        <v>129155</v>
      </c>
      <c r="H904" s="6">
        <f>(G904-F904)</f>
        <v>0.0</v>
      </c>
      <c r="I904" s="6" t="s">
        <v>23</v>
      </c>
      <c r="J904" s="6" t="s">
        <v>48</v>
      </c>
    </row>
    <row r="905" spans="1:10" ht="32" customHeight="1">
      <c r="A905" s="6" t="s">
        <v>19</v>
      </c>
      <c r="B905" s="6">
        <v>5</v>
      </c>
      <c r="C905" s="6" t="s">
        <v>20</v>
      </c>
      <c r="D905" s="6">
        <v>144</v>
      </c>
      <c r="E905" s="6" t="s">
        <v>21</v>
      </c>
      <c r="F905" s="6">
        <v>129155</v>
      </c>
      <c r="G905" s="7">
        <v>129155</v>
      </c>
      <c r="H905" s="6">
        <f>(G905-F905)</f>
        <v>0.0</v>
      </c>
      <c r="I905" s="6" t="s">
        <v>23</v>
      </c>
      <c r="J905" s="6" t="s">
        <v>48</v>
      </c>
    </row>
    <row r="906" spans="1:10" ht="32" customHeight="1">
      <c r="A906" s="6" t="s">
        <v>19</v>
      </c>
      <c r="B906" s="6">
        <v>5</v>
      </c>
      <c r="C906" s="6" t="s">
        <v>20</v>
      </c>
      <c r="D906" s="6">
        <v>145</v>
      </c>
      <c r="E906" s="6" t="s">
        <v>21</v>
      </c>
      <c r="F906" s="6">
        <v>129155</v>
      </c>
      <c r="G906" s="7">
        <v>129155</v>
      </c>
      <c r="H906" s="6">
        <f>(G906-F906)</f>
        <v>0.0</v>
      </c>
      <c r="I906" s="6" t="s">
        <v>23</v>
      </c>
      <c r="J906" s="6" t="s">
        <v>48</v>
      </c>
    </row>
    <row r="907" spans="1:10" ht="32" customHeight="1">
      <c r="A907" s="6" t="s">
        <v>19</v>
      </c>
      <c r="B907" s="6">
        <v>5</v>
      </c>
      <c r="C907" s="6" t="s">
        <v>20</v>
      </c>
      <c r="D907" s="6">
        <v>146</v>
      </c>
      <c r="E907" s="6" t="s">
        <v>21</v>
      </c>
      <c r="F907" s="6">
        <v>129155</v>
      </c>
      <c r="G907" s="7">
        <v>129155</v>
      </c>
      <c r="H907" s="6">
        <f>(G907-F907)</f>
        <v>0.0</v>
      </c>
      <c r="I907" s="6" t="s">
        <v>23</v>
      </c>
      <c r="J907" s="6" t="s">
        <v>48</v>
      </c>
    </row>
    <row r="908" spans="1:10" ht="32" customHeight="1">
      <c r="A908" s="6" t="s">
        <v>19</v>
      </c>
      <c r="B908" s="6">
        <v>6</v>
      </c>
      <c r="C908" s="6" t="s">
        <v>20</v>
      </c>
      <c r="D908" s="6">
        <v>148</v>
      </c>
      <c r="E908" s="6" t="s">
        <v>21</v>
      </c>
      <c r="F908" s="6">
        <v>58812</v>
      </c>
      <c r="G908" s="7">
        <v>58812</v>
      </c>
      <c r="H908" s="6">
        <f>(G908-F908)</f>
        <v>0.0</v>
      </c>
      <c r="I908" s="6" t="s">
        <v>23</v>
      </c>
      <c r="J908" s="6" t="s">
        <v>48</v>
      </c>
    </row>
    <row r="909" spans="1:10" ht="32" customHeight="1">
      <c r="A909" s="6" t="s">
        <v>19</v>
      </c>
      <c r="B909" s="6">
        <v>6</v>
      </c>
      <c r="C909" s="6" t="s">
        <v>20</v>
      </c>
      <c r="D909" s="6">
        <v>149</v>
      </c>
      <c r="E909" s="6" t="s">
        <v>21</v>
      </c>
      <c r="F909" s="6">
        <v>272084</v>
      </c>
      <c r="G909" s="7">
        <v>272086</v>
      </c>
      <c r="H909" s="6">
        <f>(G909-F909)</f>
        <v>2.0</v>
      </c>
      <c r="I909" s="6" t="s">
        <v>24</v>
      </c>
      <c r="J909" s="6" t="s">
        <v>48</v>
      </c>
    </row>
    <row r="910" spans="1:10" ht="32" customHeight="1">
      <c r="A910" s="6" t="s">
        <v>19</v>
      </c>
      <c r="B910" s="6">
        <v>6</v>
      </c>
      <c r="C910" s="6" t="s">
        <v>20</v>
      </c>
      <c r="D910" s="6">
        <v>150</v>
      </c>
      <c r="E910" s="6" t="s">
        <v>21</v>
      </c>
      <c r="F910" s="6">
        <v>141502</v>
      </c>
      <c r="G910" s="7">
        <v>141501</v>
      </c>
      <c r="H910" s="6">
        <f>(G910-F910)</f>
        <v>-1.0</v>
      </c>
      <c r="I910" s="6" t="s">
        <v>24</v>
      </c>
      <c r="J910" s="6" t="s">
        <v>48</v>
      </c>
    </row>
    <row r="911" spans="1:10" ht="32" customHeight="1">
      <c r="A911" s="6" t="s">
        <v>19</v>
      </c>
      <c r="B911" s="6">
        <v>6</v>
      </c>
      <c r="C911" s="6" t="s">
        <v>20</v>
      </c>
      <c r="D911" s="6">
        <v>151</v>
      </c>
      <c r="E911" s="6" t="s">
        <v>21</v>
      </c>
      <c r="F911" s="6">
        <v>110709</v>
      </c>
      <c r="G911" s="7">
        <v>110708</v>
      </c>
      <c r="H911" s="6">
        <f>(G911-F911)</f>
        <v>-1.0</v>
      </c>
      <c r="I911" s="6" t="s">
        <v>24</v>
      </c>
      <c r="J911" s="6" t="s">
        <v>48</v>
      </c>
    </row>
    <row r="912" spans="1:10" ht="32" customHeight="1">
      <c r="A912" s="6" t="s">
        <v>19</v>
      </c>
      <c r="B912" s="6">
        <v>6</v>
      </c>
      <c r="C912" s="6" t="s">
        <v>20</v>
      </c>
      <c r="D912" s="6">
        <v>152</v>
      </c>
      <c r="E912" s="6" t="s">
        <v>21</v>
      </c>
      <c r="F912" s="6">
        <v>165449</v>
      </c>
      <c r="G912" s="7">
        <v>208029</v>
      </c>
      <c r="H912" s="6">
        <f>(G912-F912)</f>
        <v>42580.0</v>
      </c>
      <c r="I912" s="6" t="s">
        <v>24</v>
      </c>
      <c r="J912" s="6" t="s">
        <v>48</v>
      </c>
    </row>
    <row r="913" spans="1:10" ht="32" customHeight="1">
      <c r="A913" s="6" t="s">
        <v>19</v>
      </c>
      <c r="B913" s="6">
        <v>6</v>
      </c>
      <c r="C913" s="6" t="s">
        <v>20</v>
      </c>
      <c r="D913" s="6">
        <v>153</v>
      </c>
      <c r="E913" s="6" t="s">
        <v>21</v>
      </c>
      <c r="F913" s="6">
        <v>268854</v>
      </c>
      <c r="G913" s="7">
        <v>268854</v>
      </c>
      <c r="H913" s="6">
        <f>(G913-F913)</f>
        <v>0.0</v>
      </c>
      <c r="I913" s="6" t="s">
        <v>23</v>
      </c>
      <c r="J913" s="6" t="s">
        <v>48</v>
      </c>
    </row>
    <row r="914" spans="1:10" ht="32" customHeight="1">
      <c r="A914" s="6" t="s">
        <v>19</v>
      </c>
      <c r="B914" s="6">
        <v>6</v>
      </c>
      <c r="C914" s="6" t="s">
        <v>20</v>
      </c>
      <c r="D914" s="6">
        <v>154</v>
      </c>
      <c r="E914" s="6" t="s">
        <v>21</v>
      </c>
      <c r="F914" s="6">
        <v>363440</v>
      </c>
      <c r="G914" s="7">
        <v>363440</v>
      </c>
      <c r="H914" s="6">
        <f>(G914-F914)</f>
        <v>0.0</v>
      </c>
      <c r="I914" s="6" t="s">
        <v>23</v>
      </c>
      <c r="J914" s="6" t="s">
        <v>48</v>
      </c>
    </row>
    <row r="915" spans="1:10" ht="32" customHeight="1">
      <c r="A915" s="6" t="s">
        <v>19</v>
      </c>
      <c r="B915" s="6">
        <v>6</v>
      </c>
      <c r="C915" s="6" t="s">
        <v>20</v>
      </c>
      <c r="D915" s="6">
        <v>155</v>
      </c>
      <c r="E915" s="6" t="s">
        <v>21</v>
      </c>
      <c r="F915" s="6">
        <v>403280</v>
      </c>
      <c r="G915" s="7">
        <v>403280</v>
      </c>
      <c r="H915" s="6">
        <f>(G915-F915)</f>
        <v>0.0</v>
      </c>
      <c r="I915" s="6" t="s">
        <v>23</v>
      </c>
      <c r="J915" s="6" t="s">
        <v>48</v>
      </c>
    </row>
    <row r="916" spans="1:10" ht="32" customHeight="1">
      <c r="A916" s="6" t="s">
        <v>19</v>
      </c>
      <c r="B916" s="6">
        <v>6</v>
      </c>
      <c r="C916" s="6" t="s">
        <v>20</v>
      </c>
      <c r="D916" s="6">
        <v>156</v>
      </c>
      <c r="E916" s="6" t="s">
        <v>21</v>
      </c>
      <c r="F916" s="6">
        <v>403280</v>
      </c>
      <c r="G916" s="7">
        <v>403280</v>
      </c>
      <c r="H916" s="6">
        <f>(G916-F916)</f>
        <v>0.0</v>
      </c>
      <c r="I916" s="6" t="s">
        <v>23</v>
      </c>
      <c r="J916" s="6" t="s">
        <v>48</v>
      </c>
    </row>
    <row r="917" spans="1:10" ht="32" customHeight="1">
      <c r="A917" s="6" t="s">
        <v>19</v>
      </c>
      <c r="B917" s="6">
        <v>6</v>
      </c>
      <c r="C917" s="6" t="s">
        <v>20</v>
      </c>
      <c r="D917" s="6">
        <v>157</v>
      </c>
      <c r="E917" s="6" t="s">
        <v>21</v>
      </c>
      <c r="F917" s="6">
        <v>403280</v>
      </c>
      <c r="G917" s="7">
        <v>403280</v>
      </c>
      <c r="H917" s="6">
        <f>(G917-F917)</f>
        <v>0.0</v>
      </c>
      <c r="I917" s="6" t="s">
        <v>23</v>
      </c>
      <c r="J917" s="6" t="s">
        <v>48</v>
      </c>
    </row>
    <row r="918" spans="1:10" ht="32" customHeight="1">
      <c r="A918" s="6" t="s">
        <v>19</v>
      </c>
      <c r="B918" s="6">
        <v>6</v>
      </c>
      <c r="C918" s="6" t="s">
        <v>20</v>
      </c>
      <c r="D918" s="6">
        <v>158</v>
      </c>
      <c r="E918" s="6" t="s">
        <v>21</v>
      </c>
      <c r="F918" s="6">
        <v>403280</v>
      </c>
      <c r="G918" s="7">
        <v>403280</v>
      </c>
      <c r="H918" s="6">
        <f>(G918-F918)</f>
        <v>0.0</v>
      </c>
      <c r="I918" s="6" t="s">
        <v>23</v>
      </c>
      <c r="J918" s="6" t="s">
        <v>48</v>
      </c>
    </row>
    <row r="919" spans="1:10" ht="32" customHeight="1">
      <c r="A919" s="6" t="s">
        <v>19</v>
      </c>
      <c r="B919" s="6">
        <v>6</v>
      </c>
      <c r="C919" s="6" t="s">
        <v>20</v>
      </c>
      <c r="D919" s="6">
        <v>159</v>
      </c>
      <c r="E919" s="6" t="s">
        <v>21</v>
      </c>
      <c r="F919" s="6">
        <v>403280</v>
      </c>
      <c r="G919" s="7">
        <v>403280</v>
      </c>
      <c r="H919" s="6">
        <f>(G919-F919)</f>
        <v>0.0</v>
      </c>
      <c r="I919" s="6" t="s">
        <v>23</v>
      </c>
      <c r="J919" s="6" t="s">
        <v>48</v>
      </c>
    </row>
    <row r="920" spans="1:10" ht="32" customHeight="1">
      <c r="A920" s="6" t="s">
        <v>19</v>
      </c>
      <c r="B920" s="6">
        <v>6</v>
      </c>
      <c r="C920" s="6" t="s">
        <v>20</v>
      </c>
      <c r="D920" s="6">
        <v>160</v>
      </c>
      <c r="E920" s="6" t="s">
        <v>21</v>
      </c>
      <c r="F920" s="6">
        <v>403280</v>
      </c>
      <c r="G920" s="7">
        <v>403280</v>
      </c>
      <c r="H920" s="6">
        <f>(G920-F920)</f>
        <v>0.0</v>
      </c>
      <c r="I920" s="6" t="s">
        <v>23</v>
      </c>
      <c r="J920" s="6" t="s">
        <v>48</v>
      </c>
    </row>
    <row r="921" spans="1:10" ht="32" customHeight="1">
      <c r="A921" s="6" t="s">
        <v>19</v>
      </c>
      <c r="B921" s="6">
        <v>6</v>
      </c>
      <c r="C921" s="6" t="s">
        <v>20</v>
      </c>
      <c r="D921" s="6">
        <v>161</v>
      </c>
      <c r="E921" s="6" t="s">
        <v>21</v>
      </c>
      <c r="F921" s="6">
        <v>403280</v>
      </c>
      <c r="G921" s="7">
        <v>403280</v>
      </c>
      <c r="H921" s="6">
        <f>(G921-F921)</f>
        <v>0.0</v>
      </c>
      <c r="I921" s="6" t="s">
        <v>23</v>
      </c>
      <c r="J921" s="6" t="s">
        <v>48</v>
      </c>
    </row>
    <row r="922" spans="1:10" ht="32" customHeight="1">
      <c r="A922" s="6" t="s">
        <v>19</v>
      </c>
      <c r="B922" s="6">
        <v>6</v>
      </c>
      <c r="C922" s="6" t="s">
        <v>20</v>
      </c>
      <c r="D922" s="6">
        <v>162</v>
      </c>
      <c r="E922" s="6" t="s">
        <v>21</v>
      </c>
      <c r="F922" s="6">
        <v>225971</v>
      </c>
      <c r="G922" s="7">
        <v>225971</v>
      </c>
      <c r="H922" s="6">
        <f>(G922-F922)</f>
        <v>0.0</v>
      </c>
      <c r="I922" s="6" t="s">
        <v>23</v>
      </c>
      <c r="J922" s="6" t="s">
        <v>48</v>
      </c>
    </row>
    <row r="923" spans="1:10" ht="32" customHeight="1">
      <c r="A923" s="6" t="s">
        <v>19</v>
      </c>
      <c r="B923" s="6">
        <v>6</v>
      </c>
      <c r="C923" s="6" t="s">
        <v>20</v>
      </c>
      <c r="D923" s="6">
        <v>163</v>
      </c>
      <c r="E923" s="6" t="s">
        <v>21</v>
      </c>
      <c r="F923" s="6">
        <v>193733</v>
      </c>
      <c r="G923" s="7">
        <v>193733</v>
      </c>
      <c r="H923" s="6">
        <f>(G923-F923)</f>
        <v>0.0</v>
      </c>
      <c r="I923" s="6" t="s">
        <v>23</v>
      </c>
      <c r="J923" s="6" t="s">
        <v>48</v>
      </c>
    </row>
    <row r="924" spans="1:10" ht="32" customHeight="1">
      <c r="A924" s="6" t="s">
        <v>19</v>
      </c>
      <c r="B924" s="6">
        <v>6</v>
      </c>
      <c r="C924" s="6" t="s">
        <v>20</v>
      </c>
      <c r="D924" s="6">
        <v>164</v>
      </c>
      <c r="E924" s="6" t="s">
        <v>21</v>
      </c>
      <c r="F924" s="6">
        <v>193733</v>
      </c>
      <c r="G924" s="7">
        <v>193733</v>
      </c>
      <c r="H924" s="6">
        <f>(G924-F924)</f>
        <v>0.0</v>
      </c>
      <c r="I924" s="6" t="s">
        <v>23</v>
      </c>
      <c r="J924" s="6" t="s">
        <v>48</v>
      </c>
    </row>
    <row r="925" spans="1:10" ht="32" customHeight="1">
      <c r="A925" s="6" t="s">
        <v>19</v>
      </c>
      <c r="B925" s="6">
        <v>6</v>
      </c>
      <c r="C925" s="6" t="s">
        <v>20</v>
      </c>
      <c r="D925" s="6">
        <v>165</v>
      </c>
      <c r="E925" s="6" t="s">
        <v>21</v>
      </c>
      <c r="F925" s="6">
        <v>193733</v>
      </c>
      <c r="G925" s="7">
        <v>193733</v>
      </c>
      <c r="H925" s="6">
        <f>(G925-F925)</f>
        <v>0.0</v>
      </c>
      <c r="I925" s="6" t="s">
        <v>23</v>
      </c>
      <c r="J925" s="6" t="s">
        <v>48</v>
      </c>
    </row>
    <row r="926" spans="1:10" ht="32" customHeight="1">
      <c r="A926" s="6" t="s">
        <v>19</v>
      </c>
      <c r="B926" s="6">
        <v>6</v>
      </c>
      <c r="C926" s="6" t="s">
        <v>20</v>
      </c>
      <c r="D926" s="6">
        <v>166</v>
      </c>
      <c r="E926" s="6" t="s">
        <v>21</v>
      </c>
      <c r="F926" s="6">
        <v>193733</v>
      </c>
      <c r="G926" s="7">
        <v>193733</v>
      </c>
      <c r="H926" s="6">
        <f>(G926-F926)</f>
        <v>0.0</v>
      </c>
      <c r="I926" s="6" t="s">
        <v>23</v>
      </c>
      <c r="J926" s="6" t="s">
        <v>48</v>
      </c>
    </row>
    <row r="927" spans="1:10" ht="32" customHeight="1">
      <c r="A927" s="6" t="s">
        <v>19</v>
      </c>
      <c r="B927" s="6">
        <v>6</v>
      </c>
      <c r="C927" s="6" t="s">
        <v>20</v>
      </c>
      <c r="D927" s="6">
        <v>167</v>
      </c>
      <c r="E927" s="6" t="s">
        <v>21</v>
      </c>
      <c r="F927" s="6">
        <v>193733</v>
      </c>
      <c r="G927" s="7">
        <v>193733</v>
      </c>
      <c r="H927" s="6">
        <f>(G927-F927)</f>
        <v>0.0</v>
      </c>
      <c r="I927" s="6" t="s">
        <v>23</v>
      </c>
      <c r="J927" s="6" t="s">
        <v>48</v>
      </c>
    </row>
    <row r="928" spans="1:10" ht="32" customHeight="1">
      <c r="A928" s="6" t="s">
        <v>19</v>
      </c>
      <c r="B928" s="6">
        <v>6</v>
      </c>
      <c r="C928" s="6" t="s">
        <v>20</v>
      </c>
      <c r="D928" s="6">
        <v>168</v>
      </c>
      <c r="E928" s="6" t="s">
        <v>21</v>
      </c>
      <c r="F928" s="6">
        <v>193733</v>
      </c>
      <c r="G928" s="7">
        <v>193733</v>
      </c>
      <c r="H928" s="6">
        <f>(G928-F928)</f>
        <v>0.0</v>
      </c>
      <c r="I928" s="6" t="s">
        <v>23</v>
      </c>
      <c r="J928" s="6" t="s">
        <v>48</v>
      </c>
    </row>
    <row r="929" spans="1:10" ht="32" customHeight="1">
      <c r="A929" s="6" t="s">
        <v>19</v>
      </c>
      <c r="B929" s="6">
        <v>6</v>
      </c>
      <c r="C929" s="6" t="s">
        <v>20</v>
      </c>
      <c r="D929" s="6">
        <v>169</v>
      </c>
      <c r="E929" s="6" t="s">
        <v>21</v>
      </c>
      <c r="F929" s="6">
        <v>193733</v>
      </c>
      <c r="G929" s="7">
        <v>193733</v>
      </c>
      <c r="H929" s="6">
        <f>(G929-F929)</f>
        <v>0.0</v>
      </c>
      <c r="I929" s="6" t="s">
        <v>23</v>
      </c>
      <c r="J929" s="6" t="s">
        <v>48</v>
      </c>
    </row>
    <row r="930" spans="1:10" ht="32" customHeight="1">
      <c r="A930" s="6" t="s">
        <v>19</v>
      </c>
      <c r="B930" s="6">
        <v>6</v>
      </c>
      <c r="C930" s="6" t="s">
        <v>20</v>
      </c>
      <c r="D930" s="6">
        <v>170</v>
      </c>
      <c r="E930" s="6" t="s">
        <v>21</v>
      </c>
      <c r="F930" s="6">
        <v>193733</v>
      </c>
      <c r="G930" s="7">
        <v>193733</v>
      </c>
      <c r="H930" s="6">
        <f>(G930-F930)</f>
        <v>0.0</v>
      </c>
      <c r="I930" s="6" t="s">
        <v>23</v>
      </c>
      <c r="J930" s="6" t="s">
        <v>48</v>
      </c>
    </row>
    <row r="931" spans="1:10" ht="32" customHeight="1">
      <c r="A931" s="6" t="s">
        <v>19</v>
      </c>
      <c r="B931" s="6">
        <v>6</v>
      </c>
      <c r="C931" s="6" t="s">
        <v>20</v>
      </c>
      <c r="D931" s="6">
        <v>171</v>
      </c>
      <c r="E931" s="6" t="s">
        <v>21</v>
      </c>
      <c r="F931" s="6">
        <v>193733</v>
      </c>
      <c r="G931" s="7">
        <v>193733</v>
      </c>
      <c r="H931" s="6">
        <f>(G931-F931)</f>
        <v>0.0</v>
      </c>
      <c r="I931" s="6" t="s">
        <v>23</v>
      </c>
      <c r="J931" s="6" t="s">
        <v>48</v>
      </c>
    </row>
    <row r="932" spans="1:10" ht="32" customHeight="1">
      <c r="A932" s="6" t="s">
        <v>25</v>
      </c>
      <c r="B932" s="6">
        <v>4</v>
      </c>
      <c r="C932" s="6" t="s">
        <v>20</v>
      </c>
      <c r="D932" s="6">
        <v>98</v>
      </c>
      <c r="E932" s="6" t="s">
        <v>26</v>
      </c>
      <c r="F932" s="6">
        <v>1163</v>
      </c>
      <c r="G932" s="7">
        <v>1162.9</v>
      </c>
      <c r="H932" s="6">
        <f>(G932-F932)</f>
        <v>-0.09999999999990905</v>
      </c>
      <c r="I932" s="6" t="s">
        <v>24</v>
      </c>
      <c r="J932" s="6" t="s">
        <v>48</v>
      </c>
    </row>
    <row r="933" spans="1:10" ht="32" customHeight="1">
      <c r="A933" s="6" t="s">
        <v>25</v>
      </c>
      <c r="B933" s="6">
        <v>4</v>
      </c>
      <c r="C933" s="6" t="s">
        <v>20</v>
      </c>
      <c r="D933" s="6">
        <v>98</v>
      </c>
      <c r="E933" s="6" t="s">
        <v>28</v>
      </c>
      <c r="F933" s="6">
        <v>1307.5</v>
      </c>
      <c r="G933" s="7">
        <v>1307.5</v>
      </c>
      <c r="H933" s="6">
        <f>(G933-F933)</f>
        <v>0.0</v>
      </c>
      <c r="I933" s="6" t="s">
        <v>23</v>
      </c>
      <c r="J933" s="6" t="s">
        <v>48</v>
      </c>
    </row>
    <row r="934" spans="1:10" ht="32" customHeight="1">
      <c r="A934" s="6" t="s">
        <v>25</v>
      </c>
      <c r="B934" s="6">
        <v>4</v>
      </c>
      <c r="C934" s="6" t="s">
        <v>20</v>
      </c>
      <c r="D934" s="6">
        <v>99</v>
      </c>
      <c r="E934" s="6" t="s">
        <v>26</v>
      </c>
      <c r="F934" s="6">
        <v>1989</v>
      </c>
      <c r="G934" s="7">
        <v>1989</v>
      </c>
      <c r="H934" s="6">
        <f>(G934-F934)</f>
        <v>0.0</v>
      </c>
      <c r="I934" s="6" t="s">
        <v>23</v>
      </c>
      <c r="J934" s="6" t="s">
        <v>48</v>
      </c>
    </row>
    <row r="935" spans="1:10" ht="32" customHeight="1">
      <c r="A935" s="6" t="s">
        <v>25</v>
      </c>
      <c r="B935" s="6">
        <v>4</v>
      </c>
      <c r="C935" s="6" t="s">
        <v>20</v>
      </c>
      <c r="D935" s="6">
        <v>99</v>
      </c>
      <c r="E935" s="6" t="s">
        <v>28</v>
      </c>
      <c r="F935" s="6">
        <v>1989</v>
      </c>
      <c r="G935" s="7">
        <v>1989</v>
      </c>
      <c r="H935" s="6">
        <f>(G935-F935)</f>
        <v>0.0</v>
      </c>
      <c r="I935" s="6" t="s">
        <v>23</v>
      </c>
      <c r="J935" s="6" t="s">
        <v>48</v>
      </c>
    </row>
    <row r="936" spans="1:10" ht="32" customHeight="1">
      <c r="A936" s="6" t="s">
        <v>25</v>
      </c>
      <c r="B936" s="6">
        <v>4</v>
      </c>
      <c r="C936" s="6" t="s">
        <v>20</v>
      </c>
      <c r="D936" s="6">
        <v>100</v>
      </c>
      <c r="E936" s="6" t="s">
        <v>26</v>
      </c>
      <c r="F936" s="6">
        <v>907.7</v>
      </c>
      <c r="G936" s="7">
        <v>1826.6</v>
      </c>
      <c r="H936" s="6">
        <f>(G936-F936)</f>
        <v>918.8999999999999</v>
      </c>
      <c r="I936" s="6" t="s">
        <v>24</v>
      </c>
      <c r="J936" s="6" t="s">
        <v>48</v>
      </c>
    </row>
    <row r="937" spans="1:10" ht="32" customHeight="1">
      <c r="A937" s="6" t="s">
        <v>25</v>
      </c>
      <c r="B937" s="6">
        <v>4</v>
      </c>
      <c r="C937" s="6" t="s">
        <v>20</v>
      </c>
      <c r="D937" s="6">
        <v>100</v>
      </c>
      <c r="E937" s="6" t="s">
        <v>28</v>
      </c>
      <c r="F937" s="6">
        <v>907.7</v>
      </c>
      <c r="G937" s="7">
        <v>1826.6</v>
      </c>
      <c r="H937" s="6">
        <f>(G937-F937)</f>
        <v>918.8999999999999</v>
      </c>
      <c r="I937" s="6" t="s">
        <v>24</v>
      </c>
      <c r="J937" s="6" t="s">
        <v>48</v>
      </c>
    </row>
    <row r="938" spans="1:10" ht="32" customHeight="1">
      <c r="A938" s="6" t="s">
        <v>25</v>
      </c>
      <c r="B938" s="6">
        <v>4</v>
      </c>
      <c r="C938" s="6" t="s">
        <v>20</v>
      </c>
      <c r="D938" s="6">
        <v>101</v>
      </c>
      <c r="E938" s="6" t="s">
        <v>26</v>
      </c>
      <c r="F938" s="6">
        <v>669</v>
      </c>
      <c r="G938" s="7">
        <v>1755</v>
      </c>
      <c r="H938" s="6">
        <f>(G938-F938)</f>
        <v>1086.0</v>
      </c>
      <c r="I938" s="6" t="s">
        <v>24</v>
      </c>
      <c r="J938" s="6" t="s">
        <v>48</v>
      </c>
    </row>
    <row r="939" spans="1:10" ht="32" customHeight="1">
      <c r="A939" s="6" t="s">
        <v>25</v>
      </c>
      <c r="B939" s="6">
        <v>4</v>
      </c>
      <c r="C939" s="6" t="s">
        <v>20</v>
      </c>
      <c r="D939" s="6">
        <v>101</v>
      </c>
      <c r="E939" s="6" t="s">
        <v>28</v>
      </c>
      <c r="F939" s="6">
        <v>669</v>
      </c>
      <c r="G939" s="7">
        <v>1755</v>
      </c>
      <c r="H939" s="6">
        <f>(G939-F939)</f>
        <v>1086.0</v>
      </c>
      <c r="I939" s="6" t="s">
        <v>24</v>
      </c>
      <c r="J939" s="6" t="s">
        <v>48</v>
      </c>
    </row>
    <row r="940" spans="1:10" ht="32" customHeight="1">
      <c r="A940" s="6" t="s">
        <v>25</v>
      </c>
      <c r="B940" s="6">
        <v>4</v>
      </c>
      <c r="C940" s="6" t="s">
        <v>20</v>
      </c>
      <c r="D940" s="6">
        <v>102</v>
      </c>
      <c r="E940" s="6" t="s">
        <v>26</v>
      </c>
      <c r="F940" s="6">
        <v>1741</v>
      </c>
      <c r="G940" s="7">
        <v>2158.6</v>
      </c>
      <c r="H940" s="6">
        <f>(G940-F940)</f>
        <v>417.5999999999999</v>
      </c>
      <c r="I940" s="6" t="s">
        <v>24</v>
      </c>
      <c r="J940" s="6" t="s">
        <v>48</v>
      </c>
    </row>
    <row r="941" spans="1:10" ht="32" customHeight="1">
      <c r="A941" s="6" t="s">
        <v>25</v>
      </c>
      <c r="B941" s="6">
        <v>4</v>
      </c>
      <c r="C941" s="6" t="s">
        <v>20</v>
      </c>
      <c r="D941" s="6">
        <v>102</v>
      </c>
      <c r="E941" s="6" t="s">
        <v>28</v>
      </c>
      <c r="F941" s="6">
        <v>1741</v>
      </c>
      <c r="G941" s="7">
        <v>2158.6</v>
      </c>
      <c r="H941" s="6">
        <f>(G941-F941)</f>
        <v>417.5999999999999</v>
      </c>
      <c r="I941" s="6" t="s">
        <v>24</v>
      </c>
      <c r="J941" s="6" t="s">
        <v>48</v>
      </c>
    </row>
    <row r="942" spans="1:10" ht="32" customHeight="1">
      <c r="A942" s="6" t="s">
        <v>25</v>
      </c>
      <c r="B942" s="6">
        <v>4</v>
      </c>
      <c r="C942" s="6" t="s">
        <v>20</v>
      </c>
      <c r="D942" s="6">
        <v>103</v>
      </c>
      <c r="E942" s="6" t="s">
        <v>26</v>
      </c>
      <c r="F942" s="6">
        <v>2472.8</v>
      </c>
      <c r="G942" s="7">
        <v>2472.8</v>
      </c>
      <c r="H942" s="6">
        <f>(G942-F942)</f>
        <v>0.0</v>
      </c>
      <c r="I942" s="6" t="s">
        <v>23</v>
      </c>
      <c r="J942" s="6" t="s">
        <v>48</v>
      </c>
    </row>
    <row r="943" spans="1:10" ht="32" customHeight="1">
      <c r="A943" s="6" t="s">
        <v>25</v>
      </c>
      <c r="B943" s="6">
        <v>4</v>
      </c>
      <c r="C943" s="6" t="s">
        <v>20</v>
      </c>
      <c r="D943" s="6">
        <v>103</v>
      </c>
      <c r="E943" s="6" t="s">
        <v>28</v>
      </c>
      <c r="F943" s="6">
        <v>2673.8</v>
      </c>
      <c r="G943" s="7">
        <v>2673.7</v>
      </c>
      <c r="H943" s="6">
        <f>(G943-F943)</f>
        <v>-0.1000000000003638</v>
      </c>
      <c r="I943" s="6" t="s">
        <v>24</v>
      </c>
      <c r="J943" s="6" t="s">
        <v>48</v>
      </c>
    </row>
    <row r="944" spans="1:10" ht="32" customHeight="1">
      <c r="A944" s="6" t="s">
        <v>25</v>
      </c>
      <c r="B944" s="6">
        <v>4</v>
      </c>
      <c r="C944" s="6" t="s">
        <v>20</v>
      </c>
      <c r="D944" s="6">
        <v>104</v>
      </c>
      <c r="E944" s="6" t="s">
        <v>26</v>
      </c>
      <c r="F944" s="6">
        <v>2640.6</v>
      </c>
      <c r="G944" s="7">
        <v>4642.1</v>
      </c>
      <c r="H944" s="6">
        <f>(G944-F944)</f>
        <v>2001.5000000000005</v>
      </c>
      <c r="I944" s="6" t="s">
        <v>24</v>
      </c>
      <c r="J944" s="6" t="s">
        <v>48</v>
      </c>
    </row>
    <row r="945" spans="1:10" ht="32" customHeight="1">
      <c r="A945" s="6" t="s">
        <v>25</v>
      </c>
      <c r="B945" s="6">
        <v>4</v>
      </c>
      <c r="C945" s="6" t="s">
        <v>20</v>
      </c>
      <c r="D945" s="6">
        <v>104</v>
      </c>
      <c r="E945" s="6" t="s">
        <v>28</v>
      </c>
      <c r="F945" s="6">
        <v>2640.6</v>
      </c>
      <c r="G945" s="7">
        <v>4642.1</v>
      </c>
      <c r="H945" s="6">
        <f>(G945-F945)</f>
        <v>2001.5000000000005</v>
      </c>
      <c r="I945" s="6" t="s">
        <v>24</v>
      </c>
      <c r="J945" s="6" t="s">
        <v>48</v>
      </c>
    </row>
    <row r="946" spans="1:10" ht="32" customHeight="1">
      <c r="A946" s="6" t="s">
        <v>25</v>
      </c>
      <c r="B946" s="6">
        <v>4</v>
      </c>
      <c r="C946" s="6" t="s">
        <v>20</v>
      </c>
      <c r="D946" s="6">
        <v>105</v>
      </c>
      <c r="E946" s="6" t="s">
        <v>26</v>
      </c>
      <c r="F946" s="6">
        <v>3142.6</v>
      </c>
      <c r="G946" s="7">
        <v>2980.8</v>
      </c>
      <c r="H946" s="6">
        <f>(G946-F946)</f>
        <v>-161.79999999999973</v>
      </c>
      <c r="I946" s="6" t="s">
        <v>24</v>
      </c>
      <c r="J946" s="6" t="s">
        <v>48</v>
      </c>
    </row>
    <row r="947" spans="1:10" ht="32" customHeight="1">
      <c r="A947" s="6" t="s">
        <v>25</v>
      </c>
      <c r="B947" s="6">
        <v>4</v>
      </c>
      <c r="C947" s="6" t="s">
        <v>20</v>
      </c>
      <c r="D947" s="6">
        <v>105</v>
      </c>
      <c r="E947" s="6" t="s">
        <v>28</v>
      </c>
      <c r="F947" s="6">
        <v>3142.6</v>
      </c>
      <c r="G947" s="7">
        <v>3190.7</v>
      </c>
      <c r="H947" s="6">
        <f>(G947-F947)</f>
        <v>48.09999999999991</v>
      </c>
      <c r="I947" s="6" t="s">
        <v>24</v>
      </c>
      <c r="J947" s="6" t="s">
        <v>48</v>
      </c>
    </row>
    <row r="948" spans="1:10" ht="32" customHeight="1">
      <c r="A948" s="6" t="s">
        <v>25</v>
      </c>
      <c r="B948" s="6">
        <v>4</v>
      </c>
      <c r="C948" s="6" t="s">
        <v>20</v>
      </c>
      <c r="D948" s="6">
        <v>106</v>
      </c>
      <c r="E948" s="6" t="s">
        <v>26</v>
      </c>
      <c r="F948" s="6">
        <v>3190.8</v>
      </c>
      <c r="G948" s="7">
        <v>3190.7</v>
      </c>
      <c r="H948" s="6">
        <f>(G948-F948)</f>
        <v>-0.1000000000003638</v>
      </c>
      <c r="I948" s="6" t="s">
        <v>24</v>
      </c>
      <c r="J948" s="6" t="s">
        <v>48</v>
      </c>
    </row>
    <row r="949" spans="1:10" ht="32" customHeight="1">
      <c r="A949" s="6" t="s">
        <v>25</v>
      </c>
      <c r="B949" s="6">
        <v>4</v>
      </c>
      <c r="C949" s="6" t="s">
        <v>20</v>
      </c>
      <c r="D949" s="6">
        <v>106</v>
      </c>
      <c r="E949" s="6" t="s">
        <v>28</v>
      </c>
      <c r="F949" s="6">
        <v>3400.7</v>
      </c>
      <c r="G949" s="7">
        <v>3400.6</v>
      </c>
      <c r="H949" s="6">
        <f>(G949-F949)</f>
        <v>-0.09999999999990905</v>
      </c>
      <c r="I949" s="6" t="s">
        <v>24</v>
      </c>
      <c r="J949" s="6" t="s">
        <v>48</v>
      </c>
    </row>
    <row r="950" spans="1:10" ht="32" customHeight="1">
      <c r="A950" s="6" t="s">
        <v>25</v>
      </c>
      <c r="B950" s="6">
        <v>4</v>
      </c>
      <c r="C950" s="6" t="s">
        <v>20</v>
      </c>
      <c r="D950" s="6">
        <v>107</v>
      </c>
      <c r="E950" s="6" t="s">
        <v>26</v>
      </c>
      <c r="F950" s="6">
        <v>3400.7</v>
      </c>
      <c r="G950" s="7">
        <v>3400.6</v>
      </c>
      <c r="H950" s="6">
        <f>(G950-F950)</f>
        <v>-0.09999999999990905</v>
      </c>
      <c r="I950" s="6" t="s">
        <v>24</v>
      </c>
      <c r="J950" s="6" t="s">
        <v>48</v>
      </c>
    </row>
    <row r="951" spans="1:10" ht="32" customHeight="1">
      <c r="A951" s="6" t="s">
        <v>25</v>
      </c>
      <c r="B951" s="6">
        <v>4</v>
      </c>
      <c r="C951" s="6" t="s">
        <v>20</v>
      </c>
      <c r="D951" s="6">
        <v>107</v>
      </c>
      <c r="E951" s="6" t="s">
        <v>28</v>
      </c>
      <c r="F951" s="6">
        <v>3610.6</v>
      </c>
      <c r="G951" s="7">
        <v>3610.5</v>
      </c>
      <c r="H951" s="6">
        <f>(G951-F951)</f>
        <v>-0.09999999999990905</v>
      </c>
      <c r="I951" s="6" t="s">
        <v>24</v>
      </c>
      <c r="J951" s="6" t="s">
        <v>48</v>
      </c>
    </row>
    <row r="952" spans="1:10" ht="32" customHeight="1">
      <c r="A952" s="6" t="s">
        <v>25</v>
      </c>
      <c r="B952" s="6">
        <v>4</v>
      </c>
      <c r="C952" s="6" t="s">
        <v>20</v>
      </c>
      <c r="D952" s="6">
        <v>108</v>
      </c>
      <c r="E952" s="6" t="s">
        <v>26</v>
      </c>
      <c r="F952" s="6">
        <v>3610.6</v>
      </c>
      <c r="G952" s="7">
        <v>3610.5</v>
      </c>
      <c r="H952" s="6">
        <f>(G952-F952)</f>
        <v>-0.09999999999990905</v>
      </c>
      <c r="I952" s="6" t="s">
        <v>24</v>
      </c>
      <c r="J952" s="6" t="s">
        <v>48</v>
      </c>
    </row>
    <row r="953" spans="1:10" ht="32" customHeight="1">
      <c r="A953" s="6" t="s">
        <v>25</v>
      </c>
      <c r="B953" s="6">
        <v>4</v>
      </c>
      <c r="C953" s="6" t="s">
        <v>20</v>
      </c>
      <c r="D953" s="6">
        <v>108</v>
      </c>
      <c r="E953" s="6" t="s">
        <v>28</v>
      </c>
      <c r="F953" s="6">
        <v>3820.6</v>
      </c>
      <c r="G953" s="7">
        <v>3820.5</v>
      </c>
      <c r="H953" s="6">
        <f>(G953-F953)</f>
        <v>-0.09999999999990905</v>
      </c>
      <c r="I953" s="6" t="s">
        <v>24</v>
      </c>
      <c r="J953" s="6" t="s">
        <v>48</v>
      </c>
    </row>
    <row r="954" spans="1:10" ht="32" customHeight="1">
      <c r="A954" s="6" t="s">
        <v>25</v>
      </c>
      <c r="B954" s="6">
        <v>4</v>
      </c>
      <c r="C954" s="6" t="s">
        <v>20</v>
      </c>
      <c r="D954" s="6">
        <v>109</v>
      </c>
      <c r="E954" s="6" t="s">
        <v>26</v>
      </c>
      <c r="F954" s="6">
        <v>3820.6</v>
      </c>
      <c r="G954" s="7">
        <v>3820.5</v>
      </c>
      <c r="H954" s="6">
        <f>(G954-F954)</f>
        <v>-0.09999999999990905</v>
      </c>
      <c r="I954" s="6" t="s">
        <v>24</v>
      </c>
      <c r="J954" s="6" t="s">
        <v>48</v>
      </c>
    </row>
    <row r="955" spans="1:10" ht="32" customHeight="1">
      <c r="A955" s="6" t="s">
        <v>25</v>
      </c>
      <c r="B955" s="6">
        <v>4</v>
      </c>
      <c r="C955" s="6" t="s">
        <v>20</v>
      </c>
      <c r="D955" s="6">
        <v>109</v>
      </c>
      <c r="E955" s="6" t="s">
        <v>28</v>
      </c>
      <c r="F955" s="6">
        <v>4030.5</v>
      </c>
      <c r="G955" s="7">
        <v>4030.4</v>
      </c>
      <c r="H955" s="6">
        <f>(G955-F955)</f>
        <v>-0.09999999999990905</v>
      </c>
      <c r="I955" s="6" t="s">
        <v>24</v>
      </c>
      <c r="J955" s="6" t="s">
        <v>48</v>
      </c>
    </row>
    <row r="956" spans="1:10" ht="32" customHeight="1">
      <c r="A956" s="6" t="s">
        <v>25</v>
      </c>
      <c r="B956" s="6">
        <v>4</v>
      </c>
      <c r="C956" s="6" t="s">
        <v>20</v>
      </c>
      <c r="D956" s="6">
        <v>110</v>
      </c>
      <c r="E956" s="6" t="s">
        <v>26</v>
      </c>
      <c r="F956" s="6">
        <v>4030.5</v>
      </c>
      <c r="G956" s="7">
        <v>4030.4</v>
      </c>
      <c r="H956" s="6">
        <f>(G956-F956)</f>
        <v>-0.09999999999990905</v>
      </c>
      <c r="I956" s="6" t="s">
        <v>24</v>
      </c>
      <c r="J956" s="6" t="s">
        <v>48</v>
      </c>
    </row>
    <row r="957" spans="1:10" ht="32" customHeight="1">
      <c r="A957" s="6" t="s">
        <v>25</v>
      </c>
      <c r="B957" s="6">
        <v>4</v>
      </c>
      <c r="C957" s="6" t="s">
        <v>20</v>
      </c>
      <c r="D957" s="6">
        <v>110</v>
      </c>
      <c r="E957" s="6" t="s">
        <v>28</v>
      </c>
      <c r="F957" s="6">
        <v>4240.4</v>
      </c>
      <c r="G957" s="7">
        <v>4240.3</v>
      </c>
      <c r="H957" s="6">
        <f>(G957-F957)</f>
        <v>-0.0999999999994543</v>
      </c>
      <c r="I957" s="6" t="s">
        <v>24</v>
      </c>
      <c r="J957" s="6" t="s">
        <v>48</v>
      </c>
    </row>
    <row r="958" spans="1:10" ht="32" customHeight="1">
      <c r="A958" s="6" t="s">
        <v>25</v>
      </c>
      <c r="B958" s="6">
        <v>4</v>
      </c>
      <c r="C958" s="6" t="s">
        <v>20</v>
      </c>
      <c r="D958" s="6">
        <v>111</v>
      </c>
      <c r="E958" s="6" t="s">
        <v>26</v>
      </c>
      <c r="F958" s="6">
        <v>4240.4</v>
      </c>
      <c r="G958" s="7">
        <v>4240.3</v>
      </c>
      <c r="H958" s="6">
        <f>(G958-F958)</f>
        <v>-0.0999999999994543</v>
      </c>
      <c r="I958" s="6" t="s">
        <v>24</v>
      </c>
      <c r="J958" s="6" t="s">
        <v>48</v>
      </c>
    </row>
    <row r="959" spans="1:10" ht="32" customHeight="1">
      <c r="A959" s="6" t="s">
        <v>25</v>
      </c>
      <c r="B959" s="6">
        <v>4</v>
      </c>
      <c r="C959" s="6" t="s">
        <v>20</v>
      </c>
      <c r="D959" s="6">
        <v>111</v>
      </c>
      <c r="E959" s="6" t="s">
        <v>28</v>
      </c>
      <c r="F959" s="6">
        <v>4450.3</v>
      </c>
      <c r="G959" s="7">
        <v>4450.2</v>
      </c>
      <c r="H959" s="6">
        <f>(G959-F959)</f>
        <v>-0.1000000000003638</v>
      </c>
      <c r="I959" s="6" t="s">
        <v>24</v>
      </c>
      <c r="J959" s="6" t="s">
        <v>48</v>
      </c>
    </row>
    <row r="960" spans="1:10" ht="32" customHeight="1">
      <c r="A960" s="6" t="s">
        <v>25</v>
      </c>
      <c r="B960" s="6">
        <v>4</v>
      </c>
      <c r="C960" s="6" t="s">
        <v>20</v>
      </c>
      <c r="D960" s="6">
        <v>112</v>
      </c>
      <c r="E960" s="6" t="s">
        <v>26</v>
      </c>
      <c r="F960" s="6">
        <v>1683.5</v>
      </c>
      <c r="G960" s="7">
        <v>3300.7</v>
      </c>
      <c r="H960" s="6">
        <f>(G960-F960)</f>
        <v>1617.1999999999998</v>
      </c>
      <c r="I960" s="6" t="s">
        <v>24</v>
      </c>
      <c r="J960" s="6" t="s">
        <v>48</v>
      </c>
    </row>
    <row r="961" spans="1:10" ht="32" customHeight="1">
      <c r="A961" s="6" t="s">
        <v>25</v>
      </c>
      <c r="B961" s="6">
        <v>4</v>
      </c>
      <c r="C961" s="6" t="s">
        <v>20</v>
      </c>
      <c r="D961" s="6">
        <v>112</v>
      </c>
      <c r="E961" s="6" t="s">
        <v>28</v>
      </c>
      <c r="F961" s="6">
        <v>1683.5</v>
      </c>
      <c r="G961" s="7">
        <v>3300.7</v>
      </c>
      <c r="H961" s="6">
        <f>(G961-F961)</f>
        <v>1617.1999999999998</v>
      </c>
      <c r="I961" s="6" t="s">
        <v>24</v>
      </c>
      <c r="J961" s="6" t="s">
        <v>48</v>
      </c>
    </row>
    <row r="962" spans="1:10" ht="32" customHeight="1">
      <c r="A962" s="6" t="s">
        <v>25</v>
      </c>
      <c r="B962" s="6">
        <v>4</v>
      </c>
      <c r="C962" s="6" t="s">
        <v>20</v>
      </c>
      <c r="D962" s="6">
        <v>113</v>
      </c>
      <c r="E962" s="6" t="s">
        <v>26</v>
      </c>
      <c r="F962" s="6">
        <v>3088.8</v>
      </c>
      <c r="G962" s="7">
        <v>3088.8</v>
      </c>
      <c r="H962" s="6">
        <f>(G962-F962)</f>
        <v>0.0</v>
      </c>
      <c r="I962" s="6" t="s">
        <v>23</v>
      </c>
      <c r="J962" s="6" t="s">
        <v>48</v>
      </c>
    </row>
    <row r="963" spans="1:10" ht="32" customHeight="1">
      <c r="A963" s="6" t="s">
        <v>25</v>
      </c>
      <c r="B963" s="6">
        <v>4</v>
      </c>
      <c r="C963" s="6" t="s">
        <v>20</v>
      </c>
      <c r="D963" s="6">
        <v>113</v>
      </c>
      <c r="E963" s="6" t="s">
        <v>28</v>
      </c>
      <c r="F963" s="6">
        <v>3088.8</v>
      </c>
      <c r="G963" s="7">
        <v>3088.8</v>
      </c>
      <c r="H963" s="6">
        <f>(G963-F963)</f>
        <v>0.0</v>
      </c>
      <c r="I963" s="6" t="s">
        <v>23</v>
      </c>
      <c r="J963" s="6" t="s">
        <v>48</v>
      </c>
    </row>
    <row r="964" spans="1:10" ht="32" customHeight="1">
      <c r="A964" s="6" t="s">
        <v>25</v>
      </c>
      <c r="B964" s="6">
        <v>4</v>
      </c>
      <c r="C964" s="6" t="s">
        <v>20</v>
      </c>
      <c r="D964" s="6">
        <v>114</v>
      </c>
      <c r="E964" s="6" t="s">
        <v>26</v>
      </c>
      <c r="F964" s="6">
        <v>3088.8</v>
      </c>
      <c r="G964" s="7">
        <v>3088.8</v>
      </c>
      <c r="H964" s="6">
        <f>(G964-F964)</f>
        <v>0.0</v>
      </c>
      <c r="I964" s="6" t="s">
        <v>23</v>
      </c>
      <c r="J964" s="6" t="s">
        <v>48</v>
      </c>
    </row>
    <row r="965" spans="1:10" ht="32" customHeight="1">
      <c r="A965" s="6" t="s">
        <v>25</v>
      </c>
      <c r="B965" s="6">
        <v>4</v>
      </c>
      <c r="C965" s="6" t="s">
        <v>20</v>
      </c>
      <c r="D965" s="6">
        <v>114</v>
      </c>
      <c r="E965" s="6" t="s">
        <v>28</v>
      </c>
      <c r="F965" s="6">
        <v>3088.8</v>
      </c>
      <c r="G965" s="7">
        <v>3088.8</v>
      </c>
      <c r="H965" s="6">
        <f>(G965-F965)</f>
        <v>0.0</v>
      </c>
      <c r="I965" s="6" t="s">
        <v>23</v>
      </c>
      <c r="J965" s="6" t="s">
        <v>48</v>
      </c>
    </row>
    <row r="966" spans="1:10" ht="32" customHeight="1">
      <c r="A966" s="6" t="s">
        <v>25</v>
      </c>
      <c r="B966" s="6">
        <v>4</v>
      </c>
      <c r="C966" s="6" t="s">
        <v>20</v>
      </c>
      <c r="D966" s="6">
        <v>115</v>
      </c>
      <c r="E966" s="6" t="s">
        <v>26</v>
      </c>
      <c r="F966" s="6">
        <v>3088.8</v>
      </c>
      <c r="G966" s="7">
        <v>3088.8</v>
      </c>
      <c r="H966" s="6">
        <f>(G966-F966)</f>
        <v>0.0</v>
      </c>
      <c r="I966" s="6" t="s">
        <v>23</v>
      </c>
      <c r="J966" s="6" t="s">
        <v>48</v>
      </c>
    </row>
    <row r="967" spans="1:10" ht="32" customHeight="1">
      <c r="A967" s="6" t="s">
        <v>25</v>
      </c>
      <c r="B967" s="6">
        <v>4</v>
      </c>
      <c r="C967" s="6" t="s">
        <v>20</v>
      </c>
      <c r="D967" s="6">
        <v>115</v>
      </c>
      <c r="E967" s="6" t="s">
        <v>28</v>
      </c>
      <c r="F967" s="6">
        <v>3088.8</v>
      </c>
      <c r="G967" s="7">
        <v>3088.8</v>
      </c>
      <c r="H967" s="6">
        <f>(G967-F967)</f>
        <v>0.0</v>
      </c>
      <c r="I967" s="6" t="s">
        <v>23</v>
      </c>
      <c r="J967" s="6" t="s">
        <v>48</v>
      </c>
    </row>
    <row r="968" spans="1:10" ht="32" customHeight="1">
      <c r="A968" s="6" t="s">
        <v>25</v>
      </c>
      <c r="B968" s="6">
        <v>4</v>
      </c>
      <c r="C968" s="6" t="s">
        <v>20</v>
      </c>
      <c r="D968" s="6">
        <v>116</v>
      </c>
      <c r="E968" s="6" t="s">
        <v>26</v>
      </c>
      <c r="F968" s="6">
        <v>3088.8</v>
      </c>
      <c r="G968" s="7">
        <v>3088.8</v>
      </c>
      <c r="H968" s="6">
        <f>(G968-F968)</f>
        <v>0.0</v>
      </c>
      <c r="I968" s="6" t="s">
        <v>23</v>
      </c>
      <c r="J968" s="6" t="s">
        <v>48</v>
      </c>
    </row>
    <row r="969" spans="1:10" ht="32" customHeight="1">
      <c r="A969" s="6" t="s">
        <v>25</v>
      </c>
      <c r="B969" s="6">
        <v>4</v>
      </c>
      <c r="C969" s="6" t="s">
        <v>20</v>
      </c>
      <c r="D969" s="6">
        <v>116</v>
      </c>
      <c r="E969" s="6" t="s">
        <v>28</v>
      </c>
      <c r="F969" s="6">
        <v>3088.8</v>
      </c>
      <c r="G969" s="7">
        <v>3088.8</v>
      </c>
      <c r="H969" s="6">
        <f>(G969-F969)</f>
        <v>0.0</v>
      </c>
      <c r="I969" s="6" t="s">
        <v>23</v>
      </c>
      <c r="J969" s="6" t="s">
        <v>48</v>
      </c>
    </row>
    <row r="970" spans="1:10" ht="32" customHeight="1">
      <c r="A970" s="6" t="s">
        <v>25</v>
      </c>
      <c r="B970" s="6">
        <v>4</v>
      </c>
      <c r="C970" s="6" t="s">
        <v>20</v>
      </c>
      <c r="D970" s="6">
        <v>117</v>
      </c>
      <c r="E970" s="6" t="s">
        <v>26</v>
      </c>
      <c r="F970" s="6">
        <v>3088.8</v>
      </c>
      <c r="G970" s="7">
        <v>3088.8</v>
      </c>
      <c r="H970" s="6">
        <f>(G970-F970)</f>
        <v>0.0</v>
      </c>
      <c r="I970" s="6" t="s">
        <v>23</v>
      </c>
      <c r="J970" s="6" t="s">
        <v>48</v>
      </c>
    </row>
    <row r="971" spans="1:10" ht="32" customHeight="1">
      <c r="A971" s="6" t="s">
        <v>25</v>
      </c>
      <c r="B971" s="6">
        <v>4</v>
      </c>
      <c r="C971" s="6" t="s">
        <v>20</v>
      </c>
      <c r="D971" s="6">
        <v>117</v>
      </c>
      <c r="E971" s="6" t="s">
        <v>28</v>
      </c>
      <c r="F971" s="6">
        <v>3088.8</v>
      </c>
      <c r="G971" s="7">
        <v>3088.8</v>
      </c>
      <c r="H971" s="6">
        <f>(G971-F971)</f>
        <v>0.0</v>
      </c>
      <c r="I971" s="6" t="s">
        <v>23</v>
      </c>
      <c r="J971" s="6" t="s">
        <v>48</v>
      </c>
    </row>
    <row r="972" spans="1:10" ht="32" customHeight="1">
      <c r="A972" s="6" t="s">
        <v>25</v>
      </c>
      <c r="B972" s="6">
        <v>4</v>
      </c>
      <c r="C972" s="6" t="s">
        <v>20</v>
      </c>
      <c r="D972" s="6">
        <v>118</v>
      </c>
      <c r="E972" s="6" t="s">
        <v>26</v>
      </c>
      <c r="F972" s="6">
        <v>3088.8</v>
      </c>
      <c r="G972" s="7">
        <v>3088.8</v>
      </c>
      <c r="H972" s="6">
        <f>(G972-F972)</f>
        <v>0.0</v>
      </c>
      <c r="I972" s="6" t="s">
        <v>23</v>
      </c>
      <c r="J972" s="6" t="s">
        <v>48</v>
      </c>
    </row>
    <row r="973" spans="1:10" ht="32" customHeight="1">
      <c r="A973" s="6" t="s">
        <v>25</v>
      </c>
      <c r="B973" s="6">
        <v>4</v>
      </c>
      <c r="C973" s="6" t="s">
        <v>20</v>
      </c>
      <c r="D973" s="6">
        <v>118</v>
      </c>
      <c r="E973" s="6" t="s">
        <v>28</v>
      </c>
      <c r="F973" s="6">
        <v>3088.8</v>
      </c>
      <c r="G973" s="7">
        <v>3088.8</v>
      </c>
      <c r="H973" s="6">
        <f>(G973-F973)</f>
        <v>0.0</v>
      </c>
      <c r="I973" s="6" t="s">
        <v>23</v>
      </c>
      <c r="J973" s="6" t="s">
        <v>48</v>
      </c>
    </row>
    <row r="974" spans="1:10" ht="32" customHeight="1">
      <c r="A974" s="6" t="s">
        <v>25</v>
      </c>
      <c r="B974" s="6">
        <v>4</v>
      </c>
      <c r="C974" s="6" t="s">
        <v>20</v>
      </c>
      <c r="D974" s="6">
        <v>119</v>
      </c>
      <c r="E974" s="6" t="s">
        <v>26</v>
      </c>
      <c r="F974" s="6">
        <v>3088.8</v>
      </c>
      <c r="G974" s="7">
        <v>3088.8</v>
      </c>
      <c r="H974" s="6">
        <f>(G974-F974)</f>
        <v>0.0</v>
      </c>
      <c r="I974" s="6" t="s">
        <v>23</v>
      </c>
      <c r="J974" s="6" t="s">
        <v>48</v>
      </c>
    </row>
    <row r="975" spans="1:10" ht="32" customHeight="1">
      <c r="A975" s="6" t="s">
        <v>25</v>
      </c>
      <c r="B975" s="6">
        <v>4</v>
      </c>
      <c r="C975" s="6" t="s">
        <v>20</v>
      </c>
      <c r="D975" s="6">
        <v>119</v>
      </c>
      <c r="E975" s="6" t="s">
        <v>28</v>
      </c>
      <c r="F975" s="6">
        <v>3088.8</v>
      </c>
      <c r="G975" s="7">
        <v>3088.8</v>
      </c>
      <c r="H975" s="6">
        <f>(G975-F975)</f>
        <v>0.0</v>
      </c>
      <c r="I975" s="6" t="s">
        <v>23</v>
      </c>
      <c r="J975" s="6" t="s">
        <v>48</v>
      </c>
    </row>
    <row r="976" spans="1:10" ht="32" customHeight="1">
      <c r="A976" s="6" t="s">
        <v>25</v>
      </c>
      <c r="B976" s="6">
        <v>4</v>
      </c>
      <c r="C976" s="6" t="s">
        <v>20</v>
      </c>
      <c r="D976" s="6">
        <v>120</v>
      </c>
      <c r="E976" s="6" t="s">
        <v>26</v>
      </c>
      <c r="F976" s="6">
        <v>3088.8</v>
      </c>
      <c r="G976" s="7">
        <v>3088.8</v>
      </c>
      <c r="H976" s="6">
        <f>(G976-F976)</f>
        <v>0.0</v>
      </c>
      <c r="I976" s="6" t="s">
        <v>23</v>
      </c>
      <c r="J976" s="6" t="s">
        <v>48</v>
      </c>
    </row>
    <row r="977" spans="1:10" ht="32" customHeight="1">
      <c r="A977" s="6" t="s">
        <v>25</v>
      </c>
      <c r="B977" s="6">
        <v>4</v>
      </c>
      <c r="C977" s="6" t="s">
        <v>20</v>
      </c>
      <c r="D977" s="6">
        <v>120</v>
      </c>
      <c r="E977" s="6" t="s">
        <v>28</v>
      </c>
      <c r="F977" s="6">
        <v>3088.8</v>
      </c>
      <c r="G977" s="7">
        <v>3088.8</v>
      </c>
      <c r="H977" s="6">
        <f>(G977-F977)</f>
        <v>0.0</v>
      </c>
      <c r="I977" s="6" t="s">
        <v>23</v>
      </c>
      <c r="J977" s="6" t="s">
        <v>48</v>
      </c>
    </row>
    <row r="978" spans="1:10" ht="32" customHeight="1">
      <c r="A978" s="6" t="s">
        <v>25</v>
      </c>
      <c r="B978" s="6">
        <v>4</v>
      </c>
      <c r="C978" s="6" t="s">
        <v>20</v>
      </c>
      <c r="D978" s="6">
        <v>121</v>
      </c>
      <c r="E978" s="6" t="s">
        <v>26</v>
      </c>
      <c r="F978" s="6">
        <v>3088.8</v>
      </c>
      <c r="G978" s="7">
        <v>3088.8</v>
      </c>
      <c r="H978" s="6">
        <f>(G978-F978)</f>
        <v>0.0</v>
      </c>
      <c r="I978" s="6" t="s">
        <v>23</v>
      </c>
      <c r="J978" s="6" t="s">
        <v>48</v>
      </c>
    </row>
    <row r="979" spans="1:10" ht="32" customHeight="1">
      <c r="A979" s="6" t="s">
        <v>25</v>
      </c>
      <c r="B979" s="6">
        <v>4</v>
      </c>
      <c r="C979" s="6" t="s">
        <v>20</v>
      </c>
      <c r="D979" s="6">
        <v>121</v>
      </c>
      <c r="E979" s="6" t="s">
        <v>28</v>
      </c>
      <c r="F979" s="6">
        <v>3088.8</v>
      </c>
      <c r="G979" s="7">
        <v>3088.8</v>
      </c>
      <c r="H979" s="6">
        <f>(G979-F979)</f>
        <v>0.0</v>
      </c>
      <c r="I979" s="6" t="s">
        <v>23</v>
      </c>
      <c r="J979" s="6" t="s">
        <v>48</v>
      </c>
    </row>
    <row r="980" spans="1:10" ht="32" customHeight="1">
      <c r="A980" s="6" t="s">
        <v>25</v>
      </c>
      <c r="B980" s="6">
        <v>5</v>
      </c>
      <c r="C980" s="6" t="s">
        <v>20</v>
      </c>
      <c r="D980" s="6">
        <v>123</v>
      </c>
      <c r="E980" s="6" t="s">
        <v>26</v>
      </c>
      <c r="F980" s="6">
        <v>1004.8</v>
      </c>
      <c r="G980" s="7">
        <v>1005.1</v>
      </c>
      <c r="H980" s="6">
        <f>(G980-F980)</f>
        <v>0.3000000000000682</v>
      </c>
      <c r="I980" s="6" t="s">
        <v>24</v>
      </c>
      <c r="J980" s="6" t="s">
        <v>48</v>
      </c>
    </row>
    <row r="981" spans="1:10" ht="32" customHeight="1">
      <c r="A981" s="6" t="s">
        <v>25</v>
      </c>
      <c r="B981" s="6">
        <v>5</v>
      </c>
      <c r="C981" s="6" t="s">
        <v>20</v>
      </c>
      <c r="D981" s="6">
        <v>123</v>
      </c>
      <c r="E981" s="6" t="s">
        <v>28</v>
      </c>
      <c r="F981" s="6">
        <v>1129.6</v>
      </c>
      <c r="G981" s="7">
        <v>1130.1</v>
      </c>
      <c r="H981" s="6">
        <f>(G981-F981)</f>
        <v>0.5</v>
      </c>
      <c r="I981" s="6" t="s">
        <v>24</v>
      </c>
      <c r="J981" s="6" t="s">
        <v>48</v>
      </c>
    </row>
    <row r="982" spans="1:10" ht="32" customHeight="1">
      <c r="A982" s="6" t="s">
        <v>25</v>
      </c>
      <c r="B982" s="6">
        <v>5</v>
      </c>
      <c r="C982" s="6" t="s">
        <v>20</v>
      </c>
      <c r="D982" s="6">
        <v>124</v>
      </c>
      <c r="E982" s="6" t="s">
        <v>26</v>
      </c>
      <c r="F982" s="6">
        <v>1718.4</v>
      </c>
      <c r="G982" s="7">
        <v>1719.1</v>
      </c>
      <c r="H982" s="6">
        <f>(G982-F982)</f>
        <v>0.6999999999998181</v>
      </c>
      <c r="I982" s="6" t="s">
        <v>24</v>
      </c>
      <c r="J982" s="6" t="s">
        <v>48</v>
      </c>
    </row>
    <row r="983" spans="1:10" ht="32" customHeight="1">
      <c r="A983" s="6" t="s">
        <v>25</v>
      </c>
      <c r="B983" s="6">
        <v>5</v>
      </c>
      <c r="C983" s="6" t="s">
        <v>20</v>
      </c>
      <c r="D983" s="6">
        <v>124</v>
      </c>
      <c r="E983" s="6" t="s">
        <v>28</v>
      </c>
      <c r="F983" s="6">
        <v>1718.4</v>
      </c>
      <c r="G983" s="7">
        <v>1719.1</v>
      </c>
      <c r="H983" s="6">
        <f>(G983-F983)</f>
        <v>0.6999999999998181</v>
      </c>
      <c r="I983" s="6" t="s">
        <v>24</v>
      </c>
      <c r="J983" s="6" t="s">
        <v>48</v>
      </c>
    </row>
    <row r="984" spans="1:10" ht="32" customHeight="1">
      <c r="A984" s="6" t="s">
        <v>25</v>
      </c>
      <c r="B984" s="6">
        <v>5</v>
      </c>
      <c r="C984" s="6" t="s">
        <v>20</v>
      </c>
      <c r="D984" s="6">
        <v>125</v>
      </c>
      <c r="E984" s="6" t="s">
        <v>26</v>
      </c>
      <c r="F984" s="6">
        <v>784.2</v>
      </c>
      <c r="G984" s="7">
        <v>1285.3</v>
      </c>
      <c r="H984" s="6">
        <f>(G984-F984)</f>
        <v>501.0999999999999</v>
      </c>
      <c r="I984" s="6" t="s">
        <v>24</v>
      </c>
      <c r="J984" s="6" t="s">
        <v>48</v>
      </c>
    </row>
    <row r="985" spans="1:10" ht="32" customHeight="1">
      <c r="A985" s="6" t="s">
        <v>25</v>
      </c>
      <c r="B985" s="6">
        <v>5</v>
      </c>
      <c r="C985" s="6" t="s">
        <v>20</v>
      </c>
      <c r="D985" s="6">
        <v>125</v>
      </c>
      <c r="E985" s="6" t="s">
        <v>28</v>
      </c>
      <c r="F985" s="6">
        <v>784.2</v>
      </c>
      <c r="G985" s="7">
        <v>1285.3</v>
      </c>
      <c r="H985" s="6">
        <f>(G985-F985)</f>
        <v>501.0999999999999</v>
      </c>
      <c r="I985" s="6" t="s">
        <v>24</v>
      </c>
      <c r="J985" s="6" t="s">
        <v>48</v>
      </c>
    </row>
    <row r="986" spans="1:10" ht="32" customHeight="1">
      <c r="A986" s="6" t="s">
        <v>25</v>
      </c>
      <c r="B986" s="6">
        <v>5</v>
      </c>
      <c r="C986" s="6" t="s">
        <v>20</v>
      </c>
      <c r="D986" s="6">
        <v>126</v>
      </c>
      <c r="E986" s="6" t="s">
        <v>26</v>
      </c>
      <c r="F986" s="6">
        <v>578</v>
      </c>
      <c r="G986" s="7">
        <v>1170</v>
      </c>
      <c r="H986" s="6">
        <f>(G986-F986)</f>
        <v>592.0</v>
      </c>
      <c r="I986" s="6" t="s">
        <v>24</v>
      </c>
      <c r="J986" s="6" t="s">
        <v>48</v>
      </c>
    </row>
    <row r="987" spans="1:10" ht="32" customHeight="1">
      <c r="A987" s="6" t="s">
        <v>25</v>
      </c>
      <c r="B987" s="6">
        <v>5</v>
      </c>
      <c r="C987" s="6" t="s">
        <v>20</v>
      </c>
      <c r="D987" s="6">
        <v>126</v>
      </c>
      <c r="E987" s="6" t="s">
        <v>28</v>
      </c>
      <c r="F987" s="6">
        <v>578</v>
      </c>
      <c r="G987" s="7">
        <v>1170</v>
      </c>
      <c r="H987" s="6">
        <f>(G987-F987)</f>
        <v>592.0</v>
      </c>
      <c r="I987" s="6" t="s">
        <v>24</v>
      </c>
      <c r="J987" s="6" t="s">
        <v>48</v>
      </c>
    </row>
    <row r="988" spans="1:10" ht="32" customHeight="1">
      <c r="A988" s="6" t="s">
        <v>25</v>
      </c>
      <c r="B988" s="6">
        <v>5</v>
      </c>
      <c r="C988" s="6" t="s">
        <v>20</v>
      </c>
      <c r="D988" s="6">
        <v>127</v>
      </c>
      <c r="E988" s="6" t="s">
        <v>26</v>
      </c>
      <c r="F988" s="6">
        <v>1504.1</v>
      </c>
      <c r="G988" s="7">
        <v>1732.3</v>
      </c>
      <c r="H988" s="6">
        <f>(G988-F988)</f>
        <v>228.20000000000005</v>
      </c>
      <c r="I988" s="6" t="s">
        <v>24</v>
      </c>
      <c r="J988" s="6" t="s">
        <v>48</v>
      </c>
    </row>
    <row r="989" spans="1:10" ht="32" customHeight="1">
      <c r="A989" s="6" t="s">
        <v>25</v>
      </c>
      <c r="B989" s="6">
        <v>5</v>
      </c>
      <c r="C989" s="6" t="s">
        <v>20</v>
      </c>
      <c r="D989" s="6">
        <v>127</v>
      </c>
      <c r="E989" s="6" t="s">
        <v>28</v>
      </c>
      <c r="F989" s="6">
        <v>1504.1</v>
      </c>
      <c r="G989" s="7">
        <v>1732.3</v>
      </c>
      <c r="H989" s="6">
        <f>(G989-F989)</f>
        <v>228.20000000000005</v>
      </c>
      <c r="I989" s="6" t="s">
        <v>24</v>
      </c>
      <c r="J989" s="6" t="s">
        <v>48</v>
      </c>
    </row>
    <row r="990" spans="1:10" ht="32" customHeight="1">
      <c r="A990" s="6" t="s">
        <v>25</v>
      </c>
      <c r="B990" s="6">
        <v>5</v>
      </c>
      <c r="C990" s="6" t="s">
        <v>20</v>
      </c>
      <c r="D990" s="6">
        <v>128</v>
      </c>
      <c r="E990" s="6" t="s">
        <v>26</v>
      </c>
      <c r="F990" s="6">
        <v>2136.3</v>
      </c>
      <c r="G990" s="7">
        <v>2137.2</v>
      </c>
      <c r="H990" s="6">
        <f>(G990-F990)</f>
        <v>0.8999999999996362</v>
      </c>
      <c r="I990" s="6" t="s">
        <v>24</v>
      </c>
      <c r="J990" s="6" t="s">
        <v>48</v>
      </c>
    </row>
    <row r="991" spans="1:10" ht="32" customHeight="1">
      <c r="A991" s="6" t="s">
        <v>25</v>
      </c>
      <c r="B991" s="6">
        <v>5</v>
      </c>
      <c r="C991" s="6" t="s">
        <v>20</v>
      </c>
      <c r="D991" s="6">
        <v>128</v>
      </c>
      <c r="E991" s="6" t="s">
        <v>28</v>
      </c>
      <c r="F991" s="6">
        <v>2310</v>
      </c>
      <c r="G991" s="7">
        <v>2310.9</v>
      </c>
      <c r="H991" s="6">
        <f>(G991-F991)</f>
        <v>0.900000000000091</v>
      </c>
      <c r="I991" s="6" t="s">
        <v>24</v>
      </c>
      <c r="J991" s="6" t="s">
        <v>48</v>
      </c>
    </row>
    <row r="992" spans="1:10" ht="32" customHeight="1">
      <c r="A992" s="6" t="s">
        <v>25</v>
      </c>
      <c r="B992" s="6">
        <v>5</v>
      </c>
      <c r="C992" s="6" t="s">
        <v>20</v>
      </c>
      <c r="D992" s="6">
        <v>129</v>
      </c>
      <c r="E992" s="6" t="s">
        <v>26</v>
      </c>
      <c r="F992" s="6">
        <v>2281.3</v>
      </c>
      <c r="G992" s="7">
        <v>3391.1</v>
      </c>
      <c r="H992" s="6">
        <f>(G992-F992)</f>
        <v>1109.7999999999997</v>
      </c>
      <c r="I992" s="6" t="s">
        <v>24</v>
      </c>
      <c r="J992" s="6" t="s">
        <v>48</v>
      </c>
    </row>
    <row r="993" spans="1:10" ht="32" customHeight="1">
      <c r="A993" s="6" t="s">
        <v>25</v>
      </c>
      <c r="B993" s="6">
        <v>5</v>
      </c>
      <c r="C993" s="6" t="s">
        <v>20</v>
      </c>
      <c r="D993" s="6">
        <v>129</v>
      </c>
      <c r="E993" s="6" t="s">
        <v>28</v>
      </c>
      <c r="F993" s="6">
        <v>2281.3</v>
      </c>
      <c r="G993" s="7">
        <v>3391.1</v>
      </c>
      <c r="H993" s="6">
        <f>(G993-F993)</f>
        <v>1109.7999999999997</v>
      </c>
      <c r="I993" s="6" t="s">
        <v>24</v>
      </c>
      <c r="J993" s="6" t="s">
        <v>48</v>
      </c>
    </row>
    <row r="994" spans="1:10" ht="32" customHeight="1">
      <c r="A994" s="6" t="s">
        <v>25</v>
      </c>
      <c r="B994" s="6">
        <v>5</v>
      </c>
      <c r="C994" s="6" t="s">
        <v>20</v>
      </c>
      <c r="D994" s="6">
        <v>130</v>
      </c>
      <c r="E994" s="6" t="s">
        <v>26</v>
      </c>
      <c r="F994" s="6">
        <v>2715</v>
      </c>
      <c r="G994" s="7">
        <v>2576.3</v>
      </c>
      <c r="H994" s="6">
        <f>(G994-F994)</f>
        <v>-138.69999999999982</v>
      </c>
      <c r="I994" s="6" t="s">
        <v>24</v>
      </c>
      <c r="J994" s="6" t="s">
        <v>48</v>
      </c>
    </row>
    <row r="995" spans="1:10" ht="32" customHeight="1">
      <c r="A995" s="6" t="s">
        <v>25</v>
      </c>
      <c r="B995" s="6">
        <v>5</v>
      </c>
      <c r="C995" s="6" t="s">
        <v>20</v>
      </c>
      <c r="D995" s="6">
        <v>130</v>
      </c>
      <c r="E995" s="6" t="s">
        <v>28</v>
      </c>
      <c r="F995" s="6">
        <v>2715</v>
      </c>
      <c r="G995" s="7">
        <v>2757.7</v>
      </c>
      <c r="H995" s="6">
        <f>(G995-F995)</f>
        <v>42.69999999999982</v>
      </c>
      <c r="I995" s="6" t="s">
        <v>24</v>
      </c>
      <c r="J995" s="6" t="s">
        <v>48</v>
      </c>
    </row>
    <row r="996" spans="1:10" ht="32" customHeight="1">
      <c r="A996" s="6" t="s">
        <v>25</v>
      </c>
      <c r="B996" s="6">
        <v>5</v>
      </c>
      <c r="C996" s="6" t="s">
        <v>20</v>
      </c>
      <c r="D996" s="6">
        <v>131</v>
      </c>
      <c r="E996" s="6" t="s">
        <v>26</v>
      </c>
      <c r="F996" s="6">
        <v>2756.6</v>
      </c>
      <c r="G996" s="7">
        <v>2757.7</v>
      </c>
      <c r="H996" s="6">
        <f>(G996-F996)</f>
        <v>1.099999999999909</v>
      </c>
      <c r="I996" s="6" t="s">
        <v>24</v>
      </c>
      <c r="J996" s="6" t="s">
        <v>48</v>
      </c>
    </row>
    <row r="997" spans="1:10" ht="32" customHeight="1">
      <c r="A997" s="6" t="s">
        <v>25</v>
      </c>
      <c r="B997" s="6">
        <v>5</v>
      </c>
      <c r="C997" s="6" t="s">
        <v>20</v>
      </c>
      <c r="D997" s="6">
        <v>131</v>
      </c>
      <c r="E997" s="6" t="s">
        <v>28</v>
      </c>
      <c r="F997" s="6">
        <v>2938</v>
      </c>
      <c r="G997" s="7">
        <v>2939.2</v>
      </c>
      <c r="H997" s="6">
        <f>(G997-F997)</f>
        <v>1.199999999999818</v>
      </c>
      <c r="I997" s="6" t="s">
        <v>24</v>
      </c>
      <c r="J997" s="6" t="s">
        <v>48</v>
      </c>
    </row>
    <row r="998" spans="1:10" ht="32" customHeight="1">
      <c r="A998" s="6" t="s">
        <v>25</v>
      </c>
      <c r="B998" s="6">
        <v>5</v>
      </c>
      <c r="C998" s="6" t="s">
        <v>20</v>
      </c>
      <c r="D998" s="6">
        <v>132</v>
      </c>
      <c r="E998" s="6" t="s">
        <v>26</v>
      </c>
      <c r="F998" s="6">
        <v>2938</v>
      </c>
      <c r="G998" s="7">
        <v>2939.2</v>
      </c>
      <c r="H998" s="6">
        <f>(G998-F998)</f>
        <v>1.199999999999818</v>
      </c>
      <c r="I998" s="6" t="s">
        <v>24</v>
      </c>
      <c r="J998" s="6" t="s">
        <v>48</v>
      </c>
    </row>
    <row r="999" spans="1:10" ht="32" customHeight="1">
      <c r="A999" s="6" t="s">
        <v>25</v>
      </c>
      <c r="B999" s="6">
        <v>5</v>
      </c>
      <c r="C999" s="6" t="s">
        <v>20</v>
      </c>
      <c r="D999" s="6">
        <v>132</v>
      </c>
      <c r="E999" s="6" t="s">
        <v>28</v>
      </c>
      <c r="F999" s="6">
        <v>3119.4</v>
      </c>
      <c r="G999" s="7">
        <v>3120.6</v>
      </c>
      <c r="H999" s="6">
        <f>(G999-F999)</f>
        <v>1.199999999999818</v>
      </c>
      <c r="I999" s="6" t="s">
        <v>24</v>
      </c>
      <c r="J999" s="6" t="s">
        <v>48</v>
      </c>
    </row>
    <row r="1000" spans="1:10" ht="32" customHeight="1">
      <c r="A1000" s="6" t="s">
        <v>25</v>
      </c>
      <c r="B1000" s="6">
        <v>5</v>
      </c>
      <c r="C1000" s="6" t="s">
        <v>20</v>
      </c>
      <c r="D1000" s="6">
        <v>133</v>
      </c>
      <c r="E1000" s="6" t="s">
        <v>26</v>
      </c>
      <c r="F1000" s="6">
        <v>3119.4</v>
      </c>
      <c r="G1000" s="7">
        <v>3120.6</v>
      </c>
      <c r="H1000" s="6">
        <f>(G1000-F1000)</f>
        <v>1.199999999999818</v>
      </c>
      <c r="I1000" s="6" t="s">
        <v>24</v>
      </c>
      <c r="J1000" s="6" t="s">
        <v>48</v>
      </c>
    </row>
    <row r="1001" spans="1:10" ht="32" customHeight="1">
      <c r="A1001" s="6" t="s">
        <v>25</v>
      </c>
      <c r="B1001" s="6">
        <v>5</v>
      </c>
      <c r="C1001" s="6" t="s">
        <v>20</v>
      </c>
      <c r="D1001" s="6">
        <v>133</v>
      </c>
      <c r="E1001" s="6" t="s">
        <v>28</v>
      </c>
      <c r="F1001" s="6">
        <v>3300.7</v>
      </c>
      <c r="G1001" s="7">
        <v>3302</v>
      </c>
      <c r="H1001" s="6">
        <f>(G1001-F1001)</f>
        <v>1.300000000000182</v>
      </c>
      <c r="I1001" s="6" t="s">
        <v>24</v>
      </c>
      <c r="J1001" s="6" t="s">
        <v>48</v>
      </c>
    </row>
    <row r="1002" spans="1:10" ht="32" customHeight="1">
      <c r="A1002" s="6" t="s">
        <v>25</v>
      </c>
      <c r="B1002" s="6">
        <v>5</v>
      </c>
      <c r="C1002" s="6" t="s">
        <v>20</v>
      </c>
      <c r="D1002" s="6">
        <v>134</v>
      </c>
      <c r="E1002" s="6" t="s">
        <v>26</v>
      </c>
      <c r="F1002" s="6">
        <v>3300.7</v>
      </c>
      <c r="G1002" s="7">
        <v>3302</v>
      </c>
      <c r="H1002" s="6">
        <f>(G1002-F1002)</f>
        <v>1.300000000000182</v>
      </c>
      <c r="I1002" s="6" t="s">
        <v>24</v>
      </c>
      <c r="J1002" s="6" t="s">
        <v>48</v>
      </c>
    </row>
    <row r="1003" spans="1:10" ht="32" customHeight="1">
      <c r="A1003" s="6" t="s">
        <v>25</v>
      </c>
      <c r="B1003" s="6">
        <v>5</v>
      </c>
      <c r="C1003" s="6" t="s">
        <v>20</v>
      </c>
      <c r="D1003" s="6">
        <v>134</v>
      </c>
      <c r="E1003" s="6" t="s">
        <v>28</v>
      </c>
      <c r="F1003" s="6">
        <v>3482.1</v>
      </c>
      <c r="G1003" s="7">
        <v>3483.4</v>
      </c>
      <c r="H1003" s="6">
        <f>(G1003-F1003)</f>
        <v>1.300000000000182</v>
      </c>
      <c r="I1003" s="6" t="s">
        <v>24</v>
      </c>
      <c r="J1003" s="6" t="s">
        <v>48</v>
      </c>
    </row>
    <row r="1004" spans="1:10" ht="32" customHeight="1">
      <c r="A1004" s="6" t="s">
        <v>25</v>
      </c>
      <c r="B1004" s="6">
        <v>5</v>
      </c>
      <c r="C1004" s="6" t="s">
        <v>20</v>
      </c>
      <c r="D1004" s="6">
        <v>135</v>
      </c>
      <c r="E1004" s="6" t="s">
        <v>26</v>
      </c>
      <c r="F1004" s="6">
        <v>3482.1</v>
      </c>
      <c r="G1004" s="7">
        <v>3483.4</v>
      </c>
      <c r="H1004" s="6">
        <f>(G1004-F1004)</f>
        <v>1.300000000000182</v>
      </c>
      <c r="I1004" s="6" t="s">
        <v>24</v>
      </c>
      <c r="J1004" s="6" t="s">
        <v>48</v>
      </c>
    </row>
    <row r="1005" spans="1:10" ht="32" customHeight="1">
      <c r="A1005" s="6" t="s">
        <v>25</v>
      </c>
      <c r="B1005" s="6">
        <v>5</v>
      </c>
      <c r="C1005" s="6" t="s">
        <v>20</v>
      </c>
      <c r="D1005" s="6">
        <v>135</v>
      </c>
      <c r="E1005" s="6" t="s">
        <v>28</v>
      </c>
      <c r="F1005" s="6">
        <v>3663.5</v>
      </c>
      <c r="G1005" s="7">
        <v>3664.9</v>
      </c>
      <c r="H1005" s="6">
        <f>(G1005-F1005)</f>
        <v>1.400000000000091</v>
      </c>
      <c r="I1005" s="6" t="s">
        <v>24</v>
      </c>
      <c r="J1005" s="6" t="s">
        <v>48</v>
      </c>
    </row>
    <row r="1006" spans="1:10" ht="32" customHeight="1">
      <c r="A1006" s="6" t="s">
        <v>25</v>
      </c>
      <c r="B1006" s="6">
        <v>5</v>
      </c>
      <c r="C1006" s="6" t="s">
        <v>20</v>
      </c>
      <c r="D1006" s="6">
        <v>136</v>
      </c>
      <c r="E1006" s="6" t="s">
        <v>26</v>
      </c>
      <c r="F1006" s="6">
        <v>3663.5</v>
      </c>
      <c r="G1006" s="7">
        <v>3664.9</v>
      </c>
      <c r="H1006" s="6">
        <f>(G1006-F1006)</f>
        <v>1.400000000000091</v>
      </c>
      <c r="I1006" s="6" t="s">
        <v>24</v>
      </c>
      <c r="J1006" s="6" t="s">
        <v>48</v>
      </c>
    </row>
    <row r="1007" spans="1:10" ht="32" customHeight="1">
      <c r="A1007" s="6" t="s">
        <v>25</v>
      </c>
      <c r="B1007" s="6">
        <v>5</v>
      </c>
      <c r="C1007" s="6" t="s">
        <v>20</v>
      </c>
      <c r="D1007" s="6">
        <v>136</v>
      </c>
      <c r="E1007" s="6" t="s">
        <v>28</v>
      </c>
      <c r="F1007" s="6">
        <v>3844.8</v>
      </c>
      <c r="G1007" s="7">
        <v>3846.3</v>
      </c>
      <c r="H1007" s="6">
        <f>(G1007-F1007)</f>
        <v>1.5</v>
      </c>
      <c r="I1007" s="6" t="s">
        <v>24</v>
      </c>
      <c r="J1007" s="6" t="s">
        <v>48</v>
      </c>
    </row>
    <row r="1008" spans="1:10" ht="32" customHeight="1">
      <c r="A1008" s="6" t="s">
        <v>25</v>
      </c>
      <c r="B1008" s="6">
        <v>5</v>
      </c>
      <c r="C1008" s="6" t="s">
        <v>20</v>
      </c>
      <c r="D1008" s="6">
        <v>137</v>
      </c>
      <c r="E1008" s="6" t="s">
        <v>26</v>
      </c>
      <c r="F1008" s="6">
        <v>1454.4</v>
      </c>
      <c r="G1008" s="7">
        <v>2336.3</v>
      </c>
      <c r="H1008" s="6">
        <f>(G1008-F1008)</f>
        <v>881.9000000000001</v>
      </c>
      <c r="I1008" s="6" t="s">
        <v>24</v>
      </c>
      <c r="J1008" s="6" t="s">
        <v>48</v>
      </c>
    </row>
    <row r="1009" spans="1:10" ht="32" customHeight="1">
      <c r="A1009" s="6" t="s">
        <v>25</v>
      </c>
      <c r="B1009" s="6">
        <v>5</v>
      </c>
      <c r="C1009" s="6" t="s">
        <v>20</v>
      </c>
      <c r="D1009" s="6">
        <v>137</v>
      </c>
      <c r="E1009" s="6" t="s">
        <v>28</v>
      </c>
      <c r="F1009" s="6">
        <v>1454.4</v>
      </c>
      <c r="G1009" s="7">
        <v>2336.3</v>
      </c>
      <c r="H1009" s="6">
        <f>(G1009-F1009)</f>
        <v>881.9000000000001</v>
      </c>
      <c r="I1009" s="6" t="s">
        <v>24</v>
      </c>
      <c r="J1009" s="6" t="s">
        <v>48</v>
      </c>
    </row>
    <row r="1010" spans="1:10" ht="32" customHeight="1">
      <c r="A1010" s="6" t="s">
        <v>25</v>
      </c>
      <c r="B1010" s="6">
        <v>5</v>
      </c>
      <c r="C1010" s="6" t="s">
        <v>20</v>
      </c>
      <c r="D1010" s="6">
        <v>138</v>
      </c>
      <c r="E1010" s="6" t="s">
        <v>26</v>
      </c>
      <c r="F1010" s="6">
        <v>2059.2</v>
      </c>
      <c r="G1010" s="7">
        <v>2059.2</v>
      </c>
      <c r="H1010" s="6">
        <f>(G1010-F1010)</f>
        <v>0.0</v>
      </c>
      <c r="I1010" s="6" t="s">
        <v>23</v>
      </c>
      <c r="J1010" s="6" t="s">
        <v>48</v>
      </c>
    </row>
    <row r="1011" spans="1:10" ht="32" customHeight="1">
      <c r="A1011" s="6" t="s">
        <v>25</v>
      </c>
      <c r="B1011" s="6">
        <v>5</v>
      </c>
      <c r="C1011" s="6" t="s">
        <v>20</v>
      </c>
      <c r="D1011" s="6">
        <v>138</v>
      </c>
      <c r="E1011" s="6" t="s">
        <v>28</v>
      </c>
      <c r="F1011" s="6">
        <v>2059.2</v>
      </c>
      <c r="G1011" s="7">
        <v>2059.2</v>
      </c>
      <c r="H1011" s="6">
        <f>(G1011-F1011)</f>
        <v>0.0</v>
      </c>
      <c r="I1011" s="6" t="s">
        <v>23</v>
      </c>
      <c r="J1011" s="6" t="s">
        <v>48</v>
      </c>
    </row>
    <row r="1012" spans="1:10" ht="32" customHeight="1">
      <c r="A1012" s="6" t="s">
        <v>25</v>
      </c>
      <c r="B1012" s="6">
        <v>5</v>
      </c>
      <c r="C1012" s="6" t="s">
        <v>20</v>
      </c>
      <c r="D1012" s="6">
        <v>139</v>
      </c>
      <c r="E1012" s="6" t="s">
        <v>26</v>
      </c>
      <c r="F1012" s="6">
        <v>2059.2</v>
      </c>
      <c r="G1012" s="7">
        <v>2059.2</v>
      </c>
      <c r="H1012" s="6">
        <f>(G1012-F1012)</f>
        <v>0.0</v>
      </c>
      <c r="I1012" s="6" t="s">
        <v>23</v>
      </c>
      <c r="J1012" s="6" t="s">
        <v>48</v>
      </c>
    </row>
    <row r="1013" spans="1:10" ht="32" customHeight="1">
      <c r="A1013" s="6" t="s">
        <v>25</v>
      </c>
      <c r="B1013" s="6">
        <v>5</v>
      </c>
      <c r="C1013" s="6" t="s">
        <v>20</v>
      </c>
      <c r="D1013" s="6">
        <v>139</v>
      </c>
      <c r="E1013" s="6" t="s">
        <v>28</v>
      </c>
      <c r="F1013" s="6">
        <v>2059.2</v>
      </c>
      <c r="G1013" s="7">
        <v>2059.2</v>
      </c>
      <c r="H1013" s="6">
        <f>(G1013-F1013)</f>
        <v>0.0</v>
      </c>
      <c r="I1013" s="6" t="s">
        <v>23</v>
      </c>
      <c r="J1013" s="6" t="s">
        <v>48</v>
      </c>
    </row>
    <row r="1014" spans="1:10" ht="32" customHeight="1">
      <c r="A1014" s="6" t="s">
        <v>25</v>
      </c>
      <c r="B1014" s="6">
        <v>5</v>
      </c>
      <c r="C1014" s="6" t="s">
        <v>20</v>
      </c>
      <c r="D1014" s="6">
        <v>140</v>
      </c>
      <c r="E1014" s="6" t="s">
        <v>26</v>
      </c>
      <c r="F1014" s="6">
        <v>2059.2</v>
      </c>
      <c r="G1014" s="7">
        <v>2059.2</v>
      </c>
      <c r="H1014" s="6">
        <f>(G1014-F1014)</f>
        <v>0.0</v>
      </c>
      <c r="I1014" s="6" t="s">
        <v>23</v>
      </c>
      <c r="J1014" s="6" t="s">
        <v>48</v>
      </c>
    </row>
    <row r="1015" spans="1:10" ht="32" customHeight="1">
      <c r="A1015" s="6" t="s">
        <v>25</v>
      </c>
      <c r="B1015" s="6">
        <v>5</v>
      </c>
      <c r="C1015" s="6" t="s">
        <v>20</v>
      </c>
      <c r="D1015" s="6">
        <v>140</v>
      </c>
      <c r="E1015" s="6" t="s">
        <v>28</v>
      </c>
      <c r="F1015" s="6">
        <v>2059.2</v>
      </c>
      <c r="G1015" s="7">
        <v>2059.2</v>
      </c>
      <c r="H1015" s="6">
        <f>(G1015-F1015)</f>
        <v>0.0</v>
      </c>
      <c r="I1015" s="6" t="s">
        <v>23</v>
      </c>
      <c r="J1015" s="6" t="s">
        <v>48</v>
      </c>
    </row>
    <row r="1016" spans="1:10" ht="32" customHeight="1">
      <c r="A1016" s="6" t="s">
        <v>25</v>
      </c>
      <c r="B1016" s="6">
        <v>5</v>
      </c>
      <c r="C1016" s="6" t="s">
        <v>20</v>
      </c>
      <c r="D1016" s="6">
        <v>141</v>
      </c>
      <c r="E1016" s="6" t="s">
        <v>26</v>
      </c>
      <c r="F1016" s="6">
        <v>2059.2</v>
      </c>
      <c r="G1016" s="7">
        <v>2059.2</v>
      </c>
      <c r="H1016" s="6">
        <f>(G1016-F1016)</f>
        <v>0.0</v>
      </c>
      <c r="I1016" s="6" t="s">
        <v>23</v>
      </c>
      <c r="J1016" s="6" t="s">
        <v>48</v>
      </c>
    </row>
    <row r="1017" spans="1:10" ht="32" customHeight="1">
      <c r="A1017" s="6" t="s">
        <v>25</v>
      </c>
      <c r="B1017" s="6">
        <v>5</v>
      </c>
      <c r="C1017" s="6" t="s">
        <v>20</v>
      </c>
      <c r="D1017" s="6">
        <v>141</v>
      </c>
      <c r="E1017" s="6" t="s">
        <v>28</v>
      </c>
      <c r="F1017" s="6">
        <v>2059.2</v>
      </c>
      <c r="G1017" s="7">
        <v>2059.2</v>
      </c>
      <c r="H1017" s="6">
        <f>(G1017-F1017)</f>
        <v>0.0</v>
      </c>
      <c r="I1017" s="6" t="s">
        <v>23</v>
      </c>
      <c r="J1017" s="6" t="s">
        <v>48</v>
      </c>
    </row>
    <row r="1018" spans="1:10" ht="32" customHeight="1">
      <c r="A1018" s="6" t="s">
        <v>25</v>
      </c>
      <c r="B1018" s="6">
        <v>5</v>
      </c>
      <c r="C1018" s="6" t="s">
        <v>20</v>
      </c>
      <c r="D1018" s="6">
        <v>142</v>
      </c>
      <c r="E1018" s="6" t="s">
        <v>26</v>
      </c>
      <c r="F1018" s="6">
        <v>2059.2</v>
      </c>
      <c r="G1018" s="7">
        <v>2059.2</v>
      </c>
      <c r="H1018" s="6">
        <f>(G1018-F1018)</f>
        <v>0.0</v>
      </c>
      <c r="I1018" s="6" t="s">
        <v>23</v>
      </c>
      <c r="J1018" s="6" t="s">
        <v>48</v>
      </c>
    </row>
    <row r="1019" spans="1:10" ht="32" customHeight="1">
      <c r="A1019" s="6" t="s">
        <v>25</v>
      </c>
      <c r="B1019" s="6">
        <v>5</v>
      </c>
      <c r="C1019" s="6" t="s">
        <v>20</v>
      </c>
      <c r="D1019" s="6">
        <v>142</v>
      </c>
      <c r="E1019" s="6" t="s">
        <v>28</v>
      </c>
      <c r="F1019" s="6">
        <v>2059.2</v>
      </c>
      <c r="G1019" s="7">
        <v>2059.2</v>
      </c>
      <c r="H1019" s="6">
        <f>(G1019-F1019)</f>
        <v>0.0</v>
      </c>
      <c r="I1019" s="6" t="s">
        <v>23</v>
      </c>
      <c r="J1019" s="6" t="s">
        <v>48</v>
      </c>
    </row>
    <row r="1020" spans="1:10" ht="32" customHeight="1">
      <c r="A1020" s="6" t="s">
        <v>25</v>
      </c>
      <c r="B1020" s="6">
        <v>5</v>
      </c>
      <c r="C1020" s="6" t="s">
        <v>20</v>
      </c>
      <c r="D1020" s="6">
        <v>143</v>
      </c>
      <c r="E1020" s="6" t="s">
        <v>26</v>
      </c>
      <c r="F1020" s="6">
        <v>2059.2</v>
      </c>
      <c r="G1020" s="7">
        <v>2059.2</v>
      </c>
      <c r="H1020" s="6">
        <f>(G1020-F1020)</f>
        <v>0.0</v>
      </c>
      <c r="I1020" s="6" t="s">
        <v>23</v>
      </c>
      <c r="J1020" s="6" t="s">
        <v>48</v>
      </c>
    </row>
    <row r="1021" spans="1:10" ht="32" customHeight="1">
      <c r="A1021" s="6" t="s">
        <v>25</v>
      </c>
      <c r="B1021" s="6">
        <v>5</v>
      </c>
      <c r="C1021" s="6" t="s">
        <v>20</v>
      </c>
      <c r="D1021" s="6">
        <v>143</v>
      </c>
      <c r="E1021" s="6" t="s">
        <v>28</v>
      </c>
      <c r="F1021" s="6">
        <v>2059.2</v>
      </c>
      <c r="G1021" s="7">
        <v>2059.2</v>
      </c>
      <c r="H1021" s="6">
        <f>(G1021-F1021)</f>
        <v>0.0</v>
      </c>
      <c r="I1021" s="6" t="s">
        <v>23</v>
      </c>
      <c r="J1021" s="6" t="s">
        <v>48</v>
      </c>
    </row>
    <row r="1022" spans="1:10" ht="32" customHeight="1">
      <c r="A1022" s="6" t="s">
        <v>25</v>
      </c>
      <c r="B1022" s="6">
        <v>5</v>
      </c>
      <c r="C1022" s="6" t="s">
        <v>20</v>
      </c>
      <c r="D1022" s="6">
        <v>144</v>
      </c>
      <c r="E1022" s="6" t="s">
        <v>26</v>
      </c>
      <c r="F1022" s="6">
        <v>2059.2</v>
      </c>
      <c r="G1022" s="7">
        <v>2059.2</v>
      </c>
      <c r="H1022" s="6">
        <f>(G1022-F1022)</f>
        <v>0.0</v>
      </c>
      <c r="I1022" s="6" t="s">
        <v>23</v>
      </c>
      <c r="J1022" s="6" t="s">
        <v>48</v>
      </c>
    </row>
    <row r="1023" spans="1:10" ht="32" customHeight="1">
      <c r="A1023" s="6" t="s">
        <v>25</v>
      </c>
      <c r="B1023" s="6">
        <v>5</v>
      </c>
      <c r="C1023" s="6" t="s">
        <v>20</v>
      </c>
      <c r="D1023" s="6">
        <v>144</v>
      </c>
      <c r="E1023" s="6" t="s">
        <v>28</v>
      </c>
      <c r="F1023" s="6">
        <v>2059.2</v>
      </c>
      <c r="G1023" s="7">
        <v>2059.2</v>
      </c>
      <c r="H1023" s="6">
        <f>(G1023-F1023)</f>
        <v>0.0</v>
      </c>
      <c r="I1023" s="6" t="s">
        <v>23</v>
      </c>
      <c r="J1023" s="6" t="s">
        <v>48</v>
      </c>
    </row>
    <row r="1024" spans="1:10" ht="32" customHeight="1">
      <c r="A1024" s="6" t="s">
        <v>25</v>
      </c>
      <c r="B1024" s="6">
        <v>5</v>
      </c>
      <c r="C1024" s="6" t="s">
        <v>20</v>
      </c>
      <c r="D1024" s="6">
        <v>145</v>
      </c>
      <c r="E1024" s="6" t="s">
        <v>26</v>
      </c>
      <c r="F1024" s="6">
        <v>2059.2</v>
      </c>
      <c r="G1024" s="7">
        <v>2059.2</v>
      </c>
      <c r="H1024" s="6">
        <f>(G1024-F1024)</f>
        <v>0.0</v>
      </c>
      <c r="I1024" s="6" t="s">
        <v>23</v>
      </c>
      <c r="J1024" s="6" t="s">
        <v>48</v>
      </c>
    </row>
    <row r="1025" spans="1:10" ht="32" customHeight="1">
      <c r="A1025" s="6" t="s">
        <v>25</v>
      </c>
      <c r="B1025" s="6">
        <v>5</v>
      </c>
      <c r="C1025" s="6" t="s">
        <v>20</v>
      </c>
      <c r="D1025" s="6">
        <v>145</v>
      </c>
      <c r="E1025" s="6" t="s">
        <v>28</v>
      </c>
      <c r="F1025" s="6">
        <v>2059.2</v>
      </c>
      <c r="G1025" s="7">
        <v>2059.2</v>
      </c>
      <c r="H1025" s="6">
        <f>(G1025-F1025)</f>
        <v>0.0</v>
      </c>
      <c r="I1025" s="6" t="s">
        <v>23</v>
      </c>
      <c r="J1025" s="6" t="s">
        <v>48</v>
      </c>
    </row>
    <row r="1026" spans="1:10" ht="32" customHeight="1">
      <c r="A1026" s="6" t="s">
        <v>25</v>
      </c>
      <c r="B1026" s="6">
        <v>5</v>
      </c>
      <c r="C1026" s="6" t="s">
        <v>20</v>
      </c>
      <c r="D1026" s="6">
        <v>146</v>
      </c>
      <c r="E1026" s="6" t="s">
        <v>26</v>
      </c>
      <c r="F1026" s="6">
        <v>2059.2</v>
      </c>
      <c r="G1026" s="7">
        <v>2059.2</v>
      </c>
      <c r="H1026" s="6">
        <f>(G1026-F1026)</f>
        <v>0.0</v>
      </c>
      <c r="I1026" s="6" t="s">
        <v>23</v>
      </c>
      <c r="J1026" s="6" t="s">
        <v>48</v>
      </c>
    </row>
    <row r="1027" spans="1:10" ht="32" customHeight="1">
      <c r="A1027" s="6" t="s">
        <v>25</v>
      </c>
      <c r="B1027" s="6">
        <v>5</v>
      </c>
      <c r="C1027" s="6" t="s">
        <v>20</v>
      </c>
      <c r="D1027" s="6">
        <v>146</v>
      </c>
      <c r="E1027" s="6" t="s">
        <v>28</v>
      </c>
      <c r="F1027" s="6">
        <v>2059.2</v>
      </c>
      <c r="G1027" s="7">
        <v>2059.2</v>
      </c>
      <c r="H1027" s="6">
        <f>(G1027-F1027)</f>
        <v>0.0</v>
      </c>
      <c r="I1027" s="6" t="s">
        <v>23</v>
      </c>
      <c r="J1027" s="6" t="s">
        <v>48</v>
      </c>
    </row>
    <row r="1028" spans="1:10" ht="32" customHeight="1">
      <c r="A1028" s="6" t="s">
        <v>25</v>
      </c>
      <c r="B1028" s="6">
        <v>6</v>
      </c>
      <c r="C1028" s="6" t="s">
        <v>20</v>
      </c>
      <c r="D1028" s="6">
        <v>148</v>
      </c>
      <c r="E1028" s="6" t="s">
        <v>26</v>
      </c>
      <c r="F1028" s="6">
        <v>2907.6</v>
      </c>
      <c r="G1028" s="7">
        <v>2907.3</v>
      </c>
      <c r="H1028" s="6">
        <f>(G1028-F1028)</f>
        <v>-0.29999999999972715</v>
      </c>
      <c r="I1028" s="6" t="s">
        <v>24</v>
      </c>
      <c r="J1028" s="6" t="s">
        <v>48</v>
      </c>
    </row>
    <row r="1029" spans="1:10" ht="32" customHeight="1">
      <c r="A1029" s="6" t="s">
        <v>25</v>
      </c>
      <c r="B1029" s="6">
        <v>6</v>
      </c>
      <c r="C1029" s="6" t="s">
        <v>20</v>
      </c>
      <c r="D1029" s="6">
        <v>148</v>
      </c>
      <c r="E1029" s="6" t="s">
        <v>28</v>
      </c>
      <c r="F1029" s="6">
        <v>3268.7</v>
      </c>
      <c r="G1029" s="7">
        <v>3268.7</v>
      </c>
      <c r="H1029" s="6">
        <f>(G1029-F1029)</f>
        <v>0.0</v>
      </c>
      <c r="I1029" s="6" t="s">
        <v>23</v>
      </c>
      <c r="J1029" s="6" t="s">
        <v>48</v>
      </c>
    </row>
    <row r="1030" spans="1:10" ht="32" customHeight="1">
      <c r="A1030" s="6" t="s">
        <v>25</v>
      </c>
      <c r="B1030" s="6">
        <v>6</v>
      </c>
      <c r="C1030" s="6" t="s">
        <v>20</v>
      </c>
      <c r="D1030" s="6">
        <v>149</v>
      </c>
      <c r="E1030" s="6" t="s">
        <v>26</v>
      </c>
      <c r="F1030" s="6">
        <v>4972.6</v>
      </c>
      <c r="G1030" s="7">
        <v>4972.5</v>
      </c>
      <c r="H1030" s="6">
        <f>(G1030-F1030)</f>
        <v>-0.1000000000003638</v>
      </c>
      <c r="I1030" s="6" t="s">
        <v>24</v>
      </c>
      <c r="J1030" s="6" t="s">
        <v>48</v>
      </c>
    </row>
    <row r="1031" spans="1:10" ht="32" customHeight="1">
      <c r="A1031" s="6" t="s">
        <v>25</v>
      </c>
      <c r="B1031" s="6">
        <v>6</v>
      </c>
      <c r="C1031" s="6" t="s">
        <v>20</v>
      </c>
      <c r="D1031" s="6">
        <v>149</v>
      </c>
      <c r="E1031" s="6" t="s">
        <v>28</v>
      </c>
      <c r="F1031" s="6">
        <v>4972.6</v>
      </c>
      <c r="G1031" s="7">
        <v>4972.5</v>
      </c>
      <c r="H1031" s="6">
        <f>(G1031-F1031)</f>
        <v>-0.1000000000003638</v>
      </c>
      <c r="I1031" s="6" t="s">
        <v>24</v>
      </c>
      <c r="J1031" s="6" t="s">
        <v>48</v>
      </c>
    </row>
    <row r="1032" spans="1:10" ht="32" customHeight="1">
      <c r="A1032" s="6" t="s">
        <v>25</v>
      </c>
      <c r="B1032" s="6">
        <v>6</v>
      </c>
      <c r="C1032" s="6" t="s">
        <v>20</v>
      </c>
      <c r="D1032" s="6">
        <v>150</v>
      </c>
      <c r="E1032" s="6" t="s">
        <v>26</v>
      </c>
      <c r="F1032" s="6">
        <v>2269.3</v>
      </c>
      <c r="G1032" s="7">
        <v>2339.1</v>
      </c>
      <c r="H1032" s="6">
        <f>(G1032-F1032)</f>
        <v>69.79999999999973</v>
      </c>
      <c r="I1032" s="6" t="s">
        <v>24</v>
      </c>
      <c r="J1032" s="6" t="s">
        <v>48</v>
      </c>
    </row>
    <row r="1033" spans="1:10" ht="32" customHeight="1">
      <c r="A1033" s="6" t="s">
        <v>25</v>
      </c>
      <c r="B1033" s="6">
        <v>6</v>
      </c>
      <c r="C1033" s="6" t="s">
        <v>20</v>
      </c>
      <c r="D1033" s="6">
        <v>150</v>
      </c>
      <c r="E1033" s="6" t="s">
        <v>28</v>
      </c>
      <c r="F1033" s="6">
        <v>2269.3</v>
      </c>
      <c r="G1033" s="7">
        <v>2339.1</v>
      </c>
      <c r="H1033" s="6">
        <f>(G1033-F1033)</f>
        <v>69.79999999999973</v>
      </c>
      <c r="I1033" s="6" t="s">
        <v>24</v>
      </c>
      <c r="J1033" s="6" t="s">
        <v>48</v>
      </c>
    </row>
    <row r="1034" spans="1:10" ht="32" customHeight="1">
      <c r="A1034" s="6" t="s">
        <v>25</v>
      </c>
      <c r="B1034" s="6">
        <v>6</v>
      </c>
      <c r="C1034" s="6" t="s">
        <v>20</v>
      </c>
      <c r="D1034" s="6">
        <v>151</v>
      </c>
      <c r="E1034" s="6" t="s">
        <v>26</v>
      </c>
      <c r="F1034" s="6">
        <v>1672.5</v>
      </c>
      <c r="G1034" s="7">
        <v>1755</v>
      </c>
      <c r="H1034" s="6">
        <f>(G1034-F1034)</f>
        <v>82.5</v>
      </c>
      <c r="I1034" s="6" t="s">
        <v>24</v>
      </c>
      <c r="J1034" s="6" t="s">
        <v>48</v>
      </c>
    </row>
    <row r="1035" spans="1:10" ht="32" customHeight="1">
      <c r="A1035" s="6" t="s">
        <v>25</v>
      </c>
      <c r="B1035" s="6">
        <v>6</v>
      </c>
      <c r="C1035" s="6" t="s">
        <v>20</v>
      </c>
      <c r="D1035" s="6">
        <v>151</v>
      </c>
      <c r="E1035" s="6" t="s">
        <v>28</v>
      </c>
      <c r="F1035" s="6">
        <v>1672.5</v>
      </c>
      <c r="G1035" s="7">
        <v>1755</v>
      </c>
      <c r="H1035" s="6">
        <f>(G1035-F1035)</f>
        <v>82.5</v>
      </c>
      <c r="I1035" s="6" t="s">
        <v>24</v>
      </c>
      <c r="J1035" s="6" t="s">
        <v>48</v>
      </c>
    </row>
    <row r="1036" spans="1:10" ht="32" customHeight="1">
      <c r="A1036" s="6" t="s">
        <v>25</v>
      </c>
      <c r="B1036" s="6">
        <v>6</v>
      </c>
      <c r="C1036" s="6" t="s">
        <v>20</v>
      </c>
      <c r="D1036" s="6">
        <v>152</v>
      </c>
      <c r="E1036" s="6" t="s">
        <v>26</v>
      </c>
      <c r="F1036" s="6">
        <v>4352.4</v>
      </c>
      <c r="G1036" s="7">
        <v>4384.1</v>
      </c>
      <c r="H1036" s="6">
        <f>(G1036-F1036)</f>
        <v>31.700000000000728</v>
      </c>
      <c r="I1036" s="6" t="s">
        <v>24</v>
      </c>
      <c r="J1036" s="6" t="s">
        <v>48</v>
      </c>
    </row>
    <row r="1037" spans="1:10" ht="32" customHeight="1">
      <c r="A1037" s="6" t="s">
        <v>25</v>
      </c>
      <c r="B1037" s="6">
        <v>6</v>
      </c>
      <c r="C1037" s="6" t="s">
        <v>20</v>
      </c>
      <c r="D1037" s="6">
        <v>152</v>
      </c>
      <c r="E1037" s="6" t="s">
        <v>28</v>
      </c>
      <c r="F1037" s="6">
        <v>4352.4</v>
      </c>
      <c r="G1037" s="7">
        <v>4384.1</v>
      </c>
      <c r="H1037" s="6">
        <f>(G1037-F1037)</f>
        <v>31.700000000000728</v>
      </c>
      <c r="I1037" s="6" t="s">
        <v>24</v>
      </c>
      <c r="J1037" s="6" t="s">
        <v>48</v>
      </c>
    </row>
    <row r="1038" spans="1:10" ht="32" customHeight="1">
      <c r="A1038" s="6" t="s">
        <v>25</v>
      </c>
      <c r="B1038" s="6">
        <v>6</v>
      </c>
      <c r="C1038" s="6" t="s">
        <v>20</v>
      </c>
      <c r="D1038" s="6">
        <v>153</v>
      </c>
      <c r="E1038" s="6" t="s">
        <v>26</v>
      </c>
      <c r="F1038" s="6">
        <v>6182</v>
      </c>
      <c r="G1038" s="7">
        <v>6181.8</v>
      </c>
      <c r="H1038" s="6">
        <f>(G1038-F1038)</f>
        <v>-0.1999999999998181</v>
      </c>
      <c r="I1038" s="6" t="s">
        <v>24</v>
      </c>
      <c r="J1038" s="6" t="s">
        <v>48</v>
      </c>
    </row>
    <row r="1039" spans="1:10" ht="32" customHeight="1">
      <c r="A1039" s="6" t="s">
        <v>25</v>
      </c>
      <c r="B1039" s="6">
        <v>6</v>
      </c>
      <c r="C1039" s="6" t="s">
        <v>20</v>
      </c>
      <c r="D1039" s="6">
        <v>153</v>
      </c>
      <c r="E1039" s="6" t="s">
        <v>28</v>
      </c>
      <c r="F1039" s="6">
        <v>6684.5</v>
      </c>
      <c r="G1039" s="7">
        <v>6684.3</v>
      </c>
      <c r="H1039" s="6">
        <f>(G1039-F1039)</f>
        <v>-0.1999999999998181</v>
      </c>
      <c r="I1039" s="6" t="s">
        <v>24</v>
      </c>
      <c r="J1039" s="6" t="s">
        <v>48</v>
      </c>
    </row>
    <row r="1040" spans="1:10" ht="32" customHeight="1">
      <c r="A1040" s="6" t="s">
        <v>25</v>
      </c>
      <c r="B1040" s="6">
        <v>6</v>
      </c>
      <c r="C1040" s="6" t="s">
        <v>20</v>
      </c>
      <c r="D1040" s="6">
        <v>154</v>
      </c>
      <c r="E1040" s="6" t="s">
        <v>26</v>
      </c>
      <c r="F1040" s="6">
        <v>6601.6</v>
      </c>
      <c r="G1040" s="7">
        <v>6891.1</v>
      </c>
      <c r="H1040" s="6">
        <f>(G1040-F1040)</f>
        <v>289.5</v>
      </c>
      <c r="I1040" s="6" t="s">
        <v>24</v>
      </c>
      <c r="J1040" s="6" t="s">
        <v>48</v>
      </c>
    </row>
    <row r="1041" spans="1:10" ht="32" customHeight="1">
      <c r="A1041" s="6" t="s">
        <v>25</v>
      </c>
      <c r="B1041" s="6">
        <v>6</v>
      </c>
      <c r="C1041" s="6" t="s">
        <v>20</v>
      </c>
      <c r="D1041" s="6">
        <v>154</v>
      </c>
      <c r="E1041" s="6" t="s">
        <v>28</v>
      </c>
      <c r="F1041" s="6">
        <v>6601.6</v>
      </c>
      <c r="G1041" s="7">
        <v>6891.1</v>
      </c>
      <c r="H1041" s="6">
        <f>(G1041-F1041)</f>
        <v>289.5</v>
      </c>
      <c r="I1041" s="6" t="s">
        <v>24</v>
      </c>
      <c r="J1041" s="6" t="s">
        <v>48</v>
      </c>
    </row>
    <row r="1042" spans="1:10" ht="32" customHeight="1">
      <c r="A1042" s="6" t="s">
        <v>25</v>
      </c>
      <c r="B1042" s="6">
        <v>6</v>
      </c>
      <c r="C1042" s="6" t="s">
        <v>20</v>
      </c>
      <c r="D1042" s="6">
        <v>155</v>
      </c>
      <c r="E1042" s="6" t="s">
        <v>26</v>
      </c>
      <c r="F1042" s="6">
        <v>7856.4</v>
      </c>
      <c r="G1042" s="7">
        <v>7451.9</v>
      </c>
      <c r="H1042" s="6">
        <f>(G1042-F1042)</f>
        <v>-404.5</v>
      </c>
      <c r="I1042" s="6" t="s">
        <v>24</v>
      </c>
      <c r="J1042" s="6" t="s">
        <v>48</v>
      </c>
    </row>
    <row r="1043" spans="1:10" ht="32" customHeight="1">
      <c r="A1043" s="6" t="s">
        <v>25</v>
      </c>
      <c r="B1043" s="6">
        <v>6</v>
      </c>
      <c r="C1043" s="6" t="s">
        <v>20</v>
      </c>
      <c r="D1043" s="6">
        <v>155</v>
      </c>
      <c r="E1043" s="6" t="s">
        <v>28</v>
      </c>
      <c r="F1043" s="6">
        <v>7856.4</v>
      </c>
      <c r="G1043" s="7">
        <v>7976.7</v>
      </c>
      <c r="H1043" s="6">
        <f>(G1043-F1043)</f>
        <v>120.30000000000018</v>
      </c>
      <c r="I1043" s="6" t="s">
        <v>24</v>
      </c>
      <c r="J1043" s="6" t="s">
        <v>48</v>
      </c>
    </row>
    <row r="1044" spans="1:10" ht="32" customHeight="1">
      <c r="A1044" s="6" t="s">
        <v>25</v>
      </c>
      <c r="B1044" s="6">
        <v>6</v>
      </c>
      <c r="C1044" s="6" t="s">
        <v>20</v>
      </c>
      <c r="D1044" s="6">
        <v>156</v>
      </c>
      <c r="E1044" s="6" t="s">
        <v>26</v>
      </c>
      <c r="F1044" s="6">
        <v>7976.9</v>
      </c>
      <c r="G1044" s="7">
        <v>7976.7</v>
      </c>
      <c r="H1044" s="6">
        <f>(G1044-F1044)</f>
        <v>-0.1999999999998181</v>
      </c>
      <c r="I1044" s="6" t="s">
        <v>24</v>
      </c>
      <c r="J1044" s="6" t="s">
        <v>48</v>
      </c>
    </row>
    <row r="1045" spans="1:10" ht="32" customHeight="1">
      <c r="A1045" s="6" t="s">
        <v>25</v>
      </c>
      <c r="B1045" s="6">
        <v>6</v>
      </c>
      <c r="C1045" s="6" t="s">
        <v>20</v>
      </c>
      <c r="D1045" s="6">
        <v>156</v>
      </c>
      <c r="E1045" s="6" t="s">
        <v>28</v>
      </c>
      <c r="F1045" s="6">
        <v>8501.700000000001</v>
      </c>
      <c r="G1045" s="7">
        <v>8501.5</v>
      </c>
      <c r="H1045" s="6">
        <f>(G1045-F1045)</f>
        <v>-0.2000000000007276</v>
      </c>
      <c r="I1045" s="6" t="s">
        <v>24</v>
      </c>
      <c r="J1045" s="6" t="s">
        <v>48</v>
      </c>
    </row>
    <row r="1046" spans="1:10" ht="32" customHeight="1">
      <c r="A1046" s="6" t="s">
        <v>25</v>
      </c>
      <c r="B1046" s="6">
        <v>6</v>
      </c>
      <c r="C1046" s="6" t="s">
        <v>20</v>
      </c>
      <c r="D1046" s="6">
        <v>157</v>
      </c>
      <c r="E1046" s="6" t="s">
        <v>26</v>
      </c>
      <c r="F1046" s="6">
        <v>8501.700000000001</v>
      </c>
      <c r="G1046" s="7">
        <v>8501.5</v>
      </c>
      <c r="H1046" s="6">
        <f>(G1046-F1046)</f>
        <v>-0.2000000000007276</v>
      </c>
      <c r="I1046" s="6" t="s">
        <v>24</v>
      </c>
      <c r="J1046" s="6" t="s">
        <v>48</v>
      </c>
    </row>
    <row r="1047" spans="1:10" ht="32" customHeight="1">
      <c r="A1047" s="6" t="s">
        <v>25</v>
      </c>
      <c r="B1047" s="6">
        <v>6</v>
      </c>
      <c r="C1047" s="6" t="s">
        <v>20</v>
      </c>
      <c r="D1047" s="6">
        <v>157</v>
      </c>
      <c r="E1047" s="6" t="s">
        <v>28</v>
      </c>
      <c r="F1047" s="6">
        <v>9026.5</v>
      </c>
      <c r="G1047" s="7">
        <v>9026.299999999999</v>
      </c>
      <c r="H1047" s="6">
        <f>(G1047-F1047)</f>
        <v>-0.2000000000007276</v>
      </c>
      <c r="I1047" s="6" t="s">
        <v>24</v>
      </c>
      <c r="J1047" s="6" t="s">
        <v>48</v>
      </c>
    </row>
    <row r="1048" spans="1:10" ht="32" customHeight="1">
      <c r="A1048" s="6" t="s">
        <v>25</v>
      </c>
      <c r="B1048" s="6">
        <v>6</v>
      </c>
      <c r="C1048" s="6" t="s">
        <v>20</v>
      </c>
      <c r="D1048" s="6">
        <v>158</v>
      </c>
      <c r="E1048" s="6" t="s">
        <v>26</v>
      </c>
      <c r="F1048" s="6">
        <v>9026.5</v>
      </c>
      <c r="G1048" s="7">
        <v>9026.299999999999</v>
      </c>
      <c r="H1048" s="6">
        <f>(G1048-F1048)</f>
        <v>-0.2000000000007276</v>
      </c>
      <c r="I1048" s="6" t="s">
        <v>24</v>
      </c>
      <c r="J1048" s="6" t="s">
        <v>48</v>
      </c>
    </row>
    <row r="1049" spans="1:10" ht="32" customHeight="1">
      <c r="A1049" s="6" t="s">
        <v>25</v>
      </c>
      <c r="B1049" s="6">
        <v>6</v>
      </c>
      <c r="C1049" s="6" t="s">
        <v>20</v>
      </c>
      <c r="D1049" s="6">
        <v>158</v>
      </c>
      <c r="E1049" s="6" t="s">
        <v>28</v>
      </c>
      <c r="F1049" s="6">
        <v>9551.4</v>
      </c>
      <c r="G1049" s="7">
        <v>9551.1</v>
      </c>
      <c r="H1049" s="6">
        <f>(G1049-F1049)</f>
        <v>-0.2999999999992724</v>
      </c>
      <c r="I1049" s="6" t="s">
        <v>24</v>
      </c>
      <c r="J1049" s="6" t="s">
        <v>48</v>
      </c>
    </row>
    <row r="1050" spans="1:10" ht="32" customHeight="1">
      <c r="A1050" s="6" t="s">
        <v>25</v>
      </c>
      <c r="B1050" s="6">
        <v>6</v>
      </c>
      <c r="C1050" s="6" t="s">
        <v>20</v>
      </c>
      <c r="D1050" s="6">
        <v>159</v>
      </c>
      <c r="E1050" s="6" t="s">
        <v>26</v>
      </c>
      <c r="F1050" s="6">
        <v>9551.4</v>
      </c>
      <c r="G1050" s="7">
        <v>9551.1</v>
      </c>
      <c r="H1050" s="6">
        <f>(G1050-F1050)</f>
        <v>-0.2999999999992724</v>
      </c>
      <c r="I1050" s="6" t="s">
        <v>24</v>
      </c>
      <c r="J1050" s="6" t="s">
        <v>48</v>
      </c>
    </row>
    <row r="1051" spans="1:10" ht="32" customHeight="1">
      <c r="A1051" s="6" t="s">
        <v>25</v>
      </c>
      <c r="B1051" s="6">
        <v>6</v>
      </c>
      <c r="C1051" s="6" t="s">
        <v>20</v>
      </c>
      <c r="D1051" s="6">
        <v>159</v>
      </c>
      <c r="E1051" s="6" t="s">
        <v>28</v>
      </c>
      <c r="F1051" s="6">
        <v>10076.2</v>
      </c>
      <c r="G1051" s="7">
        <v>10075.9</v>
      </c>
      <c r="H1051" s="6">
        <f>(G1051-F1051)</f>
        <v>-0.3000000000010914</v>
      </c>
      <c r="I1051" s="6" t="s">
        <v>24</v>
      </c>
      <c r="J1051" s="6" t="s">
        <v>48</v>
      </c>
    </row>
    <row r="1052" spans="1:10" ht="32" customHeight="1">
      <c r="A1052" s="6" t="s">
        <v>25</v>
      </c>
      <c r="B1052" s="6">
        <v>6</v>
      </c>
      <c r="C1052" s="6" t="s">
        <v>20</v>
      </c>
      <c r="D1052" s="6">
        <v>160</v>
      </c>
      <c r="E1052" s="6" t="s">
        <v>26</v>
      </c>
      <c r="F1052" s="6">
        <v>10076.2</v>
      </c>
      <c r="G1052" s="7">
        <v>10075.9</v>
      </c>
      <c r="H1052" s="6">
        <f>(G1052-F1052)</f>
        <v>-0.3000000000010914</v>
      </c>
      <c r="I1052" s="6" t="s">
        <v>24</v>
      </c>
      <c r="J1052" s="6" t="s">
        <v>48</v>
      </c>
    </row>
    <row r="1053" spans="1:10" ht="32" customHeight="1">
      <c r="A1053" s="6" t="s">
        <v>25</v>
      </c>
      <c r="B1053" s="6">
        <v>6</v>
      </c>
      <c r="C1053" s="6" t="s">
        <v>20</v>
      </c>
      <c r="D1053" s="6">
        <v>160</v>
      </c>
      <c r="E1053" s="6" t="s">
        <v>28</v>
      </c>
      <c r="F1053" s="6">
        <v>10601</v>
      </c>
      <c r="G1053" s="7">
        <v>10600.7</v>
      </c>
      <c r="H1053" s="6">
        <f>(G1053-F1053)</f>
        <v>-0.2999999999992724</v>
      </c>
      <c r="I1053" s="6" t="s">
        <v>24</v>
      </c>
      <c r="J1053" s="6" t="s">
        <v>48</v>
      </c>
    </row>
    <row r="1054" spans="1:10" ht="32" customHeight="1">
      <c r="A1054" s="6" t="s">
        <v>25</v>
      </c>
      <c r="B1054" s="6">
        <v>6</v>
      </c>
      <c r="C1054" s="6" t="s">
        <v>20</v>
      </c>
      <c r="D1054" s="6">
        <v>161</v>
      </c>
      <c r="E1054" s="6" t="s">
        <v>26</v>
      </c>
      <c r="F1054" s="6">
        <v>10601</v>
      </c>
      <c r="G1054" s="7">
        <v>10600.7</v>
      </c>
      <c r="H1054" s="6">
        <f>(G1054-F1054)</f>
        <v>-0.2999999999992724</v>
      </c>
      <c r="I1054" s="6" t="s">
        <v>24</v>
      </c>
      <c r="J1054" s="6" t="s">
        <v>48</v>
      </c>
    </row>
    <row r="1055" spans="1:10" ht="32" customHeight="1">
      <c r="A1055" s="6" t="s">
        <v>25</v>
      </c>
      <c r="B1055" s="6">
        <v>6</v>
      </c>
      <c r="C1055" s="6" t="s">
        <v>20</v>
      </c>
      <c r="D1055" s="6">
        <v>161</v>
      </c>
      <c r="E1055" s="6" t="s">
        <v>28</v>
      </c>
      <c r="F1055" s="6">
        <v>11125.9</v>
      </c>
      <c r="G1055" s="7">
        <v>11125.5</v>
      </c>
      <c r="H1055" s="6">
        <f>(G1055-F1055)</f>
        <v>-0.3999999999996362</v>
      </c>
      <c r="I1055" s="6" t="s">
        <v>24</v>
      </c>
      <c r="J1055" s="6" t="s">
        <v>48</v>
      </c>
    </row>
    <row r="1056" spans="1:10" ht="32" customHeight="1">
      <c r="A1056" s="6" t="s">
        <v>25</v>
      </c>
      <c r="B1056" s="6">
        <v>6</v>
      </c>
      <c r="C1056" s="6" t="s">
        <v>20</v>
      </c>
      <c r="D1056" s="6">
        <v>162</v>
      </c>
      <c r="E1056" s="6" t="s">
        <v>26</v>
      </c>
      <c r="F1056" s="6">
        <v>4208.6</v>
      </c>
      <c r="G1056" s="7">
        <v>4331.4</v>
      </c>
      <c r="H1056" s="6">
        <f>(G1056-F1056)</f>
        <v>122.79999999999927</v>
      </c>
      <c r="I1056" s="6" t="s">
        <v>24</v>
      </c>
      <c r="J1056" s="6" t="s">
        <v>48</v>
      </c>
    </row>
    <row r="1057" spans="1:10" ht="32" customHeight="1">
      <c r="A1057" s="6" t="s">
        <v>25</v>
      </c>
      <c r="B1057" s="6">
        <v>6</v>
      </c>
      <c r="C1057" s="6" t="s">
        <v>20</v>
      </c>
      <c r="D1057" s="6">
        <v>162</v>
      </c>
      <c r="E1057" s="6" t="s">
        <v>28</v>
      </c>
      <c r="F1057" s="6">
        <v>4208.6</v>
      </c>
      <c r="G1057" s="7">
        <v>4331.4</v>
      </c>
      <c r="H1057" s="6">
        <f>(G1057-F1057)</f>
        <v>122.79999999999927</v>
      </c>
      <c r="I1057" s="6" t="s">
        <v>24</v>
      </c>
      <c r="J1057" s="6" t="s">
        <v>48</v>
      </c>
    </row>
    <row r="1058" spans="1:10" ht="32" customHeight="1">
      <c r="A1058" s="6" t="s">
        <v>25</v>
      </c>
      <c r="B1058" s="6">
        <v>6</v>
      </c>
      <c r="C1058" s="6" t="s">
        <v>20</v>
      </c>
      <c r="D1058" s="6">
        <v>163</v>
      </c>
      <c r="E1058" s="6" t="s">
        <v>26</v>
      </c>
      <c r="F1058" s="6">
        <v>3088.8</v>
      </c>
      <c r="G1058" s="7">
        <v>3088.8</v>
      </c>
      <c r="H1058" s="6">
        <f>(G1058-F1058)</f>
        <v>0.0</v>
      </c>
      <c r="I1058" s="6" t="s">
        <v>23</v>
      </c>
      <c r="J1058" s="6" t="s">
        <v>48</v>
      </c>
    </row>
    <row r="1059" spans="1:10" ht="32" customHeight="1">
      <c r="A1059" s="6" t="s">
        <v>25</v>
      </c>
      <c r="B1059" s="6">
        <v>6</v>
      </c>
      <c r="C1059" s="6" t="s">
        <v>20</v>
      </c>
      <c r="D1059" s="6">
        <v>163</v>
      </c>
      <c r="E1059" s="6" t="s">
        <v>28</v>
      </c>
      <c r="F1059" s="6">
        <v>3088.8</v>
      </c>
      <c r="G1059" s="7">
        <v>3088.8</v>
      </c>
      <c r="H1059" s="6">
        <f>(G1059-F1059)</f>
        <v>0.0</v>
      </c>
      <c r="I1059" s="6" t="s">
        <v>23</v>
      </c>
      <c r="J1059" s="6" t="s">
        <v>48</v>
      </c>
    </row>
    <row r="1060" spans="1:10" ht="32" customHeight="1">
      <c r="A1060" s="6" t="s">
        <v>25</v>
      </c>
      <c r="B1060" s="6">
        <v>6</v>
      </c>
      <c r="C1060" s="6" t="s">
        <v>20</v>
      </c>
      <c r="D1060" s="6">
        <v>164</v>
      </c>
      <c r="E1060" s="6" t="s">
        <v>26</v>
      </c>
      <c r="F1060" s="6">
        <v>3088.8</v>
      </c>
      <c r="G1060" s="7">
        <v>3088.8</v>
      </c>
      <c r="H1060" s="6">
        <f>(G1060-F1060)</f>
        <v>0.0</v>
      </c>
      <c r="I1060" s="6" t="s">
        <v>23</v>
      </c>
      <c r="J1060" s="6" t="s">
        <v>48</v>
      </c>
    </row>
    <row r="1061" spans="1:10" ht="32" customHeight="1">
      <c r="A1061" s="6" t="s">
        <v>25</v>
      </c>
      <c r="B1061" s="6">
        <v>6</v>
      </c>
      <c r="C1061" s="6" t="s">
        <v>20</v>
      </c>
      <c r="D1061" s="6">
        <v>164</v>
      </c>
      <c r="E1061" s="6" t="s">
        <v>28</v>
      </c>
      <c r="F1061" s="6">
        <v>3088.8</v>
      </c>
      <c r="G1061" s="7">
        <v>3088.8</v>
      </c>
      <c r="H1061" s="6">
        <f>(G1061-F1061)</f>
        <v>0.0</v>
      </c>
      <c r="I1061" s="6" t="s">
        <v>23</v>
      </c>
      <c r="J1061" s="6" t="s">
        <v>48</v>
      </c>
    </row>
    <row r="1062" spans="1:10" ht="32" customHeight="1">
      <c r="A1062" s="6" t="s">
        <v>25</v>
      </c>
      <c r="B1062" s="6">
        <v>6</v>
      </c>
      <c r="C1062" s="6" t="s">
        <v>20</v>
      </c>
      <c r="D1062" s="6">
        <v>165</v>
      </c>
      <c r="E1062" s="6" t="s">
        <v>26</v>
      </c>
      <c r="F1062" s="6">
        <v>3088.8</v>
      </c>
      <c r="G1062" s="7">
        <v>3088.8</v>
      </c>
      <c r="H1062" s="6">
        <f>(G1062-F1062)</f>
        <v>0.0</v>
      </c>
      <c r="I1062" s="6" t="s">
        <v>23</v>
      </c>
      <c r="J1062" s="6" t="s">
        <v>48</v>
      </c>
    </row>
    <row r="1063" spans="1:10" ht="32" customHeight="1">
      <c r="A1063" s="6" t="s">
        <v>25</v>
      </c>
      <c r="B1063" s="6">
        <v>6</v>
      </c>
      <c r="C1063" s="6" t="s">
        <v>20</v>
      </c>
      <c r="D1063" s="6">
        <v>165</v>
      </c>
      <c r="E1063" s="6" t="s">
        <v>28</v>
      </c>
      <c r="F1063" s="6">
        <v>3088.8</v>
      </c>
      <c r="G1063" s="7">
        <v>3088.8</v>
      </c>
      <c r="H1063" s="6">
        <f>(G1063-F1063)</f>
        <v>0.0</v>
      </c>
      <c r="I1063" s="6" t="s">
        <v>23</v>
      </c>
      <c r="J1063" s="6" t="s">
        <v>48</v>
      </c>
    </row>
    <row r="1064" spans="1:10" ht="32" customHeight="1">
      <c r="A1064" s="6" t="s">
        <v>25</v>
      </c>
      <c r="B1064" s="6">
        <v>6</v>
      </c>
      <c r="C1064" s="6" t="s">
        <v>20</v>
      </c>
      <c r="D1064" s="6">
        <v>166</v>
      </c>
      <c r="E1064" s="6" t="s">
        <v>26</v>
      </c>
      <c r="F1064" s="6">
        <v>3088.8</v>
      </c>
      <c r="G1064" s="7">
        <v>3088.8</v>
      </c>
      <c r="H1064" s="6">
        <f>(G1064-F1064)</f>
        <v>0.0</v>
      </c>
      <c r="I1064" s="6" t="s">
        <v>23</v>
      </c>
      <c r="J1064" s="6" t="s">
        <v>48</v>
      </c>
    </row>
    <row r="1065" spans="1:10" ht="32" customHeight="1">
      <c r="A1065" s="6" t="s">
        <v>25</v>
      </c>
      <c r="B1065" s="6">
        <v>6</v>
      </c>
      <c r="C1065" s="6" t="s">
        <v>20</v>
      </c>
      <c r="D1065" s="6">
        <v>166</v>
      </c>
      <c r="E1065" s="6" t="s">
        <v>28</v>
      </c>
      <c r="F1065" s="6">
        <v>3088.8</v>
      </c>
      <c r="G1065" s="7">
        <v>3088.8</v>
      </c>
      <c r="H1065" s="6">
        <f>(G1065-F1065)</f>
        <v>0.0</v>
      </c>
      <c r="I1065" s="6" t="s">
        <v>23</v>
      </c>
      <c r="J1065" s="6" t="s">
        <v>48</v>
      </c>
    </row>
    <row r="1066" spans="1:10" ht="32" customHeight="1">
      <c r="A1066" s="6" t="s">
        <v>25</v>
      </c>
      <c r="B1066" s="6">
        <v>6</v>
      </c>
      <c r="C1066" s="6" t="s">
        <v>20</v>
      </c>
      <c r="D1066" s="6">
        <v>167</v>
      </c>
      <c r="E1066" s="6" t="s">
        <v>26</v>
      </c>
      <c r="F1066" s="6">
        <v>3088.8</v>
      </c>
      <c r="G1066" s="7">
        <v>3088.8</v>
      </c>
      <c r="H1066" s="6">
        <f>(G1066-F1066)</f>
        <v>0.0</v>
      </c>
      <c r="I1066" s="6" t="s">
        <v>23</v>
      </c>
      <c r="J1066" s="6" t="s">
        <v>48</v>
      </c>
    </row>
    <row r="1067" spans="1:10" ht="32" customHeight="1">
      <c r="A1067" s="6" t="s">
        <v>25</v>
      </c>
      <c r="B1067" s="6">
        <v>6</v>
      </c>
      <c r="C1067" s="6" t="s">
        <v>20</v>
      </c>
      <c r="D1067" s="6">
        <v>167</v>
      </c>
      <c r="E1067" s="6" t="s">
        <v>28</v>
      </c>
      <c r="F1067" s="6">
        <v>3088.8</v>
      </c>
      <c r="G1067" s="7">
        <v>3088.8</v>
      </c>
      <c r="H1067" s="6">
        <f>(G1067-F1067)</f>
        <v>0.0</v>
      </c>
      <c r="I1067" s="6" t="s">
        <v>23</v>
      </c>
      <c r="J1067" s="6" t="s">
        <v>48</v>
      </c>
    </row>
    <row r="1068" spans="1:10" ht="32" customHeight="1">
      <c r="A1068" s="6" t="s">
        <v>25</v>
      </c>
      <c r="B1068" s="6">
        <v>6</v>
      </c>
      <c r="C1068" s="6" t="s">
        <v>20</v>
      </c>
      <c r="D1068" s="6">
        <v>168</v>
      </c>
      <c r="E1068" s="6" t="s">
        <v>26</v>
      </c>
      <c r="F1068" s="6">
        <v>3088.8</v>
      </c>
      <c r="G1068" s="7">
        <v>3088.8</v>
      </c>
      <c r="H1068" s="6">
        <f>(G1068-F1068)</f>
        <v>0.0</v>
      </c>
      <c r="I1068" s="6" t="s">
        <v>23</v>
      </c>
      <c r="J1068" s="6" t="s">
        <v>48</v>
      </c>
    </row>
    <row r="1069" spans="1:10" ht="32" customHeight="1">
      <c r="A1069" s="6" t="s">
        <v>25</v>
      </c>
      <c r="B1069" s="6">
        <v>6</v>
      </c>
      <c r="C1069" s="6" t="s">
        <v>20</v>
      </c>
      <c r="D1069" s="6">
        <v>168</v>
      </c>
      <c r="E1069" s="6" t="s">
        <v>28</v>
      </c>
      <c r="F1069" s="6">
        <v>3088.8</v>
      </c>
      <c r="G1069" s="7">
        <v>3088.8</v>
      </c>
      <c r="H1069" s="6">
        <f>(G1069-F1069)</f>
        <v>0.0</v>
      </c>
      <c r="I1069" s="6" t="s">
        <v>23</v>
      </c>
      <c r="J1069" s="6" t="s">
        <v>48</v>
      </c>
    </row>
    <row r="1070" spans="1:10" ht="32" customHeight="1">
      <c r="A1070" s="6" t="s">
        <v>25</v>
      </c>
      <c r="B1070" s="6">
        <v>6</v>
      </c>
      <c r="C1070" s="6" t="s">
        <v>20</v>
      </c>
      <c r="D1070" s="6">
        <v>169</v>
      </c>
      <c r="E1070" s="6" t="s">
        <v>26</v>
      </c>
      <c r="F1070" s="6">
        <v>3088.8</v>
      </c>
      <c r="G1070" s="7">
        <v>3088.8</v>
      </c>
      <c r="H1070" s="6">
        <f>(G1070-F1070)</f>
        <v>0.0</v>
      </c>
      <c r="I1070" s="6" t="s">
        <v>23</v>
      </c>
      <c r="J1070" s="6" t="s">
        <v>48</v>
      </c>
    </row>
    <row r="1071" spans="1:10" ht="32" customHeight="1">
      <c r="A1071" s="6" t="s">
        <v>25</v>
      </c>
      <c r="B1071" s="6">
        <v>6</v>
      </c>
      <c r="C1071" s="6" t="s">
        <v>20</v>
      </c>
      <c r="D1071" s="6">
        <v>169</v>
      </c>
      <c r="E1071" s="6" t="s">
        <v>28</v>
      </c>
      <c r="F1071" s="6">
        <v>3088.8</v>
      </c>
      <c r="G1071" s="7">
        <v>3088.8</v>
      </c>
      <c r="H1071" s="6">
        <f>(G1071-F1071)</f>
        <v>0.0</v>
      </c>
      <c r="I1071" s="6" t="s">
        <v>23</v>
      </c>
      <c r="J1071" s="6" t="s">
        <v>48</v>
      </c>
    </row>
    <row r="1072" spans="1:10" ht="32" customHeight="1">
      <c r="A1072" s="6" t="s">
        <v>25</v>
      </c>
      <c r="B1072" s="6">
        <v>6</v>
      </c>
      <c r="C1072" s="6" t="s">
        <v>20</v>
      </c>
      <c r="D1072" s="6">
        <v>170</v>
      </c>
      <c r="E1072" s="6" t="s">
        <v>26</v>
      </c>
      <c r="F1072" s="6">
        <v>3088.8</v>
      </c>
      <c r="G1072" s="7">
        <v>3088.8</v>
      </c>
      <c r="H1072" s="6">
        <f>(G1072-F1072)</f>
        <v>0.0</v>
      </c>
      <c r="I1072" s="6" t="s">
        <v>23</v>
      </c>
      <c r="J1072" s="6" t="s">
        <v>48</v>
      </c>
    </row>
    <row r="1073" spans="1:10" ht="32" customHeight="1">
      <c r="A1073" s="6" t="s">
        <v>25</v>
      </c>
      <c r="B1073" s="6">
        <v>6</v>
      </c>
      <c r="C1073" s="6" t="s">
        <v>20</v>
      </c>
      <c r="D1073" s="6">
        <v>170</v>
      </c>
      <c r="E1073" s="6" t="s">
        <v>28</v>
      </c>
      <c r="F1073" s="6">
        <v>3088.8</v>
      </c>
      <c r="G1073" s="7">
        <v>3088.8</v>
      </c>
      <c r="H1073" s="6">
        <f>(G1073-F1073)</f>
        <v>0.0</v>
      </c>
      <c r="I1073" s="6" t="s">
        <v>23</v>
      </c>
      <c r="J1073" s="6" t="s">
        <v>48</v>
      </c>
    </row>
    <row r="1074" spans="1:10" ht="32" customHeight="1">
      <c r="A1074" s="6" t="s">
        <v>25</v>
      </c>
      <c r="B1074" s="6">
        <v>6</v>
      </c>
      <c r="C1074" s="6" t="s">
        <v>20</v>
      </c>
      <c r="D1074" s="6">
        <v>171</v>
      </c>
      <c r="E1074" s="6" t="s">
        <v>26</v>
      </c>
      <c r="F1074" s="6">
        <v>3088.8</v>
      </c>
      <c r="G1074" s="7">
        <v>3088.8</v>
      </c>
      <c r="H1074" s="6">
        <f>(G1074-F1074)</f>
        <v>0.0</v>
      </c>
      <c r="I1074" s="6" t="s">
        <v>23</v>
      </c>
      <c r="J1074" s="6" t="s">
        <v>48</v>
      </c>
    </row>
    <row r="1075" spans="1:10" ht="32" customHeight="1">
      <c r="A1075" s="6" t="s">
        <v>25</v>
      </c>
      <c r="B1075" s="6">
        <v>6</v>
      </c>
      <c r="C1075" s="6" t="s">
        <v>20</v>
      </c>
      <c r="D1075" s="6">
        <v>171</v>
      </c>
      <c r="E1075" s="6" t="s">
        <v>28</v>
      </c>
      <c r="F1075" s="6">
        <v>3088.8</v>
      </c>
      <c r="G1075" s="7">
        <v>3088.8</v>
      </c>
      <c r="H1075" s="6">
        <f>(G1075-F1075)</f>
        <v>0.0</v>
      </c>
      <c r="I1075" s="6" t="s">
        <v>23</v>
      </c>
      <c r="J1075" s="6" t="s">
        <v>48</v>
      </c>
    </row>
    <row r="1076" spans="1:10" ht="23" customHeight="1">
      <c r="A1076" s="6" t="s">
        <v>29</v>
      </c>
      <c r="B1076" s="6">
        <v>4</v>
      </c>
      <c r="C1076" s="6" t="s">
        <v>30</v>
      </c>
      <c r="D1076" s="6">
        <v>102</v>
      </c>
      <c r="E1076" s="6" t="s">
        <v>31</v>
      </c>
      <c r="F1076" s="6">
        <v>51631</v>
      </c>
      <c r="G1076" s="7">
        <v>51629</v>
      </c>
      <c r="H1076" s="6">
        <f>(G1076-F1076)</f>
        <v>-2.0</v>
      </c>
      <c r="I1076" s="6" t="s">
        <v>24</v>
      </c>
      <c r="J1076" s="6" t="s">
        <v>48</v>
      </c>
    </row>
    <row r="1077" spans="1:10" ht="23" customHeight="1">
      <c r="A1077" s="6" t="s">
        <v>29</v>
      </c>
      <c r="B1077" s="6">
        <v>4</v>
      </c>
      <c r="C1077" s="6" t="s">
        <v>30</v>
      </c>
      <c r="D1077" s="6">
        <v>102</v>
      </c>
      <c r="E1077" s="6" t="s">
        <v>32</v>
      </c>
      <c r="F1077" s="6">
        <v>361.4</v>
      </c>
      <c r="G1077" s="7">
        <v>433.8</v>
      </c>
      <c r="H1077" s="6">
        <f>(G1077-F1077)</f>
        <v>72.40000000000003</v>
      </c>
      <c r="I1077" s="6" t="s">
        <v>24</v>
      </c>
      <c r="J1077" s="6" t="s">
        <v>48</v>
      </c>
    </row>
    <row r="1078" spans="1:10" ht="23" customHeight="1">
      <c r="A1078" s="6" t="s">
        <v>29</v>
      </c>
      <c r="B1078" s="6">
        <v>4</v>
      </c>
      <c r="C1078" s="6" t="s">
        <v>30</v>
      </c>
      <c r="D1078" s="6">
        <v>102</v>
      </c>
      <c r="E1078" s="6" t="s">
        <v>34</v>
      </c>
      <c r="F1078" s="6">
        <v>361.4</v>
      </c>
      <c r="G1078" s="7">
        <v>433.8</v>
      </c>
      <c r="H1078" s="6">
        <f>(G1078-F1078)</f>
        <v>72.40000000000003</v>
      </c>
      <c r="I1078" s="6" t="s">
        <v>24</v>
      </c>
      <c r="J1078" s="6" t="s">
        <v>48</v>
      </c>
    </row>
    <row r="1079" spans="1:10" ht="23" customHeight="1">
      <c r="A1079" s="6" t="s">
        <v>29</v>
      </c>
      <c r="B1079" s="6">
        <v>4</v>
      </c>
      <c r="C1079" s="6" t="s">
        <v>30</v>
      </c>
      <c r="D1079" s="6">
        <v>102</v>
      </c>
      <c r="E1079" s="6" t="s">
        <v>35</v>
      </c>
      <c r="F1079" s="6">
        <v>51631</v>
      </c>
      <c r="G1079" s="7">
        <v>51629</v>
      </c>
      <c r="H1079" s="6">
        <f>(G1079-F1079)</f>
        <v>-2.0</v>
      </c>
      <c r="I1079" s="6" t="s">
        <v>24</v>
      </c>
      <c r="J1079" s="6" t="s">
        <v>48</v>
      </c>
    </row>
    <row r="1080" spans="1:10" ht="23" customHeight="1">
      <c r="A1080" s="6" t="s">
        <v>29</v>
      </c>
      <c r="B1080" s="6">
        <v>4</v>
      </c>
      <c r="C1080" s="6" t="s">
        <v>30</v>
      </c>
      <c r="D1080" s="6">
        <v>102</v>
      </c>
      <c r="E1080" s="6" t="s">
        <v>36</v>
      </c>
      <c r="F1080" s="6">
        <v>361.4</v>
      </c>
      <c r="G1080" s="7">
        <v>433.8</v>
      </c>
      <c r="H1080" s="6">
        <f>(G1080-F1080)</f>
        <v>72.40000000000003</v>
      </c>
      <c r="I1080" s="6" t="s">
        <v>24</v>
      </c>
      <c r="J1080" s="6" t="s">
        <v>48</v>
      </c>
    </row>
    <row r="1081" spans="1:10" ht="23" customHeight="1">
      <c r="A1081" s="6" t="s">
        <v>29</v>
      </c>
      <c r="B1081" s="6">
        <v>4</v>
      </c>
      <c r="C1081" s="6" t="s">
        <v>30</v>
      </c>
      <c r="D1081" s="6">
        <v>102</v>
      </c>
      <c r="E1081" s="6" t="s">
        <v>37</v>
      </c>
      <c r="F1081" s="6">
        <v>361.4</v>
      </c>
      <c r="G1081" s="7">
        <v>433.8</v>
      </c>
      <c r="H1081" s="6">
        <f>(G1081-F1081)</f>
        <v>72.40000000000003</v>
      </c>
      <c r="I1081" s="6" t="s">
        <v>24</v>
      </c>
      <c r="J1081" s="6" t="s">
        <v>48</v>
      </c>
    </row>
    <row r="1082" spans="1:10" ht="23" customHeight="1">
      <c r="A1082" s="6" t="s">
        <v>29</v>
      </c>
      <c r="B1082" s="6">
        <v>4</v>
      </c>
      <c r="C1082" s="6" t="s">
        <v>30</v>
      </c>
      <c r="D1082" s="6">
        <v>102</v>
      </c>
      <c r="E1082" s="6" t="s">
        <v>38</v>
      </c>
      <c r="F1082" s="6">
        <v>51631</v>
      </c>
      <c r="G1082" s="7">
        <v>51629</v>
      </c>
      <c r="H1082" s="6">
        <f>(G1082-F1082)</f>
        <v>-2.0</v>
      </c>
      <c r="I1082" s="6" t="s">
        <v>24</v>
      </c>
      <c r="J1082" s="6" t="s">
        <v>48</v>
      </c>
    </row>
    <row r="1083" spans="1:10" ht="23" customHeight="1">
      <c r="A1083" s="6" t="s">
        <v>29</v>
      </c>
      <c r="B1083" s="6">
        <v>4</v>
      </c>
      <c r="C1083" s="6" t="s">
        <v>30</v>
      </c>
      <c r="D1083" s="6">
        <v>102</v>
      </c>
      <c r="E1083" s="6" t="s">
        <v>39</v>
      </c>
      <c r="F1083" s="6">
        <v>51631</v>
      </c>
      <c r="G1083" s="7">
        <v>51629</v>
      </c>
      <c r="H1083" s="6">
        <f>(G1083-F1083)</f>
        <v>-2.0</v>
      </c>
      <c r="I1083" s="6" t="s">
        <v>24</v>
      </c>
      <c r="J1083" s="6" t="s">
        <v>48</v>
      </c>
    </row>
    <row r="1084" spans="1:10" ht="23" customHeight="1">
      <c r="A1084" s="6" t="s">
        <v>29</v>
      </c>
      <c r="B1084" s="6">
        <v>4</v>
      </c>
      <c r="C1084" s="6" t="s">
        <v>30</v>
      </c>
      <c r="D1084" s="6">
        <v>102</v>
      </c>
      <c r="E1084" s="6" t="s">
        <v>40</v>
      </c>
      <c r="F1084" s="6">
        <v>51631</v>
      </c>
      <c r="G1084" s="7">
        <v>51629</v>
      </c>
      <c r="H1084" s="6">
        <f>(G1084-F1084)</f>
        <v>-2.0</v>
      </c>
      <c r="I1084" s="6" t="s">
        <v>24</v>
      </c>
      <c r="J1084" s="6" t="s">
        <v>48</v>
      </c>
    </row>
    <row r="1085" spans="1:10" ht="23" customHeight="1">
      <c r="A1085" s="6" t="s">
        <v>29</v>
      </c>
      <c r="B1085" s="6">
        <v>4</v>
      </c>
      <c r="C1085" s="6" t="s">
        <v>30</v>
      </c>
      <c r="D1085" s="6">
        <v>102</v>
      </c>
      <c r="E1085" s="6" t="s">
        <v>41</v>
      </c>
      <c r="F1085" s="6">
        <v>51631</v>
      </c>
      <c r="G1085" s="7">
        <v>51629</v>
      </c>
      <c r="H1085" s="6">
        <f>(G1085-F1085)</f>
        <v>-2.0</v>
      </c>
      <c r="I1085" s="6" t="s">
        <v>24</v>
      </c>
      <c r="J1085" s="6" t="s">
        <v>48</v>
      </c>
    </row>
    <row r="1086" spans="1:10" ht="23" customHeight="1">
      <c r="A1086" s="6" t="s">
        <v>29</v>
      </c>
      <c r="B1086" s="6">
        <v>4</v>
      </c>
      <c r="C1086" s="6" t="s">
        <v>30</v>
      </c>
      <c r="D1086" s="6">
        <v>103</v>
      </c>
      <c r="E1086" s="6" t="s">
        <v>31</v>
      </c>
      <c r="F1086" s="6">
        <v>145629</v>
      </c>
      <c r="G1086" s="7">
        <v>145626</v>
      </c>
      <c r="H1086" s="6">
        <f>(G1086-F1086)</f>
        <v>-3.0</v>
      </c>
      <c r="I1086" s="6" t="s">
        <v>24</v>
      </c>
      <c r="J1086" s="6" t="s">
        <v>48</v>
      </c>
    </row>
    <row r="1087" spans="1:10" ht="23" customHeight="1">
      <c r="A1087" s="6" t="s">
        <v>29</v>
      </c>
      <c r="B1087" s="6">
        <v>4</v>
      </c>
      <c r="C1087" s="6" t="s">
        <v>30</v>
      </c>
      <c r="D1087" s="6">
        <v>103</v>
      </c>
      <c r="E1087" s="6" t="s">
        <v>32</v>
      </c>
      <c r="F1087" s="6">
        <v>1529.1</v>
      </c>
      <c r="G1087" s="7">
        <v>1835</v>
      </c>
      <c r="H1087" s="6">
        <f>(G1087-F1087)</f>
        <v>305.9000000000001</v>
      </c>
      <c r="I1087" s="6" t="s">
        <v>24</v>
      </c>
      <c r="J1087" s="6" t="s">
        <v>48</v>
      </c>
    </row>
    <row r="1088" spans="1:10" ht="23" customHeight="1">
      <c r="A1088" s="6" t="s">
        <v>29</v>
      </c>
      <c r="B1088" s="6">
        <v>4</v>
      </c>
      <c r="C1088" s="6" t="s">
        <v>30</v>
      </c>
      <c r="D1088" s="6">
        <v>103</v>
      </c>
      <c r="E1088" s="6" t="s">
        <v>34</v>
      </c>
      <c r="F1088" s="6">
        <v>1529.1</v>
      </c>
      <c r="G1088" s="7">
        <v>1835</v>
      </c>
      <c r="H1088" s="6">
        <f>(G1088-F1088)</f>
        <v>305.9000000000001</v>
      </c>
      <c r="I1088" s="6" t="s">
        <v>24</v>
      </c>
      <c r="J1088" s="6" t="s">
        <v>48</v>
      </c>
    </row>
    <row r="1089" spans="1:10" ht="23" customHeight="1">
      <c r="A1089" s="6" t="s">
        <v>29</v>
      </c>
      <c r="B1089" s="6">
        <v>4</v>
      </c>
      <c r="C1089" s="6" t="s">
        <v>30</v>
      </c>
      <c r="D1089" s="6">
        <v>103</v>
      </c>
      <c r="E1089" s="6" t="s">
        <v>35</v>
      </c>
      <c r="F1089" s="6">
        <v>145629</v>
      </c>
      <c r="G1089" s="7">
        <v>145626</v>
      </c>
      <c r="H1089" s="6">
        <f>(G1089-F1089)</f>
        <v>-3.0</v>
      </c>
      <c r="I1089" s="6" t="s">
        <v>24</v>
      </c>
      <c r="J1089" s="6" t="s">
        <v>48</v>
      </c>
    </row>
    <row r="1090" spans="1:10" ht="23" customHeight="1">
      <c r="A1090" s="6" t="s">
        <v>29</v>
      </c>
      <c r="B1090" s="6">
        <v>4</v>
      </c>
      <c r="C1090" s="6" t="s">
        <v>30</v>
      </c>
      <c r="D1090" s="6">
        <v>103</v>
      </c>
      <c r="E1090" s="6" t="s">
        <v>36</v>
      </c>
      <c r="F1090" s="6">
        <v>1529.1</v>
      </c>
      <c r="G1090" s="7">
        <v>1835</v>
      </c>
      <c r="H1090" s="6">
        <f>(G1090-F1090)</f>
        <v>305.9000000000001</v>
      </c>
      <c r="I1090" s="6" t="s">
        <v>24</v>
      </c>
      <c r="J1090" s="6" t="s">
        <v>48</v>
      </c>
    </row>
    <row r="1091" spans="1:10" ht="23" customHeight="1">
      <c r="A1091" s="6" t="s">
        <v>29</v>
      </c>
      <c r="B1091" s="6">
        <v>4</v>
      </c>
      <c r="C1091" s="6" t="s">
        <v>30</v>
      </c>
      <c r="D1091" s="6">
        <v>103</v>
      </c>
      <c r="E1091" s="6" t="s">
        <v>37</v>
      </c>
      <c r="F1091" s="6">
        <v>1529.1</v>
      </c>
      <c r="G1091" s="7">
        <v>1835</v>
      </c>
      <c r="H1091" s="6">
        <f>(G1091-F1091)</f>
        <v>305.9000000000001</v>
      </c>
      <c r="I1091" s="6" t="s">
        <v>24</v>
      </c>
      <c r="J1091" s="6" t="s">
        <v>48</v>
      </c>
    </row>
    <row r="1092" spans="1:10" ht="23" customHeight="1">
      <c r="A1092" s="6" t="s">
        <v>29</v>
      </c>
      <c r="B1092" s="6">
        <v>4</v>
      </c>
      <c r="C1092" s="6" t="s">
        <v>30</v>
      </c>
      <c r="D1092" s="6">
        <v>103</v>
      </c>
      <c r="E1092" s="6" t="s">
        <v>38</v>
      </c>
      <c r="F1092" s="6">
        <v>145629</v>
      </c>
      <c r="G1092" s="7">
        <v>145626</v>
      </c>
      <c r="H1092" s="6">
        <f>(G1092-F1092)</f>
        <v>-3.0</v>
      </c>
      <c r="I1092" s="6" t="s">
        <v>24</v>
      </c>
      <c r="J1092" s="6" t="s">
        <v>48</v>
      </c>
    </row>
    <row r="1093" spans="1:10" ht="23" customHeight="1">
      <c r="A1093" s="6" t="s">
        <v>29</v>
      </c>
      <c r="B1093" s="6">
        <v>4</v>
      </c>
      <c r="C1093" s="6" t="s">
        <v>30</v>
      </c>
      <c r="D1093" s="6">
        <v>103</v>
      </c>
      <c r="E1093" s="6" t="s">
        <v>39</v>
      </c>
      <c r="F1093" s="6">
        <v>145629</v>
      </c>
      <c r="G1093" s="7">
        <v>145626</v>
      </c>
      <c r="H1093" s="6">
        <f>(G1093-F1093)</f>
        <v>-3.0</v>
      </c>
      <c r="I1093" s="6" t="s">
        <v>24</v>
      </c>
      <c r="J1093" s="6" t="s">
        <v>48</v>
      </c>
    </row>
    <row r="1094" spans="1:10" ht="23" customHeight="1">
      <c r="A1094" s="6" t="s">
        <v>29</v>
      </c>
      <c r="B1094" s="6">
        <v>4</v>
      </c>
      <c r="C1094" s="6" t="s">
        <v>30</v>
      </c>
      <c r="D1094" s="6">
        <v>103</v>
      </c>
      <c r="E1094" s="6" t="s">
        <v>40</v>
      </c>
      <c r="F1094" s="6">
        <v>145629</v>
      </c>
      <c r="G1094" s="7">
        <v>145626</v>
      </c>
      <c r="H1094" s="6">
        <f>(G1094-F1094)</f>
        <v>-3.0</v>
      </c>
      <c r="I1094" s="6" t="s">
        <v>24</v>
      </c>
      <c r="J1094" s="6" t="s">
        <v>48</v>
      </c>
    </row>
    <row r="1095" spans="1:10" ht="23" customHeight="1">
      <c r="A1095" s="6" t="s">
        <v>29</v>
      </c>
      <c r="B1095" s="6">
        <v>4</v>
      </c>
      <c r="C1095" s="6" t="s">
        <v>30</v>
      </c>
      <c r="D1095" s="6">
        <v>103</v>
      </c>
      <c r="E1095" s="6" t="s">
        <v>41</v>
      </c>
      <c r="F1095" s="6">
        <v>145629</v>
      </c>
      <c r="G1095" s="7">
        <v>145626</v>
      </c>
      <c r="H1095" s="6">
        <f>(G1095-F1095)</f>
        <v>-3.0</v>
      </c>
      <c r="I1095" s="6" t="s">
        <v>24</v>
      </c>
      <c r="J1095" s="6" t="s">
        <v>48</v>
      </c>
    </row>
    <row r="1096" spans="1:10" ht="23" customHeight="1">
      <c r="A1096" s="6" t="s">
        <v>29</v>
      </c>
      <c r="B1096" s="6">
        <v>4</v>
      </c>
      <c r="C1096" s="6" t="s">
        <v>30</v>
      </c>
      <c r="D1096" s="6">
        <v>104</v>
      </c>
      <c r="E1096" s="6" t="s">
        <v>31</v>
      </c>
      <c r="F1096" s="6">
        <v>155636</v>
      </c>
      <c r="G1096" s="7">
        <v>155634</v>
      </c>
      <c r="H1096" s="6">
        <f>(G1096-F1096)</f>
        <v>-2.0</v>
      </c>
      <c r="I1096" s="6" t="s">
        <v>24</v>
      </c>
      <c r="J1096" s="6" t="s">
        <v>48</v>
      </c>
    </row>
    <row r="1097" spans="1:10" ht="23" customHeight="1">
      <c r="A1097" s="6" t="s">
        <v>29</v>
      </c>
      <c r="B1097" s="6">
        <v>4</v>
      </c>
      <c r="C1097" s="6" t="s">
        <v>30</v>
      </c>
      <c r="D1097" s="6">
        <v>104</v>
      </c>
      <c r="E1097" s="6" t="s">
        <v>32</v>
      </c>
      <c r="F1097" s="6">
        <v>1495.3</v>
      </c>
      <c r="G1097" s="7">
        <v>1794.4</v>
      </c>
      <c r="H1097" s="6">
        <f>(G1097-F1097)</f>
        <v>299.10000000000014</v>
      </c>
      <c r="I1097" s="6" t="s">
        <v>24</v>
      </c>
      <c r="J1097" s="6" t="s">
        <v>48</v>
      </c>
    </row>
    <row r="1098" spans="1:10" ht="23" customHeight="1">
      <c r="A1098" s="6" t="s">
        <v>29</v>
      </c>
      <c r="B1098" s="6">
        <v>4</v>
      </c>
      <c r="C1098" s="6" t="s">
        <v>30</v>
      </c>
      <c r="D1098" s="6">
        <v>104</v>
      </c>
      <c r="E1098" s="6" t="s">
        <v>34</v>
      </c>
      <c r="F1098" s="6">
        <v>1495.3</v>
      </c>
      <c r="G1098" s="7">
        <v>1794.4</v>
      </c>
      <c r="H1098" s="6">
        <f>(G1098-F1098)</f>
        <v>299.10000000000014</v>
      </c>
      <c r="I1098" s="6" t="s">
        <v>24</v>
      </c>
      <c r="J1098" s="6" t="s">
        <v>48</v>
      </c>
    </row>
    <row r="1099" spans="1:10" ht="23" customHeight="1">
      <c r="A1099" s="6" t="s">
        <v>29</v>
      </c>
      <c r="B1099" s="6">
        <v>4</v>
      </c>
      <c r="C1099" s="6" t="s">
        <v>30</v>
      </c>
      <c r="D1099" s="6">
        <v>104</v>
      </c>
      <c r="E1099" s="6" t="s">
        <v>35</v>
      </c>
      <c r="F1099" s="6">
        <v>155636</v>
      </c>
      <c r="G1099" s="7">
        <v>155634</v>
      </c>
      <c r="H1099" s="6">
        <f>(G1099-F1099)</f>
        <v>-2.0</v>
      </c>
      <c r="I1099" s="6" t="s">
        <v>24</v>
      </c>
      <c r="J1099" s="6" t="s">
        <v>48</v>
      </c>
    </row>
    <row r="1100" spans="1:10" ht="23" customHeight="1">
      <c r="A1100" s="6" t="s">
        <v>29</v>
      </c>
      <c r="B1100" s="6">
        <v>4</v>
      </c>
      <c r="C1100" s="6" t="s">
        <v>30</v>
      </c>
      <c r="D1100" s="6">
        <v>104</v>
      </c>
      <c r="E1100" s="6" t="s">
        <v>36</v>
      </c>
      <c r="F1100" s="6">
        <v>1495.3</v>
      </c>
      <c r="G1100" s="7">
        <v>1794.4</v>
      </c>
      <c r="H1100" s="6">
        <f>(G1100-F1100)</f>
        <v>299.10000000000014</v>
      </c>
      <c r="I1100" s="6" t="s">
        <v>24</v>
      </c>
      <c r="J1100" s="6" t="s">
        <v>48</v>
      </c>
    </row>
    <row r="1101" spans="1:10" ht="23" customHeight="1">
      <c r="A1101" s="6" t="s">
        <v>29</v>
      </c>
      <c r="B1101" s="6">
        <v>4</v>
      </c>
      <c r="C1101" s="6" t="s">
        <v>30</v>
      </c>
      <c r="D1101" s="6">
        <v>104</v>
      </c>
      <c r="E1101" s="6" t="s">
        <v>37</v>
      </c>
      <c r="F1101" s="6">
        <v>1495.3</v>
      </c>
      <c r="G1101" s="7">
        <v>1794.4</v>
      </c>
      <c r="H1101" s="6">
        <f>(G1101-F1101)</f>
        <v>299.10000000000014</v>
      </c>
      <c r="I1101" s="6" t="s">
        <v>24</v>
      </c>
      <c r="J1101" s="6" t="s">
        <v>48</v>
      </c>
    </row>
    <row r="1102" spans="1:10" ht="23" customHeight="1">
      <c r="A1102" s="6" t="s">
        <v>29</v>
      </c>
      <c r="B1102" s="6">
        <v>4</v>
      </c>
      <c r="C1102" s="6" t="s">
        <v>30</v>
      </c>
      <c r="D1102" s="6">
        <v>104</v>
      </c>
      <c r="E1102" s="6" t="s">
        <v>38</v>
      </c>
      <c r="F1102" s="6">
        <v>155636</v>
      </c>
      <c r="G1102" s="7">
        <v>155634</v>
      </c>
      <c r="H1102" s="6">
        <f>(G1102-F1102)</f>
        <v>-2.0</v>
      </c>
      <c r="I1102" s="6" t="s">
        <v>24</v>
      </c>
      <c r="J1102" s="6" t="s">
        <v>48</v>
      </c>
    </row>
    <row r="1103" spans="1:10" ht="23" customHeight="1">
      <c r="A1103" s="6" t="s">
        <v>29</v>
      </c>
      <c r="B1103" s="6">
        <v>4</v>
      </c>
      <c r="C1103" s="6" t="s">
        <v>30</v>
      </c>
      <c r="D1103" s="6">
        <v>104</v>
      </c>
      <c r="E1103" s="6" t="s">
        <v>39</v>
      </c>
      <c r="F1103" s="6">
        <v>155636</v>
      </c>
      <c r="G1103" s="7">
        <v>155634</v>
      </c>
      <c r="H1103" s="6">
        <f>(G1103-F1103)</f>
        <v>-2.0</v>
      </c>
      <c r="I1103" s="6" t="s">
        <v>24</v>
      </c>
      <c r="J1103" s="6" t="s">
        <v>48</v>
      </c>
    </row>
    <row r="1104" spans="1:10" ht="23" customHeight="1">
      <c r="A1104" s="6" t="s">
        <v>29</v>
      </c>
      <c r="B1104" s="6">
        <v>4</v>
      </c>
      <c r="C1104" s="6" t="s">
        <v>30</v>
      </c>
      <c r="D1104" s="6">
        <v>104</v>
      </c>
      <c r="E1104" s="6" t="s">
        <v>40</v>
      </c>
      <c r="F1104" s="6">
        <v>155636</v>
      </c>
      <c r="G1104" s="7">
        <v>155634</v>
      </c>
      <c r="H1104" s="6">
        <f>(G1104-F1104)</f>
        <v>-2.0</v>
      </c>
      <c r="I1104" s="6" t="s">
        <v>24</v>
      </c>
      <c r="J1104" s="6" t="s">
        <v>48</v>
      </c>
    </row>
    <row r="1105" spans="1:10" ht="23" customHeight="1">
      <c r="A1105" s="6" t="s">
        <v>29</v>
      </c>
      <c r="B1105" s="6">
        <v>4</v>
      </c>
      <c r="C1105" s="6" t="s">
        <v>30</v>
      </c>
      <c r="D1105" s="6">
        <v>104</v>
      </c>
      <c r="E1105" s="6" t="s">
        <v>41</v>
      </c>
      <c r="F1105" s="6">
        <v>155636</v>
      </c>
      <c r="G1105" s="7">
        <v>155634</v>
      </c>
      <c r="H1105" s="6">
        <f>(G1105-F1105)</f>
        <v>-2.0</v>
      </c>
      <c r="I1105" s="6" t="s">
        <v>24</v>
      </c>
      <c r="J1105" s="6" t="s">
        <v>48</v>
      </c>
    </row>
    <row r="1106" spans="1:10" ht="23" customHeight="1">
      <c r="A1106" s="6" t="s">
        <v>29</v>
      </c>
      <c r="B1106" s="6">
        <v>4</v>
      </c>
      <c r="C1106" s="6" t="s">
        <v>30</v>
      </c>
      <c r="D1106" s="6">
        <v>105</v>
      </c>
      <c r="E1106" s="6" t="s">
        <v>31</v>
      </c>
      <c r="F1106" s="6">
        <v>223254</v>
      </c>
      <c r="G1106" s="7">
        <v>223257</v>
      </c>
      <c r="H1106" s="6">
        <f>(G1106-F1106)</f>
        <v>3.0</v>
      </c>
      <c r="I1106" s="6" t="s">
        <v>24</v>
      </c>
      <c r="J1106" s="6" t="s">
        <v>48</v>
      </c>
    </row>
    <row r="1107" spans="1:10" ht="23" customHeight="1">
      <c r="A1107" s="6" t="s">
        <v>29</v>
      </c>
      <c r="B1107" s="6">
        <v>4</v>
      </c>
      <c r="C1107" s="6" t="s">
        <v>30</v>
      </c>
      <c r="D1107" s="6">
        <v>105</v>
      </c>
      <c r="E1107" s="6" t="s">
        <v>32</v>
      </c>
      <c r="F1107" s="6">
        <v>1927.5</v>
      </c>
      <c r="G1107" s="7">
        <v>2313</v>
      </c>
      <c r="H1107" s="6">
        <f>(G1107-F1107)</f>
        <v>385.5</v>
      </c>
      <c r="I1107" s="6" t="s">
        <v>24</v>
      </c>
      <c r="J1107" s="6" t="s">
        <v>48</v>
      </c>
    </row>
    <row r="1108" spans="1:10" ht="23" customHeight="1">
      <c r="A1108" s="6" t="s">
        <v>29</v>
      </c>
      <c r="B1108" s="6">
        <v>4</v>
      </c>
      <c r="C1108" s="6" t="s">
        <v>30</v>
      </c>
      <c r="D1108" s="6">
        <v>105</v>
      </c>
      <c r="E1108" s="6" t="s">
        <v>34</v>
      </c>
      <c r="F1108" s="6">
        <v>1927.5</v>
      </c>
      <c r="G1108" s="7">
        <v>2313</v>
      </c>
      <c r="H1108" s="6">
        <f>(G1108-F1108)</f>
        <v>385.5</v>
      </c>
      <c r="I1108" s="6" t="s">
        <v>24</v>
      </c>
      <c r="J1108" s="6" t="s">
        <v>48</v>
      </c>
    </row>
    <row r="1109" spans="1:10" ht="23" customHeight="1">
      <c r="A1109" s="6" t="s">
        <v>29</v>
      </c>
      <c r="B1109" s="6">
        <v>4</v>
      </c>
      <c r="C1109" s="6" t="s">
        <v>30</v>
      </c>
      <c r="D1109" s="6">
        <v>105</v>
      </c>
      <c r="E1109" s="6" t="s">
        <v>35</v>
      </c>
      <c r="F1109" s="6">
        <v>223254</v>
      </c>
      <c r="G1109" s="7">
        <v>223257</v>
      </c>
      <c r="H1109" s="6">
        <f>(G1109-F1109)</f>
        <v>3.0</v>
      </c>
      <c r="I1109" s="6" t="s">
        <v>24</v>
      </c>
      <c r="J1109" s="6" t="s">
        <v>48</v>
      </c>
    </row>
    <row r="1110" spans="1:10" ht="23" customHeight="1">
      <c r="A1110" s="6" t="s">
        <v>29</v>
      </c>
      <c r="B1110" s="6">
        <v>4</v>
      </c>
      <c r="C1110" s="6" t="s">
        <v>30</v>
      </c>
      <c r="D1110" s="6">
        <v>105</v>
      </c>
      <c r="E1110" s="6" t="s">
        <v>36</v>
      </c>
      <c r="F1110" s="6">
        <v>1927.5</v>
      </c>
      <c r="G1110" s="7">
        <v>2313</v>
      </c>
      <c r="H1110" s="6">
        <f>(G1110-F1110)</f>
        <v>385.5</v>
      </c>
      <c r="I1110" s="6" t="s">
        <v>24</v>
      </c>
      <c r="J1110" s="6" t="s">
        <v>48</v>
      </c>
    </row>
    <row r="1111" spans="1:10" ht="23" customHeight="1">
      <c r="A1111" s="6" t="s">
        <v>29</v>
      </c>
      <c r="B1111" s="6">
        <v>4</v>
      </c>
      <c r="C1111" s="6" t="s">
        <v>30</v>
      </c>
      <c r="D1111" s="6">
        <v>105</v>
      </c>
      <c r="E1111" s="6" t="s">
        <v>37</v>
      </c>
      <c r="F1111" s="6">
        <v>1927.5</v>
      </c>
      <c r="G1111" s="7">
        <v>2313</v>
      </c>
      <c r="H1111" s="6">
        <f>(G1111-F1111)</f>
        <v>385.5</v>
      </c>
      <c r="I1111" s="6" t="s">
        <v>24</v>
      </c>
      <c r="J1111" s="6" t="s">
        <v>48</v>
      </c>
    </row>
    <row r="1112" spans="1:10" ht="23" customHeight="1">
      <c r="A1112" s="6" t="s">
        <v>29</v>
      </c>
      <c r="B1112" s="6">
        <v>4</v>
      </c>
      <c r="C1112" s="6" t="s">
        <v>30</v>
      </c>
      <c r="D1112" s="6">
        <v>105</v>
      </c>
      <c r="E1112" s="6" t="s">
        <v>38</v>
      </c>
      <c r="F1112" s="6">
        <v>223254</v>
      </c>
      <c r="G1112" s="7">
        <v>223257</v>
      </c>
      <c r="H1112" s="6">
        <f>(G1112-F1112)</f>
        <v>3.0</v>
      </c>
      <c r="I1112" s="6" t="s">
        <v>24</v>
      </c>
      <c r="J1112" s="6" t="s">
        <v>48</v>
      </c>
    </row>
    <row r="1113" spans="1:10" ht="23" customHeight="1">
      <c r="A1113" s="6" t="s">
        <v>29</v>
      </c>
      <c r="B1113" s="6">
        <v>4</v>
      </c>
      <c r="C1113" s="6" t="s">
        <v>30</v>
      </c>
      <c r="D1113" s="6">
        <v>105</v>
      </c>
      <c r="E1113" s="6" t="s">
        <v>39</v>
      </c>
      <c r="F1113" s="6">
        <v>223254</v>
      </c>
      <c r="G1113" s="7">
        <v>223257</v>
      </c>
      <c r="H1113" s="6">
        <f>(G1113-F1113)</f>
        <v>3.0</v>
      </c>
      <c r="I1113" s="6" t="s">
        <v>24</v>
      </c>
      <c r="J1113" s="6" t="s">
        <v>48</v>
      </c>
    </row>
    <row r="1114" spans="1:10" ht="23" customHeight="1">
      <c r="A1114" s="6" t="s">
        <v>29</v>
      </c>
      <c r="B1114" s="6">
        <v>4</v>
      </c>
      <c r="C1114" s="6" t="s">
        <v>30</v>
      </c>
      <c r="D1114" s="6">
        <v>105</v>
      </c>
      <c r="E1114" s="6" t="s">
        <v>40</v>
      </c>
      <c r="F1114" s="6">
        <v>223254</v>
      </c>
      <c r="G1114" s="7">
        <v>223257</v>
      </c>
      <c r="H1114" s="6">
        <f>(G1114-F1114)</f>
        <v>3.0</v>
      </c>
      <c r="I1114" s="6" t="s">
        <v>24</v>
      </c>
      <c r="J1114" s="6" t="s">
        <v>48</v>
      </c>
    </row>
    <row r="1115" spans="1:10" ht="23" customHeight="1">
      <c r="A1115" s="6" t="s">
        <v>29</v>
      </c>
      <c r="B1115" s="6">
        <v>4</v>
      </c>
      <c r="C1115" s="6" t="s">
        <v>30</v>
      </c>
      <c r="D1115" s="6">
        <v>105</v>
      </c>
      <c r="E1115" s="6" t="s">
        <v>41</v>
      </c>
      <c r="F1115" s="6">
        <v>223254</v>
      </c>
      <c r="G1115" s="7">
        <v>223257</v>
      </c>
      <c r="H1115" s="6">
        <f>(G1115-F1115)</f>
        <v>3.0</v>
      </c>
      <c r="I1115" s="6" t="s">
        <v>24</v>
      </c>
      <c r="J1115" s="6" t="s">
        <v>48</v>
      </c>
    </row>
    <row r="1116" spans="1:10" ht="23" customHeight="1">
      <c r="A1116" s="6" t="s">
        <v>29</v>
      </c>
      <c r="B1116" s="6">
        <v>4</v>
      </c>
      <c r="C1116" s="6" t="s">
        <v>30</v>
      </c>
      <c r="D1116" s="6">
        <v>106</v>
      </c>
      <c r="E1116" s="6" t="s">
        <v>31</v>
      </c>
      <c r="F1116" s="6">
        <v>218435</v>
      </c>
      <c r="G1116" s="7">
        <v>218438</v>
      </c>
      <c r="H1116" s="6">
        <f>(G1116-F1116)</f>
        <v>3.0</v>
      </c>
      <c r="I1116" s="6" t="s">
        <v>24</v>
      </c>
      <c r="J1116" s="6" t="s">
        <v>48</v>
      </c>
    </row>
    <row r="1117" spans="1:10" ht="23" customHeight="1">
      <c r="A1117" s="6" t="s">
        <v>29</v>
      </c>
      <c r="B1117" s="6">
        <v>4</v>
      </c>
      <c r="C1117" s="6" t="s">
        <v>30</v>
      </c>
      <c r="D1117" s="6">
        <v>106</v>
      </c>
      <c r="E1117" s="6" t="s">
        <v>32</v>
      </c>
      <c r="F1117" s="6">
        <v>2293.6</v>
      </c>
      <c r="G1117" s="7">
        <v>2752.4</v>
      </c>
      <c r="H1117" s="6">
        <f>(G1117-F1117)</f>
        <v>458.8000000000002</v>
      </c>
      <c r="I1117" s="6" t="s">
        <v>24</v>
      </c>
      <c r="J1117" s="6" t="s">
        <v>48</v>
      </c>
    </row>
    <row r="1118" spans="1:10" ht="23" customHeight="1">
      <c r="A1118" s="6" t="s">
        <v>29</v>
      </c>
      <c r="B1118" s="6">
        <v>4</v>
      </c>
      <c r="C1118" s="6" t="s">
        <v>30</v>
      </c>
      <c r="D1118" s="6">
        <v>106</v>
      </c>
      <c r="E1118" s="6" t="s">
        <v>34</v>
      </c>
      <c r="F1118" s="6">
        <v>2293.6</v>
      </c>
      <c r="G1118" s="7">
        <v>2752.4</v>
      </c>
      <c r="H1118" s="6">
        <f>(G1118-F1118)</f>
        <v>458.8000000000002</v>
      </c>
      <c r="I1118" s="6" t="s">
        <v>24</v>
      </c>
      <c r="J1118" s="6" t="s">
        <v>48</v>
      </c>
    </row>
    <row r="1119" spans="1:10" ht="23" customHeight="1">
      <c r="A1119" s="6" t="s">
        <v>29</v>
      </c>
      <c r="B1119" s="6">
        <v>4</v>
      </c>
      <c r="C1119" s="6" t="s">
        <v>30</v>
      </c>
      <c r="D1119" s="6">
        <v>106</v>
      </c>
      <c r="E1119" s="6" t="s">
        <v>35</v>
      </c>
      <c r="F1119" s="6">
        <v>218435</v>
      </c>
      <c r="G1119" s="7">
        <v>218438</v>
      </c>
      <c r="H1119" s="6">
        <f>(G1119-F1119)</f>
        <v>3.0</v>
      </c>
      <c r="I1119" s="6" t="s">
        <v>24</v>
      </c>
      <c r="J1119" s="6" t="s">
        <v>48</v>
      </c>
    </row>
    <row r="1120" spans="1:10" ht="23" customHeight="1">
      <c r="A1120" s="6" t="s">
        <v>29</v>
      </c>
      <c r="B1120" s="6">
        <v>4</v>
      </c>
      <c r="C1120" s="6" t="s">
        <v>30</v>
      </c>
      <c r="D1120" s="6">
        <v>106</v>
      </c>
      <c r="E1120" s="6" t="s">
        <v>36</v>
      </c>
      <c r="F1120" s="6">
        <v>2293.6</v>
      </c>
      <c r="G1120" s="7">
        <v>2752.4</v>
      </c>
      <c r="H1120" s="6">
        <f>(G1120-F1120)</f>
        <v>458.8000000000002</v>
      </c>
      <c r="I1120" s="6" t="s">
        <v>24</v>
      </c>
      <c r="J1120" s="6" t="s">
        <v>48</v>
      </c>
    </row>
    <row r="1121" spans="1:10" ht="23" customHeight="1">
      <c r="A1121" s="6" t="s">
        <v>29</v>
      </c>
      <c r="B1121" s="6">
        <v>4</v>
      </c>
      <c r="C1121" s="6" t="s">
        <v>30</v>
      </c>
      <c r="D1121" s="6">
        <v>106</v>
      </c>
      <c r="E1121" s="6" t="s">
        <v>37</v>
      </c>
      <c r="F1121" s="6">
        <v>2293.6</v>
      </c>
      <c r="G1121" s="7">
        <v>2752.4</v>
      </c>
      <c r="H1121" s="6">
        <f>(G1121-F1121)</f>
        <v>458.8000000000002</v>
      </c>
      <c r="I1121" s="6" t="s">
        <v>24</v>
      </c>
      <c r="J1121" s="6" t="s">
        <v>48</v>
      </c>
    </row>
    <row r="1122" spans="1:10" ht="23" customHeight="1">
      <c r="A1122" s="6" t="s">
        <v>29</v>
      </c>
      <c r="B1122" s="6">
        <v>4</v>
      </c>
      <c r="C1122" s="6" t="s">
        <v>30</v>
      </c>
      <c r="D1122" s="6">
        <v>106</v>
      </c>
      <c r="E1122" s="6" t="s">
        <v>38</v>
      </c>
      <c r="F1122" s="6">
        <v>218435</v>
      </c>
      <c r="G1122" s="7">
        <v>218438</v>
      </c>
      <c r="H1122" s="6">
        <f>(G1122-F1122)</f>
        <v>3.0</v>
      </c>
      <c r="I1122" s="6" t="s">
        <v>24</v>
      </c>
      <c r="J1122" s="6" t="s">
        <v>48</v>
      </c>
    </row>
    <row r="1123" spans="1:10" ht="23" customHeight="1">
      <c r="A1123" s="6" t="s">
        <v>29</v>
      </c>
      <c r="B1123" s="6">
        <v>4</v>
      </c>
      <c r="C1123" s="6" t="s">
        <v>30</v>
      </c>
      <c r="D1123" s="6">
        <v>106</v>
      </c>
      <c r="E1123" s="6" t="s">
        <v>39</v>
      </c>
      <c r="F1123" s="6">
        <v>218435</v>
      </c>
      <c r="G1123" s="7">
        <v>218438</v>
      </c>
      <c r="H1123" s="6">
        <f>(G1123-F1123)</f>
        <v>3.0</v>
      </c>
      <c r="I1123" s="6" t="s">
        <v>24</v>
      </c>
      <c r="J1123" s="6" t="s">
        <v>48</v>
      </c>
    </row>
    <row r="1124" spans="1:10" ht="23" customHeight="1">
      <c r="A1124" s="6" t="s">
        <v>29</v>
      </c>
      <c r="B1124" s="6">
        <v>4</v>
      </c>
      <c r="C1124" s="6" t="s">
        <v>30</v>
      </c>
      <c r="D1124" s="6">
        <v>106</v>
      </c>
      <c r="E1124" s="6" t="s">
        <v>40</v>
      </c>
      <c r="F1124" s="6">
        <v>218435</v>
      </c>
      <c r="G1124" s="7">
        <v>218438</v>
      </c>
      <c r="H1124" s="6">
        <f>(G1124-F1124)</f>
        <v>3.0</v>
      </c>
      <c r="I1124" s="6" t="s">
        <v>24</v>
      </c>
      <c r="J1124" s="6" t="s">
        <v>48</v>
      </c>
    </row>
    <row r="1125" spans="1:10" ht="23" customHeight="1">
      <c r="A1125" s="6" t="s">
        <v>29</v>
      </c>
      <c r="B1125" s="6">
        <v>4</v>
      </c>
      <c r="C1125" s="6" t="s">
        <v>30</v>
      </c>
      <c r="D1125" s="6">
        <v>106</v>
      </c>
      <c r="E1125" s="6" t="s">
        <v>41</v>
      </c>
      <c r="F1125" s="6">
        <v>218435</v>
      </c>
      <c r="G1125" s="7">
        <v>218438</v>
      </c>
      <c r="H1125" s="6">
        <f>(G1125-F1125)</f>
        <v>3.0</v>
      </c>
      <c r="I1125" s="6" t="s">
        <v>24</v>
      </c>
      <c r="J1125" s="6" t="s">
        <v>48</v>
      </c>
    </row>
    <row r="1126" spans="1:10" ht="23" customHeight="1">
      <c r="A1126" s="6" t="s">
        <v>29</v>
      </c>
      <c r="B1126" s="6">
        <v>4</v>
      </c>
      <c r="C1126" s="6" t="s">
        <v>30</v>
      </c>
      <c r="D1126" s="6">
        <v>107</v>
      </c>
      <c r="E1126" s="6" t="s">
        <v>31</v>
      </c>
      <c r="F1126" s="6">
        <v>218435</v>
      </c>
      <c r="G1126" s="7">
        <v>218438</v>
      </c>
      <c r="H1126" s="6">
        <f>(G1126-F1126)</f>
        <v>3.0</v>
      </c>
      <c r="I1126" s="6" t="s">
        <v>24</v>
      </c>
      <c r="J1126" s="6" t="s">
        <v>48</v>
      </c>
    </row>
    <row r="1127" spans="1:10" ht="23" customHeight="1">
      <c r="A1127" s="6" t="s">
        <v>29</v>
      </c>
      <c r="B1127" s="6">
        <v>4</v>
      </c>
      <c r="C1127" s="6" t="s">
        <v>30</v>
      </c>
      <c r="D1127" s="6">
        <v>107</v>
      </c>
      <c r="E1127" s="6" t="s">
        <v>32</v>
      </c>
      <c r="F1127" s="6">
        <v>2293.6</v>
      </c>
      <c r="G1127" s="7">
        <v>2752.4</v>
      </c>
      <c r="H1127" s="6">
        <f>(G1127-F1127)</f>
        <v>458.8000000000002</v>
      </c>
      <c r="I1127" s="6" t="s">
        <v>24</v>
      </c>
      <c r="J1127" s="6" t="s">
        <v>48</v>
      </c>
    </row>
    <row r="1128" spans="1:10" ht="23" customHeight="1">
      <c r="A1128" s="6" t="s">
        <v>29</v>
      </c>
      <c r="B1128" s="6">
        <v>4</v>
      </c>
      <c r="C1128" s="6" t="s">
        <v>30</v>
      </c>
      <c r="D1128" s="6">
        <v>107</v>
      </c>
      <c r="E1128" s="6" t="s">
        <v>34</v>
      </c>
      <c r="F1128" s="6">
        <v>2293.6</v>
      </c>
      <c r="G1128" s="7">
        <v>2752.4</v>
      </c>
      <c r="H1128" s="6">
        <f>(G1128-F1128)</f>
        <v>458.8000000000002</v>
      </c>
      <c r="I1128" s="6" t="s">
        <v>24</v>
      </c>
      <c r="J1128" s="6" t="s">
        <v>48</v>
      </c>
    </row>
    <row r="1129" spans="1:10" ht="23" customHeight="1">
      <c r="A1129" s="6" t="s">
        <v>29</v>
      </c>
      <c r="B1129" s="6">
        <v>4</v>
      </c>
      <c r="C1129" s="6" t="s">
        <v>30</v>
      </c>
      <c r="D1129" s="6">
        <v>107</v>
      </c>
      <c r="E1129" s="6" t="s">
        <v>35</v>
      </c>
      <c r="F1129" s="6">
        <v>218435</v>
      </c>
      <c r="G1129" s="7">
        <v>218438</v>
      </c>
      <c r="H1129" s="6">
        <f>(G1129-F1129)</f>
        <v>3.0</v>
      </c>
      <c r="I1129" s="6" t="s">
        <v>24</v>
      </c>
      <c r="J1129" s="6" t="s">
        <v>48</v>
      </c>
    </row>
    <row r="1130" spans="1:10" ht="23" customHeight="1">
      <c r="A1130" s="6" t="s">
        <v>29</v>
      </c>
      <c r="B1130" s="6">
        <v>4</v>
      </c>
      <c r="C1130" s="6" t="s">
        <v>30</v>
      </c>
      <c r="D1130" s="6">
        <v>107</v>
      </c>
      <c r="E1130" s="6" t="s">
        <v>36</v>
      </c>
      <c r="F1130" s="6">
        <v>2293.6</v>
      </c>
      <c r="G1130" s="7">
        <v>2752.4</v>
      </c>
      <c r="H1130" s="6">
        <f>(G1130-F1130)</f>
        <v>458.8000000000002</v>
      </c>
      <c r="I1130" s="6" t="s">
        <v>24</v>
      </c>
      <c r="J1130" s="6" t="s">
        <v>48</v>
      </c>
    </row>
    <row r="1131" spans="1:10" ht="23" customHeight="1">
      <c r="A1131" s="6" t="s">
        <v>29</v>
      </c>
      <c r="B1131" s="6">
        <v>4</v>
      </c>
      <c r="C1131" s="6" t="s">
        <v>30</v>
      </c>
      <c r="D1131" s="6">
        <v>107</v>
      </c>
      <c r="E1131" s="6" t="s">
        <v>37</v>
      </c>
      <c r="F1131" s="6">
        <v>2293.6</v>
      </c>
      <c r="G1131" s="7">
        <v>2752.4</v>
      </c>
      <c r="H1131" s="6">
        <f>(G1131-F1131)</f>
        <v>458.8000000000002</v>
      </c>
      <c r="I1131" s="6" t="s">
        <v>24</v>
      </c>
      <c r="J1131" s="6" t="s">
        <v>48</v>
      </c>
    </row>
    <row r="1132" spans="1:10" ht="23" customHeight="1">
      <c r="A1132" s="6" t="s">
        <v>29</v>
      </c>
      <c r="B1132" s="6">
        <v>4</v>
      </c>
      <c r="C1132" s="6" t="s">
        <v>30</v>
      </c>
      <c r="D1132" s="6">
        <v>107</v>
      </c>
      <c r="E1132" s="6" t="s">
        <v>38</v>
      </c>
      <c r="F1132" s="6">
        <v>218435</v>
      </c>
      <c r="G1132" s="7">
        <v>218438</v>
      </c>
      <c r="H1132" s="6">
        <f>(G1132-F1132)</f>
        <v>3.0</v>
      </c>
      <c r="I1132" s="6" t="s">
        <v>24</v>
      </c>
      <c r="J1132" s="6" t="s">
        <v>48</v>
      </c>
    </row>
    <row r="1133" spans="1:10" ht="23" customHeight="1">
      <c r="A1133" s="6" t="s">
        <v>29</v>
      </c>
      <c r="B1133" s="6">
        <v>4</v>
      </c>
      <c r="C1133" s="6" t="s">
        <v>30</v>
      </c>
      <c r="D1133" s="6">
        <v>107</v>
      </c>
      <c r="E1133" s="6" t="s">
        <v>39</v>
      </c>
      <c r="F1133" s="6">
        <v>218435</v>
      </c>
      <c r="G1133" s="7">
        <v>218438</v>
      </c>
      <c r="H1133" s="6">
        <f>(G1133-F1133)</f>
        <v>3.0</v>
      </c>
      <c r="I1133" s="6" t="s">
        <v>24</v>
      </c>
      <c r="J1133" s="6" t="s">
        <v>48</v>
      </c>
    </row>
    <row r="1134" spans="1:10" ht="23" customHeight="1">
      <c r="A1134" s="6" t="s">
        <v>29</v>
      </c>
      <c r="B1134" s="6">
        <v>4</v>
      </c>
      <c r="C1134" s="6" t="s">
        <v>30</v>
      </c>
      <c r="D1134" s="6">
        <v>107</v>
      </c>
      <c r="E1134" s="6" t="s">
        <v>40</v>
      </c>
      <c r="F1134" s="6">
        <v>218435</v>
      </c>
      <c r="G1134" s="7">
        <v>218438</v>
      </c>
      <c r="H1134" s="6">
        <f>(G1134-F1134)</f>
        <v>3.0</v>
      </c>
      <c r="I1134" s="6" t="s">
        <v>24</v>
      </c>
      <c r="J1134" s="6" t="s">
        <v>48</v>
      </c>
    </row>
    <row r="1135" spans="1:10" ht="23" customHeight="1">
      <c r="A1135" s="6" t="s">
        <v>29</v>
      </c>
      <c r="B1135" s="6">
        <v>4</v>
      </c>
      <c r="C1135" s="6" t="s">
        <v>30</v>
      </c>
      <c r="D1135" s="6">
        <v>107</v>
      </c>
      <c r="E1135" s="6" t="s">
        <v>41</v>
      </c>
      <c r="F1135" s="6">
        <v>218435</v>
      </c>
      <c r="G1135" s="7">
        <v>218438</v>
      </c>
      <c r="H1135" s="6">
        <f>(G1135-F1135)</f>
        <v>3.0</v>
      </c>
      <c r="I1135" s="6" t="s">
        <v>24</v>
      </c>
      <c r="J1135" s="6" t="s">
        <v>48</v>
      </c>
    </row>
    <row r="1136" spans="1:10" ht="23" customHeight="1">
      <c r="A1136" s="6" t="s">
        <v>29</v>
      </c>
      <c r="B1136" s="6">
        <v>4</v>
      </c>
      <c r="C1136" s="6" t="s">
        <v>30</v>
      </c>
      <c r="D1136" s="6">
        <v>108</v>
      </c>
      <c r="E1136" s="6" t="s">
        <v>31</v>
      </c>
      <c r="F1136" s="6">
        <v>218435</v>
      </c>
      <c r="G1136" s="7">
        <v>218438</v>
      </c>
      <c r="H1136" s="6">
        <f>(G1136-F1136)</f>
        <v>3.0</v>
      </c>
      <c r="I1136" s="6" t="s">
        <v>24</v>
      </c>
      <c r="J1136" s="6" t="s">
        <v>48</v>
      </c>
    </row>
    <row r="1137" spans="1:10" ht="23" customHeight="1">
      <c r="A1137" s="6" t="s">
        <v>29</v>
      </c>
      <c r="B1137" s="6">
        <v>4</v>
      </c>
      <c r="C1137" s="6" t="s">
        <v>30</v>
      </c>
      <c r="D1137" s="6">
        <v>108</v>
      </c>
      <c r="E1137" s="6" t="s">
        <v>32</v>
      </c>
      <c r="F1137" s="6">
        <v>2293.6</v>
      </c>
      <c r="G1137" s="7">
        <v>2752.4</v>
      </c>
      <c r="H1137" s="6">
        <f>(G1137-F1137)</f>
        <v>458.8000000000002</v>
      </c>
      <c r="I1137" s="6" t="s">
        <v>24</v>
      </c>
      <c r="J1137" s="6" t="s">
        <v>48</v>
      </c>
    </row>
    <row r="1138" spans="1:10" ht="23" customHeight="1">
      <c r="A1138" s="6" t="s">
        <v>29</v>
      </c>
      <c r="B1138" s="6">
        <v>4</v>
      </c>
      <c r="C1138" s="6" t="s">
        <v>30</v>
      </c>
      <c r="D1138" s="6">
        <v>108</v>
      </c>
      <c r="E1138" s="6" t="s">
        <v>34</v>
      </c>
      <c r="F1138" s="6">
        <v>2293.6</v>
      </c>
      <c r="G1138" s="7">
        <v>2752.4</v>
      </c>
      <c r="H1138" s="6">
        <f>(G1138-F1138)</f>
        <v>458.8000000000002</v>
      </c>
      <c r="I1138" s="6" t="s">
        <v>24</v>
      </c>
      <c r="J1138" s="6" t="s">
        <v>48</v>
      </c>
    </row>
    <row r="1139" spans="1:10" ht="23" customHeight="1">
      <c r="A1139" s="6" t="s">
        <v>29</v>
      </c>
      <c r="B1139" s="6">
        <v>4</v>
      </c>
      <c r="C1139" s="6" t="s">
        <v>30</v>
      </c>
      <c r="D1139" s="6">
        <v>108</v>
      </c>
      <c r="E1139" s="6" t="s">
        <v>35</v>
      </c>
      <c r="F1139" s="6">
        <v>218435</v>
      </c>
      <c r="G1139" s="7">
        <v>218438</v>
      </c>
      <c r="H1139" s="6">
        <f>(G1139-F1139)</f>
        <v>3.0</v>
      </c>
      <c r="I1139" s="6" t="s">
        <v>24</v>
      </c>
      <c r="J1139" s="6" t="s">
        <v>48</v>
      </c>
    </row>
    <row r="1140" spans="1:10" ht="23" customHeight="1">
      <c r="A1140" s="6" t="s">
        <v>29</v>
      </c>
      <c r="B1140" s="6">
        <v>4</v>
      </c>
      <c r="C1140" s="6" t="s">
        <v>30</v>
      </c>
      <c r="D1140" s="6">
        <v>108</v>
      </c>
      <c r="E1140" s="6" t="s">
        <v>36</v>
      </c>
      <c r="F1140" s="6">
        <v>2293.6</v>
      </c>
      <c r="G1140" s="7">
        <v>2752.4</v>
      </c>
      <c r="H1140" s="6">
        <f>(G1140-F1140)</f>
        <v>458.8000000000002</v>
      </c>
      <c r="I1140" s="6" t="s">
        <v>24</v>
      </c>
      <c r="J1140" s="6" t="s">
        <v>48</v>
      </c>
    </row>
    <row r="1141" spans="1:10" ht="23" customHeight="1">
      <c r="A1141" s="6" t="s">
        <v>29</v>
      </c>
      <c r="B1141" s="6">
        <v>4</v>
      </c>
      <c r="C1141" s="6" t="s">
        <v>30</v>
      </c>
      <c r="D1141" s="6">
        <v>108</v>
      </c>
      <c r="E1141" s="6" t="s">
        <v>37</v>
      </c>
      <c r="F1141" s="6">
        <v>2293.6</v>
      </c>
      <c r="G1141" s="7">
        <v>2752.4</v>
      </c>
      <c r="H1141" s="6">
        <f>(G1141-F1141)</f>
        <v>458.8000000000002</v>
      </c>
      <c r="I1141" s="6" t="s">
        <v>24</v>
      </c>
      <c r="J1141" s="6" t="s">
        <v>48</v>
      </c>
    </row>
    <row r="1142" spans="1:10" ht="23" customHeight="1">
      <c r="A1142" s="6" t="s">
        <v>29</v>
      </c>
      <c r="B1142" s="6">
        <v>4</v>
      </c>
      <c r="C1142" s="6" t="s">
        <v>30</v>
      </c>
      <c r="D1142" s="6">
        <v>108</v>
      </c>
      <c r="E1142" s="6" t="s">
        <v>38</v>
      </c>
      <c r="F1142" s="6">
        <v>218435</v>
      </c>
      <c r="G1142" s="7">
        <v>218438</v>
      </c>
      <c r="H1142" s="6">
        <f>(G1142-F1142)</f>
        <v>3.0</v>
      </c>
      <c r="I1142" s="6" t="s">
        <v>24</v>
      </c>
      <c r="J1142" s="6" t="s">
        <v>48</v>
      </c>
    </row>
    <row r="1143" spans="1:10" ht="23" customHeight="1">
      <c r="A1143" s="6" t="s">
        <v>29</v>
      </c>
      <c r="B1143" s="6">
        <v>4</v>
      </c>
      <c r="C1143" s="6" t="s">
        <v>30</v>
      </c>
      <c r="D1143" s="6">
        <v>108</v>
      </c>
      <c r="E1143" s="6" t="s">
        <v>39</v>
      </c>
      <c r="F1143" s="6">
        <v>218435</v>
      </c>
      <c r="G1143" s="7">
        <v>218438</v>
      </c>
      <c r="H1143" s="6">
        <f>(G1143-F1143)</f>
        <v>3.0</v>
      </c>
      <c r="I1143" s="6" t="s">
        <v>24</v>
      </c>
      <c r="J1143" s="6" t="s">
        <v>48</v>
      </c>
    </row>
    <row r="1144" spans="1:10" ht="23" customHeight="1">
      <c r="A1144" s="6" t="s">
        <v>29</v>
      </c>
      <c r="B1144" s="6">
        <v>4</v>
      </c>
      <c r="C1144" s="6" t="s">
        <v>30</v>
      </c>
      <c r="D1144" s="6">
        <v>108</v>
      </c>
      <c r="E1144" s="6" t="s">
        <v>40</v>
      </c>
      <c r="F1144" s="6">
        <v>218435</v>
      </c>
      <c r="G1144" s="7">
        <v>218438</v>
      </c>
      <c r="H1144" s="6">
        <f>(G1144-F1144)</f>
        <v>3.0</v>
      </c>
      <c r="I1144" s="6" t="s">
        <v>24</v>
      </c>
      <c r="J1144" s="6" t="s">
        <v>48</v>
      </c>
    </row>
    <row r="1145" spans="1:10" ht="23" customHeight="1">
      <c r="A1145" s="6" t="s">
        <v>29</v>
      </c>
      <c r="B1145" s="6">
        <v>4</v>
      </c>
      <c r="C1145" s="6" t="s">
        <v>30</v>
      </c>
      <c r="D1145" s="6">
        <v>108</v>
      </c>
      <c r="E1145" s="6" t="s">
        <v>41</v>
      </c>
      <c r="F1145" s="6">
        <v>218435</v>
      </c>
      <c r="G1145" s="7">
        <v>218438</v>
      </c>
      <c r="H1145" s="6">
        <f>(G1145-F1145)</f>
        <v>3.0</v>
      </c>
      <c r="I1145" s="6" t="s">
        <v>24</v>
      </c>
      <c r="J1145" s="6" t="s">
        <v>48</v>
      </c>
    </row>
    <row r="1146" spans="1:10" ht="23" customHeight="1">
      <c r="A1146" s="6" t="s">
        <v>29</v>
      </c>
      <c r="B1146" s="6">
        <v>4</v>
      </c>
      <c r="C1146" s="6" t="s">
        <v>30</v>
      </c>
      <c r="D1146" s="6">
        <v>109</v>
      </c>
      <c r="E1146" s="6" t="s">
        <v>31</v>
      </c>
      <c r="F1146" s="6">
        <v>218435</v>
      </c>
      <c r="G1146" s="7">
        <v>218438</v>
      </c>
      <c r="H1146" s="6">
        <f>(G1146-F1146)</f>
        <v>3.0</v>
      </c>
      <c r="I1146" s="6" t="s">
        <v>24</v>
      </c>
      <c r="J1146" s="6" t="s">
        <v>48</v>
      </c>
    </row>
    <row r="1147" spans="1:10" ht="23" customHeight="1">
      <c r="A1147" s="6" t="s">
        <v>29</v>
      </c>
      <c r="B1147" s="6">
        <v>4</v>
      </c>
      <c r="C1147" s="6" t="s">
        <v>30</v>
      </c>
      <c r="D1147" s="6">
        <v>109</v>
      </c>
      <c r="E1147" s="6" t="s">
        <v>32</v>
      </c>
      <c r="F1147" s="6">
        <v>2293.6</v>
      </c>
      <c r="G1147" s="7">
        <v>2752.4</v>
      </c>
      <c r="H1147" s="6">
        <f>(G1147-F1147)</f>
        <v>458.8000000000002</v>
      </c>
      <c r="I1147" s="6" t="s">
        <v>24</v>
      </c>
      <c r="J1147" s="6" t="s">
        <v>48</v>
      </c>
    </row>
    <row r="1148" spans="1:10" ht="23" customHeight="1">
      <c r="A1148" s="6" t="s">
        <v>29</v>
      </c>
      <c r="B1148" s="6">
        <v>4</v>
      </c>
      <c r="C1148" s="6" t="s">
        <v>30</v>
      </c>
      <c r="D1148" s="6">
        <v>109</v>
      </c>
      <c r="E1148" s="6" t="s">
        <v>34</v>
      </c>
      <c r="F1148" s="6">
        <v>2293.6</v>
      </c>
      <c r="G1148" s="7">
        <v>2752.4</v>
      </c>
      <c r="H1148" s="6">
        <f>(G1148-F1148)</f>
        <v>458.8000000000002</v>
      </c>
      <c r="I1148" s="6" t="s">
        <v>24</v>
      </c>
      <c r="J1148" s="6" t="s">
        <v>48</v>
      </c>
    </row>
    <row r="1149" spans="1:10" ht="23" customHeight="1">
      <c r="A1149" s="6" t="s">
        <v>29</v>
      </c>
      <c r="B1149" s="6">
        <v>4</v>
      </c>
      <c r="C1149" s="6" t="s">
        <v>30</v>
      </c>
      <c r="D1149" s="6">
        <v>109</v>
      </c>
      <c r="E1149" s="6" t="s">
        <v>35</v>
      </c>
      <c r="F1149" s="6">
        <v>218435</v>
      </c>
      <c r="G1149" s="7">
        <v>218438</v>
      </c>
      <c r="H1149" s="6">
        <f>(G1149-F1149)</f>
        <v>3.0</v>
      </c>
      <c r="I1149" s="6" t="s">
        <v>24</v>
      </c>
      <c r="J1149" s="6" t="s">
        <v>48</v>
      </c>
    </row>
    <row r="1150" spans="1:10" ht="23" customHeight="1">
      <c r="A1150" s="6" t="s">
        <v>29</v>
      </c>
      <c r="B1150" s="6">
        <v>4</v>
      </c>
      <c r="C1150" s="6" t="s">
        <v>30</v>
      </c>
      <c r="D1150" s="6">
        <v>109</v>
      </c>
      <c r="E1150" s="6" t="s">
        <v>36</v>
      </c>
      <c r="F1150" s="6">
        <v>2293.6</v>
      </c>
      <c r="G1150" s="7">
        <v>2752.4</v>
      </c>
      <c r="H1150" s="6">
        <f>(G1150-F1150)</f>
        <v>458.8000000000002</v>
      </c>
      <c r="I1150" s="6" t="s">
        <v>24</v>
      </c>
      <c r="J1150" s="6" t="s">
        <v>48</v>
      </c>
    </row>
    <row r="1151" spans="1:10" ht="23" customHeight="1">
      <c r="A1151" s="6" t="s">
        <v>29</v>
      </c>
      <c r="B1151" s="6">
        <v>4</v>
      </c>
      <c r="C1151" s="6" t="s">
        <v>30</v>
      </c>
      <c r="D1151" s="6">
        <v>109</v>
      </c>
      <c r="E1151" s="6" t="s">
        <v>37</v>
      </c>
      <c r="F1151" s="6">
        <v>2293.6</v>
      </c>
      <c r="G1151" s="7">
        <v>2752.4</v>
      </c>
      <c r="H1151" s="6">
        <f>(G1151-F1151)</f>
        <v>458.8000000000002</v>
      </c>
      <c r="I1151" s="6" t="s">
        <v>24</v>
      </c>
      <c r="J1151" s="6" t="s">
        <v>48</v>
      </c>
    </row>
    <row r="1152" spans="1:10" ht="23" customHeight="1">
      <c r="A1152" s="6" t="s">
        <v>29</v>
      </c>
      <c r="B1152" s="6">
        <v>4</v>
      </c>
      <c r="C1152" s="6" t="s">
        <v>30</v>
      </c>
      <c r="D1152" s="6">
        <v>109</v>
      </c>
      <c r="E1152" s="6" t="s">
        <v>38</v>
      </c>
      <c r="F1152" s="6">
        <v>218435</v>
      </c>
      <c r="G1152" s="7">
        <v>218438</v>
      </c>
      <c r="H1152" s="6">
        <f>(G1152-F1152)</f>
        <v>3.0</v>
      </c>
      <c r="I1152" s="6" t="s">
        <v>24</v>
      </c>
      <c r="J1152" s="6" t="s">
        <v>48</v>
      </c>
    </row>
    <row r="1153" spans="1:10" ht="23" customHeight="1">
      <c r="A1153" s="6" t="s">
        <v>29</v>
      </c>
      <c r="B1153" s="6">
        <v>4</v>
      </c>
      <c r="C1153" s="6" t="s">
        <v>30</v>
      </c>
      <c r="D1153" s="6">
        <v>109</v>
      </c>
      <c r="E1153" s="6" t="s">
        <v>39</v>
      </c>
      <c r="F1153" s="6">
        <v>218435</v>
      </c>
      <c r="G1153" s="7">
        <v>218438</v>
      </c>
      <c r="H1153" s="6">
        <f>(G1153-F1153)</f>
        <v>3.0</v>
      </c>
      <c r="I1153" s="6" t="s">
        <v>24</v>
      </c>
      <c r="J1153" s="6" t="s">
        <v>48</v>
      </c>
    </row>
    <row r="1154" spans="1:10" ht="23" customHeight="1">
      <c r="A1154" s="6" t="s">
        <v>29</v>
      </c>
      <c r="B1154" s="6">
        <v>4</v>
      </c>
      <c r="C1154" s="6" t="s">
        <v>30</v>
      </c>
      <c r="D1154" s="6">
        <v>109</v>
      </c>
      <c r="E1154" s="6" t="s">
        <v>40</v>
      </c>
      <c r="F1154" s="6">
        <v>218435</v>
      </c>
      <c r="G1154" s="7">
        <v>218438</v>
      </c>
      <c r="H1154" s="6">
        <f>(G1154-F1154)</f>
        <v>3.0</v>
      </c>
      <c r="I1154" s="6" t="s">
        <v>24</v>
      </c>
      <c r="J1154" s="6" t="s">
        <v>48</v>
      </c>
    </row>
    <row r="1155" spans="1:10" ht="23" customHeight="1">
      <c r="A1155" s="6" t="s">
        <v>29</v>
      </c>
      <c r="B1155" s="6">
        <v>4</v>
      </c>
      <c r="C1155" s="6" t="s">
        <v>30</v>
      </c>
      <c r="D1155" s="6">
        <v>109</v>
      </c>
      <c r="E1155" s="6" t="s">
        <v>41</v>
      </c>
      <c r="F1155" s="6">
        <v>218435</v>
      </c>
      <c r="G1155" s="7">
        <v>218438</v>
      </c>
      <c r="H1155" s="6">
        <f>(G1155-F1155)</f>
        <v>3.0</v>
      </c>
      <c r="I1155" s="6" t="s">
        <v>24</v>
      </c>
      <c r="J1155" s="6" t="s">
        <v>48</v>
      </c>
    </row>
    <row r="1156" spans="1:10" ht="23" customHeight="1">
      <c r="A1156" s="6" t="s">
        <v>29</v>
      </c>
      <c r="B1156" s="6">
        <v>4</v>
      </c>
      <c r="C1156" s="6" t="s">
        <v>30</v>
      </c>
      <c r="D1156" s="6">
        <v>110</v>
      </c>
      <c r="E1156" s="6" t="s">
        <v>31</v>
      </c>
      <c r="F1156" s="6">
        <v>218435</v>
      </c>
      <c r="G1156" s="7">
        <v>218438</v>
      </c>
      <c r="H1156" s="6">
        <f>(G1156-F1156)</f>
        <v>3.0</v>
      </c>
      <c r="I1156" s="6" t="s">
        <v>24</v>
      </c>
      <c r="J1156" s="6" t="s">
        <v>48</v>
      </c>
    </row>
    <row r="1157" spans="1:10" ht="23" customHeight="1">
      <c r="A1157" s="6" t="s">
        <v>29</v>
      </c>
      <c r="B1157" s="6">
        <v>4</v>
      </c>
      <c r="C1157" s="6" t="s">
        <v>30</v>
      </c>
      <c r="D1157" s="6">
        <v>110</v>
      </c>
      <c r="E1157" s="6" t="s">
        <v>32</v>
      </c>
      <c r="F1157" s="6">
        <v>2293.6</v>
      </c>
      <c r="G1157" s="7">
        <v>2752.4</v>
      </c>
      <c r="H1157" s="6">
        <f>(G1157-F1157)</f>
        <v>458.8000000000002</v>
      </c>
      <c r="I1157" s="6" t="s">
        <v>24</v>
      </c>
      <c r="J1157" s="6" t="s">
        <v>48</v>
      </c>
    </row>
    <row r="1158" spans="1:10" ht="23" customHeight="1">
      <c r="A1158" s="6" t="s">
        <v>29</v>
      </c>
      <c r="B1158" s="6">
        <v>4</v>
      </c>
      <c r="C1158" s="6" t="s">
        <v>30</v>
      </c>
      <c r="D1158" s="6">
        <v>110</v>
      </c>
      <c r="E1158" s="6" t="s">
        <v>34</v>
      </c>
      <c r="F1158" s="6">
        <v>2293.6</v>
      </c>
      <c r="G1158" s="7">
        <v>2752.4</v>
      </c>
      <c r="H1158" s="6">
        <f>(G1158-F1158)</f>
        <v>458.8000000000002</v>
      </c>
      <c r="I1158" s="6" t="s">
        <v>24</v>
      </c>
      <c r="J1158" s="6" t="s">
        <v>48</v>
      </c>
    </row>
    <row r="1159" spans="1:10" ht="23" customHeight="1">
      <c r="A1159" s="6" t="s">
        <v>29</v>
      </c>
      <c r="B1159" s="6">
        <v>4</v>
      </c>
      <c r="C1159" s="6" t="s">
        <v>30</v>
      </c>
      <c r="D1159" s="6">
        <v>110</v>
      </c>
      <c r="E1159" s="6" t="s">
        <v>35</v>
      </c>
      <c r="F1159" s="6">
        <v>218435</v>
      </c>
      <c r="G1159" s="7">
        <v>218438</v>
      </c>
      <c r="H1159" s="6">
        <f>(G1159-F1159)</f>
        <v>3.0</v>
      </c>
      <c r="I1159" s="6" t="s">
        <v>24</v>
      </c>
      <c r="J1159" s="6" t="s">
        <v>48</v>
      </c>
    </row>
    <row r="1160" spans="1:10" ht="23" customHeight="1">
      <c r="A1160" s="6" t="s">
        <v>29</v>
      </c>
      <c r="B1160" s="6">
        <v>4</v>
      </c>
      <c r="C1160" s="6" t="s">
        <v>30</v>
      </c>
      <c r="D1160" s="6">
        <v>110</v>
      </c>
      <c r="E1160" s="6" t="s">
        <v>36</v>
      </c>
      <c r="F1160" s="6">
        <v>2293.6</v>
      </c>
      <c r="G1160" s="7">
        <v>2752.4</v>
      </c>
      <c r="H1160" s="6">
        <f>(G1160-F1160)</f>
        <v>458.8000000000002</v>
      </c>
      <c r="I1160" s="6" t="s">
        <v>24</v>
      </c>
      <c r="J1160" s="6" t="s">
        <v>48</v>
      </c>
    </row>
    <row r="1161" spans="1:10" ht="23" customHeight="1">
      <c r="A1161" s="6" t="s">
        <v>29</v>
      </c>
      <c r="B1161" s="6">
        <v>4</v>
      </c>
      <c r="C1161" s="6" t="s">
        <v>30</v>
      </c>
      <c r="D1161" s="6">
        <v>110</v>
      </c>
      <c r="E1161" s="6" t="s">
        <v>37</v>
      </c>
      <c r="F1161" s="6">
        <v>2293.6</v>
      </c>
      <c r="G1161" s="7">
        <v>2752.4</v>
      </c>
      <c r="H1161" s="6">
        <f>(G1161-F1161)</f>
        <v>458.8000000000002</v>
      </c>
      <c r="I1161" s="6" t="s">
        <v>24</v>
      </c>
      <c r="J1161" s="6" t="s">
        <v>48</v>
      </c>
    </row>
    <row r="1162" spans="1:10" ht="23" customHeight="1">
      <c r="A1162" s="6" t="s">
        <v>29</v>
      </c>
      <c r="B1162" s="6">
        <v>4</v>
      </c>
      <c r="C1162" s="6" t="s">
        <v>30</v>
      </c>
      <c r="D1162" s="6">
        <v>110</v>
      </c>
      <c r="E1162" s="6" t="s">
        <v>38</v>
      </c>
      <c r="F1162" s="6">
        <v>218435</v>
      </c>
      <c r="G1162" s="7">
        <v>218438</v>
      </c>
      <c r="H1162" s="6">
        <f>(G1162-F1162)</f>
        <v>3.0</v>
      </c>
      <c r="I1162" s="6" t="s">
        <v>24</v>
      </c>
      <c r="J1162" s="6" t="s">
        <v>48</v>
      </c>
    </row>
    <row r="1163" spans="1:10" ht="23" customHeight="1">
      <c r="A1163" s="6" t="s">
        <v>29</v>
      </c>
      <c r="B1163" s="6">
        <v>4</v>
      </c>
      <c r="C1163" s="6" t="s">
        <v>30</v>
      </c>
      <c r="D1163" s="6">
        <v>110</v>
      </c>
      <c r="E1163" s="6" t="s">
        <v>39</v>
      </c>
      <c r="F1163" s="6">
        <v>218435</v>
      </c>
      <c r="G1163" s="7">
        <v>218438</v>
      </c>
      <c r="H1163" s="6">
        <f>(G1163-F1163)</f>
        <v>3.0</v>
      </c>
      <c r="I1163" s="6" t="s">
        <v>24</v>
      </c>
      <c r="J1163" s="6" t="s">
        <v>48</v>
      </c>
    </row>
    <row r="1164" spans="1:10" ht="23" customHeight="1">
      <c r="A1164" s="6" t="s">
        <v>29</v>
      </c>
      <c r="B1164" s="6">
        <v>4</v>
      </c>
      <c r="C1164" s="6" t="s">
        <v>30</v>
      </c>
      <c r="D1164" s="6">
        <v>110</v>
      </c>
      <c r="E1164" s="6" t="s">
        <v>40</v>
      </c>
      <c r="F1164" s="6">
        <v>218435</v>
      </c>
      <c r="G1164" s="7">
        <v>218438</v>
      </c>
      <c r="H1164" s="6">
        <f>(G1164-F1164)</f>
        <v>3.0</v>
      </c>
      <c r="I1164" s="6" t="s">
        <v>24</v>
      </c>
      <c r="J1164" s="6" t="s">
        <v>48</v>
      </c>
    </row>
    <row r="1165" spans="1:10" ht="23" customHeight="1">
      <c r="A1165" s="6" t="s">
        <v>29</v>
      </c>
      <c r="B1165" s="6">
        <v>4</v>
      </c>
      <c r="C1165" s="6" t="s">
        <v>30</v>
      </c>
      <c r="D1165" s="6">
        <v>110</v>
      </c>
      <c r="E1165" s="6" t="s">
        <v>41</v>
      </c>
      <c r="F1165" s="6">
        <v>218435</v>
      </c>
      <c r="G1165" s="7">
        <v>218438</v>
      </c>
      <c r="H1165" s="6">
        <f>(G1165-F1165)</f>
        <v>3.0</v>
      </c>
      <c r="I1165" s="6" t="s">
        <v>24</v>
      </c>
      <c r="J1165" s="6" t="s">
        <v>48</v>
      </c>
    </row>
    <row r="1166" spans="1:10" ht="23" customHeight="1">
      <c r="A1166" s="6" t="s">
        <v>29</v>
      </c>
      <c r="B1166" s="6">
        <v>4</v>
      </c>
      <c r="C1166" s="6" t="s">
        <v>30</v>
      </c>
      <c r="D1166" s="6">
        <v>111</v>
      </c>
      <c r="E1166" s="6" t="s">
        <v>31</v>
      </c>
      <c r="F1166" s="6">
        <v>218435</v>
      </c>
      <c r="G1166" s="7">
        <v>218438</v>
      </c>
      <c r="H1166" s="6">
        <f>(G1166-F1166)</f>
        <v>3.0</v>
      </c>
      <c r="I1166" s="6" t="s">
        <v>24</v>
      </c>
      <c r="J1166" s="6" t="s">
        <v>48</v>
      </c>
    </row>
    <row r="1167" spans="1:10" ht="23" customHeight="1">
      <c r="A1167" s="6" t="s">
        <v>29</v>
      </c>
      <c r="B1167" s="6">
        <v>4</v>
      </c>
      <c r="C1167" s="6" t="s">
        <v>30</v>
      </c>
      <c r="D1167" s="6">
        <v>111</v>
      </c>
      <c r="E1167" s="6" t="s">
        <v>32</v>
      </c>
      <c r="F1167" s="6">
        <v>2293.6</v>
      </c>
      <c r="G1167" s="7">
        <v>2752.4</v>
      </c>
      <c r="H1167" s="6">
        <f>(G1167-F1167)</f>
        <v>458.8000000000002</v>
      </c>
      <c r="I1167" s="6" t="s">
        <v>24</v>
      </c>
      <c r="J1167" s="6" t="s">
        <v>48</v>
      </c>
    </row>
    <row r="1168" spans="1:10" ht="23" customHeight="1">
      <c r="A1168" s="6" t="s">
        <v>29</v>
      </c>
      <c r="B1168" s="6">
        <v>4</v>
      </c>
      <c r="C1168" s="6" t="s">
        <v>30</v>
      </c>
      <c r="D1168" s="6">
        <v>111</v>
      </c>
      <c r="E1168" s="6" t="s">
        <v>34</v>
      </c>
      <c r="F1168" s="6">
        <v>2293.6</v>
      </c>
      <c r="G1168" s="7">
        <v>2752.4</v>
      </c>
      <c r="H1168" s="6">
        <f>(G1168-F1168)</f>
        <v>458.8000000000002</v>
      </c>
      <c r="I1168" s="6" t="s">
        <v>24</v>
      </c>
      <c r="J1168" s="6" t="s">
        <v>48</v>
      </c>
    </row>
    <row r="1169" spans="1:10" ht="23" customHeight="1">
      <c r="A1169" s="6" t="s">
        <v>29</v>
      </c>
      <c r="B1169" s="6">
        <v>4</v>
      </c>
      <c r="C1169" s="6" t="s">
        <v>30</v>
      </c>
      <c r="D1169" s="6">
        <v>111</v>
      </c>
      <c r="E1169" s="6" t="s">
        <v>35</v>
      </c>
      <c r="F1169" s="6">
        <v>218435</v>
      </c>
      <c r="G1169" s="7">
        <v>218438</v>
      </c>
      <c r="H1169" s="6">
        <f>(G1169-F1169)</f>
        <v>3.0</v>
      </c>
      <c r="I1169" s="6" t="s">
        <v>24</v>
      </c>
      <c r="J1169" s="6" t="s">
        <v>48</v>
      </c>
    </row>
    <row r="1170" spans="1:10" ht="23" customHeight="1">
      <c r="A1170" s="6" t="s">
        <v>29</v>
      </c>
      <c r="B1170" s="6">
        <v>4</v>
      </c>
      <c r="C1170" s="6" t="s">
        <v>30</v>
      </c>
      <c r="D1170" s="6">
        <v>111</v>
      </c>
      <c r="E1170" s="6" t="s">
        <v>36</v>
      </c>
      <c r="F1170" s="6">
        <v>2293.6</v>
      </c>
      <c r="G1170" s="7">
        <v>2752.4</v>
      </c>
      <c r="H1170" s="6">
        <f>(G1170-F1170)</f>
        <v>458.8000000000002</v>
      </c>
      <c r="I1170" s="6" t="s">
        <v>24</v>
      </c>
      <c r="J1170" s="6" t="s">
        <v>48</v>
      </c>
    </row>
    <row r="1171" spans="1:10" ht="23" customHeight="1">
      <c r="A1171" s="6" t="s">
        <v>29</v>
      </c>
      <c r="B1171" s="6">
        <v>4</v>
      </c>
      <c r="C1171" s="6" t="s">
        <v>30</v>
      </c>
      <c r="D1171" s="6">
        <v>111</v>
      </c>
      <c r="E1171" s="6" t="s">
        <v>37</v>
      </c>
      <c r="F1171" s="6">
        <v>2293.6</v>
      </c>
      <c r="G1171" s="7">
        <v>2752.4</v>
      </c>
      <c r="H1171" s="6">
        <f>(G1171-F1171)</f>
        <v>458.8000000000002</v>
      </c>
      <c r="I1171" s="6" t="s">
        <v>24</v>
      </c>
      <c r="J1171" s="6" t="s">
        <v>48</v>
      </c>
    </row>
    <row r="1172" spans="1:10" ht="23" customHeight="1">
      <c r="A1172" s="6" t="s">
        <v>29</v>
      </c>
      <c r="B1172" s="6">
        <v>4</v>
      </c>
      <c r="C1172" s="6" t="s">
        <v>30</v>
      </c>
      <c r="D1172" s="6">
        <v>111</v>
      </c>
      <c r="E1172" s="6" t="s">
        <v>38</v>
      </c>
      <c r="F1172" s="6">
        <v>218435</v>
      </c>
      <c r="G1172" s="7">
        <v>218438</v>
      </c>
      <c r="H1172" s="6">
        <f>(G1172-F1172)</f>
        <v>3.0</v>
      </c>
      <c r="I1172" s="6" t="s">
        <v>24</v>
      </c>
      <c r="J1172" s="6" t="s">
        <v>48</v>
      </c>
    </row>
    <row r="1173" spans="1:10" ht="23" customHeight="1">
      <c r="A1173" s="6" t="s">
        <v>29</v>
      </c>
      <c r="B1173" s="6">
        <v>4</v>
      </c>
      <c r="C1173" s="6" t="s">
        <v>30</v>
      </c>
      <c r="D1173" s="6">
        <v>111</v>
      </c>
      <c r="E1173" s="6" t="s">
        <v>39</v>
      </c>
      <c r="F1173" s="6">
        <v>218435</v>
      </c>
      <c r="G1173" s="7">
        <v>218438</v>
      </c>
      <c r="H1173" s="6">
        <f>(G1173-F1173)</f>
        <v>3.0</v>
      </c>
      <c r="I1173" s="6" t="s">
        <v>24</v>
      </c>
      <c r="J1173" s="6" t="s">
        <v>48</v>
      </c>
    </row>
    <row r="1174" spans="1:10" ht="23" customHeight="1">
      <c r="A1174" s="6" t="s">
        <v>29</v>
      </c>
      <c r="B1174" s="6">
        <v>4</v>
      </c>
      <c r="C1174" s="6" t="s">
        <v>30</v>
      </c>
      <c r="D1174" s="6">
        <v>111</v>
      </c>
      <c r="E1174" s="6" t="s">
        <v>40</v>
      </c>
      <c r="F1174" s="6">
        <v>218435</v>
      </c>
      <c r="G1174" s="7">
        <v>218438</v>
      </c>
      <c r="H1174" s="6">
        <f>(G1174-F1174)</f>
        <v>3.0</v>
      </c>
      <c r="I1174" s="6" t="s">
        <v>24</v>
      </c>
      <c r="J1174" s="6" t="s">
        <v>48</v>
      </c>
    </row>
    <row r="1175" spans="1:10" ht="23" customHeight="1">
      <c r="A1175" s="6" t="s">
        <v>29</v>
      </c>
      <c r="B1175" s="6">
        <v>4</v>
      </c>
      <c r="C1175" s="6" t="s">
        <v>30</v>
      </c>
      <c r="D1175" s="6">
        <v>111</v>
      </c>
      <c r="E1175" s="6" t="s">
        <v>41</v>
      </c>
      <c r="F1175" s="6">
        <v>218435</v>
      </c>
      <c r="G1175" s="7">
        <v>218438</v>
      </c>
      <c r="H1175" s="6">
        <f>(G1175-F1175)</f>
        <v>3.0</v>
      </c>
      <c r="I1175" s="6" t="s">
        <v>24</v>
      </c>
      <c r="J1175" s="6" t="s">
        <v>48</v>
      </c>
    </row>
    <row r="1176" spans="1:10" ht="23" customHeight="1">
      <c r="A1176" s="6" t="s">
        <v>29</v>
      </c>
      <c r="B1176" s="6">
        <v>4</v>
      </c>
      <c r="C1176" s="6" t="s">
        <v>30</v>
      </c>
      <c r="D1176" s="6">
        <v>112</v>
      </c>
      <c r="E1176" s="6" t="s">
        <v>31</v>
      </c>
      <c r="F1176" s="6">
        <v>179146</v>
      </c>
      <c r="G1176" s="7">
        <v>179149</v>
      </c>
      <c r="H1176" s="6">
        <f>(G1176-F1176)</f>
        <v>3.0</v>
      </c>
      <c r="I1176" s="6" t="s">
        <v>24</v>
      </c>
      <c r="J1176" s="6" t="s">
        <v>48</v>
      </c>
    </row>
    <row r="1177" spans="1:10" ht="23" customHeight="1">
      <c r="A1177" s="6" t="s">
        <v>29</v>
      </c>
      <c r="B1177" s="6">
        <v>4</v>
      </c>
      <c r="C1177" s="6" t="s">
        <v>30</v>
      </c>
      <c r="D1177" s="6">
        <v>112</v>
      </c>
      <c r="E1177" s="6" t="s">
        <v>32</v>
      </c>
      <c r="F1177" s="6">
        <v>1693.7</v>
      </c>
      <c r="G1177" s="7">
        <v>2032.5</v>
      </c>
      <c r="H1177" s="6">
        <f>(G1177-F1177)</f>
        <v>338.79999999999995</v>
      </c>
      <c r="I1177" s="6" t="s">
        <v>24</v>
      </c>
      <c r="J1177" s="6" t="s">
        <v>48</v>
      </c>
    </row>
    <row r="1178" spans="1:10" ht="23" customHeight="1">
      <c r="A1178" s="6" t="s">
        <v>29</v>
      </c>
      <c r="B1178" s="6">
        <v>4</v>
      </c>
      <c r="C1178" s="6" t="s">
        <v>30</v>
      </c>
      <c r="D1178" s="6">
        <v>112</v>
      </c>
      <c r="E1178" s="6" t="s">
        <v>34</v>
      </c>
      <c r="F1178" s="6">
        <v>1693.7</v>
      </c>
      <c r="G1178" s="7">
        <v>2032.5</v>
      </c>
      <c r="H1178" s="6">
        <f>(G1178-F1178)</f>
        <v>338.79999999999995</v>
      </c>
      <c r="I1178" s="6" t="s">
        <v>24</v>
      </c>
      <c r="J1178" s="6" t="s">
        <v>48</v>
      </c>
    </row>
    <row r="1179" spans="1:10" ht="23" customHeight="1">
      <c r="A1179" s="6" t="s">
        <v>29</v>
      </c>
      <c r="B1179" s="6">
        <v>4</v>
      </c>
      <c r="C1179" s="6" t="s">
        <v>30</v>
      </c>
      <c r="D1179" s="6">
        <v>112</v>
      </c>
      <c r="E1179" s="6" t="s">
        <v>35</v>
      </c>
      <c r="F1179" s="6">
        <v>179146</v>
      </c>
      <c r="G1179" s="7">
        <v>179149</v>
      </c>
      <c r="H1179" s="6">
        <f>(G1179-F1179)</f>
        <v>3.0</v>
      </c>
      <c r="I1179" s="6" t="s">
        <v>24</v>
      </c>
      <c r="J1179" s="6" t="s">
        <v>48</v>
      </c>
    </row>
    <row r="1180" spans="1:10" ht="23" customHeight="1">
      <c r="A1180" s="6" t="s">
        <v>29</v>
      </c>
      <c r="B1180" s="6">
        <v>4</v>
      </c>
      <c r="C1180" s="6" t="s">
        <v>30</v>
      </c>
      <c r="D1180" s="6">
        <v>112</v>
      </c>
      <c r="E1180" s="6" t="s">
        <v>36</v>
      </c>
      <c r="F1180" s="6">
        <v>1693.7</v>
      </c>
      <c r="G1180" s="7">
        <v>2032.5</v>
      </c>
      <c r="H1180" s="6">
        <f>(G1180-F1180)</f>
        <v>338.79999999999995</v>
      </c>
      <c r="I1180" s="6" t="s">
        <v>24</v>
      </c>
      <c r="J1180" s="6" t="s">
        <v>48</v>
      </c>
    </row>
    <row r="1181" spans="1:10" ht="23" customHeight="1">
      <c r="A1181" s="6" t="s">
        <v>29</v>
      </c>
      <c r="B1181" s="6">
        <v>4</v>
      </c>
      <c r="C1181" s="6" t="s">
        <v>30</v>
      </c>
      <c r="D1181" s="6">
        <v>112</v>
      </c>
      <c r="E1181" s="6" t="s">
        <v>37</v>
      </c>
      <c r="F1181" s="6">
        <v>1693.7</v>
      </c>
      <c r="G1181" s="7">
        <v>2032.5</v>
      </c>
      <c r="H1181" s="6">
        <f>(G1181-F1181)</f>
        <v>338.79999999999995</v>
      </c>
      <c r="I1181" s="6" t="s">
        <v>24</v>
      </c>
      <c r="J1181" s="6" t="s">
        <v>48</v>
      </c>
    </row>
    <row r="1182" spans="1:10" ht="23" customHeight="1">
      <c r="A1182" s="6" t="s">
        <v>29</v>
      </c>
      <c r="B1182" s="6">
        <v>4</v>
      </c>
      <c r="C1182" s="6" t="s">
        <v>30</v>
      </c>
      <c r="D1182" s="6">
        <v>112</v>
      </c>
      <c r="E1182" s="6" t="s">
        <v>38</v>
      </c>
      <c r="F1182" s="6">
        <v>179146</v>
      </c>
      <c r="G1182" s="7">
        <v>179149</v>
      </c>
      <c r="H1182" s="6">
        <f>(G1182-F1182)</f>
        <v>3.0</v>
      </c>
      <c r="I1182" s="6" t="s">
        <v>24</v>
      </c>
      <c r="J1182" s="6" t="s">
        <v>48</v>
      </c>
    </row>
    <row r="1183" spans="1:10" ht="23" customHeight="1">
      <c r="A1183" s="6" t="s">
        <v>29</v>
      </c>
      <c r="B1183" s="6">
        <v>4</v>
      </c>
      <c r="C1183" s="6" t="s">
        <v>30</v>
      </c>
      <c r="D1183" s="6">
        <v>112</v>
      </c>
      <c r="E1183" s="6" t="s">
        <v>39</v>
      </c>
      <c r="F1183" s="6">
        <v>179146</v>
      </c>
      <c r="G1183" s="7">
        <v>179149</v>
      </c>
      <c r="H1183" s="6">
        <f>(G1183-F1183)</f>
        <v>3.0</v>
      </c>
      <c r="I1183" s="6" t="s">
        <v>24</v>
      </c>
      <c r="J1183" s="6" t="s">
        <v>48</v>
      </c>
    </row>
    <row r="1184" spans="1:10" ht="23" customHeight="1">
      <c r="A1184" s="6" t="s">
        <v>29</v>
      </c>
      <c r="B1184" s="6">
        <v>4</v>
      </c>
      <c r="C1184" s="6" t="s">
        <v>30</v>
      </c>
      <c r="D1184" s="6">
        <v>112</v>
      </c>
      <c r="E1184" s="6" t="s">
        <v>40</v>
      </c>
      <c r="F1184" s="6">
        <v>179146</v>
      </c>
      <c r="G1184" s="7">
        <v>179149</v>
      </c>
      <c r="H1184" s="6">
        <f>(G1184-F1184)</f>
        <v>3.0</v>
      </c>
      <c r="I1184" s="6" t="s">
        <v>24</v>
      </c>
      <c r="J1184" s="6" t="s">
        <v>48</v>
      </c>
    </row>
    <row r="1185" spans="1:10" ht="23" customHeight="1">
      <c r="A1185" s="6" t="s">
        <v>29</v>
      </c>
      <c r="B1185" s="6">
        <v>4</v>
      </c>
      <c r="C1185" s="6" t="s">
        <v>30</v>
      </c>
      <c r="D1185" s="6">
        <v>112</v>
      </c>
      <c r="E1185" s="6" t="s">
        <v>41</v>
      </c>
      <c r="F1185" s="6">
        <v>179146</v>
      </c>
      <c r="G1185" s="7">
        <v>179149</v>
      </c>
      <c r="H1185" s="6">
        <f>(G1185-F1185)</f>
        <v>3.0</v>
      </c>
      <c r="I1185" s="6" t="s">
        <v>24</v>
      </c>
      <c r="J1185" s="6" t="s">
        <v>48</v>
      </c>
    </row>
    <row r="1186" spans="1:10" ht="23" customHeight="1">
      <c r="A1186" s="6" t="s">
        <v>29</v>
      </c>
      <c r="B1186" s="6">
        <v>4</v>
      </c>
      <c r="C1186" s="6" t="s">
        <v>30</v>
      </c>
      <c r="D1186" s="6">
        <v>113</v>
      </c>
      <c r="E1186" s="6" t="s">
        <v>31</v>
      </c>
      <c r="F1186" s="6">
        <v>104933</v>
      </c>
      <c r="G1186" s="7">
        <v>104936</v>
      </c>
      <c r="H1186" s="6">
        <f>(G1186-F1186)</f>
        <v>3.0</v>
      </c>
      <c r="I1186" s="6" t="s">
        <v>24</v>
      </c>
      <c r="J1186" s="6" t="s">
        <v>48</v>
      </c>
    </row>
    <row r="1187" spans="1:10" ht="23" customHeight="1">
      <c r="A1187" s="6" t="s">
        <v>29</v>
      </c>
      <c r="B1187" s="6">
        <v>4</v>
      </c>
      <c r="C1187" s="6" t="s">
        <v>30</v>
      </c>
      <c r="D1187" s="6">
        <v>113</v>
      </c>
      <c r="E1187" s="6" t="s">
        <v>32</v>
      </c>
      <c r="F1187" s="6">
        <v>560.7</v>
      </c>
      <c r="G1187" s="7">
        <v>672.8</v>
      </c>
      <c r="H1187" s="6">
        <f>(G1187-F1187)</f>
        <v>112.09999999999991</v>
      </c>
      <c r="I1187" s="6" t="s">
        <v>24</v>
      </c>
      <c r="J1187" s="6" t="s">
        <v>48</v>
      </c>
    </row>
    <row r="1188" spans="1:10" ht="23" customHeight="1">
      <c r="A1188" s="6" t="s">
        <v>29</v>
      </c>
      <c r="B1188" s="6">
        <v>4</v>
      </c>
      <c r="C1188" s="6" t="s">
        <v>30</v>
      </c>
      <c r="D1188" s="6">
        <v>113</v>
      </c>
      <c r="E1188" s="6" t="s">
        <v>34</v>
      </c>
      <c r="F1188" s="6">
        <v>560.7</v>
      </c>
      <c r="G1188" s="7">
        <v>672.8</v>
      </c>
      <c r="H1188" s="6">
        <f>(G1188-F1188)</f>
        <v>112.09999999999991</v>
      </c>
      <c r="I1188" s="6" t="s">
        <v>24</v>
      </c>
      <c r="J1188" s="6" t="s">
        <v>48</v>
      </c>
    </row>
    <row r="1189" spans="1:10" ht="23" customHeight="1">
      <c r="A1189" s="6" t="s">
        <v>29</v>
      </c>
      <c r="B1189" s="6">
        <v>4</v>
      </c>
      <c r="C1189" s="6" t="s">
        <v>30</v>
      </c>
      <c r="D1189" s="6">
        <v>113</v>
      </c>
      <c r="E1189" s="6" t="s">
        <v>35</v>
      </c>
      <c r="F1189" s="6">
        <v>104933</v>
      </c>
      <c r="G1189" s="7">
        <v>104936</v>
      </c>
      <c r="H1189" s="6">
        <f>(G1189-F1189)</f>
        <v>3.0</v>
      </c>
      <c r="I1189" s="6" t="s">
        <v>24</v>
      </c>
      <c r="J1189" s="6" t="s">
        <v>48</v>
      </c>
    </row>
    <row r="1190" spans="1:10" ht="23" customHeight="1">
      <c r="A1190" s="6" t="s">
        <v>29</v>
      </c>
      <c r="B1190" s="6">
        <v>4</v>
      </c>
      <c r="C1190" s="6" t="s">
        <v>30</v>
      </c>
      <c r="D1190" s="6">
        <v>113</v>
      </c>
      <c r="E1190" s="6" t="s">
        <v>36</v>
      </c>
      <c r="F1190" s="6">
        <v>560.7</v>
      </c>
      <c r="G1190" s="7">
        <v>672.8</v>
      </c>
      <c r="H1190" s="6">
        <f>(G1190-F1190)</f>
        <v>112.09999999999991</v>
      </c>
      <c r="I1190" s="6" t="s">
        <v>24</v>
      </c>
      <c r="J1190" s="6" t="s">
        <v>48</v>
      </c>
    </row>
    <row r="1191" spans="1:10" ht="23" customHeight="1">
      <c r="A1191" s="6" t="s">
        <v>29</v>
      </c>
      <c r="B1191" s="6">
        <v>4</v>
      </c>
      <c r="C1191" s="6" t="s">
        <v>30</v>
      </c>
      <c r="D1191" s="6">
        <v>113</v>
      </c>
      <c r="E1191" s="6" t="s">
        <v>37</v>
      </c>
      <c r="F1191" s="6">
        <v>560.7</v>
      </c>
      <c r="G1191" s="7">
        <v>672.8</v>
      </c>
      <c r="H1191" s="6">
        <f>(G1191-F1191)</f>
        <v>112.09999999999991</v>
      </c>
      <c r="I1191" s="6" t="s">
        <v>24</v>
      </c>
      <c r="J1191" s="6" t="s">
        <v>48</v>
      </c>
    </row>
    <row r="1192" spans="1:10" ht="23" customHeight="1">
      <c r="A1192" s="6" t="s">
        <v>29</v>
      </c>
      <c r="B1192" s="6">
        <v>4</v>
      </c>
      <c r="C1192" s="6" t="s">
        <v>30</v>
      </c>
      <c r="D1192" s="6">
        <v>113</v>
      </c>
      <c r="E1192" s="6" t="s">
        <v>38</v>
      </c>
      <c r="F1192" s="6">
        <v>104933</v>
      </c>
      <c r="G1192" s="7">
        <v>104936</v>
      </c>
      <c r="H1192" s="6">
        <f>(G1192-F1192)</f>
        <v>3.0</v>
      </c>
      <c r="I1192" s="6" t="s">
        <v>24</v>
      </c>
      <c r="J1192" s="6" t="s">
        <v>48</v>
      </c>
    </row>
    <row r="1193" spans="1:10" ht="23" customHeight="1">
      <c r="A1193" s="6" t="s">
        <v>29</v>
      </c>
      <c r="B1193" s="6">
        <v>4</v>
      </c>
      <c r="C1193" s="6" t="s">
        <v>30</v>
      </c>
      <c r="D1193" s="6">
        <v>113</v>
      </c>
      <c r="E1193" s="6" t="s">
        <v>39</v>
      </c>
      <c r="F1193" s="6">
        <v>104933</v>
      </c>
      <c r="G1193" s="7">
        <v>104936</v>
      </c>
      <c r="H1193" s="6">
        <f>(G1193-F1193)</f>
        <v>3.0</v>
      </c>
      <c r="I1193" s="6" t="s">
        <v>24</v>
      </c>
      <c r="J1193" s="6" t="s">
        <v>48</v>
      </c>
    </row>
    <row r="1194" spans="1:10" ht="23" customHeight="1">
      <c r="A1194" s="6" t="s">
        <v>29</v>
      </c>
      <c r="B1194" s="6">
        <v>4</v>
      </c>
      <c r="C1194" s="6" t="s">
        <v>30</v>
      </c>
      <c r="D1194" s="6">
        <v>113</v>
      </c>
      <c r="E1194" s="6" t="s">
        <v>40</v>
      </c>
      <c r="F1194" s="6">
        <v>104933</v>
      </c>
      <c r="G1194" s="7">
        <v>104936</v>
      </c>
      <c r="H1194" s="6">
        <f>(G1194-F1194)</f>
        <v>3.0</v>
      </c>
      <c r="I1194" s="6" t="s">
        <v>24</v>
      </c>
      <c r="J1194" s="6" t="s">
        <v>48</v>
      </c>
    </row>
    <row r="1195" spans="1:10" ht="23" customHeight="1">
      <c r="A1195" s="6" t="s">
        <v>29</v>
      </c>
      <c r="B1195" s="6">
        <v>4</v>
      </c>
      <c r="C1195" s="6" t="s">
        <v>30</v>
      </c>
      <c r="D1195" s="6">
        <v>113</v>
      </c>
      <c r="E1195" s="6" t="s">
        <v>41</v>
      </c>
      <c r="F1195" s="6">
        <v>104933</v>
      </c>
      <c r="G1195" s="7">
        <v>104936</v>
      </c>
      <c r="H1195" s="6">
        <f>(G1195-F1195)</f>
        <v>3.0</v>
      </c>
      <c r="I1195" s="6" t="s">
        <v>24</v>
      </c>
      <c r="J1195" s="6" t="s">
        <v>48</v>
      </c>
    </row>
    <row r="1196" spans="1:10" ht="23" customHeight="1">
      <c r="A1196" s="6" t="s">
        <v>29</v>
      </c>
      <c r="B1196" s="6">
        <v>4</v>
      </c>
      <c r="C1196" s="6" t="s">
        <v>30</v>
      </c>
      <c r="D1196" s="6">
        <v>114</v>
      </c>
      <c r="E1196" s="6" t="s">
        <v>31</v>
      </c>
      <c r="F1196" s="6">
        <v>104933</v>
      </c>
      <c r="G1196" s="7">
        <v>104936</v>
      </c>
      <c r="H1196" s="6">
        <f>(G1196-F1196)</f>
        <v>3.0</v>
      </c>
      <c r="I1196" s="6" t="s">
        <v>24</v>
      </c>
      <c r="J1196" s="6" t="s">
        <v>48</v>
      </c>
    </row>
    <row r="1197" spans="1:10" ht="23" customHeight="1">
      <c r="A1197" s="6" t="s">
        <v>29</v>
      </c>
      <c r="B1197" s="6">
        <v>4</v>
      </c>
      <c r="C1197" s="6" t="s">
        <v>30</v>
      </c>
      <c r="D1197" s="6">
        <v>114</v>
      </c>
      <c r="E1197" s="6" t="s">
        <v>32</v>
      </c>
      <c r="F1197" s="6">
        <v>560.7</v>
      </c>
      <c r="G1197" s="7">
        <v>672.8</v>
      </c>
      <c r="H1197" s="6">
        <f>(G1197-F1197)</f>
        <v>112.09999999999991</v>
      </c>
      <c r="I1197" s="6" t="s">
        <v>24</v>
      </c>
      <c r="J1197" s="6" t="s">
        <v>48</v>
      </c>
    </row>
    <row r="1198" spans="1:10" ht="23" customHeight="1">
      <c r="A1198" s="6" t="s">
        <v>29</v>
      </c>
      <c r="B1198" s="6">
        <v>4</v>
      </c>
      <c r="C1198" s="6" t="s">
        <v>30</v>
      </c>
      <c r="D1198" s="6">
        <v>114</v>
      </c>
      <c r="E1198" s="6" t="s">
        <v>34</v>
      </c>
      <c r="F1198" s="6">
        <v>560.7</v>
      </c>
      <c r="G1198" s="7">
        <v>672.8</v>
      </c>
      <c r="H1198" s="6">
        <f>(G1198-F1198)</f>
        <v>112.09999999999991</v>
      </c>
      <c r="I1198" s="6" t="s">
        <v>24</v>
      </c>
      <c r="J1198" s="6" t="s">
        <v>48</v>
      </c>
    </row>
    <row r="1199" spans="1:10" ht="23" customHeight="1">
      <c r="A1199" s="6" t="s">
        <v>29</v>
      </c>
      <c r="B1199" s="6">
        <v>4</v>
      </c>
      <c r="C1199" s="6" t="s">
        <v>30</v>
      </c>
      <c r="D1199" s="6">
        <v>114</v>
      </c>
      <c r="E1199" s="6" t="s">
        <v>35</v>
      </c>
      <c r="F1199" s="6">
        <v>104933</v>
      </c>
      <c r="G1199" s="7">
        <v>104936</v>
      </c>
      <c r="H1199" s="6">
        <f>(G1199-F1199)</f>
        <v>3.0</v>
      </c>
      <c r="I1199" s="6" t="s">
        <v>24</v>
      </c>
      <c r="J1199" s="6" t="s">
        <v>48</v>
      </c>
    </row>
    <row r="1200" spans="1:10" ht="23" customHeight="1">
      <c r="A1200" s="6" t="s">
        <v>29</v>
      </c>
      <c r="B1200" s="6">
        <v>4</v>
      </c>
      <c r="C1200" s="6" t="s">
        <v>30</v>
      </c>
      <c r="D1200" s="6">
        <v>114</v>
      </c>
      <c r="E1200" s="6" t="s">
        <v>36</v>
      </c>
      <c r="F1200" s="6">
        <v>560.7</v>
      </c>
      <c r="G1200" s="7">
        <v>672.8</v>
      </c>
      <c r="H1200" s="6">
        <f>(G1200-F1200)</f>
        <v>112.09999999999991</v>
      </c>
      <c r="I1200" s="6" t="s">
        <v>24</v>
      </c>
      <c r="J1200" s="6" t="s">
        <v>48</v>
      </c>
    </row>
    <row r="1201" spans="1:10" ht="23" customHeight="1">
      <c r="A1201" s="6" t="s">
        <v>29</v>
      </c>
      <c r="B1201" s="6">
        <v>4</v>
      </c>
      <c r="C1201" s="6" t="s">
        <v>30</v>
      </c>
      <c r="D1201" s="6">
        <v>114</v>
      </c>
      <c r="E1201" s="6" t="s">
        <v>37</v>
      </c>
      <c r="F1201" s="6">
        <v>560.7</v>
      </c>
      <c r="G1201" s="7">
        <v>672.8</v>
      </c>
      <c r="H1201" s="6">
        <f>(G1201-F1201)</f>
        <v>112.09999999999991</v>
      </c>
      <c r="I1201" s="6" t="s">
        <v>24</v>
      </c>
      <c r="J1201" s="6" t="s">
        <v>48</v>
      </c>
    </row>
    <row r="1202" spans="1:10" ht="23" customHeight="1">
      <c r="A1202" s="6" t="s">
        <v>29</v>
      </c>
      <c r="B1202" s="6">
        <v>4</v>
      </c>
      <c r="C1202" s="6" t="s">
        <v>30</v>
      </c>
      <c r="D1202" s="6">
        <v>114</v>
      </c>
      <c r="E1202" s="6" t="s">
        <v>38</v>
      </c>
      <c r="F1202" s="6">
        <v>104933</v>
      </c>
      <c r="G1202" s="7">
        <v>104936</v>
      </c>
      <c r="H1202" s="6">
        <f>(G1202-F1202)</f>
        <v>3.0</v>
      </c>
      <c r="I1202" s="6" t="s">
        <v>24</v>
      </c>
      <c r="J1202" s="6" t="s">
        <v>48</v>
      </c>
    </row>
    <row r="1203" spans="1:10" ht="23" customHeight="1">
      <c r="A1203" s="6" t="s">
        <v>29</v>
      </c>
      <c r="B1203" s="6">
        <v>4</v>
      </c>
      <c r="C1203" s="6" t="s">
        <v>30</v>
      </c>
      <c r="D1203" s="6">
        <v>114</v>
      </c>
      <c r="E1203" s="6" t="s">
        <v>39</v>
      </c>
      <c r="F1203" s="6">
        <v>104933</v>
      </c>
      <c r="G1203" s="7">
        <v>104936</v>
      </c>
      <c r="H1203" s="6">
        <f>(G1203-F1203)</f>
        <v>3.0</v>
      </c>
      <c r="I1203" s="6" t="s">
        <v>24</v>
      </c>
      <c r="J1203" s="6" t="s">
        <v>48</v>
      </c>
    </row>
    <row r="1204" spans="1:10" ht="23" customHeight="1">
      <c r="A1204" s="6" t="s">
        <v>29</v>
      </c>
      <c r="B1204" s="6">
        <v>4</v>
      </c>
      <c r="C1204" s="6" t="s">
        <v>30</v>
      </c>
      <c r="D1204" s="6">
        <v>114</v>
      </c>
      <c r="E1204" s="6" t="s">
        <v>40</v>
      </c>
      <c r="F1204" s="6">
        <v>104933</v>
      </c>
      <c r="G1204" s="7">
        <v>104936</v>
      </c>
      <c r="H1204" s="6">
        <f>(G1204-F1204)</f>
        <v>3.0</v>
      </c>
      <c r="I1204" s="6" t="s">
        <v>24</v>
      </c>
      <c r="J1204" s="6" t="s">
        <v>48</v>
      </c>
    </row>
    <row r="1205" spans="1:10" ht="23" customHeight="1">
      <c r="A1205" s="6" t="s">
        <v>29</v>
      </c>
      <c r="B1205" s="6">
        <v>4</v>
      </c>
      <c r="C1205" s="6" t="s">
        <v>30</v>
      </c>
      <c r="D1205" s="6">
        <v>114</v>
      </c>
      <c r="E1205" s="6" t="s">
        <v>41</v>
      </c>
      <c r="F1205" s="6">
        <v>104933</v>
      </c>
      <c r="G1205" s="7">
        <v>104936</v>
      </c>
      <c r="H1205" s="6">
        <f>(G1205-F1205)</f>
        <v>3.0</v>
      </c>
      <c r="I1205" s="6" t="s">
        <v>24</v>
      </c>
      <c r="J1205" s="6" t="s">
        <v>48</v>
      </c>
    </row>
    <row r="1206" spans="1:10" ht="23" customHeight="1">
      <c r="A1206" s="6" t="s">
        <v>29</v>
      </c>
      <c r="B1206" s="6">
        <v>4</v>
      </c>
      <c r="C1206" s="6" t="s">
        <v>30</v>
      </c>
      <c r="D1206" s="6">
        <v>115</v>
      </c>
      <c r="E1206" s="6" t="s">
        <v>31</v>
      </c>
      <c r="F1206" s="6">
        <v>104933</v>
      </c>
      <c r="G1206" s="7">
        <v>104936</v>
      </c>
      <c r="H1206" s="6">
        <f>(G1206-F1206)</f>
        <v>3.0</v>
      </c>
      <c r="I1206" s="6" t="s">
        <v>24</v>
      </c>
      <c r="J1206" s="6" t="s">
        <v>48</v>
      </c>
    </row>
    <row r="1207" spans="1:10" ht="23" customHeight="1">
      <c r="A1207" s="6" t="s">
        <v>29</v>
      </c>
      <c r="B1207" s="6">
        <v>4</v>
      </c>
      <c r="C1207" s="6" t="s">
        <v>30</v>
      </c>
      <c r="D1207" s="6">
        <v>115</v>
      </c>
      <c r="E1207" s="6" t="s">
        <v>32</v>
      </c>
      <c r="F1207" s="6">
        <v>560.7</v>
      </c>
      <c r="G1207" s="7">
        <v>672.8</v>
      </c>
      <c r="H1207" s="6">
        <f>(G1207-F1207)</f>
        <v>112.09999999999991</v>
      </c>
      <c r="I1207" s="6" t="s">
        <v>24</v>
      </c>
      <c r="J1207" s="6" t="s">
        <v>48</v>
      </c>
    </row>
    <row r="1208" spans="1:10" ht="23" customHeight="1">
      <c r="A1208" s="6" t="s">
        <v>29</v>
      </c>
      <c r="B1208" s="6">
        <v>4</v>
      </c>
      <c r="C1208" s="6" t="s">
        <v>30</v>
      </c>
      <c r="D1208" s="6">
        <v>115</v>
      </c>
      <c r="E1208" s="6" t="s">
        <v>34</v>
      </c>
      <c r="F1208" s="6">
        <v>560.7</v>
      </c>
      <c r="G1208" s="7">
        <v>672.8</v>
      </c>
      <c r="H1208" s="6">
        <f>(G1208-F1208)</f>
        <v>112.09999999999991</v>
      </c>
      <c r="I1208" s="6" t="s">
        <v>24</v>
      </c>
      <c r="J1208" s="6" t="s">
        <v>48</v>
      </c>
    </row>
    <row r="1209" spans="1:10" ht="23" customHeight="1">
      <c r="A1209" s="6" t="s">
        <v>29</v>
      </c>
      <c r="B1209" s="6">
        <v>4</v>
      </c>
      <c r="C1209" s="6" t="s">
        <v>30</v>
      </c>
      <c r="D1209" s="6">
        <v>115</v>
      </c>
      <c r="E1209" s="6" t="s">
        <v>35</v>
      </c>
      <c r="F1209" s="6">
        <v>104933</v>
      </c>
      <c r="G1209" s="7">
        <v>104936</v>
      </c>
      <c r="H1209" s="6">
        <f>(G1209-F1209)</f>
        <v>3.0</v>
      </c>
      <c r="I1209" s="6" t="s">
        <v>24</v>
      </c>
      <c r="J1209" s="6" t="s">
        <v>48</v>
      </c>
    </row>
    <row r="1210" spans="1:10" ht="23" customHeight="1">
      <c r="A1210" s="6" t="s">
        <v>29</v>
      </c>
      <c r="B1210" s="6">
        <v>4</v>
      </c>
      <c r="C1210" s="6" t="s">
        <v>30</v>
      </c>
      <c r="D1210" s="6">
        <v>115</v>
      </c>
      <c r="E1210" s="6" t="s">
        <v>36</v>
      </c>
      <c r="F1210" s="6">
        <v>560.7</v>
      </c>
      <c r="G1210" s="7">
        <v>672.8</v>
      </c>
      <c r="H1210" s="6">
        <f>(G1210-F1210)</f>
        <v>112.09999999999991</v>
      </c>
      <c r="I1210" s="6" t="s">
        <v>24</v>
      </c>
      <c r="J1210" s="6" t="s">
        <v>48</v>
      </c>
    </row>
    <row r="1211" spans="1:10" ht="23" customHeight="1">
      <c r="A1211" s="6" t="s">
        <v>29</v>
      </c>
      <c r="B1211" s="6">
        <v>4</v>
      </c>
      <c r="C1211" s="6" t="s">
        <v>30</v>
      </c>
      <c r="D1211" s="6">
        <v>115</v>
      </c>
      <c r="E1211" s="6" t="s">
        <v>37</v>
      </c>
      <c r="F1211" s="6">
        <v>560.7</v>
      </c>
      <c r="G1211" s="7">
        <v>672.8</v>
      </c>
      <c r="H1211" s="6">
        <f>(G1211-F1211)</f>
        <v>112.09999999999991</v>
      </c>
      <c r="I1211" s="6" t="s">
        <v>24</v>
      </c>
      <c r="J1211" s="6" t="s">
        <v>48</v>
      </c>
    </row>
    <row r="1212" spans="1:10" ht="23" customHeight="1">
      <c r="A1212" s="6" t="s">
        <v>29</v>
      </c>
      <c r="B1212" s="6">
        <v>4</v>
      </c>
      <c r="C1212" s="6" t="s">
        <v>30</v>
      </c>
      <c r="D1212" s="6">
        <v>115</v>
      </c>
      <c r="E1212" s="6" t="s">
        <v>38</v>
      </c>
      <c r="F1212" s="6">
        <v>104933</v>
      </c>
      <c r="G1212" s="7">
        <v>104936</v>
      </c>
      <c r="H1212" s="6">
        <f>(G1212-F1212)</f>
        <v>3.0</v>
      </c>
      <c r="I1212" s="6" t="s">
        <v>24</v>
      </c>
      <c r="J1212" s="6" t="s">
        <v>48</v>
      </c>
    </row>
    <row r="1213" spans="1:10" ht="23" customHeight="1">
      <c r="A1213" s="6" t="s">
        <v>29</v>
      </c>
      <c r="B1213" s="6">
        <v>4</v>
      </c>
      <c r="C1213" s="6" t="s">
        <v>30</v>
      </c>
      <c r="D1213" s="6">
        <v>115</v>
      </c>
      <c r="E1213" s="6" t="s">
        <v>39</v>
      </c>
      <c r="F1213" s="6">
        <v>104933</v>
      </c>
      <c r="G1213" s="7">
        <v>104936</v>
      </c>
      <c r="H1213" s="6">
        <f>(G1213-F1213)</f>
        <v>3.0</v>
      </c>
      <c r="I1213" s="6" t="s">
        <v>24</v>
      </c>
      <c r="J1213" s="6" t="s">
        <v>48</v>
      </c>
    </row>
    <row r="1214" spans="1:10" ht="23" customHeight="1">
      <c r="A1214" s="6" t="s">
        <v>29</v>
      </c>
      <c r="B1214" s="6">
        <v>4</v>
      </c>
      <c r="C1214" s="6" t="s">
        <v>30</v>
      </c>
      <c r="D1214" s="6">
        <v>115</v>
      </c>
      <c r="E1214" s="6" t="s">
        <v>40</v>
      </c>
      <c r="F1214" s="6">
        <v>104933</v>
      </c>
      <c r="G1214" s="7">
        <v>104936</v>
      </c>
      <c r="H1214" s="6">
        <f>(G1214-F1214)</f>
        <v>3.0</v>
      </c>
      <c r="I1214" s="6" t="s">
        <v>24</v>
      </c>
      <c r="J1214" s="6" t="s">
        <v>48</v>
      </c>
    </row>
    <row r="1215" spans="1:10" ht="23" customHeight="1">
      <c r="A1215" s="6" t="s">
        <v>29</v>
      </c>
      <c r="B1215" s="6">
        <v>4</v>
      </c>
      <c r="C1215" s="6" t="s">
        <v>30</v>
      </c>
      <c r="D1215" s="6">
        <v>115</v>
      </c>
      <c r="E1215" s="6" t="s">
        <v>41</v>
      </c>
      <c r="F1215" s="6">
        <v>104933</v>
      </c>
      <c r="G1215" s="7">
        <v>104936</v>
      </c>
      <c r="H1215" s="6">
        <f>(G1215-F1215)</f>
        <v>3.0</v>
      </c>
      <c r="I1215" s="6" t="s">
        <v>24</v>
      </c>
      <c r="J1215" s="6" t="s">
        <v>48</v>
      </c>
    </row>
    <row r="1216" spans="1:10" ht="23" customHeight="1">
      <c r="A1216" s="6" t="s">
        <v>29</v>
      </c>
      <c r="B1216" s="6">
        <v>4</v>
      </c>
      <c r="C1216" s="6" t="s">
        <v>30</v>
      </c>
      <c r="D1216" s="6">
        <v>116</v>
      </c>
      <c r="E1216" s="6" t="s">
        <v>31</v>
      </c>
      <c r="F1216" s="6">
        <v>104933</v>
      </c>
      <c r="G1216" s="7">
        <v>104936</v>
      </c>
      <c r="H1216" s="6">
        <f>(G1216-F1216)</f>
        <v>3.0</v>
      </c>
      <c r="I1216" s="6" t="s">
        <v>24</v>
      </c>
      <c r="J1216" s="6" t="s">
        <v>48</v>
      </c>
    </row>
    <row r="1217" spans="1:10" ht="23" customHeight="1">
      <c r="A1217" s="6" t="s">
        <v>29</v>
      </c>
      <c r="B1217" s="6">
        <v>4</v>
      </c>
      <c r="C1217" s="6" t="s">
        <v>30</v>
      </c>
      <c r="D1217" s="6">
        <v>116</v>
      </c>
      <c r="E1217" s="6" t="s">
        <v>32</v>
      </c>
      <c r="F1217" s="6">
        <v>560.7</v>
      </c>
      <c r="G1217" s="7">
        <v>672.8</v>
      </c>
      <c r="H1217" s="6">
        <f>(G1217-F1217)</f>
        <v>112.09999999999991</v>
      </c>
      <c r="I1217" s="6" t="s">
        <v>24</v>
      </c>
      <c r="J1217" s="6" t="s">
        <v>48</v>
      </c>
    </row>
    <row r="1218" spans="1:10" ht="23" customHeight="1">
      <c r="A1218" s="6" t="s">
        <v>29</v>
      </c>
      <c r="B1218" s="6">
        <v>4</v>
      </c>
      <c r="C1218" s="6" t="s">
        <v>30</v>
      </c>
      <c r="D1218" s="6">
        <v>116</v>
      </c>
      <c r="E1218" s="6" t="s">
        <v>34</v>
      </c>
      <c r="F1218" s="6">
        <v>560.7</v>
      </c>
      <c r="G1218" s="7">
        <v>672.8</v>
      </c>
      <c r="H1218" s="6">
        <f>(G1218-F1218)</f>
        <v>112.09999999999991</v>
      </c>
      <c r="I1218" s="6" t="s">
        <v>24</v>
      </c>
      <c r="J1218" s="6" t="s">
        <v>48</v>
      </c>
    </row>
    <row r="1219" spans="1:10" ht="23" customHeight="1">
      <c r="A1219" s="6" t="s">
        <v>29</v>
      </c>
      <c r="B1219" s="6">
        <v>4</v>
      </c>
      <c r="C1219" s="6" t="s">
        <v>30</v>
      </c>
      <c r="D1219" s="6">
        <v>116</v>
      </c>
      <c r="E1219" s="6" t="s">
        <v>35</v>
      </c>
      <c r="F1219" s="6">
        <v>104933</v>
      </c>
      <c r="G1219" s="7">
        <v>104936</v>
      </c>
      <c r="H1219" s="6">
        <f>(G1219-F1219)</f>
        <v>3.0</v>
      </c>
      <c r="I1219" s="6" t="s">
        <v>24</v>
      </c>
      <c r="J1219" s="6" t="s">
        <v>48</v>
      </c>
    </row>
    <row r="1220" spans="1:10" ht="23" customHeight="1">
      <c r="A1220" s="6" t="s">
        <v>29</v>
      </c>
      <c r="B1220" s="6">
        <v>4</v>
      </c>
      <c r="C1220" s="6" t="s">
        <v>30</v>
      </c>
      <c r="D1220" s="6">
        <v>116</v>
      </c>
      <c r="E1220" s="6" t="s">
        <v>36</v>
      </c>
      <c r="F1220" s="6">
        <v>560.7</v>
      </c>
      <c r="G1220" s="7">
        <v>672.8</v>
      </c>
      <c r="H1220" s="6">
        <f>(G1220-F1220)</f>
        <v>112.09999999999991</v>
      </c>
      <c r="I1220" s="6" t="s">
        <v>24</v>
      </c>
      <c r="J1220" s="6" t="s">
        <v>48</v>
      </c>
    </row>
    <row r="1221" spans="1:10" ht="23" customHeight="1">
      <c r="A1221" s="6" t="s">
        <v>29</v>
      </c>
      <c r="B1221" s="6">
        <v>4</v>
      </c>
      <c r="C1221" s="6" t="s">
        <v>30</v>
      </c>
      <c r="D1221" s="6">
        <v>116</v>
      </c>
      <c r="E1221" s="6" t="s">
        <v>37</v>
      </c>
      <c r="F1221" s="6">
        <v>560.7</v>
      </c>
      <c r="G1221" s="7">
        <v>672.8</v>
      </c>
      <c r="H1221" s="6">
        <f>(G1221-F1221)</f>
        <v>112.09999999999991</v>
      </c>
      <c r="I1221" s="6" t="s">
        <v>24</v>
      </c>
      <c r="J1221" s="6" t="s">
        <v>48</v>
      </c>
    </row>
    <row r="1222" spans="1:10" ht="23" customHeight="1">
      <c r="A1222" s="6" t="s">
        <v>29</v>
      </c>
      <c r="B1222" s="6">
        <v>4</v>
      </c>
      <c r="C1222" s="6" t="s">
        <v>30</v>
      </c>
      <c r="D1222" s="6">
        <v>116</v>
      </c>
      <c r="E1222" s="6" t="s">
        <v>38</v>
      </c>
      <c r="F1222" s="6">
        <v>104933</v>
      </c>
      <c r="G1222" s="7">
        <v>104936</v>
      </c>
      <c r="H1222" s="6">
        <f>(G1222-F1222)</f>
        <v>3.0</v>
      </c>
      <c r="I1222" s="6" t="s">
        <v>24</v>
      </c>
      <c r="J1222" s="6" t="s">
        <v>48</v>
      </c>
    </row>
    <row r="1223" spans="1:10" ht="23" customHeight="1">
      <c r="A1223" s="6" t="s">
        <v>29</v>
      </c>
      <c r="B1223" s="6">
        <v>4</v>
      </c>
      <c r="C1223" s="6" t="s">
        <v>30</v>
      </c>
      <c r="D1223" s="6">
        <v>116</v>
      </c>
      <c r="E1223" s="6" t="s">
        <v>39</v>
      </c>
      <c r="F1223" s="6">
        <v>104933</v>
      </c>
      <c r="G1223" s="7">
        <v>104936</v>
      </c>
      <c r="H1223" s="6">
        <f>(G1223-F1223)</f>
        <v>3.0</v>
      </c>
      <c r="I1223" s="6" t="s">
        <v>24</v>
      </c>
      <c r="J1223" s="6" t="s">
        <v>48</v>
      </c>
    </row>
    <row r="1224" spans="1:10" ht="23" customHeight="1">
      <c r="A1224" s="6" t="s">
        <v>29</v>
      </c>
      <c r="B1224" s="6">
        <v>4</v>
      </c>
      <c r="C1224" s="6" t="s">
        <v>30</v>
      </c>
      <c r="D1224" s="6">
        <v>116</v>
      </c>
      <c r="E1224" s="6" t="s">
        <v>40</v>
      </c>
      <c r="F1224" s="6">
        <v>104933</v>
      </c>
      <c r="G1224" s="7">
        <v>104936</v>
      </c>
      <c r="H1224" s="6">
        <f>(G1224-F1224)</f>
        <v>3.0</v>
      </c>
      <c r="I1224" s="6" t="s">
        <v>24</v>
      </c>
      <c r="J1224" s="6" t="s">
        <v>48</v>
      </c>
    </row>
    <row r="1225" spans="1:10" ht="23" customHeight="1">
      <c r="A1225" s="6" t="s">
        <v>29</v>
      </c>
      <c r="B1225" s="6">
        <v>4</v>
      </c>
      <c r="C1225" s="6" t="s">
        <v>30</v>
      </c>
      <c r="D1225" s="6">
        <v>116</v>
      </c>
      <c r="E1225" s="6" t="s">
        <v>41</v>
      </c>
      <c r="F1225" s="6">
        <v>104933</v>
      </c>
      <c r="G1225" s="7">
        <v>104936</v>
      </c>
      <c r="H1225" s="6">
        <f>(G1225-F1225)</f>
        <v>3.0</v>
      </c>
      <c r="I1225" s="6" t="s">
        <v>24</v>
      </c>
      <c r="J1225" s="6" t="s">
        <v>48</v>
      </c>
    </row>
    <row r="1226" spans="1:10" ht="23" customHeight="1">
      <c r="A1226" s="6" t="s">
        <v>29</v>
      </c>
      <c r="B1226" s="6">
        <v>4</v>
      </c>
      <c r="C1226" s="6" t="s">
        <v>30</v>
      </c>
      <c r="D1226" s="6">
        <v>117</v>
      </c>
      <c r="E1226" s="6" t="s">
        <v>31</v>
      </c>
      <c r="F1226" s="6">
        <v>104933</v>
      </c>
      <c r="G1226" s="7">
        <v>104936</v>
      </c>
      <c r="H1226" s="6">
        <f>(G1226-F1226)</f>
        <v>3.0</v>
      </c>
      <c r="I1226" s="6" t="s">
        <v>24</v>
      </c>
      <c r="J1226" s="6" t="s">
        <v>48</v>
      </c>
    </row>
    <row r="1227" spans="1:10" ht="23" customHeight="1">
      <c r="A1227" s="6" t="s">
        <v>29</v>
      </c>
      <c r="B1227" s="6">
        <v>4</v>
      </c>
      <c r="C1227" s="6" t="s">
        <v>30</v>
      </c>
      <c r="D1227" s="6">
        <v>117</v>
      </c>
      <c r="E1227" s="6" t="s">
        <v>32</v>
      </c>
      <c r="F1227" s="6">
        <v>560.7</v>
      </c>
      <c r="G1227" s="7">
        <v>672.8</v>
      </c>
      <c r="H1227" s="6">
        <f>(G1227-F1227)</f>
        <v>112.09999999999991</v>
      </c>
      <c r="I1227" s="6" t="s">
        <v>24</v>
      </c>
      <c r="J1227" s="6" t="s">
        <v>48</v>
      </c>
    </row>
    <row r="1228" spans="1:10" ht="23" customHeight="1">
      <c r="A1228" s="6" t="s">
        <v>29</v>
      </c>
      <c r="B1228" s="6">
        <v>4</v>
      </c>
      <c r="C1228" s="6" t="s">
        <v>30</v>
      </c>
      <c r="D1228" s="6">
        <v>117</v>
      </c>
      <c r="E1228" s="6" t="s">
        <v>34</v>
      </c>
      <c r="F1228" s="6">
        <v>560.7</v>
      </c>
      <c r="G1228" s="7">
        <v>672.8</v>
      </c>
      <c r="H1228" s="6">
        <f>(G1228-F1228)</f>
        <v>112.09999999999991</v>
      </c>
      <c r="I1228" s="6" t="s">
        <v>24</v>
      </c>
      <c r="J1228" s="6" t="s">
        <v>48</v>
      </c>
    </row>
    <row r="1229" spans="1:10" ht="23" customHeight="1">
      <c r="A1229" s="6" t="s">
        <v>29</v>
      </c>
      <c r="B1229" s="6">
        <v>4</v>
      </c>
      <c r="C1229" s="6" t="s">
        <v>30</v>
      </c>
      <c r="D1229" s="6">
        <v>117</v>
      </c>
      <c r="E1229" s="6" t="s">
        <v>35</v>
      </c>
      <c r="F1229" s="6">
        <v>104933</v>
      </c>
      <c r="G1229" s="7">
        <v>104936</v>
      </c>
      <c r="H1229" s="6">
        <f>(G1229-F1229)</f>
        <v>3.0</v>
      </c>
      <c r="I1229" s="6" t="s">
        <v>24</v>
      </c>
      <c r="J1229" s="6" t="s">
        <v>48</v>
      </c>
    </row>
    <row r="1230" spans="1:10" ht="23" customHeight="1">
      <c r="A1230" s="6" t="s">
        <v>29</v>
      </c>
      <c r="B1230" s="6">
        <v>4</v>
      </c>
      <c r="C1230" s="6" t="s">
        <v>30</v>
      </c>
      <c r="D1230" s="6">
        <v>117</v>
      </c>
      <c r="E1230" s="6" t="s">
        <v>36</v>
      </c>
      <c r="F1230" s="6">
        <v>560.7</v>
      </c>
      <c r="G1230" s="7">
        <v>672.8</v>
      </c>
      <c r="H1230" s="6">
        <f>(G1230-F1230)</f>
        <v>112.09999999999991</v>
      </c>
      <c r="I1230" s="6" t="s">
        <v>24</v>
      </c>
      <c r="J1230" s="6" t="s">
        <v>48</v>
      </c>
    </row>
    <row r="1231" spans="1:10" ht="23" customHeight="1">
      <c r="A1231" s="6" t="s">
        <v>29</v>
      </c>
      <c r="B1231" s="6">
        <v>4</v>
      </c>
      <c r="C1231" s="6" t="s">
        <v>30</v>
      </c>
      <c r="D1231" s="6">
        <v>117</v>
      </c>
      <c r="E1231" s="6" t="s">
        <v>37</v>
      </c>
      <c r="F1231" s="6">
        <v>560.7</v>
      </c>
      <c r="G1231" s="7">
        <v>672.8</v>
      </c>
      <c r="H1231" s="6">
        <f>(G1231-F1231)</f>
        <v>112.09999999999991</v>
      </c>
      <c r="I1231" s="6" t="s">
        <v>24</v>
      </c>
      <c r="J1231" s="6" t="s">
        <v>48</v>
      </c>
    </row>
    <row r="1232" spans="1:10" ht="23" customHeight="1">
      <c r="A1232" s="6" t="s">
        <v>29</v>
      </c>
      <c r="B1232" s="6">
        <v>4</v>
      </c>
      <c r="C1232" s="6" t="s">
        <v>30</v>
      </c>
      <c r="D1232" s="6">
        <v>117</v>
      </c>
      <c r="E1232" s="6" t="s">
        <v>38</v>
      </c>
      <c r="F1232" s="6">
        <v>104933</v>
      </c>
      <c r="G1232" s="7">
        <v>104936</v>
      </c>
      <c r="H1232" s="6">
        <f>(G1232-F1232)</f>
        <v>3.0</v>
      </c>
      <c r="I1232" s="6" t="s">
        <v>24</v>
      </c>
      <c r="J1232" s="6" t="s">
        <v>48</v>
      </c>
    </row>
    <row r="1233" spans="1:10" ht="23" customHeight="1">
      <c r="A1233" s="6" t="s">
        <v>29</v>
      </c>
      <c r="B1233" s="6">
        <v>4</v>
      </c>
      <c r="C1233" s="6" t="s">
        <v>30</v>
      </c>
      <c r="D1233" s="6">
        <v>117</v>
      </c>
      <c r="E1233" s="6" t="s">
        <v>39</v>
      </c>
      <c r="F1233" s="6">
        <v>104933</v>
      </c>
      <c r="G1233" s="7">
        <v>104936</v>
      </c>
      <c r="H1233" s="6">
        <f>(G1233-F1233)</f>
        <v>3.0</v>
      </c>
      <c r="I1233" s="6" t="s">
        <v>24</v>
      </c>
      <c r="J1233" s="6" t="s">
        <v>48</v>
      </c>
    </row>
    <row r="1234" spans="1:10" ht="23" customHeight="1">
      <c r="A1234" s="6" t="s">
        <v>29</v>
      </c>
      <c r="B1234" s="6">
        <v>4</v>
      </c>
      <c r="C1234" s="6" t="s">
        <v>30</v>
      </c>
      <c r="D1234" s="6">
        <v>117</v>
      </c>
      <c r="E1234" s="6" t="s">
        <v>40</v>
      </c>
      <c r="F1234" s="6">
        <v>104933</v>
      </c>
      <c r="G1234" s="7">
        <v>104936</v>
      </c>
      <c r="H1234" s="6">
        <f>(G1234-F1234)</f>
        <v>3.0</v>
      </c>
      <c r="I1234" s="6" t="s">
        <v>24</v>
      </c>
      <c r="J1234" s="6" t="s">
        <v>48</v>
      </c>
    </row>
    <row r="1235" spans="1:10" ht="23" customHeight="1">
      <c r="A1235" s="6" t="s">
        <v>29</v>
      </c>
      <c r="B1235" s="6">
        <v>4</v>
      </c>
      <c r="C1235" s="6" t="s">
        <v>30</v>
      </c>
      <c r="D1235" s="6">
        <v>117</v>
      </c>
      <c r="E1235" s="6" t="s">
        <v>41</v>
      </c>
      <c r="F1235" s="6">
        <v>104933</v>
      </c>
      <c r="G1235" s="7">
        <v>104936</v>
      </c>
      <c r="H1235" s="6">
        <f>(G1235-F1235)</f>
        <v>3.0</v>
      </c>
      <c r="I1235" s="6" t="s">
        <v>24</v>
      </c>
      <c r="J1235" s="6" t="s">
        <v>48</v>
      </c>
    </row>
    <row r="1236" spans="1:10" ht="23" customHeight="1">
      <c r="A1236" s="6" t="s">
        <v>29</v>
      </c>
      <c r="B1236" s="6">
        <v>4</v>
      </c>
      <c r="C1236" s="6" t="s">
        <v>30</v>
      </c>
      <c r="D1236" s="6">
        <v>118</v>
      </c>
      <c r="E1236" s="6" t="s">
        <v>31</v>
      </c>
      <c r="F1236" s="6">
        <v>104933</v>
      </c>
      <c r="G1236" s="7">
        <v>104936</v>
      </c>
      <c r="H1236" s="6">
        <f>(G1236-F1236)</f>
        <v>3.0</v>
      </c>
      <c r="I1236" s="6" t="s">
        <v>24</v>
      </c>
      <c r="J1236" s="6" t="s">
        <v>48</v>
      </c>
    </row>
    <row r="1237" spans="1:10" ht="23" customHeight="1">
      <c r="A1237" s="6" t="s">
        <v>29</v>
      </c>
      <c r="B1237" s="6">
        <v>4</v>
      </c>
      <c r="C1237" s="6" t="s">
        <v>30</v>
      </c>
      <c r="D1237" s="6">
        <v>118</v>
      </c>
      <c r="E1237" s="6" t="s">
        <v>32</v>
      </c>
      <c r="F1237" s="6">
        <v>560.7</v>
      </c>
      <c r="G1237" s="7">
        <v>672.8</v>
      </c>
      <c r="H1237" s="6">
        <f>(G1237-F1237)</f>
        <v>112.09999999999991</v>
      </c>
      <c r="I1237" s="6" t="s">
        <v>24</v>
      </c>
      <c r="J1237" s="6" t="s">
        <v>48</v>
      </c>
    </row>
    <row r="1238" spans="1:10" ht="23" customHeight="1">
      <c r="A1238" s="6" t="s">
        <v>29</v>
      </c>
      <c r="B1238" s="6">
        <v>4</v>
      </c>
      <c r="C1238" s="6" t="s">
        <v>30</v>
      </c>
      <c r="D1238" s="6">
        <v>118</v>
      </c>
      <c r="E1238" s="6" t="s">
        <v>34</v>
      </c>
      <c r="F1238" s="6">
        <v>560.7</v>
      </c>
      <c r="G1238" s="7">
        <v>672.8</v>
      </c>
      <c r="H1238" s="6">
        <f>(G1238-F1238)</f>
        <v>112.09999999999991</v>
      </c>
      <c r="I1238" s="6" t="s">
        <v>24</v>
      </c>
      <c r="J1238" s="6" t="s">
        <v>48</v>
      </c>
    </row>
    <row r="1239" spans="1:10" ht="23" customHeight="1">
      <c r="A1239" s="6" t="s">
        <v>29</v>
      </c>
      <c r="B1239" s="6">
        <v>4</v>
      </c>
      <c r="C1239" s="6" t="s">
        <v>30</v>
      </c>
      <c r="D1239" s="6">
        <v>118</v>
      </c>
      <c r="E1239" s="6" t="s">
        <v>35</v>
      </c>
      <c r="F1239" s="6">
        <v>104933</v>
      </c>
      <c r="G1239" s="7">
        <v>104936</v>
      </c>
      <c r="H1239" s="6">
        <f>(G1239-F1239)</f>
        <v>3.0</v>
      </c>
      <c r="I1239" s="6" t="s">
        <v>24</v>
      </c>
      <c r="J1239" s="6" t="s">
        <v>48</v>
      </c>
    </row>
    <row r="1240" spans="1:10" ht="23" customHeight="1">
      <c r="A1240" s="6" t="s">
        <v>29</v>
      </c>
      <c r="B1240" s="6">
        <v>4</v>
      </c>
      <c r="C1240" s="6" t="s">
        <v>30</v>
      </c>
      <c r="D1240" s="6">
        <v>118</v>
      </c>
      <c r="E1240" s="6" t="s">
        <v>36</v>
      </c>
      <c r="F1240" s="6">
        <v>560.7</v>
      </c>
      <c r="G1240" s="7">
        <v>672.8</v>
      </c>
      <c r="H1240" s="6">
        <f>(G1240-F1240)</f>
        <v>112.09999999999991</v>
      </c>
      <c r="I1240" s="6" t="s">
        <v>24</v>
      </c>
      <c r="J1240" s="6" t="s">
        <v>48</v>
      </c>
    </row>
    <row r="1241" spans="1:10" ht="23" customHeight="1">
      <c r="A1241" s="6" t="s">
        <v>29</v>
      </c>
      <c r="B1241" s="6">
        <v>4</v>
      </c>
      <c r="C1241" s="6" t="s">
        <v>30</v>
      </c>
      <c r="D1241" s="6">
        <v>118</v>
      </c>
      <c r="E1241" s="6" t="s">
        <v>37</v>
      </c>
      <c r="F1241" s="6">
        <v>560.7</v>
      </c>
      <c r="G1241" s="7">
        <v>672.8</v>
      </c>
      <c r="H1241" s="6">
        <f>(G1241-F1241)</f>
        <v>112.09999999999991</v>
      </c>
      <c r="I1241" s="6" t="s">
        <v>24</v>
      </c>
      <c r="J1241" s="6" t="s">
        <v>48</v>
      </c>
    </row>
    <row r="1242" spans="1:10" ht="23" customHeight="1">
      <c r="A1242" s="6" t="s">
        <v>29</v>
      </c>
      <c r="B1242" s="6">
        <v>4</v>
      </c>
      <c r="C1242" s="6" t="s">
        <v>30</v>
      </c>
      <c r="D1242" s="6">
        <v>118</v>
      </c>
      <c r="E1242" s="6" t="s">
        <v>38</v>
      </c>
      <c r="F1242" s="6">
        <v>104933</v>
      </c>
      <c r="G1242" s="7">
        <v>104936</v>
      </c>
      <c r="H1242" s="6">
        <f>(G1242-F1242)</f>
        <v>3.0</v>
      </c>
      <c r="I1242" s="6" t="s">
        <v>24</v>
      </c>
      <c r="J1242" s="6" t="s">
        <v>48</v>
      </c>
    </row>
    <row r="1243" spans="1:10" ht="23" customHeight="1">
      <c r="A1243" s="6" t="s">
        <v>29</v>
      </c>
      <c r="B1243" s="6">
        <v>4</v>
      </c>
      <c r="C1243" s="6" t="s">
        <v>30</v>
      </c>
      <c r="D1243" s="6">
        <v>118</v>
      </c>
      <c r="E1243" s="6" t="s">
        <v>39</v>
      </c>
      <c r="F1243" s="6">
        <v>104933</v>
      </c>
      <c r="G1243" s="7">
        <v>104936</v>
      </c>
      <c r="H1243" s="6">
        <f>(G1243-F1243)</f>
        <v>3.0</v>
      </c>
      <c r="I1243" s="6" t="s">
        <v>24</v>
      </c>
      <c r="J1243" s="6" t="s">
        <v>48</v>
      </c>
    </row>
    <row r="1244" spans="1:10" ht="23" customHeight="1">
      <c r="A1244" s="6" t="s">
        <v>29</v>
      </c>
      <c r="B1244" s="6">
        <v>4</v>
      </c>
      <c r="C1244" s="6" t="s">
        <v>30</v>
      </c>
      <c r="D1244" s="6">
        <v>118</v>
      </c>
      <c r="E1244" s="6" t="s">
        <v>40</v>
      </c>
      <c r="F1244" s="6">
        <v>104933</v>
      </c>
      <c r="G1244" s="7">
        <v>104936</v>
      </c>
      <c r="H1244" s="6">
        <f>(G1244-F1244)</f>
        <v>3.0</v>
      </c>
      <c r="I1244" s="6" t="s">
        <v>24</v>
      </c>
      <c r="J1244" s="6" t="s">
        <v>48</v>
      </c>
    </row>
    <row r="1245" spans="1:10" ht="23" customHeight="1">
      <c r="A1245" s="6" t="s">
        <v>29</v>
      </c>
      <c r="B1245" s="6">
        <v>4</v>
      </c>
      <c r="C1245" s="6" t="s">
        <v>30</v>
      </c>
      <c r="D1245" s="6">
        <v>118</v>
      </c>
      <c r="E1245" s="6" t="s">
        <v>41</v>
      </c>
      <c r="F1245" s="6">
        <v>104933</v>
      </c>
      <c r="G1245" s="7">
        <v>104936</v>
      </c>
      <c r="H1245" s="6">
        <f>(G1245-F1245)</f>
        <v>3.0</v>
      </c>
      <c r="I1245" s="6" t="s">
        <v>24</v>
      </c>
      <c r="J1245" s="6" t="s">
        <v>48</v>
      </c>
    </row>
    <row r="1246" spans="1:10" ht="23" customHeight="1">
      <c r="A1246" s="6" t="s">
        <v>29</v>
      </c>
      <c r="B1246" s="6">
        <v>4</v>
      </c>
      <c r="C1246" s="6" t="s">
        <v>30</v>
      </c>
      <c r="D1246" s="6">
        <v>119</v>
      </c>
      <c r="E1246" s="6" t="s">
        <v>31</v>
      </c>
      <c r="F1246" s="6">
        <v>104933</v>
      </c>
      <c r="G1246" s="7">
        <v>104936</v>
      </c>
      <c r="H1246" s="6">
        <f>(G1246-F1246)</f>
        <v>3.0</v>
      </c>
      <c r="I1246" s="6" t="s">
        <v>24</v>
      </c>
      <c r="J1246" s="6" t="s">
        <v>48</v>
      </c>
    </row>
    <row r="1247" spans="1:10" ht="23" customHeight="1">
      <c r="A1247" s="6" t="s">
        <v>29</v>
      </c>
      <c r="B1247" s="6">
        <v>4</v>
      </c>
      <c r="C1247" s="6" t="s">
        <v>30</v>
      </c>
      <c r="D1247" s="6">
        <v>119</v>
      </c>
      <c r="E1247" s="6" t="s">
        <v>32</v>
      </c>
      <c r="F1247" s="6">
        <v>560.7</v>
      </c>
      <c r="G1247" s="7">
        <v>672.8</v>
      </c>
      <c r="H1247" s="6">
        <f>(G1247-F1247)</f>
        <v>112.09999999999991</v>
      </c>
      <c r="I1247" s="6" t="s">
        <v>24</v>
      </c>
      <c r="J1247" s="6" t="s">
        <v>48</v>
      </c>
    </row>
    <row r="1248" spans="1:10" ht="23" customHeight="1">
      <c r="A1248" s="6" t="s">
        <v>29</v>
      </c>
      <c r="B1248" s="6">
        <v>4</v>
      </c>
      <c r="C1248" s="6" t="s">
        <v>30</v>
      </c>
      <c r="D1248" s="6">
        <v>119</v>
      </c>
      <c r="E1248" s="6" t="s">
        <v>34</v>
      </c>
      <c r="F1248" s="6">
        <v>560.7</v>
      </c>
      <c r="G1248" s="7">
        <v>672.8</v>
      </c>
      <c r="H1248" s="6">
        <f>(G1248-F1248)</f>
        <v>112.09999999999991</v>
      </c>
      <c r="I1248" s="6" t="s">
        <v>24</v>
      </c>
      <c r="J1248" s="6" t="s">
        <v>48</v>
      </c>
    </row>
    <row r="1249" spans="1:10" ht="23" customHeight="1">
      <c r="A1249" s="6" t="s">
        <v>29</v>
      </c>
      <c r="B1249" s="6">
        <v>4</v>
      </c>
      <c r="C1249" s="6" t="s">
        <v>30</v>
      </c>
      <c r="D1249" s="6">
        <v>119</v>
      </c>
      <c r="E1249" s="6" t="s">
        <v>35</v>
      </c>
      <c r="F1249" s="6">
        <v>104933</v>
      </c>
      <c r="G1249" s="7">
        <v>104936</v>
      </c>
      <c r="H1249" s="6">
        <f>(G1249-F1249)</f>
        <v>3.0</v>
      </c>
      <c r="I1249" s="6" t="s">
        <v>24</v>
      </c>
      <c r="J1249" s="6" t="s">
        <v>48</v>
      </c>
    </row>
    <row r="1250" spans="1:10" ht="23" customHeight="1">
      <c r="A1250" s="6" t="s">
        <v>29</v>
      </c>
      <c r="B1250" s="6">
        <v>4</v>
      </c>
      <c r="C1250" s="6" t="s">
        <v>30</v>
      </c>
      <c r="D1250" s="6">
        <v>119</v>
      </c>
      <c r="E1250" s="6" t="s">
        <v>36</v>
      </c>
      <c r="F1250" s="6">
        <v>560.7</v>
      </c>
      <c r="G1250" s="7">
        <v>672.8</v>
      </c>
      <c r="H1250" s="6">
        <f>(G1250-F1250)</f>
        <v>112.09999999999991</v>
      </c>
      <c r="I1250" s="6" t="s">
        <v>24</v>
      </c>
      <c r="J1250" s="6" t="s">
        <v>48</v>
      </c>
    </row>
    <row r="1251" spans="1:10" ht="23" customHeight="1">
      <c r="A1251" s="6" t="s">
        <v>29</v>
      </c>
      <c r="B1251" s="6">
        <v>4</v>
      </c>
      <c r="C1251" s="6" t="s">
        <v>30</v>
      </c>
      <c r="D1251" s="6">
        <v>119</v>
      </c>
      <c r="E1251" s="6" t="s">
        <v>37</v>
      </c>
      <c r="F1251" s="6">
        <v>560.7</v>
      </c>
      <c r="G1251" s="7">
        <v>672.8</v>
      </c>
      <c r="H1251" s="6">
        <f>(G1251-F1251)</f>
        <v>112.09999999999991</v>
      </c>
      <c r="I1251" s="6" t="s">
        <v>24</v>
      </c>
      <c r="J1251" s="6" t="s">
        <v>48</v>
      </c>
    </row>
    <row r="1252" spans="1:10" ht="23" customHeight="1">
      <c r="A1252" s="6" t="s">
        <v>29</v>
      </c>
      <c r="B1252" s="6">
        <v>4</v>
      </c>
      <c r="C1252" s="6" t="s">
        <v>30</v>
      </c>
      <c r="D1252" s="6">
        <v>119</v>
      </c>
      <c r="E1252" s="6" t="s">
        <v>38</v>
      </c>
      <c r="F1252" s="6">
        <v>104933</v>
      </c>
      <c r="G1252" s="7">
        <v>104936</v>
      </c>
      <c r="H1252" s="6">
        <f>(G1252-F1252)</f>
        <v>3.0</v>
      </c>
      <c r="I1252" s="6" t="s">
        <v>24</v>
      </c>
      <c r="J1252" s="6" t="s">
        <v>48</v>
      </c>
    </row>
    <row r="1253" spans="1:10" ht="23" customHeight="1">
      <c r="A1253" s="6" t="s">
        <v>29</v>
      </c>
      <c r="B1253" s="6">
        <v>4</v>
      </c>
      <c r="C1253" s="6" t="s">
        <v>30</v>
      </c>
      <c r="D1253" s="6">
        <v>119</v>
      </c>
      <c r="E1253" s="6" t="s">
        <v>39</v>
      </c>
      <c r="F1253" s="6">
        <v>104933</v>
      </c>
      <c r="G1253" s="7">
        <v>104936</v>
      </c>
      <c r="H1253" s="6">
        <f>(G1253-F1253)</f>
        <v>3.0</v>
      </c>
      <c r="I1253" s="6" t="s">
        <v>24</v>
      </c>
      <c r="J1253" s="6" t="s">
        <v>48</v>
      </c>
    </row>
    <row r="1254" spans="1:10" ht="23" customHeight="1">
      <c r="A1254" s="6" t="s">
        <v>29</v>
      </c>
      <c r="B1254" s="6">
        <v>4</v>
      </c>
      <c r="C1254" s="6" t="s">
        <v>30</v>
      </c>
      <c r="D1254" s="6">
        <v>119</v>
      </c>
      <c r="E1254" s="6" t="s">
        <v>40</v>
      </c>
      <c r="F1254" s="6">
        <v>104933</v>
      </c>
      <c r="G1254" s="7">
        <v>104936</v>
      </c>
      <c r="H1254" s="6">
        <f>(G1254-F1254)</f>
        <v>3.0</v>
      </c>
      <c r="I1254" s="6" t="s">
        <v>24</v>
      </c>
      <c r="J1254" s="6" t="s">
        <v>48</v>
      </c>
    </row>
    <row r="1255" spans="1:10" ht="23" customHeight="1">
      <c r="A1255" s="6" t="s">
        <v>29</v>
      </c>
      <c r="B1255" s="6">
        <v>4</v>
      </c>
      <c r="C1255" s="6" t="s">
        <v>30</v>
      </c>
      <c r="D1255" s="6">
        <v>119</v>
      </c>
      <c r="E1255" s="6" t="s">
        <v>41</v>
      </c>
      <c r="F1255" s="6">
        <v>104933</v>
      </c>
      <c r="G1255" s="7">
        <v>104936</v>
      </c>
      <c r="H1255" s="6">
        <f>(G1255-F1255)</f>
        <v>3.0</v>
      </c>
      <c r="I1255" s="6" t="s">
        <v>24</v>
      </c>
      <c r="J1255" s="6" t="s">
        <v>48</v>
      </c>
    </row>
    <row r="1256" spans="1:10" ht="23" customHeight="1">
      <c r="A1256" s="6" t="s">
        <v>29</v>
      </c>
      <c r="B1256" s="6">
        <v>4</v>
      </c>
      <c r="C1256" s="6" t="s">
        <v>30</v>
      </c>
      <c r="D1256" s="6">
        <v>120</v>
      </c>
      <c r="E1256" s="6" t="s">
        <v>31</v>
      </c>
      <c r="F1256" s="6">
        <v>104933</v>
      </c>
      <c r="G1256" s="7">
        <v>104936</v>
      </c>
      <c r="H1256" s="6">
        <f>(G1256-F1256)</f>
        <v>3.0</v>
      </c>
      <c r="I1256" s="6" t="s">
        <v>24</v>
      </c>
      <c r="J1256" s="6" t="s">
        <v>48</v>
      </c>
    </row>
    <row r="1257" spans="1:10" ht="23" customHeight="1">
      <c r="A1257" s="6" t="s">
        <v>29</v>
      </c>
      <c r="B1257" s="6">
        <v>4</v>
      </c>
      <c r="C1257" s="6" t="s">
        <v>30</v>
      </c>
      <c r="D1257" s="6">
        <v>120</v>
      </c>
      <c r="E1257" s="6" t="s">
        <v>32</v>
      </c>
      <c r="F1257" s="6">
        <v>560.7</v>
      </c>
      <c r="G1257" s="7">
        <v>672.8</v>
      </c>
      <c r="H1257" s="6">
        <f>(G1257-F1257)</f>
        <v>112.09999999999991</v>
      </c>
      <c r="I1257" s="6" t="s">
        <v>24</v>
      </c>
      <c r="J1257" s="6" t="s">
        <v>48</v>
      </c>
    </row>
    <row r="1258" spans="1:10" ht="23" customHeight="1">
      <c r="A1258" s="6" t="s">
        <v>29</v>
      </c>
      <c r="B1258" s="6">
        <v>4</v>
      </c>
      <c r="C1258" s="6" t="s">
        <v>30</v>
      </c>
      <c r="D1258" s="6">
        <v>120</v>
      </c>
      <c r="E1258" s="6" t="s">
        <v>34</v>
      </c>
      <c r="F1258" s="6">
        <v>560.7</v>
      </c>
      <c r="G1258" s="7">
        <v>672.8</v>
      </c>
      <c r="H1258" s="6">
        <f>(G1258-F1258)</f>
        <v>112.09999999999991</v>
      </c>
      <c r="I1258" s="6" t="s">
        <v>24</v>
      </c>
      <c r="J1258" s="6" t="s">
        <v>48</v>
      </c>
    </row>
    <row r="1259" spans="1:10" ht="23" customHeight="1">
      <c r="A1259" s="6" t="s">
        <v>29</v>
      </c>
      <c r="B1259" s="6">
        <v>4</v>
      </c>
      <c r="C1259" s="6" t="s">
        <v>30</v>
      </c>
      <c r="D1259" s="6">
        <v>120</v>
      </c>
      <c r="E1259" s="6" t="s">
        <v>35</v>
      </c>
      <c r="F1259" s="6">
        <v>104933</v>
      </c>
      <c r="G1259" s="7">
        <v>104936</v>
      </c>
      <c r="H1259" s="6">
        <f>(G1259-F1259)</f>
        <v>3.0</v>
      </c>
      <c r="I1259" s="6" t="s">
        <v>24</v>
      </c>
      <c r="J1259" s="6" t="s">
        <v>48</v>
      </c>
    </row>
    <row r="1260" spans="1:10" ht="23" customHeight="1">
      <c r="A1260" s="6" t="s">
        <v>29</v>
      </c>
      <c r="B1260" s="6">
        <v>4</v>
      </c>
      <c r="C1260" s="6" t="s">
        <v>30</v>
      </c>
      <c r="D1260" s="6">
        <v>120</v>
      </c>
      <c r="E1260" s="6" t="s">
        <v>36</v>
      </c>
      <c r="F1260" s="6">
        <v>560.7</v>
      </c>
      <c r="G1260" s="7">
        <v>672.8</v>
      </c>
      <c r="H1260" s="6">
        <f>(G1260-F1260)</f>
        <v>112.09999999999991</v>
      </c>
      <c r="I1260" s="6" t="s">
        <v>24</v>
      </c>
      <c r="J1260" s="6" t="s">
        <v>48</v>
      </c>
    </row>
    <row r="1261" spans="1:10" ht="23" customHeight="1">
      <c r="A1261" s="6" t="s">
        <v>29</v>
      </c>
      <c r="B1261" s="6">
        <v>4</v>
      </c>
      <c r="C1261" s="6" t="s">
        <v>30</v>
      </c>
      <c r="D1261" s="6">
        <v>120</v>
      </c>
      <c r="E1261" s="6" t="s">
        <v>37</v>
      </c>
      <c r="F1261" s="6">
        <v>560.7</v>
      </c>
      <c r="G1261" s="7">
        <v>672.8</v>
      </c>
      <c r="H1261" s="6">
        <f>(G1261-F1261)</f>
        <v>112.09999999999991</v>
      </c>
      <c r="I1261" s="6" t="s">
        <v>24</v>
      </c>
      <c r="J1261" s="6" t="s">
        <v>48</v>
      </c>
    </row>
    <row r="1262" spans="1:10" ht="23" customHeight="1">
      <c r="A1262" s="6" t="s">
        <v>29</v>
      </c>
      <c r="B1262" s="6">
        <v>4</v>
      </c>
      <c r="C1262" s="6" t="s">
        <v>30</v>
      </c>
      <c r="D1262" s="6">
        <v>120</v>
      </c>
      <c r="E1262" s="6" t="s">
        <v>38</v>
      </c>
      <c r="F1262" s="6">
        <v>104933</v>
      </c>
      <c r="G1262" s="7">
        <v>104936</v>
      </c>
      <c r="H1262" s="6">
        <f>(G1262-F1262)</f>
        <v>3.0</v>
      </c>
      <c r="I1262" s="6" t="s">
        <v>24</v>
      </c>
      <c r="J1262" s="6" t="s">
        <v>48</v>
      </c>
    </row>
    <row r="1263" spans="1:10" ht="23" customHeight="1">
      <c r="A1263" s="6" t="s">
        <v>29</v>
      </c>
      <c r="B1263" s="6">
        <v>4</v>
      </c>
      <c r="C1263" s="6" t="s">
        <v>30</v>
      </c>
      <c r="D1263" s="6">
        <v>120</v>
      </c>
      <c r="E1263" s="6" t="s">
        <v>39</v>
      </c>
      <c r="F1263" s="6">
        <v>104933</v>
      </c>
      <c r="G1263" s="7">
        <v>104936</v>
      </c>
      <c r="H1263" s="6">
        <f>(G1263-F1263)</f>
        <v>3.0</v>
      </c>
      <c r="I1263" s="6" t="s">
        <v>24</v>
      </c>
      <c r="J1263" s="6" t="s">
        <v>48</v>
      </c>
    </row>
    <row r="1264" spans="1:10" ht="23" customHeight="1">
      <c r="A1264" s="6" t="s">
        <v>29</v>
      </c>
      <c r="B1264" s="6">
        <v>4</v>
      </c>
      <c r="C1264" s="6" t="s">
        <v>30</v>
      </c>
      <c r="D1264" s="6">
        <v>120</v>
      </c>
      <c r="E1264" s="6" t="s">
        <v>40</v>
      </c>
      <c r="F1264" s="6">
        <v>104933</v>
      </c>
      <c r="G1264" s="7">
        <v>104936</v>
      </c>
      <c r="H1264" s="6">
        <f>(G1264-F1264)</f>
        <v>3.0</v>
      </c>
      <c r="I1264" s="6" t="s">
        <v>24</v>
      </c>
      <c r="J1264" s="6" t="s">
        <v>48</v>
      </c>
    </row>
    <row r="1265" spans="1:10" ht="23" customHeight="1">
      <c r="A1265" s="6" t="s">
        <v>29</v>
      </c>
      <c r="B1265" s="6">
        <v>4</v>
      </c>
      <c r="C1265" s="6" t="s">
        <v>30</v>
      </c>
      <c r="D1265" s="6">
        <v>120</v>
      </c>
      <c r="E1265" s="6" t="s">
        <v>41</v>
      </c>
      <c r="F1265" s="6">
        <v>104933</v>
      </c>
      <c r="G1265" s="7">
        <v>104936</v>
      </c>
      <c r="H1265" s="6">
        <f>(G1265-F1265)</f>
        <v>3.0</v>
      </c>
      <c r="I1265" s="6" t="s">
        <v>24</v>
      </c>
      <c r="J1265" s="6" t="s">
        <v>48</v>
      </c>
    </row>
    <row r="1266" spans="1:10" ht="23" customHeight="1">
      <c r="A1266" s="6" t="s">
        <v>29</v>
      </c>
      <c r="B1266" s="6">
        <v>4</v>
      </c>
      <c r="C1266" s="6" t="s">
        <v>30</v>
      </c>
      <c r="D1266" s="6">
        <v>121</v>
      </c>
      <c r="E1266" s="6" t="s">
        <v>31</v>
      </c>
      <c r="F1266" s="6">
        <v>36323</v>
      </c>
      <c r="G1266" s="7">
        <v>36324</v>
      </c>
      <c r="H1266" s="6">
        <f>(G1266-F1266)</f>
        <v>1.0</v>
      </c>
      <c r="I1266" s="6" t="s">
        <v>24</v>
      </c>
      <c r="J1266" s="6" t="s">
        <v>48</v>
      </c>
    </row>
    <row r="1267" spans="1:10" ht="23" customHeight="1">
      <c r="A1267" s="6" t="s">
        <v>29</v>
      </c>
      <c r="B1267" s="6">
        <v>4</v>
      </c>
      <c r="C1267" s="6" t="s">
        <v>30</v>
      </c>
      <c r="D1267" s="6">
        <v>121</v>
      </c>
      <c r="E1267" s="6" t="s">
        <v>32</v>
      </c>
      <c r="F1267" s="6">
        <v>194.1</v>
      </c>
      <c r="G1267" s="7">
        <v>232.9</v>
      </c>
      <c r="H1267" s="6">
        <f>(G1267-F1267)</f>
        <v>38.80000000000001</v>
      </c>
      <c r="I1267" s="6" t="s">
        <v>24</v>
      </c>
      <c r="J1267" s="6" t="s">
        <v>48</v>
      </c>
    </row>
    <row r="1268" spans="1:10" ht="23" customHeight="1">
      <c r="A1268" s="6" t="s">
        <v>29</v>
      </c>
      <c r="B1268" s="6">
        <v>4</v>
      </c>
      <c r="C1268" s="6" t="s">
        <v>30</v>
      </c>
      <c r="D1268" s="6">
        <v>121</v>
      </c>
      <c r="E1268" s="6" t="s">
        <v>34</v>
      </c>
      <c r="F1268" s="6">
        <v>194.1</v>
      </c>
      <c r="G1268" s="7">
        <v>232.9</v>
      </c>
      <c r="H1268" s="6">
        <f>(G1268-F1268)</f>
        <v>38.80000000000001</v>
      </c>
      <c r="I1268" s="6" t="s">
        <v>24</v>
      </c>
      <c r="J1268" s="6" t="s">
        <v>48</v>
      </c>
    </row>
    <row r="1269" spans="1:10" ht="23" customHeight="1">
      <c r="A1269" s="6" t="s">
        <v>29</v>
      </c>
      <c r="B1269" s="6">
        <v>4</v>
      </c>
      <c r="C1269" s="6" t="s">
        <v>30</v>
      </c>
      <c r="D1269" s="6">
        <v>121</v>
      </c>
      <c r="E1269" s="6" t="s">
        <v>35</v>
      </c>
      <c r="F1269" s="6">
        <v>36323</v>
      </c>
      <c r="G1269" s="7">
        <v>36324</v>
      </c>
      <c r="H1269" s="6">
        <f>(G1269-F1269)</f>
        <v>1.0</v>
      </c>
      <c r="I1269" s="6" t="s">
        <v>24</v>
      </c>
      <c r="J1269" s="6" t="s">
        <v>48</v>
      </c>
    </row>
    <row r="1270" spans="1:10" ht="23" customHeight="1">
      <c r="A1270" s="6" t="s">
        <v>29</v>
      </c>
      <c r="B1270" s="6">
        <v>4</v>
      </c>
      <c r="C1270" s="6" t="s">
        <v>30</v>
      </c>
      <c r="D1270" s="6">
        <v>121</v>
      </c>
      <c r="E1270" s="6" t="s">
        <v>36</v>
      </c>
      <c r="F1270" s="6">
        <v>194.1</v>
      </c>
      <c r="G1270" s="7">
        <v>232.9</v>
      </c>
      <c r="H1270" s="6">
        <f>(G1270-F1270)</f>
        <v>38.80000000000001</v>
      </c>
      <c r="I1270" s="6" t="s">
        <v>24</v>
      </c>
      <c r="J1270" s="6" t="s">
        <v>48</v>
      </c>
    </row>
    <row r="1271" spans="1:10" ht="23" customHeight="1">
      <c r="A1271" s="6" t="s">
        <v>29</v>
      </c>
      <c r="B1271" s="6">
        <v>4</v>
      </c>
      <c r="C1271" s="6" t="s">
        <v>30</v>
      </c>
      <c r="D1271" s="6">
        <v>121</v>
      </c>
      <c r="E1271" s="6" t="s">
        <v>37</v>
      </c>
      <c r="F1271" s="6">
        <v>194.1</v>
      </c>
      <c r="G1271" s="7">
        <v>232.9</v>
      </c>
      <c r="H1271" s="6">
        <f>(G1271-F1271)</f>
        <v>38.80000000000001</v>
      </c>
      <c r="I1271" s="6" t="s">
        <v>24</v>
      </c>
      <c r="J1271" s="6" t="s">
        <v>48</v>
      </c>
    </row>
    <row r="1272" spans="1:10" ht="23" customHeight="1">
      <c r="A1272" s="6" t="s">
        <v>29</v>
      </c>
      <c r="B1272" s="6">
        <v>4</v>
      </c>
      <c r="C1272" s="6" t="s">
        <v>30</v>
      </c>
      <c r="D1272" s="6">
        <v>121</v>
      </c>
      <c r="E1272" s="6" t="s">
        <v>38</v>
      </c>
      <c r="F1272" s="6">
        <v>36323</v>
      </c>
      <c r="G1272" s="7">
        <v>36324</v>
      </c>
      <c r="H1272" s="6">
        <f>(G1272-F1272)</f>
        <v>1.0</v>
      </c>
      <c r="I1272" s="6" t="s">
        <v>24</v>
      </c>
      <c r="J1272" s="6" t="s">
        <v>48</v>
      </c>
    </row>
    <row r="1273" spans="1:10" ht="23" customHeight="1">
      <c r="A1273" s="6" t="s">
        <v>29</v>
      </c>
      <c r="B1273" s="6">
        <v>4</v>
      </c>
      <c r="C1273" s="6" t="s">
        <v>30</v>
      </c>
      <c r="D1273" s="6">
        <v>121</v>
      </c>
      <c r="E1273" s="6" t="s">
        <v>39</v>
      </c>
      <c r="F1273" s="6">
        <v>36323</v>
      </c>
      <c r="G1273" s="7">
        <v>36324</v>
      </c>
      <c r="H1273" s="6">
        <f>(G1273-F1273)</f>
        <v>1.0</v>
      </c>
      <c r="I1273" s="6" t="s">
        <v>24</v>
      </c>
      <c r="J1273" s="6" t="s">
        <v>48</v>
      </c>
    </row>
    <row r="1274" spans="1:10" ht="23" customHeight="1">
      <c r="A1274" s="6" t="s">
        <v>29</v>
      </c>
      <c r="B1274" s="6">
        <v>4</v>
      </c>
      <c r="C1274" s="6" t="s">
        <v>30</v>
      </c>
      <c r="D1274" s="6">
        <v>121</v>
      </c>
      <c r="E1274" s="6" t="s">
        <v>40</v>
      </c>
      <c r="F1274" s="6">
        <v>36323</v>
      </c>
      <c r="G1274" s="7">
        <v>36324</v>
      </c>
      <c r="H1274" s="6">
        <f>(G1274-F1274)</f>
        <v>1.0</v>
      </c>
      <c r="I1274" s="6" t="s">
        <v>24</v>
      </c>
      <c r="J1274" s="6" t="s">
        <v>48</v>
      </c>
    </row>
    <row r="1275" spans="1:10" ht="23" customHeight="1">
      <c r="A1275" s="6" t="s">
        <v>29</v>
      </c>
      <c r="B1275" s="6">
        <v>4</v>
      </c>
      <c r="C1275" s="6" t="s">
        <v>30</v>
      </c>
      <c r="D1275" s="6">
        <v>121</v>
      </c>
      <c r="E1275" s="6" t="s">
        <v>41</v>
      </c>
      <c r="F1275" s="6">
        <v>36323</v>
      </c>
      <c r="G1275" s="7">
        <v>36324</v>
      </c>
      <c r="H1275" s="6">
        <f>(G1275-F1275)</f>
        <v>1.0</v>
      </c>
      <c r="I1275" s="6" t="s">
        <v>24</v>
      </c>
      <c r="J1275" s="6" t="s">
        <v>48</v>
      </c>
    </row>
    <row r="1276" spans="1:10" ht="23" customHeight="1">
      <c r="A1276" s="6" t="s">
        <v>29</v>
      </c>
      <c r="B1276" s="6">
        <v>5</v>
      </c>
      <c r="C1276" s="6" t="s">
        <v>30</v>
      </c>
      <c r="D1276" s="6">
        <v>127</v>
      </c>
      <c r="E1276" s="6" t="s">
        <v>31</v>
      </c>
      <c r="F1276" s="6">
        <v>34421</v>
      </c>
      <c r="G1276" s="7">
        <v>34419</v>
      </c>
      <c r="H1276" s="6">
        <f>(G1276-F1276)</f>
        <v>-2.0</v>
      </c>
      <c r="I1276" s="6" t="s">
        <v>24</v>
      </c>
      <c r="J1276" s="6" t="s">
        <v>48</v>
      </c>
    </row>
    <row r="1277" spans="1:10" ht="23" customHeight="1">
      <c r="A1277" s="6" t="s">
        <v>29</v>
      </c>
      <c r="B1277" s="6">
        <v>5</v>
      </c>
      <c r="C1277" s="6" t="s">
        <v>30</v>
      </c>
      <c r="D1277" s="6">
        <v>127</v>
      </c>
      <c r="E1277" s="6" t="s">
        <v>32</v>
      </c>
      <c r="F1277" s="6">
        <v>241</v>
      </c>
      <c r="G1277" s="7">
        <v>289.1</v>
      </c>
      <c r="H1277" s="6">
        <f>(G1277-F1277)</f>
        <v>48.10000000000002</v>
      </c>
      <c r="I1277" s="6" t="s">
        <v>24</v>
      </c>
      <c r="J1277" s="6" t="s">
        <v>48</v>
      </c>
    </row>
    <row r="1278" spans="1:10" ht="23" customHeight="1">
      <c r="A1278" s="6" t="s">
        <v>29</v>
      </c>
      <c r="B1278" s="6">
        <v>5</v>
      </c>
      <c r="C1278" s="6" t="s">
        <v>30</v>
      </c>
      <c r="D1278" s="6">
        <v>127</v>
      </c>
      <c r="E1278" s="6" t="s">
        <v>34</v>
      </c>
      <c r="F1278" s="6">
        <v>241</v>
      </c>
      <c r="G1278" s="7">
        <v>289.1</v>
      </c>
      <c r="H1278" s="6">
        <f>(G1278-F1278)</f>
        <v>48.10000000000002</v>
      </c>
      <c r="I1278" s="6" t="s">
        <v>24</v>
      </c>
      <c r="J1278" s="6" t="s">
        <v>48</v>
      </c>
    </row>
    <row r="1279" spans="1:10" ht="23" customHeight="1">
      <c r="A1279" s="6" t="s">
        <v>29</v>
      </c>
      <c r="B1279" s="6">
        <v>5</v>
      </c>
      <c r="C1279" s="6" t="s">
        <v>30</v>
      </c>
      <c r="D1279" s="6">
        <v>127</v>
      </c>
      <c r="E1279" s="6" t="s">
        <v>35</v>
      </c>
      <c r="F1279" s="6">
        <v>34421</v>
      </c>
      <c r="G1279" s="7">
        <v>34419</v>
      </c>
      <c r="H1279" s="6">
        <f>(G1279-F1279)</f>
        <v>-2.0</v>
      </c>
      <c r="I1279" s="6" t="s">
        <v>24</v>
      </c>
      <c r="J1279" s="6" t="s">
        <v>48</v>
      </c>
    </row>
    <row r="1280" spans="1:10" ht="23" customHeight="1">
      <c r="A1280" s="6" t="s">
        <v>29</v>
      </c>
      <c r="B1280" s="6">
        <v>5</v>
      </c>
      <c r="C1280" s="6" t="s">
        <v>30</v>
      </c>
      <c r="D1280" s="6">
        <v>127</v>
      </c>
      <c r="E1280" s="6" t="s">
        <v>36</v>
      </c>
      <c r="F1280" s="6">
        <v>241</v>
      </c>
      <c r="G1280" s="7">
        <v>289.1</v>
      </c>
      <c r="H1280" s="6">
        <f>(G1280-F1280)</f>
        <v>48.10000000000002</v>
      </c>
      <c r="I1280" s="6" t="s">
        <v>24</v>
      </c>
      <c r="J1280" s="6" t="s">
        <v>48</v>
      </c>
    </row>
    <row r="1281" spans="1:10" ht="23" customHeight="1">
      <c r="A1281" s="6" t="s">
        <v>29</v>
      </c>
      <c r="B1281" s="6">
        <v>5</v>
      </c>
      <c r="C1281" s="6" t="s">
        <v>30</v>
      </c>
      <c r="D1281" s="6">
        <v>127</v>
      </c>
      <c r="E1281" s="6" t="s">
        <v>37</v>
      </c>
      <c r="F1281" s="6">
        <v>241</v>
      </c>
      <c r="G1281" s="7">
        <v>289.1</v>
      </c>
      <c r="H1281" s="6">
        <f>(G1281-F1281)</f>
        <v>48.10000000000002</v>
      </c>
      <c r="I1281" s="6" t="s">
        <v>24</v>
      </c>
      <c r="J1281" s="6" t="s">
        <v>48</v>
      </c>
    </row>
    <row r="1282" spans="1:10" ht="23" customHeight="1">
      <c r="A1282" s="6" t="s">
        <v>29</v>
      </c>
      <c r="B1282" s="6">
        <v>5</v>
      </c>
      <c r="C1282" s="6" t="s">
        <v>30</v>
      </c>
      <c r="D1282" s="6">
        <v>127</v>
      </c>
      <c r="E1282" s="6" t="s">
        <v>38</v>
      </c>
      <c r="F1282" s="6">
        <v>34421</v>
      </c>
      <c r="G1282" s="7">
        <v>34419</v>
      </c>
      <c r="H1282" s="6">
        <f>(G1282-F1282)</f>
        <v>-2.0</v>
      </c>
      <c r="I1282" s="6" t="s">
        <v>24</v>
      </c>
      <c r="J1282" s="6" t="s">
        <v>48</v>
      </c>
    </row>
    <row r="1283" spans="1:10" ht="23" customHeight="1">
      <c r="A1283" s="6" t="s">
        <v>29</v>
      </c>
      <c r="B1283" s="6">
        <v>5</v>
      </c>
      <c r="C1283" s="6" t="s">
        <v>30</v>
      </c>
      <c r="D1283" s="6">
        <v>127</v>
      </c>
      <c r="E1283" s="6" t="s">
        <v>39</v>
      </c>
      <c r="F1283" s="6">
        <v>34421</v>
      </c>
      <c r="G1283" s="7">
        <v>34419</v>
      </c>
      <c r="H1283" s="6">
        <f>(G1283-F1283)</f>
        <v>-2.0</v>
      </c>
      <c r="I1283" s="6" t="s">
        <v>24</v>
      </c>
      <c r="J1283" s="6" t="s">
        <v>48</v>
      </c>
    </row>
    <row r="1284" spans="1:10" ht="23" customHeight="1">
      <c r="A1284" s="6" t="s">
        <v>29</v>
      </c>
      <c r="B1284" s="6">
        <v>5</v>
      </c>
      <c r="C1284" s="6" t="s">
        <v>30</v>
      </c>
      <c r="D1284" s="6">
        <v>127</v>
      </c>
      <c r="E1284" s="6" t="s">
        <v>40</v>
      </c>
      <c r="F1284" s="6">
        <v>34421</v>
      </c>
      <c r="G1284" s="7">
        <v>34419</v>
      </c>
      <c r="H1284" s="6">
        <f>(G1284-F1284)</f>
        <v>-2.0</v>
      </c>
      <c r="I1284" s="6" t="s">
        <v>24</v>
      </c>
      <c r="J1284" s="6" t="s">
        <v>48</v>
      </c>
    </row>
    <row r="1285" spans="1:10" ht="23" customHeight="1">
      <c r="A1285" s="6" t="s">
        <v>29</v>
      </c>
      <c r="B1285" s="6">
        <v>5</v>
      </c>
      <c r="C1285" s="6" t="s">
        <v>30</v>
      </c>
      <c r="D1285" s="6">
        <v>127</v>
      </c>
      <c r="E1285" s="6" t="s">
        <v>41</v>
      </c>
      <c r="F1285" s="6">
        <v>34421</v>
      </c>
      <c r="G1285" s="7">
        <v>34419</v>
      </c>
      <c r="H1285" s="6">
        <f>(G1285-F1285)</f>
        <v>-2.0</v>
      </c>
      <c r="I1285" s="6" t="s">
        <v>24</v>
      </c>
      <c r="J1285" s="6" t="s">
        <v>48</v>
      </c>
    </row>
    <row r="1286" spans="1:10" ht="23" customHeight="1">
      <c r="A1286" s="6" t="s">
        <v>29</v>
      </c>
      <c r="B1286" s="6">
        <v>5</v>
      </c>
      <c r="C1286" s="6" t="s">
        <v>30</v>
      </c>
      <c r="D1286" s="6">
        <v>128</v>
      </c>
      <c r="E1286" s="6" t="s">
        <v>31</v>
      </c>
      <c r="F1286" s="6">
        <v>97086</v>
      </c>
      <c r="G1286" s="7">
        <v>97084</v>
      </c>
      <c r="H1286" s="6">
        <f>(G1286-F1286)</f>
        <v>-2.0</v>
      </c>
      <c r="I1286" s="6" t="s">
        <v>24</v>
      </c>
      <c r="J1286" s="6" t="s">
        <v>48</v>
      </c>
    </row>
    <row r="1287" spans="1:10" ht="23" customHeight="1">
      <c r="A1287" s="6" t="s">
        <v>29</v>
      </c>
      <c r="B1287" s="6">
        <v>5</v>
      </c>
      <c r="C1287" s="6" t="s">
        <v>30</v>
      </c>
      <c r="D1287" s="6">
        <v>128</v>
      </c>
      <c r="E1287" s="6" t="s">
        <v>32</v>
      </c>
      <c r="F1287" s="6">
        <v>1019.4</v>
      </c>
      <c r="G1287" s="7">
        <v>1223.3</v>
      </c>
      <c r="H1287" s="6">
        <f>(G1287-F1287)</f>
        <v>203.89999999999998</v>
      </c>
      <c r="I1287" s="6" t="s">
        <v>24</v>
      </c>
      <c r="J1287" s="6" t="s">
        <v>48</v>
      </c>
    </row>
    <row r="1288" spans="1:10" ht="23" customHeight="1">
      <c r="A1288" s="6" t="s">
        <v>29</v>
      </c>
      <c r="B1288" s="6">
        <v>5</v>
      </c>
      <c r="C1288" s="6" t="s">
        <v>30</v>
      </c>
      <c r="D1288" s="6">
        <v>128</v>
      </c>
      <c r="E1288" s="6" t="s">
        <v>34</v>
      </c>
      <c r="F1288" s="6">
        <v>1019.4</v>
      </c>
      <c r="G1288" s="7">
        <v>1223.3</v>
      </c>
      <c r="H1288" s="6">
        <f>(G1288-F1288)</f>
        <v>203.89999999999998</v>
      </c>
      <c r="I1288" s="6" t="s">
        <v>24</v>
      </c>
      <c r="J1288" s="6" t="s">
        <v>48</v>
      </c>
    </row>
    <row r="1289" spans="1:10" ht="23" customHeight="1">
      <c r="A1289" s="6" t="s">
        <v>29</v>
      </c>
      <c r="B1289" s="6">
        <v>5</v>
      </c>
      <c r="C1289" s="6" t="s">
        <v>30</v>
      </c>
      <c r="D1289" s="6">
        <v>128</v>
      </c>
      <c r="E1289" s="6" t="s">
        <v>35</v>
      </c>
      <c r="F1289" s="6">
        <v>97086</v>
      </c>
      <c r="G1289" s="7">
        <v>97084</v>
      </c>
      <c r="H1289" s="6">
        <f>(G1289-F1289)</f>
        <v>-2.0</v>
      </c>
      <c r="I1289" s="6" t="s">
        <v>24</v>
      </c>
      <c r="J1289" s="6" t="s">
        <v>48</v>
      </c>
    </row>
    <row r="1290" spans="1:10" ht="23" customHeight="1">
      <c r="A1290" s="6" t="s">
        <v>29</v>
      </c>
      <c r="B1290" s="6">
        <v>5</v>
      </c>
      <c r="C1290" s="6" t="s">
        <v>30</v>
      </c>
      <c r="D1290" s="6">
        <v>128</v>
      </c>
      <c r="E1290" s="6" t="s">
        <v>36</v>
      </c>
      <c r="F1290" s="6">
        <v>1019.4</v>
      </c>
      <c r="G1290" s="7">
        <v>1223.3</v>
      </c>
      <c r="H1290" s="6">
        <f>(G1290-F1290)</f>
        <v>203.89999999999998</v>
      </c>
      <c r="I1290" s="6" t="s">
        <v>24</v>
      </c>
      <c r="J1290" s="6" t="s">
        <v>48</v>
      </c>
    </row>
    <row r="1291" spans="1:10" ht="23" customHeight="1">
      <c r="A1291" s="6" t="s">
        <v>29</v>
      </c>
      <c r="B1291" s="6">
        <v>5</v>
      </c>
      <c r="C1291" s="6" t="s">
        <v>30</v>
      </c>
      <c r="D1291" s="6">
        <v>128</v>
      </c>
      <c r="E1291" s="6" t="s">
        <v>37</v>
      </c>
      <c r="F1291" s="6">
        <v>1019.4</v>
      </c>
      <c r="G1291" s="7">
        <v>1223.3</v>
      </c>
      <c r="H1291" s="6">
        <f>(G1291-F1291)</f>
        <v>203.89999999999998</v>
      </c>
      <c r="I1291" s="6" t="s">
        <v>24</v>
      </c>
      <c r="J1291" s="6" t="s">
        <v>48</v>
      </c>
    </row>
    <row r="1292" spans="1:10" ht="23" customHeight="1">
      <c r="A1292" s="6" t="s">
        <v>29</v>
      </c>
      <c r="B1292" s="6">
        <v>5</v>
      </c>
      <c r="C1292" s="6" t="s">
        <v>30</v>
      </c>
      <c r="D1292" s="6">
        <v>128</v>
      </c>
      <c r="E1292" s="6" t="s">
        <v>38</v>
      </c>
      <c r="F1292" s="6">
        <v>97086</v>
      </c>
      <c r="G1292" s="7">
        <v>97084</v>
      </c>
      <c r="H1292" s="6">
        <f>(G1292-F1292)</f>
        <v>-2.0</v>
      </c>
      <c r="I1292" s="6" t="s">
        <v>24</v>
      </c>
      <c r="J1292" s="6" t="s">
        <v>48</v>
      </c>
    </row>
    <row r="1293" spans="1:10" ht="23" customHeight="1">
      <c r="A1293" s="6" t="s">
        <v>29</v>
      </c>
      <c r="B1293" s="6">
        <v>5</v>
      </c>
      <c r="C1293" s="6" t="s">
        <v>30</v>
      </c>
      <c r="D1293" s="6">
        <v>128</v>
      </c>
      <c r="E1293" s="6" t="s">
        <v>39</v>
      </c>
      <c r="F1293" s="6">
        <v>97086</v>
      </c>
      <c r="G1293" s="7">
        <v>97084</v>
      </c>
      <c r="H1293" s="6">
        <f>(G1293-F1293)</f>
        <v>-2.0</v>
      </c>
      <c r="I1293" s="6" t="s">
        <v>24</v>
      </c>
      <c r="J1293" s="6" t="s">
        <v>48</v>
      </c>
    </row>
    <row r="1294" spans="1:10" ht="23" customHeight="1">
      <c r="A1294" s="6" t="s">
        <v>29</v>
      </c>
      <c r="B1294" s="6">
        <v>5</v>
      </c>
      <c r="C1294" s="6" t="s">
        <v>30</v>
      </c>
      <c r="D1294" s="6">
        <v>128</v>
      </c>
      <c r="E1294" s="6" t="s">
        <v>40</v>
      </c>
      <c r="F1294" s="6">
        <v>97086</v>
      </c>
      <c r="G1294" s="7">
        <v>97084</v>
      </c>
      <c r="H1294" s="6">
        <f>(G1294-F1294)</f>
        <v>-2.0</v>
      </c>
      <c r="I1294" s="6" t="s">
        <v>24</v>
      </c>
      <c r="J1294" s="6" t="s">
        <v>48</v>
      </c>
    </row>
    <row r="1295" spans="1:10" ht="23" customHeight="1">
      <c r="A1295" s="6" t="s">
        <v>29</v>
      </c>
      <c r="B1295" s="6">
        <v>5</v>
      </c>
      <c r="C1295" s="6" t="s">
        <v>30</v>
      </c>
      <c r="D1295" s="6">
        <v>128</v>
      </c>
      <c r="E1295" s="6" t="s">
        <v>41</v>
      </c>
      <c r="F1295" s="6">
        <v>97086</v>
      </c>
      <c r="G1295" s="7">
        <v>97084</v>
      </c>
      <c r="H1295" s="6">
        <f>(G1295-F1295)</f>
        <v>-2.0</v>
      </c>
      <c r="I1295" s="6" t="s">
        <v>24</v>
      </c>
      <c r="J1295" s="6" t="s">
        <v>48</v>
      </c>
    </row>
    <row r="1296" spans="1:10" ht="23" customHeight="1">
      <c r="A1296" s="6" t="s">
        <v>29</v>
      </c>
      <c r="B1296" s="6">
        <v>5</v>
      </c>
      <c r="C1296" s="6" t="s">
        <v>30</v>
      </c>
      <c r="D1296" s="6">
        <v>129</v>
      </c>
      <c r="E1296" s="6" t="s">
        <v>31</v>
      </c>
      <c r="F1296" s="6">
        <v>103757</v>
      </c>
      <c r="G1296" s="7">
        <v>103756</v>
      </c>
      <c r="H1296" s="6">
        <f>(G1296-F1296)</f>
        <v>-1.0</v>
      </c>
      <c r="I1296" s="6" t="s">
        <v>24</v>
      </c>
      <c r="J1296" s="6" t="s">
        <v>48</v>
      </c>
    </row>
    <row r="1297" spans="1:10" ht="23" customHeight="1">
      <c r="A1297" s="6" t="s">
        <v>29</v>
      </c>
      <c r="B1297" s="6">
        <v>5</v>
      </c>
      <c r="C1297" s="6" t="s">
        <v>30</v>
      </c>
      <c r="D1297" s="6">
        <v>129</v>
      </c>
      <c r="E1297" s="6" t="s">
        <v>32</v>
      </c>
      <c r="F1297" s="6">
        <v>996.8</v>
      </c>
      <c r="G1297" s="7">
        <v>1196.2</v>
      </c>
      <c r="H1297" s="6">
        <f>(G1297-F1297)</f>
        <v>199.4000000000001</v>
      </c>
      <c r="I1297" s="6" t="s">
        <v>24</v>
      </c>
      <c r="J1297" s="6" t="s">
        <v>48</v>
      </c>
    </row>
    <row r="1298" spans="1:10" ht="23" customHeight="1">
      <c r="A1298" s="6" t="s">
        <v>29</v>
      </c>
      <c r="B1298" s="6">
        <v>5</v>
      </c>
      <c r="C1298" s="6" t="s">
        <v>30</v>
      </c>
      <c r="D1298" s="6">
        <v>129</v>
      </c>
      <c r="E1298" s="6" t="s">
        <v>34</v>
      </c>
      <c r="F1298" s="6">
        <v>996.8</v>
      </c>
      <c r="G1298" s="7">
        <v>1196.2</v>
      </c>
      <c r="H1298" s="6">
        <f>(G1298-F1298)</f>
        <v>199.4000000000001</v>
      </c>
      <c r="I1298" s="6" t="s">
        <v>24</v>
      </c>
      <c r="J1298" s="6" t="s">
        <v>48</v>
      </c>
    </row>
    <row r="1299" spans="1:10" ht="23" customHeight="1">
      <c r="A1299" s="6" t="s">
        <v>29</v>
      </c>
      <c r="B1299" s="6">
        <v>5</v>
      </c>
      <c r="C1299" s="6" t="s">
        <v>30</v>
      </c>
      <c r="D1299" s="6">
        <v>129</v>
      </c>
      <c r="E1299" s="6" t="s">
        <v>35</v>
      </c>
      <c r="F1299" s="6">
        <v>103757</v>
      </c>
      <c r="G1299" s="7">
        <v>103756</v>
      </c>
      <c r="H1299" s="6">
        <f>(G1299-F1299)</f>
        <v>-1.0</v>
      </c>
      <c r="I1299" s="6" t="s">
        <v>24</v>
      </c>
      <c r="J1299" s="6" t="s">
        <v>48</v>
      </c>
    </row>
    <row r="1300" spans="1:10" ht="23" customHeight="1">
      <c r="A1300" s="6" t="s">
        <v>29</v>
      </c>
      <c r="B1300" s="6">
        <v>5</v>
      </c>
      <c r="C1300" s="6" t="s">
        <v>30</v>
      </c>
      <c r="D1300" s="6">
        <v>129</v>
      </c>
      <c r="E1300" s="6" t="s">
        <v>36</v>
      </c>
      <c r="F1300" s="6">
        <v>996.8</v>
      </c>
      <c r="G1300" s="7">
        <v>1196.2</v>
      </c>
      <c r="H1300" s="6">
        <f>(G1300-F1300)</f>
        <v>199.4000000000001</v>
      </c>
      <c r="I1300" s="6" t="s">
        <v>24</v>
      </c>
      <c r="J1300" s="6" t="s">
        <v>48</v>
      </c>
    </row>
    <row r="1301" spans="1:10" ht="23" customHeight="1">
      <c r="A1301" s="6" t="s">
        <v>29</v>
      </c>
      <c r="B1301" s="6">
        <v>5</v>
      </c>
      <c r="C1301" s="6" t="s">
        <v>30</v>
      </c>
      <c r="D1301" s="6">
        <v>129</v>
      </c>
      <c r="E1301" s="6" t="s">
        <v>37</v>
      </c>
      <c r="F1301" s="6">
        <v>996.8</v>
      </c>
      <c r="G1301" s="7">
        <v>1196.2</v>
      </c>
      <c r="H1301" s="6">
        <f>(G1301-F1301)</f>
        <v>199.4000000000001</v>
      </c>
      <c r="I1301" s="6" t="s">
        <v>24</v>
      </c>
      <c r="J1301" s="6" t="s">
        <v>48</v>
      </c>
    </row>
    <row r="1302" spans="1:10" ht="23" customHeight="1">
      <c r="A1302" s="6" t="s">
        <v>29</v>
      </c>
      <c r="B1302" s="6">
        <v>5</v>
      </c>
      <c r="C1302" s="6" t="s">
        <v>30</v>
      </c>
      <c r="D1302" s="6">
        <v>129</v>
      </c>
      <c r="E1302" s="6" t="s">
        <v>38</v>
      </c>
      <c r="F1302" s="6">
        <v>103757</v>
      </c>
      <c r="G1302" s="7">
        <v>103756</v>
      </c>
      <c r="H1302" s="6">
        <f>(G1302-F1302)</f>
        <v>-1.0</v>
      </c>
      <c r="I1302" s="6" t="s">
        <v>24</v>
      </c>
      <c r="J1302" s="6" t="s">
        <v>48</v>
      </c>
    </row>
    <row r="1303" spans="1:10" ht="23" customHeight="1">
      <c r="A1303" s="6" t="s">
        <v>29</v>
      </c>
      <c r="B1303" s="6">
        <v>5</v>
      </c>
      <c r="C1303" s="6" t="s">
        <v>30</v>
      </c>
      <c r="D1303" s="6">
        <v>129</v>
      </c>
      <c r="E1303" s="6" t="s">
        <v>39</v>
      </c>
      <c r="F1303" s="6">
        <v>103757</v>
      </c>
      <c r="G1303" s="7">
        <v>103756</v>
      </c>
      <c r="H1303" s="6">
        <f>(G1303-F1303)</f>
        <v>-1.0</v>
      </c>
      <c r="I1303" s="6" t="s">
        <v>24</v>
      </c>
      <c r="J1303" s="6" t="s">
        <v>48</v>
      </c>
    </row>
    <row r="1304" spans="1:10" ht="23" customHeight="1">
      <c r="A1304" s="6" t="s">
        <v>29</v>
      </c>
      <c r="B1304" s="6">
        <v>5</v>
      </c>
      <c r="C1304" s="6" t="s">
        <v>30</v>
      </c>
      <c r="D1304" s="6">
        <v>129</v>
      </c>
      <c r="E1304" s="6" t="s">
        <v>40</v>
      </c>
      <c r="F1304" s="6">
        <v>103757</v>
      </c>
      <c r="G1304" s="7">
        <v>103756</v>
      </c>
      <c r="H1304" s="6">
        <f>(G1304-F1304)</f>
        <v>-1.0</v>
      </c>
      <c r="I1304" s="6" t="s">
        <v>24</v>
      </c>
      <c r="J1304" s="6" t="s">
        <v>48</v>
      </c>
    </row>
    <row r="1305" spans="1:10" ht="23" customHeight="1">
      <c r="A1305" s="6" t="s">
        <v>29</v>
      </c>
      <c r="B1305" s="6">
        <v>5</v>
      </c>
      <c r="C1305" s="6" t="s">
        <v>30</v>
      </c>
      <c r="D1305" s="6">
        <v>129</v>
      </c>
      <c r="E1305" s="6" t="s">
        <v>41</v>
      </c>
      <c r="F1305" s="6">
        <v>103757</v>
      </c>
      <c r="G1305" s="7">
        <v>103756</v>
      </c>
      <c r="H1305" s="6">
        <f>(G1305-F1305)</f>
        <v>-1.0</v>
      </c>
      <c r="I1305" s="6" t="s">
        <v>24</v>
      </c>
      <c r="J1305" s="6" t="s">
        <v>48</v>
      </c>
    </row>
    <row r="1306" spans="1:10" ht="23" customHeight="1">
      <c r="A1306" s="6" t="s">
        <v>29</v>
      </c>
      <c r="B1306" s="6">
        <v>5</v>
      </c>
      <c r="C1306" s="6" t="s">
        <v>30</v>
      </c>
      <c r="D1306" s="6">
        <v>130</v>
      </c>
      <c r="E1306" s="6" t="s">
        <v>31</v>
      </c>
      <c r="F1306" s="6">
        <v>148836</v>
      </c>
      <c r="G1306" s="7">
        <v>148838</v>
      </c>
      <c r="H1306" s="6">
        <f>(G1306-F1306)</f>
        <v>2.0</v>
      </c>
      <c r="I1306" s="6" t="s">
        <v>24</v>
      </c>
      <c r="J1306" s="6" t="s">
        <v>48</v>
      </c>
    </row>
    <row r="1307" spans="1:10" ht="23" customHeight="1">
      <c r="A1307" s="6" t="s">
        <v>29</v>
      </c>
      <c r="B1307" s="6">
        <v>5</v>
      </c>
      <c r="C1307" s="6" t="s">
        <v>30</v>
      </c>
      <c r="D1307" s="6">
        <v>130</v>
      </c>
      <c r="E1307" s="6" t="s">
        <v>32</v>
      </c>
      <c r="F1307" s="6">
        <v>1285</v>
      </c>
      <c r="G1307" s="7">
        <v>1542</v>
      </c>
      <c r="H1307" s="6">
        <f>(G1307-F1307)</f>
        <v>257.0</v>
      </c>
      <c r="I1307" s="6" t="s">
        <v>24</v>
      </c>
      <c r="J1307" s="6" t="s">
        <v>48</v>
      </c>
    </row>
    <row r="1308" spans="1:10" ht="23" customHeight="1">
      <c r="A1308" s="6" t="s">
        <v>29</v>
      </c>
      <c r="B1308" s="6">
        <v>5</v>
      </c>
      <c r="C1308" s="6" t="s">
        <v>30</v>
      </c>
      <c r="D1308" s="6">
        <v>130</v>
      </c>
      <c r="E1308" s="6" t="s">
        <v>34</v>
      </c>
      <c r="F1308" s="6">
        <v>1285</v>
      </c>
      <c r="G1308" s="7">
        <v>1542</v>
      </c>
      <c r="H1308" s="6">
        <f>(G1308-F1308)</f>
        <v>257.0</v>
      </c>
      <c r="I1308" s="6" t="s">
        <v>24</v>
      </c>
      <c r="J1308" s="6" t="s">
        <v>48</v>
      </c>
    </row>
    <row r="1309" spans="1:10" ht="23" customHeight="1">
      <c r="A1309" s="6" t="s">
        <v>29</v>
      </c>
      <c r="B1309" s="6">
        <v>5</v>
      </c>
      <c r="C1309" s="6" t="s">
        <v>30</v>
      </c>
      <c r="D1309" s="6">
        <v>130</v>
      </c>
      <c r="E1309" s="6" t="s">
        <v>35</v>
      </c>
      <c r="F1309" s="6">
        <v>148836</v>
      </c>
      <c r="G1309" s="7">
        <v>148838</v>
      </c>
      <c r="H1309" s="6">
        <f>(G1309-F1309)</f>
        <v>2.0</v>
      </c>
      <c r="I1309" s="6" t="s">
        <v>24</v>
      </c>
      <c r="J1309" s="6" t="s">
        <v>48</v>
      </c>
    </row>
    <row r="1310" spans="1:10" ht="23" customHeight="1">
      <c r="A1310" s="6" t="s">
        <v>29</v>
      </c>
      <c r="B1310" s="6">
        <v>5</v>
      </c>
      <c r="C1310" s="6" t="s">
        <v>30</v>
      </c>
      <c r="D1310" s="6">
        <v>130</v>
      </c>
      <c r="E1310" s="6" t="s">
        <v>36</v>
      </c>
      <c r="F1310" s="6">
        <v>1285</v>
      </c>
      <c r="G1310" s="7">
        <v>1542</v>
      </c>
      <c r="H1310" s="6">
        <f>(G1310-F1310)</f>
        <v>257.0</v>
      </c>
      <c r="I1310" s="6" t="s">
        <v>24</v>
      </c>
      <c r="J1310" s="6" t="s">
        <v>48</v>
      </c>
    </row>
    <row r="1311" spans="1:10" ht="23" customHeight="1">
      <c r="A1311" s="6" t="s">
        <v>29</v>
      </c>
      <c r="B1311" s="6">
        <v>5</v>
      </c>
      <c r="C1311" s="6" t="s">
        <v>30</v>
      </c>
      <c r="D1311" s="6">
        <v>130</v>
      </c>
      <c r="E1311" s="6" t="s">
        <v>37</v>
      </c>
      <c r="F1311" s="6">
        <v>1285</v>
      </c>
      <c r="G1311" s="7">
        <v>1542</v>
      </c>
      <c r="H1311" s="6">
        <f>(G1311-F1311)</f>
        <v>257.0</v>
      </c>
      <c r="I1311" s="6" t="s">
        <v>24</v>
      </c>
      <c r="J1311" s="6" t="s">
        <v>48</v>
      </c>
    </row>
    <row r="1312" spans="1:10" ht="23" customHeight="1">
      <c r="A1312" s="6" t="s">
        <v>29</v>
      </c>
      <c r="B1312" s="6">
        <v>5</v>
      </c>
      <c r="C1312" s="6" t="s">
        <v>30</v>
      </c>
      <c r="D1312" s="6">
        <v>130</v>
      </c>
      <c r="E1312" s="6" t="s">
        <v>38</v>
      </c>
      <c r="F1312" s="6">
        <v>148836</v>
      </c>
      <c r="G1312" s="7">
        <v>148838</v>
      </c>
      <c r="H1312" s="6">
        <f>(G1312-F1312)</f>
        <v>2.0</v>
      </c>
      <c r="I1312" s="6" t="s">
        <v>24</v>
      </c>
      <c r="J1312" s="6" t="s">
        <v>48</v>
      </c>
    </row>
    <row r="1313" spans="1:10" ht="23" customHeight="1">
      <c r="A1313" s="6" t="s">
        <v>29</v>
      </c>
      <c r="B1313" s="6">
        <v>5</v>
      </c>
      <c r="C1313" s="6" t="s">
        <v>30</v>
      </c>
      <c r="D1313" s="6">
        <v>130</v>
      </c>
      <c r="E1313" s="6" t="s">
        <v>39</v>
      </c>
      <c r="F1313" s="6">
        <v>148836</v>
      </c>
      <c r="G1313" s="7">
        <v>148838</v>
      </c>
      <c r="H1313" s="6">
        <f>(G1313-F1313)</f>
        <v>2.0</v>
      </c>
      <c r="I1313" s="6" t="s">
        <v>24</v>
      </c>
      <c r="J1313" s="6" t="s">
        <v>48</v>
      </c>
    </row>
    <row r="1314" spans="1:10" ht="23" customHeight="1">
      <c r="A1314" s="6" t="s">
        <v>29</v>
      </c>
      <c r="B1314" s="6">
        <v>5</v>
      </c>
      <c r="C1314" s="6" t="s">
        <v>30</v>
      </c>
      <c r="D1314" s="6">
        <v>130</v>
      </c>
      <c r="E1314" s="6" t="s">
        <v>40</v>
      </c>
      <c r="F1314" s="6">
        <v>148836</v>
      </c>
      <c r="G1314" s="7">
        <v>148838</v>
      </c>
      <c r="H1314" s="6">
        <f>(G1314-F1314)</f>
        <v>2.0</v>
      </c>
      <c r="I1314" s="6" t="s">
        <v>24</v>
      </c>
      <c r="J1314" s="6" t="s">
        <v>48</v>
      </c>
    </row>
    <row r="1315" spans="1:10" ht="23" customHeight="1">
      <c r="A1315" s="6" t="s">
        <v>29</v>
      </c>
      <c r="B1315" s="6">
        <v>5</v>
      </c>
      <c r="C1315" s="6" t="s">
        <v>30</v>
      </c>
      <c r="D1315" s="6">
        <v>130</v>
      </c>
      <c r="E1315" s="6" t="s">
        <v>41</v>
      </c>
      <c r="F1315" s="6">
        <v>148836</v>
      </c>
      <c r="G1315" s="7">
        <v>148838</v>
      </c>
      <c r="H1315" s="6">
        <f>(G1315-F1315)</f>
        <v>2.0</v>
      </c>
      <c r="I1315" s="6" t="s">
        <v>24</v>
      </c>
      <c r="J1315" s="6" t="s">
        <v>48</v>
      </c>
    </row>
    <row r="1316" spans="1:10" ht="23" customHeight="1">
      <c r="A1316" s="6" t="s">
        <v>29</v>
      </c>
      <c r="B1316" s="6">
        <v>5</v>
      </c>
      <c r="C1316" s="6" t="s">
        <v>30</v>
      </c>
      <c r="D1316" s="6">
        <v>131</v>
      </c>
      <c r="E1316" s="6" t="s">
        <v>31</v>
      </c>
      <c r="F1316" s="6">
        <v>145623</v>
      </c>
      <c r="G1316" s="7">
        <v>145626</v>
      </c>
      <c r="H1316" s="6">
        <f>(G1316-F1316)</f>
        <v>3.0</v>
      </c>
      <c r="I1316" s="6" t="s">
        <v>24</v>
      </c>
      <c r="J1316" s="6" t="s">
        <v>48</v>
      </c>
    </row>
    <row r="1317" spans="1:10" ht="23" customHeight="1">
      <c r="A1317" s="6" t="s">
        <v>29</v>
      </c>
      <c r="B1317" s="6">
        <v>5</v>
      </c>
      <c r="C1317" s="6" t="s">
        <v>30</v>
      </c>
      <c r="D1317" s="6">
        <v>131</v>
      </c>
      <c r="E1317" s="6" t="s">
        <v>32</v>
      </c>
      <c r="F1317" s="6">
        <v>1529.1</v>
      </c>
      <c r="G1317" s="7">
        <v>1835</v>
      </c>
      <c r="H1317" s="6">
        <f>(G1317-F1317)</f>
        <v>305.9000000000001</v>
      </c>
      <c r="I1317" s="6" t="s">
        <v>24</v>
      </c>
      <c r="J1317" s="6" t="s">
        <v>48</v>
      </c>
    </row>
    <row r="1318" spans="1:10" ht="23" customHeight="1">
      <c r="A1318" s="6" t="s">
        <v>29</v>
      </c>
      <c r="B1318" s="6">
        <v>5</v>
      </c>
      <c r="C1318" s="6" t="s">
        <v>30</v>
      </c>
      <c r="D1318" s="6">
        <v>131</v>
      </c>
      <c r="E1318" s="6" t="s">
        <v>34</v>
      </c>
      <c r="F1318" s="6">
        <v>1529.1</v>
      </c>
      <c r="G1318" s="7">
        <v>1835</v>
      </c>
      <c r="H1318" s="6">
        <f>(G1318-F1318)</f>
        <v>305.9000000000001</v>
      </c>
      <c r="I1318" s="6" t="s">
        <v>24</v>
      </c>
      <c r="J1318" s="6" t="s">
        <v>48</v>
      </c>
    </row>
    <row r="1319" spans="1:10" ht="23" customHeight="1">
      <c r="A1319" s="6" t="s">
        <v>29</v>
      </c>
      <c r="B1319" s="6">
        <v>5</v>
      </c>
      <c r="C1319" s="6" t="s">
        <v>30</v>
      </c>
      <c r="D1319" s="6">
        <v>131</v>
      </c>
      <c r="E1319" s="6" t="s">
        <v>35</v>
      </c>
      <c r="F1319" s="6">
        <v>145623</v>
      </c>
      <c r="G1319" s="7">
        <v>145626</v>
      </c>
      <c r="H1319" s="6">
        <f>(G1319-F1319)</f>
        <v>3.0</v>
      </c>
      <c r="I1319" s="6" t="s">
        <v>24</v>
      </c>
      <c r="J1319" s="6" t="s">
        <v>48</v>
      </c>
    </row>
    <row r="1320" spans="1:10" ht="23" customHeight="1">
      <c r="A1320" s="6" t="s">
        <v>29</v>
      </c>
      <c r="B1320" s="6">
        <v>5</v>
      </c>
      <c r="C1320" s="6" t="s">
        <v>30</v>
      </c>
      <c r="D1320" s="6">
        <v>131</v>
      </c>
      <c r="E1320" s="6" t="s">
        <v>36</v>
      </c>
      <c r="F1320" s="6">
        <v>1529.1</v>
      </c>
      <c r="G1320" s="7">
        <v>1835</v>
      </c>
      <c r="H1320" s="6">
        <f>(G1320-F1320)</f>
        <v>305.9000000000001</v>
      </c>
      <c r="I1320" s="6" t="s">
        <v>24</v>
      </c>
      <c r="J1320" s="6" t="s">
        <v>48</v>
      </c>
    </row>
    <row r="1321" spans="1:10" ht="23" customHeight="1">
      <c r="A1321" s="6" t="s">
        <v>29</v>
      </c>
      <c r="B1321" s="6">
        <v>5</v>
      </c>
      <c r="C1321" s="6" t="s">
        <v>30</v>
      </c>
      <c r="D1321" s="6">
        <v>131</v>
      </c>
      <c r="E1321" s="6" t="s">
        <v>37</v>
      </c>
      <c r="F1321" s="6">
        <v>1529.1</v>
      </c>
      <c r="G1321" s="7">
        <v>1835</v>
      </c>
      <c r="H1321" s="6">
        <f>(G1321-F1321)</f>
        <v>305.9000000000001</v>
      </c>
      <c r="I1321" s="6" t="s">
        <v>24</v>
      </c>
      <c r="J1321" s="6" t="s">
        <v>48</v>
      </c>
    </row>
    <row r="1322" spans="1:10" ht="23" customHeight="1">
      <c r="A1322" s="6" t="s">
        <v>29</v>
      </c>
      <c r="B1322" s="6">
        <v>5</v>
      </c>
      <c r="C1322" s="6" t="s">
        <v>30</v>
      </c>
      <c r="D1322" s="6">
        <v>131</v>
      </c>
      <c r="E1322" s="6" t="s">
        <v>38</v>
      </c>
      <c r="F1322" s="6">
        <v>145623</v>
      </c>
      <c r="G1322" s="7">
        <v>145626</v>
      </c>
      <c r="H1322" s="6">
        <f>(G1322-F1322)</f>
        <v>3.0</v>
      </c>
      <c r="I1322" s="6" t="s">
        <v>24</v>
      </c>
      <c r="J1322" s="6" t="s">
        <v>48</v>
      </c>
    </row>
    <row r="1323" spans="1:10" ht="23" customHeight="1">
      <c r="A1323" s="6" t="s">
        <v>29</v>
      </c>
      <c r="B1323" s="6">
        <v>5</v>
      </c>
      <c r="C1323" s="6" t="s">
        <v>30</v>
      </c>
      <c r="D1323" s="6">
        <v>131</v>
      </c>
      <c r="E1323" s="6" t="s">
        <v>39</v>
      </c>
      <c r="F1323" s="6">
        <v>145623</v>
      </c>
      <c r="G1323" s="7">
        <v>145626</v>
      </c>
      <c r="H1323" s="6">
        <f>(G1323-F1323)</f>
        <v>3.0</v>
      </c>
      <c r="I1323" s="6" t="s">
        <v>24</v>
      </c>
      <c r="J1323" s="6" t="s">
        <v>48</v>
      </c>
    </row>
    <row r="1324" spans="1:10" ht="23" customHeight="1">
      <c r="A1324" s="6" t="s">
        <v>29</v>
      </c>
      <c r="B1324" s="6">
        <v>5</v>
      </c>
      <c r="C1324" s="6" t="s">
        <v>30</v>
      </c>
      <c r="D1324" s="6">
        <v>131</v>
      </c>
      <c r="E1324" s="6" t="s">
        <v>40</v>
      </c>
      <c r="F1324" s="6">
        <v>145623</v>
      </c>
      <c r="G1324" s="7">
        <v>145626</v>
      </c>
      <c r="H1324" s="6">
        <f>(G1324-F1324)</f>
        <v>3.0</v>
      </c>
      <c r="I1324" s="6" t="s">
        <v>24</v>
      </c>
      <c r="J1324" s="6" t="s">
        <v>48</v>
      </c>
    </row>
    <row r="1325" spans="1:10" ht="23" customHeight="1">
      <c r="A1325" s="6" t="s">
        <v>29</v>
      </c>
      <c r="B1325" s="6">
        <v>5</v>
      </c>
      <c r="C1325" s="6" t="s">
        <v>30</v>
      </c>
      <c r="D1325" s="6">
        <v>131</v>
      </c>
      <c r="E1325" s="6" t="s">
        <v>41</v>
      </c>
      <c r="F1325" s="6">
        <v>145623</v>
      </c>
      <c r="G1325" s="7">
        <v>145626</v>
      </c>
      <c r="H1325" s="6">
        <f>(G1325-F1325)</f>
        <v>3.0</v>
      </c>
      <c r="I1325" s="6" t="s">
        <v>24</v>
      </c>
      <c r="J1325" s="6" t="s">
        <v>48</v>
      </c>
    </row>
    <row r="1326" spans="1:10" ht="23" customHeight="1">
      <c r="A1326" s="6" t="s">
        <v>29</v>
      </c>
      <c r="B1326" s="6">
        <v>5</v>
      </c>
      <c r="C1326" s="6" t="s">
        <v>30</v>
      </c>
      <c r="D1326" s="6">
        <v>132</v>
      </c>
      <c r="E1326" s="6" t="s">
        <v>31</v>
      </c>
      <c r="F1326" s="6">
        <v>145623</v>
      </c>
      <c r="G1326" s="7">
        <v>145626</v>
      </c>
      <c r="H1326" s="6">
        <f>(G1326-F1326)</f>
        <v>3.0</v>
      </c>
      <c r="I1326" s="6" t="s">
        <v>24</v>
      </c>
      <c r="J1326" s="6" t="s">
        <v>48</v>
      </c>
    </row>
    <row r="1327" spans="1:10" ht="23" customHeight="1">
      <c r="A1327" s="6" t="s">
        <v>29</v>
      </c>
      <c r="B1327" s="6">
        <v>5</v>
      </c>
      <c r="C1327" s="6" t="s">
        <v>30</v>
      </c>
      <c r="D1327" s="6">
        <v>132</v>
      </c>
      <c r="E1327" s="6" t="s">
        <v>32</v>
      </c>
      <c r="F1327" s="6">
        <v>1529.1</v>
      </c>
      <c r="G1327" s="7">
        <v>1835</v>
      </c>
      <c r="H1327" s="6">
        <f>(G1327-F1327)</f>
        <v>305.9000000000001</v>
      </c>
      <c r="I1327" s="6" t="s">
        <v>24</v>
      </c>
      <c r="J1327" s="6" t="s">
        <v>48</v>
      </c>
    </row>
    <row r="1328" spans="1:10" ht="23" customHeight="1">
      <c r="A1328" s="6" t="s">
        <v>29</v>
      </c>
      <c r="B1328" s="6">
        <v>5</v>
      </c>
      <c r="C1328" s="6" t="s">
        <v>30</v>
      </c>
      <c r="D1328" s="6">
        <v>132</v>
      </c>
      <c r="E1328" s="6" t="s">
        <v>34</v>
      </c>
      <c r="F1328" s="6">
        <v>1529.1</v>
      </c>
      <c r="G1328" s="7">
        <v>1835</v>
      </c>
      <c r="H1328" s="6">
        <f>(G1328-F1328)</f>
        <v>305.9000000000001</v>
      </c>
      <c r="I1328" s="6" t="s">
        <v>24</v>
      </c>
      <c r="J1328" s="6" t="s">
        <v>48</v>
      </c>
    </row>
    <row r="1329" spans="1:10" ht="23" customHeight="1">
      <c r="A1329" s="6" t="s">
        <v>29</v>
      </c>
      <c r="B1329" s="6">
        <v>5</v>
      </c>
      <c r="C1329" s="6" t="s">
        <v>30</v>
      </c>
      <c r="D1329" s="6">
        <v>132</v>
      </c>
      <c r="E1329" s="6" t="s">
        <v>35</v>
      </c>
      <c r="F1329" s="6">
        <v>145623</v>
      </c>
      <c r="G1329" s="7">
        <v>145626</v>
      </c>
      <c r="H1329" s="6">
        <f>(G1329-F1329)</f>
        <v>3.0</v>
      </c>
      <c r="I1329" s="6" t="s">
        <v>24</v>
      </c>
      <c r="J1329" s="6" t="s">
        <v>48</v>
      </c>
    </row>
    <row r="1330" spans="1:10" ht="23" customHeight="1">
      <c r="A1330" s="6" t="s">
        <v>29</v>
      </c>
      <c r="B1330" s="6">
        <v>5</v>
      </c>
      <c r="C1330" s="6" t="s">
        <v>30</v>
      </c>
      <c r="D1330" s="6">
        <v>132</v>
      </c>
      <c r="E1330" s="6" t="s">
        <v>36</v>
      </c>
      <c r="F1330" s="6">
        <v>1529.1</v>
      </c>
      <c r="G1330" s="7">
        <v>1835</v>
      </c>
      <c r="H1330" s="6">
        <f>(G1330-F1330)</f>
        <v>305.9000000000001</v>
      </c>
      <c r="I1330" s="6" t="s">
        <v>24</v>
      </c>
      <c r="J1330" s="6" t="s">
        <v>48</v>
      </c>
    </row>
    <row r="1331" spans="1:10" ht="23" customHeight="1">
      <c r="A1331" s="6" t="s">
        <v>29</v>
      </c>
      <c r="B1331" s="6">
        <v>5</v>
      </c>
      <c r="C1331" s="6" t="s">
        <v>30</v>
      </c>
      <c r="D1331" s="6">
        <v>132</v>
      </c>
      <c r="E1331" s="6" t="s">
        <v>37</v>
      </c>
      <c r="F1331" s="6">
        <v>1529.1</v>
      </c>
      <c r="G1331" s="7">
        <v>1835</v>
      </c>
      <c r="H1331" s="6">
        <f>(G1331-F1331)</f>
        <v>305.9000000000001</v>
      </c>
      <c r="I1331" s="6" t="s">
        <v>24</v>
      </c>
      <c r="J1331" s="6" t="s">
        <v>48</v>
      </c>
    </row>
    <row r="1332" spans="1:10" ht="23" customHeight="1">
      <c r="A1332" s="6" t="s">
        <v>29</v>
      </c>
      <c r="B1332" s="6">
        <v>5</v>
      </c>
      <c r="C1332" s="6" t="s">
        <v>30</v>
      </c>
      <c r="D1332" s="6">
        <v>132</v>
      </c>
      <c r="E1332" s="6" t="s">
        <v>38</v>
      </c>
      <c r="F1332" s="6">
        <v>145623</v>
      </c>
      <c r="G1332" s="7">
        <v>145626</v>
      </c>
      <c r="H1332" s="6">
        <f>(G1332-F1332)</f>
        <v>3.0</v>
      </c>
      <c r="I1332" s="6" t="s">
        <v>24</v>
      </c>
      <c r="J1332" s="6" t="s">
        <v>48</v>
      </c>
    </row>
    <row r="1333" spans="1:10" ht="23" customHeight="1">
      <c r="A1333" s="6" t="s">
        <v>29</v>
      </c>
      <c r="B1333" s="6">
        <v>5</v>
      </c>
      <c r="C1333" s="6" t="s">
        <v>30</v>
      </c>
      <c r="D1333" s="6">
        <v>132</v>
      </c>
      <c r="E1333" s="6" t="s">
        <v>39</v>
      </c>
      <c r="F1333" s="6">
        <v>145623</v>
      </c>
      <c r="G1333" s="7">
        <v>145626</v>
      </c>
      <c r="H1333" s="6">
        <f>(G1333-F1333)</f>
        <v>3.0</v>
      </c>
      <c r="I1333" s="6" t="s">
        <v>24</v>
      </c>
      <c r="J1333" s="6" t="s">
        <v>48</v>
      </c>
    </row>
    <row r="1334" spans="1:10" ht="23" customHeight="1">
      <c r="A1334" s="6" t="s">
        <v>29</v>
      </c>
      <c r="B1334" s="6">
        <v>5</v>
      </c>
      <c r="C1334" s="6" t="s">
        <v>30</v>
      </c>
      <c r="D1334" s="6">
        <v>132</v>
      </c>
      <c r="E1334" s="6" t="s">
        <v>40</v>
      </c>
      <c r="F1334" s="6">
        <v>145623</v>
      </c>
      <c r="G1334" s="7">
        <v>145626</v>
      </c>
      <c r="H1334" s="6">
        <f>(G1334-F1334)</f>
        <v>3.0</v>
      </c>
      <c r="I1334" s="6" t="s">
        <v>24</v>
      </c>
      <c r="J1334" s="6" t="s">
        <v>48</v>
      </c>
    </row>
    <row r="1335" spans="1:10" ht="23" customHeight="1">
      <c r="A1335" s="6" t="s">
        <v>29</v>
      </c>
      <c r="B1335" s="6">
        <v>5</v>
      </c>
      <c r="C1335" s="6" t="s">
        <v>30</v>
      </c>
      <c r="D1335" s="6">
        <v>132</v>
      </c>
      <c r="E1335" s="6" t="s">
        <v>41</v>
      </c>
      <c r="F1335" s="6">
        <v>145623</v>
      </c>
      <c r="G1335" s="7">
        <v>145626</v>
      </c>
      <c r="H1335" s="6">
        <f>(G1335-F1335)</f>
        <v>3.0</v>
      </c>
      <c r="I1335" s="6" t="s">
        <v>24</v>
      </c>
      <c r="J1335" s="6" t="s">
        <v>48</v>
      </c>
    </row>
    <row r="1336" spans="1:10" ht="23" customHeight="1">
      <c r="A1336" s="6" t="s">
        <v>29</v>
      </c>
      <c r="B1336" s="6">
        <v>5</v>
      </c>
      <c r="C1336" s="6" t="s">
        <v>30</v>
      </c>
      <c r="D1336" s="6">
        <v>133</v>
      </c>
      <c r="E1336" s="6" t="s">
        <v>31</v>
      </c>
      <c r="F1336" s="6">
        <v>145623</v>
      </c>
      <c r="G1336" s="7">
        <v>145626</v>
      </c>
      <c r="H1336" s="6">
        <f>(G1336-F1336)</f>
        <v>3.0</v>
      </c>
      <c r="I1336" s="6" t="s">
        <v>24</v>
      </c>
      <c r="J1336" s="6" t="s">
        <v>48</v>
      </c>
    </row>
    <row r="1337" spans="1:10" ht="23" customHeight="1">
      <c r="A1337" s="6" t="s">
        <v>29</v>
      </c>
      <c r="B1337" s="6">
        <v>5</v>
      </c>
      <c r="C1337" s="6" t="s">
        <v>30</v>
      </c>
      <c r="D1337" s="6">
        <v>133</v>
      </c>
      <c r="E1337" s="6" t="s">
        <v>32</v>
      </c>
      <c r="F1337" s="6">
        <v>1529.1</v>
      </c>
      <c r="G1337" s="7">
        <v>1835</v>
      </c>
      <c r="H1337" s="6">
        <f>(G1337-F1337)</f>
        <v>305.9000000000001</v>
      </c>
      <c r="I1337" s="6" t="s">
        <v>24</v>
      </c>
      <c r="J1337" s="6" t="s">
        <v>48</v>
      </c>
    </row>
    <row r="1338" spans="1:10" ht="23" customHeight="1">
      <c r="A1338" s="6" t="s">
        <v>29</v>
      </c>
      <c r="B1338" s="6">
        <v>5</v>
      </c>
      <c r="C1338" s="6" t="s">
        <v>30</v>
      </c>
      <c r="D1338" s="6">
        <v>133</v>
      </c>
      <c r="E1338" s="6" t="s">
        <v>34</v>
      </c>
      <c r="F1338" s="6">
        <v>1529.1</v>
      </c>
      <c r="G1338" s="7">
        <v>1835</v>
      </c>
      <c r="H1338" s="6">
        <f>(G1338-F1338)</f>
        <v>305.9000000000001</v>
      </c>
      <c r="I1338" s="6" t="s">
        <v>24</v>
      </c>
      <c r="J1338" s="6" t="s">
        <v>48</v>
      </c>
    </row>
    <row r="1339" spans="1:10" ht="23" customHeight="1">
      <c r="A1339" s="6" t="s">
        <v>29</v>
      </c>
      <c r="B1339" s="6">
        <v>5</v>
      </c>
      <c r="C1339" s="6" t="s">
        <v>30</v>
      </c>
      <c r="D1339" s="6">
        <v>133</v>
      </c>
      <c r="E1339" s="6" t="s">
        <v>35</v>
      </c>
      <c r="F1339" s="6">
        <v>145623</v>
      </c>
      <c r="G1339" s="7">
        <v>145626</v>
      </c>
      <c r="H1339" s="6">
        <f>(G1339-F1339)</f>
        <v>3.0</v>
      </c>
      <c r="I1339" s="6" t="s">
        <v>24</v>
      </c>
      <c r="J1339" s="6" t="s">
        <v>48</v>
      </c>
    </row>
    <row r="1340" spans="1:10" ht="23" customHeight="1">
      <c r="A1340" s="6" t="s">
        <v>29</v>
      </c>
      <c r="B1340" s="6">
        <v>5</v>
      </c>
      <c r="C1340" s="6" t="s">
        <v>30</v>
      </c>
      <c r="D1340" s="6">
        <v>133</v>
      </c>
      <c r="E1340" s="6" t="s">
        <v>36</v>
      </c>
      <c r="F1340" s="6">
        <v>1529.1</v>
      </c>
      <c r="G1340" s="7">
        <v>1835</v>
      </c>
      <c r="H1340" s="6">
        <f>(G1340-F1340)</f>
        <v>305.9000000000001</v>
      </c>
      <c r="I1340" s="6" t="s">
        <v>24</v>
      </c>
      <c r="J1340" s="6" t="s">
        <v>48</v>
      </c>
    </row>
    <row r="1341" spans="1:10" ht="23" customHeight="1">
      <c r="A1341" s="6" t="s">
        <v>29</v>
      </c>
      <c r="B1341" s="6">
        <v>5</v>
      </c>
      <c r="C1341" s="6" t="s">
        <v>30</v>
      </c>
      <c r="D1341" s="6">
        <v>133</v>
      </c>
      <c r="E1341" s="6" t="s">
        <v>37</v>
      </c>
      <c r="F1341" s="6">
        <v>1529.1</v>
      </c>
      <c r="G1341" s="7">
        <v>1835</v>
      </c>
      <c r="H1341" s="6">
        <f>(G1341-F1341)</f>
        <v>305.9000000000001</v>
      </c>
      <c r="I1341" s="6" t="s">
        <v>24</v>
      </c>
      <c r="J1341" s="6" t="s">
        <v>48</v>
      </c>
    </row>
    <row r="1342" spans="1:10" ht="23" customHeight="1">
      <c r="A1342" s="6" t="s">
        <v>29</v>
      </c>
      <c r="B1342" s="6">
        <v>5</v>
      </c>
      <c r="C1342" s="6" t="s">
        <v>30</v>
      </c>
      <c r="D1342" s="6">
        <v>133</v>
      </c>
      <c r="E1342" s="6" t="s">
        <v>38</v>
      </c>
      <c r="F1342" s="6">
        <v>145623</v>
      </c>
      <c r="G1342" s="7">
        <v>145626</v>
      </c>
      <c r="H1342" s="6">
        <f>(G1342-F1342)</f>
        <v>3.0</v>
      </c>
      <c r="I1342" s="6" t="s">
        <v>24</v>
      </c>
      <c r="J1342" s="6" t="s">
        <v>48</v>
      </c>
    </row>
    <row r="1343" spans="1:10" ht="23" customHeight="1">
      <c r="A1343" s="6" t="s">
        <v>29</v>
      </c>
      <c r="B1343" s="6">
        <v>5</v>
      </c>
      <c r="C1343" s="6" t="s">
        <v>30</v>
      </c>
      <c r="D1343" s="6">
        <v>133</v>
      </c>
      <c r="E1343" s="6" t="s">
        <v>39</v>
      </c>
      <c r="F1343" s="6">
        <v>145623</v>
      </c>
      <c r="G1343" s="7">
        <v>145626</v>
      </c>
      <c r="H1343" s="6">
        <f>(G1343-F1343)</f>
        <v>3.0</v>
      </c>
      <c r="I1343" s="6" t="s">
        <v>24</v>
      </c>
      <c r="J1343" s="6" t="s">
        <v>48</v>
      </c>
    </row>
    <row r="1344" spans="1:10" ht="23" customHeight="1">
      <c r="A1344" s="6" t="s">
        <v>29</v>
      </c>
      <c r="B1344" s="6">
        <v>5</v>
      </c>
      <c r="C1344" s="6" t="s">
        <v>30</v>
      </c>
      <c r="D1344" s="6">
        <v>133</v>
      </c>
      <c r="E1344" s="6" t="s">
        <v>40</v>
      </c>
      <c r="F1344" s="6">
        <v>145623</v>
      </c>
      <c r="G1344" s="7">
        <v>145626</v>
      </c>
      <c r="H1344" s="6">
        <f>(G1344-F1344)</f>
        <v>3.0</v>
      </c>
      <c r="I1344" s="6" t="s">
        <v>24</v>
      </c>
      <c r="J1344" s="6" t="s">
        <v>48</v>
      </c>
    </row>
    <row r="1345" spans="1:10" ht="23" customHeight="1">
      <c r="A1345" s="6" t="s">
        <v>29</v>
      </c>
      <c r="B1345" s="6">
        <v>5</v>
      </c>
      <c r="C1345" s="6" t="s">
        <v>30</v>
      </c>
      <c r="D1345" s="6">
        <v>133</v>
      </c>
      <c r="E1345" s="6" t="s">
        <v>41</v>
      </c>
      <c r="F1345" s="6">
        <v>145623</v>
      </c>
      <c r="G1345" s="7">
        <v>145626</v>
      </c>
      <c r="H1345" s="6">
        <f>(G1345-F1345)</f>
        <v>3.0</v>
      </c>
      <c r="I1345" s="6" t="s">
        <v>24</v>
      </c>
      <c r="J1345" s="6" t="s">
        <v>48</v>
      </c>
    </row>
    <row r="1346" spans="1:10" ht="23" customHeight="1">
      <c r="A1346" s="6" t="s">
        <v>29</v>
      </c>
      <c r="B1346" s="6">
        <v>5</v>
      </c>
      <c r="C1346" s="6" t="s">
        <v>30</v>
      </c>
      <c r="D1346" s="6">
        <v>134</v>
      </c>
      <c r="E1346" s="6" t="s">
        <v>31</v>
      </c>
      <c r="F1346" s="6">
        <v>145623</v>
      </c>
      <c r="G1346" s="7">
        <v>145626</v>
      </c>
      <c r="H1346" s="6">
        <f>(G1346-F1346)</f>
        <v>3.0</v>
      </c>
      <c r="I1346" s="6" t="s">
        <v>24</v>
      </c>
      <c r="J1346" s="6" t="s">
        <v>48</v>
      </c>
    </row>
    <row r="1347" spans="1:10" ht="23" customHeight="1">
      <c r="A1347" s="6" t="s">
        <v>29</v>
      </c>
      <c r="B1347" s="6">
        <v>5</v>
      </c>
      <c r="C1347" s="6" t="s">
        <v>30</v>
      </c>
      <c r="D1347" s="6">
        <v>134</v>
      </c>
      <c r="E1347" s="6" t="s">
        <v>32</v>
      </c>
      <c r="F1347" s="6">
        <v>1529.1</v>
      </c>
      <c r="G1347" s="7">
        <v>1835</v>
      </c>
      <c r="H1347" s="6">
        <f>(G1347-F1347)</f>
        <v>305.9000000000001</v>
      </c>
      <c r="I1347" s="6" t="s">
        <v>24</v>
      </c>
      <c r="J1347" s="6" t="s">
        <v>48</v>
      </c>
    </row>
    <row r="1348" spans="1:10" ht="23" customHeight="1">
      <c r="A1348" s="6" t="s">
        <v>29</v>
      </c>
      <c r="B1348" s="6">
        <v>5</v>
      </c>
      <c r="C1348" s="6" t="s">
        <v>30</v>
      </c>
      <c r="D1348" s="6">
        <v>134</v>
      </c>
      <c r="E1348" s="6" t="s">
        <v>34</v>
      </c>
      <c r="F1348" s="6">
        <v>1529.1</v>
      </c>
      <c r="G1348" s="7">
        <v>1835</v>
      </c>
      <c r="H1348" s="6">
        <f>(G1348-F1348)</f>
        <v>305.9000000000001</v>
      </c>
      <c r="I1348" s="6" t="s">
        <v>24</v>
      </c>
      <c r="J1348" s="6" t="s">
        <v>48</v>
      </c>
    </row>
    <row r="1349" spans="1:10" ht="23" customHeight="1">
      <c r="A1349" s="6" t="s">
        <v>29</v>
      </c>
      <c r="B1349" s="6">
        <v>5</v>
      </c>
      <c r="C1349" s="6" t="s">
        <v>30</v>
      </c>
      <c r="D1349" s="6">
        <v>134</v>
      </c>
      <c r="E1349" s="6" t="s">
        <v>35</v>
      </c>
      <c r="F1349" s="6">
        <v>145623</v>
      </c>
      <c r="G1349" s="7">
        <v>145626</v>
      </c>
      <c r="H1349" s="6">
        <f>(G1349-F1349)</f>
        <v>3.0</v>
      </c>
      <c r="I1349" s="6" t="s">
        <v>24</v>
      </c>
      <c r="J1349" s="6" t="s">
        <v>48</v>
      </c>
    </row>
    <row r="1350" spans="1:10" ht="23" customHeight="1">
      <c r="A1350" s="6" t="s">
        <v>29</v>
      </c>
      <c r="B1350" s="6">
        <v>5</v>
      </c>
      <c r="C1350" s="6" t="s">
        <v>30</v>
      </c>
      <c r="D1350" s="6">
        <v>134</v>
      </c>
      <c r="E1350" s="6" t="s">
        <v>36</v>
      </c>
      <c r="F1350" s="6">
        <v>1529.1</v>
      </c>
      <c r="G1350" s="7">
        <v>1835</v>
      </c>
      <c r="H1350" s="6">
        <f>(G1350-F1350)</f>
        <v>305.9000000000001</v>
      </c>
      <c r="I1350" s="6" t="s">
        <v>24</v>
      </c>
      <c r="J1350" s="6" t="s">
        <v>48</v>
      </c>
    </row>
    <row r="1351" spans="1:10" ht="23" customHeight="1">
      <c r="A1351" s="6" t="s">
        <v>29</v>
      </c>
      <c r="B1351" s="6">
        <v>5</v>
      </c>
      <c r="C1351" s="6" t="s">
        <v>30</v>
      </c>
      <c r="D1351" s="6">
        <v>134</v>
      </c>
      <c r="E1351" s="6" t="s">
        <v>37</v>
      </c>
      <c r="F1351" s="6">
        <v>1529.1</v>
      </c>
      <c r="G1351" s="7">
        <v>1835</v>
      </c>
      <c r="H1351" s="6">
        <f>(G1351-F1351)</f>
        <v>305.9000000000001</v>
      </c>
      <c r="I1351" s="6" t="s">
        <v>24</v>
      </c>
      <c r="J1351" s="6" t="s">
        <v>48</v>
      </c>
    </row>
    <row r="1352" spans="1:10" ht="23" customHeight="1">
      <c r="A1352" s="6" t="s">
        <v>29</v>
      </c>
      <c r="B1352" s="6">
        <v>5</v>
      </c>
      <c r="C1352" s="6" t="s">
        <v>30</v>
      </c>
      <c r="D1352" s="6">
        <v>134</v>
      </c>
      <c r="E1352" s="6" t="s">
        <v>38</v>
      </c>
      <c r="F1352" s="6">
        <v>145623</v>
      </c>
      <c r="G1352" s="7">
        <v>145626</v>
      </c>
      <c r="H1352" s="6">
        <f>(G1352-F1352)</f>
        <v>3.0</v>
      </c>
      <c r="I1352" s="6" t="s">
        <v>24</v>
      </c>
      <c r="J1352" s="6" t="s">
        <v>48</v>
      </c>
    </row>
    <row r="1353" spans="1:10" ht="23" customHeight="1">
      <c r="A1353" s="6" t="s">
        <v>29</v>
      </c>
      <c r="B1353" s="6">
        <v>5</v>
      </c>
      <c r="C1353" s="6" t="s">
        <v>30</v>
      </c>
      <c r="D1353" s="6">
        <v>134</v>
      </c>
      <c r="E1353" s="6" t="s">
        <v>39</v>
      </c>
      <c r="F1353" s="6">
        <v>145623</v>
      </c>
      <c r="G1353" s="7">
        <v>145626</v>
      </c>
      <c r="H1353" s="6">
        <f>(G1353-F1353)</f>
        <v>3.0</v>
      </c>
      <c r="I1353" s="6" t="s">
        <v>24</v>
      </c>
      <c r="J1353" s="6" t="s">
        <v>48</v>
      </c>
    </row>
    <row r="1354" spans="1:10" ht="23" customHeight="1">
      <c r="A1354" s="6" t="s">
        <v>29</v>
      </c>
      <c r="B1354" s="6">
        <v>5</v>
      </c>
      <c r="C1354" s="6" t="s">
        <v>30</v>
      </c>
      <c r="D1354" s="6">
        <v>134</v>
      </c>
      <c r="E1354" s="6" t="s">
        <v>40</v>
      </c>
      <c r="F1354" s="6">
        <v>145623</v>
      </c>
      <c r="G1354" s="7">
        <v>145626</v>
      </c>
      <c r="H1354" s="6">
        <f>(G1354-F1354)</f>
        <v>3.0</v>
      </c>
      <c r="I1354" s="6" t="s">
        <v>24</v>
      </c>
      <c r="J1354" s="6" t="s">
        <v>48</v>
      </c>
    </row>
    <row r="1355" spans="1:10" ht="23" customHeight="1">
      <c r="A1355" s="6" t="s">
        <v>29</v>
      </c>
      <c r="B1355" s="6">
        <v>5</v>
      </c>
      <c r="C1355" s="6" t="s">
        <v>30</v>
      </c>
      <c r="D1355" s="6">
        <v>134</v>
      </c>
      <c r="E1355" s="6" t="s">
        <v>41</v>
      </c>
      <c r="F1355" s="6">
        <v>145623</v>
      </c>
      <c r="G1355" s="7">
        <v>145626</v>
      </c>
      <c r="H1355" s="6">
        <f>(G1355-F1355)</f>
        <v>3.0</v>
      </c>
      <c r="I1355" s="6" t="s">
        <v>24</v>
      </c>
      <c r="J1355" s="6" t="s">
        <v>48</v>
      </c>
    </row>
    <row r="1356" spans="1:10" ht="23" customHeight="1">
      <c r="A1356" s="6" t="s">
        <v>29</v>
      </c>
      <c r="B1356" s="6">
        <v>5</v>
      </c>
      <c r="C1356" s="6" t="s">
        <v>30</v>
      </c>
      <c r="D1356" s="6">
        <v>135</v>
      </c>
      <c r="E1356" s="6" t="s">
        <v>31</v>
      </c>
      <c r="F1356" s="6">
        <v>145623</v>
      </c>
      <c r="G1356" s="7">
        <v>145626</v>
      </c>
      <c r="H1356" s="6">
        <f>(G1356-F1356)</f>
        <v>3.0</v>
      </c>
      <c r="I1356" s="6" t="s">
        <v>24</v>
      </c>
      <c r="J1356" s="6" t="s">
        <v>48</v>
      </c>
    </row>
    <row r="1357" spans="1:10" ht="23" customHeight="1">
      <c r="A1357" s="6" t="s">
        <v>29</v>
      </c>
      <c r="B1357" s="6">
        <v>5</v>
      </c>
      <c r="C1357" s="6" t="s">
        <v>30</v>
      </c>
      <c r="D1357" s="6">
        <v>135</v>
      </c>
      <c r="E1357" s="6" t="s">
        <v>32</v>
      </c>
      <c r="F1357" s="6">
        <v>1529.1</v>
      </c>
      <c r="G1357" s="7">
        <v>1835</v>
      </c>
      <c r="H1357" s="6">
        <f>(G1357-F1357)</f>
        <v>305.9000000000001</v>
      </c>
      <c r="I1357" s="6" t="s">
        <v>24</v>
      </c>
      <c r="J1357" s="6" t="s">
        <v>48</v>
      </c>
    </row>
    <row r="1358" spans="1:10" ht="23" customHeight="1">
      <c r="A1358" s="6" t="s">
        <v>29</v>
      </c>
      <c r="B1358" s="6">
        <v>5</v>
      </c>
      <c r="C1358" s="6" t="s">
        <v>30</v>
      </c>
      <c r="D1358" s="6">
        <v>135</v>
      </c>
      <c r="E1358" s="6" t="s">
        <v>34</v>
      </c>
      <c r="F1358" s="6">
        <v>1529.1</v>
      </c>
      <c r="G1358" s="7">
        <v>1835</v>
      </c>
      <c r="H1358" s="6">
        <f>(G1358-F1358)</f>
        <v>305.9000000000001</v>
      </c>
      <c r="I1358" s="6" t="s">
        <v>24</v>
      </c>
      <c r="J1358" s="6" t="s">
        <v>48</v>
      </c>
    </row>
    <row r="1359" spans="1:10" ht="23" customHeight="1">
      <c r="A1359" s="6" t="s">
        <v>29</v>
      </c>
      <c r="B1359" s="6">
        <v>5</v>
      </c>
      <c r="C1359" s="6" t="s">
        <v>30</v>
      </c>
      <c r="D1359" s="6">
        <v>135</v>
      </c>
      <c r="E1359" s="6" t="s">
        <v>35</v>
      </c>
      <c r="F1359" s="6">
        <v>145623</v>
      </c>
      <c r="G1359" s="7">
        <v>145626</v>
      </c>
      <c r="H1359" s="6">
        <f>(G1359-F1359)</f>
        <v>3.0</v>
      </c>
      <c r="I1359" s="6" t="s">
        <v>24</v>
      </c>
      <c r="J1359" s="6" t="s">
        <v>48</v>
      </c>
    </row>
    <row r="1360" spans="1:10" ht="23" customHeight="1">
      <c r="A1360" s="6" t="s">
        <v>29</v>
      </c>
      <c r="B1360" s="6">
        <v>5</v>
      </c>
      <c r="C1360" s="6" t="s">
        <v>30</v>
      </c>
      <c r="D1360" s="6">
        <v>135</v>
      </c>
      <c r="E1360" s="6" t="s">
        <v>36</v>
      </c>
      <c r="F1360" s="6">
        <v>1529.1</v>
      </c>
      <c r="G1360" s="7">
        <v>1835</v>
      </c>
      <c r="H1360" s="6">
        <f>(G1360-F1360)</f>
        <v>305.9000000000001</v>
      </c>
      <c r="I1360" s="6" t="s">
        <v>24</v>
      </c>
      <c r="J1360" s="6" t="s">
        <v>48</v>
      </c>
    </row>
    <row r="1361" spans="1:10" ht="23" customHeight="1">
      <c r="A1361" s="6" t="s">
        <v>29</v>
      </c>
      <c r="B1361" s="6">
        <v>5</v>
      </c>
      <c r="C1361" s="6" t="s">
        <v>30</v>
      </c>
      <c r="D1361" s="6">
        <v>135</v>
      </c>
      <c r="E1361" s="6" t="s">
        <v>37</v>
      </c>
      <c r="F1361" s="6">
        <v>1529.1</v>
      </c>
      <c r="G1361" s="7">
        <v>1835</v>
      </c>
      <c r="H1361" s="6">
        <f>(G1361-F1361)</f>
        <v>305.9000000000001</v>
      </c>
      <c r="I1361" s="6" t="s">
        <v>24</v>
      </c>
      <c r="J1361" s="6" t="s">
        <v>48</v>
      </c>
    </row>
    <row r="1362" spans="1:10" ht="23" customHeight="1">
      <c r="A1362" s="6" t="s">
        <v>29</v>
      </c>
      <c r="B1362" s="6">
        <v>5</v>
      </c>
      <c r="C1362" s="6" t="s">
        <v>30</v>
      </c>
      <c r="D1362" s="6">
        <v>135</v>
      </c>
      <c r="E1362" s="6" t="s">
        <v>38</v>
      </c>
      <c r="F1362" s="6">
        <v>145623</v>
      </c>
      <c r="G1362" s="7">
        <v>145626</v>
      </c>
      <c r="H1362" s="6">
        <f>(G1362-F1362)</f>
        <v>3.0</v>
      </c>
      <c r="I1362" s="6" t="s">
        <v>24</v>
      </c>
      <c r="J1362" s="6" t="s">
        <v>48</v>
      </c>
    </row>
    <row r="1363" spans="1:10" ht="23" customHeight="1">
      <c r="A1363" s="6" t="s">
        <v>29</v>
      </c>
      <c r="B1363" s="6">
        <v>5</v>
      </c>
      <c r="C1363" s="6" t="s">
        <v>30</v>
      </c>
      <c r="D1363" s="6">
        <v>135</v>
      </c>
      <c r="E1363" s="6" t="s">
        <v>39</v>
      </c>
      <c r="F1363" s="6">
        <v>145623</v>
      </c>
      <c r="G1363" s="7">
        <v>145626</v>
      </c>
      <c r="H1363" s="6">
        <f>(G1363-F1363)</f>
        <v>3.0</v>
      </c>
      <c r="I1363" s="6" t="s">
        <v>24</v>
      </c>
      <c r="J1363" s="6" t="s">
        <v>48</v>
      </c>
    </row>
    <row r="1364" spans="1:10" ht="23" customHeight="1">
      <c r="A1364" s="6" t="s">
        <v>29</v>
      </c>
      <c r="B1364" s="6">
        <v>5</v>
      </c>
      <c r="C1364" s="6" t="s">
        <v>30</v>
      </c>
      <c r="D1364" s="6">
        <v>135</v>
      </c>
      <c r="E1364" s="6" t="s">
        <v>40</v>
      </c>
      <c r="F1364" s="6">
        <v>145623</v>
      </c>
      <c r="G1364" s="7">
        <v>145626</v>
      </c>
      <c r="H1364" s="6">
        <f>(G1364-F1364)</f>
        <v>3.0</v>
      </c>
      <c r="I1364" s="6" t="s">
        <v>24</v>
      </c>
      <c r="J1364" s="6" t="s">
        <v>48</v>
      </c>
    </row>
    <row r="1365" spans="1:10" ht="23" customHeight="1">
      <c r="A1365" s="6" t="s">
        <v>29</v>
      </c>
      <c r="B1365" s="6">
        <v>5</v>
      </c>
      <c r="C1365" s="6" t="s">
        <v>30</v>
      </c>
      <c r="D1365" s="6">
        <v>135</v>
      </c>
      <c r="E1365" s="6" t="s">
        <v>41</v>
      </c>
      <c r="F1365" s="6">
        <v>145623</v>
      </c>
      <c r="G1365" s="7">
        <v>145626</v>
      </c>
      <c r="H1365" s="6">
        <f>(G1365-F1365)</f>
        <v>3.0</v>
      </c>
      <c r="I1365" s="6" t="s">
        <v>24</v>
      </c>
      <c r="J1365" s="6" t="s">
        <v>48</v>
      </c>
    </row>
    <row r="1366" spans="1:10" ht="23" customHeight="1">
      <c r="A1366" s="6" t="s">
        <v>29</v>
      </c>
      <c r="B1366" s="6">
        <v>5</v>
      </c>
      <c r="C1366" s="6" t="s">
        <v>30</v>
      </c>
      <c r="D1366" s="6">
        <v>136</v>
      </c>
      <c r="E1366" s="6" t="s">
        <v>31</v>
      </c>
      <c r="F1366" s="6">
        <v>145623</v>
      </c>
      <c r="G1366" s="7">
        <v>145626</v>
      </c>
      <c r="H1366" s="6">
        <f>(G1366-F1366)</f>
        <v>3.0</v>
      </c>
      <c r="I1366" s="6" t="s">
        <v>24</v>
      </c>
      <c r="J1366" s="6" t="s">
        <v>48</v>
      </c>
    </row>
    <row r="1367" spans="1:10" ht="23" customHeight="1">
      <c r="A1367" s="6" t="s">
        <v>29</v>
      </c>
      <c r="B1367" s="6">
        <v>5</v>
      </c>
      <c r="C1367" s="6" t="s">
        <v>30</v>
      </c>
      <c r="D1367" s="6">
        <v>136</v>
      </c>
      <c r="E1367" s="6" t="s">
        <v>32</v>
      </c>
      <c r="F1367" s="6">
        <v>1529.1</v>
      </c>
      <c r="G1367" s="7">
        <v>1835</v>
      </c>
      <c r="H1367" s="6">
        <f>(G1367-F1367)</f>
        <v>305.9000000000001</v>
      </c>
      <c r="I1367" s="6" t="s">
        <v>24</v>
      </c>
      <c r="J1367" s="6" t="s">
        <v>48</v>
      </c>
    </row>
    <row r="1368" spans="1:10" ht="23" customHeight="1">
      <c r="A1368" s="6" t="s">
        <v>29</v>
      </c>
      <c r="B1368" s="6">
        <v>5</v>
      </c>
      <c r="C1368" s="6" t="s">
        <v>30</v>
      </c>
      <c r="D1368" s="6">
        <v>136</v>
      </c>
      <c r="E1368" s="6" t="s">
        <v>34</v>
      </c>
      <c r="F1368" s="6">
        <v>1529.1</v>
      </c>
      <c r="G1368" s="7">
        <v>1835</v>
      </c>
      <c r="H1368" s="6">
        <f>(G1368-F1368)</f>
        <v>305.9000000000001</v>
      </c>
      <c r="I1368" s="6" t="s">
        <v>24</v>
      </c>
      <c r="J1368" s="6" t="s">
        <v>48</v>
      </c>
    </row>
    <row r="1369" spans="1:10" ht="23" customHeight="1">
      <c r="A1369" s="6" t="s">
        <v>29</v>
      </c>
      <c r="B1369" s="6">
        <v>5</v>
      </c>
      <c r="C1369" s="6" t="s">
        <v>30</v>
      </c>
      <c r="D1369" s="6">
        <v>136</v>
      </c>
      <c r="E1369" s="6" t="s">
        <v>35</v>
      </c>
      <c r="F1369" s="6">
        <v>145623</v>
      </c>
      <c r="G1369" s="7">
        <v>145626</v>
      </c>
      <c r="H1369" s="6">
        <f>(G1369-F1369)</f>
        <v>3.0</v>
      </c>
      <c r="I1369" s="6" t="s">
        <v>24</v>
      </c>
      <c r="J1369" s="6" t="s">
        <v>48</v>
      </c>
    </row>
    <row r="1370" spans="1:10" ht="23" customHeight="1">
      <c r="A1370" s="6" t="s">
        <v>29</v>
      </c>
      <c r="B1370" s="6">
        <v>5</v>
      </c>
      <c r="C1370" s="6" t="s">
        <v>30</v>
      </c>
      <c r="D1370" s="6">
        <v>136</v>
      </c>
      <c r="E1370" s="6" t="s">
        <v>36</v>
      </c>
      <c r="F1370" s="6">
        <v>1529.1</v>
      </c>
      <c r="G1370" s="7">
        <v>1835</v>
      </c>
      <c r="H1370" s="6">
        <f>(G1370-F1370)</f>
        <v>305.9000000000001</v>
      </c>
      <c r="I1370" s="6" t="s">
        <v>24</v>
      </c>
      <c r="J1370" s="6" t="s">
        <v>48</v>
      </c>
    </row>
    <row r="1371" spans="1:10" ht="23" customHeight="1">
      <c r="A1371" s="6" t="s">
        <v>29</v>
      </c>
      <c r="B1371" s="6">
        <v>5</v>
      </c>
      <c r="C1371" s="6" t="s">
        <v>30</v>
      </c>
      <c r="D1371" s="6">
        <v>136</v>
      </c>
      <c r="E1371" s="6" t="s">
        <v>37</v>
      </c>
      <c r="F1371" s="6">
        <v>1529.1</v>
      </c>
      <c r="G1371" s="7">
        <v>1835</v>
      </c>
      <c r="H1371" s="6">
        <f>(G1371-F1371)</f>
        <v>305.9000000000001</v>
      </c>
      <c r="I1371" s="6" t="s">
        <v>24</v>
      </c>
      <c r="J1371" s="6" t="s">
        <v>48</v>
      </c>
    </row>
    <row r="1372" spans="1:10" ht="23" customHeight="1">
      <c r="A1372" s="6" t="s">
        <v>29</v>
      </c>
      <c r="B1372" s="6">
        <v>5</v>
      </c>
      <c r="C1372" s="6" t="s">
        <v>30</v>
      </c>
      <c r="D1372" s="6">
        <v>136</v>
      </c>
      <c r="E1372" s="6" t="s">
        <v>38</v>
      </c>
      <c r="F1372" s="6">
        <v>145623</v>
      </c>
      <c r="G1372" s="7">
        <v>145626</v>
      </c>
      <c r="H1372" s="6">
        <f>(G1372-F1372)</f>
        <v>3.0</v>
      </c>
      <c r="I1372" s="6" t="s">
        <v>24</v>
      </c>
      <c r="J1372" s="6" t="s">
        <v>48</v>
      </c>
    </row>
    <row r="1373" spans="1:10" ht="23" customHeight="1">
      <c r="A1373" s="6" t="s">
        <v>29</v>
      </c>
      <c r="B1373" s="6">
        <v>5</v>
      </c>
      <c r="C1373" s="6" t="s">
        <v>30</v>
      </c>
      <c r="D1373" s="6">
        <v>136</v>
      </c>
      <c r="E1373" s="6" t="s">
        <v>39</v>
      </c>
      <c r="F1373" s="6">
        <v>145623</v>
      </c>
      <c r="G1373" s="7">
        <v>145626</v>
      </c>
      <c r="H1373" s="6">
        <f>(G1373-F1373)</f>
        <v>3.0</v>
      </c>
      <c r="I1373" s="6" t="s">
        <v>24</v>
      </c>
      <c r="J1373" s="6" t="s">
        <v>48</v>
      </c>
    </row>
    <row r="1374" spans="1:10" ht="23" customHeight="1">
      <c r="A1374" s="6" t="s">
        <v>29</v>
      </c>
      <c r="B1374" s="6">
        <v>5</v>
      </c>
      <c r="C1374" s="6" t="s">
        <v>30</v>
      </c>
      <c r="D1374" s="6">
        <v>136</v>
      </c>
      <c r="E1374" s="6" t="s">
        <v>40</v>
      </c>
      <c r="F1374" s="6">
        <v>145623</v>
      </c>
      <c r="G1374" s="7">
        <v>145626</v>
      </c>
      <c r="H1374" s="6">
        <f>(G1374-F1374)</f>
        <v>3.0</v>
      </c>
      <c r="I1374" s="6" t="s">
        <v>24</v>
      </c>
      <c r="J1374" s="6" t="s">
        <v>48</v>
      </c>
    </row>
    <row r="1375" spans="1:10" ht="23" customHeight="1">
      <c r="A1375" s="6" t="s">
        <v>29</v>
      </c>
      <c r="B1375" s="6">
        <v>5</v>
      </c>
      <c r="C1375" s="6" t="s">
        <v>30</v>
      </c>
      <c r="D1375" s="6">
        <v>136</v>
      </c>
      <c r="E1375" s="6" t="s">
        <v>41</v>
      </c>
      <c r="F1375" s="6">
        <v>145623</v>
      </c>
      <c r="G1375" s="7">
        <v>145626</v>
      </c>
      <c r="H1375" s="6">
        <f>(G1375-F1375)</f>
        <v>3.0</v>
      </c>
      <c r="I1375" s="6" t="s">
        <v>24</v>
      </c>
      <c r="J1375" s="6" t="s">
        <v>48</v>
      </c>
    </row>
    <row r="1376" spans="1:10" ht="23" customHeight="1">
      <c r="A1376" s="6" t="s">
        <v>29</v>
      </c>
      <c r="B1376" s="6">
        <v>5</v>
      </c>
      <c r="C1376" s="6" t="s">
        <v>30</v>
      </c>
      <c r="D1376" s="6">
        <v>137</v>
      </c>
      <c r="E1376" s="6" t="s">
        <v>31</v>
      </c>
      <c r="F1376" s="6">
        <v>119430</v>
      </c>
      <c r="G1376" s="7">
        <v>119433</v>
      </c>
      <c r="H1376" s="6">
        <f>(G1376-F1376)</f>
        <v>3.0</v>
      </c>
      <c r="I1376" s="6" t="s">
        <v>24</v>
      </c>
      <c r="J1376" s="6" t="s">
        <v>48</v>
      </c>
    </row>
    <row r="1377" spans="1:10" ht="23" customHeight="1">
      <c r="A1377" s="6" t="s">
        <v>29</v>
      </c>
      <c r="B1377" s="6">
        <v>5</v>
      </c>
      <c r="C1377" s="6" t="s">
        <v>30</v>
      </c>
      <c r="D1377" s="6">
        <v>137</v>
      </c>
      <c r="E1377" s="6" t="s">
        <v>32</v>
      </c>
      <c r="F1377" s="6">
        <v>1129.2</v>
      </c>
      <c r="G1377" s="7">
        <v>1355</v>
      </c>
      <c r="H1377" s="6">
        <f>(G1377-F1377)</f>
        <v>225.79999999999995</v>
      </c>
      <c r="I1377" s="6" t="s">
        <v>24</v>
      </c>
      <c r="J1377" s="6" t="s">
        <v>48</v>
      </c>
    </row>
    <row r="1378" spans="1:10" ht="23" customHeight="1">
      <c r="A1378" s="6" t="s">
        <v>29</v>
      </c>
      <c r="B1378" s="6">
        <v>5</v>
      </c>
      <c r="C1378" s="6" t="s">
        <v>30</v>
      </c>
      <c r="D1378" s="6">
        <v>137</v>
      </c>
      <c r="E1378" s="6" t="s">
        <v>34</v>
      </c>
      <c r="F1378" s="6">
        <v>1129.2</v>
      </c>
      <c r="G1378" s="7">
        <v>1355</v>
      </c>
      <c r="H1378" s="6">
        <f>(G1378-F1378)</f>
        <v>225.79999999999995</v>
      </c>
      <c r="I1378" s="6" t="s">
        <v>24</v>
      </c>
      <c r="J1378" s="6" t="s">
        <v>48</v>
      </c>
    </row>
    <row r="1379" spans="1:10" ht="23" customHeight="1">
      <c r="A1379" s="6" t="s">
        <v>29</v>
      </c>
      <c r="B1379" s="6">
        <v>5</v>
      </c>
      <c r="C1379" s="6" t="s">
        <v>30</v>
      </c>
      <c r="D1379" s="6">
        <v>137</v>
      </c>
      <c r="E1379" s="6" t="s">
        <v>35</v>
      </c>
      <c r="F1379" s="6">
        <v>119430</v>
      </c>
      <c r="G1379" s="7">
        <v>119433</v>
      </c>
      <c r="H1379" s="6">
        <f>(G1379-F1379)</f>
        <v>3.0</v>
      </c>
      <c r="I1379" s="6" t="s">
        <v>24</v>
      </c>
      <c r="J1379" s="6" t="s">
        <v>48</v>
      </c>
    </row>
    <row r="1380" spans="1:10" ht="23" customHeight="1">
      <c r="A1380" s="6" t="s">
        <v>29</v>
      </c>
      <c r="B1380" s="6">
        <v>5</v>
      </c>
      <c r="C1380" s="6" t="s">
        <v>30</v>
      </c>
      <c r="D1380" s="6">
        <v>137</v>
      </c>
      <c r="E1380" s="6" t="s">
        <v>36</v>
      </c>
      <c r="F1380" s="6">
        <v>1129.2</v>
      </c>
      <c r="G1380" s="7">
        <v>1355</v>
      </c>
      <c r="H1380" s="6">
        <f>(G1380-F1380)</f>
        <v>225.79999999999995</v>
      </c>
      <c r="I1380" s="6" t="s">
        <v>24</v>
      </c>
      <c r="J1380" s="6" t="s">
        <v>48</v>
      </c>
    </row>
    <row r="1381" spans="1:10" ht="23" customHeight="1">
      <c r="A1381" s="6" t="s">
        <v>29</v>
      </c>
      <c r="B1381" s="6">
        <v>5</v>
      </c>
      <c r="C1381" s="6" t="s">
        <v>30</v>
      </c>
      <c r="D1381" s="6">
        <v>137</v>
      </c>
      <c r="E1381" s="6" t="s">
        <v>37</v>
      </c>
      <c r="F1381" s="6">
        <v>1129.2</v>
      </c>
      <c r="G1381" s="7">
        <v>1355</v>
      </c>
      <c r="H1381" s="6">
        <f>(G1381-F1381)</f>
        <v>225.79999999999995</v>
      </c>
      <c r="I1381" s="6" t="s">
        <v>24</v>
      </c>
      <c r="J1381" s="6" t="s">
        <v>48</v>
      </c>
    </row>
    <row r="1382" spans="1:10" ht="23" customHeight="1">
      <c r="A1382" s="6" t="s">
        <v>29</v>
      </c>
      <c r="B1382" s="6">
        <v>5</v>
      </c>
      <c r="C1382" s="6" t="s">
        <v>30</v>
      </c>
      <c r="D1382" s="6">
        <v>137</v>
      </c>
      <c r="E1382" s="6" t="s">
        <v>38</v>
      </c>
      <c r="F1382" s="6">
        <v>119430</v>
      </c>
      <c r="G1382" s="7">
        <v>119433</v>
      </c>
      <c r="H1382" s="6">
        <f>(G1382-F1382)</f>
        <v>3.0</v>
      </c>
      <c r="I1382" s="6" t="s">
        <v>24</v>
      </c>
      <c r="J1382" s="6" t="s">
        <v>48</v>
      </c>
    </row>
    <row r="1383" spans="1:10" ht="23" customHeight="1">
      <c r="A1383" s="6" t="s">
        <v>29</v>
      </c>
      <c r="B1383" s="6">
        <v>5</v>
      </c>
      <c r="C1383" s="6" t="s">
        <v>30</v>
      </c>
      <c r="D1383" s="6">
        <v>137</v>
      </c>
      <c r="E1383" s="6" t="s">
        <v>39</v>
      </c>
      <c r="F1383" s="6">
        <v>119430</v>
      </c>
      <c r="G1383" s="7">
        <v>119433</v>
      </c>
      <c r="H1383" s="6">
        <f>(G1383-F1383)</f>
        <v>3.0</v>
      </c>
      <c r="I1383" s="6" t="s">
        <v>24</v>
      </c>
      <c r="J1383" s="6" t="s">
        <v>48</v>
      </c>
    </row>
    <row r="1384" spans="1:10" ht="23" customHeight="1">
      <c r="A1384" s="6" t="s">
        <v>29</v>
      </c>
      <c r="B1384" s="6">
        <v>5</v>
      </c>
      <c r="C1384" s="6" t="s">
        <v>30</v>
      </c>
      <c r="D1384" s="6">
        <v>137</v>
      </c>
      <c r="E1384" s="6" t="s">
        <v>40</v>
      </c>
      <c r="F1384" s="6">
        <v>119430</v>
      </c>
      <c r="G1384" s="7">
        <v>119433</v>
      </c>
      <c r="H1384" s="6">
        <f>(G1384-F1384)</f>
        <v>3.0</v>
      </c>
      <c r="I1384" s="6" t="s">
        <v>24</v>
      </c>
      <c r="J1384" s="6" t="s">
        <v>48</v>
      </c>
    </row>
    <row r="1385" spans="1:10" ht="23" customHeight="1">
      <c r="A1385" s="6" t="s">
        <v>29</v>
      </c>
      <c r="B1385" s="6">
        <v>5</v>
      </c>
      <c r="C1385" s="6" t="s">
        <v>30</v>
      </c>
      <c r="D1385" s="6">
        <v>137</v>
      </c>
      <c r="E1385" s="6" t="s">
        <v>41</v>
      </c>
      <c r="F1385" s="6">
        <v>119430</v>
      </c>
      <c r="G1385" s="7">
        <v>119433</v>
      </c>
      <c r="H1385" s="6">
        <f>(G1385-F1385)</f>
        <v>3.0</v>
      </c>
      <c r="I1385" s="6" t="s">
        <v>24</v>
      </c>
      <c r="J1385" s="6" t="s">
        <v>48</v>
      </c>
    </row>
    <row r="1386" spans="1:10" ht="23" customHeight="1">
      <c r="A1386" s="6" t="s">
        <v>29</v>
      </c>
      <c r="B1386" s="6">
        <v>5</v>
      </c>
      <c r="C1386" s="6" t="s">
        <v>30</v>
      </c>
      <c r="D1386" s="6">
        <v>138</v>
      </c>
      <c r="E1386" s="6" t="s">
        <v>31</v>
      </c>
      <c r="F1386" s="6">
        <v>69955</v>
      </c>
      <c r="G1386" s="7">
        <v>69957</v>
      </c>
      <c r="H1386" s="6">
        <f>(G1386-F1386)</f>
        <v>2.0</v>
      </c>
      <c r="I1386" s="6" t="s">
        <v>24</v>
      </c>
      <c r="J1386" s="6" t="s">
        <v>48</v>
      </c>
    </row>
    <row r="1387" spans="1:10" ht="23" customHeight="1">
      <c r="A1387" s="6" t="s">
        <v>29</v>
      </c>
      <c r="B1387" s="6">
        <v>5</v>
      </c>
      <c r="C1387" s="6" t="s">
        <v>30</v>
      </c>
      <c r="D1387" s="6">
        <v>138</v>
      </c>
      <c r="E1387" s="6" t="s">
        <v>32</v>
      </c>
      <c r="F1387" s="6">
        <v>373.8</v>
      </c>
      <c r="G1387" s="7">
        <v>448.5</v>
      </c>
      <c r="H1387" s="6">
        <f>(G1387-F1387)</f>
        <v>74.69999999999999</v>
      </c>
      <c r="I1387" s="6" t="s">
        <v>24</v>
      </c>
      <c r="J1387" s="6" t="s">
        <v>48</v>
      </c>
    </row>
    <row r="1388" spans="1:10" ht="23" customHeight="1">
      <c r="A1388" s="6" t="s">
        <v>29</v>
      </c>
      <c r="B1388" s="6">
        <v>5</v>
      </c>
      <c r="C1388" s="6" t="s">
        <v>30</v>
      </c>
      <c r="D1388" s="6">
        <v>138</v>
      </c>
      <c r="E1388" s="6" t="s">
        <v>34</v>
      </c>
      <c r="F1388" s="6">
        <v>373.8</v>
      </c>
      <c r="G1388" s="7">
        <v>448.5</v>
      </c>
      <c r="H1388" s="6">
        <f>(G1388-F1388)</f>
        <v>74.69999999999999</v>
      </c>
      <c r="I1388" s="6" t="s">
        <v>24</v>
      </c>
      <c r="J1388" s="6" t="s">
        <v>48</v>
      </c>
    </row>
    <row r="1389" spans="1:10" ht="23" customHeight="1">
      <c r="A1389" s="6" t="s">
        <v>29</v>
      </c>
      <c r="B1389" s="6">
        <v>5</v>
      </c>
      <c r="C1389" s="6" t="s">
        <v>30</v>
      </c>
      <c r="D1389" s="6">
        <v>138</v>
      </c>
      <c r="E1389" s="6" t="s">
        <v>35</v>
      </c>
      <c r="F1389" s="6">
        <v>69955</v>
      </c>
      <c r="G1389" s="7">
        <v>69957</v>
      </c>
      <c r="H1389" s="6">
        <f>(G1389-F1389)</f>
        <v>2.0</v>
      </c>
      <c r="I1389" s="6" t="s">
        <v>24</v>
      </c>
      <c r="J1389" s="6" t="s">
        <v>48</v>
      </c>
    </row>
    <row r="1390" spans="1:10" ht="23" customHeight="1">
      <c r="A1390" s="6" t="s">
        <v>29</v>
      </c>
      <c r="B1390" s="6">
        <v>5</v>
      </c>
      <c r="C1390" s="6" t="s">
        <v>30</v>
      </c>
      <c r="D1390" s="6">
        <v>138</v>
      </c>
      <c r="E1390" s="6" t="s">
        <v>36</v>
      </c>
      <c r="F1390" s="6">
        <v>373.8</v>
      </c>
      <c r="G1390" s="7">
        <v>448.5</v>
      </c>
      <c r="H1390" s="6">
        <f>(G1390-F1390)</f>
        <v>74.69999999999999</v>
      </c>
      <c r="I1390" s="6" t="s">
        <v>24</v>
      </c>
      <c r="J1390" s="6" t="s">
        <v>48</v>
      </c>
    </row>
    <row r="1391" spans="1:10" ht="23" customHeight="1">
      <c r="A1391" s="6" t="s">
        <v>29</v>
      </c>
      <c r="B1391" s="6">
        <v>5</v>
      </c>
      <c r="C1391" s="6" t="s">
        <v>30</v>
      </c>
      <c r="D1391" s="6">
        <v>138</v>
      </c>
      <c r="E1391" s="6" t="s">
        <v>37</v>
      </c>
      <c r="F1391" s="6">
        <v>373.8</v>
      </c>
      <c r="G1391" s="7">
        <v>448.5</v>
      </c>
      <c r="H1391" s="6">
        <f>(G1391-F1391)</f>
        <v>74.69999999999999</v>
      </c>
      <c r="I1391" s="6" t="s">
        <v>24</v>
      </c>
      <c r="J1391" s="6" t="s">
        <v>48</v>
      </c>
    </row>
    <row r="1392" spans="1:10" ht="23" customHeight="1">
      <c r="A1392" s="6" t="s">
        <v>29</v>
      </c>
      <c r="B1392" s="6">
        <v>5</v>
      </c>
      <c r="C1392" s="6" t="s">
        <v>30</v>
      </c>
      <c r="D1392" s="6">
        <v>138</v>
      </c>
      <c r="E1392" s="6" t="s">
        <v>38</v>
      </c>
      <c r="F1392" s="6">
        <v>69955</v>
      </c>
      <c r="G1392" s="7">
        <v>69957</v>
      </c>
      <c r="H1392" s="6">
        <f>(G1392-F1392)</f>
        <v>2.0</v>
      </c>
      <c r="I1392" s="6" t="s">
        <v>24</v>
      </c>
      <c r="J1392" s="6" t="s">
        <v>48</v>
      </c>
    </row>
    <row r="1393" spans="1:10" ht="23" customHeight="1">
      <c r="A1393" s="6" t="s">
        <v>29</v>
      </c>
      <c r="B1393" s="6">
        <v>5</v>
      </c>
      <c r="C1393" s="6" t="s">
        <v>30</v>
      </c>
      <c r="D1393" s="6">
        <v>138</v>
      </c>
      <c r="E1393" s="6" t="s">
        <v>39</v>
      </c>
      <c r="F1393" s="6">
        <v>69955</v>
      </c>
      <c r="G1393" s="7">
        <v>69957</v>
      </c>
      <c r="H1393" s="6">
        <f>(G1393-F1393)</f>
        <v>2.0</v>
      </c>
      <c r="I1393" s="6" t="s">
        <v>24</v>
      </c>
      <c r="J1393" s="6" t="s">
        <v>48</v>
      </c>
    </row>
    <row r="1394" spans="1:10" ht="23" customHeight="1">
      <c r="A1394" s="6" t="s">
        <v>29</v>
      </c>
      <c r="B1394" s="6">
        <v>5</v>
      </c>
      <c r="C1394" s="6" t="s">
        <v>30</v>
      </c>
      <c r="D1394" s="6">
        <v>138</v>
      </c>
      <c r="E1394" s="6" t="s">
        <v>40</v>
      </c>
      <c r="F1394" s="6">
        <v>69955</v>
      </c>
      <c r="G1394" s="7">
        <v>69957</v>
      </c>
      <c r="H1394" s="6">
        <f>(G1394-F1394)</f>
        <v>2.0</v>
      </c>
      <c r="I1394" s="6" t="s">
        <v>24</v>
      </c>
      <c r="J1394" s="6" t="s">
        <v>48</v>
      </c>
    </row>
    <row r="1395" spans="1:10" ht="23" customHeight="1">
      <c r="A1395" s="6" t="s">
        <v>29</v>
      </c>
      <c r="B1395" s="6">
        <v>5</v>
      </c>
      <c r="C1395" s="6" t="s">
        <v>30</v>
      </c>
      <c r="D1395" s="6">
        <v>138</v>
      </c>
      <c r="E1395" s="6" t="s">
        <v>41</v>
      </c>
      <c r="F1395" s="6">
        <v>69955</v>
      </c>
      <c r="G1395" s="7">
        <v>69957</v>
      </c>
      <c r="H1395" s="6">
        <f>(G1395-F1395)</f>
        <v>2.0</v>
      </c>
      <c r="I1395" s="6" t="s">
        <v>24</v>
      </c>
      <c r="J1395" s="6" t="s">
        <v>48</v>
      </c>
    </row>
    <row r="1396" spans="1:10" ht="23" customHeight="1">
      <c r="A1396" s="6" t="s">
        <v>29</v>
      </c>
      <c r="B1396" s="6">
        <v>5</v>
      </c>
      <c r="C1396" s="6" t="s">
        <v>30</v>
      </c>
      <c r="D1396" s="6">
        <v>139</v>
      </c>
      <c r="E1396" s="6" t="s">
        <v>31</v>
      </c>
      <c r="F1396" s="6">
        <v>69955</v>
      </c>
      <c r="G1396" s="7">
        <v>69957</v>
      </c>
      <c r="H1396" s="6">
        <f>(G1396-F1396)</f>
        <v>2.0</v>
      </c>
      <c r="I1396" s="6" t="s">
        <v>24</v>
      </c>
      <c r="J1396" s="6" t="s">
        <v>48</v>
      </c>
    </row>
    <row r="1397" spans="1:10" ht="23" customHeight="1">
      <c r="A1397" s="6" t="s">
        <v>29</v>
      </c>
      <c r="B1397" s="6">
        <v>5</v>
      </c>
      <c r="C1397" s="6" t="s">
        <v>30</v>
      </c>
      <c r="D1397" s="6">
        <v>139</v>
      </c>
      <c r="E1397" s="6" t="s">
        <v>32</v>
      </c>
      <c r="F1397" s="6">
        <v>373.8</v>
      </c>
      <c r="G1397" s="7">
        <v>448.5</v>
      </c>
      <c r="H1397" s="6">
        <f>(G1397-F1397)</f>
        <v>74.69999999999999</v>
      </c>
      <c r="I1397" s="6" t="s">
        <v>24</v>
      </c>
      <c r="J1397" s="6" t="s">
        <v>48</v>
      </c>
    </row>
    <row r="1398" spans="1:10" ht="23" customHeight="1">
      <c r="A1398" s="6" t="s">
        <v>29</v>
      </c>
      <c r="B1398" s="6">
        <v>5</v>
      </c>
      <c r="C1398" s="6" t="s">
        <v>30</v>
      </c>
      <c r="D1398" s="6">
        <v>139</v>
      </c>
      <c r="E1398" s="6" t="s">
        <v>34</v>
      </c>
      <c r="F1398" s="6">
        <v>373.8</v>
      </c>
      <c r="G1398" s="7">
        <v>448.5</v>
      </c>
      <c r="H1398" s="6">
        <f>(G1398-F1398)</f>
        <v>74.69999999999999</v>
      </c>
      <c r="I1398" s="6" t="s">
        <v>24</v>
      </c>
      <c r="J1398" s="6" t="s">
        <v>48</v>
      </c>
    </row>
    <row r="1399" spans="1:10" ht="23" customHeight="1">
      <c r="A1399" s="6" t="s">
        <v>29</v>
      </c>
      <c r="B1399" s="6">
        <v>5</v>
      </c>
      <c r="C1399" s="6" t="s">
        <v>30</v>
      </c>
      <c r="D1399" s="6">
        <v>139</v>
      </c>
      <c r="E1399" s="6" t="s">
        <v>35</v>
      </c>
      <c r="F1399" s="6">
        <v>69955</v>
      </c>
      <c r="G1399" s="7">
        <v>69957</v>
      </c>
      <c r="H1399" s="6">
        <f>(G1399-F1399)</f>
        <v>2.0</v>
      </c>
      <c r="I1399" s="6" t="s">
        <v>24</v>
      </c>
      <c r="J1399" s="6" t="s">
        <v>48</v>
      </c>
    </row>
    <row r="1400" spans="1:10" ht="23" customHeight="1">
      <c r="A1400" s="6" t="s">
        <v>29</v>
      </c>
      <c r="B1400" s="6">
        <v>5</v>
      </c>
      <c r="C1400" s="6" t="s">
        <v>30</v>
      </c>
      <c r="D1400" s="6">
        <v>139</v>
      </c>
      <c r="E1400" s="6" t="s">
        <v>36</v>
      </c>
      <c r="F1400" s="6">
        <v>373.8</v>
      </c>
      <c r="G1400" s="7">
        <v>448.5</v>
      </c>
      <c r="H1400" s="6">
        <f>(G1400-F1400)</f>
        <v>74.69999999999999</v>
      </c>
      <c r="I1400" s="6" t="s">
        <v>24</v>
      </c>
      <c r="J1400" s="6" t="s">
        <v>48</v>
      </c>
    </row>
    <row r="1401" spans="1:10" ht="23" customHeight="1">
      <c r="A1401" s="6" t="s">
        <v>29</v>
      </c>
      <c r="B1401" s="6">
        <v>5</v>
      </c>
      <c r="C1401" s="6" t="s">
        <v>30</v>
      </c>
      <c r="D1401" s="6">
        <v>139</v>
      </c>
      <c r="E1401" s="6" t="s">
        <v>37</v>
      </c>
      <c r="F1401" s="6">
        <v>373.8</v>
      </c>
      <c r="G1401" s="7">
        <v>448.5</v>
      </c>
      <c r="H1401" s="6">
        <f>(G1401-F1401)</f>
        <v>74.69999999999999</v>
      </c>
      <c r="I1401" s="6" t="s">
        <v>24</v>
      </c>
      <c r="J1401" s="6" t="s">
        <v>48</v>
      </c>
    </row>
    <row r="1402" spans="1:10" ht="23" customHeight="1">
      <c r="A1402" s="6" t="s">
        <v>29</v>
      </c>
      <c r="B1402" s="6">
        <v>5</v>
      </c>
      <c r="C1402" s="6" t="s">
        <v>30</v>
      </c>
      <c r="D1402" s="6">
        <v>139</v>
      </c>
      <c r="E1402" s="6" t="s">
        <v>38</v>
      </c>
      <c r="F1402" s="6">
        <v>69955</v>
      </c>
      <c r="G1402" s="7">
        <v>69957</v>
      </c>
      <c r="H1402" s="6">
        <f>(G1402-F1402)</f>
        <v>2.0</v>
      </c>
      <c r="I1402" s="6" t="s">
        <v>24</v>
      </c>
      <c r="J1402" s="6" t="s">
        <v>48</v>
      </c>
    </row>
    <row r="1403" spans="1:10" ht="23" customHeight="1">
      <c r="A1403" s="6" t="s">
        <v>29</v>
      </c>
      <c r="B1403" s="6">
        <v>5</v>
      </c>
      <c r="C1403" s="6" t="s">
        <v>30</v>
      </c>
      <c r="D1403" s="6">
        <v>139</v>
      </c>
      <c r="E1403" s="6" t="s">
        <v>39</v>
      </c>
      <c r="F1403" s="6">
        <v>69955</v>
      </c>
      <c r="G1403" s="7">
        <v>69957</v>
      </c>
      <c r="H1403" s="6">
        <f>(G1403-F1403)</f>
        <v>2.0</v>
      </c>
      <c r="I1403" s="6" t="s">
        <v>24</v>
      </c>
      <c r="J1403" s="6" t="s">
        <v>48</v>
      </c>
    </row>
    <row r="1404" spans="1:10" ht="23" customHeight="1">
      <c r="A1404" s="6" t="s">
        <v>29</v>
      </c>
      <c r="B1404" s="6">
        <v>5</v>
      </c>
      <c r="C1404" s="6" t="s">
        <v>30</v>
      </c>
      <c r="D1404" s="6">
        <v>139</v>
      </c>
      <c r="E1404" s="6" t="s">
        <v>40</v>
      </c>
      <c r="F1404" s="6">
        <v>69955</v>
      </c>
      <c r="G1404" s="7">
        <v>69957</v>
      </c>
      <c r="H1404" s="6">
        <f>(G1404-F1404)</f>
        <v>2.0</v>
      </c>
      <c r="I1404" s="6" t="s">
        <v>24</v>
      </c>
      <c r="J1404" s="6" t="s">
        <v>48</v>
      </c>
    </row>
    <row r="1405" spans="1:10" ht="23" customHeight="1">
      <c r="A1405" s="6" t="s">
        <v>29</v>
      </c>
      <c r="B1405" s="6">
        <v>5</v>
      </c>
      <c r="C1405" s="6" t="s">
        <v>30</v>
      </c>
      <c r="D1405" s="6">
        <v>139</v>
      </c>
      <c r="E1405" s="6" t="s">
        <v>41</v>
      </c>
      <c r="F1405" s="6">
        <v>69955</v>
      </c>
      <c r="G1405" s="7">
        <v>69957</v>
      </c>
      <c r="H1405" s="6">
        <f>(G1405-F1405)</f>
        <v>2.0</v>
      </c>
      <c r="I1405" s="6" t="s">
        <v>24</v>
      </c>
      <c r="J1405" s="6" t="s">
        <v>48</v>
      </c>
    </row>
    <row r="1406" spans="1:10" ht="23" customHeight="1">
      <c r="A1406" s="6" t="s">
        <v>29</v>
      </c>
      <c r="B1406" s="6">
        <v>5</v>
      </c>
      <c r="C1406" s="6" t="s">
        <v>30</v>
      </c>
      <c r="D1406" s="6">
        <v>140</v>
      </c>
      <c r="E1406" s="6" t="s">
        <v>31</v>
      </c>
      <c r="F1406" s="6">
        <v>69955</v>
      </c>
      <c r="G1406" s="7">
        <v>69957</v>
      </c>
      <c r="H1406" s="6">
        <f>(G1406-F1406)</f>
        <v>2.0</v>
      </c>
      <c r="I1406" s="6" t="s">
        <v>24</v>
      </c>
      <c r="J1406" s="6" t="s">
        <v>48</v>
      </c>
    </row>
    <row r="1407" spans="1:10" ht="23" customHeight="1">
      <c r="A1407" s="6" t="s">
        <v>29</v>
      </c>
      <c r="B1407" s="6">
        <v>5</v>
      </c>
      <c r="C1407" s="6" t="s">
        <v>30</v>
      </c>
      <c r="D1407" s="6">
        <v>140</v>
      </c>
      <c r="E1407" s="6" t="s">
        <v>32</v>
      </c>
      <c r="F1407" s="6">
        <v>373.8</v>
      </c>
      <c r="G1407" s="7">
        <v>448.5</v>
      </c>
      <c r="H1407" s="6">
        <f>(G1407-F1407)</f>
        <v>74.69999999999999</v>
      </c>
      <c r="I1407" s="6" t="s">
        <v>24</v>
      </c>
      <c r="J1407" s="6" t="s">
        <v>48</v>
      </c>
    </row>
    <row r="1408" spans="1:10" ht="23" customHeight="1">
      <c r="A1408" s="6" t="s">
        <v>29</v>
      </c>
      <c r="B1408" s="6">
        <v>5</v>
      </c>
      <c r="C1408" s="6" t="s">
        <v>30</v>
      </c>
      <c r="D1408" s="6">
        <v>140</v>
      </c>
      <c r="E1408" s="6" t="s">
        <v>34</v>
      </c>
      <c r="F1408" s="6">
        <v>373.8</v>
      </c>
      <c r="G1408" s="7">
        <v>448.5</v>
      </c>
      <c r="H1408" s="6">
        <f>(G1408-F1408)</f>
        <v>74.69999999999999</v>
      </c>
      <c r="I1408" s="6" t="s">
        <v>24</v>
      </c>
      <c r="J1408" s="6" t="s">
        <v>48</v>
      </c>
    </row>
    <row r="1409" spans="1:10" ht="23" customHeight="1">
      <c r="A1409" s="6" t="s">
        <v>29</v>
      </c>
      <c r="B1409" s="6">
        <v>5</v>
      </c>
      <c r="C1409" s="6" t="s">
        <v>30</v>
      </c>
      <c r="D1409" s="6">
        <v>140</v>
      </c>
      <c r="E1409" s="6" t="s">
        <v>35</v>
      </c>
      <c r="F1409" s="6">
        <v>69955</v>
      </c>
      <c r="G1409" s="7">
        <v>69957</v>
      </c>
      <c r="H1409" s="6">
        <f>(G1409-F1409)</f>
        <v>2.0</v>
      </c>
      <c r="I1409" s="6" t="s">
        <v>24</v>
      </c>
      <c r="J1409" s="6" t="s">
        <v>48</v>
      </c>
    </row>
    <row r="1410" spans="1:10" ht="23" customHeight="1">
      <c r="A1410" s="6" t="s">
        <v>29</v>
      </c>
      <c r="B1410" s="6">
        <v>5</v>
      </c>
      <c r="C1410" s="6" t="s">
        <v>30</v>
      </c>
      <c r="D1410" s="6">
        <v>140</v>
      </c>
      <c r="E1410" s="6" t="s">
        <v>36</v>
      </c>
      <c r="F1410" s="6">
        <v>373.8</v>
      </c>
      <c r="G1410" s="7">
        <v>448.5</v>
      </c>
      <c r="H1410" s="6">
        <f>(G1410-F1410)</f>
        <v>74.69999999999999</v>
      </c>
      <c r="I1410" s="6" t="s">
        <v>24</v>
      </c>
      <c r="J1410" s="6" t="s">
        <v>48</v>
      </c>
    </row>
    <row r="1411" spans="1:10" ht="23" customHeight="1">
      <c r="A1411" s="6" t="s">
        <v>29</v>
      </c>
      <c r="B1411" s="6">
        <v>5</v>
      </c>
      <c r="C1411" s="6" t="s">
        <v>30</v>
      </c>
      <c r="D1411" s="6">
        <v>140</v>
      </c>
      <c r="E1411" s="6" t="s">
        <v>37</v>
      </c>
      <c r="F1411" s="6">
        <v>373.8</v>
      </c>
      <c r="G1411" s="7">
        <v>448.5</v>
      </c>
      <c r="H1411" s="6">
        <f>(G1411-F1411)</f>
        <v>74.69999999999999</v>
      </c>
      <c r="I1411" s="6" t="s">
        <v>24</v>
      </c>
      <c r="J1411" s="6" t="s">
        <v>48</v>
      </c>
    </row>
    <row r="1412" spans="1:10" ht="23" customHeight="1">
      <c r="A1412" s="6" t="s">
        <v>29</v>
      </c>
      <c r="B1412" s="6">
        <v>5</v>
      </c>
      <c r="C1412" s="6" t="s">
        <v>30</v>
      </c>
      <c r="D1412" s="6">
        <v>140</v>
      </c>
      <c r="E1412" s="6" t="s">
        <v>38</v>
      </c>
      <c r="F1412" s="6">
        <v>69955</v>
      </c>
      <c r="G1412" s="7">
        <v>69957</v>
      </c>
      <c r="H1412" s="6">
        <f>(G1412-F1412)</f>
        <v>2.0</v>
      </c>
      <c r="I1412" s="6" t="s">
        <v>24</v>
      </c>
      <c r="J1412" s="6" t="s">
        <v>48</v>
      </c>
    </row>
    <row r="1413" spans="1:10" ht="23" customHeight="1">
      <c r="A1413" s="6" t="s">
        <v>29</v>
      </c>
      <c r="B1413" s="6">
        <v>5</v>
      </c>
      <c r="C1413" s="6" t="s">
        <v>30</v>
      </c>
      <c r="D1413" s="6">
        <v>140</v>
      </c>
      <c r="E1413" s="6" t="s">
        <v>39</v>
      </c>
      <c r="F1413" s="6">
        <v>69955</v>
      </c>
      <c r="G1413" s="7">
        <v>69957</v>
      </c>
      <c r="H1413" s="6">
        <f>(G1413-F1413)</f>
        <v>2.0</v>
      </c>
      <c r="I1413" s="6" t="s">
        <v>24</v>
      </c>
      <c r="J1413" s="6" t="s">
        <v>48</v>
      </c>
    </row>
    <row r="1414" spans="1:10" ht="23" customHeight="1">
      <c r="A1414" s="6" t="s">
        <v>29</v>
      </c>
      <c r="B1414" s="6">
        <v>5</v>
      </c>
      <c r="C1414" s="6" t="s">
        <v>30</v>
      </c>
      <c r="D1414" s="6">
        <v>140</v>
      </c>
      <c r="E1414" s="6" t="s">
        <v>40</v>
      </c>
      <c r="F1414" s="6">
        <v>69955</v>
      </c>
      <c r="G1414" s="7">
        <v>69957</v>
      </c>
      <c r="H1414" s="6">
        <f>(G1414-F1414)</f>
        <v>2.0</v>
      </c>
      <c r="I1414" s="6" t="s">
        <v>24</v>
      </c>
      <c r="J1414" s="6" t="s">
        <v>48</v>
      </c>
    </row>
    <row r="1415" spans="1:10" ht="23" customHeight="1">
      <c r="A1415" s="6" t="s">
        <v>29</v>
      </c>
      <c r="B1415" s="6">
        <v>5</v>
      </c>
      <c r="C1415" s="6" t="s">
        <v>30</v>
      </c>
      <c r="D1415" s="6">
        <v>140</v>
      </c>
      <c r="E1415" s="6" t="s">
        <v>41</v>
      </c>
      <c r="F1415" s="6">
        <v>69955</v>
      </c>
      <c r="G1415" s="7">
        <v>69957</v>
      </c>
      <c r="H1415" s="6">
        <f>(G1415-F1415)</f>
        <v>2.0</v>
      </c>
      <c r="I1415" s="6" t="s">
        <v>24</v>
      </c>
      <c r="J1415" s="6" t="s">
        <v>48</v>
      </c>
    </row>
    <row r="1416" spans="1:10" ht="23" customHeight="1">
      <c r="A1416" s="6" t="s">
        <v>29</v>
      </c>
      <c r="B1416" s="6">
        <v>5</v>
      </c>
      <c r="C1416" s="6" t="s">
        <v>30</v>
      </c>
      <c r="D1416" s="6">
        <v>141</v>
      </c>
      <c r="E1416" s="6" t="s">
        <v>31</v>
      </c>
      <c r="F1416" s="6">
        <v>69955</v>
      </c>
      <c r="G1416" s="7">
        <v>69957</v>
      </c>
      <c r="H1416" s="6">
        <f>(G1416-F1416)</f>
        <v>2.0</v>
      </c>
      <c r="I1416" s="6" t="s">
        <v>24</v>
      </c>
      <c r="J1416" s="6" t="s">
        <v>48</v>
      </c>
    </row>
    <row r="1417" spans="1:10" ht="23" customHeight="1">
      <c r="A1417" s="6" t="s">
        <v>29</v>
      </c>
      <c r="B1417" s="6">
        <v>5</v>
      </c>
      <c r="C1417" s="6" t="s">
        <v>30</v>
      </c>
      <c r="D1417" s="6">
        <v>141</v>
      </c>
      <c r="E1417" s="6" t="s">
        <v>32</v>
      </c>
      <c r="F1417" s="6">
        <v>373.8</v>
      </c>
      <c r="G1417" s="7">
        <v>448.5</v>
      </c>
      <c r="H1417" s="6">
        <f>(G1417-F1417)</f>
        <v>74.69999999999999</v>
      </c>
      <c r="I1417" s="6" t="s">
        <v>24</v>
      </c>
      <c r="J1417" s="6" t="s">
        <v>48</v>
      </c>
    </row>
    <row r="1418" spans="1:10" ht="23" customHeight="1">
      <c r="A1418" s="6" t="s">
        <v>29</v>
      </c>
      <c r="B1418" s="6">
        <v>5</v>
      </c>
      <c r="C1418" s="6" t="s">
        <v>30</v>
      </c>
      <c r="D1418" s="6">
        <v>141</v>
      </c>
      <c r="E1418" s="6" t="s">
        <v>34</v>
      </c>
      <c r="F1418" s="6">
        <v>373.8</v>
      </c>
      <c r="G1418" s="7">
        <v>448.5</v>
      </c>
      <c r="H1418" s="6">
        <f>(G1418-F1418)</f>
        <v>74.69999999999999</v>
      </c>
      <c r="I1418" s="6" t="s">
        <v>24</v>
      </c>
      <c r="J1418" s="6" t="s">
        <v>48</v>
      </c>
    </row>
    <row r="1419" spans="1:10" ht="23" customHeight="1">
      <c r="A1419" s="6" t="s">
        <v>29</v>
      </c>
      <c r="B1419" s="6">
        <v>5</v>
      </c>
      <c r="C1419" s="6" t="s">
        <v>30</v>
      </c>
      <c r="D1419" s="6">
        <v>141</v>
      </c>
      <c r="E1419" s="6" t="s">
        <v>35</v>
      </c>
      <c r="F1419" s="6">
        <v>69955</v>
      </c>
      <c r="G1419" s="7">
        <v>69957</v>
      </c>
      <c r="H1419" s="6">
        <f>(G1419-F1419)</f>
        <v>2.0</v>
      </c>
      <c r="I1419" s="6" t="s">
        <v>24</v>
      </c>
      <c r="J1419" s="6" t="s">
        <v>48</v>
      </c>
    </row>
    <row r="1420" spans="1:10" ht="23" customHeight="1">
      <c r="A1420" s="6" t="s">
        <v>29</v>
      </c>
      <c r="B1420" s="6">
        <v>5</v>
      </c>
      <c r="C1420" s="6" t="s">
        <v>30</v>
      </c>
      <c r="D1420" s="6">
        <v>141</v>
      </c>
      <c r="E1420" s="6" t="s">
        <v>36</v>
      </c>
      <c r="F1420" s="6">
        <v>373.8</v>
      </c>
      <c r="G1420" s="7">
        <v>448.5</v>
      </c>
      <c r="H1420" s="6">
        <f>(G1420-F1420)</f>
        <v>74.69999999999999</v>
      </c>
      <c r="I1420" s="6" t="s">
        <v>24</v>
      </c>
      <c r="J1420" s="6" t="s">
        <v>48</v>
      </c>
    </row>
    <row r="1421" spans="1:10" ht="23" customHeight="1">
      <c r="A1421" s="6" t="s">
        <v>29</v>
      </c>
      <c r="B1421" s="6">
        <v>5</v>
      </c>
      <c r="C1421" s="6" t="s">
        <v>30</v>
      </c>
      <c r="D1421" s="6">
        <v>141</v>
      </c>
      <c r="E1421" s="6" t="s">
        <v>37</v>
      </c>
      <c r="F1421" s="6">
        <v>373.8</v>
      </c>
      <c r="G1421" s="7">
        <v>448.5</v>
      </c>
      <c r="H1421" s="6">
        <f>(G1421-F1421)</f>
        <v>74.69999999999999</v>
      </c>
      <c r="I1421" s="6" t="s">
        <v>24</v>
      </c>
      <c r="J1421" s="6" t="s">
        <v>48</v>
      </c>
    </row>
    <row r="1422" spans="1:10" ht="23" customHeight="1">
      <c r="A1422" s="6" t="s">
        <v>29</v>
      </c>
      <c r="B1422" s="6">
        <v>5</v>
      </c>
      <c r="C1422" s="6" t="s">
        <v>30</v>
      </c>
      <c r="D1422" s="6">
        <v>141</v>
      </c>
      <c r="E1422" s="6" t="s">
        <v>38</v>
      </c>
      <c r="F1422" s="6">
        <v>69955</v>
      </c>
      <c r="G1422" s="7">
        <v>69957</v>
      </c>
      <c r="H1422" s="6">
        <f>(G1422-F1422)</f>
        <v>2.0</v>
      </c>
      <c r="I1422" s="6" t="s">
        <v>24</v>
      </c>
      <c r="J1422" s="6" t="s">
        <v>48</v>
      </c>
    </row>
    <row r="1423" spans="1:10" ht="23" customHeight="1">
      <c r="A1423" s="6" t="s">
        <v>29</v>
      </c>
      <c r="B1423" s="6">
        <v>5</v>
      </c>
      <c r="C1423" s="6" t="s">
        <v>30</v>
      </c>
      <c r="D1423" s="6">
        <v>141</v>
      </c>
      <c r="E1423" s="6" t="s">
        <v>39</v>
      </c>
      <c r="F1423" s="6">
        <v>69955</v>
      </c>
      <c r="G1423" s="7">
        <v>69957</v>
      </c>
      <c r="H1423" s="6">
        <f>(G1423-F1423)</f>
        <v>2.0</v>
      </c>
      <c r="I1423" s="6" t="s">
        <v>24</v>
      </c>
      <c r="J1423" s="6" t="s">
        <v>48</v>
      </c>
    </row>
    <row r="1424" spans="1:10" ht="23" customHeight="1">
      <c r="A1424" s="6" t="s">
        <v>29</v>
      </c>
      <c r="B1424" s="6">
        <v>5</v>
      </c>
      <c r="C1424" s="6" t="s">
        <v>30</v>
      </c>
      <c r="D1424" s="6">
        <v>141</v>
      </c>
      <c r="E1424" s="6" t="s">
        <v>40</v>
      </c>
      <c r="F1424" s="6">
        <v>69955</v>
      </c>
      <c r="G1424" s="7">
        <v>69957</v>
      </c>
      <c r="H1424" s="6">
        <f>(G1424-F1424)</f>
        <v>2.0</v>
      </c>
      <c r="I1424" s="6" t="s">
        <v>24</v>
      </c>
      <c r="J1424" s="6" t="s">
        <v>48</v>
      </c>
    </row>
    <row r="1425" spans="1:10" ht="23" customHeight="1">
      <c r="A1425" s="6" t="s">
        <v>29</v>
      </c>
      <c r="B1425" s="6">
        <v>5</v>
      </c>
      <c r="C1425" s="6" t="s">
        <v>30</v>
      </c>
      <c r="D1425" s="6">
        <v>141</v>
      </c>
      <c r="E1425" s="6" t="s">
        <v>41</v>
      </c>
      <c r="F1425" s="6">
        <v>69955</v>
      </c>
      <c r="G1425" s="7">
        <v>69957</v>
      </c>
      <c r="H1425" s="6">
        <f>(G1425-F1425)</f>
        <v>2.0</v>
      </c>
      <c r="I1425" s="6" t="s">
        <v>24</v>
      </c>
      <c r="J1425" s="6" t="s">
        <v>48</v>
      </c>
    </row>
    <row r="1426" spans="1:10" ht="23" customHeight="1">
      <c r="A1426" s="6" t="s">
        <v>29</v>
      </c>
      <c r="B1426" s="6">
        <v>5</v>
      </c>
      <c r="C1426" s="6" t="s">
        <v>30</v>
      </c>
      <c r="D1426" s="6">
        <v>142</v>
      </c>
      <c r="E1426" s="6" t="s">
        <v>31</v>
      </c>
      <c r="F1426" s="6">
        <v>69955</v>
      </c>
      <c r="G1426" s="7">
        <v>69957</v>
      </c>
      <c r="H1426" s="6">
        <f>(G1426-F1426)</f>
        <v>2.0</v>
      </c>
      <c r="I1426" s="6" t="s">
        <v>24</v>
      </c>
      <c r="J1426" s="6" t="s">
        <v>48</v>
      </c>
    </row>
    <row r="1427" spans="1:10" ht="23" customHeight="1">
      <c r="A1427" s="6" t="s">
        <v>29</v>
      </c>
      <c r="B1427" s="6">
        <v>5</v>
      </c>
      <c r="C1427" s="6" t="s">
        <v>30</v>
      </c>
      <c r="D1427" s="6">
        <v>142</v>
      </c>
      <c r="E1427" s="6" t="s">
        <v>32</v>
      </c>
      <c r="F1427" s="6">
        <v>373.8</v>
      </c>
      <c r="G1427" s="7">
        <v>448.5</v>
      </c>
      <c r="H1427" s="6">
        <f>(G1427-F1427)</f>
        <v>74.69999999999999</v>
      </c>
      <c r="I1427" s="6" t="s">
        <v>24</v>
      </c>
      <c r="J1427" s="6" t="s">
        <v>48</v>
      </c>
    </row>
    <row r="1428" spans="1:10" ht="23" customHeight="1">
      <c r="A1428" s="6" t="s">
        <v>29</v>
      </c>
      <c r="B1428" s="6">
        <v>5</v>
      </c>
      <c r="C1428" s="6" t="s">
        <v>30</v>
      </c>
      <c r="D1428" s="6">
        <v>142</v>
      </c>
      <c r="E1428" s="6" t="s">
        <v>34</v>
      </c>
      <c r="F1428" s="6">
        <v>373.8</v>
      </c>
      <c r="G1428" s="7">
        <v>448.5</v>
      </c>
      <c r="H1428" s="6">
        <f>(G1428-F1428)</f>
        <v>74.69999999999999</v>
      </c>
      <c r="I1428" s="6" t="s">
        <v>24</v>
      </c>
      <c r="J1428" s="6" t="s">
        <v>48</v>
      </c>
    </row>
    <row r="1429" spans="1:10" ht="23" customHeight="1">
      <c r="A1429" s="6" t="s">
        <v>29</v>
      </c>
      <c r="B1429" s="6">
        <v>5</v>
      </c>
      <c r="C1429" s="6" t="s">
        <v>30</v>
      </c>
      <c r="D1429" s="6">
        <v>142</v>
      </c>
      <c r="E1429" s="6" t="s">
        <v>35</v>
      </c>
      <c r="F1429" s="6">
        <v>69955</v>
      </c>
      <c r="G1429" s="7">
        <v>69957</v>
      </c>
      <c r="H1429" s="6">
        <f>(G1429-F1429)</f>
        <v>2.0</v>
      </c>
      <c r="I1429" s="6" t="s">
        <v>24</v>
      </c>
      <c r="J1429" s="6" t="s">
        <v>48</v>
      </c>
    </row>
    <row r="1430" spans="1:10" ht="23" customHeight="1">
      <c r="A1430" s="6" t="s">
        <v>29</v>
      </c>
      <c r="B1430" s="6">
        <v>5</v>
      </c>
      <c r="C1430" s="6" t="s">
        <v>30</v>
      </c>
      <c r="D1430" s="6">
        <v>142</v>
      </c>
      <c r="E1430" s="6" t="s">
        <v>36</v>
      </c>
      <c r="F1430" s="6">
        <v>373.8</v>
      </c>
      <c r="G1430" s="7">
        <v>448.5</v>
      </c>
      <c r="H1430" s="6">
        <f>(G1430-F1430)</f>
        <v>74.69999999999999</v>
      </c>
      <c r="I1430" s="6" t="s">
        <v>24</v>
      </c>
      <c r="J1430" s="6" t="s">
        <v>48</v>
      </c>
    </row>
    <row r="1431" spans="1:10" ht="23" customHeight="1">
      <c r="A1431" s="6" t="s">
        <v>29</v>
      </c>
      <c r="B1431" s="6">
        <v>5</v>
      </c>
      <c r="C1431" s="6" t="s">
        <v>30</v>
      </c>
      <c r="D1431" s="6">
        <v>142</v>
      </c>
      <c r="E1431" s="6" t="s">
        <v>37</v>
      </c>
      <c r="F1431" s="6">
        <v>373.8</v>
      </c>
      <c r="G1431" s="7">
        <v>448.5</v>
      </c>
      <c r="H1431" s="6">
        <f>(G1431-F1431)</f>
        <v>74.69999999999999</v>
      </c>
      <c r="I1431" s="6" t="s">
        <v>24</v>
      </c>
      <c r="J1431" s="6" t="s">
        <v>48</v>
      </c>
    </row>
    <row r="1432" spans="1:10" ht="23" customHeight="1">
      <c r="A1432" s="6" t="s">
        <v>29</v>
      </c>
      <c r="B1432" s="6">
        <v>5</v>
      </c>
      <c r="C1432" s="6" t="s">
        <v>30</v>
      </c>
      <c r="D1432" s="6">
        <v>142</v>
      </c>
      <c r="E1432" s="6" t="s">
        <v>38</v>
      </c>
      <c r="F1432" s="6">
        <v>69955</v>
      </c>
      <c r="G1432" s="7">
        <v>69957</v>
      </c>
      <c r="H1432" s="6">
        <f>(G1432-F1432)</f>
        <v>2.0</v>
      </c>
      <c r="I1432" s="6" t="s">
        <v>24</v>
      </c>
      <c r="J1432" s="6" t="s">
        <v>48</v>
      </c>
    </row>
    <row r="1433" spans="1:10" ht="23" customHeight="1">
      <c r="A1433" s="6" t="s">
        <v>29</v>
      </c>
      <c r="B1433" s="6">
        <v>5</v>
      </c>
      <c r="C1433" s="6" t="s">
        <v>30</v>
      </c>
      <c r="D1433" s="6">
        <v>142</v>
      </c>
      <c r="E1433" s="6" t="s">
        <v>39</v>
      </c>
      <c r="F1433" s="6">
        <v>69955</v>
      </c>
      <c r="G1433" s="7">
        <v>69957</v>
      </c>
      <c r="H1433" s="6">
        <f>(G1433-F1433)</f>
        <v>2.0</v>
      </c>
      <c r="I1433" s="6" t="s">
        <v>24</v>
      </c>
      <c r="J1433" s="6" t="s">
        <v>48</v>
      </c>
    </row>
    <row r="1434" spans="1:10" ht="23" customHeight="1">
      <c r="A1434" s="6" t="s">
        <v>29</v>
      </c>
      <c r="B1434" s="6">
        <v>5</v>
      </c>
      <c r="C1434" s="6" t="s">
        <v>30</v>
      </c>
      <c r="D1434" s="6">
        <v>142</v>
      </c>
      <c r="E1434" s="6" t="s">
        <v>40</v>
      </c>
      <c r="F1434" s="6">
        <v>69955</v>
      </c>
      <c r="G1434" s="7">
        <v>69957</v>
      </c>
      <c r="H1434" s="6">
        <f>(G1434-F1434)</f>
        <v>2.0</v>
      </c>
      <c r="I1434" s="6" t="s">
        <v>24</v>
      </c>
      <c r="J1434" s="6" t="s">
        <v>48</v>
      </c>
    </row>
    <row r="1435" spans="1:10" ht="23" customHeight="1">
      <c r="A1435" s="6" t="s">
        <v>29</v>
      </c>
      <c r="B1435" s="6">
        <v>5</v>
      </c>
      <c r="C1435" s="6" t="s">
        <v>30</v>
      </c>
      <c r="D1435" s="6">
        <v>142</v>
      </c>
      <c r="E1435" s="6" t="s">
        <v>41</v>
      </c>
      <c r="F1435" s="6">
        <v>69955</v>
      </c>
      <c r="G1435" s="7">
        <v>69957</v>
      </c>
      <c r="H1435" s="6">
        <f>(G1435-F1435)</f>
        <v>2.0</v>
      </c>
      <c r="I1435" s="6" t="s">
        <v>24</v>
      </c>
      <c r="J1435" s="6" t="s">
        <v>48</v>
      </c>
    </row>
    <row r="1436" spans="1:10" ht="23" customHeight="1">
      <c r="A1436" s="6" t="s">
        <v>29</v>
      </c>
      <c r="B1436" s="6">
        <v>5</v>
      </c>
      <c r="C1436" s="6" t="s">
        <v>30</v>
      </c>
      <c r="D1436" s="6">
        <v>143</v>
      </c>
      <c r="E1436" s="6" t="s">
        <v>31</v>
      </c>
      <c r="F1436" s="6">
        <v>69955</v>
      </c>
      <c r="G1436" s="7">
        <v>69957</v>
      </c>
      <c r="H1436" s="6">
        <f>(G1436-F1436)</f>
        <v>2.0</v>
      </c>
      <c r="I1436" s="6" t="s">
        <v>24</v>
      </c>
      <c r="J1436" s="6" t="s">
        <v>48</v>
      </c>
    </row>
    <row r="1437" spans="1:10" ht="23" customHeight="1">
      <c r="A1437" s="6" t="s">
        <v>29</v>
      </c>
      <c r="B1437" s="6">
        <v>5</v>
      </c>
      <c r="C1437" s="6" t="s">
        <v>30</v>
      </c>
      <c r="D1437" s="6">
        <v>143</v>
      </c>
      <c r="E1437" s="6" t="s">
        <v>32</v>
      </c>
      <c r="F1437" s="6">
        <v>373.8</v>
      </c>
      <c r="G1437" s="7">
        <v>448.5</v>
      </c>
      <c r="H1437" s="6">
        <f>(G1437-F1437)</f>
        <v>74.69999999999999</v>
      </c>
      <c r="I1437" s="6" t="s">
        <v>24</v>
      </c>
      <c r="J1437" s="6" t="s">
        <v>48</v>
      </c>
    </row>
    <row r="1438" spans="1:10" ht="23" customHeight="1">
      <c r="A1438" s="6" t="s">
        <v>29</v>
      </c>
      <c r="B1438" s="6">
        <v>5</v>
      </c>
      <c r="C1438" s="6" t="s">
        <v>30</v>
      </c>
      <c r="D1438" s="6">
        <v>143</v>
      </c>
      <c r="E1438" s="6" t="s">
        <v>34</v>
      </c>
      <c r="F1438" s="6">
        <v>373.8</v>
      </c>
      <c r="G1438" s="7">
        <v>448.5</v>
      </c>
      <c r="H1438" s="6">
        <f>(G1438-F1438)</f>
        <v>74.69999999999999</v>
      </c>
      <c r="I1438" s="6" t="s">
        <v>24</v>
      </c>
      <c r="J1438" s="6" t="s">
        <v>48</v>
      </c>
    </row>
    <row r="1439" spans="1:10" ht="23" customHeight="1">
      <c r="A1439" s="6" t="s">
        <v>29</v>
      </c>
      <c r="B1439" s="6">
        <v>5</v>
      </c>
      <c r="C1439" s="6" t="s">
        <v>30</v>
      </c>
      <c r="D1439" s="6">
        <v>143</v>
      </c>
      <c r="E1439" s="6" t="s">
        <v>35</v>
      </c>
      <c r="F1439" s="6">
        <v>69955</v>
      </c>
      <c r="G1439" s="7">
        <v>69957</v>
      </c>
      <c r="H1439" s="6">
        <f>(G1439-F1439)</f>
        <v>2.0</v>
      </c>
      <c r="I1439" s="6" t="s">
        <v>24</v>
      </c>
      <c r="J1439" s="6" t="s">
        <v>48</v>
      </c>
    </row>
    <row r="1440" spans="1:10" ht="23" customHeight="1">
      <c r="A1440" s="6" t="s">
        <v>29</v>
      </c>
      <c r="B1440" s="6">
        <v>5</v>
      </c>
      <c r="C1440" s="6" t="s">
        <v>30</v>
      </c>
      <c r="D1440" s="6">
        <v>143</v>
      </c>
      <c r="E1440" s="6" t="s">
        <v>36</v>
      </c>
      <c r="F1440" s="6">
        <v>373.8</v>
      </c>
      <c r="G1440" s="7">
        <v>448.5</v>
      </c>
      <c r="H1440" s="6">
        <f>(G1440-F1440)</f>
        <v>74.69999999999999</v>
      </c>
      <c r="I1440" s="6" t="s">
        <v>24</v>
      </c>
      <c r="J1440" s="6" t="s">
        <v>48</v>
      </c>
    </row>
    <row r="1441" spans="1:10" ht="23" customHeight="1">
      <c r="A1441" s="6" t="s">
        <v>29</v>
      </c>
      <c r="B1441" s="6">
        <v>5</v>
      </c>
      <c r="C1441" s="6" t="s">
        <v>30</v>
      </c>
      <c r="D1441" s="6">
        <v>143</v>
      </c>
      <c r="E1441" s="6" t="s">
        <v>37</v>
      </c>
      <c r="F1441" s="6">
        <v>373.8</v>
      </c>
      <c r="G1441" s="7">
        <v>448.5</v>
      </c>
      <c r="H1441" s="6">
        <f>(G1441-F1441)</f>
        <v>74.69999999999999</v>
      </c>
      <c r="I1441" s="6" t="s">
        <v>24</v>
      </c>
      <c r="J1441" s="6" t="s">
        <v>48</v>
      </c>
    </row>
    <row r="1442" spans="1:10" ht="23" customHeight="1">
      <c r="A1442" s="6" t="s">
        <v>29</v>
      </c>
      <c r="B1442" s="6">
        <v>5</v>
      </c>
      <c r="C1442" s="6" t="s">
        <v>30</v>
      </c>
      <c r="D1442" s="6">
        <v>143</v>
      </c>
      <c r="E1442" s="6" t="s">
        <v>38</v>
      </c>
      <c r="F1442" s="6">
        <v>69955</v>
      </c>
      <c r="G1442" s="7">
        <v>69957</v>
      </c>
      <c r="H1442" s="6">
        <f>(G1442-F1442)</f>
        <v>2.0</v>
      </c>
      <c r="I1442" s="6" t="s">
        <v>24</v>
      </c>
      <c r="J1442" s="6" t="s">
        <v>48</v>
      </c>
    </row>
    <row r="1443" spans="1:10" ht="23" customHeight="1">
      <c r="A1443" s="6" t="s">
        <v>29</v>
      </c>
      <c r="B1443" s="6">
        <v>5</v>
      </c>
      <c r="C1443" s="6" t="s">
        <v>30</v>
      </c>
      <c r="D1443" s="6">
        <v>143</v>
      </c>
      <c r="E1443" s="6" t="s">
        <v>39</v>
      </c>
      <c r="F1443" s="6">
        <v>69955</v>
      </c>
      <c r="G1443" s="7">
        <v>69957</v>
      </c>
      <c r="H1443" s="6">
        <f>(G1443-F1443)</f>
        <v>2.0</v>
      </c>
      <c r="I1443" s="6" t="s">
        <v>24</v>
      </c>
      <c r="J1443" s="6" t="s">
        <v>48</v>
      </c>
    </row>
    <row r="1444" spans="1:10" ht="23" customHeight="1">
      <c r="A1444" s="6" t="s">
        <v>29</v>
      </c>
      <c r="B1444" s="6">
        <v>5</v>
      </c>
      <c r="C1444" s="6" t="s">
        <v>30</v>
      </c>
      <c r="D1444" s="6">
        <v>143</v>
      </c>
      <c r="E1444" s="6" t="s">
        <v>40</v>
      </c>
      <c r="F1444" s="6">
        <v>69955</v>
      </c>
      <c r="G1444" s="7">
        <v>69957</v>
      </c>
      <c r="H1444" s="6">
        <f>(G1444-F1444)</f>
        <v>2.0</v>
      </c>
      <c r="I1444" s="6" t="s">
        <v>24</v>
      </c>
      <c r="J1444" s="6" t="s">
        <v>48</v>
      </c>
    </row>
    <row r="1445" spans="1:10" ht="23" customHeight="1">
      <c r="A1445" s="6" t="s">
        <v>29</v>
      </c>
      <c r="B1445" s="6">
        <v>5</v>
      </c>
      <c r="C1445" s="6" t="s">
        <v>30</v>
      </c>
      <c r="D1445" s="6">
        <v>143</v>
      </c>
      <c r="E1445" s="6" t="s">
        <v>41</v>
      </c>
      <c r="F1445" s="6">
        <v>69955</v>
      </c>
      <c r="G1445" s="7">
        <v>69957</v>
      </c>
      <c r="H1445" s="6">
        <f>(G1445-F1445)</f>
        <v>2.0</v>
      </c>
      <c r="I1445" s="6" t="s">
        <v>24</v>
      </c>
      <c r="J1445" s="6" t="s">
        <v>48</v>
      </c>
    </row>
    <row r="1446" spans="1:10" ht="23" customHeight="1">
      <c r="A1446" s="6" t="s">
        <v>29</v>
      </c>
      <c r="B1446" s="6">
        <v>5</v>
      </c>
      <c r="C1446" s="6" t="s">
        <v>30</v>
      </c>
      <c r="D1446" s="6">
        <v>144</v>
      </c>
      <c r="E1446" s="6" t="s">
        <v>31</v>
      </c>
      <c r="F1446" s="6">
        <v>69955</v>
      </c>
      <c r="G1446" s="7">
        <v>69957</v>
      </c>
      <c r="H1446" s="6">
        <f>(G1446-F1446)</f>
        <v>2.0</v>
      </c>
      <c r="I1446" s="6" t="s">
        <v>24</v>
      </c>
      <c r="J1446" s="6" t="s">
        <v>48</v>
      </c>
    </row>
    <row r="1447" spans="1:10" ht="23" customHeight="1">
      <c r="A1447" s="6" t="s">
        <v>29</v>
      </c>
      <c r="B1447" s="6">
        <v>5</v>
      </c>
      <c r="C1447" s="6" t="s">
        <v>30</v>
      </c>
      <c r="D1447" s="6">
        <v>144</v>
      </c>
      <c r="E1447" s="6" t="s">
        <v>32</v>
      </c>
      <c r="F1447" s="6">
        <v>373.8</v>
      </c>
      <c r="G1447" s="7">
        <v>448.5</v>
      </c>
      <c r="H1447" s="6">
        <f>(G1447-F1447)</f>
        <v>74.69999999999999</v>
      </c>
      <c r="I1447" s="6" t="s">
        <v>24</v>
      </c>
      <c r="J1447" s="6" t="s">
        <v>48</v>
      </c>
    </row>
    <row r="1448" spans="1:10" ht="23" customHeight="1">
      <c r="A1448" s="6" t="s">
        <v>29</v>
      </c>
      <c r="B1448" s="6">
        <v>5</v>
      </c>
      <c r="C1448" s="6" t="s">
        <v>30</v>
      </c>
      <c r="D1448" s="6">
        <v>144</v>
      </c>
      <c r="E1448" s="6" t="s">
        <v>34</v>
      </c>
      <c r="F1448" s="6">
        <v>373.8</v>
      </c>
      <c r="G1448" s="7">
        <v>448.5</v>
      </c>
      <c r="H1448" s="6">
        <f>(G1448-F1448)</f>
        <v>74.69999999999999</v>
      </c>
      <c r="I1448" s="6" t="s">
        <v>24</v>
      </c>
      <c r="J1448" s="6" t="s">
        <v>48</v>
      </c>
    </row>
    <row r="1449" spans="1:10" ht="23" customHeight="1">
      <c r="A1449" s="6" t="s">
        <v>29</v>
      </c>
      <c r="B1449" s="6">
        <v>5</v>
      </c>
      <c r="C1449" s="6" t="s">
        <v>30</v>
      </c>
      <c r="D1449" s="6">
        <v>144</v>
      </c>
      <c r="E1449" s="6" t="s">
        <v>35</v>
      </c>
      <c r="F1449" s="6">
        <v>69955</v>
      </c>
      <c r="G1449" s="7">
        <v>69957</v>
      </c>
      <c r="H1449" s="6">
        <f>(G1449-F1449)</f>
        <v>2.0</v>
      </c>
      <c r="I1449" s="6" t="s">
        <v>24</v>
      </c>
      <c r="J1449" s="6" t="s">
        <v>48</v>
      </c>
    </row>
    <row r="1450" spans="1:10" ht="23" customHeight="1">
      <c r="A1450" s="6" t="s">
        <v>29</v>
      </c>
      <c r="B1450" s="6">
        <v>5</v>
      </c>
      <c r="C1450" s="6" t="s">
        <v>30</v>
      </c>
      <c r="D1450" s="6">
        <v>144</v>
      </c>
      <c r="E1450" s="6" t="s">
        <v>36</v>
      </c>
      <c r="F1450" s="6">
        <v>373.8</v>
      </c>
      <c r="G1450" s="7">
        <v>448.5</v>
      </c>
      <c r="H1450" s="6">
        <f>(G1450-F1450)</f>
        <v>74.69999999999999</v>
      </c>
      <c r="I1450" s="6" t="s">
        <v>24</v>
      </c>
      <c r="J1450" s="6" t="s">
        <v>48</v>
      </c>
    </row>
    <row r="1451" spans="1:10" ht="23" customHeight="1">
      <c r="A1451" s="6" t="s">
        <v>29</v>
      </c>
      <c r="B1451" s="6">
        <v>5</v>
      </c>
      <c r="C1451" s="6" t="s">
        <v>30</v>
      </c>
      <c r="D1451" s="6">
        <v>144</v>
      </c>
      <c r="E1451" s="6" t="s">
        <v>37</v>
      </c>
      <c r="F1451" s="6">
        <v>373.8</v>
      </c>
      <c r="G1451" s="7">
        <v>448.5</v>
      </c>
      <c r="H1451" s="6">
        <f>(G1451-F1451)</f>
        <v>74.69999999999999</v>
      </c>
      <c r="I1451" s="6" t="s">
        <v>24</v>
      </c>
      <c r="J1451" s="6" t="s">
        <v>48</v>
      </c>
    </row>
    <row r="1452" spans="1:10" ht="23" customHeight="1">
      <c r="A1452" s="6" t="s">
        <v>29</v>
      </c>
      <c r="B1452" s="6">
        <v>5</v>
      </c>
      <c r="C1452" s="6" t="s">
        <v>30</v>
      </c>
      <c r="D1452" s="6">
        <v>144</v>
      </c>
      <c r="E1452" s="6" t="s">
        <v>38</v>
      </c>
      <c r="F1452" s="6">
        <v>69955</v>
      </c>
      <c r="G1452" s="7">
        <v>69957</v>
      </c>
      <c r="H1452" s="6">
        <f>(G1452-F1452)</f>
        <v>2.0</v>
      </c>
      <c r="I1452" s="6" t="s">
        <v>24</v>
      </c>
      <c r="J1452" s="6" t="s">
        <v>48</v>
      </c>
    </row>
    <row r="1453" spans="1:10" ht="23" customHeight="1">
      <c r="A1453" s="6" t="s">
        <v>29</v>
      </c>
      <c r="B1453" s="6">
        <v>5</v>
      </c>
      <c r="C1453" s="6" t="s">
        <v>30</v>
      </c>
      <c r="D1453" s="6">
        <v>144</v>
      </c>
      <c r="E1453" s="6" t="s">
        <v>39</v>
      </c>
      <c r="F1453" s="6">
        <v>69955</v>
      </c>
      <c r="G1453" s="7">
        <v>69957</v>
      </c>
      <c r="H1453" s="6">
        <f>(G1453-F1453)</f>
        <v>2.0</v>
      </c>
      <c r="I1453" s="6" t="s">
        <v>24</v>
      </c>
      <c r="J1453" s="6" t="s">
        <v>48</v>
      </c>
    </row>
    <row r="1454" spans="1:10" ht="23" customHeight="1">
      <c r="A1454" s="6" t="s">
        <v>29</v>
      </c>
      <c r="B1454" s="6">
        <v>5</v>
      </c>
      <c r="C1454" s="6" t="s">
        <v>30</v>
      </c>
      <c r="D1454" s="6">
        <v>144</v>
      </c>
      <c r="E1454" s="6" t="s">
        <v>40</v>
      </c>
      <c r="F1454" s="6">
        <v>69955</v>
      </c>
      <c r="G1454" s="7">
        <v>69957</v>
      </c>
      <c r="H1454" s="6">
        <f>(G1454-F1454)</f>
        <v>2.0</v>
      </c>
      <c r="I1454" s="6" t="s">
        <v>24</v>
      </c>
      <c r="J1454" s="6" t="s">
        <v>48</v>
      </c>
    </row>
    <row r="1455" spans="1:10" ht="23" customHeight="1">
      <c r="A1455" s="6" t="s">
        <v>29</v>
      </c>
      <c r="B1455" s="6">
        <v>5</v>
      </c>
      <c r="C1455" s="6" t="s">
        <v>30</v>
      </c>
      <c r="D1455" s="6">
        <v>144</v>
      </c>
      <c r="E1455" s="6" t="s">
        <v>41</v>
      </c>
      <c r="F1455" s="6">
        <v>69955</v>
      </c>
      <c r="G1455" s="7">
        <v>69957</v>
      </c>
      <c r="H1455" s="6">
        <f>(G1455-F1455)</f>
        <v>2.0</v>
      </c>
      <c r="I1455" s="6" t="s">
        <v>24</v>
      </c>
      <c r="J1455" s="6" t="s">
        <v>48</v>
      </c>
    </row>
    <row r="1456" spans="1:10" ht="23" customHeight="1">
      <c r="A1456" s="6" t="s">
        <v>29</v>
      </c>
      <c r="B1456" s="6">
        <v>5</v>
      </c>
      <c r="C1456" s="6" t="s">
        <v>30</v>
      </c>
      <c r="D1456" s="6">
        <v>145</v>
      </c>
      <c r="E1456" s="6" t="s">
        <v>31</v>
      </c>
      <c r="F1456" s="6">
        <v>69955</v>
      </c>
      <c r="G1456" s="7">
        <v>69957</v>
      </c>
      <c r="H1456" s="6">
        <f>(G1456-F1456)</f>
        <v>2.0</v>
      </c>
      <c r="I1456" s="6" t="s">
        <v>24</v>
      </c>
      <c r="J1456" s="6" t="s">
        <v>48</v>
      </c>
    </row>
    <row r="1457" spans="1:10" ht="23" customHeight="1">
      <c r="A1457" s="6" t="s">
        <v>29</v>
      </c>
      <c r="B1457" s="6">
        <v>5</v>
      </c>
      <c r="C1457" s="6" t="s">
        <v>30</v>
      </c>
      <c r="D1457" s="6">
        <v>145</v>
      </c>
      <c r="E1457" s="6" t="s">
        <v>32</v>
      </c>
      <c r="F1457" s="6">
        <v>373.8</v>
      </c>
      <c r="G1457" s="7">
        <v>448.5</v>
      </c>
      <c r="H1457" s="6">
        <f>(G1457-F1457)</f>
        <v>74.69999999999999</v>
      </c>
      <c r="I1457" s="6" t="s">
        <v>24</v>
      </c>
      <c r="J1457" s="6" t="s">
        <v>48</v>
      </c>
    </row>
    <row r="1458" spans="1:10" ht="23" customHeight="1">
      <c r="A1458" s="6" t="s">
        <v>29</v>
      </c>
      <c r="B1458" s="6">
        <v>5</v>
      </c>
      <c r="C1458" s="6" t="s">
        <v>30</v>
      </c>
      <c r="D1458" s="6">
        <v>145</v>
      </c>
      <c r="E1458" s="6" t="s">
        <v>34</v>
      </c>
      <c r="F1458" s="6">
        <v>373.8</v>
      </c>
      <c r="G1458" s="7">
        <v>448.5</v>
      </c>
      <c r="H1458" s="6">
        <f>(G1458-F1458)</f>
        <v>74.69999999999999</v>
      </c>
      <c r="I1458" s="6" t="s">
        <v>24</v>
      </c>
      <c r="J1458" s="6" t="s">
        <v>48</v>
      </c>
    </row>
    <row r="1459" spans="1:10" ht="23" customHeight="1">
      <c r="A1459" s="6" t="s">
        <v>29</v>
      </c>
      <c r="B1459" s="6">
        <v>5</v>
      </c>
      <c r="C1459" s="6" t="s">
        <v>30</v>
      </c>
      <c r="D1459" s="6">
        <v>145</v>
      </c>
      <c r="E1459" s="6" t="s">
        <v>35</v>
      </c>
      <c r="F1459" s="6">
        <v>69955</v>
      </c>
      <c r="G1459" s="7">
        <v>69957</v>
      </c>
      <c r="H1459" s="6">
        <f>(G1459-F1459)</f>
        <v>2.0</v>
      </c>
      <c r="I1459" s="6" t="s">
        <v>24</v>
      </c>
      <c r="J1459" s="6" t="s">
        <v>48</v>
      </c>
    </row>
    <row r="1460" spans="1:10" ht="23" customHeight="1">
      <c r="A1460" s="6" t="s">
        <v>29</v>
      </c>
      <c r="B1460" s="6">
        <v>5</v>
      </c>
      <c r="C1460" s="6" t="s">
        <v>30</v>
      </c>
      <c r="D1460" s="6">
        <v>145</v>
      </c>
      <c r="E1460" s="6" t="s">
        <v>36</v>
      </c>
      <c r="F1460" s="6">
        <v>373.8</v>
      </c>
      <c r="G1460" s="7">
        <v>448.5</v>
      </c>
      <c r="H1460" s="6">
        <f>(G1460-F1460)</f>
        <v>74.69999999999999</v>
      </c>
      <c r="I1460" s="6" t="s">
        <v>24</v>
      </c>
      <c r="J1460" s="6" t="s">
        <v>48</v>
      </c>
    </row>
    <row r="1461" spans="1:10" ht="23" customHeight="1">
      <c r="A1461" s="6" t="s">
        <v>29</v>
      </c>
      <c r="B1461" s="6">
        <v>5</v>
      </c>
      <c r="C1461" s="6" t="s">
        <v>30</v>
      </c>
      <c r="D1461" s="6">
        <v>145</v>
      </c>
      <c r="E1461" s="6" t="s">
        <v>37</v>
      </c>
      <c r="F1461" s="6">
        <v>373.8</v>
      </c>
      <c r="G1461" s="7">
        <v>448.5</v>
      </c>
      <c r="H1461" s="6">
        <f>(G1461-F1461)</f>
        <v>74.69999999999999</v>
      </c>
      <c r="I1461" s="6" t="s">
        <v>24</v>
      </c>
      <c r="J1461" s="6" t="s">
        <v>48</v>
      </c>
    </row>
    <row r="1462" spans="1:10" ht="23" customHeight="1">
      <c r="A1462" s="6" t="s">
        <v>29</v>
      </c>
      <c r="B1462" s="6">
        <v>5</v>
      </c>
      <c r="C1462" s="6" t="s">
        <v>30</v>
      </c>
      <c r="D1462" s="6">
        <v>145</v>
      </c>
      <c r="E1462" s="6" t="s">
        <v>38</v>
      </c>
      <c r="F1462" s="6">
        <v>69955</v>
      </c>
      <c r="G1462" s="7">
        <v>69957</v>
      </c>
      <c r="H1462" s="6">
        <f>(G1462-F1462)</f>
        <v>2.0</v>
      </c>
      <c r="I1462" s="6" t="s">
        <v>24</v>
      </c>
      <c r="J1462" s="6" t="s">
        <v>48</v>
      </c>
    </row>
    <row r="1463" spans="1:10" ht="23" customHeight="1">
      <c r="A1463" s="6" t="s">
        <v>29</v>
      </c>
      <c r="B1463" s="6">
        <v>5</v>
      </c>
      <c r="C1463" s="6" t="s">
        <v>30</v>
      </c>
      <c r="D1463" s="6">
        <v>145</v>
      </c>
      <c r="E1463" s="6" t="s">
        <v>39</v>
      </c>
      <c r="F1463" s="6">
        <v>69955</v>
      </c>
      <c r="G1463" s="7">
        <v>69957</v>
      </c>
      <c r="H1463" s="6">
        <f>(G1463-F1463)</f>
        <v>2.0</v>
      </c>
      <c r="I1463" s="6" t="s">
        <v>24</v>
      </c>
      <c r="J1463" s="6" t="s">
        <v>48</v>
      </c>
    </row>
    <row r="1464" spans="1:10" ht="23" customHeight="1">
      <c r="A1464" s="6" t="s">
        <v>29</v>
      </c>
      <c r="B1464" s="6">
        <v>5</v>
      </c>
      <c r="C1464" s="6" t="s">
        <v>30</v>
      </c>
      <c r="D1464" s="6">
        <v>145</v>
      </c>
      <c r="E1464" s="6" t="s">
        <v>40</v>
      </c>
      <c r="F1464" s="6">
        <v>69955</v>
      </c>
      <c r="G1464" s="7">
        <v>69957</v>
      </c>
      <c r="H1464" s="6">
        <f>(G1464-F1464)</f>
        <v>2.0</v>
      </c>
      <c r="I1464" s="6" t="s">
        <v>24</v>
      </c>
      <c r="J1464" s="6" t="s">
        <v>48</v>
      </c>
    </row>
    <row r="1465" spans="1:10" ht="23" customHeight="1">
      <c r="A1465" s="6" t="s">
        <v>29</v>
      </c>
      <c r="B1465" s="6">
        <v>5</v>
      </c>
      <c r="C1465" s="6" t="s">
        <v>30</v>
      </c>
      <c r="D1465" s="6">
        <v>145</v>
      </c>
      <c r="E1465" s="6" t="s">
        <v>41</v>
      </c>
      <c r="F1465" s="6">
        <v>69955</v>
      </c>
      <c r="G1465" s="7">
        <v>69957</v>
      </c>
      <c r="H1465" s="6">
        <f>(G1465-F1465)</f>
        <v>2.0</v>
      </c>
      <c r="I1465" s="6" t="s">
        <v>24</v>
      </c>
      <c r="J1465" s="6" t="s">
        <v>48</v>
      </c>
    </row>
    <row r="1466" spans="1:10" ht="23" customHeight="1">
      <c r="A1466" s="6" t="s">
        <v>29</v>
      </c>
      <c r="B1466" s="6">
        <v>5</v>
      </c>
      <c r="C1466" s="6" t="s">
        <v>30</v>
      </c>
      <c r="D1466" s="6">
        <v>146</v>
      </c>
      <c r="E1466" s="6" t="s">
        <v>31</v>
      </c>
      <c r="F1466" s="6">
        <v>24215</v>
      </c>
      <c r="G1466" s="7">
        <v>24216</v>
      </c>
      <c r="H1466" s="6">
        <f>(G1466-F1466)</f>
        <v>1.0</v>
      </c>
      <c r="I1466" s="6" t="s">
        <v>24</v>
      </c>
      <c r="J1466" s="6" t="s">
        <v>48</v>
      </c>
    </row>
    <row r="1467" spans="1:10" ht="23" customHeight="1">
      <c r="A1467" s="6" t="s">
        <v>29</v>
      </c>
      <c r="B1467" s="6">
        <v>5</v>
      </c>
      <c r="C1467" s="6" t="s">
        <v>30</v>
      </c>
      <c r="D1467" s="6">
        <v>146</v>
      </c>
      <c r="E1467" s="6" t="s">
        <v>32</v>
      </c>
      <c r="F1467" s="6">
        <v>129.4</v>
      </c>
      <c r="G1467" s="7">
        <v>155.3</v>
      </c>
      <c r="H1467" s="6">
        <f>(G1467-F1467)</f>
        <v>25.900000000000006</v>
      </c>
      <c r="I1467" s="6" t="s">
        <v>24</v>
      </c>
      <c r="J1467" s="6" t="s">
        <v>48</v>
      </c>
    </row>
    <row r="1468" spans="1:10" ht="23" customHeight="1">
      <c r="A1468" s="6" t="s">
        <v>29</v>
      </c>
      <c r="B1468" s="6">
        <v>5</v>
      </c>
      <c r="C1468" s="6" t="s">
        <v>30</v>
      </c>
      <c r="D1468" s="6">
        <v>146</v>
      </c>
      <c r="E1468" s="6" t="s">
        <v>34</v>
      </c>
      <c r="F1468" s="6">
        <v>129.4</v>
      </c>
      <c r="G1468" s="7">
        <v>155.3</v>
      </c>
      <c r="H1468" s="6">
        <f>(G1468-F1468)</f>
        <v>25.900000000000006</v>
      </c>
      <c r="I1468" s="6" t="s">
        <v>24</v>
      </c>
      <c r="J1468" s="6" t="s">
        <v>48</v>
      </c>
    </row>
    <row r="1469" spans="1:10" ht="23" customHeight="1">
      <c r="A1469" s="6" t="s">
        <v>29</v>
      </c>
      <c r="B1469" s="6">
        <v>5</v>
      </c>
      <c r="C1469" s="6" t="s">
        <v>30</v>
      </c>
      <c r="D1469" s="6">
        <v>146</v>
      </c>
      <c r="E1469" s="6" t="s">
        <v>35</v>
      </c>
      <c r="F1469" s="6">
        <v>24215</v>
      </c>
      <c r="G1469" s="7">
        <v>24216</v>
      </c>
      <c r="H1469" s="6">
        <f>(G1469-F1469)</f>
        <v>1.0</v>
      </c>
      <c r="I1469" s="6" t="s">
        <v>24</v>
      </c>
      <c r="J1469" s="6" t="s">
        <v>48</v>
      </c>
    </row>
    <row r="1470" spans="1:10" ht="23" customHeight="1">
      <c r="A1470" s="6" t="s">
        <v>29</v>
      </c>
      <c r="B1470" s="6">
        <v>5</v>
      </c>
      <c r="C1470" s="6" t="s">
        <v>30</v>
      </c>
      <c r="D1470" s="6">
        <v>146</v>
      </c>
      <c r="E1470" s="6" t="s">
        <v>36</v>
      </c>
      <c r="F1470" s="6">
        <v>129.4</v>
      </c>
      <c r="G1470" s="7">
        <v>155.3</v>
      </c>
      <c r="H1470" s="6">
        <f>(G1470-F1470)</f>
        <v>25.900000000000006</v>
      </c>
      <c r="I1470" s="6" t="s">
        <v>24</v>
      </c>
      <c r="J1470" s="6" t="s">
        <v>48</v>
      </c>
    </row>
    <row r="1471" spans="1:10" ht="23" customHeight="1">
      <c r="A1471" s="6" t="s">
        <v>29</v>
      </c>
      <c r="B1471" s="6">
        <v>5</v>
      </c>
      <c r="C1471" s="6" t="s">
        <v>30</v>
      </c>
      <c r="D1471" s="6">
        <v>146</v>
      </c>
      <c r="E1471" s="6" t="s">
        <v>37</v>
      </c>
      <c r="F1471" s="6">
        <v>129.4</v>
      </c>
      <c r="G1471" s="7">
        <v>155.3</v>
      </c>
      <c r="H1471" s="6">
        <f>(G1471-F1471)</f>
        <v>25.900000000000006</v>
      </c>
      <c r="I1471" s="6" t="s">
        <v>24</v>
      </c>
      <c r="J1471" s="6" t="s">
        <v>48</v>
      </c>
    </row>
    <row r="1472" spans="1:10" ht="23" customHeight="1">
      <c r="A1472" s="6" t="s">
        <v>29</v>
      </c>
      <c r="B1472" s="6">
        <v>5</v>
      </c>
      <c r="C1472" s="6" t="s">
        <v>30</v>
      </c>
      <c r="D1472" s="6">
        <v>146</v>
      </c>
      <c r="E1472" s="6" t="s">
        <v>38</v>
      </c>
      <c r="F1472" s="6">
        <v>24215</v>
      </c>
      <c r="G1472" s="7">
        <v>24216</v>
      </c>
      <c r="H1472" s="6">
        <f>(G1472-F1472)</f>
        <v>1.0</v>
      </c>
      <c r="I1472" s="6" t="s">
        <v>24</v>
      </c>
      <c r="J1472" s="6" t="s">
        <v>48</v>
      </c>
    </row>
    <row r="1473" spans="1:10" ht="23" customHeight="1">
      <c r="A1473" s="6" t="s">
        <v>29</v>
      </c>
      <c r="B1473" s="6">
        <v>5</v>
      </c>
      <c r="C1473" s="6" t="s">
        <v>30</v>
      </c>
      <c r="D1473" s="6">
        <v>146</v>
      </c>
      <c r="E1473" s="6" t="s">
        <v>39</v>
      </c>
      <c r="F1473" s="6">
        <v>24215</v>
      </c>
      <c r="G1473" s="7">
        <v>24216</v>
      </c>
      <c r="H1473" s="6">
        <f>(G1473-F1473)</f>
        <v>1.0</v>
      </c>
      <c r="I1473" s="6" t="s">
        <v>24</v>
      </c>
      <c r="J1473" s="6" t="s">
        <v>48</v>
      </c>
    </row>
    <row r="1474" spans="1:10" ht="23" customHeight="1">
      <c r="A1474" s="6" t="s">
        <v>29</v>
      </c>
      <c r="B1474" s="6">
        <v>5</v>
      </c>
      <c r="C1474" s="6" t="s">
        <v>30</v>
      </c>
      <c r="D1474" s="6">
        <v>146</v>
      </c>
      <c r="E1474" s="6" t="s">
        <v>40</v>
      </c>
      <c r="F1474" s="6">
        <v>24215</v>
      </c>
      <c r="G1474" s="7">
        <v>24216</v>
      </c>
      <c r="H1474" s="6">
        <f>(G1474-F1474)</f>
        <v>1.0</v>
      </c>
      <c r="I1474" s="6" t="s">
        <v>24</v>
      </c>
      <c r="J1474" s="6" t="s">
        <v>48</v>
      </c>
    </row>
    <row r="1475" spans="1:10" ht="23" customHeight="1">
      <c r="A1475" s="6" t="s">
        <v>29</v>
      </c>
      <c r="B1475" s="6">
        <v>5</v>
      </c>
      <c r="C1475" s="6" t="s">
        <v>30</v>
      </c>
      <c r="D1475" s="6">
        <v>146</v>
      </c>
      <c r="E1475" s="6" t="s">
        <v>41</v>
      </c>
      <c r="F1475" s="6">
        <v>24215</v>
      </c>
      <c r="G1475" s="7">
        <v>24216</v>
      </c>
      <c r="H1475" s="6">
        <f>(G1475-F1475)</f>
        <v>1.0</v>
      </c>
      <c r="I1475" s="6" t="s">
        <v>24</v>
      </c>
      <c r="J1475" s="6" t="s">
        <v>48</v>
      </c>
    </row>
    <row r="1476" spans="1:10" ht="23" customHeight="1">
      <c r="A1476" s="6" t="s">
        <v>29</v>
      </c>
      <c r="B1476" s="6">
        <v>6</v>
      </c>
      <c r="C1476" s="6" t="s">
        <v>30</v>
      </c>
      <c r="D1476" s="6">
        <v>152</v>
      </c>
      <c r="E1476" s="6" t="s">
        <v>31</v>
      </c>
      <c r="F1476" s="6">
        <v>51631</v>
      </c>
      <c r="G1476" s="7">
        <v>51629</v>
      </c>
      <c r="H1476" s="6">
        <f>(G1476-F1476)</f>
        <v>-2.0</v>
      </c>
      <c r="I1476" s="6" t="s">
        <v>24</v>
      </c>
      <c r="J1476" s="6" t="s">
        <v>48</v>
      </c>
    </row>
    <row r="1477" spans="1:10" ht="23" customHeight="1">
      <c r="A1477" s="6" t="s">
        <v>29</v>
      </c>
      <c r="B1477" s="6">
        <v>6</v>
      </c>
      <c r="C1477" s="6" t="s">
        <v>30</v>
      </c>
      <c r="D1477" s="6">
        <v>152</v>
      </c>
      <c r="E1477" s="6" t="s">
        <v>32</v>
      </c>
      <c r="F1477" s="6">
        <v>361.4</v>
      </c>
      <c r="G1477" s="7">
        <v>433.8</v>
      </c>
      <c r="H1477" s="6">
        <f>(G1477-F1477)</f>
        <v>72.40000000000003</v>
      </c>
      <c r="I1477" s="6" t="s">
        <v>24</v>
      </c>
      <c r="J1477" s="6" t="s">
        <v>48</v>
      </c>
    </row>
    <row r="1478" spans="1:10" ht="23" customHeight="1">
      <c r="A1478" s="6" t="s">
        <v>29</v>
      </c>
      <c r="B1478" s="6">
        <v>6</v>
      </c>
      <c r="C1478" s="6" t="s">
        <v>30</v>
      </c>
      <c r="D1478" s="6">
        <v>152</v>
      </c>
      <c r="E1478" s="6" t="s">
        <v>34</v>
      </c>
      <c r="F1478" s="6">
        <v>361.4</v>
      </c>
      <c r="G1478" s="7">
        <v>433.8</v>
      </c>
      <c r="H1478" s="6">
        <f>(G1478-F1478)</f>
        <v>72.40000000000003</v>
      </c>
      <c r="I1478" s="6" t="s">
        <v>24</v>
      </c>
      <c r="J1478" s="6" t="s">
        <v>48</v>
      </c>
    </row>
    <row r="1479" spans="1:10" ht="23" customHeight="1">
      <c r="A1479" s="6" t="s">
        <v>29</v>
      </c>
      <c r="B1479" s="6">
        <v>6</v>
      </c>
      <c r="C1479" s="6" t="s">
        <v>30</v>
      </c>
      <c r="D1479" s="6">
        <v>152</v>
      </c>
      <c r="E1479" s="6" t="s">
        <v>35</v>
      </c>
      <c r="F1479" s="6">
        <v>51631</v>
      </c>
      <c r="G1479" s="7">
        <v>51629</v>
      </c>
      <c r="H1479" s="6">
        <f>(G1479-F1479)</f>
        <v>-2.0</v>
      </c>
      <c r="I1479" s="6" t="s">
        <v>24</v>
      </c>
      <c r="J1479" s="6" t="s">
        <v>48</v>
      </c>
    </row>
    <row r="1480" spans="1:10" ht="23" customHeight="1">
      <c r="A1480" s="6" t="s">
        <v>29</v>
      </c>
      <c r="B1480" s="6">
        <v>6</v>
      </c>
      <c r="C1480" s="6" t="s">
        <v>30</v>
      </c>
      <c r="D1480" s="6">
        <v>152</v>
      </c>
      <c r="E1480" s="6" t="s">
        <v>36</v>
      </c>
      <c r="F1480" s="6">
        <v>361.4</v>
      </c>
      <c r="G1480" s="7">
        <v>433.8</v>
      </c>
      <c r="H1480" s="6">
        <f>(G1480-F1480)</f>
        <v>72.40000000000003</v>
      </c>
      <c r="I1480" s="6" t="s">
        <v>24</v>
      </c>
      <c r="J1480" s="6" t="s">
        <v>48</v>
      </c>
    </row>
    <row r="1481" spans="1:10" ht="23" customHeight="1">
      <c r="A1481" s="6" t="s">
        <v>29</v>
      </c>
      <c r="B1481" s="6">
        <v>6</v>
      </c>
      <c r="C1481" s="6" t="s">
        <v>30</v>
      </c>
      <c r="D1481" s="6">
        <v>152</v>
      </c>
      <c r="E1481" s="6" t="s">
        <v>37</v>
      </c>
      <c r="F1481" s="6">
        <v>361.4</v>
      </c>
      <c r="G1481" s="7">
        <v>433.8</v>
      </c>
      <c r="H1481" s="6">
        <f>(G1481-F1481)</f>
        <v>72.40000000000003</v>
      </c>
      <c r="I1481" s="6" t="s">
        <v>24</v>
      </c>
      <c r="J1481" s="6" t="s">
        <v>48</v>
      </c>
    </row>
    <row r="1482" spans="1:10" ht="23" customHeight="1">
      <c r="A1482" s="6" t="s">
        <v>29</v>
      </c>
      <c r="B1482" s="6">
        <v>6</v>
      </c>
      <c r="C1482" s="6" t="s">
        <v>30</v>
      </c>
      <c r="D1482" s="6">
        <v>152</v>
      </c>
      <c r="E1482" s="6" t="s">
        <v>38</v>
      </c>
      <c r="F1482" s="6">
        <v>51631</v>
      </c>
      <c r="G1482" s="7">
        <v>51629</v>
      </c>
      <c r="H1482" s="6">
        <f>(G1482-F1482)</f>
        <v>-2.0</v>
      </c>
      <c r="I1482" s="6" t="s">
        <v>24</v>
      </c>
      <c r="J1482" s="6" t="s">
        <v>48</v>
      </c>
    </row>
    <row r="1483" spans="1:10" ht="23" customHeight="1">
      <c r="A1483" s="6" t="s">
        <v>29</v>
      </c>
      <c r="B1483" s="6">
        <v>6</v>
      </c>
      <c r="C1483" s="6" t="s">
        <v>30</v>
      </c>
      <c r="D1483" s="6">
        <v>152</v>
      </c>
      <c r="E1483" s="6" t="s">
        <v>39</v>
      </c>
      <c r="F1483" s="6">
        <v>51631</v>
      </c>
      <c r="G1483" s="7">
        <v>51629</v>
      </c>
      <c r="H1483" s="6">
        <f>(G1483-F1483)</f>
        <v>-2.0</v>
      </c>
      <c r="I1483" s="6" t="s">
        <v>24</v>
      </c>
      <c r="J1483" s="6" t="s">
        <v>48</v>
      </c>
    </row>
    <row r="1484" spans="1:10" ht="23" customHeight="1">
      <c r="A1484" s="6" t="s">
        <v>29</v>
      </c>
      <c r="B1484" s="6">
        <v>6</v>
      </c>
      <c r="C1484" s="6" t="s">
        <v>30</v>
      </c>
      <c r="D1484" s="6">
        <v>152</v>
      </c>
      <c r="E1484" s="6" t="s">
        <v>40</v>
      </c>
      <c r="F1484" s="6">
        <v>51631</v>
      </c>
      <c r="G1484" s="7">
        <v>51629</v>
      </c>
      <c r="H1484" s="6">
        <f>(G1484-F1484)</f>
        <v>-2.0</v>
      </c>
      <c r="I1484" s="6" t="s">
        <v>24</v>
      </c>
      <c r="J1484" s="6" t="s">
        <v>48</v>
      </c>
    </row>
    <row r="1485" spans="1:10" ht="23" customHeight="1">
      <c r="A1485" s="6" t="s">
        <v>29</v>
      </c>
      <c r="B1485" s="6">
        <v>6</v>
      </c>
      <c r="C1485" s="6" t="s">
        <v>30</v>
      </c>
      <c r="D1485" s="6">
        <v>152</v>
      </c>
      <c r="E1485" s="6" t="s">
        <v>41</v>
      </c>
      <c r="F1485" s="6">
        <v>51631</v>
      </c>
      <c r="G1485" s="7">
        <v>51629</v>
      </c>
      <c r="H1485" s="6">
        <f>(G1485-F1485)</f>
        <v>-2.0</v>
      </c>
      <c r="I1485" s="6" t="s">
        <v>24</v>
      </c>
      <c r="J1485" s="6" t="s">
        <v>48</v>
      </c>
    </row>
    <row r="1486" spans="1:10" ht="23" customHeight="1">
      <c r="A1486" s="6" t="s">
        <v>29</v>
      </c>
      <c r="B1486" s="6">
        <v>6</v>
      </c>
      <c r="C1486" s="6" t="s">
        <v>30</v>
      </c>
      <c r="D1486" s="6">
        <v>153</v>
      </c>
      <c r="E1486" s="6" t="s">
        <v>31</v>
      </c>
      <c r="F1486" s="6">
        <v>145629</v>
      </c>
      <c r="G1486" s="7">
        <v>145626</v>
      </c>
      <c r="H1486" s="6">
        <f>(G1486-F1486)</f>
        <v>-3.0</v>
      </c>
      <c r="I1486" s="6" t="s">
        <v>24</v>
      </c>
      <c r="J1486" s="6" t="s">
        <v>48</v>
      </c>
    </row>
    <row r="1487" spans="1:10" ht="23" customHeight="1">
      <c r="A1487" s="6" t="s">
        <v>29</v>
      </c>
      <c r="B1487" s="6">
        <v>6</v>
      </c>
      <c r="C1487" s="6" t="s">
        <v>30</v>
      </c>
      <c r="D1487" s="6">
        <v>153</v>
      </c>
      <c r="E1487" s="6" t="s">
        <v>32</v>
      </c>
      <c r="F1487" s="6">
        <v>1529.1</v>
      </c>
      <c r="G1487" s="7">
        <v>1835</v>
      </c>
      <c r="H1487" s="6">
        <f>(G1487-F1487)</f>
        <v>305.9000000000001</v>
      </c>
      <c r="I1487" s="6" t="s">
        <v>24</v>
      </c>
      <c r="J1487" s="6" t="s">
        <v>48</v>
      </c>
    </row>
    <row r="1488" spans="1:10" ht="23" customHeight="1">
      <c r="A1488" s="6" t="s">
        <v>29</v>
      </c>
      <c r="B1488" s="6">
        <v>6</v>
      </c>
      <c r="C1488" s="6" t="s">
        <v>30</v>
      </c>
      <c r="D1488" s="6">
        <v>153</v>
      </c>
      <c r="E1488" s="6" t="s">
        <v>34</v>
      </c>
      <c r="F1488" s="6">
        <v>1529.1</v>
      </c>
      <c r="G1488" s="7">
        <v>1835</v>
      </c>
      <c r="H1488" s="6">
        <f>(G1488-F1488)</f>
        <v>305.9000000000001</v>
      </c>
      <c r="I1488" s="6" t="s">
        <v>24</v>
      </c>
      <c r="J1488" s="6" t="s">
        <v>48</v>
      </c>
    </row>
    <row r="1489" spans="1:10" ht="23" customHeight="1">
      <c r="A1489" s="6" t="s">
        <v>29</v>
      </c>
      <c r="B1489" s="6">
        <v>6</v>
      </c>
      <c r="C1489" s="6" t="s">
        <v>30</v>
      </c>
      <c r="D1489" s="6">
        <v>153</v>
      </c>
      <c r="E1489" s="6" t="s">
        <v>35</v>
      </c>
      <c r="F1489" s="6">
        <v>145629</v>
      </c>
      <c r="G1489" s="7">
        <v>145626</v>
      </c>
      <c r="H1489" s="6">
        <f>(G1489-F1489)</f>
        <v>-3.0</v>
      </c>
      <c r="I1489" s="6" t="s">
        <v>24</v>
      </c>
      <c r="J1489" s="6" t="s">
        <v>48</v>
      </c>
    </row>
    <row r="1490" spans="1:10" ht="23" customHeight="1">
      <c r="A1490" s="6" t="s">
        <v>29</v>
      </c>
      <c r="B1490" s="6">
        <v>6</v>
      </c>
      <c r="C1490" s="6" t="s">
        <v>30</v>
      </c>
      <c r="D1490" s="6">
        <v>153</v>
      </c>
      <c r="E1490" s="6" t="s">
        <v>36</v>
      </c>
      <c r="F1490" s="6">
        <v>1529.1</v>
      </c>
      <c r="G1490" s="7">
        <v>1835</v>
      </c>
      <c r="H1490" s="6">
        <f>(G1490-F1490)</f>
        <v>305.9000000000001</v>
      </c>
      <c r="I1490" s="6" t="s">
        <v>24</v>
      </c>
      <c r="J1490" s="6" t="s">
        <v>48</v>
      </c>
    </row>
    <row r="1491" spans="1:10" ht="23" customHeight="1">
      <c r="A1491" s="6" t="s">
        <v>29</v>
      </c>
      <c r="B1491" s="6">
        <v>6</v>
      </c>
      <c r="C1491" s="6" t="s">
        <v>30</v>
      </c>
      <c r="D1491" s="6">
        <v>153</v>
      </c>
      <c r="E1491" s="6" t="s">
        <v>37</v>
      </c>
      <c r="F1491" s="6">
        <v>1529.1</v>
      </c>
      <c r="G1491" s="7">
        <v>1835</v>
      </c>
      <c r="H1491" s="6">
        <f>(G1491-F1491)</f>
        <v>305.9000000000001</v>
      </c>
      <c r="I1491" s="6" t="s">
        <v>24</v>
      </c>
      <c r="J1491" s="6" t="s">
        <v>48</v>
      </c>
    </row>
    <row r="1492" spans="1:10" ht="23" customHeight="1">
      <c r="A1492" s="6" t="s">
        <v>29</v>
      </c>
      <c r="B1492" s="6">
        <v>6</v>
      </c>
      <c r="C1492" s="6" t="s">
        <v>30</v>
      </c>
      <c r="D1492" s="6">
        <v>153</v>
      </c>
      <c r="E1492" s="6" t="s">
        <v>38</v>
      </c>
      <c r="F1492" s="6">
        <v>145629</v>
      </c>
      <c r="G1492" s="7">
        <v>145626</v>
      </c>
      <c r="H1492" s="6">
        <f>(G1492-F1492)</f>
        <v>-3.0</v>
      </c>
      <c r="I1492" s="6" t="s">
        <v>24</v>
      </c>
      <c r="J1492" s="6" t="s">
        <v>48</v>
      </c>
    </row>
    <row r="1493" spans="1:10" ht="23" customHeight="1">
      <c r="A1493" s="6" t="s">
        <v>29</v>
      </c>
      <c r="B1493" s="6">
        <v>6</v>
      </c>
      <c r="C1493" s="6" t="s">
        <v>30</v>
      </c>
      <c r="D1493" s="6">
        <v>153</v>
      </c>
      <c r="E1493" s="6" t="s">
        <v>39</v>
      </c>
      <c r="F1493" s="6">
        <v>145629</v>
      </c>
      <c r="G1493" s="7">
        <v>145626</v>
      </c>
      <c r="H1493" s="6">
        <f>(G1493-F1493)</f>
        <v>-3.0</v>
      </c>
      <c r="I1493" s="6" t="s">
        <v>24</v>
      </c>
      <c r="J1493" s="6" t="s">
        <v>48</v>
      </c>
    </row>
    <row r="1494" spans="1:10" ht="23" customHeight="1">
      <c r="A1494" s="6" t="s">
        <v>29</v>
      </c>
      <c r="B1494" s="6">
        <v>6</v>
      </c>
      <c r="C1494" s="6" t="s">
        <v>30</v>
      </c>
      <c r="D1494" s="6">
        <v>153</v>
      </c>
      <c r="E1494" s="6" t="s">
        <v>40</v>
      </c>
      <c r="F1494" s="6">
        <v>145629</v>
      </c>
      <c r="G1494" s="7">
        <v>145626</v>
      </c>
      <c r="H1494" s="6">
        <f>(G1494-F1494)</f>
        <v>-3.0</v>
      </c>
      <c r="I1494" s="6" t="s">
        <v>24</v>
      </c>
      <c r="J1494" s="6" t="s">
        <v>48</v>
      </c>
    </row>
    <row r="1495" spans="1:10" ht="23" customHeight="1">
      <c r="A1495" s="6" t="s">
        <v>29</v>
      </c>
      <c r="B1495" s="6">
        <v>6</v>
      </c>
      <c r="C1495" s="6" t="s">
        <v>30</v>
      </c>
      <c r="D1495" s="6">
        <v>153</v>
      </c>
      <c r="E1495" s="6" t="s">
        <v>41</v>
      </c>
      <c r="F1495" s="6">
        <v>145629</v>
      </c>
      <c r="G1495" s="7">
        <v>145626</v>
      </c>
      <c r="H1495" s="6">
        <f>(G1495-F1495)</f>
        <v>-3.0</v>
      </c>
      <c r="I1495" s="6" t="s">
        <v>24</v>
      </c>
      <c r="J1495" s="6" t="s">
        <v>48</v>
      </c>
    </row>
    <row r="1496" spans="1:10" ht="23" customHeight="1">
      <c r="A1496" s="6" t="s">
        <v>29</v>
      </c>
      <c r="B1496" s="6">
        <v>6</v>
      </c>
      <c r="C1496" s="6" t="s">
        <v>30</v>
      </c>
      <c r="D1496" s="6">
        <v>154</v>
      </c>
      <c r="E1496" s="6" t="s">
        <v>31</v>
      </c>
      <c r="F1496" s="6">
        <v>155636</v>
      </c>
      <c r="G1496" s="7">
        <v>155634</v>
      </c>
      <c r="H1496" s="6">
        <f>(G1496-F1496)</f>
        <v>-2.0</v>
      </c>
      <c r="I1496" s="6" t="s">
        <v>24</v>
      </c>
      <c r="J1496" s="6" t="s">
        <v>48</v>
      </c>
    </row>
    <row r="1497" spans="1:10" ht="23" customHeight="1">
      <c r="A1497" s="6" t="s">
        <v>29</v>
      </c>
      <c r="B1497" s="6">
        <v>6</v>
      </c>
      <c r="C1497" s="6" t="s">
        <v>30</v>
      </c>
      <c r="D1497" s="6">
        <v>154</v>
      </c>
      <c r="E1497" s="6" t="s">
        <v>32</v>
      </c>
      <c r="F1497" s="6">
        <v>1495.3</v>
      </c>
      <c r="G1497" s="7">
        <v>1794.4</v>
      </c>
      <c r="H1497" s="6">
        <f>(G1497-F1497)</f>
        <v>299.10000000000014</v>
      </c>
      <c r="I1497" s="6" t="s">
        <v>24</v>
      </c>
      <c r="J1497" s="6" t="s">
        <v>48</v>
      </c>
    </row>
    <row r="1498" spans="1:10" ht="23" customHeight="1">
      <c r="A1498" s="6" t="s">
        <v>29</v>
      </c>
      <c r="B1498" s="6">
        <v>6</v>
      </c>
      <c r="C1498" s="6" t="s">
        <v>30</v>
      </c>
      <c r="D1498" s="6">
        <v>154</v>
      </c>
      <c r="E1498" s="6" t="s">
        <v>34</v>
      </c>
      <c r="F1498" s="6">
        <v>1495.3</v>
      </c>
      <c r="G1498" s="7">
        <v>1794.4</v>
      </c>
      <c r="H1498" s="6">
        <f>(G1498-F1498)</f>
        <v>299.10000000000014</v>
      </c>
      <c r="I1498" s="6" t="s">
        <v>24</v>
      </c>
      <c r="J1498" s="6" t="s">
        <v>48</v>
      </c>
    </row>
    <row r="1499" spans="1:10" ht="23" customHeight="1">
      <c r="A1499" s="6" t="s">
        <v>29</v>
      </c>
      <c r="B1499" s="6">
        <v>6</v>
      </c>
      <c r="C1499" s="6" t="s">
        <v>30</v>
      </c>
      <c r="D1499" s="6">
        <v>154</v>
      </c>
      <c r="E1499" s="6" t="s">
        <v>35</v>
      </c>
      <c r="F1499" s="6">
        <v>155636</v>
      </c>
      <c r="G1499" s="7">
        <v>155634</v>
      </c>
      <c r="H1499" s="6">
        <f>(G1499-F1499)</f>
        <v>-2.0</v>
      </c>
      <c r="I1499" s="6" t="s">
        <v>24</v>
      </c>
      <c r="J1499" s="6" t="s">
        <v>48</v>
      </c>
    </row>
    <row r="1500" spans="1:10" ht="23" customHeight="1">
      <c r="A1500" s="6" t="s">
        <v>29</v>
      </c>
      <c r="B1500" s="6">
        <v>6</v>
      </c>
      <c r="C1500" s="6" t="s">
        <v>30</v>
      </c>
      <c r="D1500" s="6">
        <v>154</v>
      </c>
      <c r="E1500" s="6" t="s">
        <v>36</v>
      </c>
      <c r="F1500" s="6">
        <v>1495.3</v>
      </c>
      <c r="G1500" s="7">
        <v>1794.4</v>
      </c>
      <c r="H1500" s="6">
        <f>(G1500-F1500)</f>
        <v>299.10000000000014</v>
      </c>
      <c r="I1500" s="6" t="s">
        <v>24</v>
      </c>
      <c r="J1500" s="6" t="s">
        <v>48</v>
      </c>
    </row>
    <row r="1501" spans="1:10" ht="23" customHeight="1">
      <c r="A1501" s="6" t="s">
        <v>29</v>
      </c>
      <c r="B1501" s="6">
        <v>6</v>
      </c>
      <c r="C1501" s="6" t="s">
        <v>30</v>
      </c>
      <c r="D1501" s="6">
        <v>154</v>
      </c>
      <c r="E1501" s="6" t="s">
        <v>37</v>
      </c>
      <c r="F1501" s="6">
        <v>1495.3</v>
      </c>
      <c r="G1501" s="7">
        <v>1794.4</v>
      </c>
      <c r="H1501" s="6">
        <f>(G1501-F1501)</f>
        <v>299.10000000000014</v>
      </c>
      <c r="I1501" s="6" t="s">
        <v>24</v>
      </c>
      <c r="J1501" s="6" t="s">
        <v>48</v>
      </c>
    </row>
    <row r="1502" spans="1:10" ht="23" customHeight="1">
      <c r="A1502" s="6" t="s">
        <v>29</v>
      </c>
      <c r="B1502" s="6">
        <v>6</v>
      </c>
      <c r="C1502" s="6" t="s">
        <v>30</v>
      </c>
      <c r="D1502" s="6">
        <v>154</v>
      </c>
      <c r="E1502" s="6" t="s">
        <v>38</v>
      </c>
      <c r="F1502" s="6">
        <v>155636</v>
      </c>
      <c r="G1502" s="7">
        <v>155634</v>
      </c>
      <c r="H1502" s="6">
        <f>(G1502-F1502)</f>
        <v>-2.0</v>
      </c>
      <c r="I1502" s="6" t="s">
        <v>24</v>
      </c>
      <c r="J1502" s="6" t="s">
        <v>48</v>
      </c>
    </row>
    <row r="1503" spans="1:10" ht="23" customHeight="1">
      <c r="A1503" s="6" t="s">
        <v>29</v>
      </c>
      <c r="B1503" s="6">
        <v>6</v>
      </c>
      <c r="C1503" s="6" t="s">
        <v>30</v>
      </c>
      <c r="D1503" s="6">
        <v>154</v>
      </c>
      <c r="E1503" s="6" t="s">
        <v>39</v>
      </c>
      <c r="F1503" s="6">
        <v>155636</v>
      </c>
      <c r="G1503" s="7">
        <v>155634</v>
      </c>
      <c r="H1503" s="6">
        <f>(G1503-F1503)</f>
        <v>-2.0</v>
      </c>
      <c r="I1503" s="6" t="s">
        <v>24</v>
      </c>
      <c r="J1503" s="6" t="s">
        <v>48</v>
      </c>
    </row>
    <row r="1504" spans="1:10" ht="23" customHeight="1">
      <c r="A1504" s="6" t="s">
        <v>29</v>
      </c>
      <c r="B1504" s="6">
        <v>6</v>
      </c>
      <c r="C1504" s="6" t="s">
        <v>30</v>
      </c>
      <c r="D1504" s="6">
        <v>154</v>
      </c>
      <c r="E1504" s="6" t="s">
        <v>40</v>
      </c>
      <c r="F1504" s="6">
        <v>155636</v>
      </c>
      <c r="G1504" s="7">
        <v>155634</v>
      </c>
      <c r="H1504" s="6">
        <f>(G1504-F1504)</f>
        <v>-2.0</v>
      </c>
      <c r="I1504" s="6" t="s">
        <v>24</v>
      </c>
      <c r="J1504" s="6" t="s">
        <v>48</v>
      </c>
    </row>
    <row r="1505" spans="1:10" ht="23" customHeight="1">
      <c r="A1505" s="6" t="s">
        <v>29</v>
      </c>
      <c r="B1505" s="6">
        <v>6</v>
      </c>
      <c r="C1505" s="6" t="s">
        <v>30</v>
      </c>
      <c r="D1505" s="6">
        <v>154</v>
      </c>
      <c r="E1505" s="6" t="s">
        <v>41</v>
      </c>
      <c r="F1505" s="6">
        <v>155636</v>
      </c>
      <c r="G1505" s="7">
        <v>155634</v>
      </c>
      <c r="H1505" s="6">
        <f>(G1505-F1505)</f>
        <v>-2.0</v>
      </c>
      <c r="I1505" s="6" t="s">
        <v>24</v>
      </c>
      <c r="J1505" s="6" t="s">
        <v>48</v>
      </c>
    </row>
    <row r="1506" spans="1:10" ht="23" customHeight="1">
      <c r="A1506" s="6" t="s">
        <v>29</v>
      </c>
      <c r="B1506" s="6">
        <v>6</v>
      </c>
      <c r="C1506" s="6" t="s">
        <v>30</v>
      </c>
      <c r="D1506" s="6">
        <v>155</v>
      </c>
      <c r="E1506" s="6" t="s">
        <v>31</v>
      </c>
      <c r="F1506" s="6">
        <v>223254</v>
      </c>
      <c r="G1506" s="7">
        <v>223257</v>
      </c>
      <c r="H1506" s="6">
        <f>(G1506-F1506)</f>
        <v>3.0</v>
      </c>
      <c r="I1506" s="6" t="s">
        <v>24</v>
      </c>
      <c r="J1506" s="6" t="s">
        <v>48</v>
      </c>
    </row>
    <row r="1507" spans="1:10" ht="23" customHeight="1">
      <c r="A1507" s="6" t="s">
        <v>29</v>
      </c>
      <c r="B1507" s="6">
        <v>6</v>
      </c>
      <c r="C1507" s="6" t="s">
        <v>30</v>
      </c>
      <c r="D1507" s="6">
        <v>155</v>
      </c>
      <c r="E1507" s="6" t="s">
        <v>32</v>
      </c>
      <c r="F1507" s="6">
        <v>1927.5</v>
      </c>
      <c r="G1507" s="7">
        <v>2313</v>
      </c>
      <c r="H1507" s="6">
        <f>(G1507-F1507)</f>
        <v>385.5</v>
      </c>
      <c r="I1507" s="6" t="s">
        <v>24</v>
      </c>
      <c r="J1507" s="6" t="s">
        <v>48</v>
      </c>
    </row>
    <row r="1508" spans="1:10" ht="23" customHeight="1">
      <c r="A1508" s="6" t="s">
        <v>29</v>
      </c>
      <c r="B1508" s="6">
        <v>6</v>
      </c>
      <c r="C1508" s="6" t="s">
        <v>30</v>
      </c>
      <c r="D1508" s="6">
        <v>155</v>
      </c>
      <c r="E1508" s="6" t="s">
        <v>34</v>
      </c>
      <c r="F1508" s="6">
        <v>1927.5</v>
      </c>
      <c r="G1508" s="7">
        <v>2313</v>
      </c>
      <c r="H1508" s="6">
        <f>(G1508-F1508)</f>
        <v>385.5</v>
      </c>
      <c r="I1508" s="6" t="s">
        <v>24</v>
      </c>
      <c r="J1508" s="6" t="s">
        <v>48</v>
      </c>
    </row>
    <row r="1509" spans="1:10" ht="23" customHeight="1">
      <c r="A1509" s="6" t="s">
        <v>29</v>
      </c>
      <c r="B1509" s="6">
        <v>6</v>
      </c>
      <c r="C1509" s="6" t="s">
        <v>30</v>
      </c>
      <c r="D1509" s="6">
        <v>155</v>
      </c>
      <c r="E1509" s="6" t="s">
        <v>35</v>
      </c>
      <c r="F1509" s="6">
        <v>223254</v>
      </c>
      <c r="G1509" s="7">
        <v>223257</v>
      </c>
      <c r="H1509" s="6">
        <f>(G1509-F1509)</f>
        <v>3.0</v>
      </c>
      <c r="I1509" s="6" t="s">
        <v>24</v>
      </c>
      <c r="J1509" s="6" t="s">
        <v>48</v>
      </c>
    </row>
    <row r="1510" spans="1:10" ht="23" customHeight="1">
      <c r="A1510" s="6" t="s">
        <v>29</v>
      </c>
      <c r="B1510" s="6">
        <v>6</v>
      </c>
      <c r="C1510" s="6" t="s">
        <v>30</v>
      </c>
      <c r="D1510" s="6">
        <v>155</v>
      </c>
      <c r="E1510" s="6" t="s">
        <v>36</v>
      </c>
      <c r="F1510" s="6">
        <v>1927.5</v>
      </c>
      <c r="G1510" s="7">
        <v>2313</v>
      </c>
      <c r="H1510" s="6">
        <f>(G1510-F1510)</f>
        <v>385.5</v>
      </c>
      <c r="I1510" s="6" t="s">
        <v>24</v>
      </c>
      <c r="J1510" s="6" t="s">
        <v>48</v>
      </c>
    </row>
    <row r="1511" spans="1:10" ht="23" customHeight="1">
      <c r="A1511" s="6" t="s">
        <v>29</v>
      </c>
      <c r="B1511" s="6">
        <v>6</v>
      </c>
      <c r="C1511" s="6" t="s">
        <v>30</v>
      </c>
      <c r="D1511" s="6">
        <v>155</v>
      </c>
      <c r="E1511" s="6" t="s">
        <v>37</v>
      </c>
      <c r="F1511" s="6">
        <v>1927.5</v>
      </c>
      <c r="G1511" s="7">
        <v>2313</v>
      </c>
      <c r="H1511" s="6">
        <f>(G1511-F1511)</f>
        <v>385.5</v>
      </c>
      <c r="I1511" s="6" t="s">
        <v>24</v>
      </c>
      <c r="J1511" s="6" t="s">
        <v>48</v>
      </c>
    </row>
    <row r="1512" spans="1:10" ht="23" customHeight="1">
      <c r="A1512" s="6" t="s">
        <v>29</v>
      </c>
      <c r="B1512" s="6">
        <v>6</v>
      </c>
      <c r="C1512" s="6" t="s">
        <v>30</v>
      </c>
      <c r="D1512" s="6">
        <v>155</v>
      </c>
      <c r="E1512" s="6" t="s">
        <v>38</v>
      </c>
      <c r="F1512" s="6">
        <v>223254</v>
      </c>
      <c r="G1512" s="7">
        <v>223257</v>
      </c>
      <c r="H1512" s="6">
        <f>(G1512-F1512)</f>
        <v>3.0</v>
      </c>
      <c r="I1512" s="6" t="s">
        <v>24</v>
      </c>
      <c r="J1512" s="6" t="s">
        <v>48</v>
      </c>
    </row>
    <row r="1513" spans="1:10" ht="23" customHeight="1">
      <c r="A1513" s="6" t="s">
        <v>29</v>
      </c>
      <c r="B1513" s="6">
        <v>6</v>
      </c>
      <c r="C1513" s="6" t="s">
        <v>30</v>
      </c>
      <c r="D1513" s="6">
        <v>155</v>
      </c>
      <c r="E1513" s="6" t="s">
        <v>39</v>
      </c>
      <c r="F1513" s="6">
        <v>223254</v>
      </c>
      <c r="G1513" s="7">
        <v>223257</v>
      </c>
      <c r="H1513" s="6">
        <f>(G1513-F1513)</f>
        <v>3.0</v>
      </c>
      <c r="I1513" s="6" t="s">
        <v>24</v>
      </c>
      <c r="J1513" s="6" t="s">
        <v>48</v>
      </c>
    </row>
    <row r="1514" spans="1:10" ht="23" customHeight="1">
      <c r="A1514" s="6" t="s">
        <v>29</v>
      </c>
      <c r="B1514" s="6">
        <v>6</v>
      </c>
      <c r="C1514" s="6" t="s">
        <v>30</v>
      </c>
      <c r="D1514" s="6">
        <v>155</v>
      </c>
      <c r="E1514" s="6" t="s">
        <v>40</v>
      </c>
      <c r="F1514" s="6">
        <v>223254</v>
      </c>
      <c r="G1514" s="7">
        <v>223257</v>
      </c>
      <c r="H1514" s="6">
        <f>(G1514-F1514)</f>
        <v>3.0</v>
      </c>
      <c r="I1514" s="6" t="s">
        <v>24</v>
      </c>
      <c r="J1514" s="6" t="s">
        <v>48</v>
      </c>
    </row>
    <row r="1515" spans="1:10" ht="23" customHeight="1">
      <c r="A1515" s="6" t="s">
        <v>29</v>
      </c>
      <c r="B1515" s="6">
        <v>6</v>
      </c>
      <c r="C1515" s="6" t="s">
        <v>30</v>
      </c>
      <c r="D1515" s="6">
        <v>155</v>
      </c>
      <c r="E1515" s="6" t="s">
        <v>41</v>
      </c>
      <c r="F1515" s="6">
        <v>223254</v>
      </c>
      <c r="G1515" s="7">
        <v>223257</v>
      </c>
      <c r="H1515" s="6">
        <f>(G1515-F1515)</f>
        <v>3.0</v>
      </c>
      <c r="I1515" s="6" t="s">
        <v>24</v>
      </c>
      <c r="J1515" s="6" t="s">
        <v>48</v>
      </c>
    </row>
    <row r="1516" spans="1:10" ht="23" customHeight="1">
      <c r="A1516" s="6" t="s">
        <v>29</v>
      </c>
      <c r="B1516" s="6">
        <v>6</v>
      </c>
      <c r="C1516" s="6" t="s">
        <v>30</v>
      </c>
      <c r="D1516" s="6">
        <v>156</v>
      </c>
      <c r="E1516" s="6" t="s">
        <v>31</v>
      </c>
      <c r="F1516" s="6">
        <v>218435</v>
      </c>
      <c r="G1516" s="7">
        <v>218438</v>
      </c>
      <c r="H1516" s="6">
        <f>(G1516-F1516)</f>
        <v>3.0</v>
      </c>
      <c r="I1516" s="6" t="s">
        <v>24</v>
      </c>
      <c r="J1516" s="6" t="s">
        <v>48</v>
      </c>
    </row>
    <row r="1517" spans="1:10" ht="23" customHeight="1">
      <c r="A1517" s="6" t="s">
        <v>29</v>
      </c>
      <c r="B1517" s="6">
        <v>6</v>
      </c>
      <c r="C1517" s="6" t="s">
        <v>30</v>
      </c>
      <c r="D1517" s="6">
        <v>156</v>
      </c>
      <c r="E1517" s="6" t="s">
        <v>32</v>
      </c>
      <c r="F1517" s="6">
        <v>2293.6</v>
      </c>
      <c r="G1517" s="7">
        <v>2752.4</v>
      </c>
      <c r="H1517" s="6">
        <f>(G1517-F1517)</f>
        <v>458.8000000000002</v>
      </c>
      <c r="I1517" s="6" t="s">
        <v>24</v>
      </c>
      <c r="J1517" s="6" t="s">
        <v>48</v>
      </c>
    </row>
    <row r="1518" spans="1:10" ht="23" customHeight="1">
      <c r="A1518" s="6" t="s">
        <v>29</v>
      </c>
      <c r="B1518" s="6">
        <v>6</v>
      </c>
      <c r="C1518" s="6" t="s">
        <v>30</v>
      </c>
      <c r="D1518" s="6">
        <v>156</v>
      </c>
      <c r="E1518" s="6" t="s">
        <v>34</v>
      </c>
      <c r="F1518" s="6">
        <v>2293.6</v>
      </c>
      <c r="G1518" s="7">
        <v>2752.4</v>
      </c>
      <c r="H1518" s="6">
        <f>(G1518-F1518)</f>
        <v>458.8000000000002</v>
      </c>
      <c r="I1518" s="6" t="s">
        <v>24</v>
      </c>
      <c r="J1518" s="6" t="s">
        <v>48</v>
      </c>
    </row>
    <row r="1519" spans="1:10" ht="23" customHeight="1">
      <c r="A1519" s="6" t="s">
        <v>29</v>
      </c>
      <c r="B1519" s="6">
        <v>6</v>
      </c>
      <c r="C1519" s="6" t="s">
        <v>30</v>
      </c>
      <c r="D1519" s="6">
        <v>156</v>
      </c>
      <c r="E1519" s="6" t="s">
        <v>35</v>
      </c>
      <c r="F1519" s="6">
        <v>218435</v>
      </c>
      <c r="G1519" s="7">
        <v>218438</v>
      </c>
      <c r="H1519" s="6">
        <f>(G1519-F1519)</f>
        <v>3.0</v>
      </c>
      <c r="I1519" s="6" t="s">
        <v>24</v>
      </c>
      <c r="J1519" s="6" t="s">
        <v>48</v>
      </c>
    </row>
    <row r="1520" spans="1:10" ht="23" customHeight="1">
      <c r="A1520" s="6" t="s">
        <v>29</v>
      </c>
      <c r="B1520" s="6">
        <v>6</v>
      </c>
      <c r="C1520" s="6" t="s">
        <v>30</v>
      </c>
      <c r="D1520" s="6">
        <v>156</v>
      </c>
      <c r="E1520" s="6" t="s">
        <v>36</v>
      </c>
      <c r="F1520" s="6">
        <v>2293.6</v>
      </c>
      <c r="G1520" s="7">
        <v>2752.4</v>
      </c>
      <c r="H1520" s="6">
        <f>(G1520-F1520)</f>
        <v>458.8000000000002</v>
      </c>
      <c r="I1520" s="6" t="s">
        <v>24</v>
      </c>
      <c r="J1520" s="6" t="s">
        <v>48</v>
      </c>
    </row>
    <row r="1521" spans="1:10" ht="23" customHeight="1">
      <c r="A1521" s="6" t="s">
        <v>29</v>
      </c>
      <c r="B1521" s="6">
        <v>6</v>
      </c>
      <c r="C1521" s="6" t="s">
        <v>30</v>
      </c>
      <c r="D1521" s="6">
        <v>156</v>
      </c>
      <c r="E1521" s="6" t="s">
        <v>37</v>
      </c>
      <c r="F1521" s="6">
        <v>2293.6</v>
      </c>
      <c r="G1521" s="7">
        <v>2752.4</v>
      </c>
      <c r="H1521" s="6">
        <f>(G1521-F1521)</f>
        <v>458.8000000000002</v>
      </c>
      <c r="I1521" s="6" t="s">
        <v>24</v>
      </c>
      <c r="J1521" s="6" t="s">
        <v>48</v>
      </c>
    </row>
    <row r="1522" spans="1:10" ht="23" customHeight="1">
      <c r="A1522" s="6" t="s">
        <v>29</v>
      </c>
      <c r="B1522" s="6">
        <v>6</v>
      </c>
      <c r="C1522" s="6" t="s">
        <v>30</v>
      </c>
      <c r="D1522" s="6">
        <v>156</v>
      </c>
      <c r="E1522" s="6" t="s">
        <v>38</v>
      </c>
      <c r="F1522" s="6">
        <v>218435</v>
      </c>
      <c r="G1522" s="7">
        <v>218438</v>
      </c>
      <c r="H1522" s="6">
        <f>(G1522-F1522)</f>
        <v>3.0</v>
      </c>
      <c r="I1522" s="6" t="s">
        <v>24</v>
      </c>
      <c r="J1522" s="6" t="s">
        <v>48</v>
      </c>
    </row>
    <row r="1523" spans="1:10" ht="23" customHeight="1">
      <c r="A1523" s="6" t="s">
        <v>29</v>
      </c>
      <c r="B1523" s="6">
        <v>6</v>
      </c>
      <c r="C1523" s="6" t="s">
        <v>30</v>
      </c>
      <c r="D1523" s="6">
        <v>156</v>
      </c>
      <c r="E1523" s="6" t="s">
        <v>39</v>
      </c>
      <c r="F1523" s="6">
        <v>218435</v>
      </c>
      <c r="G1523" s="7">
        <v>218438</v>
      </c>
      <c r="H1523" s="6">
        <f>(G1523-F1523)</f>
        <v>3.0</v>
      </c>
      <c r="I1523" s="6" t="s">
        <v>24</v>
      </c>
      <c r="J1523" s="6" t="s">
        <v>48</v>
      </c>
    </row>
    <row r="1524" spans="1:10" ht="23" customHeight="1">
      <c r="A1524" s="6" t="s">
        <v>29</v>
      </c>
      <c r="B1524" s="6">
        <v>6</v>
      </c>
      <c r="C1524" s="6" t="s">
        <v>30</v>
      </c>
      <c r="D1524" s="6">
        <v>156</v>
      </c>
      <c r="E1524" s="6" t="s">
        <v>40</v>
      </c>
      <c r="F1524" s="6">
        <v>218435</v>
      </c>
      <c r="G1524" s="7">
        <v>218438</v>
      </c>
      <c r="H1524" s="6">
        <f>(G1524-F1524)</f>
        <v>3.0</v>
      </c>
      <c r="I1524" s="6" t="s">
        <v>24</v>
      </c>
      <c r="J1524" s="6" t="s">
        <v>48</v>
      </c>
    </row>
    <row r="1525" spans="1:10" ht="23" customHeight="1">
      <c r="A1525" s="6" t="s">
        <v>29</v>
      </c>
      <c r="B1525" s="6">
        <v>6</v>
      </c>
      <c r="C1525" s="6" t="s">
        <v>30</v>
      </c>
      <c r="D1525" s="6">
        <v>156</v>
      </c>
      <c r="E1525" s="6" t="s">
        <v>41</v>
      </c>
      <c r="F1525" s="6">
        <v>218435</v>
      </c>
      <c r="G1525" s="7">
        <v>218438</v>
      </c>
      <c r="H1525" s="6">
        <f>(G1525-F1525)</f>
        <v>3.0</v>
      </c>
      <c r="I1525" s="6" t="s">
        <v>24</v>
      </c>
      <c r="J1525" s="6" t="s">
        <v>48</v>
      </c>
    </row>
    <row r="1526" spans="1:10" ht="23" customHeight="1">
      <c r="A1526" s="6" t="s">
        <v>29</v>
      </c>
      <c r="B1526" s="6">
        <v>6</v>
      </c>
      <c r="C1526" s="6" t="s">
        <v>30</v>
      </c>
      <c r="D1526" s="6">
        <v>157</v>
      </c>
      <c r="E1526" s="6" t="s">
        <v>31</v>
      </c>
      <c r="F1526" s="6">
        <v>218435</v>
      </c>
      <c r="G1526" s="7">
        <v>218438</v>
      </c>
      <c r="H1526" s="6">
        <f>(G1526-F1526)</f>
        <v>3.0</v>
      </c>
      <c r="I1526" s="6" t="s">
        <v>24</v>
      </c>
      <c r="J1526" s="6" t="s">
        <v>48</v>
      </c>
    </row>
    <row r="1527" spans="1:10" ht="23" customHeight="1">
      <c r="A1527" s="6" t="s">
        <v>29</v>
      </c>
      <c r="B1527" s="6">
        <v>6</v>
      </c>
      <c r="C1527" s="6" t="s">
        <v>30</v>
      </c>
      <c r="D1527" s="6">
        <v>157</v>
      </c>
      <c r="E1527" s="6" t="s">
        <v>32</v>
      </c>
      <c r="F1527" s="6">
        <v>2293.6</v>
      </c>
      <c r="G1527" s="7">
        <v>2752.4</v>
      </c>
      <c r="H1527" s="6">
        <f>(G1527-F1527)</f>
        <v>458.8000000000002</v>
      </c>
      <c r="I1527" s="6" t="s">
        <v>24</v>
      </c>
      <c r="J1527" s="6" t="s">
        <v>48</v>
      </c>
    </row>
    <row r="1528" spans="1:10" ht="23" customHeight="1">
      <c r="A1528" s="6" t="s">
        <v>29</v>
      </c>
      <c r="B1528" s="6">
        <v>6</v>
      </c>
      <c r="C1528" s="6" t="s">
        <v>30</v>
      </c>
      <c r="D1528" s="6">
        <v>157</v>
      </c>
      <c r="E1528" s="6" t="s">
        <v>34</v>
      </c>
      <c r="F1528" s="6">
        <v>2293.6</v>
      </c>
      <c r="G1528" s="7">
        <v>2752.4</v>
      </c>
      <c r="H1528" s="6">
        <f>(G1528-F1528)</f>
        <v>458.8000000000002</v>
      </c>
      <c r="I1528" s="6" t="s">
        <v>24</v>
      </c>
      <c r="J1528" s="6" t="s">
        <v>48</v>
      </c>
    </row>
    <row r="1529" spans="1:10" ht="23" customHeight="1">
      <c r="A1529" s="6" t="s">
        <v>29</v>
      </c>
      <c r="B1529" s="6">
        <v>6</v>
      </c>
      <c r="C1529" s="6" t="s">
        <v>30</v>
      </c>
      <c r="D1529" s="6">
        <v>157</v>
      </c>
      <c r="E1529" s="6" t="s">
        <v>35</v>
      </c>
      <c r="F1529" s="6">
        <v>218435</v>
      </c>
      <c r="G1529" s="7">
        <v>218438</v>
      </c>
      <c r="H1529" s="6">
        <f>(G1529-F1529)</f>
        <v>3.0</v>
      </c>
      <c r="I1529" s="6" t="s">
        <v>24</v>
      </c>
      <c r="J1529" s="6" t="s">
        <v>48</v>
      </c>
    </row>
    <row r="1530" spans="1:10" ht="23" customHeight="1">
      <c r="A1530" s="6" t="s">
        <v>29</v>
      </c>
      <c r="B1530" s="6">
        <v>6</v>
      </c>
      <c r="C1530" s="6" t="s">
        <v>30</v>
      </c>
      <c r="D1530" s="6">
        <v>157</v>
      </c>
      <c r="E1530" s="6" t="s">
        <v>36</v>
      </c>
      <c r="F1530" s="6">
        <v>2293.6</v>
      </c>
      <c r="G1530" s="7">
        <v>2752.4</v>
      </c>
      <c r="H1530" s="6">
        <f>(G1530-F1530)</f>
        <v>458.8000000000002</v>
      </c>
      <c r="I1530" s="6" t="s">
        <v>24</v>
      </c>
      <c r="J1530" s="6" t="s">
        <v>48</v>
      </c>
    </row>
    <row r="1531" spans="1:10" ht="23" customHeight="1">
      <c r="A1531" s="6" t="s">
        <v>29</v>
      </c>
      <c r="B1531" s="6">
        <v>6</v>
      </c>
      <c r="C1531" s="6" t="s">
        <v>30</v>
      </c>
      <c r="D1531" s="6">
        <v>157</v>
      </c>
      <c r="E1531" s="6" t="s">
        <v>37</v>
      </c>
      <c r="F1531" s="6">
        <v>2293.6</v>
      </c>
      <c r="G1531" s="7">
        <v>2752.4</v>
      </c>
      <c r="H1531" s="6">
        <f>(G1531-F1531)</f>
        <v>458.8000000000002</v>
      </c>
      <c r="I1531" s="6" t="s">
        <v>24</v>
      </c>
      <c r="J1531" s="6" t="s">
        <v>48</v>
      </c>
    </row>
    <row r="1532" spans="1:10" ht="23" customHeight="1">
      <c r="A1532" s="6" t="s">
        <v>29</v>
      </c>
      <c r="B1532" s="6">
        <v>6</v>
      </c>
      <c r="C1532" s="6" t="s">
        <v>30</v>
      </c>
      <c r="D1532" s="6">
        <v>157</v>
      </c>
      <c r="E1532" s="6" t="s">
        <v>38</v>
      </c>
      <c r="F1532" s="6">
        <v>218435</v>
      </c>
      <c r="G1532" s="7">
        <v>218438</v>
      </c>
      <c r="H1532" s="6">
        <f>(G1532-F1532)</f>
        <v>3.0</v>
      </c>
      <c r="I1532" s="6" t="s">
        <v>24</v>
      </c>
      <c r="J1532" s="6" t="s">
        <v>48</v>
      </c>
    </row>
    <row r="1533" spans="1:10" ht="23" customHeight="1">
      <c r="A1533" s="6" t="s">
        <v>29</v>
      </c>
      <c r="B1533" s="6">
        <v>6</v>
      </c>
      <c r="C1533" s="6" t="s">
        <v>30</v>
      </c>
      <c r="D1533" s="6">
        <v>157</v>
      </c>
      <c r="E1533" s="6" t="s">
        <v>39</v>
      </c>
      <c r="F1533" s="6">
        <v>218435</v>
      </c>
      <c r="G1533" s="7">
        <v>218438</v>
      </c>
      <c r="H1533" s="6">
        <f>(G1533-F1533)</f>
        <v>3.0</v>
      </c>
      <c r="I1533" s="6" t="s">
        <v>24</v>
      </c>
      <c r="J1533" s="6" t="s">
        <v>48</v>
      </c>
    </row>
    <row r="1534" spans="1:10" ht="23" customHeight="1">
      <c r="A1534" s="6" t="s">
        <v>29</v>
      </c>
      <c r="B1534" s="6">
        <v>6</v>
      </c>
      <c r="C1534" s="6" t="s">
        <v>30</v>
      </c>
      <c r="D1534" s="6">
        <v>157</v>
      </c>
      <c r="E1534" s="6" t="s">
        <v>40</v>
      </c>
      <c r="F1534" s="6">
        <v>218435</v>
      </c>
      <c r="G1534" s="7">
        <v>218438</v>
      </c>
      <c r="H1534" s="6">
        <f>(G1534-F1534)</f>
        <v>3.0</v>
      </c>
      <c r="I1534" s="6" t="s">
        <v>24</v>
      </c>
      <c r="J1534" s="6" t="s">
        <v>48</v>
      </c>
    </row>
    <row r="1535" spans="1:10" ht="23" customHeight="1">
      <c r="A1535" s="6" t="s">
        <v>29</v>
      </c>
      <c r="B1535" s="6">
        <v>6</v>
      </c>
      <c r="C1535" s="6" t="s">
        <v>30</v>
      </c>
      <c r="D1535" s="6">
        <v>157</v>
      </c>
      <c r="E1535" s="6" t="s">
        <v>41</v>
      </c>
      <c r="F1535" s="6">
        <v>218435</v>
      </c>
      <c r="G1535" s="7">
        <v>218438</v>
      </c>
      <c r="H1535" s="6">
        <f>(G1535-F1535)</f>
        <v>3.0</v>
      </c>
      <c r="I1535" s="6" t="s">
        <v>24</v>
      </c>
      <c r="J1535" s="6" t="s">
        <v>48</v>
      </c>
    </row>
    <row r="1536" spans="1:10" ht="23" customHeight="1">
      <c r="A1536" s="6" t="s">
        <v>29</v>
      </c>
      <c r="B1536" s="6">
        <v>6</v>
      </c>
      <c r="C1536" s="6" t="s">
        <v>30</v>
      </c>
      <c r="D1536" s="6">
        <v>158</v>
      </c>
      <c r="E1536" s="6" t="s">
        <v>31</v>
      </c>
      <c r="F1536" s="6">
        <v>218435</v>
      </c>
      <c r="G1536" s="7">
        <v>218438</v>
      </c>
      <c r="H1536" s="6">
        <f>(G1536-F1536)</f>
        <v>3.0</v>
      </c>
      <c r="I1536" s="6" t="s">
        <v>24</v>
      </c>
      <c r="J1536" s="6" t="s">
        <v>48</v>
      </c>
    </row>
    <row r="1537" spans="1:10" ht="23" customHeight="1">
      <c r="A1537" s="6" t="s">
        <v>29</v>
      </c>
      <c r="B1537" s="6">
        <v>6</v>
      </c>
      <c r="C1537" s="6" t="s">
        <v>30</v>
      </c>
      <c r="D1537" s="6">
        <v>158</v>
      </c>
      <c r="E1537" s="6" t="s">
        <v>32</v>
      </c>
      <c r="F1537" s="6">
        <v>2293.6</v>
      </c>
      <c r="G1537" s="7">
        <v>2752.4</v>
      </c>
      <c r="H1537" s="6">
        <f>(G1537-F1537)</f>
        <v>458.8000000000002</v>
      </c>
      <c r="I1537" s="6" t="s">
        <v>24</v>
      </c>
      <c r="J1537" s="6" t="s">
        <v>48</v>
      </c>
    </row>
    <row r="1538" spans="1:10" ht="23" customHeight="1">
      <c r="A1538" s="6" t="s">
        <v>29</v>
      </c>
      <c r="B1538" s="6">
        <v>6</v>
      </c>
      <c r="C1538" s="6" t="s">
        <v>30</v>
      </c>
      <c r="D1538" s="6">
        <v>158</v>
      </c>
      <c r="E1538" s="6" t="s">
        <v>34</v>
      </c>
      <c r="F1538" s="6">
        <v>2293.6</v>
      </c>
      <c r="G1538" s="7">
        <v>2752.4</v>
      </c>
      <c r="H1538" s="6">
        <f>(G1538-F1538)</f>
        <v>458.8000000000002</v>
      </c>
      <c r="I1538" s="6" t="s">
        <v>24</v>
      </c>
      <c r="J1538" s="6" t="s">
        <v>48</v>
      </c>
    </row>
    <row r="1539" spans="1:10" ht="23" customHeight="1">
      <c r="A1539" s="6" t="s">
        <v>29</v>
      </c>
      <c r="B1539" s="6">
        <v>6</v>
      </c>
      <c r="C1539" s="6" t="s">
        <v>30</v>
      </c>
      <c r="D1539" s="6">
        <v>158</v>
      </c>
      <c r="E1539" s="6" t="s">
        <v>35</v>
      </c>
      <c r="F1539" s="6">
        <v>218435</v>
      </c>
      <c r="G1539" s="7">
        <v>218438</v>
      </c>
      <c r="H1539" s="6">
        <f>(G1539-F1539)</f>
        <v>3.0</v>
      </c>
      <c r="I1539" s="6" t="s">
        <v>24</v>
      </c>
      <c r="J1539" s="6" t="s">
        <v>48</v>
      </c>
    </row>
    <row r="1540" spans="1:10" ht="23" customHeight="1">
      <c r="A1540" s="6" t="s">
        <v>29</v>
      </c>
      <c r="B1540" s="6">
        <v>6</v>
      </c>
      <c r="C1540" s="6" t="s">
        <v>30</v>
      </c>
      <c r="D1540" s="6">
        <v>158</v>
      </c>
      <c r="E1540" s="6" t="s">
        <v>36</v>
      </c>
      <c r="F1540" s="6">
        <v>2293.6</v>
      </c>
      <c r="G1540" s="7">
        <v>2752.4</v>
      </c>
      <c r="H1540" s="6">
        <f>(G1540-F1540)</f>
        <v>458.8000000000002</v>
      </c>
      <c r="I1540" s="6" t="s">
        <v>24</v>
      </c>
      <c r="J1540" s="6" t="s">
        <v>48</v>
      </c>
    </row>
    <row r="1541" spans="1:10" ht="23" customHeight="1">
      <c r="A1541" s="6" t="s">
        <v>29</v>
      </c>
      <c r="B1541" s="6">
        <v>6</v>
      </c>
      <c r="C1541" s="6" t="s">
        <v>30</v>
      </c>
      <c r="D1541" s="6">
        <v>158</v>
      </c>
      <c r="E1541" s="6" t="s">
        <v>37</v>
      </c>
      <c r="F1541" s="6">
        <v>2293.6</v>
      </c>
      <c r="G1541" s="7">
        <v>2752.4</v>
      </c>
      <c r="H1541" s="6">
        <f>(G1541-F1541)</f>
        <v>458.8000000000002</v>
      </c>
      <c r="I1541" s="6" t="s">
        <v>24</v>
      </c>
      <c r="J1541" s="6" t="s">
        <v>48</v>
      </c>
    </row>
    <row r="1542" spans="1:10" ht="23" customHeight="1">
      <c r="A1542" s="6" t="s">
        <v>29</v>
      </c>
      <c r="B1542" s="6">
        <v>6</v>
      </c>
      <c r="C1542" s="6" t="s">
        <v>30</v>
      </c>
      <c r="D1542" s="6">
        <v>158</v>
      </c>
      <c r="E1542" s="6" t="s">
        <v>38</v>
      </c>
      <c r="F1542" s="6">
        <v>218435</v>
      </c>
      <c r="G1542" s="7">
        <v>218438</v>
      </c>
      <c r="H1542" s="6">
        <f>(G1542-F1542)</f>
        <v>3.0</v>
      </c>
      <c r="I1542" s="6" t="s">
        <v>24</v>
      </c>
      <c r="J1542" s="6" t="s">
        <v>48</v>
      </c>
    </row>
    <row r="1543" spans="1:10" ht="23" customHeight="1">
      <c r="A1543" s="6" t="s">
        <v>29</v>
      </c>
      <c r="B1543" s="6">
        <v>6</v>
      </c>
      <c r="C1543" s="6" t="s">
        <v>30</v>
      </c>
      <c r="D1543" s="6">
        <v>158</v>
      </c>
      <c r="E1543" s="6" t="s">
        <v>39</v>
      </c>
      <c r="F1543" s="6">
        <v>218435</v>
      </c>
      <c r="G1543" s="7">
        <v>218438</v>
      </c>
      <c r="H1543" s="6">
        <f>(G1543-F1543)</f>
        <v>3.0</v>
      </c>
      <c r="I1543" s="6" t="s">
        <v>24</v>
      </c>
      <c r="J1543" s="6" t="s">
        <v>48</v>
      </c>
    </row>
    <row r="1544" spans="1:10" ht="23" customHeight="1">
      <c r="A1544" s="6" t="s">
        <v>29</v>
      </c>
      <c r="B1544" s="6">
        <v>6</v>
      </c>
      <c r="C1544" s="6" t="s">
        <v>30</v>
      </c>
      <c r="D1544" s="6">
        <v>158</v>
      </c>
      <c r="E1544" s="6" t="s">
        <v>40</v>
      </c>
      <c r="F1544" s="6">
        <v>218435</v>
      </c>
      <c r="G1544" s="7">
        <v>218438</v>
      </c>
      <c r="H1544" s="6">
        <f>(G1544-F1544)</f>
        <v>3.0</v>
      </c>
      <c r="I1544" s="6" t="s">
        <v>24</v>
      </c>
      <c r="J1544" s="6" t="s">
        <v>48</v>
      </c>
    </row>
    <row r="1545" spans="1:10" ht="23" customHeight="1">
      <c r="A1545" s="6" t="s">
        <v>29</v>
      </c>
      <c r="B1545" s="6">
        <v>6</v>
      </c>
      <c r="C1545" s="6" t="s">
        <v>30</v>
      </c>
      <c r="D1545" s="6">
        <v>158</v>
      </c>
      <c r="E1545" s="6" t="s">
        <v>41</v>
      </c>
      <c r="F1545" s="6">
        <v>218435</v>
      </c>
      <c r="G1545" s="7">
        <v>218438</v>
      </c>
      <c r="H1545" s="6">
        <f>(G1545-F1545)</f>
        <v>3.0</v>
      </c>
      <c r="I1545" s="6" t="s">
        <v>24</v>
      </c>
      <c r="J1545" s="6" t="s">
        <v>48</v>
      </c>
    </row>
    <row r="1546" spans="1:10" ht="23" customHeight="1">
      <c r="A1546" s="6" t="s">
        <v>29</v>
      </c>
      <c r="B1546" s="6">
        <v>6</v>
      </c>
      <c r="C1546" s="6" t="s">
        <v>30</v>
      </c>
      <c r="D1546" s="6">
        <v>159</v>
      </c>
      <c r="E1546" s="6" t="s">
        <v>31</v>
      </c>
      <c r="F1546" s="6">
        <v>218435</v>
      </c>
      <c r="G1546" s="7">
        <v>218438</v>
      </c>
      <c r="H1546" s="6">
        <f>(G1546-F1546)</f>
        <v>3.0</v>
      </c>
      <c r="I1546" s="6" t="s">
        <v>24</v>
      </c>
      <c r="J1546" s="6" t="s">
        <v>48</v>
      </c>
    </row>
    <row r="1547" spans="1:10" ht="23" customHeight="1">
      <c r="A1547" s="6" t="s">
        <v>29</v>
      </c>
      <c r="B1547" s="6">
        <v>6</v>
      </c>
      <c r="C1547" s="6" t="s">
        <v>30</v>
      </c>
      <c r="D1547" s="6">
        <v>159</v>
      </c>
      <c r="E1547" s="6" t="s">
        <v>32</v>
      </c>
      <c r="F1547" s="6">
        <v>2293.6</v>
      </c>
      <c r="G1547" s="7">
        <v>2752.4</v>
      </c>
      <c r="H1547" s="6">
        <f>(G1547-F1547)</f>
        <v>458.8000000000002</v>
      </c>
      <c r="I1547" s="6" t="s">
        <v>24</v>
      </c>
      <c r="J1547" s="6" t="s">
        <v>48</v>
      </c>
    </row>
    <row r="1548" spans="1:10" ht="23" customHeight="1">
      <c r="A1548" s="6" t="s">
        <v>29</v>
      </c>
      <c r="B1548" s="6">
        <v>6</v>
      </c>
      <c r="C1548" s="6" t="s">
        <v>30</v>
      </c>
      <c r="D1548" s="6">
        <v>159</v>
      </c>
      <c r="E1548" s="6" t="s">
        <v>34</v>
      </c>
      <c r="F1548" s="6">
        <v>2293.6</v>
      </c>
      <c r="G1548" s="7">
        <v>2752.4</v>
      </c>
      <c r="H1548" s="6">
        <f>(G1548-F1548)</f>
        <v>458.8000000000002</v>
      </c>
      <c r="I1548" s="6" t="s">
        <v>24</v>
      </c>
      <c r="J1548" s="6" t="s">
        <v>48</v>
      </c>
    </row>
    <row r="1549" spans="1:10" ht="23" customHeight="1">
      <c r="A1549" s="6" t="s">
        <v>29</v>
      </c>
      <c r="B1549" s="6">
        <v>6</v>
      </c>
      <c r="C1549" s="6" t="s">
        <v>30</v>
      </c>
      <c r="D1549" s="6">
        <v>159</v>
      </c>
      <c r="E1549" s="6" t="s">
        <v>35</v>
      </c>
      <c r="F1549" s="6">
        <v>218435</v>
      </c>
      <c r="G1549" s="7">
        <v>218438</v>
      </c>
      <c r="H1549" s="6">
        <f>(G1549-F1549)</f>
        <v>3.0</v>
      </c>
      <c r="I1549" s="6" t="s">
        <v>24</v>
      </c>
      <c r="J1549" s="6" t="s">
        <v>48</v>
      </c>
    </row>
    <row r="1550" spans="1:10" ht="23" customHeight="1">
      <c r="A1550" s="6" t="s">
        <v>29</v>
      </c>
      <c r="B1550" s="6">
        <v>6</v>
      </c>
      <c r="C1550" s="6" t="s">
        <v>30</v>
      </c>
      <c r="D1550" s="6">
        <v>159</v>
      </c>
      <c r="E1550" s="6" t="s">
        <v>36</v>
      </c>
      <c r="F1550" s="6">
        <v>2293.6</v>
      </c>
      <c r="G1550" s="7">
        <v>2752.4</v>
      </c>
      <c r="H1550" s="6">
        <f>(G1550-F1550)</f>
        <v>458.8000000000002</v>
      </c>
      <c r="I1550" s="6" t="s">
        <v>24</v>
      </c>
      <c r="J1550" s="6" t="s">
        <v>48</v>
      </c>
    </row>
    <row r="1551" spans="1:10" ht="23" customHeight="1">
      <c r="A1551" s="6" t="s">
        <v>29</v>
      </c>
      <c r="B1551" s="6">
        <v>6</v>
      </c>
      <c r="C1551" s="6" t="s">
        <v>30</v>
      </c>
      <c r="D1551" s="6">
        <v>159</v>
      </c>
      <c r="E1551" s="6" t="s">
        <v>37</v>
      </c>
      <c r="F1551" s="6">
        <v>2293.6</v>
      </c>
      <c r="G1551" s="7">
        <v>2752.4</v>
      </c>
      <c r="H1551" s="6">
        <f>(G1551-F1551)</f>
        <v>458.8000000000002</v>
      </c>
      <c r="I1551" s="6" t="s">
        <v>24</v>
      </c>
      <c r="J1551" s="6" t="s">
        <v>48</v>
      </c>
    </row>
    <row r="1552" spans="1:10" ht="23" customHeight="1">
      <c r="A1552" s="6" t="s">
        <v>29</v>
      </c>
      <c r="B1552" s="6">
        <v>6</v>
      </c>
      <c r="C1552" s="6" t="s">
        <v>30</v>
      </c>
      <c r="D1552" s="6">
        <v>159</v>
      </c>
      <c r="E1552" s="6" t="s">
        <v>38</v>
      </c>
      <c r="F1552" s="6">
        <v>218435</v>
      </c>
      <c r="G1552" s="7">
        <v>218438</v>
      </c>
      <c r="H1552" s="6">
        <f>(G1552-F1552)</f>
        <v>3.0</v>
      </c>
      <c r="I1552" s="6" t="s">
        <v>24</v>
      </c>
      <c r="J1552" s="6" t="s">
        <v>48</v>
      </c>
    </row>
    <row r="1553" spans="1:10" ht="23" customHeight="1">
      <c r="A1553" s="6" t="s">
        <v>29</v>
      </c>
      <c r="B1553" s="6">
        <v>6</v>
      </c>
      <c r="C1553" s="6" t="s">
        <v>30</v>
      </c>
      <c r="D1553" s="6">
        <v>159</v>
      </c>
      <c r="E1553" s="6" t="s">
        <v>39</v>
      </c>
      <c r="F1553" s="6">
        <v>218435</v>
      </c>
      <c r="G1553" s="7">
        <v>218438</v>
      </c>
      <c r="H1553" s="6">
        <f>(G1553-F1553)</f>
        <v>3.0</v>
      </c>
      <c r="I1553" s="6" t="s">
        <v>24</v>
      </c>
      <c r="J1553" s="6" t="s">
        <v>48</v>
      </c>
    </row>
    <row r="1554" spans="1:10" ht="23" customHeight="1">
      <c r="A1554" s="6" t="s">
        <v>29</v>
      </c>
      <c r="B1554" s="6">
        <v>6</v>
      </c>
      <c r="C1554" s="6" t="s">
        <v>30</v>
      </c>
      <c r="D1554" s="6">
        <v>159</v>
      </c>
      <c r="E1554" s="6" t="s">
        <v>40</v>
      </c>
      <c r="F1554" s="6">
        <v>218435</v>
      </c>
      <c r="G1554" s="7">
        <v>218438</v>
      </c>
      <c r="H1554" s="6">
        <f>(G1554-F1554)</f>
        <v>3.0</v>
      </c>
      <c r="I1554" s="6" t="s">
        <v>24</v>
      </c>
      <c r="J1554" s="6" t="s">
        <v>48</v>
      </c>
    </row>
    <row r="1555" spans="1:10" ht="23" customHeight="1">
      <c r="A1555" s="6" t="s">
        <v>29</v>
      </c>
      <c r="B1555" s="6">
        <v>6</v>
      </c>
      <c r="C1555" s="6" t="s">
        <v>30</v>
      </c>
      <c r="D1555" s="6">
        <v>159</v>
      </c>
      <c r="E1555" s="6" t="s">
        <v>41</v>
      </c>
      <c r="F1555" s="6">
        <v>218435</v>
      </c>
      <c r="G1555" s="7">
        <v>218438</v>
      </c>
      <c r="H1555" s="6">
        <f>(G1555-F1555)</f>
        <v>3.0</v>
      </c>
      <c r="I1555" s="6" t="s">
        <v>24</v>
      </c>
      <c r="J1555" s="6" t="s">
        <v>48</v>
      </c>
    </row>
    <row r="1556" spans="1:10" ht="23" customHeight="1">
      <c r="A1556" s="6" t="s">
        <v>29</v>
      </c>
      <c r="B1556" s="6">
        <v>6</v>
      </c>
      <c r="C1556" s="6" t="s">
        <v>30</v>
      </c>
      <c r="D1556" s="6">
        <v>160</v>
      </c>
      <c r="E1556" s="6" t="s">
        <v>31</v>
      </c>
      <c r="F1556" s="6">
        <v>218435</v>
      </c>
      <c r="G1556" s="7">
        <v>218438</v>
      </c>
      <c r="H1556" s="6">
        <f>(G1556-F1556)</f>
        <v>3.0</v>
      </c>
      <c r="I1556" s="6" t="s">
        <v>24</v>
      </c>
      <c r="J1556" s="6" t="s">
        <v>48</v>
      </c>
    </row>
    <row r="1557" spans="1:10" ht="23" customHeight="1">
      <c r="A1557" s="6" t="s">
        <v>29</v>
      </c>
      <c r="B1557" s="6">
        <v>6</v>
      </c>
      <c r="C1557" s="6" t="s">
        <v>30</v>
      </c>
      <c r="D1557" s="6">
        <v>160</v>
      </c>
      <c r="E1557" s="6" t="s">
        <v>32</v>
      </c>
      <c r="F1557" s="6">
        <v>2293.6</v>
      </c>
      <c r="G1557" s="7">
        <v>2752.4</v>
      </c>
      <c r="H1557" s="6">
        <f>(G1557-F1557)</f>
        <v>458.8000000000002</v>
      </c>
      <c r="I1557" s="6" t="s">
        <v>24</v>
      </c>
      <c r="J1557" s="6" t="s">
        <v>48</v>
      </c>
    </row>
    <row r="1558" spans="1:10" ht="23" customHeight="1">
      <c r="A1558" s="6" t="s">
        <v>29</v>
      </c>
      <c r="B1558" s="6">
        <v>6</v>
      </c>
      <c r="C1558" s="6" t="s">
        <v>30</v>
      </c>
      <c r="D1558" s="6">
        <v>160</v>
      </c>
      <c r="E1558" s="6" t="s">
        <v>34</v>
      </c>
      <c r="F1558" s="6">
        <v>2293.6</v>
      </c>
      <c r="G1558" s="7">
        <v>2752.4</v>
      </c>
      <c r="H1558" s="6">
        <f>(G1558-F1558)</f>
        <v>458.8000000000002</v>
      </c>
      <c r="I1558" s="6" t="s">
        <v>24</v>
      </c>
      <c r="J1558" s="6" t="s">
        <v>48</v>
      </c>
    </row>
    <row r="1559" spans="1:10" ht="23" customHeight="1">
      <c r="A1559" s="6" t="s">
        <v>29</v>
      </c>
      <c r="B1559" s="6">
        <v>6</v>
      </c>
      <c r="C1559" s="6" t="s">
        <v>30</v>
      </c>
      <c r="D1559" s="6">
        <v>160</v>
      </c>
      <c r="E1559" s="6" t="s">
        <v>35</v>
      </c>
      <c r="F1559" s="6">
        <v>218435</v>
      </c>
      <c r="G1559" s="7">
        <v>218438</v>
      </c>
      <c r="H1559" s="6">
        <f>(G1559-F1559)</f>
        <v>3.0</v>
      </c>
      <c r="I1559" s="6" t="s">
        <v>24</v>
      </c>
      <c r="J1559" s="6" t="s">
        <v>48</v>
      </c>
    </row>
    <row r="1560" spans="1:10" ht="23" customHeight="1">
      <c r="A1560" s="6" t="s">
        <v>29</v>
      </c>
      <c r="B1560" s="6">
        <v>6</v>
      </c>
      <c r="C1560" s="6" t="s">
        <v>30</v>
      </c>
      <c r="D1560" s="6">
        <v>160</v>
      </c>
      <c r="E1560" s="6" t="s">
        <v>36</v>
      </c>
      <c r="F1560" s="6">
        <v>2293.6</v>
      </c>
      <c r="G1560" s="7">
        <v>2752.4</v>
      </c>
      <c r="H1560" s="6">
        <f>(G1560-F1560)</f>
        <v>458.8000000000002</v>
      </c>
      <c r="I1560" s="6" t="s">
        <v>24</v>
      </c>
      <c r="J1560" s="6" t="s">
        <v>48</v>
      </c>
    </row>
    <row r="1561" spans="1:10" ht="23" customHeight="1">
      <c r="A1561" s="6" t="s">
        <v>29</v>
      </c>
      <c r="B1561" s="6">
        <v>6</v>
      </c>
      <c r="C1561" s="6" t="s">
        <v>30</v>
      </c>
      <c r="D1561" s="6">
        <v>160</v>
      </c>
      <c r="E1561" s="6" t="s">
        <v>37</v>
      </c>
      <c r="F1561" s="6">
        <v>2293.6</v>
      </c>
      <c r="G1561" s="7">
        <v>2752.4</v>
      </c>
      <c r="H1561" s="6">
        <f>(G1561-F1561)</f>
        <v>458.8000000000002</v>
      </c>
      <c r="I1561" s="6" t="s">
        <v>24</v>
      </c>
      <c r="J1561" s="6" t="s">
        <v>48</v>
      </c>
    </row>
    <row r="1562" spans="1:10" ht="23" customHeight="1">
      <c r="A1562" s="6" t="s">
        <v>29</v>
      </c>
      <c r="B1562" s="6">
        <v>6</v>
      </c>
      <c r="C1562" s="6" t="s">
        <v>30</v>
      </c>
      <c r="D1562" s="6">
        <v>160</v>
      </c>
      <c r="E1562" s="6" t="s">
        <v>38</v>
      </c>
      <c r="F1562" s="6">
        <v>218435</v>
      </c>
      <c r="G1562" s="7">
        <v>218438</v>
      </c>
      <c r="H1562" s="6">
        <f>(G1562-F1562)</f>
        <v>3.0</v>
      </c>
      <c r="I1562" s="6" t="s">
        <v>24</v>
      </c>
      <c r="J1562" s="6" t="s">
        <v>48</v>
      </c>
    </row>
    <row r="1563" spans="1:10" ht="23" customHeight="1">
      <c r="A1563" s="6" t="s">
        <v>29</v>
      </c>
      <c r="B1563" s="6">
        <v>6</v>
      </c>
      <c r="C1563" s="6" t="s">
        <v>30</v>
      </c>
      <c r="D1563" s="6">
        <v>160</v>
      </c>
      <c r="E1563" s="6" t="s">
        <v>39</v>
      </c>
      <c r="F1563" s="6">
        <v>218435</v>
      </c>
      <c r="G1563" s="7">
        <v>218438</v>
      </c>
      <c r="H1563" s="6">
        <f>(G1563-F1563)</f>
        <v>3.0</v>
      </c>
      <c r="I1563" s="6" t="s">
        <v>24</v>
      </c>
      <c r="J1563" s="6" t="s">
        <v>48</v>
      </c>
    </row>
    <row r="1564" spans="1:10" ht="23" customHeight="1">
      <c r="A1564" s="6" t="s">
        <v>29</v>
      </c>
      <c r="B1564" s="6">
        <v>6</v>
      </c>
      <c r="C1564" s="6" t="s">
        <v>30</v>
      </c>
      <c r="D1564" s="6">
        <v>160</v>
      </c>
      <c r="E1564" s="6" t="s">
        <v>40</v>
      </c>
      <c r="F1564" s="6">
        <v>218435</v>
      </c>
      <c r="G1564" s="7">
        <v>218438</v>
      </c>
      <c r="H1564" s="6">
        <f>(G1564-F1564)</f>
        <v>3.0</v>
      </c>
      <c r="I1564" s="6" t="s">
        <v>24</v>
      </c>
      <c r="J1564" s="6" t="s">
        <v>48</v>
      </c>
    </row>
    <row r="1565" spans="1:10" ht="23" customHeight="1">
      <c r="A1565" s="6" t="s">
        <v>29</v>
      </c>
      <c r="B1565" s="6">
        <v>6</v>
      </c>
      <c r="C1565" s="6" t="s">
        <v>30</v>
      </c>
      <c r="D1565" s="6">
        <v>160</v>
      </c>
      <c r="E1565" s="6" t="s">
        <v>41</v>
      </c>
      <c r="F1565" s="6">
        <v>218435</v>
      </c>
      <c r="G1565" s="7">
        <v>218438</v>
      </c>
      <c r="H1565" s="6">
        <f>(G1565-F1565)</f>
        <v>3.0</v>
      </c>
      <c r="I1565" s="6" t="s">
        <v>24</v>
      </c>
      <c r="J1565" s="6" t="s">
        <v>48</v>
      </c>
    </row>
    <row r="1566" spans="1:10" ht="23" customHeight="1">
      <c r="A1566" s="6" t="s">
        <v>29</v>
      </c>
      <c r="B1566" s="6">
        <v>6</v>
      </c>
      <c r="C1566" s="6" t="s">
        <v>30</v>
      </c>
      <c r="D1566" s="6">
        <v>161</v>
      </c>
      <c r="E1566" s="6" t="s">
        <v>31</v>
      </c>
      <c r="F1566" s="6">
        <v>218435</v>
      </c>
      <c r="G1566" s="7">
        <v>218438</v>
      </c>
      <c r="H1566" s="6">
        <f>(G1566-F1566)</f>
        <v>3.0</v>
      </c>
      <c r="I1566" s="6" t="s">
        <v>24</v>
      </c>
      <c r="J1566" s="6" t="s">
        <v>48</v>
      </c>
    </row>
    <row r="1567" spans="1:10" ht="23" customHeight="1">
      <c r="A1567" s="6" t="s">
        <v>29</v>
      </c>
      <c r="B1567" s="6">
        <v>6</v>
      </c>
      <c r="C1567" s="6" t="s">
        <v>30</v>
      </c>
      <c r="D1567" s="6">
        <v>161</v>
      </c>
      <c r="E1567" s="6" t="s">
        <v>32</v>
      </c>
      <c r="F1567" s="6">
        <v>2293.6</v>
      </c>
      <c r="G1567" s="7">
        <v>2752.4</v>
      </c>
      <c r="H1567" s="6">
        <f>(G1567-F1567)</f>
        <v>458.8000000000002</v>
      </c>
      <c r="I1567" s="6" t="s">
        <v>24</v>
      </c>
      <c r="J1567" s="6" t="s">
        <v>48</v>
      </c>
    </row>
    <row r="1568" spans="1:10" ht="23" customHeight="1">
      <c r="A1568" s="6" t="s">
        <v>29</v>
      </c>
      <c r="B1568" s="6">
        <v>6</v>
      </c>
      <c r="C1568" s="6" t="s">
        <v>30</v>
      </c>
      <c r="D1568" s="6">
        <v>161</v>
      </c>
      <c r="E1568" s="6" t="s">
        <v>34</v>
      </c>
      <c r="F1568" s="6">
        <v>2293.6</v>
      </c>
      <c r="G1568" s="7">
        <v>2752.4</v>
      </c>
      <c r="H1568" s="6">
        <f>(G1568-F1568)</f>
        <v>458.8000000000002</v>
      </c>
      <c r="I1568" s="6" t="s">
        <v>24</v>
      </c>
      <c r="J1568" s="6" t="s">
        <v>48</v>
      </c>
    </row>
    <row r="1569" spans="1:10" ht="23" customHeight="1">
      <c r="A1569" s="6" t="s">
        <v>29</v>
      </c>
      <c r="B1569" s="6">
        <v>6</v>
      </c>
      <c r="C1569" s="6" t="s">
        <v>30</v>
      </c>
      <c r="D1569" s="6">
        <v>161</v>
      </c>
      <c r="E1569" s="6" t="s">
        <v>35</v>
      </c>
      <c r="F1569" s="6">
        <v>218435</v>
      </c>
      <c r="G1569" s="7">
        <v>218438</v>
      </c>
      <c r="H1569" s="6">
        <f>(G1569-F1569)</f>
        <v>3.0</v>
      </c>
      <c r="I1569" s="6" t="s">
        <v>24</v>
      </c>
      <c r="J1569" s="6" t="s">
        <v>48</v>
      </c>
    </row>
    <row r="1570" spans="1:10" ht="23" customHeight="1">
      <c r="A1570" s="6" t="s">
        <v>29</v>
      </c>
      <c r="B1570" s="6">
        <v>6</v>
      </c>
      <c r="C1570" s="6" t="s">
        <v>30</v>
      </c>
      <c r="D1570" s="6">
        <v>161</v>
      </c>
      <c r="E1570" s="6" t="s">
        <v>36</v>
      </c>
      <c r="F1570" s="6">
        <v>2293.6</v>
      </c>
      <c r="G1570" s="7">
        <v>2752.4</v>
      </c>
      <c r="H1570" s="6">
        <f>(G1570-F1570)</f>
        <v>458.8000000000002</v>
      </c>
      <c r="I1570" s="6" t="s">
        <v>24</v>
      </c>
      <c r="J1570" s="6" t="s">
        <v>48</v>
      </c>
    </row>
    <row r="1571" spans="1:10" ht="23" customHeight="1">
      <c r="A1571" s="6" t="s">
        <v>29</v>
      </c>
      <c r="B1571" s="6">
        <v>6</v>
      </c>
      <c r="C1571" s="6" t="s">
        <v>30</v>
      </c>
      <c r="D1571" s="6">
        <v>161</v>
      </c>
      <c r="E1571" s="6" t="s">
        <v>37</v>
      </c>
      <c r="F1571" s="6">
        <v>2293.6</v>
      </c>
      <c r="G1571" s="7">
        <v>2752.4</v>
      </c>
      <c r="H1571" s="6">
        <f>(G1571-F1571)</f>
        <v>458.8000000000002</v>
      </c>
      <c r="I1571" s="6" t="s">
        <v>24</v>
      </c>
      <c r="J1571" s="6" t="s">
        <v>48</v>
      </c>
    </row>
    <row r="1572" spans="1:10" ht="23" customHeight="1">
      <c r="A1572" s="6" t="s">
        <v>29</v>
      </c>
      <c r="B1572" s="6">
        <v>6</v>
      </c>
      <c r="C1572" s="6" t="s">
        <v>30</v>
      </c>
      <c r="D1572" s="6">
        <v>161</v>
      </c>
      <c r="E1572" s="6" t="s">
        <v>38</v>
      </c>
      <c r="F1572" s="6">
        <v>218435</v>
      </c>
      <c r="G1572" s="7">
        <v>218438</v>
      </c>
      <c r="H1572" s="6">
        <f>(G1572-F1572)</f>
        <v>3.0</v>
      </c>
      <c r="I1572" s="6" t="s">
        <v>24</v>
      </c>
      <c r="J1572" s="6" t="s">
        <v>48</v>
      </c>
    </row>
    <row r="1573" spans="1:10" ht="23" customHeight="1">
      <c r="A1573" s="6" t="s">
        <v>29</v>
      </c>
      <c r="B1573" s="6">
        <v>6</v>
      </c>
      <c r="C1573" s="6" t="s">
        <v>30</v>
      </c>
      <c r="D1573" s="6">
        <v>161</v>
      </c>
      <c r="E1573" s="6" t="s">
        <v>39</v>
      </c>
      <c r="F1573" s="6">
        <v>218435</v>
      </c>
      <c r="G1573" s="7">
        <v>218438</v>
      </c>
      <c r="H1573" s="6">
        <f>(G1573-F1573)</f>
        <v>3.0</v>
      </c>
      <c r="I1573" s="6" t="s">
        <v>24</v>
      </c>
      <c r="J1573" s="6" t="s">
        <v>48</v>
      </c>
    </row>
    <row r="1574" spans="1:10" ht="23" customHeight="1">
      <c r="A1574" s="6" t="s">
        <v>29</v>
      </c>
      <c r="B1574" s="6">
        <v>6</v>
      </c>
      <c r="C1574" s="6" t="s">
        <v>30</v>
      </c>
      <c r="D1574" s="6">
        <v>161</v>
      </c>
      <c r="E1574" s="6" t="s">
        <v>40</v>
      </c>
      <c r="F1574" s="6">
        <v>218435</v>
      </c>
      <c r="G1574" s="7">
        <v>218438</v>
      </c>
      <c r="H1574" s="6">
        <f>(G1574-F1574)</f>
        <v>3.0</v>
      </c>
      <c r="I1574" s="6" t="s">
        <v>24</v>
      </c>
      <c r="J1574" s="6" t="s">
        <v>48</v>
      </c>
    </row>
    <row r="1575" spans="1:10" ht="23" customHeight="1">
      <c r="A1575" s="6" t="s">
        <v>29</v>
      </c>
      <c r="B1575" s="6">
        <v>6</v>
      </c>
      <c r="C1575" s="6" t="s">
        <v>30</v>
      </c>
      <c r="D1575" s="6">
        <v>161</v>
      </c>
      <c r="E1575" s="6" t="s">
        <v>41</v>
      </c>
      <c r="F1575" s="6">
        <v>218435</v>
      </c>
      <c r="G1575" s="7">
        <v>218438</v>
      </c>
      <c r="H1575" s="6">
        <f>(G1575-F1575)</f>
        <v>3.0</v>
      </c>
      <c r="I1575" s="6" t="s">
        <v>24</v>
      </c>
      <c r="J1575" s="6" t="s">
        <v>48</v>
      </c>
    </row>
    <row r="1576" spans="1:10" ht="23" customHeight="1">
      <c r="A1576" s="6" t="s">
        <v>29</v>
      </c>
      <c r="B1576" s="6">
        <v>6</v>
      </c>
      <c r="C1576" s="6" t="s">
        <v>30</v>
      </c>
      <c r="D1576" s="6">
        <v>162</v>
      </c>
      <c r="E1576" s="6" t="s">
        <v>31</v>
      </c>
      <c r="F1576" s="6">
        <v>179146</v>
      </c>
      <c r="G1576" s="7">
        <v>179149</v>
      </c>
      <c r="H1576" s="6">
        <f>(G1576-F1576)</f>
        <v>3.0</v>
      </c>
      <c r="I1576" s="6" t="s">
        <v>24</v>
      </c>
      <c r="J1576" s="6" t="s">
        <v>48</v>
      </c>
    </row>
    <row r="1577" spans="1:10" ht="23" customHeight="1">
      <c r="A1577" s="6" t="s">
        <v>29</v>
      </c>
      <c r="B1577" s="6">
        <v>6</v>
      </c>
      <c r="C1577" s="6" t="s">
        <v>30</v>
      </c>
      <c r="D1577" s="6">
        <v>162</v>
      </c>
      <c r="E1577" s="6" t="s">
        <v>32</v>
      </c>
      <c r="F1577" s="6">
        <v>1693.7</v>
      </c>
      <c r="G1577" s="7">
        <v>2032.5</v>
      </c>
      <c r="H1577" s="6">
        <f>(G1577-F1577)</f>
        <v>338.79999999999995</v>
      </c>
      <c r="I1577" s="6" t="s">
        <v>24</v>
      </c>
      <c r="J1577" s="6" t="s">
        <v>48</v>
      </c>
    </row>
    <row r="1578" spans="1:10" ht="23" customHeight="1">
      <c r="A1578" s="6" t="s">
        <v>29</v>
      </c>
      <c r="B1578" s="6">
        <v>6</v>
      </c>
      <c r="C1578" s="6" t="s">
        <v>30</v>
      </c>
      <c r="D1578" s="6">
        <v>162</v>
      </c>
      <c r="E1578" s="6" t="s">
        <v>34</v>
      </c>
      <c r="F1578" s="6">
        <v>1693.7</v>
      </c>
      <c r="G1578" s="7">
        <v>2032.5</v>
      </c>
      <c r="H1578" s="6">
        <f>(G1578-F1578)</f>
        <v>338.79999999999995</v>
      </c>
      <c r="I1578" s="6" t="s">
        <v>24</v>
      </c>
      <c r="J1578" s="6" t="s">
        <v>48</v>
      </c>
    </row>
    <row r="1579" spans="1:10" ht="23" customHeight="1">
      <c r="A1579" s="6" t="s">
        <v>29</v>
      </c>
      <c r="B1579" s="6">
        <v>6</v>
      </c>
      <c r="C1579" s="6" t="s">
        <v>30</v>
      </c>
      <c r="D1579" s="6">
        <v>162</v>
      </c>
      <c r="E1579" s="6" t="s">
        <v>35</v>
      </c>
      <c r="F1579" s="6">
        <v>179146</v>
      </c>
      <c r="G1579" s="7">
        <v>179149</v>
      </c>
      <c r="H1579" s="6">
        <f>(G1579-F1579)</f>
        <v>3.0</v>
      </c>
      <c r="I1579" s="6" t="s">
        <v>24</v>
      </c>
      <c r="J1579" s="6" t="s">
        <v>48</v>
      </c>
    </row>
    <row r="1580" spans="1:10" ht="23" customHeight="1">
      <c r="A1580" s="6" t="s">
        <v>29</v>
      </c>
      <c r="B1580" s="6">
        <v>6</v>
      </c>
      <c r="C1580" s="6" t="s">
        <v>30</v>
      </c>
      <c r="D1580" s="6">
        <v>162</v>
      </c>
      <c r="E1580" s="6" t="s">
        <v>36</v>
      </c>
      <c r="F1580" s="6">
        <v>1693.7</v>
      </c>
      <c r="G1580" s="7">
        <v>2032.5</v>
      </c>
      <c r="H1580" s="6">
        <f>(G1580-F1580)</f>
        <v>338.79999999999995</v>
      </c>
      <c r="I1580" s="6" t="s">
        <v>24</v>
      </c>
      <c r="J1580" s="6" t="s">
        <v>48</v>
      </c>
    </row>
    <row r="1581" spans="1:10" ht="23" customHeight="1">
      <c r="A1581" s="6" t="s">
        <v>29</v>
      </c>
      <c r="B1581" s="6">
        <v>6</v>
      </c>
      <c r="C1581" s="6" t="s">
        <v>30</v>
      </c>
      <c r="D1581" s="6">
        <v>162</v>
      </c>
      <c r="E1581" s="6" t="s">
        <v>37</v>
      </c>
      <c r="F1581" s="6">
        <v>1693.7</v>
      </c>
      <c r="G1581" s="7">
        <v>2032.5</v>
      </c>
      <c r="H1581" s="6">
        <f>(G1581-F1581)</f>
        <v>338.79999999999995</v>
      </c>
      <c r="I1581" s="6" t="s">
        <v>24</v>
      </c>
      <c r="J1581" s="6" t="s">
        <v>48</v>
      </c>
    </row>
    <row r="1582" spans="1:10" ht="23" customHeight="1">
      <c r="A1582" s="6" t="s">
        <v>29</v>
      </c>
      <c r="B1582" s="6">
        <v>6</v>
      </c>
      <c r="C1582" s="6" t="s">
        <v>30</v>
      </c>
      <c r="D1582" s="6">
        <v>162</v>
      </c>
      <c r="E1582" s="6" t="s">
        <v>38</v>
      </c>
      <c r="F1582" s="6">
        <v>179146</v>
      </c>
      <c r="G1582" s="7">
        <v>179149</v>
      </c>
      <c r="H1582" s="6">
        <f>(G1582-F1582)</f>
        <v>3.0</v>
      </c>
      <c r="I1582" s="6" t="s">
        <v>24</v>
      </c>
      <c r="J1582" s="6" t="s">
        <v>48</v>
      </c>
    </row>
    <row r="1583" spans="1:10" ht="23" customHeight="1">
      <c r="A1583" s="6" t="s">
        <v>29</v>
      </c>
      <c r="B1583" s="6">
        <v>6</v>
      </c>
      <c r="C1583" s="6" t="s">
        <v>30</v>
      </c>
      <c r="D1583" s="6">
        <v>162</v>
      </c>
      <c r="E1583" s="6" t="s">
        <v>39</v>
      </c>
      <c r="F1583" s="6">
        <v>179146</v>
      </c>
      <c r="G1583" s="7">
        <v>179149</v>
      </c>
      <c r="H1583" s="6">
        <f>(G1583-F1583)</f>
        <v>3.0</v>
      </c>
      <c r="I1583" s="6" t="s">
        <v>24</v>
      </c>
      <c r="J1583" s="6" t="s">
        <v>48</v>
      </c>
    </row>
    <row r="1584" spans="1:10" ht="23" customHeight="1">
      <c r="A1584" s="6" t="s">
        <v>29</v>
      </c>
      <c r="B1584" s="6">
        <v>6</v>
      </c>
      <c r="C1584" s="6" t="s">
        <v>30</v>
      </c>
      <c r="D1584" s="6">
        <v>162</v>
      </c>
      <c r="E1584" s="6" t="s">
        <v>40</v>
      </c>
      <c r="F1584" s="6">
        <v>179146</v>
      </c>
      <c r="G1584" s="7">
        <v>179149</v>
      </c>
      <c r="H1584" s="6">
        <f>(G1584-F1584)</f>
        <v>3.0</v>
      </c>
      <c r="I1584" s="6" t="s">
        <v>24</v>
      </c>
      <c r="J1584" s="6" t="s">
        <v>48</v>
      </c>
    </row>
    <row r="1585" spans="1:10" ht="23" customHeight="1">
      <c r="A1585" s="6" t="s">
        <v>29</v>
      </c>
      <c r="B1585" s="6">
        <v>6</v>
      </c>
      <c r="C1585" s="6" t="s">
        <v>30</v>
      </c>
      <c r="D1585" s="6">
        <v>162</v>
      </c>
      <c r="E1585" s="6" t="s">
        <v>41</v>
      </c>
      <c r="F1585" s="6">
        <v>179146</v>
      </c>
      <c r="G1585" s="7">
        <v>179149</v>
      </c>
      <c r="H1585" s="6">
        <f>(G1585-F1585)</f>
        <v>3.0</v>
      </c>
      <c r="I1585" s="6" t="s">
        <v>24</v>
      </c>
      <c r="J1585" s="6" t="s">
        <v>48</v>
      </c>
    </row>
    <row r="1586" spans="1:10" ht="23" customHeight="1">
      <c r="A1586" s="6" t="s">
        <v>29</v>
      </c>
      <c r="B1586" s="6">
        <v>6</v>
      </c>
      <c r="C1586" s="6" t="s">
        <v>30</v>
      </c>
      <c r="D1586" s="6">
        <v>163</v>
      </c>
      <c r="E1586" s="6" t="s">
        <v>31</v>
      </c>
      <c r="F1586" s="6">
        <v>104933</v>
      </c>
      <c r="G1586" s="7">
        <v>104936</v>
      </c>
      <c r="H1586" s="6">
        <f>(G1586-F1586)</f>
        <v>3.0</v>
      </c>
      <c r="I1586" s="6" t="s">
        <v>24</v>
      </c>
      <c r="J1586" s="6" t="s">
        <v>48</v>
      </c>
    </row>
    <row r="1587" spans="1:10" ht="23" customHeight="1">
      <c r="A1587" s="6" t="s">
        <v>29</v>
      </c>
      <c r="B1587" s="6">
        <v>6</v>
      </c>
      <c r="C1587" s="6" t="s">
        <v>30</v>
      </c>
      <c r="D1587" s="6">
        <v>163</v>
      </c>
      <c r="E1587" s="6" t="s">
        <v>32</v>
      </c>
      <c r="F1587" s="6">
        <v>560.7</v>
      </c>
      <c r="G1587" s="7">
        <v>672.8</v>
      </c>
      <c r="H1587" s="6">
        <f>(G1587-F1587)</f>
        <v>112.09999999999991</v>
      </c>
      <c r="I1587" s="6" t="s">
        <v>24</v>
      </c>
      <c r="J1587" s="6" t="s">
        <v>48</v>
      </c>
    </row>
    <row r="1588" spans="1:10" ht="23" customHeight="1">
      <c r="A1588" s="6" t="s">
        <v>29</v>
      </c>
      <c r="B1588" s="6">
        <v>6</v>
      </c>
      <c r="C1588" s="6" t="s">
        <v>30</v>
      </c>
      <c r="D1588" s="6">
        <v>163</v>
      </c>
      <c r="E1588" s="6" t="s">
        <v>34</v>
      </c>
      <c r="F1588" s="6">
        <v>560.7</v>
      </c>
      <c r="G1588" s="7">
        <v>672.8</v>
      </c>
      <c r="H1588" s="6">
        <f>(G1588-F1588)</f>
        <v>112.09999999999991</v>
      </c>
      <c r="I1588" s="6" t="s">
        <v>24</v>
      </c>
      <c r="J1588" s="6" t="s">
        <v>48</v>
      </c>
    </row>
    <row r="1589" spans="1:10" ht="23" customHeight="1">
      <c r="A1589" s="6" t="s">
        <v>29</v>
      </c>
      <c r="B1589" s="6">
        <v>6</v>
      </c>
      <c r="C1589" s="6" t="s">
        <v>30</v>
      </c>
      <c r="D1589" s="6">
        <v>163</v>
      </c>
      <c r="E1589" s="6" t="s">
        <v>35</v>
      </c>
      <c r="F1589" s="6">
        <v>104933</v>
      </c>
      <c r="G1589" s="7">
        <v>104936</v>
      </c>
      <c r="H1589" s="6">
        <f>(G1589-F1589)</f>
        <v>3.0</v>
      </c>
      <c r="I1589" s="6" t="s">
        <v>24</v>
      </c>
      <c r="J1589" s="6" t="s">
        <v>48</v>
      </c>
    </row>
    <row r="1590" spans="1:10" ht="23" customHeight="1">
      <c r="A1590" s="6" t="s">
        <v>29</v>
      </c>
      <c r="B1590" s="6">
        <v>6</v>
      </c>
      <c r="C1590" s="6" t="s">
        <v>30</v>
      </c>
      <c r="D1590" s="6">
        <v>163</v>
      </c>
      <c r="E1590" s="6" t="s">
        <v>36</v>
      </c>
      <c r="F1590" s="6">
        <v>560.7</v>
      </c>
      <c r="G1590" s="7">
        <v>672.8</v>
      </c>
      <c r="H1590" s="6">
        <f>(G1590-F1590)</f>
        <v>112.09999999999991</v>
      </c>
      <c r="I1590" s="6" t="s">
        <v>24</v>
      </c>
      <c r="J1590" s="6" t="s">
        <v>48</v>
      </c>
    </row>
    <row r="1591" spans="1:10" ht="23" customHeight="1">
      <c r="A1591" s="6" t="s">
        <v>29</v>
      </c>
      <c r="B1591" s="6">
        <v>6</v>
      </c>
      <c r="C1591" s="6" t="s">
        <v>30</v>
      </c>
      <c r="D1591" s="6">
        <v>163</v>
      </c>
      <c r="E1591" s="6" t="s">
        <v>37</v>
      </c>
      <c r="F1591" s="6">
        <v>560.7</v>
      </c>
      <c r="G1591" s="7">
        <v>672.8</v>
      </c>
      <c r="H1591" s="6">
        <f>(G1591-F1591)</f>
        <v>112.09999999999991</v>
      </c>
      <c r="I1591" s="6" t="s">
        <v>24</v>
      </c>
      <c r="J1591" s="6" t="s">
        <v>48</v>
      </c>
    </row>
    <row r="1592" spans="1:10" ht="23" customHeight="1">
      <c r="A1592" s="6" t="s">
        <v>29</v>
      </c>
      <c r="B1592" s="6">
        <v>6</v>
      </c>
      <c r="C1592" s="6" t="s">
        <v>30</v>
      </c>
      <c r="D1592" s="6">
        <v>163</v>
      </c>
      <c r="E1592" s="6" t="s">
        <v>38</v>
      </c>
      <c r="F1592" s="6">
        <v>104933</v>
      </c>
      <c r="G1592" s="7">
        <v>104936</v>
      </c>
      <c r="H1592" s="6">
        <f>(G1592-F1592)</f>
        <v>3.0</v>
      </c>
      <c r="I1592" s="6" t="s">
        <v>24</v>
      </c>
      <c r="J1592" s="6" t="s">
        <v>48</v>
      </c>
    </row>
    <row r="1593" spans="1:10" ht="23" customHeight="1">
      <c r="A1593" s="6" t="s">
        <v>29</v>
      </c>
      <c r="B1593" s="6">
        <v>6</v>
      </c>
      <c r="C1593" s="6" t="s">
        <v>30</v>
      </c>
      <c r="D1593" s="6">
        <v>163</v>
      </c>
      <c r="E1593" s="6" t="s">
        <v>39</v>
      </c>
      <c r="F1593" s="6">
        <v>104933</v>
      </c>
      <c r="G1593" s="7">
        <v>104936</v>
      </c>
      <c r="H1593" s="6">
        <f>(G1593-F1593)</f>
        <v>3.0</v>
      </c>
      <c r="I1593" s="6" t="s">
        <v>24</v>
      </c>
      <c r="J1593" s="6" t="s">
        <v>48</v>
      </c>
    </row>
    <row r="1594" spans="1:10" ht="23" customHeight="1">
      <c r="A1594" s="6" t="s">
        <v>29</v>
      </c>
      <c r="B1594" s="6">
        <v>6</v>
      </c>
      <c r="C1594" s="6" t="s">
        <v>30</v>
      </c>
      <c r="D1594" s="6">
        <v>163</v>
      </c>
      <c r="E1594" s="6" t="s">
        <v>40</v>
      </c>
      <c r="F1594" s="6">
        <v>104933</v>
      </c>
      <c r="G1594" s="7">
        <v>104936</v>
      </c>
      <c r="H1594" s="6">
        <f>(G1594-F1594)</f>
        <v>3.0</v>
      </c>
      <c r="I1594" s="6" t="s">
        <v>24</v>
      </c>
      <c r="J1594" s="6" t="s">
        <v>48</v>
      </c>
    </row>
    <row r="1595" spans="1:10" ht="23" customHeight="1">
      <c r="A1595" s="6" t="s">
        <v>29</v>
      </c>
      <c r="B1595" s="6">
        <v>6</v>
      </c>
      <c r="C1595" s="6" t="s">
        <v>30</v>
      </c>
      <c r="D1595" s="6">
        <v>163</v>
      </c>
      <c r="E1595" s="6" t="s">
        <v>41</v>
      </c>
      <c r="F1595" s="6">
        <v>104933</v>
      </c>
      <c r="G1595" s="7">
        <v>104936</v>
      </c>
      <c r="H1595" s="6">
        <f>(G1595-F1595)</f>
        <v>3.0</v>
      </c>
      <c r="I1595" s="6" t="s">
        <v>24</v>
      </c>
      <c r="J1595" s="6" t="s">
        <v>48</v>
      </c>
    </row>
    <row r="1596" spans="1:10" ht="23" customHeight="1">
      <c r="A1596" s="6" t="s">
        <v>29</v>
      </c>
      <c r="B1596" s="6">
        <v>6</v>
      </c>
      <c r="C1596" s="6" t="s">
        <v>30</v>
      </c>
      <c r="D1596" s="6">
        <v>164</v>
      </c>
      <c r="E1596" s="6" t="s">
        <v>31</v>
      </c>
      <c r="F1596" s="6">
        <v>104933</v>
      </c>
      <c r="G1596" s="7">
        <v>104936</v>
      </c>
      <c r="H1596" s="6">
        <f>(G1596-F1596)</f>
        <v>3.0</v>
      </c>
      <c r="I1596" s="6" t="s">
        <v>24</v>
      </c>
      <c r="J1596" s="6" t="s">
        <v>48</v>
      </c>
    </row>
    <row r="1597" spans="1:10" ht="23" customHeight="1">
      <c r="A1597" s="6" t="s">
        <v>29</v>
      </c>
      <c r="B1597" s="6">
        <v>6</v>
      </c>
      <c r="C1597" s="6" t="s">
        <v>30</v>
      </c>
      <c r="D1597" s="6">
        <v>164</v>
      </c>
      <c r="E1597" s="6" t="s">
        <v>32</v>
      </c>
      <c r="F1597" s="6">
        <v>560.7</v>
      </c>
      <c r="G1597" s="7">
        <v>672.8</v>
      </c>
      <c r="H1597" s="6">
        <f>(G1597-F1597)</f>
        <v>112.09999999999991</v>
      </c>
      <c r="I1597" s="6" t="s">
        <v>24</v>
      </c>
      <c r="J1597" s="6" t="s">
        <v>48</v>
      </c>
    </row>
    <row r="1598" spans="1:10" ht="23" customHeight="1">
      <c r="A1598" s="6" t="s">
        <v>29</v>
      </c>
      <c r="B1598" s="6">
        <v>6</v>
      </c>
      <c r="C1598" s="6" t="s">
        <v>30</v>
      </c>
      <c r="D1598" s="6">
        <v>164</v>
      </c>
      <c r="E1598" s="6" t="s">
        <v>34</v>
      </c>
      <c r="F1598" s="6">
        <v>560.7</v>
      </c>
      <c r="G1598" s="7">
        <v>672.8</v>
      </c>
      <c r="H1598" s="6">
        <f>(G1598-F1598)</f>
        <v>112.09999999999991</v>
      </c>
      <c r="I1598" s="6" t="s">
        <v>24</v>
      </c>
      <c r="J1598" s="6" t="s">
        <v>48</v>
      </c>
    </row>
    <row r="1599" spans="1:10" ht="23" customHeight="1">
      <c r="A1599" s="6" t="s">
        <v>29</v>
      </c>
      <c r="B1599" s="6">
        <v>6</v>
      </c>
      <c r="C1599" s="6" t="s">
        <v>30</v>
      </c>
      <c r="D1599" s="6">
        <v>164</v>
      </c>
      <c r="E1599" s="6" t="s">
        <v>35</v>
      </c>
      <c r="F1599" s="6">
        <v>104933</v>
      </c>
      <c r="G1599" s="7">
        <v>104936</v>
      </c>
      <c r="H1599" s="6">
        <f>(G1599-F1599)</f>
        <v>3.0</v>
      </c>
      <c r="I1599" s="6" t="s">
        <v>24</v>
      </c>
      <c r="J1599" s="6" t="s">
        <v>48</v>
      </c>
    </row>
    <row r="1600" spans="1:10" ht="23" customHeight="1">
      <c r="A1600" s="6" t="s">
        <v>29</v>
      </c>
      <c r="B1600" s="6">
        <v>6</v>
      </c>
      <c r="C1600" s="6" t="s">
        <v>30</v>
      </c>
      <c r="D1600" s="6">
        <v>164</v>
      </c>
      <c r="E1600" s="6" t="s">
        <v>36</v>
      </c>
      <c r="F1600" s="6">
        <v>560.7</v>
      </c>
      <c r="G1600" s="7">
        <v>672.8</v>
      </c>
      <c r="H1600" s="6">
        <f>(G1600-F1600)</f>
        <v>112.09999999999991</v>
      </c>
      <c r="I1600" s="6" t="s">
        <v>24</v>
      </c>
      <c r="J1600" s="6" t="s">
        <v>48</v>
      </c>
    </row>
    <row r="1601" spans="1:10" ht="23" customHeight="1">
      <c r="A1601" s="6" t="s">
        <v>29</v>
      </c>
      <c r="B1601" s="6">
        <v>6</v>
      </c>
      <c r="C1601" s="6" t="s">
        <v>30</v>
      </c>
      <c r="D1601" s="6">
        <v>164</v>
      </c>
      <c r="E1601" s="6" t="s">
        <v>37</v>
      </c>
      <c r="F1601" s="6">
        <v>560.7</v>
      </c>
      <c r="G1601" s="7">
        <v>672.8</v>
      </c>
      <c r="H1601" s="6">
        <f>(G1601-F1601)</f>
        <v>112.09999999999991</v>
      </c>
      <c r="I1601" s="6" t="s">
        <v>24</v>
      </c>
      <c r="J1601" s="6" t="s">
        <v>48</v>
      </c>
    </row>
    <row r="1602" spans="1:10" ht="23" customHeight="1">
      <c r="A1602" s="6" t="s">
        <v>29</v>
      </c>
      <c r="B1602" s="6">
        <v>6</v>
      </c>
      <c r="C1602" s="6" t="s">
        <v>30</v>
      </c>
      <c r="D1602" s="6">
        <v>164</v>
      </c>
      <c r="E1602" s="6" t="s">
        <v>38</v>
      </c>
      <c r="F1602" s="6">
        <v>104933</v>
      </c>
      <c r="G1602" s="7">
        <v>104936</v>
      </c>
      <c r="H1602" s="6">
        <f>(G1602-F1602)</f>
        <v>3.0</v>
      </c>
      <c r="I1602" s="6" t="s">
        <v>24</v>
      </c>
      <c r="J1602" s="6" t="s">
        <v>48</v>
      </c>
    </row>
    <row r="1603" spans="1:10" ht="23" customHeight="1">
      <c r="A1603" s="6" t="s">
        <v>29</v>
      </c>
      <c r="B1603" s="6">
        <v>6</v>
      </c>
      <c r="C1603" s="6" t="s">
        <v>30</v>
      </c>
      <c r="D1603" s="6">
        <v>164</v>
      </c>
      <c r="E1603" s="6" t="s">
        <v>39</v>
      </c>
      <c r="F1603" s="6">
        <v>104933</v>
      </c>
      <c r="G1603" s="7">
        <v>104936</v>
      </c>
      <c r="H1603" s="6">
        <f>(G1603-F1603)</f>
        <v>3.0</v>
      </c>
      <c r="I1603" s="6" t="s">
        <v>24</v>
      </c>
      <c r="J1603" s="6" t="s">
        <v>48</v>
      </c>
    </row>
    <row r="1604" spans="1:10" ht="23" customHeight="1">
      <c r="A1604" s="6" t="s">
        <v>29</v>
      </c>
      <c r="B1604" s="6">
        <v>6</v>
      </c>
      <c r="C1604" s="6" t="s">
        <v>30</v>
      </c>
      <c r="D1604" s="6">
        <v>164</v>
      </c>
      <c r="E1604" s="6" t="s">
        <v>40</v>
      </c>
      <c r="F1604" s="6">
        <v>104933</v>
      </c>
      <c r="G1604" s="7">
        <v>104936</v>
      </c>
      <c r="H1604" s="6">
        <f>(G1604-F1604)</f>
        <v>3.0</v>
      </c>
      <c r="I1604" s="6" t="s">
        <v>24</v>
      </c>
      <c r="J1604" s="6" t="s">
        <v>48</v>
      </c>
    </row>
    <row r="1605" spans="1:10" ht="23" customHeight="1">
      <c r="A1605" s="6" t="s">
        <v>29</v>
      </c>
      <c r="B1605" s="6">
        <v>6</v>
      </c>
      <c r="C1605" s="6" t="s">
        <v>30</v>
      </c>
      <c r="D1605" s="6">
        <v>164</v>
      </c>
      <c r="E1605" s="6" t="s">
        <v>41</v>
      </c>
      <c r="F1605" s="6">
        <v>104933</v>
      </c>
      <c r="G1605" s="7">
        <v>104936</v>
      </c>
      <c r="H1605" s="6">
        <f>(G1605-F1605)</f>
        <v>3.0</v>
      </c>
      <c r="I1605" s="6" t="s">
        <v>24</v>
      </c>
      <c r="J1605" s="6" t="s">
        <v>48</v>
      </c>
    </row>
    <row r="1606" spans="1:10" ht="23" customHeight="1">
      <c r="A1606" s="6" t="s">
        <v>29</v>
      </c>
      <c r="B1606" s="6">
        <v>6</v>
      </c>
      <c r="C1606" s="6" t="s">
        <v>30</v>
      </c>
      <c r="D1606" s="6">
        <v>165</v>
      </c>
      <c r="E1606" s="6" t="s">
        <v>31</v>
      </c>
      <c r="F1606" s="6">
        <v>104933</v>
      </c>
      <c r="G1606" s="7">
        <v>104936</v>
      </c>
      <c r="H1606" s="6">
        <f>(G1606-F1606)</f>
        <v>3.0</v>
      </c>
      <c r="I1606" s="6" t="s">
        <v>24</v>
      </c>
      <c r="J1606" s="6" t="s">
        <v>48</v>
      </c>
    </row>
    <row r="1607" spans="1:10" ht="23" customHeight="1">
      <c r="A1607" s="6" t="s">
        <v>29</v>
      </c>
      <c r="B1607" s="6">
        <v>6</v>
      </c>
      <c r="C1607" s="6" t="s">
        <v>30</v>
      </c>
      <c r="D1607" s="6">
        <v>165</v>
      </c>
      <c r="E1607" s="6" t="s">
        <v>32</v>
      </c>
      <c r="F1607" s="6">
        <v>560.7</v>
      </c>
      <c r="G1607" s="7">
        <v>672.8</v>
      </c>
      <c r="H1607" s="6">
        <f>(G1607-F1607)</f>
        <v>112.09999999999991</v>
      </c>
      <c r="I1607" s="6" t="s">
        <v>24</v>
      </c>
      <c r="J1607" s="6" t="s">
        <v>48</v>
      </c>
    </row>
    <row r="1608" spans="1:10" ht="23" customHeight="1">
      <c r="A1608" s="6" t="s">
        <v>29</v>
      </c>
      <c r="B1608" s="6">
        <v>6</v>
      </c>
      <c r="C1608" s="6" t="s">
        <v>30</v>
      </c>
      <c r="D1608" s="6">
        <v>165</v>
      </c>
      <c r="E1608" s="6" t="s">
        <v>34</v>
      </c>
      <c r="F1608" s="6">
        <v>560.7</v>
      </c>
      <c r="G1608" s="7">
        <v>672.8</v>
      </c>
      <c r="H1608" s="6">
        <f>(G1608-F1608)</f>
        <v>112.09999999999991</v>
      </c>
      <c r="I1608" s="6" t="s">
        <v>24</v>
      </c>
      <c r="J1608" s="6" t="s">
        <v>48</v>
      </c>
    </row>
    <row r="1609" spans="1:10" ht="23" customHeight="1">
      <c r="A1609" s="6" t="s">
        <v>29</v>
      </c>
      <c r="B1609" s="6">
        <v>6</v>
      </c>
      <c r="C1609" s="6" t="s">
        <v>30</v>
      </c>
      <c r="D1609" s="6">
        <v>165</v>
      </c>
      <c r="E1609" s="6" t="s">
        <v>35</v>
      </c>
      <c r="F1609" s="6">
        <v>104933</v>
      </c>
      <c r="G1609" s="7">
        <v>104936</v>
      </c>
      <c r="H1609" s="6">
        <f>(G1609-F1609)</f>
        <v>3.0</v>
      </c>
      <c r="I1609" s="6" t="s">
        <v>24</v>
      </c>
      <c r="J1609" s="6" t="s">
        <v>48</v>
      </c>
    </row>
    <row r="1610" spans="1:10" ht="23" customHeight="1">
      <c r="A1610" s="6" t="s">
        <v>29</v>
      </c>
      <c r="B1610" s="6">
        <v>6</v>
      </c>
      <c r="C1610" s="6" t="s">
        <v>30</v>
      </c>
      <c r="D1610" s="6">
        <v>165</v>
      </c>
      <c r="E1610" s="6" t="s">
        <v>36</v>
      </c>
      <c r="F1610" s="6">
        <v>560.7</v>
      </c>
      <c r="G1610" s="7">
        <v>672.8</v>
      </c>
      <c r="H1610" s="6">
        <f>(G1610-F1610)</f>
        <v>112.09999999999991</v>
      </c>
      <c r="I1610" s="6" t="s">
        <v>24</v>
      </c>
      <c r="J1610" s="6" t="s">
        <v>48</v>
      </c>
    </row>
    <row r="1611" spans="1:10" ht="23" customHeight="1">
      <c r="A1611" s="6" t="s">
        <v>29</v>
      </c>
      <c r="B1611" s="6">
        <v>6</v>
      </c>
      <c r="C1611" s="6" t="s">
        <v>30</v>
      </c>
      <c r="D1611" s="6">
        <v>165</v>
      </c>
      <c r="E1611" s="6" t="s">
        <v>37</v>
      </c>
      <c r="F1611" s="6">
        <v>560.7</v>
      </c>
      <c r="G1611" s="7">
        <v>672.8</v>
      </c>
      <c r="H1611" s="6">
        <f>(G1611-F1611)</f>
        <v>112.09999999999991</v>
      </c>
      <c r="I1611" s="6" t="s">
        <v>24</v>
      </c>
      <c r="J1611" s="6" t="s">
        <v>48</v>
      </c>
    </row>
    <row r="1612" spans="1:10" ht="23" customHeight="1">
      <c r="A1612" s="6" t="s">
        <v>29</v>
      </c>
      <c r="B1612" s="6">
        <v>6</v>
      </c>
      <c r="C1612" s="6" t="s">
        <v>30</v>
      </c>
      <c r="D1612" s="6">
        <v>165</v>
      </c>
      <c r="E1612" s="6" t="s">
        <v>38</v>
      </c>
      <c r="F1612" s="6">
        <v>104933</v>
      </c>
      <c r="G1612" s="7">
        <v>104936</v>
      </c>
      <c r="H1612" s="6">
        <f>(G1612-F1612)</f>
        <v>3.0</v>
      </c>
      <c r="I1612" s="6" t="s">
        <v>24</v>
      </c>
      <c r="J1612" s="6" t="s">
        <v>48</v>
      </c>
    </row>
    <row r="1613" spans="1:10" ht="23" customHeight="1">
      <c r="A1613" s="6" t="s">
        <v>29</v>
      </c>
      <c r="B1613" s="6">
        <v>6</v>
      </c>
      <c r="C1613" s="6" t="s">
        <v>30</v>
      </c>
      <c r="D1613" s="6">
        <v>165</v>
      </c>
      <c r="E1613" s="6" t="s">
        <v>39</v>
      </c>
      <c r="F1613" s="6">
        <v>104933</v>
      </c>
      <c r="G1613" s="7">
        <v>104936</v>
      </c>
      <c r="H1613" s="6">
        <f>(G1613-F1613)</f>
        <v>3.0</v>
      </c>
      <c r="I1613" s="6" t="s">
        <v>24</v>
      </c>
      <c r="J1613" s="6" t="s">
        <v>48</v>
      </c>
    </row>
    <row r="1614" spans="1:10" ht="23" customHeight="1">
      <c r="A1614" s="6" t="s">
        <v>29</v>
      </c>
      <c r="B1614" s="6">
        <v>6</v>
      </c>
      <c r="C1614" s="6" t="s">
        <v>30</v>
      </c>
      <c r="D1614" s="6">
        <v>165</v>
      </c>
      <c r="E1614" s="6" t="s">
        <v>40</v>
      </c>
      <c r="F1614" s="6">
        <v>104933</v>
      </c>
      <c r="G1614" s="7">
        <v>104936</v>
      </c>
      <c r="H1614" s="6">
        <f>(G1614-F1614)</f>
        <v>3.0</v>
      </c>
      <c r="I1614" s="6" t="s">
        <v>24</v>
      </c>
      <c r="J1614" s="6" t="s">
        <v>48</v>
      </c>
    </row>
    <row r="1615" spans="1:10" ht="23" customHeight="1">
      <c r="A1615" s="6" t="s">
        <v>29</v>
      </c>
      <c r="B1615" s="6">
        <v>6</v>
      </c>
      <c r="C1615" s="6" t="s">
        <v>30</v>
      </c>
      <c r="D1615" s="6">
        <v>165</v>
      </c>
      <c r="E1615" s="6" t="s">
        <v>41</v>
      </c>
      <c r="F1615" s="6">
        <v>104933</v>
      </c>
      <c r="G1615" s="7">
        <v>104936</v>
      </c>
      <c r="H1615" s="6">
        <f>(G1615-F1615)</f>
        <v>3.0</v>
      </c>
      <c r="I1615" s="6" t="s">
        <v>24</v>
      </c>
      <c r="J1615" s="6" t="s">
        <v>48</v>
      </c>
    </row>
    <row r="1616" spans="1:10" ht="23" customHeight="1">
      <c r="A1616" s="6" t="s">
        <v>29</v>
      </c>
      <c r="B1616" s="6">
        <v>6</v>
      </c>
      <c r="C1616" s="6" t="s">
        <v>30</v>
      </c>
      <c r="D1616" s="6">
        <v>166</v>
      </c>
      <c r="E1616" s="6" t="s">
        <v>31</v>
      </c>
      <c r="F1616" s="6">
        <v>104933</v>
      </c>
      <c r="G1616" s="7">
        <v>104936</v>
      </c>
      <c r="H1616" s="6">
        <f>(G1616-F1616)</f>
        <v>3.0</v>
      </c>
      <c r="I1616" s="6" t="s">
        <v>24</v>
      </c>
      <c r="J1616" s="6" t="s">
        <v>48</v>
      </c>
    </row>
    <row r="1617" spans="1:10" ht="23" customHeight="1">
      <c r="A1617" s="6" t="s">
        <v>29</v>
      </c>
      <c r="B1617" s="6">
        <v>6</v>
      </c>
      <c r="C1617" s="6" t="s">
        <v>30</v>
      </c>
      <c r="D1617" s="6">
        <v>166</v>
      </c>
      <c r="E1617" s="6" t="s">
        <v>32</v>
      </c>
      <c r="F1617" s="6">
        <v>560.7</v>
      </c>
      <c r="G1617" s="7">
        <v>672.8</v>
      </c>
      <c r="H1617" s="6">
        <f>(G1617-F1617)</f>
        <v>112.09999999999991</v>
      </c>
      <c r="I1617" s="6" t="s">
        <v>24</v>
      </c>
      <c r="J1617" s="6" t="s">
        <v>48</v>
      </c>
    </row>
    <row r="1618" spans="1:10" ht="23" customHeight="1">
      <c r="A1618" s="6" t="s">
        <v>29</v>
      </c>
      <c r="B1618" s="6">
        <v>6</v>
      </c>
      <c r="C1618" s="6" t="s">
        <v>30</v>
      </c>
      <c r="D1618" s="6">
        <v>166</v>
      </c>
      <c r="E1618" s="6" t="s">
        <v>34</v>
      </c>
      <c r="F1618" s="6">
        <v>560.7</v>
      </c>
      <c r="G1618" s="7">
        <v>672.8</v>
      </c>
      <c r="H1618" s="6">
        <f>(G1618-F1618)</f>
        <v>112.09999999999991</v>
      </c>
      <c r="I1618" s="6" t="s">
        <v>24</v>
      </c>
      <c r="J1618" s="6" t="s">
        <v>48</v>
      </c>
    </row>
    <row r="1619" spans="1:10" ht="23" customHeight="1">
      <c r="A1619" s="6" t="s">
        <v>29</v>
      </c>
      <c r="B1619" s="6">
        <v>6</v>
      </c>
      <c r="C1619" s="6" t="s">
        <v>30</v>
      </c>
      <c r="D1619" s="6">
        <v>166</v>
      </c>
      <c r="E1619" s="6" t="s">
        <v>35</v>
      </c>
      <c r="F1619" s="6">
        <v>104933</v>
      </c>
      <c r="G1619" s="7">
        <v>104936</v>
      </c>
      <c r="H1619" s="6">
        <f>(G1619-F1619)</f>
        <v>3.0</v>
      </c>
      <c r="I1619" s="6" t="s">
        <v>24</v>
      </c>
      <c r="J1619" s="6" t="s">
        <v>48</v>
      </c>
    </row>
    <row r="1620" spans="1:10" ht="23" customHeight="1">
      <c r="A1620" s="6" t="s">
        <v>29</v>
      </c>
      <c r="B1620" s="6">
        <v>6</v>
      </c>
      <c r="C1620" s="6" t="s">
        <v>30</v>
      </c>
      <c r="D1620" s="6">
        <v>166</v>
      </c>
      <c r="E1620" s="6" t="s">
        <v>36</v>
      </c>
      <c r="F1620" s="6">
        <v>560.7</v>
      </c>
      <c r="G1620" s="7">
        <v>672.8</v>
      </c>
      <c r="H1620" s="6">
        <f>(G1620-F1620)</f>
        <v>112.09999999999991</v>
      </c>
      <c r="I1620" s="6" t="s">
        <v>24</v>
      </c>
      <c r="J1620" s="6" t="s">
        <v>48</v>
      </c>
    </row>
    <row r="1621" spans="1:10" ht="23" customHeight="1">
      <c r="A1621" s="6" t="s">
        <v>29</v>
      </c>
      <c r="B1621" s="6">
        <v>6</v>
      </c>
      <c r="C1621" s="6" t="s">
        <v>30</v>
      </c>
      <c r="D1621" s="6">
        <v>166</v>
      </c>
      <c r="E1621" s="6" t="s">
        <v>37</v>
      </c>
      <c r="F1621" s="6">
        <v>560.7</v>
      </c>
      <c r="G1621" s="7">
        <v>672.8</v>
      </c>
      <c r="H1621" s="6">
        <f>(G1621-F1621)</f>
        <v>112.09999999999991</v>
      </c>
      <c r="I1621" s="6" t="s">
        <v>24</v>
      </c>
      <c r="J1621" s="6" t="s">
        <v>48</v>
      </c>
    </row>
    <row r="1622" spans="1:10" ht="23" customHeight="1">
      <c r="A1622" s="6" t="s">
        <v>29</v>
      </c>
      <c r="B1622" s="6">
        <v>6</v>
      </c>
      <c r="C1622" s="6" t="s">
        <v>30</v>
      </c>
      <c r="D1622" s="6">
        <v>166</v>
      </c>
      <c r="E1622" s="6" t="s">
        <v>38</v>
      </c>
      <c r="F1622" s="6">
        <v>104933</v>
      </c>
      <c r="G1622" s="7">
        <v>104936</v>
      </c>
      <c r="H1622" s="6">
        <f>(G1622-F1622)</f>
        <v>3.0</v>
      </c>
      <c r="I1622" s="6" t="s">
        <v>24</v>
      </c>
      <c r="J1622" s="6" t="s">
        <v>48</v>
      </c>
    </row>
    <row r="1623" spans="1:10" ht="23" customHeight="1">
      <c r="A1623" s="6" t="s">
        <v>29</v>
      </c>
      <c r="B1623" s="6">
        <v>6</v>
      </c>
      <c r="C1623" s="6" t="s">
        <v>30</v>
      </c>
      <c r="D1623" s="6">
        <v>166</v>
      </c>
      <c r="E1623" s="6" t="s">
        <v>39</v>
      </c>
      <c r="F1623" s="6">
        <v>104933</v>
      </c>
      <c r="G1623" s="7">
        <v>104936</v>
      </c>
      <c r="H1623" s="6">
        <f>(G1623-F1623)</f>
        <v>3.0</v>
      </c>
      <c r="I1623" s="6" t="s">
        <v>24</v>
      </c>
      <c r="J1623" s="6" t="s">
        <v>48</v>
      </c>
    </row>
    <row r="1624" spans="1:10" ht="23" customHeight="1">
      <c r="A1624" s="6" t="s">
        <v>29</v>
      </c>
      <c r="B1624" s="6">
        <v>6</v>
      </c>
      <c r="C1624" s="6" t="s">
        <v>30</v>
      </c>
      <c r="D1624" s="6">
        <v>166</v>
      </c>
      <c r="E1624" s="6" t="s">
        <v>40</v>
      </c>
      <c r="F1624" s="6">
        <v>104933</v>
      </c>
      <c r="G1624" s="7">
        <v>104936</v>
      </c>
      <c r="H1624" s="6">
        <f>(G1624-F1624)</f>
        <v>3.0</v>
      </c>
      <c r="I1624" s="6" t="s">
        <v>24</v>
      </c>
      <c r="J1624" s="6" t="s">
        <v>48</v>
      </c>
    </row>
    <row r="1625" spans="1:10" ht="23" customHeight="1">
      <c r="A1625" s="6" t="s">
        <v>29</v>
      </c>
      <c r="B1625" s="6">
        <v>6</v>
      </c>
      <c r="C1625" s="6" t="s">
        <v>30</v>
      </c>
      <c r="D1625" s="6">
        <v>166</v>
      </c>
      <c r="E1625" s="6" t="s">
        <v>41</v>
      </c>
      <c r="F1625" s="6">
        <v>104933</v>
      </c>
      <c r="G1625" s="7">
        <v>104936</v>
      </c>
      <c r="H1625" s="6">
        <f>(G1625-F1625)</f>
        <v>3.0</v>
      </c>
      <c r="I1625" s="6" t="s">
        <v>24</v>
      </c>
      <c r="J1625" s="6" t="s">
        <v>48</v>
      </c>
    </row>
    <row r="1626" spans="1:10" ht="23" customHeight="1">
      <c r="A1626" s="6" t="s">
        <v>29</v>
      </c>
      <c r="B1626" s="6">
        <v>6</v>
      </c>
      <c r="C1626" s="6" t="s">
        <v>30</v>
      </c>
      <c r="D1626" s="6">
        <v>167</v>
      </c>
      <c r="E1626" s="6" t="s">
        <v>31</v>
      </c>
      <c r="F1626" s="6">
        <v>104933</v>
      </c>
      <c r="G1626" s="7">
        <v>104936</v>
      </c>
      <c r="H1626" s="6">
        <f>(G1626-F1626)</f>
        <v>3.0</v>
      </c>
      <c r="I1626" s="6" t="s">
        <v>24</v>
      </c>
      <c r="J1626" s="6" t="s">
        <v>48</v>
      </c>
    </row>
    <row r="1627" spans="1:10" ht="23" customHeight="1">
      <c r="A1627" s="6" t="s">
        <v>29</v>
      </c>
      <c r="B1627" s="6">
        <v>6</v>
      </c>
      <c r="C1627" s="6" t="s">
        <v>30</v>
      </c>
      <c r="D1627" s="6">
        <v>167</v>
      </c>
      <c r="E1627" s="6" t="s">
        <v>32</v>
      </c>
      <c r="F1627" s="6">
        <v>560.7</v>
      </c>
      <c r="G1627" s="7">
        <v>672.8</v>
      </c>
      <c r="H1627" s="6">
        <f>(G1627-F1627)</f>
        <v>112.09999999999991</v>
      </c>
      <c r="I1627" s="6" t="s">
        <v>24</v>
      </c>
      <c r="J1627" s="6" t="s">
        <v>48</v>
      </c>
    </row>
    <row r="1628" spans="1:10" ht="23" customHeight="1">
      <c r="A1628" s="6" t="s">
        <v>29</v>
      </c>
      <c r="B1628" s="6">
        <v>6</v>
      </c>
      <c r="C1628" s="6" t="s">
        <v>30</v>
      </c>
      <c r="D1628" s="6">
        <v>167</v>
      </c>
      <c r="E1628" s="6" t="s">
        <v>34</v>
      </c>
      <c r="F1628" s="6">
        <v>560.7</v>
      </c>
      <c r="G1628" s="7">
        <v>672.8</v>
      </c>
      <c r="H1628" s="6">
        <f>(G1628-F1628)</f>
        <v>112.09999999999991</v>
      </c>
      <c r="I1628" s="6" t="s">
        <v>24</v>
      </c>
      <c r="J1628" s="6" t="s">
        <v>48</v>
      </c>
    </row>
    <row r="1629" spans="1:10" ht="23" customHeight="1">
      <c r="A1629" s="6" t="s">
        <v>29</v>
      </c>
      <c r="B1629" s="6">
        <v>6</v>
      </c>
      <c r="C1629" s="6" t="s">
        <v>30</v>
      </c>
      <c r="D1629" s="6">
        <v>167</v>
      </c>
      <c r="E1629" s="6" t="s">
        <v>35</v>
      </c>
      <c r="F1629" s="6">
        <v>104933</v>
      </c>
      <c r="G1629" s="7">
        <v>104936</v>
      </c>
      <c r="H1629" s="6">
        <f>(G1629-F1629)</f>
        <v>3.0</v>
      </c>
      <c r="I1629" s="6" t="s">
        <v>24</v>
      </c>
      <c r="J1629" s="6" t="s">
        <v>48</v>
      </c>
    </row>
    <row r="1630" spans="1:10" ht="23" customHeight="1">
      <c r="A1630" s="6" t="s">
        <v>29</v>
      </c>
      <c r="B1630" s="6">
        <v>6</v>
      </c>
      <c r="C1630" s="6" t="s">
        <v>30</v>
      </c>
      <c r="D1630" s="6">
        <v>167</v>
      </c>
      <c r="E1630" s="6" t="s">
        <v>36</v>
      </c>
      <c r="F1630" s="6">
        <v>560.7</v>
      </c>
      <c r="G1630" s="7">
        <v>672.8</v>
      </c>
      <c r="H1630" s="6">
        <f>(G1630-F1630)</f>
        <v>112.09999999999991</v>
      </c>
      <c r="I1630" s="6" t="s">
        <v>24</v>
      </c>
      <c r="J1630" s="6" t="s">
        <v>48</v>
      </c>
    </row>
    <row r="1631" spans="1:10" ht="23" customHeight="1">
      <c r="A1631" s="6" t="s">
        <v>29</v>
      </c>
      <c r="B1631" s="6">
        <v>6</v>
      </c>
      <c r="C1631" s="6" t="s">
        <v>30</v>
      </c>
      <c r="D1631" s="6">
        <v>167</v>
      </c>
      <c r="E1631" s="6" t="s">
        <v>37</v>
      </c>
      <c r="F1631" s="6">
        <v>560.7</v>
      </c>
      <c r="G1631" s="7">
        <v>672.8</v>
      </c>
      <c r="H1631" s="6">
        <f>(G1631-F1631)</f>
        <v>112.09999999999991</v>
      </c>
      <c r="I1631" s="6" t="s">
        <v>24</v>
      </c>
      <c r="J1631" s="6" t="s">
        <v>48</v>
      </c>
    </row>
    <row r="1632" spans="1:10" ht="23" customHeight="1">
      <c r="A1632" s="6" t="s">
        <v>29</v>
      </c>
      <c r="B1632" s="6">
        <v>6</v>
      </c>
      <c r="C1632" s="6" t="s">
        <v>30</v>
      </c>
      <c r="D1632" s="6">
        <v>167</v>
      </c>
      <c r="E1632" s="6" t="s">
        <v>38</v>
      </c>
      <c r="F1632" s="6">
        <v>104933</v>
      </c>
      <c r="G1632" s="7">
        <v>104936</v>
      </c>
      <c r="H1632" s="6">
        <f>(G1632-F1632)</f>
        <v>3.0</v>
      </c>
      <c r="I1632" s="6" t="s">
        <v>24</v>
      </c>
      <c r="J1632" s="6" t="s">
        <v>48</v>
      </c>
    </row>
    <row r="1633" spans="1:10" ht="23" customHeight="1">
      <c r="A1633" s="6" t="s">
        <v>29</v>
      </c>
      <c r="B1633" s="6">
        <v>6</v>
      </c>
      <c r="C1633" s="6" t="s">
        <v>30</v>
      </c>
      <c r="D1633" s="6">
        <v>167</v>
      </c>
      <c r="E1633" s="6" t="s">
        <v>39</v>
      </c>
      <c r="F1633" s="6">
        <v>104933</v>
      </c>
      <c r="G1633" s="7">
        <v>104936</v>
      </c>
      <c r="H1633" s="6">
        <f>(G1633-F1633)</f>
        <v>3.0</v>
      </c>
      <c r="I1633" s="6" t="s">
        <v>24</v>
      </c>
      <c r="J1633" s="6" t="s">
        <v>48</v>
      </c>
    </row>
    <row r="1634" spans="1:10" ht="23" customHeight="1">
      <c r="A1634" s="6" t="s">
        <v>29</v>
      </c>
      <c r="B1634" s="6">
        <v>6</v>
      </c>
      <c r="C1634" s="6" t="s">
        <v>30</v>
      </c>
      <c r="D1634" s="6">
        <v>167</v>
      </c>
      <c r="E1634" s="6" t="s">
        <v>40</v>
      </c>
      <c r="F1634" s="6">
        <v>104933</v>
      </c>
      <c r="G1634" s="7">
        <v>104936</v>
      </c>
      <c r="H1634" s="6">
        <f>(G1634-F1634)</f>
        <v>3.0</v>
      </c>
      <c r="I1634" s="6" t="s">
        <v>24</v>
      </c>
      <c r="J1634" s="6" t="s">
        <v>48</v>
      </c>
    </row>
    <row r="1635" spans="1:10" ht="23" customHeight="1">
      <c r="A1635" s="6" t="s">
        <v>29</v>
      </c>
      <c r="B1635" s="6">
        <v>6</v>
      </c>
      <c r="C1635" s="6" t="s">
        <v>30</v>
      </c>
      <c r="D1635" s="6">
        <v>167</v>
      </c>
      <c r="E1635" s="6" t="s">
        <v>41</v>
      </c>
      <c r="F1635" s="6">
        <v>104933</v>
      </c>
      <c r="G1635" s="7">
        <v>104936</v>
      </c>
      <c r="H1635" s="6">
        <f>(G1635-F1635)</f>
        <v>3.0</v>
      </c>
      <c r="I1635" s="6" t="s">
        <v>24</v>
      </c>
      <c r="J1635" s="6" t="s">
        <v>48</v>
      </c>
    </row>
    <row r="1636" spans="1:10" ht="23" customHeight="1">
      <c r="A1636" s="6" t="s">
        <v>29</v>
      </c>
      <c r="B1636" s="6">
        <v>6</v>
      </c>
      <c r="C1636" s="6" t="s">
        <v>30</v>
      </c>
      <c r="D1636" s="6">
        <v>168</v>
      </c>
      <c r="E1636" s="6" t="s">
        <v>31</v>
      </c>
      <c r="F1636" s="6">
        <v>104933</v>
      </c>
      <c r="G1636" s="7">
        <v>104936</v>
      </c>
      <c r="H1636" s="6">
        <f>(G1636-F1636)</f>
        <v>3.0</v>
      </c>
      <c r="I1636" s="6" t="s">
        <v>24</v>
      </c>
      <c r="J1636" s="6" t="s">
        <v>48</v>
      </c>
    </row>
    <row r="1637" spans="1:10" ht="23" customHeight="1">
      <c r="A1637" s="6" t="s">
        <v>29</v>
      </c>
      <c r="B1637" s="6">
        <v>6</v>
      </c>
      <c r="C1637" s="6" t="s">
        <v>30</v>
      </c>
      <c r="D1637" s="6">
        <v>168</v>
      </c>
      <c r="E1637" s="6" t="s">
        <v>32</v>
      </c>
      <c r="F1637" s="6">
        <v>560.7</v>
      </c>
      <c r="G1637" s="7">
        <v>672.8</v>
      </c>
      <c r="H1637" s="6">
        <f>(G1637-F1637)</f>
        <v>112.09999999999991</v>
      </c>
      <c r="I1637" s="6" t="s">
        <v>24</v>
      </c>
      <c r="J1637" s="6" t="s">
        <v>48</v>
      </c>
    </row>
    <row r="1638" spans="1:10" ht="23" customHeight="1">
      <c r="A1638" s="6" t="s">
        <v>29</v>
      </c>
      <c r="B1638" s="6">
        <v>6</v>
      </c>
      <c r="C1638" s="6" t="s">
        <v>30</v>
      </c>
      <c r="D1638" s="6">
        <v>168</v>
      </c>
      <c r="E1638" s="6" t="s">
        <v>34</v>
      </c>
      <c r="F1638" s="6">
        <v>560.7</v>
      </c>
      <c r="G1638" s="7">
        <v>672.8</v>
      </c>
      <c r="H1638" s="6">
        <f>(G1638-F1638)</f>
        <v>112.09999999999991</v>
      </c>
      <c r="I1638" s="6" t="s">
        <v>24</v>
      </c>
      <c r="J1638" s="6" t="s">
        <v>48</v>
      </c>
    </row>
    <row r="1639" spans="1:10" ht="23" customHeight="1">
      <c r="A1639" s="6" t="s">
        <v>29</v>
      </c>
      <c r="B1639" s="6">
        <v>6</v>
      </c>
      <c r="C1639" s="6" t="s">
        <v>30</v>
      </c>
      <c r="D1639" s="6">
        <v>168</v>
      </c>
      <c r="E1639" s="6" t="s">
        <v>35</v>
      </c>
      <c r="F1639" s="6">
        <v>104933</v>
      </c>
      <c r="G1639" s="7">
        <v>104936</v>
      </c>
      <c r="H1639" s="6">
        <f>(G1639-F1639)</f>
        <v>3.0</v>
      </c>
      <c r="I1639" s="6" t="s">
        <v>24</v>
      </c>
      <c r="J1639" s="6" t="s">
        <v>48</v>
      </c>
    </row>
    <row r="1640" spans="1:10" ht="23" customHeight="1">
      <c r="A1640" s="6" t="s">
        <v>29</v>
      </c>
      <c r="B1640" s="6">
        <v>6</v>
      </c>
      <c r="C1640" s="6" t="s">
        <v>30</v>
      </c>
      <c r="D1640" s="6">
        <v>168</v>
      </c>
      <c r="E1640" s="6" t="s">
        <v>36</v>
      </c>
      <c r="F1640" s="6">
        <v>560.7</v>
      </c>
      <c r="G1640" s="7">
        <v>672.8</v>
      </c>
      <c r="H1640" s="6">
        <f>(G1640-F1640)</f>
        <v>112.09999999999991</v>
      </c>
      <c r="I1640" s="6" t="s">
        <v>24</v>
      </c>
      <c r="J1640" s="6" t="s">
        <v>48</v>
      </c>
    </row>
    <row r="1641" spans="1:10" ht="23" customHeight="1">
      <c r="A1641" s="6" t="s">
        <v>29</v>
      </c>
      <c r="B1641" s="6">
        <v>6</v>
      </c>
      <c r="C1641" s="6" t="s">
        <v>30</v>
      </c>
      <c r="D1641" s="6">
        <v>168</v>
      </c>
      <c r="E1641" s="6" t="s">
        <v>37</v>
      </c>
      <c r="F1641" s="6">
        <v>560.7</v>
      </c>
      <c r="G1641" s="7">
        <v>672.8</v>
      </c>
      <c r="H1641" s="6">
        <f>(G1641-F1641)</f>
        <v>112.09999999999991</v>
      </c>
      <c r="I1641" s="6" t="s">
        <v>24</v>
      </c>
      <c r="J1641" s="6" t="s">
        <v>48</v>
      </c>
    </row>
    <row r="1642" spans="1:10" ht="23" customHeight="1">
      <c r="A1642" s="6" t="s">
        <v>29</v>
      </c>
      <c r="B1642" s="6">
        <v>6</v>
      </c>
      <c r="C1642" s="6" t="s">
        <v>30</v>
      </c>
      <c r="D1642" s="6">
        <v>168</v>
      </c>
      <c r="E1642" s="6" t="s">
        <v>38</v>
      </c>
      <c r="F1642" s="6">
        <v>104933</v>
      </c>
      <c r="G1642" s="7">
        <v>104936</v>
      </c>
      <c r="H1642" s="6">
        <f>(G1642-F1642)</f>
        <v>3.0</v>
      </c>
      <c r="I1642" s="6" t="s">
        <v>24</v>
      </c>
      <c r="J1642" s="6" t="s">
        <v>48</v>
      </c>
    </row>
    <row r="1643" spans="1:10" ht="23" customHeight="1">
      <c r="A1643" s="6" t="s">
        <v>29</v>
      </c>
      <c r="B1643" s="6">
        <v>6</v>
      </c>
      <c r="C1643" s="6" t="s">
        <v>30</v>
      </c>
      <c r="D1643" s="6">
        <v>168</v>
      </c>
      <c r="E1643" s="6" t="s">
        <v>39</v>
      </c>
      <c r="F1643" s="6">
        <v>104933</v>
      </c>
      <c r="G1643" s="7">
        <v>104936</v>
      </c>
      <c r="H1643" s="6">
        <f>(G1643-F1643)</f>
        <v>3.0</v>
      </c>
      <c r="I1643" s="6" t="s">
        <v>24</v>
      </c>
      <c r="J1643" s="6" t="s">
        <v>48</v>
      </c>
    </row>
    <row r="1644" spans="1:10" ht="23" customHeight="1">
      <c r="A1644" s="6" t="s">
        <v>29</v>
      </c>
      <c r="B1644" s="6">
        <v>6</v>
      </c>
      <c r="C1644" s="6" t="s">
        <v>30</v>
      </c>
      <c r="D1644" s="6">
        <v>168</v>
      </c>
      <c r="E1644" s="6" t="s">
        <v>40</v>
      </c>
      <c r="F1644" s="6">
        <v>104933</v>
      </c>
      <c r="G1644" s="7">
        <v>104936</v>
      </c>
      <c r="H1644" s="6">
        <f>(G1644-F1644)</f>
        <v>3.0</v>
      </c>
      <c r="I1644" s="6" t="s">
        <v>24</v>
      </c>
      <c r="J1644" s="6" t="s">
        <v>48</v>
      </c>
    </row>
    <row r="1645" spans="1:10" ht="23" customHeight="1">
      <c r="A1645" s="6" t="s">
        <v>29</v>
      </c>
      <c r="B1645" s="6">
        <v>6</v>
      </c>
      <c r="C1645" s="6" t="s">
        <v>30</v>
      </c>
      <c r="D1645" s="6">
        <v>168</v>
      </c>
      <c r="E1645" s="6" t="s">
        <v>41</v>
      </c>
      <c r="F1645" s="6">
        <v>104933</v>
      </c>
      <c r="G1645" s="7">
        <v>104936</v>
      </c>
      <c r="H1645" s="6">
        <f>(G1645-F1645)</f>
        <v>3.0</v>
      </c>
      <c r="I1645" s="6" t="s">
        <v>24</v>
      </c>
      <c r="J1645" s="6" t="s">
        <v>48</v>
      </c>
    </row>
    <row r="1646" spans="1:10" ht="23" customHeight="1">
      <c r="A1646" s="6" t="s">
        <v>29</v>
      </c>
      <c r="B1646" s="6">
        <v>6</v>
      </c>
      <c r="C1646" s="6" t="s">
        <v>30</v>
      </c>
      <c r="D1646" s="6">
        <v>169</v>
      </c>
      <c r="E1646" s="6" t="s">
        <v>31</v>
      </c>
      <c r="F1646" s="6">
        <v>104933</v>
      </c>
      <c r="G1646" s="7">
        <v>104936</v>
      </c>
      <c r="H1646" s="6">
        <f>(G1646-F1646)</f>
        <v>3.0</v>
      </c>
      <c r="I1646" s="6" t="s">
        <v>24</v>
      </c>
      <c r="J1646" s="6" t="s">
        <v>48</v>
      </c>
    </row>
    <row r="1647" spans="1:10" ht="23" customHeight="1">
      <c r="A1647" s="6" t="s">
        <v>29</v>
      </c>
      <c r="B1647" s="6">
        <v>6</v>
      </c>
      <c r="C1647" s="6" t="s">
        <v>30</v>
      </c>
      <c r="D1647" s="6">
        <v>169</v>
      </c>
      <c r="E1647" s="6" t="s">
        <v>32</v>
      </c>
      <c r="F1647" s="6">
        <v>560.7</v>
      </c>
      <c r="G1647" s="7">
        <v>672.8</v>
      </c>
      <c r="H1647" s="6">
        <f>(G1647-F1647)</f>
        <v>112.09999999999991</v>
      </c>
      <c r="I1647" s="6" t="s">
        <v>24</v>
      </c>
      <c r="J1647" s="6" t="s">
        <v>48</v>
      </c>
    </row>
    <row r="1648" spans="1:10" ht="23" customHeight="1">
      <c r="A1648" s="6" t="s">
        <v>29</v>
      </c>
      <c r="B1648" s="6">
        <v>6</v>
      </c>
      <c r="C1648" s="6" t="s">
        <v>30</v>
      </c>
      <c r="D1648" s="6">
        <v>169</v>
      </c>
      <c r="E1648" s="6" t="s">
        <v>34</v>
      </c>
      <c r="F1648" s="6">
        <v>560.7</v>
      </c>
      <c r="G1648" s="7">
        <v>672.8</v>
      </c>
      <c r="H1648" s="6">
        <f>(G1648-F1648)</f>
        <v>112.09999999999991</v>
      </c>
      <c r="I1648" s="6" t="s">
        <v>24</v>
      </c>
      <c r="J1648" s="6" t="s">
        <v>48</v>
      </c>
    </row>
    <row r="1649" spans="1:10" ht="23" customHeight="1">
      <c r="A1649" s="6" t="s">
        <v>29</v>
      </c>
      <c r="B1649" s="6">
        <v>6</v>
      </c>
      <c r="C1649" s="6" t="s">
        <v>30</v>
      </c>
      <c r="D1649" s="6">
        <v>169</v>
      </c>
      <c r="E1649" s="6" t="s">
        <v>35</v>
      </c>
      <c r="F1649" s="6">
        <v>104933</v>
      </c>
      <c r="G1649" s="7">
        <v>104936</v>
      </c>
      <c r="H1649" s="6">
        <f>(G1649-F1649)</f>
        <v>3.0</v>
      </c>
      <c r="I1649" s="6" t="s">
        <v>24</v>
      </c>
      <c r="J1649" s="6" t="s">
        <v>48</v>
      </c>
    </row>
    <row r="1650" spans="1:10" ht="23" customHeight="1">
      <c r="A1650" s="6" t="s">
        <v>29</v>
      </c>
      <c r="B1650" s="6">
        <v>6</v>
      </c>
      <c r="C1650" s="6" t="s">
        <v>30</v>
      </c>
      <c r="D1650" s="6">
        <v>169</v>
      </c>
      <c r="E1650" s="6" t="s">
        <v>36</v>
      </c>
      <c r="F1650" s="6">
        <v>560.7</v>
      </c>
      <c r="G1650" s="7">
        <v>672.8</v>
      </c>
      <c r="H1650" s="6">
        <f>(G1650-F1650)</f>
        <v>112.09999999999991</v>
      </c>
      <c r="I1650" s="6" t="s">
        <v>24</v>
      </c>
      <c r="J1650" s="6" t="s">
        <v>48</v>
      </c>
    </row>
    <row r="1651" spans="1:10" ht="23" customHeight="1">
      <c r="A1651" s="6" t="s">
        <v>29</v>
      </c>
      <c r="B1651" s="6">
        <v>6</v>
      </c>
      <c r="C1651" s="6" t="s">
        <v>30</v>
      </c>
      <c r="D1651" s="6">
        <v>169</v>
      </c>
      <c r="E1651" s="6" t="s">
        <v>37</v>
      </c>
      <c r="F1651" s="6">
        <v>560.7</v>
      </c>
      <c r="G1651" s="7">
        <v>672.8</v>
      </c>
      <c r="H1651" s="6">
        <f>(G1651-F1651)</f>
        <v>112.09999999999991</v>
      </c>
      <c r="I1651" s="6" t="s">
        <v>24</v>
      </c>
      <c r="J1651" s="6" t="s">
        <v>48</v>
      </c>
    </row>
    <row r="1652" spans="1:10" ht="23" customHeight="1">
      <c r="A1652" s="6" t="s">
        <v>29</v>
      </c>
      <c r="B1652" s="6">
        <v>6</v>
      </c>
      <c r="C1652" s="6" t="s">
        <v>30</v>
      </c>
      <c r="D1652" s="6">
        <v>169</v>
      </c>
      <c r="E1652" s="6" t="s">
        <v>38</v>
      </c>
      <c r="F1652" s="6">
        <v>104933</v>
      </c>
      <c r="G1652" s="7">
        <v>104936</v>
      </c>
      <c r="H1652" s="6">
        <f>(G1652-F1652)</f>
        <v>3.0</v>
      </c>
      <c r="I1652" s="6" t="s">
        <v>24</v>
      </c>
      <c r="J1652" s="6" t="s">
        <v>48</v>
      </c>
    </row>
    <row r="1653" spans="1:10" ht="23" customHeight="1">
      <c r="A1653" s="6" t="s">
        <v>29</v>
      </c>
      <c r="B1653" s="6">
        <v>6</v>
      </c>
      <c r="C1653" s="6" t="s">
        <v>30</v>
      </c>
      <c r="D1653" s="6">
        <v>169</v>
      </c>
      <c r="E1653" s="6" t="s">
        <v>39</v>
      </c>
      <c r="F1653" s="6">
        <v>104933</v>
      </c>
      <c r="G1653" s="7">
        <v>104936</v>
      </c>
      <c r="H1653" s="6">
        <f>(G1653-F1653)</f>
        <v>3.0</v>
      </c>
      <c r="I1653" s="6" t="s">
        <v>24</v>
      </c>
      <c r="J1653" s="6" t="s">
        <v>48</v>
      </c>
    </row>
    <row r="1654" spans="1:10" ht="23" customHeight="1">
      <c r="A1654" s="6" t="s">
        <v>29</v>
      </c>
      <c r="B1654" s="6">
        <v>6</v>
      </c>
      <c r="C1654" s="6" t="s">
        <v>30</v>
      </c>
      <c r="D1654" s="6">
        <v>169</v>
      </c>
      <c r="E1654" s="6" t="s">
        <v>40</v>
      </c>
      <c r="F1654" s="6">
        <v>104933</v>
      </c>
      <c r="G1654" s="7">
        <v>104936</v>
      </c>
      <c r="H1654" s="6">
        <f>(G1654-F1654)</f>
        <v>3.0</v>
      </c>
      <c r="I1654" s="6" t="s">
        <v>24</v>
      </c>
      <c r="J1654" s="6" t="s">
        <v>48</v>
      </c>
    </row>
    <row r="1655" spans="1:10" ht="23" customHeight="1">
      <c r="A1655" s="6" t="s">
        <v>29</v>
      </c>
      <c r="B1655" s="6">
        <v>6</v>
      </c>
      <c r="C1655" s="6" t="s">
        <v>30</v>
      </c>
      <c r="D1655" s="6">
        <v>169</v>
      </c>
      <c r="E1655" s="6" t="s">
        <v>41</v>
      </c>
      <c r="F1655" s="6">
        <v>104933</v>
      </c>
      <c r="G1655" s="7">
        <v>104936</v>
      </c>
      <c r="H1655" s="6">
        <f>(G1655-F1655)</f>
        <v>3.0</v>
      </c>
      <c r="I1655" s="6" t="s">
        <v>24</v>
      </c>
      <c r="J1655" s="6" t="s">
        <v>48</v>
      </c>
    </row>
    <row r="1656" spans="1:10" ht="23" customHeight="1">
      <c r="A1656" s="6" t="s">
        <v>29</v>
      </c>
      <c r="B1656" s="6">
        <v>6</v>
      </c>
      <c r="C1656" s="6" t="s">
        <v>30</v>
      </c>
      <c r="D1656" s="6">
        <v>170</v>
      </c>
      <c r="E1656" s="6" t="s">
        <v>31</v>
      </c>
      <c r="F1656" s="6">
        <v>104933</v>
      </c>
      <c r="G1656" s="7">
        <v>104936</v>
      </c>
      <c r="H1656" s="6">
        <f>(G1656-F1656)</f>
        <v>3.0</v>
      </c>
      <c r="I1656" s="6" t="s">
        <v>24</v>
      </c>
      <c r="J1656" s="6" t="s">
        <v>48</v>
      </c>
    </row>
    <row r="1657" spans="1:10" ht="23" customHeight="1">
      <c r="A1657" s="6" t="s">
        <v>29</v>
      </c>
      <c r="B1657" s="6">
        <v>6</v>
      </c>
      <c r="C1657" s="6" t="s">
        <v>30</v>
      </c>
      <c r="D1657" s="6">
        <v>170</v>
      </c>
      <c r="E1657" s="6" t="s">
        <v>32</v>
      </c>
      <c r="F1657" s="6">
        <v>560.7</v>
      </c>
      <c r="G1657" s="7">
        <v>672.8</v>
      </c>
      <c r="H1657" s="6">
        <f>(G1657-F1657)</f>
        <v>112.09999999999991</v>
      </c>
      <c r="I1657" s="6" t="s">
        <v>24</v>
      </c>
      <c r="J1657" s="6" t="s">
        <v>48</v>
      </c>
    </row>
    <row r="1658" spans="1:10" ht="23" customHeight="1">
      <c r="A1658" s="6" t="s">
        <v>29</v>
      </c>
      <c r="B1658" s="6">
        <v>6</v>
      </c>
      <c r="C1658" s="6" t="s">
        <v>30</v>
      </c>
      <c r="D1658" s="6">
        <v>170</v>
      </c>
      <c r="E1658" s="6" t="s">
        <v>34</v>
      </c>
      <c r="F1658" s="6">
        <v>560.7</v>
      </c>
      <c r="G1658" s="7">
        <v>672.8</v>
      </c>
      <c r="H1658" s="6">
        <f>(G1658-F1658)</f>
        <v>112.09999999999991</v>
      </c>
      <c r="I1658" s="6" t="s">
        <v>24</v>
      </c>
      <c r="J1658" s="6" t="s">
        <v>48</v>
      </c>
    </row>
    <row r="1659" spans="1:10" ht="23" customHeight="1">
      <c r="A1659" s="6" t="s">
        <v>29</v>
      </c>
      <c r="B1659" s="6">
        <v>6</v>
      </c>
      <c r="C1659" s="6" t="s">
        <v>30</v>
      </c>
      <c r="D1659" s="6">
        <v>170</v>
      </c>
      <c r="E1659" s="6" t="s">
        <v>35</v>
      </c>
      <c r="F1659" s="6">
        <v>104933</v>
      </c>
      <c r="G1659" s="7">
        <v>104936</v>
      </c>
      <c r="H1659" s="6">
        <f>(G1659-F1659)</f>
        <v>3.0</v>
      </c>
      <c r="I1659" s="6" t="s">
        <v>24</v>
      </c>
      <c r="J1659" s="6" t="s">
        <v>48</v>
      </c>
    </row>
    <row r="1660" spans="1:10" ht="23" customHeight="1">
      <c r="A1660" s="6" t="s">
        <v>29</v>
      </c>
      <c r="B1660" s="6">
        <v>6</v>
      </c>
      <c r="C1660" s="6" t="s">
        <v>30</v>
      </c>
      <c r="D1660" s="6">
        <v>170</v>
      </c>
      <c r="E1660" s="6" t="s">
        <v>36</v>
      </c>
      <c r="F1660" s="6">
        <v>560.7</v>
      </c>
      <c r="G1660" s="7">
        <v>672.8</v>
      </c>
      <c r="H1660" s="6">
        <f>(G1660-F1660)</f>
        <v>112.09999999999991</v>
      </c>
      <c r="I1660" s="6" t="s">
        <v>24</v>
      </c>
      <c r="J1660" s="6" t="s">
        <v>48</v>
      </c>
    </row>
    <row r="1661" spans="1:10" ht="23" customHeight="1">
      <c r="A1661" s="6" t="s">
        <v>29</v>
      </c>
      <c r="B1661" s="6">
        <v>6</v>
      </c>
      <c r="C1661" s="6" t="s">
        <v>30</v>
      </c>
      <c r="D1661" s="6">
        <v>170</v>
      </c>
      <c r="E1661" s="6" t="s">
        <v>37</v>
      </c>
      <c r="F1661" s="6">
        <v>560.7</v>
      </c>
      <c r="G1661" s="7">
        <v>672.8</v>
      </c>
      <c r="H1661" s="6">
        <f>(G1661-F1661)</f>
        <v>112.09999999999991</v>
      </c>
      <c r="I1661" s="6" t="s">
        <v>24</v>
      </c>
      <c r="J1661" s="6" t="s">
        <v>48</v>
      </c>
    </row>
    <row r="1662" spans="1:10" ht="23" customHeight="1">
      <c r="A1662" s="6" t="s">
        <v>29</v>
      </c>
      <c r="B1662" s="6">
        <v>6</v>
      </c>
      <c r="C1662" s="6" t="s">
        <v>30</v>
      </c>
      <c r="D1662" s="6">
        <v>170</v>
      </c>
      <c r="E1662" s="6" t="s">
        <v>38</v>
      </c>
      <c r="F1662" s="6">
        <v>104933</v>
      </c>
      <c r="G1662" s="7">
        <v>104936</v>
      </c>
      <c r="H1662" s="6">
        <f>(G1662-F1662)</f>
        <v>3.0</v>
      </c>
      <c r="I1662" s="6" t="s">
        <v>24</v>
      </c>
      <c r="J1662" s="6" t="s">
        <v>48</v>
      </c>
    </row>
    <row r="1663" spans="1:10" ht="23" customHeight="1">
      <c r="A1663" s="6" t="s">
        <v>29</v>
      </c>
      <c r="B1663" s="6">
        <v>6</v>
      </c>
      <c r="C1663" s="6" t="s">
        <v>30</v>
      </c>
      <c r="D1663" s="6">
        <v>170</v>
      </c>
      <c r="E1663" s="6" t="s">
        <v>39</v>
      </c>
      <c r="F1663" s="6">
        <v>104933</v>
      </c>
      <c r="G1663" s="7">
        <v>104936</v>
      </c>
      <c r="H1663" s="6">
        <f>(G1663-F1663)</f>
        <v>3.0</v>
      </c>
      <c r="I1663" s="6" t="s">
        <v>24</v>
      </c>
      <c r="J1663" s="6" t="s">
        <v>48</v>
      </c>
    </row>
    <row r="1664" spans="1:10" ht="23" customHeight="1">
      <c r="A1664" s="6" t="s">
        <v>29</v>
      </c>
      <c r="B1664" s="6">
        <v>6</v>
      </c>
      <c r="C1664" s="6" t="s">
        <v>30</v>
      </c>
      <c r="D1664" s="6">
        <v>170</v>
      </c>
      <c r="E1664" s="6" t="s">
        <v>40</v>
      </c>
      <c r="F1664" s="6">
        <v>104933</v>
      </c>
      <c r="G1664" s="7">
        <v>104936</v>
      </c>
      <c r="H1664" s="6">
        <f>(G1664-F1664)</f>
        <v>3.0</v>
      </c>
      <c r="I1664" s="6" t="s">
        <v>24</v>
      </c>
      <c r="J1664" s="6" t="s">
        <v>48</v>
      </c>
    </row>
    <row r="1665" spans="1:10" ht="23" customHeight="1">
      <c r="A1665" s="6" t="s">
        <v>29</v>
      </c>
      <c r="B1665" s="6">
        <v>6</v>
      </c>
      <c r="C1665" s="6" t="s">
        <v>30</v>
      </c>
      <c r="D1665" s="6">
        <v>170</v>
      </c>
      <c r="E1665" s="6" t="s">
        <v>41</v>
      </c>
      <c r="F1665" s="6">
        <v>104933</v>
      </c>
      <c r="G1665" s="7">
        <v>104936</v>
      </c>
      <c r="H1665" s="6">
        <f>(G1665-F1665)</f>
        <v>3.0</v>
      </c>
      <c r="I1665" s="6" t="s">
        <v>24</v>
      </c>
      <c r="J1665" s="6" t="s">
        <v>48</v>
      </c>
    </row>
    <row r="1666" spans="1:10" ht="23" customHeight="1">
      <c r="A1666" s="6" t="s">
        <v>29</v>
      </c>
      <c r="B1666" s="6">
        <v>6</v>
      </c>
      <c r="C1666" s="6" t="s">
        <v>30</v>
      </c>
      <c r="D1666" s="6">
        <v>171</v>
      </c>
      <c r="E1666" s="6" t="s">
        <v>31</v>
      </c>
      <c r="F1666" s="6">
        <v>36323</v>
      </c>
      <c r="G1666" s="7">
        <v>36324</v>
      </c>
      <c r="H1666" s="6">
        <f>(G1666-F1666)</f>
        <v>1.0</v>
      </c>
      <c r="I1666" s="6" t="s">
        <v>24</v>
      </c>
      <c r="J1666" s="6" t="s">
        <v>48</v>
      </c>
    </row>
    <row r="1667" spans="1:10" ht="23" customHeight="1">
      <c r="A1667" s="6" t="s">
        <v>29</v>
      </c>
      <c r="B1667" s="6">
        <v>6</v>
      </c>
      <c r="C1667" s="6" t="s">
        <v>30</v>
      </c>
      <c r="D1667" s="6">
        <v>171</v>
      </c>
      <c r="E1667" s="6" t="s">
        <v>32</v>
      </c>
      <c r="F1667" s="6">
        <v>194.1</v>
      </c>
      <c r="G1667" s="7">
        <v>232.9</v>
      </c>
      <c r="H1667" s="6">
        <f>(G1667-F1667)</f>
        <v>38.80000000000001</v>
      </c>
      <c r="I1667" s="6" t="s">
        <v>24</v>
      </c>
      <c r="J1667" s="6" t="s">
        <v>48</v>
      </c>
    </row>
    <row r="1668" spans="1:10" ht="23" customHeight="1">
      <c r="A1668" s="6" t="s">
        <v>29</v>
      </c>
      <c r="B1668" s="6">
        <v>6</v>
      </c>
      <c r="C1668" s="6" t="s">
        <v>30</v>
      </c>
      <c r="D1668" s="6">
        <v>171</v>
      </c>
      <c r="E1668" s="6" t="s">
        <v>34</v>
      </c>
      <c r="F1668" s="6">
        <v>194.1</v>
      </c>
      <c r="G1668" s="7">
        <v>232.9</v>
      </c>
      <c r="H1668" s="6">
        <f>(G1668-F1668)</f>
        <v>38.80000000000001</v>
      </c>
      <c r="I1668" s="6" t="s">
        <v>24</v>
      </c>
      <c r="J1668" s="6" t="s">
        <v>48</v>
      </c>
    </row>
    <row r="1669" spans="1:10" ht="23" customHeight="1">
      <c r="A1669" s="6" t="s">
        <v>29</v>
      </c>
      <c r="B1669" s="6">
        <v>6</v>
      </c>
      <c r="C1669" s="6" t="s">
        <v>30</v>
      </c>
      <c r="D1669" s="6">
        <v>171</v>
      </c>
      <c r="E1669" s="6" t="s">
        <v>35</v>
      </c>
      <c r="F1669" s="6">
        <v>36323</v>
      </c>
      <c r="G1669" s="7">
        <v>36324</v>
      </c>
      <c r="H1669" s="6">
        <f>(G1669-F1669)</f>
        <v>1.0</v>
      </c>
      <c r="I1669" s="6" t="s">
        <v>24</v>
      </c>
      <c r="J1669" s="6" t="s">
        <v>48</v>
      </c>
    </row>
    <row r="1670" spans="1:10" ht="23" customHeight="1">
      <c r="A1670" s="6" t="s">
        <v>29</v>
      </c>
      <c r="B1670" s="6">
        <v>6</v>
      </c>
      <c r="C1670" s="6" t="s">
        <v>30</v>
      </c>
      <c r="D1670" s="6">
        <v>171</v>
      </c>
      <c r="E1670" s="6" t="s">
        <v>36</v>
      </c>
      <c r="F1670" s="6">
        <v>194.1</v>
      </c>
      <c r="G1670" s="7">
        <v>232.9</v>
      </c>
      <c r="H1670" s="6">
        <f>(G1670-F1670)</f>
        <v>38.80000000000001</v>
      </c>
      <c r="I1670" s="6" t="s">
        <v>24</v>
      </c>
      <c r="J1670" s="6" t="s">
        <v>48</v>
      </c>
    </row>
    <row r="1671" spans="1:10" ht="23" customHeight="1">
      <c r="A1671" s="6" t="s">
        <v>29</v>
      </c>
      <c r="B1671" s="6">
        <v>6</v>
      </c>
      <c r="C1671" s="6" t="s">
        <v>30</v>
      </c>
      <c r="D1671" s="6">
        <v>171</v>
      </c>
      <c r="E1671" s="6" t="s">
        <v>37</v>
      </c>
      <c r="F1671" s="6">
        <v>194.1</v>
      </c>
      <c r="G1671" s="7">
        <v>232.9</v>
      </c>
      <c r="H1671" s="6">
        <f>(G1671-F1671)</f>
        <v>38.80000000000001</v>
      </c>
      <c r="I1671" s="6" t="s">
        <v>24</v>
      </c>
      <c r="J1671" s="6" t="s">
        <v>48</v>
      </c>
    </row>
    <row r="1672" spans="1:10" ht="23" customHeight="1">
      <c r="A1672" s="6" t="s">
        <v>29</v>
      </c>
      <c r="B1672" s="6">
        <v>6</v>
      </c>
      <c r="C1672" s="6" t="s">
        <v>30</v>
      </c>
      <c r="D1672" s="6">
        <v>171</v>
      </c>
      <c r="E1672" s="6" t="s">
        <v>38</v>
      </c>
      <c r="F1672" s="6">
        <v>36323</v>
      </c>
      <c r="G1672" s="7">
        <v>36324</v>
      </c>
      <c r="H1672" s="6">
        <f>(G1672-F1672)</f>
        <v>1.0</v>
      </c>
      <c r="I1672" s="6" t="s">
        <v>24</v>
      </c>
      <c r="J1672" s="6" t="s">
        <v>48</v>
      </c>
    </row>
    <row r="1673" spans="1:10" ht="23" customHeight="1">
      <c r="A1673" s="6" t="s">
        <v>29</v>
      </c>
      <c r="B1673" s="6">
        <v>6</v>
      </c>
      <c r="C1673" s="6" t="s">
        <v>30</v>
      </c>
      <c r="D1673" s="6">
        <v>171</v>
      </c>
      <c r="E1673" s="6" t="s">
        <v>39</v>
      </c>
      <c r="F1673" s="6">
        <v>36323</v>
      </c>
      <c r="G1673" s="7">
        <v>36324</v>
      </c>
      <c r="H1673" s="6">
        <f>(G1673-F1673)</f>
        <v>1.0</v>
      </c>
      <c r="I1673" s="6" t="s">
        <v>24</v>
      </c>
      <c r="J1673" s="6" t="s">
        <v>48</v>
      </c>
    </row>
    <row r="1674" spans="1:10" ht="23" customHeight="1">
      <c r="A1674" s="6" t="s">
        <v>29</v>
      </c>
      <c r="B1674" s="6">
        <v>6</v>
      </c>
      <c r="C1674" s="6" t="s">
        <v>30</v>
      </c>
      <c r="D1674" s="6">
        <v>171</v>
      </c>
      <c r="E1674" s="6" t="s">
        <v>40</v>
      </c>
      <c r="F1674" s="6">
        <v>36323</v>
      </c>
      <c r="G1674" s="7">
        <v>36324</v>
      </c>
      <c r="H1674" s="6">
        <f>(G1674-F1674)</f>
        <v>1.0</v>
      </c>
      <c r="I1674" s="6" t="s">
        <v>24</v>
      </c>
      <c r="J1674" s="6" t="s">
        <v>48</v>
      </c>
    </row>
    <row r="1675" spans="1:10" ht="23" customHeight="1">
      <c r="A1675" s="6" t="s">
        <v>29</v>
      </c>
      <c r="B1675" s="6">
        <v>6</v>
      </c>
      <c r="C1675" s="6" t="s">
        <v>30</v>
      </c>
      <c r="D1675" s="6">
        <v>171</v>
      </c>
      <c r="E1675" s="6" t="s">
        <v>41</v>
      </c>
      <c r="F1675" s="6">
        <v>36323</v>
      </c>
      <c r="G1675" s="7">
        <v>36324</v>
      </c>
      <c r="H1675" s="6">
        <f>(G1675-F1675)</f>
        <v>1.0</v>
      </c>
      <c r="I1675" s="6" t="s">
        <v>24</v>
      </c>
      <c r="J1675" s="6" t="s">
        <v>48</v>
      </c>
    </row>
    <row r="1676" spans="1:10" ht="23" customHeight="1">
      <c r="A1676" s="6" t="s">
        <v>42</v>
      </c>
      <c r="B1676" s="6">
        <v>4</v>
      </c>
      <c r="C1676" s="6" t="s">
        <v>30</v>
      </c>
      <c r="D1676" s="6">
        <v>122</v>
      </c>
      <c r="E1676" s="6" t="s">
        <v>31</v>
      </c>
      <c r="F1676" s="6">
        <v>327072</v>
      </c>
      <c r="G1676" s="7">
        <v>327072</v>
      </c>
      <c r="H1676" s="6">
        <f>(G1676-F1676)</f>
        <v>0.0</v>
      </c>
      <c r="I1676" s="6" t="s">
        <v>23</v>
      </c>
      <c r="J1676" s="6" t="s">
        <v>48</v>
      </c>
    </row>
    <row r="1677" spans="1:10" ht="23" customHeight="1">
      <c r="A1677" s="6" t="s">
        <v>42</v>
      </c>
      <c r="B1677" s="6">
        <v>4</v>
      </c>
      <c r="C1677" s="6" t="s">
        <v>30</v>
      </c>
      <c r="D1677" s="6">
        <v>122</v>
      </c>
      <c r="E1677" s="6" t="s">
        <v>32</v>
      </c>
      <c r="F1677" s="6">
        <v>7167.5</v>
      </c>
      <c r="G1677" s="7">
        <v>7167.5</v>
      </c>
      <c r="H1677" s="6">
        <f>(G1677-F1677)</f>
        <v>0.0</v>
      </c>
      <c r="I1677" s="6" t="s">
        <v>23</v>
      </c>
      <c r="J1677" s="6" t="s">
        <v>48</v>
      </c>
    </row>
    <row r="1678" spans="1:10" ht="23" customHeight="1">
      <c r="A1678" s="6" t="s">
        <v>42</v>
      </c>
      <c r="B1678" s="6">
        <v>4</v>
      </c>
      <c r="C1678" s="6" t="s">
        <v>30</v>
      </c>
      <c r="D1678" s="6">
        <v>122</v>
      </c>
      <c r="E1678" s="6" t="s">
        <v>34</v>
      </c>
      <c r="F1678" s="6"/>
      <c r="G1678" s="7"/>
      <c r="H1678" s="6"/>
      <c r="I1678" s="6" t="s">
        <v>23</v>
      </c>
      <c r="J1678" s="6" t="s">
        <v>48</v>
      </c>
    </row>
    <row r="1679" spans="1:10" ht="23" customHeight="1">
      <c r="A1679" s="6" t="s">
        <v>42</v>
      </c>
      <c r="B1679" s="6">
        <v>4</v>
      </c>
      <c r="C1679" s="6" t="s">
        <v>30</v>
      </c>
      <c r="D1679" s="6">
        <v>122</v>
      </c>
      <c r="E1679" s="6" t="s">
        <v>35</v>
      </c>
      <c r="F1679" s="6">
        <v>88418</v>
      </c>
      <c r="G1679" s="7">
        <v>88418</v>
      </c>
      <c r="H1679" s="6">
        <f>(G1679-F1679)</f>
        <v>0.0</v>
      </c>
      <c r="I1679" s="6" t="s">
        <v>23</v>
      </c>
      <c r="J1679" s="6" t="s">
        <v>48</v>
      </c>
    </row>
    <row r="1680" spans="1:10" ht="23" customHeight="1">
      <c r="A1680" s="6" t="s">
        <v>42</v>
      </c>
      <c r="B1680" s="6">
        <v>4</v>
      </c>
      <c r="C1680" s="6" t="s">
        <v>30</v>
      </c>
      <c r="D1680" s="6">
        <v>122</v>
      </c>
      <c r="E1680" s="6" t="s">
        <v>36</v>
      </c>
      <c r="F1680" s="6">
        <v>16724.3</v>
      </c>
      <c r="G1680" s="7">
        <v>16724.3</v>
      </c>
      <c r="H1680" s="6">
        <f>(G1680-F1680)</f>
        <v>0.0</v>
      </c>
      <c r="I1680" s="6" t="s">
        <v>23</v>
      </c>
      <c r="J1680" s="6" t="s">
        <v>48</v>
      </c>
    </row>
    <row r="1681" spans="1:10" ht="23" customHeight="1">
      <c r="A1681" s="6" t="s">
        <v>42</v>
      </c>
      <c r="B1681" s="6">
        <v>4</v>
      </c>
      <c r="C1681" s="6" t="s">
        <v>30</v>
      </c>
      <c r="D1681" s="6">
        <v>122</v>
      </c>
      <c r="E1681" s="6" t="s">
        <v>37</v>
      </c>
      <c r="F1681" s="6"/>
      <c r="G1681" s="7"/>
      <c r="H1681" s="6"/>
      <c r="I1681" s="6" t="s">
        <v>23</v>
      </c>
      <c r="J1681" s="6" t="s">
        <v>48</v>
      </c>
    </row>
    <row r="1682" spans="1:10" ht="23" customHeight="1">
      <c r="A1682" s="6" t="s">
        <v>42</v>
      </c>
      <c r="B1682" s="6">
        <v>4</v>
      </c>
      <c r="C1682" s="6" t="s">
        <v>30</v>
      </c>
      <c r="D1682" s="6">
        <v>122</v>
      </c>
      <c r="E1682" s="6" t="s">
        <v>38</v>
      </c>
      <c r="F1682" s="6">
        <v>88418</v>
      </c>
      <c r="G1682" s="7">
        <v>88418</v>
      </c>
      <c r="H1682" s="6">
        <f>(G1682-F1682)</f>
        <v>0.0</v>
      </c>
      <c r="I1682" s="6" t="s">
        <v>23</v>
      </c>
      <c r="J1682" s="6" t="s">
        <v>48</v>
      </c>
    </row>
    <row r="1683" spans="1:10" ht="23" customHeight="1">
      <c r="A1683" s="6" t="s">
        <v>42</v>
      </c>
      <c r="B1683" s="6">
        <v>4</v>
      </c>
      <c r="C1683" s="6" t="s">
        <v>30</v>
      </c>
      <c r="D1683" s="6">
        <v>122</v>
      </c>
      <c r="E1683" s="6" t="s">
        <v>39</v>
      </c>
      <c r="F1683" s="6">
        <v>327072</v>
      </c>
      <c r="G1683" s="7">
        <v>327072</v>
      </c>
      <c r="H1683" s="6">
        <f>(G1683-F1683)</f>
        <v>0.0</v>
      </c>
      <c r="I1683" s="6" t="s">
        <v>23</v>
      </c>
      <c r="J1683" s="6" t="s">
        <v>48</v>
      </c>
    </row>
    <row r="1684" spans="1:10" ht="23" customHeight="1">
      <c r="A1684" s="6" t="s">
        <v>42</v>
      </c>
      <c r="B1684" s="6">
        <v>4</v>
      </c>
      <c r="C1684" s="6" t="s">
        <v>30</v>
      </c>
      <c r="D1684" s="6">
        <v>122</v>
      </c>
      <c r="E1684" s="6" t="s">
        <v>40</v>
      </c>
      <c r="F1684" s="6">
        <v>88418</v>
      </c>
      <c r="G1684" s="7">
        <v>88418</v>
      </c>
      <c r="H1684" s="6">
        <f>(G1684-F1684)</f>
        <v>0.0</v>
      </c>
      <c r="I1684" s="6" t="s">
        <v>23</v>
      </c>
      <c r="J1684" s="6" t="s">
        <v>48</v>
      </c>
    </row>
    <row r="1685" spans="1:10" ht="23" customHeight="1">
      <c r="A1685" s="6" t="s">
        <v>42</v>
      </c>
      <c r="B1685" s="6">
        <v>4</v>
      </c>
      <c r="C1685" s="6" t="s">
        <v>30</v>
      </c>
      <c r="D1685" s="6">
        <v>122</v>
      </c>
      <c r="E1685" s="6" t="s">
        <v>41</v>
      </c>
      <c r="F1685" s="6">
        <v>88418</v>
      </c>
      <c r="G1685" s="7">
        <v>88418</v>
      </c>
      <c r="H1685" s="6">
        <f>(G1685-F1685)</f>
        <v>0.0</v>
      </c>
      <c r="I1685" s="6" t="s">
        <v>23</v>
      </c>
      <c r="J1685" s="6" t="s">
        <v>48</v>
      </c>
    </row>
    <row r="1686" spans="1:10" ht="23" customHeight="1">
      <c r="A1686" s="6" t="s">
        <v>42</v>
      </c>
      <c r="B1686" s="6">
        <v>5</v>
      </c>
      <c r="C1686" s="6" t="s">
        <v>30</v>
      </c>
      <c r="D1686" s="6">
        <v>147</v>
      </c>
      <c r="E1686" s="6" t="s">
        <v>31</v>
      </c>
      <c r="F1686" s="6">
        <v>218048</v>
      </c>
      <c r="G1686" s="7">
        <v>218048</v>
      </c>
      <c r="H1686" s="6">
        <f>(G1686-F1686)</f>
        <v>0.0</v>
      </c>
      <c r="I1686" s="6" t="s">
        <v>23</v>
      </c>
      <c r="J1686" s="6" t="s">
        <v>48</v>
      </c>
    </row>
    <row r="1687" spans="1:10" ht="23" customHeight="1">
      <c r="A1687" s="6" t="s">
        <v>42</v>
      </c>
      <c r="B1687" s="6">
        <v>5</v>
      </c>
      <c r="C1687" s="6" t="s">
        <v>30</v>
      </c>
      <c r="D1687" s="6">
        <v>147</v>
      </c>
      <c r="E1687" s="6" t="s">
        <v>32</v>
      </c>
      <c r="F1687" s="6">
        <v>4778.4</v>
      </c>
      <c r="G1687" s="7">
        <v>4778.4</v>
      </c>
      <c r="H1687" s="6">
        <f>(G1687-F1687)</f>
        <v>0.0</v>
      </c>
      <c r="I1687" s="6" t="s">
        <v>23</v>
      </c>
      <c r="J1687" s="6" t="s">
        <v>48</v>
      </c>
    </row>
    <row r="1688" spans="1:10" ht="23" customHeight="1">
      <c r="A1688" s="6" t="s">
        <v>42</v>
      </c>
      <c r="B1688" s="6">
        <v>5</v>
      </c>
      <c r="C1688" s="6" t="s">
        <v>30</v>
      </c>
      <c r="D1688" s="6">
        <v>147</v>
      </c>
      <c r="E1688" s="6" t="s">
        <v>34</v>
      </c>
      <c r="F1688" s="6"/>
      <c r="G1688" s="7"/>
      <c r="H1688" s="6"/>
      <c r="I1688" s="6" t="s">
        <v>23</v>
      </c>
      <c r="J1688" s="6" t="s">
        <v>48</v>
      </c>
    </row>
    <row r="1689" spans="1:10" ht="23" customHeight="1">
      <c r="A1689" s="6" t="s">
        <v>42</v>
      </c>
      <c r="B1689" s="6">
        <v>5</v>
      </c>
      <c r="C1689" s="6" t="s">
        <v>30</v>
      </c>
      <c r="D1689" s="6">
        <v>147</v>
      </c>
      <c r="E1689" s="6" t="s">
        <v>35</v>
      </c>
      <c r="F1689" s="6">
        <v>58945</v>
      </c>
      <c r="G1689" s="7">
        <v>58945</v>
      </c>
      <c r="H1689" s="6">
        <f>(G1689-F1689)</f>
        <v>0.0</v>
      </c>
      <c r="I1689" s="6" t="s">
        <v>23</v>
      </c>
      <c r="J1689" s="6" t="s">
        <v>48</v>
      </c>
    </row>
    <row r="1690" spans="1:10" ht="23" customHeight="1">
      <c r="A1690" s="6" t="s">
        <v>42</v>
      </c>
      <c r="B1690" s="6">
        <v>5</v>
      </c>
      <c r="C1690" s="6" t="s">
        <v>30</v>
      </c>
      <c r="D1690" s="6">
        <v>147</v>
      </c>
      <c r="E1690" s="6" t="s">
        <v>36</v>
      </c>
      <c r="F1690" s="6">
        <v>11149.5</v>
      </c>
      <c r="G1690" s="7">
        <v>11149.5</v>
      </c>
      <c r="H1690" s="6">
        <f>(G1690-F1690)</f>
        <v>0.0</v>
      </c>
      <c r="I1690" s="6" t="s">
        <v>23</v>
      </c>
      <c r="J1690" s="6" t="s">
        <v>48</v>
      </c>
    </row>
    <row r="1691" spans="1:10" ht="23" customHeight="1">
      <c r="A1691" s="6" t="s">
        <v>42</v>
      </c>
      <c r="B1691" s="6">
        <v>5</v>
      </c>
      <c r="C1691" s="6" t="s">
        <v>30</v>
      </c>
      <c r="D1691" s="6">
        <v>147</v>
      </c>
      <c r="E1691" s="6" t="s">
        <v>37</v>
      </c>
      <c r="F1691" s="6"/>
      <c r="G1691" s="7"/>
      <c r="H1691" s="6"/>
      <c r="I1691" s="6" t="s">
        <v>23</v>
      </c>
      <c r="J1691" s="6" t="s">
        <v>48</v>
      </c>
    </row>
    <row r="1692" spans="1:10" ht="23" customHeight="1">
      <c r="A1692" s="6" t="s">
        <v>42</v>
      </c>
      <c r="B1692" s="6">
        <v>5</v>
      </c>
      <c r="C1692" s="6" t="s">
        <v>30</v>
      </c>
      <c r="D1692" s="6">
        <v>147</v>
      </c>
      <c r="E1692" s="6" t="s">
        <v>38</v>
      </c>
      <c r="F1692" s="6">
        <v>58945</v>
      </c>
      <c r="G1692" s="7">
        <v>58945</v>
      </c>
      <c r="H1692" s="6">
        <f>(G1692-F1692)</f>
        <v>0.0</v>
      </c>
      <c r="I1692" s="6" t="s">
        <v>23</v>
      </c>
      <c r="J1692" s="6" t="s">
        <v>48</v>
      </c>
    </row>
    <row r="1693" spans="1:10" ht="23" customHeight="1">
      <c r="A1693" s="6" t="s">
        <v>42</v>
      </c>
      <c r="B1693" s="6">
        <v>5</v>
      </c>
      <c r="C1693" s="6" t="s">
        <v>30</v>
      </c>
      <c r="D1693" s="6">
        <v>147</v>
      </c>
      <c r="E1693" s="6" t="s">
        <v>39</v>
      </c>
      <c r="F1693" s="6">
        <v>218048</v>
      </c>
      <c r="G1693" s="7">
        <v>218048</v>
      </c>
      <c r="H1693" s="6">
        <f>(G1693-F1693)</f>
        <v>0.0</v>
      </c>
      <c r="I1693" s="6" t="s">
        <v>23</v>
      </c>
      <c r="J1693" s="6" t="s">
        <v>48</v>
      </c>
    </row>
    <row r="1694" spans="1:10" ht="23" customHeight="1">
      <c r="A1694" s="6" t="s">
        <v>42</v>
      </c>
      <c r="B1694" s="6">
        <v>5</v>
      </c>
      <c r="C1694" s="6" t="s">
        <v>30</v>
      </c>
      <c r="D1694" s="6">
        <v>147</v>
      </c>
      <c r="E1694" s="6" t="s">
        <v>40</v>
      </c>
      <c r="F1694" s="6">
        <v>58945</v>
      </c>
      <c r="G1694" s="7">
        <v>58945</v>
      </c>
      <c r="H1694" s="6">
        <f>(G1694-F1694)</f>
        <v>0.0</v>
      </c>
      <c r="I1694" s="6" t="s">
        <v>23</v>
      </c>
      <c r="J1694" s="6" t="s">
        <v>48</v>
      </c>
    </row>
    <row r="1695" spans="1:10" ht="23" customHeight="1">
      <c r="A1695" s="6" t="s">
        <v>42</v>
      </c>
      <c r="B1695" s="6">
        <v>5</v>
      </c>
      <c r="C1695" s="6" t="s">
        <v>30</v>
      </c>
      <c r="D1695" s="6">
        <v>147</v>
      </c>
      <c r="E1695" s="6" t="s">
        <v>41</v>
      </c>
      <c r="F1695" s="6">
        <v>58945</v>
      </c>
      <c r="G1695" s="7">
        <v>58945</v>
      </c>
      <c r="H1695" s="6">
        <f>(G1695-F1695)</f>
        <v>0.0</v>
      </c>
      <c r="I1695" s="6" t="s">
        <v>23</v>
      </c>
      <c r="J1695" s="6" t="s">
        <v>48</v>
      </c>
    </row>
    <row r="1696" spans="1:10" ht="23" customHeight="1">
      <c r="A1696" s="6" t="s">
        <v>42</v>
      </c>
      <c r="B1696" s="6">
        <v>6</v>
      </c>
      <c r="C1696" s="6" t="s">
        <v>30</v>
      </c>
      <c r="D1696" s="6">
        <v>172</v>
      </c>
      <c r="E1696" s="6" t="s">
        <v>31</v>
      </c>
      <c r="F1696" s="6">
        <v>327072</v>
      </c>
      <c r="G1696" s="7">
        <v>327072</v>
      </c>
      <c r="H1696" s="6">
        <f>(G1696-F1696)</f>
        <v>0.0</v>
      </c>
      <c r="I1696" s="6" t="s">
        <v>23</v>
      </c>
      <c r="J1696" s="6" t="s">
        <v>48</v>
      </c>
    </row>
    <row r="1697" spans="1:10" ht="23" customHeight="1">
      <c r="A1697" s="6" t="s">
        <v>42</v>
      </c>
      <c r="B1697" s="6">
        <v>6</v>
      </c>
      <c r="C1697" s="6" t="s">
        <v>30</v>
      </c>
      <c r="D1697" s="6">
        <v>172</v>
      </c>
      <c r="E1697" s="6" t="s">
        <v>32</v>
      </c>
      <c r="F1697" s="6">
        <v>7167.5</v>
      </c>
      <c r="G1697" s="7">
        <v>7167.5</v>
      </c>
      <c r="H1697" s="6">
        <f>(G1697-F1697)</f>
        <v>0.0</v>
      </c>
      <c r="I1697" s="6" t="s">
        <v>23</v>
      </c>
      <c r="J1697" s="6" t="s">
        <v>48</v>
      </c>
    </row>
    <row r="1698" spans="1:10" ht="23" customHeight="1">
      <c r="A1698" s="6" t="s">
        <v>42</v>
      </c>
      <c r="B1698" s="6">
        <v>6</v>
      </c>
      <c r="C1698" s="6" t="s">
        <v>30</v>
      </c>
      <c r="D1698" s="6">
        <v>172</v>
      </c>
      <c r="E1698" s="6" t="s">
        <v>34</v>
      </c>
      <c r="F1698" s="6"/>
      <c r="G1698" s="7"/>
      <c r="H1698" s="6"/>
      <c r="I1698" s="6" t="s">
        <v>23</v>
      </c>
      <c r="J1698" s="6" t="s">
        <v>48</v>
      </c>
    </row>
    <row r="1699" spans="1:10" ht="23" customHeight="1">
      <c r="A1699" s="6" t="s">
        <v>42</v>
      </c>
      <c r="B1699" s="6">
        <v>6</v>
      </c>
      <c r="C1699" s="6" t="s">
        <v>30</v>
      </c>
      <c r="D1699" s="6">
        <v>172</v>
      </c>
      <c r="E1699" s="6" t="s">
        <v>35</v>
      </c>
      <c r="F1699" s="6">
        <v>88418</v>
      </c>
      <c r="G1699" s="7">
        <v>88418</v>
      </c>
      <c r="H1699" s="6">
        <f>(G1699-F1699)</f>
        <v>0.0</v>
      </c>
      <c r="I1699" s="6" t="s">
        <v>23</v>
      </c>
      <c r="J1699" s="6" t="s">
        <v>48</v>
      </c>
    </row>
    <row r="1700" spans="1:10" ht="23" customHeight="1">
      <c r="A1700" s="6" t="s">
        <v>42</v>
      </c>
      <c r="B1700" s="6">
        <v>6</v>
      </c>
      <c r="C1700" s="6" t="s">
        <v>30</v>
      </c>
      <c r="D1700" s="6">
        <v>172</v>
      </c>
      <c r="E1700" s="6" t="s">
        <v>36</v>
      </c>
      <c r="F1700" s="6">
        <v>16724.3</v>
      </c>
      <c r="G1700" s="7">
        <v>16724.3</v>
      </c>
      <c r="H1700" s="6">
        <f>(G1700-F1700)</f>
        <v>0.0</v>
      </c>
      <c r="I1700" s="6" t="s">
        <v>23</v>
      </c>
      <c r="J1700" s="6" t="s">
        <v>48</v>
      </c>
    </row>
    <row r="1701" spans="1:10" ht="23" customHeight="1">
      <c r="A1701" s="6" t="s">
        <v>42</v>
      </c>
      <c r="B1701" s="6">
        <v>6</v>
      </c>
      <c r="C1701" s="6" t="s">
        <v>30</v>
      </c>
      <c r="D1701" s="6">
        <v>172</v>
      </c>
      <c r="E1701" s="6" t="s">
        <v>37</v>
      </c>
      <c r="F1701" s="6"/>
      <c r="G1701" s="7"/>
      <c r="H1701" s="6"/>
      <c r="I1701" s="6" t="s">
        <v>23</v>
      </c>
      <c r="J1701" s="6" t="s">
        <v>48</v>
      </c>
    </row>
    <row r="1702" spans="1:10" ht="23" customHeight="1">
      <c r="A1702" s="6" t="s">
        <v>42</v>
      </c>
      <c r="B1702" s="6">
        <v>6</v>
      </c>
      <c r="C1702" s="6" t="s">
        <v>30</v>
      </c>
      <c r="D1702" s="6">
        <v>172</v>
      </c>
      <c r="E1702" s="6" t="s">
        <v>38</v>
      </c>
      <c r="F1702" s="6">
        <v>88418</v>
      </c>
      <c r="G1702" s="7">
        <v>88418</v>
      </c>
      <c r="H1702" s="6">
        <f>(G1702-F1702)</f>
        <v>0.0</v>
      </c>
      <c r="I1702" s="6" t="s">
        <v>23</v>
      </c>
      <c r="J1702" s="6" t="s">
        <v>48</v>
      </c>
    </row>
    <row r="1703" spans="1:10" ht="23" customHeight="1">
      <c r="A1703" s="6" t="s">
        <v>42</v>
      </c>
      <c r="B1703" s="6">
        <v>6</v>
      </c>
      <c r="C1703" s="6" t="s">
        <v>30</v>
      </c>
      <c r="D1703" s="6">
        <v>172</v>
      </c>
      <c r="E1703" s="6" t="s">
        <v>39</v>
      </c>
      <c r="F1703" s="6">
        <v>327072</v>
      </c>
      <c r="G1703" s="7">
        <v>327072</v>
      </c>
      <c r="H1703" s="6">
        <f>(G1703-F1703)</f>
        <v>0.0</v>
      </c>
      <c r="I1703" s="6" t="s">
        <v>23</v>
      </c>
      <c r="J1703" s="6" t="s">
        <v>48</v>
      </c>
    </row>
    <row r="1704" spans="1:10" ht="23" customHeight="1">
      <c r="A1704" s="6" t="s">
        <v>42</v>
      </c>
      <c r="B1704" s="6">
        <v>6</v>
      </c>
      <c r="C1704" s="6" t="s">
        <v>30</v>
      </c>
      <c r="D1704" s="6">
        <v>172</v>
      </c>
      <c r="E1704" s="6" t="s">
        <v>40</v>
      </c>
      <c r="F1704" s="6">
        <v>88418</v>
      </c>
      <c r="G1704" s="7">
        <v>88418</v>
      </c>
      <c r="H1704" s="6">
        <f>(G1704-F1704)</f>
        <v>0.0</v>
      </c>
      <c r="I1704" s="6" t="s">
        <v>23</v>
      </c>
      <c r="J1704" s="6" t="s">
        <v>48</v>
      </c>
    </row>
    <row r="1705" spans="1:10" ht="23" customHeight="1">
      <c r="A1705" s="6" t="s">
        <v>42</v>
      </c>
      <c r="B1705" s="6">
        <v>6</v>
      </c>
      <c r="C1705" s="6" t="s">
        <v>30</v>
      </c>
      <c r="D1705" s="6">
        <v>172</v>
      </c>
      <c r="E1705" s="6" t="s">
        <v>41</v>
      </c>
      <c r="F1705" s="6">
        <v>88418</v>
      </c>
      <c r="G1705" s="7">
        <v>88418</v>
      </c>
      <c r="H1705" s="6">
        <f>(G1705-F1705)</f>
        <v>0.0</v>
      </c>
      <c r="I1705" s="6" t="s">
        <v>23</v>
      </c>
      <c r="J1705" s="6" t="s">
        <v>48</v>
      </c>
    </row>
  </sheetData>
  <mergeCells count="8">
    <mergeCell ref="A1:L1"/>
    <mergeCell ref="A2:L2"/>
    <mergeCell ref="A3:L3"/>
    <mergeCell ref="A5:L5"/>
    <mergeCell ref="A6:L6"/>
    <mergeCell ref="A7:L7"/>
    <mergeCell ref="A9:L9"/>
    <mergeCell ref="A858:L858"/>
  </mergeCells>
  <hyperlinks>
    <hyperlink ref="A11" location="'水平地盤ばね'!A8" display="水平地盤ばね"/>
    <hyperlink ref="A12" location="'水平地盤ばね'!A9" display="水平地盤ばね"/>
    <hyperlink ref="A13" location="'水平地盤ばね'!A10" display="水平地盤ばね"/>
    <hyperlink ref="A14" location="'水平地盤ばね'!A11" display="水平地盤ばね"/>
    <hyperlink ref="A15" location="'水平地盤ばね'!A12" display="水平地盤ばね"/>
    <hyperlink ref="A16" location="'水平地盤ばね'!A13" display="水平地盤ばね"/>
    <hyperlink ref="A17" location="'水平地盤ばね'!A14" display="水平地盤ばね"/>
    <hyperlink ref="A18" location="'水平地盤ばね'!A15" display="水平地盤ばね"/>
    <hyperlink ref="A19" location="'水平地盤ばね'!A16" display="水平地盤ばね"/>
    <hyperlink ref="A20" location="'水平地盤ばね'!A17" display="水平地盤ばね"/>
    <hyperlink ref="A21" location="'水平地盤ばね'!A18" display="水平地盤ばね"/>
    <hyperlink ref="A22" location="'水平地盤ばね'!A19" display="水平地盤ばね"/>
    <hyperlink ref="A23" location="'水平地盤ばね'!A20" display="水平地盤ばね"/>
    <hyperlink ref="A24" location="'水平地盤ばね'!A21" display="水平地盤ばね"/>
    <hyperlink ref="A25" location="'水平地盤ばね'!A22" display="水平地盤ばね"/>
    <hyperlink ref="A26" location="'水平地盤ばね'!A23" display="水平地盤ばね"/>
    <hyperlink ref="A27" location="'水平地盤ばね'!A24" display="水平地盤ばね"/>
    <hyperlink ref="A28" location="'水平地盤ばね'!A25" display="水平地盤ばね"/>
    <hyperlink ref="A29" location="'水平地盤ばね'!A26" display="水平地盤ばね"/>
    <hyperlink ref="A30" location="'水平地盤ばね'!A27" display="水平地盤ばね"/>
    <hyperlink ref="A31" location="'水平地盤ばね'!A28" display="水平地盤ばね"/>
    <hyperlink ref="A32" location="'水平地盤ばね'!A29" display="水平地盤ばね"/>
    <hyperlink ref="A33" location="'水平地盤ばね'!A30" display="水平地盤ばね"/>
    <hyperlink ref="A34" location="'水平地盤ばね'!A31" display="水平地盤ばね"/>
    <hyperlink ref="A35" location="'水平地盤ばね'!A32" display="水平地盤ばね"/>
    <hyperlink ref="A36" location="'水平地盤ばね'!A33" display="水平地盤ばね"/>
    <hyperlink ref="A37" location="'水平地盤ばね'!A34" display="水平地盤ばね"/>
    <hyperlink ref="A38" location="'水平地盤ばね'!A35" display="水平地盤ばね"/>
    <hyperlink ref="A39" location="'水平地盤ばね'!A36" display="水平地盤ばね"/>
    <hyperlink ref="A40" location="'水平地盤ばね'!A37" display="水平地盤ばね"/>
    <hyperlink ref="A41" location="'水平地盤ばね'!A38" display="水平地盤ばね"/>
    <hyperlink ref="A42" location="'水平地盤ばね'!A39" display="水平地盤ばね"/>
    <hyperlink ref="A43" location="'水平地盤ばね'!A40" display="水平地盤ばね"/>
    <hyperlink ref="A44" location="'水平地盤ばね'!A41" display="水平地盤ばね"/>
    <hyperlink ref="A45" location="'水平地盤ばね'!A42" display="水平地盤ばね"/>
    <hyperlink ref="A46" location="'水平地盤ばね'!A43" display="水平地盤ばね"/>
    <hyperlink ref="A47" location="'水平地盤ばね'!A44" display="水平地盤ばね"/>
    <hyperlink ref="A48" location="'水平地盤ばね'!A45" display="水平地盤ばね"/>
    <hyperlink ref="A49" location="'水平地盤ばね'!A46" display="水平地盤ばね"/>
    <hyperlink ref="A50" location="'水平地盤ばね'!A47" display="水平地盤ばね"/>
    <hyperlink ref="A51" location="'水平地盤ばね'!A48" display="水平地盤ばね"/>
    <hyperlink ref="A52" location="'水平地盤ばね'!A49" display="水平地盤ばね"/>
    <hyperlink ref="A53" location="'水平地盤ばね'!A50" display="水平地盤ばね"/>
    <hyperlink ref="A54" location="'水平地盤ばね'!A51" display="水平地盤ばね"/>
    <hyperlink ref="A55" location="'水平地盤ばね'!A52" display="水平地盤ばね"/>
    <hyperlink ref="A56" location="'水平地盤ばね'!A53" display="水平地盤ばね"/>
    <hyperlink ref="A57" location="'水平地盤ばね'!A54" display="水平地盤ばね"/>
    <hyperlink ref="A58" location="'水平地盤ばね'!A55" display="水平地盤ばね"/>
    <hyperlink ref="A59" location="'水平地盤ばね'!A56" display="水平地盤ばね"/>
    <hyperlink ref="A60" location="'水平地盤ばね'!A57" display="水平地盤ばね"/>
    <hyperlink ref="A61" location="'水平地盤ばね'!A58" display="水平地盤ばね"/>
    <hyperlink ref="A62" location="'水平地盤ばね'!A59" display="水平地盤ばね"/>
    <hyperlink ref="A63" location="'水平地盤ばね'!A60" display="水平地盤ばね"/>
    <hyperlink ref="A64" location="'水平地盤ばね'!A61" display="水平地盤ばね"/>
    <hyperlink ref="A65" location="'水平地盤ばね'!A62" display="水平地盤ばね"/>
    <hyperlink ref="A66" location="'水平地盤ばね'!A63" display="水平地盤ばね"/>
    <hyperlink ref="A67" location="'水平地盤ばね'!A64" display="水平地盤ばね"/>
    <hyperlink ref="A68" location="'水平地盤ばね'!A65" display="水平地盤ばね"/>
    <hyperlink ref="A69" location="'水平地盤ばね'!A66" display="水平地盤ばね"/>
    <hyperlink ref="A70" location="'水平地盤ばね'!A67" display="水平地盤ばね"/>
    <hyperlink ref="A71" location="'水平地盤ばね'!A68" display="水平地盤ばね"/>
    <hyperlink ref="A72" location="'水平地盤ばね'!A69" display="水平地盤ばね"/>
    <hyperlink ref="A73" location="'水平地盤ばね'!A70" display="水平地盤ばね"/>
    <hyperlink ref="A74" location="'水平地盤ばね'!A71" display="水平地盤ばね"/>
    <hyperlink ref="A75" location="'水平地盤ばね'!A72" display="水平地盤ばね"/>
    <hyperlink ref="A76" location="'水平地盤ばね'!A73" display="水平地盤ばね"/>
    <hyperlink ref="A77" location="'水平地盤ばね'!A74" display="水平地盤ばね"/>
    <hyperlink ref="A78" location="'水平地盤ばね'!A75" display="水平地盤ばね"/>
    <hyperlink ref="A79" location="'水平地盤ばね'!A76" display="水平地盤ばね"/>
    <hyperlink ref="A80" location="'水平地盤ばね'!A77" display="水平地盤ばね"/>
    <hyperlink ref="A81" location="'水平地盤ばね'!A78" display="水平地盤ばね"/>
    <hyperlink ref="A82" location="'水平地盤ばね'!A79" display="水平地盤ばね"/>
    <hyperlink ref="A83" location="'有効抵抗土圧'!A8" display="有効抵抗土圧"/>
    <hyperlink ref="A84" location="'有効抵抗土圧'!A8" display="有効抵抗土圧"/>
    <hyperlink ref="A85" location="'有効抵抗土圧'!A9" display="有効抵抗土圧"/>
    <hyperlink ref="A86" location="'有効抵抗土圧'!A9" display="有効抵抗土圧"/>
    <hyperlink ref="A87" location="'有効抵抗土圧'!A10" display="有効抵抗土圧"/>
    <hyperlink ref="A88" location="'有効抵抗土圧'!A10" display="有効抵抗土圧"/>
    <hyperlink ref="A89" location="'有効抵抗土圧'!A11" display="有効抵抗土圧"/>
    <hyperlink ref="A90" location="'有効抵抗土圧'!A11" display="有効抵抗土圧"/>
    <hyperlink ref="A91" location="'有効抵抗土圧'!A12" display="有効抵抗土圧"/>
    <hyperlink ref="A92" location="'有効抵抗土圧'!A12" display="有効抵抗土圧"/>
    <hyperlink ref="A93" location="'有効抵抗土圧'!A13" display="有効抵抗土圧"/>
    <hyperlink ref="A94" location="'有効抵抗土圧'!A13" display="有効抵抗土圧"/>
    <hyperlink ref="A95" location="'有効抵抗土圧'!A14" display="有効抵抗土圧"/>
    <hyperlink ref="A96" location="'有効抵抗土圧'!A14" display="有効抵抗土圧"/>
    <hyperlink ref="A97" location="'有効抵抗土圧'!A15" display="有効抵抗土圧"/>
    <hyperlink ref="A98" location="'有効抵抗土圧'!A15" display="有効抵抗土圧"/>
    <hyperlink ref="A99" location="'有効抵抗土圧'!A16" display="有効抵抗土圧"/>
    <hyperlink ref="A100" location="'有効抵抗土圧'!A16" display="有効抵抗土圧"/>
    <hyperlink ref="A101" location="'有効抵抗土圧'!A17" display="有効抵抗土圧"/>
    <hyperlink ref="A102" location="'有効抵抗土圧'!A17" display="有効抵抗土圧"/>
    <hyperlink ref="A103" location="'有効抵抗土圧'!A18" display="有効抵抗土圧"/>
    <hyperlink ref="A104" location="'有効抵抗土圧'!A18" display="有効抵抗土圧"/>
    <hyperlink ref="A105" location="'有効抵抗土圧'!A19" display="有効抵抗土圧"/>
    <hyperlink ref="A106" location="'有効抵抗土圧'!A19" display="有効抵抗土圧"/>
    <hyperlink ref="A107" location="'有効抵抗土圧'!A20" display="有効抵抗土圧"/>
    <hyperlink ref="A108" location="'有効抵抗土圧'!A20" display="有効抵抗土圧"/>
    <hyperlink ref="A109" location="'有効抵抗土圧'!A21" display="有効抵抗土圧"/>
    <hyperlink ref="A110" location="'有効抵抗土圧'!A21" display="有効抵抗土圧"/>
    <hyperlink ref="A111" location="'有効抵抗土圧'!A22" display="有効抵抗土圧"/>
    <hyperlink ref="A112" location="'有効抵抗土圧'!A22" display="有効抵抗土圧"/>
    <hyperlink ref="A113" location="'有効抵抗土圧'!A23" display="有効抵抗土圧"/>
    <hyperlink ref="A114" location="'有効抵抗土圧'!A23" display="有効抵抗土圧"/>
    <hyperlink ref="A115" location="'有効抵抗土圧'!A24" display="有効抵抗土圧"/>
    <hyperlink ref="A116" location="'有効抵抗土圧'!A24" display="有効抵抗土圧"/>
    <hyperlink ref="A117" location="'有効抵抗土圧'!A25" display="有効抵抗土圧"/>
    <hyperlink ref="A118" location="'有効抵抗土圧'!A25" display="有効抵抗土圧"/>
    <hyperlink ref="A119" location="'有効抵抗土圧'!A26" display="有効抵抗土圧"/>
    <hyperlink ref="A120" location="'有効抵抗土圧'!A26" display="有効抵抗土圧"/>
    <hyperlink ref="A121" location="'有効抵抗土圧'!A27" display="有効抵抗土圧"/>
    <hyperlink ref="A122" location="'有効抵抗土圧'!A27" display="有効抵抗土圧"/>
    <hyperlink ref="A123" location="'有効抵抗土圧'!A28" display="有効抵抗土圧"/>
    <hyperlink ref="A124" location="'有効抵抗土圧'!A28" display="有効抵抗土圧"/>
    <hyperlink ref="A125" location="'有効抵抗土圧'!A29" display="有効抵抗土圧"/>
    <hyperlink ref="A126" location="'有効抵抗土圧'!A29" display="有効抵抗土圧"/>
    <hyperlink ref="A127" location="'有効抵抗土圧'!A30" display="有効抵抗土圧"/>
    <hyperlink ref="A128" location="'有効抵抗土圧'!A30" display="有効抵抗土圧"/>
    <hyperlink ref="A129" location="'有効抵抗土圧'!A31" display="有効抵抗土圧"/>
    <hyperlink ref="A130" location="'有効抵抗土圧'!A31" display="有効抵抗土圧"/>
    <hyperlink ref="A131" location="'有効抵抗土圧'!A32" display="有効抵抗土圧"/>
    <hyperlink ref="A132" location="'有効抵抗土圧'!A32" display="有効抵抗土圧"/>
    <hyperlink ref="A133" location="'有効抵抗土圧'!A33" display="有効抵抗土圧"/>
    <hyperlink ref="A134" location="'有効抵抗土圧'!A33" display="有効抵抗土圧"/>
    <hyperlink ref="A135" location="'有効抵抗土圧'!A34" display="有効抵抗土圧"/>
    <hyperlink ref="A136" location="'有効抵抗土圧'!A34" display="有効抵抗土圧"/>
    <hyperlink ref="A137" location="'有効抵抗土圧'!A35" display="有効抵抗土圧"/>
    <hyperlink ref="A138" location="'有効抵抗土圧'!A35" display="有効抵抗土圧"/>
    <hyperlink ref="A139" location="'有効抵抗土圧'!A36" display="有効抵抗土圧"/>
    <hyperlink ref="A140" location="'有効抵抗土圧'!A36" display="有効抵抗土圧"/>
    <hyperlink ref="A141" location="'有効抵抗土圧'!A37" display="有効抵抗土圧"/>
    <hyperlink ref="A142" location="'有効抵抗土圧'!A37" display="有効抵抗土圧"/>
    <hyperlink ref="A143" location="'有効抵抗土圧'!A38" display="有効抵抗土圧"/>
    <hyperlink ref="A144" location="'有効抵抗土圧'!A38" display="有効抵抗土圧"/>
    <hyperlink ref="A145" location="'有効抵抗土圧'!A39" display="有効抵抗土圧"/>
    <hyperlink ref="A146" location="'有効抵抗土圧'!A39" display="有効抵抗土圧"/>
    <hyperlink ref="A147" location="'有効抵抗土圧'!A40" display="有効抵抗土圧"/>
    <hyperlink ref="A148" location="'有効抵抗土圧'!A40" display="有効抵抗土圧"/>
    <hyperlink ref="A149" location="'有効抵抗土圧'!A41" display="有効抵抗土圧"/>
    <hyperlink ref="A150" location="'有効抵抗土圧'!A41" display="有効抵抗土圧"/>
    <hyperlink ref="A151" location="'有効抵抗土圧'!A42" display="有効抵抗土圧"/>
    <hyperlink ref="A152" location="'有効抵抗土圧'!A42" display="有効抵抗土圧"/>
    <hyperlink ref="A153" location="'有効抵抗土圧'!A43" display="有効抵抗土圧"/>
    <hyperlink ref="A154" location="'有効抵抗土圧'!A43" display="有効抵抗土圧"/>
    <hyperlink ref="A155" location="'有効抵抗土圧'!A44" display="有効抵抗土圧"/>
    <hyperlink ref="A156" location="'有効抵抗土圧'!A44" display="有効抵抗土圧"/>
    <hyperlink ref="A157" location="'有効抵抗土圧'!A45" display="有効抵抗土圧"/>
    <hyperlink ref="A158" location="'有効抵抗土圧'!A45" display="有効抵抗土圧"/>
    <hyperlink ref="A159" location="'有効抵抗土圧'!A46" display="有効抵抗土圧"/>
    <hyperlink ref="A160" location="'有効抵抗土圧'!A46" display="有効抵抗土圧"/>
    <hyperlink ref="A161" location="'有効抵抗土圧'!A47" display="有効抵抗土圧"/>
    <hyperlink ref="A162" location="'有効抵抗土圧'!A47" display="有効抵抗土圧"/>
    <hyperlink ref="A163" location="'有効抵抗土圧'!A48" display="有効抵抗土圧"/>
    <hyperlink ref="A164" location="'有効抵抗土圧'!A48" display="有効抵抗土圧"/>
    <hyperlink ref="A165" location="'有効抵抗土圧'!A49" display="有効抵抗土圧"/>
    <hyperlink ref="A166" location="'有効抵抗土圧'!A49" display="有効抵抗土圧"/>
    <hyperlink ref="A167" location="'有効抵抗土圧'!A50" display="有効抵抗土圧"/>
    <hyperlink ref="A168" location="'有効抵抗土圧'!A50" display="有効抵抗土圧"/>
    <hyperlink ref="A169" location="'有効抵抗土圧'!A51" display="有効抵抗土圧"/>
    <hyperlink ref="A170" location="'有効抵抗土圧'!A51" display="有効抵抗土圧"/>
    <hyperlink ref="A171" location="'有効抵抗土圧'!A52" display="有効抵抗土圧"/>
    <hyperlink ref="A172" location="'有効抵抗土圧'!A52" display="有効抵抗土圧"/>
    <hyperlink ref="A173" location="'有効抵抗土圧'!A53" display="有効抵抗土圧"/>
    <hyperlink ref="A174" location="'有効抵抗土圧'!A53" display="有効抵抗土圧"/>
    <hyperlink ref="A175" location="'有効抵抗土圧'!A54" display="有効抵抗土圧"/>
    <hyperlink ref="A176" location="'有効抵抗土圧'!A54" display="有効抵抗土圧"/>
    <hyperlink ref="A177" location="'有効抵抗土圧'!A55" display="有効抵抗土圧"/>
    <hyperlink ref="A178" location="'有効抵抗土圧'!A55" display="有効抵抗土圧"/>
    <hyperlink ref="A179" location="'有効抵抗土圧'!A56" display="有効抵抗土圧"/>
    <hyperlink ref="A180" location="'有効抵抗土圧'!A56" display="有効抵抗土圧"/>
    <hyperlink ref="A181" location="'有効抵抗土圧'!A57" display="有効抵抗土圧"/>
    <hyperlink ref="A182" location="'有効抵抗土圧'!A57" display="有効抵抗土圧"/>
    <hyperlink ref="A183" location="'有効抵抗土圧'!A58" display="有効抵抗土圧"/>
    <hyperlink ref="A184" location="'有効抵抗土圧'!A58" display="有効抵抗土圧"/>
    <hyperlink ref="A185" location="'有効抵抗土圧'!A59" display="有効抵抗土圧"/>
    <hyperlink ref="A186" location="'有効抵抗土圧'!A59" display="有効抵抗土圧"/>
    <hyperlink ref="A187" location="'有効抵抗土圧'!A60" display="有効抵抗土圧"/>
    <hyperlink ref="A188" location="'有効抵抗土圧'!A60" display="有効抵抗土圧"/>
    <hyperlink ref="A189" location="'有効抵抗土圧'!A61" display="有効抵抗土圧"/>
    <hyperlink ref="A190" location="'有効抵抗土圧'!A61" display="有効抵抗土圧"/>
    <hyperlink ref="A191" location="'有効抵抗土圧'!A62" display="有効抵抗土圧"/>
    <hyperlink ref="A192" location="'有効抵抗土圧'!A62" display="有効抵抗土圧"/>
    <hyperlink ref="A193" location="'有効抵抗土圧'!A63" display="有効抵抗土圧"/>
    <hyperlink ref="A194" location="'有効抵抗土圧'!A63" display="有効抵抗土圧"/>
    <hyperlink ref="A195" location="'有効抵抗土圧'!A64" display="有効抵抗土圧"/>
    <hyperlink ref="A196" location="'有効抵抗土圧'!A64" display="有効抵抗土圧"/>
    <hyperlink ref="A197" location="'有効抵抗土圧'!A65" display="有効抵抗土圧"/>
    <hyperlink ref="A198" location="'有効抵抗土圧'!A65" display="有効抵抗土圧"/>
    <hyperlink ref="A199" location="'有効抵抗土圧'!A66" display="有効抵抗土圧"/>
    <hyperlink ref="A200" location="'有効抵抗土圧'!A66" display="有効抵抗土圧"/>
    <hyperlink ref="A201" location="'有効抵抗土圧'!A67" display="有効抵抗土圧"/>
    <hyperlink ref="A202" location="'有効抵抗土圧'!A67" display="有効抵抗土圧"/>
    <hyperlink ref="A203" location="'有効抵抗土圧'!A68" display="有効抵抗土圧"/>
    <hyperlink ref="A204" location="'有効抵抗土圧'!A68" display="有効抵抗土圧"/>
    <hyperlink ref="A205" location="'有効抵抗土圧'!A69" display="有効抵抗土圧"/>
    <hyperlink ref="A206" location="'有効抵抗土圧'!A69" display="有効抵抗土圧"/>
    <hyperlink ref="A207" location="'有効抵抗土圧'!A70" display="有効抵抗土圧"/>
    <hyperlink ref="A208" location="'有効抵抗土圧'!A70" display="有効抵抗土圧"/>
    <hyperlink ref="A209" location="'有効抵抗土圧'!A71" display="有効抵抗土圧"/>
    <hyperlink ref="A210" location="'有効抵抗土圧'!A71" display="有効抵抗土圧"/>
    <hyperlink ref="A211" location="'有効抵抗土圧'!A72" display="有効抵抗土圧"/>
    <hyperlink ref="A212" location="'有効抵抗土圧'!A72" display="有効抵抗土圧"/>
    <hyperlink ref="A213" location="'有効抵抗土圧'!A73" display="有効抵抗土圧"/>
    <hyperlink ref="A214" location="'有効抵抗土圧'!A73" display="有効抵抗土圧"/>
    <hyperlink ref="A215" location="'有効抵抗土圧'!A74" display="有効抵抗土圧"/>
    <hyperlink ref="A216" location="'有効抵抗土圧'!A74" display="有効抵抗土圧"/>
    <hyperlink ref="A217" location="'有効抵抗土圧'!A75" display="有効抵抗土圧"/>
    <hyperlink ref="A218" location="'有効抵抗土圧'!A75" display="有効抵抗土圧"/>
    <hyperlink ref="A219" location="'有効抵抗土圧'!A76" display="有効抵抗土圧"/>
    <hyperlink ref="A220" location="'有効抵抗土圧'!A76" display="有効抵抗土圧"/>
    <hyperlink ref="A221" location="'有効抵抗土圧'!A77" display="有効抵抗土圧"/>
    <hyperlink ref="A222" location="'有効抵抗土圧'!A77" display="有効抵抗土圧"/>
    <hyperlink ref="A223" location="'有効抵抗土圧'!A78" display="有効抵抗土圧"/>
    <hyperlink ref="A224" location="'有効抵抗土圧'!A78" display="有効抵抗土圧"/>
    <hyperlink ref="A225" location="'有効抵抗土圧'!A79" display="有効抵抗土圧"/>
    <hyperlink ref="A226" location="'有効抵抗土圧'!A79" display="有効抵抗土圧"/>
    <hyperlink ref="A227" location="'杭周面ばね'!A9" display="杭周面ばね"/>
    <hyperlink ref="A228" location="'杭周面ばね'!A9" display="杭周面ばね"/>
    <hyperlink ref="A229" location="'杭周面ばね'!A9" display="杭周面ばね"/>
    <hyperlink ref="A230" location="'杭周面ばね'!A9" display="杭周面ばね"/>
    <hyperlink ref="A231" location="'杭周面ばね'!A9" display="杭周面ばね"/>
    <hyperlink ref="A232" location="'杭周面ばね'!A9" display="杭周面ばね"/>
    <hyperlink ref="A233" location="'杭周面ばね'!A9" display="杭周面ばね"/>
    <hyperlink ref="A234" location="'杭周面ばね'!A9" display="杭周面ばね"/>
    <hyperlink ref="A235" location="'杭周面ばね'!A9" display="杭周面ばね"/>
    <hyperlink ref="A236" location="'杭周面ばね'!A9" display="杭周面ばね"/>
    <hyperlink ref="A237" location="'杭周面ばね'!A10" display="杭周面ばね"/>
    <hyperlink ref="A238" location="'杭周面ばね'!A10" display="杭周面ばね"/>
    <hyperlink ref="A239" location="'杭周面ばね'!A10" display="杭周面ばね"/>
    <hyperlink ref="A240" location="'杭周面ばね'!A10" display="杭周面ばね"/>
    <hyperlink ref="A241" location="'杭周面ばね'!A10" display="杭周面ばね"/>
    <hyperlink ref="A242" location="'杭周面ばね'!A10" display="杭周面ばね"/>
    <hyperlink ref="A243" location="'杭周面ばね'!A10" display="杭周面ばね"/>
    <hyperlink ref="A244" location="'杭周面ばね'!A10" display="杭周面ばね"/>
    <hyperlink ref="A245" location="'杭周面ばね'!A10" display="杭周面ばね"/>
    <hyperlink ref="A246" location="'杭周面ばね'!A10" display="杭周面ばね"/>
    <hyperlink ref="A247" location="'杭周面ばね'!A11" display="杭周面ばね"/>
    <hyperlink ref="A248" location="'杭周面ばね'!A11" display="杭周面ばね"/>
    <hyperlink ref="A249" location="'杭周面ばね'!A11" display="杭周面ばね"/>
    <hyperlink ref="A250" location="'杭周面ばね'!A11" display="杭周面ばね"/>
    <hyperlink ref="A251" location="'杭周面ばね'!A11" display="杭周面ばね"/>
    <hyperlink ref="A252" location="'杭周面ばね'!A11" display="杭周面ばね"/>
    <hyperlink ref="A253" location="'杭周面ばね'!A11" display="杭周面ばね"/>
    <hyperlink ref="A254" location="'杭周面ばね'!A11" display="杭周面ばね"/>
    <hyperlink ref="A255" location="'杭周面ばね'!A11" display="杭周面ばね"/>
    <hyperlink ref="A256" location="'杭周面ばね'!A11" display="杭周面ばね"/>
    <hyperlink ref="A257" location="'杭周面ばね'!A12" display="杭周面ばね"/>
    <hyperlink ref="A258" location="'杭周面ばね'!A12" display="杭周面ばね"/>
    <hyperlink ref="A259" location="'杭周面ばね'!A12" display="杭周面ばね"/>
    <hyperlink ref="A260" location="'杭周面ばね'!A12" display="杭周面ばね"/>
    <hyperlink ref="A261" location="'杭周面ばね'!A12" display="杭周面ばね"/>
    <hyperlink ref="A262" location="'杭周面ばね'!A12" display="杭周面ばね"/>
    <hyperlink ref="A263" location="'杭周面ばね'!A12" display="杭周面ばね"/>
    <hyperlink ref="A264" location="'杭周面ばね'!A12" display="杭周面ばね"/>
    <hyperlink ref="A265" location="'杭周面ばね'!A12" display="杭周面ばね"/>
    <hyperlink ref="A266" location="'杭周面ばね'!A12" display="杭周面ばね"/>
    <hyperlink ref="A267" location="'杭周面ばね'!A13" display="杭周面ばね"/>
    <hyperlink ref="A268" location="'杭周面ばね'!A13" display="杭周面ばね"/>
    <hyperlink ref="A269" location="'杭周面ばね'!A13" display="杭周面ばね"/>
    <hyperlink ref="A270" location="'杭周面ばね'!A13" display="杭周面ばね"/>
    <hyperlink ref="A271" location="'杭周面ばね'!A13" display="杭周面ばね"/>
    <hyperlink ref="A272" location="'杭周面ばね'!A13" display="杭周面ばね"/>
    <hyperlink ref="A273" location="'杭周面ばね'!A13" display="杭周面ばね"/>
    <hyperlink ref="A274" location="'杭周面ばね'!A13" display="杭周面ばね"/>
    <hyperlink ref="A275" location="'杭周面ばね'!A13" display="杭周面ばね"/>
    <hyperlink ref="A276" location="'杭周面ばね'!A13" display="杭周面ばね"/>
    <hyperlink ref="A277" location="'杭周面ばね'!A14" display="杭周面ばね"/>
    <hyperlink ref="A278" location="'杭周面ばね'!A14" display="杭周面ばね"/>
    <hyperlink ref="A279" location="'杭周面ばね'!A14" display="杭周面ばね"/>
    <hyperlink ref="A280" location="'杭周面ばね'!A14" display="杭周面ばね"/>
    <hyperlink ref="A281" location="'杭周面ばね'!A14" display="杭周面ばね"/>
    <hyperlink ref="A282" location="'杭周面ばね'!A14" display="杭周面ばね"/>
    <hyperlink ref="A283" location="'杭周面ばね'!A14" display="杭周面ばね"/>
    <hyperlink ref="A284" location="'杭周面ばね'!A14" display="杭周面ばね"/>
    <hyperlink ref="A285" location="'杭周面ばね'!A14" display="杭周面ばね"/>
    <hyperlink ref="A286" location="'杭周面ばね'!A14" display="杭周面ばね"/>
    <hyperlink ref="A287" location="'杭周面ばね'!A15" display="杭周面ばね"/>
    <hyperlink ref="A288" location="'杭周面ばね'!A15" display="杭周面ばね"/>
    <hyperlink ref="A289" location="'杭周面ばね'!A15" display="杭周面ばね"/>
    <hyperlink ref="A290" location="'杭周面ばね'!A15" display="杭周面ばね"/>
    <hyperlink ref="A291" location="'杭周面ばね'!A15" display="杭周面ばね"/>
    <hyperlink ref="A292" location="'杭周面ばね'!A15" display="杭周面ばね"/>
    <hyperlink ref="A293" location="'杭周面ばね'!A15" display="杭周面ばね"/>
    <hyperlink ref="A294" location="'杭周面ばね'!A15" display="杭周面ばね"/>
    <hyperlink ref="A295" location="'杭周面ばね'!A15" display="杭周面ばね"/>
    <hyperlink ref="A296" location="'杭周面ばね'!A15" display="杭周面ばね"/>
    <hyperlink ref="A297" location="'杭周面ばね'!A16" display="杭周面ばね"/>
    <hyperlink ref="A298" location="'杭周面ばね'!A16" display="杭周面ばね"/>
    <hyperlink ref="A299" location="'杭周面ばね'!A16" display="杭周面ばね"/>
    <hyperlink ref="A300" location="'杭周面ばね'!A16" display="杭周面ばね"/>
    <hyperlink ref="A301" location="'杭周面ばね'!A16" display="杭周面ばね"/>
    <hyperlink ref="A302" location="'杭周面ばね'!A16" display="杭周面ばね"/>
    <hyperlink ref="A303" location="'杭周面ばね'!A16" display="杭周面ばね"/>
    <hyperlink ref="A304" location="'杭周面ばね'!A16" display="杭周面ばね"/>
    <hyperlink ref="A305" location="'杭周面ばね'!A16" display="杭周面ばね"/>
    <hyperlink ref="A306" location="'杭周面ばね'!A16" display="杭周面ばね"/>
    <hyperlink ref="A307" location="'杭周面ばね'!A17" display="杭周面ばね"/>
    <hyperlink ref="A308" location="'杭周面ばね'!A17" display="杭周面ばね"/>
    <hyperlink ref="A309" location="'杭周面ばね'!A17" display="杭周面ばね"/>
    <hyperlink ref="A310" location="'杭周面ばね'!A17" display="杭周面ばね"/>
    <hyperlink ref="A311" location="'杭周面ばね'!A17" display="杭周面ばね"/>
    <hyperlink ref="A312" location="'杭周面ばね'!A17" display="杭周面ばね"/>
    <hyperlink ref="A313" location="'杭周面ばね'!A17" display="杭周面ばね"/>
    <hyperlink ref="A314" location="'杭周面ばね'!A17" display="杭周面ばね"/>
    <hyperlink ref="A315" location="'杭周面ばね'!A17" display="杭周面ばね"/>
    <hyperlink ref="A316" location="'杭周面ばね'!A17" display="杭周面ばね"/>
    <hyperlink ref="A317" location="'杭周面ばね'!A18" display="杭周面ばね"/>
    <hyperlink ref="A318" location="'杭周面ばね'!A18" display="杭周面ばね"/>
    <hyperlink ref="A319" location="'杭周面ばね'!A18" display="杭周面ばね"/>
    <hyperlink ref="A320" location="'杭周面ばね'!A18" display="杭周面ばね"/>
    <hyperlink ref="A321" location="'杭周面ばね'!A18" display="杭周面ばね"/>
    <hyperlink ref="A322" location="'杭周面ばね'!A18" display="杭周面ばね"/>
    <hyperlink ref="A323" location="'杭周面ばね'!A18" display="杭周面ばね"/>
    <hyperlink ref="A324" location="'杭周面ばね'!A18" display="杭周面ばね"/>
    <hyperlink ref="A325" location="'杭周面ばね'!A18" display="杭周面ばね"/>
    <hyperlink ref="A326" location="'杭周面ばね'!A18" display="杭周面ばね"/>
    <hyperlink ref="A327" location="'杭周面ばね'!A19" display="杭周面ばね"/>
    <hyperlink ref="A328" location="'杭周面ばね'!A19" display="杭周面ばね"/>
    <hyperlink ref="A329" location="'杭周面ばね'!A19" display="杭周面ばね"/>
    <hyperlink ref="A330" location="'杭周面ばね'!A19" display="杭周面ばね"/>
    <hyperlink ref="A331" location="'杭周面ばね'!A19" display="杭周面ばね"/>
    <hyperlink ref="A332" location="'杭周面ばね'!A19" display="杭周面ばね"/>
    <hyperlink ref="A333" location="'杭周面ばね'!A19" display="杭周面ばね"/>
    <hyperlink ref="A334" location="'杭周面ばね'!A19" display="杭周面ばね"/>
    <hyperlink ref="A335" location="'杭周面ばね'!A19" display="杭周面ばね"/>
    <hyperlink ref="A336" location="'杭周面ばね'!A19" display="杭周面ばね"/>
    <hyperlink ref="A337" location="'杭周面ばね'!A20" display="杭周面ばね"/>
    <hyperlink ref="A338" location="'杭周面ばね'!A20" display="杭周面ばね"/>
    <hyperlink ref="A339" location="'杭周面ばね'!A20" display="杭周面ばね"/>
    <hyperlink ref="A340" location="'杭周面ばね'!A20" display="杭周面ばね"/>
    <hyperlink ref="A341" location="'杭周面ばね'!A20" display="杭周面ばね"/>
    <hyperlink ref="A342" location="'杭周面ばね'!A20" display="杭周面ばね"/>
    <hyperlink ref="A343" location="'杭周面ばね'!A20" display="杭周面ばね"/>
    <hyperlink ref="A344" location="'杭周面ばね'!A20" display="杭周面ばね"/>
    <hyperlink ref="A345" location="'杭周面ばね'!A20" display="杭周面ばね"/>
    <hyperlink ref="A346" location="'杭周面ばね'!A20" display="杭周面ばね"/>
    <hyperlink ref="A347" location="'杭周面ばね'!A21" display="杭周面ばね"/>
    <hyperlink ref="A348" location="'杭周面ばね'!A21" display="杭周面ばね"/>
    <hyperlink ref="A349" location="'杭周面ばね'!A21" display="杭周面ばね"/>
    <hyperlink ref="A350" location="'杭周面ばね'!A21" display="杭周面ばね"/>
    <hyperlink ref="A351" location="'杭周面ばね'!A21" display="杭周面ばね"/>
    <hyperlink ref="A352" location="'杭周面ばね'!A21" display="杭周面ばね"/>
    <hyperlink ref="A353" location="'杭周面ばね'!A21" display="杭周面ばね"/>
    <hyperlink ref="A354" location="'杭周面ばね'!A21" display="杭周面ばね"/>
    <hyperlink ref="A355" location="'杭周面ばね'!A21" display="杭周面ばね"/>
    <hyperlink ref="A356" location="'杭周面ばね'!A21" display="杭周面ばね"/>
    <hyperlink ref="A357" location="'杭周面ばね'!A22" display="杭周面ばね"/>
    <hyperlink ref="A358" location="'杭周面ばね'!A22" display="杭周面ばね"/>
    <hyperlink ref="A359" location="'杭周面ばね'!A22" display="杭周面ばね"/>
    <hyperlink ref="A360" location="'杭周面ばね'!A22" display="杭周面ばね"/>
    <hyperlink ref="A361" location="'杭周面ばね'!A22" display="杭周面ばね"/>
    <hyperlink ref="A362" location="'杭周面ばね'!A22" display="杭周面ばね"/>
    <hyperlink ref="A363" location="'杭周面ばね'!A22" display="杭周面ばね"/>
    <hyperlink ref="A364" location="'杭周面ばね'!A22" display="杭周面ばね"/>
    <hyperlink ref="A365" location="'杭周面ばね'!A22" display="杭周面ばね"/>
    <hyperlink ref="A366" location="'杭周面ばね'!A22" display="杭周面ばね"/>
    <hyperlink ref="A367" location="'杭周面ばね'!A23" display="杭周面ばね"/>
    <hyperlink ref="A368" location="'杭周面ばね'!A23" display="杭周面ばね"/>
    <hyperlink ref="A369" location="'杭周面ばね'!A23" display="杭周面ばね"/>
    <hyperlink ref="A370" location="'杭周面ばね'!A23" display="杭周面ばね"/>
    <hyperlink ref="A371" location="'杭周面ばね'!A23" display="杭周面ばね"/>
    <hyperlink ref="A372" location="'杭周面ばね'!A23" display="杭周面ばね"/>
    <hyperlink ref="A373" location="'杭周面ばね'!A23" display="杭周面ばね"/>
    <hyperlink ref="A374" location="'杭周面ばね'!A23" display="杭周面ばね"/>
    <hyperlink ref="A375" location="'杭周面ばね'!A23" display="杭周面ばね"/>
    <hyperlink ref="A376" location="'杭周面ばね'!A23" display="杭周面ばね"/>
    <hyperlink ref="A377" location="'杭周面ばね'!A24" display="杭周面ばね"/>
    <hyperlink ref="A378" location="'杭周面ばね'!A24" display="杭周面ばね"/>
    <hyperlink ref="A379" location="'杭周面ばね'!A24" display="杭周面ばね"/>
    <hyperlink ref="A380" location="'杭周面ばね'!A24" display="杭周面ばね"/>
    <hyperlink ref="A381" location="'杭周面ばね'!A24" display="杭周面ばね"/>
    <hyperlink ref="A382" location="'杭周面ばね'!A24" display="杭周面ばね"/>
    <hyperlink ref="A383" location="'杭周面ばね'!A24" display="杭周面ばね"/>
    <hyperlink ref="A384" location="'杭周面ばね'!A24" display="杭周面ばね"/>
    <hyperlink ref="A385" location="'杭周面ばね'!A24" display="杭周面ばね"/>
    <hyperlink ref="A386" location="'杭周面ばね'!A24" display="杭周面ばね"/>
    <hyperlink ref="A387" location="'杭周面ばね'!A25" display="杭周面ばね"/>
    <hyperlink ref="A388" location="'杭周面ばね'!A25" display="杭周面ばね"/>
    <hyperlink ref="A389" location="'杭周面ばね'!A25" display="杭周面ばね"/>
    <hyperlink ref="A390" location="'杭周面ばね'!A25" display="杭周面ばね"/>
    <hyperlink ref="A391" location="'杭周面ばね'!A25" display="杭周面ばね"/>
    <hyperlink ref="A392" location="'杭周面ばね'!A25" display="杭周面ばね"/>
    <hyperlink ref="A393" location="'杭周面ばね'!A25" display="杭周面ばね"/>
    <hyperlink ref="A394" location="'杭周面ばね'!A25" display="杭周面ばね"/>
    <hyperlink ref="A395" location="'杭周面ばね'!A25" display="杭周面ばね"/>
    <hyperlink ref="A396" location="'杭周面ばね'!A25" display="杭周面ばね"/>
    <hyperlink ref="A397" location="'杭周面ばね'!A26" display="杭周面ばね"/>
    <hyperlink ref="A398" location="'杭周面ばね'!A26" display="杭周面ばね"/>
    <hyperlink ref="A399" location="'杭周面ばね'!A26" display="杭周面ばね"/>
    <hyperlink ref="A400" location="'杭周面ばね'!A26" display="杭周面ばね"/>
    <hyperlink ref="A401" location="'杭周面ばね'!A26" display="杭周面ばね"/>
    <hyperlink ref="A402" location="'杭周面ばね'!A26" display="杭周面ばね"/>
    <hyperlink ref="A403" location="'杭周面ばね'!A26" display="杭周面ばね"/>
    <hyperlink ref="A404" location="'杭周面ばね'!A26" display="杭周面ばね"/>
    <hyperlink ref="A405" location="'杭周面ばね'!A26" display="杭周面ばね"/>
    <hyperlink ref="A406" location="'杭周面ばね'!A26" display="杭周面ばね"/>
    <hyperlink ref="A407" location="'杭周面ばね'!A27" display="杭周面ばね"/>
    <hyperlink ref="A408" location="'杭周面ばね'!A27" display="杭周面ばね"/>
    <hyperlink ref="A409" location="'杭周面ばね'!A27" display="杭周面ばね"/>
    <hyperlink ref="A410" location="'杭周面ばね'!A27" display="杭周面ばね"/>
    <hyperlink ref="A411" location="'杭周面ばね'!A27" display="杭周面ばね"/>
    <hyperlink ref="A412" location="'杭周面ばね'!A27" display="杭周面ばね"/>
    <hyperlink ref="A413" location="'杭周面ばね'!A27" display="杭周面ばね"/>
    <hyperlink ref="A414" location="'杭周面ばね'!A27" display="杭周面ばね"/>
    <hyperlink ref="A415" location="'杭周面ばね'!A27" display="杭周面ばね"/>
    <hyperlink ref="A416" location="'杭周面ばね'!A27" display="杭周面ばね"/>
    <hyperlink ref="A417" location="'杭周面ばね'!A28" display="杭周面ばね"/>
    <hyperlink ref="A418" location="'杭周面ばね'!A28" display="杭周面ばね"/>
    <hyperlink ref="A419" location="'杭周面ばね'!A28" display="杭周面ばね"/>
    <hyperlink ref="A420" location="'杭周面ばね'!A28" display="杭周面ばね"/>
    <hyperlink ref="A421" location="'杭周面ばね'!A28" display="杭周面ばね"/>
    <hyperlink ref="A422" location="'杭周面ばね'!A28" display="杭周面ばね"/>
    <hyperlink ref="A423" location="'杭周面ばね'!A28" display="杭周面ばね"/>
    <hyperlink ref="A424" location="'杭周面ばね'!A28" display="杭周面ばね"/>
    <hyperlink ref="A425" location="'杭周面ばね'!A28" display="杭周面ばね"/>
    <hyperlink ref="A426" location="'杭周面ばね'!A28" display="杭周面ばね"/>
    <hyperlink ref="A427" location="'杭周面ばね'!A29" display="杭周面ばね"/>
    <hyperlink ref="A428" location="'杭周面ばね'!A29" display="杭周面ばね"/>
    <hyperlink ref="A429" location="'杭周面ばね'!A29" display="杭周面ばね"/>
    <hyperlink ref="A430" location="'杭周面ばね'!A29" display="杭周面ばね"/>
    <hyperlink ref="A431" location="'杭周面ばね'!A29" display="杭周面ばね"/>
    <hyperlink ref="A432" location="'杭周面ばね'!A29" display="杭周面ばね"/>
    <hyperlink ref="A433" location="'杭周面ばね'!A29" display="杭周面ばね"/>
    <hyperlink ref="A434" location="'杭周面ばね'!A29" display="杭周面ばね"/>
    <hyperlink ref="A435" location="'杭周面ばね'!A29" display="杭周面ばね"/>
    <hyperlink ref="A436" location="'杭周面ばね'!A29" display="杭周面ばね"/>
    <hyperlink ref="A437" location="'杭周面ばね'!A30" display="杭周面ばね"/>
    <hyperlink ref="A438" location="'杭周面ばね'!A30" display="杭周面ばね"/>
    <hyperlink ref="A439" location="'杭周面ばね'!A30" display="杭周面ばね"/>
    <hyperlink ref="A440" location="'杭周面ばね'!A30" display="杭周面ばね"/>
    <hyperlink ref="A441" location="'杭周面ばね'!A30" display="杭周面ばね"/>
    <hyperlink ref="A442" location="'杭周面ばね'!A30" display="杭周面ばね"/>
    <hyperlink ref="A443" location="'杭周面ばね'!A30" display="杭周面ばね"/>
    <hyperlink ref="A444" location="'杭周面ばね'!A30" display="杭周面ばね"/>
    <hyperlink ref="A445" location="'杭周面ばね'!A30" display="杭周面ばね"/>
    <hyperlink ref="A446" location="'杭周面ばね'!A30" display="杭周面ばね"/>
    <hyperlink ref="A447" location="'杭周面ばね'!A31" display="杭周面ばね"/>
    <hyperlink ref="A448" location="'杭周面ばね'!A31" display="杭周面ばね"/>
    <hyperlink ref="A449" location="'杭周面ばね'!A31" display="杭周面ばね"/>
    <hyperlink ref="A450" location="'杭周面ばね'!A31" display="杭周面ばね"/>
    <hyperlink ref="A451" location="'杭周面ばね'!A31" display="杭周面ばね"/>
    <hyperlink ref="A452" location="'杭周面ばね'!A31" display="杭周面ばね"/>
    <hyperlink ref="A453" location="'杭周面ばね'!A31" display="杭周面ばね"/>
    <hyperlink ref="A454" location="'杭周面ばね'!A31" display="杭周面ばね"/>
    <hyperlink ref="A455" location="'杭周面ばね'!A31" display="杭周面ばね"/>
    <hyperlink ref="A456" location="'杭周面ばね'!A31" display="杭周面ばね"/>
    <hyperlink ref="A457" location="'杭周面ばね'!A32" display="杭周面ばね"/>
    <hyperlink ref="A458" location="'杭周面ばね'!A32" display="杭周面ばね"/>
    <hyperlink ref="A459" location="'杭周面ばね'!A32" display="杭周面ばね"/>
    <hyperlink ref="A460" location="'杭周面ばね'!A32" display="杭周面ばね"/>
    <hyperlink ref="A461" location="'杭周面ばね'!A32" display="杭周面ばね"/>
    <hyperlink ref="A462" location="'杭周面ばね'!A32" display="杭周面ばね"/>
    <hyperlink ref="A463" location="'杭周面ばね'!A32" display="杭周面ばね"/>
    <hyperlink ref="A464" location="'杭周面ばね'!A32" display="杭周面ばね"/>
    <hyperlink ref="A465" location="'杭周面ばね'!A32" display="杭周面ばね"/>
    <hyperlink ref="A466" location="'杭周面ばね'!A32" display="杭周面ばね"/>
    <hyperlink ref="A467" location="'杭周面ばね'!A33" display="杭周面ばね"/>
    <hyperlink ref="A468" location="'杭周面ばね'!A33" display="杭周面ばね"/>
    <hyperlink ref="A469" location="'杭周面ばね'!A33" display="杭周面ばね"/>
    <hyperlink ref="A470" location="'杭周面ばね'!A33" display="杭周面ばね"/>
    <hyperlink ref="A471" location="'杭周面ばね'!A33" display="杭周面ばね"/>
    <hyperlink ref="A472" location="'杭周面ばね'!A33" display="杭周面ばね"/>
    <hyperlink ref="A473" location="'杭周面ばね'!A33" display="杭周面ばね"/>
    <hyperlink ref="A474" location="'杭周面ばね'!A33" display="杭周面ばね"/>
    <hyperlink ref="A475" location="'杭周面ばね'!A33" display="杭周面ばね"/>
    <hyperlink ref="A476" location="'杭周面ばね'!A33" display="杭周面ばね"/>
    <hyperlink ref="A477" location="'杭周面ばね'!A34" display="杭周面ばね"/>
    <hyperlink ref="A478" location="'杭周面ばね'!A34" display="杭周面ばね"/>
    <hyperlink ref="A479" location="'杭周面ばね'!A34" display="杭周面ばね"/>
    <hyperlink ref="A480" location="'杭周面ばね'!A34" display="杭周面ばね"/>
    <hyperlink ref="A481" location="'杭周面ばね'!A34" display="杭周面ばね"/>
    <hyperlink ref="A482" location="'杭周面ばね'!A34" display="杭周面ばね"/>
    <hyperlink ref="A483" location="'杭周面ばね'!A34" display="杭周面ばね"/>
    <hyperlink ref="A484" location="'杭周面ばね'!A34" display="杭周面ばね"/>
    <hyperlink ref="A485" location="'杭周面ばね'!A34" display="杭周面ばね"/>
    <hyperlink ref="A486" location="'杭周面ばね'!A34" display="杭周面ばね"/>
    <hyperlink ref="A487" location="'杭周面ばね'!A35" display="杭周面ばね"/>
    <hyperlink ref="A488" location="'杭周面ばね'!A35" display="杭周面ばね"/>
    <hyperlink ref="A489" location="'杭周面ばね'!A35" display="杭周面ばね"/>
    <hyperlink ref="A490" location="'杭周面ばね'!A35" display="杭周面ばね"/>
    <hyperlink ref="A491" location="'杭周面ばね'!A35" display="杭周面ばね"/>
    <hyperlink ref="A492" location="'杭周面ばね'!A35" display="杭周面ばね"/>
    <hyperlink ref="A493" location="'杭周面ばね'!A35" display="杭周面ばね"/>
    <hyperlink ref="A494" location="'杭周面ばね'!A35" display="杭周面ばね"/>
    <hyperlink ref="A495" location="'杭周面ばね'!A35" display="杭周面ばね"/>
    <hyperlink ref="A496" location="'杭周面ばね'!A35" display="杭周面ばね"/>
    <hyperlink ref="A497" location="'杭周面ばね'!A36" display="杭周面ばね"/>
    <hyperlink ref="A498" location="'杭周面ばね'!A36" display="杭周面ばね"/>
    <hyperlink ref="A499" location="'杭周面ばね'!A36" display="杭周面ばね"/>
    <hyperlink ref="A500" location="'杭周面ばね'!A36" display="杭周面ばね"/>
    <hyperlink ref="A501" location="'杭周面ばね'!A36" display="杭周面ばね"/>
    <hyperlink ref="A502" location="'杭周面ばね'!A36" display="杭周面ばね"/>
    <hyperlink ref="A503" location="'杭周面ばね'!A36" display="杭周面ばね"/>
    <hyperlink ref="A504" location="'杭周面ばね'!A36" display="杭周面ばね"/>
    <hyperlink ref="A505" location="'杭周面ばね'!A36" display="杭周面ばね"/>
    <hyperlink ref="A506" location="'杭周面ばね'!A36" display="杭周面ばね"/>
    <hyperlink ref="A507" location="'杭周面ばね'!A37" display="杭周面ばね"/>
    <hyperlink ref="A508" location="'杭周面ばね'!A37" display="杭周面ばね"/>
    <hyperlink ref="A509" location="'杭周面ばね'!A37" display="杭周面ばね"/>
    <hyperlink ref="A510" location="'杭周面ばね'!A37" display="杭周面ばね"/>
    <hyperlink ref="A511" location="'杭周面ばね'!A37" display="杭周面ばね"/>
    <hyperlink ref="A512" location="'杭周面ばね'!A37" display="杭周面ばね"/>
    <hyperlink ref="A513" location="'杭周面ばね'!A37" display="杭周面ばね"/>
    <hyperlink ref="A514" location="'杭周面ばね'!A37" display="杭周面ばね"/>
    <hyperlink ref="A515" location="'杭周面ばね'!A37" display="杭周面ばね"/>
    <hyperlink ref="A516" location="'杭周面ばね'!A37" display="杭周面ばね"/>
    <hyperlink ref="A517" location="'杭周面ばね'!A38" display="杭周面ばね"/>
    <hyperlink ref="A518" location="'杭周面ばね'!A38" display="杭周面ばね"/>
    <hyperlink ref="A519" location="'杭周面ばね'!A38" display="杭周面ばね"/>
    <hyperlink ref="A520" location="'杭周面ばね'!A38" display="杭周面ばね"/>
    <hyperlink ref="A521" location="'杭周面ばね'!A38" display="杭周面ばね"/>
    <hyperlink ref="A522" location="'杭周面ばね'!A38" display="杭周面ばね"/>
    <hyperlink ref="A523" location="'杭周面ばね'!A38" display="杭周面ばね"/>
    <hyperlink ref="A524" location="'杭周面ばね'!A38" display="杭周面ばね"/>
    <hyperlink ref="A525" location="'杭周面ばね'!A38" display="杭周面ばね"/>
    <hyperlink ref="A526" location="'杭周面ばね'!A38" display="杭周面ばね"/>
    <hyperlink ref="A527" location="'杭周面ばね'!A39" display="杭周面ばね"/>
    <hyperlink ref="A528" location="'杭周面ばね'!A39" display="杭周面ばね"/>
    <hyperlink ref="A529" location="'杭周面ばね'!A39" display="杭周面ばね"/>
    <hyperlink ref="A530" location="'杭周面ばね'!A39" display="杭周面ばね"/>
    <hyperlink ref="A531" location="'杭周面ばね'!A39" display="杭周面ばね"/>
    <hyperlink ref="A532" location="'杭周面ばね'!A39" display="杭周面ばね"/>
    <hyperlink ref="A533" location="'杭周面ばね'!A39" display="杭周面ばね"/>
    <hyperlink ref="A534" location="'杭周面ばね'!A39" display="杭周面ばね"/>
    <hyperlink ref="A535" location="'杭周面ばね'!A39" display="杭周面ばね"/>
    <hyperlink ref="A536" location="'杭周面ばね'!A39" display="杭周面ばね"/>
    <hyperlink ref="A537" location="'杭周面ばね'!A40" display="杭周面ばね"/>
    <hyperlink ref="A538" location="'杭周面ばね'!A40" display="杭周面ばね"/>
    <hyperlink ref="A539" location="'杭周面ばね'!A40" display="杭周面ばね"/>
    <hyperlink ref="A540" location="'杭周面ばね'!A40" display="杭周面ばね"/>
    <hyperlink ref="A541" location="'杭周面ばね'!A40" display="杭周面ばね"/>
    <hyperlink ref="A542" location="'杭周面ばね'!A40" display="杭周面ばね"/>
    <hyperlink ref="A543" location="'杭周面ばね'!A40" display="杭周面ばね"/>
    <hyperlink ref="A544" location="'杭周面ばね'!A40" display="杭周面ばね"/>
    <hyperlink ref="A545" location="'杭周面ばね'!A40" display="杭周面ばね"/>
    <hyperlink ref="A546" location="'杭周面ばね'!A40" display="杭周面ばね"/>
    <hyperlink ref="A547" location="'杭周面ばね'!A41" display="杭周面ばね"/>
    <hyperlink ref="A548" location="'杭周面ばね'!A41" display="杭周面ばね"/>
    <hyperlink ref="A549" location="'杭周面ばね'!A41" display="杭周面ばね"/>
    <hyperlink ref="A550" location="'杭周面ばね'!A41" display="杭周面ばね"/>
    <hyperlink ref="A551" location="'杭周面ばね'!A41" display="杭周面ばね"/>
    <hyperlink ref="A552" location="'杭周面ばね'!A41" display="杭周面ばね"/>
    <hyperlink ref="A553" location="'杭周面ばね'!A41" display="杭周面ばね"/>
    <hyperlink ref="A554" location="'杭周面ばね'!A41" display="杭周面ばね"/>
    <hyperlink ref="A555" location="'杭周面ばね'!A41" display="杭周面ばね"/>
    <hyperlink ref="A556" location="'杭周面ばね'!A41" display="杭周面ばね"/>
    <hyperlink ref="A557" location="'杭周面ばね'!A42" display="杭周面ばね"/>
    <hyperlink ref="A558" location="'杭周面ばね'!A42" display="杭周面ばね"/>
    <hyperlink ref="A559" location="'杭周面ばね'!A42" display="杭周面ばね"/>
    <hyperlink ref="A560" location="'杭周面ばね'!A42" display="杭周面ばね"/>
    <hyperlink ref="A561" location="'杭周面ばね'!A42" display="杭周面ばね"/>
    <hyperlink ref="A562" location="'杭周面ばね'!A42" display="杭周面ばね"/>
    <hyperlink ref="A563" location="'杭周面ばね'!A42" display="杭周面ばね"/>
    <hyperlink ref="A564" location="'杭周面ばね'!A42" display="杭周面ばね"/>
    <hyperlink ref="A565" location="'杭周面ばね'!A42" display="杭周面ばね"/>
    <hyperlink ref="A566" location="'杭周面ばね'!A42" display="杭周面ばね"/>
    <hyperlink ref="A567" location="'杭周面ばね'!A43" display="杭周面ばね"/>
    <hyperlink ref="A568" location="'杭周面ばね'!A43" display="杭周面ばね"/>
    <hyperlink ref="A569" location="'杭周面ばね'!A43" display="杭周面ばね"/>
    <hyperlink ref="A570" location="'杭周面ばね'!A43" display="杭周面ばね"/>
    <hyperlink ref="A571" location="'杭周面ばね'!A43" display="杭周面ばね"/>
    <hyperlink ref="A572" location="'杭周面ばね'!A43" display="杭周面ばね"/>
    <hyperlink ref="A573" location="'杭周面ばね'!A43" display="杭周面ばね"/>
    <hyperlink ref="A574" location="'杭周面ばね'!A43" display="杭周面ばね"/>
    <hyperlink ref="A575" location="'杭周面ばね'!A43" display="杭周面ばね"/>
    <hyperlink ref="A576" location="'杭周面ばね'!A43" display="杭周面ばね"/>
    <hyperlink ref="A577" location="'杭周面ばね'!A44" display="杭周面ばね"/>
    <hyperlink ref="A578" location="'杭周面ばね'!A44" display="杭周面ばね"/>
    <hyperlink ref="A579" location="'杭周面ばね'!A44" display="杭周面ばね"/>
    <hyperlink ref="A580" location="'杭周面ばね'!A44" display="杭周面ばね"/>
    <hyperlink ref="A581" location="'杭周面ばね'!A44" display="杭周面ばね"/>
    <hyperlink ref="A582" location="'杭周面ばね'!A44" display="杭周面ばね"/>
    <hyperlink ref="A583" location="'杭周面ばね'!A44" display="杭周面ばね"/>
    <hyperlink ref="A584" location="'杭周面ばね'!A44" display="杭周面ばね"/>
    <hyperlink ref="A585" location="'杭周面ばね'!A44" display="杭周面ばね"/>
    <hyperlink ref="A586" location="'杭周面ばね'!A44" display="杭周面ばね"/>
    <hyperlink ref="A587" location="'杭周面ばね'!A45" display="杭周面ばね"/>
    <hyperlink ref="A588" location="'杭周面ばね'!A45" display="杭周面ばね"/>
    <hyperlink ref="A589" location="'杭周面ばね'!A45" display="杭周面ばね"/>
    <hyperlink ref="A590" location="'杭周面ばね'!A45" display="杭周面ばね"/>
    <hyperlink ref="A591" location="'杭周面ばね'!A45" display="杭周面ばね"/>
    <hyperlink ref="A592" location="'杭周面ばね'!A45" display="杭周面ばね"/>
    <hyperlink ref="A593" location="'杭周面ばね'!A45" display="杭周面ばね"/>
    <hyperlink ref="A594" location="'杭周面ばね'!A45" display="杭周面ばね"/>
    <hyperlink ref="A595" location="'杭周面ばね'!A45" display="杭周面ばね"/>
    <hyperlink ref="A596" location="'杭周面ばね'!A45" display="杭周面ばね"/>
    <hyperlink ref="A597" location="'杭周面ばね'!A46" display="杭周面ばね"/>
    <hyperlink ref="A598" location="'杭周面ばね'!A46" display="杭周面ばね"/>
    <hyperlink ref="A599" location="'杭周面ばね'!A46" display="杭周面ばね"/>
    <hyperlink ref="A600" location="'杭周面ばね'!A46" display="杭周面ばね"/>
    <hyperlink ref="A601" location="'杭周面ばね'!A46" display="杭周面ばね"/>
    <hyperlink ref="A602" location="'杭周面ばね'!A46" display="杭周面ばね"/>
    <hyperlink ref="A603" location="'杭周面ばね'!A46" display="杭周面ばね"/>
    <hyperlink ref="A604" location="'杭周面ばね'!A46" display="杭周面ばね"/>
    <hyperlink ref="A605" location="'杭周面ばね'!A46" display="杭周面ばね"/>
    <hyperlink ref="A606" location="'杭周面ばね'!A46" display="杭周面ばね"/>
    <hyperlink ref="A607" location="'杭周面ばね'!A47" display="杭周面ばね"/>
    <hyperlink ref="A608" location="'杭周面ばね'!A47" display="杭周面ばね"/>
    <hyperlink ref="A609" location="'杭周面ばね'!A47" display="杭周面ばね"/>
    <hyperlink ref="A610" location="'杭周面ばね'!A47" display="杭周面ばね"/>
    <hyperlink ref="A611" location="'杭周面ばね'!A47" display="杭周面ばね"/>
    <hyperlink ref="A612" location="'杭周面ばね'!A47" display="杭周面ばね"/>
    <hyperlink ref="A613" location="'杭周面ばね'!A47" display="杭周面ばね"/>
    <hyperlink ref="A614" location="'杭周面ばね'!A47" display="杭周面ばね"/>
    <hyperlink ref="A615" location="'杭周面ばね'!A47" display="杭周面ばね"/>
    <hyperlink ref="A616" location="'杭周面ばね'!A47" display="杭周面ばね"/>
    <hyperlink ref="A617" location="'杭周面ばね'!A48" display="杭周面ばね"/>
    <hyperlink ref="A618" location="'杭周面ばね'!A48" display="杭周面ばね"/>
    <hyperlink ref="A619" location="'杭周面ばね'!A48" display="杭周面ばね"/>
    <hyperlink ref="A620" location="'杭周面ばね'!A48" display="杭周面ばね"/>
    <hyperlink ref="A621" location="'杭周面ばね'!A48" display="杭周面ばね"/>
    <hyperlink ref="A622" location="'杭周面ばね'!A48" display="杭周面ばね"/>
    <hyperlink ref="A623" location="'杭周面ばね'!A48" display="杭周面ばね"/>
    <hyperlink ref="A624" location="'杭周面ばね'!A48" display="杭周面ばね"/>
    <hyperlink ref="A625" location="'杭周面ばね'!A48" display="杭周面ばね"/>
    <hyperlink ref="A626" location="'杭周面ばね'!A48" display="杭周面ばね"/>
    <hyperlink ref="A627" location="'杭周面ばね'!A49" display="杭周面ばね"/>
    <hyperlink ref="A628" location="'杭周面ばね'!A49" display="杭周面ばね"/>
    <hyperlink ref="A629" location="'杭周面ばね'!A49" display="杭周面ばね"/>
    <hyperlink ref="A630" location="'杭周面ばね'!A49" display="杭周面ばね"/>
    <hyperlink ref="A631" location="'杭周面ばね'!A49" display="杭周面ばね"/>
    <hyperlink ref="A632" location="'杭周面ばね'!A49" display="杭周面ばね"/>
    <hyperlink ref="A633" location="'杭周面ばね'!A49" display="杭周面ばね"/>
    <hyperlink ref="A634" location="'杭周面ばね'!A49" display="杭周面ばね"/>
    <hyperlink ref="A635" location="'杭周面ばね'!A49" display="杭周面ばね"/>
    <hyperlink ref="A636" location="'杭周面ばね'!A49" display="杭周面ばね"/>
    <hyperlink ref="A637" location="'杭周面ばね'!A50" display="杭周面ばね"/>
    <hyperlink ref="A638" location="'杭周面ばね'!A50" display="杭周面ばね"/>
    <hyperlink ref="A639" location="'杭周面ばね'!A50" display="杭周面ばね"/>
    <hyperlink ref="A640" location="'杭周面ばね'!A50" display="杭周面ばね"/>
    <hyperlink ref="A641" location="'杭周面ばね'!A50" display="杭周面ばね"/>
    <hyperlink ref="A642" location="'杭周面ばね'!A50" display="杭周面ばね"/>
    <hyperlink ref="A643" location="'杭周面ばね'!A50" display="杭周面ばね"/>
    <hyperlink ref="A644" location="'杭周面ばね'!A50" display="杭周面ばね"/>
    <hyperlink ref="A645" location="'杭周面ばね'!A50" display="杭周面ばね"/>
    <hyperlink ref="A646" location="'杭周面ばね'!A50" display="杭周面ばね"/>
    <hyperlink ref="A647" location="'杭周面ばね'!A51" display="杭周面ばね"/>
    <hyperlink ref="A648" location="'杭周面ばね'!A51" display="杭周面ばね"/>
    <hyperlink ref="A649" location="'杭周面ばね'!A51" display="杭周面ばね"/>
    <hyperlink ref="A650" location="'杭周面ばね'!A51" display="杭周面ばね"/>
    <hyperlink ref="A651" location="'杭周面ばね'!A51" display="杭周面ばね"/>
    <hyperlink ref="A652" location="'杭周面ばね'!A51" display="杭周面ばね"/>
    <hyperlink ref="A653" location="'杭周面ばね'!A51" display="杭周面ばね"/>
    <hyperlink ref="A654" location="'杭周面ばね'!A51" display="杭周面ばね"/>
    <hyperlink ref="A655" location="'杭周面ばね'!A51" display="杭周面ばね"/>
    <hyperlink ref="A656" location="'杭周面ばね'!A51" display="杭周面ばね"/>
    <hyperlink ref="A657" location="'杭周面ばね'!A52" display="杭周面ばね"/>
    <hyperlink ref="A658" location="'杭周面ばね'!A52" display="杭周面ばね"/>
    <hyperlink ref="A659" location="'杭周面ばね'!A52" display="杭周面ばね"/>
    <hyperlink ref="A660" location="'杭周面ばね'!A52" display="杭周面ばね"/>
    <hyperlink ref="A661" location="'杭周面ばね'!A52" display="杭周面ばね"/>
    <hyperlink ref="A662" location="'杭周面ばね'!A52" display="杭周面ばね"/>
    <hyperlink ref="A663" location="'杭周面ばね'!A52" display="杭周面ばね"/>
    <hyperlink ref="A664" location="'杭周面ばね'!A52" display="杭周面ばね"/>
    <hyperlink ref="A665" location="'杭周面ばね'!A52" display="杭周面ばね"/>
    <hyperlink ref="A666" location="'杭周面ばね'!A52" display="杭周面ばね"/>
    <hyperlink ref="A667" location="'杭周面ばね'!A53" display="杭周面ばね"/>
    <hyperlink ref="A668" location="'杭周面ばね'!A53" display="杭周面ばね"/>
    <hyperlink ref="A669" location="'杭周面ばね'!A53" display="杭周面ばね"/>
    <hyperlink ref="A670" location="'杭周面ばね'!A53" display="杭周面ばね"/>
    <hyperlink ref="A671" location="'杭周面ばね'!A53" display="杭周面ばね"/>
    <hyperlink ref="A672" location="'杭周面ばね'!A53" display="杭周面ばね"/>
    <hyperlink ref="A673" location="'杭周面ばね'!A53" display="杭周面ばね"/>
    <hyperlink ref="A674" location="'杭周面ばね'!A53" display="杭周面ばね"/>
    <hyperlink ref="A675" location="'杭周面ばね'!A53" display="杭周面ばね"/>
    <hyperlink ref="A676" location="'杭周面ばね'!A53" display="杭周面ばね"/>
    <hyperlink ref="A677" location="'杭周面ばね'!A54" display="杭周面ばね"/>
    <hyperlink ref="A678" location="'杭周面ばね'!A54" display="杭周面ばね"/>
    <hyperlink ref="A679" location="'杭周面ばね'!A54" display="杭周面ばね"/>
    <hyperlink ref="A680" location="'杭周面ばね'!A54" display="杭周面ばね"/>
    <hyperlink ref="A681" location="'杭周面ばね'!A54" display="杭周面ばね"/>
    <hyperlink ref="A682" location="'杭周面ばね'!A54" display="杭周面ばね"/>
    <hyperlink ref="A683" location="'杭周面ばね'!A54" display="杭周面ばね"/>
    <hyperlink ref="A684" location="'杭周面ばね'!A54" display="杭周面ばね"/>
    <hyperlink ref="A685" location="'杭周面ばね'!A54" display="杭周面ばね"/>
    <hyperlink ref="A686" location="'杭周面ばね'!A54" display="杭周面ばね"/>
    <hyperlink ref="A687" location="'杭周面ばね'!A55" display="杭周面ばね"/>
    <hyperlink ref="A688" location="'杭周面ばね'!A55" display="杭周面ばね"/>
    <hyperlink ref="A689" location="'杭周面ばね'!A55" display="杭周面ばね"/>
    <hyperlink ref="A690" location="'杭周面ばね'!A55" display="杭周面ばね"/>
    <hyperlink ref="A691" location="'杭周面ばね'!A55" display="杭周面ばね"/>
    <hyperlink ref="A692" location="'杭周面ばね'!A55" display="杭周面ばね"/>
    <hyperlink ref="A693" location="'杭周面ばね'!A55" display="杭周面ばね"/>
    <hyperlink ref="A694" location="'杭周面ばね'!A55" display="杭周面ばね"/>
    <hyperlink ref="A695" location="'杭周面ばね'!A55" display="杭周面ばね"/>
    <hyperlink ref="A696" location="'杭周面ばね'!A55" display="杭周面ばね"/>
    <hyperlink ref="A697" location="'杭周面ばね'!A56" display="杭周面ばね"/>
    <hyperlink ref="A698" location="'杭周面ばね'!A56" display="杭周面ばね"/>
    <hyperlink ref="A699" location="'杭周面ばね'!A56" display="杭周面ばね"/>
    <hyperlink ref="A700" location="'杭周面ばね'!A56" display="杭周面ばね"/>
    <hyperlink ref="A701" location="'杭周面ばね'!A56" display="杭周面ばね"/>
    <hyperlink ref="A702" location="'杭周面ばね'!A56" display="杭周面ばね"/>
    <hyperlink ref="A703" location="'杭周面ばね'!A56" display="杭周面ばね"/>
    <hyperlink ref="A704" location="'杭周面ばね'!A56" display="杭周面ばね"/>
    <hyperlink ref="A705" location="'杭周面ばね'!A56" display="杭周面ばね"/>
    <hyperlink ref="A706" location="'杭周面ばね'!A56" display="杭周面ばね"/>
    <hyperlink ref="A707" location="'杭周面ばね'!A57" display="杭周面ばね"/>
    <hyperlink ref="A708" location="'杭周面ばね'!A57" display="杭周面ばね"/>
    <hyperlink ref="A709" location="'杭周面ばね'!A57" display="杭周面ばね"/>
    <hyperlink ref="A710" location="'杭周面ばね'!A57" display="杭周面ばね"/>
    <hyperlink ref="A711" location="'杭周面ばね'!A57" display="杭周面ばね"/>
    <hyperlink ref="A712" location="'杭周面ばね'!A57" display="杭周面ばね"/>
    <hyperlink ref="A713" location="'杭周面ばね'!A57" display="杭周面ばね"/>
    <hyperlink ref="A714" location="'杭周面ばね'!A57" display="杭周面ばね"/>
    <hyperlink ref="A715" location="'杭周面ばね'!A57" display="杭周面ばね"/>
    <hyperlink ref="A716" location="'杭周面ばね'!A57" display="杭周面ばね"/>
    <hyperlink ref="A717" location="'杭周面ばね'!A58" display="杭周面ばね"/>
    <hyperlink ref="A718" location="'杭周面ばね'!A58" display="杭周面ばね"/>
    <hyperlink ref="A719" location="'杭周面ばね'!A58" display="杭周面ばね"/>
    <hyperlink ref="A720" location="'杭周面ばね'!A58" display="杭周面ばね"/>
    <hyperlink ref="A721" location="'杭周面ばね'!A58" display="杭周面ばね"/>
    <hyperlink ref="A722" location="'杭周面ばね'!A58" display="杭周面ばね"/>
    <hyperlink ref="A723" location="'杭周面ばね'!A58" display="杭周面ばね"/>
    <hyperlink ref="A724" location="'杭周面ばね'!A58" display="杭周面ばね"/>
    <hyperlink ref="A725" location="'杭周面ばね'!A58" display="杭周面ばね"/>
    <hyperlink ref="A726" location="'杭周面ばね'!A58" display="杭周面ばね"/>
    <hyperlink ref="A727" location="'杭周面ばね'!A59" display="杭周面ばね"/>
    <hyperlink ref="A728" location="'杭周面ばね'!A59" display="杭周面ばね"/>
    <hyperlink ref="A729" location="'杭周面ばね'!A59" display="杭周面ばね"/>
    <hyperlink ref="A730" location="'杭周面ばね'!A59" display="杭周面ばね"/>
    <hyperlink ref="A731" location="'杭周面ばね'!A59" display="杭周面ばね"/>
    <hyperlink ref="A732" location="'杭周面ばね'!A59" display="杭周面ばね"/>
    <hyperlink ref="A733" location="'杭周面ばね'!A59" display="杭周面ばね"/>
    <hyperlink ref="A734" location="'杭周面ばね'!A59" display="杭周面ばね"/>
    <hyperlink ref="A735" location="'杭周面ばね'!A59" display="杭周面ばね"/>
    <hyperlink ref="A736" location="'杭周面ばね'!A59" display="杭周面ばね"/>
    <hyperlink ref="A737" location="'杭周面ばね'!A60" display="杭周面ばね"/>
    <hyperlink ref="A738" location="'杭周面ばね'!A60" display="杭周面ばね"/>
    <hyperlink ref="A739" location="'杭周面ばね'!A60" display="杭周面ばね"/>
    <hyperlink ref="A740" location="'杭周面ばね'!A60" display="杭周面ばね"/>
    <hyperlink ref="A741" location="'杭周面ばね'!A60" display="杭周面ばね"/>
    <hyperlink ref="A742" location="'杭周面ばね'!A60" display="杭周面ばね"/>
    <hyperlink ref="A743" location="'杭周面ばね'!A60" display="杭周面ばね"/>
    <hyperlink ref="A744" location="'杭周面ばね'!A60" display="杭周面ばね"/>
    <hyperlink ref="A745" location="'杭周面ばね'!A60" display="杭周面ばね"/>
    <hyperlink ref="A746" location="'杭周面ばね'!A60" display="杭周面ばね"/>
    <hyperlink ref="A747" location="'杭周面ばね'!A61" display="杭周面ばね"/>
    <hyperlink ref="A748" location="'杭周面ばね'!A61" display="杭周面ばね"/>
    <hyperlink ref="A749" location="'杭周面ばね'!A61" display="杭周面ばね"/>
    <hyperlink ref="A750" location="'杭周面ばね'!A61" display="杭周面ばね"/>
    <hyperlink ref="A751" location="'杭周面ばね'!A61" display="杭周面ばね"/>
    <hyperlink ref="A752" location="'杭周面ばね'!A61" display="杭周面ばね"/>
    <hyperlink ref="A753" location="'杭周面ばね'!A61" display="杭周面ばね"/>
    <hyperlink ref="A754" location="'杭周面ばね'!A61" display="杭周面ばね"/>
    <hyperlink ref="A755" location="'杭周面ばね'!A61" display="杭周面ばね"/>
    <hyperlink ref="A756" location="'杭周面ばね'!A61" display="杭周面ばね"/>
    <hyperlink ref="A757" location="'杭周面ばね'!A62" display="杭周面ばね"/>
    <hyperlink ref="A758" location="'杭周面ばね'!A62" display="杭周面ばね"/>
    <hyperlink ref="A759" location="'杭周面ばね'!A62" display="杭周面ばね"/>
    <hyperlink ref="A760" location="'杭周面ばね'!A62" display="杭周面ばね"/>
    <hyperlink ref="A761" location="'杭周面ばね'!A62" display="杭周面ばね"/>
    <hyperlink ref="A762" location="'杭周面ばね'!A62" display="杭周面ばね"/>
    <hyperlink ref="A763" location="'杭周面ばね'!A62" display="杭周面ばね"/>
    <hyperlink ref="A764" location="'杭周面ばね'!A62" display="杭周面ばね"/>
    <hyperlink ref="A765" location="'杭周面ばね'!A62" display="杭周面ばね"/>
    <hyperlink ref="A766" location="'杭周面ばね'!A62" display="杭周面ばね"/>
    <hyperlink ref="A767" location="'杭周面ばね'!A63" display="杭周面ばね"/>
    <hyperlink ref="A768" location="'杭周面ばね'!A63" display="杭周面ばね"/>
    <hyperlink ref="A769" location="'杭周面ばね'!A63" display="杭周面ばね"/>
    <hyperlink ref="A770" location="'杭周面ばね'!A63" display="杭周面ばね"/>
    <hyperlink ref="A771" location="'杭周面ばね'!A63" display="杭周面ばね"/>
    <hyperlink ref="A772" location="'杭周面ばね'!A63" display="杭周面ばね"/>
    <hyperlink ref="A773" location="'杭周面ばね'!A63" display="杭周面ばね"/>
    <hyperlink ref="A774" location="'杭周面ばね'!A63" display="杭周面ばね"/>
    <hyperlink ref="A775" location="'杭周面ばね'!A63" display="杭周面ばね"/>
    <hyperlink ref="A776" location="'杭周面ばね'!A63" display="杭周面ばね"/>
    <hyperlink ref="A777" location="'杭周面ばね'!A64" display="杭周面ばね"/>
    <hyperlink ref="A778" location="'杭周面ばね'!A64" display="杭周面ばね"/>
    <hyperlink ref="A779" location="'杭周面ばね'!A64" display="杭周面ばね"/>
    <hyperlink ref="A780" location="'杭周面ばね'!A64" display="杭周面ばね"/>
    <hyperlink ref="A781" location="'杭周面ばね'!A64" display="杭周面ばね"/>
    <hyperlink ref="A782" location="'杭周面ばね'!A64" display="杭周面ばね"/>
    <hyperlink ref="A783" location="'杭周面ばね'!A64" display="杭周面ばね"/>
    <hyperlink ref="A784" location="'杭周面ばね'!A64" display="杭周面ばね"/>
    <hyperlink ref="A785" location="'杭周面ばね'!A64" display="杭周面ばね"/>
    <hyperlink ref="A786" location="'杭周面ばね'!A64" display="杭周面ばね"/>
    <hyperlink ref="A787" location="'杭周面ばね'!A65" display="杭周面ばね"/>
    <hyperlink ref="A788" location="'杭周面ばね'!A65" display="杭周面ばね"/>
    <hyperlink ref="A789" location="'杭周面ばね'!A65" display="杭周面ばね"/>
    <hyperlink ref="A790" location="'杭周面ばね'!A65" display="杭周面ばね"/>
    <hyperlink ref="A791" location="'杭周面ばね'!A65" display="杭周面ばね"/>
    <hyperlink ref="A792" location="'杭周面ばね'!A65" display="杭周面ばね"/>
    <hyperlink ref="A793" location="'杭周面ばね'!A65" display="杭周面ばね"/>
    <hyperlink ref="A794" location="'杭周面ばね'!A65" display="杭周面ばね"/>
    <hyperlink ref="A795" location="'杭周面ばね'!A65" display="杭周面ばね"/>
    <hyperlink ref="A796" location="'杭周面ばね'!A65" display="杭周面ばね"/>
    <hyperlink ref="A797" location="'杭周面ばね'!A66" display="杭周面ばね"/>
    <hyperlink ref="A798" location="'杭周面ばね'!A66" display="杭周面ばね"/>
    <hyperlink ref="A799" location="'杭周面ばね'!A66" display="杭周面ばね"/>
    <hyperlink ref="A800" location="'杭周面ばね'!A66" display="杭周面ばね"/>
    <hyperlink ref="A801" location="'杭周面ばね'!A66" display="杭周面ばね"/>
    <hyperlink ref="A802" location="'杭周面ばね'!A66" display="杭周面ばね"/>
    <hyperlink ref="A803" location="'杭周面ばね'!A66" display="杭周面ばね"/>
    <hyperlink ref="A804" location="'杭周面ばね'!A66" display="杭周面ばね"/>
    <hyperlink ref="A805" location="'杭周面ばね'!A66" display="杭周面ばね"/>
    <hyperlink ref="A806" location="'杭周面ばね'!A66" display="杭周面ばね"/>
    <hyperlink ref="A807" location="'杭周面ばね'!A67" display="杭周面ばね"/>
    <hyperlink ref="A808" location="'杭周面ばね'!A67" display="杭周面ばね"/>
    <hyperlink ref="A809" location="'杭周面ばね'!A67" display="杭周面ばね"/>
    <hyperlink ref="A810" location="'杭周面ばね'!A67" display="杭周面ばね"/>
    <hyperlink ref="A811" location="'杭周面ばね'!A67" display="杭周面ばね"/>
    <hyperlink ref="A812" location="'杭周面ばね'!A67" display="杭周面ばね"/>
    <hyperlink ref="A813" location="'杭周面ばね'!A67" display="杭周面ばね"/>
    <hyperlink ref="A814" location="'杭周面ばね'!A67" display="杭周面ばね"/>
    <hyperlink ref="A815" location="'杭周面ばね'!A67" display="杭周面ばね"/>
    <hyperlink ref="A816" location="'杭周面ばね'!A67" display="杭周面ばね"/>
    <hyperlink ref="A817" location="'杭周面ばね'!A68" display="杭周面ばね"/>
    <hyperlink ref="A818" location="'杭周面ばね'!A68" display="杭周面ばね"/>
    <hyperlink ref="A819" location="'杭周面ばね'!A68" display="杭周面ばね"/>
    <hyperlink ref="A820" location="'杭周面ばね'!A68" display="杭周面ばね"/>
    <hyperlink ref="A821" location="'杭周面ばね'!A68" display="杭周面ばね"/>
    <hyperlink ref="A822" location="'杭周面ばね'!A68" display="杭周面ばね"/>
    <hyperlink ref="A823" location="'杭周面ばね'!A68" display="杭周面ばね"/>
    <hyperlink ref="A824" location="'杭周面ばね'!A68" display="杭周面ばね"/>
    <hyperlink ref="A825" location="'杭周面ばね'!A68" display="杭周面ばね"/>
    <hyperlink ref="A826" location="'杭周面ばね'!A68" display="杭周面ばね"/>
    <hyperlink ref="A827" location="'杭先端ばね'!A9" display="杭先端ばね"/>
    <hyperlink ref="A828" location="'杭先端ばね'!A9" display="杭先端ばね"/>
    <hyperlink ref="A829" location="'杭先端ばね'!A9" display="杭先端ばね"/>
    <hyperlink ref="A830" location="'杭先端ばね'!A9" display="杭先端ばね"/>
    <hyperlink ref="A831" location="'杭先端ばね'!A9" display="杭先端ばね"/>
    <hyperlink ref="A832" location="'杭先端ばね'!A9" display="杭先端ばね"/>
    <hyperlink ref="A833" location="'杭先端ばね'!A9" display="杭先端ばね"/>
    <hyperlink ref="A834" location="'杭先端ばね'!A9" display="杭先端ばね"/>
    <hyperlink ref="A835" location="'杭先端ばね'!A9" display="杭先端ばね"/>
    <hyperlink ref="A836" location="'杭先端ばね'!A9" display="杭先端ばね"/>
    <hyperlink ref="A837" location="'杭先端ばね'!A10" display="杭先端ばね"/>
    <hyperlink ref="A838" location="'杭先端ばね'!A10" display="杭先端ばね"/>
    <hyperlink ref="A839" location="'杭先端ばね'!A10" display="杭先端ばね"/>
    <hyperlink ref="A840" location="'杭先端ばね'!A10" display="杭先端ばね"/>
    <hyperlink ref="A841" location="'杭先端ばね'!A10" display="杭先端ばね"/>
    <hyperlink ref="A842" location="'杭先端ばね'!A10" display="杭先端ばね"/>
    <hyperlink ref="A843" location="'杭先端ばね'!A10" display="杭先端ばね"/>
    <hyperlink ref="A844" location="'杭先端ばね'!A10" display="杭先端ばね"/>
    <hyperlink ref="A845" location="'杭先端ばね'!A10" display="杭先端ばね"/>
    <hyperlink ref="A846" location="'杭先端ばね'!A10" display="杭先端ばね"/>
    <hyperlink ref="A847" location="'杭先端ばね'!A11" display="杭先端ばね"/>
    <hyperlink ref="A848" location="'杭先端ばね'!A11" display="杭先端ばね"/>
    <hyperlink ref="A849" location="'杭先端ばね'!A11" display="杭先端ばね"/>
    <hyperlink ref="A850" location="'杭先端ばね'!A11" display="杭先端ばね"/>
    <hyperlink ref="A851" location="'杭先端ばね'!A11" display="杭先端ばね"/>
    <hyperlink ref="A852" location="'杭先端ばね'!A11" display="杭先端ばね"/>
    <hyperlink ref="A853" location="'杭先端ばね'!A11" display="杭先端ばね"/>
    <hyperlink ref="A854" location="'杭先端ばね'!A11" display="杭先端ばね"/>
    <hyperlink ref="A855" location="'杭先端ばね'!A11" display="杭先端ばね"/>
    <hyperlink ref="A856" location="'杭先端ばね'!A11" display="杭先端ばね"/>
  </hyperlinks>
  <pageMargins left="0.25" right="0.25" top="0.35" bottom="0.35" header="0.3" footer="0.3"/>
  <pageSetup paperSize="9" fitToHeight="0" orientation="landscape"/>
  <headerFooter>
    <oddFooter>&amp;L変換結果&amp;R&amp;P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22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2" width="8.7109375" customWidth="1"/>
    <col min="3" max="3" width="10.7109375" customWidth="1"/>
    <col min="4" max="4" width="17.7109375" customWidth="1"/>
    <col min="5" max="12" width="15.7109375" customWidth="1"/>
  </cols>
  <sheetData>
    <row r="1" spans="1:12" ht="24" customHeight="1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3" customHeight="1"/>
    <row r="6" spans="1:12" ht="24" customHeight="1">
      <c r="A6" s="3" t="s">
        <v>49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6" customHeight="1">
      <c r="A7" s="4" t="s">
        <v>8</v>
      </c>
      <c r="B7" s="4" t="s">
        <v>9</v>
      </c>
      <c r="C7" s="4" t="s">
        <v>20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45</v>
      </c>
    </row>
    <row r="8" spans="1:12" ht="23" customHeight="1">
      <c r="A8" s="6">
        <v>4</v>
      </c>
      <c r="B8" s="6">
        <v>1</v>
      </c>
      <c r="C8" s="6">
        <v>98</v>
      </c>
      <c r="D8" s="6" t="s">
        <v>54</v>
      </c>
      <c r="E8" s="6">
        <f>(SUM(K158)/H83)</f>
        <v>58812.0</v>
      </c>
      <c r="F8" s="6">
        <f>J158</f>
        <v>58812.0</v>
      </c>
      <c r="G8" s="7">
        <v>58812</v>
      </c>
      <c r="H8" s="6">
        <f>(F8-G8)</f>
        <v>0.0</v>
      </c>
    </row>
    <row r="9" spans="1:12" ht="23" customHeight="1">
      <c r="A9" s="6">
        <v>4</v>
      </c>
      <c r="B9" s="6">
        <v>1</v>
      </c>
      <c r="C9" s="6">
        <v>99</v>
      </c>
      <c r="D9" s="6" t="s">
        <v>55</v>
      </c>
      <c r="E9" s="6">
        <f>(SUM(K159,K160)/H84)</f>
        <v>272085.9230769231</v>
      </c>
      <c r="F9" s="6">
        <f>ROUND(E9,0)</f>
        <v>272086.0</v>
      </c>
      <c r="G9" s="7">
        <v>272086</v>
      </c>
      <c r="H9" s="6">
        <f>(F9-G9)</f>
        <v>0.0</v>
      </c>
    </row>
    <row r="10" spans="1:12" ht="23" customHeight="1">
      <c r="A10" s="6">
        <v>4</v>
      </c>
      <c r="B10" s="6">
        <v>1</v>
      </c>
      <c r="C10" s="6">
        <v>100</v>
      </c>
      <c r="D10" s="6" t="s">
        <v>55</v>
      </c>
      <c r="E10" s="6">
        <f>(SUM(K161,K162)/H85)</f>
        <v>141501.07692307694</v>
      </c>
      <c r="F10" s="6">
        <f>ROUND(E10,0)</f>
        <v>141501.0</v>
      </c>
      <c r="G10" s="7">
        <v>141501</v>
      </c>
      <c r="H10" s="6">
        <f>(F10-G10)</f>
        <v>0.0</v>
      </c>
    </row>
    <row r="11" spans="1:12" ht="23" customHeight="1">
      <c r="A11" s="6">
        <v>4</v>
      </c>
      <c r="B11" s="6">
        <v>1</v>
      </c>
      <c r="C11" s="6">
        <v>101</v>
      </c>
      <c r="D11" s="6" t="s">
        <v>54</v>
      </c>
      <c r="E11" s="6">
        <f>(SUM(K163)/H86)</f>
        <v>110707.99999999999</v>
      </c>
      <c r="F11" s="6">
        <f>J163</f>
        <v>110708.0</v>
      </c>
      <c r="G11" s="7">
        <v>110708</v>
      </c>
      <c r="H11" s="6">
        <f>(F11-G11)</f>
        <v>0.0</v>
      </c>
    </row>
    <row r="12" spans="1:12" ht="23" customHeight="1">
      <c r="A12" s="6">
        <v>4</v>
      </c>
      <c r="B12" s="6">
        <v>1</v>
      </c>
      <c r="C12" s="6">
        <v>102</v>
      </c>
      <c r="D12" s="6" t="s">
        <v>55</v>
      </c>
      <c r="E12" s="6">
        <f>(SUM(K164,K165)/H87)</f>
        <v>208028.61538461538</v>
      </c>
      <c r="F12" s="6">
        <f>ROUND(E12,0)</f>
        <v>208029.0</v>
      </c>
      <c r="G12" s="7">
        <v>208029</v>
      </c>
      <c r="H12" s="6">
        <f>(F12-G12)</f>
        <v>0.0</v>
      </c>
    </row>
    <row r="13" spans="1:12" ht="23" customHeight="1">
      <c r="A13" s="6">
        <v>4</v>
      </c>
      <c r="B13" s="6">
        <v>1</v>
      </c>
      <c r="C13" s="6">
        <v>103</v>
      </c>
      <c r="D13" s="6" t="s">
        <v>54</v>
      </c>
      <c r="E13" s="6">
        <f>(SUM(K166)/H88)</f>
        <v>268854.0</v>
      </c>
      <c r="F13" s="6">
        <f>J166</f>
        <v>268854.0</v>
      </c>
      <c r="G13" s="7">
        <v>268854</v>
      </c>
      <c r="H13" s="6">
        <f>(F13-G13)</f>
        <v>0.0</v>
      </c>
    </row>
    <row r="14" spans="1:12" ht="23" customHeight="1">
      <c r="A14" s="6">
        <v>4</v>
      </c>
      <c r="B14" s="6">
        <v>1</v>
      </c>
      <c r="C14" s="6">
        <v>104</v>
      </c>
      <c r="D14" s="6" t="s">
        <v>55</v>
      </c>
      <c r="E14" s="6">
        <f>(SUM(K167,K168,K169)/H89)</f>
        <v>363439.69230769225</v>
      </c>
      <c r="F14" s="6">
        <f>ROUND(E14,0)</f>
        <v>363440.0</v>
      </c>
      <c r="G14" s="7">
        <v>363440</v>
      </c>
      <c r="H14" s="6">
        <f>(F14-G14)</f>
        <v>0.0</v>
      </c>
    </row>
    <row r="15" spans="1:12" ht="23" customHeight="1">
      <c r="A15" s="6">
        <v>4</v>
      </c>
      <c r="B15" s="6">
        <v>1</v>
      </c>
      <c r="C15" s="6">
        <v>105</v>
      </c>
      <c r="D15" s="6" t="s">
        <v>54</v>
      </c>
      <c r="E15" s="6">
        <f>(SUM(K170)/H90)</f>
        <v>403280.0</v>
      </c>
      <c r="F15" s="6">
        <f>J170</f>
        <v>403280.0</v>
      </c>
      <c r="G15" s="7">
        <v>403280</v>
      </c>
      <c r="H15" s="6">
        <f>(F15-G15)</f>
        <v>0.0</v>
      </c>
    </row>
    <row r="16" spans="1:12" ht="23" customHeight="1">
      <c r="A16" s="6">
        <v>4</v>
      </c>
      <c r="B16" s="6">
        <v>1</v>
      </c>
      <c r="C16" s="6">
        <v>106</v>
      </c>
      <c r="D16" s="6" t="s">
        <v>54</v>
      </c>
      <c r="E16" s="6">
        <f>(SUM(K171)/H91)</f>
        <v>403280.0</v>
      </c>
      <c r="F16" s="6">
        <f>J171</f>
        <v>403280.0</v>
      </c>
      <c r="G16" s="7">
        <v>403280</v>
      </c>
      <c r="H16" s="6">
        <f>(F16-G16)</f>
        <v>0.0</v>
      </c>
    </row>
    <row r="17" spans="1:8" ht="23" customHeight="1">
      <c r="A17" s="6">
        <v>4</v>
      </c>
      <c r="B17" s="6">
        <v>1</v>
      </c>
      <c r="C17" s="6">
        <v>107</v>
      </c>
      <c r="D17" s="6" t="s">
        <v>54</v>
      </c>
      <c r="E17" s="6">
        <f>(SUM(K172)/H92)</f>
        <v>403280.0</v>
      </c>
      <c r="F17" s="6">
        <f>J172</f>
        <v>403280.0</v>
      </c>
      <c r="G17" s="7">
        <v>403280</v>
      </c>
      <c r="H17" s="6">
        <f>(F17-G17)</f>
        <v>0.0</v>
      </c>
    </row>
    <row r="18" spans="1:8" ht="23" customHeight="1">
      <c r="A18" s="6">
        <v>4</v>
      </c>
      <c r="B18" s="6">
        <v>1</v>
      </c>
      <c r="C18" s="6">
        <v>108</v>
      </c>
      <c r="D18" s="6" t="s">
        <v>54</v>
      </c>
      <c r="E18" s="6">
        <f>(SUM(K173)/H93)</f>
        <v>403280.0</v>
      </c>
      <c r="F18" s="6">
        <f>J173</f>
        <v>403280.0</v>
      </c>
      <c r="G18" s="7">
        <v>403280</v>
      </c>
      <c r="H18" s="6">
        <f>(F18-G18)</f>
        <v>0.0</v>
      </c>
    </row>
    <row r="19" spans="1:8" ht="23" customHeight="1">
      <c r="A19" s="6">
        <v>4</v>
      </c>
      <c r="B19" s="6">
        <v>1</v>
      </c>
      <c r="C19" s="6">
        <v>109</v>
      </c>
      <c r="D19" s="6" t="s">
        <v>54</v>
      </c>
      <c r="E19" s="6">
        <f>(SUM(K174)/H94)</f>
        <v>403280.0</v>
      </c>
      <c r="F19" s="6">
        <f>J174</f>
        <v>403280.0</v>
      </c>
      <c r="G19" s="7">
        <v>403280</v>
      </c>
      <c r="H19" s="6">
        <f>(F19-G19)</f>
        <v>0.0</v>
      </c>
    </row>
    <row r="20" spans="1:8" ht="23" customHeight="1">
      <c r="A20" s="6">
        <v>4</v>
      </c>
      <c r="B20" s="6">
        <v>1</v>
      </c>
      <c r="C20" s="6">
        <v>110</v>
      </c>
      <c r="D20" s="6" t="s">
        <v>54</v>
      </c>
      <c r="E20" s="6">
        <f>(SUM(K175)/H95)</f>
        <v>403280.0</v>
      </c>
      <c r="F20" s="6">
        <f>J175</f>
        <v>403280.0</v>
      </c>
      <c r="G20" s="7">
        <v>403280</v>
      </c>
      <c r="H20" s="6">
        <f>(F20-G20)</f>
        <v>0.0</v>
      </c>
    </row>
    <row r="21" spans="1:8" ht="23" customHeight="1">
      <c r="A21" s="6">
        <v>4</v>
      </c>
      <c r="B21" s="6">
        <v>1</v>
      </c>
      <c r="C21" s="6">
        <v>111</v>
      </c>
      <c r="D21" s="6" t="s">
        <v>54</v>
      </c>
      <c r="E21" s="6">
        <f>(SUM(K176)/H96)</f>
        <v>403280.0</v>
      </c>
      <c r="F21" s="6">
        <f>J176</f>
        <v>403280.0</v>
      </c>
      <c r="G21" s="7">
        <v>403280</v>
      </c>
      <c r="H21" s="6">
        <f>(F21-G21)</f>
        <v>0.0</v>
      </c>
    </row>
    <row r="22" spans="1:8" ht="23" customHeight="1">
      <c r="A22" s="6">
        <v>4</v>
      </c>
      <c r="B22" s="6">
        <v>1</v>
      </c>
      <c r="C22" s="6">
        <v>112</v>
      </c>
      <c r="D22" s="6" t="s">
        <v>55</v>
      </c>
      <c r="E22" s="6">
        <f>(SUM(K177,K178)/H97)</f>
        <v>225971.00000000003</v>
      </c>
      <c r="F22" s="6">
        <f>ROUND(E22,0)</f>
        <v>225971.0</v>
      </c>
      <c r="G22" s="7">
        <v>225971</v>
      </c>
      <c r="H22" s="6">
        <f>(F22-G22)</f>
        <v>0.0</v>
      </c>
    </row>
    <row r="23" spans="1:8" ht="23" customHeight="1">
      <c r="A23" s="6">
        <v>4</v>
      </c>
      <c r="B23" s="6">
        <v>1</v>
      </c>
      <c r="C23" s="6">
        <v>113</v>
      </c>
      <c r="D23" s="6" t="s">
        <v>54</v>
      </c>
      <c r="E23" s="6">
        <f>(SUM(K179)/H98)</f>
        <v>193733.0</v>
      </c>
      <c r="F23" s="6">
        <f>J179</f>
        <v>193733.0</v>
      </c>
      <c r="G23" s="7">
        <v>193733</v>
      </c>
      <c r="H23" s="6">
        <f>(F23-G23)</f>
        <v>0.0</v>
      </c>
    </row>
    <row r="24" spans="1:8" ht="23" customHeight="1">
      <c r="A24" s="6">
        <v>4</v>
      </c>
      <c r="B24" s="6">
        <v>1</v>
      </c>
      <c r="C24" s="6">
        <v>114</v>
      </c>
      <c r="D24" s="6" t="s">
        <v>54</v>
      </c>
      <c r="E24" s="6">
        <f>(SUM(K180)/H99)</f>
        <v>193733.0</v>
      </c>
      <c r="F24" s="6">
        <f>J180</f>
        <v>193733.0</v>
      </c>
      <c r="G24" s="7">
        <v>193733</v>
      </c>
      <c r="H24" s="6">
        <f>(F24-G24)</f>
        <v>0.0</v>
      </c>
    </row>
    <row r="25" spans="1:8" ht="23" customHeight="1">
      <c r="A25" s="6">
        <v>4</v>
      </c>
      <c r="B25" s="6">
        <v>1</v>
      </c>
      <c r="C25" s="6">
        <v>115</v>
      </c>
      <c r="D25" s="6" t="s">
        <v>54</v>
      </c>
      <c r="E25" s="6">
        <f>(SUM(K181)/H100)</f>
        <v>193733.0</v>
      </c>
      <c r="F25" s="6">
        <f>J181</f>
        <v>193733.0</v>
      </c>
      <c r="G25" s="7">
        <v>193733</v>
      </c>
      <c r="H25" s="6">
        <f>(F25-G25)</f>
        <v>0.0</v>
      </c>
    </row>
    <row r="26" spans="1:8" ht="23" customHeight="1">
      <c r="A26" s="6">
        <v>4</v>
      </c>
      <c r="B26" s="6">
        <v>1</v>
      </c>
      <c r="C26" s="6">
        <v>116</v>
      </c>
      <c r="D26" s="6" t="s">
        <v>54</v>
      </c>
      <c r="E26" s="6">
        <f>(SUM(K182)/H101)</f>
        <v>193733.0</v>
      </c>
      <c r="F26" s="6">
        <f>J182</f>
        <v>193733.0</v>
      </c>
      <c r="G26" s="7">
        <v>193733</v>
      </c>
      <c r="H26" s="6">
        <f>(F26-G26)</f>
        <v>0.0</v>
      </c>
    </row>
    <row r="27" spans="1:8" ht="23" customHeight="1">
      <c r="A27" s="6">
        <v>4</v>
      </c>
      <c r="B27" s="6">
        <v>1</v>
      </c>
      <c r="C27" s="6">
        <v>117</v>
      </c>
      <c r="D27" s="6" t="s">
        <v>54</v>
      </c>
      <c r="E27" s="6">
        <f>(SUM(K183)/H102)</f>
        <v>193733.0</v>
      </c>
      <c r="F27" s="6">
        <f>J183</f>
        <v>193733.0</v>
      </c>
      <c r="G27" s="7">
        <v>193733</v>
      </c>
      <c r="H27" s="6">
        <f>(F27-G27)</f>
        <v>0.0</v>
      </c>
    </row>
    <row r="28" spans="1:8" ht="23" customHeight="1">
      <c r="A28" s="6">
        <v>4</v>
      </c>
      <c r="B28" s="6">
        <v>1</v>
      </c>
      <c r="C28" s="6">
        <v>118</v>
      </c>
      <c r="D28" s="6" t="s">
        <v>54</v>
      </c>
      <c r="E28" s="6">
        <f>(SUM(K184)/H103)</f>
        <v>193733.0</v>
      </c>
      <c r="F28" s="6">
        <f>J184</f>
        <v>193733.0</v>
      </c>
      <c r="G28" s="7">
        <v>193733</v>
      </c>
      <c r="H28" s="6">
        <f>(F28-G28)</f>
        <v>0.0</v>
      </c>
    </row>
    <row r="29" spans="1:8" ht="23" customHeight="1">
      <c r="A29" s="6">
        <v>4</v>
      </c>
      <c r="B29" s="6">
        <v>1</v>
      </c>
      <c r="C29" s="6">
        <v>119</v>
      </c>
      <c r="D29" s="6" t="s">
        <v>54</v>
      </c>
      <c r="E29" s="6">
        <f>(SUM(K185)/H104)</f>
        <v>193733.0</v>
      </c>
      <c r="F29" s="6">
        <f>J185</f>
        <v>193733.0</v>
      </c>
      <c r="G29" s="7">
        <v>193733</v>
      </c>
      <c r="H29" s="6">
        <f>(F29-G29)</f>
        <v>0.0</v>
      </c>
    </row>
    <row r="30" spans="1:8" ht="23" customHeight="1">
      <c r="A30" s="6">
        <v>4</v>
      </c>
      <c r="B30" s="6">
        <v>1</v>
      </c>
      <c r="C30" s="6">
        <v>120</v>
      </c>
      <c r="D30" s="6" t="s">
        <v>54</v>
      </c>
      <c r="E30" s="6">
        <f>(SUM(K186)/H105)</f>
        <v>193733.0</v>
      </c>
      <c r="F30" s="6">
        <f>J186</f>
        <v>193733.0</v>
      </c>
      <c r="G30" s="7">
        <v>193733</v>
      </c>
      <c r="H30" s="6">
        <f>(F30-G30)</f>
        <v>0.0</v>
      </c>
    </row>
    <row r="31" spans="1:8" ht="23" customHeight="1">
      <c r="A31" s="6">
        <v>4</v>
      </c>
      <c r="B31" s="6">
        <v>1</v>
      </c>
      <c r="C31" s="6">
        <v>121</v>
      </c>
      <c r="D31" s="6" t="s">
        <v>54</v>
      </c>
      <c r="E31" s="6">
        <f>(SUM(K187)/H106)</f>
        <v>193733.0</v>
      </c>
      <c r="F31" s="6">
        <f>J187</f>
        <v>193733.0</v>
      </c>
      <c r="G31" s="7">
        <v>193733</v>
      </c>
      <c r="H31" s="6">
        <f>(F31-G31)</f>
        <v>0.0</v>
      </c>
    </row>
    <row r="32" spans="1:8" ht="23" customHeight="1">
      <c r="A32" s="6">
        <v>5</v>
      </c>
      <c r="B32" s="6">
        <v>2</v>
      </c>
      <c r="C32" s="6">
        <v>123</v>
      </c>
      <c r="D32" s="6" t="s">
        <v>54</v>
      </c>
      <c r="E32" s="6">
        <f>(SUM(K188)/H107)</f>
        <v>39208.0</v>
      </c>
      <c r="F32" s="6">
        <f>J188</f>
        <v>39208.0</v>
      </c>
      <c r="G32" s="7">
        <v>39208</v>
      </c>
      <c r="H32" s="6">
        <f>(F32-G32)</f>
        <v>0.0</v>
      </c>
    </row>
    <row r="33" spans="1:8" ht="23" customHeight="1">
      <c r="A33" s="6">
        <v>5</v>
      </c>
      <c r="B33" s="6">
        <v>2</v>
      </c>
      <c r="C33" s="6">
        <v>124</v>
      </c>
      <c r="D33" s="6" t="s">
        <v>55</v>
      </c>
      <c r="E33" s="6">
        <f>(SUM(K189,K190)/H108)</f>
        <v>181390.6153846154</v>
      </c>
      <c r="F33" s="6">
        <f>ROUND(E33,0)</f>
        <v>181391.0</v>
      </c>
      <c r="G33" s="7">
        <v>181391</v>
      </c>
      <c r="H33" s="6">
        <f>(F33-G33)</f>
        <v>0.0</v>
      </c>
    </row>
    <row r="34" spans="1:8" ht="23" customHeight="1">
      <c r="A34" s="6">
        <v>5</v>
      </c>
      <c r="B34" s="6">
        <v>2</v>
      </c>
      <c r="C34" s="6">
        <v>125</v>
      </c>
      <c r="D34" s="6" t="s">
        <v>55</v>
      </c>
      <c r="E34" s="6">
        <f>(SUM(K191,K192)/H109)</f>
        <v>94333.76923076922</v>
      </c>
      <c r="F34" s="6">
        <f>ROUND(E34,0)</f>
        <v>94334.0</v>
      </c>
      <c r="G34" s="7">
        <v>94334</v>
      </c>
      <c r="H34" s="6">
        <f>(F34-G34)</f>
        <v>0.0</v>
      </c>
    </row>
    <row r="35" spans="1:8" ht="23" customHeight="1">
      <c r="A35" s="6">
        <v>5</v>
      </c>
      <c r="B35" s="6">
        <v>2</v>
      </c>
      <c r="C35" s="6">
        <v>126</v>
      </c>
      <c r="D35" s="6" t="s">
        <v>54</v>
      </c>
      <c r="E35" s="6">
        <f>(SUM(K193)/H110)</f>
        <v>73805.0</v>
      </c>
      <c r="F35" s="6">
        <f>J193</f>
        <v>73805.0</v>
      </c>
      <c r="G35" s="7">
        <v>73805</v>
      </c>
      <c r="H35" s="6">
        <f>(F35-G35)</f>
        <v>0.0</v>
      </c>
    </row>
    <row r="36" spans="1:8" ht="23" customHeight="1">
      <c r="A36" s="6">
        <v>5</v>
      </c>
      <c r="B36" s="6">
        <v>2</v>
      </c>
      <c r="C36" s="6">
        <v>127</v>
      </c>
      <c r="D36" s="6" t="s">
        <v>55</v>
      </c>
      <c r="E36" s="6">
        <f>(SUM(K194,K195)/H111)</f>
        <v>138685.6153846154</v>
      </c>
      <c r="F36" s="6">
        <f>ROUND(E36,0)</f>
        <v>138686.0</v>
      </c>
      <c r="G36" s="7">
        <v>138686</v>
      </c>
      <c r="H36" s="6">
        <f>(F36-G36)</f>
        <v>0.0</v>
      </c>
    </row>
    <row r="37" spans="1:8" ht="23" customHeight="1">
      <c r="A37" s="6">
        <v>5</v>
      </c>
      <c r="B37" s="6">
        <v>2</v>
      </c>
      <c r="C37" s="6">
        <v>128</v>
      </c>
      <c r="D37" s="6" t="s">
        <v>54</v>
      </c>
      <c r="E37" s="6">
        <f>(SUM(K196)/H112)</f>
        <v>179236.0</v>
      </c>
      <c r="F37" s="6">
        <f>J196</f>
        <v>179236.0</v>
      </c>
      <c r="G37" s="7">
        <v>179236</v>
      </c>
      <c r="H37" s="6">
        <f>(F37-G37)</f>
        <v>0.0</v>
      </c>
    </row>
    <row r="38" spans="1:8" ht="23" customHeight="1">
      <c r="A38" s="6">
        <v>5</v>
      </c>
      <c r="B38" s="6">
        <v>2</v>
      </c>
      <c r="C38" s="6">
        <v>129</v>
      </c>
      <c r="D38" s="6" t="s">
        <v>55</v>
      </c>
      <c r="E38" s="6">
        <f>(SUM(K197,K198,K199)/H113)</f>
        <v>242293.0769230769</v>
      </c>
      <c r="F38" s="6">
        <f>ROUND(E38,0)</f>
        <v>242293.0</v>
      </c>
      <c r="G38" s="7">
        <v>242293</v>
      </c>
      <c r="H38" s="6">
        <f>(F38-G38)</f>
        <v>0.0</v>
      </c>
    </row>
    <row r="39" spans="1:8" ht="23" customHeight="1">
      <c r="A39" s="6">
        <v>5</v>
      </c>
      <c r="B39" s="6">
        <v>2</v>
      </c>
      <c r="C39" s="6">
        <v>130</v>
      </c>
      <c r="D39" s="6" t="s">
        <v>54</v>
      </c>
      <c r="E39" s="6">
        <f>(SUM(K200)/H114)</f>
        <v>268854.0</v>
      </c>
      <c r="F39" s="6">
        <f>J200</f>
        <v>268854.0</v>
      </c>
      <c r="G39" s="7">
        <v>268854</v>
      </c>
      <c r="H39" s="6">
        <f>(F39-G39)</f>
        <v>0.0</v>
      </c>
    </row>
    <row r="40" spans="1:8" ht="23" customHeight="1">
      <c r="A40" s="6">
        <v>5</v>
      </c>
      <c r="B40" s="6">
        <v>2</v>
      </c>
      <c r="C40" s="6">
        <v>131</v>
      </c>
      <c r="D40" s="6" t="s">
        <v>54</v>
      </c>
      <c r="E40" s="6">
        <f>(SUM(K201)/H115)</f>
        <v>268854.0</v>
      </c>
      <c r="F40" s="6">
        <f>J201</f>
        <v>268854.0</v>
      </c>
      <c r="G40" s="7">
        <v>268854</v>
      </c>
      <c r="H40" s="6">
        <f>(F40-G40)</f>
        <v>0.0</v>
      </c>
    </row>
    <row r="41" spans="1:8" ht="23" customHeight="1">
      <c r="A41" s="6">
        <v>5</v>
      </c>
      <c r="B41" s="6">
        <v>2</v>
      </c>
      <c r="C41" s="6">
        <v>132</v>
      </c>
      <c r="D41" s="6" t="s">
        <v>54</v>
      </c>
      <c r="E41" s="6">
        <f>(SUM(K202)/H116)</f>
        <v>268854.0</v>
      </c>
      <c r="F41" s="6">
        <f>J202</f>
        <v>268854.0</v>
      </c>
      <c r="G41" s="7">
        <v>268854</v>
      </c>
      <c r="H41" s="6">
        <f>(F41-G41)</f>
        <v>0.0</v>
      </c>
    </row>
    <row r="42" spans="1:8" ht="23" customHeight="1">
      <c r="A42" s="6">
        <v>5</v>
      </c>
      <c r="B42" s="6">
        <v>2</v>
      </c>
      <c r="C42" s="6">
        <v>133</v>
      </c>
      <c r="D42" s="6" t="s">
        <v>54</v>
      </c>
      <c r="E42" s="6">
        <f>(SUM(K203)/H117)</f>
        <v>268854.0</v>
      </c>
      <c r="F42" s="6">
        <f>J203</f>
        <v>268854.0</v>
      </c>
      <c r="G42" s="7">
        <v>268854</v>
      </c>
      <c r="H42" s="6">
        <f>(F42-G42)</f>
        <v>0.0</v>
      </c>
    </row>
    <row r="43" spans="1:8" ht="23" customHeight="1">
      <c r="A43" s="6">
        <v>5</v>
      </c>
      <c r="B43" s="6">
        <v>2</v>
      </c>
      <c r="C43" s="6">
        <v>134</v>
      </c>
      <c r="D43" s="6" t="s">
        <v>54</v>
      </c>
      <c r="E43" s="6">
        <f>(SUM(K204)/H118)</f>
        <v>268854.0</v>
      </c>
      <c r="F43" s="6">
        <f>J204</f>
        <v>268854.0</v>
      </c>
      <c r="G43" s="7">
        <v>268854</v>
      </c>
      <c r="H43" s="6">
        <f>(F43-G43)</f>
        <v>0.0</v>
      </c>
    </row>
    <row r="44" spans="1:8" ht="23" customHeight="1">
      <c r="A44" s="6">
        <v>5</v>
      </c>
      <c r="B44" s="6">
        <v>2</v>
      </c>
      <c r="C44" s="6">
        <v>135</v>
      </c>
      <c r="D44" s="6" t="s">
        <v>54</v>
      </c>
      <c r="E44" s="6">
        <f>(SUM(K205)/H119)</f>
        <v>268854.0</v>
      </c>
      <c r="F44" s="6">
        <f>J205</f>
        <v>268854.0</v>
      </c>
      <c r="G44" s="7">
        <v>268854</v>
      </c>
      <c r="H44" s="6">
        <f>(F44-G44)</f>
        <v>0.0</v>
      </c>
    </row>
    <row r="45" spans="1:8" ht="23" customHeight="1">
      <c r="A45" s="6">
        <v>5</v>
      </c>
      <c r="B45" s="6">
        <v>2</v>
      </c>
      <c r="C45" s="6">
        <v>136</v>
      </c>
      <c r="D45" s="6" t="s">
        <v>54</v>
      </c>
      <c r="E45" s="6">
        <f>(SUM(K206)/H120)</f>
        <v>268854.0</v>
      </c>
      <c r="F45" s="6">
        <f>J206</f>
        <v>268854.0</v>
      </c>
      <c r="G45" s="7">
        <v>268854</v>
      </c>
      <c r="H45" s="6">
        <f>(F45-G45)</f>
        <v>0.0</v>
      </c>
    </row>
    <row r="46" spans="1:8" ht="23" customHeight="1">
      <c r="A46" s="6">
        <v>5</v>
      </c>
      <c r="B46" s="6">
        <v>2</v>
      </c>
      <c r="C46" s="6">
        <v>137</v>
      </c>
      <c r="D46" s="6" t="s">
        <v>55</v>
      </c>
      <c r="E46" s="6">
        <f>(SUM(K207,K208)/H121)</f>
        <v>150647.15384615384</v>
      </c>
      <c r="F46" s="6">
        <f>ROUND(E46,0)</f>
        <v>150647.0</v>
      </c>
      <c r="G46" s="7">
        <v>150647</v>
      </c>
      <c r="H46" s="6">
        <f>(F46-G46)</f>
        <v>0.0</v>
      </c>
    </row>
    <row r="47" spans="1:8" ht="23" customHeight="1">
      <c r="A47" s="6">
        <v>5</v>
      </c>
      <c r="B47" s="6">
        <v>2</v>
      </c>
      <c r="C47" s="6">
        <v>138</v>
      </c>
      <c r="D47" s="6" t="s">
        <v>54</v>
      </c>
      <c r="E47" s="6">
        <f>(SUM(K209)/H122)</f>
        <v>129155.0</v>
      </c>
      <c r="F47" s="6">
        <f>J209</f>
        <v>129155.0</v>
      </c>
      <c r="G47" s="7">
        <v>129155</v>
      </c>
      <c r="H47" s="6">
        <f>(F47-G47)</f>
        <v>0.0</v>
      </c>
    </row>
    <row r="48" spans="1:8" ht="23" customHeight="1">
      <c r="A48" s="6">
        <v>5</v>
      </c>
      <c r="B48" s="6">
        <v>2</v>
      </c>
      <c r="C48" s="6">
        <v>139</v>
      </c>
      <c r="D48" s="6" t="s">
        <v>54</v>
      </c>
      <c r="E48" s="6">
        <f>(SUM(K210)/H123)</f>
        <v>129155.0</v>
      </c>
      <c r="F48" s="6">
        <f>J210</f>
        <v>129155.0</v>
      </c>
      <c r="G48" s="7">
        <v>129155</v>
      </c>
      <c r="H48" s="6">
        <f>(F48-G48)</f>
        <v>0.0</v>
      </c>
    </row>
    <row r="49" spans="1:8" ht="23" customHeight="1">
      <c r="A49" s="6">
        <v>5</v>
      </c>
      <c r="B49" s="6">
        <v>2</v>
      </c>
      <c r="C49" s="6">
        <v>140</v>
      </c>
      <c r="D49" s="6" t="s">
        <v>54</v>
      </c>
      <c r="E49" s="6">
        <f>(SUM(K211)/H124)</f>
        <v>129155.0</v>
      </c>
      <c r="F49" s="6">
        <f>J211</f>
        <v>129155.0</v>
      </c>
      <c r="G49" s="7">
        <v>129155</v>
      </c>
      <c r="H49" s="6">
        <f>(F49-G49)</f>
        <v>0.0</v>
      </c>
    </row>
    <row r="50" spans="1:8" ht="23" customHeight="1">
      <c r="A50" s="6">
        <v>5</v>
      </c>
      <c r="B50" s="6">
        <v>2</v>
      </c>
      <c r="C50" s="6">
        <v>141</v>
      </c>
      <c r="D50" s="6" t="s">
        <v>54</v>
      </c>
      <c r="E50" s="6">
        <f>(SUM(K212)/H125)</f>
        <v>129155.0</v>
      </c>
      <c r="F50" s="6">
        <f>J212</f>
        <v>129155.0</v>
      </c>
      <c r="G50" s="7">
        <v>129155</v>
      </c>
      <c r="H50" s="6">
        <f>(F50-G50)</f>
        <v>0.0</v>
      </c>
    </row>
    <row r="51" spans="1:8" ht="23" customHeight="1">
      <c r="A51" s="6">
        <v>5</v>
      </c>
      <c r="B51" s="6">
        <v>2</v>
      </c>
      <c r="C51" s="6">
        <v>142</v>
      </c>
      <c r="D51" s="6" t="s">
        <v>54</v>
      </c>
      <c r="E51" s="6">
        <f>(SUM(K213)/H126)</f>
        <v>129155.0</v>
      </c>
      <c r="F51" s="6">
        <f>J213</f>
        <v>129155.0</v>
      </c>
      <c r="G51" s="7">
        <v>129155</v>
      </c>
      <c r="H51" s="6">
        <f>(F51-G51)</f>
        <v>0.0</v>
      </c>
    </row>
    <row r="52" spans="1:8" ht="23" customHeight="1">
      <c r="A52" s="6">
        <v>5</v>
      </c>
      <c r="B52" s="6">
        <v>2</v>
      </c>
      <c r="C52" s="6">
        <v>143</v>
      </c>
      <c r="D52" s="6" t="s">
        <v>54</v>
      </c>
      <c r="E52" s="6">
        <f>(SUM(K214)/H127)</f>
        <v>129155.0</v>
      </c>
      <c r="F52" s="6">
        <f>J214</f>
        <v>129155.0</v>
      </c>
      <c r="G52" s="7">
        <v>129155</v>
      </c>
      <c r="H52" s="6">
        <f>(F52-G52)</f>
        <v>0.0</v>
      </c>
    </row>
    <row r="53" spans="1:8" ht="23" customHeight="1">
      <c r="A53" s="6">
        <v>5</v>
      </c>
      <c r="B53" s="6">
        <v>2</v>
      </c>
      <c r="C53" s="6">
        <v>144</v>
      </c>
      <c r="D53" s="6" t="s">
        <v>54</v>
      </c>
      <c r="E53" s="6">
        <f>(SUM(K215)/H128)</f>
        <v>129155.0</v>
      </c>
      <c r="F53" s="6">
        <f>J215</f>
        <v>129155.0</v>
      </c>
      <c r="G53" s="7">
        <v>129155</v>
      </c>
      <c r="H53" s="6">
        <f>(F53-G53)</f>
        <v>0.0</v>
      </c>
    </row>
    <row r="54" spans="1:8" ht="23" customHeight="1">
      <c r="A54" s="6">
        <v>5</v>
      </c>
      <c r="B54" s="6">
        <v>2</v>
      </c>
      <c r="C54" s="6">
        <v>145</v>
      </c>
      <c r="D54" s="6" t="s">
        <v>54</v>
      </c>
      <c r="E54" s="6">
        <f>(SUM(K216)/H129)</f>
        <v>129155.0</v>
      </c>
      <c r="F54" s="6">
        <f>J216</f>
        <v>129155.0</v>
      </c>
      <c r="G54" s="7">
        <v>129155</v>
      </c>
      <c r="H54" s="6">
        <f>(F54-G54)</f>
        <v>0.0</v>
      </c>
    </row>
    <row r="55" spans="1:8" ht="23" customHeight="1">
      <c r="A55" s="6">
        <v>5</v>
      </c>
      <c r="B55" s="6">
        <v>2</v>
      </c>
      <c r="C55" s="6">
        <v>146</v>
      </c>
      <c r="D55" s="6" t="s">
        <v>54</v>
      </c>
      <c r="E55" s="6">
        <f>(SUM(K217)/H130)</f>
        <v>129154.99999999999</v>
      </c>
      <c r="F55" s="6">
        <f>J217</f>
        <v>129155.0</v>
      </c>
      <c r="G55" s="7">
        <v>129155</v>
      </c>
      <c r="H55" s="6">
        <f>(F55-G55)</f>
        <v>0.0</v>
      </c>
    </row>
    <row r="56" spans="1:8" ht="23" customHeight="1">
      <c r="A56" s="6">
        <v>6</v>
      </c>
      <c r="B56" s="6">
        <v>3</v>
      </c>
      <c r="C56" s="6">
        <v>148</v>
      </c>
      <c r="D56" s="6" t="s">
        <v>54</v>
      </c>
      <c r="E56" s="6">
        <f>(SUM(K218)/H131)</f>
        <v>58812.0</v>
      </c>
      <c r="F56" s="6">
        <f>J218</f>
        <v>58812.0</v>
      </c>
      <c r="G56" s="7">
        <v>58812</v>
      </c>
      <c r="H56" s="6">
        <f>(F56-G56)</f>
        <v>0.0</v>
      </c>
    </row>
    <row r="57" spans="1:8" ht="23" customHeight="1">
      <c r="A57" s="6">
        <v>6</v>
      </c>
      <c r="B57" s="6">
        <v>3</v>
      </c>
      <c r="C57" s="6">
        <v>149</v>
      </c>
      <c r="D57" s="6" t="s">
        <v>55</v>
      </c>
      <c r="E57" s="6">
        <f>(SUM(K219,K220)/H132)</f>
        <v>272085.9230769231</v>
      </c>
      <c r="F57" s="6">
        <f>ROUND(E57,0)</f>
        <v>272086.0</v>
      </c>
      <c r="G57" s="7">
        <v>272086</v>
      </c>
      <c r="H57" s="6">
        <f>(F57-G57)</f>
        <v>0.0</v>
      </c>
    </row>
    <row r="58" spans="1:8" ht="23" customHeight="1">
      <c r="A58" s="6">
        <v>6</v>
      </c>
      <c r="B58" s="6">
        <v>3</v>
      </c>
      <c r="C58" s="6">
        <v>150</v>
      </c>
      <c r="D58" s="6" t="s">
        <v>55</v>
      </c>
      <c r="E58" s="6">
        <f>(SUM(K221,K222)/H133)</f>
        <v>141501.07692307694</v>
      </c>
      <c r="F58" s="6">
        <f>ROUND(E58,0)</f>
        <v>141501.0</v>
      </c>
      <c r="G58" s="7">
        <v>141501</v>
      </c>
      <c r="H58" s="6">
        <f>(F58-G58)</f>
        <v>0.0</v>
      </c>
    </row>
    <row r="59" spans="1:8" ht="23" customHeight="1">
      <c r="A59" s="6">
        <v>6</v>
      </c>
      <c r="B59" s="6">
        <v>3</v>
      </c>
      <c r="C59" s="6">
        <v>151</v>
      </c>
      <c r="D59" s="6" t="s">
        <v>54</v>
      </c>
      <c r="E59" s="6">
        <f>(SUM(K223)/H134)</f>
        <v>110707.99999999999</v>
      </c>
      <c r="F59" s="6">
        <f>J223</f>
        <v>110708.0</v>
      </c>
      <c r="G59" s="7">
        <v>110708</v>
      </c>
      <c r="H59" s="6">
        <f>(F59-G59)</f>
        <v>0.0</v>
      </c>
    </row>
    <row r="60" spans="1:8" ht="23" customHeight="1">
      <c r="A60" s="6">
        <v>6</v>
      </c>
      <c r="B60" s="6">
        <v>3</v>
      </c>
      <c r="C60" s="6">
        <v>152</v>
      </c>
      <c r="D60" s="6" t="s">
        <v>55</v>
      </c>
      <c r="E60" s="6">
        <f>(SUM(K224,K225)/H135)</f>
        <v>208028.61538461538</v>
      </c>
      <c r="F60" s="6">
        <f>ROUND(E60,0)</f>
        <v>208029.0</v>
      </c>
      <c r="G60" s="7">
        <v>208029</v>
      </c>
      <c r="H60" s="6">
        <f>(F60-G60)</f>
        <v>0.0</v>
      </c>
    </row>
    <row r="61" spans="1:8" ht="23" customHeight="1">
      <c r="A61" s="6">
        <v>6</v>
      </c>
      <c r="B61" s="6">
        <v>3</v>
      </c>
      <c r="C61" s="6">
        <v>153</v>
      </c>
      <c r="D61" s="6" t="s">
        <v>54</v>
      </c>
      <c r="E61" s="6">
        <f>(SUM(K226)/H136)</f>
        <v>268854.0</v>
      </c>
      <c r="F61" s="6">
        <f>J226</f>
        <v>268854.0</v>
      </c>
      <c r="G61" s="7">
        <v>268854</v>
      </c>
      <c r="H61" s="6">
        <f>(F61-G61)</f>
        <v>0.0</v>
      </c>
    </row>
    <row r="62" spans="1:8" ht="23" customHeight="1">
      <c r="A62" s="6">
        <v>6</v>
      </c>
      <c r="B62" s="6">
        <v>3</v>
      </c>
      <c r="C62" s="6">
        <v>154</v>
      </c>
      <c r="D62" s="6" t="s">
        <v>55</v>
      </c>
      <c r="E62" s="6">
        <f>(SUM(K227,K228,K229)/H137)</f>
        <v>363439.69230769225</v>
      </c>
      <c r="F62" s="6">
        <f>ROUND(E62,0)</f>
        <v>363440.0</v>
      </c>
      <c r="G62" s="7">
        <v>363440</v>
      </c>
      <c r="H62" s="6">
        <f>(F62-G62)</f>
        <v>0.0</v>
      </c>
    </row>
    <row r="63" spans="1:8" ht="23" customHeight="1">
      <c r="A63" s="6">
        <v>6</v>
      </c>
      <c r="B63" s="6">
        <v>3</v>
      </c>
      <c r="C63" s="6">
        <v>155</v>
      </c>
      <c r="D63" s="6" t="s">
        <v>54</v>
      </c>
      <c r="E63" s="6">
        <f>(SUM(K230)/H138)</f>
        <v>403280.0</v>
      </c>
      <c r="F63" s="6">
        <f>J230</f>
        <v>403280.0</v>
      </c>
      <c r="G63" s="7">
        <v>403280</v>
      </c>
      <c r="H63" s="6">
        <f>(F63-G63)</f>
        <v>0.0</v>
      </c>
    </row>
    <row r="64" spans="1:8" ht="23" customHeight="1">
      <c r="A64" s="6">
        <v>6</v>
      </c>
      <c r="B64" s="6">
        <v>3</v>
      </c>
      <c r="C64" s="6">
        <v>156</v>
      </c>
      <c r="D64" s="6" t="s">
        <v>54</v>
      </c>
      <c r="E64" s="6">
        <f>(SUM(K231)/H139)</f>
        <v>403280.0</v>
      </c>
      <c r="F64" s="6">
        <f>J231</f>
        <v>403280.0</v>
      </c>
      <c r="G64" s="7">
        <v>403280</v>
      </c>
      <c r="H64" s="6">
        <f>(F64-G64)</f>
        <v>0.0</v>
      </c>
    </row>
    <row r="65" spans="1:8" ht="23" customHeight="1">
      <c r="A65" s="6">
        <v>6</v>
      </c>
      <c r="B65" s="6">
        <v>3</v>
      </c>
      <c r="C65" s="6">
        <v>157</v>
      </c>
      <c r="D65" s="6" t="s">
        <v>54</v>
      </c>
      <c r="E65" s="6">
        <f>(SUM(K232)/H140)</f>
        <v>403280.0</v>
      </c>
      <c r="F65" s="6">
        <f>J232</f>
        <v>403280.0</v>
      </c>
      <c r="G65" s="7">
        <v>403280</v>
      </c>
      <c r="H65" s="6">
        <f>(F65-G65)</f>
        <v>0.0</v>
      </c>
    </row>
    <row r="66" spans="1:8" ht="23" customHeight="1">
      <c r="A66" s="6">
        <v>6</v>
      </c>
      <c r="B66" s="6">
        <v>3</v>
      </c>
      <c r="C66" s="6">
        <v>158</v>
      </c>
      <c r="D66" s="6" t="s">
        <v>54</v>
      </c>
      <c r="E66" s="6">
        <f>(SUM(K233)/H141)</f>
        <v>403280.0</v>
      </c>
      <c r="F66" s="6">
        <f>J233</f>
        <v>403280.0</v>
      </c>
      <c r="G66" s="7">
        <v>403280</v>
      </c>
      <c r="H66" s="6">
        <f>(F66-G66)</f>
        <v>0.0</v>
      </c>
    </row>
    <row r="67" spans="1:8" ht="23" customHeight="1">
      <c r="A67" s="6">
        <v>6</v>
      </c>
      <c r="B67" s="6">
        <v>3</v>
      </c>
      <c r="C67" s="6">
        <v>159</v>
      </c>
      <c r="D67" s="6" t="s">
        <v>54</v>
      </c>
      <c r="E67" s="6">
        <f>(SUM(K234)/H142)</f>
        <v>403280.0</v>
      </c>
      <c r="F67" s="6">
        <f>J234</f>
        <v>403280.0</v>
      </c>
      <c r="G67" s="7">
        <v>403280</v>
      </c>
      <c r="H67" s="6">
        <f>(F67-G67)</f>
        <v>0.0</v>
      </c>
    </row>
    <row r="68" spans="1:8" ht="23" customHeight="1">
      <c r="A68" s="6">
        <v>6</v>
      </c>
      <c r="B68" s="6">
        <v>3</v>
      </c>
      <c r="C68" s="6">
        <v>160</v>
      </c>
      <c r="D68" s="6" t="s">
        <v>54</v>
      </c>
      <c r="E68" s="6">
        <f>(SUM(K235)/H143)</f>
        <v>403280.0</v>
      </c>
      <c r="F68" s="6">
        <f>J235</f>
        <v>403280.0</v>
      </c>
      <c r="G68" s="7">
        <v>403280</v>
      </c>
      <c r="H68" s="6">
        <f>(F68-G68)</f>
        <v>0.0</v>
      </c>
    </row>
    <row r="69" spans="1:8" ht="23" customHeight="1">
      <c r="A69" s="6">
        <v>6</v>
      </c>
      <c r="B69" s="6">
        <v>3</v>
      </c>
      <c r="C69" s="6">
        <v>161</v>
      </c>
      <c r="D69" s="6" t="s">
        <v>54</v>
      </c>
      <c r="E69" s="6">
        <f>(SUM(K236)/H144)</f>
        <v>403280.0</v>
      </c>
      <c r="F69" s="6">
        <f>J236</f>
        <v>403280.0</v>
      </c>
      <c r="G69" s="7">
        <v>403280</v>
      </c>
      <c r="H69" s="6">
        <f>(F69-G69)</f>
        <v>0.0</v>
      </c>
    </row>
    <row r="70" spans="1:8" ht="23" customHeight="1">
      <c r="A70" s="6">
        <v>6</v>
      </c>
      <c r="B70" s="6">
        <v>3</v>
      </c>
      <c r="C70" s="6">
        <v>162</v>
      </c>
      <c r="D70" s="6" t="s">
        <v>55</v>
      </c>
      <c r="E70" s="6">
        <f>(SUM(K237,K238)/H145)</f>
        <v>225971.00000000003</v>
      </c>
      <c r="F70" s="6">
        <f>ROUND(E70,0)</f>
        <v>225971.0</v>
      </c>
      <c r="G70" s="7">
        <v>225971</v>
      </c>
      <c r="H70" s="6">
        <f>(F70-G70)</f>
        <v>0.0</v>
      </c>
    </row>
    <row r="71" spans="1:8" ht="23" customHeight="1">
      <c r="A71" s="6">
        <v>6</v>
      </c>
      <c r="B71" s="6">
        <v>3</v>
      </c>
      <c r="C71" s="6">
        <v>163</v>
      </c>
      <c r="D71" s="6" t="s">
        <v>54</v>
      </c>
      <c r="E71" s="6">
        <f>(SUM(K239)/H146)</f>
        <v>193733.0</v>
      </c>
      <c r="F71" s="6">
        <f>J239</f>
        <v>193733.0</v>
      </c>
      <c r="G71" s="7">
        <v>193733</v>
      </c>
      <c r="H71" s="6">
        <f>(F71-G71)</f>
        <v>0.0</v>
      </c>
    </row>
    <row r="72" spans="1:8" ht="23" customHeight="1">
      <c r="A72" s="6">
        <v>6</v>
      </c>
      <c r="B72" s="6">
        <v>3</v>
      </c>
      <c r="C72" s="6">
        <v>164</v>
      </c>
      <c r="D72" s="6" t="s">
        <v>54</v>
      </c>
      <c r="E72" s="6">
        <f>(SUM(K240)/H147)</f>
        <v>193733.0</v>
      </c>
      <c r="F72" s="6">
        <f>J240</f>
        <v>193733.0</v>
      </c>
      <c r="G72" s="7">
        <v>193733</v>
      </c>
      <c r="H72" s="6">
        <f>(F72-G72)</f>
        <v>0.0</v>
      </c>
    </row>
    <row r="73" spans="1:8" ht="23" customHeight="1">
      <c r="A73" s="6">
        <v>6</v>
      </c>
      <c r="B73" s="6">
        <v>3</v>
      </c>
      <c r="C73" s="6">
        <v>165</v>
      </c>
      <c r="D73" s="6" t="s">
        <v>54</v>
      </c>
      <c r="E73" s="6">
        <f>(SUM(K241)/H148)</f>
        <v>193733.0</v>
      </c>
      <c r="F73" s="6">
        <f>J241</f>
        <v>193733.0</v>
      </c>
      <c r="G73" s="7">
        <v>193733</v>
      </c>
      <c r="H73" s="6">
        <f>(F73-G73)</f>
        <v>0.0</v>
      </c>
    </row>
    <row r="74" spans="1:8" ht="23" customHeight="1">
      <c r="A74" s="6">
        <v>6</v>
      </c>
      <c r="B74" s="6">
        <v>3</v>
      </c>
      <c r="C74" s="6">
        <v>166</v>
      </c>
      <c r="D74" s="6" t="s">
        <v>54</v>
      </c>
      <c r="E74" s="6">
        <f>(SUM(K242)/H149)</f>
        <v>193733.0</v>
      </c>
      <c r="F74" s="6">
        <f>J242</f>
        <v>193733.0</v>
      </c>
      <c r="G74" s="7">
        <v>193733</v>
      </c>
      <c r="H74" s="6">
        <f>(F74-G74)</f>
        <v>0.0</v>
      </c>
    </row>
    <row r="75" spans="1:8" ht="23" customHeight="1">
      <c r="A75" s="6">
        <v>6</v>
      </c>
      <c r="B75" s="6">
        <v>3</v>
      </c>
      <c r="C75" s="6">
        <v>167</v>
      </c>
      <c r="D75" s="6" t="s">
        <v>54</v>
      </c>
      <c r="E75" s="6">
        <f>(SUM(K243)/H150)</f>
        <v>193733.0</v>
      </c>
      <c r="F75" s="6">
        <f>J243</f>
        <v>193733.0</v>
      </c>
      <c r="G75" s="7">
        <v>193733</v>
      </c>
      <c r="H75" s="6">
        <f>(F75-G75)</f>
        <v>0.0</v>
      </c>
    </row>
    <row r="76" spans="1:8" ht="23" customHeight="1">
      <c r="A76" s="6">
        <v>6</v>
      </c>
      <c r="B76" s="6">
        <v>3</v>
      </c>
      <c r="C76" s="6">
        <v>168</v>
      </c>
      <c r="D76" s="6" t="s">
        <v>54</v>
      </c>
      <c r="E76" s="6">
        <f>(SUM(K244)/H151)</f>
        <v>193733.0</v>
      </c>
      <c r="F76" s="6">
        <f>J244</f>
        <v>193733.0</v>
      </c>
      <c r="G76" s="7">
        <v>193733</v>
      </c>
      <c r="H76" s="6">
        <f>(F76-G76)</f>
        <v>0.0</v>
      </c>
    </row>
    <row r="77" spans="1:8" ht="23" customHeight="1">
      <c r="A77" s="6">
        <v>6</v>
      </c>
      <c r="B77" s="6">
        <v>3</v>
      </c>
      <c r="C77" s="6">
        <v>169</v>
      </c>
      <c r="D77" s="6" t="s">
        <v>54</v>
      </c>
      <c r="E77" s="6">
        <f>(SUM(K245)/H152)</f>
        <v>193733.0</v>
      </c>
      <c r="F77" s="6">
        <f>J245</f>
        <v>193733.0</v>
      </c>
      <c r="G77" s="7">
        <v>193733</v>
      </c>
      <c r="H77" s="6">
        <f>(F77-G77)</f>
        <v>0.0</v>
      </c>
    </row>
    <row r="78" spans="1:8" ht="23" customHeight="1">
      <c r="A78" s="6">
        <v>6</v>
      </c>
      <c r="B78" s="6">
        <v>3</v>
      </c>
      <c r="C78" s="6">
        <v>170</v>
      </c>
      <c r="D78" s="6" t="s">
        <v>54</v>
      </c>
      <c r="E78" s="6">
        <f>(SUM(K246)/H153)</f>
        <v>193733.0</v>
      </c>
      <c r="F78" s="6">
        <f>J246</f>
        <v>193733.0</v>
      </c>
      <c r="G78" s="7">
        <v>193733</v>
      </c>
      <c r="H78" s="6">
        <f>(F78-G78)</f>
        <v>0.0</v>
      </c>
    </row>
    <row r="79" spans="1:8" ht="23" customHeight="1">
      <c r="A79" s="6">
        <v>6</v>
      </c>
      <c r="B79" s="6">
        <v>3</v>
      </c>
      <c r="C79" s="6">
        <v>171</v>
      </c>
      <c r="D79" s="6" t="s">
        <v>54</v>
      </c>
      <c r="E79" s="6">
        <f>(SUM(K247)/H154)</f>
        <v>193733.0</v>
      </c>
      <c r="F79" s="6">
        <f>J247</f>
        <v>193733.0</v>
      </c>
      <c r="G79" s="7">
        <v>193733</v>
      </c>
      <c r="H79" s="6">
        <f>(F79-G79)</f>
        <v>0.0</v>
      </c>
    </row>
    <row r="80" spans="1:8" ht="23" customHeight="1"/>
    <row r="81" spans="1:12" ht="24" customHeight="1">
      <c r="A81" s="3" t="s">
        <v>56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36" customHeight="1">
      <c r="A82" s="4" t="s">
        <v>8</v>
      </c>
      <c r="B82" s="4" t="s">
        <v>9</v>
      </c>
      <c r="C82" s="4" t="s">
        <v>20</v>
      </c>
      <c r="D82" s="4" t="s">
        <v>57</v>
      </c>
      <c r="E82" s="4" t="s">
        <v>58</v>
      </c>
      <c r="F82" s="4" t="s">
        <v>59</v>
      </c>
      <c r="G82" s="4" t="s">
        <v>60</v>
      </c>
      <c r="H82" s="4" t="s">
        <v>61</v>
      </c>
    </row>
    <row r="83" spans="1:12" ht="23" customHeight="1">
      <c r="A83" s="6">
        <v>4</v>
      </c>
      <c r="B83" s="6">
        <v>1</v>
      </c>
      <c r="C83" s="6">
        <v>98</v>
      </c>
      <c r="D83" s="6">
        <v>98</v>
      </c>
      <c r="E83" s="6">
        <v>99</v>
      </c>
      <c r="F83" s="8">
        <v>0</v>
      </c>
      <c r="G83" s="8">
        <v>1.3</v>
      </c>
      <c r="H83" s="9">
        <f>ROUND((G83-F83),4)</f>
        <v>1.3</v>
      </c>
    </row>
    <row r="84" spans="1:12" ht="23" customHeight="1">
      <c r="A84" s="6">
        <v>4</v>
      </c>
      <c r="B84" s="6">
        <v>1</v>
      </c>
      <c r="C84" s="6">
        <v>99</v>
      </c>
      <c r="D84" s="6">
        <v>99</v>
      </c>
      <c r="E84" s="6">
        <v>100</v>
      </c>
      <c r="F84" s="8">
        <v>1.3</v>
      </c>
      <c r="G84" s="8">
        <v>2.6</v>
      </c>
      <c r="H84" s="9">
        <f>ROUND((G84-F84),4)</f>
        <v>1.3</v>
      </c>
    </row>
    <row r="85" spans="1:12" ht="23" customHeight="1">
      <c r="A85" s="6">
        <v>4</v>
      </c>
      <c r="B85" s="6">
        <v>1</v>
      </c>
      <c r="C85" s="6">
        <v>100</v>
      </c>
      <c r="D85" s="6">
        <v>100</v>
      </c>
      <c r="E85" s="6">
        <v>101</v>
      </c>
      <c r="F85" s="8">
        <v>2.6</v>
      </c>
      <c r="G85" s="8">
        <v>3.9</v>
      </c>
      <c r="H85" s="9">
        <f>ROUND((G85-F85),4)</f>
        <v>1.3</v>
      </c>
    </row>
    <row r="86" spans="1:12" ht="23" customHeight="1">
      <c r="A86" s="6">
        <v>4</v>
      </c>
      <c r="B86" s="6">
        <v>1</v>
      </c>
      <c r="C86" s="6">
        <v>101</v>
      </c>
      <c r="D86" s="6">
        <v>101</v>
      </c>
      <c r="E86" s="6">
        <v>102</v>
      </c>
      <c r="F86" s="8">
        <v>3.9</v>
      </c>
      <c r="G86" s="8">
        <v>5.2</v>
      </c>
      <c r="H86" s="9">
        <f>ROUND((G86-F86),4)</f>
        <v>1.3</v>
      </c>
    </row>
    <row r="87" spans="1:12" ht="23" customHeight="1">
      <c r="A87" s="6">
        <v>4</v>
      </c>
      <c r="B87" s="6">
        <v>1</v>
      </c>
      <c r="C87" s="6">
        <v>102</v>
      </c>
      <c r="D87" s="6">
        <v>102</v>
      </c>
      <c r="E87" s="6">
        <v>103</v>
      </c>
      <c r="F87" s="8">
        <v>5.2</v>
      </c>
      <c r="G87" s="8">
        <v>6.5</v>
      </c>
      <c r="H87" s="9">
        <f>ROUND((G87-F87),4)</f>
        <v>1.3</v>
      </c>
    </row>
    <row r="88" spans="1:12" ht="23" customHeight="1">
      <c r="A88" s="6">
        <v>4</v>
      </c>
      <c r="B88" s="6">
        <v>1</v>
      </c>
      <c r="C88" s="6">
        <v>103</v>
      </c>
      <c r="D88" s="6">
        <v>103</v>
      </c>
      <c r="E88" s="6">
        <v>104</v>
      </c>
      <c r="F88" s="8">
        <v>6.5</v>
      </c>
      <c r="G88" s="8">
        <v>7.8</v>
      </c>
      <c r="H88" s="9">
        <f>ROUND((G88-F88),4)</f>
        <v>1.3</v>
      </c>
    </row>
    <row r="89" spans="1:12" ht="23" customHeight="1">
      <c r="A89" s="6">
        <v>4</v>
      </c>
      <c r="B89" s="6">
        <v>1</v>
      </c>
      <c r="C89" s="6">
        <v>104</v>
      </c>
      <c r="D89" s="6">
        <v>104</v>
      </c>
      <c r="E89" s="6">
        <v>105</v>
      </c>
      <c r="F89" s="8">
        <v>7.8</v>
      </c>
      <c r="G89" s="8">
        <v>9.1</v>
      </c>
      <c r="H89" s="9">
        <f>ROUND((G89-F89),4)</f>
        <v>1.3</v>
      </c>
    </row>
    <row r="90" spans="1:12" ht="23" customHeight="1">
      <c r="A90" s="6">
        <v>4</v>
      </c>
      <c r="B90" s="6">
        <v>1</v>
      </c>
      <c r="C90" s="6">
        <v>105</v>
      </c>
      <c r="D90" s="6">
        <v>105</v>
      </c>
      <c r="E90" s="6">
        <v>106</v>
      </c>
      <c r="F90" s="8">
        <v>9.1</v>
      </c>
      <c r="G90" s="8">
        <v>10.4</v>
      </c>
      <c r="H90" s="9">
        <f>ROUND((G90-F90),4)</f>
        <v>1.3</v>
      </c>
    </row>
    <row r="91" spans="1:12" ht="23" customHeight="1">
      <c r="A91" s="6">
        <v>4</v>
      </c>
      <c r="B91" s="6">
        <v>1</v>
      </c>
      <c r="C91" s="6">
        <v>106</v>
      </c>
      <c r="D91" s="6">
        <v>106</v>
      </c>
      <c r="E91" s="6">
        <v>107</v>
      </c>
      <c r="F91" s="8">
        <v>10.4</v>
      </c>
      <c r="G91" s="8">
        <v>11.7</v>
      </c>
      <c r="H91" s="9">
        <f>ROUND((G91-F91),4)</f>
        <v>1.3</v>
      </c>
    </row>
    <row r="92" spans="1:12" ht="23" customHeight="1">
      <c r="A92" s="6">
        <v>4</v>
      </c>
      <c r="B92" s="6">
        <v>1</v>
      </c>
      <c r="C92" s="6">
        <v>107</v>
      </c>
      <c r="D92" s="6">
        <v>107</v>
      </c>
      <c r="E92" s="6">
        <v>108</v>
      </c>
      <c r="F92" s="8">
        <v>11.7</v>
      </c>
      <c r="G92" s="8">
        <v>13</v>
      </c>
      <c r="H92" s="9">
        <f>ROUND((G92-F92),4)</f>
        <v>1.3</v>
      </c>
    </row>
    <row r="93" spans="1:12" ht="23" customHeight="1">
      <c r="A93" s="6">
        <v>4</v>
      </c>
      <c r="B93" s="6">
        <v>1</v>
      </c>
      <c r="C93" s="6">
        <v>108</v>
      </c>
      <c r="D93" s="6">
        <v>108</v>
      </c>
      <c r="E93" s="6">
        <v>109</v>
      </c>
      <c r="F93" s="8">
        <v>13</v>
      </c>
      <c r="G93" s="8">
        <v>14.3</v>
      </c>
      <c r="H93" s="9">
        <f>ROUND((G93-F93),4)</f>
        <v>1.3</v>
      </c>
    </row>
    <row r="94" spans="1:12" ht="23" customHeight="1">
      <c r="A94" s="6">
        <v>4</v>
      </c>
      <c r="B94" s="6">
        <v>1</v>
      </c>
      <c r="C94" s="6">
        <v>109</v>
      </c>
      <c r="D94" s="6">
        <v>109</v>
      </c>
      <c r="E94" s="6">
        <v>110</v>
      </c>
      <c r="F94" s="8">
        <v>14.3</v>
      </c>
      <c r="G94" s="8">
        <v>15.6</v>
      </c>
      <c r="H94" s="9">
        <f>ROUND((G94-F94),4)</f>
        <v>1.3</v>
      </c>
    </row>
    <row r="95" spans="1:12" ht="23" customHeight="1">
      <c r="A95" s="6">
        <v>4</v>
      </c>
      <c r="B95" s="6">
        <v>1</v>
      </c>
      <c r="C95" s="6">
        <v>110</v>
      </c>
      <c r="D95" s="6">
        <v>110</v>
      </c>
      <c r="E95" s="6">
        <v>111</v>
      </c>
      <c r="F95" s="8">
        <v>15.6</v>
      </c>
      <c r="G95" s="8">
        <v>16.9</v>
      </c>
      <c r="H95" s="9">
        <f>ROUND((G95-F95),4)</f>
        <v>1.3</v>
      </c>
    </row>
    <row r="96" spans="1:12" ht="23" customHeight="1">
      <c r="A96" s="6">
        <v>4</v>
      </c>
      <c r="B96" s="6">
        <v>1</v>
      </c>
      <c r="C96" s="6">
        <v>111</v>
      </c>
      <c r="D96" s="6">
        <v>111</v>
      </c>
      <c r="E96" s="6">
        <v>112</v>
      </c>
      <c r="F96" s="8">
        <v>16.9</v>
      </c>
      <c r="G96" s="8">
        <v>18.2</v>
      </c>
      <c r="H96" s="9">
        <f>ROUND((G96-F96),4)</f>
        <v>1.3</v>
      </c>
    </row>
    <row r="97" spans="1:8" ht="23" customHeight="1">
      <c r="A97" s="6">
        <v>4</v>
      </c>
      <c r="B97" s="6">
        <v>1</v>
      </c>
      <c r="C97" s="6">
        <v>112</v>
      </c>
      <c r="D97" s="6">
        <v>112</v>
      </c>
      <c r="E97" s="6">
        <v>113</v>
      </c>
      <c r="F97" s="8">
        <v>18.2</v>
      </c>
      <c r="G97" s="8">
        <v>19.5</v>
      </c>
      <c r="H97" s="9">
        <f>ROUND((G97-F97),4)</f>
        <v>1.3</v>
      </c>
    </row>
    <row r="98" spans="1:8" ht="23" customHeight="1">
      <c r="A98" s="6">
        <v>4</v>
      </c>
      <c r="B98" s="6">
        <v>1</v>
      </c>
      <c r="C98" s="6">
        <v>113</v>
      </c>
      <c r="D98" s="6">
        <v>113</v>
      </c>
      <c r="E98" s="6">
        <v>114</v>
      </c>
      <c r="F98" s="8">
        <v>19.5</v>
      </c>
      <c r="G98" s="8">
        <v>20.8</v>
      </c>
      <c r="H98" s="9">
        <f>ROUND((G98-F98),4)</f>
        <v>1.3</v>
      </c>
    </row>
    <row r="99" spans="1:8" ht="23" customHeight="1">
      <c r="A99" s="6">
        <v>4</v>
      </c>
      <c r="B99" s="6">
        <v>1</v>
      </c>
      <c r="C99" s="6">
        <v>114</v>
      </c>
      <c r="D99" s="6">
        <v>114</v>
      </c>
      <c r="E99" s="6">
        <v>115</v>
      </c>
      <c r="F99" s="8">
        <v>20.8</v>
      </c>
      <c r="G99" s="8">
        <v>22.1</v>
      </c>
      <c r="H99" s="9">
        <f>ROUND((G99-F99),4)</f>
        <v>1.3</v>
      </c>
    </row>
    <row r="100" spans="1:8" ht="23" customHeight="1">
      <c r="A100" s="6">
        <v>4</v>
      </c>
      <c r="B100" s="6">
        <v>1</v>
      </c>
      <c r="C100" s="6">
        <v>115</v>
      </c>
      <c r="D100" s="6">
        <v>115</v>
      </c>
      <c r="E100" s="6">
        <v>116</v>
      </c>
      <c r="F100" s="8">
        <v>22.1</v>
      </c>
      <c r="G100" s="8">
        <v>23.4</v>
      </c>
      <c r="H100" s="9">
        <f>ROUND((G100-F100),4)</f>
        <v>1.3</v>
      </c>
    </row>
    <row r="101" spans="1:8" ht="23" customHeight="1">
      <c r="A101" s="6">
        <v>4</v>
      </c>
      <c r="B101" s="6">
        <v>1</v>
      </c>
      <c r="C101" s="6">
        <v>116</v>
      </c>
      <c r="D101" s="6">
        <v>116</v>
      </c>
      <c r="E101" s="6">
        <v>117</v>
      </c>
      <c r="F101" s="8">
        <v>23.4</v>
      </c>
      <c r="G101" s="8">
        <v>24.7</v>
      </c>
      <c r="H101" s="9">
        <f>ROUND((G101-F101),4)</f>
        <v>1.3</v>
      </c>
    </row>
    <row r="102" spans="1:8" ht="23" customHeight="1">
      <c r="A102" s="6">
        <v>4</v>
      </c>
      <c r="B102" s="6">
        <v>1</v>
      </c>
      <c r="C102" s="6">
        <v>117</v>
      </c>
      <c r="D102" s="6">
        <v>117</v>
      </c>
      <c r="E102" s="6">
        <v>118</v>
      </c>
      <c r="F102" s="8">
        <v>24.7</v>
      </c>
      <c r="G102" s="8">
        <v>26</v>
      </c>
      <c r="H102" s="9">
        <f>ROUND((G102-F102),4)</f>
        <v>1.3</v>
      </c>
    </row>
    <row r="103" spans="1:8" ht="23" customHeight="1">
      <c r="A103" s="6">
        <v>4</v>
      </c>
      <c r="B103" s="6">
        <v>1</v>
      </c>
      <c r="C103" s="6">
        <v>118</v>
      </c>
      <c r="D103" s="6">
        <v>118</v>
      </c>
      <c r="E103" s="6">
        <v>119</v>
      </c>
      <c r="F103" s="8">
        <v>26</v>
      </c>
      <c r="G103" s="8">
        <v>27.3</v>
      </c>
      <c r="H103" s="9">
        <f>ROUND((G103-F103),4)</f>
        <v>1.3</v>
      </c>
    </row>
    <row r="104" spans="1:8" ht="23" customHeight="1">
      <c r="A104" s="6">
        <v>4</v>
      </c>
      <c r="B104" s="6">
        <v>1</v>
      </c>
      <c r="C104" s="6">
        <v>119</v>
      </c>
      <c r="D104" s="6">
        <v>119</v>
      </c>
      <c r="E104" s="6">
        <v>120</v>
      </c>
      <c r="F104" s="8">
        <v>27.3</v>
      </c>
      <c r="G104" s="8">
        <v>28.6</v>
      </c>
      <c r="H104" s="9">
        <f>ROUND((G104-F104),4)</f>
        <v>1.3</v>
      </c>
    </row>
    <row r="105" spans="1:8" ht="23" customHeight="1">
      <c r="A105" s="6">
        <v>4</v>
      </c>
      <c r="B105" s="6">
        <v>1</v>
      </c>
      <c r="C105" s="6">
        <v>120</v>
      </c>
      <c r="D105" s="6">
        <v>120</v>
      </c>
      <c r="E105" s="6">
        <v>121</v>
      </c>
      <c r="F105" s="8">
        <v>28.6</v>
      </c>
      <c r="G105" s="8">
        <v>29.9</v>
      </c>
      <c r="H105" s="9">
        <f>ROUND((G105-F105),4)</f>
        <v>1.3</v>
      </c>
    </row>
    <row r="106" spans="1:8" ht="23" customHeight="1">
      <c r="A106" s="6">
        <v>4</v>
      </c>
      <c r="B106" s="6">
        <v>1</v>
      </c>
      <c r="C106" s="6">
        <v>121</v>
      </c>
      <c r="D106" s="6">
        <v>121</v>
      </c>
      <c r="E106" s="6">
        <v>122</v>
      </c>
      <c r="F106" s="8">
        <v>29.9</v>
      </c>
      <c r="G106" s="8">
        <v>31</v>
      </c>
      <c r="H106" s="9">
        <f>ROUND((G106-F106),4)</f>
        <v>1.1</v>
      </c>
    </row>
    <row r="107" spans="1:8" ht="23" customHeight="1">
      <c r="A107" s="6">
        <v>5</v>
      </c>
      <c r="B107" s="6">
        <v>2</v>
      </c>
      <c r="C107" s="6">
        <v>123</v>
      </c>
      <c r="D107" s="6">
        <v>123</v>
      </c>
      <c r="E107" s="6">
        <v>124</v>
      </c>
      <c r="F107" s="8">
        <v>0</v>
      </c>
      <c r="G107" s="8">
        <v>1.3</v>
      </c>
      <c r="H107" s="9">
        <f>ROUND((G107-F107),4)</f>
        <v>1.3</v>
      </c>
    </row>
    <row r="108" spans="1:8" ht="23" customHeight="1">
      <c r="A108" s="6">
        <v>5</v>
      </c>
      <c r="B108" s="6">
        <v>2</v>
      </c>
      <c r="C108" s="6">
        <v>124</v>
      </c>
      <c r="D108" s="6">
        <v>124</v>
      </c>
      <c r="E108" s="6">
        <v>125</v>
      </c>
      <c r="F108" s="8">
        <v>1.3</v>
      </c>
      <c r="G108" s="8">
        <v>2.6</v>
      </c>
      <c r="H108" s="9">
        <f>ROUND((G108-F108),4)</f>
        <v>1.3</v>
      </c>
    </row>
    <row r="109" spans="1:8" ht="23" customHeight="1">
      <c r="A109" s="6">
        <v>5</v>
      </c>
      <c r="B109" s="6">
        <v>2</v>
      </c>
      <c r="C109" s="6">
        <v>125</v>
      </c>
      <c r="D109" s="6">
        <v>125</v>
      </c>
      <c r="E109" s="6">
        <v>126</v>
      </c>
      <c r="F109" s="8">
        <v>2.6</v>
      </c>
      <c r="G109" s="8">
        <v>3.9</v>
      </c>
      <c r="H109" s="9">
        <f>ROUND((G109-F109),4)</f>
        <v>1.3</v>
      </c>
    </row>
    <row r="110" spans="1:8" ht="23" customHeight="1">
      <c r="A110" s="6">
        <v>5</v>
      </c>
      <c r="B110" s="6">
        <v>2</v>
      </c>
      <c r="C110" s="6">
        <v>126</v>
      </c>
      <c r="D110" s="6">
        <v>126</v>
      </c>
      <c r="E110" s="6">
        <v>127</v>
      </c>
      <c r="F110" s="8">
        <v>3.9</v>
      </c>
      <c r="G110" s="8">
        <v>5.2</v>
      </c>
      <c r="H110" s="9">
        <f>ROUND((G110-F110),4)</f>
        <v>1.3</v>
      </c>
    </row>
    <row r="111" spans="1:8" ht="23" customHeight="1">
      <c r="A111" s="6">
        <v>5</v>
      </c>
      <c r="B111" s="6">
        <v>2</v>
      </c>
      <c r="C111" s="6">
        <v>127</v>
      </c>
      <c r="D111" s="6">
        <v>127</v>
      </c>
      <c r="E111" s="6">
        <v>128</v>
      </c>
      <c r="F111" s="8">
        <v>5.2</v>
      </c>
      <c r="G111" s="8">
        <v>6.5</v>
      </c>
      <c r="H111" s="9">
        <f>ROUND((G111-F111),4)</f>
        <v>1.3</v>
      </c>
    </row>
    <row r="112" spans="1:8" ht="23" customHeight="1">
      <c r="A112" s="6">
        <v>5</v>
      </c>
      <c r="B112" s="6">
        <v>2</v>
      </c>
      <c r="C112" s="6">
        <v>128</v>
      </c>
      <c r="D112" s="6">
        <v>128</v>
      </c>
      <c r="E112" s="6">
        <v>129</v>
      </c>
      <c r="F112" s="8">
        <v>6.5</v>
      </c>
      <c r="G112" s="8">
        <v>7.8</v>
      </c>
      <c r="H112" s="9">
        <f>ROUND((G112-F112),4)</f>
        <v>1.3</v>
      </c>
    </row>
    <row r="113" spans="1:8" ht="23" customHeight="1">
      <c r="A113" s="6">
        <v>5</v>
      </c>
      <c r="B113" s="6">
        <v>2</v>
      </c>
      <c r="C113" s="6">
        <v>129</v>
      </c>
      <c r="D113" s="6">
        <v>129</v>
      </c>
      <c r="E113" s="6">
        <v>130</v>
      </c>
      <c r="F113" s="8">
        <v>7.8</v>
      </c>
      <c r="G113" s="8">
        <v>9.1</v>
      </c>
      <c r="H113" s="9">
        <f>ROUND((G113-F113),4)</f>
        <v>1.3</v>
      </c>
    </row>
    <row r="114" spans="1:8" ht="23" customHeight="1">
      <c r="A114" s="6">
        <v>5</v>
      </c>
      <c r="B114" s="6">
        <v>2</v>
      </c>
      <c r="C114" s="6">
        <v>130</v>
      </c>
      <c r="D114" s="6">
        <v>130</v>
      </c>
      <c r="E114" s="6">
        <v>131</v>
      </c>
      <c r="F114" s="8">
        <v>9.1</v>
      </c>
      <c r="G114" s="8">
        <v>10.4</v>
      </c>
      <c r="H114" s="9">
        <f>ROUND((G114-F114),4)</f>
        <v>1.3</v>
      </c>
    </row>
    <row r="115" spans="1:8" ht="23" customHeight="1">
      <c r="A115" s="6">
        <v>5</v>
      </c>
      <c r="B115" s="6">
        <v>2</v>
      </c>
      <c r="C115" s="6">
        <v>131</v>
      </c>
      <c r="D115" s="6">
        <v>131</v>
      </c>
      <c r="E115" s="6">
        <v>132</v>
      </c>
      <c r="F115" s="8">
        <v>10.4</v>
      </c>
      <c r="G115" s="8">
        <v>11.7</v>
      </c>
      <c r="H115" s="9">
        <f>ROUND((G115-F115),4)</f>
        <v>1.3</v>
      </c>
    </row>
    <row r="116" spans="1:8" ht="23" customHeight="1">
      <c r="A116" s="6">
        <v>5</v>
      </c>
      <c r="B116" s="6">
        <v>2</v>
      </c>
      <c r="C116" s="6">
        <v>132</v>
      </c>
      <c r="D116" s="6">
        <v>132</v>
      </c>
      <c r="E116" s="6">
        <v>133</v>
      </c>
      <c r="F116" s="8">
        <v>11.7</v>
      </c>
      <c r="G116" s="8">
        <v>13</v>
      </c>
      <c r="H116" s="9">
        <f>ROUND((G116-F116),4)</f>
        <v>1.3</v>
      </c>
    </row>
    <row r="117" spans="1:8" ht="23" customHeight="1">
      <c r="A117" s="6">
        <v>5</v>
      </c>
      <c r="B117" s="6">
        <v>2</v>
      </c>
      <c r="C117" s="6">
        <v>133</v>
      </c>
      <c r="D117" s="6">
        <v>133</v>
      </c>
      <c r="E117" s="6">
        <v>134</v>
      </c>
      <c r="F117" s="8">
        <v>13</v>
      </c>
      <c r="G117" s="8">
        <v>14.3</v>
      </c>
      <c r="H117" s="9">
        <f>ROUND((G117-F117),4)</f>
        <v>1.3</v>
      </c>
    </row>
    <row r="118" spans="1:8" ht="23" customHeight="1">
      <c r="A118" s="6">
        <v>5</v>
      </c>
      <c r="B118" s="6">
        <v>2</v>
      </c>
      <c r="C118" s="6">
        <v>134</v>
      </c>
      <c r="D118" s="6">
        <v>134</v>
      </c>
      <c r="E118" s="6">
        <v>135</v>
      </c>
      <c r="F118" s="8">
        <v>14.3</v>
      </c>
      <c r="G118" s="8">
        <v>15.6</v>
      </c>
      <c r="H118" s="9">
        <f>ROUND((G118-F118),4)</f>
        <v>1.3</v>
      </c>
    </row>
    <row r="119" spans="1:8" ht="23" customHeight="1">
      <c r="A119" s="6">
        <v>5</v>
      </c>
      <c r="B119" s="6">
        <v>2</v>
      </c>
      <c r="C119" s="6">
        <v>135</v>
      </c>
      <c r="D119" s="6">
        <v>135</v>
      </c>
      <c r="E119" s="6">
        <v>136</v>
      </c>
      <c r="F119" s="8">
        <v>15.6</v>
      </c>
      <c r="G119" s="8">
        <v>16.9</v>
      </c>
      <c r="H119" s="9">
        <f>ROUND((G119-F119),4)</f>
        <v>1.3</v>
      </c>
    </row>
    <row r="120" spans="1:8" ht="23" customHeight="1">
      <c r="A120" s="6">
        <v>5</v>
      </c>
      <c r="B120" s="6">
        <v>2</v>
      </c>
      <c r="C120" s="6">
        <v>136</v>
      </c>
      <c r="D120" s="6">
        <v>136</v>
      </c>
      <c r="E120" s="6">
        <v>137</v>
      </c>
      <c r="F120" s="8">
        <v>16.9</v>
      </c>
      <c r="G120" s="8">
        <v>18.2</v>
      </c>
      <c r="H120" s="9">
        <f>ROUND((G120-F120),4)</f>
        <v>1.3</v>
      </c>
    </row>
    <row r="121" spans="1:8" ht="23" customHeight="1">
      <c r="A121" s="6">
        <v>5</v>
      </c>
      <c r="B121" s="6">
        <v>2</v>
      </c>
      <c r="C121" s="6">
        <v>137</v>
      </c>
      <c r="D121" s="6">
        <v>137</v>
      </c>
      <c r="E121" s="6">
        <v>138</v>
      </c>
      <c r="F121" s="8">
        <v>18.2</v>
      </c>
      <c r="G121" s="8">
        <v>19.5</v>
      </c>
      <c r="H121" s="9">
        <f>ROUND((G121-F121),4)</f>
        <v>1.3</v>
      </c>
    </row>
    <row r="122" spans="1:8" ht="23" customHeight="1">
      <c r="A122" s="6">
        <v>5</v>
      </c>
      <c r="B122" s="6">
        <v>2</v>
      </c>
      <c r="C122" s="6">
        <v>138</v>
      </c>
      <c r="D122" s="6">
        <v>138</v>
      </c>
      <c r="E122" s="6">
        <v>139</v>
      </c>
      <c r="F122" s="8">
        <v>19.5</v>
      </c>
      <c r="G122" s="8">
        <v>20.8</v>
      </c>
      <c r="H122" s="9">
        <f>ROUND((G122-F122),4)</f>
        <v>1.3</v>
      </c>
    </row>
    <row r="123" spans="1:8" ht="23" customHeight="1">
      <c r="A123" s="6">
        <v>5</v>
      </c>
      <c r="B123" s="6">
        <v>2</v>
      </c>
      <c r="C123" s="6">
        <v>139</v>
      </c>
      <c r="D123" s="6">
        <v>139</v>
      </c>
      <c r="E123" s="6">
        <v>140</v>
      </c>
      <c r="F123" s="8">
        <v>20.8</v>
      </c>
      <c r="G123" s="8">
        <v>22.1</v>
      </c>
      <c r="H123" s="9">
        <f>ROUND((G123-F123),4)</f>
        <v>1.3</v>
      </c>
    </row>
    <row r="124" spans="1:8" ht="23" customHeight="1">
      <c r="A124" s="6">
        <v>5</v>
      </c>
      <c r="B124" s="6">
        <v>2</v>
      </c>
      <c r="C124" s="6">
        <v>140</v>
      </c>
      <c r="D124" s="6">
        <v>140</v>
      </c>
      <c r="E124" s="6">
        <v>141</v>
      </c>
      <c r="F124" s="8">
        <v>22.1</v>
      </c>
      <c r="G124" s="8">
        <v>23.4</v>
      </c>
      <c r="H124" s="9">
        <f>ROUND((G124-F124),4)</f>
        <v>1.3</v>
      </c>
    </row>
    <row r="125" spans="1:8" ht="23" customHeight="1">
      <c r="A125" s="6">
        <v>5</v>
      </c>
      <c r="B125" s="6">
        <v>2</v>
      </c>
      <c r="C125" s="6">
        <v>141</v>
      </c>
      <c r="D125" s="6">
        <v>141</v>
      </c>
      <c r="E125" s="6">
        <v>142</v>
      </c>
      <c r="F125" s="8">
        <v>23.4</v>
      </c>
      <c r="G125" s="8">
        <v>24.7</v>
      </c>
      <c r="H125" s="9">
        <f>ROUND((G125-F125),4)</f>
        <v>1.3</v>
      </c>
    </row>
    <row r="126" spans="1:8" ht="23" customHeight="1">
      <c r="A126" s="6">
        <v>5</v>
      </c>
      <c r="B126" s="6">
        <v>2</v>
      </c>
      <c r="C126" s="6">
        <v>142</v>
      </c>
      <c r="D126" s="6">
        <v>142</v>
      </c>
      <c r="E126" s="6">
        <v>143</v>
      </c>
      <c r="F126" s="8">
        <v>24.7</v>
      </c>
      <c r="G126" s="8">
        <v>26</v>
      </c>
      <c r="H126" s="9">
        <f>ROUND((G126-F126),4)</f>
        <v>1.3</v>
      </c>
    </row>
    <row r="127" spans="1:8" ht="23" customHeight="1">
      <c r="A127" s="6">
        <v>5</v>
      </c>
      <c r="B127" s="6">
        <v>2</v>
      </c>
      <c r="C127" s="6">
        <v>143</v>
      </c>
      <c r="D127" s="6">
        <v>143</v>
      </c>
      <c r="E127" s="6">
        <v>144</v>
      </c>
      <c r="F127" s="8">
        <v>26</v>
      </c>
      <c r="G127" s="8">
        <v>27.3</v>
      </c>
      <c r="H127" s="9">
        <f>ROUND((G127-F127),4)</f>
        <v>1.3</v>
      </c>
    </row>
    <row r="128" spans="1:8" ht="23" customHeight="1">
      <c r="A128" s="6">
        <v>5</v>
      </c>
      <c r="B128" s="6">
        <v>2</v>
      </c>
      <c r="C128" s="6">
        <v>144</v>
      </c>
      <c r="D128" s="6">
        <v>144</v>
      </c>
      <c r="E128" s="6">
        <v>145</v>
      </c>
      <c r="F128" s="8">
        <v>27.3</v>
      </c>
      <c r="G128" s="8">
        <v>28.6</v>
      </c>
      <c r="H128" s="9">
        <f>ROUND((G128-F128),4)</f>
        <v>1.3</v>
      </c>
    </row>
    <row r="129" spans="1:8" ht="23" customHeight="1">
      <c r="A129" s="6">
        <v>5</v>
      </c>
      <c r="B129" s="6">
        <v>2</v>
      </c>
      <c r="C129" s="6">
        <v>145</v>
      </c>
      <c r="D129" s="6">
        <v>145</v>
      </c>
      <c r="E129" s="6">
        <v>146</v>
      </c>
      <c r="F129" s="8">
        <v>28.6</v>
      </c>
      <c r="G129" s="8">
        <v>29.9</v>
      </c>
      <c r="H129" s="9">
        <f>ROUND((G129-F129),4)</f>
        <v>1.3</v>
      </c>
    </row>
    <row r="130" spans="1:8" ht="23" customHeight="1">
      <c r="A130" s="6">
        <v>5</v>
      </c>
      <c r="B130" s="6">
        <v>2</v>
      </c>
      <c r="C130" s="6">
        <v>146</v>
      </c>
      <c r="D130" s="6">
        <v>146</v>
      </c>
      <c r="E130" s="6">
        <v>147</v>
      </c>
      <c r="F130" s="8">
        <v>29.9</v>
      </c>
      <c r="G130" s="8">
        <v>31</v>
      </c>
      <c r="H130" s="9">
        <f>ROUND((G130-F130),4)</f>
        <v>1.1</v>
      </c>
    </row>
    <row r="131" spans="1:8" ht="23" customHeight="1">
      <c r="A131" s="6">
        <v>6</v>
      </c>
      <c r="B131" s="6">
        <v>3</v>
      </c>
      <c r="C131" s="6">
        <v>148</v>
      </c>
      <c r="D131" s="6">
        <v>148</v>
      </c>
      <c r="E131" s="6">
        <v>149</v>
      </c>
      <c r="F131" s="8">
        <v>0</v>
      </c>
      <c r="G131" s="8">
        <v>1.3</v>
      </c>
      <c r="H131" s="9">
        <f>ROUND((G131-F131),4)</f>
        <v>1.3</v>
      </c>
    </row>
    <row r="132" spans="1:8" ht="23" customHeight="1">
      <c r="A132" s="6">
        <v>6</v>
      </c>
      <c r="B132" s="6">
        <v>3</v>
      </c>
      <c r="C132" s="6">
        <v>149</v>
      </c>
      <c r="D132" s="6">
        <v>149</v>
      </c>
      <c r="E132" s="6">
        <v>150</v>
      </c>
      <c r="F132" s="8">
        <v>1.3</v>
      </c>
      <c r="G132" s="8">
        <v>2.6</v>
      </c>
      <c r="H132" s="9">
        <f>ROUND((G132-F132),4)</f>
        <v>1.3</v>
      </c>
    </row>
    <row r="133" spans="1:8" ht="23" customHeight="1">
      <c r="A133" s="6">
        <v>6</v>
      </c>
      <c r="B133" s="6">
        <v>3</v>
      </c>
      <c r="C133" s="6">
        <v>150</v>
      </c>
      <c r="D133" s="6">
        <v>150</v>
      </c>
      <c r="E133" s="6">
        <v>151</v>
      </c>
      <c r="F133" s="8">
        <v>2.6</v>
      </c>
      <c r="G133" s="8">
        <v>3.9</v>
      </c>
      <c r="H133" s="9">
        <f>ROUND((G133-F133),4)</f>
        <v>1.3</v>
      </c>
    </row>
    <row r="134" spans="1:8" ht="23" customHeight="1">
      <c r="A134" s="6">
        <v>6</v>
      </c>
      <c r="B134" s="6">
        <v>3</v>
      </c>
      <c r="C134" s="6">
        <v>151</v>
      </c>
      <c r="D134" s="6">
        <v>151</v>
      </c>
      <c r="E134" s="6">
        <v>152</v>
      </c>
      <c r="F134" s="8">
        <v>3.9</v>
      </c>
      <c r="G134" s="8">
        <v>5.2</v>
      </c>
      <c r="H134" s="9">
        <f>ROUND((G134-F134),4)</f>
        <v>1.3</v>
      </c>
    </row>
    <row r="135" spans="1:8" ht="23" customHeight="1">
      <c r="A135" s="6">
        <v>6</v>
      </c>
      <c r="B135" s="6">
        <v>3</v>
      </c>
      <c r="C135" s="6">
        <v>152</v>
      </c>
      <c r="D135" s="6">
        <v>152</v>
      </c>
      <c r="E135" s="6">
        <v>153</v>
      </c>
      <c r="F135" s="8">
        <v>5.2</v>
      </c>
      <c r="G135" s="8">
        <v>6.5</v>
      </c>
      <c r="H135" s="9">
        <f>ROUND((G135-F135),4)</f>
        <v>1.3</v>
      </c>
    </row>
    <row r="136" spans="1:8" ht="23" customHeight="1">
      <c r="A136" s="6">
        <v>6</v>
      </c>
      <c r="B136" s="6">
        <v>3</v>
      </c>
      <c r="C136" s="6">
        <v>153</v>
      </c>
      <c r="D136" s="6">
        <v>153</v>
      </c>
      <c r="E136" s="6">
        <v>154</v>
      </c>
      <c r="F136" s="8">
        <v>6.5</v>
      </c>
      <c r="G136" s="8">
        <v>7.8</v>
      </c>
      <c r="H136" s="9">
        <f>ROUND((G136-F136),4)</f>
        <v>1.3</v>
      </c>
    </row>
    <row r="137" spans="1:8" ht="23" customHeight="1">
      <c r="A137" s="6">
        <v>6</v>
      </c>
      <c r="B137" s="6">
        <v>3</v>
      </c>
      <c r="C137" s="6">
        <v>154</v>
      </c>
      <c r="D137" s="6">
        <v>154</v>
      </c>
      <c r="E137" s="6">
        <v>155</v>
      </c>
      <c r="F137" s="8">
        <v>7.8</v>
      </c>
      <c r="G137" s="8">
        <v>9.1</v>
      </c>
      <c r="H137" s="9">
        <f>ROUND((G137-F137),4)</f>
        <v>1.3</v>
      </c>
    </row>
    <row r="138" spans="1:8" ht="23" customHeight="1">
      <c r="A138" s="6">
        <v>6</v>
      </c>
      <c r="B138" s="6">
        <v>3</v>
      </c>
      <c r="C138" s="6">
        <v>155</v>
      </c>
      <c r="D138" s="6">
        <v>155</v>
      </c>
      <c r="E138" s="6">
        <v>156</v>
      </c>
      <c r="F138" s="8">
        <v>9.1</v>
      </c>
      <c r="G138" s="8">
        <v>10.4</v>
      </c>
      <c r="H138" s="9">
        <f>ROUND((G138-F138),4)</f>
        <v>1.3</v>
      </c>
    </row>
    <row r="139" spans="1:8" ht="23" customHeight="1">
      <c r="A139" s="6">
        <v>6</v>
      </c>
      <c r="B139" s="6">
        <v>3</v>
      </c>
      <c r="C139" s="6">
        <v>156</v>
      </c>
      <c r="D139" s="6">
        <v>156</v>
      </c>
      <c r="E139" s="6">
        <v>157</v>
      </c>
      <c r="F139" s="8">
        <v>10.4</v>
      </c>
      <c r="G139" s="8">
        <v>11.7</v>
      </c>
      <c r="H139" s="9">
        <f>ROUND((G139-F139),4)</f>
        <v>1.3</v>
      </c>
    </row>
    <row r="140" spans="1:8" ht="23" customHeight="1">
      <c r="A140" s="6">
        <v>6</v>
      </c>
      <c r="B140" s="6">
        <v>3</v>
      </c>
      <c r="C140" s="6">
        <v>157</v>
      </c>
      <c r="D140" s="6">
        <v>157</v>
      </c>
      <c r="E140" s="6">
        <v>158</v>
      </c>
      <c r="F140" s="8">
        <v>11.7</v>
      </c>
      <c r="G140" s="8">
        <v>13</v>
      </c>
      <c r="H140" s="9">
        <f>ROUND((G140-F140),4)</f>
        <v>1.3</v>
      </c>
    </row>
    <row r="141" spans="1:8" ht="23" customHeight="1">
      <c r="A141" s="6">
        <v>6</v>
      </c>
      <c r="B141" s="6">
        <v>3</v>
      </c>
      <c r="C141" s="6">
        <v>158</v>
      </c>
      <c r="D141" s="6">
        <v>158</v>
      </c>
      <c r="E141" s="6">
        <v>159</v>
      </c>
      <c r="F141" s="8">
        <v>13</v>
      </c>
      <c r="G141" s="8">
        <v>14.3</v>
      </c>
      <c r="H141" s="9">
        <f>ROUND((G141-F141),4)</f>
        <v>1.3</v>
      </c>
    </row>
    <row r="142" spans="1:8" ht="23" customHeight="1">
      <c r="A142" s="6">
        <v>6</v>
      </c>
      <c r="B142" s="6">
        <v>3</v>
      </c>
      <c r="C142" s="6">
        <v>159</v>
      </c>
      <c r="D142" s="6">
        <v>159</v>
      </c>
      <c r="E142" s="6">
        <v>160</v>
      </c>
      <c r="F142" s="8">
        <v>14.3</v>
      </c>
      <c r="G142" s="8">
        <v>15.6</v>
      </c>
      <c r="H142" s="9">
        <f>ROUND((G142-F142),4)</f>
        <v>1.3</v>
      </c>
    </row>
    <row r="143" spans="1:8" ht="23" customHeight="1">
      <c r="A143" s="6">
        <v>6</v>
      </c>
      <c r="B143" s="6">
        <v>3</v>
      </c>
      <c r="C143" s="6">
        <v>160</v>
      </c>
      <c r="D143" s="6">
        <v>160</v>
      </c>
      <c r="E143" s="6">
        <v>161</v>
      </c>
      <c r="F143" s="8">
        <v>15.6</v>
      </c>
      <c r="G143" s="8">
        <v>16.9</v>
      </c>
      <c r="H143" s="9">
        <f>ROUND((G143-F143),4)</f>
        <v>1.3</v>
      </c>
    </row>
    <row r="144" spans="1:8" ht="23" customHeight="1">
      <c r="A144" s="6">
        <v>6</v>
      </c>
      <c r="B144" s="6">
        <v>3</v>
      </c>
      <c r="C144" s="6">
        <v>161</v>
      </c>
      <c r="D144" s="6">
        <v>161</v>
      </c>
      <c r="E144" s="6">
        <v>162</v>
      </c>
      <c r="F144" s="8">
        <v>16.9</v>
      </c>
      <c r="G144" s="8">
        <v>18.2</v>
      </c>
      <c r="H144" s="9">
        <f>ROUND((G144-F144),4)</f>
        <v>1.3</v>
      </c>
    </row>
    <row r="145" spans="1:12" ht="23" customHeight="1">
      <c r="A145" s="6">
        <v>6</v>
      </c>
      <c r="B145" s="6">
        <v>3</v>
      </c>
      <c r="C145" s="6">
        <v>162</v>
      </c>
      <c r="D145" s="6">
        <v>162</v>
      </c>
      <c r="E145" s="6">
        <v>163</v>
      </c>
      <c r="F145" s="8">
        <v>18.2</v>
      </c>
      <c r="G145" s="8">
        <v>19.5</v>
      </c>
      <c r="H145" s="9">
        <f>ROUND((G145-F145),4)</f>
        <v>1.3</v>
      </c>
    </row>
    <row r="146" spans="1:12" ht="23" customHeight="1">
      <c r="A146" s="6">
        <v>6</v>
      </c>
      <c r="B146" s="6">
        <v>3</v>
      </c>
      <c r="C146" s="6">
        <v>163</v>
      </c>
      <c r="D146" s="6">
        <v>163</v>
      </c>
      <c r="E146" s="6">
        <v>164</v>
      </c>
      <c r="F146" s="8">
        <v>19.5</v>
      </c>
      <c r="G146" s="8">
        <v>20.8</v>
      </c>
      <c r="H146" s="9">
        <f>ROUND((G146-F146),4)</f>
        <v>1.3</v>
      </c>
    </row>
    <row r="147" spans="1:12" ht="23" customHeight="1">
      <c r="A147" s="6">
        <v>6</v>
      </c>
      <c r="B147" s="6">
        <v>3</v>
      </c>
      <c r="C147" s="6">
        <v>164</v>
      </c>
      <c r="D147" s="6">
        <v>164</v>
      </c>
      <c r="E147" s="6">
        <v>165</v>
      </c>
      <c r="F147" s="8">
        <v>20.8</v>
      </c>
      <c r="G147" s="8">
        <v>22.1</v>
      </c>
      <c r="H147" s="9">
        <f>ROUND((G147-F147),4)</f>
        <v>1.3</v>
      </c>
    </row>
    <row r="148" spans="1:12" ht="23" customHeight="1">
      <c r="A148" s="6">
        <v>6</v>
      </c>
      <c r="B148" s="6">
        <v>3</v>
      </c>
      <c r="C148" s="6">
        <v>165</v>
      </c>
      <c r="D148" s="6">
        <v>165</v>
      </c>
      <c r="E148" s="6">
        <v>166</v>
      </c>
      <c r="F148" s="8">
        <v>22.1</v>
      </c>
      <c r="G148" s="8">
        <v>23.4</v>
      </c>
      <c r="H148" s="9">
        <f>ROUND((G148-F148),4)</f>
        <v>1.3</v>
      </c>
    </row>
    <row r="149" spans="1:12" ht="23" customHeight="1">
      <c r="A149" s="6">
        <v>6</v>
      </c>
      <c r="B149" s="6">
        <v>3</v>
      </c>
      <c r="C149" s="6">
        <v>166</v>
      </c>
      <c r="D149" s="6">
        <v>166</v>
      </c>
      <c r="E149" s="6">
        <v>167</v>
      </c>
      <c r="F149" s="8">
        <v>23.4</v>
      </c>
      <c r="G149" s="8">
        <v>24.7</v>
      </c>
      <c r="H149" s="9">
        <f>ROUND((G149-F149),4)</f>
        <v>1.3</v>
      </c>
    </row>
    <row r="150" spans="1:12" ht="23" customHeight="1">
      <c r="A150" s="6">
        <v>6</v>
      </c>
      <c r="B150" s="6">
        <v>3</v>
      </c>
      <c r="C150" s="6">
        <v>167</v>
      </c>
      <c r="D150" s="6">
        <v>167</v>
      </c>
      <c r="E150" s="6">
        <v>168</v>
      </c>
      <c r="F150" s="8">
        <v>24.7</v>
      </c>
      <c r="G150" s="8">
        <v>26</v>
      </c>
      <c r="H150" s="9">
        <f>ROUND((G150-F150),4)</f>
        <v>1.3</v>
      </c>
    </row>
    <row r="151" spans="1:12" ht="23" customHeight="1">
      <c r="A151" s="6">
        <v>6</v>
      </c>
      <c r="B151" s="6">
        <v>3</v>
      </c>
      <c r="C151" s="6">
        <v>168</v>
      </c>
      <c r="D151" s="6">
        <v>168</v>
      </c>
      <c r="E151" s="6">
        <v>169</v>
      </c>
      <c r="F151" s="8">
        <v>26</v>
      </c>
      <c r="G151" s="8">
        <v>27.3</v>
      </c>
      <c r="H151" s="9">
        <f>ROUND((G151-F151),4)</f>
        <v>1.3</v>
      </c>
    </row>
    <row r="152" spans="1:12" ht="23" customHeight="1">
      <c r="A152" s="6">
        <v>6</v>
      </c>
      <c r="B152" s="6">
        <v>3</v>
      </c>
      <c r="C152" s="6">
        <v>169</v>
      </c>
      <c r="D152" s="6">
        <v>169</v>
      </c>
      <c r="E152" s="6">
        <v>170</v>
      </c>
      <c r="F152" s="8">
        <v>27.3</v>
      </c>
      <c r="G152" s="8">
        <v>28.6</v>
      </c>
      <c r="H152" s="9">
        <f>ROUND((G152-F152),4)</f>
        <v>1.3</v>
      </c>
    </row>
    <row r="153" spans="1:12" ht="23" customHeight="1">
      <c r="A153" s="6">
        <v>6</v>
      </c>
      <c r="B153" s="6">
        <v>3</v>
      </c>
      <c r="C153" s="6">
        <v>170</v>
      </c>
      <c r="D153" s="6">
        <v>170</v>
      </c>
      <c r="E153" s="6">
        <v>171</v>
      </c>
      <c r="F153" s="8">
        <v>28.6</v>
      </c>
      <c r="G153" s="8">
        <v>29.9</v>
      </c>
      <c r="H153" s="9">
        <f>ROUND((G153-F153),4)</f>
        <v>1.3</v>
      </c>
    </row>
    <row r="154" spans="1:12" ht="23" customHeight="1">
      <c r="A154" s="6">
        <v>6</v>
      </c>
      <c r="B154" s="6">
        <v>3</v>
      </c>
      <c r="C154" s="6">
        <v>171</v>
      </c>
      <c r="D154" s="6">
        <v>171</v>
      </c>
      <c r="E154" s="6">
        <v>172</v>
      </c>
      <c r="F154" s="8">
        <v>29.9</v>
      </c>
      <c r="G154" s="8">
        <v>31</v>
      </c>
      <c r="H154" s="9">
        <f>ROUND((G154-F154),4)</f>
        <v>1.1</v>
      </c>
    </row>
    <row r="155" spans="1:12" ht="23" customHeight="1"/>
    <row r="156" spans="1:12" ht="24" customHeight="1">
      <c r="A156" s="3" t="s">
        <v>62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36" customHeight="1">
      <c r="A157" s="4" t="s">
        <v>8</v>
      </c>
      <c r="B157" s="4" t="s">
        <v>20</v>
      </c>
      <c r="C157" s="4" t="s">
        <v>63</v>
      </c>
      <c r="D157" s="4" t="s">
        <v>64</v>
      </c>
      <c r="E157" s="4" t="s">
        <v>65</v>
      </c>
      <c r="F157" s="4" t="s">
        <v>66</v>
      </c>
      <c r="G157" s="4" t="s">
        <v>67</v>
      </c>
      <c r="H157" s="4" t="s">
        <v>68</v>
      </c>
      <c r="I157" s="4" t="s">
        <v>69</v>
      </c>
      <c r="J157" s="4" t="s">
        <v>70</v>
      </c>
      <c r="K157" s="4" t="s">
        <v>71</v>
      </c>
    </row>
    <row r="158" spans="1:12" ht="23" customHeight="1">
      <c r="A158" s="6">
        <v>4</v>
      </c>
      <c r="B158" s="6">
        <v>98</v>
      </c>
      <c r="C158" s="6">
        <v>1</v>
      </c>
      <c r="D158" s="6">
        <v>174</v>
      </c>
      <c r="E158" s="8">
        <v>0</v>
      </c>
      <c r="F158" s="8">
        <v>1.5</v>
      </c>
      <c r="G158" s="9">
        <f>MAX(F83,E158)</f>
        <v>0.0</v>
      </c>
      <c r="H158" s="9">
        <f>MIN(G83,F158)</f>
        <v>1.3</v>
      </c>
      <c r="I158" s="9">
        <f>MAX(0,ROUND((H158-G158),4))</f>
        <v>1.3</v>
      </c>
      <c r="J158" s="10">
        <f>'入力根拠'!F34</f>
        <v>58812.0</v>
      </c>
      <c r="K158" s="6">
        <f>(J158*I158)</f>
        <v>76455.6</v>
      </c>
    </row>
    <row r="159" spans="1:12" ht="23" customHeight="1">
      <c r="A159" s="6">
        <v>4</v>
      </c>
      <c r="B159" s="6">
        <v>99</v>
      </c>
      <c r="C159" s="6">
        <v>1</v>
      </c>
      <c r="D159" s="6">
        <v>174</v>
      </c>
      <c r="E159" s="8">
        <v>0</v>
      </c>
      <c r="F159" s="8">
        <v>1.5</v>
      </c>
      <c r="G159" s="9">
        <f>MAX(F84,E159)</f>
        <v>1.3</v>
      </c>
      <c r="H159" s="9">
        <f>MIN(G84,F159)</f>
        <v>1.5</v>
      </c>
      <c r="I159" s="9">
        <f>MAX(0,ROUND((H159-G159),4))</f>
        <v>0.2</v>
      </c>
      <c r="J159" s="10">
        <f>'入力根拠'!F34</f>
        <v>58812.0</v>
      </c>
      <c r="K159" s="6">
        <f>(J159*I159)</f>
        <v>11762.400000000001</v>
      </c>
    </row>
    <row r="160" spans="1:12" ht="23" customHeight="1">
      <c r="A160" s="6">
        <v>4</v>
      </c>
      <c r="B160" s="6">
        <v>99</v>
      </c>
      <c r="C160" s="6">
        <v>2</v>
      </c>
      <c r="D160" s="6">
        <v>175</v>
      </c>
      <c r="E160" s="8">
        <v>1.5</v>
      </c>
      <c r="F160" s="8">
        <v>2.8</v>
      </c>
      <c r="G160" s="9">
        <f>MAX(F84,E160)</f>
        <v>1.5</v>
      </c>
      <c r="H160" s="9">
        <f>MIN(G84,F160)</f>
        <v>2.6</v>
      </c>
      <c r="I160" s="9">
        <f>MAX(0,ROUND((H160-G160),4))</f>
        <v>1.1</v>
      </c>
      <c r="J160" s="10">
        <f>'入力根拠'!F35</f>
        <v>310863.0</v>
      </c>
      <c r="K160" s="6">
        <f>(J160*I160)</f>
        <v>341949.30000000005</v>
      </c>
    </row>
    <row r="161" spans="1:11" ht="23" customHeight="1">
      <c r="A161" s="6">
        <v>4</v>
      </c>
      <c r="B161" s="6">
        <v>100</v>
      </c>
      <c r="C161" s="6">
        <v>2</v>
      </c>
      <c r="D161" s="6">
        <v>175</v>
      </c>
      <c r="E161" s="8">
        <v>1.5</v>
      </c>
      <c r="F161" s="8">
        <v>2.8</v>
      </c>
      <c r="G161" s="9">
        <f>MAX(F85,E161)</f>
        <v>2.6</v>
      </c>
      <c r="H161" s="9">
        <f>MIN(G85,F161)</f>
        <v>2.8</v>
      </c>
      <c r="I161" s="9">
        <f>MAX(0,ROUND((H161-G161),4))</f>
        <v>0.2</v>
      </c>
      <c r="J161" s="10">
        <f>'入力根拠'!F35</f>
        <v>310863.0</v>
      </c>
      <c r="K161" s="6">
        <f>(J161*I161)</f>
        <v>62172.600000000006</v>
      </c>
    </row>
    <row r="162" spans="1:11" ht="23" customHeight="1">
      <c r="A162" s="6">
        <v>4</v>
      </c>
      <c r="B162" s="6">
        <v>100</v>
      </c>
      <c r="C162" s="6">
        <v>3</v>
      </c>
      <c r="D162" s="6">
        <v>176</v>
      </c>
      <c r="E162" s="8">
        <v>2.8</v>
      </c>
      <c r="F162" s="8">
        <v>5.7</v>
      </c>
      <c r="G162" s="9">
        <f>MAX(F85,E162)</f>
        <v>2.8</v>
      </c>
      <c r="H162" s="9">
        <f>MIN(G85,F162)</f>
        <v>3.9</v>
      </c>
      <c r="I162" s="9">
        <f>MAX(0,ROUND((H162-G162),4))</f>
        <v>1.1</v>
      </c>
      <c r="J162" s="10">
        <f>'入力根拠'!F36</f>
        <v>110708.0</v>
      </c>
      <c r="K162" s="6">
        <f>(J162*I162)</f>
        <v>121778.8</v>
      </c>
    </row>
    <row r="163" spans="1:11" ht="23" customHeight="1">
      <c r="A163" s="6">
        <v>4</v>
      </c>
      <c r="B163" s="6">
        <v>101</v>
      </c>
      <c r="C163" s="6">
        <v>3</v>
      </c>
      <c r="D163" s="6">
        <v>176</v>
      </c>
      <c r="E163" s="8">
        <v>2.8</v>
      </c>
      <c r="F163" s="8">
        <v>5.7</v>
      </c>
      <c r="G163" s="9">
        <f>MAX(F86,E163)</f>
        <v>3.9</v>
      </c>
      <c r="H163" s="9">
        <f>MIN(G86,F163)</f>
        <v>5.2</v>
      </c>
      <c r="I163" s="9">
        <f>MAX(0,ROUND((H163-G163),4))</f>
        <v>1.3</v>
      </c>
      <c r="J163" s="10">
        <f>'入力根拠'!F36</f>
        <v>110708.0</v>
      </c>
      <c r="K163" s="6">
        <f>(J163*I163)</f>
        <v>143920.4</v>
      </c>
    </row>
    <row r="164" spans="1:11" ht="23" customHeight="1">
      <c r="A164" s="6">
        <v>4</v>
      </c>
      <c r="B164" s="6">
        <v>102</v>
      </c>
      <c r="C164" s="6">
        <v>3</v>
      </c>
      <c r="D164" s="6">
        <v>176</v>
      </c>
      <c r="E164" s="8">
        <v>2.8</v>
      </c>
      <c r="F164" s="8">
        <v>5.7</v>
      </c>
      <c r="G164" s="9">
        <f>MAX(F87,E164)</f>
        <v>5.2</v>
      </c>
      <c r="H164" s="9">
        <f>MIN(G87,F164)</f>
        <v>5.7</v>
      </c>
      <c r="I164" s="9">
        <f>MAX(0,ROUND((H164-G164),4))</f>
        <v>0.5</v>
      </c>
      <c r="J164" s="10">
        <f>'入力根拠'!F36</f>
        <v>110708.0</v>
      </c>
      <c r="K164" s="6">
        <f>(J164*I164)</f>
        <v>55354.0</v>
      </c>
    </row>
    <row r="165" spans="1:11" ht="23" customHeight="1">
      <c r="A165" s="6">
        <v>4</v>
      </c>
      <c r="B165" s="6">
        <v>102</v>
      </c>
      <c r="C165" s="6">
        <v>4</v>
      </c>
      <c r="D165" s="6">
        <v>177</v>
      </c>
      <c r="E165" s="8">
        <v>5.7</v>
      </c>
      <c r="F165" s="8">
        <v>8.300000000000001</v>
      </c>
      <c r="G165" s="9">
        <f>MAX(F87,E165)</f>
        <v>5.7</v>
      </c>
      <c r="H165" s="9">
        <f>MIN(G87,F165)</f>
        <v>6.5</v>
      </c>
      <c r="I165" s="9">
        <f>MAX(0,ROUND((H165-G165),4))</f>
        <v>0.8</v>
      </c>
      <c r="J165" s="10">
        <f>'入力根拠'!F37</f>
        <v>268854.0</v>
      </c>
      <c r="K165" s="6">
        <f>(J165*I165)</f>
        <v>215083.2</v>
      </c>
    </row>
    <row r="166" spans="1:11" ht="23" customHeight="1">
      <c r="A166" s="6">
        <v>4</v>
      </c>
      <c r="B166" s="6">
        <v>103</v>
      </c>
      <c r="C166" s="6">
        <v>4</v>
      </c>
      <c r="D166" s="6">
        <v>177</v>
      </c>
      <c r="E166" s="8">
        <v>5.7</v>
      </c>
      <c r="F166" s="8">
        <v>8.300000000000001</v>
      </c>
      <c r="G166" s="9">
        <f>MAX(F88,E166)</f>
        <v>6.5</v>
      </c>
      <c r="H166" s="9">
        <f>MIN(G88,F166)</f>
        <v>7.8</v>
      </c>
      <c r="I166" s="9">
        <f>MAX(0,ROUND((H166-G166),4))</f>
        <v>1.3</v>
      </c>
      <c r="J166" s="10">
        <f>'入力根拠'!F37</f>
        <v>268854.0</v>
      </c>
      <c r="K166" s="6">
        <f>(J166*I166)</f>
        <v>349510.2</v>
      </c>
    </row>
    <row r="167" spans="1:11" ht="23" customHeight="1">
      <c r="A167" s="6">
        <v>4</v>
      </c>
      <c r="B167" s="6">
        <v>104</v>
      </c>
      <c r="C167" s="6">
        <v>4</v>
      </c>
      <c r="D167" s="6">
        <v>177</v>
      </c>
      <c r="E167" s="8">
        <v>5.7</v>
      </c>
      <c r="F167" s="8">
        <v>8.300000000000001</v>
      </c>
      <c r="G167" s="9">
        <f>MAX(F89,E167)</f>
        <v>7.8</v>
      </c>
      <c r="H167" s="9">
        <f>MIN(G89,F167)</f>
        <v>8.3</v>
      </c>
      <c r="I167" s="9">
        <f>MAX(0,ROUND((H167-G167),4))</f>
        <v>0.5</v>
      </c>
      <c r="J167" s="10">
        <f>'入力根拠'!F37</f>
        <v>268854.0</v>
      </c>
      <c r="K167" s="6">
        <f>(J167*I167)</f>
        <v>134427.0</v>
      </c>
    </row>
    <row r="168" spans="1:11" ht="23" customHeight="1">
      <c r="A168" s="6">
        <v>4</v>
      </c>
      <c r="B168" s="6">
        <v>104</v>
      </c>
      <c r="C168" s="6">
        <v>5</v>
      </c>
      <c r="D168" s="6">
        <v>178</v>
      </c>
      <c r="E168" s="8">
        <v>8.300000000000001</v>
      </c>
      <c r="F168" s="8">
        <v>8.9</v>
      </c>
      <c r="G168" s="9">
        <f>MAX(F89,E168)</f>
        <v>8.3</v>
      </c>
      <c r="H168" s="9">
        <f>MIN(G89,F168)</f>
        <v>8.9</v>
      </c>
      <c r="I168" s="9">
        <f>MAX(0,ROUND((H168-G168),4))</f>
        <v>0.6</v>
      </c>
      <c r="J168" s="10">
        <f>'入力根拠'!F38</f>
        <v>428981.0</v>
      </c>
      <c r="K168" s="6">
        <f>(J168*I168)</f>
        <v>257388.59999999998</v>
      </c>
    </row>
    <row r="169" spans="1:11" ht="23" customHeight="1">
      <c r="A169" s="6">
        <v>4</v>
      </c>
      <c r="B169" s="6">
        <v>104</v>
      </c>
      <c r="C169" s="6">
        <v>6</v>
      </c>
      <c r="D169" s="6">
        <v>179</v>
      </c>
      <c r="E169" s="8">
        <v>8.9</v>
      </c>
      <c r="F169" s="8">
        <v>18.4</v>
      </c>
      <c r="G169" s="9">
        <f>MAX(F89,E169)</f>
        <v>8.9</v>
      </c>
      <c r="H169" s="9">
        <f>MIN(G89,F169)</f>
        <v>9.1</v>
      </c>
      <c r="I169" s="9">
        <f>MAX(0,ROUND((H169-G169),4))</f>
        <v>0.2</v>
      </c>
      <c r="J169" s="10">
        <f>'入力根拠'!F39</f>
        <v>403280.0</v>
      </c>
      <c r="K169" s="6">
        <f>(J169*I169)</f>
        <v>80656.0</v>
      </c>
    </row>
    <row r="170" spans="1:11" ht="23" customHeight="1">
      <c r="A170" s="6">
        <v>4</v>
      </c>
      <c r="B170" s="6">
        <v>105</v>
      </c>
      <c r="C170" s="6">
        <v>6</v>
      </c>
      <c r="D170" s="6">
        <v>179</v>
      </c>
      <c r="E170" s="8">
        <v>8.9</v>
      </c>
      <c r="F170" s="8">
        <v>18.4</v>
      </c>
      <c r="G170" s="9">
        <f>MAX(F90,E170)</f>
        <v>9.1</v>
      </c>
      <c r="H170" s="9">
        <f>MIN(G90,F170)</f>
        <v>10.4</v>
      </c>
      <c r="I170" s="9">
        <f>MAX(0,ROUND((H170-G170),4))</f>
        <v>1.3</v>
      </c>
      <c r="J170" s="10">
        <f>'入力根拠'!F39</f>
        <v>403280.0</v>
      </c>
      <c r="K170" s="6">
        <f>(J170*I170)</f>
        <v>524264.0</v>
      </c>
    </row>
    <row r="171" spans="1:11" ht="23" customHeight="1">
      <c r="A171" s="6">
        <v>4</v>
      </c>
      <c r="B171" s="6">
        <v>106</v>
      </c>
      <c r="C171" s="6">
        <v>6</v>
      </c>
      <c r="D171" s="6">
        <v>179</v>
      </c>
      <c r="E171" s="8">
        <v>8.9</v>
      </c>
      <c r="F171" s="8">
        <v>18.4</v>
      </c>
      <c r="G171" s="9">
        <f>MAX(F91,E171)</f>
        <v>10.4</v>
      </c>
      <c r="H171" s="9">
        <f>MIN(G91,F171)</f>
        <v>11.7</v>
      </c>
      <c r="I171" s="9">
        <f>MAX(0,ROUND((H171-G171),4))</f>
        <v>1.3</v>
      </c>
      <c r="J171" s="10">
        <f>'入力根拠'!F39</f>
        <v>403280.0</v>
      </c>
      <c r="K171" s="6">
        <f>(J171*I171)</f>
        <v>524264.0</v>
      </c>
    </row>
    <row r="172" spans="1:11" ht="23" customHeight="1">
      <c r="A172" s="6">
        <v>4</v>
      </c>
      <c r="B172" s="6">
        <v>107</v>
      </c>
      <c r="C172" s="6">
        <v>6</v>
      </c>
      <c r="D172" s="6">
        <v>179</v>
      </c>
      <c r="E172" s="8">
        <v>8.9</v>
      </c>
      <c r="F172" s="8">
        <v>18.4</v>
      </c>
      <c r="G172" s="9">
        <f>MAX(F92,E172)</f>
        <v>11.7</v>
      </c>
      <c r="H172" s="9">
        <f>MIN(G92,F172)</f>
        <v>13.0</v>
      </c>
      <c r="I172" s="9">
        <f>MAX(0,ROUND((H172-G172),4))</f>
        <v>1.3</v>
      </c>
      <c r="J172" s="10">
        <f>'入力根拠'!F39</f>
        <v>403280.0</v>
      </c>
      <c r="K172" s="6">
        <f>(J172*I172)</f>
        <v>524264.0</v>
      </c>
    </row>
    <row r="173" spans="1:11" ht="23" customHeight="1">
      <c r="A173" s="6">
        <v>4</v>
      </c>
      <c r="B173" s="6">
        <v>108</v>
      </c>
      <c r="C173" s="6">
        <v>6</v>
      </c>
      <c r="D173" s="6">
        <v>179</v>
      </c>
      <c r="E173" s="8">
        <v>8.9</v>
      </c>
      <c r="F173" s="8">
        <v>18.4</v>
      </c>
      <c r="G173" s="9">
        <f>MAX(F93,E173)</f>
        <v>13.0</v>
      </c>
      <c r="H173" s="9">
        <f>MIN(G93,F173)</f>
        <v>14.3</v>
      </c>
      <c r="I173" s="9">
        <f>MAX(0,ROUND((H173-G173),4))</f>
        <v>1.3</v>
      </c>
      <c r="J173" s="10">
        <f>'入力根拠'!F39</f>
        <v>403280.0</v>
      </c>
      <c r="K173" s="6">
        <f>(J173*I173)</f>
        <v>524264.0</v>
      </c>
    </row>
    <row r="174" spans="1:11" ht="23" customHeight="1">
      <c r="A174" s="6">
        <v>4</v>
      </c>
      <c r="B174" s="6">
        <v>109</v>
      </c>
      <c r="C174" s="6">
        <v>6</v>
      </c>
      <c r="D174" s="6">
        <v>179</v>
      </c>
      <c r="E174" s="8">
        <v>8.9</v>
      </c>
      <c r="F174" s="8">
        <v>18.4</v>
      </c>
      <c r="G174" s="9">
        <f>MAX(F94,E174)</f>
        <v>14.3</v>
      </c>
      <c r="H174" s="9">
        <f>MIN(G94,F174)</f>
        <v>15.6</v>
      </c>
      <c r="I174" s="9">
        <f>MAX(0,ROUND((H174-G174),4))</f>
        <v>1.3</v>
      </c>
      <c r="J174" s="10">
        <f>'入力根拠'!F39</f>
        <v>403280.0</v>
      </c>
      <c r="K174" s="6">
        <f>(J174*I174)</f>
        <v>524264.0</v>
      </c>
    </row>
    <row r="175" spans="1:11" ht="23" customHeight="1">
      <c r="A175" s="6">
        <v>4</v>
      </c>
      <c r="B175" s="6">
        <v>110</v>
      </c>
      <c r="C175" s="6">
        <v>6</v>
      </c>
      <c r="D175" s="6">
        <v>179</v>
      </c>
      <c r="E175" s="8">
        <v>8.9</v>
      </c>
      <c r="F175" s="8">
        <v>18.4</v>
      </c>
      <c r="G175" s="9">
        <f>MAX(F95,E175)</f>
        <v>15.6</v>
      </c>
      <c r="H175" s="9">
        <f>MIN(G95,F175)</f>
        <v>16.9</v>
      </c>
      <c r="I175" s="9">
        <f>MAX(0,ROUND((H175-G175),4))</f>
        <v>1.3</v>
      </c>
      <c r="J175" s="10">
        <f>'入力根拠'!F39</f>
        <v>403280.0</v>
      </c>
      <c r="K175" s="6">
        <f>(J175*I175)</f>
        <v>524264.0</v>
      </c>
    </row>
    <row r="176" spans="1:11" ht="23" customHeight="1">
      <c r="A176" s="6">
        <v>4</v>
      </c>
      <c r="B176" s="6">
        <v>111</v>
      </c>
      <c r="C176" s="6">
        <v>6</v>
      </c>
      <c r="D176" s="6">
        <v>179</v>
      </c>
      <c r="E176" s="8">
        <v>8.9</v>
      </c>
      <c r="F176" s="8">
        <v>18.4</v>
      </c>
      <c r="G176" s="9">
        <f>MAX(F96,E176)</f>
        <v>16.9</v>
      </c>
      <c r="H176" s="9">
        <f>MIN(G96,F176)</f>
        <v>18.2</v>
      </c>
      <c r="I176" s="9">
        <f>MAX(0,ROUND((H176-G176),4))</f>
        <v>1.3</v>
      </c>
      <c r="J176" s="10">
        <f>'入力根拠'!F39</f>
        <v>403280.0</v>
      </c>
      <c r="K176" s="6">
        <f>(J176*I176)</f>
        <v>524264.0</v>
      </c>
    </row>
    <row r="177" spans="1:11" ht="23" customHeight="1">
      <c r="A177" s="6">
        <v>4</v>
      </c>
      <c r="B177" s="6">
        <v>112</v>
      </c>
      <c r="C177" s="6">
        <v>6</v>
      </c>
      <c r="D177" s="6">
        <v>179</v>
      </c>
      <c r="E177" s="8">
        <v>8.9</v>
      </c>
      <c r="F177" s="8">
        <v>18.4</v>
      </c>
      <c r="G177" s="9">
        <f>MAX(F97,E177)</f>
        <v>18.2</v>
      </c>
      <c r="H177" s="9">
        <f>MIN(G97,F177)</f>
        <v>18.4</v>
      </c>
      <c r="I177" s="9">
        <f>MAX(0,ROUND((H177-G177),4))</f>
        <v>0.2</v>
      </c>
      <c r="J177" s="10">
        <f>'入力根拠'!F39</f>
        <v>403280.0</v>
      </c>
      <c r="K177" s="6">
        <f>(J177*I177)</f>
        <v>80656.0</v>
      </c>
    </row>
    <row r="178" spans="1:11" ht="23" customHeight="1">
      <c r="A178" s="6">
        <v>4</v>
      </c>
      <c r="B178" s="6">
        <v>112</v>
      </c>
      <c r="C178" s="6">
        <v>7</v>
      </c>
      <c r="D178" s="6">
        <v>180</v>
      </c>
      <c r="E178" s="8">
        <v>18.4</v>
      </c>
      <c r="F178" s="8">
        <v>31</v>
      </c>
      <c r="G178" s="9">
        <f>MAX(F97,E178)</f>
        <v>18.4</v>
      </c>
      <c r="H178" s="9">
        <f>MIN(G97,F178)</f>
        <v>19.5</v>
      </c>
      <c r="I178" s="9">
        <f>MAX(0,ROUND((H178-G178),4))</f>
        <v>1.1</v>
      </c>
      <c r="J178" s="10">
        <f>'入力根拠'!F40</f>
        <v>193733.0</v>
      </c>
      <c r="K178" s="6">
        <f>(J178*I178)</f>
        <v>213106.30000000002</v>
      </c>
    </row>
    <row r="179" spans="1:11" ht="23" customHeight="1">
      <c r="A179" s="6">
        <v>4</v>
      </c>
      <c r="B179" s="6">
        <v>113</v>
      </c>
      <c r="C179" s="6">
        <v>7</v>
      </c>
      <c r="D179" s="6">
        <v>180</v>
      </c>
      <c r="E179" s="8">
        <v>18.4</v>
      </c>
      <c r="F179" s="8">
        <v>31</v>
      </c>
      <c r="G179" s="9">
        <f>MAX(F98,E179)</f>
        <v>19.5</v>
      </c>
      <c r="H179" s="9">
        <f>MIN(G98,F179)</f>
        <v>20.8</v>
      </c>
      <c r="I179" s="9">
        <f>MAX(0,ROUND((H179-G179),4))</f>
        <v>1.3</v>
      </c>
      <c r="J179" s="10">
        <f>'入力根拠'!F40</f>
        <v>193733.0</v>
      </c>
      <c r="K179" s="6">
        <f>(J179*I179)</f>
        <v>251852.9</v>
      </c>
    </row>
    <row r="180" spans="1:11" ht="23" customHeight="1">
      <c r="A180" s="6">
        <v>4</v>
      </c>
      <c r="B180" s="6">
        <v>114</v>
      </c>
      <c r="C180" s="6">
        <v>7</v>
      </c>
      <c r="D180" s="6">
        <v>180</v>
      </c>
      <c r="E180" s="8">
        <v>18.4</v>
      </c>
      <c r="F180" s="8">
        <v>31</v>
      </c>
      <c r="G180" s="9">
        <f>MAX(F99,E180)</f>
        <v>20.8</v>
      </c>
      <c r="H180" s="9">
        <f>MIN(G99,F180)</f>
        <v>22.1</v>
      </c>
      <c r="I180" s="9">
        <f>MAX(0,ROUND((H180-G180),4))</f>
        <v>1.3</v>
      </c>
      <c r="J180" s="10">
        <f>'入力根拠'!F40</f>
        <v>193733.0</v>
      </c>
      <c r="K180" s="6">
        <f>(J180*I180)</f>
        <v>251852.9</v>
      </c>
    </row>
    <row r="181" spans="1:11" ht="23" customHeight="1">
      <c r="A181" s="6">
        <v>4</v>
      </c>
      <c r="B181" s="6">
        <v>115</v>
      </c>
      <c r="C181" s="6">
        <v>7</v>
      </c>
      <c r="D181" s="6">
        <v>180</v>
      </c>
      <c r="E181" s="8">
        <v>18.4</v>
      </c>
      <c r="F181" s="8">
        <v>31</v>
      </c>
      <c r="G181" s="9">
        <f>MAX(F100,E181)</f>
        <v>22.1</v>
      </c>
      <c r="H181" s="9">
        <f>MIN(G100,F181)</f>
        <v>23.4</v>
      </c>
      <c r="I181" s="9">
        <f>MAX(0,ROUND((H181-G181),4))</f>
        <v>1.3</v>
      </c>
      <c r="J181" s="10">
        <f>'入力根拠'!F40</f>
        <v>193733.0</v>
      </c>
      <c r="K181" s="6">
        <f>(J181*I181)</f>
        <v>251852.9</v>
      </c>
    </row>
    <row r="182" spans="1:11" ht="23" customHeight="1">
      <c r="A182" s="6">
        <v>4</v>
      </c>
      <c r="B182" s="6">
        <v>116</v>
      </c>
      <c r="C182" s="6">
        <v>7</v>
      </c>
      <c r="D182" s="6">
        <v>180</v>
      </c>
      <c r="E182" s="8">
        <v>18.4</v>
      </c>
      <c r="F182" s="8">
        <v>31</v>
      </c>
      <c r="G182" s="9">
        <f>MAX(F101,E182)</f>
        <v>23.4</v>
      </c>
      <c r="H182" s="9">
        <f>MIN(G101,F182)</f>
        <v>24.7</v>
      </c>
      <c r="I182" s="9">
        <f>MAX(0,ROUND((H182-G182),4))</f>
        <v>1.3</v>
      </c>
      <c r="J182" s="10">
        <f>'入力根拠'!F40</f>
        <v>193733.0</v>
      </c>
      <c r="K182" s="6">
        <f>(J182*I182)</f>
        <v>251852.9</v>
      </c>
    </row>
    <row r="183" spans="1:11" ht="23" customHeight="1">
      <c r="A183" s="6">
        <v>4</v>
      </c>
      <c r="B183" s="6">
        <v>117</v>
      </c>
      <c r="C183" s="6">
        <v>7</v>
      </c>
      <c r="D183" s="6">
        <v>180</v>
      </c>
      <c r="E183" s="8">
        <v>18.4</v>
      </c>
      <c r="F183" s="8">
        <v>31</v>
      </c>
      <c r="G183" s="9">
        <f>MAX(F102,E183)</f>
        <v>24.7</v>
      </c>
      <c r="H183" s="9">
        <f>MIN(G102,F183)</f>
        <v>26.0</v>
      </c>
      <c r="I183" s="9">
        <f>MAX(0,ROUND((H183-G183),4))</f>
        <v>1.3</v>
      </c>
      <c r="J183" s="10">
        <f>'入力根拠'!F40</f>
        <v>193733.0</v>
      </c>
      <c r="K183" s="6">
        <f>(J183*I183)</f>
        <v>251852.9</v>
      </c>
    </row>
    <row r="184" spans="1:11" ht="23" customHeight="1">
      <c r="A184" s="6">
        <v>4</v>
      </c>
      <c r="B184" s="6">
        <v>118</v>
      </c>
      <c r="C184" s="6">
        <v>7</v>
      </c>
      <c r="D184" s="6">
        <v>180</v>
      </c>
      <c r="E184" s="8">
        <v>18.4</v>
      </c>
      <c r="F184" s="8">
        <v>31</v>
      </c>
      <c r="G184" s="9">
        <f>MAX(F103,E184)</f>
        <v>26.0</v>
      </c>
      <c r="H184" s="9">
        <f>MIN(G103,F184)</f>
        <v>27.3</v>
      </c>
      <c r="I184" s="9">
        <f>MAX(0,ROUND((H184-G184),4))</f>
        <v>1.3</v>
      </c>
      <c r="J184" s="10">
        <f>'入力根拠'!F40</f>
        <v>193733.0</v>
      </c>
      <c r="K184" s="6">
        <f>(J184*I184)</f>
        <v>251852.9</v>
      </c>
    </row>
    <row r="185" spans="1:11" ht="23" customHeight="1">
      <c r="A185" s="6">
        <v>4</v>
      </c>
      <c r="B185" s="6">
        <v>119</v>
      </c>
      <c r="C185" s="6">
        <v>7</v>
      </c>
      <c r="D185" s="6">
        <v>180</v>
      </c>
      <c r="E185" s="8">
        <v>18.4</v>
      </c>
      <c r="F185" s="8">
        <v>31</v>
      </c>
      <c r="G185" s="9">
        <f>MAX(F104,E185)</f>
        <v>27.3</v>
      </c>
      <c r="H185" s="9">
        <f>MIN(G104,F185)</f>
        <v>28.6</v>
      </c>
      <c r="I185" s="9">
        <f>MAX(0,ROUND((H185-G185),4))</f>
        <v>1.3</v>
      </c>
      <c r="J185" s="10">
        <f>'入力根拠'!F40</f>
        <v>193733.0</v>
      </c>
      <c r="K185" s="6">
        <f>(J185*I185)</f>
        <v>251852.9</v>
      </c>
    </row>
    <row r="186" spans="1:11" ht="23" customHeight="1">
      <c r="A186" s="6">
        <v>4</v>
      </c>
      <c r="B186" s="6">
        <v>120</v>
      </c>
      <c r="C186" s="6">
        <v>7</v>
      </c>
      <c r="D186" s="6">
        <v>180</v>
      </c>
      <c r="E186" s="8">
        <v>18.4</v>
      </c>
      <c r="F186" s="8">
        <v>31</v>
      </c>
      <c r="G186" s="9">
        <f>MAX(F105,E186)</f>
        <v>28.6</v>
      </c>
      <c r="H186" s="9">
        <f>MIN(G105,F186)</f>
        <v>29.9</v>
      </c>
      <c r="I186" s="9">
        <f>MAX(0,ROUND((H186-G186),4))</f>
        <v>1.3</v>
      </c>
      <c r="J186" s="10">
        <f>'入力根拠'!F40</f>
        <v>193733.0</v>
      </c>
      <c r="K186" s="6">
        <f>(J186*I186)</f>
        <v>251852.9</v>
      </c>
    </row>
    <row r="187" spans="1:11" ht="23" customHeight="1">
      <c r="A187" s="6">
        <v>4</v>
      </c>
      <c r="B187" s="6">
        <v>121</v>
      </c>
      <c r="C187" s="6">
        <v>7</v>
      </c>
      <c r="D187" s="6">
        <v>180</v>
      </c>
      <c r="E187" s="8">
        <v>18.4</v>
      </c>
      <c r="F187" s="8">
        <v>31</v>
      </c>
      <c r="G187" s="9">
        <f>MAX(F106,E187)</f>
        <v>29.9</v>
      </c>
      <c r="H187" s="9">
        <f>MIN(G106,F187)</f>
        <v>31.0</v>
      </c>
      <c r="I187" s="9">
        <f>MAX(0,ROUND((H187-G187),4))</f>
        <v>1.1</v>
      </c>
      <c r="J187" s="10">
        <f>'入力根拠'!F40</f>
        <v>193733.0</v>
      </c>
      <c r="K187" s="6">
        <f>(J187*I187)</f>
        <v>213106.30000000002</v>
      </c>
    </row>
    <row r="188" spans="1:11" ht="23" customHeight="1">
      <c r="A188" s="6">
        <v>5</v>
      </c>
      <c r="B188" s="6">
        <v>123</v>
      </c>
      <c r="C188" s="6">
        <v>1</v>
      </c>
      <c r="D188" s="6">
        <v>174</v>
      </c>
      <c r="E188" s="8">
        <v>0</v>
      </c>
      <c r="F188" s="8">
        <v>1.5</v>
      </c>
      <c r="G188" s="9">
        <f>MAX(F107,E188)</f>
        <v>0.0</v>
      </c>
      <c r="H188" s="9">
        <f>MIN(G107,F188)</f>
        <v>1.3</v>
      </c>
      <c r="I188" s="9">
        <f>MAX(0,ROUND((H188-G188),4))</f>
        <v>1.3</v>
      </c>
      <c r="J188" s="10">
        <f>'入力根拠'!F41</f>
        <v>39208.0</v>
      </c>
      <c r="K188" s="6">
        <f>(J188*I188)</f>
        <v>50970.4</v>
      </c>
    </row>
    <row r="189" spans="1:11" ht="23" customHeight="1">
      <c r="A189" s="6">
        <v>5</v>
      </c>
      <c r="B189" s="6">
        <v>124</v>
      </c>
      <c r="C189" s="6">
        <v>1</v>
      </c>
      <c r="D189" s="6">
        <v>174</v>
      </c>
      <c r="E189" s="8">
        <v>0</v>
      </c>
      <c r="F189" s="8">
        <v>1.5</v>
      </c>
      <c r="G189" s="9">
        <f>MAX(F108,E189)</f>
        <v>1.3</v>
      </c>
      <c r="H189" s="9">
        <f>MIN(G108,F189)</f>
        <v>1.5</v>
      </c>
      <c r="I189" s="9">
        <f>MAX(0,ROUND((H189-G189),4))</f>
        <v>0.2</v>
      </c>
      <c r="J189" s="10">
        <f>'入力根拠'!F41</f>
        <v>39208.0</v>
      </c>
      <c r="K189" s="6">
        <f>(J189*I189)</f>
        <v>7841.6</v>
      </c>
    </row>
    <row r="190" spans="1:11" ht="23" customHeight="1">
      <c r="A190" s="6">
        <v>5</v>
      </c>
      <c r="B190" s="6">
        <v>124</v>
      </c>
      <c r="C190" s="6">
        <v>2</v>
      </c>
      <c r="D190" s="6">
        <v>175</v>
      </c>
      <c r="E190" s="8">
        <v>1.5</v>
      </c>
      <c r="F190" s="8">
        <v>2.8</v>
      </c>
      <c r="G190" s="9">
        <f>MAX(F108,E190)</f>
        <v>1.5</v>
      </c>
      <c r="H190" s="9">
        <f>MIN(G108,F190)</f>
        <v>2.6</v>
      </c>
      <c r="I190" s="9">
        <f>MAX(0,ROUND((H190-G190),4))</f>
        <v>1.1</v>
      </c>
      <c r="J190" s="10">
        <f>'入力根拠'!F42</f>
        <v>207242.0</v>
      </c>
      <c r="K190" s="6">
        <f>(J190*I190)</f>
        <v>227966.2</v>
      </c>
    </row>
    <row r="191" spans="1:11" ht="23" customHeight="1">
      <c r="A191" s="6">
        <v>5</v>
      </c>
      <c r="B191" s="6">
        <v>125</v>
      </c>
      <c r="C191" s="6">
        <v>2</v>
      </c>
      <c r="D191" s="6">
        <v>175</v>
      </c>
      <c r="E191" s="8">
        <v>1.5</v>
      </c>
      <c r="F191" s="8">
        <v>2.8</v>
      </c>
      <c r="G191" s="9">
        <f>MAX(F109,E191)</f>
        <v>2.6</v>
      </c>
      <c r="H191" s="9">
        <f>MIN(G109,F191)</f>
        <v>2.8</v>
      </c>
      <c r="I191" s="9">
        <f>MAX(0,ROUND((H191-G191),4))</f>
        <v>0.2</v>
      </c>
      <c r="J191" s="10">
        <f>'入力根拠'!F42</f>
        <v>207242.0</v>
      </c>
      <c r="K191" s="6">
        <f>(J191*I191)</f>
        <v>41448.4</v>
      </c>
    </row>
    <row r="192" spans="1:11" ht="23" customHeight="1">
      <c r="A192" s="6">
        <v>5</v>
      </c>
      <c r="B192" s="6">
        <v>125</v>
      </c>
      <c r="C192" s="6">
        <v>3</v>
      </c>
      <c r="D192" s="6">
        <v>176</v>
      </c>
      <c r="E192" s="8">
        <v>2.8</v>
      </c>
      <c r="F192" s="8">
        <v>5.7</v>
      </c>
      <c r="G192" s="9">
        <f>MAX(F109,E192)</f>
        <v>2.8</v>
      </c>
      <c r="H192" s="9">
        <f>MIN(G109,F192)</f>
        <v>3.9</v>
      </c>
      <c r="I192" s="9">
        <f>MAX(0,ROUND((H192-G192),4))</f>
        <v>1.1</v>
      </c>
      <c r="J192" s="10">
        <f>'入力根拠'!F43</f>
        <v>73805.0</v>
      </c>
      <c r="K192" s="6">
        <f>(J192*I192)</f>
        <v>81185.5</v>
      </c>
    </row>
    <row r="193" spans="1:11" ht="23" customHeight="1">
      <c r="A193" s="6">
        <v>5</v>
      </c>
      <c r="B193" s="6">
        <v>126</v>
      </c>
      <c r="C193" s="6">
        <v>3</v>
      </c>
      <c r="D193" s="6">
        <v>176</v>
      </c>
      <c r="E193" s="8">
        <v>2.8</v>
      </c>
      <c r="F193" s="8">
        <v>5.7</v>
      </c>
      <c r="G193" s="9">
        <f>MAX(F110,E193)</f>
        <v>3.9</v>
      </c>
      <c r="H193" s="9">
        <f>MIN(G110,F193)</f>
        <v>5.2</v>
      </c>
      <c r="I193" s="9">
        <f>MAX(0,ROUND((H193-G193),4))</f>
        <v>1.3</v>
      </c>
      <c r="J193" s="10">
        <f>'入力根拠'!F43</f>
        <v>73805.0</v>
      </c>
      <c r="K193" s="6">
        <f>(J193*I193)</f>
        <v>95946.5</v>
      </c>
    </row>
    <row r="194" spans="1:11" ht="23" customHeight="1">
      <c r="A194" s="6">
        <v>5</v>
      </c>
      <c r="B194" s="6">
        <v>127</v>
      </c>
      <c r="C194" s="6">
        <v>3</v>
      </c>
      <c r="D194" s="6">
        <v>176</v>
      </c>
      <c r="E194" s="8">
        <v>2.8</v>
      </c>
      <c r="F194" s="8">
        <v>5.7</v>
      </c>
      <c r="G194" s="9">
        <f>MAX(F111,E194)</f>
        <v>5.2</v>
      </c>
      <c r="H194" s="9">
        <f>MIN(G111,F194)</f>
        <v>5.7</v>
      </c>
      <c r="I194" s="9">
        <f>MAX(0,ROUND((H194-G194),4))</f>
        <v>0.5</v>
      </c>
      <c r="J194" s="10">
        <f>'入力根拠'!F43</f>
        <v>73805.0</v>
      </c>
      <c r="K194" s="6">
        <f>(J194*I194)</f>
        <v>36902.5</v>
      </c>
    </row>
    <row r="195" spans="1:11" ht="23" customHeight="1">
      <c r="A195" s="6">
        <v>5</v>
      </c>
      <c r="B195" s="6">
        <v>127</v>
      </c>
      <c r="C195" s="6">
        <v>4</v>
      </c>
      <c r="D195" s="6">
        <v>177</v>
      </c>
      <c r="E195" s="8">
        <v>5.7</v>
      </c>
      <c r="F195" s="8">
        <v>8.300000000000001</v>
      </c>
      <c r="G195" s="9">
        <f>MAX(F111,E195)</f>
        <v>5.7</v>
      </c>
      <c r="H195" s="9">
        <f>MIN(G111,F195)</f>
        <v>6.5</v>
      </c>
      <c r="I195" s="9">
        <f>MAX(0,ROUND((H195-G195),4))</f>
        <v>0.8</v>
      </c>
      <c r="J195" s="10">
        <f>'入力根拠'!F44</f>
        <v>179236.0</v>
      </c>
      <c r="K195" s="6">
        <f>(J195*I195)</f>
        <v>143388.80000000002</v>
      </c>
    </row>
    <row r="196" spans="1:11" ht="23" customHeight="1">
      <c r="A196" s="6">
        <v>5</v>
      </c>
      <c r="B196" s="6">
        <v>128</v>
      </c>
      <c r="C196" s="6">
        <v>4</v>
      </c>
      <c r="D196" s="6">
        <v>177</v>
      </c>
      <c r="E196" s="8">
        <v>5.7</v>
      </c>
      <c r="F196" s="8">
        <v>8.300000000000001</v>
      </c>
      <c r="G196" s="9">
        <f>MAX(F112,E196)</f>
        <v>6.5</v>
      </c>
      <c r="H196" s="9">
        <f>MIN(G112,F196)</f>
        <v>7.8</v>
      </c>
      <c r="I196" s="9">
        <f>MAX(0,ROUND((H196-G196),4))</f>
        <v>1.3</v>
      </c>
      <c r="J196" s="10">
        <f>'入力根拠'!F44</f>
        <v>179236.0</v>
      </c>
      <c r="K196" s="6">
        <f>(J196*I196)</f>
        <v>233006.80000000002</v>
      </c>
    </row>
    <row r="197" spans="1:11" ht="23" customHeight="1">
      <c r="A197" s="6">
        <v>5</v>
      </c>
      <c r="B197" s="6">
        <v>129</v>
      </c>
      <c r="C197" s="6">
        <v>4</v>
      </c>
      <c r="D197" s="6">
        <v>177</v>
      </c>
      <c r="E197" s="8">
        <v>5.7</v>
      </c>
      <c r="F197" s="8">
        <v>8.300000000000001</v>
      </c>
      <c r="G197" s="9">
        <f>MAX(F113,E197)</f>
        <v>7.8</v>
      </c>
      <c r="H197" s="9">
        <f>MIN(G113,F197)</f>
        <v>8.3</v>
      </c>
      <c r="I197" s="9">
        <f>MAX(0,ROUND((H197-G197),4))</f>
        <v>0.5</v>
      </c>
      <c r="J197" s="10">
        <f>'入力根拠'!F44</f>
        <v>179236.0</v>
      </c>
      <c r="K197" s="6">
        <f>(J197*I197)</f>
        <v>89618.0</v>
      </c>
    </row>
    <row r="198" spans="1:11" ht="23" customHeight="1">
      <c r="A198" s="6">
        <v>5</v>
      </c>
      <c r="B198" s="6">
        <v>129</v>
      </c>
      <c r="C198" s="6">
        <v>5</v>
      </c>
      <c r="D198" s="6">
        <v>178</v>
      </c>
      <c r="E198" s="8">
        <v>8.300000000000001</v>
      </c>
      <c r="F198" s="8">
        <v>8.9</v>
      </c>
      <c r="G198" s="9">
        <f>MAX(F113,E198)</f>
        <v>8.3</v>
      </c>
      <c r="H198" s="9">
        <f>MIN(G113,F198)</f>
        <v>8.9</v>
      </c>
      <c r="I198" s="9">
        <f>MAX(0,ROUND((H198-G198),4))</f>
        <v>0.6</v>
      </c>
      <c r="J198" s="10">
        <f>'入力根拠'!F45</f>
        <v>285987.0</v>
      </c>
      <c r="K198" s="6">
        <f>(J198*I198)</f>
        <v>171592.19999999998</v>
      </c>
    </row>
    <row r="199" spans="1:11" ht="23" customHeight="1">
      <c r="A199" s="6">
        <v>5</v>
      </c>
      <c r="B199" s="6">
        <v>129</v>
      </c>
      <c r="C199" s="6">
        <v>6</v>
      </c>
      <c r="D199" s="6">
        <v>179</v>
      </c>
      <c r="E199" s="8">
        <v>8.9</v>
      </c>
      <c r="F199" s="8">
        <v>18.4</v>
      </c>
      <c r="G199" s="9">
        <f>MAX(F113,E199)</f>
        <v>8.9</v>
      </c>
      <c r="H199" s="9">
        <f>MIN(G113,F199)</f>
        <v>9.1</v>
      </c>
      <c r="I199" s="9">
        <f>MAX(0,ROUND((H199-G199),4))</f>
        <v>0.2</v>
      </c>
      <c r="J199" s="10">
        <f>'入力根拠'!F46</f>
        <v>268854.0</v>
      </c>
      <c r="K199" s="6">
        <f>(J199*I199)</f>
        <v>53770.8</v>
      </c>
    </row>
    <row r="200" spans="1:11" ht="23" customHeight="1">
      <c r="A200" s="6">
        <v>5</v>
      </c>
      <c r="B200" s="6">
        <v>130</v>
      </c>
      <c r="C200" s="6">
        <v>6</v>
      </c>
      <c r="D200" s="6">
        <v>179</v>
      </c>
      <c r="E200" s="8">
        <v>8.9</v>
      </c>
      <c r="F200" s="8">
        <v>18.4</v>
      </c>
      <c r="G200" s="9">
        <f>MAX(F114,E200)</f>
        <v>9.1</v>
      </c>
      <c r="H200" s="9">
        <f>MIN(G114,F200)</f>
        <v>10.4</v>
      </c>
      <c r="I200" s="9">
        <f>MAX(0,ROUND((H200-G200),4))</f>
        <v>1.3</v>
      </c>
      <c r="J200" s="10">
        <f>'入力根拠'!F46</f>
        <v>268854.0</v>
      </c>
      <c r="K200" s="6">
        <f>(J200*I200)</f>
        <v>349510.2</v>
      </c>
    </row>
    <row r="201" spans="1:11" ht="23" customHeight="1">
      <c r="A201" s="6">
        <v>5</v>
      </c>
      <c r="B201" s="6">
        <v>131</v>
      </c>
      <c r="C201" s="6">
        <v>6</v>
      </c>
      <c r="D201" s="6">
        <v>179</v>
      </c>
      <c r="E201" s="8">
        <v>8.9</v>
      </c>
      <c r="F201" s="8">
        <v>18.4</v>
      </c>
      <c r="G201" s="9">
        <f>MAX(F115,E201)</f>
        <v>10.4</v>
      </c>
      <c r="H201" s="9">
        <f>MIN(G115,F201)</f>
        <v>11.7</v>
      </c>
      <c r="I201" s="9">
        <f>MAX(0,ROUND((H201-G201),4))</f>
        <v>1.3</v>
      </c>
      <c r="J201" s="10">
        <f>'入力根拠'!F46</f>
        <v>268854.0</v>
      </c>
      <c r="K201" s="6">
        <f>(J201*I201)</f>
        <v>349510.2</v>
      </c>
    </row>
    <row r="202" spans="1:11" ht="23" customHeight="1">
      <c r="A202" s="6">
        <v>5</v>
      </c>
      <c r="B202" s="6">
        <v>132</v>
      </c>
      <c r="C202" s="6">
        <v>6</v>
      </c>
      <c r="D202" s="6">
        <v>179</v>
      </c>
      <c r="E202" s="8">
        <v>8.9</v>
      </c>
      <c r="F202" s="8">
        <v>18.4</v>
      </c>
      <c r="G202" s="9">
        <f>MAX(F116,E202)</f>
        <v>11.7</v>
      </c>
      <c r="H202" s="9">
        <f>MIN(G116,F202)</f>
        <v>13.0</v>
      </c>
      <c r="I202" s="9">
        <f>MAX(0,ROUND((H202-G202),4))</f>
        <v>1.3</v>
      </c>
      <c r="J202" s="10">
        <f>'入力根拠'!F46</f>
        <v>268854.0</v>
      </c>
      <c r="K202" s="6">
        <f>(J202*I202)</f>
        <v>349510.2</v>
      </c>
    </row>
    <row r="203" spans="1:11" ht="23" customHeight="1">
      <c r="A203" s="6">
        <v>5</v>
      </c>
      <c r="B203" s="6">
        <v>133</v>
      </c>
      <c r="C203" s="6">
        <v>6</v>
      </c>
      <c r="D203" s="6">
        <v>179</v>
      </c>
      <c r="E203" s="8">
        <v>8.9</v>
      </c>
      <c r="F203" s="8">
        <v>18.4</v>
      </c>
      <c r="G203" s="9">
        <f>MAX(F117,E203)</f>
        <v>13.0</v>
      </c>
      <c r="H203" s="9">
        <f>MIN(G117,F203)</f>
        <v>14.3</v>
      </c>
      <c r="I203" s="9">
        <f>MAX(0,ROUND((H203-G203),4))</f>
        <v>1.3</v>
      </c>
      <c r="J203" s="10">
        <f>'入力根拠'!F46</f>
        <v>268854.0</v>
      </c>
      <c r="K203" s="6">
        <f>(J203*I203)</f>
        <v>349510.2</v>
      </c>
    </row>
    <row r="204" spans="1:11" ht="23" customHeight="1">
      <c r="A204" s="6">
        <v>5</v>
      </c>
      <c r="B204" s="6">
        <v>134</v>
      </c>
      <c r="C204" s="6">
        <v>6</v>
      </c>
      <c r="D204" s="6">
        <v>179</v>
      </c>
      <c r="E204" s="8">
        <v>8.9</v>
      </c>
      <c r="F204" s="8">
        <v>18.4</v>
      </c>
      <c r="G204" s="9">
        <f>MAX(F118,E204)</f>
        <v>14.3</v>
      </c>
      <c r="H204" s="9">
        <f>MIN(G118,F204)</f>
        <v>15.6</v>
      </c>
      <c r="I204" s="9">
        <f>MAX(0,ROUND((H204-G204),4))</f>
        <v>1.3</v>
      </c>
      <c r="J204" s="10">
        <f>'入力根拠'!F46</f>
        <v>268854.0</v>
      </c>
      <c r="K204" s="6">
        <f>(J204*I204)</f>
        <v>349510.2</v>
      </c>
    </row>
    <row r="205" spans="1:11" ht="23" customHeight="1">
      <c r="A205" s="6">
        <v>5</v>
      </c>
      <c r="B205" s="6">
        <v>135</v>
      </c>
      <c r="C205" s="6">
        <v>6</v>
      </c>
      <c r="D205" s="6">
        <v>179</v>
      </c>
      <c r="E205" s="8">
        <v>8.9</v>
      </c>
      <c r="F205" s="8">
        <v>18.4</v>
      </c>
      <c r="G205" s="9">
        <f>MAX(F119,E205)</f>
        <v>15.6</v>
      </c>
      <c r="H205" s="9">
        <f>MIN(G119,F205)</f>
        <v>16.9</v>
      </c>
      <c r="I205" s="9">
        <f>MAX(0,ROUND((H205-G205),4))</f>
        <v>1.3</v>
      </c>
      <c r="J205" s="10">
        <f>'入力根拠'!F46</f>
        <v>268854.0</v>
      </c>
      <c r="K205" s="6">
        <f>(J205*I205)</f>
        <v>349510.2</v>
      </c>
    </row>
    <row r="206" spans="1:11" ht="23" customHeight="1">
      <c r="A206" s="6">
        <v>5</v>
      </c>
      <c r="B206" s="6">
        <v>136</v>
      </c>
      <c r="C206" s="6">
        <v>6</v>
      </c>
      <c r="D206" s="6">
        <v>179</v>
      </c>
      <c r="E206" s="8">
        <v>8.9</v>
      </c>
      <c r="F206" s="8">
        <v>18.4</v>
      </c>
      <c r="G206" s="9">
        <f>MAX(F120,E206)</f>
        <v>16.9</v>
      </c>
      <c r="H206" s="9">
        <f>MIN(G120,F206)</f>
        <v>18.2</v>
      </c>
      <c r="I206" s="9">
        <f>MAX(0,ROUND((H206-G206),4))</f>
        <v>1.3</v>
      </c>
      <c r="J206" s="10">
        <f>'入力根拠'!F46</f>
        <v>268854.0</v>
      </c>
      <c r="K206" s="6">
        <f>(J206*I206)</f>
        <v>349510.2</v>
      </c>
    </row>
    <row r="207" spans="1:11" ht="23" customHeight="1">
      <c r="A207" s="6">
        <v>5</v>
      </c>
      <c r="B207" s="6">
        <v>137</v>
      </c>
      <c r="C207" s="6">
        <v>6</v>
      </c>
      <c r="D207" s="6">
        <v>179</v>
      </c>
      <c r="E207" s="8">
        <v>8.9</v>
      </c>
      <c r="F207" s="8">
        <v>18.4</v>
      </c>
      <c r="G207" s="9">
        <f>MAX(F121,E207)</f>
        <v>18.2</v>
      </c>
      <c r="H207" s="9">
        <f>MIN(G121,F207)</f>
        <v>18.4</v>
      </c>
      <c r="I207" s="9">
        <f>MAX(0,ROUND((H207-G207),4))</f>
        <v>0.2</v>
      </c>
      <c r="J207" s="10">
        <f>'入力根拠'!F46</f>
        <v>268854.0</v>
      </c>
      <c r="K207" s="6">
        <f>(J207*I207)</f>
        <v>53770.8</v>
      </c>
    </row>
    <row r="208" spans="1:11" ht="23" customHeight="1">
      <c r="A208" s="6">
        <v>5</v>
      </c>
      <c r="B208" s="6">
        <v>137</v>
      </c>
      <c r="C208" s="6">
        <v>7</v>
      </c>
      <c r="D208" s="6">
        <v>180</v>
      </c>
      <c r="E208" s="8">
        <v>18.4</v>
      </c>
      <c r="F208" s="8">
        <v>31</v>
      </c>
      <c r="G208" s="9">
        <f>MAX(F121,E208)</f>
        <v>18.4</v>
      </c>
      <c r="H208" s="9">
        <f>MIN(G121,F208)</f>
        <v>19.5</v>
      </c>
      <c r="I208" s="9">
        <f>MAX(0,ROUND((H208-G208),4))</f>
        <v>1.1</v>
      </c>
      <c r="J208" s="10">
        <f>'入力根拠'!F47</f>
        <v>129155.0</v>
      </c>
      <c r="K208" s="6">
        <f>(J208*I208)</f>
        <v>142070.5</v>
      </c>
    </row>
    <row r="209" spans="1:11" ht="23" customHeight="1">
      <c r="A209" s="6">
        <v>5</v>
      </c>
      <c r="B209" s="6">
        <v>138</v>
      </c>
      <c r="C209" s="6">
        <v>7</v>
      </c>
      <c r="D209" s="6">
        <v>180</v>
      </c>
      <c r="E209" s="8">
        <v>18.4</v>
      </c>
      <c r="F209" s="8">
        <v>31</v>
      </c>
      <c r="G209" s="9">
        <f>MAX(F122,E209)</f>
        <v>19.5</v>
      </c>
      <c r="H209" s="9">
        <f>MIN(G122,F209)</f>
        <v>20.8</v>
      </c>
      <c r="I209" s="9">
        <f>MAX(0,ROUND((H209-G209),4))</f>
        <v>1.3</v>
      </c>
      <c r="J209" s="10">
        <f>'入力根拠'!F47</f>
        <v>129155.0</v>
      </c>
      <c r="K209" s="6">
        <f>(J209*I209)</f>
        <v>167901.5</v>
      </c>
    </row>
    <row r="210" spans="1:11" ht="23" customHeight="1">
      <c r="A210" s="6">
        <v>5</v>
      </c>
      <c r="B210" s="6">
        <v>139</v>
      </c>
      <c r="C210" s="6">
        <v>7</v>
      </c>
      <c r="D210" s="6">
        <v>180</v>
      </c>
      <c r="E210" s="8">
        <v>18.4</v>
      </c>
      <c r="F210" s="8">
        <v>31</v>
      </c>
      <c r="G210" s="9">
        <f>MAX(F123,E210)</f>
        <v>20.8</v>
      </c>
      <c r="H210" s="9">
        <f>MIN(G123,F210)</f>
        <v>22.1</v>
      </c>
      <c r="I210" s="9">
        <f>MAX(0,ROUND((H210-G210),4))</f>
        <v>1.3</v>
      </c>
      <c r="J210" s="10">
        <f>'入力根拠'!F47</f>
        <v>129155.0</v>
      </c>
      <c r="K210" s="6">
        <f>(J210*I210)</f>
        <v>167901.5</v>
      </c>
    </row>
    <row r="211" spans="1:11" ht="23" customHeight="1">
      <c r="A211" s="6">
        <v>5</v>
      </c>
      <c r="B211" s="6">
        <v>140</v>
      </c>
      <c r="C211" s="6">
        <v>7</v>
      </c>
      <c r="D211" s="6">
        <v>180</v>
      </c>
      <c r="E211" s="8">
        <v>18.4</v>
      </c>
      <c r="F211" s="8">
        <v>31</v>
      </c>
      <c r="G211" s="9">
        <f>MAX(F124,E211)</f>
        <v>22.1</v>
      </c>
      <c r="H211" s="9">
        <f>MIN(G124,F211)</f>
        <v>23.4</v>
      </c>
      <c r="I211" s="9">
        <f>MAX(0,ROUND((H211-G211),4))</f>
        <v>1.3</v>
      </c>
      <c r="J211" s="10">
        <f>'入力根拠'!F47</f>
        <v>129155.0</v>
      </c>
      <c r="K211" s="6">
        <f>(J211*I211)</f>
        <v>167901.5</v>
      </c>
    </row>
    <row r="212" spans="1:11" ht="23" customHeight="1">
      <c r="A212" s="6">
        <v>5</v>
      </c>
      <c r="B212" s="6">
        <v>141</v>
      </c>
      <c r="C212" s="6">
        <v>7</v>
      </c>
      <c r="D212" s="6">
        <v>180</v>
      </c>
      <c r="E212" s="8">
        <v>18.4</v>
      </c>
      <c r="F212" s="8">
        <v>31</v>
      </c>
      <c r="G212" s="9">
        <f>MAX(F125,E212)</f>
        <v>23.4</v>
      </c>
      <c r="H212" s="9">
        <f>MIN(G125,F212)</f>
        <v>24.7</v>
      </c>
      <c r="I212" s="9">
        <f>MAX(0,ROUND((H212-G212),4))</f>
        <v>1.3</v>
      </c>
      <c r="J212" s="10">
        <f>'入力根拠'!F47</f>
        <v>129155.0</v>
      </c>
      <c r="K212" s="6">
        <f>(J212*I212)</f>
        <v>167901.5</v>
      </c>
    </row>
    <row r="213" spans="1:11" ht="23" customHeight="1">
      <c r="A213" s="6">
        <v>5</v>
      </c>
      <c r="B213" s="6">
        <v>142</v>
      </c>
      <c r="C213" s="6">
        <v>7</v>
      </c>
      <c r="D213" s="6">
        <v>180</v>
      </c>
      <c r="E213" s="8">
        <v>18.4</v>
      </c>
      <c r="F213" s="8">
        <v>31</v>
      </c>
      <c r="G213" s="9">
        <f>MAX(F126,E213)</f>
        <v>24.7</v>
      </c>
      <c r="H213" s="9">
        <f>MIN(G126,F213)</f>
        <v>26.0</v>
      </c>
      <c r="I213" s="9">
        <f>MAX(0,ROUND((H213-G213),4))</f>
        <v>1.3</v>
      </c>
      <c r="J213" s="10">
        <f>'入力根拠'!F47</f>
        <v>129155.0</v>
      </c>
      <c r="K213" s="6">
        <f>(J213*I213)</f>
        <v>167901.5</v>
      </c>
    </row>
    <row r="214" spans="1:11" ht="23" customHeight="1">
      <c r="A214" s="6">
        <v>5</v>
      </c>
      <c r="B214" s="6">
        <v>143</v>
      </c>
      <c r="C214" s="6">
        <v>7</v>
      </c>
      <c r="D214" s="6">
        <v>180</v>
      </c>
      <c r="E214" s="8">
        <v>18.4</v>
      </c>
      <c r="F214" s="8">
        <v>31</v>
      </c>
      <c r="G214" s="9">
        <f>MAX(F127,E214)</f>
        <v>26.0</v>
      </c>
      <c r="H214" s="9">
        <f>MIN(G127,F214)</f>
        <v>27.3</v>
      </c>
      <c r="I214" s="9">
        <f>MAX(0,ROUND((H214-G214),4))</f>
        <v>1.3</v>
      </c>
      <c r="J214" s="10">
        <f>'入力根拠'!F47</f>
        <v>129155.0</v>
      </c>
      <c r="K214" s="6">
        <f>(J214*I214)</f>
        <v>167901.5</v>
      </c>
    </row>
    <row r="215" spans="1:11" ht="23" customHeight="1">
      <c r="A215" s="6">
        <v>5</v>
      </c>
      <c r="B215" s="6">
        <v>144</v>
      </c>
      <c r="C215" s="6">
        <v>7</v>
      </c>
      <c r="D215" s="6">
        <v>180</v>
      </c>
      <c r="E215" s="8">
        <v>18.4</v>
      </c>
      <c r="F215" s="8">
        <v>31</v>
      </c>
      <c r="G215" s="9">
        <f>MAX(F128,E215)</f>
        <v>27.3</v>
      </c>
      <c r="H215" s="9">
        <f>MIN(G128,F215)</f>
        <v>28.6</v>
      </c>
      <c r="I215" s="9">
        <f>MAX(0,ROUND((H215-G215),4))</f>
        <v>1.3</v>
      </c>
      <c r="J215" s="10">
        <f>'入力根拠'!F47</f>
        <v>129155.0</v>
      </c>
      <c r="K215" s="6">
        <f>(J215*I215)</f>
        <v>167901.5</v>
      </c>
    </row>
    <row r="216" spans="1:11" ht="23" customHeight="1">
      <c r="A216" s="6">
        <v>5</v>
      </c>
      <c r="B216" s="6">
        <v>145</v>
      </c>
      <c r="C216" s="6">
        <v>7</v>
      </c>
      <c r="D216" s="6">
        <v>180</v>
      </c>
      <c r="E216" s="8">
        <v>18.4</v>
      </c>
      <c r="F216" s="8">
        <v>31</v>
      </c>
      <c r="G216" s="9">
        <f>MAX(F129,E216)</f>
        <v>28.6</v>
      </c>
      <c r="H216" s="9">
        <f>MIN(G129,F216)</f>
        <v>29.9</v>
      </c>
      <c r="I216" s="9">
        <f>MAX(0,ROUND((H216-G216),4))</f>
        <v>1.3</v>
      </c>
      <c r="J216" s="10">
        <f>'入力根拠'!F47</f>
        <v>129155.0</v>
      </c>
      <c r="K216" s="6">
        <f>(J216*I216)</f>
        <v>167901.5</v>
      </c>
    </row>
    <row r="217" spans="1:11" ht="23" customHeight="1">
      <c r="A217" s="6">
        <v>5</v>
      </c>
      <c r="B217" s="6">
        <v>146</v>
      </c>
      <c r="C217" s="6">
        <v>7</v>
      </c>
      <c r="D217" s="6">
        <v>180</v>
      </c>
      <c r="E217" s="8">
        <v>18.4</v>
      </c>
      <c r="F217" s="8">
        <v>31</v>
      </c>
      <c r="G217" s="9">
        <f>MAX(F130,E217)</f>
        <v>29.9</v>
      </c>
      <c r="H217" s="9">
        <f>MIN(G130,F217)</f>
        <v>31.0</v>
      </c>
      <c r="I217" s="9">
        <f>MAX(0,ROUND((H217-G217),4))</f>
        <v>1.1</v>
      </c>
      <c r="J217" s="10">
        <f>'入力根拠'!F47</f>
        <v>129155.0</v>
      </c>
      <c r="K217" s="6">
        <f>(J217*I217)</f>
        <v>142070.5</v>
      </c>
    </row>
    <row r="218" spans="1:11" ht="23" customHeight="1">
      <c r="A218" s="6">
        <v>6</v>
      </c>
      <c r="B218" s="6">
        <v>148</v>
      </c>
      <c r="C218" s="6">
        <v>1</v>
      </c>
      <c r="D218" s="6">
        <v>174</v>
      </c>
      <c r="E218" s="8">
        <v>0</v>
      </c>
      <c r="F218" s="8">
        <v>1.5</v>
      </c>
      <c r="G218" s="9">
        <f>MAX(F131,E218)</f>
        <v>0.0</v>
      </c>
      <c r="H218" s="9">
        <f>MIN(G131,F218)</f>
        <v>1.3</v>
      </c>
      <c r="I218" s="9">
        <f>MAX(0,ROUND((H218-G218),4))</f>
        <v>1.3</v>
      </c>
      <c r="J218" s="10">
        <f>'入力根拠'!F48</f>
        <v>58812.0</v>
      </c>
      <c r="K218" s="6">
        <f>(J218*I218)</f>
        <v>76455.6</v>
      </c>
    </row>
    <row r="219" spans="1:11" ht="23" customHeight="1">
      <c r="A219" s="6">
        <v>6</v>
      </c>
      <c r="B219" s="6">
        <v>149</v>
      </c>
      <c r="C219" s="6">
        <v>1</v>
      </c>
      <c r="D219" s="6">
        <v>174</v>
      </c>
      <c r="E219" s="8">
        <v>0</v>
      </c>
      <c r="F219" s="8">
        <v>1.5</v>
      </c>
      <c r="G219" s="9">
        <f>MAX(F132,E219)</f>
        <v>1.3</v>
      </c>
      <c r="H219" s="9">
        <f>MIN(G132,F219)</f>
        <v>1.5</v>
      </c>
      <c r="I219" s="9">
        <f>MAX(0,ROUND((H219-G219),4))</f>
        <v>0.2</v>
      </c>
      <c r="J219" s="10">
        <f>'入力根拠'!F48</f>
        <v>58812.0</v>
      </c>
      <c r="K219" s="6">
        <f>(J219*I219)</f>
        <v>11762.400000000001</v>
      </c>
    </row>
    <row r="220" spans="1:11" ht="23" customHeight="1">
      <c r="A220" s="6">
        <v>6</v>
      </c>
      <c r="B220" s="6">
        <v>149</v>
      </c>
      <c r="C220" s="6">
        <v>2</v>
      </c>
      <c r="D220" s="6">
        <v>175</v>
      </c>
      <c r="E220" s="8">
        <v>1.5</v>
      </c>
      <c r="F220" s="8">
        <v>2.8</v>
      </c>
      <c r="G220" s="9">
        <f>MAX(F132,E220)</f>
        <v>1.5</v>
      </c>
      <c r="H220" s="9">
        <f>MIN(G132,F220)</f>
        <v>2.6</v>
      </c>
      <c r="I220" s="9">
        <f>MAX(0,ROUND((H220-G220),4))</f>
        <v>1.1</v>
      </c>
      <c r="J220" s="10">
        <f>'入力根拠'!F49</f>
        <v>310863.0</v>
      </c>
      <c r="K220" s="6">
        <f>(J220*I220)</f>
        <v>341949.30000000005</v>
      </c>
    </row>
    <row r="221" spans="1:11" ht="23" customHeight="1">
      <c r="A221" s="6">
        <v>6</v>
      </c>
      <c r="B221" s="6">
        <v>150</v>
      </c>
      <c r="C221" s="6">
        <v>2</v>
      </c>
      <c r="D221" s="6">
        <v>175</v>
      </c>
      <c r="E221" s="8">
        <v>1.5</v>
      </c>
      <c r="F221" s="8">
        <v>2.8</v>
      </c>
      <c r="G221" s="9">
        <f>MAX(F133,E221)</f>
        <v>2.6</v>
      </c>
      <c r="H221" s="9">
        <f>MIN(G133,F221)</f>
        <v>2.8</v>
      </c>
      <c r="I221" s="9">
        <f>MAX(0,ROUND((H221-G221),4))</f>
        <v>0.2</v>
      </c>
      <c r="J221" s="10">
        <f>'入力根拠'!F49</f>
        <v>310863.0</v>
      </c>
      <c r="K221" s="6">
        <f>(J221*I221)</f>
        <v>62172.600000000006</v>
      </c>
    </row>
    <row r="222" spans="1:11" ht="23" customHeight="1">
      <c r="A222" s="6">
        <v>6</v>
      </c>
      <c r="B222" s="6">
        <v>150</v>
      </c>
      <c r="C222" s="6">
        <v>3</v>
      </c>
      <c r="D222" s="6">
        <v>176</v>
      </c>
      <c r="E222" s="8">
        <v>2.8</v>
      </c>
      <c r="F222" s="8">
        <v>5.7</v>
      </c>
      <c r="G222" s="9">
        <f>MAX(F133,E222)</f>
        <v>2.8</v>
      </c>
      <c r="H222" s="9">
        <f>MIN(G133,F222)</f>
        <v>3.9</v>
      </c>
      <c r="I222" s="9">
        <f>MAX(0,ROUND((H222-G222),4))</f>
        <v>1.1</v>
      </c>
      <c r="J222" s="10">
        <f>'入力根拠'!F50</f>
        <v>110708.0</v>
      </c>
      <c r="K222" s="6">
        <f>(J222*I222)</f>
        <v>121778.8</v>
      </c>
    </row>
    <row r="223" spans="1:11" ht="23" customHeight="1">
      <c r="A223" s="6">
        <v>6</v>
      </c>
      <c r="B223" s="6">
        <v>151</v>
      </c>
      <c r="C223" s="6">
        <v>3</v>
      </c>
      <c r="D223" s="6">
        <v>176</v>
      </c>
      <c r="E223" s="8">
        <v>2.8</v>
      </c>
      <c r="F223" s="8">
        <v>5.7</v>
      </c>
      <c r="G223" s="9">
        <f>MAX(F134,E223)</f>
        <v>3.9</v>
      </c>
      <c r="H223" s="9">
        <f>MIN(G134,F223)</f>
        <v>5.2</v>
      </c>
      <c r="I223" s="9">
        <f>MAX(0,ROUND((H223-G223),4))</f>
        <v>1.3</v>
      </c>
      <c r="J223" s="10">
        <f>'入力根拠'!F50</f>
        <v>110708.0</v>
      </c>
      <c r="K223" s="6">
        <f>(J223*I223)</f>
        <v>143920.4</v>
      </c>
    </row>
    <row r="224" spans="1:11" ht="23" customHeight="1">
      <c r="A224" s="6">
        <v>6</v>
      </c>
      <c r="B224" s="6">
        <v>152</v>
      </c>
      <c r="C224" s="6">
        <v>3</v>
      </c>
      <c r="D224" s="6">
        <v>176</v>
      </c>
      <c r="E224" s="8">
        <v>2.8</v>
      </c>
      <c r="F224" s="8">
        <v>5.7</v>
      </c>
      <c r="G224" s="9">
        <f>MAX(F135,E224)</f>
        <v>5.2</v>
      </c>
      <c r="H224" s="9">
        <f>MIN(G135,F224)</f>
        <v>5.7</v>
      </c>
      <c r="I224" s="9">
        <f>MAX(0,ROUND((H224-G224),4))</f>
        <v>0.5</v>
      </c>
      <c r="J224" s="10">
        <f>'入力根拠'!F50</f>
        <v>110708.0</v>
      </c>
      <c r="K224" s="6">
        <f>(J224*I224)</f>
        <v>55354.0</v>
      </c>
    </row>
    <row r="225" spans="1:11" ht="23" customHeight="1">
      <c r="A225" s="6">
        <v>6</v>
      </c>
      <c r="B225" s="6">
        <v>152</v>
      </c>
      <c r="C225" s="6">
        <v>4</v>
      </c>
      <c r="D225" s="6">
        <v>177</v>
      </c>
      <c r="E225" s="8">
        <v>5.7</v>
      </c>
      <c r="F225" s="8">
        <v>8.300000000000001</v>
      </c>
      <c r="G225" s="9">
        <f>MAX(F135,E225)</f>
        <v>5.7</v>
      </c>
      <c r="H225" s="9">
        <f>MIN(G135,F225)</f>
        <v>6.5</v>
      </c>
      <c r="I225" s="9">
        <f>MAX(0,ROUND((H225-G225),4))</f>
        <v>0.8</v>
      </c>
      <c r="J225" s="10">
        <f>'入力根拠'!F51</f>
        <v>268854.0</v>
      </c>
      <c r="K225" s="6">
        <f>(J225*I225)</f>
        <v>215083.2</v>
      </c>
    </row>
    <row r="226" spans="1:11" ht="23" customHeight="1">
      <c r="A226" s="6">
        <v>6</v>
      </c>
      <c r="B226" s="6">
        <v>153</v>
      </c>
      <c r="C226" s="6">
        <v>4</v>
      </c>
      <c r="D226" s="6">
        <v>177</v>
      </c>
      <c r="E226" s="8">
        <v>5.7</v>
      </c>
      <c r="F226" s="8">
        <v>8.300000000000001</v>
      </c>
      <c r="G226" s="9">
        <f>MAX(F136,E226)</f>
        <v>6.5</v>
      </c>
      <c r="H226" s="9">
        <f>MIN(G136,F226)</f>
        <v>7.8</v>
      </c>
      <c r="I226" s="9">
        <f>MAX(0,ROUND((H226-G226),4))</f>
        <v>1.3</v>
      </c>
      <c r="J226" s="10">
        <f>'入力根拠'!F51</f>
        <v>268854.0</v>
      </c>
      <c r="K226" s="6">
        <f>(J226*I226)</f>
        <v>349510.2</v>
      </c>
    </row>
    <row r="227" spans="1:11" ht="23" customHeight="1">
      <c r="A227" s="6">
        <v>6</v>
      </c>
      <c r="B227" s="6">
        <v>154</v>
      </c>
      <c r="C227" s="6">
        <v>4</v>
      </c>
      <c r="D227" s="6">
        <v>177</v>
      </c>
      <c r="E227" s="8">
        <v>5.7</v>
      </c>
      <c r="F227" s="8">
        <v>8.300000000000001</v>
      </c>
      <c r="G227" s="9">
        <f>MAX(F137,E227)</f>
        <v>7.8</v>
      </c>
      <c r="H227" s="9">
        <f>MIN(G137,F227)</f>
        <v>8.3</v>
      </c>
      <c r="I227" s="9">
        <f>MAX(0,ROUND((H227-G227),4))</f>
        <v>0.5</v>
      </c>
      <c r="J227" s="10">
        <f>'入力根拠'!F51</f>
        <v>268854.0</v>
      </c>
      <c r="K227" s="6">
        <f>(J227*I227)</f>
        <v>134427.0</v>
      </c>
    </row>
    <row r="228" spans="1:11" ht="23" customHeight="1">
      <c r="A228" s="6">
        <v>6</v>
      </c>
      <c r="B228" s="6">
        <v>154</v>
      </c>
      <c r="C228" s="6">
        <v>5</v>
      </c>
      <c r="D228" s="6">
        <v>178</v>
      </c>
      <c r="E228" s="8">
        <v>8.300000000000001</v>
      </c>
      <c r="F228" s="8">
        <v>8.9</v>
      </c>
      <c r="G228" s="9">
        <f>MAX(F137,E228)</f>
        <v>8.3</v>
      </c>
      <c r="H228" s="9">
        <f>MIN(G137,F228)</f>
        <v>8.9</v>
      </c>
      <c r="I228" s="9">
        <f>MAX(0,ROUND((H228-G228),4))</f>
        <v>0.6</v>
      </c>
      <c r="J228" s="10">
        <f>'入力根拠'!F52</f>
        <v>428981.0</v>
      </c>
      <c r="K228" s="6">
        <f>(J228*I228)</f>
        <v>257388.59999999998</v>
      </c>
    </row>
    <row r="229" spans="1:11" ht="23" customHeight="1">
      <c r="A229" s="6">
        <v>6</v>
      </c>
      <c r="B229" s="6">
        <v>154</v>
      </c>
      <c r="C229" s="6">
        <v>6</v>
      </c>
      <c r="D229" s="6">
        <v>179</v>
      </c>
      <c r="E229" s="8">
        <v>8.9</v>
      </c>
      <c r="F229" s="8">
        <v>18.4</v>
      </c>
      <c r="G229" s="9">
        <f>MAX(F137,E229)</f>
        <v>8.9</v>
      </c>
      <c r="H229" s="9">
        <f>MIN(G137,F229)</f>
        <v>9.1</v>
      </c>
      <c r="I229" s="9">
        <f>MAX(0,ROUND((H229-G229),4))</f>
        <v>0.2</v>
      </c>
      <c r="J229" s="10">
        <f>'入力根拠'!F53</f>
        <v>403280.0</v>
      </c>
      <c r="K229" s="6">
        <f>(J229*I229)</f>
        <v>80656.0</v>
      </c>
    </row>
    <row r="230" spans="1:11" ht="23" customHeight="1">
      <c r="A230" s="6">
        <v>6</v>
      </c>
      <c r="B230" s="6">
        <v>155</v>
      </c>
      <c r="C230" s="6">
        <v>6</v>
      </c>
      <c r="D230" s="6">
        <v>179</v>
      </c>
      <c r="E230" s="8">
        <v>8.9</v>
      </c>
      <c r="F230" s="8">
        <v>18.4</v>
      </c>
      <c r="G230" s="9">
        <f>MAX(F138,E230)</f>
        <v>9.1</v>
      </c>
      <c r="H230" s="9">
        <f>MIN(G138,F230)</f>
        <v>10.4</v>
      </c>
      <c r="I230" s="9">
        <f>MAX(0,ROUND((H230-G230),4))</f>
        <v>1.3</v>
      </c>
      <c r="J230" s="10">
        <f>'入力根拠'!F53</f>
        <v>403280.0</v>
      </c>
      <c r="K230" s="6">
        <f>(J230*I230)</f>
        <v>524264.0</v>
      </c>
    </row>
    <row r="231" spans="1:11" ht="23" customHeight="1">
      <c r="A231" s="6">
        <v>6</v>
      </c>
      <c r="B231" s="6">
        <v>156</v>
      </c>
      <c r="C231" s="6">
        <v>6</v>
      </c>
      <c r="D231" s="6">
        <v>179</v>
      </c>
      <c r="E231" s="8">
        <v>8.9</v>
      </c>
      <c r="F231" s="8">
        <v>18.4</v>
      </c>
      <c r="G231" s="9">
        <f>MAX(F139,E231)</f>
        <v>10.4</v>
      </c>
      <c r="H231" s="9">
        <f>MIN(G139,F231)</f>
        <v>11.7</v>
      </c>
      <c r="I231" s="9">
        <f>MAX(0,ROUND((H231-G231),4))</f>
        <v>1.3</v>
      </c>
      <c r="J231" s="10">
        <f>'入力根拠'!F53</f>
        <v>403280.0</v>
      </c>
      <c r="K231" s="6">
        <f>(J231*I231)</f>
        <v>524264.0</v>
      </c>
    </row>
    <row r="232" spans="1:11" ht="23" customHeight="1">
      <c r="A232" s="6">
        <v>6</v>
      </c>
      <c r="B232" s="6">
        <v>157</v>
      </c>
      <c r="C232" s="6">
        <v>6</v>
      </c>
      <c r="D232" s="6">
        <v>179</v>
      </c>
      <c r="E232" s="8">
        <v>8.9</v>
      </c>
      <c r="F232" s="8">
        <v>18.4</v>
      </c>
      <c r="G232" s="9">
        <f>MAX(F140,E232)</f>
        <v>11.7</v>
      </c>
      <c r="H232" s="9">
        <f>MIN(G140,F232)</f>
        <v>13.0</v>
      </c>
      <c r="I232" s="9">
        <f>MAX(0,ROUND((H232-G232),4))</f>
        <v>1.3</v>
      </c>
      <c r="J232" s="10">
        <f>'入力根拠'!F53</f>
        <v>403280.0</v>
      </c>
      <c r="K232" s="6">
        <f>(J232*I232)</f>
        <v>524264.0</v>
      </c>
    </row>
    <row r="233" spans="1:11" ht="23" customHeight="1">
      <c r="A233" s="6">
        <v>6</v>
      </c>
      <c r="B233" s="6">
        <v>158</v>
      </c>
      <c r="C233" s="6">
        <v>6</v>
      </c>
      <c r="D233" s="6">
        <v>179</v>
      </c>
      <c r="E233" s="8">
        <v>8.9</v>
      </c>
      <c r="F233" s="8">
        <v>18.4</v>
      </c>
      <c r="G233" s="9">
        <f>MAX(F141,E233)</f>
        <v>13.0</v>
      </c>
      <c r="H233" s="9">
        <f>MIN(G141,F233)</f>
        <v>14.3</v>
      </c>
      <c r="I233" s="9">
        <f>MAX(0,ROUND((H233-G233),4))</f>
        <v>1.3</v>
      </c>
      <c r="J233" s="10">
        <f>'入力根拠'!F53</f>
        <v>403280.0</v>
      </c>
      <c r="K233" s="6">
        <f>(J233*I233)</f>
        <v>524264.0</v>
      </c>
    </row>
    <row r="234" spans="1:11" ht="23" customHeight="1">
      <c r="A234" s="6">
        <v>6</v>
      </c>
      <c r="B234" s="6">
        <v>159</v>
      </c>
      <c r="C234" s="6">
        <v>6</v>
      </c>
      <c r="D234" s="6">
        <v>179</v>
      </c>
      <c r="E234" s="8">
        <v>8.9</v>
      </c>
      <c r="F234" s="8">
        <v>18.4</v>
      </c>
      <c r="G234" s="9">
        <f>MAX(F142,E234)</f>
        <v>14.3</v>
      </c>
      <c r="H234" s="9">
        <f>MIN(G142,F234)</f>
        <v>15.6</v>
      </c>
      <c r="I234" s="9">
        <f>MAX(0,ROUND((H234-G234),4))</f>
        <v>1.3</v>
      </c>
      <c r="J234" s="10">
        <f>'入力根拠'!F53</f>
        <v>403280.0</v>
      </c>
      <c r="K234" s="6">
        <f>(J234*I234)</f>
        <v>524264.0</v>
      </c>
    </row>
    <row r="235" spans="1:11" ht="23" customHeight="1">
      <c r="A235" s="6">
        <v>6</v>
      </c>
      <c r="B235" s="6">
        <v>160</v>
      </c>
      <c r="C235" s="6">
        <v>6</v>
      </c>
      <c r="D235" s="6">
        <v>179</v>
      </c>
      <c r="E235" s="8">
        <v>8.9</v>
      </c>
      <c r="F235" s="8">
        <v>18.4</v>
      </c>
      <c r="G235" s="9">
        <f>MAX(F143,E235)</f>
        <v>15.6</v>
      </c>
      <c r="H235" s="9">
        <f>MIN(G143,F235)</f>
        <v>16.9</v>
      </c>
      <c r="I235" s="9">
        <f>MAX(0,ROUND((H235-G235),4))</f>
        <v>1.3</v>
      </c>
      <c r="J235" s="10">
        <f>'入力根拠'!F53</f>
        <v>403280.0</v>
      </c>
      <c r="K235" s="6">
        <f>(J235*I235)</f>
        <v>524264.0</v>
      </c>
    </row>
    <row r="236" spans="1:11" ht="23" customHeight="1">
      <c r="A236" s="6">
        <v>6</v>
      </c>
      <c r="B236" s="6">
        <v>161</v>
      </c>
      <c r="C236" s="6">
        <v>6</v>
      </c>
      <c r="D236" s="6">
        <v>179</v>
      </c>
      <c r="E236" s="8">
        <v>8.9</v>
      </c>
      <c r="F236" s="8">
        <v>18.4</v>
      </c>
      <c r="G236" s="9">
        <f>MAX(F144,E236)</f>
        <v>16.9</v>
      </c>
      <c r="H236" s="9">
        <f>MIN(G144,F236)</f>
        <v>18.2</v>
      </c>
      <c r="I236" s="9">
        <f>MAX(0,ROUND((H236-G236),4))</f>
        <v>1.3</v>
      </c>
      <c r="J236" s="10">
        <f>'入力根拠'!F53</f>
        <v>403280.0</v>
      </c>
      <c r="K236" s="6">
        <f>(J236*I236)</f>
        <v>524264.0</v>
      </c>
    </row>
    <row r="237" spans="1:11" ht="23" customHeight="1">
      <c r="A237" s="6">
        <v>6</v>
      </c>
      <c r="B237" s="6">
        <v>162</v>
      </c>
      <c r="C237" s="6">
        <v>6</v>
      </c>
      <c r="D237" s="6">
        <v>179</v>
      </c>
      <c r="E237" s="8">
        <v>8.9</v>
      </c>
      <c r="F237" s="8">
        <v>18.4</v>
      </c>
      <c r="G237" s="9">
        <f>MAX(F145,E237)</f>
        <v>18.2</v>
      </c>
      <c r="H237" s="9">
        <f>MIN(G145,F237)</f>
        <v>18.4</v>
      </c>
      <c r="I237" s="9">
        <f>MAX(0,ROUND((H237-G237),4))</f>
        <v>0.2</v>
      </c>
      <c r="J237" s="10">
        <f>'入力根拠'!F53</f>
        <v>403280.0</v>
      </c>
      <c r="K237" s="6">
        <f>(J237*I237)</f>
        <v>80656.0</v>
      </c>
    </row>
    <row r="238" spans="1:11" ht="23" customHeight="1">
      <c r="A238" s="6">
        <v>6</v>
      </c>
      <c r="B238" s="6">
        <v>162</v>
      </c>
      <c r="C238" s="6">
        <v>7</v>
      </c>
      <c r="D238" s="6">
        <v>180</v>
      </c>
      <c r="E238" s="8">
        <v>18.4</v>
      </c>
      <c r="F238" s="8">
        <v>31</v>
      </c>
      <c r="G238" s="9">
        <f>MAX(F145,E238)</f>
        <v>18.4</v>
      </c>
      <c r="H238" s="9">
        <f>MIN(G145,F238)</f>
        <v>19.5</v>
      </c>
      <c r="I238" s="9">
        <f>MAX(0,ROUND((H238-G238),4))</f>
        <v>1.1</v>
      </c>
      <c r="J238" s="10">
        <f>'入力根拠'!F54</f>
        <v>193733.0</v>
      </c>
      <c r="K238" s="6">
        <f>(J238*I238)</f>
        <v>213106.30000000002</v>
      </c>
    </row>
    <row r="239" spans="1:11" ht="23" customHeight="1">
      <c r="A239" s="6">
        <v>6</v>
      </c>
      <c r="B239" s="6">
        <v>163</v>
      </c>
      <c r="C239" s="6">
        <v>7</v>
      </c>
      <c r="D239" s="6">
        <v>180</v>
      </c>
      <c r="E239" s="8">
        <v>18.4</v>
      </c>
      <c r="F239" s="8">
        <v>31</v>
      </c>
      <c r="G239" s="9">
        <f>MAX(F146,E239)</f>
        <v>19.5</v>
      </c>
      <c r="H239" s="9">
        <f>MIN(G146,F239)</f>
        <v>20.8</v>
      </c>
      <c r="I239" s="9">
        <f>MAX(0,ROUND((H239-G239),4))</f>
        <v>1.3</v>
      </c>
      <c r="J239" s="10">
        <f>'入力根拠'!F54</f>
        <v>193733.0</v>
      </c>
      <c r="K239" s="6">
        <f>(J239*I239)</f>
        <v>251852.9</v>
      </c>
    </row>
    <row r="240" spans="1:11" ht="23" customHeight="1">
      <c r="A240" s="6">
        <v>6</v>
      </c>
      <c r="B240" s="6">
        <v>164</v>
      </c>
      <c r="C240" s="6">
        <v>7</v>
      </c>
      <c r="D240" s="6">
        <v>180</v>
      </c>
      <c r="E240" s="8">
        <v>18.4</v>
      </c>
      <c r="F240" s="8">
        <v>31</v>
      </c>
      <c r="G240" s="9">
        <f>MAX(F147,E240)</f>
        <v>20.8</v>
      </c>
      <c r="H240" s="9">
        <f>MIN(G147,F240)</f>
        <v>22.1</v>
      </c>
      <c r="I240" s="9">
        <f>MAX(0,ROUND((H240-G240),4))</f>
        <v>1.3</v>
      </c>
      <c r="J240" s="10">
        <f>'入力根拠'!F54</f>
        <v>193733.0</v>
      </c>
      <c r="K240" s="6">
        <f>(J240*I240)</f>
        <v>251852.9</v>
      </c>
    </row>
    <row r="241" spans="1:12" ht="23" customHeight="1">
      <c r="A241" s="6">
        <v>6</v>
      </c>
      <c r="B241" s="6">
        <v>165</v>
      </c>
      <c r="C241" s="6">
        <v>7</v>
      </c>
      <c r="D241" s="6">
        <v>180</v>
      </c>
      <c r="E241" s="8">
        <v>18.4</v>
      </c>
      <c r="F241" s="8">
        <v>31</v>
      </c>
      <c r="G241" s="9">
        <f>MAX(F148,E241)</f>
        <v>22.1</v>
      </c>
      <c r="H241" s="9">
        <f>MIN(G148,F241)</f>
        <v>23.4</v>
      </c>
      <c r="I241" s="9">
        <f>MAX(0,ROUND((H241-G241),4))</f>
        <v>1.3</v>
      </c>
      <c r="J241" s="10">
        <f>'入力根拠'!F54</f>
        <v>193733.0</v>
      </c>
      <c r="K241" s="6">
        <f>(J241*I241)</f>
        <v>251852.9</v>
      </c>
    </row>
    <row r="242" spans="1:12" ht="23" customHeight="1">
      <c r="A242" s="6">
        <v>6</v>
      </c>
      <c r="B242" s="6">
        <v>166</v>
      </c>
      <c r="C242" s="6">
        <v>7</v>
      </c>
      <c r="D242" s="6">
        <v>180</v>
      </c>
      <c r="E242" s="8">
        <v>18.4</v>
      </c>
      <c r="F242" s="8">
        <v>31</v>
      </c>
      <c r="G242" s="9">
        <f>MAX(F149,E242)</f>
        <v>23.4</v>
      </c>
      <c r="H242" s="9">
        <f>MIN(G149,F242)</f>
        <v>24.7</v>
      </c>
      <c r="I242" s="9">
        <f>MAX(0,ROUND((H242-G242),4))</f>
        <v>1.3</v>
      </c>
      <c r="J242" s="10">
        <f>'入力根拠'!F54</f>
        <v>193733.0</v>
      </c>
      <c r="K242" s="6">
        <f>(J242*I242)</f>
        <v>251852.9</v>
      </c>
    </row>
    <row r="243" spans="1:12" ht="23" customHeight="1">
      <c r="A243" s="6">
        <v>6</v>
      </c>
      <c r="B243" s="6">
        <v>167</v>
      </c>
      <c r="C243" s="6">
        <v>7</v>
      </c>
      <c r="D243" s="6">
        <v>180</v>
      </c>
      <c r="E243" s="8">
        <v>18.4</v>
      </c>
      <c r="F243" s="8">
        <v>31</v>
      </c>
      <c r="G243" s="9">
        <f>MAX(F150,E243)</f>
        <v>24.7</v>
      </c>
      <c r="H243" s="9">
        <f>MIN(G150,F243)</f>
        <v>26.0</v>
      </c>
      <c r="I243" s="9">
        <f>MAX(0,ROUND((H243-G243),4))</f>
        <v>1.3</v>
      </c>
      <c r="J243" s="10">
        <f>'入力根拠'!F54</f>
        <v>193733.0</v>
      </c>
      <c r="K243" s="6">
        <f>(J243*I243)</f>
        <v>251852.9</v>
      </c>
    </row>
    <row r="244" spans="1:12" ht="23" customHeight="1">
      <c r="A244" s="6">
        <v>6</v>
      </c>
      <c r="B244" s="6">
        <v>168</v>
      </c>
      <c r="C244" s="6">
        <v>7</v>
      </c>
      <c r="D244" s="6">
        <v>180</v>
      </c>
      <c r="E244" s="8">
        <v>18.4</v>
      </c>
      <c r="F244" s="8">
        <v>31</v>
      </c>
      <c r="G244" s="9">
        <f>MAX(F151,E244)</f>
        <v>26.0</v>
      </c>
      <c r="H244" s="9">
        <f>MIN(G151,F244)</f>
        <v>27.3</v>
      </c>
      <c r="I244" s="9">
        <f>MAX(0,ROUND((H244-G244),4))</f>
        <v>1.3</v>
      </c>
      <c r="J244" s="10">
        <f>'入力根拠'!F54</f>
        <v>193733.0</v>
      </c>
      <c r="K244" s="6">
        <f>(J244*I244)</f>
        <v>251852.9</v>
      </c>
    </row>
    <row r="245" spans="1:12" ht="23" customHeight="1">
      <c r="A245" s="6">
        <v>6</v>
      </c>
      <c r="B245" s="6">
        <v>169</v>
      </c>
      <c r="C245" s="6">
        <v>7</v>
      </c>
      <c r="D245" s="6">
        <v>180</v>
      </c>
      <c r="E245" s="8">
        <v>18.4</v>
      </c>
      <c r="F245" s="8">
        <v>31</v>
      </c>
      <c r="G245" s="9">
        <f>MAX(F152,E245)</f>
        <v>27.3</v>
      </c>
      <c r="H245" s="9">
        <f>MIN(G152,F245)</f>
        <v>28.6</v>
      </c>
      <c r="I245" s="9">
        <f>MAX(0,ROUND((H245-G245),4))</f>
        <v>1.3</v>
      </c>
      <c r="J245" s="10">
        <f>'入力根拠'!F54</f>
        <v>193733.0</v>
      </c>
      <c r="K245" s="6">
        <f>(J245*I245)</f>
        <v>251852.9</v>
      </c>
    </row>
    <row r="246" spans="1:12" ht="23" customHeight="1">
      <c r="A246" s="6">
        <v>6</v>
      </c>
      <c r="B246" s="6">
        <v>170</v>
      </c>
      <c r="C246" s="6">
        <v>7</v>
      </c>
      <c r="D246" s="6">
        <v>180</v>
      </c>
      <c r="E246" s="8">
        <v>18.4</v>
      </c>
      <c r="F246" s="8">
        <v>31</v>
      </c>
      <c r="G246" s="9">
        <f>MAX(F153,E246)</f>
        <v>28.6</v>
      </c>
      <c r="H246" s="9">
        <f>MIN(G153,F246)</f>
        <v>29.9</v>
      </c>
      <c r="I246" s="9">
        <f>MAX(0,ROUND((H246-G246),4))</f>
        <v>1.3</v>
      </c>
      <c r="J246" s="10">
        <f>'入力根拠'!F54</f>
        <v>193733.0</v>
      </c>
      <c r="K246" s="6">
        <f>(J246*I246)</f>
        <v>251852.9</v>
      </c>
    </row>
    <row r="247" spans="1:12" ht="23" customHeight="1">
      <c r="A247" s="6">
        <v>6</v>
      </c>
      <c r="B247" s="6">
        <v>171</v>
      </c>
      <c r="C247" s="6">
        <v>7</v>
      </c>
      <c r="D247" s="6">
        <v>180</v>
      </c>
      <c r="E247" s="8">
        <v>18.4</v>
      </c>
      <c r="F247" s="8">
        <v>31</v>
      </c>
      <c r="G247" s="9">
        <f>MAX(F154,E247)</f>
        <v>29.9</v>
      </c>
      <c r="H247" s="9">
        <f>MIN(G154,F247)</f>
        <v>31.0</v>
      </c>
      <c r="I247" s="9">
        <f>MAX(0,ROUND((H247-G247),4))</f>
        <v>1.1</v>
      </c>
      <c r="J247" s="10">
        <f>'入力根拠'!F54</f>
        <v>193733.0</v>
      </c>
      <c r="K247" s="6">
        <f>(J247*I247)</f>
        <v>213106.30000000002</v>
      </c>
    </row>
    <row r="248" spans="1:12" ht="23" customHeight="1"/>
    <row r="249" spans="1:12" ht="24" customHeight="1">
      <c r="A249" s="3" t="s">
        <v>72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36" customHeight="1">
      <c r="A250" s="4" t="s">
        <v>8</v>
      </c>
      <c r="B250" s="4" t="s">
        <v>10</v>
      </c>
      <c r="C250" s="4" t="s">
        <v>73</v>
      </c>
      <c r="D250" s="4" t="s">
        <v>74</v>
      </c>
    </row>
    <row r="251" spans="1:12" ht="24" customHeight="1">
      <c r="A251" s="2" t="s">
        <v>75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4" customHeight="1">
      <c r="A252" s="2" t="s">
        <v>76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4" customHeight="1">
      <c r="A253" s="2" t="s">
        <v>77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4" customHeight="1">
      <c r="A254" s="2" t="s">
        <v>78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4" customHeight="1">
      <c r="A255" s="2" t="s">
        <v>79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4" customHeight="1">
      <c r="A256" s="2" t="s">
        <v>80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4" customHeight="1">
      <c r="A257" s="2" t="s">
        <v>81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4" customHeight="1">
      <c r="A258" s="2" t="s">
        <v>82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4" customHeight="1">
      <c r="A259" s="2" t="s">
        <v>83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4" customHeight="1">
      <c r="A260" s="2" t="s">
        <v>84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4" customHeight="1">
      <c r="A261" s="2" t="s">
        <v>85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4" customHeight="1">
      <c r="A262" s="2" t="s">
        <v>86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4" customHeight="1">
      <c r="A263" s="2" t="s">
        <v>87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24" customHeight="1">
      <c r="A264" s="2" t="s">
        <v>88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24" customHeight="1">
      <c r="A265" s="2" t="s">
        <v>89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24" customHeight="1">
      <c r="A266" s="2" t="s">
        <v>90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4" customHeight="1">
      <c r="A267" s="2" t="s">
        <v>91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4" customHeight="1">
      <c r="A268" s="2" t="s">
        <v>92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4" customHeight="1">
      <c r="A269" s="2" t="s">
        <v>93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4" customHeight="1">
      <c r="A270" s="2" t="s">
        <v>94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4" customHeight="1">
      <c r="A271" s="2" t="s">
        <v>95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4" customHeight="1">
      <c r="A272" s="2" t="s">
        <v>96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4" customHeight="1">
      <c r="A273" s="2" t="s">
        <v>97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4" customHeight="1">
      <c r="A274" s="2" t="s">
        <v>98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4" customHeight="1">
      <c r="A275" s="2" t="s">
        <v>99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4" customHeight="1">
      <c r="A276" s="2" t="s">
        <v>100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4" customHeight="1">
      <c r="A277" s="2" t="s">
        <v>101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4" customHeight="1">
      <c r="A278" s="2" t="s">
        <v>102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4" customHeight="1">
      <c r="A279" s="2" t="s">
        <v>103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24" customHeight="1">
      <c r="A280" s="2" t="s">
        <v>104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24" customHeight="1">
      <c r="A281" s="2" t="s">
        <v>105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24" customHeight="1">
      <c r="A282" s="2" t="s">
        <v>106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4" customHeight="1">
      <c r="A283" s="2" t="s">
        <v>107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4" customHeight="1">
      <c r="A284" s="2" t="s">
        <v>108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4" customHeight="1">
      <c r="A285" s="2" t="s">
        <v>109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4" customHeight="1">
      <c r="A286" s="2" t="s">
        <v>110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4" customHeight="1">
      <c r="A287" s="2" t="s">
        <v>111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4" customHeight="1">
      <c r="A288" s="2" t="s">
        <v>112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4" customHeight="1">
      <c r="A289" s="2" t="s">
        <v>113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4" customHeight="1">
      <c r="A290" s="2" t="s">
        <v>114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4" customHeight="1">
      <c r="A291" s="2" t="s">
        <v>115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4" customHeight="1">
      <c r="A292" s="2" t="s">
        <v>116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4" customHeight="1">
      <c r="A293" s="2" t="s">
        <v>117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4" customHeight="1">
      <c r="A294" s="2" t="s">
        <v>118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4" customHeight="1">
      <c r="A295" s="2" t="s">
        <v>119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24" customHeight="1">
      <c r="A296" s="2" t="s">
        <v>120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24" customHeight="1">
      <c r="A297" s="2" t="s">
        <v>121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24" customHeight="1">
      <c r="A298" s="2" t="s">
        <v>122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4" customHeight="1">
      <c r="A299" s="2" t="s">
        <v>123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4" customHeight="1">
      <c r="A300" s="2" t="s">
        <v>124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4" customHeight="1">
      <c r="A301" s="2" t="s">
        <v>125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4" customHeight="1">
      <c r="A302" s="2" t="s">
        <v>126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4" customHeight="1">
      <c r="A303" s="2" t="s">
        <v>127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4" customHeight="1">
      <c r="A304" s="2" t="s">
        <v>128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4" customHeight="1">
      <c r="A305" s="2" t="s">
        <v>129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4" customHeight="1">
      <c r="A306" s="2" t="s">
        <v>130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4" customHeight="1">
      <c r="A307" s="2" t="s">
        <v>131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4" customHeight="1">
      <c r="A308" s="2" t="s">
        <v>132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4" customHeight="1">
      <c r="A309" s="2" t="s">
        <v>133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4" customHeight="1">
      <c r="A310" s="2" t="s">
        <v>134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4" customHeight="1">
      <c r="A311" s="2" t="s">
        <v>135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4" customHeight="1">
      <c r="A312" s="2" t="s">
        <v>136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24" customHeight="1">
      <c r="A313" s="2" t="s">
        <v>137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4" customHeight="1">
      <c r="A314" s="2" t="s">
        <v>138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4" customHeight="1">
      <c r="A315" s="2" t="s">
        <v>139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4" customHeight="1">
      <c r="A316" s="2" t="s">
        <v>140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4" customHeight="1">
      <c r="A317" s="2" t="s">
        <v>141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4" customHeight="1">
      <c r="A318" s="2" t="s">
        <v>142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4" customHeight="1">
      <c r="A319" s="2" t="s">
        <v>143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4" customHeight="1">
      <c r="A320" s="2" t="s">
        <v>144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4" customHeight="1">
      <c r="A321" s="2" t="s">
        <v>145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4" customHeight="1">
      <c r="A322" s="2" t="s">
        <v>146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</sheetData>
  <mergeCells count="79">
    <mergeCell ref="A1:L1"/>
    <mergeCell ref="A2:L2"/>
    <mergeCell ref="A3:L3"/>
    <mergeCell ref="A6:L6"/>
    <mergeCell ref="A81:L81"/>
    <mergeCell ref="A156:L156"/>
    <mergeCell ref="A249:L249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6:L296"/>
    <mergeCell ref="A297:L297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2:L312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</mergeCells>
  <conditionalFormatting sqref="H10">
    <cfRule type="cellIs" dxfId="0" priority="3" operator="notEqual">
      <formula>0</formula>
    </cfRule>
  </conditionalFormatting>
  <conditionalFormatting sqref="H11">
    <cfRule type="cellIs" dxfId="0" priority="4" operator="notEqual">
      <formula>0</formula>
    </cfRule>
  </conditionalFormatting>
  <conditionalFormatting sqref="H12">
    <cfRule type="cellIs" dxfId="0" priority="5" operator="notEqual">
      <formula>0</formula>
    </cfRule>
  </conditionalFormatting>
  <conditionalFormatting sqref="H13">
    <cfRule type="cellIs" dxfId="0" priority="6" operator="notEqual">
      <formula>0</formula>
    </cfRule>
  </conditionalFormatting>
  <conditionalFormatting sqref="H14">
    <cfRule type="cellIs" dxfId="0" priority="7" operator="notEqual">
      <formula>0</formula>
    </cfRule>
  </conditionalFormatting>
  <conditionalFormatting sqref="H15">
    <cfRule type="cellIs" dxfId="0" priority="8" operator="notEqual">
      <formula>0</formula>
    </cfRule>
  </conditionalFormatting>
  <conditionalFormatting sqref="H16">
    <cfRule type="cellIs" dxfId="0" priority="9" operator="notEqual">
      <formula>0</formula>
    </cfRule>
  </conditionalFormatting>
  <conditionalFormatting sqref="H17">
    <cfRule type="cellIs" dxfId="0" priority="10" operator="notEqual">
      <formula>0</formula>
    </cfRule>
  </conditionalFormatting>
  <conditionalFormatting sqref="H18">
    <cfRule type="cellIs" dxfId="0" priority="11" operator="notEqual">
      <formula>0</formula>
    </cfRule>
  </conditionalFormatting>
  <conditionalFormatting sqref="H19">
    <cfRule type="cellIs" dxfId="0" priority="12" operator="notEqual">
      <formula>0</formula>
    </cfRule>
  </conditionalFormatting>
  <conditionalFormatting sqref="H20">
    <cfRule type="cellIs" dxfId="0" priority="13" operator="notEqual">
      <formula>0</formula>
    </cfRule>
  </conditionalFormatting>
  <conditionalFormatting sqref="H21">
    <cfRule type="cellIs" dxfId="0" priority="14" operator="notEqual">
      <formula>0</formula>
    </cfRule>
  </conditionalFormatting>
  <conditionalFormatting sqref="H22">
    <cfRule type="cellIs" dxfId="0" priority="15" operator="notEqual">
      <formula>0</formula>
    </cfRule>
  </conditionalFormatting>
  <conditionalFormatting sqref="H23">
    <cfRule type="cellIs" dxfId="0" priority="16" operator="notEqual">
      <formula>0</formula>
    </cfRule>
  </conditionalFormatting>
  <conditionalFormatting sqref="H24">
    <cfRule type="cellIs" dxfId="0" priority="17" operator="notEqual">
      <formula>0</formula>
    </cfRule>
  </conditionalFormatting>
  <conditionalFormatting sqref="H25">
    <cfRule type="cellIs" dxfId="0" priority="18" operator="notEqual">
      <formula>0</formula>
    </cfRule>
  </conditionalFormatting>
  <conditionalFormatting sqref="H26">
    <cfRule type="cellIs" dxfId="0" priority="19" operator="notEqual">
      <formula>0</formula>
    </cfRule>
  </conditionalFormatting>
  <conditionalFormatting sqref="H27">
    <cfRule type="cellIs" dxfId="0" priority="20" operator="notEqual">
      <formula>0</formula>
    </cfRule>
  </conditionalFormatting>
  <conditionalFormatting sqref="H28">
    <cfRule type="cellIs" dxfId="0" priority="21" operator="notEqual">
      <formula>0</formula>
    </cfRule>
  </conditionalFormatting>
  <conditionalFormatting sqref="H29">
    <cfRule type="cellIs" dxfId="0" priority="22" operator="notEqual">
      <formula>0</formula>
    </cfRule>
  </conditionalFormatting>
  <conditionalFormatting sqref="H30">
    <cfRule type="cellIs" dxfId="0" priority="23" operator="notEqual">
      <formula>0</formula>
    </cfRule>
  </conditionalFormatting>
  <conditionalFormatting sqref="H31">
    <cfRule type="cellIs" dxfId="0" priority="24" operator="notEqual">
      <formula>0</formula>
    </cfRule>
  </conditionalFormatting>
  <conditionalFormatting sqref="H32">
    <cfRule type="cellIs" dxfId="0" priority="25" operator="notEqual">
      <formula>0</formula>
    </cfRule>
  </conditionalFormatting>
  <conditionalFormatting sqref="H33">
    <cfRule type="cellIs" dxfId="0" priority="26" operator="notEqual">
      <formula>0</formula>
    </cfRule>
  </conditionalFormatting>
  <conditionalFormatting sqref="H34">
    <cfRule type="cellIs" dxfId="0" priority="27" operator="notEqual">
      <formula>0</formula>
    </cfRule>
  </conditionalFormatting>
  <conditionalFormatting sqref="H35">
    <cfRule type="cellIs" dxfId="0" priority="28" operator="notEqual">
      <formula>0</formula>
    </cfRule>
  </conditionalFormatting>
  <conditionalFormatting sqref="H36">
    <cfRule type="cellIs" dxfId="0" priority="29" operator="notEqual">
      <formula>0</formula>
    </cfRule>
  </conditionalFormatting>
  <conditionalFormatting sqref="H37">
    <cfRule type="cellIs" dxfId="0" priority="30" operator="notEqual">
      <formula>0</formula>
    </cfRule>
  </conditionalFormatting>
  <conditionalFormatting sqref="H38">
    <cfRule type="cellIs" dxfId="0" priority="31" operator="notEqual">
      <formula>0</formula>
    </cfRule>
  </conditionalFormatting>
  <conditionalFormatting sqref="H39">
    <cfRule type="cellIs" dxfId="0" priority="32" operator="notEqual">
      <formula>0</formula>
    </cfRule>
  </conditionalFormatting>
  <conditionalFormatting sqref="H40">
    <cfRule type="cellIs" dxfId="0" priority="33" operator="notEqual">
      <formula>0</formula>
    </cfRule>
  </conditionalFormatting>
  <conditionalFormatting sqref="H41">
    <cfRule type="cellIs" dxfId="0" priority="34" operator="notEqual">
      <formula>0</formula>
    </cfRule>
  </conditionalFormatting>
  <conditionalFormatting sqref="H42">
    <cfRule type="cellIs" dxfId="0" priority="35" operator="notEqual">
      <formula>0</formula>
    </cfRule>
  </conditionalFormatting>
  <conditionalFormatting sqref="H43">
    <cfRule type="cellIs" dxfId="0" priority="36" operator="notEqual">
      <formula>0</formula>
    </cfRule>
  </conditionalFormatting>
  <conditionalFormatting sqref="H44">
    <cfRule type="cellIs" dxfId="0" priority="37" operator="notEqual">
      <formula>0</formula>
    </cfRule>
  </conditionalFormatting>
  <conditionalFormatting sqref="H45">
    <cfRule type="cellIs" dxfId="0" priority="38" operator="notEqual">
      <formula>0</formula>
    </cfRule>
  </conditionalFormatting>
  <conditionalFormatting sqref="H46">
    <cfRule type="cellIs" dxfId="0" priority="39" operator="notEqual">
      <formula>0</formula>
    </cfRule>
  </conditionalFormatting>
  <conditionalFormatting sqref="H47">
    <cfRule type="cellIs" dxfId="0" priority="40" operator="notEqual">
      <formula>0</formula>
    </cfRule>
  </conditionalFormatting>
  <conditionalFormatting sqref="H48">
    <cfRule type="cellIs" dxfId="0" priority="41" operator="notEqual">
      <formula>0</formula>
    </cfRule>
  </conditionalFormatting>
  <conditionalFormatting sqref="H49">
    <cfRule type="cellIs" dxfId="0" priority="42" operator="notEqual">
      <formula>0</formula>
    </cfRule>
  </conditionalFormatting>
  <conditionalFormatting sqref="H50">
    <cfRule type="cellIs" dxfId="0" priority="43" operator="notEqual">
      <formula>0</formula>
    </cfRule>
  </conditionalFormatting>
  <conditionalFormatting sqref="H51">
    <cfRule type="cellIs" dxfId="0" priority="44" operator="notEqual">
      <formula>0</formula>
    </cfRule>
  </conditionalFormatting>
  <conditionalFormatting sqref="H52">
    <cfRule type="cellIs" dxfId="0" priority="45" operator="notEqual">
      <formula>0</formula>
    </cfRule>
  </conditionalFormatting>
  <conditionalFormatting sqref="H53">
    <cfRule type="cellIs" dxfId="0" priority="46" operator="notEqual">
      <formula>0</formula>
    </cfRule>
  </conditionalFormatting>
  <conditionalFormatting sqref="H54">
    <cfRule type="cellIs" dxfId="0" priority="47" operator="notEqual">
      <formula>0</formula>
    </cfRule>
  </conditionalFormatting>
  <conditionalFormatting sqref="H55">
    <cfRule type="cellIs" dxfId="0" priority="48" operator="notEqual">
      <formula>0</formula>
    </cfRule>
  </conditionalFormatting>
  <conditionalFormatting sqref="H56">
    <cfRule type="cellIs" dxfId="0" priority="49" operator="notEqual">
      <formula>0</formula>
    </cfRule>
  </conditionalFormatting>
  <conditionalFormatting sqref="H57">
    <cfRule type="cellIs" dxfId="0" priority="50" operator="notEqual">
      <formula>0</formula>
    </cfRule>
  </conditionalFormatting>
  <conditionalFormatting sqref="H58">
    <cfRule type="cellIs" dxfId="0" priority="51" operator="notEqual">
      <formula>0</formula>
    </cfRule>
  </conditionalFormatting>
  <conditionalFormatting sqref="H59">
    <cfRule type="cellIs" dxfId="0" priority="52" operator="notEqual">
      <formula>0</formula>
    </cfRule>
  </conditionalFormatting>
  <conditionalFormatting sqref="H60">
    <cfRule type="cellIs" dxfId="0" priority="53" operator="notEqual">
      <formula>0</formula>
    </cfRule>
  </conditionalFormatting>
  <conditionalFormatting sqref="H61">
    <cfRule type="cellIs" dxfId="0" priority="54" operator="notEqual">
      <formula>0</formula>
    </cfRule>
  </conditionalFormatting>
  <conditionalFormatting sqref="H62">
    <cfRule type="cellIs" dxfId="0" priority="55" operator="notEqual">
      <formula>0</formula>
    </cfRule>
  </conditionalFormatting>
  <conditionalFormatting sqref="H63">
    <cfRule type="cellIs" dxfId="0" priority="56" operator="notEqual">
      <formula>0</formula>
    </cfRule>
  </conditionalFormatting>
  <conditionalFormatting sqref="H64">
    <cfRule type="cellIs" dxfId="0" priority="57" operator="notEqual">
      <formula>0</formula>
    </cfRule>
  </conditionalFormatting>
  <conditionalFormatting sqref="H65">
    <cfRule type="cellIs" dxfId="0" priority="58" operator="notEqual">
      <formula>0</formula>
    </cfRule>
  </conditionalFormatting>
  <conditionalFormatting sqref="H66">
    <cfRule type="cellIs" dxfId="0" priority="59" operator="notEqual">
      <formula>0</formula>
    </cfRule>
  </conditionalFormatting>
  <conditionalFormatting sqref="H67">
    <cfRule type="cellIs" dxfId="0" priority="60" operator="notEqual">
      <formula>0</formula>
    </cfRule>
  </conditionalFormatting>
  <conditionalFormatting sqref="H68">
    <cfRule type="cellIs" dxfId="0" priority="61" operator="notEqual">
      <formula>0</formula>
    </cfRule>
  </conditionalFormatting>
  <conditionalFormatting sqref="H69">
    <cfRule type="cellIs" dxfId="0" priority="62" operator="notEqual">
      <formula>0</formula>
    </cfRule>
  </conditionalFormatting>
  <conditionalFormatting sqref="H70">
    <cfRule type="cellIs" dxfId="0" priority="63" operator="notEqual">
      <formula>0</formula>
    </cfRule>
  </conditionalFormatting>
  <conditionalFormatting sqref="H71">
    <cfRule type="cellIs" dxfId="0" priority="64" operator="notEqual">
      <formula>0</formula>
    </cfRule>
  </conditionalFormatting>
  <conditionalFormatting sqref="H72">
    <cfRule type="cellIs" dxfId="0" priority="65" operator="notEqual">
      <formula>0</formula>
    </cfRule>
  </conditionalFormatting>
  <conditionalFormatting sqref="H73">
    <cfRule type="cellIs" dxfId="0" priority="66" operator="notEqual">
      <formula>0</formula>
    </cfRule>
  </conditionalFormatting>
  <conditionalFormatting sqref="H74">
    <cfRule type="cellIs" dxfId="0" priority="67" operator="notEqual">
      <formula>0</formula>
    </cfRule>
  </conditionalFormatting>
  <conditionalFormatting sqref="H75">
    <cfRule type="cellIs" dxfId="0" priority="68" operator="notEqual">
      <formula>0</formula>
    </cfRule>
  </conditionalFormatting>
  <conditionalFormatting sqref="H76">
    <cfRule type="cellIs" dxfId="0" priority="69" operator="notEqual">
      <formula>0</formula>
    </cfRule>
  </conditionalFormatting>
  <conditionalFormatting sqref="H77">
    <cfRule type="cellIs" dxfId="0" priority="70" operator="notEqual">
      <formula>0</formula>
    </cfRule>
  </conditionalFormatting>
  <conditionalFormatting sqref="H78">
    <cfRule type="cellIs" dxfId="0" priority="71" operator="notEqual">
      <formula>0</formula>
    </cfRule>
  </conditionalFormatting>
  <conditionalFormatting sqref="H79">
    <cfRule type="cellIs" dxfId="0" priority="72" operator="notEqual">
      <formula>0</formula>
    </cfRule>
  </conditionalFormatting>
  <conditionalFormatting sqref="H8">
    <cfRule type="cellIs" dxfId="0" priority="1" operator="notEqual">
      <formula>0</formula>
    </cfRule>
  </conditionalFormatting>
  <conditionalFormatting sqref="H9">
    <cfRule type="cellIs" dxfId="0" priority="2" operator="notEqual">
      <formula>0</formula>
    </cfRule>
  </conditionalFormatting>
  <pageMargins left="0.25" right="0.25" top="0.35" bottom="0.35" header="0.3" footer="0.3"/>
  <pageSetup paperSize="9" fitToHeight="0" orientation="landscape"/>
  <headerFooter>
    <oddFooter>&amp;L水平地盤ばね&amp;R&amp;P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7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2" width="8.7109375" customWidth="1"/>
    <col min="3" max="3" width="10.7109375" customWidth="1"/>
    <col min="4" max="4" width="17.7109375" customWidth="1"/>
    <col min="5" max="12" width="15.7109375" customWidth="1"/>
  </cols>
  <sheetData>
    <row r="1" spans="1:12" ht="24" customHeight="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3" customHeight="1"/>
    <row r="6" spans="1:12" ht="24" customHeight="1">
      <c r="A6" s="3" t="s">
        <v>49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6" customHeight="1">
      <c r="A7" s="4" t="s">
        <v>8</v>
      </c>
      <c r="B7" s="4" t="s">
        <v>147</v>
      </c>
      <c r="C7" s="4" t="s">
        <v>20</v>
      </c>
      <c r="D7" s="4" t="s">
        <v>50</v>
      </c>
      <c r="E7" s="4" t="s">
        <v>148</v>
      </c>
      <c r="F7" s="4" t="s">
        <v>149</v>
      </c>
      <c r="G7" s="4" t="s">
        <v>150</v>
      </c>
      <c r="H7" s="4" t="s">
        <v>151</v>
      </c>
      <c r="I7" s="4" t="s">
        <v>152</v>
      </c>
      <c r="J7" s="4" t="s">
        <v>153</v>
      </c>
      <c r="K7" s="4" t="s">
        <v>154</v>
      </c>
    </row>
    <row r="8" spans="1:12" ht="23" customHeight="1">
      <c r="A8" s="6">
        <v>4</v>
      </c>
      <c r="B8" s="6">
        <v>1</v>
      </c>
      <c r="C8" s="6">
        <v>98</v>
      </c>
      <c r="D8" s="6" t="s">
        <v>155</v>
      </c>
      <c r="E8" s="6">
        <v>3</v>
      </c>
      <c r="F8" s="6">
        <f>ROUND(F251,1)</f>
        <v>1162.9</v>
      </c>
      <c r="G8" s="7">
        <v>1162.9</v>
      </c>
      <c r="H8" s="6">
        <f>(F8-G8)</f>
        <v>0.0</v>
      </c>
      <c r="I8" s="6">
        <f>ROUND(G251,1)</f>
        <v>1307.5</v>
      </c>
      <c r="J8" s="7">
        <v>1307.5</v>
      </c>
      <c r="K8" s="6">
        <f>(I8-J8)</f>
        <v>0.0</v>
      </c>
    </row>
    <row r="9" spans="1:12" ht="23" customHeight="1">
      <c r="A9" s="6">
        <v>4</v>
      </c>
      <c r="B9" s="6">
        <v>1</v>
      </c>
      <c r="C9" s="6">
        <v>99</v>
      </c>
      <c r="D9" s="6" t="s">
        <v>156</v>
      </c>
      <c r="E9" s="6">
        <v>3</v>
      </c>
      <c r="F9" s="6">
        <f>ROUND((SUM(I252,I253)/H84),1)</f>
        <v>1989.0</v>
      </c>
      <c r="G9" s="7">
        <v>1989</v>
      </c>
      <c r="H9" s="6">
        <f>(F9-G9)</f>
        <v>0.0</v>
      </c>
      <c r="I9" s="6">
        <f>ROUND((SUM(I252,I253)/H84),1)</f>
        <v>1989.0</v>
      </c>
      <c r="J9" s="7">
        <v>1989</v>
      </c>
      <c r="K9" s="6">
        <f>(I9-J9)</f>
        <v>0.0</v>
      </c>
    </row>
    <row r="10" spans="1:12" ht="23" customHeight="1">
      <c r="A10" s="6">
        <v>4</v>
      </c>
      <c r="B10" s="6">
        <v>1</v>
      </c>
      <c r="C10" s="6">
        <v>100</v>
      </c>
      <c r="D10" s="6" t="s">
        <v>156</v>
      </c>
      <c r="E10" s="6">
        <v>3</v>
      </c>
      <c r="F10" s="6">
        <f>ROUND((SUM(I254,I255)/H85),1)</f>
        <v>1826.6</v>
      </c>
      <c r="G10" s="7">
        <v>1826.6</v>
      </c>
      <c r="H10" s="6">
        <f>(F10-G10)</f>
        <v>0.0</v>
      </c>
      <c r="I10" s="6">
        <f>ROUND((SUM(I254,I255)/H85),1)</f>
        <v>1826.6</v>
      </c>
      <c r="J10" s="7">
        <v>1826.6</v>
      </c>
      <c r="K10" s="6">
        <f>(I10-J10)</f>
        <v>0.0</v>
      </c>
    </row>
    <row r="11" spans="1:12" ht="23" customHeight="1">
      <c r="A11" s="6">
        <v>4</v>
      </c>
      <c r="B11" s="6">
        <v>1</v>
      </c>
      <c r="C11" s="6">
        <v>101</v>
      </c>
      <c r="D11" s="6" t="s">
        <v>155</v>
      </c>
      <c r="E11" s="6">
        <v>3</v>
      </c>
      <c r="F11" s="6">
        <f>ROUND(F256,1)</f>
        <v>1755.0</v>
      </c>
      <c r="G11" s="7">
        <v>1755</v>
      </c>
      <c r="H11" s="6">
        <f>(F11-G11)</f>
        <v>0.0</v>
      </c>
      <c r="I11" s="6">
        <f>ROUND(G256,1)</f>
        <v>1755.0</v>
      </c>
      <c r="J11" s="7">
        <v>1755</v>
      </c>
      <c r="K11" s="6">
        <f>(I11-J11)</f>
        <v>0.0</v>
      </c>
    </row>
    <row r="12" spans="1:12" ht="23" customHeight="1">
      <c r="A12" s="6">
        <v>4</v>
      </c>
      <c r="B12" s="6">
        <v>1</v>
      </c>
      <c r="C12" s="6">
        <v>102</v>
      </c>
      <c r="D12" s="6" t="s">
        <v>156</v>
      </c>
      <c r="E12" s="6">
        <v>3</v>
      </c>
      <c r="F12" s="6">
        <f>ROUND((SUM(I257,I258)/H87),1)</f>
        <v>2158.6</v>
      </c>
      <c r="G12" s="7">
        <v>2158.6</v>
      </c>
      <c r="H12" s="6">
        <f>(F12-G12)</f>
        <v>0.0</v>
      </c>
      <c r="I12" s="6">
        <f>ROUND((SUM(I257,I258)/H87),1)</f>
        <v>2158.6</v>
      </c>
      <c r="J12" s="7">
        <v>2158.6</v>
      </c>
      <c r="K12" s="6">
        <f>(I12-J12)</f>
        <v>0.0</v>
      </c>
    </row>
    <row r="13" spans="1:12" ht="23" customHeight="1">
      <c r="A13" s="6">
        <v>4</v>
      </c>
      <c r="B13" s="6">
        <v>1</v>
      </c>
      <c r="C13" s="6">
        <v>103</v>
      </c>
      <c r="D13" s="6" t="s">
        <v>155</v>
      </c>
      <c r="E13" s="6">
        <v>3</v>
      </c>
      <c r="F13" s="6">
        <f>ROUND(F259,1)</f>
        <v>2472.8</v>
      </c>
      <c r="G13" s="7">
        <v>2472.8</v>
      </c>
      <c r="H13" s="6">
        <f>(F13-G13)</f>
        <v>0.0</v>
      </c>
      <c r="I13" s="6">
        <f>ROUND(G259,1)</f>
        <v>2673.7</v>
      </c>
      <c r="J13" s="7">
        <v>2673.7</v>
      </c>
      <c r="K13" s="6">
        <f>(I13-J13)</f>
        <v>0.0</v>
      </c>
    </row>
    <row r="14" spans="1:12" ht="23" customHeight="1">
      <c r="A14" s="6">
        <v>4</v>
      </c>
      <c r="B14" s="6">
        <v>1</v>
      </c>
      <c r="C14" s="6">
        <v>104</v>
      </c>
      <c r="D14" s="6" t="s">
        <v>156</v>
      </c>
      <c r="E14" s="6">
        <v>3</v>
      </c>
      <c r="F14" s="6">
        <f>ROUND((SUM(I260,I261,I262)/H89),1)</f>
        <v>4642.1</v>
      </c>
      <c r="G14" s="7">
        <v>4642.1</v>
      </c>
      <c r="H14" s="6">
        <f>(F14-G14)</f>
        <v>0.0</v>
      </c>
      <c r="I14" s="6">
        <f>ROUND((SUM(I260,I261,I262)/H89),1)</f>
        <v>4642.1</v>
      </c>
      <c r="J14" s="7">
        <v>4642.1</v>
      </c>
      <c r="K14" s="6">
        <f>(I14-J14)</f>
        <v>0.0</v>
      </c>
    </row>
    <row r="15" spans="1:12" ht="23" customHeight="1">
      <c r="A15" s="6">
        <v>4</v>
      </c>
      <c r="B15" s="6">
        <v>1</v>
      </c>
      <c r="C15" s="6">
        <v>105</v>
      </c>
      <c r="D15" s="6" t="s">
        <v>155</v>
      </c>
      <c r="E15" s="6">
        <v>3</v>
      </c>
      <c r="F15" s="6">
        <f>ROUND(F263,1)</f>
        <v>2980.8</v>
      </c>
      <c r="G15" s="7">
        <v>2980.8</v>
      </c>
      <c r="H15" s="6">
        <f>(F15-G15)</f>
        <v>0.0</v>
      </c>
      <c r="I15" s="6">
        <f>ROUND(G263,1)</f>
        <v>3190.7</v>
      </c>
      <c r="J15" s="7">
        <v>3190.7</v>
      </c>
      <c r="K15" s="6">
        <f>(I15-J15)</f>
        <v>0.0</v>
      </c>
    </row>
    <row r="16" spans="1:12" ht="23" customHeight="1">
      <c r="A16" s="6">
        <v>4</v>
      </c>
      <c r="B16" s="6">
        <v>1</v>
      </c>
      <c r="C16" s="6">
        <v>106</v>
      </c>
      <c r="D16" s="6" t="s">
        <v>155</v>
      </c>
      <c r="E16" s="6">
        <v>3</v>
      </c>
      <c r="F16" s="6">
        <f>ROUND(F264,1)</f>
        <v>3190.7</v>
      </c>
      <c r="G16" s="7">
        <v>3190.7</v>
      </c>
      <c r="H16" s="6">
        <f>(F16-G16)</f>
        <v>0.0</v>
      </c>
      <c r="I16" s="6">
        <f>ROUND(G264,1)</f>
        <v>3400.6</v>
      </c>
      <c r="J16" s="7">
        <v>3400.6</v>
      </c>
      <c r="K16" s="6">
        <f>(I16-J16)</f>
        <v>0.0</v>
      </c>
    </row>
    <row r="17" spans="1:11" ht="23" customHeight="1">
      <c r="A17" s="6">
        <v>4</v>
      </c>
      <c r="B17" s="6">
        <v>1</v>
      </c>
      <c r="C17" s="6">
        <v>107</v>
      </c>
      <c r="D17" s="6" t="s">
        <v>155</v>
      </c>
      <c r="E17" s="6">
        <v>3</v>
      </c>
      <c r="F17" s="6">
        <f>ROUND(F265,1)</f>
        <v>3400.6</v>
      </c>
      <c r="G17" s="7">
        <v>3400.6</v>
      </c>
      <c r="H17" s="6">
        <f>(F17-G17)</f>
        <v>0.0</v>
      </c>
      <c r="I17" s="6">
        <f>ROUND(G265,1)</f>
        <v>3610.5</v>
      </c>
      <c r="J17" s="7">
        <v>3610.5</v>
      </c>
      <c r="K17" s="6">
        <f>(I17-J17)</f>
        <v>0.0</v>
      </c>
    </row>
    <row r="18" spans="1:11" ht="23" customHeight="1">
      <c r="A18" s="6">
        <v>4</v>
      </c>
      <c r="B18" s="6">
        <v>1</v>
      </c>
      <c r="C18" s="6">
        <v>108</v>
      </c>
      <c r="D18" s="6" t="s">
        <v>155</v>
      </c>
      <c r="E18" s="6">
        <v>3</v>
      </c>
      <c r="F18" s="6">
        <f>ROUND(F266,1)</f>
        <v>3610.5</v>
      </c>
      <c r="G18" s="7">
        <v>3610.5</v>
      </c>
      <c r="H18" s="6">
        <f>(F18-G18)</f>
        <v>0.0</v>
      </c>
      <c r="I18" s="6">
        <f>ROUND(G266,1)</f>
        <v>3820.5</v>
      </c>
      <c r="J18" s="7">
        <v>3820.5</v>
      </c>
      <c r="K18" s="6">
        <f>(I18-J18)</f>
        <v>0.0</v>
      </c>
    </row>
    <row r="19" spans="1:11" ht="23" customHeight="1">
      <c r="A19" s="6">
        <v>4</v>
      </c>
      <c r="B19" s="6">
        <v>1</v>
      </c>
      <c r="C19" s="6">
        <v>109</v>
      </c>
      <c r="D19" s="6" t="s">
        <v>155</v>
      </c>
      <c r="E19" s="6">
        <v>3</v>
      </c>
      <c r="F19" s="6">
        <f>ROUND(F267,1)</f>
        <v>3820.5</v>
      </c>
      <c r="G19" s="7">
        <v>3820.5</v>
      </c>
      <c r="H19" s="6">
        <f>(F19-G19)</f>
        <v>0.0</v>
      </c>
      <c r="I19" s="6">
        <f>ROUND(G267,1)</f>
        <v>4030.4</v>
      </c>
      <c r="J19" s="7">
        <v>4030.4</v>
      </c>
      <c r="K19" s="6">
        <f>(I19-J19)</f>
        <v>0.0</v>
      </c>
    </row>
    <row r="20" spans="1:11" ht="23" customHeight="1">
      <c r="A20" s="6">
        <v>4</v>
      </c>
      <c r="B20" s="6">
        <v>1</v>
      </c>
      <c r="C20" s="6">
        <v>110</v>
      </c>
      <c r="D20" s="6" t="s">
        <v>155</v>
      </c>
      <c r="E20" s="6">
        <v>3</v>
      </c>
      <c r="F20" s="6">
        <f>ROUND(F268,1)</f>
        <v>4030.4</v>
      </c>
      <c r="G20" s="7">
        <v>4030.4</v>
      </c>
      <c r="H20" s="6">
        <f>(F20-G20)</f>
        <v>0.0</v>
      </c>
      <c r="I20" s="6">
        <f>ROUND(G268,1)</f>
        <v>4240.3</v>
      </c>
      <c r="J20" s="7">
        <v>4240.3</v>
      </c>
      <c r="K20" s="6">
        <f>(I20-J20)</f>
        <v>0.0</v>
      </c>
    </row>
    <row r="21" spans="1:11" ht="23" customHeight="1">
      <c r="A21" s="6">
        <v>4</v>
      </c>
      <c r="B21" s="6">
        <v>1</v>
      </c>
      <c r="C21" s="6">
        <v>111</v>
      </c>
      <c r="D21" s="6" t="s">
        <v>155</v>
      </c>
      <c r="E21" s="6">
        <v>3</v>
      </c>
      <c r="F21" s="6">
        <f>ROUND(F269,1)</f>
        <v>4240.3</v>
      </c>
      <c r="G21" s="7">
        <v>4240.3</v>
      </c>
      <c r="H21" s="6">
        <f>(F21-G21)</f>
        <v>0.0</v>
      </c>
      <c r="I21" s="6">
        <f>ROUND(G269,1)</f>
        <v>4450.2</v>
      </c>
      <c r="J21" s="7">
        <v>4450.2</v>
      </c>
      <c r="K21" s="6">
        <f>(I21-J21)</f>
        <v>0.0</v>
      </c>
    </row>
    <row r="22" spans="1:11" ht="23" customHeight="1">
      <c r="A22" s="6">
        <v>4</v>
      </c>
      <c r="B22" s="6">
        <v>1</v>
      </c>
      <c r="C22" s="6">
        <v>112</v>
      </c>
      <c r="D22" s="6" t="s">
        <v>156</v>
      </c>
      <c r="E22" s="6">
        <v>3</v>
      </c>
      <c r="F22" s="6">
        <f>ROUND((SUM(I270,I271)/H97),1)</f>
        <v>3300.7</v>
      </c>
      <c r="G22" s="7">
        <v>3300.7</v>
      </c>
      <c r="H22" s="6">
        <f>(F22-G22)</f>
        <v>0.0</v>
      </c>
      <c r="I22" s="6">
        <f>ROUND((SUM(I270,I271)/H97),1)</f>
        <v>3300.7</v>
      </c>
      <c r="J22" s="7">
        <v>3300.7</v>
      </c>
      <c r="K22" s="6">
        <f>(I22-J22)</f>
        <v>0.0</v>
      </c>
    </row>
    <row r="23" spans="1:11" ht="23" customHeight="1">
      <c r="A23" s="6">
        <v>4</v>
      </c>
      <c r="B23" s="6">
        <v>1</v>
      </c>
      <c r="C23" s="6">
        <v>113</v>
      </c>
      <c r="D23" s="6" t="s">
        <v>155</v>
      </c>
      <c r="E23" s="6">
        <v>3</v>
      </c>
      <c r="F23" s="6">
        <f>ROUND(F272,1)</f>
        <v>3088.8</v>
      </c>
      <c r="G23" s="7">
        <v>3088.8</v>
      </c>
      <c r="H23" s="6">
        <f>(F23-G23)</f>
        <v>0.0</v>
      </c>
      <c r="I23" s="6">
        <f>ROUND(G272,1)</f>
        <v>3088.8</v>
      </c>
      <c r="J23" s="7">
        <v>3088.8</v>
      </c>
      <c r="K23" s="6">
        <f>(I23-J23)</f>
        <v>0.0</v>
      </c>
    </row>
    <row r="24" spans="1:11" ht="23" customHeight="1">
      <c r="A24" s="6">
        <v>4</v>
      </c>
      <c r="B24" s="6">
        <v>1</v>
      </c>
      <c r="C24" s="6">
        <v>114</v>
      </c>
      <c r="D24" s="6" t="s">
        <v>155</v>
      </c>
      <c r="E24" s="6">
        <v>3</v>
      </c>
      <c r="F24" s="6">
        <f>ROUND(F273,1)</f>
        <v>3088.8</v>
      </c>
      <c r="G24" s="7">
        <v>3088.8</v>
      </c>
      <c r="H24" s="6">
        <f>(F24-G24)</f>
        <v>0.0</v>
      </c>
      <c r="I24" s="6">
        <f>ROUND(G273,1)</f>
        <v>3088.8</v>
      </c>
      <c r="J24" s="7">
        <v>3088.8</v>
      </c>
      <c r="K24" s="6">
        <f>(I24-J24)</f>
        <v>0.0</v>
      </c>
    </row>
    <row r="25" spans="1:11" ht="23" customHeight="1">
      <c r="A25" s="6">
        <v>4</v>
      </c>
      <c r="B25" s="6">
        <v>1</v>
      </c>
      <c r="C25" s="6">
        <v>115</v>
      </c>
      <c r="D25" s="6" t="s">
        <v>155</v>
      </c>
      <c r="E25" s="6">
        <v>3</v>
      </c>
      <c r="F25" s="6">
        <f>ROUND(F274,1)</f>
        <v>3088.8</v>
      </c>
      <c r="G25" s="7">
        <v>3088.8</v>
      </c>
      <c r="H25" s="6">
        <f>(F25-G25)</f>
        <v>0.0</v>
      </c>
      <c r="I25" s="6">
        <f>ROUND(G274,1)</f>
        <v>3088.8</v>
      </c>
      <c r="J25" s="7">
        <v>3088.8</v>
      </c>
      <c r="K25" s="6">
        <f>(I25-J25)</f>
        <v>0.0</v>
      </c>
    </row>
    <row r="26" spans="1:11" ht="23" customHeight="1">
      <c r="A26" s="6">
        <v>4</v>
      </c>
      <c r="B26" s="6">
        <v>1</v>
      </c>
      <c r="C26" s="6">
        <v>116</v>
      </c>
      <c r="D26" s="6" t="s">
        <v>155</v>
      </c>
      <c r="E26" s="6">
        <v>3</v>
      </c>
      <c r="F26" s="6">
        <f>ROUND(F275,1)</f>
        <v>3088.8</v>
      </c>
      <c r="G26" s="7">
        <v>3088.8</v>
      </c>
      <c r="H26" s="6">
        <f>(F26-G26)</f>
        <v>0.0</v>
      </c>
      <c r="I26" s="6">
        <f>ROUND(G275,1)</f>
        <v>3088.8</v>
      </c>
      <c r="J26" s="7">
        <v>3088.8</v>
      </c>
      <c r="K26" s="6">
        <f>(I26-J26)</f>
        <v>0.0</v>
      </c>
    </row>
    <row r="27" spans="1:11" ht="23" customHeight="1">
      <c r="A27" s="6">
        <v>4</v>
      </c>
      <c r="B27" s="6">
        <v>1</v>
      </c>
      <c r="C27" s="6">
        <v>117</v>
      </c>
      <c r="D27" s="6" t="s">
        <v>155</v>
      </c>
      <c r="E27" s="6">
        <v>3</v>
      </c>
      <c r="F27" s="6">
        <f>ROUND(F276,1)</f>
        <v>3088.8</v>
      </c>
      <c r="G27" s="7">
        <v>3088.8</v>
      </c>
      <c r="H27" s="6">
        <f>(F27-G27)</f>
        <v>0.0</v>
      </c>
      <c r="I27" s="6">
        <f>ROUND(G276,1)</f>
        <v>3088.8</v>
      </c>
      <c r="J27" s="7">
        <v>3088.8</v>
      </c>
      <c r="K27" s="6">
        <f>(I27-J27)</f>
        <v>0.0</v>
      </c>
    </row>
    <row r="28" spans="1:11" ht="23" customHeight="1">
      <c r="A28" s="6">
        <v>4</v>
      </c>
      <c r="B28" s="6">
        <v>1</v>
      </c>
      <c r="C28" s="6">
        <v>118</v>
      </c>
      <c r="D28" s="6" t="s">
        <v>155</v>
      </c>
      <c r="E28" s="6">
        <v>3</v>
      </c>
      <c r="F28" s="6">
        <f>ROUND(F277,1)</f>
        <v>3088.8</v>
      </c>
      <c r="G28" s="7">
        <v>3088.8</v>
      </c>
      <c r="H28" s="6">
        <f>(F28-G28)</f>
        <v>0.0</v>
      </c>
      <c r="I28" s="6">
        <f>ROUND(G277,1)</f>
        <v>3088.8</v>
      </c>
      <c r="J28" s="7">
        <v>3088.8</v>
      </c>
      <c r="K28" s="6">
        <f>(I28-J28)</f>
        <v>0.0</v>
      </c>
    </row>
    <row r="29" spans="1:11" ht="23" customHeight="1">
      <c r="A29" s="6">
        <v>4</v>
      </c>
      <c r="B29" s="6">
        <v>1</v>
      </c>
      <c r="C29" s="6">
        <v>119</v>
      </c>
      <c r="D29" s="6" t="s">
        <v>155</v>
      </c>
      <c r="E29" s="6">
        <v>3</v>
      </c>
      <c r="F29" s="6">
        <f>ROUND(F278,1)</f>
        <v>3088.8</v>
      </c>
      <c r="G29" s="7">
        <v>3088.8</v>
      </c>
      <c r="H29" s="6">
        <f>(F29-G29)</f>
        <v>0.0</v>
      </c>
      <c r="I29" s="6">
        <f>ROUND(G278,1)</f>
        <v>3088.8</v>
      </c>
      <c r="J29" s="7">
        <v>3088.8</v>
      </c>
      <c r="K29" s="6">
        <f>(I29-J29)</f>
        <v>0.0</v>
      </c>
    </row>
    <row r="30" spans="1:11" ht="23" customHeight="1">
      <c r="A30" s="6">
        <v>4</v>
      </c>
      <c r="B30" s="6">
        <v>1</v>
      </c>
      <c r="C30" s="6">
        <v>120</v>
      </c>
      <c r="D30" s="6" t="s">
        <v>155</v>
      </c>
      <c r="E30" s="6">
        <v>3</v>
      </c>
      <c r="F30" s="6">
        <f>ROUND(F279,1)</f>
        <v>3088.8</v>
      </c>
      <c r="G30" s="7">
        <v>3088.8</v>
      </c>
      <c r="H30" s="6">
        <f>(F30-G30)</f>
        <v>0.0</v>
      </c>
      <c r="I30" s="6">
        <f>ROUND(G279,1)</f>
        <v>3088.8</v>
      </c>
      <c r="J30" s="7">
        <v>3088.8</v>
      </c>
      <c r="K30" s="6">
        <f>(I30-J30)</f>
        <v>0.0</v>
      </c>
    </row>
    <row r="31" spans="1:11" ht="23" customHeight="1">
      <c r="A31" s="6">
        <v>4</v>
      </c>
      <c r="B31" s="6">
        <v>1</v>
      </c>
      <c r="C31" s="6">
        <v>121</v>
      </c>
      <c r="D31" s="6" t="s">
        <v>155</v>
      </c>
      <c r="E31" s="6">
        <v>3</v>
      </c>
      <c r="F31" s="6">
        <f>ROUND(F280,1)</f>
        <v>3088.8</v>
      </c>
      <c r="G31" s="7">
        <v>3088.8</v>
      </c>
      <c r="H31" s="6">
        <f>(F31-G31)</f>
        <v>0.0</v>
      </c>
      <c r="I31" s="6">
        <f>ROUND(G280,1)</f>
        <v>3088.8</v>
      </c>
      <c r="J31" s="7">
        <v>3088.8</v>
      </c>
      <c r="K31" s="6">
        <f>(I31-J31)</f>
        <v>0.0</v>
      </c>
    </row>
    <row r="32" spans="1:11" ht="23" customHeight="1">
      <c r="A32" s="6">
        <v>5</v>
      </c>
      <c r="B32" s="6">
        <v>2</v>
      </c>
      <c r="C32" s="6">
        <v>123</v>
      </c>
      <c r="D32" s="6" t="s">
        <v>155</v>
      </c>
      <c r="E32" s="6">
        <v>2</v>
      </c>
      <c r="F32" s="6">
        <f>ROUND(F281,1)</f>
        <v>1005.1</v>
      </c>
      <c r="G32" s="7">
        <v>1005.1</v>
      </c>
      <c r="H32" s="6">
        <f>(F32-G32)</f>
        <v>0.0</v>
      </c>
      <c r="I32" s="6">
        <f>ROUND(G281,1)</f>
        <v>1130.1</v>
      </c>
      <c r="J32" s="7">
        <v>1130.1</v>
      </c>
      <c r="K32" s="6">
        <f>(I32-J32)</f>
        <v>0.0</v>
      </c>
    </row>
    <row r="33" spans="1:11" ht="23" customHeight="1">
      <c r="A33" s="6">
        <v>5</v>
      </c>
      <c r="B33" s="6">
        <v>2</v>
      </c>
      <c r="C33" s="6">
        <v>124</v>
      </c>
      <c r="D33" s="6" t="s">
        <v>156</v>
      </c>
      <c r="E33" s="6">
        <v>2</v>
      </c>
      <c r="F33" s="6">
        <f>ROUND((SUM(I282,I283)/H108),1)</f>
        <v>1719.1</v>
      </c>
      <c r="G33" s="7">
        <v>1719.1</v>
      </c>
      <c r="H33" s="6">
        <f>(F33-G33)</f>
        <v>0.0</v>
      </c>
      <c r="I33" s="6">
        <f>ROUND((SUM(I282,I283)/H108),1)</f>
        <v>1719.1</v>
      </c>
      <c r="J33" s="7">
        <v>1719.1</v>
      </c>
      <c r="K33" s="6">
        <f>(I33-J33)</f>
        <v>0.0</v>
      </c>
    </row>
    <row r="34" spans="1:11" ht="23" customHeight="1">
      <c r="A34" s="6">
        <v>5</v>
      </c>
      <c r="B34" s="6">
        <v>2</v>
      </c>
      <c r="C34" s="6">
        <v>125</v>
      </c>
      <c r="D34" s="6" t="s">
        <v>156</v>
      </c>
      <c r="E34" s="6">
        <v>2</v>
      </c>
      <c r="F34" s="6">
        <f>ROUND((SUM(I284,I285)/H109),1)</f>
        <v>1285.3</v>
      </c>
      <c r="G34" s="7">
        <v>1285.3</v>
      </c>
      <c r="H34" s="6">
        <f>(F34-G34)</f>
        <v>0.0</v>
      </c>
      <c r="I34" s="6">
        <f>ROUND((SUM(I284,I285)/H109),1)</f>
        <v>1285.3</v>
      </c>
      <c r="J34" s="7">
        <v>1285.3</v>
      </c>
      <c r="K34" s="6">
        <f>(I34-J34)</f>
        <v>0.0</v>
      </c>
    </row>
    <row r="35" spans="1:11" ht="23" customHeight="1">
      <c r="A35" s="6">
        <v>5</v>
      </c>
      <c r="B35" s="6">
        <v>2</v>
      </c>
      <c r="C35" s="6">
        <v>126</v>
      </c>
      <c r="D35" s="6" t="s">
        <v>155</v>
      </c>
      <c r="E35" s="6">
        <v>2</v>
      </c>
      <c r="F35" s="6">
        <f>ROUND(F286,1)</f>
        <v>1170.0</v>
      </c>
      <c r="G35" s="7">
        <v>1170</v>
      </c>
      <c r="H35" s="6">
        <f>(F35-G35)</f>
        <v>0.0</v>
      </c>
      <c r="I35" s="6">
        <f>ROUND(G286,1)</f>
        <v>1170.0</v>
      </c>
      <c r="J35" s="7">
        <v>1170</v>
      </c>
      <c r="K35" s="6">
        <f>(I35-J35)</f>
        <v>0.0</v>
      </c>
    </row>
    <row r="36" spans="1:11" ht="23" customHeight="1">
      <c r="A36" s="6">
        <v>5</v>
      </c>
      <c r="B36" s="6">
        <v>2</v>
      </c>
      <c r="C36" s="6">
        <v>127</v>
      </c>
      <c r="D36" s="6" t="s">
        <v>156</v>
      </c>
      <c r="E36" s="6">
        <v>2</v>
      </c>
      <c r="F36" s="6">
        <f>ROUND((SUM(I287,I288)/H111),1)</f>
        <v>1732.3</v>
      </c>
      <c r="G36" s="7">
        <v>1732.3</v>
      </c>
      <c r="H36" s="6">
        <f>(F36-G36)</f>
        <v>0.0</v>
      </c>
      <c r="I36" s="6">
        <f>ROUND((SUM(I287,I288)/H111),1)</f>
        <v>1732.3</v>
      </c>
      <c r="J36" s="7">
        <v>1732.3</v>
      </c>
      <c r="K36" s="6">
        <f>(I36-J36)</f>
        <v>0.0</v>
      </c>
    </row>
    <row r="37" spans="1:11" ht="23" customHeight="1">
      <c r="A37" s="6">
        <v>5</v>
      </c>
      <c r="B37" s="6">
        <v>2</v>
      </c>
      <c r="C37" s="6">
        <v>128</v>
      </c>
      <c r="D37" s="6" t="s">
        <v>155</v>
      </c>
      <c r="E37" s="6">
        <v>2</v>
      </c>
      <c r="F37" s="6">
        <f>ROUND(F289,1)</f>
        <v>2137.2</v>
      </c>
      <c r="G37" s="7">
        <v>2137.2</v>
      </c>
      <c r="H37" s="6">
        <f>(F37-G37)</f>
        <v>0.0</v>
      </c>
      <c r="I37" s="6">
        <f>ROUND(G289,1)</f>
        <v>2310.9</v>
      </c>
      <c r="J37" s="7">
        <v>2310.9</v>
      </c>
      <c r="K37" s="6">
        <f>(I37-J37)</f>
        <v>0.0</v>
      </c>
    </row>
    <row r="38" spans="1:11" ht="23" customHeight="1">
      <c r="A38" s="6">
        <v>5</v>
      </c>
      <c r="B38" s="6">
        <v>2</v>
      </c>
      <c r="C38" s="6">
        <v>129</v>
      </c>
      <c r="D38" s="6" t="s">
        <v>156</v>
      </c>
      <c r="E38" s="6">
        <v>2</v>
      </c>
      <c r="F38" s="6">
        <f>ROUND((SUM(I290,I291,I292)/H113),1)</f>
        <v>3391.1</v>
      </c>
      <c r="G38" s="7">
        <v>3391.1</v>
      </c>
      <c r="H38" s="6">
        <f>(F38-G38)</f>
        <v>0.0</v>
      </c>
      <c r="I38" s="6">
        <f>ROUND((SUM(I290,I291,I292)/H113),1)</f>
        <v>3391.1</v>
      </c>
      <c r="J38" s="7">
        <v>3391.1</v>
      </c>
      <c r="K38" s="6">
        <f>(I38-J38)</f>
        <v>0.0</v>
      </c>
    </row>
    <row r="39" spans="1:11" ht="23" customHeight="1">
      <c r="A39" s="6">
        <v>5</v>
      </c>
      <c r="B39" s="6">
        <v>2</v>
      </c>
      <c r="C39" s="6">
        <v>130</v>
      </c>
      <c r="D39" s="6" t="s">
        <v>155</v>
      </c>
      <c r="E39" s="6">
        <v>2</v>
      </c>
      <c r="F39" s="6">
        <f>ROUND(F293,1)</f>
        <v>2576.3</v>
      </c>
      <c r="G39" s="7">
        <v>2576.3</v>
      </c>
      <c r="H39" s="6">
        <f>(F39-G39)</f>
        <v>0.0</v>
      </c>
      <c r="I39" s="6">
        <f>ROUND(G293,1)</f>
        <v>2757.7</v>
      </c>
      <c r="J39" s="7">
        <v>2757.7</v>
      </c>
      <c r="K39" s="6">
        <f>(I39-J39)</f>
        <v>0.0</v>
      </c>
    </row>
    <row r="40" spans="1:11" ht="23" customHeight="1">
      <c r="A40" s="6">
        <v>5</v>
      </c>
      <c r="B40" s="6">
        <v>2</v>
      </c>
      <c r="C40" s="6">
        <v>131</v>
      </c>
      <c r="D40" s="6" t="s">
        <v>155</v>
      </c>
      <c r="E40" s="6">
        <v>2</v>
      </c>
      <c r="F40" s="6">
        <f>ROUND(F294,1)</f>
        <v>2757.7</v>
      </c>
      <c r="G40" s="7">
        <v>2757.7</v>
      </c>
      <c r="H40" s="6">
        <f>(F40-G40)</f>
        <v>0.0</v>
      </c>
      <c r="I40" s="6">
        <f>ROUND(G294,1)</f>
        <v>2939.2</v>
      </c>
      <c r="J40" s="7">
        <v>2939.2</v>
      </c>
      <c r="K40" s="6">
        <f>(I40-J40)</f>
        <v>0.0</v>
      </c>
    </row>
    <row r="41" spans="1:11" ht="23" customHeight="1">
      <c r="A41" s="6">
        <v>5</v>
      </c>
      <c r="B41" s="6">
        <v>2</v>
      </c>
      <c r="C41" s="6">
        <v>132</v>
      </c>
      <c r="D41" s="6" t="s">
        <v>155</v>
      </c>
      <c r="E41" s="6">
        <v>2</v>
      </c>
      <c r="F41" s="6">
        <f>ROUND(F295,1)</f>
        <v>2939.2</v>
      </c>
      <c r="G41" s="7">
        <v>2939.2</v>
      </c>
      <c r="H41" s="6">
        <f>(F41-G41)</f>
        <v>0.0</v>
      </c>
      <c r="I41" s="6">
        <f>ROUND(G295,1)</f>
        <v>3120.6</v>
      </c>
      <c r="J41" s="7">
        <v>3120.6</v>
      </c>
      <c r="K41" s="6">
        <f>(I41-J41)</f>
        <v>0.0</v>
      </c>
    </row>
    <row r="42" spans="1:11" ht="23" customHeight="1">
      <c r="A42" s="6">
        <v>5</v>
      </c>
      <c r="B42" s="6">
        <v>2</v>
      </c>
      <c r="C42" s="6">
        <v>133</v>
      </c>
      <c r="D42" s="6" t="s">
        <v>155</v>
      </c>
      <c r="E42" s="6">
        <v>2</v>
      </c>
      <c r="F42" s="6">
        <f>ROUND(F296,1)</f>
        <v>3120.6</v>
      </c>
      <c r="G42" s="7">
        <v>3120.6</v>
      </c>
      <c r="H42" s="6">
        <f>(F42-G42)</f>
        <v>0.0</v>
      </c>
      <c r="I42" s="6">
        <f>ROUND(G296,1)</f>
        <v>3302.0</v>
      </c>
      <c r="J42" s="7">
        <v>3302</v>
      </c>
      <c r="K42" s="6">
        <f>(I42-J42)</f>
        <v>0.0</v>
      </c>
    </row>
    <row r="43" spans="1:11" ht="23" customHeight="1">
      <c r="A43" s="6">
        <v>5</v>
      </c>
      <c r="B43" s="6">
        <v>2</v>
      </c>
      <c r="C43" s="6">
        <v>134</v>
      </c>
      <c r="D43" s="6" t="s">
        <v>155</v>
      </c>
      <c r="E43" s="6">
        <v>2</v>
      </c>
      <c r="F43" s="6">
        <f>ROUND(F297,1)</f>
        <v>3302.0</v>
      </c>
      <c r="G43" s="7">
        <v>3302</v>
      </c>
      <c r="H43" s="6">
        <f>(F43-G43)</f>
        <v>0.0</v>
      </c>
      <c r="I43" s="6">
        <f>ROUND(G297,1)</f>
        <v>3483.4</v>
      </c>
      <c r="J43" s="7">
        <v>3483.4</v>
      </c>
      <c r="K43" s="6">
        <f>(I43-J43)</f>
        <v>0.0</v>
      </c>
    </row>
    <row r="44" spans="1:11" ht="23" customHeight="1">
      <c r="A44" s="6">
        <v>5</v>
      </c>
      <c r="B44" s="6">
        <v>2</v>
      </c>
      <c r="C44" s="6">
        <v>135</v>
      </c>
      <c r="D44" s="6" t="s">
        <v>155</v>
      </c>
      <c r="E44" s="6">
        <v>2</v>
      </c>
      <c r="F44" s="6">
        <f>ROUND(F298,1)</f>
        <v>3483.4</v>
      </c>
      <c r="G44" s="7">
        <v>3483.4</v>
      </c>
      <c r="H44" s="6">
        <f>(F44-G44)</f>
        <v>0.0</v>
      </c>
      <c r="I44" s="6">
        <f>ROUND(G298,1)</f>
        <v>3664.9</v>
      </c>
      <c r="J44" s="7">
        <v>3664.9</v>
      </c>
      <c r="K44" s="6">
        <f>(I44-J44)</f>
        <v>0.0</v>
      </c>
    </row>
    <row r="45" spans="1:11" ht="23" customHeight="1">
      <c r="A45" s="6">
        <v>5</v>
      </c>
      <c r="B45" s="6">
        <v>2</v>
      </c>
      <c r="C45" s="6">
        <v>136</v>
      </c>
      <c r="D45" s="6" t="s">
        <v>155</v>
      </c>
      <c r="E45" s="6">
        <v>2</v>
      </c>
      <c r="F45" s="6">
        <f>ROUND(F299,1)</f>
        <v>3664.9</v>
      </c>
      <c r="G45" s="7">
        <v>3664.9</v>
      </c>
      <c r="H45" s="6">
        <f>(F45-G45)</f>
        <v>0.0</v>
      </c>
      <c r="I45" s="6">
        <f>ROUND(G299,1)</f>
        <v>3846.3</v>
      </c>
      <c r="J45" s="7">
        <v>3846.3</v>
      </c>
      <c r="K45" s="6">
        <f>(I45-J45)</f>
        <v>0.0</v>
      </c>
    </row>
    <row r="46" spans="1:11" ht="23" customHeight="1">
      <c r="A46" s="6">
        <v>5</v>
      </c>
      <c r="B46" s="6">
        <v>2</v>
      </c>
      <c r="C46" s="6">
        <v>137</v>
      </c>
      <c r="D46" s="6" t="s">
        <v>156</v>
      </c>
      <c r="E46" s="6">
        <v>2</v>
      </c>
      <c r="F46" s="6">
        <f>ROUND((SUM(I300,I301)/H121),1)</f>
        <v>2336.3</v>
      </c>
      <c r="G46" s="7">
        <v>2336.3</v>
      </c>
      <c r="H46" s="6">
        <f>(F46-G46)</f>
        <v>0.0</v>
      </c>
      <c r="I46" s="6">
        <f>ROUND((SUM(I300,I301)/H121),1)</f>
        <v>2336.3</v>
      </c>
      <c r="J46" s="7">
        <v>2336.3</v>
      </c>
      <c r="K46" s="6">
        <f>(I46-J46)</f>
        <v>0.0</v>
      </c>
    </row>
    <row r="47" spans="1:11" ht="23" customHeight="1">
      <c r="A47" s="6">
        <v>5</v>
      </c>
      <c r="B47" s="6">
        <v>2</v>
      </c>
      <c r="C47" s="6">
        <v>138</v>
      </c>
      <c r="D47" s="6" t="s">
        <v>155</v>
      </c>
      <c r="E47" s="6">
        <v>2</v>
      </c>
      <c r="F47" s="6">
        <f>ROUND(F302,1)</f>
        <v>2059.2</v>
      </c>
      <c r="G47" s="7">
        <v>2059.2</v>
      </c>
      <c r="H47" s="6">
        <f>(F47-G47)</f>
        <v>0.0</v>
      </c>
      <c r="I47" s="6">
        <f>ROUND(G302,1)</f>
        <v>2059.2</v>
      </c>
      <c r="J47" s="7">
        <v>2059.2</v>
      </c>
      <c r="K47" s="6">
        <f>(I47-J47)</f>
        <v>0.0</v>
      </c>
    </row>
    <row r="48" spans="1:11" ht="23" customHeight="1">
      <c r="A48" s="6">
        <v>5</v>
      </c>
      <c r="B48" s="6">
        <v>2</v>
      </c>
      <c r="C48" s="6">
        <v>139</v>
      </c>
      <c r="D48" s="6" t="s">
        <v>155</v>
      </c>
      <c r="E48" s="6">
        <v>2</v>
      </c>
      <c r="F48" s="6">
        <f>ROUND(F303,1)</f>
        <v>2059.2</v>
      </c>
      <c r="G48" s="7">
        <v>2059.2</v>
      </c>
      <c r="H48" s="6">
        <f>(F48-G48)</f>
        <v>0.0</v>
      </c>
      <c r="I48" s="6">
        <f>ROUND(G303,1)</f>
        <v>2059.2</v>
      </c>
      <c r="J48" s="7">
        <v>2059.2</v>
      </c>
      <c r="K48" s="6">
        <f>(I48-J48)</f>
        <v>0.0</v>
      </c>
    </row>
    <row r="49" spans="1:11" ht="23" customHeight="1">
      <c r="A49" s="6">
        <v>5</v>
      </c>
      <c r="B49" s="6">
        <v>2</v>
      </c>
      <c r="C49" s="6">
        <v>140</v>
      </c>
      <c r="D49" s="6" t="s">
        <v>155</v>
      </c>
      <c r="E49" s="6">
        <v>2</v>
      </c>
      <c r="F49" s="6">
        <f>ROUND(F304,1)</f>
        <v>2059.2</v>
      </c>
      <c r="G49" s="7">
        <v>2059.2</v>
      </c>
      <c r="H49" s="6">
        <f>(F49-G49)</f>
        <v>0.0</v>
      </c>
      <c r="I49" s="6">
        <f>ROUND(G304,1)</f>
        <v>2059.2</v>
      </c>
      <c r="J49" s="7">
        <v>2059.2</v>
      </c>
      <c r="K49" s="6">
        <f>(I49-J49)</f>
        <v>0.0</v>
      </c>
    </row>
    <row r="50" spans="1:11" ht="23" customHeight="1">
      <c r="A50" s="6">
        <v>5</v>
      </c>
      <c r="B50" s="6">
        <v>2</v>
      </c>
      <c r="C50" s="6">
        <v>141</v>
      </c>
      <c r="D50" s="6" t="s">
        <v>155</v>
      </c>
      <c r="E50" s="6">
        <v>2</v>
      </c>
      <c r="F50" s="6">
        <f>ROUND(F305,1)</f>
        <v>2059.2</v>
      </c>
      <c r="G50" s="7">
        <v>2059.2</v>
      </c>
      <c r="H50" s="6">
        <f>(F50-G50)</f>
        <v>0.0</v>
      </c>
      <c r="I50" s="6">
        <f>ROUND(G305,1)</f>
        <v>2059.2</v>
      </c>
      <c r="J50" s="7">
        <v>2059.2</v>
      </c>
      <c r="K50" s="6">
        <f>(I50-J50)</f>
        <v>0.0</v>
      </c>
    </row>
    <row r="51" spans="1:11" ht="23" customHeight="1">
      <c r="A51" s="6">
        <v>5</v>
      </c>
      <c r="B51" s="6">
        <v>2</v>
      </c>
      <c r="C51" s="6">
        <v>142</v>
      </c>
      <c r="D51" s="6" t="s">
        <v>155</v>
      </c>
      <c r="E51" s="6">
        <v>2</v>
      </c>
      <c r="F51" s="6">
        <f>ROUND(F306,1)</f>
        <v>2059.2</v>
      </c>
      <c r="G51" s="7">
        <v>2059.2</v>
      </c>
      <c r="H51" s="6">
        <f>(F51-G51)</f>
        <v>0.0</v>
      </c>
      <c r="I51" s="6">
        <f>ROUND(G306,1)</f>
        <v>2059.2</v>
      </c>
      <c r="J51" s="7">
        <v>2059.2</v>
      </c>
      <c r="K51" s="6">
        <f>(I51-J51)</f>
        <v>0.0</v>
      </c>
    </row>
    <row r="52" spans="1:11" ht="23" customHeight="1">
      <c r="A52" s="6">
        <v>5</v>
      </c>
      <c r="B52" s="6">
        <v>2</v>
      </c>
      <c r="C52" s="6">
        <v>143</v>
      </c>
      <c r="D52" s="6" t="s">
        <v>155</v>
      </c>
      <c r="E52" s="6">
        <v>2</v>
      </c>
      <c r="F52" s="6">
        <f>ROUND(F307,1)</f>
        <v>2059.2</v>
      </c>
      <c r="G52" s="7">
        <v>2059.2</v>
      </c>
      <c r="H52" s="6">
        <f>(F52-G52)</f>
        <v>0.0</v>
      </c>
      <c r="I52" s="6">
        <f>ROUND(G307,1)</f>
        <v>2059.2</v>
      </c>
      <c r="J52" s="7">
        <v>2059.2</v>
      </c>
      <c r="K52" s="6">
        <f>(I52-J52)</f>
        <v>0.0</v>
      </c>
    </row>
    <row r="53" spans="1:11" ht="23" customHeight="1">
      <c r="A53" s="6">
        <v>5</v>
      </c>
      <c r="B53" s="6">
        <v>2</v>
      </c>
      <c r="C53" s="6">
        <v>144</v>
      </c>
      <c r="D53" s="6" t="s">
        <v>155</v>
      </c>
      <c r="E53" s="6">
        <v>2</v>
      </c>
      <c r="F53" s="6">
        <f>ROUND(F308,1)</f>
        <v>2059.2</v>
      </c>
      <c r="G53" s="7">
        <v>2059.2</v>
      </c>
      <c r="H53" s="6">
        <f>(F53-G53)</f>
        <v>0.0</v>
      </c>
      <c r="I53" s="6">
        <f>ROUND(G308,1)</f>
        <v>2059.2</v>
      </c>
      <c r="J53" s="7">
        <v>2059.2</v>
      </c>
      <c r="K53" s="6">
        <f>(I53-J53)</f>
        <v>0.0</v>
      </c>
    </row>
    <row r="54" spans="1:11" ht="23" customHeight="1">
      <c r="A54" s="6">
        <v>5</v>
      </c>
      <c r="B54" s="6">
        <v>2</v>
      </c>
      <c r="C54" s="6">
        <v>145</v>
      </c>
      <c r="D54" s="6" t="s">
        <v>155</v>
      </c>
      <c r="E54" s="6">
        <v>2</v>
      </c>
      <c r="F54" s="6">
        <f>ROUND(F309,1)</f>
        <v>2059.2</v>
      </c>
      <c r="G54" s="7">
        <v>2059.2</v>
      </c>
      <c r="H54" s="6">
        <f>(F54-G54)</f>
        <v>0.0</v>
      </c>
      <c r="I54" s="6">
        <f>ROUND(G309,1)</f>
        <v>2059.2</v>
      </c>
      <c r="J54" s="7">
        <v>2059.2</v>
      </c>
      <c r="K54" s="6">
        <f>(I54-J54)</f>
        <v>0.0</v>
      </c>
    </row>
    <row r="55" spans="1:11" ht="23" customHeight="1">
      <c r="A55" s="6">
        <v>5</v>
      </c>
      <c r="B55" s="6">
        <v>2</v>
      </c>
      <c r="C55" s="6">
        <v>146</v>
      </c>
      <c r="D55" s="6" t="s">
        <v>155</v>
      </c>
      <c r="E55" s="6">
        <v>2</v>
      </c>
      <c r="F55" s="6">
        <f>ROUND(F310,1)</f>
        <v>2059.2</v>
      </c>
      <c r="G55" s="7">
        <v>2059.2</v>
      </c>
      <c r="H55" s="6">
        <f>(F55-G55)</f>
        <v>0.0</v>
      </c>
      <c r="I55" s="6">
        <f>ROUND(G310,1)</f>
        <v>2059.2</v>
      </c>
      <c r="J55" s="7">
        <v>2059.2</v>
      </c>
      <c r="K55" s="6">
        <f>(I55-J55)</f>
        <v>0.0</v>
      </c>
    </row>
    <row r="56" spans="1:11" ht="23" customHeight="1">
      <c r="A56" s="6">
        <v>6</v>
      </c>
      <c r="B56" s="6">
        <v>3</v>
      </c>
      <c r="C56" s="6">
        <v>148</v>
      </c>
      <c r="D56" s="6" t="s">
        <v>155</v>
      </c>
      <c r="E56" s="6">
        <v>1</v>
      </c>
      <c r="F56" s="6">
        <f>ROUND(F311,1)</f>
        <v>2907.3</v>
      </c>
      <c r="G56" s="7">
        <v>2907.3</v>
      </c>
      <c r="H56" s="6">
        <f>(F56-G56)</f>
        <v>0.0</v>
      </c>
      <c r="I56" s="6">
        <f>ROUND(G311,1)</f>
        <v>3268.7</v>
      </c>
      <c r="J56" s="7">
        <v>3268.7</v>
      </c>
      <c r="K56" s="6">
        <f>(I56-J56)</f>
        <v>0.0</v>
      </c>
    </row>
    <row r="57" spans="1:11" ht="23" customHeight="1">
      <c r="A57" s="6">
        <v>6</v>
      </c>
      <c r="B57" s="6">
        <v>3</v>
      </c>
      <c r="C57" s="6">
        <v>149</v>
      </c>
      <c r="D57" s="6" t="s">
        <v>156</v>
      </c>
      <c r="E57" s="6">
        <v>1</v>
      </c>
      <c r="F57" s="6">
        <f>ROUND((SUM(I312,I313)/H132),1)</f>
        <v>4972.5</v>
      </c>
      <c r="G57" s="7">
        <v>4972.5</v>
      </c>
      <c r="H57" s="6">
        <f>(F57-G57)</f>
        <v>0.0</v>
      </c>
      <c r="I57" s="6">
        <f>ROUND((SUM(I312,I313)/H132),1)</f>
        <v>4972.5</v>
      </c>
      <c r="J57" s="7">
        <v>4972.5</v>
      </c>
      <c r="K57" s="6">
        <f>(I57-J57)</f>
        <v>0.0</v>
      </c>
    </row>
    <row r="58" spans="1:11" ht="23" customHeight="1">
      <c r="A58" s="6">
        <v>6</v>
      </c>
      <c r="B58" s="6">
        <v>3</v>
      </c>
      <c r="C58" s="6">
        <v>150</v>
      </c>
      <c r="D58" s="6" t="s">
        <v>156</v>
      </c>
      <c r="E58" s="6">
        <v>1</v>
      </c>
      <c r="F58" s="6">
        <f>ROUND((SUM(I314,I315)/H133),1)</f>
        <v>2339.1</v>
      </c>
      <c r="G58" s="7">
        <v>2339.1</v>
      </c>
      <c r="H58" s="6">
        <f>(F58-G58)</f>
        <v>0.0</v>
      </c>
      <c r="I58" s="6">
        <f>ROUND((SUM(I314,I315)/H133),1)</f>
        <v>2339.1</v>
      </c>
      <c r="J58" s="7">
        <v>2339.1</v>
      </c>
      <c r="K58" s="6">
        <f>(I58-J58)</f>
        <v>0.0</v>
      </c>
    </row>
    <row r="59" spans="1:11" ht="23" customHeight="1">
      <c r="A59" s="6">
        <v>6</v>
      </c>
      <c r="B59" s="6">
        <v>3</v>
      </c>
      <c r="C59" s="6">
        <v>151</v>
      </c>
      <c r="D59" s="6" t="s">
        <v>155</v>
      </c>
      <c r="E59" s="6">
        <v>1</v>
      </c>
      <c r="F59" s="6">
        <f>ROUND(F316,1)</f>
        <v>1755.0</v>
      </c>
      <c r="G59" s="7">
        <v>1755</v>
      </c>
      <c r="H59" s="6">
        <f>(F59-G59)</f>
        <v>0.0</v>
      </c>
      <c r="I59" s="6">
        <f>ROUND(G316,1)</f>
        <v>1755.0</v>
      </c>
      <c r="J59" s="7">
        <v>1755</v>
      </c>
      <c r="K59" s="6">
        <f>(I59-J59)</f>
        <v>0.0</v>
      </c>
    </row>
    <row r="60" spans="1:11" ht="23" customHeight="1">
      <c r="A60" s="6">
        <v>6</v>
      </c>
      <c r="B60" s="6">
        <v>3</v>
      </c>
      <c r="C60" s="6">
        <v>152</v>
      </c>
      <c r="D60" s="6" t="s">
        <v>156</v>
      </c>
      <c r="E60" s="6">
        <v>1</v>
      </c>
      <c r="F60" s="6">
        <f>ROUND((SUM(I317,I318)/H135),1)</f>
        <v>4384.1</v>
      </c>
      <c r="G60" s="7">
        <v>4384.1</v>
      </c>
      <c r="H60" s="6">
        <f>(F60-G60)</f>
        <v>0.0</v>
      </c>
      <c r="I60" s="6">
        <f>ROUND((SUM(I317,I318)/H135),1)</f>
        <v>4384.1</v>
      </c>
      <c r="J60" s="7">
        <v>4384.1</v>
      </c>
      <c r="K60" s="6">
        <f>(I60-J60)</f>
        <v>0.0</v>
      </c>
    </row>
    <row r="61" spans="1:11" ht="23" customHeight="1">
      <c r="A61" s="6">
        <v>6</v>
      </c>
      <c r="B61" s="6">
        <v>3</v>
      </c>
      <c r="C61" s="6">
        <v>153</v>
      </c>
      <c r="D61" s="6" t="s">
        <v>155</v>
      </c>
      <c r="E61" s="6">
        <v>1</v>
      </c>
      <c r="F61" s="6">
        <f>ROUND(F319,1)</f>
        <v>6181.8</v>
      </c>
      <c r="G61" s="7">
        <v>6181.8</v>
      </c>
      <c r="H61" s="6">
        <f>(F61-G61)</f>
        <v>0.0</v>
      </c>
      <c r="I61" s="6">
        <f>ROUND(G319,1)</f>
        <v>6684.3</v>
      </c>
      <c r="J61" s="7">
        <v>6684.3</v>
      </c>
      <c r="K61" s="6">
        <f>(I61-J61)</f>
        <v>0.0</v>
      </c>
    </row>
    <row r="62" spans="1:11" ht="23" customHeight="1">
      <c r="A62" s="6">
        <v>6</v>
      </c>
      <c r="B62" s="6">
        <v>3</v>
      </c>
      <c r="C62" s="6">
        <v>154</v>
      </c>
      <c r="D62" s="6" t="s">
        <v>156</v>
      </c>
      <c r="E62" s="6">
        <v>1</v>
      </c>
      <c r="F62" s="6">
        <f>ROUND((SUM(I320,I321,I322)/H137),1)</f>
        <v>6891.1</v>
      </c>
      <c r="G62" s="7">
        <v>6891.1</v>
      </c>
      <c r="H62" s="6">
        <f>(F62-G62)</f>
        <v>0.0</v>
      </c>
      <c r="I62" s="6">
        <f>ROUND((SUM(I320,I321,I322)/H137),1)</f>
        <v>6891.1</v>
      </c>
      <c r="J62" s="7">
        <v>6891.1</v>
      </c>
      <c r="K62" s="6">
        <f>(I62-J62)</f>
        <v>0.0</v>
      </c>
    </row>
    <row r="63" spans="1:11" ht="23" customHeight="1">
      <c r="A63" s="6">
        <v>6</v>
      </c>
      <c r="B63" s="6">
        <v>3</v>
      </c>
      <c r="C63" s="6">
        <v>155</v>
      </c>
      <c r="D63" s="6" t="s">
        <v>155</v>
      </c>
      <c r="E63" s="6">
        <v>1</v>
      </c>
      <c r="F63" s="6">
        <f>ROUND(F323,1)</f>
        <v>7451.9</v>
      </c>
      <c r="G63" s="7">
        <v>7451.9</v>
      </c>
      <c r="H63" s="6">
        <f>(F63-G63)</f>
        <v>0.0</v>
      </c>
      <c r="I63" s="6">
        <f>ROUND(G323,1)</f>
        <v>7976.7</v>
      </c>
      <c r="J63" s="7">
        <v>7976.7</v>
      </c>
      <c r="K63" s="6">
        <f>(I63-J63)</f>
        <v>0.0</v>
      </c>
    </row>
    <row r="64" spans="1:11" ht="23" customHeight="1">
      <c r="A64" s="6">
        <v>6</v>
      </c>
      <c r="B64" s="6">
        <v>3</v>
      </c>
      <c r="C64" s="6">
        <v>156</v>
      </c>
      <c r="D64" s="6" t="s">
        <v>155</v>
      </c>
      <c r="E64" s="6">
        <v>1</v>
      </c>
      <c r="F64" s="6">
        <f>ROUND(F324,1)</f>
        <v>7976.7</v>
      </c>
      <c r="G64" s="7">
        <v>7976.7</v>
      </c>
      <c r="H64" s="6">
        <f>(F64-G64)</f>
        <v>0.0</v>
      </c>
      <c r="I64" s="6">
        <f>ROUND(G324,1)</f>
        <v>8501.5</v>
      </c>
      <c r="J64" s="7">
        <v>8501.5</v>
      </c>
      <c r="K64" s="6">
        <f>(I64-J64)</f>
        <v>0.0</v>
      </c>
    </row>
    <row r="65" spans="1:11" ht="23" customHeight="1">
      <c r="A65" s="6">
        <v>6</v>
      </c>
      <c r="B65" s="6">
        <v>3</v>
      </c>
      <c r="C65" s="6">
        <v>157</v>
      </c>
      <c r="D65" s="6" t="s">
        <v>155</v>
      </c>
      <c r="E65" s="6">
        <v>1</v>
      </c>
      <c r="F65" s="6">
        <f>ROUND(F325,1)</f>
        <v>8501.5</v>
      </c>
      <c r="G65" s="7">
        <v>8501.5</v>
      </c>
      <c r="H65" s="6">
        <f>(F65-G65)</f>
        <v>0.0</v>
      </c>
      <c r="I65" s="6">
        <f>ROUND(G325,1)</f>
        <v>9026.3</v>
      </c>
      <c r="J65" s="7">
        <v>9026.299999999999</v>
      </c>
      <c r="K65" s="6">
        <f>(I65-J65)</f>
        <v>0.0</v>
      </c>
    </row>
    <row r="66" spans="1:11" ht="23" customHeight="1">
      <c r="A66" s="6">
        <v>6</v>
      </c>
      <c r="B66" s="6">
        <v>3</v>
      </c>
      <c r="C66" s="6">
        <v>158</v>
      </c>
      <c r="D66" s="6" t="s">
        <v>155</v>
      </c>
      <c r="E66" s="6">
        <v>1</v>
      </c>
      <c r="F66" s="6">
        <f>ROUND(F326,1)</f>
        <v>9026.3</v>
      </c>
      <c r="G66" s="7">
        <v>9026.299999999999</v>
      </c>
      <c r="H66" s="6">
        <f>(F66-G66)</f>
        <v>0.0</v>
      </c>
      <c r="I66" s="6">
        <f>ROUND(G326,1)</f>
        <v>9551.1</v>
      </c>
      <c r="J66" s="7">
        <v>9551.1</v>
      </c>
      <c r="K66" s="6">
        <f>(I66-J66)</f>
        <v>0.0</v>
      </c>
    </row>
    <row r="67" spans="1:11" ht="23" customHeight="1">
      <c r="A67" s="6">
        <v>6</v>
      </c>
      <c r="B67" s="6">
        <v>3</v>
      </c>
      <c r="C67" s="6">
        <v>159</v>
      </c>
      <c r="D67" s="6" t="s">
        <v>155</v>
      </c>
      <c r="E67" s="6">
        <v>1</v>
      </c>
      <c r="F67" s="6">
        <f>ROUND(F327,1)</f>
        <v>9551.1</v>
      </c>
      <c r="G67" s="7">
        <v>9551.1</v>
      </c>
      <c r="H67" s="6">
        <f>(F67-G67)</f>
        <v>0.0</v>
      </c>
      <c r="I67" s="6">
        <f>ROUND(G327,1)</f>
        <v>10075.9</v>
      </c>
      <c r="J67" s="7">
        <v>10075.9</v>
      </c>
      <c r="K67" s="6">
        <f>(I67-J67)</f>
        <v>0.0</v>
      </c>
    </row>
    <row r="68" spans="1:11" ht="23" customHeight="1">
      <c r="A68" s="6">
        <v>6</v>
      </c>
      <c r="B68" s="6">
        <v>3</v>
      </c>
      <c r="C68" s="6">
        <v>160</v>
      </c>
      <c r="D68" s="6" t="s">
        <v>155</v>
      </c>
      <c r="E68" s="6">
        <v>1</v>
      </c>
      <c r="F68" s="6">
        <f>ROUND(F328,1)</f>
        <v>10075.9</v>
      </c>
      <c r="G68" s="7">
        <v>10075.9</v>
      </c>
      <c r="H68" s="6">
        <f>(F68-G68)</f>
        <v>0.0</v>
      </c>
      <c r="I68" s="6">
        <f>ROUND(G328,1)</f>
        <v>10600.7</v>
      </c>
      <c r="J68" s="7">
        <v>10600.7</v>
      </c>
      <c r="K68" s="6">
        <f>(I68-J68)</f>
        <v>0.0</v>
      </c>
    </row>
    <row r="69" spans="1:11" ht="23" customHeight="1">
      <c r="A69" s="6">
        <v>6</v>
      </c>
      <c r="B69" s="6">
        <v>3</v>
      </c>
      <c r="C69" s="6">
        <v>161</v>
      </c>
      <c r="D69" s="6" t="s">
        <v>155</v>
      </c>
      <c r="E69" s="6">
        <v>1</v>
      </c>
      <c r="F69" s="6">
        <f>ROUND(F329,1)</f>
        <v>10600.7</v>
      </c>
      <c r="G69" s="7">
        <v>10600.7</v>
      </c>
      <c r="H69" s="6">
        <f>(F69-G69)</f>
        <v>0.0</v>
      </c>
      <c r="I69" s="6">
        <f>ROUND(G329,1)</f>
        <v>11125.5</v>
      </c>
      <c r="J69" s="7">
        <v>11125.5</v>
      </c>
      <c r="K69" s="6">
        <f>(I69-J69)</f>
        <v>0.0</v>
      </c>
    </row>
    <row r="70" spans="1:11" ht="23" customHeight="1">
      <c r="A70" s="6">
        <v>6</v>
      </c>
      <c r="B70" s="6">
        <v>3</v>
      </c>
      <c r="C70" s="6">
        <v>162</v>
      </c>
      <c r="D70" s="6" t="s">
        <v>156</v>
      </c>
      <c r="E70" s="6">
        <v>1</v>
      </c>
      <c r="F70" s="6">
        <f>ROUND((SUM(I330,I331)/H145),1)</f>
        <v>4331.4</v>
      </c>
      <c r="G70" s="7">
        <v>4331.4</v>
      </c>
      <c r="H70" s="6">
        <f>(F70-G70)</f>
        <v>0.0</v>
      </c>
      <c r="I70" s="6">
        <f>ROUND((SUM(I330,I331)/H145),1)</f>
        <v>4331.4</v>
      </c>
      <c r="J70" s="7">
        <v>4331.4</v>
      </c>
      <c r="K70" s="6">
        <f>(I70-J70)</f>
        <v>0.0</v>
      </c>
    </row>
    <row r="71" spans="1:11" ht="23" customHeight="1">
      <c r="A71" s="6">
        <v>6</v>
      </c>
      <c r="B71" s="6">
        <v>3</v>
      </c>
      <c r="C71" s="6">
        <v>163</v>
      </c>
      <c r="D71" s="6" t="s">
        <v>155</v>
      </c>
      <c r="E71" s="6">
        <v>1</v>
      </c>
      <c r="F71" s="6">
        <f>ROUND(F332,1)</f>
        <v>3088.8</v>
      </c>
      <c r="G71" s="7">
        <v>3088.8</v>
      </c>
      <c r="H71" s="6">
        <f>(F71-G71)</f>
        <v>0.0</v>
      </c>
      <c r="I71" s="6">
        <f>ROUND(G332,1)</f>
        <v>3088.8</v>
      </c>
      <c r="J71" s="7">
        <v>3088.8</v>
      </c>
      <c r="K71" s="6">
        <f>(I71-J71)</f>
        <v>0.0</v>
      </c>
    </row>
    <row r="72" spans="1:11" ht="23" customHeight="1">
      <c r="A72" s="6">
        <v>6</v>
      </c>
      <c r="B72" s="6">
        <v>3</v>
      </c>
      <c r="C72" s="6">
        <v>164</v>
      </c>
      <c r="D72" s="6" t="s">
        <v>155</v>
      </c>
      <c r="E72" s="6">
        <v>1</v>
      </c>
      <c r="F72" s="6">
        <f>ROUND(F333,1)</f>
        <v>3088.8</v>
      </c>
      <c r="G72" s="7">
        <v>3088.8</v>
      </c>
      <c r="H72" s="6">
        <f>(F72-G72)</f>
        <v>0.0</v>
      </c>
      <c r="I72" s="6">
        <f>ROUND(G333,1)</f>
        <v>3088.8</v>
      </c>
      <c r="J72" s="7">
        <v>3088.8</v>
      </c>
      <c r="K72" s="6">
        <f>(I72-J72)</f>
        <v>0.0</v>
      </c>
    </row>
    <row r="73" spans="1:11" ht="23" customHeight="1">
      <c r="A73" s="6">
        <v>6</v>
      </c>
      <c r="B73" s="6">
        <v>3</v>
      </c>
      <c r="C73" s="6">
        <v>165</v>
      </c>
      <c r="D73" s="6" t="s">
        <v>155</v>
      </c>
      <c r="E73" s="6">
        <v>1</v>
      </c>
      <c r="F73" s="6">
        <f>ROUND(F334,1)</f>
        <v>3088.8</v>
      </c>
      <c r="G73" s="7">
        <v>3088.8</v>
      </c>
      <c r="H73" s="6">
        <f>(F73-G73)</f>
        <v>0.0</v>
      </c>
      <c r="I73" s="6">
        <f>ROUND(G334,1)</f>
        <v>3088.8</v>
      </c>
      <c r="J73" s="7">
        <v>3088.8</v>
      </c>
      <c r="K73" s="6">
        <f>(I73-J73)</f>
        <v>0.0</v>
      </c>
    </row>
    <row r="74" spans="1:11" ht="23" customHeight="1">
      <c r="A74" s="6">
        <v>6</v>
      </c>
      <c r="B74" s="6">
        <v>3</v>
      </c>
      <c r="C74" s="6">
        <v>166</v>
      </c>
      <c r="D74" s="6" t="s">
        <v>155</v>
      </c>
      <c r="E74" s="6">
        <v>1</v>
      </c>
      <c r="F74" s="6">
        <f>ROUND(F335,1)</f>
        <v>3088.8</v>
      </c>
      <c r="G74" s="7">
        <v>3088.8</v>
      </c>
      <c r="H74" s="6">
        <f>(F74-G74)</f>
        <v>0.0</v>
      </c>
      <c r="I74" s="6">
        <f>ROUND(G335,1)</f>
        <v>3088.8</v>
      </c>
      <c r="J74" s="7">
        <v>3088.8</v>
      </c>
      <c r="K74" s="6">
        <f>(I74-J74)</f>
        <v>0.0</v>
      </c>
    </row>
    <row r="75" spans="1:11" ht="23" customHeight="1">
      <c r="A75" s="6">
        <v>6</v>
      </c>
      <c r="B75" s="6">
        <v>3</v>
      </c>
      <c r="C75" s="6">
        <v>167</v>
      </c>
      <c r="D75" s="6" t="s">
        <v>155</v>
      </c>
      <c r="E75" s="6">
        <v>1</v>
      </c>
      <c r="F75" s="6">
        <f>ROUND(F336,1)</f>
        <v>3088.8</v>
      </c>
      <c r="G75" s="7">
        <v>3088.8</v>
      </c>
      <c r="H75" s="6">
        <f>(F75-G75)</f>
        <v>0.0</v>
      </c>
      <c r="I75" s="6">
        <f>ROUND(G336,1)</f>
        <v>3088.8</v>
      </c>
      <c r="J75" s="7">
        <v>3088.8</v>
      </c>
      <c r="K75" s="6">
        <f>(I75-J75)</f>
        <v>0.0</v>
      </c>
    </row>
    <row r="76" spans="1:11" ht="23" customHeight="1">
      <c r="A76" s="6">
        <v>6</v>
      </c>
      <c r="B76" s="6">
        <v>3</v>
      </c>
      <c r="C76" s="6">
        <v>168</v>
      </c>
      <c r="D76" s="6" t="s">
        <v>155</v>
      </c>
      <c r="E76" s="6">
        <v>1</v>
      </c>
      <c r="F76" s="6">
        <f>ROUND(F337,1)</f>
        <v>3088.8</v>
      </c>
      <c r="G76" s="7">
        <v>3088.8</v>
      </c>
      <c r="H76" s="6">
        <f>(F76-G76)</f>
        <v>0.0</v>
      </c>
      <c r="I76" s="6">
        <f>ROUND(G337,1)</f>
        <v>3088.8</v>
      </c>
      <c r="J76" s="7">
        <v>3088.8</v>
      </c>
      <c r="K76" s="6">
        <f>(I76-J76)</f>
        <v>0.0</v>
      </c>
    </row>
    <row r="77" spans="1:11" ht="23" customHeight="1">
      <c r="A77" s="6">
        <v>6</v>
      </c>
      <c r="B77" s="6">
        <v>3</v>
      </c>
      <c r="C77" s="6">
        <v>169</v>
      </c>
      <c r="D77" s="6" t="s">
        <v>155</v>
      </c>
      <c r="E77" s="6">
        <v>1</v>
      </c>
      <c r="F77" s="6">
        <f>ROUND(F338,1)</f>
        <v>3088.8</v>
      </c>
      <c r="G77" s="7">
        <v>3088.8</v>
      </c>
      <c r="H77" s="6">
        <f>(F77-G77)</f>
        <v>0.0</v>
      </c>
      <c r="I77" s="6">
        <f>ROUND(G338,1)</f>
        <v>3088.8</v>
      </c>
      <c r="J77" s="7">
        <v>3088.8</v>
      </c>
      <c r="K77" s="6">
        <f>(I77-J77)</f>
        <v>0.0</v>
      </c>
    </row>
    <row r="78" spans="1:11" ht="23" customHeight="1">
      <c r="A78" s="6">
        <v>6</v>
      </c>
      <c r="B78" s="6">
        <v>3</v>
      </c>
      <c r="C78" s="6">
        <v>170</v>
      </c>
      <c r="D78" s="6" t="s">
        <v>155</v>
      </c>
      <c r="E78" s="6">
        <v>1</v>
      </c>
      <c r="F78" s="6">
        <f>ROUND(F339,1)</f>
        <v>3088.8</v>
      </c>
      <c r="G78" s="7">
        <v>3088.8</v>
      </c>
      <c r="H78" s="6">
        <f>(F78-G78)</f>
        <v>0.0</v>
      </c>
      <c r="I78" s="6">
        <f>ROUND(G339,1)</f>
        <v>3088.8</v>
      </c>
      <c r="J78" s="7">
        <v>3088.8</v>
      </c>
      <c r="K78" s="6">
        <f>(I78-J78)</f>
        <v>0.0</v>
      </c>
    </row>
    <row r="79" spans="1:11" ht="23" customHeight="1">
      <c r="A79" s="6">
        <v>6</v>
      </c>
      <c r="B79" s="6">
        <v>3</v>
      </c>
      <c r="C79" s="6">
        <v>171</v>
      </c>
      <c r="D79" s="6" t="s">
        <v>155</v>
      </c>
      <c r="E79" s="6">
        <v>1</v>
      </c>
      <c r="F79" s="6">
        <f>ROUND(F340,1)</f>
        <v>3088.8</v>
      </c>
      <c r="G79" s="7">
        <v>3088.8</v>
      </c>
      <c r="H79" s="6">
        <f>(F79-G79)</f>
        <v>0.0</v>
      </c>
      <c r="I79" s="6">
        <f>ROUND(G340,1)</f>
        <v>3088.8</v>
      </c>
      <c r="J79" s="7">
        <v>3088.8</v>
      </c>
      <c r="K79" s="6">
        <f>(I79-J79)</f>
        <v>0.0</v>
      </c>
    </row>
    <row r="80" spans="1:11" ht="23" customHeight="1"/>
    <row r="81" spans="1:12" ht="24" customHeight="1">
      <c r="A81" s="3" t="s">
        <v>56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36" customHeight="1">
      <c r="A82" s="4" t="s">
        <v>8</v>
      </c>
      <c r="B82" s="4" t="s">
        <v>9</v>
      </c>
      <c r="C82" s="4" t="s">
        <v>20</v>
      </c>
      <c r="D82" s="4" t="s">
        <v>57</v>
      </c>
      <c r="E82" s="4" t="s">
        <v>58</v>
      </c>
      <c r="F82" s="4" t="s">
        <v>59</v>
      </c>
      <c r="G82" s="4" t="s">
        <v>60</v>
      </c>
      <c r="H82" s="4" t="s">
        <v>61</v>
      </c>
    </row>
    <row r="83" spans="1:12" ht="23" customHeight="1">
      <c r="A83" s="6">
        <v>4</v>
      </c>
      <c r="B83" s="6">
        <v>1</v>
      </c>
      <c r="C83" s="6">
        <v>98</v>
      </c>
      <c r="D83" s="6">
        <v>98</v>
      </c>
      <c r="E83" s="6">
        <v>99</v>
      </c>
      <c r="F83" s="8">
        <v>0</v>
      </c>
      <c r="G83" s="8">
        <v>1.3</v>
      </c>
      <c r="H83" s="9">
        <f>ROUND((G83-F83),4)</f>
        <v>1.3</v>
      </c>
    </row>
    <row r="84" spans="1:12" ht="23" customHeight="1">
      <c r="A84" s="6">
        <v>4</v>
      </c>
      <c r="B84" s="6">
        <v>1</v>
      </c>
      <c r="C84" s="6">
        <v>99</v>
      </c>
      <c r="D84" s="6">
        <v>99</v>
      </c>
      <c r="E84" s="6">
        <v>100</v>
      </c>
      <c r="F84" s="8">
        <v>1.3</v>
      </c>
      <c r="G84" s="8">
        <v>2.6</v>
      </c>
      <c r="H84" s="9">
        <f>ROUND((G84-F84),4)</f>
        <v>1.3</v>
      </c>
    </row>
    <row r="85" spans="1:12" ht="23" customHeight="1">
      <c r="A85" s="6">
        <v>4</v>
      </c>
      <c r="B85" s="6">
        <v>1</v>
      </c>
      <c r="C85" s="6">
        <v>100</v>
      </c>
      <c r="D85" s="6">
        <v>100</v>
      </c>
      <c r="E85" s="6">
        <v>101</v>
      </c>
      <c r="F85" s="8">
        <v>2.6</v>
      </c>
      <c r="G85" s="8">
        <v>3.9</v>
      </c>
      <c r="H85" s="9">
        <f>ROUND((G85-F85),4)</f>
        <v>1.3</v>
      </c>
    </row>
    <row r="86" spans="1:12" ht="23" customHeight="1">
      <c r="A86" s="6">
        <v>4</v>
      </c>
      <c r="B86" s="6">
        <v>1</v>
      </c>
      <c r="C86" s="6">
        <v>101</v>
      </c>
      <c r="D86" s="6">
        <v>101</v>
      </c>
      <c r="E86" s="6">
        <v>102</v>
      </c>
      <c r="F86" s="8">
        <v>3.9</v>
      </c>
      <c r="G86" s="8">
        <v>5.2</v>
      </c>
      <c r="H86" s="9">
        <f>ROUND((G86-F86),4)</f>
        <v>1.3</v>
      </c>
    </row>
    <row r="87" spans="1:12" ht="23" customHeight="1">
      <c r="A87" s="6">
        <v>4</v>
      </c>
      <c r="B87" s="6">
        <v>1</v>
      </c>
      <c r="C87" s="6">
        <v>102</v>
      </c>
      <c r="D87" s="6">
        <v>102</v>
      </c>
      <c r="E87" s="6">
        <v>103</v>
      </c>
      <c r="F87" s="8">
        <v>5.2</v>
      </c>
      <c r="G87" s="8">
        <v>6.5</v>
      </c>
      <c r="H87" s="9">
        <f>ROUND((G87-F87),4)</f>
        <v>1.3</v>
      </c>
    </row>
    <row r="88" spans="1:12" ht="23" customHeight="1">
      <c r="A88" s="6">
        <v>4</v>
      </c>
      <c r="B88" s="6">
        <v>1</v>
      </c>
      <c r="C88" s="6">
        <v>103</v>
      </c>
      <c r="D88" s="6">
        <v>103</v>
      </c>
      <c r="E88" s="6">
        <v>104</v>
      </c>
      <c r="F88" s="8">
        <v>6.5</v>
      </c>
      <c r="G88" s="8">
        <v>7.8</v>
      </c>
      <c r="H88" s="9">
        <f>ROUND((G88-F88),4)</f>
        <v>1.3</v>
      </c>
    </row>
    <row r="89" spans="1:12" ht="23" customHeight="1">
      <c r="A89" s="6">
        <v>4</v>
      </c>
      <c r="B89" s="6">
        <v>1</v>
      </c>
      <c r="C89" s="6">
        <v>104</v>
      </c>
      <c r="D89" s="6">
        <v>104</v>
      </c>
      <c r="E89" s="6">
        <v>105</v>
      </c>
      <c r="F89" s="8">
        <v>7.8</v>
      </c>
      <c r="G89" s="8">
        <v>9.1</v>
      </c>
      <c r="H89" s="9">
        <f>ROUND((G89-F89),4)</f>
        <v>1.3</v>
      </c>
    </row>
    <row r="90" spans="1:12" ht="23" customHeight="1">
      <c r="A90" s="6">
        <v>4</v>
      </c>
      <c r="B90" s="6">
        <v>1</v>
      </c>
      <c r="C90" s="6">
        <v>105</v>
      </c>
      <c r="D90" s="6">
        <v>105</v>
      </c>
      <c r="E90" s="6">
        <v>106</v>
      </c>
      <c r="F90" s="8">
        <v>9.1</v>
      </c>
      <c r="G90" s="8">
        <v>10.4</v>
      </c>
      <c r="H90" s="9">
        <f>ROUND((G90-F90),4)</f>
        <v>1.3</v>
      </c>
    </row>
    <row r="91" spans="1:12" ht="23" customHeight="1">
      <c r="A91" s="6">
        <v>4</v>
      </c>
      <c r="B91" s="6">
        <v>1</v>
      </c>
      <c r="C91" s="6">
        <v>106</v>
      </c>
      <c r="D91" s="6">
        <v>106</v>
      </c>
      <c r="E91" s="6">
        <v>107</v>
      </c>
      <c r="F91" s="8">
        <v>10.4</v>
      </c>
      <c r="G91" s="8">
        <v>11.7</v>
      </c>
      <c r="H91" s="9">
        <f>ROUND((G91-F91),4)</f>
        <v>1.3</v>
      </c>
    </row>
    <row r="92" spans="1:12" ht="23" customHeight="1">
      <c r="A92" s="6">
        <v>4</v>
      </c>
      <c r="B92" s="6">
        <v>1</v>
      </c>
      <c r="C92" s="6">
        <v>107</v>
      </c>
      <c r="D92" s="6">
        <v>107</v>
      </c>
      <c r="E92" s="6">
        <v>108</v>
      </c>
      <c r="F92" s="8">
        <v>11.7</v>
      </c>
      <c r="G92" s="8">
        <v>13</v>
      </c>
      <c r="H92" s="9">
        <f>ROUND((G92-F92),4)</f>
        <v>1.3</v>
      </c>
    </row>
    <row r="93" spans="1:12" ht="23" customHeight="1">
      <c r="A93" s="6">
        <v>4</v>
      </c>
      <c r="B93" s="6">
        <v>1</v>
      </c>
      <c r="C93" s="6">
        <v>108</v>
      </c>
      <c r="D93" s="6">
        <v>108</v>
      </c>
      <c r="E93" s="6">
        <v>109</v>
      </c>
      <c r="F93" s="8">
        <v>13</v>
      </c>
      <c r="G93" s="8">
        <v>14.3</v>
      </c>
      <c r="H93" s="9">
        <f>ROUND((G93-F93),4)</f>
        <v>1.3</v>
      </c>
    </row>
    <row r="94" spans="1:12" ht="23" customHeight="1">
      <c r="A94" s="6">
        <v>4</v>
      </c>
      <c r="B94" s="6">
        <v>1</v>
      </c>
      <c r="C94" s="6">
        <v>109</v>
      </c>
      <c r="D94" s="6">
        <v>109</v>
      </c>
      <c r="E94" s="6">
        <v>110</v>
      </c>
      <c r="F94" s="8">
        <v>14.3</v>
      </c>
      <c r="G94" s="8">
        <v>15.6</v>
      </c>
      <c r="H94" s="9">
        <f>ROUND((G94-F94),4)</f>
        <v>1.3</v>
      </c>
    </row>
    <row r="95" spans="1:12" ht="23" customHeight="1">
      <c r="A95" s="6">
        <v>4</v>
      </c>
      <c r="B95" s="6">
        <v>1</v>
      </c>
      <c r="C95" s="6">
        <v>110</v>
      </c>
      <c r="D95" s="6">
        <v>110</v>
      </c>
      <c r="E95" s="6">
        <v>111</v>
      </c>
      <c r="F95" s="8">
        <v>15.6</v>
      </c>
      <c r="G95" s="8">
        <v>16.9</v>
      </c>
      <c r="H95" s="9">
        <f>ROUND((G95-F95),4)</f>
        <v>1.3</v>
      </c>
    </row>
    <row r="96" spans="1:12" ht="23" customHeight="1">
      <c r="A96" s="6">
        <v>4</v>
      </c>
      <c r="B96" s="6">
        <v>1</v>
      </c>
      <c r="C96" s="6">
        <v>111</v>
      </c>
      <c r="D96" s="6">
        <v>111</v>
      </c>
      <c r="E96" s="6">
        <v>112</v>
      </c>
      <c r="F96" s="8">
        <v>16.9</v>
      </c>
      <c r="G96" s="8">
        <v>18.2</v>
      </c>
      <c r="H96" s="9">
        <f>ROUND((G96-F96),4)</f>
        <v>1.3</v>
      </c>
    </row>
    <row r="97" spans="1:8" ht="23" customHeight="1">
      <c r="A97" s="6">
        <v>4</v>
      </c>
      <c r="B97" s="6">
        <v>1</v>
      </c>
      <c r="C97" s="6">
        <v>112</v>
      </c>
      <c r="D97" s="6">
        <v>112</v>
      </c>
      <c r="E97" s="6">
        <v>113</v>
      </c>
      <c r="F97" s="8">
        <v>18.2</v>
      </c>
      <c r="G97" s="8">
        <v>19.5</v>
      </c>
      <c r="H97" s="9">
        <f>ROUND((G97-F97),4)</f>
        <v>1.3</v>
      </c>
    </row>
    <row r="98" spans="1:8" ht="23" customHeight="1">
      <c r="A98" s="6">
        <v>4</v>
      </c>
      <c r="B98" s="6">
        <v>1</v>
      </c>
      <c r="C98" s="6">
        <v>113</v>
      </c>
      <c r="D98" s="6">
        <v>113</v>
      </c>
      <c r="E98" s="6">
        <v>114</v>
      </c>
      <c r="F98" s="8">
        <v>19.5</v>
      </c>
      <c r="G98" s="8">
        <v>20.8</v>
      </c>
      <c r="H98" s="9">
        <f>ROUND((G98-F98),4)</f>
        <v>1.3</v>
      </c>
    </row>
    <row r="99" spans="1:8" ht="23" customHeight="1">
      <c r="A99" s="6">
        <v>4</v>
      </c>
      <c r="B99" s="6">
        <v>1</v>
      </c>
      <c r="C99" s="6">
        <v>114</v>
      </c>
      <c r="D99" s="6">
        <v>114</v>
      </c>
      <c r="E99" s="6">
        <v>115</v>
      </c>
      <c r="F99" s="8">
        <v>20.8</v>
      </c>
      <c r="G99" s="8">
        <v>22.1</v>
      </c>
      <c r="H99" s="9">
        <f>ROUND((G99-F99),4)</f>
        <v>1.3</v>
      </c>
    </row>
    <row r="100" spans="1:8" ht="23" customHeight="1">
      <c r="A100" s="6">
        <v>4</v>
      </c>
      <c r="B100" s="6">
        <v>1</v>
      </c>
      <c r="C100" s="6">
        <v>115</v>
      </c>
      <c r="D100" s="6">
        <v>115</v>
      </c>
      <c r="E100" s="6">
        <v>116</v>
      </c>
      <c r="F100" s="8">
        <v>22.1</v>
      </c>
      <c r="G100" s="8">
        <v>23.4</v>
      </c>
      <c r="H100" s="9">
        <f>ROUND((G100-F100),4)</f>
        <v>1.3</v>
      </c>
    </row>
    <row r="101" spans="1:8" ht="23" customHeight="1">
      <c r="A101" s="6">
        <v>4</v>
      </c>
      <c r="B101" s="6">
        <v>1</v>
      </c>
      <c r="C101" s="6">
        <v>116</v>
      </c>
      <c r="D101" s="6">
        <v>116</v>
      </c>
      <c r="E101" s="6">
        <v>117</v>
      </c>
      <c r="F101" s="8">
        <v>23.4</v>
      </c>
      <c r="G101" s="8">
        <v>24.7</v>
      </c>
      <c r="H101" s="9">
        <f>ROUND((G101-F101),4)</f>
        <v>1.3</v>
      </c>
    </row>
    <row r="102" spans="1:8" ht="23" customHeight="1">
      <c r="A102" s="6">
        <v>4</v>
      </c>
      <c r="B102" s="6">
        <v>1</v>
      </c>
      <c r="C102" s="6">
        <v>117</v>
      </c>
      <c r="D102" s="6">
        <v>117</v>
      </c>
      <c r="E102" s="6">
        <v>118</v>
      </c>
      <c r="F102" s="8">
        <v>24.7</v>
      </c>
      <c r="G102" s="8">
        <v>26</v>
      </c>
      <c r="H102" s="9">
        <f>ROUND((G102-F102),4)</f>
        <v>1.3</v>
      </c>
    </row>
    <row r="103" spans="1:8" ht="23" customHeight="1">
      <c r="A103" s="6">
        <v>4</v>
      </c>
      <c r="B103" s="6">
        <v>1</v>
      </c>
      <c r="C103" s="6">
        <v>118</v>
      </c>
      <c r="D103" s="6">
        <v>118</v>
      </c>
      <c r="E103" s="6">
        <v>119</v>
      </c>
      <c r="F103" s="8">
        <v>26</v>
      </c>
      <c r="G103" s="8">
        <v>27.3</v>
      </c>
      <c r="H103" s="9">
        <f>ROUND((G103-F103),4)</f>
        <v>1.3</v>
      </c>
    </row>
    <row r="104" spans="1:8" ht="23" customHeight="1">
      <c r="A104" s="6">
        <v>4</v>
      </c>
      <c r="B104" s="6">
        <v>1</v>
      </c>
      <c r="C104" s="6">
        <v>119</v>
      </c>
      <c r="D104" s="6">
        <v>119</v>
      </c>
      <c r="E104" s="6">
        <v>120</v>
      </c>
      <c r="F104" s="8">
        <v>27.3</v>
      </c>
      <c r="G104" s="8">
        <v>28.6</v>
      </c>
      <c r="H104" s="9">
        <f>ROUND((G104-F104),4)</f>
        <v>1.3</v>
      </c>
    </row>
    <row r="105" spans="1:8" ht="23" customHeight="1">
      <c r="A105" s="6">
        <v>4</v>
      </c>
      <c r="B105" s="6">
        <v>1</v>
      </c>
      <c r="C105" s="6">
        <v>120</v>
      </c>
      <c r="D105" s="6">
        <v>120</v>
      </c>
      <c r="E105" s="6">
        <v>121</v>
      </c>
      <c r="F105" s="8">
        <v>28.6</v>
      </c>
      <c r="G105" s="8">
        <v>29.9</v>
      </c>
      <c r="H105" s="9">
        <f>ROUND((G105-F105),4)</f>
        <v>1.3</v>
      </c>
    </row>
    <row r="106" spans="1:8" ht="23" customHeight="1">
      <c r="A106" s="6">
        <v>4</v>
      </c>
      <c r="B106" s="6">
        <v>1</v>
      </c>
      <c r="C106" s="6">
        <v>121</v>
      </c>
      <c r="D106" s="6">
        <v>121</v>
      </c>
      <c r="E106" s="6">
        <v>122</v>
      </c>
      <c r="F106" s="8">
        <v>29.9</v>
      </c>
      <c r="G106" s="8">
        <v>31</v>
      </c>
      <c r="H106" s="9">
        <f>ROUND((G106-F106),4)</f>
        <v>1.1</v>
      </c>
    </row>
    <row r="107" spans="1:8" ht="23" customHeight="1">
      <c r="A107" s="6">
        <v>5</v>
      </c>
      <c r="B107" s="6">
        <v>2</v>
      </c>
      <c r="C107" s="6">
        <v>123</v>
      </c>
      <c r="D107" s="6">
        <v>123</v>
      </c>
      <c r="E107" s="6">
        <v>124</v>
      </c>
      <c r="F107" s="8">
        <v>0</v>
      </c>
      <c r="G107" s="8">
        <v>1.3</v>
      </c>
      <c r="H107" s="9">
        <f>ROUND((G107-F107),4)</f>
        <v>1.3</v>
      </c>
    </row>
    <row r="108" spans="1:8" ht="23" customHeight="1">
      <c r="A108" s="6">
        <v>5</v>
      </c>
      <c r="B108" s="6">
        <v>2</v>
      </c>
      <c r="C108" s="6">
        <v>124</v>
      </c>
      <c r="D108" s="6">
        <v>124</v>
      </c>
      <c r="E108" s="6">
        <v>125</v>
      </c>
      <c r="F108" s="8">
        <v>1.3</v>
      </c>
      <c r="G108" s="8">
        <v>2.6</v>
      </c>
      <c r="H108" s="9">
        <f>ROUND((G108-F108),4)</f>
        <v>1.3</v>
      </c>
    </row>
    <row r="109" spans="1:8" ht="23" customHeight="1">
      <c r="A109" s="6">
        <v>5</v>
      </c>
      <c r="B109" s="6">
        <v>2</v>
      </c>
      <c r="C109" s="6">
        <v>125</v>
      </c>
      <c r="D109" s="6">
        <v>125</v>
      </c>
      <c r="E109" s="6">
        <v>126</v>
      </c>
      <c r="F109" s="8">
        <v>2.6</v>
      </c>
      <c r="G109" s="8">
        <v>3.9</v>
      </c>
      <c r="H109" s="9">
        <f>ROUND((G109-F109),4)</f>
        <v>1.3</v>
      </c>
    </row>
    <row r="110" spans="1:8" ht="23" customHeight="1">
      <c r="A110" s="6">
        <v>5</v>
      </c>
      <c r="B110" s="6">
        <v>2</v>
      </c>
      <c r="C110" s="6">
        <v>126</v>
      </c>
      <c r="D110" s="6">
        <v>126</v>
      </c>
      <c r="E110" s="6">
        <v>127</v>
      </c>
      <c r="F110" s="8">
        <v>3.9</v>
      </c>
      <c r="G110" s="8">
        <v>5.2</v>
      </c>
      <c r="H110" s="9">
        <f>ROUND((G110-F110),4)</f>
        <v>1.3</v>
      </c>
    </row>
    <row r="111" spans="1:8" ht="23" customHeight="1">
      <c r="A111" s="6">
        <v>5</v>
      </c>
      <c r="B111" s="6">
        <v>2</v>
      </c>
      <c r="C111" s="6">
        <v>127</v>
      </c>
      <c r="D111" s="6">
        <v>127</v>
      </c>
      <c r="E111" s="6">
        <v>128</v>
      </c>
      <c r="F111" s="8">
        <v>5.2</v>
      </c>
      <c r="G111" s="8">
        <v>6.5</v>
      </c>
      <c r="H111" s="9">
        <f>ROUND((G111-F111),4)</f>
        <v>1.3</v>
      </c>
    </row>
    <row r="112" spans="1:8" ht="23" customHeight="1">
      <c r="A112" s="6">
        <v>5</v>
      </c>
      <c r="B112" s="6">
        <v>2</v>
      </c>
      <c r="C112" s="6">
        <v>128</v>
      </c>
      <c r="D112" s="6">
        <v>128</v>
      </c>
      <c r="E112" s="6">
        <v>129</v>
      </c>
      <c r="F112" s="8">
        <v>6.5</v>
      </c>
      <c r="G112" s="8">
        <v>7.8</v>
      </c>
      <c r="H112" s="9">
        <f>ROUND((G112-F112),4)</f>
        <v>1.3</v>
      </c>
    </row>
    <row r="113" spans="1:8" ht="23" customHeight="1">
      <c r="A113" s="6">
        <v>5</v>
      </c>
      <c r="B113" s="6">
        <v>2</v>
      </c>
      <c r="C113" s="6">
        <v>129</v>
      </c>
      <c r="D113" s="6">
        <v>129</v>
      </c>
      <c r="E113" s="6">
        <v>130</v>
      </c>
      <c r="F113" s="8">
        <v>7.8</v>
      </c>
      <c r="G113" s="8">
        <v>9.1</v>
      </c>
      <c r="H113" s="9">
        <f>ROUND((G113-F113),4)</f>
        <v>1.3</v>
      </c>
    </row>
    <row r="114" spans="1:8" ht="23" customHeight="1">
      <c r="A114" s="6">
        <v>5</v>
      </c>
      <c r="B114" s="6">
        <v>2</v>
      </c>
      <c r="C114" s="6">
        <v>130</v>
      </c>
      <c r="D114" s="6">
        <v>130</v>
      </c>
      <c r="E114" s="6">
        <v>131</v>
      </c>
      <c r="F114" s="8">
        <v>9.1</v>
      </c>
      <c r="G114" s="8">
        <v>10.4</v>
      </c>
      <c r="H114" s="9">
        <f>ROUND((G114-F114),4)</f>
        <v>1.3</v>
      </c>
    </row>
    <row r="115" spans="1:8" ht="23" customHeight="1">
      <c r="A115" s="6">
        <v>5</v>
      </c>
      <c r="B115" s="6">
        <v>2</v>
      </c>
      <c r="C115" s="6">
        <v>131</v>
      </c>
      <c r="D115" s="6">
        <v>131</v>
      </c>
      <c r="E115" s="6">
        <v>132</v>
      </c>
      <c r="F115" s="8">
        <v>10.4</v>
      </c>
      <c r="G115" s="8">
        <v>11.7</v>
      </c>
      <c r="H115" s="9">
        <f>ROUND((G115-F115),4)</f>
        <v>1.3</v>
      </c>
    </row>
    <row r="116" spans="1:8" ht="23" customHeight="1">
      <c r="A116" s="6">
        <v>5</v>
      </c>
      <c r="B116" s="6">
        <v>2</v>
      </c>
      <c r="C116" s="6">
        <v>132</v>
      </c>
      <c r="D116" s="6">
        <v>132</v>
      </c>
      <c r="E116" s="6">
        <v>133</v>
      </c>
      <c r="F116" s="8">
        <v>11.7</v>
      </c>
      <c r="G116" s="8">
        <v>13</v>
      </c>
      <c r="H116" s="9">
        <f>ROUND((G116-F116),4)</f>
        <v>1.3</v>
      </c>
    </row>
    <row r="117" spans="1:8" ht="23" customHeight="1">
      <c r="A117" s="6">
        <v>5</v>
      </c>
      <c r="B117" s="6">
        <v>2</v>
      </c>
      <c r="C117" s="6">
        <v>133</v>
      </c>
      <c r="D117" s="6">
        <v>133</v>
      </c>
      <c r="E117" s="6">
        <v>134</v>
      </c>
      <c r="F117" s="8">
        <v>13</v>
      </c>
      <c r="G117" s="8">
        <v>14.3</v>
      </c>
      <c r="H117" s="9">
        <f>ROUND((G117-F117),4)</f>
        <v>1.3</v>
      </c>
    </row>
    <row r="118" spans="1:8" ht="23" customHeight="1">
      <c r="A118" s="6">
        <v>5</v>
      </c>
      <c r="B118" s="6">
        <v>2</v>
      </c>
      <c r="C118" s="6">
        <v>134</v>
      </c>
      <c r="D118" s="6">
        <v>134</v>
      </c>
      <c r="E118" s="6">
        <v>135</v>
      </c>
      <c r="F118" s="8">
        <v>14.3</v>
      </c>
      <c r="G118" s="8">
        <v>15.6</v>
      </c>
      <c r="H118" s="9">
        <f>ROUND((G118-F118),4)</f>
        <v>1.3</v>
      </c>
    </row>
    <row r="119" spans="1:8" ht="23" customHeight="1">
      <c r="A119" s="6">
        <v>5</v>
      </c>
      <c r="B119" s="6">
        <v>2</v>
      </c>
      <c r="C119" s="6">
        <v>135</v>
      </c>
      <c r="D119" s="6">
        <v>135</v>
      </c>
      <c r="E119" s="6">
        <v>136</v>
      </c>
      <c r="F119" s="8">
        <v>15.6</v>
      </c>
      <c r="G119" s="8">
        <v>16.9</v>
      </c>
      <c r="H119" s="9">
        <f>ROUND((G119-F119),4)</f>
        <v>1.3</v>
      </c>
    </row>
    <row r="120" spans="1:8" ht="23" customHeight="1">
      <c r="A120" s="6">
        <v>5</v>
      </c>
      <c r="B120" s="6">
        <v>2</v>
      </c>
      <c r="C120" s="6">
        <v>136</v>
      </c>
      <c r="D120" s="6">
        <v>136</v>
      </c>
      <c r="E120" s="6">
        <v>137</v>
      </c>
      <c r="F120" s="8">
        <v>16.9</v>
      </c>
      <c r="G120" s="8">
        <v>18.2</v>
      </c>
      <c r="H120" s="9">
        <f>ROUND((G120-F120),4)</f>
        <v>1.3</v>
      </c>
    </row>
    <row r="121" spans="1:8" ht="23" customHeight="1">
      <c r="A121" s="6">
        <v>5</v>
      </c>
      <c r="B121" s="6">
        <v>2</v>
      </c>
      <c r="C121" s="6">
        <v>137</v>
      </c>
      <c r="D121" s="6">
        <v>137</v>
      </c>
      <c r="E121" s="6">
        <v>138</v>
      </c>
      <c r="F121" s="8">
        <v>18.2</v>
      </c>
      <c r="G121" s="8">
        <v>19.5</v>
      </c>
      <c r="H121" s="9">
        <f>ROUND((G121-F121),4)</f>
        <v>1.3</v>
      </c>
    </row>
    <row r="122" spans="1:8" ht="23" customHeight="1">
      <c r="A122" s="6">
        <v>5</v>
      </c>
      <c r="B122" s="6">
        <v>2</v>
      </c>
      <c r="C122" s="6">
        <v>138</v>
      </c>
      <c r="D122" s="6">
        <v>138</v>
      </c>
      <c r="E122" s="6">
        <v>139</v>
      </c>
      <c r="F122" s="8">
        <v>19.5</v>
      </c>
      <c r="G122" s="8">
        <v>20.8</v>
      </c>
      <c r="H122" s="9">
        <f>ROUND((G122-F122),4)</f>
        <v>1.3</v>
      </c>
    </row>
    <row r="123" spans="1:8" ht="23" customHeight="1">
      <c r="A123" s="6">
        <v>5</v>
      </c>
      <c r="B123" s="6">
        <v>2</v>
      </c>
      <c r="C123" s="6">
        <v>139</v>
      </c>
      <c r="D123" s="6">
        <v>139</v>
      </c>
      <c r="E123" s="6">
        <v>140</v>
      </c>
      <c r="F123" s="8">
        <v>20.8</v>
      </c>
      <c r="G123" s="8">
        <v>22.1</v>
      </c>
      <c r="H123" s="9">
        <f>ROUND((G123-F123),4)</f>
        <v>1.3</v>
      </c>
    </row>
    <row r="124" spans="1:8" ht="23" customHeight="1">
      <c r="A124" s="6">
        <v>5</v>
      </c>
      <c r="B124" s="6">
        <v>2</v>
      </c>
      <c r="C124" s="6">
        <v>140</v>
      </c>
      <c r="D124" s="6">
        <v>140</v>
      </c>
      <c r="E124" s="6">
        <v>141</v>
      </c>
      <c r="F124" s="8">
        <v>22.1</v>
      </c>
      <c r="G124" s="8">
        <v>23.4</v>
      </c>
      <c r="H124" s="9">
        <f>ROUND((G124-F124),4)</f>
        <v>1.3</v>
      </c>
    </row>
    <row r="125" spans="1:8" ht="23" customHeight="1">
      <c r="A125" s="6">
        <v>5</v>
      </c>
      <c r="B125" s="6">
        <v>2</v>
      </c>
      <c r="C125" s="6">
        <v>141</v>
      </c>
      <c r="D125" s="6">
        <v>141</v>
      </c>
      <c r="E125" s="6">
        <v>142</v>
      </c>
      <c r="F125" s="8">
        <v>23.4</v>
      </c>
      <c r="G125" s="8">
        <v>24.7</v>
      </c>
      <c r="H125" s="9">
        <f>ROUND((G125-F125),4)</f>
        <v>1.3</v>
      </c>
    </row>
    <row r="126" spans="1:8" ht="23" customHeight="1">
      <c r="A126" s="6">
        <v>5</v>
      </c>
      <c r="B126" s="6">
        <v>2</v>
      </c>
      <c r="C126" s="6">
        <v>142</v>
      </c>
      <c r="D126" s="6">
        <v>142</v>
      </c>
      <c r="E126" s="6">
        <v>143</v>
      </c>
      <c r="F126" s="8">
        <v>24.7</v>
      </c>
      <c r="G126" s="8">
        <v>26</v>
      </c>
      <c r="H126" s="9">
        <f>ROUND((G126-F126),4)</f>
        <v>1.3</v>
      </c>
    </row>
    <row r="127" spans="1:8" ht="23" customHeight="1">
      <c r="A127" s="6">
        <v>5</v>
      </c>
      <c r="B127" s="6">
        <v>2</v>
      </c>
      <c r="C127" s="6">
        <v>143</v>
      </c>
      <c r="D127" s="6">
        <v>143</v>
      </c>
      <c r="E127" s="6">
        <v>144</v>
      </c>
      <c r="F127" s="8">
        <v>26</v>
      </c>
      <c r="G127" s="8">
        <v>27.3</v>
      </c>
      <c r="H127" s="9">
        <f>ROUND((G127-F127),4)</f>
        <v>1.3</v>
      </c>
    </row>
    <row r="128" spans="1:8" ht="23" customHeight="1">
      <c r="A128" s="6">
        <v>5</v>
      </c>
      <c r="B128" s="6">
        <v>2</v>
      </c>
      <c r="C128" s="6">
        <v>144</v>
      </c>
      <c r="D128" s="6">
        <v>144</v>
      </c>
      <c r="E128" s="6">
        <v>145</v>
      </c>
      <c r="F128" s="8">
        <v>27.3</v>
      </c>
      <c r="G128" s="8">
        <v>28.6</v>
      </c>
      <c r="H128" s="9">
        <f>ROUND((G128-F128),4)</f>
        <v>1.3</v>
      </c>
    </row>
    <row r="129" spans="1:8" ht="23" customHeight="1">
      <c r="A129" s="6">
        <v>5</v>
      </c>
      <c r="B129" s="6">
        <v>2</v>
      </c>
      <c r="C129" s="6">
        <v>145</v>
      </c>
      <c r="D129" s="6">
        <v>145</v>
      </c>
      <c r="E129" s="6">
        <v>146</v>
      </c>
      <c r="F129" s="8">
        <v>28.6</v>
      </c>
      <c r="G129" s="8">
        <v>29.9</v>
      </c>
      <c r="H129" s="9">
        <f>ROUND((G129-F129),4)</f>
        <v>1.3</v>
      </c>
    </row>
    <row r="130" spans="1:8" ht="23" customHeight="1">
      <c r="A130" s="6">
        <v>5</v>
      </c>
      <c r="B130" s="6">
        <v>2</v>
      </c>
      <c r="C130" s="6">
        <v>146</v>
      </c>
      <c r="D130" s="6">
        <v>146</v>
      </c>
      <c r="E130" s="6">
        <v>147</v>
      </c>
      <c r="F130" s="8">
        <v>29.9</v>
      </c>
      <c r="G130" s="8">
        <v>31</v>
      </c>
      <c r="H130" s="9">
        <f>ROUND((G130-F130),4)</f>
        <v>1.1</v>
      </c>
    </row>
    <row r="131" spans="1:8" ht="23" customHeight="1">
      <c r="A131" s="6">
        <v>6</v>
      </c>
      <c r="B131" s="6">
        <v>3</v>
      </c>
      <c r="C131" s="6">
        <v>148</v>
      </c>
      <c r="D131" s="6">
        <v>148</v>
      </c>
      <c r="E131" s="6">
        <v>149</v>
      </c>
      <c r="F131" s="8">
        <v>0</v>
      </c>
      <c r="G131" s="8">
        <v>1.3</v>
      </c>
      <c r="H131" s="9">
        <f>ROUND((G131-F131),4)</f>
        <v>1.3</v>
      </c>
    </row>
    <row r="132" spans="1:8" ht="23" customHeight="1">
      <c r="A132" s="6">
        <v>6</v>
      </c>
      <c r="B132" s="6">
        <v>3</v>
      </c>
      <c r="C132" s="6">
        <v>149</v>
      </c>
      <c r="D132" s="6">
        <v>149</v>
      </c>
      <c r="E132" s="6">
        <v>150</v>
      </c>
      <c r="F132" s="8">
        <v>1.3</v>
      </c>
      <c r="G132" s="8">
        <v>2.6</v>
      </c>
      <c r="H132" s="9">
        <f>ROUND((G132-F132),4)</f>
        <v>1.3</v>
      </c>
    </row>
    <row r="133" spans="1:8" ht="23" customHeight="1">
      <c r="A133" s="6">
        <v>6</v>
      </c>
      <c r="B133" s="6">
        <v>3</v>
      </c>
      <c r="C133" s="6">
        <v>150</v>
      </c>
      <c r="D133" s="6">
        <v>150</v>
      </c>
      <c r="E133" s="6">
        <v>151</v>
      </c>
      <c r="F133" s="8">
        <v>2.6</v>
      </c>
      <c r="G133" s="8">
        <v>3.9</v>
      </c>
      <c r="H133" s="9">
        <f>ROUND((G133-F133),4)</f>
        <v>1.3</v>
      </c>
    </row>
    <row r="134" spans="1:8" ht="23" customHeight="1">
      <c r="A134" s="6">
        <v>6</v>
      </c>
      <c r="B134" s="6">
        <v>3</v>
      </c>
      <c r="C134" s="6">
        <v>151</v>
      </c>
      <c r="D134" s="6">
        <v>151</v>
      </c>
      <c r="E134" s="6">
        <v>152</v>
      </c>
      <c r="F134" s="8">
        <v>3.9</v>
      </c>
      <c r="G134" s="8">
        <v>5.2</v>
      </c>
      <c r="H134" s="9">
        <f>ROUND((G134-F134),4)</f>
        <v>1.3</v>
      </c>
    </row>
    <row r="135" spans="1:8" ht="23" customHeight="1">
      <c r="A135" s="6">
        <v>6</v>
      </c>
      <c r="B135" s="6">
        <v>3</v>
      </c>
      <c r="C135" s="6">
        <v>152</v>
      </c>
      <c r="D135" s="6">
        <v>152</v>
      </c>
      <c r="E135" s="6">
        <v>153</v>
      </c>
      <c r="F135" s="8">
        <v>5.2</v>
      </c>
      <c r="G135" s="8">
        <v>6.5</v>
      </c>
      <c r="H135" s="9">
        <f>ROUND((G135-F135),4)</f>
        <v>1.3</v>
      </c>
    </row>
    <row r="136" spans="1:8" ht="23" customHeight="1">
      <c r="A136" s="6">
        <v>6</v>
      </c>
      <c r="B136" s="6">
        <v>3</v>
      </c>
      <c r="C136" s="6">
        <v>153</v>
      </c>
      <c r="D136" s="6">
        <v>153</v>
      </c>
      <c r="E136" s="6">
        <v>154</v>
      </c>
      <c r="F136" s="8">
        <v>6.5</v>
      </c>
      <c r="G136" s="8">
        <v>7.8</v>
      </c>
      <c r="H136" s="9">
        <f>ROUND((G136-F136),4)</f>
        <v>1.3</v>
      </c>
    </row>
    <row r="137" spans="1:8" ht="23" customHeight="1">
      <c r="A137" s="6">
        <v>6</v>
      </c>
      <c r="B137" s="6">
        <v>3</v>
      </c>
      <c r="C137" s="6">
        <v>154</v>
      </c>
      <c r="D137" s="6">
        <v>154</v>
      </c>
      <c r="E137" s="6">
        <v>155</v>
      </c>
      <c r="F137" s="8">
        <v>7.8</v>
      </c>
      <c r="G137" s="8">
        <v>9.1</v>
      </c>
      <c r="H137" s="9">
        <f>ROUND((G137-F137),4)</f>
        <v>1.3</v>
      </c>
    </row>
    <row r="138" spans="1:8" ht="23" customHeight="1">
      <c r="A138" s="6">
        <v>6</v>
      </c>
      <c r="B138" s="6">
        <v>3</v>
      </c>
      <c r="C138" s="6">
        <v>155</v>
      </c>
      <c r="D138" s="6">
        <v>155</v>
      </c>
      <c r="E138" s="6">
        <v>156</v>
      </c>
      <c r="F138" s="8">
        <v>9.1</v>
      </c>
      <c r="G138" s="8">
        <v>10.4</v>
      </c>
      <c r="H138" s="9">
        <f>ROUND((G138-F138),4)</f>
        <v>1.3</v>
      </c>
    </row>
    <row r="139" spans="1:8" ht="23" customHeight="1">
      <c r="A139" s="6">
        <v>6</v>
      </c>
      <c r="B139" s="6">
        <v>3</v>
      </c>
      <c r="C139" s="6">
        <v>156</v>
      </c>
      <c r="D139" s="6">
        <v>156</v>
      </c>
      <c r="E139" s="6">
        <v>157</v>
      </c>
      <c r="F139" s="8">
        <v>10.4</v>
      </c>
      <c r="G139" s="8">
        <v>11.7</v>
      </c>
      <c r="H139" s="9">
        <f>ROUND((G139-F139),4)</f>
        <v>1.3</v>
      </c>
    </row>
    <row r="140" spans="1:8" ht="23" customHeight="1">
      <c r="A140" s="6">
        <v>6</v>
      </c>
      <c r="B140" s="6">
        <v>3</v>
      </c>
      <c r="C140" s="6">
        <v>157</v>
      </c>
      <c r="D140" s="6">
        <v>157</v>
      </c>
      <c r="E140" s="6">
        <v>158</v>
      </c>
      <c r="F140" s="8">
        <v>11.7</v>
      </c>
      <c r="G140" s="8">
        <v>13</v>
      </c>
      <c r="H140" s="9">
        <f>ROUND((G140-F140),4)</f>
        <v>1.3</v>
      </c>
    </row>
    <row r="141" spans="1:8" ht="23" customHeight="1">
      <c r="A141" s="6">
        <v>6</v>
      </c>
      <c r="B141" s="6">
        <v>3</v>
      </c>
      <c r="C141" s="6">
        <v>158</v>
      </c>
      <c r="D141" s="6">
        <v>158</v>
      </c>
      <c r="E141" s="6">
        <v>159</v>
      </c>
      <c r="F141" s="8">
        <v>13</v>
      </c>
      <c r="G141" s="8">
        <v>14.3</v>
      </c>
      <c r="H141" s="9">
        <f>ROUND((G141-F141),4)</f>
        <v>1.3</v>
      </c>
    </row>
    <row r="142" spans="1:8" ht="23" customHeight="1">
      <c r="A142" s="6">
        <v>6</v>
      </c>
      <c r="B142" s="6">
        <v>3</v>
      </c>
      <c r="C142" s="6">
        <v>159</v>
      </c>
      <c r="D142" s="6">
        <v>159</v>
      </c>
      <c r="E142" s="6">
        <v>160</v>
      </c>
      <c r="F142" s="8">
        <v>14.3</v>
      </c>
      <c r="G142" s="8">
        <v>15.6</v>
      </c>
      <c r="H142" s="9">
        <f>ROUND((G142-F142),4)</f>
        <v>1.3</v>
      </c>
    </row>
    <row r="143" spans="1:8" ht="23" customHeight="1">
      <c r="A143" s="6">
        <v>6</v>
      </c>
      <c r="B143" s="6">
        <v>3</v>
      </c>
      <c r="C143" s="6">
        <v>160</v>
      </c>
      <c r="D143" s="6">
        <v>160</v>
      </c>
      <c r="E143" s="6">
        <v>161</v>
      </c>
      <c r="F143" s="8">
        <v>15.6</v>
      </c>
      <c r="G143" s="8">
        <v>16.9</v>
      </c>
      <c r="H143" s="9">
        <f>ROUND((G143-F143),4)</f>
        <v>1.3</v>
      </c>
    </row>
    <row r="144" spans="1:8" ht="23" customHeight="1">
      <c r="A144" s="6">
        <v>6</v>
      </c>
      <c r="B144" s="6">
        <v>3</v>
      </c>
      <c r="C144" s="6">
        <v>161</v>
      </c>
      <c r="D144" s="6">
        <v>161</v>
      </c>
      <c r="E144" s="6">
        <v>162</v>
      </c>
      <c r="F144" s="8">
        <v>16.9</v>
      </c>
      <c r="G144" s="8">
        <v>18.2</v>
      </c>
      <c r="H144" s="9">
        <f>ROUND((G144-F144),4)</f>
        <v>1.3</v>
      </c>
    </row>
    <row r="145" spans="1:12" ht="23" customHeight="1">
      <c r="A145" s="6">
        <v>6</v>
      </c>
      <c r="B145" s="6">
        <v>3</v>
      </c>
      <c r="C145" s="6">
        <v>162</v>
      </c>
      <c r="D145" s="6">
        <v>162</v>
      </c>
      <c r="E145" s="6">
        <v>163</v>
      </c>
      <c r="F145" s="8">
        <v>18.2</v>
      </c>
      <c r="G145" s="8">
        <v>19.5</v>
      </c>
      <c r="H145" s="9">
        <f>ROUND((G145-F145),4)</f>
        <v>1.3</v>
      </c>
    </row>
    <row r="146" spans="1:12" ht="23" customHeight="1">
      <c r="A146" s="6">
        <v>6</v>
      </c>
      <c r="B146" s="6">
        <v>3</v>
      </c>
      <c r="C146" s="6">
        <v>163</v>
      </c>
      <c r="D146" s="6">
        <v>163</v>
      </c>
      <c r="E146" s="6">
        <v>164</v>
      </c>
      <c r="F146" s="8">
        <v>19.5</v>
      </c>
      <c r="G146" s="8">
        <v>20.8</v>
      </c>
      <c r="H146" s="9">
        <f>ROUND((G146-F146),4)</f>
        <v>1.3</v>
      </c>
    </row>
    <row r="147" spans="1:12" ht="23" customHeight="1">
      <c r="A147" s="6">
        <v>6</v>
      </c>
      <c r="B147" s="6">
        <v>3</v>
      </c>
      <c r="C147" s="6">
        <v>164</v>
      </c>
      <c r="D147" s="6">
        <v>164</v>
      </c>
      <c r="E147" s="6">
        <v>165</v>
      </c>
      <c r="F147" s="8">
        <v>20.8</v>
      </c>
      <c r="G147" s="8">
        <v>22.1</v>
      </c>
      <c r="H147" s="9">
        <f>ROUND((G147-F147),4)</f>
        <v>1.3</v>
      </c>
    </row>
    <row r="148" spans="1:12" ht="23" customHeight="1">
      <c r="A148" s="6">
        <v>6</v>
      </c>
      <c r="B148" s="6">
        <v>3</v>
      </c>
      <c r="C148" s="6">
        <v>165</v>
      </c>
      <c r="D148" s="6">
        <v>165</v>
      </c>
      <c r="E148" s="6">
        <v>166</v>
      </c>
      <c r="F148" s="8">
        <v>22.1</v>
      </c>
      <c r="G148" s="8">
        <v>23.4</v>
      </c>
      <c r="H148" s="9">
        <f>ROUND((G148-F148),4)</f>
        <v>1.3</v>
      </c>
    </row>
    <row r="149" spans="1:12" ht="23" customHeight="1">
      <c r="A149" s="6">
        <v>6</v>
      </c>
      <c r="B149" s="6">
        <v>3</v>
      </c>
      <c r="C149" s="6">
        <v>166</v>
      </c>
      <c r="D149" s="6">
        <v>166</v>
      </c>
      <c r="E149" s="6">
        <v>167</v>
      </c>
      <c r="F149" s="8">
        <v>23.4</v>
      </c>
      <c r="G149" s="8">
        <v>24.7</v>
      </c>
      <c r="H149" s="9">
        <f>ROUND((G149-F149),4)</f>
        <v>1.3</v>
      </c>
    </row>
    <row r="150" spans="1:12" ht="23" customHeight="1">
      <c r="A150" s="6">
        <v>6</v>
      </c>
      <c r="B150" s="6">
        <v>3</v>
      </c>
      <c r="C150" s="6">
        <v>167</v>
      </c>
      <c r="D150" s="6">
        <v>167</v>
      </c>
      <c r="E150" s="6">
        <v>168</v>
      </c>
      <c r="F150" s="8">
        <v>24.7</v>
      </c>
      <c r="G150" s="8">
        <v>26</v>
      </c>
      <c r="H150" s="9">
        <f>ROUND((G150-F150),4)</f>
        <v>1.3</v>
      </c>
    </row>
    <row r="151" spans="1:12" ht="23" customHeight="1">
      <c r="A151" s="6">
        <v>6</v>
      </c>
      <c r="B151" s="6">
        <v>3</v>
      </c>
      <c r="C151" s="6">
        <v>168</v>
      </c>
      <c r="D151" s="6">
        <v>168</v>
      </c>
      <c r="E151" s="6">
        <v>169</v>
      </c>
      <c r="F151" s="8">
        <v>26</v>
      </c>
      <c r="G151" s="8">
        <v>27.3</v>
      </c>
      <c r="H151" s="9">
        <f>ROUND((G151-F151),4)</f>
        <v>1.3</v>
      </c>
    </row>
    <row r="152" spans="1:12" ht="23" customHeight="1">
      <c r="A152" s="6">
        <v>6</v>
      </c>
      <c r="B152" s="6">
        <v>3</v>
      </c>
      <c r="C152" s="6">
        <v>169</v>
      </c>
      <c r="D152" s="6">
        <v>169</v>
      </c>
      <c r="E152" s="6">
        <v>170</v>
      </c>
      <c r="F152" s="8">
        <v>27.3</v>
      </c>
      <c r="G152" s="8">
        <v>28.6</v>
      </c>
      <c r="H152" s="9">
        <f>ROUND((G152-F152),4)</f>
        <v>1.3</v>
      </c>
    </row>
    <row r="153" spans="1:12" ht="23" customHeight="1">
      <c r="A153" s="6">
        <v>6</v>
      </c>
      <c r="B153" s="6">
        <v>3</v>
      </c>
      <c r="C153" s="6">
        <v>170</v>
      </c>
      <c r="D153" s="6">
        <v>170</v>
      </c>
      <c r="E153" s="6">
        <v>171</v>
      </c>
      <c r="F153" s="8">
        <v>28.6</v>
      </c>
      <c r="G153" s="8">
        <v>29.9</v>
      </c>
      <c r="H153" s="9">
        <f>ROUND((G153-F153),4)</f>
        <v>1.3</v>
      </c>
    </row>
    <row r="154" spans="1:12" ht="23" customHeight="1">
      <c r="A154" s="6">
        <v>6</v>
      </c>
      <c r="B154" s="6">
        <v>3</v>
      </c>
      <c r="C154" s="6">
        <v>171</v>
      </c>
      <c r="D154" s="6">
        <v>171</v>
      </c>
      <c r="E154" s="6">
        <v>172</v>
      </c>
      <c r="F154" s="8">
        <v>29.9</v>
      </c>
      <c r="G154" s="8">
        <v>31</v>
      </c>
      <c r="H154" s="9">
        <f>ROUND((G154-F154),4)</f>
        <v>1.1</v>
      </c>
    </row>
    <row r="155" spans="1:12" ht="23" customHeight="1"/>
    <row r="156" spans="1:12" ht="24" customHeight="1">
      <c r="A156" s="3" t="s">
        <v>157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36" customHeight="1">
      <c r="A157" s="4" t="s">
        <v>8</v>
      </c>
      <c r="B157" s="4" t="s">
        <v>20</v>
      </c>
      <c r="C157" s="4" t="s">
        <v>63</v>
      </c>
      <c r="D157" s="4" t="s">
        <v>64</v>
      </c>
      <c r="E157" s="4" t="s">
        <v>65</v>
      </c>
      <c r="F157" s="4" t="s">
        <v>66</v>
      </c>
      <c r="G157" s="4" t="s">
        <v>67</v>
      </c>
      <c r="H157" s="4" t="s">
        <v>68</v>
      </c>
      <c r="I157" s="4" t="s">
        <v>158</v>
      </c>
      <c r="J157" s="4" t="s">
        <v>159</v>
      </c>
      <c r="K157" s="4" t="s">
        <v>160</v>
      </c>
      <c r="L157" s="4" t="s">
        <v>161</v>
      </c>
    </row>
    <row r="158" spans="1:12" ht="23" customHeight="1">
      <c r="A158" s="6">
        <v>4</v>
      </c>
      <c r="B158" s="6">
        <v>98</v>
      </c>
      <c r="C158" s="6">
        <v>1</v>
      </c>
      <c r="D158" s="6">
        <v>187</v>
      </c>
      <c r="E158" s="8">
        <v>0</v>
      </c>
      <c r="F158" s="8">
        <v>1.5</v>
      </c>
      <c r="G158" s="9">
        <f>MAX(F83,E158)</f>
        <v>0.0</v>
      </c>
      <c r="H158" s="9">
        <f>MIN(G83,F158)</f>
        <v>1.3</v>
      </c>
      <c r="I158" s="9">
        <f>MAX(0,ROUND((H158-G158),4))</f>
        <v>1.3</v>
      </c>
      <c r="J158" s="10">
        <f>'入力根拠'!F55</f>
        <v>1162.9</v>
      </c>
      <c r="K158" s="10">
        <f>'入力根拠'!F56</f>
        <v>1329.7</v>
      </c>
      <c r="L158" s="6">
        <f>ROUND((F158-E158),4)</f>
        <v>1.5</v>
      </c>
    </row>
    <row r="159" spans="1:12" ht="23" customHeight="1">
      <c r="A159" s="6">
        <v>4</v>
      </c>
      <c r="B159" s="6">
        <v>99</v>
      </c>
      <c r="C159" s="6">
        <v>1</v>
      </c>
      <c r="D159" s="6">
        <v>187</v>
      </c>
      <c r="E159" s="8">
        <v>0</v>
      </c>
      <c r="F159" s="8">
        <v>1.5</v>
      </c>
      <c r="G159" s="9">
        <f>MAX(F84,E159)</f>
        <v>1.3</v>
      </c>
      <c r="H159" s="9">
        <f>MIN(G84,F159)</f>
        <v>1.5</v>
      </c>
      <c r="I159" s="9">
        <f>MAX(0,ROUND((H159-G159),4))</f>
        <v>0.2</v>
      </c>
      <c r="J159" s="10">
        <f>'入力根拠'!F55</f>
        <v>1162.9</v>
      </c>
      <c r="K159" s="10">
        <f>'入力根拠'!F56</f>
        <v>1329.7</v>
      </c>
      <c r="L159" s="6">
        <f>ROUND((F159-E159),4)</f>
        <v>1.5</v>
      </c>
    </row>
    <row r="160" spans="1:12" ht="23" customHeight="1">
      <c r="A160" s="6">
        <v>4</v>
      </c>
      <c r="B160" s="6">
        <v>99</v>
      </c>
      <c r="C160" s="6">
        <v>2</v>
      </c>
      <c r="D160" s="6">
        <v>188</v>
      </c>
      <c r="E160" s="8">
        <v>1.5</v>
      </c>
      <c r="F160" s="8">
        <v>2.8</v>
      </c>
      <c r="G160" s="9">
        <f>MAX(F84,E160)</f>
        <v>1.5</v>
      </c>
      <c r="H160" s="9">
        <f>MIN(G84,F160)</f>
        <v>2.6</v>
      </c>
      <c r="I160" s="9">
        <f>MAX(0,ROUND((H160-G160),4))</f>
        <v>1.1</v>
      </c>
      <c r="J160" s="10">
        <f>'入力根拠'!F57</f>
        <v>2018.1</v>
      </c>
      <c r="K160" s="10">
        <f>'入力根拠'!F58</f>
        <v>2237.4</v>
      </c>
      <c r="L160" s="6">
        <f>ROUND((F160-E160),4)</f>
        <v>1.3</v>
      </c>
    </row>
    <row r="161" spans="1:12" ht="23" customHeight="1">
      <c r="A161" s="6">
        <v>4</v>
      </c>
      <c r="B161" s="6">
        <v>100</v>
      </c>
      <c r="C161" s="6">
        <v>2</v>
      </c>
      <c r="D161" s="6">
        <v>188</v>
      </c>
      <c r="E161" s="8">
        <v>1.5</v>
      </c>
      <c r="F161" s="8">
        <v>2.8</v>
      </c>
      <c r="G161" s="9">
        <f>MAX(F85,E161)</f>
        <v>2.6</v>
      </c>
      <c r="H161" s="9">
        <f>MIN(G85,F161)</f>
        <v>2.8</v>
      </c>
      <c r="I161" s="9">
        <f>MAX(0,ROUND((H161-G161),4))</f>
        <v>0.2</v>
      </c>
      <c r="J161" s="10">
        <f>'入力根拠'!F57</f>
        <v>2018.1</v>
      </c>
      <c r="K161" s="10">
        <f>'入力根拠'!F58</f>
        <v>2237.4</v>
      </c>
      <c r="L161" s="6">
        <f>ROUND((F161-E161),4)</f>
        <v>1.3</v>
      </c>
    </row>
    <row r="162" spans="1:12" ht="23" customHeight="1">
      <c r="A162" s="6">
        <v>4</v>
      </c>
      <c r="B162" s="6">
        <v>100</v>
      </c>
      <c r="C162" s="6">
        <v>3</v>
      </c>
      <c r="D162" s="6">
        <v>189</v>
      </c>
      <c r="E162" s="8">
        <v>2.8</v>
      </c>
      <c r="F162" s="8">
        <v>5.7</v>
      </c>
      <c r="G162" s="9">
        <f>MAX(F85,E162)</f>
        <v>2.8</v>
      </c>
      <c r="H162" s="9">
        <f>MIN(G85,F162)</f>
        <v>3.9</v>
      </c>
      <c r="I162" s="9">
        <f>MAX(0,ROUND((H162-G162),4))</f>
        <v>1.1</v>
      </c>
      <c r="J162" s="10">
        <f>'入力根拠'!F59</f>
        <v>1755.0</v>
      </c>
      <c r="K162" s="10">
        <f>'入力根拠'!F60</f>
        <v>1755.0</v>
      </c>
      <c r="L162" s="6">
        <f>ROUND((F162-E162),4)</f>
        <v>2.9</v>
      </c>
    </row>
    <row r="163" spans="1:12" ht="23" customHeight="1">
      <c r="A163" s="6">
        <v>4</v>
      </c>
      <c r="B163" s="6">
        <v>101</v>
      </c>
      <c r="C163" s="6">
        <v>3</v>
      </c>
      <c r="D163" s="6">
        <v>189</v>
      </c>
      <c r="E163" s="8">
        <v>2.8</v>
      </c>
      <c r="F163" s="8">
        <v>5.7</v>
      </c>
      <c r="G163" s="9">
        <f>MAX(F86,E163)</f>
        <v>3.9</v>
      </c>
      <c r="H163" s="9">
        <f>MIN(G86,F163)</f>
        <v>5.2</v>
      </c>
      <c r="I163" s="9">
        <f>MAX(0,ROUND((H163-G163),4))</f>
        <v>1.3</v>
      </c>
      <c r="J163" s="10">
        <f>'入力根拠'!F59</f>
        <v>1755.0</v>
      </c>
      <c r="K163" s="10">
        <f>'入力根拠'!F60</f>
        <v>1755.0</v>
      </c>
      <c r="L163" s="6">
        <f>ROUND((F163-E163),4)</f>
        <v>2.9</v>
      </c>
    </row>
    <row r="164" spans="1:12" ht="23" customHeight="1">
      <c r="A164" s="6">
        <v>4</v>
      </c>
      <c r="B164" s="6">
        <v>102</v>
      </c>
      <c r="C164" s="6">
        <v>3</v>
      </c>
      <c r="D164" s="6">
        <v>189</v>
      </c>
      <c r="E164" s="8">
        <v>2.8</v>
      </c>
      <c r="F164" s="8">
        <v>5.7</v>
      </c>
      <c r="G164" s="9">
        <f>MAX(F87,E164)</f>
        <v>5.2</v>
      </c>
      <c r="H164" s="9">
        <f>MIN(G87,F164)</f>
        <v>5.7</v>
      </c>
      <c r="I164" s="9">
        <f>MAX(0,ROUND((H164-G164),4))</f>
        <v>0.5</v>
      </c>
      <c r="J164" s="10">
        <f>'入力根拠'!F59</f>
        <v>1755.0</v>
      </c>
      <c r="K164" s="10">
        <f>'入力根拠'!F60</f>
        <v>1755.0</v>
      </c>
      <c r="L164" s="6">
        <f>ROUND((F164-E164),4)</f>
        <v>2.9</v>
      </c>
    </row>
    <row r="165" spans="1:12" ht="23" customHeight="1">
      <c r="A165" s="6">
        <v>4</v>
      </c>
      <c r="B165" s="6">
        <v>102</v>
      </c>
      <c r="C165" s="6">
        <v>4</v>
      </c>
      <c r="D165" s="6">
        <v>190</v>
      </c>
      <c r="E165" s="8">
        <v>5.7</v>
      </c>
      <c r="F165" s="8">
        <v>8.300000000000001</v>
      </c>
      <c r="G165" s="9">
        <f>MAX(F87,E165)</f>
        <v>5.7</v>
      </c>
      <c r="H165" s="9">
        <f>MIN(G87,F165)</f>
        <v>6.5</v>
      </c>
      <c r="I165" s="9">
        <f>MAX(0,ROUND((H165-G165),4))</f>
        <v>0.8</v>
      </c>
      <c r="J165" s="10">
        <f>'入力根拠'!F61</f>
        <v>2349.1</v>
      </c>
      <c r="K165" s="10">
        <f>'入力根拠'!F62</f>
        <v>2751.0</v>
      </c>
      <c r="L165" s="6">
        <f>ROUND((F165-E165),4)</f>
        <v>2.6</v>
      </c>
    </row>
    <row r="166" spans="1:12" ht="23" customHeight="1">
      <c r="A166" s="6">
        <v>4</v>
      </c>
      <c r="B166" s="6">
        <v>103</v>
      </c>
      <c r="C166" s="6">
        <v>4</v>
      </c>
      <c r="D166" s="6">
        <v>190</v>
      </c>
      <c r="E166" s="8">
        <v>5.7</v>
      </c>
      <c r="F166" s="8">
        <v>8.300000000000001</v>
      </c>
      <c r="G166" s="9">
        <f>MAX(F88,E166)</f>
        <v>6.5</v>
      </c>
      <c r="H166" s="9">
        <f>MIN(G88,F166)</f>
        <v>7.8</v>
      </c>
      <c r="I166" s="9">
        <f>MAX(0,ROUND((H166-G166),4))</f>
        <v>1.3</v>
      </c>
      <c r="J166" s="10">
        <f>'入力根拠'!F61</f>
        <v>2349.1</v>
      </c>
      <c r="K166" s="10">
        <f>'入力根拠'!F62</f>
        <v>2751.0</v>
      </c>
      <c r="L166" s="6">
        <f>ROUND((F166-E166),4)</f>
        <v>2.6</v>
      </c>
    </row>
    <row r="167" spans="1:12" ht="23" customHeight="1">
      <c r="A167" s="6">
        <v>4</v>
      </c>
      <c r="B167" s="6">
        <v>104</v>
      </c>
      <c r="C167" s="6">
        <v>4</v>
      </c>
      <c r="D167" s="6">
        <v>190</v>
      </c>
      <c r="E167" s="8">
        <v>5.7</v>
      </c>
      <c r="F167" s="8">
        <v>8.300000000000001</v>
      </c>
      <c r="G167" s="9">
        <f>MAX(F89,E167)</f>
        <v>7.8</v>
      </c>
      <c r="H167" s="9">
        <f>MIN(G89,F167)</f>
        <v>8.3</v>
      </c>
      <c r="I167" s="9">
        <f>MAX(0,ROUND((H167-G167),4))</f>
        <v>0.5</v>
      </c>
      <c r="J167" s="10">
        <f>'入力根拠'!F61</f>
        <v>2349.1</v>
      </c>
      <c r="K167" s="10">
        <f>'入力根拠'!F62</f>
        <v>2751.0</v>
      </c>
      <c r="L167" s="6">
        <f>ROUND((F167-E167),4)</f>
        <v>2.6</v>
      </c>
    </row>
    <row r="168" spans="1:12" ht="23" customHeight="1">
      <c r="A168" s="6">
        <v>4</v>
      </c>
      <c r="B168" s="6">
        <v>104</v>
      </c>
      <c r="C168" s="6">
        <v>5</v>
      </c>
      <c r="D168" s="6">
        <v>191</v>
      </c>
      <c r="E168" s="8">
        <v>8.300000000000001</v>
      </c>
      <c r="F168" s="8">
        <v>8.9</v>
      </c>
      <c r="G168" s="9">
        <f>MAX(F89,E168)</f>
        <v>8.3</v>
      </c>
      <c r="H168" s="9">
        <f>MIN(G89,F168)</f>
        <v>8.9</v>
      </c>
      <c r="I168" s="9">
        <f>MAX(0,ROUND((H168-G168),4))</f>
        <v>0.6</v>
      </c>
      <c r="J168" s="10">
        <f>'入力根拠'!F63</f>
        <v>6809.4</v>
      </c>
      <c r="K168" s="10">
        <f>'入力根拠'!F64</f>
        <v>6809.4</v>
      </c>
      <c r="L168" s="6">
        <f>ROUND((F168-E168),4)</f>
        <v>0.6</v>
      </c>
    </row>
    <row r="169" spans="1:12" ht="23" customHeight="1">
      <c r="A169" s="6">
        <v>4</v>
      </c>
      <c r="B169" s="6">
        <v>104</v>
      </c>
      <c r="C169" s="6">
        <v>6</v>
      </c>
      <c r="D169" s="6">
        <v>192</v>
      </c>
      <c r="E169" s="8">
        <v>8.9</v>
      </c>
      <c r="F169" s="8">
        <v>18.4</v>
      </c>
      <c r="G169" s="9">
        <f>MAX(F89,E169)</f>
        <v>8.9</v>
      </c>
      <c r="H169" s="9">
        <f>MIN(G89,F169)</f>
        <v>9.1</v>
      </c>
      <c r="I169" s="9">
        <f>MAX(0,ROUND((H169-G169),4))</f>
        <v>0.2</v>
      </c>
      <c r="J169" s="10">
        <f>'入力根拠'!F65</f>
        <v>2948.5</v>
      </c>
      <c r="K169" s="10">
        <f>'入力根拠'!F66</f>
        <v>4482.5</v>
      </c>
      <c r="L169" s="6">
        <f>ROUND((F169-E169),4)</f>
        <v>9.5</v>
      </c>
    </row>
    <row r="170" spans="1:12" ht="23" customHeight="1">
      <c r="A170" s="6">
        <v>4</v>
      </c>
      <c r="B170" s="6">
        <v>105</v>
      </c>
      <c r="C170" s="6">
        <v>6</v>
      </c>
      <c r="D170" s="6">
        <v>192</v>
      </c>
      <c r="E170" s="8">
        <v>8.9</v>
      </c>
      <c r="F170" s="8">
        <v>18.4</v>
      </c>
      <c r="G170" s="9">
        <f>MAX(F90,E170)</f>
        <v>9.1</v>
      </c>
      <c r="H170" s="9">
        <f>MIN(G90,F170)</f>
        <v>10.4</v>
      </c>
      <c r="I170" s="9">
        <f>MAX(0,ROUND((H170-G170),4))</f>
        <v>1.3</v>
      </c>
      <c r="J170" s="10">
        <f>'入力根拠'!F65</f>
        <v>2948.5</v>
      </c>
      <c r="K170" s="10">
        <f>'入力根拠'!F66</f>
        <v>4482.5</v>
      </c>
      <c r="L170" s="6">
        <f>ROUND((F170-E170),4)</f>
        <v>9.5</v>
      </c>
    </row>
    <row r="171" spans="1:12" ht="23" customHeight="1">
      <c r="A171" s="6">
        <v>4</v>
      </c>
      <c r="B171" s="6">
        <v>106</v>
      </c>
      <c r="C171" s="6">
        <v>6</v>
      </c>
      <c r="D171" s="6">
        <v>192</v>
      </c>
      <c r="E171" s="8">
        <v>8.9</v>
      </c>
      <c r="F171" s="8">
        <v>18.4</v>
      </c>
      <c r="G171" s="9">
        <f>MAX(F91,E171)</f>
        <v>10.4</v>
      </c>
      <c r="H171" s="9">
        <f>MIN(G91,F171)</f>
        <v>11.7</v>
      </c>
      <c r="I171" s="9">
        <f>MAX(0,ROUND((H171-G171),4))</f>
        <v>1.3</v>
      </c>
      <c r="J171" s="10">
        <f>'入力根拠'!F65</f>
        <v>2948.5</v>
      </c>
      <c r="K171" s="10">
        <f>'入力根拠'!F66</f>
        <v>4482.5</v>
      </c>
      <c r="L171" s="6">
        <f>ROUND((F171-E171),4)</f>
        <v>9.5</v>
      </c>
    </row>
    <row r="172" spans="1:12" ht="23" customHeight="1">
      <c r="A172" s="6">
        <v>4</v>
      </c>
      <c r="B172" s="6">
        <v>107</v>
      </c>
      <c r="C172" s="6">
        <v>6</v>
      </c>
      <c r="D172" s="6">
        <v>192</v>
      </c>
      <c r="E172" s="8">
        <v>8.9</v>
      </c>
      <c r="F172" s="8">
        <v>18.4</v>
      </c>
      <c r="G172" s="9">
        <f>MAX(F92,E172)</f>
        <v>11.7</v>
      </c>
      <c r="H172" s="9">
        <f>MIN(G92,F172)</f>
        <v>13.0</v>
      </c>
      <c r="I172" s="9">
        <f>MAX(0,ROUND((H172-G172),4))</f>
        <v>1.3</v>
      </c>
      <c r="J172" s="10">
        <f>'入力根拠'!F65</f>
        <v>2948.5</v>
      </c>
      <c r="K172" s="10">
        <f>'入力根拠'!F66</f>
        <v>4482.5</v>
      </c>
      <c r="L172" s="6">
        <f>ROUND((F172-E172),4)</f>
        <v>9.5</v>
      </c>
    </row>
    <row r="173" spans="1:12" ht="23" customHeight="1">
      <c r="A173" s="6">
        <v>4</v>
      </c>
      <c r="B173" s="6">
        <v>108</v>
      </c>
      <c r="C173" s="6">
        <v>6</v>
      </c>
      <c r="D173" s="6">
        <v>192</v>
      </c>
      <c r="E173" s="8">
        <v>8.9</v>
      </c>
      <c r="F173" s="8">
        <v>18.4</v>
      </c>
      <c r="G173" s="9">
        <f>MAX(F93,E173)</f>
        <v>13.0</v>
      </c>
      <c r="H173" s="9">
        <f>MIN(G93,F173)</f>
        <v>14.3</v>
      </c>
      <c r="I173" s="9">
        <f>MAX(0,ROUND((H173-G173),4))</f>
        <v>1.3</v>
      </c>
      <c r="J173" s="10">
        <f>'入力根拠'!F65</f>
        <v>2948.5</v>
      </c>
      <c r="K173" s="10">
        <f>'入力根拠'!F66</f>
        <v>4482.5</v>
      </c>
      <c r="L173" s="6">
        <f>ROUND((F173-E173),4)</f>
        <v>9.5</v>
      </c>
    </row>
    <row r="174" spans="1:12" ht="23" customHeight="1">
      <c r="A174" s="6">
        <v>4</v>
      </c>
      <c r="B174" s="6">
        <v>109</v>
      </c>
      <c r="C174" s="6">
        <v>6</v>
      </c>
      <c r="D174" s="6">
        <v>192</v>
      </c>
      <c r="E174" s="8">
        <v>8.9</v>
      </c>
      <c r="F174" s="8">
        <v>18.4</v>
      </c>
      <c r="G174" s="9">
        <f>MAX(F94,E174)</f>
        <v>14.3</v>
      </c>
      <c r="H174" s="9">
        <f>MIN(G94,F174)</f>
        <v>15.6</v>
      </c>
      <c r="I174" s="9">
        <f>MAX(0,ROUND((H174-G174),4))</f>
        <v>1.3</v>
      </c>
      <c r="J174" s="10">
        <f>'入力根拠'!F65</f>
        <v>2948.5</v>
      </c>
      <c r="K174" s="10">
        <f>'入力根拠'!F66</f>
        <v>4482.5</v>
      </c>
      <c r="L174" s="6">
        <f>ROUND((F174-E174),4)</f>
        <v>9.5</v>
      </c>
    </row>
    <row r="175" spans="1:12" ht="23" customHeight="1">
      <c r="A175" s="6">
        <v>4</v>
      </c>
      <c r="B175" s="6">
        <v>110</v>
      </c>
      <c r="C175" s="6">
        <v>6</v>
      </c>
      <c r="D175" s="6">
        <v>192</v>
      </c>
      <c r="E175" s="8">
        <v>8.9</v>
      </c>
      <c r="F175" s="8">
        <v>18.4</v>
      </c>
      <c r="G175" s="9">
        <f>MAX(F95,E175)</f>
        <v>15.6</v>
      </c>
      <c r="H175" s="9">
        <f>MIN(G95,F175)</f>
        <v>16.9</v>
      </c>
      <c r="I175" s="9">
        <f>MAX(0,ROUND((H175-G175),4))</f>
        <v>1.3</v>
      </c>
      <c r="J175" s="10">
        <f>'入力根拠'!F65</f>
        <v>2948.5</v>
      </c>
      <c r="K175" s="10">
        <f>'入力根拠'!F66</f>
        <v>4482.5</v>
      </c>
      <c r="L175" s="6">
        <f>ROUND((F175-E175),4)</f>
        <v>9.5</v>
      </c>
    </row>
    <row r="176" spans="1:12" ht="23" customHeight="1">
      <c r="A176" s="6">
        <v>4</v>
      </c>
      <c r="B176" s="6">
        <v>111</v>
      </c>
      <c r="C176" s="6">
        <v>6</v>
      </c>
      <c r="D176" s="6">
        <v>192</v>
      </c>
      <c r="E176" s="8">
        <v>8.9</v>
      </c>
      <c r="F176" s="8">
        <v>18.4</v>
      </c>
      <c r="G176" s="9">
        <f>MAX(F96,E176)</f>
        <v>16.9</v>
      </c>
      <c r="H176" s="9">
        <f>MIN(G96,F176)</f>
        <v>18.2</v>
      </c>
      <c r="I176" s="9">
        <f>MAX(0,ROUND((H176-G176),4))</f>
        <v>1.3</v>
      </c>
      <c r="J176" s="10">
        <f>'入力根拠'!F65</f>
        <v>2948.5</v>
      </c>
      <c r="K176" s="10">
        <f>'入力根拠'!F66</f>
        <v>4482.5</v>
      </c>
      <c r="L176" s="6">
        <f>ROUND((F176-E176),4)</f>
        <v>9.5</v>
      </c>
    </row>
    <row r="177" spans="1:12" ht="23" customHeight="1">
      <c r="A177" s="6">
        <v>4</v>
      </c>
      <c r="B177" s="6">
        <v>112</v>
      </c>
      <c r="C177" s="6">
        <v>6</v>
      </c>
      <c r="D177" s="6">
        <v>192</v>
      </c>
      <c r="E177" s="8">
        <v>8.9</v>
      </c>
      <c r="F177" s="8">
        <v>18.4</v>
      </c>
      <c r="G177" s="9">
        <f>MAX(F97,E177)</f>
        <v>18.2</v>
      </c>
      <c r="H177" s="9">
        <f>MIN(G97,F177)</f>
        <v>18.4</v>
      </c>
      <c r="I177" s="9">
        <f>MAX(0,ROUND((H177-G177),4))</f>
        <v>0.2</v>
      </c>
      <c r="J177" s="10">
        <f>'入力根拠'!F65</f>
        <v>2948.5</v>
      </c>
      <c r="K177" s="10">
        <f>'入力根拠'!F66</f>
        <v>4482.5</v>
      </c>
      <c r="L177" s="6">
        <f>ROUND((F177-E177),4)</f>
        <v>9.5</v>
      </c>
    </row>
    <row r="178" spans="1:12" ht="23" customHeight="1">
      <c r="A178" s="6">
        <v>4</v>
      </c>
      <c r="B178" s="6">
        <v>112</v>
      </c>
      <c r="C178" s="6">
        <v>7</v>
      </c>
      <c r="D178" s="6">
        <v>193</v>
      </c>
      <c r="E178" s="8">
        <v>18.4</v>
      </c>
      <c r="F178" s="8">
        <v>31</v>
      </c>
      <c r="G178" s="9">
        <f>MAX(F97,E178)</f>
        <v>18.4</v>
      </c>
      <c r="H178" s="9">
        <f>MIN(G97,F178)</f>
        <v>19.5</v>
      </c>
      <c r="I178" s="9">
        <f>MAX(0,ROUND((H178-G178),4))</f>
        <v>1.1</v>
      </c>
      <c r="J178" s="10">
        <f>'入力根拠'!F67</f>
        <v>3088.8</v>
      </c>
      <c r="K178" s="10">
        <f>'入力根拠'!F68</f>
        <v>3088.8</v>
      </c>
      <c r="L178" s="6">
        <f>ROUND((F178-E178),4)</f>
        <v>12.6</v>
      </c>
    </row>
    <row r="179" spans="1:12" ht="23" customHeight="1">
      <c r="A179" s="6">
        <v>4</v>
      </c>
      <c r="B179" s="6">
        <v>113</v>
      </c>
      <c r="C179" s="6">
        <v>7</v>
      </c>
      <c r="D179" s="6">
        <v>193</v>
      </c>
      <c r="E179" s="8">
        <v>18.4</v>
      </c>
      <c r="F179" s="8">
        <v>31</v>
      </c>
      <c r="G179" s="9">
        <f>MAX(F98,E179)</f>
        <v>19.5</v>
      </c>
      <c r="H179" s="9">
        <f>MIN(G98,F179)</f>
        <v>20.8</v>
      </c>
      <c r="I179" s="9">
        <f>MAX(0,ROUND((H179-G179),4))</f>
        <v>1.3</v>
      </c>
      <c r="J179" s="10">
        <f>'入力根拠'!F67</f>
        <v>3088.8</v>
      </c>
      <c r="K179" s="10">
        <f>'入力根拠'!F68</f>
        <v>3088.8</v>
      </c>
      <c r="L179" s="6">
        <f>ROUND((F179-E179),4)</f>
        <v>12.6</v>
      </c>
    </row>
    <row r="180" spans="1:12" ht="23" customHeight="1">
      <c r="A180" s="6">
        <v>4</v>
      </c>
      <c r="B180" s="6">
        <v>114</v>
      </c>
      <c r="C180" s="6">
        <v>7</v>
      </c>
      <c r="D180" s="6">
        <v>193</v>
      </c>
      <c r="E180" s="8">
        <v>18.4</v>
      </c>
      <c r="F180" s="8">
        <v>31</v>
      </c>
      <c r="G180" s="9">
        <f>MAX(F99,E180)</f>
        <v>20.8</v>
      </c>
      <c r="H180" s="9">
        <f>MIN(G99,F180)</f>
        <v>22.1</v>
      </c>
      <c r="I180" s="9">
        <f>MAX(0,ROUND((H180-G180),4))</f>
        <v>1.3</v>
      </c>
      <c r="J180" s="10">
        <f>'入力根拠'!F67</f>
        <v>3088.8</v>
      </c>
      <c r="K180" s="10">
        <f>'入力根拠'!F68</f>
        <v>3088.8</v>
      </c>
      <c r="L180" s="6">
        <f>ROUND((F180-E180),4)</f>
        <v>12.6</v>
      </c>
    </row>
    <row r="181" spans="1:12" ht="23" customHeight="1">
      <c r="A181" s="6">
        <v>4</v>
      </c>
      <c r="B181" s="6">
        <v>115</v>
      </c>
      <c r="C181" s="6">
        <v>7</v>
      </c>
      <c r="D181" s="6">
        <v>193</v>
      </c>
      <c r="E181" s="8">
        <v>18.4</v>
      </c>
      <c r="F181" s="8">
        <v>31</v>
      </c>
      <c r="G181" s="9">
        <f>MAX(F100,E181)</f>
        <v>22.1</v>
      </c>
      <c r="H181" s="9">
        <f>MIN(G100,F181)</f>
        <v>23.4</v>
      </c>
      <c r="I181" s="9">
        <f>MAX(0,ROUND((H181-G181),4))</f>
        <v>1.3</v>
      </c>
      <c r="J181" s="10">
        <f>'入力根拠'!F67</f>
        <v>3088.8</v>
      </c>
      <c r="K181" s="10">
        <f>'入力根拠'!F68</f>
        <v>3088.8</v>
      </c>
      <c r="L181" s="6">
        <f>ROUND((F181-E181),4)</f>
        <v>12.6</v>
      </c>
    </row>
    <row r="182" spans="1:12" ht="23" customHeight="1">
      <c r="A182" s="6">
        <v>4</v>
      </c>
      <c r="B182" s="6">
        <v>116</v>
      </c>
      <c r="C182" s="6">
        <v>7</v>
      </c>
      <c r="D182" s="6">
        <v>193</v>
      </c>
      <c r="E182" s="8">
        <v>18.4</v>
      </c>
      <c r="F182" s="8">
        <v>31</v>
      </c>
      <c r="G182" s="9">
        <f>MAX(F101,E182)</f>
        <v>23.4</v>
      </c>
      <c r="H182" s="9">
        <f>MIN(G101,F182)</f>
        <v>24.7</v>
      </c>
      <c r="I182" s="9">
        <f>MAX(0,ROUND((H182-G182),4))</f>
        <v>1.3</v>
      </c>
      <c r="J182" s="10">
        <f>'入力根拠'!F67</f>
        <v>3088.8</v>
      </c>
      <c r="K182" s="10">
        <f>'入力根拠'!F68</f>
        <v>3088.8</v>
      </c>
      <c r="L182" s="6">
        <f>ROUND((F182-E182),4)</f>
        <v>12.6</v>
      </c>
    </row>
    <row r="183" spans="1:12" ht="23" customHeight="1">
      <c r="A183" s="6">
        <v>4</v>
      </c>
      <c r="B183" s="6">
        <v>117</v>
      </c>
      <c r="C183" s="6">
        <v>7</v>
      </c>
      <c r="D183" s="6">
        <v>193</v>
      </c>
      <c r="E183" s="8">
        <v>18.4</v>
      </c>
      <c r="F183" s="8">
        <v>31</v>
      </c>
      <c r="G183" s="9">
        <f>MAX(F102,E183)</f>
        <v>24.7</v>
      </c>
      <c r="H183" s="9">
        <f>MIN(G102,F183)</f>
        <v>26.0</v>
      </c>
      <c r="I183" s="9">
        <f>MAX(0,ROUND((H183-G183),4))</f>
        <v>1.3</v>
      </c>
      <c r="J183" s="10">
        <f>'入力根拠'!F67</f>
        <v>3088.8</v>
      </c>
      <c r="K183" s="10">
        <f>'入力根拠'!F68</f>
        <v>3088.8</v>
      </c>
      <c r="L183" s="6">
        <f>ROUND((F183-E183),4)</f>
        <v>12.6</v>
      </c>
    </row>
    <row r="184" spans="1:12" ht="23" customHeight="1">
      <c r="A184" s="6">
        <v>4</v>
      </c>
      <c r="B184" s="6">
        <v>118</v>
      </c>
      <c r="C184" s="6">
        <v>7</v>
      </c>
      <c r="D184" s="6">
        <v>193</v>
      </c>
      <c r="E184" s="8">
        <v>18.4</v>
      </c>
      <c r="F184" s="8">
        <v>31</v>
      </c>
      <c r="G184" s="9">
        <f>MAX(F103,E184)</f>
        <v>26.0</v>
      </c>
      <c r="H184" s="9">
        <f>MIN(G103,F184)</f>
        <v>27.3</v>
      </c>
      <c r="I184" s="9">
        <f>MAX(0,ROUND((H184-G184),4))</f>
        <v>1.3</v>
      </c>
      <c r="J184" s="10">
        <f>'入力根拠'!F67</f>
        <v>3088.8</v>
      </c>
      <c r="K184" s="10">
        <f>'入力根拠'!F68</f>
        <v>3088.8</v>
      </c>
      <c r="L184" s="6">
        <f>ROUND((F184-E184),4)</f>
        <v>12.6</v>
      </c>
    </row>
    <row r="185" spans="1:12" ht="23" customHeight="1">
      <c r="A185" s="6">
        <v>4</v>
      </c>
      <c r="B185" s="6">
        <v>119</v>
      </c>
      <c r="C185" s="6">
        <v>7</v>
      </c>
      <c r="D185" s="6">
        <v>193</v>
      </c>
      <c r="E185" s="8">
        <v>18.4</v>
      </c>
      <c r="F185" s="8">
        <v>31</v>
      </c>
      <c r="G185" s="9">
        <f>MAX(F104,E185)</f>
        <v>27.3</v>
      </c>
      <c r="H185" s="9">
        <f>MIN(G104,F185)</f>
        <v>28.6</v>
      </c>
      <c r="I185" s="9">
        <f>MAX(0,ROUND((H185-G185),4))</f>
        <v>1.3</v>
      </c>
      <c r="J185" s="10">
        <f>'入力根拠'!F67</f>
        <v>3088.8</v>
      </c>
      <c r="K185" s="10">
        <f>'入力根拠'!F68</f>
        <v>3088.8</v>
      </c>
      <c r="L185" s="6">
        <f>ROUND((F185-E185),4)</f>
        <v>12.6</v>
      </c>
    </row>
    <row r="186" spans="1:12" ht="23" customHeight="1">
      <c r="A186" s="6">
        <v>4</v>
      </c>
      <c r="B186" s="6">
        <v>120</v>
      </c>
      <c r="C186" s="6">
        <v>7</v>
      </c>
      <c r="D186" s="6">
        <v>193</v>
      </c>
      <c r="E186" s="8">
        <v>18.4</v>
      </c>
      <c r="F186" s="8">
        <v>31</v>
      </c>
      <c r="G186" s="9">
        <f>MAX(F105,E186)</f>
        <v>28.6</v>
      </c>
      <c r="H186" s="9">
        <f>MIN(G105,F186)</f>
        <v>29.9</v>
      </c>
      <c r="I186" s="9">
        <f>MAX(0,ROUND((H186-G186),4))</f>
        <v>1.3</v>
      </c>
      <c r="J186" s="10">
        <f>'入力根拠'!F67</f>
        <v>3088.8</v>
      </c>
      <c r="K186" s="10">
        <f>'入力根拠'!F68</f>
        <v>3088.8</v>
      </c>
      <c r="L186" s="6">
        <f>ROUND((F186-E186),4)</f>
        <v>12.6</v>
      </c>
    </row>
    <row r="187" spans="1:12" ht="23" customHeight="1">
      <c r="A187" s="6">
        <v>4</v>
      </c>
      <c r="B187" s="6">
        <v>121</v>
      </c>
      <c r="C187" s="6">
        <v>7</v>
      </c>
      <c r="D187" s="6">
        <v>193</v>
      </c>
      <c r="E187" s="8">
        <v>18.4</v>
      </c>
      <c r="F187" s="8">
        <v>31</v>
      </c>
      <c r="G187" s="9">
        <f>MAX(F106,E187)</f>
        <v>29.9</v>
      </c>
      <c r="H187" s="9">
        <f>MIN(G106,F187)</f>
        <v>31.0</v>
      </c>
      <c r="I187" s="9">
        <f>MAX(0,ROUND((H187-G187),4))</f>
        <v>1.1</v>
      </c>
      <c r="J187" s="10">
        <f>'入力根拠'!F67</f>
        <v>3088.8</v>
      </c>
      <c r="K187" s="10">
        <f>'入力根拠'!F68</f>
        <v>3088.8</v>
      </c>
      <c r="L187" s="6">
        <f>ROUND((F187-E187),4)</f>
        <v>12.6</v>
      </c>
    </row>
    <row r="188" spans="1:12" ht="23" customHeight="1">
      <c r="A188" s="6">
        <v>5</v>
      </c>
      <c r="B188" s="6">
        <v>123</v>
      </c>
      <c r="C188" s="6">
        <v>1</v>
      </c>
      <c r="D188" s="6">
        <v>187</v>
      </c>
      <c r="E188" s="8">
        <v>0</v>
      </c>
      <c r="F188" s="8">
        <v>1.5</v>
      </c>
      <c r="G188" s="9">
        <f>MAX(F107,E188)</f>
        <v>0.0</v>
      </c>
      <c r="H188" s="9">
        <f>MIN(G107,F188)</f>
        <v>1.3</v>
      </c>
      <c r="I188" s="9">
        <f>MAX(0,ROUND((H188-G188),4))</f>
        <v>1.3</v>
      </c>
      <c r="J188" s="10">
        <f>'入力根拠'!F69</f>
        <v>1005.1</v>
      </c>
      <c r="K188" s="10">
        <f>'入力根拠'!F70</f>
        <v>1149.3</v>
      </c>
      <c r="L188" s="6">
        <f>ROUND((F188-E188),4)</f>
        <v>1.5</v>
      </c>
    </row>
    <row r="189" spans="1:12" ht="23" customHeight="1">
      <c r="A189" s="6">
        <v>5</v>
      </c>
      <c r="B189" s="6">
        <v>124</v>
      </c>
      <c r="C189" s="6">
        <v>1</v>
      </c>
      <c r="D189" s="6">
        <v>187</v>
      </c>
      <c r="E189" s="8">
        <v>0</v>
      </c>
      <c r="F189" s="8">
        <v>1.5</v>
      </c>
      <c r="G189" s="9">
        <f>MAX(F108,E189)</f>
        <v>1.3</v>
      </c>
      <c r="H189" s="9">
        <f>MIN(G108,F189)</f>
        <v>1.5</v>
      </c>
      <c r="I189" s="9">
        <f>MAX(0,ROUND((H189-G189),4))</f>
        <v>0.2</v>
      </c>
      <c r="J189" s="10">
        <f>'入力根拠'!F69</f>
        <v>1005.1</v>
      </c>
      <c r="K189" s="10">
        <f>'入力根拠'!F70</f>
        <v>1149.3</v>
      </c>
      <c r="L189" s="6">
        <f>ROUND((F189-E189),4)</f>
        <v>1.5</v>
      </c>
    </row>
    <row r="190" spans="1:12" ht="23" customHeight="1">
      <c r="A190" s="6">
        <v>5</v>
      </c>
      <c r="B190" s="6">
        <v>124</v>
      </c>
      <c r="C190" s="6">
        <v>2</v>
      </c>
      <c r="D190" s="6">
        <v>188</v>
      </c>
      <c r="E190" s="8">
        <v>1.5</v>
      </c>
      <c r="F190" s="8">
        <v>2.8</v>
      </c>
      <c r="G190" s="9">
        <f>MAX(F108,E190)</f>
        <v>1.5</v>
      </c>
      <c r="H190" s="9">
        <f>MIN(G108,F190)</f>
        <v>2.6</v>
      </c>
      <c r="I190" s="9">
        <f>MAX(0,ROUND((H190-G190),4))</f>
        <v>1.1</v>
      </c>
      <c r="J190" s="10">
        <f>'入力根拠'!F71</f>
        <v>1744.2</v>
      </c>
      <c r="K190" s="10">
        <f>'入力根拠'!F72</f>
        <v>1933.8</v>
      </c>
      <c r="L190" s="6">
        <f>ROUND((F190-E190),4)</f>
        <v>1.3</v>
      </c>
    </row>
    <row r="191" spans="1:12" ht="23" customHeight="1">
      <c r="A191" s="6">
        <v>5</v>
      </c>
      <c r="B191" s="6">
        <v>125</v>
      </c>
      <c r="C191" s="6">
        <v>2</v>
      </c>
      <c r="D191" s="6">
        <v>188</v>
      </c>
      <c r="E191" s="8">
        <v>1.5</v>
      </c>
      <c r="F191" s="8">
        <v>2.8</v>
      </c>
      <c r="G191" s="9">
        <f>MAX(F109,E191)</f>
        <v>2.6</v>
      </c>
      <c r="H191" s="9">
        <f>MIN(G109,F191)</f>
        <v>2.8</v>
      </c>
      <c r="I191" s="9">
        <f>MAX(0,ROUND((H191-G191),4))</f>
        <v>0.2</v>
      </c>
      <c r="J191" s="10">
        <f>'入力根拠'!F71</f>
        <v>1744.2</v>
      </c>
      <c r="K191" s="10">
        <f>'入力根拠'!F72</f>
        <v>1933.8</v>
      </c>
      <c r="L191" s="6">
        <f>ROUND((F191-E191),4)</f>
        <v>1.3</v>
      </c>
    </row>
    <row r="192" spans="1:12" ht="23" customHeight="1">
      <c r="A192" s="6">
        <v>5</v>
      </c>
      <c r="B192" s="6">
        <v>125</v>
      </c>
      <c r="C192" s="6">
        <v>3</v>
      </c>
      <c r="D192" s="6">
        <v>189</v>
      </c>
      <c r="E192" s="8">
        <v>2.8</v>
      </c>
      <c r="F192" s="8">
        <v>5.7</v>
      </c>
      <c r="G192" s="9">
        <f>MAX(F109,E192)</f>
        <v>2.8</v>
      </c>
      <c r="H192" s="9">
        <f>MIN(G109,F192)</f>
        <v>3.9</v>
      </c>
      <c r="I192" s="9">
        <f>MAX(0,ROUND((H192-G192),4))</f>
        <v>1.1</v>
      </c>
      <c r="J192" s="10">
        <f>'入力根拠'!F73</f>
        <v>1170.0</v>
      </c>
      <c r="K192" s="10">
        <f>'入力根拠'!F74</f>
        <v>1170.0</v>
      </c>
      <c r="L192" s="6">
        <f>ROUND((F192-E192),4)</f>
        <v>2.9</v>
      </c>
    </row>
    <row r="193" spans="1:12" ht="23" customHeight="1">
      <c r="A193" s="6">
        <v>5</v>
      </c>
      <c r="B193" s="6">
        <v>126</v>
      </c>
      <c r="C193" s="6">
        <v>3</v>
      </c>
      <c r="D193" s="6">
        <v>189</v>
      </c>
      <c r="E193" s="8">
        <v>2.8</v>
      </c>
      <c r="F193" s="8">
        <v>5.7</v>
      </c>
      <c r="G193" s="9">
        <f>MAX(F110,E193)</f>
        <v>3.9</v>
      </c>
      <c r="H193" s="9">
        <f>MIN(G110,F193)</f>
        <v>5.2</v>
      </c>
      <c r="I193" s="9">
        <f>MAX(0,ROUND((H193-G193),4))</f>
        <v>1.3</v>
      </c>
      <c r="J193" s="10">
        <f>'入力根拠'!F73</f>
        <v>1170.0</v>
      </c>
      <c r="K193" s="10">
        <f>'入力根拠'!F74</f>
        <v>1170.0</v>
      </c>
      <c r="L193" s="6">
        <f>ROUND((F193-E193),4)</f>
        <v>2.9</v>
      </c>
    </row>
    <row r="194" spans="1:12" ht="23" customHeight="1">
      <c r="A194" s="6">
        <v>5</v>
      </c>
      <c r="B194" s="6">
        <v>127</v>
      </c>
      <c r="C194" s="6">
        <v>3</v>
      </c>
      <c r="D194" s="6">
        <v>189</v>
      </c>
      <c r="E194" s="8">
        <v>2.8</v>
      </c>
      <c r="F194" s="8">
        <v>5.7</v>
      </c>
      <c r="G194" s="9">
        <f>MAX(F111,E194)</f>
        <v>5.2</v>
      </c>
      <c r="H194" s="9">
        <f>MIN(G111,F194)</f>
        <v>5.7</v>
      </c>
      <c r="I194" s="9">
        <f>MAX(0,ROUND((H194-G194),4))</f>
        <v>0.5</v>
      </c>
      <c r="J194" s="10">
        <f>'入力根拠'!F73</f>
        <v>1170.0</v>
      </c>
      <c r="K194" s="10">
        <f>'入力根拠'!F74</f>
        <v>1170.0</v>
      </c>
      <c r="L194" s="6">
        <f>ROUND((F194-E194),4)</f>
        <v>2.9</v>
      </c>
    </row>
    <row r="195" spans="1:12" ht="23" customHeight="1">
      <c r="A195" s="6">
        <v>5</v>
      </c>
      <c r="B195" s="6">
        <v>127</v>
      </c>
      <c r="C195" s="6">
        <v>4</v>
      </c>
      <c r="D195" s="6">
        <v>190</v>
      </c>
      <c r="E195" s="8">
        <v>5.7</v>
      </c>
      <c r="F195" s="8">
        <v>8.300000000000001</v>
      </c>
      <c r="G195" s="9">
        <f>MAX(F111,E195)</f>
        <v>5.7</v>
      </c>
      <c r="H195" s="9">
        <f>MIN(G111,F195)</f>
        <v>6.5</v>
      </c>
      <c r="I195" s="9">
        <f>MAX(0,ROUND((H195-G195),4))</f>
        <v>0.8</v>
      </c>
      <c r="J195" s="10">
        <f>'入力根拠'!F75</f>
        <v>2030.3</v>
      </c>
      <c r="K195" s="10">
        <f>'入力根拠'!F76</f>
        <v>2377.7</v>
      </c>
      <c r="L195" s="6">
        <f>ROUND((F195-E195),4)</f>
        <v>2.6</v>
      </c>
    </row>
    <row r="196" spans="1:12" ht="23" customHeight="1">
      <c r="A196" s="6">
        <v>5</v>
      </c>
      <c r="B196" s="6">
        <v>128</v>
      </c>
      <c r="C196" s="6">
        <v>4</v>
      </c>
      <c r="D196" s="6">
        <v>190</v>
      </c>
      <c r="E196" s="8">
        <v>5.7</v>
      </c>
      <c r="F196" s="8">
        <v>8.300000000000001</v>
      </c>
      <c r="G196" s="9">
        <f>MAX(F112,E196)</f>
        <v>6.5</v>
      </c>
      <c r="H196" s="9">
        <f>MIN(G112,F196)</f>
        <v>7.8</v>
      </c>
      <c r="I196" s="9">
        <f>MAX(0,ROUND((H196-G196),4))</f>
        <v>1.3</v>
      </c>
      <c r="J196" s="10">
        <f>'入力根拠'!F75</f>
        <v>2030.3</v>
      </c>
      <c r="K196" s="10">
        <f>'入力根拠'!F76</f>
        <v>2377.7</v>
      </c>
      <c r="L196" s="6">
        <f>ROUND((F196-E196),4)</f>
        <v>2.6</v>
      </c>
    </row>
    <row r="197" spans="1:12" ht="23" customHeight="1">
      <c r="A197" s="6">
        <v>5</v>
      </c>
      <c r="B197" s="6">
        <v>129</v>
      </c>
      <c r="C197" s="6">
        <v>4</v>
      </c>
      <c r="D197" s="6">
        <v>190</v>
      </c>
      <c r="E197" s="8">
        <v>5.7</v>
      </c>
      <c r="F197" s="8">
        <v>8.300000000000001</v>
      </c>
      <c r="G197" s="9">
        <f>MAX(F113,E197)</f>
        <v>7.8</v>
      </c>
      <c r="H197" s="9">
        <f>MIN(G113,F197)</f>
        <v>8.3</v>
      </c>
      <c r="I197" s="9">
        <f>MAX(0,ROUND((H197-G197),4))</f>
        <v>0.5</v>
      </c>
      <c r="J197" s="10">
        <f>'入力根拠'!F75</f>
        <v>2030.3</v>
      </c>
      <c r="K197" s="10">
        <f>'入力根拠'!F76</f>
        <v>2377.7</v>
      </c>
      <c r="L197" s="6">
        <f>ROUND((F197-E197),4)</f>
        <v>2.6</v>
      </c>
    </row>
    <row r="198" spans="1:12" ht="23" customHeight="1">
      <c r="A198" s="6">
        <v>5</v>
      </c>
      <c r="B198" s="6">
        <v>129</v>
      </c>
      <c r="C198" s="6">
        <v>5</v>
      </c>
      <c r="D198" s="6">
        <v>191</v>
      </c>
      <c r="E198" s="8">
        <v>8.300000000000001</v>
      </c>
      <c r="F198" s="8">
        <v>8.9</v>
      </c>
      <c r="G198" s="9">
        <f>MAX(F113,E198)</f>
        <v>8.3</v>
      </c>
      <c r="H198" s="9">
        <f>MIN(G113,F198)</f>
        <v>8.9</v>
      </c>
      <c r="I198" s="9">
        <f>MAX(0,ROUND((H198-G198),4))</f>
        <v>0.6</v>
      </c>
      <c r="J198" s="10">
        <f>'入力根拠'!F77</f>
        <v>4539.6</v>
      </c>
      <c r="K198" s="10">
        <f>'入力根拠'!F78</f>
        <v>4539.6</v>
      </c>
      <c r="L198" s="6">
        <f>ROUND((F198-E198),4)</f>
        <v>0.6</v>
      </c>
    </row>
    <row r="199" spans="1:12" ht="23" customHeight="1">
      <c r="A199" s="6">
        <v>5</v>
      </c>
      <c r="B199" s="6">
        <v>129</v>
      </c>
      <c r="C199" s="6">
        <v>6</v>
      </c>
      <c r="D199" s="6">
        <v>192</v>
      </c>
      <c r="E199" s="8">
        <v>8.9</v>
      </c>
      <c r="F199" s="8">
        <v>18.4</v>
      </c>
      <c r="G199" s="9">
        <f>MAX(F113,E199)</f>
        <v>8.9</v>
      </c>
      <c r="H199" s="9">
        <f>MIN(G113,F199)</f>
        <v>9.1</v>
      </c>
      <c r="I199" s="9">
        <f>MAX(0,ROUND((H199-G199),4))</f>
        <v>0.2</v>
      </c>
      <c r="J199" s="10">
        <f>'入力根拠'!F79</f>
        <v>2548.4</v>
      </c>
      <c r="K199" s="10">
        <f>'入力根拠'!F80</f>
        <v>3874.2</v>
      </c>
      <c r="L199" s="6">
        <f>ROUND((F199-E199),4)</f>
        <v>9.5</v>
      </c>
    </row>
    <row r="200" spans="1:12" ht="23" customHeight="1">
      <c r="A200" s="6">
        <v>5</v>
      </c>
      <c r="B200" s="6">
        <v>130</v>
      </c>
      <c r="C200" s="6">
        <v>6</v>
      </c>
      <c r="D200" s="6">
        <v>192</v>
      </c>
      <c r="E200" s="8">
        <v>8.9</v>
      </c>
      <c r="F200" s="8">
        <v>18.4</v>
      </c>
      <c r="G200" s="9">
        <f>MAX(F114,E200)</f>
        <v>9.1</v>
      </c>
      <c r="H200" s="9">
        <f>MIN(G114,F200)</f>
        <v>10.4</v>
      </c>
      <c r="I200" s="9">
        <f>MAX(0,ROUND((H200-G200),4))</f>
        <v>1.3</v>
      </c>
      <c r="J200" s="10">
        <f>'入力根拠'!F79</f>
        <v>2548.4</v>
      </c>
      <c r="K200" s="10">
        <f>'入力根拠'!F80</f>
        <v>3874.2</v>
      </c>
      <c r="L200" s="6">
        <f>ROUND((F200-E200),4)</f>
        <v>9.5</v>
      </c>
    </row>
    <row r="201" spans="1:12" ht="23" customHeight="1">
      <c r="A201" s="6">
        <v>5</v>
      </c>
      <c r="B201" s="6">
        <v>131</v>
      </c>
      <c r="C201" s="6">
        <v>6</v>
      </c>
      <c r="D201" s="6">
        <v>192</v>
      </c>
      <c r="E201" s="8">
        <v>8.9</v>
      </c>
      <c r="F201" s="8">
        <v>18.4</v>
      </c>
      <c r="G201" s="9">
        <f>MAX(F115,E201)</f>
        <v>10.4</v>
      </c>
      <c r="H201" s="9">
        <f>MIN(G115,F201)</f>
        <v>11.7</v>
      </c>
      <c r="I201" s="9">
        <f>MAX(0,ROUND((H201-G201),4))</f>
        <v>1.3</v>
      </c>
      <c r="J201" s="10">
        <f>'入力根拠'!F79</f>
        <v>2548.4</v>
      </c>
      <c r="K201" s="10">
        <f>'入力根拠'!F80</f>
        <v>3874.2</v>
      </c>
      <c r="L201" s="6">
        <f>ROUND((F201-E201),4)</f>
        <v>9.5</v>
      </c>
    </row>
    <row r="202" spans="1:12" ht="23" customHeight="1">
      <c r="A202" s="6">
        <v>5</v>
      </c>
      <c r="B202" s="6">
        <v>132</v>
      </c>
      <c r="C202" s="6">
        <v>6</v>
      </c>
      <c r="D202" s="6">
        <v>192</v>
      </c>
      <c r="E202" s="8">
        <v>8.9</v>
      </c>
      <c r="F202" s="8">
        <v>18.4</v>
      </c>
      <c r="G202" s="9">
        <f>MAX(F116,E202)</f>
        <v>11.7</v>
      </c>
      <c r="H202" s="9">
        <f>MIN(G116,F202)</f>
        <v>13.0</v>
      </c>
      <c r="I202" s="9">
        <f>MAX(0,ROUND((H202-G202),4))</f>
        <v>1.3</v>
      </c>
      <c r="J202" s="10">
        <f>'入力根拠'!F79</f>
        <v>2548.4</v>
      </c>
      <c r="K202" s="10">
        <f>'入力根拠'!F80</f>
        <v>3874.2</v>
      </c>
      <c r="L202" s="6">
        <f>ROUND((F202-E202),4)</f>
        <v>9.5</v>
      </c>
    </row>
    <row r="203" spans="1:12" ht="23" customHeight="1">
      <c r="A203" s="6">
        <v>5</v>
      </c>
      <c r="B203" s="6">
        <v>133</v>
      </c>
      <c r="C203" s="6">
        <v>6</v>
      </c>
      <c r="D203" s="6">
        <v>192</v>
      </c>
      <c r="E203" s="8">
        <v>8.9</v>
      </c>
      <c r="F203" s="8">
        <v>18.4</v>
      </c>
      <c r="G203" s="9">
        <f>MAX(F117,E203)</f>
        <v>13.0</v>
      </c>
      <c r="H203" s="9">
        <f>MIN(G117,F203)</f>
        <v>14.3</v>
      </c>
      <c r="I203" s="9">
        <f>MAX(0,ROUND((H203-G203),4))</f>
        <v>1.3</v>
      </c>
      <c r="J203" s="10">
        <f>'入力根拠'!F79</f>
        <v>2548.4</v>
      </c>
      <c r="K203" s="10">
        <f>'入力根拠'!F80</f>
        <v>3874.2</v>
      </c>
      <c r="L203" s="6">
        <f>ROUND((F203-E203),4)</f>
        <v>9.5</v>
      </c>
    </row>
    <row r="204" spans="1:12" ht="23" customHeight="1">
      <c r="A204" s="6">
        <v>5</v>
      </c>
      <c r="B204" s="6">
        <v>134</v>
      </c>
      <c r="C204" s="6">
        <v>6</v>
      </c>
      <c r="D204" s="6">
        <v>192</v>
      </c>
      <c r="E204" s="8">
        <v>8.9</v>
      </c>
      <c r="F204" s="8">
        <v>18.4</v>
      </c>
      <c r="G204" s="9">
        <f>MAX(F118,E204)</f>
        <v>14.3</v>
      </c>
      <c r="H204" s="9">
        <f>MIN(G118,F204)</f>
        <v>15.6</v>
      </c>
      <c r="I204" s="9">
        <f>MAX(0,ROUND((H204-G204),4))</f>
        <v>1.3</v>
      </c>
      <c r="J204" s="10">
        <f>'入力根拠'!F79</f>
        <v>2548.4</v>
      </c>
      <c r="K204" s="10">
        <f>'入力根拠'!F80</f>
        <v>3874.2</v>
      </c>
      <c r="L204" s="6">
        <f>ROUND((F204-E204),4)</f>
        <v>9.5</v>
      </c>
    </row>
    <row r="205" spans="1:12" ht="23" customHeight="1">
      <c r="A205" s="6">
        <v>5</v>
      </c>
      <c r="B205" s="6">
        <v>135</v>
      </c>
      <c r="C205" s="6">
        <v>6</v>
      </c>
      <c r="D205" s="6">
        <v>192</v>
      </c>
      <c r="E205" s="8">
        <v>8.9</v>
      </c>
      <c r="F205" s="8">
        <v>18.4</v>
      </c>
      <c r="G205" s="9">
        <f>MAX(F119,E205)</f>
        <v>15.6</v>
      </c>
      <c r="H205" s="9">
        <f>MIN(G119,F205)</f>
        <v>16.9</v>
      </c>
      <c r="I205" s="9">
        <f>MAX(0,ROUND((H205-G205),4))</f>
        <v>1.3</v>
      </c>
      <c r="J205" s="10">
        <f>'入力根拠'!F79</f>
        <v>2548.4</v>
      </c>
      <c r="K205" s="10">
        <f>'入力根拠'!F80</f>
        <v>3874.2</v>
      </c>
      <c r="L205" s="6">
        <f>ROUND((F205-E205),4)</f>
        <v>9.5</v>
      </c>
    </row>
    <row r="206" spans="1:12" ht="23" customHeight="1">
      <c r="A206" s="6">
        <v>5</v>
      </c>
      <c r="B206" s="6">
        <v>136</v>
      </c>
      <c r="C206" s="6">
        <v>6</v>
      </c>
      <c r="D206" s="6">
        <v>192</v>
      </c>
      <c r="E206" s="8">
        <v>8.9</v>
      </c>
      <c r="F206" s="8">
        <v>18.4</v>
      </c>
      <c r="G206" s="9">
        <f>MAX(F120,E206)</f>
        <v>16.9</v>
      </c>
      <c r="H206" s="9">
        <f>MIN(G120,F206)</f>
        <v>18.2</v>
      </c>
      <c r="I206" s="9">
        <f>MAX(0,ROUND((H206-G206),4))</f>
        <v>1.3</v>
      </c>
      <c r="J206" s="10">
        <f>'入力根拠'!F79</f>
        <v>2548.4</v>
      </c>
      <c r="K206" s="10">
        <f>'入力根拠'!F80</f>
        <v>3874.2</v>
      </c>
      <c r="L206" s="6">
        <f>ROUND((F206-E206),4)</f>
        <v>9.5</v>
      </c>
    </row>
    <row r="207" spans="1:12" ht="23" customHeight="1">
      <c r="A207" s="6">
        <v>5</v>
      </c>
      <c r="B207" s="6">
        <v>137</v>
      </c>
      <c r="C207" s="6">
        <v>6</v>
      </c>
      <c r="D207" s="6">
        <v>192</v>
      </c>
      <c r="E207" s="8">
        <v>8.9</v>
      </c>
      <c r="F207" s="8">
        <v>18.4</v>
      </c>
      <c r="G207" s="9">
        <f>MAX(F121,E207)</f>
        <v>18.2</v>
      </c>
      <c r="H207" s="9">
        <f>MIN(G121,F207)</f>
        <v>18.4</v>
      </c>
      <c r="I207" s="9">
        <f>MAX(0,ROUND((H207-G207),4))</f>
        <v>0.2</v>
      </c>
      <c r="J207" s="10">
        <f>'入力根拠'!F79</f>
        <v>2548.4</v>
      </c>
      <c r="K207" s="10">
        <f>'入力根拠'!F80</f>
        <v>3874.2</v>
      </c>
      <c r="L207" s="6">
        <f>ROUND((F207-E207),4)</f>
        <v>9.5</v>
      </c>
    </row>
    <row r="208" spans="1:12" ht="23" customHeight="1">
      <c r="A208" s="6">
        <v>5</v>
      </c>
      <c r="B208" s="6">
        <v>137</v>
      </c>
      <c r="C208" s="6">
        <v>7</v>
      </c>
      <c r="D208" s="6">
        <v>193</v>
      </c>
      <c r="E208" s="8">
        <v>18.4</v>
      </c>
      <c r="F208" s="8">
        <v>31</v>
      </c>
      <c r="G208" s="9">
        <f>MAX(F121,E208)</f>
        <v>18.4</v>
      </c>
      <c r="H208" s="9">
        <f>MIN(G121,F208)</f>
        <v>19.5</v>
      </c>
      <c r="I208" s="9">
        <f>MAX(0,ROUND((H208-G208),4))</f>
        <v>1.1</v>
      </c>
      <c r="J208" s="10">
        <f>'入力根拠'!F81</f>
        <v>2059.2</v>
      </c>
      <c r="K208" s="10">
        <f>'入力根拠'!F82</f>
        <v>2059.2</v>
      </c>
      <c r="L208" s="6">
        <f>ROUND((F208-E208),4)</f>
        <v>12.6</v>
      </c>
    </row>
    <row r="209" spans="1:12" ht="23" customHeight="1">
      <c r="A209" s="6">
        <v>5</v>
      </c>
      <c r="B209" s="6">
        <v>138</v>
      </c>
      <c r="C209" s="6">
        <v>7</v>
      </c>
      <c r="D209" s="6">
        <v>193</v>
      </c>
      <c r="E209" s="8">
        <v>18.4</v>
      </c>
      <c r="F209" s="8">
        <v>31</v>
      </c>
      <c r="G209" s="9">
        <f>MAX(F122,E209)</f>
        <v>19.5</v>
      </c>
      <c r="H209" s="9">
        <f>MIN(G122,F209)</f>
        <v>20.8</v>
      </c>
      <c r="I209" s="9">
        <f>MAX(0,ROUND((H209-G209),4))</f>
        <v>1.3</v>
      </c>
      <c r="J209" s="10">
        <f>'入力根拠'!F81</f>
        <v>2059.2</v>
      </c>
      <c r="K209" s="10">
        <f>'入力根拠'!F82</f>
        <v>2059.2</v>
      </c>
      <c r="L209" s="6">
        <f>ROUND((F209-E209),4)</f>
        <v>12.6</v>
      </c>
    </row>
    <row r="210" spans="1:12" ht="23" customHeight="1">
      <c r="A210" s="6">
        <v>5</v>
      </c>
      <c r="B210" s="6">
        <v>139</v>
      </c>
      <c r="C210" s="6">
        <v>7</v>
      </c>
      <c r="D210" s="6">
        <v>193</v>
      </c>
      <c r="E210" s="8">
        <v>18.4</v>
      </c>
      <c r="F210" s="8">
        <v>31</v>
      </c>
      <c r="G210" s="9">
        <f>MAX(F123,E210)</f>
        <v>20.8</v>
      </c>
      <c r="H210" s="9">
        <f>MIN(G123,F210)</f>
        <v>22.1</v>
      </c>
      <c r="I210" s="9">
        <f>MAX(0,ROUND((H210-G210),4))</f>
        <v>1.3</v>
      </c>
      <c r="J210" s="10">
        <f>'入力根拠'!F81</f>
        <v>2059.2</v>
      </c>
      <c r="K210" s="10">
        <f>'入力根拠'!F82</f>
        <v>2059.2</v>
      </c>
      <c r="L210" s="6">
        <f>ROUND((F210-E210),4)</f>
        <v>12.6</v>
      </c>
    </row>
    <row r="211" spans="1:12" ht="23" customHeight="1">
      <c r="A211" s="6">
        <v>5</v>
      </c>
      <c r="B211" s="6">
        <v>140</v>
      </c>
      <c r="C211" s="6">
        <v>7</v>
      </c>
      <c r="D211" s="6">
        <v>193</v>
      </c>
      <c r="E211" s="8">
        <v>18.4</v>
      </c>
      <c r="F211" s="8">
        <v>31</v>
      </c>
      <c r="G211" s="9">
        <f>MAX(F124,E211)</f>
        <v>22.1</v>
      </c>
      <c r="H211" s="9">
        <f>MIN(G124,F211)</f>
        <v>23.4</v>
      </c>
      <c r="I211" s="9">
        <f>MAX(0,ROUND((H211-G211),4))</f>
        <v>1.3</v>
      </c>
      <c r="J211" s="10">
        <f>'入力根拠'!F81</f>
        <v>2059.2</v>
      </c>
      <c r="K211" s="10">
        <f>'入力根拠'!F82</f>
        <v>2059.2</v>
      </c>
      <c r="L211" s="6">
        <f>ROUND((F211-E211),4)</f>
        <v>12.6</v>
      </c>
    </row>
    <row r="212" spans="1:12" ht="23" customHeight="1">
      <c r="A212" s="6">
        <v>5</v>
      </c>
      <c r="B212" s="6">
        <v>141</v>
      </c>
      <c r="C212" s="6">
        <v>7</v>
      </c>
      <c r="D212" s="6">
        <v>193</v>
      </c>
      <c r="E212" s="8">
        <v>18.4</v>
      </c>
      <c r="F212" s="8">
        <v>31</v>
      </c>
      <c r="G212" s="9">
        <f>MAX(F125,E212)</f>
        <v>23.4</v>
      </c>
      <c r="H212" s="9">
        <f>MIN(G125,F212)</f>
        <v>24.7</v>
      </c>
      <c r="I212" s="9">
        <f>MAX(0,ROUND((H212-G212),4))</f>
        <v>1.3</v>
      </c>
      <c r="J212" s="10">
        <f>'入力根拠'!F81</f>
        <v>2059.2</v>
      </c>
      <c r="K212" s="10">
        <f>'入力根拠'!F82</f>
        <v>2059.2</v>
      </c>
      <c r="L212" s="6">
        <f>ROUND((F212-E212),4)</f>
        <v>12.6</v>
      </c>
    </row>
    <row r="213" spans="1:12" ht="23" customHeight="1">
      <c r="A213" s="6">
        <v>5</v>
      </c>
      <c r="B213" s="6">
        <v>142</v>
      </c>
      <c r="C213" s="6">
        <v>7</v>
      </c>
      <c r="D213" s="6">
        <v>193</v>
      </c>
      <c r="E213" s="8">
        <v>18.4</v>
      </c>
      <c r="F213" s="8">
        <v>31</v>
      </c>
      <c r="G213" s="9">
        <f>MAX(F126,E213)</f>
        <v>24.7</v>
      </c>
      <c r="H213" s="9">
        <f>MIN(G126,F213)</f>
        <v>26.0</v>
      </c>
      <c r="I213" s="9">
        <f>MAX(0,ROUND((H213-G213),4))</f>
        <v>1.3</v>
      </c>
      <c r="J213" s="10">
        <f>'入力根拠'!F81</f>
        <v>2059.2</v>
      </c>
      <c r="K213" s="10">
        <f>'入力根拠'!F82</f>
        <v>2059.2</v>
      </c>
      <c r="L213" s="6">
        <f>ROUND((F213-E213),4)</f>
        <v>12.6</v>
      </c>
    </row>
    <row r="214" spans="1:12" ht="23" customHeight="1">
      <c r="A214" s="6">
        <v>5</v>
      </c>
      <c r="B214" s="6">
        <v>143</v>
      </c>
      <c r="C214" s="6">
        <v>7</v>
      </c>
      <c r="D214" s="6">
        <v>193</v>
      </c>
      <c r="E214" s="8">
        <v>18.4</v>
      </c>
      <c r="F214" s="8">
        <v>31</v>
      </c>
      <c r="G214" s="9">
        <f>MAX(F127,E214)</f>
        <v>26.0</v>
      </c>
      <c r="H214" s="9">
        <f>MIN(G127,F214)</f>
        <v>27.3</v>
      </c>
      <c r="I214" s="9">
        <f>MAX(0,ROUND((H214-G214),4))</f>
        <v>1.3</v>
      </c>
      <c r="J214" s="10">
        <f>'入力根拠'!F81</f>
        <v>2059.2</v>
      </c>
      <c r="K214" s="10">
        <f>'入力根拠'!F82</f>
        <v>2059.2</v>
      </c>
      <c r="L214" s="6">
        <f>ROUND((F214-E214),4)</f>
        <v>12.6</v>
      </c>
    </row>
    <row r="215" spans="1:12" ht="23" customHeight="1">
      <c r="A215" s="6">
        <v>5</v>
      </c>
      <c r="B215" s="6">
        <v>144</v>
      </c>
      <c r="C215" s="6">
        <v>7</v>
      </c>
      <c r="D215" s="6">
        <v>193</v>
      </c>
      <c r="E215" s="8">
        <v>18.4</v>
      </c>
      <c r="F215" s="8">
        <v>31</v>
      </c>
      <c r="G215" s="9">
        <f>MAX(F128,E215)</f>
        <v>27.3</v>
      </c>
      <c r="H215" s="9">
        <f>MIN(G128,F215)</f>
        <v>28.6</v>
      </c>
      <c r="I215" s="9">
        <f>MAX(0,ROUND((H215-G215),4))</f>
        <v>1.3</v>
      </c>
      <c r="J215" s="10">
        <f>'入力根拠'!F81</f>
        <v>2059.2</v>
      </c>
      <c r="K215" s="10">
        <f>'入力根拠'!F82</f>
        <v>2059.2</v>
      </c>
      <c r="L215" s="6">
        <f>ROUND((F215-E215),4)</f>
        <v>12.6</v>
      </c>
    </row>
    <row r="216" spans="1:12" ht="23" customHeight="1">
      <c r="A216" s="6">
        <v>5</v>
      </c>
      <c r="B216" s="6">
        <v>145</v>
      </c>
      <c r="C216" s="6">
        <v>7</v>
      </c>
      <c r="D216" s="6">
        <v>193</v>
      </c>
      <c r="E216" s="8">
        <v>18.4</v>
      </c>
      <c r="F216" s="8">
        <v>31</v>
      </c>
      <c r="G216" s="9">
        <f>MAX(F129,E216)</f>
        <v>28.6</v>
      </c>
      <c r="H216" s="9">
        <f>MIN(G129,F216)</f>
        <v>29.9</v>
      </c>
      <c r="I216" s="9">
        <f>MAX(0,ROUND((H216-G216),4))</f>
        <v>1.3</v>
      </c>
      <c r="J216" s="10">
        <f>'入力根拠'!F81</f>
        <v>2059.2</v>
      </c>
      <c r="K216" s="10">
        <f>'入力根拠'!F82</f>
        <v>2059.2</v>
      </c>
      <c r="L216" s="6">
        <f>ROUND((F216-E216),4)</f>
        <v>12.6</v>
      </c>
    </row>
    <row r="217" spans="1:12" ht="23" customHeight="1">
      <c r="A217" s="6">
        <v>5</v>
      </c>
      <c r="B217" s="6">
        <v>146</v>
      </c>
      <c r="C217" s="6">
        <v>7</v>
      </c>
      <c r="D217" s="6">
        <v>193</v>
      </c>
      <c r="E217" s="8">
        <v>18.4</v>
      </c>
      <c r="F217" s="8">
        <v>31</v>
      </c>
      <c r="G217" s="9">
        <f>MAX(F130,E217)</f>
        <v>29.9</v>
      </c>
      <c r="H217" s="9">
        <f>MIN(G130,F217)</f>
        <v>31.0</v>
      </c>
      <c r="I217" s="9">
        <f>MAX(0,ROUND((H217-G217),4))</f>
        <v>1.1</v>
      </c>
      <c r="J217" s="10">
        <f>'入力根拠'!F81</f>
        <v>2059.2</v>
      </c>
      <c r="K217" s="10">
        <f>'入力根拠'!F82</f>
        <v>2059.2</v>
      </c>
      <c r="L217" s="6">
        <f>ROUND((F217-E217),4)</f>
        <v>12.6</v>
      </c>
    </row>
    <row r="218" spans="1:12" ht="23" customHeight="1">
      <c r="A218" s="6">
        <v>6</v>
      </c>
      <c r="B218" s="6">
        <v>148</v>
      </c>
      <c r="C218" s="6">
        <v>1</v>
      </c>
      <c r="D218" s="6">
        <v>187</v>
      </c>
      <c r="E218" s="8">
        <v>0</v>
      </c>
      <c r="F218" s="8">
        <v>1.5</v>
      </c>
      <c r="G218" s="9">
        <f>MAX(F131,E218)</f>
        <v>0.0</v>
      </c>
      <c r="H218" s="9">
        <f>MIN(G131,F218)</f>
        <v>1.3</v>
      </c>
      <c r="I218" s="9">
        <f>MAX(0,ROUND((H218-G218),4))</f>
        <v>1.3</v>
      </c>
      <c r="J218" s="10">
        <f>'入力根拠'!F83</f>
        <v>2907.3</v>
      </c>
      <c r="K218" s="10">
        <f>'入力根拠'!F84</f>
        <v>3324.3</v>
      </c>
      <c r="L218" s="6">
        <f>ROUND((F218-E218),4)</f>
        <v>1.5</v>
      </c>
    </row>
    <row r="219" spans="1:12" ht="23" customHeight="1">
      <c r="A219" s="6">
        <v>6</v>
      </c>
      <c r="B219" s="6">
        <v>149</v>
      </c>
      <c r="C219" s="6">
        <v>1</v>
      </c>
      <c r="D219" s="6">
        <v>187</v>
      </c>
      <c r="E219" s="8">
        <v>0</v>
      </c>
      <c r="F219" s="8">
        <v>1.5</v>
      </c>
      <c r="G219" s="9">
        <f>MAX(F132,E219)</f>
        <v>1.3</v>
      </c>
      <c r="H219" s="9">
        <f>MIN(G132,F219)</f>
        <v>1.5</v>
      </c>
      <c r="I219" s="9">
        <f>MAX(0,ROUND((H219-G219),4))</f>
        <v>0.2</v>
      </c>
      <c r="J219" s="10">
        <f>'入力根拠'!F83</f>
        <v>2907.3</v>
      </c>
      <c r="K219" s="10">
        <f>'入力根拠'!F84</f>
        <v>3324.3</v>
      </c>
      <c r="L219" s="6">
        <f>ROUND((F219-E219),4)</f>
        <v>1.5</v>
      </c>
    </row>
    <row r="220" spans="1:12" ht="23" customHeight="1">
      <c r="A220" s="6">
        <v>6</v>
      </c>
      <c r="B220" s="6">
        <v>149</v>
      </c>
      <c r="C220" s="6">
        <v>2</v>
      </c>
      <c r="D220" s="6">
        <v>188</v>
      </c>
      <c r="E220" s="8">
        <v>1.5</v>
      </c>
      <c r="F220" s="8">
        <v>2.8</v>
      </c>
      <c r="G220" s="9">
        <f>MAX(F132,E220)</f>
        <v>1.5</v>
      </c>
      <c r="H220" s="9">
        <f>MIN(G132,F220)</f>
        <v>2.6</v>
      </c>
      <c r="I220" s="9">
        <f>MAX(0,ROUND((H220-G220),4))</f>
        <v>1.1</v>
      </c>
      <c r="J220" s="10">
        <f>'入力根拠'!F85</f>
        <v>5045.2</v>
      </c>
      <c r="K220" s="10">
        <f>'入力根拠'!F86</f>
        <v>5593.6</v>
      </c>
      <c r="L220" s="6">
        <f>ROUND((F220-E220),4)</f>
        <v>1.3</v>
      </c>
    </row>
    <row r="221" spans="1:12" ht="23" customHeight="1">
      <c r="A221" s="6">
        <v>6</v>
      </c>
      <c r="B221" s="6">
        <v>150</v>
      </c>
      <c r="C221" s="6">
        <v>2</v>
      </c>
      <c r="D221" s="6">
        <v>188</v>
      </c>
      <c r="E221" s="8">
        <v>1.5</v>
      </c>
      <c r="F221" s="8">
        <v>2.8</v>
      </c>
      <c r="G221" s="9">
        <f>MAX(F133,E221)</f>
        <v>2.6</v>
      </c>
      <c r="H221" s="9">
        <f>MIN(G133,F221)</f>
        <v>2.8</v>
      </c>
      <c r="I221" s="9">
        <f>MAX(0,ROUND((H221-G221),4))</f>
        <v>0.2</v>
      </c>
      <c r="J221" s="10">
        <f>'入力根拠'!F85</f>
        <v>5045.2</v>
      </c>
      <c r="K221" s="10">
        <f>'入力根拠'!F86</f>
        <v>5593.6</v>
      </c>
      <c r="L221" s="6">
        <f>ROUND((F221-E221),4)</f>
        <v>1.3</v>
      </c>
    </row>
    <row r="222" spans="1:12" ht="23" customHeight="1">
      <c r="A222" s="6">
        <v>6</v>
      </c>
      <c r="B222" s="6">
        <v>150</v>
      </c>
      <c r="C222" s="6">
        <v>3</v>
      </c>
      <c r="D222" s="6">
        <v>189</v>
      </c>
      <c r="E222" s="8">
        <v>2.8</v>
      </c>
      <c r="F222" s="8">
        <v>5.7</v>
      </c>
      <c r="G222" s="9">
        <f>MAX(F133,E222)</f>
        <v>2.8</v>
      </c>
      <c r="H222" s="9">
        <f>MIN(G133,F222)</f>
        <v>3.9</v>
      </c>
      <c r="I222" s="9">
        <f>MAX(0,ROUND((H222-G222),4))</f>
        <v>1.1</v>
      </c>
      <c r="J222" s="10">
        <f>'入力根拠'!F87</f>
        <v>1755.0</v>
      </c>
      <c r="K222" s="10">
        <f>'入力根拠'!F88</f>
        <v>1755.0</v>
      </c>
      <c r="L222" s="6">
        <f>ROUND((F222-E222),4)</f>
        <v>2.9</v>
      </c>
    </row>
    <row r="223" spans="1:12" ht="23" customHeight="1">
      <c r="A223" s="6">
        <v>6</v>
      </c>
      <c r="B223" s="6">
        <v>151</v>
      </c>
      <c r="C223" s="6">
        <v>3</v>
      </c>
      <c r="D223" s="6">
        <v>189</v>
      </c>
      <c r="E223" s="8">
        <v>2.8</v>
      </c>
      <c r="F223" s="8">
        <v>5.7</v>
      </c>
      <c r="G223" s="9">
        <f>MAX(F134,E223)</f>
        <v>3.9</v>
      </c>
      <c r="H223" s="9">
        <f>MIN(G134,F223)</f>
        <v>5.2</v>
      </c>
      <c r="I223" s="9">
        <f>MAX(0,ROUND((H223-G223),4))</f>
        <v>1.3</v>
      </c>
      <c r="J223" s="10">
        <f>'入力根拠'!F87</f>
        <v>1755.0</v>
      </c>
      <c r="K223" s="10">
        <f>'入力根拠'!F88</f>
        <v>1755.0</v>
      </c>
      <c r="L223" s="6">
        <f>ROUND((F223-E223),4)</f>
        <v>2.9</v>
      </c>
    </row>
    <row r="224" spans="1:12" ht="23" customHeight="1">
      <c r="A224" s="6">
        <v>6</v>
      </c>
      <c r="B224" s="6">
        <v>152</v>
      </c>
      <c r="C224" s="6">
        <v>3</v>
      </c>
      <c r="D224" s="6">
        <v>189</v>
      </c>
      <c r="E224" s="8">
        <v>2.8</v>
      </c>
      <c r="F224" s="8">
        <v>5.7</v>
      </c>
      <c r="G224" s="9">
        <f>MAX(F135,E224)</f>
        <v>5.2</v>
      </c>
      <c r="H224" s="9">
        <f>MIN(G135,F224)</f>
        <v>5.7</v>
      </c>
      <c r="I224" s="9">
        <f>MAX(0,ROUND((H224-G224),4))</f>
        <v>0.5</v>
      </c>
      <c r="J224" s="10">
        <f>'入力根拠'!F87</f>
        <v>1755.0</v>
      </c>
      <c r="K224" s="10">
        <f>'入力根拠'!F88</f>
        <v>1755.0</v>
      </c>
      <c r="L224" s="6">
        <f>ROUND((F224-E224),4)</f>
        <v>2.9</v>
      </c>
    </row>
    <row r="225" spans="1:12" ht="23" customHeight="1">
      <c r="A225" s="6">
        <v>6</v>
      </c>
      <c r="B225" s="6">
        <v>152</v>
      </c>
      <c r="C225" s="6">
        <v>4</v>
      </c>
      <c r="D225" s="6">
        <v>190</v>
      </c>
      <c r="E225" s="8">
        <v>5.7</v>
      </c>
      <c r="F225" s="8">
        <v>8.300000000000001</v>
      </c>
      <c r="G225" s="9">
        <f>MAX(F135,E225)</f>
        <v>5.7</v>
      </c>
      <c r="H225" s="9">
        <f>MIN(G135,F225)</f>
        <v>6.5</v>
      </c>
      <c r="I225" s="9">
        <f>MAX(0,ROUND((H225-G225),4))</f>
        <v>0.8</v>
      </c>
      <c r="J225" s="10">
        <f>'入力根拠'!F89</f>
        <v>5872.6</v>
      </c>
      <c r="K225" s="10">
        <f>'入力根拠'!F90</f>
        <v>6877.6</v>
      </c>
      <c r="L225" s="6">
        <f>ROUND((F225-E225),4)</f>
        <v>2.6</v>
      </c>
    </row>
    <row r="226" spans="1:12" ht="23" customHeight="1">
      <c r="A226" s="6">
        <v>6</v>
      </c>
      <c r="B226" s="6">
        <v>153</v>
      </c>
      <c r="C226" s="6">
        <v>4</v>
      </c>
      <c r="D226" s="6">
        <v>190</v>
      </c>
      <c r="E226" s="8">
        <v>5.7</v>
      </c>
      <c r="F226" s="8">
        <v>8.300000000000001</v>
      </c>
      <c r="G226" s="9">
        <f>MAX(F136,E226)</f>
        <v>6.5</v>
      </c>
      <c r="H226" s="9">
        <f>MIN(G136,F226)</f>
        <v>7.8</v>
      </c>
      <c r="I226" s="9">
        <f>MAX(0,ROUND((H226-G226),4))</f>
        <v>1.3</v>
      </c>
      <c r="J226" s="10">
        <f>'入力根拠'!F89</f>
        <v>5872.6</v>
      </c>
      <c r="K226" s="10">
        <f>'入力根拠'!F90</f>
        <v>6877.6</v>
      </c>
      <c r="L226" s="6">
        <f>ROUND((F226-E226),4)</f>
        <v>2.6</v>
      </c>
    </row>
    <row r="227" spans="1:12" ht="23" customHeight="1">
      <c r="A227" s="6">
        <v>6</v>
      </c>
      <c r="B227" s="6">
        <v>154</v>
      </c>
      <c r="C227" s="6">
        <v>4</v>
      </c>
      <c r="D227" s="6">
        <v>190</v>
      </c>
      <c r="E227" s="8">
        <v>5.7</v>
      </c>
      <c r="F227" s="8">
        <v>8.300000000000001</v>
      </c>
      <c r="G227" s="9">
        <f>MAX(F137,E227)</f>
        <v>7.8</v>
      </c>
      <c r="H227" s="9">
        <f>MIN(G137,F227)</f>
        <v>8.3</v>
      </c>
      <c r="I227" s="9">
        <f>MAX(0,ROUND((H227-G227),4))</f>
        <v>0.5</v>
      </c>
      <c r="J227" s="10">
        <f>'入力根拠'!F89</f>
        <v>5872.6</v>
      </c>
      <c r="K227" s="10">
        <f>'入力根拠'!F90</f>
        <v>6877.6</v>
      </c>
      <c r="L227" s="6">
        <f>ROUND((F227-E227),4)</f>
        <v>2.6</v>
      </c>
    </row>
    <row r="228" spans="1:12" ht="23" customHeight="1">
      <c r="A228" s="6">
        <v>6</v>
      </c>
      <c r="B228" s="6">
        <v>154</v>
      </c>
      <c r="C228" s="6">
        <v>5</v>
      </c>
      <c r="D228" s="6">
        <v>191</v>
      </c>
      <c r="E228" s="8">
        <v>8.300000000000001</v>
      </c>
      <c r="F228" s="8">
        <v>8.9</v>
      </c>
      <c r="G228" s="9">
        <f>MAX(F137,E228)</f>
        <v>8.3</v>
      </c>
      <c r="H228" s="9">
        <f>MIN(G137,F228)</f>
        <v>8.9</v>
      </c>
      <c r="I228" s="9">
        <f>MAX(0,ROUND((H228-G228),4))</f>
        <v>0.6</v>
      </c>
      <c r="J228" s="10">
        <f>'入力根拠'!F91</f>
        <v>6809.4</v>
      </c>
      <c r="K228" s="10">
        <f>'入力根拠'!F92</f>
        <v>6809.4</v>
      </c>
      <c r="L228" s="6">
        <f>ROUND((F228-E228),4)</f>
        <v>0.6</v>
      </c>
    </row>
    <row r="229" spans="1:12" ht="23" customHeight="1">
      <c r="A229" s="6">
        <v>6</v>
      </c>
      <c r="B229" s="6">
        <v>154</v>
      </c>
      <c r="C229" s="6">
        <v>6</v>
      </c>
      <c r="D229" s="6">
        <v>192</v>
      </c>
      <c r="E229" s="8">
        <v>8.9</v>
      </c>
      <c r="F229" s="8">
        <v>18.4</v>
      </c>
      <c r="G229" s="9">
        <f>MAX(F137,E229)</f>
        <v>8.9</v>
      </c>
      <c r="H229" s="9">
        <f>MIN(G137,F229)</f>
        <v>9.1</v>
      </c>
      <c r="I229" s="9">
        <f>MAX(0,ROUND((H229-G229),4))</f>
        <v>0.2</v>
      </c>
      <c r="J229" s="10">
        <f>'入力根拠'!F93</f>
        <v>7371.2</v>
      </c>
      <c r="K229" s="10">
        <f>'入力根拠'!F94</f>
        <v>11206.2</v>
      </c>
      <c r="L229" s="6">
        <f>ROUND((F229-E229),4)</f>
        <v>9.5</v>
      </c>
    </row>
    <row r="230" spans="1:12" ht="23" customHeight="1">
      <c r="A230" s="6">
        <v>6</v>
      </c>
      <c r="B230" s="6">
        <v>155</v>
      </c>
      <c r="C230" s="6">
        <v>6</v>
      </c>
      <c r="D230" s="6">
        <v>192</v>
      </c>
      <c r="E230" s="8">
        <v>8.9</v>
      </c>
      <c r="F230" s="8">
        <v>18.4</v>
      </c>
      <c r="G230" s="9">
        <f>MAX(F138,E230)</f>
        <v>9.1</v>
      </c>
      <c r="H230" s="9">
        <f>MIN(G138,F230)</f>
        <v>10.4</v>
      </c>
      <c r="I230" s="9">
        <f>MAX(0,ROUND((H230-G230),4))</f>
        <v>1.3</v>
      </c>
      <c r="J230" s="10">
        <f>'入力根拠'!F93</f>
        <v>7371.2</v>
      </c>
      <c r="K230" s="10">
        <f>'入力根拠'!F94</f>
        <v>11206.2</v>
      </c>
      <c r="L230" s="6">
        <f>ROUND((F230-E230),4)</f>
        <v>9.5</v>
      </c>
    </row>
    <row r="231" spans="1:12" ht="23" customHeight="1">
      <c r="A231" s="6">
        <v>6</v>
      </c>
      <c r="B231" s="6">
        <v>156</v>
      </c>
      <c r="C231" s="6">
        <v>6</v>
      </c>
      <c r="D231" s="6">
        <v>192</v>
      </c>
      <c r="E231" s="8">
        <v>8.9</v>
      </c>
      <c r="F231" s="8">
        <v>18.4</v>
      </c>
      <c r="G231" s="9">
        <f>MAX(F139,E231)</f>
        <v>10.4</v>
      </c>
      <c r="H231" s="9">
        <f>MIN(G139,F231)</f>
        <v>11.7</v>
      </c>
      <c r="I231" s="9">
        <f>MAX(0,ROUND((H231-G231),4))</f>
        <v>1.3</v>
      </c>
      <c r="J231" s="10">
        <f>'入力根拠'!F93</f>
        <v>7371.2</v>
      </c>
      <c r="K231" s="10">
        <f>'入力根拠'!F94</f>
        <v>11206.2</v>
      </c>
      <c r="L231" s="6">
        <f>ROUND((F231-E231),4)</f>
        <v>9.5</v>
      </c>
    </row>
    <row r="232" spans="1:12" ht="23" customHeight="1">
      <c r="A232" s="6">
        <v>6</v>
      </c>
      <c r="B232" s="6">
        <v>157</v>
      </c>
      <c r="C232" s="6">
        <v>6</v>
      </c>
      <c r="D232" s="6">
        <v>192</v>
      </c>
      <c r="E232" s="8">
        <v>8.9</v>
      </c>
      <c r="F232" s="8">
        <v>18.4</v>
      </c>
      <c r="G232" s="9">
        <f>MAX(F140,E232)</f>
        <v>11.7</v>
      </c>
      <c r="H232" s="9">
        <f>MIN(G140,F232)</f>
        <v>13.0</v>
      </c>
      <c r="I232" s="9">
        <f>MAX(0,ROUND((H232-G232),4))</f>
        <v>1.3</v>
      </c>
      <c r="J232" s="10">
        <f>'入力根拠'!F93</f>
        <v>7371.2</v>
      </c>
      <c r="K232" s="10">
        <f>'入力根拠'!F94</f>
        <v>11206.2</v>
      </c>
      <c r="L232" s="6">
        <f>ROUND((F232-E232),4)</f>
        <v>9.5</v>
      </c>
    </row>
    <row r="233" spans="1:12" ht="23" customHeight="1">
      <c r="A233" s="6">
        <v>6</v>
      </c>
      <c r="B233" s="6">
        <v>158</v>
      </c>
      <c r="C233" s="6">
        <v>6</v>
      </c>
      <c r="D233" s="6">
        <v>192</v>
      </c>
      <c r="E233" s="8">
        <v>8.9</v>
      </c>
      <c r="F233" s="8">
        <v>18.4</v>
      </c>
      <c r="G233" s="9">
        <f>MAX(F141,E233)</f>
        <v>13.0</v>
      </c>
      <c r="H233" s="9">
        <f>MIN(G141,F233)</f>
        <v>14.3</v>
      </c>
      <c r="I233" s="9">
        <f>MAX(0,ROUND((H233-G233),4))</f>
        <v>1.3</v>
      </c>
      <c r="J233" s="10">
        <f>'入力根拠'!F93</f>
        <v>7371.2</v>
      </c>
      <c r="K233" s="10">
        <f>'入力根拠'!F94</f>
        <v>11206.2</v>
      </c>
      <c r="L233" s="6">
        <f>ROUND((F233-E233),4)</f>
        <v>9.5</v>
      </c>
    </row>
    <row r="234" spans="1:12" ht="23" customHeight="1">
      <c r="A234" s="6">
        <v>6</v>
      </c>
      <c r="B234" s="6">
        <v>159</v>
      </c>
      <c r="C234" s="6">
        <v>6</v>
      </c>
      <c r="D234" s="6">
        <v>192</v>
      </c>
      <c r="E234" s="8">
        <v>8.9</v>
      </c>
      <c r="F234" s="8">
        <v>18.4</v>
      </c>
      <c r="G234" s="9">
        <f>MAX(F142,E234)</f>
        <v>14.3</v>
      </c>
      <c r="H234" s="9">
        <f>MIN(G142,F234)</f>
        <v>15.6</v>
      </c>
      <c r="I234" s="9">
        <f>MAX(0,ROUND((H234-G234),4))</f>
        <v>1.3</v>
      </c>
      <c r="J234" s="10">
        <f>'入力根拠'!F93</f>
        <v>7371.2</v>
      </c>
      <c r="K234" s="10">
        <f>'入力根拠'!F94</f>
        <v>11206.2</v>
      </c>
      <c r="L234" s="6">
        <f>ROUND((F234-E234),4)</f>
        <v>9.5</v>
      </c>
    </row>
    <row r="235" spans="1:12" ht="23" customHeight="1">
      <c r="A235" s="6">
        <v>6</v>
      </c>
      <c r="B235" s="6">
        <v>160</v>
      </c>
      <c r="C235" s="6">
        <v>6</v>
      </c>
      <c r="D235" s="6">
        <v>192</v>
      </c>
      <c r="E235" s="8">
        <v>8.9</v>
      </c>
      <c r="F235" s="8">
        <v>18.4</v>
      </c>
      <c r="G235" s="9">
        <f>MAX(F143,E235)</f>
        <v>15.6</v>
      </c>
      <c r="H235" s="9">
        <f>MIN(G143,F235)</f>
        <v>16.9</v>
      </c>
      <c r="I235" s="9">
        <f>MAX(0,ROUND((H235-G235),4))</f>
        <v>1.3</v>
      </c>
      <c r="J235" s="10">
        <f>'入力根拠'!F93</f>
        <v>7371.2</v>
      </c>
      <c r="K235" s="10">
        <f>'入力根拠'!F94</f>
        <v>11206.2</v>
      </c>
      <c r="L235" s="6">
        <f>ROUND((F235-E235),4)</f>
        <v>9.5</v>
      </c>
    </row>
    <row r="236" spans="1:12" ht="23" customHeight="1">
      <c r="A236" s="6">
        <v>6</v>
      </c>
      <c r="B236" s="6">
        <v>161</v>
      </c>
      <c r="C236" s="6">
        <v>6</v>
      </c>
      <c r="D236" s="6">
        <v>192</v>
      </c>
      <c r="E236" s="8">
        <v>8.9</v>
      </c>
      <c r="F236" s="8">
        <v>18.4</v>
      </c>
      <c r="G236" s="9">
        <f>MAX(F144,E236)</f>
        <v>16.9</v>
      </c>
      <c r="H236" s="9">
        <f>MIN(G144,F236)</f>
        <v>18.2</v>
      </c>
      <c r="I236" s="9">
        <f>MAX(0,ROUND((H236-G236),4))</f>
        <v>1.3</v>
      </c>
      <c r="J236" s="10">
        <f>'入力根拠'!F93</f>
        <v>7371.2</v>
      </c>
      <c r="K236" s="10">
        <f>'入力根拠'!F94</f>
        <v>11206.2</v>
      </c>
      <c r="L236" s="6">
        <f>ROUND((F236-E236),4)</f>
        <v>9.5</v>
      </c>
    </row>
    <row r="237" spans="1:12" ht="23" customHeight="1">
      <c r="A237" s="6">
        <v>6</v>
      </c>
      <c r="B237" s="6">
        <v>162</v>
      </c>
      <c r="C237" s="6">
        <v>6</v>
      </c>
      <c r="D237" s="6">
        <v>192</v>
      </c>
      <c r="E237" s="8">
        <v>8.9</v>
      </c>
      <c r="F237" s="8">
        <v>18.4</v>
      </c>
      <c r="G237" s="9">
        <f>MAX(F145,E237)</f>
        <v>18.2</v>
      </c>
      <c r="H237" s="9">
        <f>MIN(G145,F237)</f>
        <v>18.4</v>
      </c>
      <c r="I237" s="9">
        <f>MAX(0,ROUND((H237-G237),4))</f>
        <v>0.2</v>
      </c>
      <c r="J237" s="10">
        <f>'入力根拠'!F93</f>
        <v>7371.2</v>
      </c>
      <c r="K237" s="10">
        <f>'入力根拠'!F94</f>
        <v>11206.2</v>
      </c>
      <c r="L237" s="6">
        <f>ROUND((F237-E237),4)</f>
        <v>9.5</v>
      </c>
    </row>
    <row r="238" spans="1:12" ht="23" customHeight="1">
      <c r="A238" s="6">
        <v>6</v>
      </c>
      <c r="B238" s="6">
        <v>162</v>
      </c>
      <c r="C238" s="6">
        <v>7</v>
      </c>
      <c r="D238" s="6">
        <v>193</v>
      </c>
      <c r="E238" s="8">
        <v>18.4</v>
      </c>
      <c r="F238" s="8">
        <v>31</v>
      </c>
      <c r="G238" s="9">
        <f>MAX(F145,E238)</f>
        <v>18.4</v>
      </c>
      <c r="H238" s="9">
        <f>MIN(G145,F238)</f>
        <v>19.5</v>
      </c>
      <c r="I238" s="9">
        <f>MAX(0,ROUND((H238-G238),4))</f>
        <v>1.1</v>
      </c>
      <c r="J238" s="10">
        <f>'入力根拠'!F95</f>
        <v>3088.8</v>
      </c>
      <c r="K238" s="10">
        <f>'入力根拠'!F96</f>
        <v>3088.8</v>
      </c>
      <c r="L238" s="6">
        <f>ROUND((F238-E238),4)</f>
        <v>12.6</v>
      </c>
    </row>
    <row r="239" spans="1:12" ht="23" customHeight="1">
      <c r="A239" s="6">
        <v>6</v>
      </c>
      <c r="B239" s="6">
        <v>163</v>
      </c>
      <c r="C239" s="6">
        <v>7</v>
      </c>
      <c r="D239" s="6">
        <v>193</v>
      </c>
      <c r="E239" s="8">
        <v>18.4</v>
      </c>
      <c r="F239" s="8">
        <v>31</v>
      </c>
      <c r="G239" s="9">
        <f>MAX(F146,E239)</f>
        <v>19.5</v>
      </c>
      <c r="H239" s="9">
        <f>MIN(G146,F239)</f>
        <v>20.8</v>
      </c>
      <c r="I239" s="9">
        <f>MAX(0,ROUND((H239-G239),4))</f>
        <v>1.3</v>
      </c>
      <c r="J239" s="10">
        <f>'入力根拠'!F95</f>
        <v>3088.8</v>
      </c>
      <c r="K239" s="10">
        <f>'入力根拠'!F96</f>
        <v>3088.8</v>
      </c>
      <c r="L239" s="6">
        <f>ROUND((F239-E239),4)</f>
        <v>12.6</v>
      </c>
    </row>
    <row r="240" spans="1:12" ht="23" customHeight="1">
      <c r="A240" s="6">
        <v>6</v>
      </c>
      <c r="B240" s="6">
        <v>164</v>
      </c>
      <c r="C240" s="6">
        <v>7</v>
      </c>
      <c r="D240" s="6">
        <v>193</v>
      </c>
      <c r="E240" s="8">
        <v>18.4</v>
      </c>
      <c r="F240" s="8">
        <v>31</v>
      </c>
      <c r="G240" s="9">
        <f>MAX(F147,E240)</f>
        <v>20.8</v>
      </c>
      <c r="H240" s="9">
        <f>MIN(G147,F240)</f>
        <v>22.1</v>
      </c>
      <c r="I240" s="9">
        <f>MAX(0,ROUND((H240-G240),4))</f>
        <v>1.3</v>
      </c>
      <c r="J240" s="10">
        <f>'入力根拠'!F95</f>
        <v>3088.8</v>
      </c>
      <c r="K240" s="10">
        <f>'入力根拠'!F96</f>
        <v>3088.8</v>
      </c>
      <c r="L240" s="6">
        <f>ROUND((F240-E240),4)</f>
        <v>12.6</v>
      </c>
    </row>
    <row r="241" spans="1:12" ht="23" customHeight="1">
      <c r="A241" s="6">
        <v>6</v>
      </c>
      <c r="B241" s="6">
        <v>165</v>
      </c>
      <c r="C241" s="6">
        <v>7</v>
      </c>
      <c r="D241" s="6">
        <v>193</v>
      </c>
      <c r="E241" s="8">
        <v>18.4</v>
      </c>
      <c r="F241" s="8">
        <v>31</v>
      </c>
      <c r="G241" s="9">
        <f>MAX(F148,E241)</f>
        <v>22.1</v>
      </c>
      <c r="H241" s="9">
        <f>MIN(G148,F241)</f>
        <v>23.4</v>
      </c>
      <c r="I241" s="9">
        <f>MAX(0,ROUND((H241-G241),4))</f>
        <v>1.3</v>
      </c>
      <c r="J241" s="10">
        <f>'入力根拠'!F95</f>
        <v>3088.8</v>
      </c>
      <c r="K241" s="10">
        <f>'入力根拠'!F96</f>
        <v>3088.8</v>
      </c>
      <c r="L241" s="6">
        <f>ROUND((F241-E241),4)</f>
        <v>12.6</v>
      </c>
    </row>
    <row r="242" spans="1:12" ht="23" customHeight="1">
      <c r="A242" s="6">
        <v>6</v>
      </c>
      <c r="B242" s="6">
        <v>166</v>
      </c>
      <c r="C242" s="6">
        <v>7</v>
      </c>
      <c r="D242" s="6">
        <v>193</v>
      </c>
      <c r="E242" s="8">
        <v>18.4</v>
      </c>
      <c r="F242" s="8">
        <v>31</v>
      </c>
      <c r="G242" s="9">
        <f>MAX(F149,E242)</f>
        <v>23.4</v>
      </c>
      <c r="H242" s="9">
        <f>MIN(G149,F242)</f>
        <v>24.7</v>
      </c>
      <c r="I242" s="9">
        <f>MAX(0,ROUND((H242-G242),4))</f>
        <v>1.3</v>
      </c>
      <c r="J242" s="10">
        <f>'入力根拠'!F95</f>
        <v>3088.8</v>
      </c>
      <c r="K242" s="10">
        <f>'入力根拠'!F96</f>
        <v>3088.8</v>
      </c>
      <c r="L242" s="6">
        <f>ROUND((F242-E242),4)</f>
        <v>12.6</v>
      </c>
    </row>
    <row r="243" spans="1:12" ht="23" customHeight="1">
      <c r="A243" s="6">
        <v>6</v>
      </c>
      <c r="B243" s="6">
        <v>167</v>
      </c>
      <c r="C243" s="6">
        <v>7</v>
      </c>
      <c r="D243" s="6">
        <v>193</v>
      </c>
      <c r="E243" s="8">
        <v>18.4</v>
      </c>
      <c r="F243" s="8">
        <v>31</v>
      </c>
      <c r="G243" s="9">
        <f>MAX(F150,E243)</f>
        <v>24.7</v>
      </c>
      <c r="H243" s="9">
        <f>MIN(G150,F243)</f>
        <v>26.0</v>
      </c>
      <c r="I243" s="9">
        <f>MAX(0,ROUND((H243-G243),4))</f>
        <v>1.3</v>
      </c>
      <c r="J243" s="10">
        <f>'入力根拠'!F95</f>
        <v>3088.8</v>
      </c>
      <c r="K243" s="10">
        <f>'入力根拠'!F96</f>
        <v>3088.8</v>
      </c>
      <c r="L243" s="6">
        <f>ROUND((F243-E243),4)</f>
        <v>12.6</v>
      </c>
    </row>
    <row r="244" spans="1:12" ht="23" customHeight="1">
      <c r="A244" s="6">
        <v>6</v>
      </c>
      <c r="B244" s="6">
        <v>168</v>
      </c>
      <c r="C244" s="6">
        <v>7</v>
      </c>
      <c r="D244" s="6">
        <v>193</v>
      </c>
      <c r="E244" s="8">
        <v>18.4</v>
      </c>
      <c r="F244" s="8">
        <v>31</v>
      </c>
      <c r="G244" s="9">
        <f>MAX(F151,E244)</f>
        <v>26.0</v>
      </c>
      <c r="H244" s="9">
        <f>MIN(G151,F244)</f>
        <v>27.3</v>
      </c>
      <c r="I244" s="9">
        <f>MAX(0,ROUND((H244-G244),4))</f>
        <v>1.3</v>
      </c>
      <c r="J244" s="10">
        <f>'入力根拠'!F95</f>
        <v>3088.8</v>
      </c>
      <c r="K244" s="10">
        <f>'入力根拠'!F96</f>
        <v>3088.8</v>
      </c>
      <c r="L244" s="6">
        <f>ROUND((F244-E244),4)</f>
        <v>12.6</v>
      </c>
    </row>
    <row r="245" spans="1:12" ht="23" customHeight="1">
      <c r="A245" s="6">
        <v>6</v>
      </c>
      <c r="B245" s="6">
        <v>169</v>
      </c>
      <c r="C245" s="6">
        <v>7</v>
      </c>
      <c r="D245" s="6">
        <v>193</v>
      </c>
      <c r="E245" s="8">
        <v>18.4</v>
      </c>
      <c r="F245" s="8">
        <v>31</v>
      </c>
      <c r="G245" s="9">
        <f>MAX(F152,E245)</f>
        <v>27.3</v>
      </c>
      <c r="H245" s="9">
        <f>MIN(G152,F245)</f>
        <v>28.6</v>
      </c>
      <c r="I245" s="9">
        <f>MAX(0,ROUND((H245-G245),4))</f>
        <v>1.3</v>
      </c>
      <c r="J245" s="10">
        <f>'入力根拠'!F95</f>
        <v>3088.8</v>
      </c>
      <c r="K245" s="10">
        <f>'入力根拠'!F96</f>
        <v>3088.8</v>
      </c>
      <c r="L245" s="6">
        <f>ROUND((F245-E245),4)</f>
        <v>12.6</v>
      </c>
    </row>
    <row r="246" spans="1:12" ht="23" customHeight="1">
      <c r="A246" s="6">
        <v>6</v>
      </c>
      <c r="B246" s="6">
        <v>170</v>
      </c>
      <c r="C246" s="6">
        <v>7</v>
      </c>
      <c r="D246" s="6">
        <v>193</v>
      </c>
      <c r="E246" s="8">
        <v>18.4</v>
      </c>
      <c r="F246" s="8">
        <v>31</v>
      </c>
      <c r="G246" s="9">
        <f>MAX(F153,E246)</f>
        <v>28.6</v>
      </c>
      <c r="H246" s="9">
        <f>MIN(G153,F246)</f>
        <v>29.9</v>
      </c>
      <c r="I246" s="9">
        <f>MAX(0,ROUND((H246-G246),4))</f>
        <v>1.3</v>
      </c>
      <c r="J246" s="10">
        <f>'入力根拠'!F95</f>
        <v>3088.8</v>
      </c>
      <c r="K246" s="10">
        <f>'入力根拠'!F96</f>
        <v>3088.8</v>
      </c>
      <c r="L246" s="6">
        <f>ROUND((F246-E246),4)</f>
        <v>12.6</v>
      </c>
    </row>
    <row r="247" spans="1:12" ht="23" customHeight="1">
      <c r="A247" s="6">
        <v>6</v>
      </c>
      <c r="B247" s="6">
        <v>171</v>
      </c>
      <c r="C247" s="6">
        <v>7</v>
      </c>
      <c r="D247" s="6">
        <v>193</v>
      </c>
      <c r="E247" s="8">
        <v>18.4</v>
      </c>
      <c r="F247" s="8">
        <v>31</v>
      </c>
      <c r="G247" s="9">
        <f>MAX(F154,E247)</f>
        <v>29.9</v>
      </c>
      <c r="H247" s="9">
        <f>MIN(G154,F247)</f>
        <v>31.0</v>
      </c>
      <c r="I247" s="9">
        <f>MAX(0,ROUND((H247-G247),4))</f>
        <v>1.1</v>
      </c>
      <c r="J247" s="10">
        <f>'入力根拠'!F95</f>
        <v>3088.8</v>
      </c>
      <c r="K247" s="10">
        <f>'入力根拠'!F96</f>
        <v>3088.8</v>
      </c>
      <c r="L247" s="6">
        <f>ROUND((F247-E247),4)</f>
        <v>12.6</v>
      </c>
    </row>
    <row r="248" spans="1:12" ht="23" customHeight="1"/>
    <row r="249" spans="1:12" ht="24" customHeight="1">
      <c r="A249" s="3" t="s">
        <v>162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36" customHeight="1">
      <c r="A250" s="4" t="s">
        <v>8</v>
      </c>
      <c r="B250" s="4" t="s">
        <v>20</v>
      </c>
      <c r="C250" s="4" t="s">
        <v>63</v>
      </c>
      <c r="D250" s="4" t="s">
        <v>163</v>
      </c>
      <c r="E250" s="4" t="s">
        <v>164</v>
      </c>
      <c r="F250" s="4" t="s">
        <v>165</v>
      </c>
      <c r="G250" s="4" t="s">
        <v>166</v>
      </c>
      <c r="H250" s="4" t="s">
        <v>158</v>
      </c>
      <c r="I250" s="4" t="s">
        <v>167</v>
      </c>
    </row>
    <row r="251" spans="1:12" ht="23" customHeight="1">
      <c r="A251" s="6">
        <v>4</v>
      </c>
      <c r="B251" s="6">
        <v>98</v>
      </c>
      <c r="C251" s="6">
        <v>1</v>
      </c>
      <c r="D251" s="11">
        <f>((G158-E158)/L158)</f>
        <v>0.0</v>
      </c>
      <c r="E251" s="11">
        <f>((H158-E158)/L158)</f>
        <v>0.8666666666666667</v>
      </c>
      <c r="F251" s="6">
        <f>(J158+((K158-J158)*D251))</f>
        <v>1162.9</v>
      </c>
      <c r="G251" s="6">
        <f>(J158+((K158-J158)*E251))</f>
        <v>1307.46</v>
      </c>
      <c r="H251" s="9">
        <f>I158</f>
        <v>1.3</v>
      </c>
      <c r="I251" s="6">
        <f>(((F251+G251)/2)*H251)</f>
        <v>1605.7340000000002</v>
      </c>
    </row>
    <row r="252" spans="1:12" ht="23" customHeight="1">
      <c r="A252" s="6">
        <v>4</v>
      </c>
      <c r="B252" s="6">
        <v>99</v>
      </c>
      <c r="C252" s="6">
        <v>1</v>
      </c>
      <c r="D252" s="11">
        <f>((G159-E159)/L159)</f>
        <v>0.8666666666666667</v>
      </c>
      <c r="E252" s="11">
        <f>((H159-E159)/L159)</f>
        <v>1.0</v>
      </c>
      <c r="F252" s="6">
        <f>(J159+((K159-J159)*D252))</f>
        <v>1307.46</v>
      </c>
      <c r="G252" s="6">
        <f>(J159+((K159-J159)*E252))</f>
        <v>1329.7</v>
      </c>
      <c r="H252" s="9">
        <f>I159</f>
        <v>0.2</v>
      </c>
      <c r="I252" s="6">
        <f>(((F252+G252)/2)*H252)</f>
        <v>263.716</v>
      </c>
    </row>
    <row r="253" spans="1:12" ht="23" customHeight="1">
      <c r="A253" s="6">
        <v>4</v>
      </c>
      <c r="B253" s="6">
        <v>99</v>
      </c>
      <c r="C253" s="6">
        <v>2</v>
      </c>
      <c r="D253" s="11">
        <f>((G160-E160)/L160)</f>
        <v>0.0</v>
      </c>
      <c r="E253" s="11">
        <f>((H160-E160)/L160)</f>
        <v>0.8461538461538461</v>
      </c>
      <c r="F253" s="6">
        <f>(J160+((K160-J160)*D253))</f>
        <v>2018.1</v>
      </c>
      <c r="G253" s="6">
        <f>(J160+((K160-J160)*E253))</f>
        <v>2203.6615384615384</v>
      </c>
      <c r="H253" s="9">
        <f>I160</f>
        <v>1.1</v>
      </c>
      <c r="I253" s="6">
        <f>(((F253+G253)/2)*H253)</f>
        <v>2321.9688461538462</v>
      </c>
    </row>
    <row r="254" spans="1:12" ht="23" customHeight="1">
      <c r="A254" s="6">
        <v>4</v>
      </c>
      <c r="B254" s="6">
        <v>100</v>
      </c>
      <c r="C254" s="6">
        <v>2</v>
      </c>
      <c r="D254" s="11">
        <f>((G161-E161)/L161)</f>
        <v>0.8461538461538461</v>
      </c>
      <c r="E254" s="11">
        <f>((H161-E161)/L161)</f>
        <v>0.9999999999999998</v>
      </c>
      <c r="F254" s="6">
        <f>(J161+((K161-J161)*D254))</f>
        <v>2203.6615384615384</v>
      </c>
      <c r="G254" s="6">
        <f>(J161+((K161-J161)*E254))</f>
        <v>2237.4</v>
      </c>
      <c r="H254" s="9">
        <f>I161</f>
        <v>0.2</v>
      </c>
      <c r="I254" s="6">
        <f>(((F254+G254)/2)*H254)</f>
        <v>444.10615384615386</v>
      </c>
    </row>
    <row r="255" spans="1:12" ht="23" customHeight="1">
      <c r="A255" s="6">
        <v>4</v>
      </c>
      <c r="B255" s="6">
        <v>100</v>
      </c>
      <c r="C255" s="6">
        <v>3</v>
      </c>
      <c r="D255" s="11">
        <f>((G162-E162)/L162)</f>
        <v>0.0</v>
      </c>
      <c r="E255" s="11">
        <f>((H162-E162)/L162)</f>
        <v>0.37931034482758624</v>
      </c>
      <c r="F255" s="6">
        <f>(J162+((K162-J162)*D255))</f>
        <v>1755.0</v>
      </c>
      <c r="G255" s="6">
        <f>(J162+((K162-J162)*E255))</f>
        <v>1755.0</v>
      </c>
      <c r="H255" s="9">
        <f>I162</f>
        <v>1.1</v>
      </c>
      <c r="I255" s="6">
        <f>(((F255+G255)/2)*H255)</f>
        <v>1930.5000000000002</v>
      </c>
    </row>
    <row r="256" spans="1:12" ht="23" customHeight="1">
      <c r="A256" s="6">
        <v>4</v>
      </c>
      <c r="B256" s="6">
        <v>101</v>
      </c>
      <c r="C256" s="6">
        <v>3</v>
      </c>
      <c r="D256" s="11">
        <f>((G163-E163)/L163)</f>
        <v>0.37931034482758624</v>
      </c>
      <c r="E256" s="11">
        <f>((H163-E163)/L163)</f>
        <v>0.8275862068965518</v>
      </c>
      <c r="F256" s="6">
        <f>(J163+((K163-J163)*D256))</f>
        <v>1755.0</v>
      </c>
      <c r="G256" s="6">
        <f>(J163+((K163-J163)*E256))</f>
        <v>1755.0</v>
      </c>
      <c r="H256" s="9">
        <f>I163</f>
        <v>1.3</v>
      </c>
      <c r="I256" s="6">
        <f>(((F256+G256)/2)*H256)</f>
        <v>2281.5</v>
      </c>
    </row>
    <row r="257" spans="1:9" ht="23" customHeight="1">
      <c r="A257" s="6">
        <v>4</v>
      </c>
      <c r="B257" s="6">
        <v>102</v>
      </c>
      <c r="C257" s="6">
        <v>3</v>
      </c>
      <c r="D257" s="11">
        <f>((G164-E164)/L164)</f>
        <v>0.8275862068965518</v>
      </c>
      <c r="E257" s="11">
        <f>((H164-E164)/L164)</f>
        <v>1.0000000000000002</v>
      </c>
      <c r="F257" s="6">
        <f>(J164+((K164-J164)*D257))</f>
        <v>1755.0</v>
      </c>
      <c r="G257" s="6">
        <f>(J164+((K164-J164)*E257))</f>
        <v>1755.0</v>
      </c>
      <c r="H257" s="9">
        <f>I164</f>
        <v>0.5</v>
      </c>
      <c r="I257" s="6">
        <f>(((F257+G257)/2)*H257)</f>
        <v>877.5</v>
      </c>
    </row>
    <row r="258" spans="1:9" ht="23" customHeight="1">
      <c r="A258" s="6">
        <v>4</v>
      </c>
      <c r="B258" s="6">
        <v>102</v>
      </c>
      <c r="C258" s="6">
        <v>4</v>
      </c>
      <c r="D258" s="11">
        <f>((G165-E165)/L165)</f>
        <v>0.0</v>
      </c>
      <c r="E258" s="11">
        <f>((H165-E165)/L165)</f>
        <v>0.3076923076923076</v>
      </c>
      <c r="F258" s="6">
        <f>(J165+((K165-J165)*D258))</f>
        <v>2349.1</v>
      </c>
      <c r="G258" s="6">
        <f>(J165+((K165-J165)*E258))</f>
        <v>2472.7615384615383</v>
      </c>
      <c r="H258" s="9">
        <f>I165</f>
        <v>0.8</v>
      </c>
      <c r="I258" s="6">
        <f>(((F258+G258)/2)*H258)</f>
        <v>1928.7446153846156</v>
      </c>
    </row>
    <row r="259" spans="1:9" ht="23" customHeight="1">
      <c r="A259" s="6">
        <v>4</v>
      </c>
      <c r="B259" s="6">
        <v>103</v>
      </c>
      <c r="C259" s="6">
        <v>4</v>
      </c>
      <c r="D259" s="11">
        <f>((G166-E166)/L166)</f>
        <v>0.3076923076923076</v>
      </c>
      <c r="E259" s="11">
        <f>((H166-E166)/L166)</f>
        <v>0.8076923076923075</v>
      </c>
      <c r="F259" s="6">
        <f>(J166+((K166-J166)*D259))</f>
        <v>2472.7615384615383</v>
      </c>
      <c r="G259" s="6">
        <f>(J166+((K166-J166)*E259))</f>
        <v>2673.711538461538</v>
      </c>
      <c r="H259" s="9">
        <f>I166</f>
        <v>1.3</v>
      </c>
      <c r="I259" s="6">
        <f>(((F259+G259)/2)*H259)</f>
        <v>3345.2075</v>
      </c>
    </row>
    <row r="260" spans="1:9" ht="23" customHeight="1">
      <c r="A260" s="6">
        <v>4</v>
      </c>
      <c r="B260" s="6">
        <v>104</v>
      </c>
      <c r="C260" s="6">
        <v>4</v>
      </c>
      <c r="D260" s="11">
        <f>((G167-E167)/L167)</f>
        <v>0.8076923076923075</v>
      </c>
      <c r="E260" s="11">
        <f>((H167-E167)/L167)</f>
        <v>1.0000000000000002</v>
      </c>
      <c r="F260" s="6">
        <f>(J167+((K167-J167)*D260))</f>
        <v>2673.711538461538</v>
      </c>
      <c r="G260" s="6">
        <f>(J167+((K167-J167)*E260))</f>
        <v>2751.0</v>
      </c>
      <c r="H260" s="9">
        <f>I167</f>
        <v>0.5</v>
      </c>
      <c r="I260" s="6">
        <f>(((F260+G260)/2)*H260)</f>
        <v>1356.1778846153845</v>
      </c>
    </row>
    <row r="261" spans="1:9" ht="23" customHeight="1">
      <c r="A261" s="6">
        <v>4</v>
      </c>
      <c r="B261" s="6">
        <v>104</v>
      </c>
      <c r="C261" s="6">
        <v>5</v>
      </c>
      <c r="D261" s="11">
        <f>((G168-E168)/L168)</f>
        <v>0.0</v>
      </c>
      <c r="E261" s="11">
        <f>((H168-E168)/L168)</f>
        <v>0.9999999999999994</v>
      </c>
      <c r="F261" s="6">
        <f>(J168+((K168-J168)*D261))</f>
        <v>6809.4</v>
      </c>
      <c r="G261" s="6">
        <f>(J168+((K168-J168)*E261))</f>
        <v>6809.4</v>
      </c>
      <c r="H261" s="9">
        <f>I168</f>
        <v>0.6</v>
      </c>
      <c r="I261" s="6">
        <f>(((F261+G261)/2)*H261)</f>
        <v>4085.6399999999994</v>
      </c>
    </row>
    <row r="262" spans="1:9" ht="23" customHeight="1">
      <c r="A262" s="6">
        <v>4</v>
      </c>
      <c r="B262" s="6">
        <v>104</v>
      </c>
      <c r="C262" s="6">
        <v>6</v>
      </c>
      <c r="D262" s="11">
        <f>((G169-E169)/L169)</f>
        <v>0.0</v>
      </c>
      <c r="E262" s="11">
        <f>((H169-E169)/L169)</f>
        <v>0.021052631578947295</v>
      </c>
      <c r="F262" s="6">
        <f>(J169+((K169-J169)*D262))</f>
        <v>2948.5</v>
      </c>
      <c r="G262" s="6">
        <f>(J169+((K169-J169)*E262))</f>
        <v>2980.794736842105</v>
      </c>
      <c r="H262" s="9">
        <f>I169</f>
        <v>0.2</v>
      </c>
      <c r="I262" s="6">
        <f>(((F262+G262)/2)*H262)</f>
        <v>592.9294736842105</v>
      </c>
    </row>
    <row r="263" spans="1:9" ht="23" customHeight="1">
      <c r="A263" s="6">
        <v>4</v>
      </c>
      <c r="B263" s="6">
        <v>105</v>
      </c>
      <c r="C263" s="6">
        <v>6</v>
      </c>
      <c r="D263" s="11">
        <f>((G170-E170)/L170)</f>
        <v>0.021052631578947295</v>
      </c>
      <c r="E263" s="11">
        <f>((H170-E170)/L170)</f>
        <v>0.15789473684210525</v>
      </c>
      <c r="F263" s="6">
        <f>(J170+((K170-J170)*D263))</f>
        <v>2980.794736842105</v>
      </c>
      <c r="G263" s="6">
        <f>(J170+((K170-J170)*E263))</f>
        <v>3190.7105263157896</v>
      </c>
      <c r="H263" s="9">
        <f>I170</f>
        <v>1.3</v>
      </c>
      <c r="I263" s="6">
        <f>(((F263+G263)/2)*H263)</f>
        <v>4011.478421052632</v>
      </c>
    </row>
    <row r="264" spans="1:9" ht="23" customHeight="1">
      <c r="A264" s="6">
        <v>4</v>
      </c>
      <c r="B264" s="6">
        <v>106</v>
      </c>
      <c r="C264" s="6">
        <v>6</v>
      </c>
      <c r="D264" s="11">
        <f>((G171-E171)/L171)</f>
        <v>0.15789473684210525</v>
      </c>
      <c r="E264" s="11">
        <f>((H171-E171)/L171)</f>
        <v>0.294736842105263</v>
      </c>
      <c r="F264" s="6">
        <f>(J171+((K171-J171)*D264))</f>
        <v>3190.7105263157896</v>
      </c>
      <c r="G264" s="6">
        <f>(J171+((K171-J171)*E264))</f>
        <v>3400.6263157894737</v>
      </c>
      <c r="H264" s="9">
        <f>I171</f>
        <v>1.3</v>
      </c>
      <c r="I264" s="6">
        <f>(((F264+G264)/2)*H264)</f>
        <v>4284.368947368422</v>
      </c>
    </row>
    <row r="265" spans="1:9" ht="23" customHeight="1">
      <c r="A265" s="6">
        <v>4</v>
      </c>
      <c r="B265" s="6">
        <v>107</v>
      </c>
      <c r="C265" s="6">
        <v>6</v>
      </c>
      <c r="D265" s="11">
        <f>((G172-E172)/L172)</f>
        <v>0.294736842105263</v>
      </c>
      <c r="E265" s="11">
        <f>((H172-E172)/L172)</f>
        <v>0.431578947368421</v>
      </c>
      <c r="F265" s="6">
        <f>(J172+((K172-J172)*D265))</f>
        <v>3400.6263157894737</v>
      </c>
      <c r="G265" s="6">
        <f>(J172+((K172-J172)*E265))</f>
        <v>3610.5421052631577</v>
      </c>
      <c r="H265" s="9">
        <f>I172</f>
        <v>1.3</v>
      </c>
      <c r="I265" s="6">
        <f>(((F265+G265)/2)*H265)</f>
        <v>4557.25947368421</v>
      </c>
    </row>
    <row r="266" spans="1:9" ht="23" customHeight="1">
      <c r="A266" s="6">
        <v>4</v>
      </c>
      <c r="B266" s="6">
        <v>108</v>
      </c>
      <c r="C266" s="6">
        <v>6</v>
      </c>
      <c r="D266" s="11">
        <f>((G173-E173)/L173)</f>
        <v>0.431578947368421</v>
      </c>
      <c r="E266" s="11">
        <f>((H173-E173)/L173)</f>
        <v>0.5684210526315789</v>
      </c>
      <c r="F266" s="6">
        <f>(J173+((K173-J173)*D266))</f>
        <v>3610.5421052631577</v>
      </c>
      <c r="G266" s="6">
        <f>(J173+((K173-J173)*E266))</f>
        <v>3820.457894736842</v>
      </c>
      <c r="H266" s="9">
        <f>I173</f>
        <v>1.3</v>
      </c>
      <c r="I266" s="6">
        <f>(((F266+G266)/2)*H266)</f>
        <v>4830.150000000001</v>
      </c>
    </row>
    <row r="267" spans="1:9" ht="23" customHeight="1">
      <c r="A267" s="6">
        <v>4</v>
      </c>
      <c r="B267" s="6">
        <v>109</v>
      </c>
      <c r="C267" s="6">
        <v>6</v>
      </c>
      <c r="D267" s="11">
        <f>((G174-E174)/L174)</f>
        <v>0.5684210526315789</v>
      </c>
      <c r="E267" s="11">
        <f>((H174-E174)/L174)</f>
        <v>0.7052631578947368</v>
      </c>
      <c r="F267" s="6">
        <f>(J174+((K174-J174)*D267))</f>
        <v>3820.457894736842</v>
      </c>
      <c r="G267" s="6">
        <f>(J174+((K174-J174)*E267))</f>
        <v>4030.3736842105263</v>
      </c>
      <c r="H267" s="9">
        <f>I174</f>
        <v>1.3</v>
      </c>
      <c r="I267" s="6">
        <f>(((F267+G267)/2)*H267)</f>
        <v>5103.040526315789</v>
      </c>
    </row>
    <row r="268" spans="1:9" ht="23" customHeight="1">
      <c r="A268" s="6">
        <v>4</v>
      </c>
      <c r="B268" s="6">
        <v>110</v>
      </c>
      <c r="C268" s="6">
        <v>6</v>
      </c>
      <c r="D268" s="11">
        <f>((G175-E175)/L175)</f>
        <v>0.7052631578947368</v>
      </c>
      <c r="E268" s="11">
        <f>((H175-E175)/L175)</f>
        <v>0.8421052631578946</v>
      </c>
      <c r="F268" s="6">
        <f>(J175+((K175-J175)*D268))</f>
        <v>4030.3736842105263</v>
      </c>
      <c r="G268" s="6">
        <f>(J175+((K175-J175)*E268))</f>
        <v>4240.28947368421</v>
      </c>
      <c r="H268" s="9">
        <f>I175</f>
        <v>1.3</v>
      </c>
      <c r="I268" s="6">
        <f>(((F268+G268)/2)*H268)</f>
        <v>5375.9310526315785</v>
      </c>
    </row>
    <row r="269" spans="1:9" ht="23" customHeight="1">
      <c r="A269" s="6">
        <v>4</v>
      </c>
      <c r="B269" s="6">
        <v>111</v>
      </c>
      <c r="C269" s="6">
        <v>6</v>
      </c>
      <c r="D269" s="11">
        <f>((G176-E176)/L176)</f>
        <v>0.8421052631578946</v>
      </c>
      <c r="E269" s="11">
        <f>((H176-E176)/L176)</f>
        <v>0.9789473684210526</v>
      </c>
      <c r="F269" s="6">
        <f>(J176+((K176-J176)*D269))</f>
        <v>4240.28947368421</v>
      </c>
      <c r="G269" s="6">
        <f>(J176+((K176-J176)*E269))</f>
        <v>4450.2052631578945</v>
      </c>
      <c r="H269" s="9">
        <f>I176</f>
        <v>1.3</v>
      </c>
      <c r="I269" s="6">
        <f>(((F269+G269)/2)*H269)</f>
        <v>5648.821578947369</v>
      </c>
    </row>
    <row r="270" spans="1:9" ht="23" customHeight="1">
      <c r="A270" s="6">
        <v>4</v>
      </c>
      <c r="B270" s="6">
        <v>112</v>
      </c>
      <c r="C270" s="6">
        <v>6</v>
      </c>
      <c r="D270" s="11">
        <f>((G177-E177)/L177)</f>
        <v>0.9789473684210526</v>
      </c>
      <c r="E270" s="11">
        <f>((H177-E177)/L177)</f>
        <v>0.9999999999999998</v>
      </c>
      <c r="F270" s="6">
        <f>(J177+((K177-J177)*D270))</f>
        <v>4450.2052631578945</v>
      </c>
      <c r="G270" s="6">
        <f>(J177+((K177-J177)*E270))</f>
        <v>4482.5</v>
      </c>
      <c r="H270" s="9">
        <f>I177</f>
        <v>0.2</v>
      </c>
      <c r="I270" s="6">
        <f>(((F270+G270)/2)*H270)</f>
        <v>893.2705263157895</v>
      </c>
    </row>
    <row r="271" spans="1:9" ht="23" customHeight="1">
      <c r="A271" s="6">
        <v>4</v>
      </c>
      <c r="B271" s="6">
        <v>112</v>
      </c>
      <c r="C271" s="6">
        <v>7</v>
      </c>
      <c r="D271" s="11">
        <f>((G178-E178)/L178)</f>
        <v>0.0</v>
      </c>
      <c r="E271" s="11">
        <f>((H178-E178)/L178)</f>
        <v>0.08730158730158742</v>
      </c>
      <c r="F271" s="6">
        <f>(J178+((K178-J178)*D271))</f>
        <v>3088.8</v>
      </c>
      <c r="G271" s="6">
        <f>(J178+((K178-J178)*E271))</f>
        <v>3088.8</v>
      </c>
      <c r="H271" s="9">
        <f>I178</f>
        <v>1.1</v>
      </c>
      <c r="I271" s="6">
        <f>(((F271+G271)/2)*H271)</f>
        <v>3397.6800000000003</v>
      </c>
    </row>
    <row r="272" spans="1:9" ht="23" customHeight="1">
      <c r="A272" s="6">
        <v>4</v>
      </c>
      <c r="B272" s="6">
        <v>113</v>
      </c>
      <c r="C272" s="6">
        <v>7</v>
      </c>
      <c r="D272" s="11">
        <f>((G179-E179)/L179)</f>
        <v>0.08730158730158742</v>
      </c>
      <c r="E272" s="11">
        <f>((H179-E179)/L179)</f>
        <v>0.19047619047619066</v>
      </c>
      <c r="F272" s="6">
        <f>(J179+((K179-J179)*D272))</f>
        <v>3088.8</v>
      </c>
      <c r="G272" s="6">
        <f>(J179+((K179-J179)*E272))</f>
        <v>3088.8</v>
      </c>
      <c r="H272" s="9">
        <f>I179</f>
        <v>1.3</v>
      </c>
      <c r="I272" s="6">
        <f>(((F272+G272)/2)*H272)</f>
        <v>4015.4400000000005</v>
      </c>
    </row>
    <row r="273" spans="1:9" ht="23" customHeight="1">
      <c r="A273" s="6">
        <v>4</v>
      </c>
      <c r="B273" s="6">
        <v>114</v>
      </c>
      <c r="C273" s="6">
        <v>7</v>
      </c>
      <c r="D273" s="11">
        <f>((G180-E180)/L180)</f>
        <v>0.19047619047619066</v>
      </c>
      <c r="E273" s="11">
        <f>((H180-E180)/L180)</f>
        <v>0.2936507936507939</v>
      </c>
      <c r="F273" s="6">
        <f>(J180+((K180-J180)*D273))</f>
        <v>3088.8</v>
      </c>
      <c r="G273" s="6">
        <f>(J180+((K180-J180)*E273))</f>
        <v>3088.8</v>
      </c>
      <c r="H273" s="9">
        <f>I180</f>
        <v>1.3</v>
      </c>
      <c r="I273" s="6">
        <f>(((F273+G273)/2)*H273)</f>
        <v>4015.4400000000005</v>
      </c>
    </row>
    <row r="274" spans="1:9" ht="23" customHeight="1">
      <c r="A274" s="6">
        <v>4</v>
      </c>
      <c r="B274" s="6">
        <v>115</v>
      </c>
      <c r="C274" s="6">
        <v>7</v>
      </c>
      <c r="D274" s="11">
        <f>((G181-E181)/L181)</f>
        <v>0.2936507936507939</v>
      </c>
      <c r="E274" s="11">
        <f>((H181-E181)/L181)</f>
        <v>0.39682539682539686</v>
      </c>
      <c r="F274" s="6">
        <f>(J181+((K181-J181)*D274))</f>
        <v>3088.8</v>
      </c>
      <c r="G274" s="6">
        <f>(J181+((K181-J181)*E274))</f>
        <v>3088.8</v>
      </c>
      <c r="H274" s="9">
        <f>I181</f>
        <v>1.3</v>
      </c>
      <c r="I274" s="6">
        <f>(((F274+G274)/2)*H274)</f>
        <v>4015.4400000000005</v>
      </c>
    </row>
    <row r="275" spans="1:9" ht="23" customHeight="1">
      <c r="A275" s="6">
        <v>4</v>
      </c>
      <c r="B275" s="6">
        <v>116</v>
      </c>
      <c r="C275" s="6">
        <v>7</v>
      </c>
      <c r="D275" s="11">
        <f>((G182-E182)/L182)</f>
        <v>0.39682539682539686</v>
      </c>
      <c r="E275" s="11">
        <f>((H182-E182)/L182)</f>
        <v>0.5000000000000001</v>
      </c>
      <c r="F275" s="6">
        <f>(J182+((K182-J182)*D275))</f>
        <v>3088.8</v>
      </c>
      <c r="G275" s="6">
        <f>(J182+((K182-J182)*E275))</f>
        <v>3088.8</v>
      </c>
      <c r="H275" s="9">
        <f>I182</f>
        <v>1.3</v>
      </c>
      <c r="I275" s="6">
        <f>(((F275+G275)/2)*H275)</f>
        <v>4015.4400000000005</v>
      </c>
    </row>
    <row r="276" spans="1:9" ht="23" customHeight="1">
      <c r="A276" s="6">
        <v>4</v>
      </c>
      <c r="B276" s="6">
        <v>117</v>
      </c>
      <c r="C276" s="6">
        <v>7</v>
      </c>
      <c r="D276" s="11">
        <f>((G183-E183)/L183)</f>
        <v>0.5000000000000001</v>
      </c>
      <c r="E276" s="11">
        <f>((H183-E183)/L183)</f>
        <v>0.6031746031746033</v>
      </c>
      <c r="F276" s="6">
        <f>(J183+((K183-J183)*D276))</f>
        <v>3088.8</v>
      </c>
      <c r="G276" s="6">
        <f>(J183+((K183-J183)*E276))</f>
        <v>3088.8</v>
      </c>
      <c r="H276" s="9">
        <f>I183</f>
        <v>1.3</v>
      </c>
      <c r="I276" s="6">
        <f>(((F276+G276)/2)*H276)</f>
        <v>4015.4400000000005</v>
      </c>
    </row>
    <row r="277" spans="1:9" ht="23" customHeight="1">
      <c r="A277" s="6">
        <v>4</v>
      </c>
      <c r="B277" s="6">
        <v>118</v>
      </c>
      <c r="C277" s="6">
        <v>7</v>
      </c>
      <c r="D277" s="11">
        <f>((G184-E184)/L184)</f>
        <v>0.6031746031746033</v>
      </c>
      <c r="E277" s="11">
        <f>((H184-E184)/L184)</f>
        <v>0.7063492063492065</v>
      </c>
      <c r="F277" s="6">
        <f>(J184+((K184-J184)*D277))</f>
        <v>3088.8</v>
      </c>
      <c r="G277" s="6">
        <f>(J184+((K184-J184)*E277))</f>
        <v>3088.8</v>
      </c>
      <c r="H277" s="9">
        <f>I184</f>
        <v>1.3</v>
      </c>
      <c r="I277" s="6">
        <f>(((F277+G277)/2)*H277)</f>
        <v>4015.4400000000005</v>
      </c>
    </row>
    <row r="278" spans="1:9" ht="23" customHeight="1">
      <c r="A278" s="6">
        <v>4</v>
      </c>
      <c r="B278" s="6">
        <v>119</v>
      </c>
      <c r="C278" s="6">
        <v>7</v>
      </c>
      <c r="D278" s="11">
        <f>((G185-E185)/L185)</f>
        <v>0.7063492063492065</v>
      </c>
      <c r="E278" s="11">
        <f>((H185-E185)/L185)</f>
        <v>0.8095238095238098</v>
      </c>
      <c r="F278" s="6">
        <f>(J185+((K185-J185)*D278))</f>
        <v>3088.8</v>
      </c>
      <c r="G278" s="6">
        <f>(J185+((K185-J185)*E278))</f>
        <v>3088.8</v>
      </c>
      <c r="H278" s="9">
        <f>I185</f>
        <v>1.3</v>
      </c>
      <c r="I278" s="6">
        <f>(((F278+G278)/2)*H278)</f>
        <v>4015.4400000000005</v>
      </c>
    </row>
    <row r="279" spans="1:9" ht="23" customHeight="1">
      <c r="A279" s="6">
        <v>4</v>
      </c>
      <c r="B279" s="6">
        <v>120</v>
      </c>
      <c r="C279" s="6">
        <v>7</v>
      </c>
      <c r="D279" s="11">
        <f>((G186-E186)/L186)</f>
        <v>0.8095238095238098</v>
      </c>
      <c r="E279" s="11">
        <f>((H186-E186)/L186)</f>
        <v>0.9126984126984127</v>
      </c>
      <c r="F279" s="6">
        <f>(J186+((K186-J186)*D279))</f>
        <v>3088.8</v>
      </c>
      <c r="G279" s="6">
        <f>(J186+((K186-J186)*E279))</f>
        <v>3088.8</v>
      </c>
      <c r="H279" s="9">
        <f>I186</f>
        <v>1.3</v>
      </c>
      <c r="I279" s="6">
        <f>(((F279+G279)/2)*H279)</f>
        <v>4015.4400000000005</v>
      </c>
    </row>
    <row r="280" spans="1:9" ht="23" customHeight="1">
      <c r="A280" s="6">
        <v>4</v>
      </c>
      <c r="B280" s="6">
        <v>121</v>
      </c>
      <c r="C280" s="6">
        <v>7</v>
      </c>
      <c r="D280" s="11">
        <f>((G187-E187)/L187)</f>
        <v>0.9126984126984127</v>
      </c>
      <c r="E280" s="11">
        <f>((H187-E187)/L187)</f>
        <v>1.0000000000000002</v>
      </c>
      <c r="F280" s="6">
        <f>(J187+((K187-J187)*D280))</f>
        <v>3088.8</v>
      </c>
      <c r="G280" s="6">
        <f>(J187+((K187-J187)*E280))</f>
        <v>3088.8</v>
      </c>
      <c r="H280" s="9">
        <f>I187</f>
        <v>1.1</v>
      </c>
      <c r="I280" s="6">
        <f>(((F280+G280)/2)*H280)</f>
        <v>3397.6800000000003</v>
      </c>
    </row>
    <row r="281" spans="1:9" ht="23" customHeight="1">
      <c r="A281" s="6">
        <v>5</v>
      </c>
      <c r="B281" s="6">
        <v>123</v>
      </c>
      <c r="C281" s="6">
        <v>1</v>
      </c>
      <c r="D281" s="11">
        <f>((G188-E188)/L188)</f>
        <v>0.0</v>
      </c>
      <c r="E281" s="11">
        <f>((H188-E188)/L188)</f>
        <v>0.8666666666666667</v>
      </c>
      <c r="F281" s="6">
        <f>(J188+((K188-J188)*D281))</f>
        <v>1005.1</v>
      </c>
      <c r="G281" s="6">
        <f>(J188+((K188-J188)*E281))</f>
        <v>1130.0733333333333</v>
      </c>
      <c r="H281" s="9">
        <f>I188</f>
        <v>1.3</v>
      </c>
      <c r="I281" s="6">
        <f>(((F281+G281)/2)*H281)</f>
        <v>1387.8626666666667</v>
      </c>
    </row>
    <row r="282" spans="1:9" ht="23" customHeight="1">
      <c r="A282" s="6">
        <v>5</v>
      </c>
      <c r="B282" s="6">
        <v>124</v>
      </c>
      <c r="C282" s="6">
        <v>1</v>
      </c>
      <c r="D282" s="11">
        <f>((G189-E189)/L189)</f>
        <v>0.8666666666666667</v>
      </c>
      <c r="E282" s="11">
        <f>((H189-E189)/L189)</f>
        <v>1.0</v>
      </c>
      <c r="F282" s="6">
        <f>(J189+((K189-J189)*D282))</f>
        <v>1130.0733333333333</v>
      </c>
      <c r="G282" s="6">
        <f>(J189+((K189-J189)*E282))</f>
        <v>1149.3</v>
      </c>
      <c r="H282" s="9">
        <f>I189</f>
        <v>0.2</v>
      </c>
      <c r="I282" s="6">
        <f>(((F282+G282)/2)*H282)</f>
        <v>227.9373333333333</v>
      </c>
    </row>
    <row r="283" spans="1:9" ht="23" customHeight="1">
      <c r="A283" s="6">
        <v>5</v>
      </c>
      <c r="B283" s="6">
        <v>124</v>
      </c>
      <c r="C283" s="6">
        <v>2</v>
      </c>
      <c r="D283" s="11">
        <f>((G190-E190)/L190)</f>
        <v>0.0</v>
      </c>
      <c r="E283" s="11">
        <f>((H190-E190)/L190)</f>
        <v>0.8461538461538461</v>
      </c>
      <c r="F283" s="6">
        <f>(J190+((K190-J190)*D283))</f>
        <v>1744.2</v>
      </c>
      <c r="G283" s="6">
        <f>(J190+((K190-J190)*E283))</f>
        <v>1904.6307692307691</v>
      </c>
      <c r="H283" s="9">
        <f>I190</f>
        <v>1.1</v>
      </c>
      <c r="I283" s="6">
        <f>(((F283+G283)/2)*H283)</f>
        <v>2006.856923076923</v>
      </c>
    </row>
    <row r="284" spans="1:9" ht="23" customHeight="1">
      <c r="A284" s="6">
        <v>5</v>
      </c>
      <c r="B284" s="6">
        <v>125</v>
      </c>
      <c r="C284" s="6">
        <v>2</v>
      </c>
      <c r="D284" s="11">
        <f>((G191-E191)/L191)</f>
        <v>0.8461538461538461</v>
      </c>
      <c r="E284" s="11">
        <f>((H191-E191)/L191)</f>
        <v>0.9999999999999998</v>
      </c>
      <c r="F284" s="6">
        <f>(J191+((K191-J191)*D284))</f>
        <v>1904.6307692307691</v>
      </c>
      <c r="G284" s="6">
        <f>(J191+((K191-J191)*E284))</f>
        <v>1933.8</v>
      </c>
      <c r="H284" s="9">
        <f>I191</f>
        <v>0.2</v>
      </c>
      <c r="I284" s="6">
        <f>(((F284+G284)/2)*H284)</f>
        <v>383.843076923077</v>
      </c>
    </row>
    <row r="285" spans="1:9" ht="23" customHeight="1">
      <c r="A285" s="6">
        <v>5</v>
      </c>
      <c r="B285" s="6">
        <v>125</v>
      </c>
      <c r="C285" s="6">
        <v>3</v>
      </c>
      <c r="D285" s="11">
        <f>((G192-E192)/L192)</f>
        <v>0.0</v>
      </c>
      <c r="E285" s="11">
        <f>((H192-E192)/L192)</f>
        <v>0.37931034482758624</v>
      </c>
      <c r="F285" s="6">
        <f>(J192+((K192-J192)*D285))</f>
        <v>1170.0</v>
      </c>
      <c r="G285" s="6">
        <f>(J192+((K192-J192)*E285))</f>
        <v>1170.0</v>
      </c>
      <c r="H285" s="9">
        <f>I192</f>
        <v>1.1</v>
      </c>
      <c r="I285" s="6">
        <f>(((F285+G285)/2)*H285)</f>
        <v>1287.0</v>
      </c>
    </row>
    <row r="286" spans="1:9" ht="23" customHeight="1">
      <c r="A286" s="6">
        <v>5</v>
      </c>
      <c r="B286" s="6">
        <v>126</v>
      </c>
      <c r="C286" s="6">
        <v>3</v>
      </c>
      <c r="D286" s="11">
        <f>((G193-E193)/L193)</f>
        <v>0.37931034482758624</v>
      </c>
      <c r="E286" s="11">
        <f>((H193-E193)/L193)</f>
        <v>0.8275862068965518</v>
      </c>
      <c r="F286" s="6">
        <f>(J193+((K193-J193)*D286))</f>
        <v>1170.0</v>
      </c>
      <c r="G286" s="6">
        <f>(J193+((K193-J193)*E286))</f>
        <v>1170.0</v>
      </c>
      <c r="H286" s="9">
        <f>I193</f>
        <v>1.3</v>
      </c>
      <c r="I286" s="6">
        <f>(((F286+G286)/2)*H286)</f>
        <v>1521.0</v>
      </c>
    </row>
    <row r="287" spans="1:9" ht="23" customHeight="1">
      <c r="A287" s="6">
        <v>5</v>
      </c>
      <c r="B287" s="6">
        <v>127</v>
      </c>
      <c r="C287" s="6">
        <v>3</v>
      </c>
      <c r="D287" s="11">
        <f>((G194-E194)/L194)</f>
        <v>0.8275862068965518</v>
      </c>
      <c r="E287" s="11">
        <f>((H194-E194)/L194)</f>
        <v>1.0000000000000002</v>
      </c>
      <c r="F287" s="6">
        <f>(J194+((K194-J194)*D287))</f>
        <v>1170.0</v>
      </c>
      <c r="G287" s="6">
        <f>(J194+((K194-J194)*E287))</f>
        <v>1170.0</v>
      </c>
      <c r="H287" s="9">
        <f>I194</f>
        <v>0.5</v>
      </c>
      <c r="I287" s="6">
        <f>(((F287+G287)/2)*H287)</f>
        <v>585.0</v>
      </c>
    </row>
    <row r="288" spans="1:9" ht="23" customHeight="1">
      <c r="A288" s="6">
        <v>5</v>
      </c>
      <c r="B288" s="6">
        <v>127</v>
      </c>
      <c r="C288" s="6">
        <v>4</v>
      </c>
      <c r="D288" s="11">
        <f>((G195-E195)/L195)</f>
        <v>0.0</v>
      </c>
      <c r="E288" s="11">
        <f>((H195-E195)/L195)</f>
        <v>0.3076923076923076</v>
      </c>
      <c r="F288" s="6">
        <f>(J195+((K195-J195)*D288))</f>
        <v>2030.3</v>
      </c>
      <c r="G288" s="6">
        <f>(J195+((K195-J195)*E288))</f>
        <v>2137.1923076923076</v>
      </c>
      <c r="H288" s="9">
        <f>I195</f>
        <v>0.8</v>
      </c>
      <c r="I288" s="6">
        <f>(((F288+G288)/2)*H288)</f>
        <v>1666.9969230769232</v>
      </c>
    </row>
    <row r="289" spans="1:9" ht="23" customHeight="1">
      <c r="A289" s="6">
        <v>5</v>
      </c>
      <c r="B289" s="6">
        <v>128</v>
      </c>
      <c r="C289" s="6">
        <v>4</v>
      </c>
      <c r="D289" s="11">
        <f>((G196-E196)/L196)</f>
        <v>0.3076923076923076</v>
      </c>
      <c r="E289" s="11">
        <f>((H196-E196)/L196)</f>
        <v>0.8076923076923075</v>
      </c>
      <c r="F289" s="6">
        <f>(J196+((K196-J196)*D289))</f>
        <v>2137.1923076923076</v>
      </c>
      <c r="G289" s="6">
        <f>(J196+((K196-J196)*E289))</f>
        <v>2310.8923076923074</v>
      </c>
      <c r="H289" s="9">
        <f>I196</f>
        <v>1.3</v>
      </c>
      <c r="I289" s="6">
        <f>(((F289+G289)/2)*H289)</f>
        <v>2891.255</v>
      </c>
    </row>
    <row r="290" spans="1:9" ht="23" customHeight="1">
      <c r="A290" s="6">
        <v>5</v>
      </c>
      <c r="B290" s="6">
        <v>129</v>
      </c>
      <c r="C290" s="6">
        <v>4</v>
      </c>
      <c r="D290" s="11">
        <f>((G197-E197)/L197)</f>
        <v>0.8076923076923075</v>
      </c>
      <c r="E290" s="11">
        <f>((H197-E197)/L197)</f>
        <v>1.0000000000000002</v>
      </c>
      <c r="F290" s="6">
        <f>(J197+((K197-J197)*D290))</f>
        <v>2310.8923076923074</v>
      </c>
      <c r="G290" s="6">
        <f>(J197+((K197-J197)*E290))</f>
        <v>2377.7</v>
      </c>
      <c r="H290" s="9">
        <f>I197</f>
        <v>0.5</v>
      </c>
      <c r="I290" s="6">
        <f>(((F290+G290)/2)*H290)</f>
        <v>1172.1480769230768</v>
      </c>
    </row>
    <row r="291" spans="1:9" ht="23" customHeight="1">
      <c r="A291" s="6">
        <v>5</v>
      </c>
      <c r="B291" s="6">
        <v>129</v>
      </c>
      <c r="C291" s="6">
        <v>5</v>
      </c>
      <c r="D291" s="11">
        <f>((G198-E198)/L198)</f>
        <v>0.0</v>
      </c>
      <c r="E291" s="11">
        <f>((H198-E198)/L198)</f>
        <v>0.9999999999999994</v>
      </c>
      <c r="F291" s="6">
        <f>(J198+((K198-J198)*D291))</f>
        <v>4539.6</v>
      </c>
      <c r="G291" s="6">
        <f>(J198+((K198-J198)*E291))</f>
        <v>4539.6</v>
      </c>
      <c r="H291" s="9">
        <f>I198</f>
        <v>0.6</v>
      </c>
      <c r="I291" s="6">
        <f>(((F291+G291)/2)*H291)</f>
        <v>2723.76</v>
      </c>
    </row>
    <row r="292" spans="1:9" ht="23" customHeight="1">
      <c r="A292" s="6">
        <v>5</v>
      </c>
      <c r="B292" s="6">
        <v>129</v>
      </c>
      <c r="C292" s="6">
        <v>6</v>
      </c>
      <c r="D292" s="11">
        <f>((G199-E199)/L199)</f>
        <v>0.0</v>
      </c>
      <c r="E292" s="11">
        <f>((H199-E199)/L199)</f>
        <v>0.021052631578947295</v>
      </c>
      <c r="F292" s="6">
        <f>(J199+((K199-J199)*D292))</f>
        <v>2548.4</v>
      </c>
      <c r="G292" s="6">
        <f>(J199+((K199-J199)*E292))</f>
        <v>2576.3115789473686</v>
      </c>
      <c r="H292" s="9">
        <f>I199</f>
        <v>0.2</v>
      </c>
      <c r="I292" s="6">
        <f>(((F292+G292)/2)*H292)</f>
        <v>512.4711578947368</v>
      </c>
    </row>
    <row r="293" spans="1:9" ht="23" customHeight="1">
      <c r="A293" s="6">
        <v>5</v>
      </c>
      <c r="B293" s="6">
        <v>130</v>
      </c>
      <c r="C293" s="6">
        <v>6</v>
      </c>
      <c r="D293" s="11">
        <f>((G200-E200)/L200)</f>
        <v>0.021052631578947295</v>
      </c>
      <c r="E293" s="11">
        <f>((H200-E200)/L200)</f>
        <v>0.15789473684210525</v>
      </c>
      <c r="F293" s="6">
        <f>(J200+((K200-J200)*D293))</f>
        <v>2576.3115789473686</v>
      </c>
      <c r="G293" s="6">
        <f>(J200+((K200-J200)*E293))</f>
        <v>2757.7368421052633</v>
      </c>
      <c r="H293" s="9">
        <f>I200</f>
        <v>1.3</v>
      </c>
      <c r="I293" s="6">
        <f>(((F293+G293)/2)*H293)</f>
        <v>3467.131473684211</v>
      </c>
    </row>
    <row r="294" spans="1:9" ht="23" customHeight="1">
      <c r="A294" s="6">
        <v>5</v>
      </c>
      <c r="B294" s="6">
        <v>131</v>
      </c>
      <c r="C294" s="6">
        <v>6</v>
      </c>
      <c r="D294" s="11">
        <f>((G201-E201)/L201)</f>
        <v>0.15789473684210525</v>
      </c>
      <c r="E294" s="11">
        <f>((H201-E201)/L201)</f>
        <v>0.294736842105263</v>
      </c>
      <c r="F294" s="6">
        <f>(J201+((K201-J201)*D294))</f>
        <v>2757.7368421052633</v>
      </c>
      <c r="G294" s="6">
        <f>(J201+((K201-J201)*E294))</f>
        <v>2939.1621052631576</v>
      </c>
      <c r="H294" s="9">
        <f>I201</f>
        <v>1.3</v>
      </c>
      <c r="I294" s="6">
        <f>(((F294+G294)/2)*H294)</f>
        <v>3702.984315789474</v>
      </c>
    </row>
    <row r="295" spans="1:9" ht="23" customHeight="1">
      <c r="A295" s="6">
        <v>5</v>
      </c>
      <c r="B295" s="6">
        <v>132</v>
      </c>
      <c r="C295" s="6">
        <v>6</v>
      </c>
      <c r="D295" s="11">
        <f>((G202-E202)/L202)</f>
        <v>0.294736842105263</v>
      </c>
      <c r="E295" s="11">
        <f>((H202-E202)/L202)</f>
        <v>0.431578947368421</v>
      </c>
      <c r="F295" s="6">
        <f>(J202+((K202-J202)*D295))</f>
        <v>2939.1621052631576</v>
      </c>
      <c r="G295" s="6">
        <f>(J202+((K202-J202)*E295))</f>
        <v>3120.587368421053</v>
      </c>
      <c r="H295" s="9">
        <f>I202</f>
        <v>1.3</v>
      </c>
      <c r="I295" s="6">
        <f>(((F295+G295)/2)*H295)</f>
        <v>3938.837157894737</v>
      </c>
    </row>
    <row r="296" spans="1:9" ht="23" customHeight="1">
      <c r="A296" s="6">
        <v>5</v>
      </c>
      <c r="B296" s="6">
        <v>133</v>
      </c>
      <c r="C296" s="6">
        <v>6</v>
      </c>
      <c r="D296" s="11">
        <f>((G203-E203)/L203)</f>
        <v>0.431578947368421</v>
      </c>
      <c r="E296" s="11">
        <f>((H203-E203)/L203)</f>
        <v>0.5684210526315789</v>
      </c>
      <c r="F296" s="6">
        <f>(J203+((K203-J203)*D296))</f>
        <v>3120.587368421053</v>
      </c>
      <c r="G296" s="6">
        <f>(J203+((K203-J203)*E296))</f>
        <v>3302.0126315789475</v>
      </c>
      <c r="H296" s="9">
        <f>I203</f>
        <v>1.3</v>
      </c>
      <c r="I296" s="6">
        <f>(((F296+G296)/2)*H296)</f>
        <v>4174.6900000000005</v>
      </c>
    </row>
    <row r="297" spans="1:9" ht="23" customHeight="1">
      <c r="A297" s="6">
        <v>5</v>
      </c>
      <c r="B297" s="6">
        <v>134</v>
      </c>
      <c r="C297" s="6">
        <v>6</v>
      </c>
      <c r="D297" s="11">
        <f>((G204-E204)/L204)</f>
        <v>0.5684210526315789</v>
      </c>
      <c r="E297" s="11">
        <f>((H204-E204)/L204)</f>
        <v>0.7052631578947368</v>
      </c>
      <c r="F297" s="6">
        <f>(J204+((K204-J204)*D297))</f>
        <v>3302.0126315789475</v>
      </c>
      <c r="G297" s="6">
        <f>(J204+((K204-J204)*E297))</f>
        <v>3483.437894736842</v>
      </c>
      <c r="H297" s="9">
        <f>I204</f>
        <v>1.3</v>
      </c>
      <c r="I297" s="6">
        <f>(((F297+G297)/2)*H297)</f>
        <v>4410.542842105264</v>
      </c>
    </row>
    <row r="298" spans="1:9" ht="23" customHeight="1">
      <c r="A298" s="6">
        <v>5</v>
      </c>
      <c r="B298" s="6">
        <v>135</v>
      </c>
      <c r="C298" s="6">
        <v>6</v>
      </c>
      <c r="D298" s="11">
        <f>((G205-E205)/L205)</f>
        <v>0.7052631578947368</v>
      </c>
      <c r="E298" s="11">
        <f>((H205-E205)/L205)</f>
        <v>0.8421052631578946</v>
      </c>
      <c r="F298" s="6">
        <f>(J205+((K205-J205)*D298))</f>
        <v>3483.437894736842</v>
      </c>
      <c r="G298" s="6">
        <f>(J205+((K205-J205)*E298))</f>
        <v>3664.8631578947366</v>
      </c>
      <c r="H298" s="9">
        <f>I205</f>
        <v>1.3</v>
      </c>
      <c r="I298" s="6">
        <f>(((F298+G298)/2)*H298)</f>
        <v>4646.395684210526</v>
      </c>
    </row>
    <row r="299" spans="1:9" ht="23" customHeight="1">
      <c r="A299" s="6">
        <v>5</v>
      </c>
      <c r="B299" s="6">
        <v>136</v>
      </c>
      <c r="C299" s="6">
        <v>6</v>
      </c>
      <c r="D299" s="11">
        <f>((G206-E206)/L206)</f>
        <v>0.8421052631578946</v>
      </c>
      <c r="E299" s="11">
        <f>((H206-E206)/L206)</f>
        <v>0.9789473684210526</v>
      </c>
      <c r="F299" s="6">
        <f>(J206+((K206-J206)*D299))</f>
        <v>3664.8631578947366</v>
      </c>
      <c r="G299" s="6">
        <f>(J206+((K206-J206)*E299))</f>
        <v>3846.2884210526313</v>
      </c>
      <c r="H299" s="9">
        <f>I206</f>
        <v>1.3</v>
      </c>
      <c r="I299" s="6">
        <f>(((F299+G299)/2)*H299)</f>
        <v>4882.24852631579</v>
      </c>
    </row>
    <row r="300" spans="1:9" ht="23" customHeight="1">
      <c r="A300" s="6">
        <v>5</v>
      </c>
      <c r="B300" s="6">
        <v>137</v>
      </c>
      <c r="C300" s="6">
        <v>6</v>
      </c>
      <c r="D300" s="11">
        <f>((G207-E207)/L207)</f>
        <v>0.9789473684210526</v>
      </c>
      <c r="E300" s="11">
        <f>((H207-E207)/L207)</f>
        <v>0.9999999999999998</v>
      </c>
      <c r="F300" s="6">
        <f>(J207+((K207-J207)*D300))</f>
        <v>3846.2884210526313</v>
      </c>
      <c r="G300" s="6">
        <f>(J207+((K207-J207)*E300))</f>
        <v>3874.2</v>
      </c>
      <c r="H300" s="9">
        <f>I207</f>
        <v>0.2</v>
      </c>
      <c r="I300" s="6">
        <f>(((F300+G300)/2)*H300)</f>
        <v>772.0488421052631</v>
      </c>
    </row>
    <row r="301" spans="1:9" ht="23" customHeight="1">
      <c r="A301" s="6">
        <v>5</v>
      </c>
      <c r="B301" s="6">
        <v>137</v>
      </c>
      <c r="C301" s="6">
        <v>7</v>
      </c>
      <c r="D301" s="11">
        <f>((G208-E208)/L208)</f>
        <v>0.0</v>
      </c>
      <c r="E301" s="11">
        <f>((H208-E208)/L208)</f>
        <v>0.08730158730158742</v>
      </c>
      <c r="F301" s="6">
        <f>(J208+((K208-J208)*D301))</f>
        <v>2059.2</v>
      </c>
      <c r="G301" s="6">
        <f>(J208+((K208-J208)*E301))</f>
        <v>2059.2</v>
      </c>
      <c r="H301" s="9">
        <f>I208</f>
        <v>1.1</v>
      </c>
      <c r="I301" s="6">
        <f>(((F301+G301)/2)*H301)</f>
        <v>2265.12</v>
      </c>
    </row>
    <row r="302" spans="1:9" ht="23" customHeight="1">
      <c r="A302" s="6">
        <v>5</v>
      </c>
      <c r="B302" s="6">
        <v>138</v>
      </c>
      <c r="C302" s="6">
        <v>7</v>
      </c>
      <c r="D302" s="11">
        <f>((G209-E209)/L209)</f>
        <v>0.08730158730158742</v>
      </c>
      <c r="E302" s="11">
        <f>((H209-E209)/L209)</f>
        <v>0.19047619047619066</v>
      </c>
      <c r="F302" s="6">
        <f>(J209+((K209-J209)*D302))</f>
        <v>2059.2</v>
      </c>
      <c r="G302" s="6">
        <f>(J209+((K209-J209)*E302))</f>
        <v>2059.2</v>
      </c>
      <c r="H302" s="9">
        <f>I209</f>
        <v>1.3</v>
      </c>
      <c r="I302" s="6">
        <f>(((F302+G302)/2)*H302)</f>
        <v>2676.96</v>
      </c>
    </row>
    <row r="303" spans="1:9" ht="23" customHeight="1">
      <c r="A303" s="6">
        <v>5</v>
      </c>
      <c r="B303" s="6">
        <v>139</v>
      </c>
      <c r="C303" s="6">
        <v>7</v>
      </c>
      <c r="D303" s="11">
        <f>((G210-E210)/L210)</f>
        <v>0.19047619047619066</v>
      </c>
      <c r="E303" s="11">
        <f>((H210-E210)/L210)</f>
        <v>0.2936507936507939</v>
      </c>
      <c r="F303" s="6">
        <f>(J210+((K210-J210)*D303))</f>
        <v>2059.2</v>
      </c>
      <c r="G303" s="6">
        <f>(J210+((K210-J210)*E303))</f>
        <v>2059.2</v>
      </c>
      <c r="H303" s="9">
        <f>I210</f>
        <v>1.3</v>
      </c>
      <c r="I303" s="6">
        <f>(((F303+G303)/2)*H303)</f>
        <v>2676.96</v>
      </c>
    </row>
    <row r="304" spans="1:9" ht="23" customHeight="1">
      <c r="A304" s="6">
        <v>5</v>
      </c>
      <c r="B304" s="6">
        <v>140</v>
      </c>
      <c r="C304" s="6">
        <v>7</v>
      </c>
      <c r="D304" s="11">
        <f>((G211-E211)/L211)</f>
        <v>0.2936507936507939</v>
      </c>
      <c r="E304" s="11">
        <f>((H211-E211)/L211)</f>
        <v>0.39682539682539686</v>
      </c>
      <c r="F304" s="6">
        <f>(J211+((K211-J211)*D304))</f>
        <v>2059.2</v>
      </c>
      <c r="G304" s="6">
        <f>(J211+((K211-J211)*E304))</f>
        <v>2059.2</v>
      </c>
      <c r="H304" s="9">
        <f>I211</f>
        <v>1.3</v>
      </c>
      <c r="I304" s="6">
        <f>(((F304+G304)/2)*H304)</f>
        <v>2676.96</v>
      </c>
    </row>
    <row r="305" spans="1:9" ht="23" customHeight="1">
      <c r="A305" s="6">
        <v>5</v>
      </c>
      <c r="B305" s="6">
        <v>141</v>
      </c>
      <c r="C305" s="6">
        <v>7</v>
      </c>
      <c r="D305" s="11">
        <f>((G212-E212)/L212)</f>
        <v>0.39682539682539686</v>
      </c>
      <c r="E305" s="11">
        <f>((H212-E212)/L212)</f>
        <v>0.5000000000000001</v>
      </c>
      <c r="F305" s="6">
        <f>(J212+((K212-J212)*D305))</f>
        <v>2059.2</v>
      </c>
      <c r="G305" s="6">
        <f>(J212+((K212-J212)*E305))</f>
        <v>2059.2</v>
      </c>
      <c r="H305" s="9">
        <f>I212</f>
        <v>1.3</v>
      </c>
      <c r="I305" s="6">
        <f>(((F305+G305)/2)*H305)</f>
        <v>2676.96</v>
      </c>
    </row>
    <row r="306" spans="1:9" ht="23" customHeight="1">
      <c r="A306" s="6">
        <v>5</v>
      </c>
      <c r="B306" s="6">
        <v>142</v>
      </c>
      <c r="C306" s="6">
        <v>7</v>
      </c>
      <c r="D306" s="11">
        <f>((G213-E213)/L213)</f>
        <v>0.5000000000000001</v>
      </c>
      <c r="E306" s="11">
        <f>((H213-E213)/L213)</f>
        <v>0.6031746031746033</v>
      </c>
      <c r="F306" s="6">
        <f>(J213+((K213-J213)*D306))</f>
        <v>2059.2</v>
      </c>
      <c r="G306" s="6">
        <f>(J213+((K213-J213)*E306))</f>
        <v>2059.2</v>
      </c>
      <c r="H306" s="9">
        <f>I213</f>
        <v>1.3</v>
      </c>
      <c r="I306" s="6">
        <f>(((F306+G306)/2)*H306)</f>
        <v>2676.96</v>
      </c>
    </row>
    <row r="307" spans="1:9" ht="23" customHeight="1">
      <c r="A307" s="6">
        <v>5</v>
      </c>
      <c r="B307" s="6">
        <v>143</v>
      </c>
      <c r="C307" s="6">
        <v>7</v>
      </c>
      <c r="D307" s="11">
        <f>((G214-E214)/L214)</f>
        <v>0.6031746031746033</v>
      </c>
      <c r="E307" s="11">
        <f>((H214-E214)/L214)</f>
        <v>0.7063492063492065</v>
      </c>
      <c r="F307" s="6">
        <f>(J214+((K214-J214)*D307))</f>
        <v>2059.2</v>
      </c>
      <c r="G307" s="6">
        <f>(J214+((K214-J214)*E307))</f>
        <v>2059.2</v>
      </c>
      <c r="H307" s="9">
        <f>I214</f>
        <v>1.3</v>
      </c>
      <c r="I307" s="6">
        <f>(((F307+G307)/2)*H307)</f>
        <v>2676.96</v>
      </c>
    </row>
    <row r="308" spans="1:9" ht="23" customHeight="1">
      <c r="A308" s="6">
        <v>5</v>
      </c>
      <c r="B308" s="6">
        <v>144</v>
      </c>
      <c r="C308" s="6">
        <v>7</v>
      </c>
      <c r="D308" s="11">
        <f>((G215-E215)/L215)</f>
        <v>0.7063492063492065</v>
      </c>
      <c r="E308" s="11">
        <f>((H215-E215)/L215)</f>
        <v>0.8095238095238098</v>
      </c>
      <c r="F308" s="6">
        <f>(J215+((K215-J215)*D308))</f>
        <v>2059.2</v>
      </c>
      <c r="G308" s="6">
        <f>(J215+((K215-J215)*E308))</f>
        <v>2059.2</v>
      </c>
      <c r="H308" s="9">
        <f>I215</f>
        <v>1.3</v>
      </c>
      <c r="I308" s="6">
        <f>(((F308+G308)/2)*H308)</f>
        <v>2676.96</v>
      </c>
    </row>
    <row r="309" spans="1:9" ht="23" customHeight="1">
      <c r="A309" s="6">
        <v>5</v>
      </c>
      <c r="B309" s="6">
        <v>145</v>
      </c>
      <c r="C309" s="6">
        <v>7</v>
      </c>
      <c r="D309" s="11">
        <f>((G216-E216)/L216)</f>
        <v>0.8095238095238098</v>
      </c>
      <c r="E309" s="11">
        <f>((H216-E216)/L216)</f>
        <v>0.9126984126984127</v>
      </c>
      <c r="F309" s="6">
        <f>(J216+((K216-J216)*D309))</f>
        <v>2059.2</v>
      </c>
      <c r="G309" s="6">
        <f>(J216+((K216-J216)*E309))</f>
        <v>2059.2</v>
      </c>
      <c r="H309" s="9">
        <f>I216</f>
        <v>1.3</v>
      </c>
      <c r="I309" s="6">
        <f>(((F309+G309)/2)*H309)</f>
        <v>2676.96</v>
      </c>
    </row>
    <row r="310" spans="1:9" ht="23" customHeight="1">
      <c r="A310" s="6">
        <v>5</v>
      </c>
      <c r="B310" s="6">
        <v>146</v>
      </c>
      <c r="C310" s="6">
        <v>7</v>
      </c>
      <c r="D310" s="11">
        <f>((G217-E217)/L217)</f>
        <v>0.9126984126984127</v>
      </c>
      <c r="E310" s="11">
        <f>((H217-E217)/L217)</f>
        <v>1.0000000000000002</v>
      </c>
      <c r="F310" s="6">
        <f>(J217+((K217-J217)*D310))</f>
        <v>2059.2</v>
      </c>
      <c r="G310" s="6">
        <f>(J217+((K217-J217)*E310))</f>
        <v>2059.2</v>
      </c>
      <c r="H310" s="9">
        <f>I217</f>
        <v>1.1</v>
      </c>
      <c r="I310" s="6">
        <f>(((F310+G310)/2)*H310)</f>
        <v>2265.12</v>
      </c>
    </row>
    <row r="311" spans="1:9" ht="23" customHeight="1">
      <c r="A311" s="6">
        <v>6</v>
      </c>
      <c r="B311" s="6">
        <v>148</v>
      </c>
      <c r="C311" s="6">
        <v>1</v>
      </c>
      <c r="D311" s="11">
        <f>((G218-E218)/L218)</f>
        <v>0.0</v>
      </c>
      <c r="E311" s="11">
        <f>((H218-E218)/L218)</f>
        <v>0.8666666666666667</v>
      </c>
      <c r="F311" s="6">
        <f>(J218+((K218-J218)*D311))</f>
        <v>2907.3</v>
      </c>
      <c r="G311" s="6">
        <f>(J218+((K218-J218)*E311))</f>
        <v>3268.7000000000003</v>
      </c>
      <c r="H311" s="9">
        <f>I218</f>
        <v>1.3</v>
      </c>
      <c r="I311" s="6">
        <f>(((F311+G311)/2)*H311)</f>
        <v>4014.4</v>
      </c>
    </row>
    <row r="312" spans="1:9" ht="23" customHeight="1">
      <c r="A312" s="6">
        <v>6</v>
      </c>
      <c r="B312" s="6">
        <v>149</v>
      </c>
      <c r="C312" s="6">
        <v>1</v>
      </c>
      <c r="D312" s="11">
        <f>((G219-E219)/L219)</f>
        <v>0.8666666666666667</v>
      </c>
      <c r="E312" s="11">
        <f>((H219-E219)/L219)</f>
        <v>1.0</v>
      </c>
      <c r="F312" s="6">
        <f>(J219+((K219-J219)*D312))</f>
        <v>3268.7000000000003</v>
      </c>
      <c r="G312" s="6">
        <f>(J219+((K219-J219)*E312))</f>
        <v>3324.3</v>
      </c>
      <c r="H312" s="9">
        <f>I219</f>
        <v>0.2</v>
      </c>
      <c r="I312" s="6">
        <f>(((F312+G312)/2)*H312)</f>
        <v>659.3000000000001</v>
      </c>
    </row>
    <row r="313" spans="1:9" ht="23" customHeight="1">
      <c r="A313" s="6">
        <v>6</v>
      </c>
      <c r="B313" s="6">
        <v>149</v>
      </c>
      <c r="C313" s="6">
        <v>2</v>
      </c>
      <c r="D313" s="11">
        <f>((G220-E220)/L220)</f>
        <v>0.0</v>
      </c>
      <c r="E313" s="11">
        <f>((H220-E220)/L220)</f>
        <v>0.8461538461538461</v>
      </c>
      <c r="F313" s="6">
        <f>(J220+((K220-J220)*D313))</f>
        <v>5045.2</v>
      </c>
      <c r="G313" s="6">
        <f>(J220+((K220-J220)*E313))</f>
        <v>5509.2307692307695</v>
      </c>
      <c r="H313" s="9">
        <f>I220</f>
        <v>1.1</v>
      </c>
      <c r="I313" s="6">
        <f>(((F313+G313)/2)*H313)</f>
        <v>5804.936923076924</v>
      </c>
    </row>
    <row r="314" spans="1:9" ht="23" customHeight="1">
      <c r="A314" s="6">
        <v>6</v>
      </c>
      <c r="B314" s="6">
        <v>150</v>
      </c>
      <c r="C314" s="6">
        <v>2</v>
      </c>
      <c r="D314" s="11">
        <f>((G221-E221)/L221)</f>
        <v>0.8461538461538461</v>
      </c>
      <c r="E314" s="11">
        <f>((H221-E221)/L221)</f>
        <v>0.9999999999999998</v>
      </c>
      <c r="F314" s="6">
        <f>(J221+((K221-J221)*D314))</f>
        <v>5509.2307692307695</v>
      </c>
      <c r="G314" s="6">
        <f>(J221+((K221-J221)*E314))</f>
        <v>5593.6</v>
      </c>
      <c r="H314" s="9">
        <f>I221</f>
        <v>0.2</v>
      </c>
      <c r="I314" s="6">
        <f>(((F314+G314)/2)*H314)</f>
        <v>1110.283076923077</v>
      </c>
    </row>
    <row r="315" spans="1:9" ht="23" customHeight="1">
      <c r="A315" s="6">
        <v>6</v>
      </c>
      <c r="B315" s="6">
        <v>150</v>
      </c>
      <c r="C315" s="6">
        <v>3</v>
      </c>
      <c r="D315" s="11">
        <f>((G222-E222)/L222)</f>
        <v>0.0</v>
      </c>
      <c r="E315" s="11">
        <f>((H222-E222)/L222)</f>
        <v>0.37931034482758624</v>
      </c>
      <c r="F315" s="6">
        <f>(J222+((K222-J222)*D315))</f>
        <v>1755.0</v>
      </c>
      <c r="G315" s="6">
        <f>(J222+((K222-J222)*E315))</f>
        <v>1755.0</v>
      </c>
      <c r="H315" s="9">
        <f>I222</f>
        <v>1.1</v>
      </c>
      <c r="I315" s="6">
        <f>(((F315+G315)/2)*H315)</f>
        <v>1930.5000000000002</v>
      </c>
    </row>
    <row r="316" spans="1:9" ht="23" customHeight="1">
      <c r="A316" s="6">
        <v>6</v>
      </c>
      <c r="B316" s="6">
        <v>151</v>
      </c>
      <c r="C316" s="6">
        <v>3</v>
      </c>
      <c r="D316" s="11">
        <f>((G223-E223)/L223)</f>
        <v>0.37931034482758624</v>
      </c>
      <c r="E316" s="11">
        <f>((H223-E223)/L223)</f>
        <v>0.8275862068965518</v>
      </c>
      <c r="F316" s="6">
        <f>(J223+((K223-J223)*D316))</f>
        <v>1755.0</v>
      </c>
      <c r="G316" s="6">
        <f>(J223+((K223-J223)*E316))</f>
        <v>1755.0</v>
      </c>
      <c r="H316" s="9">
        <f>I223</f>
        <v>1.3</v>
      </c>
      <c r="I316" s="6">
        <f>(((F316+G316)/2)*H316)</f>
        <v>2281.5</v>
      </c>
    </row>
    <row r="317" spans="1:9" ht="23" customHeight="1">
      <c r="A317" s="6">
        <v>6</v>
      </c>
      <c r="B317" s="6">
        <v>152</v>
      </c>
      <c r="C317" s="6">
        <v>3</v>
      </c>
      <c r="D317" s="11">
        <f>((G224-E224)/L224)</f>
        <v>0.8275862068965518</v>
      </c>
      <c r="E317" s="11">
        <f>((H224-E224)/L224)</f>
        <v>1.0000000000000002</v>
      </c>
      <c r="F317" s="6">
        <f>(J224+((K224-J224)*D317))</f>
        <v>1755.0</v>
      </c>
      <c r="G317" s="6">
        <f>(J224+((K224-J224)*E317))</f>
        <v>1755.0</v>
      </c>
      <c r="H317" s="9">
        <f>I224</f>
        <v>0.5</v>
      </c>
      <c r="I317" s="6">
        <f>(((F317+G317)/2)*H317)</f>
        <v>877.5</v>
      </c>
    </row>
    <row r="318" spans="1:9" ht="23" customHeight="1">
      <c r="A318" s="6">
        <v>6</v>
      </c>
      <c r="B318" s="6">
        <v>152</v>
      </c>
      <c r="C318" s="6">
        <v>4</v>
      </c>
      <c r="D318" s="11">
        <f>((G225-E225)/L225)</f>
        <v>0.0</v>
      </c>
      <c r="E318" s="11">
        <f>((H225-E225)/L225)</f>
        <v>0.3076923076923076</v>
      </c>
      <c r="F318" s="6">
        <f>(J225+((K225-J225)*D318))</f>
        <v>5872.6</v>
      </c>
      <c r="G318" s="6">
        <f>(J225+((K225-J225)*E318))</f>
        <v>6181.83076923077</v>
      </c>
      <c r="H318" s="9">
        <f>I225</f>
        <v>0.8</v>
      </c>
      <c r="I318" s="6">
        <f>(((F318+G318)/2)*H318)</f>
        <v>4821.7723076923085</v>
      </c>
    </row>
    <row r="319" spans="1:9" ht="23" customHeight="1">
      <c r="A319" s="6">
        <v>6</v>
      </c>
      <c r="B319" s="6">
        <v>153</v>
      </c>
      <c r="C319" s="6">
        <v>4</v>
      </c>
      <c r="D319" s="11">
        <f>((G226-E226)/L226)</f>
        <v>0.3076923076923076</v>
      </c>
      <c r="E319" s="11">
        <f>((H226-E226)/L226)</f>
        <v>0.8076923076923075</v>
      </c>
      <c r="F319" s="6">
        <f>(J226+((K226-J226)*D319))</f>
        <v>6181.83076923077</v>
      </c>
      <c r="G319" s="6">
        <f>(J226+((K226-J226)*E319))</f>
        <v>6684.33076923077</v>
      </c>
      <c r="H319" s="9">
        <f>I226</f>
        <v>1.3</v>
      </c>
      <c r="I319" s="6">
        <f>(((F319+G319)/2)*H319)</f>
        <v>8363.005000000001</v>
      </c>
    </row>
    <row r="320" spans="1:9" ht="23" customHeight="1">
      <c r="A320" s="6">
        <v>6</v>
      </c>
      <c r="B320" s="6">
        <v>154</v>
      </c>
      <c r="C320" s="6">
        <v>4</v>
      </c>
      <c r="D320" s="11">
        <f>((G227-E227)/L227)</f>
        <v>0.8076923076923075</v>
      </c>
      <c r="E320" s="11">
        <f>((H227-E227)/L227)</f>
        <v>1.0000000000000002</v>
      </c>
      <c r="F320" s="6">
        <f>(J227+((K227-J227)*D320))</f>
        <v>6684.33076923077</v>
      </c>
      <c r="G320" s="6">
        <f>(J227+((K227-J227)*E320))</f>
        <v>6877.6</v>
      </c>
      <c r="H320" s="9">
        <f>I227</f>
        <v>0.5</v>
      </c>
      <c r="I320" s="6">
        <f>(((F320+G320)/2)*H320)</f>
        <v>3390.4826923076926</v>
      </c>
    </row>
    <row r="321" spans="1:9" ht="23" customHeight="1">
      <c r="A321" s="6">
        <v>6</v>
      </c>
      <c r="B321" s="6">
        <v>154</v>
      </c>
      <c r="C321" s="6">
        <v>5</v>
      </c>
      <c r="D321" s="11">
        <f>((G228-E228)/L228)</f>
        <v>0.0</v>
      </c>
      <c r="E321" s="11">
        <f>((H228-E228)/L228)</f>
        <v>0.9999999999999994</v>
      </c>
      <c r="F321" s="6">
        <f>(J228+((K228-J228)*D321))</f>
        <v>6809.4</v>
      </c>
      <c r="G321" s="6">
        <f>(J228+((K228-J228)*E321))</f>
        <v>6809.4</v>
      </c>
      <c r="H321" s="9">
        <f>I228</f>
        <v>0.6</v>
      </c>
      <c r="I321" s="6">
        <f>(((F321+G321)/2)*H321)</f>
        <v>4085.6399999999994</v>
      </c>
    </row>
    <row r="322" spans="1:9" ht="23" customHeight="1">
      <c r="A322" s="6">
        <v>6</v>
      </c>
      <c r="B322" s="6">
        <v>154</v>
      </c>
      <c r="C322" s="6">
        <v>6</v>
      </c>
      <c r="D322" s="11">
        <f>((G229-E229)/L229)</f>
        <v>0.0</v>
      </c>
      <c r="E322" s="11">
        <f>((H229-E229)/L229)</f>
        <v>0.021052631578947295</v>
      </c>
      <c r="F322" s="6">
        <f>(J229+((K229-J229)*D322))</f>
        <v>7371.2</v>
      </c>
      <c r="G322" s="6">
        <f>(J229+((K229-J229)*E322))</f>
        <v>7451.936842105262</v>
      </c>
      <c r="H322" s="9">
        <f>I229</f>
        <v>0.2</v>
      </c>
      <c r="I322" s="6">
        <f>(((F322+G322)/2)*H322)</f>
        <v>1482.3136842105262</v>
      </c>
    </row>
    <row r="323" spans="1:9" ht="23" customHeight="1">
      <c r="A323" s="6">
        <v>6</v>
      </c>
      <c r="B323" s="6">
        <v>155</v>
      </c>
      <c r="C323" s="6">
        <v>6</v>
      </c>
      <c r="D323" s="11">
        <f>((G230-E230)/L230)</f>
        <v>0.021052631578947295</v>
      </c>
      <c r="E323" s="11">
        <f>((H230-E230)/L230)</f>
        <v>0.15789473684210525</v>
      </c>
      <c r="F323" s="6">
        <f>(J230+((K230-J230)*D323))</f>
        <v>7451.936842105262</v>
      </c>
      <c r="G323" s="6">
        <f>(J230+((K230-J230)*E323))</f>
        <v>7976.726315789474</v>
      </c>
      <c r="H323" s="9">
        <f>I230</f>
        <v>1.3</v>
      </c>
      <c r="I323" s="6">
        <f>(((F323+G323)/2)*H323)</f>
        <v>10028.63105263158</v>
      </c>
    </row>
    <row r="324" spans="1:9" ht="23" customHeight="1">
      <c r="A324" s="6">
        <v>6</v>
      </c>
      <c r="B324" s="6">
        <v>156</v>
      </c>
      <c r="C324" s="6">
        <v>6</v>
      </c>
      <c r="D324" s="11">
        <f>((G231-E231)/L231)</f>
        <v>0.15789473684210525</v>
      </c>
      <c r="E324" s="11">
        <f>((H231-E231)/L231)</f>
        <v>0.294736842105263</v>
      </c>
      <c r="F324" s="6">
        <f>(J231+((K231-J231)*D324))</f>
        <v>7976.726315789474</v>
      </c>
      <c r="G324" s="6">
        <f>(J231+((K231-J231)*E324))</f>
        <v>8501.515789473684</v>
      </c>
      <c r="H324" s="9">
        <f>I231</f>
        <v>1.3</v>
      </c>
      <c r="I324" s="6">
        <f>(((F324+G324)/2)*H324)</f>
        <v>10710.857368421053</v>
      </c>
    </row>
    <row r="325" spans="1:9" ht="23" customHeight="1">
      <c r="A325" s="6">
        <v>6</v>
      </c>
      <c r="B325" s="6">
        <v>157</v>
      </c>
      <c r="C325" s="6">
        <v>6</v>
      </c>
      <c r="D325" s="11">
        <f>((G232-E232)/L232)</f>
        <v>0.294736842105263</v>
      </c>
      <c r="E325" s="11">
        <f>((H232-E232)/L232)</f>
        <v>0.431578947368421</v>
      </c>
      <c r="F325" s="6">
        <f>(J232+((K232-J232)*D325))</f>
        <v>8501.515789473684</v>
      </c>
      <c r="G325" s="6">
        <f>(J232+((K232-J232)*E325))</f>
        <v>9026.305263157894</v>
      </c>
      <c r="H325" s="9">
        <f>I232</f>
        <v>1.3</v>
      </c>
      <c r="I325" s="6">
        <f>(((F325+G325)/2)*H325)</f>
        <v>11393.083684210525</v>
      </c>
    </row>
    <row r="326" spans="1:9" ht="23" customHeight="1">
      <c r="A326" s="6">
        <v>6</v>
      </c>
      <c r="B326" s="6">
        <v>158</v>
      </c>
      <c r="C326" s="6">
        <v>6</v>
      </c>
      <c r="D326" s="11">
        <f>((G233-E233)/L233)</f>
        <v>0.431578947368421</v>
      </c>
      <c r="E326" s="11">
        <f>((H233-E233)/L233)</f>
        <v>0.5684210526315789</v>
      </c>
      <c r="F326" s="6">
        <f>(J233+((K233-J233)*D326))</f>
        <v>9026.305263157894</v>
      </c>
      <c r="G326" s="6">
        <f>(J233+((K233-J233)*E326))</f>
        <v>9551.094736842106</v>
      </c>
      <c r="H326" s="9">
        <f>I233</f>
        <v>1.3</v>
      </c>
      <c r="I326" s="6">
        <f>(((F326+G326)/2)*H326)</f>
        <v>12075.310000000001</v>
      </c>
    </row>
    <row r="327" spans="1:9" ht="23" customHeight="1">
      <c r="A327" s="6">
        <v>6</v>
      </c>
      <c r="B327" s="6">
        <v>159</v>
      </c>
      <c r="C327" s="6">
        <v>6</v>
      </c>
      <c r="D327" s="11">
        <f>((G234-E234)/L234)</f>
        <v>0.5684210526315789</v>
      </c>
      <c r="E327" s="11">
        <f>((H234-E234)/L234)</f>
        <v>0.7052631578947368</v>
      </c>
      <c r="F327" s="6">
        <f>(J234+((K234-J234)*D327))</f>
        <v>9551.094736842106</v>
      </c>
      <c r="G327" s="6">
        <f>(J234+((K234-J234)*E327))</f>
        <v>10075.884210526316</v>
      </c>
      <c r="H327" s="9">
        <f>I234</f>
        <v>1.3</v>
      </c>
      <c r="I327" s="6">
        <f>(((F327+G327)/2)*H327)</f>
        <v>12757.536315789474</v>
      </c>
    </row>
    <row r="328" spans="1:9" ht="23" customHeight="1">
      <c r="A328" s="6">
        <v>6</v>
      </c>
      <c r="B328" s="6">
        <v>160</v>
      </c>
      <c r="C328" s="6">
        <v>6</v>
      </c>
      <c r="D328" s="11">
        <f>((G235-E235)/L235)</f>
        <v>0.7052631578947368</v>
      </c>
      <c r="E328" s="11">
        <f>((H235-E235)/L235)</f>
        <v>0.8421052631578946</v>
      </c>
      <c r="F328" s="6">
        <f>(J235+((K235-J235)*D328))</f>
        <v>10075.884210526316</v>
      </c>
      <c r="G328" s="6">
        <f>(J235+((K235-J235)*E328))</f>
        <v>10600.673684210527</v>
      </c>
      <c r="H328" s="9">
        <f>I235</f>
        <v>1.3</v>
      </c>
      <c r="I328" s="6">
        <f>(((F328+G328)/2)*H328)</f>
        <v>13439.762631578948</v>
      </c>
    </row>
    <row r="329" spans="1:9" ht="23" customHeight="1">
      <c r="A329" s="6">
        <v>6</v>
      </c>
      <c r="B329" s="6">
        <v>161</v>
      </c>
      <c r="C329" s="6">
        <v>6</v>
      </c>
      <c r="D329" s="11">
        <f>((G236-E236)/L236)</f>
        <v>0.8421052631578946</v>
      </c>
      <c r="E329" s="11">
        <f>((H236-E236)/L236)</f>
        <v>0.9789473684210526</v>
      </c>
      <c r="F329" s="6">
        <f>(J236+((K236-J236)*D329))</f>
        <v>10600.673684210527</v>
      </c>
      <c r="G329" s="6">
        <f>(J236+((K236-J236)*E329))</f>
        <v>11125.463157894737</v>
      </c>
      <c r="H329" s="9">
        <f>I236</f>
        <v>1.3</v>
      </c>
      <c r="I329" s="6">
        <f>(((F329+G329)/2)*H329)</f>
        <v>14121.988947368423</v>
      </c>
    </row>
    <row r="330" spans="1:9" ht="23" customHeight="1">
      <c r="A330" s="6">
        <v>6</v>
      </c>
      <c r="B330" s="6">
        <v>162</v>
      </c>
      <c r="C330" s="6">
        <v>6</v>
      </c>
      <c r="D330" s="11">
        <f>((G237-E237)/L237)</f>
        <v>0.9789473684210526</v>
      </c>
      <c r="E330" s="11">
        <f>((H237-E237)/L237)</f>
        <v>0.9999999999999998</v>
      </c>
      <c r="F330" s="6">
        <f>(J237+((K237-J237)*D330))</f>
        <v>11125.463157894737</v>
      </c>
      <c r="G330" s="6">
        <f>(J237+((K237-J237)*E330))</f>
        <v>11206.2</v>
      </c>
      <c r="H330" s="9">
        <f>I237</f>
        <v>0.2</v>
      </c>
      <c r="I330" s="6">
        <f>(((F330+G330)/2)*H330)</f>
        <v>2233.166315789474</v>
      </c>
    </row>
    <row r="331" spans="1:9" ht="23" customHeight="1">
      <c r="A331" s="6">
        <v>6</v>
      </c>
      <c r="B331" s="6">
        <v>162</v>
      </c>
      <c r="C331" s="6">
        <v>7</v>
      </c>
      <c r="D331" s="11">
        <f>((G238-E238)/L238)</f>
        <v>0.0</v>
      </c>
      <c r="E331" s="11">
        <f>((H238-E238)/L238)</f>
        <v>0.08730158730158742</v>
      </c>
      <c r="F331" s="6">
        <f>(J238+((K238-J238)*D331))</f>
        <v>3088.8</v>
      </c>
      <c r="G331" s="6">
        <f>(J238+((K238-J238)*E331))</f>
        <v>3088.8</v>
      </c>
      <c r="H331" s="9">
        <f>I238</f>
        <v>1.1</v>
      </c>
      <c r="I331" s="6">
        <f>(((F331+G331)/2)*H331)</f>
        <v>3397.6800000000003</v>
      </c>
    </row>
    <row r="332" spans="1:9" ht="23" customHeight="1">
      <c r="A332" s="6">
        <v>6</v>
      </c>
      <c r="B332" s="6">
        <v>163</v>
      </c>
      <c r="C332" s="6">
        <v>7</v>
      </c>
      <c r="D332" s="11">
        <f>((G239-E239)/L239)</f>
        <v>0.08730158730158742</v>
      </c>
      <c r="E332" s="11">
        <f>((H239-E239)/L239)</f>
        <v>0.19047619047619066</v>
      </c>
      <c r="F332" s="6">
        <f>(J239+((K239-J239)*D332))</f>
        <v>3088.8</v>
      </c>
      <c r="G332" s="6">
        <f>(J239+((K239-J239)*E332))</f>
        <v>3088.8</v>
      </c>
      <c r="H332" s="9">
        <f>I239</f>
        <v>1.3</v>
      </c>
      <c r="I332" s="6">
        <f>(((F332+G332)/2)*H332)</f>
        <v>4015.4400000000005</v>
      </c>
    </row>
    <row r="333" spans="1:9" ht="23" customHeight="1">
      <c r="A333" s="6">
        <v>6</v>
      </c>
      <c r="B333" s="6">
        <v>164</v>
      </c>
      <c r="C333" s="6">
        <v>7</v>
      </c>
      <c r="D333" s="11">
        <f>((G240-E240)/L240)</f>
        <v>0.19047619047619066</v>
      </c>
      <c r="E333" s="11">
        <f>((H240-E240)/L240)</f>
        <v>0.2936507936507939</v>
      </c>
      <c r="F333" s="6">
        <f>(J240+((K240-J240)*D333))</f>
        <v>3088.8</v>
      </c>
      <c r="G333" s="6">
        <f>(J240+((K240-J240)*E333))</f>
        <v>3088.8</v>
      </c>
      <c r="H333" s="9">
        <f>I240</f>
        <v>1.3</v>
      </c>
      <c r="I333" s="6">
        <f>(((F333+G333)/2)*H333)</f>
        <v>4015.4400000000005</v>
      </c>
    </row>
    <row r="334" spans="1:9" ht="23" customHeight="1">
      <c r="A334" s="6">
        <v>6</v>
      </c>
      <c r="B334" s="6">
        <v>165</v>
      </c>
      <c r="C334" s="6">
        <v>7</v>
      </c>
      <c r="D334" s="11">
        <f>((G241-E241)/L241)</f>
        <v>0.2936507936507939</v>
      </c>
      <c r="E334" s="11">
        <f>((H241-E241)/L241)</f>
        <v>0.39682539682539686</v>
      </c>
      <c r="F334" s="6">
        <f>(J241+((K241-J241)*D334))</f>
        <v>3088.8</v>
      </c>
      <c r="G334" s="6">
        <f>(J241+((K241-J241)*E334))</f>
        <v>3088.8</v>
      </c>
      <c r="H334" s="9">
        <f>I241</f>
        <v>1.3</v>
      </c>
      <c r="I334" s="6">
        <f>(((F334+G334)/2)*H334)</f>
        <v>4015.4400000000005</v>
      </c>
    </row>
    <row r="335" spans="1:9" ht="23" customHeight="1">
      <c r="A335" s="6">
        <v>6</v>
      </c>
      <c r="B335" s="6">
        <v>166</v>
      </c>
      <c r="C335" s="6">
        <v>7</v>
      </c>
      <c r="D335" s="11">
        <f>((G242-E242)/L242)</f>
        <v>0.39682539682539686</v>
      </c>
      <c r="E335" s="11">
        <f>((H242-E242)/L242)</f>
        <v>0.5000000000000001</v>
      </c>
      <c r="F335" s="6">
        <f>(J242+((K242-J242)*D335))</f>
        <v>3088.8</v>
      </c>
      <c r="G335" s="6">
        <f>(J242+((K242-J242)*E335))</f>
        <v>3088.8</v>
      </c>
      <c r="H335" s="9">
        <f>I242</f>
        <v>1.3</v>
      </c>
      <c r="I335" s="6">
        <f>(((F335+G335)/2)*H335)</f>
        <v>4015.4400000000005</v>
      </c>
    </row>
    <row r="336" spans="1:9" ht="23" customHeight="1">
      <c r="A336" s="6">
        <v>6</v>
      </c>
      <c r="B336" s="6">
        <v>167</v>
      </c>
      <c r="C336" s="6">
        <v>7</v>
      </c>
      <c r="D336" s="11">
        <f>((G243-E243)/L243)</f>
        <v>0.5000000000000001</v>
      </c>
      <c r="E336" s="11">
        <f>((H243-E243)/L243)</f>
        <v>0.6031746031746033</v>
      </c>
      <c r="F336" s="6">
        <f>(J243+((K243-J243)*D336))</f>
        <v>3088.8</v>
      </c>
      <c r="G336" s="6">
        <f>(J243+((K243-J243)*E336))</f>
        <v>3088.8</v>
      </c>
      <c r="H336" s="9">
        <f>I243</f>
        <v>1.3</v>
      </c>
      <c r="I336" s="6">
        <f>(((F336+G336)/2)*H336)</f>
        <v>4015.4400000000005</v>
      </c>
    </row>
    <row r="337" spans="1:12" ht="23" customHeight="1">
      <c r="A337" s="6">
        <v>6</v>
      </c>
      <c r="B337" s="6">
        <v>168</v>
      </c>
      <c r="C337" s="6">
        <v>7</v>
      </c>
      <c r="D337" s="11">
        <f>((G244-E244)/L244)</f>
        <v>0.6031746031746033</v>
      </c>
      <c r="E337" s="11">
        <f>((H244-E244)/L244)</f>
        <v>0.7063492063492065</v>
      </c>
      <c r="F337" s="6">
        <f>(J244+((K244-J244)*D337))</f>
        <v>3088.8</v>
      </c>
      <c r="G337" s="6">
        <f>(J244+((K244-J244)*E337))</f>
        <v>3088.8</v>
      </c>
      <c r="H337" s="9">
        <f>I244</f>
        <v>1.3</v>
      </c>
      <c r="I337" s="6">
        <f>(((F337+G337)/2)*H337)</f>
        <v>4015.4400000000005</v>
      </c>
    </row>
    <row r="338" spans="1:12" ht="23" customHeight="1">
      <c r="A338" s="6">
        <v>6</v>
      </c>
      <c r="B338" s="6">
        <v>169</v>
      </c>
      <c r="C338" s="6">
        <v>7</v>
      </c>
      <c r="D338" s="11">
        <f>((G245-E245)/L245)</f>
        <v>0.7063492063492065</v>
      </c>
      <c r="E338" s="11">
        <f>((H245-E245)/L245)</f>
        <v>0.8095238095238098</v>
      </c>
      <c r="F338" s="6">
        <f>(J245+((K245-J245)*D338))</f>
        <v>3088.8</v>
      </c>
      <c r="G338" s="6">
        <f>(J245+((K245-J245)*E338))</f>
        <v>3088.8</v>
      </c>
      <c r="H338" s="9">
        <f>I245</f>
        <v>1.3</v>
      </c>
      <c r="I338" s="6">
        <f>(((F338+G338)/2)*H338)</f>
        <v>4015.4400000000005</v>
      </c>
    </row>
    <row r="339" spans="1:12" ht="23" customHeight="1">
      <c r="A339" s="6">
        <v>6</v>
      </c>
      <c r="B339" s="6">
        <v>170</v>
      </c>
      <c r="C339" s="6">
        <v>7</v>
      </c>
      <c r="D339" s="11">
        <f>((G246-E246)/L246)</f>
        <v>0.8095238095238098</v>
      </c>
      <c r="E339" s="11">
        <f>((H246-E246)/L246)</f>
        <v>0.9126984126984127</v>
      </c>
      <c r="F339" s="6">
        <f>(J246+((K246-J246)*D339))</f>
        <v>3088.8</v>
      </c>
      <c r="G339" s="6">
        <f>(J246+((K246-J246)*E339))</f>
        <v>3088.8</v>
      </c>
      <c r="H339" s="9">
        <f>I246</f>
        <v>1.3</v>
      </c>
      <c r="I339" s="6">
        <f>(((F339+G339)/2)*H339)</f>
        <v>4015.4400000000005</v>
      </c>
    </row>
    <row r="340" spans="1:12" ht="23" customHeight="1">
      <c r="A340" s="6">
        <v>6</v>
      </c>
      <c r="B340" s="6">
        <v>171</v>
      </c>
      <c r="C340" s="6">
        <v>7</v>
      </c>
      <c r="D340" s="11">
        <f>((G247-E247)/L247)</f>
        <v>0.9126984126984127</v>
      </c>
      <c r="E340" s="11">
        <f>((H247-E247)/L247)</f>
        <v>1.0000000000000002</v>
      </c>
      <c r="F340" s="6">
        <f>(J247+((K247-J247)*D340))</f>
        <v>3088.8</v>
      </c>
      <c r="G340" s="6">
        <f>(J247+((K247-J247)*E340))</f>
        <v>3088.8</v>
      </c>
      <c r="H340" s="9">
        <f>I247</f>
        <v>1.1</v>
      </c>
      <c r="I340" s="6">
        <f>(((F340+G340)/2)*H340)</f>
        <v>3397.6800000000003</v>
      </c>
    </row>
    <row r="341" spans="1:12" ht="23" customHeight="1"/>
    <row r="342" spans="1:12" ht="24" customHeight="1">
      <c r="A342" s="3" t="s">
        <v>72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36" customHeight="1">
      <c r="A343" s="4" t="s">
        <v>8</v>
      </c>
      <c r="B343" s="4" t="s">
        <v>10</v>
      </c>
      <c r="C343" s="4" t="s">
        <v>73</v>
      </c>
      <c r="D343" s="4" t="s">
        <v>74</v>
      </c>
    </row>
    <row r="344" spans="1:12" ht="24" customHeight="1">
      <c r="A344" s="2" t="s">
        <v>168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24" customHeight="1">
      <c r="A345" s="2" t="s">
        <v>169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24" customHeight="1">
      <c r="A346" s="2" t="s">
        <v>170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4" customHeight="1">
      <c r="A347" s="2" t="s">
        <v>171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4" customHeight="1">
      <c r="A348" s="2" t="s">
        <v>172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4" customHeight="1">
      <c r="A349" s="2" t="s">
        <v>173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4" customHeight="1">
      <c r="A350" s="2" t="s">
        <v>174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4" customHeight="1">
      <c r="A351" s="2" t="s">
        <v>175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4" customHeight="1">
      <c r="A352" s="2" t="s">
        <v>176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4" customHeight="1">
      <c r="A353" s="2" t="s">
        <v>177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4" customHeight="1">
      <c r="A354" s="2" t="s">
        <v>178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4" customHeight="1">
      <c r="A355" s="2" t="s">
        <v>179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4" customHeight="1">
      <c r="A356" s="2" t="s">
        <v>180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4" customHeight="1">
      <c r="A357" s="2" t="s">
        <v>181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4" customHeight="1">
      <c r="A358" s="2" t="s">
        <v>182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4" customHeight="1">
      <c r="A359" s="2" t="s">
        <v>183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24" customHeight="1">
      <c r="A360" s="2" t="s">
        <v>184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24" customHeight="1">
      <c r="A361" s="2" t="s">
        <v>185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24" customHeight="1">
      <c r="A362" s="2" t="s">
        <v>186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4" customHeight="1">
      <c r="A363" s="2" t="s">
        <v>187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4" customHeight="1">
      <c r="A364" s="2" t="s">
        <v>188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4" customHeight="1">
      <c r="A365" s="2" t="s">
        <v>189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4" customHeight="1">
      <c r="A366" s="2" t="s">
        <v>190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4" customHeight="1">
      <c r="A367" s="2" t="s">
        <v>191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4" customHeight="1">
      <c r="A368" s="2" t="s">
        <v>192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4" customHeight="1">
      <c r="A369" s="2" t="s">
        <v>193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4" customHeight="1">
      <c r="A370" s="2" t="s">
        <v>194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4" customHeight="1">
      <c r="A371" s="2" t="s">
        <v>195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4" customHeight="1">
      <c r="A372" s="2" t="s">
        <v>196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4" customHeight="1">
      <c r="A373" s="2" t="s">
        <v>197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4" customHeight="1">
      <c r="A374" s="2" t="s">
        <v>198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4" customHeight="1">
      <c r="A375" s="2" t="s">
        <v>199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24" customHeight="1">
      <c r="A376" s="2" t="s">
        <v>200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24" customHeight="1">
      <c r="A377" s="2" t="s">
        <v>201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24" customHeight="1">
      <c r="A378" s="2" t="s">
        <v>202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4" customHeight="1">
      <c r="A379" s="2" t="s">
        <v>203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4" customHeight="1">
      <c r="A380" s="2" t="s">
        <v>204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4" customHeight="1">
      <c r="A381" s="2" t="s">
        <v>205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4" customHeight="1">
      <c r="A382" s="2" t="s">
        <v>206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4" customHeight="1">
      <c r="A383" s="2" t="s">
        <v>207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4" customHeight="1">
      <c r="A384" s="2" t="s">
        <v>208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4" customHeight="1">
      <c r="A385" s="2" t="s">
        <v>209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4" customHeight="1">
      <c r="A386" s="2" t="s">
        <v>210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4" customHeight="1">
      <c r="A387" s="2" t="s">
        <v>211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4" customHeight="1">
      <c r="A388" s="2" t="s">
        <v>212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4" customHeight="1">
      <c r="A389" s="2" t="s">
        <v>213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4" customHeight="1">
      <c r="A390" s="2" t="s">
        <v>214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4" customHeight="1">
      <c r="A391" s="2" t="s">
        <v>215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24" customHeight="1">
      <c r="A392" s="2" t="s">
        <v>216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24" customHeight="1">
      <c r="A393" s="2" t="s">
        <v>217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24" customHeight="1">
      <c r="A394" s="2" t="s">
        <v>218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4" customHeight="1">
      <c r="A395" s="2" t="s">
        <v>219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4" customHeight="1">
      <c r="A396" s="2" t="s">
        <v>220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4" customHeight="1">
      <c r="A397" s="2" t="s">
        <v>221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4" customHeight="1">
      <c r="A398" s="2" t="s">
        <v>222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4" customHeight="1">
      <c r="A399" s="2" t="s">
        <v>223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24" customHeight="1">
      <c r="A400" s="2" t="s">
        <v>224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24" customHeight="1">
      <c r="A401" s="2" t="s">
        <v>225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24" customHeight="1">
      <c r="A402" s="2" t="s">
        <v>226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4" customHeight="1">
      <c r="A403" s="2" t="s">
        <v>227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24" customHeight="1">
      <c r="A404" s="2" t="s">
        <v>228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24" customHeight="1">
      <c r="A405" s="2" t="s">
        <v>229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24" customHeight="1">
      <c r="A406" s="2" t="s">
        <v>230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24" customHeight="1">
      <c r="A407" s="2" t="s">
        <v>231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24" customHeight="1">
      <c r="A408" s="2" t="s">
        <v>232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24" customHeight="1">
      <c r="A409" s="2" t="s">
        <v>233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24" customHeight="1">
      <c r="A410" s="2" t="s">
        <v>234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24" customHeight="1">
      <c r="A411" s="2" t="s">
        <v>235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24" customHeight="1">
      <c r="A412" s="2" t="s">
        <v>236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24" customHeight="1">
      <c r="A413" s="2" t="s">
        <v>237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24" customHeight="1">
      <c r="A414" s="2" t="s">
        <v>238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24" customHeight="1">
      <c r="A415" s="2" t="s">
        <v>239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24" customHeight="1">
      <c r="A416" s="2" t="s">
        <v>240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24" customHeight="1">
      <c r="A417" s="2" t="s">
        <v>241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24" customHeight="1">
      <c r="A418" s="2" t="s">
        <v>242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24" customHeight="1">
      <c r="A419" s="2" t="s">
        <v>243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24" customHeight="1">
      <c r="A420" s="2" t="s">
        <v>244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24" customHeight="1">
      <c r="A421" s="2" t="s">
        <v>245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24" customHeight="1">
      <c r="A422" s="2" t="s">
        <v>246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24" customHeight="1">
      <c r="A423" s="2" t="s">
        <v>247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24" customHeight="1">
      <c r="A424" s="2" t="s">
        <v>248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24" customHeight="1">
      <c r="A425" s="2" t="s">
        <v>249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24" customHeight="1">
      <c r="A426" s="2" t="s">
        <v>250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24" customHeight="1">
      <c r="A427" s="2" t="s">
        <v>251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24" customHeight="1">
      <c r="A428" s="2" t="s">
        <v>252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24" customHeight="1">
      <c r="A429" s="2" t="s">
        <v>253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24" customHeight="1">
      <c r="A430" s="2" t="s">
        <v>254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24" customHeight="1">
      <c r="A431" s="2" t="s">
        <v>255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24" customHeight="1">
      <c r="A432" s="2" t="s">
        <v>256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24" customHeight="1">
      <c r="A433" s="2" t="s">
        <v>257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24" customHeight="1">
      <c r="A434" s="2" t="s">
        <v>258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24" customHeight="1">
      <c r="A435" s="2" t="s">
        <v>259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24" customHeight="1">
      <c r="A436" s="2" t="s">
        <v>260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24" customHeight="1">
      <c r="A437" s="2" t="s">
        <v>261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24" customHeight="1">
      <c r="A438" s="2" t="s">
        <v>262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24" customHeight="1">
      <c r="A439" s="2" t="s">
        <v>263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24" customHeight="1">
      <c r="A440" s="2" t="s">
        <v>264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24" customHeight="1">
      <c r="A441" s="2" t="s">
        <v>265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24" customHeight="1">
      <c r="A442" s="2" t="s">
        <v>266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24" customHeight="1">
      <c r="A443" s="2" t="s">
        <v>267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24" customHeight="1">
      <c r="A444" s="2" t="s">
        <v>268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24" customHeight="1">
      <c r="A445" s="2" t="s">
        <v>269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24" customHeight="1">
      <c r="A446" s="2" t="s">
        <v>270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24" customHeight="1">
      <c r="A447" s="2" t="s">
        <v>271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24" customHeight="1">
      <c r="A448" s="2" t="s">
        <v>272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24" customHeight="1">
      <c r="A449" s="2" t="s">
        <v>273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24" customHeight="1">
      <c r="A450" s="2" t="s">
        <v>274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24" customHeight="1">
      <c r="A451" s="2" t="s">
        <v>275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24" customHeight="1">
      <c r="A452" s="2" t="s">
        <v>276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24" customHeight="1">
      <c r="A453" s="2" t="s">
        <v>277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24" customHeight="1">
      <c r="A454" s="2" t="s">
        <v>278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24" customHeight="1">
      <c r="A455" s="2" t="s">
        <v>279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24" customHeight="1">
      <c r="A456" s="2" t="s">
        <v>280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24" customHeight="1">
      <c r="A457" s="2" t="s">
        <v>281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24" customHeight="1">
      <c r="A458" s="2" t="s">
        <v>282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24" customHeight="1">
      <c r="A459" s="2" t="s">
        <v>283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24" customHeight="1">
      <c r="A460" s="2" t="s">
        <v>284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24" customHeight="1">
      <c r="A461" s="2" t="s">
        <v>285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24" customHeight="1">
      <c r="A462" s="2" t="s">
        <v>286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24" customHeight="1">
      <c r="A463" s="2" t="s">
        <v>287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24" customHeight="1">
      <c r="A464" s="2" t="s">
        <v>288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24" customHeight="1">
      <c r="A465" s="2" t="s">
        <v>289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24" customHeight="1">
      <c r="A466" s="2" t="s">
        <v>290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24" customHeight="1">
      <c r="A467" s="2" t="s">
        <v>291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24" customHeight="1">
      <c r="A468" s="2" t="s">
        <v>292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24" customHeight="1">
      <c r="A469" s="2" t="s">
        <v>293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24" customHeight="1">
      <c r="A470" s="2" t="s">
        <v>294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24" customHeight="1">
      <c r="A471" s="2" t="s">
        <v>295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24" customHeight="1">
      <c r="A472" s="2" t="s">
        <v>296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24" customHeight="1">
      <c r="A473" s="2" t="s">
        <v>297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24" customHeight="1">
      <c r="A474" s="2" t="s">
        <v>298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24" customHeight="1">
      <c r="A475" s="2" t="s">
        <v>299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24" customHeight="1">
      <c r="A476" s="2" t="s">
        <v>300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24" customHeight="1">
      <c r="A477" s="2" t="s">
        <v>301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24" customHeight="1">
      <c r="A478" s="2" t="s">
        <v>302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24" customHeight="1">
      <c r="A479" s="2" t="s">
        <v>303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24" customHeight="1">
      <c r="A480" s="2" t="s">
        <v>304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24" customHeight="1">
      <c r="A481" s="2" t="s">
        <v>305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24" customHeight="1">
      <c r="A482" s="2" t="s">
        <v>306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24" customHeight="1">
      <c r="A483" s="2" t="s">
        <v>307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24" customHeight="1">
      <c r="A484" s="2" t="s">
        <v>308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24" customHeight="1">
      <c r="A485" s="2" t="s">
        <v>309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24" customHeight="1">
      <c r="A486" s="2" t="s">
        <v>310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24" customHeight="1">
      <c r="A487" s="2" t="s">
        <v>311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</sheetData>
  <mergeCells count="152">
    <mergeCell ref="A1:L1"/>
    <mergeCell ref="A2:L2"/>
    <mergeCell ref="A3:L3"/>
    <mergeCell ref="A6:L6"/>
    <mergeCell ref="A81:L81"/>
    <mergeCell ref="A156:L156"/>
    <mergeCell ref="A249:L249"/>
    <mergeCell ref="A342:L342"/>
    <mergeCell ref="A344:L344"/>
    <mergeCell ref="A345:L345"/>
    <mergeCell ref="A346:L346"/>
    <mergeCell ref="A347:L347"/>
    <mergeCell ref="A348:L348"/>
    <mergeCell ref="A349:L349"/>
    <mergeCell ref="A350:L350"/>
    <mergeCell ref="A351:L351"/>
    <mergeCell ref="A352:L352"/>
    <mergeCell ref="A353:L353"/>
    <mergeCell ref="A354:L354"/>
    <mergeCell ref="A355:L355"/>
    <mergeCell ref="A356:L356"/>
    <mergeCell ref="A357:L357"/>
    <mergeCell ref="A358:L358"/>
    <mergeCell ref="A359:L359"/>
    <mergeCell ref="A360:L360"/>
    <mergeCell ref="A361:L361"/>
    <mergeCell ref="A362:L362"/>
    <mergeCell ref="A363:L363"/>
    <mergeCell ref="A364:L364"/>
    <mergeCell ref="A365:L365"/>
    <mergeCell ref="A366:L366"/>
    <mergeCell ref="A367:L367"/>
    <mergeCell ref="A368:L368"/>
    <mergeCell ref="A369:L369"/>
    <mergeCell ref="A370:L370"/>
    <mergeCell ref="A371:L371"/>
    <mergeCell ref="A372:L372"/>
    <mergeCell ref="A373:L373"/>
    <mergeCell ref="A374:L374"/>
    <mergeCell ref="A375:L375"/>
    <mergeCell ref="A376:L376"/>
    <mergeCell ref="A377:L377"/>
    <mergeCell ref="A378:L378"/>
    <mergeCell ref="A379:L379"/>
    <mergeCell ref="A380:L380"/>
    <mergeCell ref="A381:L381"/>
    <mergeCell ref="A382:L382"/>
    <mergeCell ref="A383:L383"/>
    <mergeCell ref="A384:L384"/>
    <mergeCell ref="A385:L385"/>
    <mergeCell ref="A386:L386"/>
    <mergeCell ref="A387:L387"/>
    <mergeCell ref="A388:L388"/>
    <mergeCell ref="A389:L389"/>
    <mergeCell ref="A390:L390"/>
    <mergeCell ref="A391:L391"/>
    <mergeCell ref="A392:L392"/>
    <mergeCell ref="A393:L393"/>
    <mergeCell ref="A394:L394"/>
    <mergeCell ref="A395:L395"/>
    <mergeCell ref="A396:L396"/>
    <mergeCell ref="A397:L397"/>
    <mergeCell ref="A398:L398"/>
    <mergeCell ref="A399:L399"/>
    <mergeCell ref="A400:L400"/>
    <mergeCell ref="A401:L401"/>
    <mergeCell ref="A402:L402"/>
    <mergeCell ref="A403:L403"/>
    <mergeCell ref="A404:L404"/>
    <mergeCell ref="A405:L405"/>
    <mergeCell ref="A406:L406"/>
    <mergeCell ref="A407:L407"/>
    <mergeCell ref="A408:L408"/>
    <mergeCell ref="A409:L409"/>
    <mergeCell ref="A410:L410"/>
    <mergeCell ref="A411:L411"/>
    <mergeCell ref="A412:L412"/>
    <mergeCell ref="A413:L413"/>
    <mergeCell ref="A414:L414"/>
    <mergeCell ref="A415:L415"/>
    <mergeCell ref="A416:L416"/>
    <mergeCell ref="A417:L417"/>
    <mergeCell ref="A418:L418"/>
    <mergeCell ref="A419:L419"/>
    <mergeCell ref="A420:L420"/>
    <mergeCell ref="A421:L421"/>
    <mergeCell ref="A422:L422"/>
    <mergeCell ref="A423:L423"/>
    <mergeCell ref="A424:L424"/>
    <mergeCell ref="A425:L425"/>
    <mergeCell ref="A426:L426"/>
    <mergeCell ref="A427:L427"/>
    <mergeCell ref="A428:L428"/>
    <mergeCell ref="A429:L429"/>
    <mergeCell ref="A430:L430"/>
    <mergeCell ref="A431:L431"/>
    <mergeCell ref="A432:L432"/>
    <mergeCell ref="A433:L433"/>
    <mergeCell ref="A434:L434"/>
    <mergeCell ref="A435:L435"/>
    <mergeCell ref="A436:L436"/>
    <mergeCell ref="A437:L437"/>
    <mergeCell ref="A438:L438"/>
    <mergeCell ref="A439:L439"/>
    <mergeCell ref="A440:L440"/>
    <mergeCell ref="A441:L441"/>
    <mergeCell ref="A442:L442"/>
    <mergeCell ref="A443:L443"/>
    <mergeCell ref="A444:L444"/>
    <mergeCell ref="A445:L445"/>
    <mergeCell ref="A446:L446"/>
    <mergeCell ref="A447:L447"/>
    <mergeCell ref="A448:L448"/>
    <mergeCell ref="A449:L449"/>
    <mergeCell ref="A450:L450"/>
    <mergeCell ref="A451:L451"/>
    <mergeCell ref="A452:L452"/>
    <mergeCell ref="A453:L453"/>
    <mergeCell ref="A454:L454"/>
    <mergeCell ref="A455:L455"/>
    <mergeCell ref="A456:L456"/>
    <mergeCell ref="A457:L457"/>
    <mergeCell ref="A458:L458"/>
    <mergeCell ref="A459:L459"/>
    <mergeCell ref="A460:L460"/>
    <mergeCell ref="A461:L461"/>
    <mergeCell ref="A462:L462"/>
    <mergeCell ref="A463:L463"/>
    <mergeCell ref="A464:L464"/>
    <mergeCell ref="A465:L465"/>
    <mergeCell ref="A466:L466"/>
    <mergeCell ref="A467:L467"/>
    <mergeCell ref="A468:L468"/>
    <mergeCell ref="A469:L469"/>
    <mergeCell ref="A470:L470"/>
    <mergeCell ref="A471:L471"/>
    <mergeCell ref="A472:L472"/>
    <mergeCell ref="A473:L473"/>
    <mergeCell ref="A474:L474"/>
    <mergeCell ref="A475:L475"/>
    <mergeCell ref="A476:L476"/>
    <mergeCell ref="A477:L477"/>
    <mergeCell ref="A478:L478"/>
    <mergeCell ref="A479:L479"/>
    <mergeCell ref="A480:L480"/>
    <mergeCell ref="A481:L481"/>
    <mergeCell ref="A482:L482"/>
    <mergeCell ref="A483:L483"/>
    <mergeCell ref="A484:L484"/>
    <mergeCell ref="A485:L485"/>
    <mergeCell ref="A486:L486"/>
    <mergeCell ref="A487:L487"/>
  </mergeCells>
  <conditionalFormatting sqref="H10">
    <cfRule type="cellIs" dxfId="0" priority="5" operator="notEqual">
      <formula>0</formula>
    </cfRule>
  </conditionalFormatting>
  <conditionalFormatting sqref="H11">
    <cfRule type="cellIs" dxfId="0" priority="7" operator="notEqual">
      <formula>0</formula>
    </cfRule>
  </conditionalFormatting>
  <conditionalFormatting sqref="H12">
    <cfRule type="cellIs" dxfId="0" priority="9" operator="notEqual">
      <formula>0</formula>
    </cfRule>
  </conditionalFormatting>
  <conditionalFormatting sqref="H13">
    <cfRule type="cellIs" dxfId="0" priority="11" operator="notEqual">
      <formula>0</formula>
    </cfRule>
  </conditionalFormatting>
  <conditionalFormatting sqref="H14">
    <cfRule type="cellIs" dxfId="0" priority="13" operator="notEqual">
      <formula>0</formula>
    </cfRule>
  </conditionalFormatting>
  <conditionalFormatting sqref="H15">
    <cfRule type="cellIs" dxfId="0" priority="15" operator="notEqual">
      <formula>0</formula>
    </cfRule>
  </conditionalFormatting>
  <conditionalFormatting sqref="H16">
    <cfRule type="cellIs" dxfId="0" priority="17" operator="notEqual">
      <formula>0</formula>
    </cfRule>
  </conditionalFormatting>
  <conditionalFormatting sqref="H17">
    <cfRule type="cellIs" dxfId="0" priority="19" operator="notEqual">
      <formula>0</formula>
    </cfRule>
  </conditionalFormatting>
  <conditionalFormatting sqref="H18">
    <cfRule type="cellIs" dxfId="0" priority="21" operator="notEqual">
      <formula>0</formula>
    </cfRule>
  </conditionalFormatting>
  <conditionalFormatting sqref="H19">
    <cfRule type="cellIs" dxfId="0" priority="23" operator="notEqual">
      <formula>0</formula>
    </cfRule>
  </conditionalFormatting>
  <conditionalFormatting sqref="H20">
    <cfRule type="cellIs" dxfId="0" priority="25" operator="notEqual">
      <formula>0</formula>
    </cfRule>
  </conditionalFormatting>
  <conditionalFormatting sqref="H21">
    <cfRule type="cellIs" dxfId="0" priority="27" operator="notEqual">
      <formula>0</formula>
    </cfRule>
  </conditionalFormatting>
  <conditionalFormatting sqref="H22">
    <cfRule type="cellIs" dxfId="0" priority="29" operator="notEqual">
      <formula>0</formula>
    </cfRule>
  </conditionalFormatting>
  <conditionalFormatting sqref="H23">
    <cfRule type="cellIs" dxfId="0" priority="31" operator="notEqual">
      <formula>0</formula>
    </cfRule>
  </conditionalFormatting>
  <conditionalFormatting sqref="H24">
    <cfRule type="cellIs" dxfId="0" priority="33" operator="notEqual">
      <formula>0</formula>
    </cfRule>
  </conditionalFormatting>
  <conditionalFormatting sqref="H25">
    <cfRule type="cellIs" dxfId="0" priority="35" operator="notEqual">
      <formula>0</formula>
    </cfRule>
  </conditionalFormatting>
  <conditionalFormatting sqref="H26">
    <cfRule type="cellIs" dxfId="0" priority="37" operator="notEqual">
      <formula>0</formula>
    </cfRule>
  </conditionalFormatting>
  <conditionalFormatting sqref="H27">
    <cfRule type="cellIs" dxfId="0" priority="39" operator="notEqual">
      <formula>0</formula>
    </cfRule>
  </conditionalFormatting>
  <conditionalFormatting sqref="H28">
    <cfRule type="cellIs" dxfId="0" priority="41" operator="notEqual">
      <formula>0</formula>
    </cfRule>
  </conditionalFormatting>
  <conditionalFormatting sqref="H29">
    <cfRule type="cellIs" dxfId="0" priority="43" operator="notEqual">
      <formula>0</formula>
    </cfRule>
  </conditionalFormatting>
  <conditionalFormatting sqref="H30">
    <cfRule type="cellIs" dxfId="0" priority="45" operator="notEqual">
      <formula>0</formula>
    </cfRule>
  </conditionalFormatting>
  <conditionalFormatting sqref="H31">
    <cfRule type="cellIs" dxfId="0" priority="47" operator="notEqual">
      <formula>0</formula>
    </cfRule>
  </conditionalFormatting>
  <conditionalFormatting sqref="H32">
    <cfRule type="cellIs" dxfId="0" priority="49" operator="notEqual">
      <formula>0</formula>
    </cfRule>
  </conditionalFormatting>
  <conditionalFormatting sqref="H33">
    <cfRule type="cellIs" dxfId="0" priority="51" operator="notEqual">
      <formula>0</formula>
    </cfRule>
  </conditionalFormatting>
  <conditionalFormatting sqref="H34">
    <cfRule type="cellIs" dxfId="0" priority="53" operator="notEqual">
      <formula>0</formula>
    </cfRule>
  </conditionalFormatting>
  <conditionalFormatting sqref="H35">
    <cfRule type="cellIs" dxfId="0" priority="55" operator="notEqual">
      <formula>0</formula>
    </cfRule>
  </conditionalFormatting>
  <conditionalFormatting sqref="H36">
    <cfRule type="cellIs" dxfId="0" priority="57" operator="notEqual">
      <formula>0</formula>
    </cfRule>
  </conditionalFormatting>
  <conditionalFormatting sqref="H37">
    <cfRule type="cellIs" dxfId="0" priority="59" operator="notEqual">
      <formula>0</formula>
    </cfRule>
  </conditionalFormatting>
  <conditionalFormatting sqref="H38">
    <cfRule type="cellIs" dxfId="0" priority="61" operator="notEqual">
      <formula>0</formula>
    </cfRule>
  </conditionalFormatting>
  <conditionalFormatting sqref="H39">
    <cfRule type="cellIs" dxfId="0" priority="63" operator="notEqual">
      <formula>0</formula>
    </cfRule>
  </conditionalFormatting>
  <conditionalFormatting sqref="H40">
    <cfRule type="cellIs" dxfId="0" priority="65" operator="notEqual">
      <formula>0</formula>
    </cfRule>
  </conditionalFormatting>
  <conditionalFormatting sqref="H41">
    <cfRule type="cellIs" dxfId="0" priority="67" operator="notEqual">
      <formula>0</formula>
    </cfRule>
  </conditionalFormatting>
  <conditionalFormatting sqref="H42">
    <cfRule type="cellIs" dxfId="0" priority="69" operator="notEqual">
      <formula>0</formula>
    </cfRule>
  </conditionalFormatting>
  <conditionalFormatting sqref="H43">
    <cfRule type="cellIs" dxfId="0" priority="71" operator="notEqual">
      <formula>0</formula>
    </cfRule>
  </conditionalFormatting>
  <conditionalFormatting sqref="H44">
    <cfRule type="cellIs" dxfId="0" priority="73" operator="notEqual">
      <formula>0</formula>
    </cfRule>
  </conditionalFormatting>
  <conditionalFormatting sqref="H45">
    <cfRule type="cellIs" dxfId="0" priority="75" operator="notEqual">
      <formula>0</formula>
    </cfRule>
  </conditionalFormatting>
  <conditionalFormatting sqref="H46">
    <cfRule type="cellIs" dxfId="0" priority="77" operator="notEqual">
      <formula>0</formula>
    </cfRule>
  </conditionalFormatting>
  <conditionalFormatting sqref="H47">
    <cfRule type="cellIs" dxfId="0" priority="79" operator="notEqual">
      <formula>0</formula>
    </cfRule>
  </conditionalFormatting>
  <conditionalFormatting sqref="H48">
    <cfRule type="cellIs" dxfId="0" priority="81" operator="notEqual">
      <formula>0</formula>
    </cfRule>
  </conditionalFormatting>
  <conditionalFormatting sqref="H49">
    <cfRule type="cellIs" dxfId="0" priority="83" operator="notEqual">
      <formula>0</formula>
    </cfRule>
  </conditionalFormatting>
  <conditionalFormatting sqref="H50">
    <cfRule type="cellIs" dxfId="0" priority="85" operator="notEqual">
      <formula>0</formula>
    </cfRule>
  </conditionalFormatting>
  <conditionalFormatting sqref="H51">
    <cfRule type="cellIs" dxfId="0" priority="87" operator="notEqual">
      <formula>0</formula>
    </cfRule>
  </conditionalFormatting>
  <conditionalFormatting sqref="H52">
    <cfRule type="cellIs" dxfId="0" priority="89" operator="notEqual">
      <formula>0</formula>
    </cfRule>
  </conditionalFormatting>
  <conditionalFormatting sqref="H53">
    <cfRule type="cellIs" dxfId="0" priority="91" operator="notEqual">
      <formula>0</formula>
    </cfRule>
  </conditionalFormatting>
  <conditionalFormatting sqref="H54">
    <cfRule type="cellIs" dxfId="0" priority="93" operator="notEqual">
      <formula>0</formula>
    </cfRule>
  </conditionalFormatting>
  <conditionalFormatting sqref="H55">
    <cfRule type="cellIs" dxfId="0" priority="95" operator="notEqual">
      <formula>0</formula>
    </cfRule>
  </conditionalFormatting>
  <conditionalFormatting sqref="H56">
    <cfRule type="cellIs" dxfId="0" priority="97" operator="notEqual">
      <formula>0</formula>
    </cfRule>
  </conditionalFormatting>
  <conditionalFormatting sqref="H57">
    <cfRule type="cellIs" dxfId="0" priority="99" operator="notEqual">
      <formula>0</formula>
    </cfRule>
  </conditionalFormatting>
  <conditionalFormatting sqref="H58">
    <cfRule type="cellIs" dxfId="0" priority="101" operator="notEqual">
      <formula>0</formula>
    </cfRule>
  </conditionalFormatting>
  <conditionalFormatting sqref="H59">
    <cfRule type="cellIs" dxfId="0" priority="103" operator="notEqual">
      <formula>0</formula>
    </cfRule>
  </conditionalFormatting>
  <conditionalFormatting sqref="H60">
    <cfRule type="cellIs" dxfId="0" priority="105" operator="notEqual">
      <formula>0</formula>
    </cfRule>
  </conditionalFormatting>
  <conditionalFormatting sqref="H61">
    <cfRule type="cellIs" dxfId="0" priority="107" operator="notEqual">
      <formula>0</formula>
    </cfRule>
  </conditionalFormatting>
  <conditionalFormatting sqref="H62">
    <cfRule type="cellIs" dxfId="0" priority="109" operator="notEqual">
      <formula>0</formula>
    </cfRule>
  </conditionalFormatting>
  <conditionalFormatting sqref="H63">
    <cfRule type="cellIs" dxfId="0" priority="111" operator="notEqual">
      <formula>0</formula>
    </cfRule>
  </conditionalFormatting>
  <conditionalFormatting sqref="H64">
    <cfRule type="cellIs" dxfId="0" priority="113" operator="notEqual">
      <formula>0</formula>
    </cfRule>
  </conditionalFormatting>
  <conditionalFormatting sqref="H65">
    <cfRule type="cellIs" dxfId="0" priority="115" operator="notEqual">
      <formula>0</formula>
    </cfRule>
  </conditionalFormatting>
  <conditionalFormatting sqref="H66">
    <cfRule type="cellIs" dxfId="0" priority="117" operator="notEqual">
      <formula>0</formula>
    </cfRule>
  </conditionalFormatting>
  <conditionalFormatting sqref="H67">
    <cfRule type="cellIs" dxfId="0" priority="119" operator="notEqual">
      <formula>0</formula>
    </cfRule>
  </conditionalFormatting>
  <conditionalFormatting sqref="H68">
    <cfRule type="cellIs" dxfId="0" priority="121" operator="notEqual">
      <formula>0</formula>
    </cfRule>
  </conditionalFormatting>
  <conditionalFormatting sqref="H69">
    <cfRule type="cellIs" dxfId="0" priority="123" operator="notEqual">
      <formula>0</formula>
    </cfRule>
  </conditionalFormatting>
  <conditionalFormatting sqref="H70">
    <cfRule type="cellIs" dxfId="0" priority="125" operator="notEqual">
      <formula>0</formula>
    </cfRule>
  </conditionalFormatting>
  <conditionalFormatting sqref="H71">
    <cfRule type="cellIs" dxfId="0" priority="127" operator="notEqual">
      <formula>0</formula>
    </cfRule>
  </conditionalFormatting>
  <conditionalFormatting sqref="H72">
    <cfRule type="cellIs" dxfId="0" priority="129" operator="notEqual">
      <formula>0</formula>
    </cfRule>
  </conditionalFormatting>
  <conditionalFormatting sqref="H73">
    <cfRule type="cellIs" dxfId="0" priority="131" operator="notEqual">
      <formula>0</formula>
    </cfRule>
  </conditionalFormatting>
  <conditionalFormatting sqref="H74">
    <cfRule type="cellIs" dxfId="0" priority="133" operator="notEqual">
      <formula>0</formula>
    </cfRule>
  </conditionalFormatting>
  <conditionalFormatting sqref="H75">
    <cfRule type="cellIs" dxfId="0" priority="135" operator="notEqual">
      <formula>0</formula>
    </cfRule>
  </conditionalFormatting>
  <conditionalFormatting sqref="H76">
    <cfRule type="cellIs" dxfId="0" priority="137" operator="notEqual">
      <formula>0</formula>
    </cfRule>
  </conditionalFormatting>
  <conditionalFormatting sqref="H77">
    <cfRule type="cellIs" dxfId="0" priority="139" operator="notEqual">
      <formula>0</formula>
    </cfRule>
  </conditionalFormatting>
  <conditionalFormatting sqref="H78">
    <cfRule type="cellIs" dxfId="0" priority="141" operator="notEqual">
      <formula>0</formula>
    </cfRule>
  </conditionalFormatting>
  <conditionalFormatting sqref="H79">
    <cfRule type="cellIs" dxfId="0" priority="143" operator="notEqual">
      <formula>0</formula>
    </cfRule>
  </conditionalFormatting>
  <conditionalFormatting sqref="H8">
    <cfRule type="cellIs" dxfId="0" priority="1" operator="notEqual">
      <formula>0</formula>
    </cfRule>
  </conditionalFormatting>
  <conditionalFormatting sqref="H9">
    <cfRule type="cellIs" dxfId="0" priority="3" operator="notEqual">
      <formula>0</formula>
    </cfRule>
  </conditionalFormatting>
  <conditionalFormatting sqref="K10">
    <cfRule type="cellIs" dxfId="0" priority="6" operator="notEqual">
      <formula>0</formula>
    </cfRule>
  </conditionalFormatting>
  <conditionalFormatting sqref="K11">
    <cfRule type="cellIs" dxfId="0" priority="8" operator="notEqual">
      <formula>0</formula>
    </cfRule>
  </conditionalFormatting>
  <conditionalFormatting sqref="K12">
    <cfRule type="cellIs" dxfId="0" priority="10" operator="notEqual">
      <formula>0</formula>
    </cfRule>
  </conditionalFormatting>
  <conditionalFormatting sqref="K13">
    <cfRule type="cellIs" dxfId="0" priority="12" operator="notEqual">
      <formula>0</formula>
    </cfRule>
  </conditionalFormatting>
  <conditionalFormatting sqref="K14">
    <cfRule type="cellIs" dxfId="0" priority="14" operator="notEqual">
      <formula>0</formula>
    </cfRule>
  </conditionalFormatting>
  <conditionalFormatting sqref="K15">
    <cfRule type="cellIs" dxfId="0" priority="16" operator="notEqual">
      <formula>0</formula>
    </cfRule>
  </conditionalFormatting>
  <conditionalFormatting sqref="K16">
    <cfRule type="cellIs" dxfId="0" priority="18" operator="notEqual">
      <formula>0</formula>
    </cfRule>
  </conditionalFormatting>
  <conditionalFormatting sqref="K17">
    <cfRule type="cellIs" dxfId="0" priority="20" operator="notEqual">
      <formula>0</formula>
    </cfRule>
  </conditionalFormatting>
  <conditionalFormatting sqref="K18">
    <cfRule type="cellIs" dxfId="0" priority="22" operator="notEqual">
      <formula>0</formula>
    </cfRule>
  </conditionalFormatting>
  <conditionalFormatting sqref="K19">
    <cfRule type="cellIs" dxfId="0" priority="24" operator="notEqual">
      <formula>0</formula>
    </cfRule>
  </conditionalFormatting>
  <conditionalFormatting sqref="K20">
    <cfRule type="cellIs" dxfId="0" priority="26" operator="notEqual">
      <formula>0</formula>
    </cfRule>
  </conditionalFormatting>
  <conditionalFormatting sqref="K21">
    <cfRule type="cellIs" dxfId="0" priority="28" operator="notEqual">
      <formula>0</formula>
    </cfRule>
  </conditionalFormatting>
  <conditionalFormatting sqref="K22">
    <cfRule type="cellIs" dxfId="0" priority="30" operator="notEqual">
      <formula>0</formula>
    </cfRule>
  </conditionalFormatting>
  <conditionalFormatting sqref="K23">
    <cfRule type="cellIs" dxfId="0" priority="32" operator="notEqual">
      <formula>0</formula>
    </cfRule>
  </conditionalFormatting>
  <conditionalFormatting sqref="K24">
    <cfRule type="cellIs" dxfId="0" priority="34" operator="notEqual">
      <formula>0</formula>
    </cfRule>
  </conditionalFormatting>
  <conditionalFormatting sqref="K25">
    <cfRule type="cellIs" dxfId="0" priority="36" operator="notEqual">
      <formula>0</formula>
    </cfRule>
  </conditionalFormatting>
  <conditionalFormatting sqref="K26">
    <cfRule type="cellIs" dxfId="0" priority="38" operator="notEqual">
      <formula>0</formula>
    </cfRule>
  </conditionalFormatting>
  <conditionalFormatting sqref="K27">
    <cfRule type="cellIs" dxfId="0" priority="40" operator="notEqual">
      <formula>0</formula>
    </cfRule>
  </conditionalFormatting>
  <conditionalFormatting sqref="K28">
    <cfRule type="cellIs" dxfId="0" priority="42" operator="notEqual">
      <formula>0</formula>
    </cfRule>
  </conditionalFormatting>
  <conditionalFormatting sqref="K29">
    <cfRule type="cellIs" dxfId="0" priority="44" operator="notEqual">
      <formula>0</formula>
    </cfRule>
  </conditionalFormatting>
  <conditionalFormatting sqref="K30">
    <cfRule type="cellIs" dxfId="0" priority="46" operator="notEqual">
      <formula>0</formula>
    </cfRule>
  </conditionalFormatting>
  <conditionalFormatting sqref="K31">
    <cfRule type="cellIs" dxfId="0" priority="48" operator="notEqual">
      <formula>0</formula>
    </cfRule>
  </conditionalFormatting>
  <conditionalFormatting sqref="K32">
    <cfRule type="cellIs" dxfId="0" priority="50" operator="notEqual">
      <formula>0</formula>
    </cfRule>
  </conditionalFormatting>
  <conditionalFormatting sqref="K33">
    <cfRule type="cellIs" dxfId="0" priority="52" operator="notEqual">
      <formula>0</formula>
    </cfRule>
  </conditionalFormatting>
  <conditionalFormatting sqref="K34">
    <cfRule type="cellIs" dxfId="0" priority="54" operator="notEqual">
      <formula>0</formula>
    </cfRule>
  </conditionalFormatting>
  <conditionalFormatting sqref="K35">
    <cfRule type="cellIs" dxfId="0" priority="56" operator="notEqual">
      <formula>0</formula>
    </cfRule>
  </conditionalFormatting>
  <conditionalFormatting sqref="K36">
    <cfRule type="cellIs" dxfId="0" priority="58" operator="notEqual">
      <formula>0</formula>
    </cfRule>
  </conditionalFormatting>
  <conditionalFormatting sqref="K37">
    <cfRule type="cellIs" dxfId="0" priority="60" operator="notEqual">
      <formula>0</formula>
    </cfRule>
  </conditionalFormatting>
  <conditionalFormatting sqref="K38">
    <cfRule type="cellIs" dxfId="0" priority="62" operator="notEqual">
      <formula>0</formula>
    </cfRule>
  </conditionalFormatting>
  <conditionalFormatting sqref="K39">
    <cfRule type="cellIs" dxfId="0" priority="64" operator="notEqual">
      <formula>0</formula>
    </cfRule>
  </conditionalFormatting>
  <conditionalFormatting sqref="K40">
    <cfRule type="cellIs" dxfId="0" priority="66" operator="notEqual">
      <formula>0</formula>
    </cfRule>
  </conditionalFormatting>
  <conditionalFormatting sqref="K41">
    <cfRule type="cellIs" dxfId="0" priority="68" operator="notEqual">
      <formula>0</formula>
    </cfRule>
  </conditionalFormatting>
  <conditionalFormatting sqref="K42">
    <cfRule type="cellIs" dxfId="0" priority="70" operator="notEqual">
      <formula>0</formula>
    </cfRule>
  </conditionalFormatting>
  <conditionalFormatting sqref="K43">
    <cfRule type="cellIs" dxfId="0" priority="72" operator="notEqual">
      <formula>0</formula>
    </cfRule>
  </conditionalFormatting>
  <conditionalFormatting sqref="K44">
    <cfRule type="cellIs" dxfId="0" priority="74" operator="notEqual">
      <formula>0</formula>
    </cfRule>
  </conditionalFormatting>
  <conditionalFormatting sqref="K45">
    <cfRule type="cellIs" dxfId="0" priority="76" operator="notEqual">
      <formula>0</formula>
    </cfRule>
  </conditionalFormatting>
  <conditionalFormatting sqref="K46">
    <cfRule type="cellIs" dxfId="0" priority="78" operator="notEqual">
      <formula>0</formula>
    </cfRule>
  </conditionalFormatting>
  <conditionalFormatting sqref="K47">
    <cfRule type="cellIs" dxfId="0" priority="80" operator="notEqual">
      <formula>0</formula>
    </cfRule>
  </conditionalFormatting>
  <conditionalFormatting sqref="K48">
    <cfRule type="cellIs" dxfId="0" priority="82" operator="notEqual">
      <formula>0</formula>
    </cfRule>
  </conditionalFormatting>
  <conditionalFormatting sqref="K49">
    <cfRule type="cellIs" dxfId="0" priority="84" operator="notEqual">
      <formula>0</formula>
    </cfRule>
  </conditionalFormatting>
  <conditionalFormatting sqref="K50">
    <cfRule type="cellIs" dxfId="0" priority="86" operator="notEqual">
      <formula>0</formula>
    </cfRule>
  </conditionalFormatting>
  <conditionalFormatting sqref="K51">
    <cfRule type="cellIs" dxfId="0" priority="88" operator="notEqual">
      <formula>0</formula>
    </cfRule>
  </conditionalFormatting>
  <conditionalFormatting sqref="K52">
    <cfRule type="cellIs" dxfId="0" priority="90" operator="notEqual">
      <formula>0</formula>
    </cfRule>
  </conditionalFormatting>
  <conditionalFormatting sqref="K53">
    <cfRule type="cellIs" dxfId="0" priority="92" operator="notEqual">
      <formula>0</formula>
    </cfRule>
  </conditionalFormatting>
  <conditionalFormatting sqref="K54">
    <cfRule type="cellIs" dxfId="0" priority="94" operator="notEqual">
      <formula>0</formula>
    </cfRule>
  </conditionalFormatting>
  <conditionalFormatting sqref="K55">
    <cfRule type="cellIs" dxfId="0" priority="96" operator="notEqual">
      <formula>0</formula>
    </cfRule>
  </conditionalFormatting>
  <conditionalFormatting sqref="K56">
    <cfRule type="cellIs" dxfId="0" priority="98" operator="notEqual">
      <formula>0</formula>
    </cfRule>
  </conditionalFormatting>
  <conditionalFormatting sqref="K57">
    <cfRule type="cellIs" dxfId="0" priority="100" operator="notEqual">
      <formula>0</formula>
    </cfRule>
  </conditionalFormatting>
  <conditionalFormatting sqref="K58">
    <cfRule type="cellIs" dxfId="0" priority="102" operator="notEqual">
      <formula>0</formula>
    </cfRule>
  </conditionalFormatting>
  <conditionalFormatting sqref="K59">
    <cfRule type="cellIs" dxfId="0" priority="104" operator="notEqual">
      <formula>0</formula>
    </cfRule>
  </conditionalFormatting>
  <conditionalFormatting sqref="K60">
    <cfRule type="cellIs" dxfId="0" priority="106" operator="notEqual">
      <formula>0</formula>
    </cfRule>
  </conditionalFormatting>
  <conditionalFormatting sqref="K61">
    <cfRule type="cellIs" dxfId="0" priority="108" operator="notEqual">
      <formula>0</formula>
    </cfRule>
  </conditionalFormatting>
  <conditionalFormatting sqref="K62">
    <cfRule type="cellIs" dxfId="0" priority="110" operator="notEqual">
      <formula>0</formula>
    </cfRule>
  </conditionalFormatting>
  <conditionalFormatting sqref="K63">
    <cfRule type="cellIs" dxfId="0" priority="112" operator="notEqual">
      <formula>0</formula>
    </cfRule>
  </conditionalFormatting>
  <conditionalFormatting sqref="K64">
    <cfRule type="cellIs" dxfId="0" priority="114" operator="notEqual">
      <formula>0</formula>
    </cfRule>
  </conditionalFormatting>
  <conditionalFormatting sqref="K65">
    <cfRule type="cellIs" dxfId="0" priority="116" operator="notEqual">
      <formula>0</formula>
    </cfRule>
  </conditionalFormatting>
  <conditionalFormatting sqref="K66">
    <cfRule type="cellIs" dxfId="0" priority="118" operator="notEqual">
      <formula>0</formula>
    </cfRule>
  </conditionalFormatting>
  <conditionalFormatting sqref="K67">
    <cfRule type="cellIs" dxfId="0" priority="120" operator="notEqual">
      <formula>0</formula>
    </cfRule>
  </conditionalFormatting>
  <conditionalFormatting sqref="K68">
    <cfRule type="cellIs" dxfId="0" priority="122" operator="notEqual">
      <formula>0</formula>
    </cfRule>
  </conditionalFormatting>
  <conditionalFormatting sqref="K69">
    <cfRule type="cellIs" dxfId="0" priority="124" operator="notEqual">
      <formula>0</formula>
    </cfRule>
  </conditionalFormatting>
  <conditionalFormatting sqref="K70">
    <cfRule type="cellIs" dxfId="0" priority="126" operator="notEqual">
      <formula>0</formula>
    </cfRule>
  </conditionalFormatting>
  <conditionalFormatting sqref="K71">
    <cfRule type="cellIs" dxfId="0" priority="128" operator="notEqual">
      <formula>0</formula>
    </cfRule>
  </conditionalFormatting>
  <conditionalFormatting sqref="K72">
    <cfRule type="cellIs" dxfId="0" priority="130" operator="notEqual">
      <formula>0</formula>
    </cfRule>
  </conditionalFormatting>
  <conditionalFormatting sqref="K73">
    <cfRule type="cellIs" dxfId="0" priority="132" operator="notEqual">
      <formula>0</formula>
    </cfRule>
  </conditionalFormatting>
  <conditionalFormatting sqref="K74">
    <cfRule type="cellIs" dxfId="0" priority="134" operator="notEqual">
      <formula>0</formula>
    </cfRule>
  </conditionalFormatting>
  <conditionalFormatting sqref="K75">
    <cfRule type="cellIs" dxfId="0" priority="136" operator="notEqual">
      <formula>0</formula>
    </cfRule>
  </conditionalFormatting>
  <conditionalFormatting sqref="K76">
    <cfRule type="cellIs" dxfId="0" priority="138" operator="notEqual">
      <formula>0</formula>
    </cfRule>
  </conditionalFormatting>
  <conditionalFormatting sqref="K77">
    <cfRule type="cellIs" dxfId="0" priority="140" operator="notEqual">
      <formula>0</formula>
    </cfRule>
  </conditionalFormatting>
  <conditionalFormatting sqref="K78">
    <cfRule type="cellIs" dxfId="0" priority="142" operator="notEqual">
      <formula>0</formula>
    </cfRule>
  </conditionalFormatting>
  <conditionalFormatting sqref="K79">
    <cfRule type="cellIs" dxfId="0" priority="144" operator="notEqual">
      <formula>0</formula>
    </cfRule>
  </conditionalFormatting>
  <conditionalFormatting sqref="K8">
    <cfRule type="cellIs" dxfId="0" priority="2" operator="notEqual">
      <formula>0</formula>
    </cfRule>
  </conditionalFormatting>
  <conditionalFormatting sqref="K9">
    <cfRule type="cellIs" dxfId="0" priority="4" operator="notEqual">
      <formula>0</formula>
    </cfRule>
  </conditionalFormatting>
  <pageMargins left="0.25" right="0.25" top="0.35" bottom="0.35" header="0.3" footer="0.3"/>
  <pageSetup paperSize="9" fitToHeight="0" orientation="landscape"/>
  <headerFooter>
    <oddFooter>&amp;L有効抵抗土圧&amp;R&amp;P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04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2" width="8.7109375" customWidth="1"/>
    <col min="3" max="3" width="10.7109375" customWidth="1"/>
    <col min="4" max="4" width="17.7109375" customWidth="1"/>
    <col min="5" max="12" width="15.7109375" customWidth="1"/>
  </cols>
  <sheetData>
    <row r="1" spans="1:12" ht="24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312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3" customHeight="1"/>
    <row r="7" spans="1:12" ht="24" customHeight="1">
      <c r="A7" s="3" t="s">
        <v>313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6" customHeight="1">
      <c r="A8" s="4" t="s">
        <v>8</v>
      </c>
      <c r="B8" s="4" t="s">
        <v>9</v>
      </c>
      <c r="C8" s="4" t="s">
        <v>30</v>
      </c>
      <c r="D8" s="4" t="s">
        <v>314</v>
      </c>
      <c r="E8" s="4" t="s">
        <v>315</v>
      </c>
      <c r="F8" s="4" t="s">
        <v>316</v>
      </c>
      <c r="G8" s="4" t="s">
        <v>317</v>
      </c>
      <c r="H8" s="4" t="s">
        <v>318</v>
      </c>
      <c r="I8" s="4" t="s">
        <v>319</v>
      </c>
      <c r="J8" s="4" t="s">
        <v>320</v>
      </c>
      <c r="K8" s="4" t="s">
        <v>321</v>
      </c>
      <c r="L8" s="4" t="s">
        <v>322</v>
      </c>
    </row>
    <row r="9" spans="1:12" ht="23" customHeight="1">
      <c r="A9" s="6">
        <v>4</v>
      </c>
      <c r="B9" s="6">
        <v>1</v>
      </c>
      <c r="C9" s="6">
        <v>102</v>
      </c>
      <c r="D9" s="6">
        <f>SUM(K139,K140)</f>
        <v>0.905</v>
      </c>
      <c r="E9" s="6">
        <f>SUM(I214,I215)</f>
        <v>51628.885</v>
      </c>
      <c r="F9" s="6">
        <f>ROUND(E9,0)</f>
        <v>51629.0</v>
      </c>
      <c r="G9" s="7">
        <v>51629</v>
      </c>
      <c r="H9" s="6">
        <f>(F9-G9)</f>
        <v>0.0</v>
      </c>
      <c r="I9" s="6">
        <f>SUM(J214,J215)</f>
        <v>433.7705</v>
      </c>
      <c r="J9" s="6">
        <f>ROUND(I9,1)</f>
        <v>433.8</v>
      </c>
      <c r="K9" s="7">
        <v>433.8</v>
      </c>
      <c r="L9" s="6">
        <f>(J9-K9)</f>
        <v>0.0</v>
      </c>
    </row>
    <row r="10" spans="1:12" ht="23" customHeight="1">
      <c r="A10" s="6">
        <v>4</v>
      </c>
      <c r="B10" s="6">
        <v>1</v>
      </c>
      <c r="C10" s="6">
        <v>103</v>
      </c>
      <c r="D10" s="6">
        <f>SUM(K141)</f>
        <v>1.3</v>
      </c>
      <c r="E10" s="6">
        <f>SUM(I216)</f>
        <v>145626.0</v>
      </c>
      <c r="F10" s="6">
        <f>ROUND(E10,0)</f>
        <v>145626.0</v>
      </c>
      <c r="G10" s="7">
        <v>145626</v>
      </c>
      <c r="H10" s="6">
        <f>(F10-G10)</f>
        <v>0.0</v>
      </c>
      <c r="I10" s="6">
        <f>SUM(J216)</f>
        <v>1834.95</v>
      </c>
      <c r="J10" s="6">
        <f>ROUND(I10,1)</f>
        <v>1835.0</v>
      </c>
      <c r="K10" s="7">
        <v>1835</v>
      </c>
      <c r="L10" s="6">
        <f>(J10-K10)</f>
        <v>0.0</v>
      </c>
    </row>
    <row r="11" spans="1:12" ht="23" customHeight="1">
      <c r="A11" s="6">
        <v>4</v>
      </c>
      <c r="B11" s="6">
        <v>1</v>
      </c>
      <c r="C11" s="6">
        <v>104</v>
      </c>
      <c r="D11" s="6">
        <f>SUM(K142,K143)</f>
        <v>1.2999999999999998</v>
      </c>
      <c r="E11" s="6">
        <f>SUM(I217,I218)</f>
        <v>155633.69999999998</v>
      </c>
      <c r="F11" s="6">
        <f>ROUND(E11,0)</f>
        <v>155634.0</v>
      </c>
      <c r="G11" s="7">
        <v>155634</v>
      </c>
      <c r="H11" s="6">
        <f>(F11-G11)</f>
        <v>0.0</v>
      </c>
      <c r="I11" s="6">
        <f>SUM(J217,J218)</f>
        <v>1794.36</v>
      </c>
      <c r="J11" s="6">
        <f>ROUND(I11,1)</f>
        <v>1794.4</v>
      </c>
      <c r="K11" s="7">
        <v>1794.4</v>
      </c>
      <c r="L11" s="6">
        <f>(J11-K11)</f>
        <v>0.0</v>
      </c>
    </row>
    <row r="12" spans="1:12" ht="23" customHeight="1">
      <c r="A12" s="6">
        <v>4</v>
      </c>
      <c r="B12" s="6">
        <v>1</v>
      </c>
      <c r="C12" s="6">
        <v>105</v>
      </c>
      <c r="D12" s="6">
        <f>SUM(K144,K145)</f>
        <v>1.3</v>
      </c>
      <c r="E12" s="6">
        <f>SUM(I219,I220)</f>
        <v>223256.75</v>
      </c>
      <c r="F12" s="6">
        <f>ROUND(E12,0)</f>
        <v>223257.0</v>
      </c>
      <c r="G12" s="7">
        <v>223257</v>
      </c>
      <c r="H12" s="6">
        <f>(F12-G12)</f>
        <v>0.0</v>
      </c>
      <c r="I12" s="6">
        <f>SUM(J219,J220)</f>
        <v>2313.025</v>
      </c>
      <c r="J12" s="6">
        <f>ROUND(I12,1)</f>
        <v>2313.0</v>
      </c>
      <c r="K12" s="7">
        <v>2313</v>
      </c>
      <c r="L12" s="6">
        <f>(J12-K12)</f>
        <v>0.0</v>
      </c>
    </row>
    <row r="13" spans="1:12" ht="23" customHeight="1">
      <c r="A13" s="6">
        <v>4</v>
      </c>
      <c r="B13" s="6">
        <v>1</v>
      </c>
      <c r="C13" s="6">
        <v>106</v>
      </c>
      <c r="D13" s="6">
        <f>SUM(K146)</f>
        <v>1.3</v>
      </c>
      <c r="E13" s="6">
        <f>SUM(I221)</f>
        <v>218437.7</v>
      </c>
      <c r="F13" s="6">
        <f>ROUND(E13,0)</f>
        <v>218438.0</v>
      </c>
      <c r="G13" s="7">
        <v>218438</v>
      </c>
      <c r="H13" s="6">
        <f>(F13-G13)</f>
        <v>0.0</v>
      </c>
      <c r="I13" s="6">
        <f>SUM(J221)</f>
        <v>2752.3599999999997</v>
      </c>
      <c r="J13" s="6">
        <f>ROUND(I13,1)</f>
        <v>2752.4</v>
      </c>
      <c r="K13" s="7">
        <v>2752.4</v>
      </c>
      <c r="L13" s="6">
        <f>(J13-K13)</f>
        <v>0.0</v>
      </c>
    </row>
    <row r="14" spans="1:12" ht="23" customHeight="1">
      <c r="A14" s="6">
        <v>4</v>
      </c>
      <c r="B14" s="6">
        <v>1</v>
      </c>
      <c r="C14" s="6">
        <v>107</v>
      </c>
      <c r="D14" s="6">
        <f>SUM(K147)</f>
        <v>1.3</v>
      </c>
      <c r="E14" s="6">
        <f>SUM(I222)</f>
        <v>218437.7</v>
      </c>
      <c r="F14" s="6">
        <f>ROUND(E14,0)</f>
        <v>218438.0</v>
      </c>
      <c r="G14" s="7">
        <v>218438</v>
      </c>
      <c r="H14" s="6">
        <f>(F14-G14)</f>
        <v>0.0</v>
      </c>
      <c r="I14" s="6">
        <f>SUM(J222)</f>
        <v>2752.3599999999997</v>
      </c>
      <c r="J14" s="6">
        <f>ROUND(I14,1)</f>
        <v>2752.4</v>
      </c>
      <c r="K14" s="7">
        <v>2752.4</v>
      </c>
      <c r="L14" s="6">
        <f>(J14-K14)</f>
        <v>0.0</v>
      </c>
    </row>
    <row r="15" spans="1:12" ht="23" customHeight="1">
      <c r="A15" s="6">
        <v>4</v>
      </c>
      <c r="B15" s="6">
        <v>1</v>
      </c>
      <c r="C15" s="6">
        <v>108</v>
      </c>
      <c r="D15" s="6">
        <f>SUM(K148)</f>
        <v>1.3</v>
      </c>
      <c r="E15" s="6">
        <f>SUM(I223)</f>
        <v>218437.7</v>
      </c>
      <c r="F15" s="6">
        <f>ROUND(E15,0)</f>
        <v>218438.0</v>
      </c>
      <c r="G15" s="7">
        <v>218438</v>
      </c>
      <c r="H15" s="6">
        <f>(F15-G15)</f>
        <v>0.0</v>
      </c>
      <c r="I15" s="6">
        <f>SUM(J223)</f>
        <v>2752.3599999999997</v>
      </c>
      <c r="J15" s="6">
        <f>ROUND(I15,1)</f>
        <v>2752.4</v>
      </c>
      <c r="K15" s="7">
        <v>2752.4</v>
      </c>
      <c r="L15" s="6">
        <f>(J15-K15)</f>
        <v>0.0</v>
      </c>
    </row>
    <row r="16" spans="1:12" ht="23" customHeight="1">
      <c r="A16" s="6">
        <v>4</v>
      </c>
      <c r="B16" s="6">
        <v>1</v>
      </c>
      <c r="C16" s="6">
        <v>109</v>
      </c>
      <c r="D16" s="6">
        <f>SUM(K149)</f>
        <v>1.3</v>
      </c>
      <c r="E16" s="6">
        <f>SUM(I224)</f>
        <v>218437.7</v>
      </c>
      <c r="F16" s="6">
        <f>ROUND(E16,0)</f>
        <v>218438.0</v>
      </c>
      <c r="G16" s="7">
        <v>218438</v>
      </c>
      <c r="H16" s="6">
        <f>(F16-G16)</f>
        <v>0.0</v>
      </c>
      <c r="I16" s="6">
        <f>SUM(J224)</f>
        <v>2752.3599999999997</v>
      </c>
      <c r="J16" s="6">
        <f>ROUND(I16,1)</f>
        <v>2752.4</v>
      </c>
      <c r="K16" s="7">
        <v>2752.4</v>
      </c>
      <c r="L16" s="6">
        <f>(J16-K16)</f>
        <v>0.0</v>
      </c>
    </row>
    <row r="17" spans="1:12" ht="23" customHeight="1">
      <c r="A17" s="6">
        <v>4</v>
      </c>
      <c r="B17" s="6">
        <v>1</v>
      </c>
      <c r="C17" s="6">
        <v>110</v>
      </c>
      <c r="D17" s="6">
        <f>SUM(K150)</f>
        <v>1.3</v>
      </c>
      <c r="E17" s="6">
        <f>SUM(I225)</f>
        <v>218437.7</v>
      </c>
      <c r="F17" s="6">
        <f>ROUND(E17,0)</f>
        <v>218438.0</v>
      </c>
      <c r="G17" s="7">
        <v>218438</v>
      </c>
      <c r="H17" s="6">
        <f>(F17-G17)</f>
        <v>0.0</v>
      </c>
      <c r="I17" s="6">
        <f>SUM(J225)</f>
        <v>2752.3599999999997</v>
      </c>
      <c r="J17" s="6">
        <f>ROUND(I17,1)</f>
        <v>2752.4</v>
      </c>
      <c r="K17" s="7">
        <v>2752.4</v>
      </c>
      <c r="L17" s="6">
        <f>(J17-K17)</f>
        <v>0.0</v>
      </c>
    </row>
    <row r="18" spans="1:12" ht="23" customHeight="1">
      <c r="A18" s="6">
        <v>4</v>
      </c>
      <c r="B18" s="6">
        <v>1</v>
      </c>
      <c r="C18" s="6">
        <v>111</v>
      </c>
      <c r="D18" s="6">
        <f>SUM(K151)</f>
        <v>1.3</v>
      </c>
      <c r="E18" s="6">
        <f>SUM(I226)</f>
        <v>218437.7</v>
      </c>
      <c r="F18" s="6">
        <f>ROUND(E18,0)</f>
        <v>218438.0</v>
      </c>
      <c r="G18" s="7">
        <v>218438</v>
      </c>
      <c r="H18" s="6">
        <f>(F18-G18)</f>
        <v>0.0</v>
      </c>
      <c r="I18" s="6">
        <f>SUM(J226)</f>
        <v>2752.3599999999997</v>
      </c>
      <c r="J18" s="6">
        <f>ROUND(I18,1)</f>
        <v>2752.4</v>
      </c>
      <c r="K18" s="7">
        <v>2752.4</v>
      </c>
      <c r="L18" s="6">
        <f>(J18-K18)</f>
        <v>0.0</v>
      </c>
    </row>
    <row r="19" spans="1:12" ht="23" customHeight="1">
      <c r="A19" s="6">
        <v>4</v>
      </c>
      <c r="B19" s="6">
        <v>1</v>
      </c>
      <c r="C19" s="6">
        <v>112</v>
      </c>
      <c r="D19" s="6">
        <f>SUM(K152,K153)</f>
        <v>1.3</v>
      </c>
      <c r="E19" s="6">
        <f>SUM(I227,I228)</f>
        <v>179148.65</v>
      </c>
      <c r="F19" s="6">
        <f>ROUND(E19,0)</f>
        <v>179149.0</v>
      </c>
      <c r="G19" s="7">
        <v>179149</v>
      </c>
      <c r="H19" s="6">
        <f>(F19-G19)</f>
        <v>0.0</v>
      </c>
      <c r="I19" s="6">
        <f>SUM(J227,J228)</f>
        <v>2032.495</v>
      </c>
      <c r="J19" s="6">
        <f>ROUND(I19,1)</f>
        <v>2032.5</v>
      </c>
      <c r="K19" s="7">
        <v>2032.5</v>
      </c>
      <c r="L19" s="6">
        <f>(J19-K19)</f>
        <v>0.0</v>
      </c>
    </row>
    <row r="20" spans="1:12" ht="23" customHeight="1">
      <c r="A20" s="6">
        <v>4</v>
      </c>
      <c r="B20" s="6">
        <v>1</v>
      </c>
      <c r="C20" s="6">
        <v>113</v>
      </c>
      <c r="D20" s="6">
        <f>SUM(K154)</f>
        <v>1.3</v>
      </c>
      <c r="E20" s="6">
        <f>SUM(I229)</f>
        <v>104936.0</v>
      </c>
      <c r="F20" s="6">
        <f>ROUND(E20,0)</f>
        <v>104936.0</v>
      </c>
      <c r="G20" s="7">
        <v>104936</v>
      </c>
      <c r="H20" s="6">
        <f>(F20-G20)</f>
        <v>0.0</v>
      </c>
      <c r="I20" s="6">
        <f>SUM(J229)</f>
        <v>672.75</v>
      </c>
      <c r="J20" s="6">
        <f>ROUND(I20,1)</f>
        <v>672.8</v>
      </c>
      <c r="K20" s="7">
        <v>672.8</v>
      </c>
      <c r="L20" s="6">
        <f>(J20-K20)</f>
        <v>0.0</v>
      </c>
    </row>
    <row r="21" spans="1:12" ht="23" customHeight="1">
      <c r="A21" s="6">
        <v>4</v>
      </c>
      <c r="B21" s="6">
        <v>1</v>
      </c>
      <c r="C21" s="6">
        <v>114</v>
      </c>
      <c r="D21" s="6">
        <f>SUM(K155)</f>
        <v>1.3</v>
      </c>
      <c r="E21" s="6">
        <f>SUM(I230)</f>
        <v>104936.0</v>
      </c>
      <c r="F21" s="6">
        <f>ROUND(E21,0)</f>
        <v>104936.0</v>
      </c>
      <c r="G21" s="7">
        <v>104936</v>
      </c>
      <c r="H21" s="6">
        <f>(F21-G21)</f>
        <v>0.0</v>
      </c>
      <c r="I21" s="6">
        <f>SUM(J230)</f>
        <v>672.75</v>
      </c>
      <c r="J21" s="6">
        <f>ROUND(I21,1)</f>
        <v>672.8</v>
      </c>
      <c r="K21" s="7">
        <v>672.8</v>
      </c>
      <c r="L21" s="6">
        <f>(J21-K21)</f>
        <v>0.0</v>
      </c>
    </row>
    <row r="22" spans="1:12" ht="23" customHeight="1">
      <c r="A22" s="6">
        <v>4</v>
      </c>
      <c r="B22" s="6">
        <v>1</v>
      </c>
      <c r="C22" s="6">
        <v>115</v>
      </c>
      <c r="D22" s="6">
        <f>SUM(K156)</f>
        <v>1.3</v>
      </c>
      <c r="E22" s="6">
        <f>SUM(I231)</f>
        <v>104936.0</v>
      </c>
      <c r="F22" s="6">
        <f>ROUND(E22,0)</f>
        <v>104936.0</v>
      </c>
      <c r="G22" s="7">
        <v>104936</v>
      </c>
      <c r="H22" s="6">
        <f>(F22-G22)</f>
        <v>0.0</v>
      </c>
      <c r="I22" s="6">
        <f>SUM(J231)</f>
        <v>672.75</v>
      </c>
      <c r="J22" s="6">
        <f>ROUND(I22,1)</f>
        <v>672.8</v>
      </c>
      <c r="K22" s="7">
        <v>672.8</v>
      </c>
      <c r="L22" s="6">
        <f>(J22-K22)</f>
        <v>0.0</v>
      </c>
    </row>
    <row r="23" spans="1:12" ht="23" customHeight="1">
      <c r="A23" s="6">
        <v>4</v>
      </c>
      <c r="B23" s="6">
        <v>1</v>
      </c>
      <c r="C23" s="6">
        <v>116</v>
      </c>
      <c r="D23" s="6">
        <f>SUM(K157)</f>
        <v>1.3</v>
      </c>
      <c r="E23" s="6">
        <f>SUM(I232)</f>
        <v>104936.0</v>
      </c>
      <c r="F23" s="6">
        <f>ROUND(E23,0)</f>
        <v>104936.0</v>
      </c>
      <c r="G23" s="7">
        <v>104936</v>
      </c>
      <c r="H23" s="6">
        <f>(F23-G23)</f>
        <v>0.0</v>
      </c>
      <c r="I23" s="6">
        <f>SUM(J232)</f>
        <v>672.75</v>
      </c>
      <c r="J23" s="6">
        <f>ROUND(I23,1)</f>
        <v>672.8</v>
      </c>
      <c r="K23" s="7">
        <v>672.8</v>
      </c>
      <c r="L23" s="6">
        <f>(J23-K23)</f>
        <v>0.0</v>
      </c>
    </row>
    <row r="24" spans="1:12" ht="23" customHeight="1">
      <c r="A24" s="6">
        <v>4</v>
      </c>
      <c r="B24" s="6">
        <v>1</v>
      </c>
      <c r="C24" s="6">
        <v>117</v>
      </c>
      <c r="D24" s="6">
        <f>SUM(K158)</f>
        <v>1.3</v>
      </c>
      <c r="E24" s="6">
        <f>SUM(I233)</f>
        <v>104936.0</v>
      </c>
      <c r="F24" s="6">
        <f>ROUND(E24,0)</f>
        <v>104936.0</v>
      </c>
      <c r="G24" s="7">
        <v>104936</v>
      </c>
      <c r="H24" s="6">
        <f>(F24-G24)</f>
        <v>0.0</v>
      </c>
      <c r="I24" s="6">
        <f>SUM(J233)</f>
        <v>672.75</v>
      </c>
      <c r="J24" s="6">
        <f>ROUND(I24,1)</f>
        <v>672.8</v>
      </c>
      <c r="K24" s="7">
        <v>672.8</v>
      </c>
      <c r="L24" s="6">
        <f>(J24-K24)</f>
        <v>0.0</v>
      </c>
    </row>
    <row r="25" spans="1:12" ht="23" customHeight="1">
      <c r="A25" s="6">
        <v>4</v>
      </c>
      <c r="B25" s="6">
        <v>1</v>
      </c>
      <c r="C25" s="6">
        <v>118</v>
      </c>
      <c r="D25" s="6">
        <f>SUM(K159)</f>
        <v>1.3</v>
      </c>
      <c r="E25" s="6">
        <f>SUM(I234)</f>
        <v>104936.0</v>
      </c>
      <c r="F25" s="6">
        <f>ROUND(E25,0)</f>
        <v>104936.0</v>
      </c>
      <c r="G25" s="7">
        <v>104936</v>
      </c>
      <c r="H25" s="6">
        <f>(F25-G25)</f>
        <v>0.0</v>
      </c>
      <c r="I25" s="6">
        <f>SUM(J234)</f>
        <v>672.75</v>
      </c>
      <c r="J25" s="6">
        <f>ROUND(I25,1)</f>
        <v>672.8</v>
      </c>
      <c r="K25" s="7">
        <v>672.8</v>
      </c>
      <c r="L25" s="6">
        <f>(J25-K25)</f>
        <v>0.0</v>
      </c>
    </row>
    <row r="26" spans="1:12" ht="23" customHeight="1">
      <c r="A26" s="6">
        <v>4</v>
      </c>
      <c r="B26" s="6">
        <v>1</v>
      </c>
      <c r="C26" s="6">
        <v>119</v>
      </c>
      <c r="D26" s="6">
        <f>SUM(K160)</f>
        <v>1.3</v>
      </c>
      <c r="E26" s="6">
        <f>SUM(I235)</f>
        <v>104936.0</v>
      </c>
      <c r="F26" s="6">
        <f>ROUND(E26,0)</f>
        <v>104936.0</v>
      </c>
      <c r="G26" s="7">
        <v>104936</v>
      </c>
      <c r="H26" s="6">
        <f>(F26-G26)</f>
        <v>0.0</v>
      </c>
      <c r="I26" s="6">
        <f>SUM(J235)</f>
        <v>672.75</v>
      </c>
      <c r="J26" s="6">
        <f>ROUND(I26,1)</f>
        <v>672.8</v>
      </c>
      <c r="K26" s="7">
        <v>672.8</v>
      </c>
      <c r="L26" s="6">
        <f>(J26-K26)</f>
        <v>0.0</v>
      </c>
    </row>
    <row r="27" spans="1:12" ht="23" customHeight="1">
      <c r="A27" s="6">
        <v>4</v>
      </c>
      <c r="B27" s="6">
        <v>1</v>
      </c>
      <c r="C27" s="6">
        <v>120</v>
      </c>
      <c r="D27" s="6">
        <f>SUM(K161)</f>
        <v>1.3</v>
      </c>
      <c r="E27" s="6">
        <f>SUM(I236)</f>
        <v>104936.0</v>
      </c>
      <c r="F27" s="6">
        <f>ROUND(E27,0)</f>
        <v>104936.0</v>
      </c>
      <c r="G27" s="7">
        <v>104936</v>
      </c>
      <c r="H27" s="6">
        <f>(F27-G27)</f>
        <v>0.0</v>
      </c>
      <c r="I27" s="6">
        <f>SUM(J236)</f>
        <v>672.75</v>
      </c>
      <c r="J27" s="6">
        <f>ROUND(I27,1)</f>
        <v>672.8</v>
      </c>
      <c r="K27" s="7">
        <v>672.8</v>
      </c>
      <c r="L27" s="6">
        <f>(J27-K27)</f>
        <v>0.0</v>
      </c>
    </row>
    <row r="28" spans="1:12" ht="23" customHeight="1">
      <c r="A28" s="6">
        <v>4</v>
      </c>
      <c r="B28" s="6">
        <v>1</v>
      </c>
      <c r="C28" s="6">
        <v>121</v>
      </c>
      <c r="D28" s="6">
        <f>SUM(K162)</f>
        <v>0.45</v>
      </c>
      <c r="E28" s="6">
        <f>SUM(I237)</f>
        <v>36324.0</v>
      </c>
      <c r="F28" s="6">
        <f>ROUND(E28,0)</f>
        <v>36324.0</v>
      </c>
      <c r="G28" s="7">
        <v>36324</v>
      </c>
      <c r="H28" s="6">
        <f>(F28-G28)</f>
        <v>0.0</v>
      </c>
      <c r="I28" s="6">
        <f>SUM(J237)</f>
        <v>232.875</v>
      </c>
      <c r="J28" s="6">
        <f>ROUND(I28,1)</f>
        <v>232.9</v>
      </c>
      <c r="K28" s="7">
        <v>232.9</v>
      </c>
      <c r="L28" s="6">
        <f>(J28-K28)</f>
        <v>0.0</v>
      </c>
    </row>
    <row r="29" spans="1:12" ht="23" customHeight="1">
      <c r="A29" s="6">
        <v>5</v>
      </c>
      <c r="B29" s="6">
        <v>2</v>
      </c>
      <c r="C29" s="6">
        <v>127</v>
      </c>
      <c r="D29" s="6">
        <f>SUM(K163,K164)</f>
        <v>0.905</v>
      </c>
      <c r="E29" s="6">
        <f>SUM(I238,I239)</f>
        <v>34419.005000000005</v>
      </c>
      <c r="F29" s="6">
        <f>ROUND(E29,0)</f>
        <v>34419.0</v>
      </c>
      <c r="G29" s="7">
        <v>34419</v>
      </c>
      <c r="H29" s="6">
        <f>(F29-G29)</f>
        <v>0.0</v>
      </c>
      <c r="I29" s="6">
        <f>SUM(J238,J239)</f>
        <v>289.13</v>
      </c>
      <c r="J29" s="6">
        <f>ROUND(I29,1)</f>
        <v>289.1</v>
      </c>
      <c r="K29" s="7">
        <v>289.1</v>
      </c>
      <c r="L29" s="6">
        <f>(J29-K29)</f>
        <v>0.0</v>
      </c>
    </row>
    <row r="30" spans="1:12" ht="23" customHeight="1">
      <c r="A30" s="6">
        <v>5</v>
      </c>
      <c r="B30" s="6">
        <v>2</v>
      </c>
      <c r="C30" s="6">
        <v>128</v>
      </c>
      <c r="D30" s="6">
        <f>SUM(K165)</f>
        <v>1.3</v>
      </c>
      <c r="E30" s="6">
        <f>SUM(I240)</f>
        <v>97084.0</v>
      </c>
      <c r="F30" s="6">
        <f>ROUND(E30,0)</f>
        <v>97084.0</v>
      </c>
      <c r="G30" s="7">
        <v>97084</v>
      </c>
      <c r="H30" s="6">
        <f>(F30-G30)</f>
        <v>0.0</v>
      </c>
      <c r="I30" s="6">
        <f>SUM(J240)</f>
        <v>1223.3</v>
      </c>
      <c r="J30" s="6">
        <f>ROUND(I30,1)</f>
        <v>1223.3</v>
      </c>
      <c r="K30" s="7">
        <v>1223.3</v>
      </c>
      <c r="L30" s="6">
        <f>(J30-K30)</f>
        <v>0.0</v>
      </c>
    </row>
    <row r="31" spans="1:12" ht="23" customHeight="1">
      <c r="A31" s="6">
        <v>5</v>
      </c>
      <c r="B31" s="6">
        <v>2</v>
      </c>
      <c r="C31" s="6">
        <v>129</v>
      </c>
      <c r="D31" s="6">
        <f>SUM(K166,K167)</f>
        <v>1.2999999999999998</v>
      </c>
      <c r="E31" s="6">
        <f>SUM(I241,I242)</f>
        <v>103755.7</v>
      </c>
      <c r="F31" s="6">
        <f>ROUND(E31,0)</f>
        <v>103756.0</v>
      </c>
      <c r="G31" s="7">
        <v>103756</v>
      </c>
      <c r="H31" s="6">
        <f>(F31-G31)</f>
        <v>0.0</v>
      </c>
      <c r="I31" s="6">
        <f>SUM(J241,J242)</f>
        <v>1196.2399999999998</v>
      </c>
      <c r="J31" s="6">
        <f>ROUND(I31,1)</f>
        <v>1196.2</v>
      </c>
      <c r="K31" s="7">
        <v>1196.2</v>
      </c>
      <c r="L31" s="6">
        <f>(J31-K31)</f>
        <v>0.0</v>
      </c>
    </row>
    <row r="32" spans="1:12" ht="23" customHeight="1">
      <c r="A32" s="6">
        <v>5</v>
      </c>
      <c r="B32" s="6">
        <v>2</v>
      </c>
      <c r="C32" s="6">
        <v>130</v>
      </c>
      <c r="D32" s="6">
        <f>SUM(K168,K169)</f>
        <v>1.3</v>
      </c>
      <c r="E32" s="6">
        <f>SUM(I243,I244)</f>
        <v>148838.1</v>
      </c>
      <c r="F32" s="6">
        <f>ROUND(E32,0)</f>
        <v>148838.0</v>
      </c>
      <c r="G32" s="7">
        <v>148838</v>
      </c>
      <c r="H32" s="6">
        <f>(F32-G32)</f>
        <v>0.0</v>
      </c>
      <c r="I32" s="6">
        <f>SUM(J243,J244)</f>
        <v>1542.0449999999998</v>
      </c>
      <c r="J32" s="6">
        <f>ROUND(I32,1)</f>
        <v>1542.0</v>
      </c>
      <c r="K32" s="7">
        <v>1542</v>
      </c>
      <c r="L32" s="6">
        <f>(J32-K32)</f>
        <v>0.0</v>
      </c>
    </row>
    <row r="33" spans="1:12" ht="23" customHeight="1">
      <c r="A33" s="6">
        <v>5</v>
      </c>
      <c r="B33" s="6">
        <v>2</v>
      </c>
      <c r="C33" s="6">
        <v>131</v>
      </c>
      <c r="D33" s="6">
        <f>SUM(K170)</f>
        <v>1.3</v>
      </c>
      <c r="E33" s="6">
        <f>SUM(I245)</f>
        <v>145626.0</v>
      </c>
      <c r="F33" s="6">
        <f>ROUND(E33,0)</f>
        <v>145626.0</v>
      </c>
      <c r="G33" s="7">
        <v>145626</v>
      </c>
      <c r="H33" s="6">
        <f>(F33-G33)</f>
        <v>0.0</v>
      </c>
      <c r="I33" s="6">
        <f>SUM(J245)</f>
        <v>1834.95</v>
      </c>
      <c r="J33" s="6">
        <f>ROUND(I33,1)</f>
        <v>1835.0</v>
      </c>
      <c r="K33" s="7">
        <v>1835</v>
      </c>
      <c r="L33" s="6">
        <f>(J33-K33)</f>
        <v>0.0</v>
      </c>
    </row>
    <row r="34" spans="1:12" ht="23" customHeight="1">
      <c r="A34" s="6">
        <v>5</v>
      </c>
      <c r="B34" s="6">
        <v>2</v>
      </c>
      <c r="C34" s="6">
        <v>132</v>
      </c>
      <c r="D34" s="6">
        <f>SUM(K171)</f>
        <v>1.3</v>
      </c>
      <c r="E34" s="6">
        <f>SUM(I246)</f>
        <v>145626.0</v>
      </c>
      <c r="F34" s="6">
        <f>ROUND(E34,0)</f>
        <v>145626.0</v>
      </c>
      <c r="G34" s="7">
        <v>145626</v>
      </c>
      <c r="H34" s="6">
        <f>(F34-G34)</f>
        <v>0.0</v>
      </c>
      <c r="I34" s="6">
        <f>SUM(J246)</f>
        <v>1834.95</v>
      </c>
      <c r="J34" s="6">
        <f>ROUND(I34,1)</f>
        <v>1835.0</v>
      </c>
      <c r="K34" s="7">
        <v>1835</v>
      </c>
      <c r="L34" s="6">
        <f>(J34-K34)</f>
        <v>0.0</v>
      </c>
    </row>
    <row r="35" spans="1:12" ht="23" customHeight="1">
      <c r="A35" s="6">
        <v>5</v>
      </c>
      <c r="B35" s="6">
        <v>2</v>
      </c>
      <c r="C35" s="6">
        <v>133</v>
      </c>
      <c r="D35" s="6">
        <f>SUM(K172)</f>
        <v>1.3</v>
      </c>
      <c r="E35" s="6">
        <f>SUM(I247)</f>
        <v>145626.0</v>
      </c>
      <c r="F35" s="6">
        <f>ROUND(E35,0)</f>
        <v>145626.0</v>
      </c>
      <c r="G35" s="7">
        <v>145626</v>
      </c>
      <c r="H35" s="6">
        <f>(F35-G35)</f>
        <v>0.0</v>
      </c>
      <c r="I35" s="6">
        <f>SUM(J247)</f>
        <v>1834.95</v>
      </c>
      <c r="J35" s="6">
        <f>ROUND(I35,1)</f>
        <v>1835.0</v>
      </c>
      <c r="K35" s="7">
        <v>1835</v>
      </c>
      <c r="L35" s="6">
        <f>(J35-K35)</f>
        <v>0.0</v>
      </c>
    </row>
    <row r="36" spans="1:12" ht="23" customHeight="1">
      <c r="A36" s="6">
        <v>5</v>
      </c>
      <c r="B36" s="6">
        <v>2</v>
      </c>
      <c r="C36" s="6">
        <v>134</v>
      </c>
      <c r="D36" s="6">
        <f>SUM(K173)</f>
        <v>1.3</v>
      </c>
      <c r="E36" s="6">
        <f>SUM(I248)</f>
        <v>145626.0</v>
      </c>
      <c r="F36" s="6">
        <f>ROUND(E36,0)</f>
        <v>145626.0</v>
      </c>
      <c r="G36" s="7">
        <v>145626</v>
      </c>
      <c r="H36" s="6">
        <f>(F36-G36)</f>
        <v>0.0</v>
      </c>
      <c r="I36" s="6">
        <f>SUM(J248)</f>
        <v>1834.95</v>
      </c>
      <c r="J36" s="6">
        <f>ROUND(I36,1)</f>
        <v>1835.0</v>
      </c>
      <c r="K36" s="7">
        <v>1835</v>
      </c>
      <c r="L36" s="6">
        <f>(J36-K36)</f>
        <v>0.0</v>
      </c>
    </row>
    <row r="37" spans="1:12" ht="23" customHeight="1">
      <c r="A37" s="6">
        <v>5</v>
      </c>
      <c r="B37" s="6">
        <v>2</v>
      </c>
      <c r="C37" s="6">
        <v>135</v>
      </c>
      <c r="D37" s="6">
        <f>SUM(K174)</f>
        <v>1.3</v>
      </c>
      <c r="E37" s="6">
        <f>SUM(I249)</f>
        <v>145626.0</v>
      </c>
      <c r="F37" s="6">
        <f>ROUND(E37,0)</f>
        <v>145626.0</v>
      </c>
      <c r="G37" s="7">
        <v>145626</v>
      </c>
      <c r="H37" s="6">
        <f>(F37-G37)</f>
        <v>0.0</v>
      </c>
      <c r="I37" s="6">
        <f>SUM(J249)</f>
        <v>1834.95</v>
      </c>
      <c r="J37" s="6">
        <f>ROUND(I37,1)</f>
        <v>1835.0</v>
      </c>
      <c r="K37" s="7">
        <v>1835</v>
      </c>
      <c r="L37" s="6">
        <f>(J37-K37)</f>
        <v>0.0</v>
      </c>
    </row>
    <row r="38" spans="1:12" ht="23" customHeight="1">
      <c r="A38" s="6">
        <v>5</v>
      </c>
      <c r="B38" s="6">
        <v>2</v>
      </c>
      <c r="C38" s="6">
        <v>136</v>
      </c>
      <c r="D38" s="6">
        <f>SUM(K175)</f>
        <v>1.3</v>
      </c>
      <c r="E38" s="6">
        <f>SUM(I250)</f>
        <v>145626.0</v>
      </c>
      <c r="F38" s="6">
        <f>ROUND(E38,0)</f>
        <v>145626.0</v>
      </c>
      <c r="G38" s="7">
        <v>145626</v>
      </c>
      <c r="H38" s="6">
        <f>(F38-G38)</f>
        <v>0.0</v>
      </c>
      <c r="I38" s="6">
        <f>SUM(J250)</f>
        <v>1834.95</v>
      </c>
      <c r="J38" s="6">
        <f>ROUND(I38,1)</f>
        <v>1835.0</v>
      </c>
      <c r="K38" s="7">
        <v>1835</v>
      </c>
      <c r="L38" s="6">
        <f>(J38-K38)</f>
        <v>0.0</v>
      </c>
    </row>
    <row r="39" spans="1:12" ht="23" customHeight="1">
      <c r="A39" s="6">
        <v>5</v>
      </c>
      <c r="B39" s="6">
        <v>2</v>
      </c>
      <c r="C39" s="6">
        <v>137</v>
      </c>
      <c r="D39" s="6">
        <f>SUM(K176,K177)</f>
        <v>1.3</v>
      </c>
      <c r="E39" s="6">
        <f>SUM(I251,I252)</f>
        <v>119432.85</v>
      </c>
      <c r="F39" s="6">
        <f>ROUND(E39,0)</f>
        <v>119433.0</v>
      </c>
      <c r="G39" s="7">
        <v>119433</v>
      </c>
      <c r="H39" s="6">
        <f>(F39-G39)</f>
        <v>0.0</v>
      </c>
      <c r="I39" s="6">
        <f>SUM(J251,J252)</f>
        <v>1355.0249999999999</v>
      </c>
      <c r="J39" s="6">
        <f>ROUND(I39,1)</f>
        <v>1355.0</v>
      </c>
      <c r="K39" s="7">
        <v>1355</v>
      </c>
      <c r="L39" s="6">
        <f>(J39-K39)</f>
        <v>0.0</v>
      </c>
    </row>
    <row r="40" spans="1:12" ht="23" customHeight="1">
      <c r="A40" s="6">
        <v>5</v>
      </c>
      <c r="B40" s="6">
        <v>2</v>
      </c>
      <c r="C40" s="6">
        <v>138</v>
      </c>
      <c r="D40" s="6">
        <f>SUM(K178)</f>
        <v>1.3</v>
      </c>
      <c r="E40" s="6">
        <f>SUM(I253)</f>
        <v>69956.90000000001</v>
      </c>
      <c r="F40" s="6">
        <f>ROUND(E40,0)</f>
        <v>69957.0</v>
      </c>
      <c r="G40" s="7">
        <v>69957</v>
      </c>
      <c r="H40" s="6">
        <f>(F40-G40)</f>
        <v>0.0</v>
      </c>
      <c r="I40" s="6">
        <f>SUM(J253)</f>
        <v>448.5</v>
      </c>
      <c r="J40" s="6">
        <f>ROUND(I40,1)</f>
        <v>448.5</v>
      </c>
      <c r="K40" s="7">
        <v>448.5</v>
      </c>
      <c r="L40" s="6">
        <f>(J40-K40)</f>
        <v>0.0</v>
      </c>
    </row>
    <row r="41" spans="1:12" ht="23" customHeight="1">
      <c r="A41" s="6">
        <v>5</v>
      </c>
      <c r="B41" s="6">
        <v>2</v>
      </c>
      <c r="C41" s="6">
        <v>139</v>
      </c>
      <c r="D41" s="6">
        <f>SUM(K179)</f>
        <v>1.3</v>
      </c>
      <c r="E41" s="6">
        <f>SUM(I254)</f>
        <v>69956.90000000001</v>
      </c>
      <c r="F41" s="6">
        <f>ROUND(E41,0)</f>
        <v>69957.0</v>
      </c>
      <c r="G41" s="7">
        <v>69957</v>
      </c>
      <c r="H41" s="6">
        <f>(F41-G41)</f>
        <v>0.0</v>
      </c>
      <c r="I41" s="6">
        <f>SUM(J254)</f>
        <v>448.5</v>
      </c>
      <c r="J41" s="6">
        <f>ROUND(I41,1)</f>
        <v>448.5</v>
      </c>
      <c r="K41" s="7">
        <v>448.5</v>
      </c>
      <c r="L41" s="6">
        <f>(J41-K41)</f>
        <v>0.0</v>
      </c>
    </row>
    <row r="42" spans="1:12" ht="23" customHeight="1">
      <c r="A42" s="6">
        <v>5</v>
      </c>
      <c r="B42" s="6">
        <v>2</v>
      </c>
      <c r="C42" s="6">
        <v>140</v>
      </c>
      <c r="D42" s="6">
        <f>SUM(K180)</f>
        <v>1.3</v>
      </c>
      <c r="E42" s="6">
        <f>SUM(I255)</f>
        <v>69956.90000000001</v>
      </c>
      <c r="F42" s="6">
        <f>ROUND(E42,0)</f>
        <v>69957.0</v>
      </c>
      <c r="G42" s="7">
        <v>69957</v>
      </c>
      <c r="H42" s="6">
        <f>(F42-G42)</f>
        <v>0.0</v>
      </c>
      <c r="I42" s="6">
        <f>SUM(J255)</f>
        <v>448.5</v>
      </c>
      <c r="J42" s="6">
        <f>ROUND(I42,1)</f>
        <v>448.5</v>
      </c>
      <c r="K42" s="7">
        <v>448.5</v>
      </c>
      <c r="L42" s="6">
        <f>(J42-K42)</f>
        <v>0.0</v>
      </c>
    </row>
    <row r="43" spans="1:12" ht="23" customHeight="1">
      <c r="A43" s="6">
        <v>5</v>
      </c>
      <c r="B43" s="6">
        <v>2</v>
      </c>
      <c r="C43" s="6">
        <v>141</v>
      </c>
      <c r="D43" s="6">
        <f>SUM(K181)</f>
        <v>1.3</v>
      </c>
      <c r="E43" s="6">
        <f>SUM(I256)</f>
        <v>69956.90000000001</v>
      </c>
      <c r="F43" s="6">
        <f>ROUND(E43,0)</f>
        <v>69957.0</v>
      </c>
      <c r="G43" s="7">
        <v>69957</v>
      </c>
      <c r="H43" s="6">
        <f>(F43-G43)</f>
        <v>0.0</v>
      </c>
      <c r="I43" s="6">
        <f>SUM(J256)</f>
        <v>448.5</v>
      </c>
      <c r="J43" s="6">
        <f>ROUND(I43,1)</f>
        <v>448.5</v>
      </c>
      <c r="K43" s="7">
        <v>448.5</v>
      </c>
      <c r="L43" s="6">
        <f>(J43-K43)</f>
        <v>0.0</v>
      </c>
    </row>
    <row r="44" spans="1:12" ht="23" customHeight="1">
      <c r="A44" s="6">
        <v>5</v>
      </c>
      <c r="B44" s="6">
        <v>2</v>
      </c>
      <c r="C44" s="6">
        <v>142</v>
      </c>
      <c r="D44" s="6">
        <f>SUM(K182)</f>
        <v>1.3</v>
      </c>
      <c r="E44" s="6">
        <f>SUM(I257)</f>
        <v>69956.90000000001</v>
      </c>
      <c r="F44" s="6">
        <f>ROUND(E44,0)</f>
        <v>69957.0</v>
      </c>
      <c r="G44" s="7">
        <v>69957</v>
      </c>
      <c r="H44" s="6">
        <f>(F44-G44)</f>
        <v>0.0</v>
      </c>
      <c r="I44" s="6">
        <f>SUM(J257)</f>
        <v>448.5</v>
      </c>
      <c r="J44" s="6">
        <f>ROUND(I44,1)</f>
        <v>448.5</v>
      </c>
      <c r="K44" s="7">
        <v>448.5</v>
      </c>
      <c r="L44" s="6">
        <f>(J44-K44)</f>
        <v>0.0</v>
      </c>
    </row>
    <row r="45" spans="1:12" ht="23" customHeight="1">
      <c r="A45" s="6">
        <v>5</v>
      </c>
      <c r="B45" s="6">
        <v>2</v>
      </c>
      <c r="C45" s="6">
        <v>143</v>
      </c>
      <c r="D45" s="6">
        <f>SUM(K183)</f>
        <v>1.3</v>
      </c>
      <c r="E45" s="6">
        <f>SUM(I258)</f>
        <v>69956.90000000001</v>
      </c>
      <c r="F45" s="6">
        <f>ROUND(E45,0)</f>
        <v>69957.0</v>
      </c>
      <c r="G45" s="7">
        <v>69957</v>
      </c>
      <c r="H45" s="6">
        <f>(F45-G45)</f>
        <v>0.0</v>
      </c>
      <c r="I45" s="6">
        <f>SUM(J258)</f>
        <v>448.5</v>
      </c>
      <c r="J45" s="6">
        <f>ROUND(I45,1)</f>
        <v>448.5</v>
      </c>
      <c r="K45" s="7">
        <v>448.5</v>
      </c>
      <c r="L45" s="6">
        <f>(J45-K45)</f>
        <v>0.0</v>
      </c>
    </row>
    <row r="46" spans="1:12" ht="23" customHeight="1">
      <c r="A46" s="6">
        <v>5</v>
      </c>
      <c r="B46" s="6">
        <v>2</v>
      </c>
      <c r="C46" s="6">
        <v>144</v>
      </c>
      <c r="D46" s="6">
        <f>SUM(K184)</f>
        <v>1.3</v>
      </c>
      <c r="E46" s="6">
        <f>SUM(I259)</f>
        <v>69956.90000000001</v>
      </c>
      <c r="F46" s="6">
        <f>ROUND(E46,0)</f>
        <v>69957.0</v>
      </c>
      <c r="G46" s="7">
        <v>69957</v>
      </c>
      <c r="H46" s="6">
        <f>(F46-G46)</f>
        <v>0.0</v>
      </c>
      <c r="I46" s="6">
        <f>SUM(J259)</f>
        <v>448.5</v>
      </c>
      <c r="J46" s="6">
        <f>ROUND(I46,1)</f>
        <v>448.5</v>
      </c>
      <c r="K46" s="7">
        <v>448.5</v>
      </c>
      <c r="L46" s="6">
        <f>(J46-K46)</f>
        <v>0.0</v>
      </c>
    </row>
    <row r="47" spans="1:12" ht="23" customHeight="1">
      <c r="A47" s="6">
        <v>5</v>
      </c>
      <c r="B47" s="6">
        <v>2</v>
      </c>
      <c r="C47" s="6">
        <v>145</v>
      </c>
      <c r="D47" s="6">
        <f>SUM(K185)</f>
        <v>1.3</v>
      </c>
      <c r="E47" s="6">
        <f>SUM(I260)</f>
        <v>69956.90000000001</v>
      </c>
      <c r="F47" s="6">
        <f>ROUND(E47,0)</f>
        <v>69957.0</v>
      </c>
      <c r="G47" s="7">
        <v>69957</v>
      </c>
      <c r="H47" s="6">
        <f>(F47-G47)</f>
        <v>0.0</v>
      </c>
      <c r="I47" s="6">
        <f>SUM(J260)</f>
        <v>448.5</v>
      </c>
      <c r="J47" s="6">
        <f>ROUND(I47,1)</f>
        <v>448.5</v>
      </c>
      <c r="K47" s="7">
        <v>448.5</v>
      </c>
      <c r="L47" s="6">
        <f>(J47-K47)</f>
        <v>0.0</v>
      </c>
    </row>
    <row r="48" spans="1:12" ht="23" customHeight="1">
      <c r="A48" s="6">
        <v>5</v>
      </c>
      <c r="B48" s="6">
        <v>2</v>
      </c>
      <c r="C48" s="6">
        <v>146</v>
      </c>
      <c r="D48" s="6">
        <f>SUM(K186)</f>
        <v>0.45</v>
      </c>
      <c r="E48" s="6">
        <f>SUM(I261)</f>
        <v>24215.850000000002</v>
      </c>
      <c r="F48" s="6">
        <f>ROUND(E48,0)</f>
        <v>24216.0</v>
      </c>
      <c r="G48" s="7">
        <v>24216</v>
      </c>
      <c r="H48" s="6">
        <f>(F48-G48)</f>
        <v>0.0</v>
      </c>
      <c r="I48" s="6">
        <f>SUM(J261)</f>
        <v>155.25</v>
      </c>
      <c r="J48" s="6">
        <f>ROUND(I48,1)</f>
        <v>155.3</v>
      </c>
      <c r="K48" s="7">
        <v>155.3</v>
      </c>
      <c r="L48" s="6">
        <f>(J48-K48)</f>
        <v>0.0</v>
      </c>
    </row>
    <row r="49" spans="1:12" ht="23" customHeight="1">
      <c r="A49" s="6">
        <v>6</v>
      </c>
      <c r="B49" s="6">
        <v>3</v>
      </c>
      <c r="C49" s="6">
        <v>152</v>
      </c>
      <c r="D49" s="6">
        <f>SUM(K187,K188)</f>
        <v>0.905</v>
      </c>
      <c r="E49" s="6">
        <f>SUM(I262,I263)</f>
        <v>51628.885</v>
      </c>
      <c r="F49" s="6">
        <f>ROUND(E49,0)</f>
        <v>51629.0</v>
      </c>
      <c r="G49" s="7">
        <v>51629</v>
      </c>
      <c r="H49" s="6">
        <f>(F49-G49)</f>
        <v>0.0</v>
      </c>
      <c r="I49" s="6">
        <f>SUM(J262,J263)</f>
        <v>433.7705</v>
      </c>
      <c r="J49" s="6">
        <f>ROUND(I49,1)</f>
        <v>433.8</v>
      </c>
      <c r="K49" s="7">
        <v>433.8</v>
      </c>
      <c r="L49" s="6">
        <f>(J49-K49)</f>
        <v>0.0</v>
      </c>
    </row>
    <row r="50" spans="1:12" ht="23" customHeight="1">
      <c r="A50" s="6">
        <v>6</v>
      </c>
      <c r="B50" s="6">
        <v>3</v>
      </c>
      <c r="C50" s="6">
        <v>153</v>
      </c>
      <c r="D50" s="6">
        <f>SUM(K189)</f>
        <v>1.3</v>
      </c>
      <c r="E50" s="6">
        <f>SUM(I264)</f>
        <v>145626.0</v>
      </c>
      <c r="F50" s="6">
        <f>ROUND(E50,0)</f>
        <v>145626.0</v>
      </c>
      <c r="G50" s="7">
        <v>145626</v>
      </c>
      <c r="H50" s="6">
        <f>(F50-G50)</f>
        <v>0.0</v>
      </c>
      <c r="I50" s="6">
        <f>SUM(J264)</f>
        <v>1834.95</v>
      </c>
      <c r="J50" s="6">
        <f>ROUND(I50,1)</f>
        <v>1835.0</v>
      </c>
      <c r="K50" s="7">
        <v>1835</v>
      </c>
      <c r="L50" s="6">
        <f>(J50-K50)</f>
        <v>0.0</v>
      </c>
    </row>
    <row r="51" spans="1:12" ht="23" customHeight="1">
      <c r="A51" s="6">
        <v>6</v>
      </c>
      <c r="B51" s="6">
        <v>3</v>
      </c>
      <c r="C51" s="6">
        <v>154</v>
      </c>
      <c r="D51" s="6">
        <f>SUM(K190,K191)</f>
        <v>1.2999999999999998</v>
      </c>
      <c r="E51" s="6">
        <f>SUM(I265,I266)</f>
        <v>155633.69999999998</v>
      </c>
      <c r="F51" s="6">
        <f>ROUND(E51,0)</f>
        <v>155634.0</v>
      </c>
      <c r="G51" s="7">
        <v>155634</v>
      </c>
      <c r="H51" s="6">
        <f>(F51-G51)</f>
        <v>0.0</v>
      </c>
      <c r="I51" s="6">
        <f>SUM(J265,J266)</f>
        <v>1794.36</v>
      </c>
      <c r="J51" s="6">
        <f>ROUND(I51,1)</f>
        <v>1794.4</v>
      </c>
      <c r="K51" s="7">
        <v>1794.4</v>
      </c>
      <c r="L51" s="6">
        <f>(J51-K51)</f>
        <v>0.0</v>
      </c>
    </row>
    <row r="52" spans="1:12" ht="23" customHeight="1">
      <c r="A52" s="6">
        <v>6</v>
      </c>
      <c r="B52" s="6">
        <v>3</v>
      </c>
      <c r="C52" s="6">
        <v>155</v>
      </c>
      <c r="D52" s="6">
        <f>SUM(K192,K193)</f>
        <v>1.3</v>
      </c>
      <c r="E52" s="6">
        <f>SUM(I267,I268)</f>
        <v>223256.75</v>
      </c>
      <c r="F52" s="6">
        <f>ROUND(E52,0)</f>
        <v>223257.0</v>
      </c>
      <c r="G52" s="7">
        <v>223257</v>
      </c>
      <c r="H52" s="6">
        <f>(F52-G52)</f>
        <v>0.0</v>
      </c>
      <c r="I52" s="6">
        <f>SUM(J267,J268)</f>
        <v>2313.025</v>
      </c>
      <c r="J52" s="6">
        <f>ROUND(I52,1)</f>
        <v>2313.0</v>
      </c>
      <c r="K52" s="7">
        <v>2313</v>
      </c>
      <c r="L52" s="6">
        <f>(J52-K52)</f>
        <v>0.0</v>
      </c>
    </row>
    <row r="53" spans="1:12" ht="23" customHeight="1">
      <c r="A53" s="6">
        <v>6</v>
      </c>
      <c r="B53" s="6">
        <v>3</v>
      </c>
      <c r="C53" s="6">
        <v>156</v>
      </c>
      <c r="D53" s="6">
        <f>SUM(K194)</f>
        <v>1.3</v>
      </c>
      <c r="E53" s="6">
        <f>SUM(I269)</f>
        <v>218437.7</v>
      </c>
      <c r="F53" s="6">
        <f>ROUND(E53,0)</f>
        <v>218438.0</v>
      </c>
      <c r="G53" s="7">
        <v>218438</v>
      </c>
      <c r="H53" s="6">
        <f>(F53-G53)</f>
        <v>0.0</v>
      </c>
      <c r="I53" s="6">
        <f>SUM(J269)</f>
        <v>2752.3599999999997</v>
      </c>
      <c r="J53" s="6">
        <f>ROUND(I53,1)</f>
        <v>2752.4</v>
      </c>
      <c r="K53" s="7">
        <v>2752.4</v>
      </c>
      <c r="L53" s="6">
        <f>(J53-K53)</f>
        <v>0.0</v>
      </c>
    </row>
    <row r="54" spans="1:12" ht="23" customHeight="1">
      <c r="A54" s="6">
        <v>6</v>
      </c>
      <c r="B54" s="6">
        <v>3</v>
      </c>
      <c r="C54" s="6">
        <v>157</v>
      </c>
      <c r="D54" s="6">
        <f>SUM(K195)</f>
        <v>1.3</v>
      </c>
      <c r="E54" s="6">
        <f>SUM(I270)</f>
        <v>218437.7</v>
      </c>
      <c r="F54" s="6">
        <f>ROUND(E54,0)</f>
        <v>218438.0</v>
      </c>
      <c r="G54" s="7">
        <v>218438</v>
      </c>
      <c r="H54" s="6">
        <f>(F54-G54)</f>
        <v>0.0</v>
      </c>
      <c r="I54" s="6">
        <f>SUM(J270)</f>
        <v>2752.3599999999997</v>
      </c>
      <c r="J54" s="6">
        <f>ROUND(I54,1)</f>
        <v>2752.4</v>
      </c>
      <c r="K54" s="7">
        <v>2752.4</v>
      </c>
      <c r="L54" s="6">
        <f>(J54-K54)</f>
        <v>0.0</v>
      </c>
    </row>
    <row r="55" spans="1:12" ht="23" customHeight="1">
      <c r="A55" s="6">
        <v>6</v>
      </c>
      <c r="B55" s="6">
        <v>3</v>
      </c>
      <c r="C55" s="6">
        <v>158</v>
      </c>
      <c r="D55" s="6">
        <f>SUM(K196)</f>
        <v>1.3</v>
      </c>
      <c r="E55" s="6">
        <f>SUM(I271)</f>
        <v>218437.7</v>
      </c>
      <c r="F55" s="6">
        <f>ROUND(E55,0)</f>
        <v>218438.0</v>
      </c>
      <c r="G55" s="7">
        <v>218438</v>
      </c>
      <c r="H55" s="6">
        <f>(F55-G55)</f>
        <v>0.0</v>
      </c>
      <c r="I55" s="6">
        <f>SUM(J271)</f>
        <v>2752.3599999999997</v>
      </c>
      <c r="J55" s="6">
        <f>ROUND(I55,1)</f>
        <v>2752.4</v>
      </c>
      <c r="K55" s="7">
        <v>2752.4</v>
      </c>
      <c r="L55" s="6">
        <f>(J55-K55)</f>
        <v>0.0</v>
      </c>
    </row>
    <row r="56" spans="1:12" ht="23" customHeight="1">
      <c r="A56" s="6">
        <v>6</v>
      </c>
      <c r="B56" s="6">
        <v>3</v>
      </c>
      <c r="C56" s="6">
        <v>159</v>
      </c>
      <c r="D56" s="6">
        <f>SUM(K197)</f>
        <v>1.3</v>
      </c>
      <c r="E56" s="6">
        <f>SUM(I272)</f>
        <v>218437.7</v>
      </c>
      <c r="F56" s="6">
        <f>ROUND(E56,0)</f>
        <v>218438.0</v>
      </c>
      <c r="G56" s="7">
        <v>218438</v>
      </c>
      <c r="H56" s="6">
        <f>(F56-G56)</f>
        <v>0.0</v>
      </c>
      <c r="I56" s="6">
        <f>SUM(J272)</f>
        <v>2752.3599999999997</v>
      </c>
      <c r="J56" s="6">
        <f>ROUND(I56,1)</f>
        <v>2752.4</v>
      </c>
      <c r="K56" s="7">
        <v>2752.4</v>
      </c>
      <c r="L56" s="6">
        <f>(J56-K56)</f>
        <v>0.0</v>
      </c>
    </row>
    <row r="57" spans="1:12" ht="23" customHeight="1">
      <c r="A57" s="6">
        <v>6</v>
      </c>
      <c r="B57" s="6">
        <v>3</v>
      </c>
      <c r="C57" s="6">
        <v>160</v>
      </c>
      <c r="D57" s="6">
        <f>SUM(K198)</f>
        <v>1.3</v>
      </c>
      <c r="E57" s="6">
        <f>SUM(I273)</f>
        <v>218437.7</v>
      </c>
      <c r="F57" s="6">
        <f>ROUND(E57,0)</f>
        <v>218438.0</v>
      </c>
      <c r="G57" s="7">
        <v>218438</v>
      </c>
      <c r="H57" s="6">
        <f>(F57-G57)</f>
        <v>0.0</v>
      </c>
      <c r="I57" s="6">
        <f>SUM(J273)</f>
        <v>2752.3599999999997</v>
      </c>
      <c r="J57" s="6">
        <f>ROUND(I57,1)</f>
        <v>2752.4</v>
      </c>
      <c r="K57" s="7">
        <v>2752.4</v>
      </c>
      <c r="L57" s="6">
        <f>(J57-K57)</f>
        <v>0.0</v>
      </c>
    </row>
    <row r="58" spans="1:12" ht="23" customHeight="1">
      <c r="A58" s="6">
        <v>6</v>
      </c>
      <c r="B58" s="6">
        <v>3</v>
      </c>
      <c r="C58" s="6">
        <v>161</v>
      </c>
      <c r="D58" s="6">
        <f>SUM(K199)</f>
        <v>1.3</v>
      </c>
      <c r="E58" s="6">
        <f>SUM(I274)</f>
        <v>218437.7</v>
      </c>
      <c r="F58" s="6">
        <f>ROUND(E58,0)</f>
        <v>218438.0</v>
      </c>
      <c r="G58" s="7">
        <v>218438</v>
      </c>
      <c r="H58" s="6">
        <f>(F58-G58)</f>
        <v>0.0</v>
      </c>
      <c r="I58" s="6">
        <f>SUM(J274)</f>
        <v>2752.3599999999997</v>
      </c>
      <c r="J58" s="6">
        <f>ROUND(I58,1)</f>
        <v>2752.4</v>
      </c>
      <c r="K58" s="7">
        <v>2752.4</v>
      </c>
      <c r="L58" s="6">
        <f>(J58-K58)</f>
        <v>0.0</v>
      </c>
    </row>
    <row r="59" spans="1:12" ht="23" customHeight="1">
      <c r="A59" s="6">
        <v>6</v>
      </c>
      <c r="B59" s="6">
        <v>3</v>
      </c>
      <c r="C59" s="6">
        <v>162</v>
      </c>
      <c r="D59" s="6">
        <f>SUM(K200,K201)</f>
        <v>1.3</v>
      </c>
      <c r="E59" s="6">
        <f>SUM(I275,I276)</f>
        <v>179148.65</v>
      </c>
      <c r="F59" s="6">
        <f>ROUND(E59,0)</f>
        <v>179149.0</v>
      </c>
      <c r="G59" s="7">
        <v>179149</v>
      </c>
      <c r="H59" s="6">
        <f>(F59-G59)</f>
        <v>0.0</v>
      </c>
      <c r="I59" s="6">
        <f>SUM(J275,J276)</f>
        <v>2032.495</v>
      </c>
      <c r="J59" s="6">
        <f>ROUND(I59,1)</f>
        <v>2032.5</v>
      </c>
      <c r="K59" s="7">
        <v>2032.5</v>
      </c>
      <c r="L59" s="6">
        <f>(J59-K59)</f>
        <v>0.0</v>
      </c>
    </row>
    <row r="60" spans="1:12" ht="23" customHeight="1">
      <c r="A60" s="6">
        <v>6</v>
      </c>
      <c r="B60" s="6">
        <v>3</v>
      </c>
      <c r="C60" s="6">
        <v>163</v>
      </c>
      <c r="D60" s="6">
        <f>SUM(K202)</f>
        <v>1.3</v>
      </c>
      <c r="E60" s="6">
        <f>SUM(I277)</f>
        <v>104936.0</v>
      </c>
      <c r="F60" s="6">
        <f>ROUND(E60,0)</f>
        <v>104936.0</v>
      </c>
      <c r="G60" s="7">
        <v>104936</v>
      </c>
      <c r="H60" s="6">
        <f>(F60-G60)</f>
        <v>0.0</v>
      </c>
      <c r="I60" s="6">
        <f>SUM(J277)</f>
        <v>672.75</v>
      </c>
      <c r="J60" s="6">
        <f>ROUND(I60,1)</f>
        <v>672.8</v>
      </c>
      <c r="K60" s="7">
        <v>672.8</v>
      </c>
      <c r="L60" s="6">
        <f>(J60-K60)</f>
        <v>0.0</v>
      </c>
    </row>
    <row r="61" spans="1:12" ht="23" customHeight="1">
      <c r="A61" s="6">
        <v>6</v>
      </c>
      <c r="B61" s="6">
        <v>3</v>
      </c>
      <c r="C61" s="6">
        <v>164</v>
      </c>
      <c r="D61" s="6">
        <f>SUM(K203)</f>
        <v>1.3</v>
      </c>
      <c r="E61" s="6">
        <f>SUM(I278)</f>
        <v>104936.0</v>
      </c>
      <c r="F61" s="6">
        <f>ROUND(E61,0)</f>
        <v>104936.0</v>
      </c>
      <c r="G61" s="7">
        <v>104936</v>
      </c>
      <c r="H61" s="6">
        <f>(F61-G61)</f>
        <v>0.0</v>
      </c>
      <c r="I61" s="6">
        <f>SUM(J278)</f>
        <v>672.75</v>
      </c>
      <c r="J61" s="6">
        <f>ROUND(I61,1)</f>
        <v>672.8</v>
      </c>
      <c r="K61" s="7">
        <v>672.8</v>
      </c>
      <c r="L61" s="6">
        <f>(J61-K61)</f>
        <v>0.0</v>
      </c>
    </row>
    <row r="62" spans="1:12" ht="23" customHeight="1">
      <c r="A62" s="6">
        <v>6</v>
      </c>
      <c r="B62" s="6">
        <v>3</v>
      </c>
      <c r="C62" s="6">
        <v>165</v>
      </c>
      <c r="D62" s="6">
        <f>SUM(K204)</f>
        <v>1.3</v>
      </c>
      <c r="E62" s="6">
        <f>SUM(I279)</f>
        <v>104936.0</v>
      </c>
      <c r="F62" s="6">
        <f>ROUND(E62,0)</f>
        <v>104936.0</v>
      </c>
      <c r="G62" s="7">
        <v>104936</v>
      </c>
      <c r="H62" s="6">
        <f>(F62-G62)</f>
        <v>0.0</v>
      </c>
      <c r="I62" s="6">
        <f>SUM(J279)</f>
        <v>672.75</v>
      </c>
      <c r="J62" s="6">
        <f>ROUND(I62,1)</f>
        <v>672.8</v>
      </c>
      <c r="K62" s="7">
        <v>672.8</v>
      </c>
      <c r="L62" s="6">
        <f>(J62-K62)</f>
        <v>0.0</v>
      </c>
    </row>
    <row r="63" spans="1:12" ht="23" customHeight="1">
      <c r="A63" s="6">
        <v>6</v>
      </c>
      <c r="B63" s="6">
        <v>3</v>
      </c>
      <c r="C63" s="6">
        <v>166</v>
      </c>
      <c r="D63" s="6">
        <f>SUM(K205)</f>
        <v>1.3</v>
      </c>
      <c r="E63" s="6">
        <f>SUM(I280)</f>
        <v>104936.0</v>
      </c>
      <c r="F63" s="6">
        <f>ROUND(E63,0)</f>
        <v>104936.0</v>
      </c>
      <c r="G63" s="7">
        <v>104936</v>
      </c>
      <c r="H63" s="6">
        <f>(F63-G63)</f>
        <v>0.0</v>
      </c>
      <c r="I63" s="6">
        <f>SUM(J280)</f>
        <v>672.75</v>
      </c>
      <c r="J63" s="6">
        <f>ROUND(I63,1)</f>
        <v>672.8</v>
      </c>
      <c r="K63" s="7">
        <v>672.8</v>
      </c>
      <c r="L63" s="6">
        <f>(J63-K63)</f>
        <v>0.0</v>
      </c>
    </row>
    <row r="64" spans="1:12" ht="23" customHeight="1">
      <c r="A64" s="6">
        <v>6</v>
      </c>
      <c r="B64" s="6">
        <v>3</v>
      </c>
      <c r="C64" s="6">
        <v>167</v>
      </c>
      <c r="D64" s="6">
        <f>SUM(K206)</f>
        <v>1.3</v>
      </c>
      <c r="E64" s="6">
        <f>SUM(I281)</f>
        <v>104936.0</v>
      </c>
      <c r="F64" s="6">
        <f>ROUND(E64,0)</f>
        <v>104936.0</v>
      </c>
      <c r="G64" s="7">
        <v>104936</v>
      </c>
      <c r="H64" s="6">
        <f>(F64-G64)</f>
        <v>0.0</v>
      </c>
      <c r="I64" s="6">
        <f>SUM(J281)</f>
        <v>672.75</v>
      </c>
      <c r="J64" s="6">
        <f>ROUND(I64,1)</f>
        <v>672.8</v>
      </c>
      <c r="K64" s="7">
        <v>672.8</v>
      </c>
      <c r="L64" s="6">
        <f>(J64-K64)</f>
        <v>0.0</v>
      </c>
    </row>
    <row r="65" spans="1:12" ht="23" customHeight="1">
      <c r="A65" s="6">
        <v>6</v>
      </c>
      <c r="B65" s="6">
        <v>3</v>
      </c>
      <c r="C65" s="6">
        <v>168</v>
      </c>
      <c r="D65" s="6">
        <f>SUM(K207)</f>
        <v>1.3</v>
      </c>
      <c r="E65" s="6">
        <f>SUM(I282)</f>
        <v>104936.0</v>
      </c>
      <c r="F65" s="6">
        <f>ROUND(E65,0)</f>
        <v>104936.0</v>
      </c>
      <c r="G65" s="7">
        <v>104936</v>
      </c>
      <c r="H65" s="6">
        <f>(F65-G65)</f>
        <v>0.0</v>
      </c>
      <c r="I65" s="6">
        <f>SUM(J282)</f>
        <v>672.75</v>
      </c>
      <c r="J65" s="6">
        <f>ROUND(I65,1)</f>
        <v>672.8</v>
      </c>
      <c r="K65" s="7">
        <v>672.8</v>
      </c>
      <c r="L65" s="6">
        <f>(J65-K65)</f>
        <v>0.0</v>
      </c>
    </row>
    <row r="66" spans="1:12" ht="23" customHeight="1">
      <c r="A66" s="6">
        <v>6</v>
      </c>
      <c r="B66" s="6">
        <v>3</v>
      </c>
      <c r="C66" s="6">
        <v>169</v>
      </c>
      <c r="D66" s="6">
        <f>SUM(K208)</f>
        <v>1.3</v>
      </c>
      <c r="E66" s="6">
        <f>SUM(I283)</f>
        <v>104936.0</v>
      </c>
      <c r="F66" s="6">
        <f>ROUND(E66,0)</f>
        <v>104936.0</v>
      </c>
      <c r="G66" s="7">
        <v>104936</v>
      </c>
      <c r="H66" s="6">
        <f>(F66-G66)</f>
        <v>0.0</v>
      </c>
      <c r="I66" s="6">
        <f>SUM(J283)</f>
        <v>672.75</v>
      </c>
      <c r="J66" s="6">
        <f>ROUND(I66,1)</f>
        <v>672.8</v>
      </c>
      <c r="K66" s="7">
        <v>672.8</v>
      </c>
      <c r="L66" s="6">
        <f>(J66-K66)</f>
        <v>0.0</v>
      </c>
    </row>
    <row r="67" spans="1:12" ht="23" customHeight="1">
      <c r="A67" s="6">
        <v>6</v>
      </c>
      <c r="B67" s="6">
        <v>3</v>
      </c>
      <c r="C67" s="6">
        <v>170</v>
      </c>
      <c r="D67" s="6">
        <f>SUM(K209)</f>
        <v>1.3</v>
      </c>
      <c r="E67" s="6">
        <f>SUM(I284)</f>
        <v>104936.0</v>
      </c>
      <c r="F67" s="6">
        <f>ROUND(E67,0)</f>
        <v>104936.0</v>
      </c>
      <c r="G67" s="7">
        <v>104936</v>
      </c>
      <c r="H67" s="6">
        <f>(F67-G67)</f>
        <v>0.0</v>
      </c>
      <c r="I67" s="6">
        <f>SUM(J284)</f>
        <v>672.75</v>
      </c>
      <c r="J67" s="6">
        <f>ROUND(I67,1)</f>
        <v>672.8</v>
      </c>
      <c r="K67" s="7">
        <v>672.8</v>
      </c>
      <c r="L67" s="6">
        <f>(J67-K67)</f>
        <v>0.0</v>
      </c>
    </row>
    <row r="68" spans="1:12" ht="23" customHeight="1">
      <c r="A68" s="6">
        <v>6</v>
      </c>
      <c r="B68" s="6">
        <v>3</v>
      </c>
      <c r="C68" s="6">
        <v>171</v>
      </c>
      <c r="D68" s="6">
        <f>SUM(K210)</f>
        <v>0.45</v>
      </c>
      <c r="E68" s="6">
        <f>SUM(I285)</f>
        <v>36324.0</v>
      </c>
      <c r="F68" s="6">
        <f>ROUND(E68,0)</f>
        <v>36324.0</v>
      </c>
      <c r="G68" s="7">
        <v>36324</v>
      </c>
      <c r="H68" s="6">
        <f>(F68-G68)</f>
        <v>0.0</v>
      </c>
      <c r="I68" s="6">
        <f>SUM(J285)</f>
        <v>232.875</v>
      </c>
      <c r="J68" s="6">
        <f>ROUND(I68,1)</f>
        <v>232.9</v>
      </c>
      <c r="K68" s="7">
        <v>232.9</v>
      </c>
      <c r="L68" s="6">
        <f>(J68-K68)</f>
        <v>0.0</v>
      </c>
    </row>
    <row r="69" spans="1:12" ht="23" customHeight="1"/>
    <row r="70" spans="1:12" ht="24" customHeight="1">
      <c r="A70" s="3" t="s">
        <v>323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36" customHeight="1">
      <c r="A71" s="4" t="s">
        <v>324</v>
      </c>
      <c r="B71" s="4" t="s">
        <v>325</v>
      </c>
      <c r="C71" s="4" t="s">
        <v>326</v>
      </c>
      <c r="D71" s="4" t="s">
        <v>327</v>
      </c>
    </row>
    <row r="72" spans="1:12" ht="23" customHeight="1">
      <c r="A72" s="8">
        <v>31</v>
      </c>
      <c r="B72" s="8">
        <v>4.945</v>
      </c>
      <c r="C72" s="8">
        <v>1.3</v>
      </c>
      <c r="D72" s="9">
        <f>ROUND((A72-C72),4)</f>
        <v>29.7</v>
      </c>
    </row>
    <row r="73" spans="1:12" ht="23" customHeight="1"/>
    <row r="74" spans="1:12" ht="24" customHeight="1">
      <c r="A74" s="3" t="s">
        <v>328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36" customHeight="1">
      <c r="A75" s="4" t="s">
        <v>8</v>
      </c>
      <c r="B75" s="4" t="s">
        <v>9</v>
      </c>
      <c r="C75" s="4" t="s">
        <v>30</v>
      </c>
      <c r="D75" s="4" t="s">
        <v>329</v>
      </c>
      <c r="E75" s="4" t="s">
        <v>330</v>
      </c>
      <c r="F75" s="4" t="s">
        <v>331</v>
      </c>
      <c r="G75" s="4" t="s">
        <v>332</v>
      </c>
      <c r="H75" s="4" t="s">
        <v>333</v>
      </c>
      <c r="I75" s="4" t="s">
        <v>334</v>
      </c>
      <c r="J75" s="4" t="s">
        <v>335</v>
      </c>
      <c r="K75" s="4" t="s">
        <v>336</v>
      </c>
      <c r="L75" s="4" t="s">
        <v>337</v>
      </c>
    </row>
    <row r="76" spans="1:12" ht="23" customHeight="1">
      <c r="A76" s="6">
        <v>4</v>
      </c>
      <c r="B76" s="6">
        <v>1</v>
      </c>
      <c r="C76" s="6">
        <v>102</v>
      </c>
      <c r="D76" s="6">
        <v>101</v>
      </c>
      <c r="E76" s="6">
        <v>103</v>
      </c>
      <c r="F76" s="8">
        <v>3.9</v>
      </c>
      <c r="G76" s="8">
        <v>5.2</v>
      </c>
      <c r="H76" s="8">
        <v>6.5</v>
      </c>
      <c r="I76" s="9">
        <f>ROUND(((F76+G76)/2),4)</f>
        <v>4.55</v>
      </c>
      <c r="J76" s="9">
        <f>ROUND(((G76+H76)/2),4)</f>
        <v>5.85</v>
      </c>
      <c r="K76" s="9">
        <f>ROUND((J76-I76),4)</f>
        <v>1.3</v>
      </c>
      <c r="L76" s="9">
        <f>ROUND((K76-D9),4)</f>
        <v>0.395</v>
      </c>
    </row>
    <row r="77" spans="1:12" ht="23" customHeight="1">
      <c r="A77" s="6">
        <v>4</v>
      </c>
      <c r="B77" s="6">
        <v>1</v>
      </c>
      <c r="C77" s="6">
        <v>103</v>
      </c>
      <c r="D77" s="6">
        <v>102</v>
      </c>
      <c r="E77" s="6">
        <v>104</v>
      </c>
      <c r="F77" s="8">
        <v>5.2</v>
      </c>
      <c r="G77" s="8">
        <v>6.5</v>
      </c>
      <c r="H77" s="8">
        <v>7.8</v>
      </c>
      <c r="I77" s="9">
        <f>ROUND(((F77+G77)/2),4)</f>
        <v>5.85</v>
      </c>
      <c r="J77" s="9">
        <f>ROUND(((G77+H77)/2),4)</f>
        <v>7.15</v>
      </c>
      <c r="K77" s="9">
        <f>ROUND((J77-I77),4)</f>
        <v>1.3</v>
      </c>
      <c r="L77" s="9">
        <f>ROUND((K77-D10),4)</f>
        <v>0.0</v>
      </c>
    </row>
    <row r="78" spans="1:12" ht="23" customHeight="1">
      <c r="A78" s="6">
        <v>4</v>
      </c>
      <c r="B78" s="6">
        <v>1</v>
      </c>
      <c r="C78" s="6">
        <v>104</v>
      </c>
      <c r="D78" s="6">
        <v>103</v>
      </c>
      <c r="E78" s="6">
        <v>105</v>
      </c>
      <c r="F78" s="8">
        <v>6.5</v>
      </c>
      <c r="G78" s="8">
        <v>7.8</v>
      </c>
      <c r="H78" s="8">
        <v>9.1</v>
      </c>
      <c r="I78" s="9">
        <f>ROUND(((F78+G78)/2),4)</f>
        <v>7.15</v>
      </c>
      <c r="J78" s="9">
        <f>ROUND(((G78+H78)/2),4)</f>
        <v>8.45</v>
      </c>
      <c r="K78" s="9">
        <f>ROUND((J78-I78),4)</f>
        <v>1.3</v>
      </c>
      <c r="L78" s="9">
        <f>ROUND((K78-D11),4)</f>
        <v>0.0</v>
      </c>
    </row>
    <row r="79" spans="1:12" ht="23" customHeight="1">
      <c r="A79" s="6">
        <v>4</v>
      </c>
      <c r="B79" s="6">
        <v>1</v>
      </c>
      <c r="C79" s="6">
        <v>105</v>
      </c>
      <c r="D79" s="6">
        <v>104</v>
      </c>
      <c r="E79" s="6">
        <v>106</v>
      </c>
      <c r="F79" s="8">
        <v>7.8</v>
      </c>
      <c r="G79" s="8">
        <v>9.1</v>
      </c>
      <c r="H79" s="8">
        <v>10.4</v>
      </c>
      <c r="I79" s="9">
        <f>ROUND(((F79+G79)/2),4)</f>
        <v>8.45</v>
      </c>
      <c r="J79" s="9">
        <f>ROUND(((G79+H79)/2),4)</f>
        <v>9.75</v>
      </c>
      <c r="K79" s="9">
        <f>ROUND((J79-I79),4)</f>
        <v>1.3</v>
      </c>
      <c r="L79" s="9">
        <f>ROUND((K79-D12),4)</f>
        <v>0.0</v>
      </c>
    </row>
    <row r="80" spans="1:12" ht="23" customHeight="1">
      <c r="A80" s="6">
        <v>4</v>
      </c>
      <c r="B80" s="6">
        <v>1</v>
      </c>
      <c r="C80" s="6">
        <v>106</v>
      </c>
      <c r="D80" s="6">
        <v>105</v>
      </c>
      <c r="E80" s="6">
        <v>107</v>
      </c>
      <c r="F80" s="8">
        <v>9.1</v>
      </c>
      <c r="G80" s="8">
        <v>10.4</v>
      </c>
      <c r="H80" s="8">
        <v>11.7</v>
      </c>
      <c r="I80" s="9">
        <f>ROUND(((F80+G80)/2),4)</f>
        <v>9.75</v>
      </c>
      <c r="J80" s="9">
        <f>ROUND(((G80+H80)/2),4)</f>
        <v>11.05</v>
      </c>
      <c r="K80" s="9">
        <f>ROUND((J80-I80),4)</f>
        <v>1.3</v>
      </c>
      <c r="L80" s="9">
        <f>ROUND((K80-D13),4)</f>
        <v>0.0</v>
      </c>
    </row>
    <row r="81" spans="1:12" ht="23" customHeight="1">
      <c r="A81" s="6">
        <v>4</v>
      </c>
      <c r="B81" s="6">
        <v>1</v>
      </c>
      <c r="C81" s="6">
        <v>107</v>
      </c>
      <c r="D81" s="6">
        <v>106</v>
      </c>
      <c r="E81" s="6">
        <v>108</v>
      </c>
      <c r="F81" s="8">
        <v>10.4</v>
      </c>
      <c r="G81" s="8">
        <v>11.7</v>
      </c>
      <c r="H81" s="8">
        <v>13</v>
      </c>
      <c r="I81" s="9">
        <f>ROUND(((F81+G81)/2),4)</f>
        <v>11.05</v>
      </c>
      <c r="J81" s="9">
        <f>ROUND(((G81+H81)/2),4)</f>
        <v>12.35</v>
      </c>
      <c r="K81" s="9">
        <f>ROUND((J81-I81),4)</f>
        <v>1.3</v>
      </c>
      <c r="L81" s="9">
        <f>ROUND((K81-D14),4)</f>
        <v>0.0</v>
      </c>
    </row>
    <row r="82" spans="1:12" ht="23" customHeight="1">
      <c r="A82" s="6">
        <v>4</v>
      </c>
      <c r="B82" s="6">
        <v>1</v>
      </c>
      <c r="C82" s="6">
        <v>108</v>
      </c>
      <c r="D82" s="6">
        <v>107</v>
      </c>
      <c r="E82" s="6">
        <v>109</v>
      </c>
      <c r="F82" s="8">
        <v>11.7</v>
      </c>
      <c r="G82" s="8">
        <v>13</v>
      </c>
      <c r="H82" s="8">
        <v>14.3</v>
      </c>
      <c r="I82" s="9">
        <f>ROUND(((F82+G82)/2),4)</f>
        <v>12.35</v>
      </c>
      <c r="J82" s="9">
        <f>ROUND(((G82+H82)/2),4)</f>
        <v>13.65</v>
      </c>
      <c r="K82" s="9">
        <f>ROUND((J82-I82),4)</f>
        <v>1.3</v>
      </c>
      <c r="L82" s="9">
        <f>ROUND((K82-D15),4)</f>
        <v>0.0</v>
      </c>
    </row>
    <row r="83" spans="1:12" ht="23" customHeight="1">
      <c r="A83" s="6">
        <v>4</v>
      </c>
      <c r="B83" s="6">
        <v>1</v>
      </c>
      <c r="C83" s="6">
        <v>109</v>
      </c>
      <c r="D83" s="6">
        <v>108</v>
      </c>
      <c r="E83" s="6">
        <v>110</v>
      </c>
      <c r="F83" s="8">
        <v>13</v>
      </c>
      <c r="G83" s="8">
        <v>14.3</v>
      </c>
      <c r="H83" s="8">
        <v>15.6</v>
      </c>
      <c r="I83" s="9">
        <f>ROUND(((F83+G83)/2),4)</f>
        <v>13.65</v>
      </c>
      <c r="J83" s="9">
        <f>ROUND(((G83+H83)/2),4)</f>
        <v>14.95</v>
      </c>
      <c r="K83" s="9">
        <f>ROUND((J83-I83),4)</f>
        <v>1.3</v>
      </c>
      <c r="L83" s="9">
        <f>ROUND((K83-D16),4)</f>
        <v>0.0</v>
      </c>
    </row>
    <row r="84" spans="1:12" ht="23" customHeight="1">
      <c r="A84" s="6">
        <v>4</v>
      </c>
      <c r="B84" s="6">
        <v>1</v>
      </c>
      <c r="C84" s="6">
        <v>110</v>
      </c>
      <c r="D84" s="6">
        <v>109</v>
      </c>
      <c r="E84" s="6">
        <v>111</v>
      </c>
      <c r="F84" s="8">
        <v>14.3</v>
      </c>
      <c r="G84" s="8">
        <v>15.6</v>
      </c>
      <c r="H84" s="8">
        <v>16.9</v>
      </c>
      <c r="I84" s="9">
        <f>ROUND(((F84+G84)/2),4)</f>
        <v>14.95</v>
      </c>
      <c r="J84" s="9">
        <f>ROUND(((G84+H84)/2),4)</f>
        <v>16.25</v>
      </c>
      <c r="K84" s="9">
        <f>ROUND((J84-I84),4)</f>
        <v>1.3</v>
      </c>
      <c r="L84" s="9">
        <f>ROUND((K84-D17),4)</f>
        <v>0.0</v>
      </c>
    </row>
    <row r="85" spans="1:12" ht="23" customHeight="1">
      <c r="A85" s="6">
        <v>4</v>
      </c>
      <c r="B85" s="6">
        <v>1</v>
      </c>
      <c r="C85" s="6">
        <v>111</v>
      </c>
      <c r="D85" s="6">
        <v>110</v>
      </c>
      <c r="E85" s="6">
        <v>112</v>
      </c>
      <c r="F85" s="8">
        <v>15.6</v>
      </c>
      <c r="G85" s="8">
        <v>16.9</v>
      </c>
      <c r="H85" s="8">
        <v>18.2</v>
      </c>
      <c r="I85" s="9">
        <f>ROUND(((F85+G85)/2),4)</f>
        <v>16.25</v>
      </c>
      <c r="J85" s="9">
        <f>ROUND(((G85+H85)/2),4)</f>
        <v>17.55</v>
      </c>
      <c r="K85" s="9">
        <f>ROUND((J85-I85),4)</f>
        <v>1.3</v>
      </c>
      <c r="L85" s="9">
        <f>ROUND((K85-D18),4)</f>
        <v>0.0</v>
      </c>
    </row>
    <row r="86" spans="1:12" ht="23" customHeight="1">
      <c r="A86" s="6">
        <v>4</v>
      </c>
      <c r="B86" s="6">
        <v>1</v>
      </c>
      <c r="C86" s="6">
        <v>112</v>
      </c>
      <c r="D86" s="6">
        <v>111</v>
      </c>
      <c r="E86" s="6">
        <v>113</v>
      </c>
      <c r="F86" s="8">
        <v>16.9</v>
      </c>
      <c r="G86" s="8">
        <v>18.2</v>
      </c>
      <c r="H86" s="8">
        <v>19.5</v>
      </c>
      <c r="I86" s="9">
        <f>ROUND(((F86+G86)/2),4)</f>
        <v>17.55</v>
      </c>
      <c r="J86" s="9">
        <f>ROUND(((G86+H86)/2),4)</f>
        <v>18.85</v>
      </c>
      <c r="K86" s="9">
        <f>ROUND((J86-I86),4)</f>
        <v>1.3</v>
      </c>
      <c r="L86" s="9">
        <f>ROUND((K86-D19),4)</f>
        <v>0.0</v>
      </c>
    </row>
    <row r="87" spans="1:12" ht="23" customHeight="1">
      <c r="A87" s="6">
        <v>4</v>
      </c>
      <c r="B87" s="6">
        <v>1</v>
      </c>
      <c r="C87" s="6">
        <v>113</v>
      </c>
      <c r="D87" s="6">
        <v>112</v>
      </c>
      <c r="E87" s="6">
        <v>114</v>
      </c>
      <c r="F87" s="8">
        <v>18.2</v>
      </c>
      <c r="G87" s="8">
        <v>19.5</v>
      </c>
      <c r="H87" s="8">
        <v>20.8</v>
      </c>
      <c r="I87" s="9">
        <f>ROUND(((F87+G87)/2),4)</f>
        <v>18.85</v>
      </c>
      <c r="J87" s="9">
        <f>ROUND(((G87+H87)/2),4)</f>
        <v>20.15</v>
      </c>
      <c r="K87" s="9">
        <f>ROUND((J87-I87),4)</f>
        <v>1.3</v>
      </c>
      <c r="L87" s="9">
        <f>ROUND((K87-D20),4)</f>
        <v>0.0</v>
      </c>
    </row>
    <row r="88" spans="1:12" ht="23" customHeight="1">
      <c r="A88" s="6">
        <v>4</v>
      </c>
      <c r="B88" s="6">
        <v>1</v>
      </c>
      <c r="C88" s="6">
        <v>114</v>
      </c>
      <c r="D88" s="6">
        <v>113</v>
      </c>
      <c r="E88" s="6">
        <v>115</v>
      </c>
      <c r="F88" s="8">
        <v>19.5</v>
      </c>
      <c r="G88" s="8">
        <v>20.8</v>
      </c>
      <c r="H88" s="8">
        <v>22.1</v>
      </c>
      <c r="I88" s="9">
        <f>ROUND(((F88+G88)/2),4)</f>
        <v>20.15</v>
      </c>
      <c r="J88" s="9">
        <f>ROUND(((G88+H88)/2),4)</f>
        <v>21.45</v>
      </c>
      <c r="K88" s="9">
        <f>ROUND((J88-I88),4)</f>
        <v>1.3</v>
      </c>
      <c r="L88" s="9">
        <f>ROUND((K88-D21),4)</f>
        <v>0.0</v>
      </c>
    </row>
    <row r="89" spans="1:12" ht="23" customHeight="1">
      <c r="A89" s="6">
        <v>4</v>
      </c>
      <c r="B89" s="6">
        <v>1</v>
      </c>
      <c r="C89" s="6">
        <v>115</v>
      </c>
      <c r="D89" s="6">
        <v>114</v>
      </c>
      <c r="E89" s="6">
        <v>116</v>
      </c>
      <c r="F89" s="8">
        <v>20.8</v>
      </c>
      <c r="G89" s="8">
        <v>22.1</v>
      </c>
      <c r="H89" s="8">
        <v>23.4</v>
      </c>
      <c r="I89" s="9">
        <f>ROUND(((F89+G89)/2),4)</f>
        <v>21.45</v>
      </c>
      <c r="J89" s="9">
        <f>ROUND(((G89+H89)/2),4)</f>
        <v>22.75</v>
      </c>
      <c r="K89" s="9">
        <f>ROUND((J89-I89),4)</f>
        <v>1.3</v>
      </c>
      <c r="L89" s="9">
        <f>ROUND((K89-D22),4)</f>
        <v>0.0</v>
      </c>
    </row>
    <row r="90" spans="1:12" ht="23" customHeight="1">
      <c r="A90" s="6">
        <v>4</v>
      </c>
      <c r="B90" s="6">
        <v>1</v>
      </c>
      <c r="C90" s="6">
        <v>116</v>
      </c>
      <c r="D90" s="6">
        <v>115</v>
      </c>
      <c r="E90" s="6">
        <v>117</v>
      </c>
      <c r="F90" s="8">
        <v>22.1</v>
      </c>
      <c r="G90" s="8">
        <v>23.4</v>
      </c>
      <c r="H90" s="8">
        <v>24.7</v>
      </c>
      <c r="I90" s="9">
        <f>ROUND(((F90+G90)/2),4)</f>
        <v>22.75</v>
      </c>
      <c r="J90" s="9">
        <f>ROUND(((G90+H90)/2),4)</f>
        <v>24.05</v>
      </c>
      <c r="K90" s="9">
        <f>ROUND((J90-I90),4)</f>
        <v>1.3</v>
      </c>
      <c r="L90" s="9">
        <f>ROUND((K90-D23),4)</f>
        <v>0.0</v>
      </c>
    </row>
    <row r="91" spans="1:12" ht="23" customHeight="1">
      <c r="A91" s="6">
        <v>4</v>
      </c>
      <c r="B91" s="6">
        <v>1</v>
      </c>
      <c r="C91" s="6">
        <v>117</v>
      </c>
      <c r="D91" s="6">
        <v>116</v>
      </c>
      <c r="E91" s="6">
        <v>118</v>
      </c>
      <c r="F91" s="8">
        <v>23.4</v>
      </c>
      <c r="G91" s="8">
        <v>24.7</v>
      </c>
      <c r="H91" s="8">
        <v>26</v>
      </c>
      <c r="I91" s="9">
        <f>ROUND(((F91+G91)/2),4)</f>
        <v>24.05</v>
      </c>
      <c r="J91" s="9">
        <f>ROUND(((G91+H91)/2),4)</f>
        <v>25.35</v>
      </c>
      <c r="K91" s="9">
        <f>ROUND((J91-I91),4)</f>
        <v>1.3</v>
      </c>
      <c r="L91" s="9">
        <f>ROUND((K91-D24),4)</f>
        <v>0.0</v>
      </c>
    </row>
    <row r="92" spans="1:12" ht="23" customHeight="1">
      <c r="A92" s="6">
        <v>4</v>
      </c>
      <c r="B92" s="6">
        <v>1</v>
      </c>
      <c r="C92" s="6">
        <v>118</v>
      </c>
      <c r="D92" s="6">
        <v>117</v>
      </c>
      <c r="E92" s="6">
        <v>119</v>
      </c>
      <c r="F92" s="8">
        <v>24.7</v>
      </c>
      <c r="G92" s="8">
        <v>26</v>
      </c>
      <c r="H92" s="8">
        <v>27.3</v>
      </c>
      <c r="I92" s="9">
        <f>ROUND(((F92+G92)/2),4)</f>
        <v>25.35</v>
      </c>
      <c r="J92" s="9">
        <f>ROUND(((G92+H92)/2),4)</f>
        <v>26.65</v>
      </c>
      <c r="K92" s="9">
        <f>ROUND((J92-I92),4)</f>
        <v>1.3</v>
      </c>
      <c r="L92" s="9">
        <f>ROUND((K92-D25),4)</f>
        <v>0.0</v>
      </c>
    </row>
    <row r="93" spans="1:12" ht="23" customHeight="1">
      <c r="A93" s="6">
        <v>4</v>
      </c>
      <c r="B93" s="6">
        <v>1</v>
      </c>
      <c r="C93" s="6">
        <v>119</v>
      </c>
      <c r="D93" s="6">
        <v>118</v>
      </c>
      <c r="E93" s="6">
        <v>120</v>
      </c>
      <c r="F93" s="8">
        <v>26</v>
      </c>
      <c r="G93" s="8">
        <v>27.3</v>
      </c>
      <c r="H93" s="8">
        <v>28.6</v>
      </c>
      <c r="I93" s="9">
        <f>ROUND(((F93+G93)/2),4)</f>
        <v>26.65</v>
      </c>
      <c r="J93" s="9">
        <f>ROUND(((G93+H93)/2),4)</f>
        <v>27.95</v>
      </c>
      <c r="K93" s="9">
        <f>ROUND((J93-I93),4)</f>
        <v>1.3</v>
      </c>
      <c r="L93" s="9">
        <f>ROUND((K93-D26),4)</f>
        <v>0.0</v>
      </c>
    </row>
    <row r="94" spans="1:12" ht="23" customHeight="1">
      <c r="A94" s="6">
        <v>4</v>
      </c>
      <c r="B94" s="6">
        <v>1</v>
      </c>
      <c r="C94" s="6">
        <v>120</v>
      </c>
      <c r="D94" s="6">
        <v>119</v>
      </c>
      <c r="E94" s="6">
        <v>121</v>
      </c>
      <c r="F94" s="8">
        <v>27.3</v>
      </c>
      <c r="G94" s="8">
        <v>28.6</v>
      </c>
      <c r="H94" s="8">
        <v>29.9</v>
      </c>
      <c r="I94" s="9">
        <f>ROUND(((F94+G94)/2),4)</f>
        <v>27.95</v>
      </c>
      <c r="J94" s="9">
        <f>ROUND(((G94+H94)/2),4)</f>
        <v>29.25</v>
      </c>
      <c r="K94" s="9">
        <f>ROUND((J94-I94),4)</f>
        <v>1.3</v>
      </c>
      <c r="L94" s="9">
        <f>ROUND((K94-D27),4)</f>
        <v>0.0</v>
      </c>
    </row>
    <row r="95" spans="1:12" ht="23" customHeight="1">
      <c r="A95" s="6">
        <v>4</v>
      </c>
      <c r="B95" s="6">
        <v>1</v>
      </c>
      <c r="C95" s="6">
        <v>121</v>
      </c>
      <c r="D95" s="6">
        <v>120</v>
      </c>
      <c r="E95" s="6">
        <v>122</v>
      </c>
      <c r="F95" s="8">
        <v>28.6</v>
      </c>
      <c r="G95" s="8">
        <v>29.9</v>
      </c>
      <c r="H95" s="8">
        <v>31</v>
      </c>
      <c r="I95" s="9">
        <f>ROUND(((F95+G95)/2),4)</f>
        <v>29.25</v>
      </c>
      <c r="J95" s="9">
        <f>ROUND(((G95+H95)/2),4)</f>
        <v>30.45</v>
      </c>
      <c r="K95" s="9">
        <f>ROUND((J95-I95),4)</f>
        <v>1.2</v>
      </c>
      <c r="L95" s="9">
        <f>ROUND((K95-D28),4)</f>
        <v>0.75</v>
      </c>
    </row>
    <row r="96" spans="1:12" ht="23" customHeight="1">
      <c r="A96" s="6">
        <v>5</v>
      </c>
      <c r="B96" s="6">
        <v>2</v>
      </c>
      <c r="C96" s="6">
        <v>127</v>
      </c>
      <c r="D96" s="6">
        <v>126</v>
      </c>
      <c r="E96" s="6">
        <v>128</v>
      </c>
      <c r="F96" s="8">
        <v>3.9</v>
      </c>
      <c r="G96" s="8">
        <v>5.2</v>
      </c>
      <c r="H96" s="8">
        <v>6.5</v>
      </c>
      <c r="I96" s="9">
        <f>ROUND(((F96+G96)/2),4)</f>
        <v>4.55</v>
      </c>
      <c r="J96" s="9">
        <f>ROUND(((G96+H96)/2),4)</f>
        <v>5.85</v>
      </c>
      <c r="K96" s="9">
        <f>ROUND((J96-I96),4)</f>
        <v>1.3</v>
      </c>
      <c r="L96" s="9">
        <f>ROUND((K96-D29),4)</f>
        <v>0.395</v>
      </c>
    </row>
    <row r="97" spans="1:12" ht="23" customHeight="1">
      <c r="A97" s="6">
        <v>5</v>
      </c>
      <c r="B97" s="6">
        <v>2</v>
      </c>
      <c r="C97" s="6">
        <v>128</v>
      </c>
      <c r="D97" s="6">
        <v>127</v>
      </c>
      <c r="E97" s="6">
        <v>129</v>
      </c>
      <c r="F97" s="8">
        <v>5.2</v>
      </c>
      <c r="G97" s="8">
        <v>6.5</v>
      </c>
      <c r="H97" s="8">
        <v>7.8</v>
      </c>
      <c r="I97" s="9">
        <f>ROUND(((F97+G97)/2),4)</f>
        <v>5.85</v>
      </c>
      <c r="J97" s="9">
        <f>ROUND(((G97+H97)/2),4)</f>
        <v>7.15</v>
      </c>
      <c r="K97" s="9">
        <f>ROUND((J97-I97),4)</f>
        <v>1.3</v>
      </c>
      <c r="L97" s="9">
        <f>ROUND((K97-D30),4)</f>
        <v>0.0</v>
      </c>
    </row>
    <row r="98" spans="1:12" ht="23" customHeight="1">
      <c r="A98" s="6">
        <v>5</v>
      </c>
      <c r="B98" s="6">
        <v>2</v>
      </c>
      <c r="C98" s="6">
        <v>129</v>
      </c>
      <c r="D98" s="6">
        <v>128</v>
      </c>
      <c r="E98" s="6">
        <v>130</v>
      </c>
      <c r="F98" s="8">
        <v>6.5</v>
      </c>
      <c r="G98" s="8">
        <v>7.8</v>
      </c>
      <c r="H98" s="8">
        <v>9.1</v>
      </c>
      <c r="I98" s="9">
        <f>ROUND(((F98+G98)/2),4)</f>
        <v>7.15</v>
      </c>
      <c r="J98" s="9">
        <f>ROUND(((G98+H98)/2),4)</f>
        <v>8.45</v>
      </c>
      <c r="K98" s="9">
        <f>ROUND((J98-I98),4)</f>
        <v>1.3</v>
      </c>
      <c r="L98" s="9">
        <f>ROUND((K98-D31),4)</f>
        <v>0.0</v>
      </c>
    </row>
    <row r="99" spans="1:12" ht="23" customHeight="1">
      <c r="A99" s="6">
        <v>5</v>
      </c>
      <c r="B99" s="6">
        <v>2</v>
      </c>
      <c r="C99" s="6">
        <v>130</v>
      </c>
      <c r="D99" s="6">
        <v>129</v>
      </c>
      <c r="E99" s="6">
        <v>131</v>
      </c>
      <c r="F99" s="8">
        <v>7.8</v>
      </c>
      <c r="G99" s="8">
        <v>9.1</v>
      </c>
      <c r="H99" s="8">
        <v>10.4</v>
      </c>
      <c r="I99" s="9">
        <f>ROUND(((F99+G99)/2),4)</f>
        <v>8.45</v>
      </c>
      <c r="J99" s="9">
        <f>ROUND(((G99+H99)/2),4)</f>
        <v>9.75</v>
      </c>
      <c r="K99" s="9">
        <f>ROUND((J99-I99),4)</f>
        <v>1.3</v>
      </c>
      <c r="L99" s="9">
        <f>ROUND((K99-D32),4)</f>
        <v>0.0</v>
      </c>
    </row>
    <row r="100" spans="1:12" ht="23" customHeight="1">
      <c r="A100" s="6">
        <v>5</v>
      </c>
      <c r="B100" s="6">
        <v>2</v>
      </c>
      <c r="C100" s="6">
        <v>131</v>
      </c>
      <c r="D100" s="6">
        <v>130</v>
      </c>
      <c r="E100" s="6">
        <v>132</v>
      </c>
      <c r="F100" s="8">
        <v>9.1</v>
      </c>
      <c r="G100" s="8">
        <v>10.4</v>
      </c>
      <c r="H100" s="8">
        <v>11.7</v>
      </c>
      <c r="I100" s="9">
        <f>ROUND(((F100+G100)/2),4)</f>
        <v>9.75</v>
      </c>
      <c r="J100" s="9">
        <f>ROUND(((G100+H100)/2),4)</f>
        <v>11.05</v>
      </c>
      <c r="K100" s="9">
        <f>ROUND((J100-I100),4)</f>
        <v>1.3</v>
      </c>
      <c r="L100" s="9">
        <f>ROUND((K100-D33),4)</f>
        <v>0.0</v>
      </c>
    </row>
    <row r="101" spans="1:12" ht="23" customHeight="1">
      <c r="A101" s="6">
        <v>5</v>
      </c>
      <c r="B101" s="6">
        <v>2</v>
      </c>
      <c r="C101" s="6">
        <v>132</v>
      </c>
      <c r="D101" s="6">
        <v>131</v>
      </c>
      <c r="E101" s="6">
        <v>133</v>
      </c>
      <c r="F101" s="8">
        <v>10.4</v>
      </c>
      <c r="G101" s="8">
        <v>11.7</v>
      </c>
      <c r="H101" s="8">
        <v>13</v>
      </c>
      <c r="I101" s="9">
        <f>ROUND(((F101+G101)/2),4)</f>
        <v>11.05</v>
      </c>
      <c r="J101" s="9">
        <f>ROUND(((G101+H101)/2),4)</f>
        <v>12.35</v>
      </c>
      <c r="K101" s="9">
        <f>ROUND((J101-I101),4)</f>
        <v>1.3</v>
      </c>
      <c r="L101" s="9">
        <f>ROUND((K101-D34),4)</f>
        <v>0.0</v>
      </c>
    </row>
    <row r="102" spans="1:12" ht="23" customHeight="1">
      <c r="A102" s="6">
        <v>5</v>
      </c>
      <c r="B102" s="6">
        <v>2</v>
      </c>
      <c r="C102" s="6">
        <v>133</v>
      </c>
      <c r="D102" s="6">
        <v>132</v>
      </c>
      <c r="E102" s="6">
        <v>134</v>
      </c>
      <c r="F102" s="8">
        <v>11.7</v>
      </c>
      <c r="G102" s="8">
        <v>13</v>
      </c>
      <c r="H102" s="8">
        <v>14.3</v>
      </c>
      <c r="I102" s="9">
        <f>ROUND(((F102+G102)/2),4)</f>
        <v>12.35</v>
      </c>
      <c r="J102" s="9">
        <f>ROUND(((G102+H102)/2),4)</f>
        <v>13.65</v>
      </c>
      <c r="K102" s="9">
        <f>ROUND((J102-I102),4)</f>
        <v>1.3</v>
      </c>
      <c r="L102" s="9">
        <f>ROUND((K102-D35),4)</f>
        <v>0.0</v>
      </c>
    </row>
    <row r="103" spans="1:12" ht="23" customHeight="1">
      <c r="A103" s="6">
        <v>5</v>
      </c>
      <c r="B103" s="6">
        <v>2</v>
      </c>
      <c r="C103" s="6">
        <v>134</v>
      </c>
      <c r="D103" s="6">
        <v>133</v>
      </c>
      <c r="E103" s="6">
        <v>135</v>
      </c>
      <c r="F103" s="8">
        <v>13</v>
      </c>
      <c r="G103" s="8">
        <v>14.3</v>
      </c>
      <c r="H103" s="8">
        <v>15.6</v>
      </c>
      <c r="I103" s="9">
        <f>ROUND(((F103+G103)/2),4)</f>
        <v>13.65</v>
      </c>
      <c r="J103" s="9">
        <f>ROUND(((G103+H103)/2),4)</f>
        <v>14.95</v>
      </c>
      <c r="K103" s="9">
        <f>ROUND((J103-I103),4)</f>
        <v>1.3</v>
      </c>
      <c r="L103" s="9">
        <f>ROUND((K103-D36),4)</f>
        <v>0.0</v>
      </c>
    </row>
    <row r="104" spans="1:12" ht="23" customHeight="1">
      <c r="A104" s="6">
        <v>5</v>
      </c>
      <c r="B104" s="6">
        <v>2</v>
      </c>
      <c r="C104" s="6">
        <v>135</v>
      </c>
      <c r="D104" s="6">
        <v>134</v>
      </c>
      <c r="E104" s="6">
        <v>136</v>
      </c>
      <c r="F104" s="8">
        <v>14.3</v>
      </c>
      <c r="G104" s="8">
        <v>15.6</v>
      </c>
      <c r="H104" s="8">
        <v>16.9</v>
      </c>
      <c r="I104" s="9">
        <f>ROUND(((F104+G104)/2),4)</f>
        <v>14.95</v>
      </c>
      <c r="J104" s="9">
        <f>ROUND(((G104+H104)/2),4)</f>
        <v>16.25</v>
      </c>
      <c r="K104" s="9">
        <f>ROUND((J104-I104),4)</f>
        <v>1.3</v>
      </c>
      <c r="L104" s="9">
        <f>ROUND((K104-D37),4)</f>
        <v>0.0</v>
      </c>
    </row>
    <row r="105" spans="1:12" ht="23" customHeight="1">
      <c r="A105" s="6">
        <v>5</v>
      </c>
      <c r="B105" s="6">
        <v>2</v>
      </c>
      <c r="C105" s="6">
        <v>136</v>
      </c>
      <c r="D105" s="6">
        <v>135</v>
      </c>
      <c r="E105" s="6">
        <v>137</v>
      </c>
      <c r="F105" s="8">
        <v>15.6</v>
      </c>
      <c r="G105" s="8">
        <v>16.9</v>
      </c>
      <c r="H105" s="8">
        <v>18.2</v>
      </c>
      <c r="I105" s="9">
        <f>ROUND(((F105+G105)/2),4)</f>
        <v>16.25</v>
      </c>
      <c r="J105" s="9">
        <f>ROUND(((G105+H105)/2),4)</f>
        <v>17.55</v>
      </c>
      <c r="K105" s="9">
        <f>ROUND((J105-I105),4)</f>
        <v>1.3</v>
      </c>
      <c r="L105" s="9">
        <f>ROUND((K105-D38),4)</f>
        <v>0.0</v>
      </c>
    </row>
    <row r="106" spans="1:12" ht="23" customHeight="1">
      <c r="A106" s="6">
        <v>5</v>
      </c>
      <c r="B106" s="6">
        <v>2</v>
      </c>
      <c r="C106" s="6">
        <v>137</v>
      </c>
      <c r="D106" s="6">
        <v>136</v>
      </c>
      <c r="E106" s="6">
        <v>138</v>
      </c>
      <c r="F106" s="8">
        <v>16.9</v>
      </c>
      <c r="G106" s="8">
        <v>18.2</v>
      </c>
      <c r="H106" s="8">
        <v>19.5</v>
      </c>
      <c r="I106" s="9">
        <f>ROUND(((F106+G106)/2),4)</f>
        <v>17.55</v>
      </c>
      <c r="J106" s="9">
        <f>ROUND(((G106+H106)/2),4)</f>
        <v>18.85</v>
      </c>
      <c r="K106" s="9">
        <f>ROUND((J106-I106),4)</f>
        <v>1.3</v>
      </c>
      <c r="L106" s="9">
        <f>ROUND((K106-D39),4)</f>
        <v>0.0</v>
      </c>
    </row>
    <row r="107" spans="1:12" ht="23" customHeight="1">
      <c r="A107" s="6">
        <v>5</v>
      </c>
      <c r="B107" s="6">
        <v>2</v>
      </c>
      <c r="C107" s="6">
        <v>138</v>
      </c>
      <c r="D107" s="6">
        <v>137</v>
      </c>
      <c r="E107" s="6">
        <v>139</v>
      </c>
      <c r="F107" s="8">
        <v>18.2</v>
      </c>
      <c r="G107" s="8">
        <v>19.5</v>
      </c>
      <c r="H107" s="8">
        <v>20.8</v>
      </c>
      <c r="I107" s="9">
        <f>ROUND(((F107+G107)/2),4)</f>
        <v>18.85</v>
      </c>
      <c r="J107" s="9">
        <f>ROUND(((G107+H107)/2),4)</f>
        <v>20.15</v>
      </c>
      <c r="K107" s="9">
        <f>ROUND((J107-I107),4)</f>
        <v>1.3</v>
      </c>
      <c r="L107" s="9">
        <f>ROUND((K107-D40),4)</f>
        <v>0.0</v>
      </c>
    </row>
    <row r="108" spans="1:12" ht="23" customHeight="1">
      <c r="A108" s="6">
        <v>5</v>
      </c>
      <c r="B108" s="6">
        <v>2</v>
      </c>
      <c r="C108" s="6">
        <v>139</v>
      </c>
      <c r="D108" s="6">
        <v>138</v>
      </c>
      <c r="E108" s="6">
        <v>140</v>
      </c>
      <c r="F108" s="8">
        <v>19.5</v>
      </c>
      <c r="G108" s="8">
        <v>20.8</v>
      </c>
      <c r="H108" s="8">
        <v>22.1</v>
      </c>
      <c r="I108" s="9">
        <f>ROUND(((F108+G108)/2),4)</f>
        <v>20.15</v>
      </c>
      <c r="J108" s="9">
        <f>ROUND(((G108+H108)/2),4)</f>
        <v>21.45</v>
      </c>
      <c r="K108" s="9">
        <f>ROUND((J108-I108),4)</f>
        <v>1.3</v>
      </c>
      <c r="L108" s="9">
        <f>ROUND((K108-D41),4)</f>
        <v>0.0</v>
      </c>
    </row>
    <row r="109" spans="1:12" ht="23" customHeight="1">
      <c r="A109" s="6">
        <v>5</v>
      </c>
      <c r="B109" s="6">
        <v>2</v>
      </c>
      <c r="C109" s="6">
        <v>140</v>
      </c>
      <c r="D109" s="6">
        <v>139</v>
      </c>
      <c r="E109" s="6">
        <v>141</v>
      </c>
      <c r="F109" s="8">
        <v>20.8</v>
      </c>
      <c r="G109" s="8">
        <v>22.1</v>
      </c>
      <c r="H109" s="8">
        <v>23.4</v>
      </c>
      <c r="I109" s="9">
        <f>ROUND(((F109+G109)/2),4)</f>
        <v>21.45</v>
      </c>
      <c r="J109" s="9">
        <f>ROUND(((G109+H109)/2),4)</f>
        <v>22.75</v>
      </c>
      <c r="K109" s="9">
        <f>ROUND((J109-I109),4)</f>
        <v>1.3</v>
      </c>
      <c r="L109" s="9">
        <f>ROUND((K109-D42),4)</f>
        <v>0.0</v>
      </c>
    </row>
    <row r="110" spans="1:12" ht="23" customHeight="1">
      <c r="A110" s="6">
        <v>5</v>
      </c>
      <c r="B110" s="6">
        <v>2</v>
      </c>
      <c r="C110" s="6">
        <v>141</v>
      </c>
      <c r="D110" s="6">
        <v>140</v>
      </c>
      <c r="E110" s="6">
        <v>142</v>
      </c>
      <c r="F110" s="8">
        <v>22.1</v>
      </c>
      <c r="G110" s="8">
        <v>23.4</v>
      </c>
      <c r="H110" s="8">
        <v>24.7</v>
      </c>
      <c r="I110" s="9">
        <f>ROUND(((F110+G110)/2),4)</f>
        <v>22.75</v>
      </c>
      <c r="J110" s="9">
        <f>ROUND(((G110+H110)/2),4)</f>
        <v>24.05</v>
      </c>
      <c r="K110" s="9">
        <f>ROUND((J110-I110),4)</f>
        <v>1.3</v>
      </c>
      <c r="L110" s="9">
        <f>ROUND((K110-D43),4)</f>
        <v>0.0</v>
      </c>
    </row>
    <row r="111" spans="1:12" ht="23" customHeight="1">
      <c r="A111" s="6">
        <v>5</v>
      </c>
      <c r="B111" s="6">
        <v>2</v>
      </c>
      <c r="C111" s="6">
        <v>142</v>
      </c>
      <c r="D111" s="6">
        <v>141</v>
      </c>
      <c r="E111" s="6">
        <v>143</v>
      </c>
      <c r="F111" s="8">
        <v>23.4</v>
      </c>
      <c r="G111" s="8">
        <v>24.7</v>
      </c>
      <c r="H111" s="8">
        <v>26</v>
      </c>
      <c r="I111" s="9">
        <f>ROUND(((F111+G111)/2),4)</f>
        <v>24.05</v>
      </c>
      <c r="J111" s="9">
        <f>ROUND(((G111+H111)/2),4)</f>
        <v>25.35</v>
      </c>
      <c r="K111" s="9">
        <f>ROUND((J111-I111),4)</f>
        <v>1.3</v>
      </c>
      <c r="L111" s="9">
        <f>ROUND((K111-D44),4)</f>
        <v>0.0</v>
      </c>
    </row>
    <row r="112" spans="1:12" ht="23" customHeight="1">
      <c r="A112" s="6">
        <v>5</v>
      </c>
      <c r="B112" s="6">
        <v>2</v>
      </c>
      <c r="C112" s="6">
        <v>143</v>
      </c>
      <c r="D112" s="6">
        <v>142</v>
      </c>
      <c r="E112" s="6">
        <v>144</v>
      </c>
      <c r="F112" s="8">
        <v>24.7</v>
      </c>
      <c r="G112" s="8">
        <v>26</v>
      </c>
      <c r="H112" s="8">
        <v>27.3</v>
      </c>
      <c r="I112" s="9">
        <f>ROUND(((F112+G112)/2),4)</f>
        <v>25.35</v>
      </c>
      <c r="J112" s="9">
        <f>ROUND(((G112+H112)/2),4)</f>
        <v>26.65</v>
      </c>
      <c r="K112" s="9">
        <f>ROUND((J112-I112),4)</f>
        <v>1.3</v>
      </c>
      <c r="L112" s="9">
        <f>ROUND((K112-D45),4)</f>
        <v>0.0</v>
      </c>
    </row>
    <row r="113" spans="1:12" ht="23" customHeight="1">
      <c r="A113" s="6">
        <v>5</v>
      </c>
      <c r="B113" s="6">
        <v>2</v>
      </c>
      <c r="C113" s="6">
        <v>144</v>
      </c>
      <c r="D113" s="6">
        <v>143</v>
      </c>
      <c r="E113" s="6">
        <v>145</v>
      </c>
      <c r="F113" s="8">
        <v>26</v>
      </c>
      <c r="G113" s="8">
        <v>27.3</v>
      </c>
      <c r="H113" s="8">
        <v>28.6</v>
      </c>
      <c r="I113" s="9">
        <f>ROUND(((F113+G113)/2),4)</f>
        <v>26.65</v>
      </c>
      <c r="J113" s="9">
        <f>ROUND(((G113+H113)/2),4)</f>
        <v>27.95</v>
      </c>
      <c r="K113" s="9">
        <f>ROUND((J113-I113),4)</f>
        <v>1.3</v>
      </c>
      <c r="L113" s="9">
        <f>ROUND((K113-D46),4)</f>
        <v>0.0</v>
      </c>
    </row>
    <row r="114" spans="1:12" ht="23" customHeight="1">
      <c r="A114" s="6">
        <v>5</v>
      </c>
      <c r="B114" s="6">
        <v>2</v>
      </c>
      <c r="C114" s="6">
        <v>145</v>
      </c>
      <c r="D114" s="6">
        <v>144</v>
      </c>
      <c r="E114" s="6">
        <v>146</v>
      </c>
      <c r="F114" s="8">
        <v>27.3</v>
      </c>
      <c r="G114" s="8">
        <v>28.6</v>
      </c>
      <c r="H114" s="8">
        <v>29.9</v>
      </c>
      <c r="I114" s="9">
        <f>ROUND(((F114+G114)/2),4)</f>
        <v>27.95</v>
      </c>
      <c r="J114" s="9">
        <f>ROUND(((G114+H114)/2),4)</f>
        <v>29.25</v>
      </c>
      <c r="K114" s="9">
        <f>ROUND((J114-I114),4)</f>
        <v>1.3</v>
      </c>
      <c r="L114" s="9">
        <f>ROUND((K114-D47),4)</f>
        <v>0.0</v>
      </c>
    </row>
    <row r="115" spans="1:12" ht="23" customHeight="1">
      <c r="A115" s="6">
        <v>5</v>
      </c>
      <c r="B115" s="6">
        <v>2</v>
      </c>
      <c r="C115" s="6">
        <v>146</v>
      </c>
      <c r="D115" s="6">
        <v>145</v>
      </c>
      <c r="E115" s="6">
        <v>147</v>
      </c>
      <c r="F115" s="8">
        <v>28.6</v>
      </c>
      <c r="G115" s="8">
        <v>29.9</v>
      </c>
      <c r="H115" s="8">
        <v>31</v>
      </c>
      <c r="I115" s="9">
        <f>ROUND(((F115+G115)/2),4)</f>
        <v>29.25</v>
      </c>
      <c r="J115" s="9">
        <f>ROUND(((G115+H115)/2),4)</f>
        <v>30.45</v>
      </c>
      <c r="K115" s="9">
        <f>ROUND((J115-I115),4)</f>
        <v>1.2</v>
      </c>
      <c r="L115" s="9">
        <f>ROUND((K115-D48),4)</f>
        <v>0.75</v>
      </c>
    </row>
    <row r="116" spans="1:12" ht="23" customHeight="1">
      <c r="A116" s="6">
        <v>6</v>
      </c>
      <c r="B116" s="6">
        <v>3</v>
      </c>
      <c r="C116" s="6">
        <v>152</v>
      </c>
      <c r="D116" s="6">
        <v>151</v>
      </c>
      <c r="E116" s="6">
        <v>153</v>
      </c>
      <c r="F116" s="8">
        <v>3.9</v>
      </c>
      <c r="G116" s="8">
        <v>5.2</v>
      </c>
      <c r="H116" s="8">
        <v>6.5</v>
      </c>
      <c r="I116" s="9">
        <f>ROUND(((F116+G116)/2),4)</f>
        <v>4.55</v>
      </c>
      <c r="J116" s="9">
        <f>ROUND(((G116+H116)/2),4)</f>
        <v>5.85</v>
      </c>
      <c r="K116" s="9">
        <f>ROUND((J116-I116),4)</f>
        <v>1.3</v>
      </c>
      <c r="L116" s="9">
        <f>ROUND((K116-D49),4)</f>
        <v>0.395</v>
      </c>
    </row>
    <row r="117" spans="1:12" ht="23" customHeight="1">
      <c r="A117" s="6">
        <v>6</v>
      </c>
      <c r="B117" s="6">
        <v>3</v>
      </c>
      <c r="C117" s="6">
        <v>153</v>
      </c>
      <c r="D117" s="6">
        <v>152</v>
      </c>
      <c r="E117" s="6">
        <v>154</v>
      </c>
      <c r="F117" s="8">
        <v>5.2</v>
      </c>
      <c r="G117" s="8">
        <v>6.5</v>
      </c>
      <c r="H117" s="8">
        <v>7.8</v>
      </c>
      <c r="I117" s="9">
        <f>ROUND(((F117+G117)/2),4)</f>
        <v>5.85</v>
      </c>
      <c r="J117" s="9">
        <f>ROUND(((G117+H117)/2),4)</f>
        <v>7.15</v>
      </c>
      <c r="K117" s="9">
        <f>ROUND((J117-I117),4)</f>
        <v>1.3</v>
      </c>
      <c r="L117" s="9">
        <f>ROUND((K117-D50),4)</f>
        <v>0.0</v>
      </c>
    </row>
    <row r="118" spans="1:12" ht="23" customHeight="1">
      <c r="A118" s="6">
        <v>6</v>
      </c>
      <c r="B118" s="6">
        <v>3</v>
      </c>
      <c r="C118" s="6">
        <v>154</v>
      </c>
      <c r="D118" s="6">
        <v>153</v>
      </c>
      <c r="E118" s="6">
        <v>155</v>
      </c>
      <c r="F118" s="8">
        <v>6.5</v>
      </c>
      <c r="G118" s="8">
        <v>7.8</v>
      </c>
      <c r="H118" s="8">
        <v>9.1</v>
      </c>
      <c r="I118" s="9">
        <f>ROUND(((F118+G118)/2),4)</f>
        <v>7.15</v>
      </c>
      <c r="J118" s="9">
        <f>ROUND(((G118+H118)/2),4)</f>
        <v>8.45</v>
      </c>
      <c r="K118" s="9">
        <f>ROUND((J118-I118),4)</f>
        <v>1.3</v>
      </c>
      <c r="L118" s="9">
        <f>ROUND((K118-D51),4)</f>
        <v>0.0</v>
      </c>
    </row>
    <row r="119" spans="1:12" ht="23" customHeight="1">
      <c r="A119" s="6">
        <v>6</v>
      </c>
      <c r="B119" s="6">
        <v>3</v>
      </c>
      <c r="C119" s="6">
        <v>155</v>
      </c>
      <c r="D119" s="6">
        <v>154</v>
      </c>
      <c r="E119" s="6">
        <v>156</v>
      </c>
      <c r="F119" s="8">
        <v>7.8</v>
      </c>
      <c r="G119" s="8">
        <v>9.1</v>
      </c>
      <c r="H119" s="8">
        <v>10.4</v>
      </c>
      <c r="I119" s="9">
        <f>ROUND(((F119+G119)/2),4)</f>
        <v>8.45</v>
      </c>
      <c r="J119" s="9">
        <f>ROUND(((G119+H119)/2),4)</f>
        <v>9.75</v>
      </c>
      <c r="K119" s="9">
        <f>ROUND((J119-I119),4)</f>
        <v>1.3</v>
      </c>
      <c r="L119" s="9">
        <f>ROUND((K119-D52),4)</f>
        <v>0.0</v>
      </c>
    </row>
    <row r="120" spans="1:12" ht="23" customHeight="1">
      <c r="A120" s="6">
        <v>6</v>
      </c>
      <c r="B120" s="6">
        <v>3</v>
      </c>
      <c r="C120" s="6">
        <v>156</v>
      </c>
      <c r="D120" s="6">
        <v>155</v>
      </c>
      <c r="E120" s="6">
        <v>157</v>
      </c>
      <c r="F120" s="8">
        <v>9.1</v>
      </c>
      <c r="G120" s="8">
        <v>10.4</v>
      </c>
      <c r="H120" s="8">
        <v>11.7</v>
      </c>
      <c r="I120" s="9">
        <f>ROUND(((F120+G120)/2),4)</f>
        <v>9.75</v>
      </c>
      <c r="J120" s="9">
        <f>ROUND(((G120+H120)/2),4)</f>
        <v>11.05</v>
      </c>
      <c r="K120" s="9">
        <f>ROUND((J120-I120),4)</f>
        <v>1.3</v>
      </c>
      <c r="L120" s="9">
        <f>ROUND((K120-D53),4)</f>
        <v>0.0</v>
      </c>
    </row>
    <row r="121" spans="1:12" ht="23" customHeight="1">
      <c r="A121" s="6">
        <v>6</v>
      </c>
      <c r="B121" s="6">
        <v>3</v>
      </c>
      <c r="C121" s="6">
        <v>157</v>
      </c>
      <c r="D121" s="6">
        <v>156</v>
      </c>
      <c r="E121" s="6">
        <v>158</v>
      </c>
      <c r="F121" s="8">
        <v>10.4</v>
      </c>
      <c r="G121" s="8">
        <v>11.7</v>
      </c>
      <c r="H121" s="8">
        <v>13</v>
      </c>
      <c r="I121" s="9">
        <f>ROUND(((F121+G121)/2),4)</f>
        <v>11.05</v>
      </c>
      <c r="J121" s="9">
        <f>ROUND(((G121+H121)/2),4)</f>
        <v>12.35</v>
      </c>
      <c r="K121" s="9">
        <f>ROUND((J121-I121),4)</f>
        <v>1.3</v>
      </c>
      <c r="L121" s="9">
        <f>ROUND((K121-D54),4)</f>
        <v>0.0</v>
      </c>
    </row>
    <row r="122" spans="1:12" ht="23" customHeight="1">
      <c r="A122" s="6">
        <v>6</v>
      </c>
      <c r="B122" s="6">
        <v>3</v>
      </c>
      <c r="C122" s="6">
        <v>158</v>
      </c>
      <c r="D122" s="6">
        <v>157</v>
      </c>
      <c r="E122" s="6">
        <v>159</v>
      </c>
      <c r="F122" s="8">
        <v>11.7</v>
      </c>
      <c r="G122" s="8">
        <v>13</v>
      </c>
      <c r="H122" s="8">
        <v>14.3</v>
      </c>
      <c r="I122" s="9">
        <f>ROUND(((F122+G122)/2),4)</f>
        <v>12.35</v>
      </c>
      <c r="J122" s="9">
        <f>ROUND(((G122+H122)/2),4)</f>
        <v>13.65</v>
      </c>
      <c r="K122" s="9">
        <f>ROUND((J122-I122),4)</f>
        <v>1.3</v>
      </c>
      <c r="L122" s="9">
        <f>ROUND((K122-D55),4)</f>
        <v>0.0</v>
      </c>
    </row>
    <row r="123" spans="1:12" ht="23" customHeight="1">
      <c r="A123" s="6">
        <v>6</v>
      </c>
      <c r="B123" s="6">
        <v>3</v>
      </c>
      <c r="C123" s="6">
        <v>159</v>
      </c>
      <c r="D123" s="6">
        <v>158</v>
      </c>
      <c r="E123" s="6">
        <v>160</v>
      </c>
      <c r="F123" s="8">
        <v>13</v>
      </c>
      <c r="G123" s="8">
        <v>14.3</v>
      </c>
      <c r="H123" s="8">
        <v>15.6</v>
      </c>
      <c r="I123" s="9">
        <f>ROUND(((F123+G123)/2),4)</f>
        <v>13.65</v>
      </c>
      <c r="J123" s="9">
        <f>ROUND(((G123+H123)/2),4)</f>
        <v>14.95</v>
      </c>
      <c r="K123" s="9">
        <f>ROUND((J123-I123),4)</f>
        <v>1.3</v>
      </c>
      <c r="L123" s="9">
        <f>ROUND((K123-D56),4)</f>
        <v>0.0</v>
      </c>
    </row>
    <row r="124" spans="1:12" ht="23" customHeight="1">
      <c r="A124" s="6">
        <v>6</v>
      </c>
      <c r="B124" s="6">
        <v>3</v>
      </c>
      <c r="C124" s="6">
        <v>160</v>
      </c>
      <c r="D124" s="6">
        <v>159</v>
      </c>
      <c r="E124" s="6">
        <v>161</v>
      </c>
      <c r="F124" s="8">
        <v>14.3</v>
      </c>
      <c r="G124" s="8">
        <v>15.6</v>
      </c>
      <c r="H124" s="8">
        <v>16.9</v>
      </c>
      <c r="I124" s="9">
        <f>ROUND(((F124+G124)/2),4)</f>
        <v>14.95</v>
      </c>
      <c r="J124" s="9">
        <f>ROUND(((G124+H124)/2),4)</f>
        <v>16.25</v>
      </c>
      <c r="K124" s="9">
        <f>ROUND((J124-I124),4)</f>
        <v>1.3</v>
      </c>
      <c r="L124" s="9">
        <f>ROUND((K124-D57),4)</f>
        <v>0.0</v>
      </c>
    </row>
    <row r="125" spans="1:12" ht="23" customHeight="1">
      <c r="A125" s="6">
        <v>6</v>
      </c>
      <c r="B125" s="6">
        <v>3</v>
      </c>
      <c r="C125" s="6">
        <v>161</v>
      </c>
      <c r="D125" s="6">
        <v>160</v>
      </c>
      <c r="E125" s="6">
        <v>162</v>
      </c>
      <c r="F125" s="8">
        <v>15.6</v>
      </c>
      <c r="G125" s="8">
        <v>16.9</v>
      </c>
      <c r="H125" s="8">
        <v>18.2</v>
      </c>
      <c r="I125" s="9">
        <f>ROUND(((F125+G125)/2),4)</f>
        <v>16.25</v>
      </c>
      <c r="J125" s="9">
        <f>ROUND(((G125+H125)/2),4)</f>
        <v>17.55</v>
      </c>
      <c r="K125" s="9">
        <f>ROUND((J125-I125),4)</f>
        <v>1.3</v>
      </c>
      <c r="L125" s="9">
        <f>ROUND((K125-D58),4)</f>
        <v>0.0</v>
      </c>
    </row>
    <row r="126" spans="1:12" ht="23" customHeight="1">
      <c r="A126" s="6">
        <v>6</v>
      </c>
      <c r="B126" s="6">
        <v>3</v>
      </c>
      <c r="C126" s="6">
        <v>162</v>
      </c>
      <c r="D126" s="6">
        <v>161</v>
      </c>
      <c r="E126" s="6">
        <v>163</v>
      </c>
      <c r="F126" s="8">
        <v>16.9</v>
      </c>
      <c r="G126" s="8">
        <v>18.2</v>
      </c>
      <c r="H126" s="8">
        <v>19.5</v>
      </c>
      <c r="I126" s="9">
        <f>ROUND(((F126+G126)/2),4)</f>
        <v>17.55</v>
      </c>
      <c r="J126" s="9">
        <f>ROUND(((G126+H126)/2),4)</f>
        <v>18.85</v>
      </c>
      <c r="K126" s="9">
        <f>ROUND((J126-I126),4)</f>
        <v>1.3</v>
      </c>
      <c r="L126" s="9">
        <f>ROUND((K126-D59),4)</f>
        <v>0.0</v>
      </c>
    </row>
    <row r="127" spans="1:12" ht="23" customHeight="1">
      <c r="A127" s="6">
        <v>6</v>
      </c>
      <c r="B127" s="6">
        <v>3</v>
      </c>
      <c r="C127" s="6">
        <v>163</v>
      </c>
      <c r="D127" s="6">
        <v>162</v>
      </c>
      <c r="E127" s="6">
        <v>164</v>
      </c>
      <c r="F127" s="8">
        <v>18.2</v>
      </c>
      <c r="G127" s="8">
        <v>19.5</v>
      </c>
      <c r="H127" s="8">
        <v>20.8</v>
      </c>
      <c r="I127" s="9">
        <f>ROUND(((F127+G127)/2),4)</f>
        <v>18.85</v>
      </c>
      <c r="J127" s="9">
        <f>ROUND(((G127+H127)/2),4)</f>
        <v>20.15</v>
      </c>
      <c r="K127" s="9">
        <f>ROUND((J127-I127),4)</f>
        <v>1.3</v>
      </c>
      <c r="L127" s="9">
        <f>ROUND((K127-D60),4)</f>
        <v>0.0</v>
      </c>
    </row>
    <row r="128" spans="1:12" ht="23" customHeight="1">
      <c r="A128" s="6">
        <v>6</v>
      </c>
      <c r="B128" s="6">
        <v>3</v>
      </c>
      <c r="C128" s="6">
        <v>164</v>
      </c>
      <c r="D128" s="6">
        <v>163</v>
      </c>
      <c r="E128" s="6">
        <v>165</v>
      </c>
      <c r="F128" s="8">
        <v>19.5</v>
      </c>
      <c r="G128" s="8">
        <v>20.8</v>
      </c>
      <c r="H128" s="8">
        <v>22.1</v>
      </c>
      <c r="I128" s="9">
        <f>ROUND(((F128+G128)/2),4)</f>
        <v>20.15</v>
      </c>
      <c r="J128" s="9">
        <f>ROUND(((G128+H128)/2),4)</f>
        <v>21.45</v>
      </c>
      <c r="K128" s="9">
        <f>ROUND((J128-I128),4)</f>
        <v>1.3</v>
      </c>
      <c r="L128" s="9">
        <f>ROUND((K128-D61),4)</f>
        <v>0.0</v>
      </c>
    </row>
    <row r="129" spans="1:12" ht="23" customHeight="1">
      <c r="A129" s="6">
        <v>6</v>
      </c>
      <c r="B129" s="6">
        <v>3</v>
      </c>
      <c r="C129" s="6">
        <v>165</v>
      </c>
      <c r="D129" s="6">
        <v>164</v>
      </c>
      <c r="E129" s="6">
        <v>166</v>
      </c>
      <c r="F129" s="8">
        <v>20.8</v>
      </c>
      <c r="G129" s="8">
        <v>22.1</v>
      </c>
      <c r="H129" s="8">
        <v>23.4</v>
      </c>
      <c r="I129" s="9">
        <f>ROUND(((F129+G129)/2),4)</f>
        <v>21.45</v>
      </c>
      <c r="J129" s="9">
        <f>ROUND(((G129+H129)/2),4)</f>
        <v>22.75</v>
      </c>
      <c r="K129" s="9">
        <f>ROUND((J129-I129),4)</f>
        <v>1.3</v>
      </c>
      <c r="L129" s="9">
        <f>ROUND((K129-D62),4)</f>
        <v>0.0</v>
      </c>
    </row>
    <row r="130" spans="1:12" ht="23" customHeight="1">
      <c r="A130" s="6">
        <v>6</v>
      </c>
      <c r="B130" s="6">
        <v>3</v>
      </c>
      <c r="C130" s="6">
        <v>166</v>
      </c>
      <c r="D130" s="6">
        <v>165</v>
      </c>
      <c r="E130" s="6">
        <v>167</v>
      </c>
      <c r="F130" s="8">
        <v>22.1</v>
      </c>
      <c r="G130" s="8">
        <v>23.4</v>
      </c>
      <c r="H130" s="8">
        <v>24.7</v>
      </c>
      <c r="I130" s="9">
        <f>ROUND(((F130+G130)/2),4)</f>
        <v>22.75</v>
      </c>
      <c r="J130" s="9">
        <f>ROUND(((G130+H130)/2),4)</f>
        <v>24.05</v>
      </c>
      <c r="K130" s="9">
        <f>ROUND((J130-I130),4)</f>
        <v>1.3</v>
      </c>
      <c r="L130" s="9">
        <f>ROUND((K130-D63),4)</f>
        <v>0.0</v>
      </c>
    </row>
    <row r="131" spans="1:12" ht="23" customHeight="1">
      <c r="A131" s="6">
        <v>6</v>
      </c>
      <c r="B131" s="6">
        <v>3</v>
      </c>
      <c r="C131" s="6">
        <v>167</v>
      </c>
      <c r="D131" s="6">
        <v>166</v>
      </c>
      <c r="E131" s="6">
        <v>168</v>
      </c>
      <c r="F131" s="8">
        <v>23.4</v>
      </c>
      <c r="G131" s="8">
        <v>24.7</v>
      </c>
      <c r="H131" s="8">
        <v>26</v>
      </c>
      <c r="I131" s="9">
        <f>ROUND(((F131+G131)/2),4)</f>
        <v>24.05</v>
      </c>
      <c r="J131" s="9">
        <f>ROUND(((G131+H131)/2),4)</f>
        <v>25.35</v>
      </c>
      <c r="K131" s="9">
        <f>ROUND((J131-I131),4)</f>
        <v>1.3</v>
      </c>
      <c r="L131" s="9">
        <f>ROUND((K131-D64),4)</f>
        <v>0.0</v>
      </c>
    </row>
    <row r="132" spans="1:12" ht="23" customHeight="1">
      <c r="A132" s="6">
        <v>6</v>
      </c>
      <c r="B132" s="6">
        <v>3</v>
      </c>
      <c r="C132" s="6">
        <v>168</v>
      </c>
      <c r="D132" s="6">
        <v>167</v>
      </c>
      <c r="E132" s="6">
        <v>169</v>
      </c>
      <c r="F132" s="8">
        <v>24.7</v>
      </c>
      <c r="G132" s="8">
        <v>26</v>
      </c>
      <c r="H132" s="8">
        <v>27.3</v>
      </c>
      <c r="I132" s="9">
        <f>ROUND(((F132+G132)/2),4)</f>
        <v>25.35</v>
      </c>
      <c r="J132" s="9">
        <f>ROUND(((G132+H132)/2),4)</f>
        <v>26.65</v>
      </c>
      <c r="K132" s="9">
        <f>ROUND((J132-I132),4)</f>
        <v>1.3</v>
      </c>
      <c r="L132" s="9">
        <f>ROUND((K132-D65),4)</f>
        <v>0.0</v>
      </c>
    </row>
    <row r="133" spans="1:12" ht="23" customHeight="1">
      <c r="A133" s="6">
        <v>6</v>
      </c>
      <c r="B133" s="6">
        <v>3</v>
      </c>
      <c r="C133" s="6">
        <v>169</v>
      </c>
      <c r="D133" s="6">
        <v>168</v>
      </c>
      <c r="E133" s="6">
        <v>170</v>
      </c>
      <c r="F133" s="8">
        <v>26</v>
      </c>
      <c r="G133" s="8">
        <v>27.3</v>
      </c>
      <c r="H133" s="8">
        <v>28.6</v>
      </c>
      <c r="I133" s="9">
        <f>ROUND(((F133+G133)/2),4)</f>
        <v>26.65</v>
      </c>
      <c r="J133" s="9">
        <f>ROUND(((G133+H133)/2),4)</f>
        <v>27.95</v>
      </c>
      <c r="K133" s="9">
        <f>ROUND((J133-I133),4)</f>
        <v>1.3</v>
      </c>
      <c r="L133" s="9">
        <f>ROUND((K133-D66),4)</f>
        <v>0.0</v>
      </c>
    </row>
    <row r="134" spans="1:12" ht="23" customHeight="1">
      <c r="A134" s="6">
        <v>6</v>
      </c>
      <c r="B134" s="6">
        <v>3</v>
      </c>
      <c r="C134" s="6">
        <v>170</v>
      </c>
      <c r="D134" s="6">
        <v>169</v>
      </c>
      <c r="E134" s="6">
        <v>171</v>
      </c>
      <c r="F134" s="8">
        <v>27.3</v>
      </c>
      <c r="G134" s="8">
        <v>28.6</v>
      </c>
      <c r="H134" s="8">
        <v>29.9</v>
      </c>
      <c r="I134" s="9">
        <f>ROUND(((F134+G134)/2),4)</f>
        <v>27.95</v>
      </c>
      <c r="J134" s="9">
        <f>ROUND(((G134+H134)/2),4)</f>
        <v>29.25</v>
      </c>
      <c r="K134" s="9">
        <f>ROUND((J134-I134),4)</f>
        <v>1.3</v>
      </c>
      <c r="L134" s="9">
        <f>ROUND((K134-D67),4)</f>
        <v>0.0</v>
      </c>
    </row>
    <row r="135" spans="1:12" ht="23" customHeight="1">
      <c r="A135" s="6">
        <v>6</v>
      </c>
      <c r="B135" s="6">
        <v>3</v>
      </c>
      <c r="C135" s="6">
        <v>171</v>
      </c>
      <c r="D135" s="6">
        <v>170</v>
      </c>
      <c r="E135" s="6">
        <v>172</v>
      </c>
      <c r="F135" s="8">
        <v>28.6</v>
      </c>
      <c r="G135" s="8">
        <v>29.9</v>
      </c>
      <c r="H135" s="8">
        <v>31</v>
      </c>
      <c r="I135" s="9">
        <f>ROUND(((F135+G135)/2),4)</f>
        <v>29.25</v>
      </c>
      <c r="J135" s="9">
        <f>ROUND(((G135+H135)/2),4)</f>
        <v>30.45</v>
      </c>
      <c r="K135" s="9">
        <f>ROUND((J135-I135),4)</f>
        <v>1.2</v>
      </c>
      <c r="L135" s="9">
        <f>ROUND((K135-D68),4)</f>
        <v>0.75</v>
      </c>
    </row>
    <row r="136" spans="1:12" ht="23" customHeight="1"/>
    <row r="137" spans="1:12" ht="24" customHeight="1">
      <c r="A137" s="3" t="s">
        <v>338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36" customHeight="1">
      <c r="A138" s="4" t="s">
        <v>8</v>
      </c>
      <c r="B138" s="4" t="s">
        <v>30</v>
      </c>
      <c r="C138" s="4" t="s">
        <v>63</v>
      </c>
      <c r="D138" s="4" t="s">
        <v>65</v>
      </c>
      <c r="E138" s="4" t="s">
        <v>66</v>
      </c>
      <c r="F138" s="4" t="s">
        <v>339</v>
      </c>
      <c r="G138" s="4" t="s">
        <v>340</v>
      </c>
      <c r="H138" s="4" t="s">
        <v>341</v>
      </c>
      <c r="I138" s="4" t="s">
        <v>67</v>
      </c>
      <c r="J138" s="4" t="s">
        <v>68</v>
      </c>
      <c r="K138" s="4" t="s">
        <v>314</v>
      </c>
    </row>
    <row r="139" spans="1:12" ht="23" customHeight="1">
      <c r="A139" s="6">
        <v>4</v>
      </c>
      <c r="B139" s="6">
        <v>102</v>
      </c>
      <c r="C139" s="6">
        <v>3</v>
      </c>
      <c r="D139" s="8">
        <v>2.8</v>
      </c>
      <c r="E139" s="8">
        <v>5.7</v>
      </c>
      <c r="F139" s="9">
        <f>ROUND((E139-D139),4)</f>
        <v>2.9</v>
      </c>
      <c r="G139" s="9">
        <f>MAX(D139,B72)</f>
        <v>4.945</v>
      </c>
      <c r="H139" s="9">
        <f>MIN(E139,D72)</f>
        <v>5.7</v>
      </c>
      <c r="I139" s="9">
        <f>MAX(I76,G139)</f>
        <v>4.945</v>
      </c>
      <c r="J139" s="9">
        <f>MIN(J76,H139)</f>
        <v>5.7</v>
      </c>
      <c r="K139" s="9">
        <f>MAX(0,ROUND((J139-I139),4))</f>
        <v>0.755</v>
      </c>
    </row>
    <row r="140" spans="1:12" ht="23" customHeight="1">
      <c r="A140" s="6">
        <v>4</v>
      </c>
      <c r="B140" s="6">
        <v>102</v>
      </c>
      <c r="C140" s="6">
        <v>4</v>
      </c>
      <c r="D140" s="8">
        <v>5.7</v>
      </c>
      <c r="E140" s="8">
        <v>8.300000000000001</v>
      </c>
      <c r="F140" s="9">
        <f>ROUND((E140-D140),4)</f>
        <v>2.6</v>
      </c>
      <c r="G140" s="9">
        <f>MAX(D140,B72)</f>
        <v>5.7</v>
      </c>
      <c r="H140" s="9">
        <f>MIN(E140,D72)</f>
        <v>8.3</v>
      </c>
      <c r="I140" s="9">
        <f>MAX(I76,G140)</f>
        <v>5.7</v>
      </c>
      <c r="J140" s="9">
        <f>MIN(J76,H140)</f>
        <v>5.85</v>
      </c>
      <c r="K140" s="9">
        <f>MAX(0,ROUND((J140-I140),4))</f>
        <v>0.15</v>
      </c>
    </row>
    <row r="141" spans="1:12" ht="23" customHeight="1">
      <c r="A141" s="6">
        <v>4</v>
      </c>
      <c r="B141" s="6">
        <v>103</v>
      </c>
      <c r="C141" s="6">
        <v>4</v>
      </c>
      <c r="D141" s="8">
        <v>5.7</v>
      </c>
      <c r="E141" s="8">
        <v>8.300000000000001</v>
      </c>
      <c r="F141" s="9">
        <f>ROUND((E141-D141),4)</f>
        <v>2.6</v>
      </c>
      <c r="G141" s="9">
        <f>MAX(D141,B72)</f>
        <v>5.7</v>
      </c>
      <c r="H141" s="9">
        <f>MIN(E141,D72)</f>
        <v>8.3</v>
      </c>
      <c r="I141" s="9">
        <f>MAX(I77,G141)</f>
        <v>5.85</v>
      </c>
      <c r="J141" s="9">
        <f>MIN(J77,H141)</f>
        <v>7.15</v>
      </c>
      <c r="K141" s="9">
        <f>MAX(0,ROUND((J141-I141),4))</f>
        <v>1.3</v>
      </c>
    </row>
    <row r="142" spans="1:12" ht="23" customHeight="1">
      <c r="A142" s="6">
        <v>4</v>
      </c>
      <c r="B142" s="6">
        <v>104</v>
      </c>
      <c r="C142" s="6">
        <v>4</v>
      </c>
      <c r="D142" s="8">
        <v>5.7</v>
      </c>
      <c r="E142" s="8">
        <v>8.300000000000001</v>
      </c>
      <c r="F142" s="9">
        <f>ROUND((E142-D142),4)</f>
        <v>2.6</v>
      </c>
      <c r="G142" s="9">
        <f>MAX(D142,B72)</f>
        <v>5.7</v>
      </c>
      <c r="H142" s="9">
        <f>MIN(E142,D72)</f>
        <v>8.3</v>
      </c>
      <c r="I142" s="9">
        <f>MAX(I78,G142)</f>
        <v>7.15</v>
      </c>
      <c r="J142" s="9">
        <f>MIN(J78,H142)</f>
        <v>8.3</v>
      </c>
      <c r="K142" s="9">
        <f>MAX(0,ROUND((J142-I142),4))</f>
        <v>1.15</v>
      </c>
    </row>
    <row r="143" spans="1:12" ht="23" customHeight="1">
      <c r="A143" s="6">
        <v>4</v>
      </c>
      <c r="B143" s="6">
        <v>104</v>
      </c>
      <c r="C143" s="6">
        <v>5</v>
      </c>
      <c r="D143" s="8">
        <v>8.300000000000001</v>
      </c>
      <c r="E143" s="8">
        <v>8.9</v>
      </c>
      <c r="F143" s="9">
        <f>ROUND((E143-D143),4)</f>
        <v>0.6</v>
      </c>
      <c r="G143" s="9">
        <f>MAX(D143,B72)</f>
        <v>8.3</v>
      </c>
      <c r="H143" s="9">
        <f>MIN(E143,D72)</f>
        <v>8.9</v>
      </c>
      <c r="I143" s="9">
        <f>MAX(I78,G143)</f>
        <v>8.3</v>
      </c>
      <c r="J143" s="9">
        <f>MIN(J78,H143)</f>
        <v>8.45</v>
      </c>
      <c r="K143" s="9">
        <f>MAX(0,ROUND((J143-I143),4))</f>
        <v>0.15</v>
      </c>
    </row>
    <row r="144" spans="1:12" ht="23" customHeight="1">
      <c r="A144" s="6">
        <v>4</v>
      </c>
      <c r="B144" s="6">
        <v>105</v>
      </c>
      <c r="C144" s="6">
        <v>5</v>
      </c>
      <c r="D144" s="8">
        <v>8.300000000000001</v>
      </c>
      <c r="E144" s="8">
        <v>8.9</v>
      </c>
      <c r="F144" s="9">
        <f>ROUND((E144-D144),4)</f>
        <v>0.6</v>
      </c>
      <c r="G144" s="9">
        <f>MAX(D144,B72)</f>
        <v>8.3</v>
      </c>
      <c r="H144" s="9">
        <f>MIN(E144,D72)</f>
        <v>8.9</v>
      </c>
      <c r="I144" s="9">
        <f>MAX(I79,G144)</f>
        <v>8.45</v>
      </c>
      <c r="J144" s="9">
        <f>MIN(J79,H144)</f>
        <v>8.9</v>
      </c>
      <c r="K144" s="9">
        <f>MAX(0,ROUND((J144-I144),4))</f>
        <v>0.45</v>
      </c>
    </row>
    <row r="145" spans="1:11" ht="23" customHeight="1">
      <c r="A145" s="6">
        <v>4</v>
      </c>
      <c r="B145" s="6">
        <v>105</v>
      </c>
      <c r="C145" s="6">
        <v>6</v>
      </c>
      <c r="D145" s="8">
        <v>8.9</v>
      </c>
      <c r="E145" s="8">
        <v>18.4</v>
      </c>
      <c r="F145" s="9">
        <f>ROUND((E145-D145),4)</f>
        <v>9.5</v>
      </c>
      <c r="G145" s="9">
        <f>MAX(D145,B72)</f>
        <v>8.9</v>
      </c>
      <c r="H145" s="9">
        <f>MIN(E145,D72)</f>
        <v>18.4</v>
      </c>
      <c r="I145" s="9">
        <f>MAX(I79,G145)</f>
        <v>8.9</v>
      </c>
      <c r="J145" s="9">
        <f>MIN(J79,H145)</f>
        <v>9.75</v>
      </c>
      <c r="K145" s="9">
        <f>MAX(0,ROUND((J145-I145),4))</f>
        <v>0.85</v>
      </c>
    </row>
    <row r="146" spans="1:11" ht="23" customHeight="1">
      <c r="A146" s="6">
        <v>4</v>
      </c>
      <c r="B146" s="6">
        <v>106</v>
      </c>
      <c r="C146" s="6">
        <v>6</v>
      </c>
      <c r="D146" s="8">
        <v>8.9</v>
      </c>
      <c r="E146" s="8">
        <v>18.4</v>
      </c>
      <c r="F146" s="9">
        <f>ROUND((E146-D146),4)</f>
        <v>9.5</v>
      </c>
      <c r="G146" s="9">
        <f>MAX(D146,B72)</f>
        <v>8.9</v>
      </c>
      <c r="H146" s="9">
        <f>MIN(E146,D72)</f>
        <v>18.4</v>
      </c>
      <c r="I146" s="9">
        <f>MAX(I80,G146)</f>
        <v>9.75</v>
      </c>
      <c r="J146" s="9">
        <f>MIN(J80,H146)</f>
        <v>11.05</v>
      </c>
      <c r="K146" s="9">
        <f>MAX(0,ROUND((J146-I146),4))</f>
        <v>1.3</v>
      </c>
    </row>
    <row r="147" spans="1:11" ht="23" customHeight="1">
      <c r="A147" s="6">
        <v>4</v>
      </c>
      <c r="B147" s="6">
        <v>107</v>
      </c>
      <c r="C147" s="6">
        <v>6</v>
      </c>
      <c r="D147" s="8">
        <v>8.9</v>
      </c>
      <c r="E147" s="8">
        <v>18.4</v>
      </c>
      <c r="F147" s="9">
        <f>ROUND((E147-D147),4)</f>
        <v>9.5</v>
      </c>
      <c r="G147" s="9">
        <f>MAX(D147,B72)</f>
        <v>8.9</v>
      </c>
      <c r="H147" s="9">
        <f>MIN(E147,D72)</f>
        <v>18.4</v>
      </c>
      <c r="I147" s="9">
        <f>MAX(I81,G147)</f>
        <v>11.05</v>
      </c>
      <c r="J147" s="9">
        <f>MIN(J81,H147)</f>
        <v>12.35</v>
      </c>
      <c r="K147" s="9">
        <f>MAX(0,ROUND((J147-I147),4))</f>
        <v>1.3</v>
      </c>
    </row>
    <row r="148" spans="1:11" ht="23" customHeight="1">
      <c r="A148" s="6">
        <v>4</v>
      </c>
      <c r="B148" s="6">
        <v>108</v>
      </c>
      <c r="C148" s="6">
        <v>6</v>
      </c>
      <c r="D148" s="8">
        <v>8.9</v>
      </c>
      <c r="E148" s="8">
        <v>18.4</v>
      </c>
      <c r="F148" s="9">
        <f>ROUND((E148-D148),4)</f>
        <v>9.5</v>
      </c>
      <c r="G148" s="9">
        <f>MAX(D148,B72)</f>
        <v>8.9</v>
      </c>
      <c r="H148" s="9">
        <f>MIN(E148,D72)</f>
        <v>18.4</v>
      </c>
      <c r="I148" s="9">
        <f>MAX(I82,G148)</f>
        <v>12.35</v>
      </c>
      <c r="J148" s="9">
        <f>MIN(J82,H148)</f>
        <v>13.65</v>
      </c>
      <c r="K148" s="9">
        <f>MAX(0,ROUND((J148-I148),4))</f>
        <v>1.3</v>
      </c>
    </row>
    <row r="149" spans="1:11" ht="23" customHeight="1">
      <c r="A149" s="6">
        <v>4</v>
      </c>
      <c r="B149" s="6">
        <v>109</v>
      </c>
      <c r="C149" s="6">
        <v>6</v>
      </c>
      <c r="D149" s="8">
        <v>8.9</v>
      </c>
      <c r="E149" s="8">
        <v>18.4</v>
      </c>
      <c r="F149" s="9">
        <f>ROUND((E149-D149),4)</f>
        <v>9.5</v>
      </c>
      <c r="G149" s="9">
        <f>MAX(D149,B72)</f>
        <v>8.9</v>
      </c>
      <c r="H149" s="9">
        <f>MIN(E149,D72)</f>
        <v>18.4</v>
      </c>
      <c r="I149" s="9">
        <f>MAX(I83,G149)</f>
        <v>13.65</v>
      </c>
      <c r="J149" s="9">
        <f>MIN(J83,H149)</f>
        <v>14.95</v>
      </c>
      <c r="K149" s="9">
        <f>MAX(0,ROUND((J149-I149),4))</f>
        <v>1.3</v>
      </c>
    </row>
    <row r="150" spans="1:11" ht="23" customHeight="1">
      <c r="A150" s="6">
        <v>4</v>
      </c>
      <c r="B150" s="6">
        <v>110</v>
      </c>
      <c r="C150" s="6">
        <v>6</v>
      </c>
      <c r="D150" s="8">
        <v>8.9</v>
      </c>
      <c r="E150" s="8">
        <v>18.4</v>
      </c>
      <c r="F150" s="9">
        <f>ROUND((E150-D150),4)</f>
        <v>9.5</v>
      </c>
      <c r="G150" s="9">
        <f>MAX(D150,B72)</f>
        <v>8.9</v>
      </c>
      <c r="H150" s="9">
        <f>MIN(E150,D72)</f>
        <v>18.4</v>
      </c>
      <c r="I150" s="9">
        <f>MAX(I84,G150)</f>
        <v>14.95</v>
      </c>
      <c r="J150" s="9">
        <f>MIN(J84,H150)</f>
        <v>16.25</v>
      </c>
      <c r="K150" s="9">
        <f>MAX(0,ROUND((J150-I150),4))</f>
        <v>1.3</v>
      </c>
    </row>
    <row r="151" spans="1:11" ht="23" customHeight="1">
      <c r="A151" s="6">
        <v>4</v>
      </c>
      <c r="B151" s="6">
        <v>111</v>
      </c>
      <c r="C151" s="6">
        <v>6</v>
      </c>
      <c r="D151" s="8">
        <v>8.9</v>
      </c>
      <c r="E151" s="8">
        <v>18.4</v>
      </c>
      <c r="F151" s="9">
        <f>ROUND((E151-D151),4)</f>
        <v>9.5</v>
      </c>
      <c r="G151" s="9">
        <f>MAX(D151,B72)</f>
        <v>8.9</v>
      </c>
      <c r="H151" s="9">
        <f>MIN(E151,D72)</f>
        <v>18.4</v>
      </c>
      <c r="I151" s="9">
        <f>MAX(I85,G151)</f>
        <v>16.25</v>
      </c>
      <c r="J151" s="9">
        <f>MIN(J85,H151)</f>
        <v>17.55</v>
      </c>
      <c r="K151" s="9">
        <f>MAX(0,ROUND((J151-I151),4))</f>
        <v>1.3</v>
      </c>
    </row>
    <row r="152" spans="1:11" ht="23" customHeight="1">
      <c r="A152" s="6">
        <v>4</v>
      </c>
      <c r="B152" s="6">
        <v>112</v>
      </c>
      <c r="C152" s="6">
        <v>6</v>
      </c>
      <c r="D152" s="8">
        <v>8.9</v>
      </c>
      <c r="E152" s="8">
        <v>18.4</v>
      </c>
      <c r="F152" s="9">
        <f>ROUND((E152-D152),4)</f>
        <v>9.5</v>
      </c>
      <c r="G152" s="9">
        <f>MAX(D152,B72)</f>
        <v>8.9</v>
      </c>
      <c r="H152" s="9">
        <f>MIN(E152,D72)</f>
        <v>18.4</v>
      </c>
      <c r="I152" s="9">
        <f>MAX(I86,G152)</f>
        <v>17.55</v>
      </c>
      <c r="J152" s="9">
        <f>MIN(J86,H152)</f>
        <v>18.4</v>
      </c>
      <c r="K152" s="9">
        <f>MAX(0,ROUND((J152-I152),4))</f>
        <v>0.85</v>
      </c>
    </row>
    <row r="153" spans="1:11" ht="23" customHeight="1">
      <c r="A153" s="6">
        <v>4</v>
      </c>
      <c r="B153" s="6">
        <v>112</v>
      </c>
      <c r="C153" s="6">
        <v>7</v>
      </c>
      <c r="D153" s="8">
        <v>18.4</v>
      </c>
      <c r="E153" s="8">
        <v>31</v>
      </c>
      <c r="F153" s="9">
        <f>ROUND((E153-D153),4)</f>
        <v>12.6</v>
      </c>
      <c r="G153" s="9">
        <f>MAX(D153,B72)</f>
        <v>18.4</v>
      </c>
      <c r="H153" s="9">
        <f>MIN(E153,D72)</f>
        <v>29.7</v>
      </c>
      <c r="I153" s="9">
        <f>MAX(I86,G153)</f>
        <v>18.4</v>
      </c>
      <c r="J153" s="9">
        <f>MIN(J86,H153)</f>
        <v>18.85</v>
      </c>
      <c r="K153" s="9">
        <f>MAX(0,ROUND((J153-I153),4))</f>
        <v>0.45</v>
      </c>
    </row>
    <row r="154" spans="1:11" ht="23" customHeight="1">
      <c r="A154" s="6">
        <v>4</v>
      </c>
      <c r="B154" s="6">
        <v>113</v>
      </c>
      <c r="C154" s="6">
        <v>7</v>
      </c>
      <c r="D154" s="8">
        <v>18.4</v>
      </c>
      <c r="E154" s="8">
        <v>31</v>
      </c>
      <c r="F154" s="9">
        <f>ROUND((E154-D154),4)</f>
        <v>12.6</v>
      </c>
      <c r="G154" s="9">
        <f>MAX(D154,B72)</f>
        <v>18.4</v>
      </c>
      <c r="H154" s="9">
        <f>MIN(E154,D72)</f>
        <v>29.7</v>
      </c>
      <c r="I154" s="9">
        <f>MAX(I87,G154)</f>
        <v>18.85</v>
      </c>
      <c r="J154" s="9">
        <f>MIN(J87,H154)</f>
        <v>20.15</v>
      </c>
      <c r="K154" s="9">
        <f>MAX(0,ROUND((J154-I154),4))</f>
        <v>1.3</v>
      </c>
    </row>
    <row r="155" spans="1:11" ht="23" customHeight="1">
      <c r="A155" s="6">
        <v>4</v>
      </c>
      <c r="B155" s="6">
        <v>114</v>
      </c>
      <c r="C155" s="6">
        <v>7</v>
      </c>
      <c r="D155" s="8">
        <v>18.4</v>
      </c>
      <c r="E155" s="8">
        <v>31</v>
      </c>
      <c r="F155" s="9">
        <f>ROUND((E155-D155),4)</f>
        <v>12.6</v>
      </c>
      <c r="G155" s="9">
        <f>MAX(D155,B72)</f>
        <v>18.4</v>
      </c>
      <c r="H155" s="9">
        <f>MIN(E155,D72)</f>
        <v>29.7</v>
      </c>
      <c r="I155" s="9">
        <f>MAX(I88,G155)</f>
        <v>20.15</v>
      </c>
      <c r="J155" s="9">
        <f>MIN(J88,H155)</f>
        <v>21.45</v>
      </c>
      <c r="K155" s="9">
        <f>MAX(0,ROUND((J155-I155),4))</f>
        <v>1.3</v>
      </c>
    </row>
    <row r="156" spans="1:11" ht="23" customHeight="1">
      <c r="A156" s="6">
        <v>4</v>
      </c>
      <c r="B156" s="6">
        <v>115</v>
      </c>
      <c r="C156" s="6">
        <v>7</v>
      </c>
      <c r="D156" s="8">
        <v>18.4</v>
      </c>
      <c r="E156" s="8">
        <v>31</v>
      </c>
      <c r="F156" s="9">
        <f>ROUND((E156-D156),4)</f>
        <v>12.6</v>
      </c>
      <c r="G156" s="9">
        <f>MAX(D156,B72)</f>
        <v>18.4</v>
      </c>
      <c r="H156" s="9">
        <f>MIN(E156,D72)</f>
        <v>29.7</v>
      </c>
      <c r="I156" s="9">
        <f>MAX(I89,G156)</f>
        <v>21.45</v>
      </c>
      <c r="J156" s="9">
        <f>MIN(J89,H156)</f>
        <v>22.75</v>
      </c>
      <c r="K156" s="9">
        <f>MAX(0,ROUND((J156-I156),4))</f>
        <v>1.3</v>
      </c>
    </row>
    <row r="157" spans="1:11" ht="23" customHeight="1">
      <c r="A157" s="6">
        <v>4</v>
      </c>
      <c r="B157" s="6">
        <v>116</v>
      </c>
      <c r="C157" s="6">
        <v>7</v>
      </c>
      <c r="D157" s="8">
        <v>18.4</v>
      </c>
      <c r="E157" s="8">
        <v>31</v>
      </c>
      <c r="F157" s="9">
        <f>ROUND((E157-D157),4)</f>
        <v>12.6</v>
      </c>
      <c r="G157" s="9">
        <f>MAX(D157,B72)</f>
        <v>18.4</v>
      </c>
      <c r="H157" s="9">
        <f>MIN(E157,D72)</f>
        <v>29.7</v>
      </c>
      <c r="I157" s="9">
        <f>MAX(I90,G157)</f>
        <v>22.75</v>
      </c>
      <c r="J157" s="9">
        <f>MIN(J90,H157)</f>
        <v>24.05</v>
      </c>
      <c r="K157" s="9">
        <f>MAX(0,ROUND((J157-I157),4))</f>
        <v>1.3</v>
      </c>
    </row>
    <row r="158" spans="1:11" ht="23" customHeight="1">
      <c r="A158" s="6">
        <v>4</v>
      </c>
      <c r="B158" s="6">
        <v>117</v>
      </c>
      <c r="C158" s="6">
        <v>7</v>
      </c>
      <c r="D158" s="8">
        <v>18.4</v>
      </c>
      <c r="E158" s="8">
        <v>31</v>
      </c>
      <c r="F158" s="9">
        <f>ROUND((E158-D158),4)</f>
        <v>12.6</v>
      </c>
      <c r="G158" s="9">
        <f>MAX(D158,B72)</f>
        <v>18.4</v>
      </c>
      <c r="H158" s="9">
        <f>MIN(E158,D72)</f>
        <v>29.7</v>
      </c>
      <c r="I158" s="9">
        <f>MAX(I91,G158)</f>
        <v>24.05</v>
      </c>
      <c r="J158" s="9">
        <f>MIN(J91,H158)</f>
        <v>25.35</v>
      </c>
      <c r="K158" s="9">
        <f>MAX(0,ROUND((J158-I158),4))</f>
        <v>1.3</v>
      </c>
    </row>
    <row r="159" spans="1:11" ht="23" customHeight="1">
      <c r="A159" s="6">
        <v>4</v>
      </c>
      <c r="B159" s="6">
        <v>118</v>
      </c>
      <c r="C159" s="6">
        <v>7</v>
      </c>
      <c r="D159" s="8">
        <v>18.4</v>
      </c>
      <c r="E159" s="8">
        <v>31</v>
      </c>
      <c r="F159" s="9">
        <f>ROUND((E159-D159),4)</f>
        <v>12.6</v>
      </c>
      <c r="G159" s="9">
        <f>MAX(D159,B72)</f>
        <v>18.4</v>
      </c>
      <c r="H159" s="9">
        <f>MIN(E159,D72)</f>
        <v>29.7</v>
      </c>
      <c r="I159" s="9">
        <f>MAX(I92,G159)</f>
        <v>25.35</v>
      </c>
      <c r="J159" s="9">
        <f>MIN(J92,H159)</f>
        <v>26.65</v>
      </c>
      <c r="K159" s="9">
        <f>MAX(0,ROUND((J159-I159),4))</f>
        <v>1.3</v>
      </c>
    </row>
    <row r="160" spans="1:11" ht="23" customHeight="1">
      <c r="A160" s="6">
        <v>4</v>
      </c>
      <c r="B160" s="6">
        <v>119</v>
      </c>
      <c r="C160" s="6">
        <v>7</v>
      </c>
      <c r="D160" s="8">
        <v>18.4</v>
      </c>
      <c r="E160" s="8">
        <v>31</v>
      </c>
      <c r="F160" s="9">
        <f>ROUND((E160-D160),4)</f>
        <v>12.6</v>
      </c>
      <c r="G160" s="9">
        <f>MAX(D160,B72)</f>
        <v>18.4</v>
      </c>
      <c r="H160" s="9">
        <f>MIN(E160,D72)</f>
        <v>29.7</v>
      </c>
      <c r="I160" s="9">
        <f>MAX(I93,G160)</f>
        <v>26.65</v>
      </c>
      <c r="J160" s="9">
        <f>MIN(J93,H160)</f>
        <v>27.95</v>
      </c>
      <c r="K160" s="9">
        <f>MAX(0,ROUND((J160-I160),4))</f>
        <v>1.3</v>
      </c>
    </row>
    <row r="161" spans="1:11" ht="23" customHeight="1">
      <c r="A161" s="6">
        <v>4</v>
      </c>
      <c r="B161" s="6">
        <v>120</v>
      </c>
      <c r="C161" s="6">
        <v>7</v>
      </c>
      <c r="D161" s="8">
        <v>18.4</v>
      </c>
      <c r="E161" s="8">
        <v>31</v>
      </c>
      <c r="F161" s="9">
        <f>ROUND((E161-D161),4)</f>
        <v>12.6</v>
      </c>
      <c r="G161" s="9">
        <f>MAX(D161,B72)</f>
        <v>18.4</v>
      </c>
      <c r="H161" s="9">
        <f>MIN(E161,D72)</f>
        <v>29.7</v>
      </c>
      <c r="I161" s="9">
        <f>MAX(I94,G161)</f>
        <v>27.95</v>
      </c>
      <c r="J161" s="9">
        <f>MIN(J94,H161)</f>
        <v>29.25</v>
      </c>
      <c r="K161" s="9">
        <f>MAX(0,ROUND((J161-I161),4))</f>
        <v>1.3</v>
      </c>
    </row>
    <row r="162" spans="1:11" ht="23" customHeight="1">
      <c r="A162" s="6">
        <v>4</v>
      </c>
      <c r="B162" s="6">
        <v>121</v>
      </c>
      <c r="C162" s="6">
        <v>7</v>
      </c>
      <c r="D162" s="8">
        <v>18.4</v>
      </c>
      <c r="E162" s="8">
        <v>31</v>
      </c>
      <c r="F162" s="9">
        <f>ROUND((E162-D162),4)</f>
        <v>12.6</v>
      </c>
      <c r="G162" s="9">
        <f>MAX(D162,B72)</f>
        <v>18.4</v>
      </c>
      <c r="H162" s="9">
        <f>MIN(E162,D72)</f>
        <v>29.7</v>
      </c>
      <c r="I162" s="9">
        <f>MAX(I95,G162)</f>
        <v>29.25</v>
      </c>
      <c r="J162" s="9">
        <f>MIN(J95,H162)</f>
        <v>29.7</v>
      </c>
      <c r="K162" s="9">
        <f>MAX(0,ROUND((J162-I162),4))</f>
        <v>0.45</v>
      </c>
    </row>
    <row r="163" spans="1:11" ht="23" customHeight="1">
      <c r="A163" s="6">
        <v>5</v>
      </c>
      <c r="B163" s="6">
        <v>127</v>
      </c>
      <c r="C163" s="6">
        <v>3</v>
      </c>
      <c r="D163" s="8">
        <v>2.8</v>
      </c>
      <c r="E163" s="8">
        <v>5.7</v>
      </c>
      <c r="F163" s="9">
        <f>ROUND((E163-D163),4)</f>
        <v>2.9</v>
      </c>
      <c r="G163" s="9">
        <f>MAX(D163,B72)</f>
        <v>4.945</v>
      </c>
      <c r="H163" s="9">
        <f>MIN(E163,D72)</f>
        <v>5.7</v>
      </c>
      <c r="I163" s="9">
        <f>MAX(I96,G163)</f>
        <v>4.945</v>
      </c>
      <c r="J163" s="9">
        <f>MIN(J96,H163)</f>
        <v>5.7</v>
      </c>
      <c r="K163" s="9">
        <f>MAX(0,ROUND((J163-I163),4))</f>
        <v>0.755</v>
      </c>
    </row>
    <row r="164" spans="1:11" ht="23" customHeight="1">
      <c r="A164" s="6">
        <v>5</v>
      </c>
      <c r="B164" s="6">
        <v>127</v>
      </c>
      <c r="C164" s="6">
        <v>4</v>
      </c>
      <c r="D164" s="8">
        <v>5.7</v>
      </c>
      <c r="E164" s="8">
        <v>8.300000000000001</v>
      </c>
      <c r="F164" s="9">
        <f>ROUND((E164-D164),4)</f>
        <v>2.6</v>
      </c>
      <c r="G164" s="9">
        <f>MAX(D164,B72)</f>
        <v>5.7</v>
      </c>
      <c r="H164" s="9">
        <f>MIN(E164,D72)</f>
        <v>8.3</v>
      </c>
      <c r="I164" s="9">
        <f>MAX(I96,G164)</f>
        <v>5.7</v>
      </c>
      <c r="J164" s="9">
        <f>MIN(J96,H164)</f>
        <v>5.85</v>
      </c>
      <c r="K164" s="9">
        <f>MAX(0,ROUND((J164-I164),4))</f>
        <v>0.15</v>
      </c>
    </row>
    <row r="165" spans="1:11" ht="23" customHeight="1">
      <c r="A165" s="6">
        <v>5</v>
      </c>
      <c r="B165" s="6">
        <v>128</v>
      </c>
      <c r="C165" s="6">
        <v>4</v>
      </c>
      <c r="D165" s="8">
        <v>5.7</v>
      </c>
      <c r="E165" s="8">
        <v>8.300000000000001</v>
      </c>
      <c r="F165" s="9">
        <f>ROUND((E165-D165),4)</f>
        <v>2.6</v>
      </c>
      <c r="G165" s="9">
        <f>MAX(D165,B72)</f>
        <v>5.7</v>
      </c>
      <c r="H165" s="9">
        <f>MIN(E165,D72)</f>
        <v>8.3</v>
      </c>
      <c r="I165" s="9">
        <f>MAX(I97,G165)</f>
        <v>5.85</v>
      </c>
      <c r="J165" s="9">
        <f>MIN(J97,H165)</f>
        <v>7.15</v>
      </c>
      <c r="K165" s="9">
        <f>MAX(0,ROUND((J165-I165),4))</f>
        <v>1.3</v>
      </c>
    </row>
    <row r="166" spans="1:11" ht="23" customHeight="1">
      <c r="A166" s="6">
        <v>5</v>
      </c>
      <c r="B166" s="6">
        <v>129</v>
      </c>
      <c r="C166" s="6">
        <v>4</v>
      </c>
      <c r="D166" s="8">
        <v>5.7</v>
      </c>
      <c r="E166" s="8">
        <v>8.300000000000001</v>
      </c>
      <c r="F166" s="9">
        <f>ROUND((E166-D166),4)</f>
        <v>2.6</v>
      </c>
      <c r="G166" s="9">
        <f>MAX(D166,B72)</f>
        <v>5.7</v>
      </c>
      <c r="H166" s="9">
        <f>MIN(E166,D72)</f>
        <v>8.3</v>
      </c>
      <c r="I166" s="9">
        <f>MAX(I98,G166)</f>
        <v>7.15</v>
      </c>
      <c r="J166" s="9">
        <f>MIN(J98,H166)</f>
        <v>8.3</v>
      </c>
      <c r="K166" s="9">
        <f>MAX(0,ROUND((J166-I166),4))</f>
        <v>1.15</v>
      </c>
    </row>
    <row r="167" spans="1:11" ht="23" customHeight="1">
      <c r="A167" s="6">
        <v>5</v>
      </c>
      <c r="B167" s="6">
        <v>129</v>
      </c>
      <c r="C167" s="6">
        <v>5</v>
      </c>
      <c r="D167" s="8">
        <v>8.300000000000001</v>
      </c>
      <c r="E167" s="8">
        <v>8.9</v>
      </c>
      <c r="F167" s="9">
        <f>ROUND((E167-D167),4)</f>
        <v>0.6</v>
      </c>
      <c r="G167" s="9">
        <f>MAX(D167,B72)</f>
        <v>8.3</v>
      </c>
      <c r="H167" s="9">
        <f>MIN(E167,D72)</f>
        <v>8.9</v>
      </c>
      <c r="I167" s="9">
        <f>MAX(I98,G167)</f>
        <v>8.3</v>
      </c>
      <c r="J167" s="9">
        <f>MIN(J98,H167)</f>
        <v>8.45</v>
      </c>
      <c r="K167" s="9">
        <f>MAX(0,ROUND((J167-I167),4))</f>
        <v>0.15</v>
      </c>
    </row>
    <row r="168" spans="1:11" ht="23" customHeight="1">
      <c r="A168" s="6">
        <v>5</v>
      </c>
      <c r="B168" s="6">
        <v>130</v>
      </c>
      <c r="C168" s="6">
        <v>5</v>
      </c>
      <c r="D168" s="8">
        <v>8.300000000000001</v>
      </c>
      <c r="E168" s="8">
        <v>8.9</v>
      </c>
      <c r="F168" s="9">
        <f>ROUND((E168-D168),4)</f>
        <v>0.6</v>
      </c>
      <c r="G168" s="9">
        <f>MAX(D168,B72)</f>
        <v>8.3</v>
      </c>
      <c r="H168" s="9">
        <f>MIN(E168,D72)</f>
        <v>8.9</v>
      </c>
      <c r="I168" s="9">
        <f>MAX(I99,G168)</f>
        <v>8.45</v>
      </c>
      <c r="J168" s="9">
        <f>MIN(J99,H168)</f>
        <v>8.9</v>
      </c>
      <c r="K168" s="9">
        <f>MAX(0,ROUND((J168-I168),4))</f>
        <v>0.45</v>
      </c>
    </row>
    <row r="169" spans="1:11" ht="23" customHeight="1">
      <c r="A169" s="6">
        <v>5</v>
      </c>
      <c r="B169" s="6">
        <v>130</v>
      </c>
      <c r="C169" s="6">
        <v>6</v>
      </c>
      <c r="D169" s="8">
        <v>8.9</v>
      </c>
      <c r="E169" s="8">
        <v>18.4</v>
      </c>
      <c r="F169" s="9">
        <f>ROUND((E169-D169),4)</f>
        <v>9.5</v>
      </c>
      <c r="G169" s="9">
        <f>MAX(D169,B72)</f>
        <v>8.9</v>
      </c>
      <c r="H169" s="9">
        <f>MIN(E169,D72)</f>
        <v>18.4</v>
      </c>
      <c r="I169" s="9">
        <f>MAX(I99,G169)</f>
        <v>8.9</v>
      </c>
      <c r="J169" s="9">
        <f>MIN(J99,H169)</f>
        <v>9.75</v>
      </c>
      <c r="K169" s="9">
        <f>MAX(0,ROUND((J169-I169),4))</f>
        <v>0.85</v>
      </c>
    </row>
    <row r="170" spans="1:11" ht="23" customHeight="1">
      <c r="A170" s="6">
        <v>5</v>
      </c>
      <c r="B170" s="6">
        <v>131</v>
      </c>
      <c r="C170" s="6">
        <v>6</v>
      </c>
      <c r="D170" s="8">
        <v>8.9</v>
      </c>
      <c r="E170" s="8">
        <v>18.4</v>
      </c>
      <c r="F170" s="9">
        <f>ROUND((E170-D170),4)</f>
        <v>9.5</v>
      </c>
      <c r="G170" s="9">
        <f>MAX(D170,B72)</f>
        <v>8.9</v>
      </c>
      <c r="H170" s="9">
        <f>MIN(E170,D72)</f>
        <v>18.4</v>
      </c>
      <c r="I170" s="9">
        <f>MAX(I100,G170)</f>
        <v>9.75</v>
      </c>
      <c r="J170" s="9">
        <f>MIN(J100,H170)</f>
        <v>11.05</v>
      </c>
      <c r="K170" s="9">
        <f>MAX(0,ROUND((J170-I170),4))</f>
        <v>1.3</v>
      </c>
    </row>
    <row r="171" spans="1:11" ht="23" customHeight="1">
      <c r="A171" s="6">
        <v>5</v>
      </c>
      <c r="B171" s="6">
        <v>132</v>
      </c>
      <c r="C171" s="6">
        <v>6</v>
      </c>
      <c r="D171" s="8">
        <v>8.9</v>
      </c>
      <c r="E171" s="8">
        <v>18.4</v>
      </c>
      <c r="F171" s="9">
        <f>ROUND((E171-D171),4)</f>
        <v>9.5</v>
      </c>
      <c r="G171" s="9">
        <f>MAX(D171,B72)</f>
        <v>8.9</v>
      </c>
      <c r="H171" s="9">
        <f>MIN(E171,D72)</f>
        <v>18.4</v>
      </c>
      <c r="I171" s="9">
        <f>MAX(I101,G171)</f>
        <v>11.05</v>
      </c>
      <c r="J171" s="9">
        <f>MIN(J101,H171)</f>
        <v>12.35</v>
      </c>
      <c r="K171" s="9">
        <f>MAX(0,ROUND((J171-I171),4))</f>
        <v>1.3</v>
      </c>
    </row>
    <row r="172" spans="1:11" ht="23" customHeight="1">
      <c r="A172" s="6">
        <v>5</v>
      </c>
      <c r="B172" s="6">
        <v>133</v>
      </c>
      <c r="C172" s="6">
        <v>6</v>
      </c>
      <c r="D172" s="8">
        <v>8.9</v>
      </c>
      <c r="E172" s="8">
        <v>18.4</v>
      </c>
      <c r="F172" s="9">
        <f>ROUND((E172-D172),4)</f>
        <v>9.5</v>
      </c>
      <c r="G172" s="9">
        <f>MAX(D172,B72)</f>
        <v>8.9</v>
      </c>
      <c r="H172" s="9">
        <f>MIN(E172,D72)</f>
        <v>18.4</v>
      </c>
      <c r="I172" s="9">
        <f>MAX(I102,G172)</f>
        <v>12.35</v>
      </c>
      <c r="J172" s="9">
        <f>MIN(J102,H172)</f>
        <v>13.65</v>
      </c>
      <c r="K172" s="9">
        <f>MAX(0,ROUND((J172-I172),4))</f>
        <v>1.3</v>
      </c>
    </row>
    <row r="173" spans="1:11" ht="23" customHeight="1">
      <c r="A173" s="6">
        <v>5</v>
      </c>
      <c r="B173" s="6">
        <v>134</v>
      </c>
      <c r="C173" s="6">
        <v>6</v>
      </c>
      <c r="D173" s="8">
        <v>8.9</v>
      </c>
      <c r="E173" s="8">
        <v>18.4</v>
      </c>
      <c r="F173" s="9">
        <f>ROUND((E173-D173),4)</f>
        <v>9.5</v>
      </c>
      <c r="G173" s="9">
        <f>MAX(D173,B72)</f>
        <v>8.9</v>
      </c>
      <c r="H173" s="9">
        <f>MIN(E173,D72)</f>
        <v>18.4</v>
      </c>
      <c r="I173" s="9">
        <f>MAX(I103,G173)</f>
        <v>13.65</v>
      </c>
      <c r="J173" s="9">
        <f>MIN(J103,H173)</f>
        <v>14.95</v>
      </c>
      <c r="K173" s="9">
        <f>MAX(0,ROUND((J173-I173),4))</f>
        <v>1.3</v>
      </c>
    </row>
    <row r="174" spans="1:11" ht="23" customHeight="1">
      <c r="A174" s="6">
        <v>5</v>
      </c>
      <c r="B174" s="6">
        <v>135</v>
      </c>
      <c r="C174" s="6">
        <v>6</v>
      </c>
      <c r="D174" s="8">
        <v>8.9</v>
      </c>
      <c r="E174" s="8">
        <v>18.4</v>
      </c>
      <c r="F174" s="9">
        <f>ROUND((E174-D174),4)</f>
        <v>9.5</v>
      </c>
      <c r="G174" s="9">
        <f>MAX(D174,B72)</f>
        <v>8.9</v>
      </c>
      <c r="H174" s="9">
        <f>MIN(E174,D72)</f>
        <v>18.4</v>
      </c>
      <c r="I174" s="9">
        <f>MAX(I104,G174)</f>
        <v>14.95</v>
      </c>
      <c r="J174" s="9">
        <f>MIN(J104,H174)</f>
        <v>16.25</v>
      </c>
      <c r="K174" s="9">
        <f>MAX(0,ROUND((J174-I174),4))</f>
        <v>1.3</v>
      </c>
    </row>
    <row r="175" spans="1:11" ht="23" customHeight="1">
      <c r="A175" s="6">
        <v>5</v>
      </c>
      <c r="B175" s="6">
        <v>136</v>
      </c>
      <c r="C175" s="6">
        <v>6</v>
      </c>
      <c r="D175" s="8">
        <v>8.9</v>
      </c>
      <c r="E175" s="8">
        <v>18.4</v>
      </c>
      <c r="F175" s="9">
        <f>ROUND((E175-D175),4)</f>
        <v>9.5</v>
      </c>
      <c r="G175" s="9">
        <f>MAX(D175,B72)</f>
        <v>8.9</v>
      </c>
      <c r="H175" s="9">
        <f>MIN(E175,D72)</f>
        <v>18.4</v>
      </c>
      <c r="I175" s="9">
        <f>MAX(I105,G175)</f>
        <v>16.25</v>
      </c>
      <c r="J175" s="9">
        <f>MIN(J105,H175)</f>
        <v>17.55</v>
      </c>
      <c r="K175" s="9">
        <f>MAX(0,ROUND((J175-I175),4))</f>
        <v>1.3</v>
      </c>
    </row>
    <row r="176" spans="1:11" ht="23" customHeight="1">
      <c r="A176" s="6">
        <v>5</v>
      </c>
      <c r="B176" s="6">
        <v>137</v>
      </c>
      <c r="C176" s="6">
        <v>6</v>
      </c>
      <c r="D176" s="8">
        <v>8.9</v>
      </c>
      <c r="E176" s="8">
        <v>18.4</v>
      </c>
      <c r="F176" s="9">
        <f>ROUND((E176-D176),4)</f>
        <v>9.5</v>
      </c>
      <c r="G176" s="9">
        <f>MAX(D176,B72)</f>
        <v>8.9</v>
      </c>
      <c r="H176" s="9">
        <f>MIN(E176,D72)</f>
        <v>18.4</v>
      </c>
      <c r="I176" s="9">
        <f>MAX(I106,G176)</f>
        <v>17.55</v>
      </c>
      <c r="J176" s="9">
        <f>MIN(J106,H176)</f>
        <v>18.4</v>
      </c>
      <c r="K176" s="9">
        <f>MAX(0,ROUND((J176-I176),4))</f>
        <v>0.85</v>
      </c>
    </row>
    <row r="177" spans="1:11" ht="23" customHeight="1">
      <c r="A177" s="6">
        <v>5</v>
      </c>
      <c r="B177" s="6">
        <v>137</v>
      </c>
      <c r="C177" s="6">
        <v>7</v>
      </c>
      <c r="D177" s="8">
        <v>18.4</v>
      </c>
      <c r="E177" s="8">
        <v>31</v>
      </c>
      <c r="F177" s="9">
        <f>ROUND((E177-D177),4)</f>
        <v>12.6</v>
      </c>
      <c r="G177" s="9">
        <f>MAX(D177,B72)</f>
        <v>18.4</v>
      </c>
      <c r="H177" s="9">
        <f>MIN(E177,D72)</f>
        <v>29.7</v>
      </c>
      <c r="I177" s="9">
        <f>MAX(I106,G177)</f>
        <v>18.4</v>
      </c>
      <c r="J177" s="9">
        <f>MIN(J106,H177)</f>
        <v>18.85</v>
      </c>
      <c r="K177" s="9">
        <f>MAX(0,ROUND((J177-I177),4))</f>
        <v>0.45</v>
      </c>
    </row>
    <row r="178" spans="1:11" ht="23" customHeight="1">
      <c r="A178" s="6">
        <v>5</v>
      </c>
      <c r="B178" s="6">
        <v>138</v>
      </c>
      <c r="C178" s="6">
        <v>7</v>
      </c>
      <c r="D178" s="8">
        <v>18.4</v>
      </c>
      <c r="E178" s="8">
        <v>31</v>
      </c>
      <c r="F178" s="9">
        <f>ROUND((E178-D178),4)</f>
        <v>12.6</v>
      </c>
      <c r="G178" s="9">
        <f>MAX(D178,B72)</f>
        <v>18.4</v>
      </c>
      <c r="H178" s="9">
        <f>MIN(E178,D72)</f>
        <v>29.7</v>
      </c>
      <c r="I178" s="9">
        <f>MAX(I107,G178)</f>
        <v>18.85</v>
      </c>
      <c r="J178" s="9">
        <f>MIN(J107,H178)</f>
        <v>20.15</v>
      </c>
      <c r="K178" s="9">
        <f>MAX(0,ROUND((J178-I178),4))</f>
        <v>1.3</v>
      </c>
    </row>
    <row r="179" spans="1:11" ht="23" customHeight="1">
      <c r="A179" s="6">
        <v>5</v>
      </c>
      <c r="B179" s="6">
        <v>139</v>
      </c>
      <c r="C179" s="6">
        <v>7</v>
      </c>
      <c r="D179" s="8">
        <v>18.4</v>
      </c>
      <c r="E179" s="8">
        <v>31</v>
      </c>
      <c r="F179" s="9">
        <f>ROUND((E179-D179),4)</f>
        <v>12.6</v>
      </c>
      <c r="G179" s="9">
        <f>MAX(D179,B72)</f>
        <v>18.4</v>
      </c>
      <c r="H179" s="9">
        <f>MIN(E179,D72)</f>
        <v>29.7</v>
      </c>
      <c r="I179" s="9">
        <f>MAX(I108,G179)</f>
        <v>20.15</v>
      </c>
      <c r="J179" s="9">
        <f>MIN(J108,H179)</f>
        <v>21.45</v>
      </c>
      <c r="K179" s="9">
        <f>MAX(0,ROUND((J179-I179),4))</f>
        <v>1.3</v>
      </c>
    </row>
    <row r="180" spans="1:11" ht="23" customHeight="1">
      <c r="A180" s="6">
        <v>5</v>
      </c>
      <c r="B180" s="6">
        <v>140</v>
      </c>
      <c r="C180" s="6">
        <v>7</v>
      </c>
      <c r="D180" s="8">
        <v>18.4</v>
      </c>
      <c r="E180" s="8">
        <v>31</v>
      </c>
      <c r="F180" s="9">
        <f>ROUND((E180-D180),4)</f>
        <v>12.6</v>
      </c>
      <c r="G180" s="9">
        <f>MAX(D180,B72)</f>
        <v>18.4</v>
      </c>
      <c r="H180" s="9">
        <f>MIN(E180,D72)</f>
        <v>29.7</v>
      </c>
      <c r="I180" s="9">
        <f>MAX(I109,G180)</f>
        <v>21.45</v>
      </c>
      <c r="J180" s="9">
        <f>MIN(J109,H180)</f>
        <v>22.75</v>
      </c>
      <c r="K180" s="9">
        <f>MAX(0,ROUND((J180-I180),4))</f>
        <v>1.3</v>
      </c>
    </row>
    <row r="181" spans="1:11" ht="23" customHeight="1">
      <c r="A181" s="6">
        <v>5</v>
      </c>
      <c r="B181" s="6">
        <v>141</v>
      </c>
      <c r="C181" s="6">
        <v>7</v>
      </c>
      <c r="D181" s="8">
        <v>18.4</v>
      </c>
      <c r="E181" s="8">
        <v>31</v>
      </c>
      <c r="F181" s="9">
        <f>ROUND((E181-D181),4)</f>
        <v>12.6</v>
      </c>
      <c r="G181" s="9">
        <f>MAX(D181,B72)</f>
        <v>18.4</v>
      </c>
      <c r="H181" s="9">
        <f>MIN(E181,D72)</f>
        <v>29.7</v>
      </c>
      <c r="I181" s="9">
        <f>MAX(I110,G181)</f>
        <v>22.75</v>
      </c>
      <c r="J181" s="9">
        <f>MIN(J110,H181)</f>
        <v>24.05</v>
      </c>
      <c r="K181" s="9">
        <f>MAX(0,ROUND((J181-I181),4))</f>
        <v>1.3</v>
      </c>
    </row>
    <row r="182" spans="1:11" ht="23" customHeight="1">
      <c r="A182" s="6">
        <v>5</v>
      </c>
      <c r="B182" s="6">
        <v>142</v>
      </c>
      <c r="C182" s="6">
        <v>7</v>
      </c>
      <c r="D182" s="8">
        <v>18.4</v>
      </c>
      <c r="E182" s="8">
        <v>31</v>
      </c>
      <c r="F182" s="9">
        <f>ROUND((E182-D182),4)</f>
        <v>12.6</v>
      </c>
      <c r="G182" s="9">
        <f>MAX(D182,B72)</f>
        <v>18.4</v>
      </c>
      <c r="H182" s="9">
        <f>MIN(E182,D72)</f>
        <v>29.7</v>
      </c>
      <c r="I182" s="9">
        <f>MAX(I111,G182)</f>
        <v>24.05</v>
      </c>
      <c r="J182" s="9">
        <f>MIN(J111,H182)</f>
        <v>25.35</v>
      </c>
      <c r="K182" s="9">
        <f>MAX(0,ROUND((J182-I182),4))</f>
        <v>1.3</v>
      </c>
    </row>
    <row r="183" spans="1:11" ht="23" customHeight="1">
      <c r="A183" s="6">
        <v>5</v>
      </c>
      <c r="B183" s="6">
        <v>143</v>
      </c>
      <c r="C183" s="6">
        <v>7</v>
      </c>
      <c r="D183" s="8">
        <v>18.4</v>
      </c>
      <c r="E183" s="8">
        <v>31</v>
      </c>
      <c r="F183" s="9">
        <f>ROUND((E183-D183),4)</f>
        <v>12.6</v>
      </c>
      <c r="G183" s="9">
        <f>MAX(D183,B72)</f>
        <v>18.4</v>
      </c>
      <c r="H183" s="9">
        <f>MIN(E183,D72)</f>
        <v>29.7</v>
      </c>
      <c r="I183" s="9">
        <f>MAX(I112,G183)</f>
        <v>25.35</v>
      </c>
      <c r="J183" s="9">
        <f>MIN(J112,H183)</f>
        <v>26.65</v>
      </c>
      <c r="K183" s="9">
        <f>MAX(0,ROUND((J183-I183),4))</f>
        <v>1.3</v>
      </c>
    </row>
    <row r="184" spans="1:11" ht="23" customHeight="1">
      <c r="A184" s="6">
        <v>5</v>
      </c>
      <c r="B184" s="6">
        <v>144</v>
      </c>
      <c r="C184" s="6">
        <v>7</v>
      </c>
      <c r="D184" s="8">
        <v>18.4</v>
      </c>
      <c r="E184" s="8">
        <v>31</v>
      </c>
      <c r="F184" s="9">
        <f>ROUND((E184-D184),4)</f>
        <v>12.6</v>
      </c>
      <c r="G184" s="9">
        <f>MAX(D184,B72)</f>
        <v>18.4</v>
      </c>
      <c r="H184" s="9">
        <f>MIN(E184,D72)</f>
        <v>29.7</v>
      </c>
      <c r="I184" s="9">
        <f>MAX(I113,G184)</f>
        <v>26.65</v>
      </c>
      <c r="J184" s="9">
        <f>MIN(J113,H184)</f>
        <v>27.95</v>
      </c>
      <c r="K184" s="9">
        <f>MAX(0,ROUND((J184-I184),4))</f>
        <v>1.3</v>
      </c>
    </row>
    <row r="185" spans="1:11" ht="23" customHeight="1">
      <c r="A185" s="6">
        <v>5</v>
      </c>
      <c r="B185" s="6">
        <v>145</v>
      </c>
      <c r="C185" s="6">
        <v>7</v>
      </c>
      <c r="D185" s="8">
        <v>18.4</v>
      </c>
      <c r="E185" s="8">
        <v>31</v>
      </c>
      <c r="F185" s="9">
        <f>ROUND((E185-D185),4)</f>
        <v>12.6</v>
      </c>
      <c r="G185" s="9">
        <f>MAX(D185,B72)</f>
        <v>18.4</v>
      </c>
      <c r="H185" s="9">
        <f>MIN(E185,D72)</f>
        <v>29.7</v>
      </c>
      <c r="I185" s="9">
        <f>MAX(I114,G185)</f>
        <v>27.95</v>
      </c>
      <c r="J185" s="9">
        <f>MIN(J114,H185)</f>
        <v>29.25</v>
      </c>
      <c r="K185" s="9">
        <f>MAX(0,ROUND((J185-I185),4))</f>
        <v>1.3</v>
      </c>
    </row>
    <row r="186" spans="1:11" ht="23" customHeight="1">
      <c r="A186" s="6">
        <v>5</v>
      </c>
      <c r="B186" s="6">
        <v>146</v>
      </c>
      <c r="C186" s="6">
        <v>7</v>
      </c>
      <c r="D186" s="8">
        <v>18.4</v>
      </c>
      <c r="E186" s="8">
        <v>31</v>
      </c>
      <c r="F186" s="9">
        <f>ROUND((E186-D186),4)</f>
        <v>12.6</v>
      </c>
      <c r="G186" s="9">
        <f>MAX(D186,B72)</f>
        <v>18.4</v>
      </c>
      <c r="H186" s="9">
        <f>MIN(E186,D72)</f>
        <v>29.7</v>
      </c>
      <c r="I186" s="9">
        <f>MAX(I115,G186)</f>
        <v>29.25</v>
      </c>
      <c r="J186" s="9">
        <f>MIN(J115,H186)</f>
        <v>29.7</v>
      </c>
      <c r="K186" s="9">
        <f>MAX(0,ROUND((J186-I186),4))</f>
        <v>0.45</v>
      </c>
    </row>
    <row r="187" spans="1:11" ht="23" customHeight="1">
      <c r="A187" s="6">
        <v>6</v>
      </c>
      <c r="B187" s="6">
        <v>152</v>
      </c>
      <c r="C187" s="6">
        <v>3</v>
      </c>
      <c r="D187" s="8">
        <v>2.8</v>
      </c>
      <c r="E187" s="8">
        <v>5.7</v>
      </c>
      <c r="F187" s="9">
        <f>ROUND((E187-D187),4)</f>
        <v>2.9</v>
      </c>
      <c r="G187" s="9">
        <f>MAX(D187,B72)</f>
        <v>4.945</v>
      </c>
      <c r="H187" s="9">
        <f>MIN(E187,D72)</f>
        <v>5.7</v>
      </c>
      <c r="I187" s="9">
        <f>MAX(I116,G187)</f>
        <v>4.945</v>
      </c>
      <c r="J187" s="9">
        <f>MIN(J116,H187)</f>
        <v>5.7</v>
      </c>
      <c r="K187" s="9">
        <f>MAX(0,ROUND((J187-I187),4))</f>
        <v>0.755</v>
      </c>
    </row>
    <row r="188" spans="1:11" ht="23" customHeight="1">
      <c r="A188" s="6">
        <v>6</v>
      </c>
      <c r="B188" s="6">
        <v>152</v>
      </c>
      <c r="C188" s="6">
        <v>4</v>
      </c>
      <c r="D188" s="8">
        <v>5.7</v>
      </c>
      <c r="E188" s="8">
        <v>8.300000000000001</v>
      </c>
      <c r="F188" s="9">
        <f>ROUND((E188-D188),4)</f>
        <v>2.6</v>
      </c>
      <c r="G188" s="9">
        <f>MAX(D188,B72)</f>
        <v>5.7</v>
      </c>
      <c r="H188" s="9">
        <f>MIN(E188,D72)</f>
        <v>8.3</v>
      </c>
      <c r="I188" s="9">
        <f>MAX(I116,G188)</f>
        <v>5.7</v>
      </c>
      <c r="J188" s="9">
        <f>MIN(J116,H188)</f>
        <v>5.85</v>
      </c>
      <c r="K188" s="9">
        <f>MAX(0,ROUND((J188-I188),4))</f>
        <v>0.15</v>
      </c>
    </row>
    <row r="189" spans="1:11" ht="23" customHeight="1">
      <c r="A189" s="6">
        <v>6</v>
      </c>
      <c r="B189" s="6">
        <v>153</v>
      </c>
      <c r="C189" s="6">
        <v>4</v>
      </c>
      <c r="D189" s="8">
        <v>5.7</v>
      </c>
      <c r="E189" s="8">
        <v>8.300000000000001</v>
      </c>
      <c r="F189" s="9">
        <f>ROUND((E189-D189),4)</f>
        <v>2.6</v>
      </c>
      <c r="G189" s="9">
        <f>MAX(D189,B72)</f>
        <v>5.7</v>
      </c>
      <c r="H189" s="9">
        <f>MIN(E189,D72)</f>
        <v>8.3</v>
      </c>
      <c r="I189" s="9">
        <f>MAX(I117,G189)</f>
        <v>5.85</v>
      </c>
      <c r="J189" s="9">
        <f>MIN(J117,H189)</f>
        <v>7.15</v>
      </c>
      <c r="K189" s="9">
        <f>MAX(0,ROUND((J189-I189),4))</f>
        <v>1.3</v>
      </c>
    </row>
    <row r="190" spans="1:11" ht="23" customHeight="1">
      <c r="A190" s="6">
        <v>6</v>
      </c>
      <c r="B190" s="6">
        <v>154</v>
      </c>
      <c r="C190" s="6">
        <v>4</v>
      </c>
      <c r="D190" s="8">
        <v>5.7</v>
      </c>
      <c r="E190" s="8">
        <v>8.300000000000001</v>
      </c>
      <c r="F190" s="9">
        <f>ROUND((E190-D190),4)</f>
        <v>2.6</v>
      </c>
      <c r="G190" s="9">
        <f>MAX(D190,B72)</f>
        <v>5.7</v>
      </c>
      <c r="H190" s="9">
        <f>MIN(E190,D72)</f>
        <v>8.3</v>
      </c>
      <c r="I190" s="9">
        <f>MAX(I118,G190)</f>
        <v>7.15</v>
      </c>
      <c r="J190" s="9">
        <f>MIN(J118,H190)</f>
        <v>8.3</v>
      </c>
      <c r="K190" s="9">
        <f>MAX(0,ROUND((J190-I190),4))</f>
        <v>1.15</v>
      </c>
    </row>
    <row r="191" spans="1:11" ht="23" customHeight="1">
      <c r="A191" s="6">
        <v>6</v>
      </c>
      <c r="B191" s="6">
        <v>154</v>
      </c>
      <c r="C191" s="6">
        <v>5</v>
      </c>
      <c r="D191" s="8">
        <v>8.300000000000001</v>
      </c>
      <c r="E191" s="8">
        <v>8.9</v>
      </c>
      <c r="F191" s="9">
        <f>ROUND((E191-D191),4)</f>
        <v>0.6</v>
      </c>
      <c r="G191" s="9">
        <f>MAX(D191,B72)</f>
        <v>8.3</v>
      </c>
      <c r="H191" s="9">
        <f>MIN(E191,D72)</f>
        <v>8.9</v>
      </c>
      <c r="I191" s="9">
        <f>MAX(I118,G191)</f>
        <v>8.3</v>
      </c>
      <c r="J191" s="9">
        <f>MIN(J118,H191)</f>
        <v>8.45</v>
      </c>
      <c r="K191" s="9">
        <f>MAX(0,ROUND((J191-I191),4))</f>
        <v>0.15</v>
      </c>
    </row>
    <row r="192" spans="1:11" ht="23" customHeight="1">
      <c r="A192" s="6">
        <v>6</v>
      </c>
      <c r="B192" s="6">
        <v>155</v>
      </c>
      <c r="C192" s="6">
        <v>5</v>
      </c>
      <c r="D192" s="8">
        <v>8.300000000000001</v>
      </c>
      <c r="E192" s="8">
        <v>8.9</v>
      </c>
      <c r="F192" s="9">
        <f>ROUND((E192-D192),4)</f>
        <v>0.6</v>
      </c>
      <c r="G192" s="9">
        <f>MAX(D192,B72)</f>
        <v>8.3</v>
      </c>
      <c r="H192" s="9">
        <f>MIN(E192,D72)</f>
        <v>8.9</v>
      </c>
      <c r="I192" s="9">
        <f>MAX(I119,G192)</f>
        <v>8.45</v>
      </c>
      <c r="J192" s="9">
        <f>MIN(J119,H192)</f>
        <v>8.9</v>
      </c>
      <c r="K192" s="9">
        <f>MAX(0,ROUND((J192-I192),4))</f>
        <v>0.45</v>
      </c>
    </row>
    <row r="193" spans="1:11" ht="23" customHeight="1">
      <c r="A193" s="6">
        <v>6</v>
      </c>
      <c r="B193" s="6">
        <v>155</v>
      </c>
      <c r="C193" s="6">
        <v>6</v>
      </c>
      <c r="D193" s="8">
        <v>8.9</v>
      </c>
      <c r="E193" s="8">
        <v>18.4</v>
      </c>
      <c r="F193" s="9">
        <f>ROUND((E193-D193),4)</f>
        <v>9.5</v>
      </c>
      <c r="G193" s="9">
        <f>MAX(D193,B72)</f>
        <v>8.9</v>
      </c>
      <c r="H193" s="9">
        <f>MIN(E193,D72)</f>
        <v>18.4</v>
      </c>
      <c r="I193" s="9">
        <f>MAX(I119,G193)</f>
        <v>8.9</v>
      </c>
      <c r="J193" s="9">
        <f>MIN(J119,H193)</f>
        <v>9.75</v>
      </c>
      <c r="K193" s="9">
        <f>MAX(0,ROUND((J193-I193),4))</f>
        <v>0.85</v>
      </c>
    </row>
    <row r="194" spans="1:11" ht="23" customHeight="1">
      <c r="A194" s="6">
        <v>6</v>
      </c>
      <c r="B194" s="6">
        <v>156</v>
      </c>
      <c r="C194" s="6">
        <v>6</v>
      </c>
      <c r="D194" s="8">
        <v>8.9</v>
      </c>
      <c r="E194" s="8">
        <v>18.4</v>
      </c>
      <c r="F194" s="9">
        <f>ROUND((E194-D194),4)</f>
        <v>9.5</v>
      </c>
      <c r="G194" s="9">
        <f>MAX(D194,B72)</f>
        <v>8.9</v>
      </c>
      <c r="H194" s="9">
        <f>MIN(E194,D72)</f>
        <v>18.4</v>
      </c>
      <c r="I194" s="9">
        <f>MAX(I120,G194)</f>
        <v>9.75</v>
      </c>
      <c r="J194" s="9">
        <f>MIN(J120,H194)</f>
        <v>11.05</v>
      </c>
      <c r="K194" s="9">
        <f>MAX(0,ROUND((J194-I194),4))</f>
        <v>1.3</v>
      </c>
    </row>
    <row r="195" spans="1:11" ht="23" customHeight="1">
      <c r="A195" s="6">
        <v>6</v>
      </c>
      <c r="B195" s="6">
        <v>157</v>
      </c>
      <c r="C195" s="6">
        <v>6</v>
      </c>
      <c r="D195" s="8">
        <v>8.9</v>
      </c>
      <c r="E195" s="8">
        <v>18.4</v>
      </c>
      <c r="F195" s="9">
        <f>ROUND((E195-D195),4)</f>
        <v>9.5</v>
      </c>
      <c r="G195" s="9">
        <f>MAX(D195,B72)</f>
        <v>8.9</v>
      </c>
      <c r="H195" s="9">
        <f>MIN(E195,D72)</f>
        <v>18.4</v>
      </c>
      <c r="I195" s="9">
        <f>MAX(I121,G195)</f>
        <v>11.05</v>
      </c>
      <c r="J195" s="9">
        <f>MIN(J121,H195)</f>
        <v>12.35</v>
      </c>
      <c r="K195" s="9">
        <f>MAX(0,ROUND((J195-I195),4))</f>
        <v>1.3</v>
      </c>
    </row>
    <row r="196" spans="1:11" ht="23" customHeight="1">
      <c r="A196" s="6">
        <v>6</v>
      </c>
      <c r="B196" s="6">
        <v>158</v>
      </c>
      <c r="C196" s="6">
        <v>6</v>
      </c>
      <c r="D196" s="8">
        <v>8.9</v>
      </c>
      <c r="E196" s="8">
        <v>18.4</v>
      </c>
      <c r="F196" s="9">
        <f>ROUND((E196-D196),4)</f>
        <v>9.5</v>
      </c>
      <c r="G196" s="9">
        <f>MAX(D196,B72)</f>
        <v>8.9</v>
      </c>
      <c r="H196" s="9">
        <f>MIN(E196,D72)</f>
        <v>18.4</v>
      </c>
      <c r="I196" s="9">
        <f>MAX(I122,G196)</f>
        <v>12.35</v>
      </c>
      <c r="J196" s="9">
        <f>MIN(J122,H196)</f>
        <v>13.65</v>
      </c>
      <c r="K196" s="9">
        <f>MAX(0,ROUND((J196-I196),4))</f>
        <v>1.3</v>
      </c>
    </row>
    <row r="197" spans="1:11" ht="23" customHeight="1">
      <c r="A197" s="6">
        <v>6</v>
      </c>
      <c r="B197" s="6">
        <v>159</v>
      </c>
      <c r="C197" s="6">
        <v>6</v>
      </c>
      <c r="D197" s="8">
        <v>8.9</v>
      </c>
      <c r="E197" s="8">
        <v>18.4</v>
      </c>
      <c r="F197" s="9">
        <f>ROUND((E197-D197),4)</f>
        <v>9.5</v>
      </c>
      <c r="G197" s="9">
        <f>MAX(D197,B72)</f>
        <v>8.9</v>
      </c>
      <c r="H197" s="9">
        <f>MIN(E197,D72)</f>
        <v>18.4</v>
      </c>
      <c r="I197" s="9">
        <f>MAX(I123,G197)</f>
        <v>13.65</v>
      </c>
      <c r="J197" s="9">
        <f>MIN(J123,H197)</f>
        <v>14.95</v>
      </c>
      <c r="K197" s="9">
        <f>MAX(0,ROUND((J197-I197),4))</f>
        <v>1.3</v>
      </c>
    </row>
    <row r="198" spans="1:11" ht="23" customHeight="1">
      <c r="A198" s="6">
        <v>6</v>
      </c>
      <c r="B198" s="6">
        <v>160</v>
      </c>
      <c r="C198" s="6">
        <v>6</v>
      </c>
      <c r="D198" s="8">
        <v>8.9</v>
      </c>
      <c r="E198" s="8">
        <v>18.4</v>
      </c>
      <c r="F198" s="9">
        <f>ROUND((E198-D198),4)</f>
        <v>9.5</v>
      </c>
      <c r="G198" s="9">
        <f>MAX(D198,B72)</f>
        <v>8.9</v>
      </c>
      <c r="H198" s="9">
        <f>MIN(E198,D72)</f>
        <v>18.4</v>
      </c>
      <c r="I198" s="9">
        <f>MAX(I124,G198)</f>
        <v>14.95</v>
      </c>
      <c r="J198" s="9">
        <f>MIN(J124,H198)</f>
        <v>16.25</v>
      </c>
      <c r="K198" s="9">
        <f>MAX(0,ROUND((J198-I198),4))</f>
        <v>1.3</v>
      </c>
    </row>
    <row r="199" spans="1:11" ht="23" customHeight="1">
      <c r="A199" s="6">
        <v>6</v>
      </c>
      <c r="B199" s="6">
        <v>161</v>
      </c>
      <c r="C199" s="6">
        <v>6</v>
      </c>
      <c r="D199" s="8">
        <v>8.9</v>
      </c>
      <c r="E199" s="8">
        <v>18.4</v>
      </c>
      <c r="F199" s="9">
        <f>ROUND((E199-D199),4)</f>
        <v>9.5</v>
      </c>
      <c r="G199" s="9">
        <f>MAX(D199,B72)</f>
        <v>8.9</v>
      </c>
      <c r="H199" s="9">
        <f>MIN(E199,D72)</f>
        <v>18.4</v>
      </c>
      <c r="I199" s="9">
        <f>MAX(I125,G199)</f>
        <v>16.25</v>
      </c>
      <c r="J199" s="9">
        <f>MIN(J125,H199)</f>
        <v>17.55</v>
      </c>
      <c r="K199" s="9">
        <f>MAX(0,ROUND((J199-I199),4))</f>
        <v>1.3</v>
      </c>
    </row>
    <row r="200" spans="1:11" ht="23" customHeight="1">
      <c r="A200" s="6">
        <v>6</v>
      </c>
      <c r="B200" s="6">
        <v>162</v>
      </c>
      <c r="C200" s="6">
        <v>6</v>
      </c>
      <c r="D200" s="8">
        <v>8.9</v>
      </c>
      <c r="E200" s="8">
        <v>18.4</v>
      </c>
      <c r="F200" s="9">
        <f>ROUND((E200-D200),4)</f>
        <v>9.5</v>
      </c>
      <c r="G200" s="9">
        <f>MAX(D200,B72)</f>
        <v>8.9</v>
      </c>
      <c r="H200" s="9">
        <f>MIN(E200,D72)</f>
        <v>18.4</v>
      </c>
      <c r="I200" s="9">
        <f>MAX(I126,G200)</f>
        <v>17.55</v>
      </c>
      <c r="J200" s="9">
        <f>MIN(J126,H200)</f>
        <v>18.4</v>
      </c>
      <c r="K200" s="9">
        <f>MAX(0,ROUND((J200-I200),4))</f>
        <v>0.85</v>
      </c>
    </row>
    <row r="201" spans="1:11" ht="23" customHeight="1">
      <c r="A201" s="6">
        <v>6</v>
      </c>
      <c r="B201" s="6">
        <v>162</v>
      </c>
      <c r="C201" s="6">
        <v>7</v>
      </c>
      <c r="D201" s="8">
        <v>18.4</v>
      </c>
      <c r="E201" s="8">
        <v>31</v>
      </c>
      <c r="F201" s="9">
        <f>ROUND((E201-D201),4)</f>
        <v>12.6</v>
      </c>
      <c r="G201" s="9">
        <f>MAX(D201,B72)</f>
        <v>18.4</v>
      </c>
      <c r="H201" s="9">
        <f>MIN(E201,D72)</f>
        <v>29.7</v>
      </c>
      <c r="I201" s="9">
        <f>MAX(I126,G201)</f>
        <v>18.4</v>
      </c>
      <c r="J201" s="9">
        <f>MIN(J126,H201)</f>
        <v>18.85</v>
      </c>
      <c r="K201" s="9">
        <f>MAX(0,ROUND((J201-I201),4))</f>
        <v>0.45</v>
      </c>
    </row>
    <row r="202" spans="1:11" ht="23" customHeight="1">
      <c r="A202" s="6">
        <v>6</v>
      </c>
      <c r="B202" s="6">
        <v>163</v>
      </c>
      <c r="C202" s="6">
        <v>7</v>
      </c>
      <c r="D202" s="8">
        <v>18.4</v>
      </c>
      <c r="E202" s="8">
        <v>31</v>
      </c>
      <c r="F202" s="9">
        <f>ROUND((E202-D202),4)</f>
        <v>12.6</v>
      </c>
      <c r="G202" s="9">
        <f>MAX(D202,B72)</f>
        <v>18.4</v>
      </c>
      <c r="H202" s="9">
        <f>MIN(E202,D72)</f>
        <v>29.7</v>
      </c>
      <c r="I202" s="9">
        <f>MAX(I127,G202)</f>
        <v>18.85</v>
      </c>
      <c r="J202" s="9">
        <f>MIN(J127,H202)</f>
        <v>20.15</v>
      </c>
      <c r="K202" s="9">
        <f>MAX(0,ROUND((J202-I202),4))</f>
        <v>1.3</v>
      </c>
    </row>
    <row r="203" spans="1:11" ht="23" customHeight="1">
      <c r="A203" s="6">
        <v>6</v>
      </c>
      <c r="B203" s="6">
        <v>164</v>
      </c>
      <c r="C203" s="6">
        <v>7</v>
      </c>
      <c r="D203" s="8">
        <v>18.4</v>
      </c>
      <c r="E203" s="8">
        <v>31</v>
      </c>
      <c r="F203" s="9">
        <f>ROUND((E203-D203),4)</f>
        <v>12.6</v>
      </c>
      <c r="G203" s="9">
        <f>MAX(D203,B72)</f>
        <v>18.4</v>
      </c>
      <c r="H203" s="9">
        <f>MIN(E203,D72)</f>
        <v>29.7</v>
      </c>
      <c r="I203" s="9">
        <f>MAX(I128,G203)</f>
        <v>20.15</v>
      </c>
      <c r="J203" s="9">
        <f>MIN(J128,H203)</f>
        <v>21.45</v>
      </c>
      <c r="K203" s="9">
        <f>MAX(0,ROUND((J203-I203),4))</f>
        <v>1.3</v>
      </c>
    </row>
    <row r="204" spans="1:11" ht="23" customHeight="1">
      <c r="A204" s="6">
        <v>6</v>
      </c>
      <c r="B204" s="6">
        <v>165</v>
      </c>
      <c r="C204" s="6">
        <v>7</v>
      </c>
      <c r="D204" s="8">
        <v>18.4</v>
      </c>
      <c r="E204" s="8">
        <v>31</v>
      </c>
      <c r="F204" s="9">
        <f>ROUND((E204-D204),4)</f>
        <v>12.6</v>
      </c>
      <c r="G204" s="9">
        <f>MAX(D204,B72)</f>
        <v>18.4</v>
      </c>
      <c r="H204" s="9">
        <f>MIN(E204,D72)</f>
        <v>29.7</v>
      </c>
      <c r="I204" s="9">
        <f>MAX(I129,G204)</f>
        <v>21.45</v>
      </c>
      <c r="J204" s="9">
        <f>MIN(J129,H204)</f>
        <v>22.75</v>
      </c>
      <c r="K204" s="9">
        <f>MAX(0,ROUND((J204-I204),4))</f>
        <v>1.3</v>
      </c>
    </row>
    <row r="205" spans="1:11" ht="23" customHeight="1">
      <c r="A205" s="6">
        <v>6</v>
      </c>
      <c r="B205" s="6">
        <v>166</v>
      </c>
      <c r="C205" s="6">
        <v>7</v>
      </c>
      <c r="D205" s="8">
        <v>18.4</v>
      </c>
      <c r="E205" s="8">
        <v>31</v>
      </c>
      <c r="F205" s="9">
        <f>ROUND((E205-D205),4)</f>
        <v>12.6</v>
      </c>
      <c r="G205" s="9">
        <f>MAX(D205,B72)</f>
        <v>18.4</v>
      </c>
      <c r="H205" s="9">
        <f>MIN(E205,D72)</f>
        <v>29.7</v>
      </c>
      <c r="I205" s="9">
        <f>MAX(I130,G205)</f>
        <v>22.75</v>
      </c>
      <c r="J205" s="9">
        <f>MIN(J130,H205)</f>
        <v>24.05</v>
      </c>
      <c r="K205" s="9">
        <f>MAX(0,ROUND((J205-I205),4))</f>
        <v>1.3</v>
      </c>
    </row>
    <row r="206" spans="1:11" ht="23" customHeight="1">
      <c r="A206" s="6">
        <v>6</v>
      </c>
      <c r="B206" s="6">
        <v>167</v>
      </c>
      <c r="C206" s="6">
        <v>7</v>
      </c>
      <c r="D206" s="8">
        <v>18.4</v>
      </c>
      <c r="E206" s="8">
        <v>31</v>
      </c>
      <c r="F206" s="9">
        <f>ROUND((E206-D206),4)</f>
        <v>12.6</v>
      </c>
      <c r="G206" s="9">
        <f>MAX(D206,B72)</f>
        <v>18.4</v>
      </c>
      <c r="H206" s="9">
        <f>MIN(E206,D72)</f>
        <v>29.7</v>
      </c>
      <c r="I206" s="9">
        <f>MAX(I131,G206)</f>
        <v>24.05</v>
      </c>
      <c r="J206" s="9">
        <f>MIN(J131,H206)</f>
        <v>25.35</v>
      </c>
      <c r="K206" s="9">
        <f>MAX(0,ROUND((J206-I206),4))</f>
        <v>1.3</v>
      </c>
    </row>
    <row r="207" spans="1:11" ht="23" customHeight="1">
      <c r="A207" s="6">
        <v>6</v>
      </c>
      <c r="B207" s="6">
        <v>168</v>
      </c>
      <c r="C207" s="6">
        <v>7</v>
      </c>
      <c r="D207" s="8">
        <v>18.4</v>
      </c>
      <c r="E207" s="8">
        <v>31</v>
      </c>
      <c r="F207" s="9">
        <f>ROUND((E207-D207),4)</f>
        <v>12.6</v>
      </c>
      <c r="G207" s="9">
        <f>MAX(D207,B72)</f>
        <v>18.4</v>
      </c>
      <c r="H207" s="9">
        <f>MIN(E207,D72)</f>
        <v>29.7</v>
      </c>
      <c r="I207" s="9">
        <f>MAX(I132,G207)</f>
        <v>25.35</v>
      </c>
      <c r="J207" s="9">
        <f>MIN(J132,H207)</f>
        <v>26.65</v>
      </c>
      <c r="K207" s="9">
        <f>MAX(0,ROUND((J207-I207),4))</f>
        <v>1.3</v>
      </c>
    </row>
    <row r="208" spans="1:11" ht="23" customHeight="1">
      <c r="A208" s="6">
        <v>6</v>
      </c>
      <c r="B208" s="6">
        <v>169</v>
      </c>
      <c r="C208" s="6">
        <v>7</v>
      </c>
      <c r="D208" s="8">
        <v>18.4</v>
      </c>
      <c r="E208" s="8">
        <v>31</v>
      </c>
      <c r="F208" s="9">
        <f>ROUND((E208-D208),4)</f>
        <v>12.6</v>
      </c>
      <c r="G208" s="9">
        <f>MAX(D208,B72)</f>
        <v>18.4</v>
      </c>
      <c r="H208" s="9">
        <f>MIN(E208,D72)</f>
        <v>29.7</v>
      </c>
      <c r="I208" s="9">
        <f>MAX(I133,G208)</f>
        <v>26.65</v>
      </c>
      <c r="J208" s="9">
        <f>MIN(J133,H208)</f>
        <v>27.95</v>
      </c>
      <c r="K208" s="9">
        <f>MAX(0,ROUND((J208-I208),4))</f>
        <v>1.3</v>
      </c>
    </row>
    <row r="209" spans="1:12" ht="23" customHeight="1">
      <c r="A209" s="6">
        <v>6</v>
      </c>
      <c r="B209" s="6">
        <v>170</v>
      </c>
      <c r="C209" s="6">
        <v>7</v>
      </c>
      <c r="D209" s="8">
        <v>18.4</v>
      </c>
      <c r="E209" s="8">
        <v>31</v>
      </c>
      <c r="F209" s="9">
        <f>ROUND((E209-D209),4)</f>
        <v>12.6</v>
      </c>
      <c r="G209" s="9">
        <f>MAX(D209,B72)</f>
        <v>18.4</v>
      </c>
      <c r="H209" s="9">
        <f>MIN(E209,D72)</f>
        <v>29.7</v>
      </c>
      <c r="I209" s="9">
        <f>MAX(I134,G209)</f>
        <v>27.95</v>
      </c>
      <c r="J209" s="9">
        <f>MIN(J134,H209)</f>
        <v>29.25</v>
      </c>
      <c r="K209" s="9">
        <f>MAX(0,ROUND((J209-I209),4))</f>
        <v>1.3</v>
      </c>
    </row>
    <row r="210" spans="1:12" ht="23" customHeight="1">
      <c r="A210" s="6">
        <v>6</v>
      </c>
      <c r="B210" s="6">
        <v>171</v>
      </c>
      <c r="C210" s="6">
        <v>7</v>
      </c>
      <c r="D210" s="8">
        <v>18.4</v>
      </c>
      <c r="E210" s="8">
        <v>31</v>
      </c>
      <c r="F210" s="9">
        <f>ROUND((E210-D210),4)</f>
        <v>12.6</v>
      </c>
      <c r="G210" s="9">
        <f>MAX(D210,B72)</f>
        <v>18.4</v>
      </c>
      <c r="H210" s="9">
        <f>MIN(E210,D72)</f>
        <v>29.7</v>
      </c>
      <c r="I210" s="9">
        <f>MAX(I135,G210)</f>
        <v>29.25</v>
      </c>
      <c r="J210" s="9">
        <f>MIN(J135,H210)</f>
        <v>29.7</v>
      </c>
      <c r="K210" s="9">
        <f>MAX(0,ROUND((J210-I210),4))</f>
        <v>0.45</v>
      </c>
    </row>
    <row r="211" spans="1:12" ht="23" customHeight="1"/>
    <row r="212" spans="1:12" ht="24" customHeight="1">
      <c r="A212" s="3" t="s">
        <v>342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36" customHeight="1">
      <c r="A213" s="4" t="s">
        <v>8</v>
      </c>
      <c r="B213" s="4" t="s">
        <v>30</v>
      </c>
      <c r="C213" s="4" t="s">
        <v>63</v>
      </c>
      <c r="D213" s="4" t="s">
        <v>343</v>
      </c>
      <c r="E213" s="4" t="s">
        <v>344</v>
      </c>
      <c r="F213" s="4" t="s">
        <v>314</v>
      </c>
      <c r="G213" s="4" t="s">
        <v>345</v>
      </c>
      <c r="H213" s="4" t="s">
        <v>346</v>
      </c>
      <c r="I213" s="4" t="s">
        <v>347</v>
      </c>
      <c r="J213" s="4" t="s">
        <v>348</v>
      </c>
    </row>
    <row r="214" spans="1:12" ht="23" customHeight="1">
      <c r="A214" s="6">
        <v>4</v>
      </c>
      <c r="B214" s="6">
        <v>102</v>
      </c>
      <c r="C214" s="6">
        <v>3</v>
      </c>
      <c r="D214" s="6">
        <v>214</v>
      </c>
      <c r="E214" s="6">
        <v>246</v>
      </c>
      <c r="F214" s="9">
        <f>K139</f>
        <v>0.755</v>
      </c>
      <c r="G214" s="10">
        <f>'入力根拠'!F97</f>
        <v>46127.0</v>
      </c>
      <c r="H214" s="10">
        <f>'入力根拠'!F98</f>
        <v>294.1</v>
      </c>
      <c r="I214" s="6">
        <f>(F214*G214)</f>
        <v>34825.885</v>
      </c>
      <c r="J214" s="6">
        <f>(F214*H214)</f>
        <v>222.04550000000003</v>
      </c>
    </row>
    <row r="215" spans="1:12" ht="23" customHeight="1">
      <c r="A215" s="6">
        <v>4</v>
      </c>
      <c r="B215" s="6">
        <v>102</v>
      </c>
      <c r="C215" s="6">
        <v>4</v>
      </c>
      <c r="D215" s="6">
        <v>215</v>
      </c>
      <c r="E215" s="6">
        <v>247</v>
      </c>
      <c r="F215" s="9">
        <f>K140</f>
        <v>0.15</v>
      </c>
      <c r="G215" s="10">
        <f>'入力根拠'!F99</f>
        <v>112020.0</v>
      </c>
      <c r="H215" s="10">
        <f>'入力根拠'!F100</f>
        <v>1411.5</v>
      </c>
      <c r="I215" s="6">
        <f>(F215*G215)</f>
        <v>16803.0</v>
      </c>
      <c r="J215" s="6">
        <f>(F215*H215)</f>
        <v>211.725</v>
      </c>
    </row>
    <row r="216" spans="1:12" ht="23" customHeight="1">
      <c r="A216" s="6">
        <v>4</v>
      </c>
      <c r="B216" s="6">
        <v>103</v>
      </c>
      <c r="C216" s="6">
        <v>4</v>
      </c>
      <c r="D216" s="6">
        <v>215</v>
      </c>
      <c r="E216" s="6">
        <v>247</v>
      </c>
      <c r="F216" s="9">
        <f>K141</f>
        <v>1.3</v>
      </c>
      <c r="G216" s="10">
        <f>'入力根拠'!F99</f>
        <v>112020.0</v>
      </c>
      <c r="H216" s="10">
        <f>'入力根拠'!F100</f>
        <v>1411.5</v>
      </c>
      <c r="I216" s="6">
        <f>(F216*G216)</f>
        <v>145626.0</v>
      </c>
      <c r="J216" s="6">
        <f>(F216*H216)</f>
        <v>1834.95</v>
      </c>
    </row>
    <row r="217" spans="1:12" ht="23" customHeight="1">
      <c r="A217" s="6">
        <v>4</v>
      </c>
      <c r="B217" s="6">
        <v>104</v>
      </c>
      <c r="C217" s="6">
        <v>4</v>
      </c>
      <c r="D217" s="6">
        <v>215</v>
      </c>
      <c r="E217" s="6">
        <v>247</v>
      </c>
      <c r="F217" s="9">
        <f>K142</f>
        <v>1.15</v>
      </c>
      <c r="G217" s="10">
        <f>'入力根拠'!F99</f>
        <v>112020.0</v>
      </c>
      <c r="H217" s="10">
        <f>'入力根拠'!F100</f>
        <v>1411.5</v>
      </c>
      <c r="I217" s="6">
        <f>(F217*G217)</f>
        <v>128822.99999999999</v>
      </c>
      <c r="J217" s="6">
        <f>(F217*H217)</f>
        <v>1623.225</v>
      </c>
    </row>
    <row r="218" spans="1:12" ht="23" customHeight="1">
      <c r="A218" s="6">
        <v>4</v>
      </c>
      <c r="B218" s="6">
        <v>104</v>
      </c>
      <c r="C218" s="6">
        <v>5</v>
      </c>
      <c r="D218" s="6">
        <v>216</v>
      </c>
      <c r="E218" s="6">
        <v>248</v>
      </c>
      <c r="F218" s="9">
        <f>K143</f>
        <v>0.15</v>
      </c>
      <c r="G218" s="10">
        <f>'入力根拠'!F101</f>
        <v>178738.0</v>
      </c>
      <c r="H218" s="10">
        <f>'入力根拠'!F102</f>
        <v>1140.9</v>
      </c>
      <c r="I218" s="6">
        <f>(F218*G218)</f>
        <v>26810.7</v>
      </c>
      <c r="J218" s="6">
        <f>(F218*H218)</f>
        <v>171.13500000000002</v>
      </c>
    </row>
    <row r="219" spans="1:12" ht="23" customHeight="1">
      <c r="A219" s="6">
        <v>4</v>
      </c>
      <c r="B219" s="6">
        <v>105</v>
      </c>
      <c r="C219" s="6">
        <v>5</v>
      </c>
      <c r="D219" s="6">
        <v>216</v>
      </c>
      <c r="E219" s="6">
        <v>248</v>
      </c>
      <c r="F219" s="9">
        <f>K144</f>
        <v>0.45</v>
      </c>
      <c r="G219" s="10">
        <f>'入力根拠'!F101</f>
        <v>178738.0</v>
      </c>
      <c r="H219" s="10">
        <f>'入力根拠'!F102</f>
        <v>1140.9</v>
      </c>
      <c r="I219" s="6">
        <f>(F219*G219)</f>
        <v>80432.1</v>
      </c>
      <c r="J219" s="6">
        <f>(F219*H219)</f>
        <v>513.4050000000001</v>
      </c>
    </row>
    <row r="220" spans="1:12" ht="23" customHeight="1">
      <c r="A220" s="6">
        <v>4</v>
      </c>
      <c r="B220" s="6">
        <v>105</v>
      </c>
      <c r="C220" s="6">
        <v>6</v>
      </c>
      <c r="D220" s="6">
        <v>217</v>
      </c>
      <c r="E220" s="6">
        <v>249</v>
      </c>
      <c r="F220" s="9">
        <f>K145</f>
        <v>0.85</v>
      </c>
      <c r="G220" s="10">
        <f>'入力根拠'!F103</f>
        <v>168029.0</v>
      </c>
      <c r="H220" s="10">
        <f>'入力根拠'!F104</f>
        <v>2117.2</v>
      </c>
      <c r="I220" s="6">
        <f>(F220*G220)</f>
        <v>142824.65</v>
      </c>
      <c r="J220" s="6">
        <f>(F220*H220)</f>
        <v>1799.62</v>
      </c>
    </row>
    <row r="221" spans="1:12" ht="23" customHeight="1">
      <c r="A221" s="6">
        <v>4</v>
      </c>
      <c r="B221" s="6">
        <v>106</v>
      </c>
      <c r="C221" s="6">
        <v>6</v>
      </c>
      <c r="D221" s="6">
        <v>217</v>
      </c>
      <c r="E221" s="6">
        <v>249</v>
      </c>
      <c r="F221" s="9">
        <f>K146</f>
        <v>1.3</v>
      </c>
      <c r="G221" s="10">
        <f>'入力根拠'!F103</f>
        <v>168029.0</v>
      </c>
      <c r="H221" s="10">
        <f>'入力根拠'!F104</f>
        <v>2117.2</v>
      </c>
      <c r="I221" s="6">
        <f>(F221*G221)</f>
        <v>218437.7</v>
      </c>
      <c r="J221" s="6">
        <f>(F221*H221)</f>
        <v>2752.3599999999997</v>
      </c>
    </row>
    <row r="222" spans="1:12" ht="23" customHeight="1">
      <c r="A222" s="6">
        <v>4</v>
      </c>
      <c r="B222" s="6">
        <v>107</v>
      </c>
      <c r="C222" s="6">
        <v>6</v>
      </c>
      <c r="D222" s="6">
        <v>217</v>
      </c>
      <c r="E222" s="6">
        <v>249</v>
      </c>
      <c r="F222" s="9">
        <f>K147</f>
        <v>1.3</v>
      </c>
      <c r="G222" s="10">
        <f>'入力根拠'!F103</f>
        <v>168029.0</v>
      </c>
      <c r="H222" s="10">
        <f>'入力根拠'!F104</f>
        <v>2117.2</v>
      </c>
      <c r="I222" s="6">
        <f>(F222*G222)</f>
        <v>218437.7</v>
      </c>
      <c r="J222" s="6">
        <f>(F222*H222)</f>
        <v>2752.3599999999997</v>
      </c>
    </row>
    <row r="223" spans="1:12" ht="23" customHeight="1">
      <c r="A223" s="6">
        <v>4</v>
      </c>
      <c r="B223" s="6">
        <v>108</v>
      </c>
      <c r="C223" s="6">
        <v>6</v>
      </c>
      <c r="D223" s="6">
        <v>217</v>
      </c>
      <c r="E223" s="6">
        <v>249</v>
      </c>
      <c r="F223" s="9">
        <f>K148</f>
        <v>1.3</v>
      </c>
      <c r="G223" s="10">
        <f>'入力根拠'!F103</f>
        <v>168029.0</v>
      </c>
      <c r="H223" s="10">
        <f>'入力根拠'!F104</f>
        <v>2117.2</v>
      </c>
      <c r="I223" s="6">
        <f>(F223*G223)</f>
        <v>218437.7</v>
      </c>
      <c r="J223" s="6">
        <f>(F223*H223)</f>
        <v>2752.3599999999997</v>
      </c>
    </row>
    <row r="224" spans="1:12" ht="23" customHeight="1">
      <c r="A224" s="6">
        <v>4</v>
      </c>
      <c r="B224" s="6">
        <v>109</v>
      </c>
      <c r="C224" s="6">
        <v>6</v>
      </c>
      <c r="D224" s="6">
        <v>217</v>
      </c>
      <c r="E224" s="6">
        <v>249</v>
      </c>
      <c r="F224" s="9">
        <f>K149</f>
        <v>1.3</v>
      </c>
      <c r="G224" s="10">
        <f>'入力根拠'!F103</f>
        <v>168029.0</v>
      </c>
      <c r="H224" s="10">
        <f>'入力根拠'!F104</f>
        <v>2117.2</v>
      </c>
      <c r="I224" s="6">
        <f>(F224*G224)</f>
        <v>218437.7</v>
      </c>
      <c r="J224" s="6">
        <f>(F224*H224)</f>
        <v>2752.3599999999997</v>
      </c>
    </row>
    <row r="225" spans="1:10" ht="23" customHeight="1">
      <c r="A225" s="6">
        <v>4</v>
      </c>
      <c r="B225" s="6">
        <v>110</v>
      </c>
      <c r="C225" s="6">
        <v>6</v>
      </c>
      <c r="D225" s="6">
        <v>217</v>
      </c>
      <c r="E225" s="6">
        <v>249</v>
      </c>
      <c r="F225" s="9">
        <f>K150</f>
        <v>1.3</v>
      </c>
      <c r="G225" s="10">
        <f>'入力根拠'!F103</f>
        <v>168029.0</v>
      </c>
      <c r="H225" s="10">
        <f>'入力根拠'!F104</f>
        <v>2117.2</v>
      </c>
      <c r="I225" s="6">
        <f>(F225*G225)</f>
        <v>218437.7</v>
      </c>
      <c r="J225" s="6">
        <f>(F225*H225)</f>
        <v>2752.3599999999997</v>
      </c>
    </row>
    <row r="226" spans="1:10" ht="23" customHeight="1">
      <c r="A226" s="6">
        <v>4</v>
      </c>
      <c r="B226" s="6">
        <v>111</v>
      </c>
      <c r="C226" s="6">
        <v>6</v>
      </c>
      <c r="D226" s="6">
        <v>217</v>
      </c>
      <c r="E226" s="6">
        <v>249</v>
      </c>
      <c r="F226" s="9">
        <f>K151</f>
        <v>1.3</v>
      </c>
      <c r="G226" s="10">
        <f>'入力根拠'!F103</f>
        <v>168029.0</v>
      </c>
      <c r="H226" s="10">
        <f>'入力根拠'!F104</f>
        <v>2117.2</v>
      </c>
      <c r="I226" s="6">
        <f>(F226*G226)</f>
        <v>218437.7</v>
      </c>
      <c r="J226" s="6">
        <f>(F226*H226)</f>
        <v>2752.3599999999997</v>
      </c>
    </row>
    <row r="227" spans="1:10" ht="23" customHeight="1">
      <c r="A227" s="6">
        <v>4</v>
      </c>
      <c r="B227" s="6">
        <v>112</v>
      </c>
      <c r="C227" s="6">
        <v>6</v>
      </c>
      <c r="D227" s="6">
        <v>217</v>
      </c>
      <c r="E227" s="6">
        <v>249</v>
      </c>
      <c r="F227" s="9">
        <f>K152</f>
        <v>0.85</v>
      </c>
      <c r="G227" s="10">
        <f>'入力根拠'!F103</f>
        <v>168029.0</v>
      </c>
      <c r="H227" s="10">
        <f>'入力根拠'!F104</f>
        <v>2117.2</v>
      </c>
      <c r="I227" s="6">
        <f>(F227*G227)</f>
        <v>142824.65</v>
      </c>
      <c r="J227" s="6">
        <f>(F227*H227)</f>
        <v>1799.62</v>
      </c>
    </row>
    <row r="228" spans="1:10" ht="23" customHeight="1">
      <c r="A228" s="6">
        <v>4</v>
      </c>
      <c r="B228" s="6">
        <v>112</v>
      </c>
      <c r="C228" s="6">
        <v>7</v>
      </c>
      <c r="D228" s="6">
        <v>218</v>
      </c>
      <c r="E228" s="6">
        <v>250</v>
      </c>
      <c r="F228" s="9">
        <f>K153</f>
        <v>0.45</v>
      </c>
      <c r="G228" s="10">
        <f>'入力根拠'!F105</f>
        <v>80720.0</v>
      </c>
      <c r="H228" s="10">
        <f>'入力根拠'!F106</f>
        <v>517.5</v>
      </c>
      <c r="I228" s="6">
        <f>(F228*G228)</f>
        <v>36324.0</v>
      </c>
      <c r="J228" s="6">
        <f>(F228*H228)</f>
        <v>232.875</v>
      </c>
    </row>
    <row r="229" spans="1:10" ht="23" customHeight="1">
      <c r="A229" s="6">
        <v>4</v>
      </c>
      <c r="B229" s="6">
        <v>113</v>
      </c>
      <c r="C229" s="6">
        <v>7</v>
      </c>
      <c r="D229" s="6">
        <v>218</v>
      </c>
      <c r="E229" s="6">
        <v>250</v>
      </c>
      <c r="F229" s="9">
        <f>K154</f>
        <v>1.3</v>
      </c>
      <c r="G229" s="10">
        <f>'入力根拠'!F105</f>
        <v>80720.0</v>
      </c>
      <c r="H229" s="10">
        <f>'入力根拠'!F106</f>
        <v>517.5</v>
      </c>
      <c r="I229" s="6">
        <f>(F229*G229)</f>
        <v>104936.0</v>
      </c>
      <c r="J229" s="6">
        <f>(F229*H229)</f>
        <v>672.75</v>
      </c>
    </row>
    <row r="230" spans="1:10" ht="23" customHeight="1">
      <c r="A230" s="6">
        <v>4</v>
      </c>
      <c r="B230" s="6">
        <v>114</v>
      </c>
      <c r="C230" s="6">
        <v>7</v>
      </c>
      <c r="D230" s="6">
        <v>218</v>
      </c>
      <c r="E230" s="6">
        <v>250</v>
      </c>
      <c r="F230" s="9">
        <f>K155</f>
        <v>1.3</v>
      </c>
      <c r="G230" s="10">
        <f>'入力根拠'!F105</f>
        <v>80720.0</v>
      </c>
      <c r="H230" s="10">
        <f>'入力根拠'!F106</f>
        <v>517.5</v>
      </c>
      <c r="I230" s="6">
        <f>(F230*G230)</f>
        <v>104936.0</v>
      </c>
      <c r="J230" s="6">
        <f>(F230*H230)</f>
        <v>672.75</v>
      </c>
    </row>
    <row r="231" spans="1:10" ht="23" customHeight="1">
      <c r="A231" s="6">
        <v>4</v>
      </c>
      <c r="B231" s="6">
        <v>115</v>
      </c>
      <c r="C231" s="6">
        <v>7</v>
      </c>
      <c r="D231" s="6">
        <v>218</v>
      </c>
      <c r="E231" s="6">
        <v>250</v>
      </c>
      <c r="F231" s="9">
        <f>K156</f>
        <v>1.3</v>
      </c>
      <c r="G231" s="10">
        <f>'入力根拠'!F105</f>
        <v>80720.0</v>
      </c>
      <c r="H231" s="10">
        <f>'入力根拠'!F106</f>
        <v>517.5</v>
      </c>
      <c r="I231" s="6">
        <f>(F231*G231)</f>
        <v>104936.0</v>
      </c>
      <c r="J231" s="6">
        <f>(F231*H231)</f>
        <v>672.75</v>
      </c>
    </row>
    <row r="232" spans="1:10" ht="23" customHeight="1">
      <c r="A232" s="6">
        <v>4</v>
      </c>
      <c r="B232" s="6">
        <v>116</v>
      </c>
      <c r="C232" s="6">
        <v>7</v>
      </c>
      <c r="D232" s="6">
        <v>218</v>
      </c>
      <c r="E232" s="6">
        <v>250</v>
      </c>
      <c r="F232" s="9">
        <f>K157</f>
        <v>1.3</v>
      </c>
      <c r="G232" s="10">
        <f>'入力根拠'!F105</f>
        <v>80720.0</v>
      </c>
      <c r="H232" s="10">
        <f>'入力根拠'!F106</f>
        <v>517.5</v>
      </c>
      <c r="I232" s="6">
        <f>(F232*G232)</f>
        <v>104936.0</v>
      </c>
      <c r="J232" s="6">
        <f>(F232*H232)</f>
        <v>672.75</v>
      </c>
    </row>
    <row r="233" spans="1:10" ht="23" customHeight="1">
      <c r="A233" s="6">
        <v>4</v>
      </c>
      <c r="B233" s="6">
        <v>117</v>
      </c>
      <c r="C233" s="6">
        <v>7</v>
      </c>
      <c r="D233" s="6">
        <v>218</v>
      </c>
      <c r="E233" s="6">
        <v>250</v>
      </c>
      <c r="F233" s="9">
        <f>K158</f>
        <v>1.3</v>
      </c>
      <c r="G233" s="10">
        <f>'入力根拠'!F105</f>
        <v>80720.0</v>
      </c>
      <c r="H233" s="10">
        <f>'入力根拠'!F106</f>
        <v>517.5</v>
      </c>
      <c r="I233" s="6">
        <f>(F233*G233)</f>
        <v>104936.0</v>
      </c>
      <c r="J233" s="6">
        <f>(F233*H233)</f>
        <v>672.75</v>
      </c>
    </row>
    <row r="234" spans="1:10" ht="23" customHeight="1">
      <c r="A234" s="6">
        <v>4</v>
      </c>
      <c r="B234" s="6">
        <v>118</v>
      </c>
      <c r="C234" s="6">
        <v>7</v>
      </c>
      <c r="D234" s="6">
        <v>218</v>
      </c>
      <c r="E234" s="6">
        <v>250</v>
      </c>
      <c r="F234" s="9">
        <f>K159</f>
        <v>1.3</v>
      </c>
      <c r="G234" s="10">
        <f>'入力根拠'!F105</f>
        <v>80720.0</v>
      </c>
      <c r="H234" s="10">
        <f>'入力根拠'!F106</f>
        <v>517.5</v>
      </c>
      <c r="I234" s="6">
        <f>(F234*G234)</f>
        <v>104936.0</v>
      </c>
      <c r="J234" s="6">
        <f>(F234*H234)</f>
        <v>672.75</v>
      </c>
    </row>
    <row r="235" spans="1:10" ht="23" customHeight="1">
      <c r="A235" s="6">
        <v>4</v>
      </c>
      <c r="B235" s="6">
        <v>119</v>
      </c>
      <c r="C235" s="6">
        <v>7</v>
      </c>
      <c r="D235" s="6">
        <v>218</v>
      </c>
      <c r="E235" s="6">
        <v>250</v>
      </c>
      <c r="F235" s="9">
        <f>K160</f>
        <v>1.3</v>
      </c>
      <c r="G235" s="10">
        <f>'入力根拠'!F105</f>
        <v>80720.0</v>
      </c>
      <c r="H235" s="10">
        <f>'入力根拠'!F106</f>
        <v>517.5</v>
      </c>
      <c r="I235" s="6">
        <f>(F235*G235)</f>
        <v>104936.0</v>
      </c>
      <c r="J235" s="6">
        <f>(F235*H235)</f>
        <v>672.75</v>
      </c>
    </row>
    <row r="236" spans="1:10" ht="23" customHeight="1">
      <c r="A236" s="6">
        <v>4</v>
      </c>
      <c r="B236" s="6">
        <v>120</v>
      </c>
      <c r="C236" s="6">
        <v>7</v>
      </c>
      <c r="D236" s="6">
        <v>218</v>
      </c>
      <c r="E236" s="6">
        <v>250</v>
      </c>
      <c r="F236" s="9">
        <f>K161</f>
        <v>1.3</v>
      </c>
      <c r="G236" s="10">
        <f>'入力根拠'!F105</f>
        <v>80720.0</v>
      </c>
      <c r="H236" s="10">
        <f>'入力根拠'!F106</f>
        <v>517.5</v>
      </c>
      <c r="I236" s="6">
        <f>(F236*G236)</f>
        <v>104936.0</v>
      </c>
      <c r="J236" s="6">
        <f>(F236*H236)</f>
        <v>672.75</v>
      </c>
    </row>
    <row r="237" spans="1:10" ht="23" customHeight="1">
      <c r="A237" s="6">
        <v>4</v>
      </c>
      <c r="B237" s="6">
        <v>121</v>
      </c>
      <c r="C237" s="6">
        <v>7</v>
      </c>
      <c r="D237" s="6">
        <v>218</v>
      </c>
      <c r="E237" s="6">
        <v>250</v>
      </c>
      <c r="F237" s="9">
        <f>K162</f>
        <v>0.45</v>
      </c>
      <c r="G237" s="10">
        <f>'入力根拠'!F105</f>
        <v>80720.0</v>
      </c>
      <c r="H237" s="10">
        <f>'入力根拠'!F106</f>
        <v>517.5</v>
      </c>
      <c r="I237" s="6">
        <f>(F237*G237)</f>
        <v>36324.0</v>
      </c>
      <c r="J237" s="6">
        <f>(F237*H237)</f>
        <v>232.875</v>
      </c>
    </row>
    <row r="238" spans="1:10" ht="23" customHeight="1">
      <c r="A238" s="6">
        <v>5</v>
      </c>
      <c r="B238" s="6">
        <v>127</v>
      </c>
      <c r="C238" s="6">
        <v>3</v>
      </c>
      <c r="D238" s="6">
        <v>214</v>
      </c>
      <c r="E238" s="6">
        <v>246</v>
      </c>
      <c r="F238" s="9">
        <f>K163</f>
        <v>0.755</v>
      </c>
      <c r="G238" s="10">
        <f>'入力根拠'!F107</f>
        <v>30751.0</v>
      </c>
      <c r="H238" s="10">
        <f>'入力根拠'!F108</f>
        <v>196.0</v>
      </c>
      <c r="I238" s="6">
        <f>(F238*G238)</f>
        <v>23217.005</v>
      </c>
      <c r="J238" s="6">
        <f>(F238*H238)</f>
        <v>147.98</v>
      </c>
    </row>
    <row r="239" spans="1:10" ht="23" customHeight="1">
      <c r="A239" s="6">
        <v>5</v>
      </c>
      <c r="B239" s="6">
        <v>127</v>
      </c>
      <c r="C239" s="6">
        <v>4</v>
      </c>
      <c r="D239" s="6">
        <v>215</v>
      </c>
      <c r="E239" s="6">
        <v>247</v>
      </c>
      <c r="F239" s="9">
        <f>K164</f>
        <v>0.15</v>
      </c>
      <c r="G239" s="10">
        <f>'入力根拠'!F109</f>
        <v>74680.0</v>
      </c>
      <c r="H239" s="10">
        <f>'入力根拠'!F110</f>
        <v>941.0</v>
      </c>
      <c r="I239" s="6">
        <f>(F239*G239)</f>
        <v>11202.0</v>
      </c>
      <c r="J239" s="6">
        <f>(F239*H239)</f>
        <v>141.15</v>
      </c>
    </row>
    <row r="240" spans="1:10" ht="23" customHeight="1">
      <c r="A240" s="6">
        <v>5</v>
      </c>
      <c r="B240" s="6">
        <v>128</v>
      </c>
      <c r="C240" s="6">
        <v>4</v>
      </c>
      <c r="D240" s="6">
        <v>215</v>
      </c>
      <c r="E240" s="6">
        <v>247</v>
      </c>
      <c r="F240" s="9">
        <f>K165</f>
        <v>1.3</v>
      </c>
      <c r="G240" s="10">
        <f>'入力根拠'!F109</f>
        <v>74680.0</v>
      </c>
      <c r="H240" s="10">
        <f>'入力根拠'!F110</f>
        <v>941.0</v>
      </c>
      <c r="I240" s="6">
        <f>(F240*G240)</f>
        <v>97084.0</v>
      </c>
      <c r="J240" s="6">
        <f>(F240*H240)</f>
        <v>1223.3</v>
      </c>
    </row>
    <row r="241" spans="1:10" ht="23" customHeight="1">
      <c r="A241" s="6">
        <v>5</v>
      </c>
      <c r="B241" s="6">
        <v>129</v>
      </c>
      <c r="C241" s="6">
        <v>4</v>
      </c>
      <c r="D241" s="6">
        <v>215</v>
      </c>
      <c r="E241" s="6">
        <v>247</v>
      </c>
      <c r="F241" s="9">
        <f>K166</f>
        <v>1.15</v>
      </c>
      <c r="G241" s="10">
        <f>'入力根拠'!F109</f>
        <v>74680.0</v>
      </c>
      <c r="H241" s="10">
        <f>'入力根拠'!F110</f>
        <v>941.0</v>
      </c>
      <c r="I241" s="6">
        <f>(F241*G241)</f>
        <v>85882.0</v>
      </c>
      <c r="J241" s="6">
        <f>(F241*H241)</f>
        <v>1082.1499999999999</v>
      </c>
    </row>
    <row r="242" spans="1:10" ht="23" customHeight="1">
      <c r="A242" s="6">
        <v>5</v>
      </c>
      <c r="B242" s="6">
        <v>129</v>
      </c>
      <c r="C242" s="6">
        <v>5</v>
      </c>
      <c r="D242" s="6">
        <v>216</v>
      </c>
      <c r="E242" s="6">
        <v>248</v>
      </c>
      <c r="F242" s="9">
        <f>K167</f>
        <v>0.15</v>
      </c>
      <c r="G242" s="10">
        <f>'入力根拠'!F111</f>
        <v>119158.0</v>
      </c>
      <c r="H242" s="10">
        <f>'入力根拠'!F112</f>
        <v>760.6</v>
      </c>
      <c r="I242" s="6">
        <f>(F242*G242)</f>
        <v>17873.7</v>
      </c>
      <c r="J242" s="6">
        <f>(F242*H242)</f>
        <v>114.09</v>
      </c>
    </row>
    <row r="243" spans="1:10" ht="23" customHeight="1">
      <c r="A243" s="6">
        <v>5</v>
      </c>
      <c r="B243" s="6">
        <v>130</v>
      </c>
      <c r="C243" s="6">
        <v>5</v>
      </c>
      <c r="D243" s="6">
        <v>216</v>
      </c>
      <c r="E243" s="6">
        <v>248</v>
      </c>
      <c r="F243" s="9">
        <f>K168</f>
        <v>0.45</v>
      </c>
      <c r="G243" s="10">
        <f>'入力根拠'!F111</f>
        <v>119158.0</v>
      </c>
      <c r="H243" s="10">
        <f>'入力根拠'!F112</f>
        <v>760.6</v>
      </c>
      <c r="I243" s="6">
        <f>(F243*G243)</f>
        <v>53621.1</v>
      </c>
      <c r="J243" s="6">
        <f>(F243*H243)</f>
        <v>342.27000000000004</v>
      </c>
    </row>
    <row r="244" spans="1:10" ht="23" customHeight="1">
      <c r="A244" s="6">
        <v>5</v>
      </c>
      <c r="B244" s="6">
        <v>130</v>
      </c>
      <c r="C244" s="6">
        <v>6</v>
      </c>
      <c r="D244" s="6">
        <v>217</v>
      </c>
      <c r="E244" s="6">
        <v>249</v>
      </c>
      <c r="F244" s="9">
        <f>K169</f>
        <v>0.85</v>
      </c>
      <c r="G244" s="10">
        <f>'入力根拠'!F113</f>
        <v>112020.0</v>
      </c>
      <c r="H244" s="10">
        <f>'入力根拠'!F114</f>
        <v>1411.5</v>
      </c>
      <c r="I244" s="6">
        <f>(F244*G244)</f>
        <v>95217.0</v>
      </c>
      <c r="J244" s="6">
        <f>(F244*H244)</f>
        <v>1199.7749999999999</v>
      </c>
    </row>
    <row r="245" spans="1:10" ht="23" customHeight="1">
      <c r="A245" s="6">
        <v>5</v>
      </c>
      <c r="B245" s="6">
        <v>131</v>
      </c>
      <c r="C245" s="6">
        <v>6</v>
      </c>
      <c r="D245" s="6">
        <v>217</v>
      </c>
      <c r="E245" s="6">
        <v>249</v>
      </c>
      <c r="F245" s="9">
        <f>K170</f>
        <v>1.3</v>
      </c>
      <c r="G245" s="10">
        <f>'入力根拠'!F113</f>
        <v>112020.0</v>
      </c>
      <c r="H245" s="10">
        <f>'入力根拠'!F114</f>
        <v>1411.5</v>
      </c>
      <c r="I245" s="6">
        <f>(F245*G245)</f>
        <v>145626.0</v>
      </c>
      <c r="J245" s="6">
        <f>(F245*H245)</f>
        <v>1834.95</v>
      </c>
    </row>
    <row r="246" spans="1:10" ht="23" customHeight="1">
      <c r="A246" s="6">
        <v>5</v>
      </c>
      <c r="B246" s="6">
        <v>132</v>
      </c>
      <c r="C246" s="6">
        <v>6</v>
      </c>
      <c r="D246" s="6">
        <v>217</v>
      </c>
      <c r="E246" s="6">
        <v>249</v>
      </c>
      <c r="F246" s="9">
        <f>K171</f>
        <v>1.3</v>
      </c>
      <c r="G246" s="10">
        <f>'入力根拠'!F113</f>
        <v>112020.0</v>
      </c>
      <c r="H246" s="10">
        <f>'入力根拠'!F114</f>
        <v>1411.5</v>
      </c>
      <c r="I246" s="6">
        <f>(F246*G246)</f>
        <v>145626.0</v>
      </c>
      <c r="J246" s="6">
        <f>(F246*H246)</f>
        <v>1834.95</v>
      </c>
    </row>
    <row r="247" spans="1:10" ht="23" customHeight="1">
      <c r="A247" s="6">
        <v>5</v>
      </c>
      <c r="B247" s="6">
        <v>133</v>
      </c>
      <c r="C247" s="6">
        <v>6</v>
      </c>
      <c r="D247" s="6">
        <v>217</v>
      </c>
      <c r="E247" s="6">
        <v>249</v>
      </c>
      <c r="F247" s="9">
        <f>K172</f>
        <v>1.3</v>
      </c>
      <c r="G247" s="10">
        <f>'入力根拠'!F113</f>
        <v>112020.0</v>
      </c>
      <c r="H247" s="10">
        <f>'入力根拠'!F114</f>
        <v>1411.5</v>
      </c>
      <c r="I247" s="6">
        <f>(F247*G247)</f>
        <v>145626.0</v>
      </c>
      <c r="J247" s="6">
        <f>(F247*H247)</f>
        <v>1834.95</v>
      </c>
    </row>
    <row r="248" spans="1:10" ht="23" customHeight="1">
      <c r="A248" s="6">
        <v>5</v>
      </c>
      <c r="B248" s="6">
        <v>134</v>
      </c>
      <c r="C248" s="6">
        <v>6</v>
      </c>
      <c r="D248" s="6">
        <v>217</v>
      </c>
      <c r="E248" s="6">
        <v>249</v>
      </c>
      <c r="F248" s="9">
        <f>K173</f>
        <v>1.3</v>
      </c>
      <c r="G248" s="10">
        <f>'入力根拠'!F113</f>
        <v>112020.0</v>
      </c>
      <c r="H248" s="10">
        <f>'入力根拠'!F114</f>
        <v>1411.5</v>
      </c>
      <c r="I248" s="6">
        <f>(F248*G248)</f>
        <v>145626.0</v>
      </c>
      <c r="J248" s="6">
        <f>(F248*H248)</f>
        <v>1834.95</v>
      </c>
    </row>
    <row r="249" spans="1:10" ht="23" customHeight="1">
      <c r="A249" s="6">
        <v>5</v>
      </c>
      <c r="B249" s="6">
        <v>135</v>
      </c>
      <c r="C249" s="6">
        <v>6</v>
      </c>
      <c r="D249" s="6">
        <v>217</v>
      </c>
      <c r="E249" s="6">
        <v>249</v>
      </c>
      <c r="F249" s="9">
        <f>K174</f>
        <v>1.3</v>
      </c>
      <c r="G249" s="10">
        <f>'入力根拠'!F113</f>
        <v>112020.0</v>
      </c>
      <c r="H249" s="10">
        <f>'入力根拠'!F114</f>
        <v>1411.5</v>
      </c>
      <c r="I249" s="6">
        <f>(F249*G249)</f>
        <v>145626.0</v>
      </c>
      <c r="J249" s="6">
        <f>(F249*H249)</f>
        <v>1834.95</v>
      </c>
    </row>
    <row r="250" spans="1:10" ht="23" customHeight="1">
      <c r="A250" s="6">
        <v>5</v>
      </c>
      <c r="B250" s="6">
        <v>136</v>
      </c>
      <c r="C250" s="6">
        <v>6</v>
      </c>
      <c r="D250" s="6">
        <v>217</v>
      </c>
      <c r="E250" s="6">
        <v>249</v>
      </c>
      <c r="F250" s="9">
        <f>K175</f>
        <v>1.3</v>
      </c>
      <c r="G250" s="10">
        <f>'入力根拠'!F113</f>
        <v>112020.0</v>
      </c>
      <c r="H250" s="10">
        <f>'入力根拠'!F114</f>
        <v>1411.5</v>
      </c>
      <c r="I250" s="6">
        <f>(F250*G250)</f>
        <v>145626.0</v>
      </c>
      <c r="J250" s="6">
        <f>(F250*H250)</f>
        <v>1834.95</v>
      </c>
    </row>
    <row r="251" spans="1:10" ht="23" customHeight="1">
      <c r="A251" s="6">
        <v>5</v>
      </c>
      <c r="B251" s="6">
        <v>137</v>
      </c>
      <c r="C251" s="6">
        <v>6</v>
      </c>
      <c r="D251" s="6">
        <v>217</v>
      </c>
      <c r="E251" s="6">
        <v>249</v>
      </c>
      <c r="F251" s="9">
        <f>K176</f>
        <v>0.85</v>
      </c>
      <c r="G251" s="10">
        <f>'入力根拠'!F113</f>
        <v>112020.0</v>
      </c>
      <c r="H251" s="10">
        <f>'入力根拠'!F114</f>
        <v>1411.5</v>
      </c>
      <c r="I251" s="6">
        <f>(F251*G251)</f>
        <v>95217.0</v>
      </c>
      <c r="J251" s="6">
        <f>(F251*H251)</f>
        <v>1199.7749999999999</v>
      </c>
    </row>
    <row r="252" spans="1:10" ht="23" customHeight="1">
      <c r="A252" s="6">
        <v>5</v>
      </c>
      <c r="B252" s="6">
        <v>137</v>
      </c>
      <c r="C252" s="6">
        <v>7</v>
      </c>
      <c r="D252" s="6">
        <v>218</v>
      </c>
      <c r="E252" s="6">
        <v>250</v>
      </c>
      <c r="F252" s="9">
        <f>K177</f>
        <v>0.45</v>
      </c>
      <c r="G252" s="10">
        <f>'入力根拠'!F115</f>
        <v>53813.0</v>
      </c>
      <c r="H252" s="10">
        <f>'入力根拠'!F116</f>
        <v>345.0</v>
      </c>
      <c r="I252" s="6">
        <f>(F252*G252)</f>
        <v>24215.850000000002</v>
      </c>
      <c r="J252" s="6">
        <f>(F252*H252)</f>
        <v>155.25</v>
      </c>
    </row>
    <row r="253" spans="1:10" ht="23" customHeight="1">
      <c r="A253" s="6">
        <v>5</v>
      </c>
      <c r="B253" s="6">
        <v>138</v>
      </c>
      <c r="C253" s="6">
        <v>7</v>
      </c>
      <c r="D253" s="6">
        <v>218</v>
      </c>
      <c r="E253" s="6">
        <v>250</v>
      </c>
      <c r="F253" s="9">
        <f>K178</f>
        <v>1.3</v>
      </c>
      <c r="G253" s="10">
        <f>'入力根拠'!F115</f>
        <v>53813.0</v>
      </c>
      <c r="H253" s="10">
        <f>'入力根拠'!F116</f>
        <v>345.0</v>
      </c>
      <c r="I253" s="6">
        <f>(F253*G253)</f>
        <v>69956.90000000001</v>
      </c>
      <c r="J253" s="6">
        <f>(F253*H253)</f>
        <v>448.5</v>
      </c>
    </row>
    <row r="254" spans="1:10" ht="23" customHeight="1">
      <c r="A254" s="6">
        <v>5</v>
      </c>
      <c r="B254" s="6">
        <v>139</v>
      </c>
      <c r="C254" s="6">
        <v>7</v>
      </c>
      <c r="D254" s="6">
        <v>218</v>
      </c>
      <c r="E254" s="6">
        <v>250</v>
      </c>
      <c r="F254" s="9">
        <f>K179</f>
        <v>1.3</v>
      </c>
      <c r="G254" s="10">
        <f>'入力根拠'!F115</f>
        <v>53813.0</v>
      </c>
      <c r="H254" s="10">
        <f>'入力根拠'!F116</f>
        <v>345.0</v>
      </c>
      <c r="I254" s="6">
        <f>(F254*G254)</f>
        <v>69956.90000000001</v>
      </c>
      <c r="J254" s="6">
        <f>(F254*H254)</f>
        <v>448.5</v>
      </c>
    </row>
    <row r="255" spans="1:10" ht="23" customHeight="1">
      <c r="A255" s="6">
        <v>5</v>
      </c>
      <c r="B255" s="6">
        <v>140</v>
      </c>
      <c r="C255" s="6">
        <v>7</v>
      </c>
      <c r="D255" s="6">
        <v>218</v>
      </c>
      <c r="E255" s="6">
        <v>250</v>
      </c>
      <c r="F255" s="9">
        <f>K180</f>
        <v>1.3</v>
      </c>
      <c r="G255" s="10">
        <f>'入力根拠'!F115</f>
        <v>53813.0</v>
      </c>
      <c r="H255" s="10">
        <f>'入力根拠'!F116</f>
        <v>345.0</v>
      </c>
      <c r="I255" s="6">
        <f>(F255*G255)</f>
        <v>69956.90000000001</v>
      </c>
      <c r="J255" s="6">
        <f>(F255*H255)</f>
        <v>448.5</v>
      </c>
    </row>
    <row r="256" spans="1:10" ht="23" customHeight="1">
      <c r="A256" s="6">
        <v>5</v>
      </c>
      <c r="B256" s="6">
        <v>141</v>
      </c>
      <c r="C256" s="6">
        <v>7</v>
      </c>
      <c r="D256" s="6">
        <v>218</v>
      </c>
      <c r="E256" s="6">
        <v>250</v>
      </c>
      <c r="F256" s="9">
        <f>K181</f>
        <v>1.3</v>
      </c>
      <c r="G256" s="10">
        <f>'入力根拠'!F115</f>
        <v>53813.0</v>
      </c>
      <c r="H256" s="10">
        <f>'入力根拠'!F116</f>
        <v>345.0</v>
      </c>
      <c r="I256" s="6">
        <f>(F256*G256)</f>
        <v>69956.90000000001</v>
      </c>
      <c r="J256" s="6">
        <f>(F256*H256)</f>
        <v>448.5</v>
      </c>
    </row>
    <row r="257" spans="1:10" ht="23" customHeight="1">
      <c r="A257" s="6">
        <v>5</v>
      </c>
      <c r="B257" s="6">
        <v>142</v>
      </c>
      <c r="C257" s="6">
        <v>7</v>
      </c>
      <c r="D257" s="6">
        <v>218</v>
      </c>
      <c r="E257" s="6">
        <v>250</v>
      </c>
      <c r="F257" s="9">
        <f>K182</f>
        <v>1.3</v>
      </c>
      <c r="G257" s="10">
        <f>'入力根拠'!F115</f>
        <v>53813.0</v>
      </c>
      <c r="H257" s="10">
        <f>'入力根拠'!F116</f>
        <v>345.0</v>
      </c>
      <c r="I257" s="6">
        <f>(F257*G257)</f>
        <v>69956.90000000001</v>
      </c>
      <c r="J257" s="6">
        <f>(F257*H257)</f>
        <v>448.5</v>
      </c>
    </row>
    <row r="258" spans="1:10" ht="23" customHeight="1">
      <c r="A258" s="6">
        <v>5</v>
      </c>
      <c r="B258" s="6">
        <v>143</v>
      </c>
      <c r="C258" s="6">
        <v>7</v>
      </c>
      <c r="D258" s="6">
        <v>218</v>
      </c>
      <c r="E258" s="6">
        <v>250</v>
      </c>
      <c r="F258" s="9">
        <f>K183</f>
        <v>1.3</v>
      </c>
      <c r="G258" s="10">
        <f>'入力根拠'!F115</f>
        <v>53813.0</v>
      </c>
      <c r="H258" s="10">
        <f>'入力根拠'!F116</f>
        <v>345.0</v>
      </c>
      <c r="I258" s="6">
        <f>(F258*G258)</f>
        <v>69956.90000000001</v>
      </c>
      <c r="J258" s="6">
        <f>(F258*H258)</f>
        <v>448.5</v>
      </c>
    </row>
    <row r="259" spans="1:10" ht="23" customHeight="1">
      <c r="A259" s="6">
        <v>5</v>
      </c>
      <c r="B259" s="6">
        <v>144</v>
      </c>
      <c r="C259" s="6">
        <v>7</v>
      </c>
      <c r="D259" s="6">
        <v>218</v>
      </c>
      <c r="E259" s="6">
        <v>250</v>
      </c>
      <c r="F259" s="9">
        <f>K184</f>
        <v>1.3</v>
      </c>
      <c r="G259" s="10">
        <f>'入力根拠'!F115</f>
        <v>53813.0</v>
      </c>
      <c r="H259" s="10">
        <f>'入力根拠'!F116</f>
        <v>345.0</v>
      </c>
      <c r="I259" s="6">
        <f>(F259*G259)</f>
        <v>69956.90000000001</v>
      </c>
      <c r="J259" s="6">
        <f>(F259*H259)</f>
        <v>448.5</v>
      </c>
    </row>
    <row r="260" spans="1:10" ht="23" customHeight="1">
      <c r="A260" s="6">
        <v>5</v>
      </c>
      <c r="B260" s="6">
        <v>145</v>
      </c>
      <c r="C260" s="6">
        <v>7</v>
      </c>
      <c r="D260" s="6">
        <v>218</v>
      </c>
      <c r="E260" s="6">
        <v>250</v>
      </c>
      <c r="F260" s="9">
        <f>K185</f>
        <v>1.3</v>
      </c>
      <c r="G260" s="10">
        <f>'入力根拠'!F115</f>
        <v>53813.0</v>
      </c>
      <c r="H260" s="10">
        <f>'入力根拠'!F116</f>
        <v>345.0</v>
      </c>
      <c r="I260" s="6">
        <f>(F260*G260)</f>
        <v>69956.90000000001</v>
      </c>
      <c r="J260" s="6">
        <f>(F260*H260)</f>
        <v>448.5</v>
      </c>
    </row>
    <row r="261" spans="1:10" ht="23" customHeight="1">
      <c r="A261" s="6">
        <v>5</v>
      </c>
      <c r="B261" s="6">
        <v>146</v>
      </c>
      <c r="C261" s="6">
        <v>7</v>
      </c>
      <c r="D261" s="6">
        <v>218</v>
      </c>
      <c r="E261" s="6">
        <v>250</v>
      </c>
      <c r="F261" s="9">
        <f>K186</f>
        <v>0.45</v>
      </c>
      <c r="G261" s="10">
        <f>'入力根拠'!F115</f>
        <v>53813.0</v>
      </c>
      <c r="H261" s="10">
        <f>'入力根拠'!F116</f>
        <v>345.0</v>
      </c>
      <c r="I261" s="6">
        <f>(F261*G261)</f>
        <v>24215.850000000002</v>
      </c>
      <c r="J261" s="6">
        <f>(F261*H261)</f>
        <v>155.25</v>
      </c>
    </row>
    <row r="262" spans="1:10" ht="23" customHeight="1">
      <c r="A262" s="6">
        <v>6</v>
      </c>
      <c r="B262" s="6">
        <v>152</v>
      </c>
      <c r="C262" s="6">
        <v>3</v>
      </c>
      <c r="D262" s="6">
        <v>214</v>
      </c>
      <c r="E262" s="6">
        <v>246</v>
      </c>
      <c r="F262" s="9">
        <f>K187</f>
        <v>0.755</v>
      </c>
      <c r="G262" s="10">
        <f>'入力根拠'!F117</f>
        <v>46127.0</v>
      </c>
      <c r="H262" s="10">
        <f>'入力根拠'!F118</f>
        <v>294.1</v>
      </c>
      <c r="I262" s="6">
        <f>(F262*G262)</f>
        <v>34825.885</v>
      </c>
      <c r="J262" s="6">
        <f>(F262*H262)</f>
        <v>222.04550000000003</v>
      </c>
    </row>
    <row r="263" spans="1:10" ht="23" customHeight="1">
      <c r="A263" s="6">
        <v>6</v>
      </c>
      <c r="B263" s="6">
        <v>152</v>
      </c>
      <c r="C263" s="6">
        <v>4</v>
      </c>
      <c r="D263" s="6">
        <v>215</v>
      </c>
      <c r="E263" s="6">
        <v>247</v>
      </c>
      <c r="F263" s="9">
        <f>K188</f>
        <v>0.15</v>
      </c>
      <c r="G263" s="10">
        <f>'入力根拠'!F119</f>
        <v>112020.0</v>
      </c>
      <c r="H263" s="10">
        <f>'入力根拠'!F120</f>
        <v>1411.5</v>
      </c>
      <c r="I263" s="6">
        <f>(F263*G263)</f>
        <v>16803.0</v>
      </c>
      <c r="J263" s="6">
        <f>(F263*H263)</f>
        <v>211.725</v>
      </c>
    </row>
    <row r="264" spans="1:10" ht="23" customHeight="1">
      <c r="A264" s="6">
        <v>6</v>
      </c>
      <c r="B264" s="6">
        <v>153</v>
      </c>
      <c r="C264" s="6">
        <v>4</v>
      </c>
      <c r="D264" s="6">
        <v>215</v>
      </c>
      <c r="E264" s="6">
        <v>247</v>
      </c>
      <c r="F264" s="9">
        <f>K189</f>
        <v>1.3</v>
      </c>
      <c r="G264" s="10">
        <f>'入力根拠'!F119</f>
        <v>112020.0</v>
      </c>
      <c r="H264" s="10">
        <f>'入力根拠'!F120</f>
        <v>1411.5</v>
      </c>
      <c r="I264" s="6">
        <f>(F264*G264)</f>
        <v>145626.0</v>
      </c>
      <c r="J264" s="6">
        <f>(F264*H264)</f>
        <v>1834.95</v>
      </c>
    </row>
    <row r="265" spans="1:10" ht="23" customHeight="1">
      <c r="A265" s="6">
        <v>6</v>
      </c>
      <c r="B265" s="6">
        <v>154</v>
      </c>
      <c r="C265" s="6">
        <v>4</v>
      </c>
      <c r="D265" s="6">
        <v>215</v>
      </c>
      <c r="E265" s="6">
        <v>247</v>
      </c>
      <c r="F265" s="9">
        <f>K190</f>
        <v>1.15</v>
      </c>
      <c r="G265" s="10">
        <f>'入力根拠'!F119</f>
        <v>112020.0</v>
      </c>
      <c r="H265" s="10">
        <f>'入力根拠'!F120</f>
        <v>1411.5</v>
      </c>
      <c r="I265" s="6">
        <f>(F265*G265)</f>
        <v>128822.99999999999</v>
      </c>
      <c r="J265" s="6">
        <f>(F265*H265)</f>
        <v>1623.225</v>
      </c>
    </row>
    <row r="266" spans="1:10" ht="23" customHeight="1">
      <c r="A266" s="6">
        <v>6</v>
      </c>
      <c r="B266" s="6">
        <v>154</v>
      </c>
      <c r="C266" s="6">
        <v>5</v>
      </c>
      <c r="D266" s="6">
        <v>216</v>
      </c>
      <c r="E266" s="6">
        <v>248</v>
      </c>
      <c r="F266" s="9">
        <f>K191</f>
        <v>0.15</v>
      </c>
      <c r="G266" s="10">
        <f>'入力根拠'!F121</f>
        <v>178738.0</v>
      </c>
      <c r="H266" s="10">
        <f>'入力根拠'!F122</f>
        <v>1140.9</v>
      </c>
      <c r="I266" s="6">
        <f>(F266*G266)</f>
        <v>26810.7</v>
      </c>
      <c r="J266" s="6">
        <f>(F266*H266)</f>
        <v>171.13500000000002</v>
      </c>
    </row>
    <row r="267" spans="1:10" ht="23" customHeight="1">
      <c r="A267" s="6">
        <v>6</v>
      </c>
      <c r="B267" s="6">
        <v>155</v>
      </c>
      <c r="C267" s="6">
        <v>5</v>
      </c>
      <c r="D267" s="6">
        <v>216</v>
      </c>
      <c r="E267" s="6">
        <v>248</v>
      </c>
      <c r="F267" s="9">
        <f>K192</f>
        <v>0.45</v>
      </c>
      <c r="G267" s="10">
        <f>'入力根拠'!F121</f>
        <v>178738.0</v>
      </c>
      <c r="H267" s="10">
        <f>'入力根拠'!F122</f>
        <v>1140.9</v>
      </c>
      <c r="I267" s="6">
        <f>(F267*G267)</f>
        <v>80432.1</v>
      </c>
      <c r="J267" s="6">
        <f>(F267*H267)</f>
        <v>513.4050000000001</v>
      </c>
    </row>
    <row r="268" spans="1:10" ht="23" customHeight="1">
      <c r="A268" s="6">
        <v>6</v>
      </c>
      <c r="B268" s="6">
        <v>155</v>
      </c>
      <c r="C268" s="6">
        <v>6</v>
      </c>
      <c r="D268" s="6">
        <v>217</v>
      </c>
      <c r="E268" s="6">
        <v>249</v>
      </c>
      <c r="F268" s="9">
        <f>K193</f>
        <v>0.85</v>
      </c>
      <c r="G268" s="10">
        <f>'入力根拠'!F123</f>
        <v>168029.0</v>
      </c>
      <c r="H268" s="10">
        <f>'入力根拠'!F124</f>
        <v>2117.2</v>
      </c>
      <c r="I268" s="6">
        <f>(F268*G268)</f>
        <v>142824.65</v>
      </c>
      <c r="J268" s="6">
        <f>(F268*H268)</f>
        <v>1799.62</v>
      </c>
    </row>
    <row r="269" spans="1:10" ht="23" customHeight="1">
      <c r="A269" s="6">
        <v>6</v>
      </c>
      <c r="B269" s="6">
        <v>156</v>
      </c>
      <c r="C269" s="6">
        <v>6</v>
      </c>
      <c r="D269" s="6">
        <v>217</v>
      </c>
      <c r="E269" s="6">
        <v>249</v>
      </c>
      <c r="F269" s="9">
        <f>K194</f>
        <v>1.3</v>
      </c>
      <c r="G269" s="10">
        <f>'入力根拠'!F123</f>
        <v>168029.0</v>
      </c>
      <c r="H269" s="10">
        <f>'入力根拠'!F124</f>
        <v>2117.2</v>
      </c>
      <c r="I269" s="6">
        <f>(F269*G269)</f>
        <v>218437.7</v>
      </c>
      <c r="J269" s="6">
        <f>(F269*H269)</f>
        <v>2752.3599999999997</v>
      </c>
    </row>
    <row r="270" spans="1:10" ht="23" customHeight="1">
      <c r="A270" s="6">
        <v>6</v>
      </c>
      <c r="B270" s="6">
        <v>157</v>
      </c>
      <c r="C270" s="6">
        <v>6</v>
      </c>
      <c r="D270" s="6">
        <v>217</v>
      </c>
      <c r="E270" s="6">
        <v>249</v>
      </c>
      <c r="F270" s="9">
        <f>K195</f>
        <v>1.3</v>
      </c>
      <c r="G270" s="10">
        <f>'入力根拠'!F123</f>
        <v>168029.0</v>
      </c>
      <c r="H270" s="10">
        <f>'入力根拠'!F124</f>
        <v>2117.2</v>
      </c>
      <c r="I270" s="6">
        <f>(F270*G270)</f>
        <v>218437.7</v>
      </c>
      <c r="J270" s="6">
        <f>(F270*H270)</f>
        <v>2752.3599999999997</v>
      </c>
    </row>
    <row r="271" spans="1:10" ht="23" customHeight="1">
      <c r="A271" s="6">
        <v>6</v>
      </c>
      <c r="B271" s="6">
        <v>158</v>
      </c>
      <c r="C271" s="6">
        <v>6</v>
      </c>
      <c r="D271" s="6">
        <v>217</v>
      </c>
      <c r="E271" s="6">
        <v>249</v>
      </c>
      <c r="F271" s="9">
        <f>K196</f>
        <v>1.3</v>
      </c>
      <c r="G271" s="10">
        <f>'入力根拠'!F123</f>
        <v>168029.0</v>
      </c>
      <c r="H271" s="10">
        <f>'入力根拠'!F124</f>
        <v>2117.2</v>
      </c>
      <c r="I271" s="6">
        <f>(F271*G271)</f>
        <v>218437.7</v>
      </c>
      <c r="J271" s="6">
        <f>(F271*H271)</f>
        <v>2752.3599999999997</v>
      </c>
    </row>
    <row r="272" spans="1:10" ht="23" customHeight="1">
      <c r="A272" s="6">
        <v>6</v>
      </c>
      <c r="B272" s="6">
        <v>159</v>
      </c>
      <c r="C272" s="6">
        <v>6</v>
      </c>
      <c r="D272" s="6">
        <v>217</v>
      </c>
      <c r="E272" s="6">
        <v>249</v>
      </c>
      <c r="F272" s="9">
        <f>K197</f>
        <v>1.3</v>
      </c>
      <c r="G272" s="10">
        <f>'入力根拠'!F123</f>
        <v>168029.0</v>
      </c>
      <c r="H272" s="10">
        <f>'入力根拠'!F124</f>
        <v>2117.2</v>
      </c>
      <c r="I272" s="6">
        <f>(F272*G272)</f>
        <v>218437.7</v>
      </c>
      <c r="J272" s="6">
        <f>(F272*H272)</f>
        <v>2752.3599999999997</v>
      </c>
    </row>
    <row r="273" spans="1:12" ht="23" customHeight="1">
      <c r="A273" s="6">
        <v>6</v>
      </c>
      <c r="B273" s="6">
        <v>160</v>
      </c>
      <c r="C273" s="6">
        <v>6</v>
      </c>
      <c r="D273" s="6">
        <v>217</v>
      </c>
      <c r="E273" s="6">
        <v>249</v>
      </c>
      <c r="F273" s="9">
        <f>K198</f>
        <v>1.3</v>
      </c>
      <c r="G273" s="10">
        <f>'入力根拠'!F123</f>
        <v>168029.0</v>
      </c>
      <c r="H273" s="10">
        <f>'入力根拠'!F124</f>
        <v>2117.2</v>
      </c>
      <c r="I273" s="6">
        <f>(F273*G273)</f>
        <v>218437.7</v>
      </c>
      <c r="J273" s="6">
        <f>(F273*H273)</f>
        <v>2752.3599999999997</v>
      </c>
    </row>
    <row r="274" spans="1:12" ht="23" customHeight="1">
      <c r="A274" s="6">
        <v>6</v>
      </c>
      <c r="B274" s="6">
        <v>161</v>
      </c>
      <c r="C274" s="6">
        <v>6</v>
      </c>
      <c r="D274" s="6">
        <v>217</v>
      </c>
      <c r="E274" s="6">
        <v>249</v>
      </c>
      <c r="F274" s="9">
        <f>K199</f>
        <v>1.3</v>
      </c>
      <c r="G274" s="10">
        <f>'入力根拠'!F123</f>
        <v>168029.0</v>
      </c>
      <c r="H274" s="10">
        <f>'入力根拠'!F124</f>
        <v>2117.2</v>
      </c>
      <c r="I274" s="6">
        <f>(F274*G274)</f>
        <v>218437.7</v>
      </c>
      <c r="J274" s="6">
        <f>(F274*H274)</f>
        <v>2752.3599999999997</v>
      </c>
    </row>
    <row r="275" spans="1:12" ht="23" customHeight="1">
      <c r="A275" s="6">
        <v>6</v>
      </c>
      <c r="B275" s="6">
        <v>162</v>
      </c>
      <c r="C275" s="6">
        <v>6</v>
      </c>
      <c r="D275" s="6">
        <v>217</v>
      </c>
      <c r="E275" s="6">
        <v>249</v>
      </c>
      <c r="F275" s="9">
        <f>K200</f>
        <v>0.85</v>
      </c>
      <c r="G275" s="10">
        <f>'入力根拠'!F123</f>
        <v>168029.0</v>
      </c>
      <c r="H275" s="10">
        <f>'入力根拠'!F124</f>
        <v>2117.2</v>
      </c>
      <c r="I275" s="6">
        <f>(F275*G275)</f>
        <v>142824.65</v>
      </c>
      <c r="J275" s="6">
        <f>(F275*H275)</f>
        <v>1799.62</v>
      </c>
    </row>
    <row r="276" spans="1:12" ht="23" customHeight="1">
      <c r="A276" s="6">
        <v>6</v>
      </c>
      <c r="B276" s="6">
        <v>162</v>
      </c>
      <c r="C276" s="6">
        <v>7</v>
      </c>
      <c r="D276" s="6">
        <v>218</v>
      </c>
      <c r="E276" s="6">
        <v>250</v>
      </c>
      <c r="F276" s="9">
        <f>K201</f>
        <v>0.45</v>
      </c>
      <c r="G276" s="10">
        <f>'入力根拠'!F125</f>
        <v>80720.0</v>
      </c>
      <c r="H276" s="10">
        <f>'入力根拠'!F126</f>
        <v>517.5</v>
      </c>
      <c r="I276" s="6">
        <f>(F276*G276)</f>
        <v>36324.0</v>
      </c>
      <c r="J276" s="6">
        <f>(F276*H276)</f>
        <v>232.875</v>
      </c>
    </row>
    <row r="277" spans="1:12" ht="23" customHeight="1">
      <c r="A277" s="6">
        <v>6</v>
      </c>
      <c r="B277" s="6">
        <v>163</v>
      </c>
      <c r="C277" s="6">
        <v>7</v>
      </c>
      <c r="D277" s="6">
        <v>218</v>
      </c>
      <c r="E277" s="6">
        <v>250</v>
      </c>
      <c r="F277" s="9">
        <f>K202</f>
        <v>1.3</v>
      </c>
      <c r="G277" s="10">
        <f>'入力根拠'!F125</f>
        <v>80720.0</v>
      </c>
      <c r="H277" s="10">
        <f>'入力根拠'!F126</f>
        <v>517.5</v>
      </c>
      <c r="I277" s="6">
        <f>(F277*G277)</f>
        <v>104936.0</v>
      </c>
      <c r="J277" s="6">
        <f>(F277*H277)</f>
        <v>672.75</v>
      </c>
    </row>
    <row r="278" spans="1:12" ht="23" customHeight="1">
      <c r="A278" s="6">
        <v>6</v>
      </c>
      <c r="B278" s="6">
        <v>164</v>
      </c>
      <c r="C278" s="6">
        <v>7</v>
      </c>
      <c r="D278" s="6">
        <v>218</v>
      </c>
      <c r="E278" s="6">
        <v>250</v>
      </c>
      <c r="F278" s="9">
        <f>K203</f>
        <v>1.3</v>
      </c>
      <c r="G278" s="10">
        <f>'入力根拠'!F125</f>
        <v>80720.0</v>
      </c>
      <c r="H278" s="10">
        <f>'入力根拠'!F126</f>
        <v>517.5</v>
      </c>
      <c r="I278" s="6">
        <f>(F278*G278)</f>
        <v>104936.0</v>
      </c>
      <c r="J278" s="6">
        <f>(F278*H278)</f>
        <v>672.75</v>
      </c>
    </row>
    <row r="279" spans="1:12" ht="23" customHeight="1">
      <c r="A279" s="6">
        <v>6</v>
      </c>
      <c r="B279" s="6">
        <v>165</v>
      </c>
      <c r="C279" s="6">
        <v>7</v>
      </c>
      <c r="D279" s="6">
        <v>218</v>
      </c>
      <c r="E279" s="6">
        <v>250</v>
      </c>
      <c r="F279" s="9">
        <f>K204</f>
        <v>1.3</v>
      </c>
      <c r="G279" s="10">
        <f>'入力根拠'!F125</f>
        <v>80720.0</v>
      </c>
      <c r="H279" s="10">
        <f>'入力根拠'!F126</f>
        <v>517.5</v>
      </c>
      <c r="I279" s="6">
        <f>(F279*G279)</f>
        <v>104936.0</v>
      </c>
      <c r="J279" s="6">
        <f>(F279*H279)</f>
        <v>672.75</v>
      </c>
    </row>
    <row r="280" spans="1:12" ht="23" customHeight="1">
      <c r="A280" s="6">
        <v>6</v>
      </c>
      <c r="B280" s="6">
        <v>166</v>
      </c>
      <c r="C280" s="6">
        <v>7</v>
      </c>
      <c r="D280" s="6">
        <v>218</v>
      </c>
      <c r="E280" s="6">
        <v>250</v>
      </c>
      <c r="F280" s="9">
        <f>K205</f>
        <v>1.3</v>
      </c>
      <c r="G280" s="10">
        <f>'入力根拠'!F125</f>
        <v>80720.0</v>
      </c>
      <c r="H280" s="10">
        <f>'入力根拠'!F126</f>
        <v>517.5</v>
      </c>
      <c r="I280" s="6">
        <f>(F280*G280)</f>
        <v>104936.0</v>
      </c>
      <c r="J280" s="6">
        <f>(F280*H280)</f>
        <v>672.75</v>
      </c>
    </row>
    <row r="281" spans="1:12" ht="23" customHeight="1">
      <c r="A281" s="6">
        <v>6</v>
      </c>
      <c r="B281" s="6">
        <v>167</v>
      </c>
      <c r="C281" s="6">
        <v>7</v>
      </c>
      <c r="D281" s="6">
        <v>218</v>
      </c>
      <c r="E281" s="6">
        <v>250</v>
      </c>
      <c r="F281" s="9">
        <f>K206</f>
        <v>1.3</v>
      </c>
      <c r="G281" s="10">
        <f>'入力根拠'!F125</f>
        <v>80720.0</v>
      </c>
      <c r="H281" s="10">
        <f>'入力根拠'!F126</f>
        <v>517.5</v>
      </c>
      <c r="I281" s="6">
        <f>(F281*G281)</f>
        <v>104936.0</v>
      </c>
      <c r="J281" s="6">
        <f>(F281*H281)</f>
        <v>672.75</v>
      </c>
    </row>
    <row r="282" spans="1:12" ht="23" customHeight="1">
      <c r="A282" s="6">
        <v>6</v>
      </c>
      <c r="B282" s="6">
        <v>168</v>
      </c>
      <c r="C282" s="6">
        <v>7</v>
      </c>
      <c r="D282" s="6">
        <v>218</v>
      </c>
      <c r="E282" s="6">
        <v>250</v>
      </c>
      <c r="F282" s="9">
        <f>K207</f>
        <v>1.3</v>
      </c>
      <c r="G282" s="10">
        <f>'入力根拠'!F125</f>
        <v>80720.0</v>
      </c>
      <c r="H282" s="10">
        <f>'入力根拠'!F126</f>
        <v>517.5</v>
      </c>
      <c r="I282" s="6">
        <f>(F282*G282)</f>
        <v>104936.0</v>
      </c>
      <c r="J282" s="6">
        <f>(F282*H282)</f>
        <v>672.75</v>
      </c>
    </row>
    <row r="283" spans="1:12" ht="23" customHeight="1">
      <c r="A283" s="6">
        <v>6</v>
      </c>
      <c r="B283" s="6">
        <v>169</v>
      </c>
      <c r="C283" s="6">
        <v>7</v>
      </c>
      <c r="D283" s="6">
        <v>218</v>
      </c>
      <c r="E283" s="6">
        <v>250</v>
      </c>
      <c r="F283" s="9">
        <f>K208</f>
        <v>1.3</v>
      </c>
      <c r="G283" s="10">
        <f>'入力根拠'!F125</f>
        <v>80720.0</v>
      </c>
      <c r="H283" s="10">
        <f>'入力根拠'!F126</f>
        <v>517.5</v>
      </c>
      <c r="I283" s="6">
        <f>(F283*G283)</f>
        <v>104936.0</v>
      </c>
      <c r="J283" s="6">
        <f>(F283*H283)</f>
        <v>672.75</v>
      </c>
    </row>
    <row r="284" spans="1:12" ht="23" customHeight="1">
      <c r="A284" s="6">
        <v>6</v>
      </c>
      <c r="B284" s="6">
        <v>170</v>
      </c>
      <c r="C284" s="6">
        <v>7</v>
      </c>
      <c r="D284" s="6">
        <v>218</v>
      </c>
      <c r="E284" s="6">
        <v>250</v>
      </c>
      <c r="F284" s="9">
        <f>K209</f>
        <v>1.3</v>
      </c>
      <c r="G284" s="10">
        <f>'入力根拠'!F125</f>
        <v>80720.0</v>
      </c>
      <c r="H284" s="10">
        <f>'入力根拠'!F126</f>
        <v>517.5</v>
      </c>
      <c r="I284" s="6">
        <f>(F284*G284)</f>
        <v>104936.0</v>
      </c>
      <c r="J284" s="6">
        <f>(F284*H284)</f>
        <v>672.75</v>
      </c>
    </row>
    <row r="285" spans="1:12" ht="23" customHeight="1">
      <c r="A285" s="6">
        <v>6</v>
      </c>
      <c r="B285" s="6">
        <v>171</v>
      </c>
      <c r="C285" s="6">
        <v>7</v>
      </c>
      <c r="D285" s="6">
        <v>218</v>
      </c>
      <c r="E285" s="6">
        <v>250</v>
      </c>
      <c r="F285" s="9">
        <f>K210</f>
        <v>0.45</v>
      </c>
      <c r="G285" s="10">
        <f>'入力根拠'!F125</f>
        <v>80720.0</v>
      </c>
      <c r="H285" s="10">
        <f>'入力根拠'!F126</f>
        <v>517.5</v>
      </c>
      <c r="I285" s="6">
        <f>(F285*G285)</f>
        <v>36324.0</v>
      </c>
      <c r="J285" s="6">
        <f>(F285*H285)</f>
        <v>232.875</v>
      </c>
    </row>
    <row r="286" spans="1:12" ht="23" customHeight="1"/>
    <row r="287" spans="1:12" ht="24" customHeight="1">
      <c r="A287" s="3" t="s">
        <v>349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36" customHeight="1">
      <c r="A288" s="4" t="s">
        <v>8</v>
      </c>
      <c r="B288" s="4" t="s">
        <v>9</v>
      </c>
      <c r="C288" s="4" t="s">
        <v>30</v>
      </c>
      <c r="D288" s="4" t="s">
        <v>350</v>
      </c>
      <c r="E288" s="4" t="s">
        <v>351</v>
      </c>
      <c r="F288" s="4" t="s">
        <v>352</v>
      </c>
    </row>
    <row r="289" spans="1:12" ht="23" customHeight="1">
      <c r="A289" s="6">
        <v>4</v>
      </c>
      <c r="B289" s="6">
        <v>1</v>
      </c>
      <c r="C289" s="6">
        <v>98</v>
      </c>
      <c r="D289" s="9">
        <v>0</v>
      </c>
      <c r="E289" s="9">
        <v>0</v>
      </c>
      <c r="F289" s="9">
        <v>0.65</v>
      </c>
    </row>
    <row r="290" spans="1:12" ht="24" customHeight="1">
      <c r="A290" s="2" t="s">
        <v>353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3" customHeight="1">
      <c r="A291" s="6">
        <v>4</v>
      </c>
      <c r="B291" s="6">
        <v>1</v>
      </c>
      <c r="C291" s="6">
        <v>99</v>
      </c>
      <c r="D291" s="9">
        <v>1.3</v>
      </c>
      <c r="E291" s="9">
        <v>0.65</v>
      </c>
      <c r="F291" s="9">
        <v>1.95</v>
      </c>
    </row>
    <row r="292" spans="1:12" ht="24" customHeight="1">
      <c r="A292" s="2" t="s">
        <v>353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3" customHeight="1">
      <c r="A293" s="6">
        <v>4</v>
      </c>
      <c r="B293" s="6">
        <v>1</v>
      </c>
      <c r="C293" s="6">
        <v>100</v>
      </c>
      <c r="D293" s="9">
        <v>2.6</v>
      </c>
      <c r="E293" s="9">
        <v>1.95</v>
      </c>
      <c r="F293" s="9">
        <v>3.25</v>
      </c>
    </row>
    <row r="294" spans="1:12" ht="24" customHeight="1">
      <c r="A294" s="2" t="s">
        <v>353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3" customHeight="1">
      <c r="A295" s="6">
        <v>4</v>
      </c>
      <c r="B295" s="6">
        <v>1</v>
      </c>
      <c r="C295" s="6">
        <v>101</v>
      </c>
      <c r="D295" s="9">
        <v>3.9</v>
      </c>
      <c r="E295" s="9">
        <v>3.25</v>
      </c>
      <c r="F295" s="9">
        <v>4.55</v>
      </c>
    </row>
    <row r="296" spans="1:12" ht="24" customHeight="1">
      <c r="A296" s="2" t="s">
        <v>353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23" customHeight="1">
      <c r="A297" s="6">
        <v>5</v>
      </c>
      <c r="B297" s="6">
        <v>2</v>
      </c>
      <c r="C297" s="6">
        <v>123</v>
      </c>
      <c r="D297" s="9">
        <v>0</v>
      </c>
      <c r="E297" s="9">
        <v>0</v>
      </c>
      <c r="F297" s="9">
        <v>0.65</v>
      </c>
    </row>
    <row r="298" spans="1:12" ht="24" customHeight="1">
      <c r="A298" s="2" t="s">
        <v>353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3" customHeight="1">
      <c r="A299" s="6">
        <v>5</v>
      </c>
      <c r="B299" s="6">
        <v>2</v>
      </c>
      <c r="C299" s="6">
        <v>124</v>
      </c>
      <c r="D299" s="9">
        <v>1.3</v>
      </c>
      <c r="E299" s="9">
        <v>0.65</v>
      </c>
      <c r="F299" s="9">
        <v>1.95</v>
      </c>
    </row>
    <row r="300" spans="1:12" ht="24" customHeight="1">
      <c r="A300" s="2" t="s">
        <v>353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3" customHeight="1">
      <c r="A301" s="6">
        <v>5</v>
      </c>
      <c r="B301" s="6">
        <v>2</v>
      </c>
      <c r="C301" s="6">
        <v>125</v>
      </c>
      <c r="D301" s="9">
        <v>2.6</v>
      </c>
      <c r="E301" s="9">
        <v>1.95</v>
      </c>
      <c r="F301" s="9">
        <v>3.25</v>
      </c>
    </row>
    <row r="302" spans="1:12" ht="24" customHeight="1">
      <c r="A302" s="2" t="s">
        <v>353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3" customHeight="1">
      <c r="A303" s="6">
        <v>5</v>
      </c>
      <c r="B303" s="6">
        <v>2</v>
      </c>
      <c r="C303" s="6">
        <v>126</v>
      </c>
      <c r="D303" s="9">
        <v>3.9</v>
      </c>
      <c r="E303" s="9">
        <v>3.25</v>
      </c>
      <c r="F303" s="9">
        <v>4.55</v>
      </c>
    </row>
    <row r="304" spans="1:12" ht="24" customHeight="1">
      <c r="A304" s="2" t="s">
        <v>353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3" customHeight="1">
      <c r="A305" s="6">
        <v>6</v>
      </c>
      <c r="B305" s="6">
        <v>3</v>
      </c>
      <c r="C305" s="6">
        <v>148</v>
      </c>
      <c r="D305" s="9">
        <v>0</v>
      </c>
      <c r="E305" s="9">
        <v>0</v>
      </c>
      <c r="F305" s="9">
        <v>0.65</v>
      </c>
    </row>
    <row r="306" spans="1:12" ht="24" customHeight="1">
      <c r="A306" s="2" t="s">
        <v>353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3" customHeight="1">
      <c r="A307" s="6">
        <v>6</v>
      </c>
      <c r="B307" s="6">
        <v>3</v>
      </c>
      <c r="C307" s="6">
        <v>149</v>
      </c>
      <c r="D307" s="9">
        <v>1.3</v>
      </c>
      <c r="E307" s="9">
        <v>0.65</v>
      </c>
      <c r="F307" s="9">
        <v>1.95</v>
      </c>
    </row>
    <row r="308" spans="1:12" ht="24" customHeight="1">
      <c r="A308" s="2" t="s">
        <v>353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3" customHeight="1">
      <c r="A309" s="6">
        <v>6</v>
      </c>
      <c r="B309" s="6">
        <v>3</v>
      </c>
      <c r="C309" s="6">
        <v>150</v>
      </c>
      <c r="D309" s="9">
        <v>2.6</v>
      </c>
      <c r="E309" s="9">
        <v>1.95</v>
      </c>
      <c r="F309" s="9">
        <v>3.25</v>
      </c>
    </row>
    <row r="310" spans="1:12" ht="24" customHeight="1">
      <c r="A310" s="2" t="s">
        <v>353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3" customHeight="1">
      <c r="A311" s="6">
        <v>6</v>
      </c>
      <c r="B311" s="6">
        <v>3</v>
      </c>
      <c r="C311" s="6">
        <v>151</v>
      </c>
      <c r="D311" s="9">
        <v>3.9</v>
      </c>
      <c r="E311" s="9">
        <v>3.25</v>
      </c>
      <c r="F311" s="9">
        <v>4.55</v>
      </c>
    </row>
    <row r="312" spans="1:12" ht="24" customHeight="1">
      <c r="A312" s="2" t="s">
        <v>353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23" customHeight="1">
      <c r="A313" s="6">
        <v>4</v>
      </c>
      <c r="B313" s="6">
        <v>1</v>
      </c>
      <c r="C313" s="6">
        <v>122</v>
      </c>
      <c r="D313" s="9">
        <v>31</v>
      </c>
      <c r="E313" s="9">
        <v>30.45</v>
      </c>
      <c r="F313" s="9">
        <v>31</v>
      </c>
    </row>
    <row r="314" spans="1:12" ht="24" customHeight="1">
      <c r="A314" s="2" t="s">
        <v>354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3" customHeight="1">
      <c r="A315" s="6">
        <v>5</v>
      </c>
      <c r="B315" s="6">
        <v>2</v>
      </c>
      <c r="C315" s="6">
        <v>147</v>
      </c>
      <c r="D315" s="9">
        <v>31</v>
      </c>
      <c r="E315" s="9">
        <v>30.45</v>
      </c>
      <c r="F315" s="9">
        <v>31</v>
      </c>
    </row>
    <row r="316" spans="1:12" ht="24" customHeight="1">
      <c r="A316" s="2" t="s">
        <v>354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3" customHeight="1">
      <c r="A317" s="6">
        <v>6</v>
      </c>
      <c r="B317" s="6">
        <v>3</v>
      </c>
      <c r="C317" s="6">
        <v>172</v>
      </c>
      <c r="D317" s="9">
        <v>31</v>
      </c>
      <c r="E317" s="9">
        <v>30.45</v>
      </c>
      <c r="F317" s="9">
        <v>31</v>
      </c>
    </row>
    <row r="318" spans="1:12" ht="24" customHeight="1">
      <c r="A318" s="2" t="s">
        <v>354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3" customHeight="1"/>
    <row r="320" spans="1:12" ht="24" customHeight="1">
      <c r="A320" s="3" t="s">
        <v>355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8" ht="36" customHeight="1">
      <c r="A321" s="4" t="s">
        <v>8</v>
      </c>
      <c r="B321" s="4" t="s">
        <v>9</v>
      </c>
      <c r="C321" s="4" t="s">
        <v>30</v>
      </c>
      <c r="D321" s="4" t="s">
        <v>12</v>
      </c>
      <c r="E321" s="4" t="s">
        <v>14</v>
      </c>
      <c r="F321" s="4" t="s">
        <v>15</v>
      </c>
      <c r="G321" s="4" t="s">
        <v>16</v>
      </c>
      <c r="H321" s="4" t="s">
        <v>17</v>
      </c>
    </row>
    <row r="322" spans="1:8" ht="23" customHeight="1">
      <c r="A322" s="6">
        <v>4</v>
      </c>
      <c r="B322" s="6">
        <v>1</v>
      </c>
      <c r="C322" s="6">
        <v>102</v>
      </c>
      <c r="D322" s="6">
        <v>61</v>
      </c>
      <c r="E322" s="6">
        <v>4</v>
      </c>
      <c r="F322" s="6" t="s">
        <v>31</v>
      </c>
      <c r="G322" s="7">
        <v>51629</v>
      </c>
      <c r="H322" s="6" t="s">
        <v>27</v>
      </c>
    </row>
    <row r="323" spans="1:8" ht="23" customHeight="1">
      <c r="A323" s="6">
        <v>4</v>
      </c>
      <c r="B323" s="6">
        <v>1</v>
      </c>
      <c r="C323" s="6">
        <v>102</v>
      </c>
      <c r="D323" s="6">
        <v>61</v>
      </c>
      <c r="E323" s="6">
        <v>5</v>
      </c>
      <c r="F323" s="6" t="s">
        <v>32</v>
      </c>
      <c r="G323" s="7">
        <v>433.8</v>
      </c>
      <c r="H323" s="6" t="s">
        <v>33</v>
      </c>
    </row>
    <row r="324" spans="1:8" ht="23" customHeight="1">
      <c r="A324" s="6">
        <v>4</v>
      </c>
      <c r="B324" s="6">
        <v>1</v>
      </c>
      <c r="C324" s="6">
        <v>102</v>
      </c>
      <c r="D324" s="6">
        <v>61</v>
      </c>
      <c r="E324" s="6">
        <v>6</v>
      </c>
      <c r="F324" s="6" t="s">
        <v>34</v>
      </c>
      <c r="G324" s="7">
        <v>433.8</v>
      </c>
      <c r="H324" s="6" t="s">
        <v>33</v>
      </c>
    </row>
    <row r="325" spans="1:8" ht="23" customHeight="1">
      <c r="A325" s="6">
        <v>4</v>
      </c>
      <c r="B325" s="6">
        <v>1</v>
      </c>
      <c r="C325" s="6">
        <v>102</v>
      </c>
      <c r="D325" s="6">
        <v>61</v>
      </c>
      <c r="E325" s="6">
        <v>7</v>
      </c>
      <c r="F325" s="6" t="s">
        <v>35</v>
      </c>
      <c r="G325" s="7">
        <v>51629</v>
      </c>
      <c r="H325" s="6" t="s">
        <v>27</v>
      </c>
    </row>
    <row r="326" spans="1:8" ht="23" customHeight="1">
      <c r="A326" s="6">
        <v>4</v>
      </c>
      <c r="B326" s="6">
        <v>1</v>
      </c>
      <c r="C326" s="6">
        <v>102</v>
      </c>
      <c r="D326" s="6">
        <v>61</v>
      </c>
      <c r="E326" s="6">
        <v>8</v>
      </c>
      <c r="F326" s="6" t="s">
        <v>36</v>
      </c>
      <c r="G326" s="7">
        <v>433.8</v>
      </c>
      <c r="H326" s="6" t="s">
        <v>33</v>
      </c>
    </row>
    <row r="327" spans="1:8" ht="23" customHeight="1">
      <c r="A327" s="6">
        <v>4</v>
      </c>
      <c r="B327" s="6">
        <v>1</v>
      </c>
      <c r="C327" s="6">
        <v>102</v>
      </c>
      <c r="D327" s="6">
        <v>61</v>
      </c>
      <c r="E327" s="6">
        <v>9</v>
      </c>
      <c r="F327" s="6" t="s">
        <v>37</v>
      </c>
      <c r="G327" s="7">
        <v>433.8</v>
      </c>
      <c r="H327" s="6" t="s">
        <v>33</v>
      </c>
    </row>
    <row r="328" spans="1:8" ht="23" customHeight="1">
      <c r="A328" s="6">
        <v>4</v>
      </c>
      <c r="B328" s="6">
        <v>1</v>
      </c>
      <c r="C328" s="6">
        <v>102</v>
      </c>
      <c r="D328" s="6">
        <v>61</v>
      </c>
      <c r="E328" s="6">
        <v>10</v>
      </c>
      <c r="F328" s="6" t="s">
        <v>38</v>
      </c>
      <c r="G328" s="7">
        <v>51629</v>
      </c>
      <c r="H328" s="6" t="s">
        <v>27</v>
      </c>
    </row>
    <row r="329" spans="1:8" ht="23" customHeight="1">
      <c r="A329" s="6">
        <v>4</v>
      </c>
      <c r="B329" s="6">
        <v>1</v>
      </c>
      <c r="C329" s="6">
        <v>102</v>
      </c>
      <c r="D329" s="6">
        <v>61</v>
      </c>
      <c r="E329" s="6">
        <v>11</v>
      </c>
      <c r="F329" s="6" t="s">
        <v>39</v>
      </c>
      <c r="G329" s="7">
        <v>51629</v>
      </c>
      <c r="H329" s="6" t="s">
        <v>27</v>
      </c>
    </row>
    <row r="330" spans="1:8" ht="23" customHeight="1">
      <c r="A330" s="6">
        <v>4</v>
      </c>
      <c r="B330" s="6">
        <v>1</v>
      </c>
      <c r="C330" s="6">
        <v>102</v>
      </c>
      <c r="D330" s="6">
        <v>61</v>
      </c>
      <c r="E330" s="6">
        <v>12</v>
      </c>
      <c r="F330" s="6" t="s">
        <v>40</v>
      </c>
      <c r="G330" s="7">
        <v>51629</v>
      </c>
      <c r="H330" s="6" t="s">
        <v>27</v>
      </c>
    </row>
    <row r="331" spans="1:8" ht="23" customHeight="1">
      <c r="A331" s="6">
        <v>4</v>
      </c>
      <c r="B331" s="6">
        <v>1</v>
      </c>
      <c r="C331" s="6">
        <v>102</v>
      </c>
      <c r="D331" s="6">
        <v>61</v>
      </c>
      <c r="E331" s="6">
        <v>13</v>
      </c>
      <c r="F331" s="6" t="s">
        <v>41</v>
      </c>
      <c r="G331" s="7">
        <v>51629</v>
      </c>
      <c r="H331" s="6" t="s">
        <v>27</v>
      </c>
    </row>
    <row r="332" spans="1:8" ht="23" customHeight="1">
      <c r="A332" s="6">
        <v>4</v>
      </c>
      <c r="B332" s="6">
        <v>1</v>
      </c>
      <c r="C332" s="6">
        <v>103</v>
      </c>
      <c r="D332" s="6">
        <v>62</v>
      </c>
      <c r="E332" s="6">
        <v>4</v>
      </c>
      <c r="F332" s="6" t="s">
        <v>31</v>
      </c>
      <c r="G332" s="7">
        <v>145626</v>
      </c>
      <c r="H332" s="6" t="s">
        <v>27</v>
      </c>
    </row>
    <row r="333" spans="1:8" ht="23" customHeight="1">
      <c r="A333" s="6">
        <v>4</v>
      </c>
      <c r="B333" s="6">
        <v>1</v>
      </c>
      <c r="C333" s="6">
        <v>103</v>
      </c>
      <c r="D333" s="6">
        <v>62</v>
      </c>
      <c r="E333" s="6">
        <v>5</v>
      </c>
      <c r="F333" s="6" t="s">
        <v>32</v>
      </c>
      <c r="G333" s="7">
        <v>1835</v>
      </c>
      <c r="H333" s="6" t="s">
        <v>33</v>
      </c>
    </row>
    <row r="334" spans="1:8" ht="23" customHeight="1">
      <c r="A334" s="6">
        <v>4</v>
      </c>
      <c r="B334" s="6">
        <v>1</v>
      </c>
      <c r="C334" s="6">
        <v>103</v>
      </c>
      <c r="D334" s="6">
        <v>62</v>
      </c>
      <c r="E334" s="6">
        <v>6</v>
      </c>
      <c r="F334" s="6" t="s">
        <v>34</v>
      </c>
      <c r="G334" s="7">
        <v>1835</v>
      </c>
      <c r="H334" s="6" t="s">
        <v>33</v>
      </c>
    </row>
    <row r="335" spans="1:8" ht="23" customHeight="1">
      <c r="A335" s="6">
        <v>4</v>
      </c>
      <c r="B335" s="6">
        <v>1</v>
      </c>
      <c r="C335" s="6">
        <v>103</v>
      </c>
      <c r="D335" s="6">
        <v>62</v>
      </c>
      <c r="E335" s="6">
        <v>7</v>
      </c>
      <c r="F335" s="6" t="s">
        <v>35</v>
      </c>
      <c r="G335" s="7">
        <v>145626</v>
      </c>
      <c r="H335" s="6" t="s">
        <v>27</v>
      </c>
    </row>
    <row r="336" spans="1:8" ht="23" customHeight="1">
      <c r="A336" s="6">
        <v>4</v>
      </c>
      <c r="B336" s="6">
        <v>1</v>
      </c>
      <c r="C336" s="6">
        <v>103</v>
      </c>
      <c r="D336" s="6">
        <v>62</v>
      </c>
      <c r="E336" s="6">
        <v>8</v>
      </c>
      <c r="F336" s="6" t="s">
        <v>36</v>
      </c>
      <c r="G336" s="7">
        <v>1835</v>
      </c>
      <c r="H336" s="6" t="s">
        <v>33</v>
      </c>
    </row>
    <row r="337" spans="1:8" ht="23" customHeight="1">
      <c r="A337" s="6">
        <v>4</v>
      </c>
      <c r="B337" s="6">
        <v>1</v>
      </c>
      <c r="C337" s="6">
        <v>103</v>
      </c>
      <c r="D337" s="6">
        <v>62</v>
      </c>
      <c r="E337" s="6">
        <v>9</v>
      </c>
      <c r="F337" s="6" t="s">
        <v>37</v>
      </c>
      <c r="G337" s="7">
        <v>1835</v>
      </c>
      <c r="H337" s="6" t="s">
        <v>33</v>
      </c>
    </row>
    <row r="338" spans="1:8" ht="23" customHeight="1">
      <c r="A338" s="6">
        <v>4</v>
      </c>
      <c r="B338" s="6">
        <v>1</v>
      </c>
      <c r="C338" s="6">
        <v>103</v>
      </c>
      <c r="D338" s="6">
        <v>62</v>
      </c>
      <c r="E338" s="6">
        <v>10</v>
      </c>
      <c r="F338" s="6" t="s">
        <v>38</v>
      </c>
      <c r="G338" s="7">
        <v>145626</v>
      </c>
      <c r="H338" s="6" t="s">
        <v>27</v>
      </c>
    </row>
    <row r="339" spans="1:8" ht="23" customHeight="1">
      <c r="A339" s="6">
        <v>4</v>
      </c>
      <c r="B339" s="6">
        <v>1</v>
      </c>
      <c r="C339" s="6">
        <v>103</v>
      </c>
      <c r="D339" s="6">
        <v>62</v>
      </c>
      <c r="E339" s="6">
        <v>11</v>
      </c>
      <c r="F339" s="6" t="s">
        <v>39</v>
      </c>
      <c r="G339" s="7">
        <v>145626</v>
      </c>
      <c r="H339" s="6" t="s">
        <v>27</v>
      </c>
    </row>
    <row r="340" spans="1:8" ht="23" customHeight="1">
      <c r="A340" s="6">
        <v>4</v>
      </c>
      <c r="B340" s="6">
        <v>1</v>
      </c>
      <c r="C340" s="6">
        <v>103</v>
      </c>
      <c r="D340" s="6">
        <v>62</v>
      </c>
      <c r="E340" s="6">
        <v>12</v>
      </c>
      <c r="F340" s="6" t="s">
        <v>40</v>
      </c>
      <c r="G340" s="7">
        <v>145626</v>
      </c>
      <c r="H340" s="6" t="s">
        <v>27</v>
      </c>
    </row>
    <row r="341" spans="1:8" ht="23" customHeight="1">
      <c r="A341" s="6">
        <v>4</v>
      </c>
      <c r="B341" s="6">
        <v>1</v>
      </c>
      <c r="C341" s="6">
        <v>103</v>
      </c>
      <c r="D341" s="6">
        <v>62</v>
      </c>
      <c r="E341" s="6">
        <v>13</v>
      </c>
      <c r="F341" s="6" t="s">
        <v>41</v>
      </c>
      <c r="G341" s="7">
        <v>145626</v>
      </c>
      <c r="H341" s="6" t="s">
        <v>27</v>
      </c>
    </row>
    <row r="342" spans="1:8" ht="23" customHeight="1">
      <c r="A342" s="6">
        <v>4</v>
      </c>
      <c r="B342" s="6">
        <v>1</v>
      </c>
      <c r="C342" s="6">
        <v>104</v>
      </c>
      <c r="D342" s="6">
        <v>63</v>
      </c>
      <c r="E342" s="6">
        <v>4</v>
      </c>
      <c r="F342" s="6" t="s">
        <v>31</v>
      </c>
      <c r="G342" s="7">
        <v>155634</v>
      </c>
      <c r="H342" s="6" t="s">
        <v>27</v>
      </c>
    </row>
    <row r="343" spans="1:8" ht="23" customHeight="1">
      <c r="A343" s="6">
        <v>4</v>
      </c>
      <c r="B343" s="6">
        <v>1</v>
      </c>
      <c r="C343" s="6">
        <v>104</v>
      </c>
      <c r="D343" s="6">
        <v>63</v>
      </c>
      <c r="E343" s="6">
        <v>5</v>
      </c>
      <c r="F343" s="6" t="s">
        <v>32</v>
      </c>
      <c r="G343" s="7">
        <v>1794.4</v>
      </c>
      <c r="H343" s="6" t="s">
        <v>33</v>
      </c>
    </row>
    <row r="344" spans="1:8" ht="23" customHeight="1">
      <c r="A344" s="6">
        <v>4</v>
      </c>
      <c r="B344" s="6">
        <v>1</v>
      </c>
      <c r="C344" s="6">
        <v>104</v>
      </c>
      <c r="D344" s="6">
        <v>63</v>
      </c>
      <c r="E344" s="6">
        <v>6</v>
      </c>
      <c r="F344" s="6" t="s">
        <v>34</v>
      </c>
      <c r="G344" s="7">
        <v>1794.4</v>
      </c>
      <c r="H344" s="6" t="s">
        <v>33</v>
      </c>
    </row>
    <row r="345" spans="1:8" ht="23" customHeight="1">
      <c r="A345" s="6">
        <v>4</v>
      </c>
      <c r="B345" s="6">
        <v>1</v>
      </c>
      <c r="C345" s="6">
        <v>104</v>
      </c>
      <c r="D345" s="6">
        <v>63</v>
      </c>
      <c r="E345" s="6">
        <v>7</v>
      </c>
      <c r="F345" s="6" t="s">
        <v>35</v>
      </c>
      <c r="G345" s="7">
        <v>155634</v>
      </c>
      <c r="H345" s="6" t="s">
        <v>27</v>
      </c>
    </row>
    <row r="346" spans="1:8" ht="23" customHeight="1">
      <c r="A346" s="6">
        <v>4</v>
      </c>
      <c r="B346" s="6">
        <v>1</v>
      </c>
      <c r="C346" s="6">
        <v>104</v>
      </c>
      <c r="D346" s="6">
        <v>63</v>
      </c>
      <c r="E346" s="6">
        <v>8</v>
      </c>
      <c r="F346" s="6" t="s">
        <v>36</v>
      </c>
      <c r="G346" s="7">
        <v>1794.4</v>
      </c>
      <c r="H346" s="6" t="s">
        <v>33</v>
      </c>
    </row>
    <row r="347" spans="1:8" ht="23" customHeight="1">
      <c r="A347" s="6">
        <v>4</v>
      </c>
      <c r="B347" s="6">
        <v>1</v>
      </c>
      <c r="C347" s="6">
        <v>104</v>
      </c>
      <c r="D347" s="6">
        <v>63</v>
      </c>
      <c r="E347" s="6">
        <v>9</v>
      </c>
      <c r="F347" s="6" t="s">
        <v>37</v>
      </c>
      <c r="G347" s="7">
        <v>1794.4</v>
      </c>
      <c r="H347" s="6" t="s">
        <v>33</v>
      </c>
    </row>
    <row r="348" spans="1:8" ht="23" customHeight="1">
      <c r="A348" s="6">
        <v>4</v>
      </c>
      <c r="B348" s="6">
        <v>1</v>
      </c>
      <c r="C348" s="6">
        <v>104</v>
      </c>
      <c r="D348" s="6">
        <v>63</v>
      </c>
      <c r="E348" s="6">
        <v>10</v>
      </c>
      <c r="F348" s="6" t="s">
        <v>38</v>
      </c>
      <c r="G348" s="7">
        <v>155634</v>
      </c>
      <c r="H348" s="6" t="s">
        <v>27</v>
      </c>
    </row>
    <row r="349" spans="1:8" ht="23" customHeight="1">
      <c r="A349" s="6">
        <v>4</v>
      </c>
      <c r="B349" s="6">
        <v>1</v>
      </c>
      <c r="C349" s="6">
        <v>104</v>
      </c>
      <c r="D349" s="6">
        <v>63</v>
      </c>
      <c r="E349" s="6">
        <v>11</v>
      </c>
      <c r="F349" s="6" t="s">
        <v>39</v>
      </c>
      <c r="G349" s="7">
        <v>155634</v>
      </c>
      <c r="H349" s="6" t="s">
        <v>27</v>
      </c>
    </row>
    <row r="350" spans="1:8" ht="23" customHeight="1">
      <c r="A350" s="6">
        <v>4</v>
      </c>
      <c r="B350" s="6">
        <v>1</v>
      </c>
      <c r="C350" s="6">
        <v>104</v>
      </c>
      <c r="D350" s="6">
        <v>63</v>
      </c>
      <c r="E350" s="6">
        <v>12</v>
      </c>
      <c r="F350" s="6" t="s">
        <v>40</v>
      </c>
      <c r="G350" s="7">
        <v>155634</v>
      </c>
      <c r="H350" s="6" t="s">
        <v>27</v>
      </c>
    </row>
    <row r="351" spans="1:8" ht="23" customHeight="1">
      <c r="A351" s="6">
        <v>4</v>
      </c>
      <c r="B351" s="6">
        <v>1</v>
      </c>
      <c r="C351" s="6">
        <v>104</v>
      </c>
      <c r="D351" s="6">
        <v>63</v>
      </c>
      <c r="E351" s="6">
        <v>13</v>
      </c>
      <c r="F351" s="6" t="s">
        <v>41</v>
      </c>
      <c r="G351" s="7">
        <v>155634</v>
      </c>
      <c r="H351" s="6" t="s">
        <v>27</v>
      </c>
    </row>
    <row r="352" spans="1:8" ht="23" customHeight="1">
      <c r="A352" s="6">
        <v>4</v>
      </c>
      <c r="B352" s="6">
        <v>1</v>
      </c>
      <c r="C352" s="6">
        <v>105</v>
      </c>
      <c r="D352" s="6">
        <v>64</v>
      </c>
      <c r="E352" s="6">
        <v>4</v>
      </c>
      <c r="F352" s="6" t="s">
        <v>31</v>
      </c>
      <c r="G352" s="7">
        <v>223257</v>
      </c>
      <c r="H352" s="6" t="s">
        <v>27</v>
      </c>
    </row>
    <row r="353" spans="1:8" ht="23" customHeight="1">
      <c r="A353" s="6">
        <v>4</v>
      </c>
      <c r="B353" s="6">
        <v>1</v>
      </c>
      <c r="C353" s="6">
        <v>105</v>
      </c>
      <c r="D353" s="6">
        <v>64</v>
      </c>
      <c r="E353" s="6">
        <v>5</v>
      </c>
      <c r="F353" s="6" t="s">
        <v>32</v>
      </c>
      <c r="G353" s="7">
        <v>2313</v>
      </c>
      <c r="H353" s="6" t="s">
        <v>33</v>
      </c>
    </row>
    <row r="354" spans="1:8" ht="23" customHeight="1">
      <c r="A354" s="6">
        <v>4</v>
      </c>
      <c r="B354" s="6">
        <v>1</v>
      </c>
      <c r="C354" s="6">
        <v>105</v>
      </c>
      <c r="D354" s="6">
        <v>64</v>
      </c>
      <c r="E354" s="6">
        <v>6</v>
      </c>
      <c r="F354" s="6" t="s">
        <v>34</v>
      </c>
      <c r="G354" s="7">
        <v>2313</v>
      </c>
      <c r="H354" s="6" t="s">
        <v>33</v>
      </c>
    </row>
    <row r="355" spans="1:8" ht="23" customHeight="1">
      <c r="A355" s="6">
        <v>4</v>
      </c>
      <c r="B355" s="6">
        <v>1</v>
      </c>
      <c r="C355" s="6">
        <v>105</v>
      </c>
      <c r="D355" s="6">
        <v>64</v>
      </c>
      <c r="E355" s="6">
        <v>7</v>
      </c>
      <c r="F355" s="6" t="s">
        <v>35</v>
      </c>
      <c r="G355" s="7">
        <v>223257</v>
      </c>
      <c r="H355" s="6" t="s">
        <v>27</v>
      </c>
    </row>
    <row r="356" spans="1:8" ht="23" customHeight="1">
      <c r="A356" s="6">
        <v>4</v>
      </c>
      <c r="B356" s="6">
        <v>1</v>
      </c>
      <c r="C356" s="6">
        <v>105</v>
      </c>
      <c r="D356" s="6">
        <v>64</v>
      </c>
      <c r="E356" s="6">
        <v>8</v>
      </c>
      <c r="F356" s="6" t="s">
        <v>36</v>
      </c>
      <c r="G356" s="7">
        <v>2313</v>
      </c>
      <c r="H356" s="6" t="s">
        <v>33</v>
      </c>
    </row>
    <row r="357" spans="1:8" ht="23" customHeight="1">
      <c r="A357" s="6">
        <v>4</v>
      </c>
      <c r="B357" s="6">
        <v>1</v>
      </c>
      <c r="C357" s="6">
        <v>105</v>
      </c>
      <c r="D357" s="6">
        <v>64</v>
      </c>
      <c r="E357" s="6">
        <v>9</v>
      </c>
      <c r="F357" s="6" t="s">
        <v>37</v>
      </c>
      <c r="G357" s="7">
        <v>2313</v>
      </c>
      <c r="H357" s="6" t="s">
        <v>33</v>
      </c>
    </row>
    <row r="358" spans="1:8" ht="23" customHeight="1">
      <c r="A358" s="6">
        <v>4</v>
      </c>
      <c r="B358" s="6">
        <v>1</v>
      </c>
      <c r="C358" s="6">
        <v>105</v>
      </c>
      <c r="D358" s="6">
        <v>64</v>
      </c>
      <c r="E358" s="6">
        <v>10</v>
      </c>
      <c r="F358" s="6" t="s">
        <v>38</v>
      </c>
      <c r="G358" s="7">
        <v>223257</v>
      </c>
      <c r="H358" s="6" t="s">
        <v>27</v>
      </c>
    </row>
    <row r="359" spans="1:8" ht="23" customHeight="1">
      <c r="A359" s="6">
        <v>4</v>
      </c>
      <c r="B359" s="6">
        <v>1</v>
      </c>
      <c r="C359" s="6">
        <v>105</v>
      </c>
      <c r="D359" s="6">
        <v>64</v>
      </c>
      <c r="E359" s="6">
        <v>11</v>
      </c>
      <c r="F359" s="6" t="s">
        <v>39</v>
      </c>
      <c r="G359" s="7">
        <v>223257</v>
      </c>
      <c r="H359" s="6" t="s">
        <v>27</v>
      </c>
    </row>
    <row r="360" spans="1:8" ht="23" customHeight="1">
      <c r="A360" s="6">
        <v>4</v>
      </c>
      <c r="B360" s="6">
        <v>1</v>
      </c>
      <c r="C360" s="6">
        <v>105</v>
      </c>
      <c r="D360" s="6">
        <v>64</v>
      </c>
      <c r="E360" s="6">
        <v>12</v>
      </c>
      <c r="F360" s="6" t="s">
        <v>40</v>
      </c>
      <c r="G360" s="7">
        <v>223257</v>
      </c>
      <c r="H360" s="6" t="s">
        <v>27</v>
      </c>
    </row>
    <row r="361" spans="1:8" ht="23" customHeight="1">
      <c r="A361" s="6">
        <v>4</v>
      </c>
      <c r="B361" s="6">
        <v>1</v>
      </c>
      <c r="C361" s="6">
        <v>105</v>
      </c>
      <c r="D361" s="6">
        <v>64</v>
      </c>
      <c r="E361" s="6">
        <v>13</v>
      </c>
      <c r="F361" s="6" t="s">
        <v>41</v>
      </c>
      <c r="G361" s="7">
        <v>223257</v>
      </c>
      <c r="H361" s="6" t="s">
        <v>27</v>
      </c>
    </row>
    <row r="362" spans="1:8" ht="23" customHeight="1">
      <c r="A362" s="6">
        <v>4</v>
      </c>
      <c r="B362" s="6">
        <v>1</v>
      </c>
      <c r="C362" s="6">
        <v>106</v>
      </c>
      <c r="D362" s="6">
        <v>65</v>
      </c>
      <c r="E362" s="6">
        <v>4</v>
      </c>
      <c r="F362" s="6" t="s">
        <v>31</v>
      </c>
      <c r="G362" s="7">
        <v>218438</v>
      </c>
      <c r="H362" s="6" t="s">
        <v>27</v>
      </c>
    </row>
    <row r="363" spans="1:8" ht="23" customHeight="1">
      <c r="A363" s="6">
        <v>4</v>
      </c>
      <c r="B363" s="6">
        <v>1</v>
      </c>
      <c r="C363" s="6">
        <v>106</v>
      </c>
      <c r="D363" s="6">
        <v>65</v>
      </c>
      <c r="E363" s="6">
        <v>5</v>
      </c>
      <c r="F363" s="6" t="s">
        <v>32</v>
      </c>
      <c r="G363" s="7">
        <v>2752.4</v>
      </c>
      <c r="H363" s="6" t="s">
        <v>33</v>
      </c>
    </row>
    <row r="364" spans="1:8" ht="23" customHeight="1">
      <c r="A364" s="6">
        <v>4</v>
      </c>
      <c r="B364" s="6">
        <v>1</v>
      </c>
      <c r="C364" s="6">
        <v>106</v>
      </c>
      <c r="D364" s="6">
        <v>65</v>
      </c>
      <c r="E364" s="6">
        <v>6</v>
      </c>
      <c r="F364" s="6" t="s">
        <v>34</v>
      </c>
      <c r="G364" s="7">
        <v>2752.4</v>
      </c>
      <c r="H364" s="6" t="s">
        <v>33</v>
      </c>
    </row>
    <row r="365" spans="1:8" ht="23" customHeight="1">
      <c r="A365" s="6">
        <v>4</v>
      </c>
      <c r="B365" s="6">
        <v>1</v>
      </c>
      <c r="C365" s="6">
        <v>106</v>
      </c>
      <c r="D365" s="6">
        <v>65</v>
      </c>
      <c r="E365" s="6">
        <v>7</v>
      </c>
      <c r="F365" s="6" t="s">
        <v>35</v>
      </c>
      <c r="G365" s="7">
        <v>218438</v>
      </c>
      <c r="H365" s="6" t="s">
        <v>27</v>
      </c>
    </row>
    <row r="366" spans="1:8" ht="23" customHeight="1">
      <c r="A366" s="6">
        <v>4</v>
      </c>
      <c r="B366" s="6">
        <v>1</v>
      </c>
      <c r="C366" s="6">
        <v>106</v>
      </c>
      <c r="D366" s="6">
        <v>65</v>
      </c>
      <c r="E366" s="6">
        <v>8</v>
      </c>
      <c r="F366" s="6" t="s">
        <v>36</v>
      </c>
      <c r="G366" s="7">
        <v>2752.4</v>
      </c>
      <c r="H366" s="6" t="s">
        <v>33</v>
      </c>
    </row>
    <row r="367" spans="1:8" ht="23" customHeight="1">
      <c r="A367" s="6">
        <v>4</v>
      </c>
      <c r="B367" s="6">
        <v>1</v>
      </c>
      <c r="C367" s="6">
        <v>106</v>
      </c>
      <c r="D367" s="6">
        <v>65</v>
      </c>
      <c r="E367" s="6">
        <v>9</v>
      </c>
      <c r="F367" s="6" t="s">
        <v>37</v>
      </c>
      <c r="G367" s="7">
        <v>2752.4</v>
      </c>
      <c r="H367" s="6" t="s">
        <v>33</v>
      </c>
    </row>
    <row r="368" spans="1:8" ht="23" customHeight="1">
      <c r="A368" s="6">
        <v>4</v>
      </c>
      <c r="B368" s="6">
        <v>1</v>
      </c>
      <c r="C368" s="6">
        <v>106</v>
      </c>
      <c r="D368" s="6">
        <v>65</v>
      </c>
      <c r="E368" s="6">
        <v>10</v>
      </c>
      <c r="F368" s="6" t="s">
        <v>38</v>
      </c>
      <c r="G368" s="7">
        <v>218438</v>
      </c>
      <c r="H368" s="6" t="s">
        <v>27</v>
      </c>
    </row>
    <row r="369" spans="1:8" ht="23" customHeight="1">
      <c r="A369" s="6">
        <v>4</v>
      </c>
      <c r="B369" s="6">
        <v>1</v>
      </c>
      <c r="C369" s="6">
        <v>106</v>
      </c>
      <c r="D369" s="6">
        <v>65</v>
      </c>
      <c r="E369" s="6">
        <v>11</v>
      </c>
      <c r="F369" s="6" t="s">
        <v>39</v>
      </c>
      <c r="G369" s="7">
        <v>218438</v>
      </c>
      <c r="H369" s="6" t="s">
        <v>27</v>
      </c>
    </row>
    <row r="370" spans="1:8" ht="23" customHeight="1">
      <c r="A370" s="6">
        <v>4</v>
      </c>
      <c r="B370" s="6">
        <v>1</v>
      </c>
      <c r="C370" s="6">
        <v>106</v>
      </c>
      <c r="D370" s="6">
        <v>65</v>
      </c>
      <c r="E370" s="6">
        <v>12</v>
      </c>
      <c r="F370" s="6" t="s">
        <v>40</v>
      </c>
      <c r="G370" s="7">
        <v>218438</v>
      </c>
      <c r="H370" s="6" t="s">
        <v>27</v>
      </c>
    </row>
    <row r="371" spans="1:8" ht="23" customHeight="1">
      <c r="A371" s="6">
        <v>4</v>
      </c>
      <c r="B371" s="6">
        <v>1</v>
      </c>
      <c r="C371" s="6">
        <v>106</v>
      </c>
      <c r="D371" s="6">
        <v>65</v>
      </c>
      <c r="E371" s="6">
        <v>13</v>
      </c>
      <c r="F371" s="6" t="s">
        <v>41</v>
      </c>
      <c r="G371" s="7">
        <v>218438</v>
      </c>
      <c r="H371" s="6" t="s">
        <v>27</v>
      </c>
    </row>
    <row r="372" spans="1:8" ht="23" customHeight="1">
      <c r="A372" s="6">
        <v>4</v>
      </c>
      <c r="B372" s="6">
        <v>1</v>
      </c>
      <c r="C372" s="6">
        <v>107</v>
      </c>
      <c r="D372" s="6">
        <v>66</v>
      </c>
      <c r="E372" s="6">
        <v>4</v>
      </c>
      <c r="F372" s="6" t="s">
        <v>31</v>
      </c>
      <c r="G372" s="7">
        <v>218438</v>
      </c>
      <c r="H372" s="6" t="s">
        <v>27</v>
      </c>
    </row>
    <row r="373" spans="1:8" ht="23" customHeight="1">
      <c r="A373" s="6">
        <v>4</v>
      </c>
      <c r="B373" s="6">
        <v>1</v>
      </c>
      <c r="C373" s="6">
        <v>107</v>
      </c>
      <c r="D373" s="6">
        <v>66</v>
      </c>
      <c r="E373" s="6">
        <v>5</v>
      </c>
      <c r="F373" s="6" t="s">
        <v>32</v>
      </c>
      <c r="G373" s="7">
        <v>2752.4</v>
      </c>
      <c r="H373" s="6" t="s">
        <v>33</v>
      </c>
    </row>
    <row r="374" spans="1:8" ht="23" customHeight="1">
      <c r="A374" s="6">
        <v>4</v>
      </c>
      <c r="B374" s="6">
        <v>1</v>
      </c>
      <c r="C374" s="6">
        <v>107</v>
      </c>
      <c r="D374" s="6">
        <v>66</v>
      </c>
      <c r="E374" s="6">
        <v>6</v>
      </c>
      <c r="F374" s="6" t="s">
        <v>34</v>
      </c>
      <c r="G374" s="7">
        <v>2752.4</v>
      </c>
      <c r="H374" s="6" t="s">
        <v>33</v>
      </c>
    </row>
    <row r="375" spans="1:8" ht="23" customHeight="1">
      <c r="A375" s="6">
        <v>4</v>
      </c>
      <c r="B375" s="6">
        <v>1</v>
      </c>
      <c r="C375" s="6">
        <v>107</v>
      </c>
      <c r="D375" s="6">
        <v>66</v>
      </c>
      <c r="E375" s="6">
        <v>7</v>
      </c>
      <c r="F375" s="6" t="s">
        <v>35</v>
      </c>
      <c r="G375" s="7">
        <v>218438</v>
      </c>
      <c r="H375" s="6" t="s">
        <v>27</v>
      </c>
    </row>
    <row r="376" spans="1:8" ht="23" customHeight="1">
      <c r="A376" s="6">
        <v>4</v>
      </c>
      <c r="B376" s="6">
        <v>1</v>
      </c>
      <c r="C376" s="6">
        <v>107</v>
      </c>
      <c r="D376" s="6">
        <v>66</v>
      </c>
      <c r="E376" s="6">
        <v>8</v>
      </c>
      <c r="F376" s="6" t="s">
        <v>36</v>
      </c>
      <c r="G376" s="7">
        <v>2752.4</v>
      </c>
      <c r="H376" s="6" t="s">
        <v>33</v>
      </c>
    </row>
    <row r="377" spans="1:8" ht="23" customHeight="1">
      <c r="A377" s="6">
        <v>4</v>
      </c>
      <c r="B377" s="6">
        <v>1</v>
      </c>
      <c r="C377" s="6">
        <v>107</v>
      </c>
      <c r="D377" s="6">
        <v>66</v>
      </c>
      <c r="E377" s="6">
        <v>9</v>
      </c>
      <c r="F377" s="6" t="s">
        <v>37</v>
      </c>
      <c r="G377" s="7">
        <v>2752.4</v>
      </c>
      <c r="H377" s="6" t="s">
        <v>33</v>
      </c>
    </row>
    <row r="378" spans="1:8" ht="23" customHeight="1">
      <c r="A378" s="6">
        <v>4</v>
      </c>
      <c r="B378" s="6">
        <v>1</v>
      </c>
      <c r="C378" s="6">
        <v>107</v>
      </c>
      <c r="D378" s="6">
        <v>66</v>
      </c>
      <c r="E378" s="6">
        <v>10</v>
      </c>
      <c r="F378" s="6" t="s">
        <v>38</v>
      </c>
      <c r="G378" s="7">
        <v>218438</v>
      </c>
      <c r="H378" s="6" t="s">
        <v>27</v>
      </c>
    </row>
    <row r="379" spans="1:8" ht="23" customHeight="1">
      <c r="A379" s="6">
        <v>4</v>
      </c>
      <c r="B379" s="6">
        <v>1</v>
      </c>
      <c r="C379" s="6">
        <v>107</v>
      </c>
      <c r="D379" s="6">
        <v>66</v>
      </c>
      <c r="E379" s="6">
        <v>11</v>
      </c>
      <c r="F379" s="6" t="s">
        <v>39</v>
      </c>
      <c r="G379" s="7">
        <v>218438</v>
      </c>
      <c r="H379" s="6" t="s">
        <v>27</v>
      </c>
    </row>
    <row r="380" spans="1:8" ht="23" customHeight="1">
      <c r="A380" s="6">
        <v>4</v>
      </c>
      <c r="B380" s="6">
        <v>1</v>
      </c>
      <c r="C380" s="6">
        <v>107</v>
      </c>
      <c r="D380" s="6">
        <v>66</v>
      </c>
      <c r="E380" s="6">
        <v>12</v>
      </c>
      <c r="F380" s="6" t="s">
        <v>40</v>
      </c>
      <c r="G380" s="7">
        <v>218438</v>
      </c>
      <c r="H380" s="6" t="s">
        <v>27</v>
      </c>
    </row>
    <row r="381" spans="1:8" ht="23" customHeight="1">
      <c r="A381" s="6">
        <v>4</v>
      </c>
      <c r="B381" s="6">
        <v>1</v>
      </c>
      <c r="C381" s="6">
        <v>107</v>
      </c>
      <c r="D381" s="6">
        <v>66</v>
      </c>
      <c r="E381" s="6">
        <v>13</v>
      </c>
      <c r="F381" s="6" t="s">
        <v>41</v>
      </c>
      <c r="G381" s="7">
        <v>218438</v>
      </c>
      <c r="H381" s="6" t="s">
        <v>27</v>
      </c>
    </row>
    <row r="382" spans="1:8" ht="23" customHeight="1">
      <c r="A382" s="6">
        <v>4</v>
      </c>
      <c r="B382" s="6">
        <v>1</v>
      </c>
      <c r="C382" s="6">
        <v>108</v>
      </c>
      <c r="D382" s="6">
        <v>67</v>
      </c>
      <c r="E382" s="6">
        <v>4</v>
      </c>
      <c r="F382" s="6" t="s">
        <v>31</v>
      </c>
      <c r="G382" s="7">
        <v>218438</v>
      </c>
      <c r="H382" s="6" t="s">
        <v>27</v>
      </c>
    </row>
    <row r="383" spans="1:8" ht="23" customHeight="1">
      <c r="A383" s="6">
        <v>4</v>
      </c>
      <c r="B383" s="6">
        <v>1</v>
      </c>
      <c r="C383" s="6">
        <v>108</v>
      </c>
      <c r="D383" s="6">
        <v>67</v>
      </c>
      <c r="E383" s="6">
        <v>5</v>
      </c>
      <c r="F383" s="6" t="s">
        <v>32</v>
      </c>
      <c r="G383" s="7">
        <v>2752.4</v>
      </c>
      <c r="H383" s="6" t="s">
        <v>33</v>
      </c>
    </row>
    <row r="384" spans="1:8" ht="23" customHeight="1">
      <c r="A384" s="6">
        <v>4</v>
      </c>
      <c r="B384" s="6">
        <v>1</v>
      </c>
      <c r="C384" s="6">
        <v>108</v>
      </c>
      <c r="D384" s="6">
        <v>67</v>
      </c>
      <c r="E384" s="6">
        <v>6</v>
      </c>
      <c r="F384" s="6" t="s">
        <v>34</v>
      </c>
      <c r="G384" s="7">
        <v>2752.4</v>
      </c>
      <c r="H384" s="6" t="s">
        <v>33</v>
      </c>
    </row>
    <row r="385" spans="1:8" ht="23" customHeight="1">
      <c r="A385" s="6">
        <v>4</v>
      </c>
      <c r="B385" s="6">
        <v>1</v>
      </c>
      <c r="C385" s="6">
        <v>108</v>
      </c>
      <c r="D385" s="6">
        <v>67</v>
      </c>
      <c r="E385" s="6">
        <v>7</v>
      </c>
      <c r="F385" s="6" t="s">
        <v>35</v>
      </c>
      <c r="G385" s="7">
        <v>218438</v>
      </c>
      <c r="H385" s="6" t="s">
        <v>27</v>
      </c>
    </row>
    <row r="386" spans="1:8" ht="23" customHeight="1">
      <c r="A386" s="6">
        <v>4</v>
      </c>
      <c r="B386" s="6">
        <v>1</v>
      </c>
      <c r="C386" s="6">
        <v>108</v>
      </c>
      <c r="D386" s="6">
        <v>67</v>
      </c>
      <c r="E386" s="6">
        <v>8</v>
      </c>
      <c r="F386" s="6" t="s">
        <v>36</v>
      </c>
      <c r="G386" s="7">
        <v>2752.4</v>
      </c>
      <c r="H386" s="6" t="s">
        <v>33</v>
      </c>
    </row>
    <row r="387" spans="1:8" ht="23" customHeight="1">
      <c r="A387" s="6">
        <v>4</v>
      </c>
      <c r="B387" s="6">
        <v>1</v>
      </c>
      <c r="C387" s="6">
        <v>108</v>
      </c>
      <c r="D387" s="6">
        <v>67</v>
      </c>
      <c r="E387" s="6">
        <v>9</v>
      </c>
      <c r="F387" s="6" t="s">
        <v>37</v>
      </c>
      <c r="G387" s="7">
        <v>2752.4</v>
      </c>
      <c r="H387" s="6" t="s">
        <v>33</v>
      </c>
    </row>
    <row r="388" spans="1:8" ht="23" customHeight="1">
      <c r="A388" s="6">
        <v>4</v>
      </c>
      <c r="B388" s="6">
        <v>1</v>
      </c>
      <c r="C388" s="6">
        <v>108</v>
      </c>
      <c r="D388" s="6">
        <v>67</v>
      </c>
      <c r="E388" s="6">
        <v>10</v>
      </c>
      <c r="F388" s="6" t="s">
        <v>38</v>
      </c>
      <c r="G388" s="7">
        <v>218438</v>
      </c>
      <c r="H388" s="6" t="s">
        <v>27</v>
      </c>
    </row>
    <row r="389" spans="1:8" ht="23" customHeight="1">
      <c r="A389" s="6">
        <v>4</v>
      </c>
      <c r="B389" s="6">
        <v>1</v>
      </c>
      <c r="C389" s="6">
        <v>108</v>
      </c>
      <c r="D389" s="6">
        <v>67</v>
      </c>
      <c r="E389" s="6">
        <v>11</v>
      </c>
      <c r="F389" s="6" t="s">
        <v>39</v>
      </c>
      <c r="G389" s="7">
        <v>218438</v>
      </c>
      <c r="H389" s="6" t="s">
        <v>27</v>
      </c>
    </row>
    <row r="390" spans="1:8" ht="23" customHeight="1">
      <c r="A390" s="6">
        <v>4</v>
      </c>
      <c r="B390" s="6">
        <v>1</v>
      </c>
      <c r="C390" s="6">
        <v>108</v>
      </c>
      <c r="D390" s="6">
        <v>67</v>
      </c>
      <c r="E390" s="6">
        <v>12</v>
      </c>
      <c r="F390" s="6" t="s">
        <v>40</v>
      </c>
      <c r="G390" s="7">
        <v>218438</v>
      </c>
      <c r="H390" s="6" t="s">
        <v>27</v>
      </c>
    </row>
    <row r="391" spans="1:8" ht="23" customHeight="1">
      <c r="A391" s="6">
        <v>4</v>
      </c>
      <c r="B391" s="6">
        <v>1</v>
      </c>
      <c r="C391" s="6">
        <v>108</v>
      </c>
      <c r="D391" s="6">
        <v>67</v>
      </c>
      <c r="E391" s="6">
        <v>13</v>
      </c>
      <c r="F391" s="6" t="s">
        <v>41</v>
      </c>
      <c r="G391" s="7">
        <v>218438</v>
      </c>
      <c r="H391" s="6" t="s">
        <v>27</v>
      </c>
    </row>
    <row r="392" spans="1:8" ht="23" customHeight="1">
      <c r="A392" s="6">
        <v>4</v>
      </c>
      <c r="B392" s="6">
        <v>1</v>
      </c>
      <c r="C392" s="6">
        <v>109</v>
      </c>
      <c r="D392" s="6">
        <v>68</v>
      </c>
      <c r="E392" s="6">
        <v>4</v>
      </c>
      <c r="F392" s="6" t="s">
        <v>31</v>
      </c>
      <c r="G392" s="7">
        <v>218438</v>
      </c>
      <c r="H392" s="6" t="s">
        <v>27</v>
      </c>
    </row>
    <row r="393" spans="1:8" ht="23" customHeight="1">
      <c r="A393" s="6">
        <v>4</v>
      </c>
      <c r="B393" s="6">
        <v>1</v>
      </c>
      <c r="C393" s="6">
        <v>109</v>
      </c>
      <c r="D393" s="6">
        <v>68</v>
      </c>
      <c r="E393" s="6">
        <v>5</v>
      </c>
      <c r="F393" s="6" t="s">
        <v>32</v>
      </c>
      <c r="G393" s="7">
        <v>2752.4</v>
      </c>
      <c r="H393" s="6" t="s">
        <v>33</v>
      </c>
    </row>
    <row r="394" spans="1:8" ht="23" customHeight="1">
      <c r="A394" s="6">
        <v>4</v>
      </c>
      <c r="B394" s="6">
        <v>1</v>
      </c>
      <c r="C394" s="6">
        <v>109</v>
      </c>
      <c r="D394" s="6">
        <v>68</v>
      </c>
      <c r="E394" s="6">
        <v>6</v>
      </c>
      <c r="F394" s="6" t="s">
        <v>34</v>
      </c>
      <c r="G394" s="7">
        <v>2752.4</v>
      </c>
      <c r="H394" s="6" t="s">
        <v>33</v>
      </c>
    </row>
    <row r="395" spans="1:8" ht="23" customHeight="1">
      <c r="A395" s="6">
        <v>4</v>
      </c>
      <c r="B395" s="6">
        <v>1</v>
      </c>
      <c r="C395" s="6">
        <v>109</v>
      </c>
      <c r="D395" s="6">
        <v>68</v>
      </c>
      <c r="E395" s="6">
        <v>7</v>
      </c>
      <c r="F395" s="6" t="s">
        <v>35</v>
      </c>
      <c r="G395" s="7">
        <v>218438</v>
      </c>
      <c r="H395" s="6" t="s">
        <v>27</v>
      </c>
    </row>
    <row r="396" spans="1:8" ht="23" customHeight="1">
      <c r="A396" s="6">
        <v>4</v>
      </c>
      <c r="B396" s="6">
        <v>1</v>
      </c>
      <c r="C396" s="6">
        <v>109</v>
      </c>
      <c r="D396" s="6">
        <v>68</v>
      </c>
      <c r="E396" s="6">
        <v>8</v>
      </c>
      <c r="F396" s="6" t="s">
        <v>36</v>
      </c>
      <c r="G396" s="7">
        <v>2752.4</v>
      </c>
      <c r="H396" s="6" t="s">
        <v>33</v>
      </c>
    </row>
    <row r="397" spans="1:8" ht="23" customHeight="1">
      <c r="A397" s="6">
        <v>4</v>
      </c>
      <c r="B397" s="6">
        <v>1</v>
      </c>
      <c r="C397" s="6">
        <v>109</v>
      </c>
      <c r="D397" s="6">
        <v>68</v>
      </c>
      <c r="E397" s="6">
        <v>9</v>
      </c>
      <c r="F397" s="6" t="s">
        <v>37</v>
      </c>
      <c r="G397" s="7">
        <v>2752.4</v>
      </c>
      <c r="H397" s="6" t="s">
        <v>33</v>
      </c>
    </row>
    <row r="398" spans="1:8" ht="23" customHeight="1">
      <c r="A398" s="6">
        <v>4</v>
      </c>
      <c r="B398" s="6">
        <v>1</v>
      </c>
      <c r="C398" s="6">
        <v>109</v>
      </c>
      <c r="D398" s="6">
        <v>68</v>
      </c>
      <c r="E398" s="6">
        <v>10</v>
      </c>
      <c r="F398" s="6" t="s">
        <v>38</v>
      </c>
      <c r="G398" s="7">
        <v>218438</v>
      </c>
      <c r="H398" s="6" t="s">
        <v>27</v>
      </c>
    </row>
    <row r="399" spans="1:8" ht="23" customHeight="1">
      <c r="A399" s="6">
        <v>4</v>
      </c>
      <c r="B399" s="6">
        <v>1</v>
      </c>
      <c r="C399" s="6">
        <v>109</v>
      </c>
      <c r="D399" s="6">
        <v>68</v>
      </c>
      <c r="E399" s="6">
        <v>11</v>
      </c>
      <c r="F399" s="6" t="s">
        <v>39</v>
      </c>
      <c r="G399" s="7">
        <v>218438</v>
      </c>
      <c r="H399" s="6" t="s">
        <v>27</v>
      </c>
    </row>
    <row r="400" spans="1:8" ht="23" customHeight="1">
      <c r="A400" s="6">
        <v>4</v>
      </c>
      <c r="B400" s="6">
        <v>1</v>
      </c>
      <c r="C400" s="6">
        <v>109</v>
      </c>
      <c r="D400" s="6">
        <v>68</v>
      </c>
      <c r="E400" s="6">
        <v>12</v>
      </c>
      <c r="F400" s="6" t="s">
        <v>40</v>
      </c>
      <c r="G400" s="7">
        <v>218438</v>
      </c>
      <c r="H400" s="6" t="s">
        <v>27</v>
      </c>
    </row>
    <row r="401" spans="1:8" ht="23" customHeight="1">
      <c r="A401" s="6">
        <v>4</v>
      </c>
      <c r="B401" s="6">
        <v>1</v>
      </c>
      <c r="C401" s="6">
        <v>109</v>
      </c>
      <c r="D401" s="6">
        <v>68</v>
      </c>
      <c r="E401" s="6">
        <v>13</v>
      </c>
      <c r="F401" s="6" t="s">
        <v>41</v>
      </c>
      <c r="G401" s="7">
        <v>218438</v>
      </c>
      <c r="H401" s="6" t="s">
        <v>27</v>
      </c>
    </row>
    <row r="402" spans="1:8" ht="23" customHeight="1">
      <c r="A402" s="6">
        <v>4</v>
      </c>
      <c r="B402" s="6">
        <v>1</v>
      </c>
      <c r="C402" s="6">
        <v>110</v>
      </c>
      <c r="D402" s="6">
        <v>69</v>
      </c>
      <c r="E402" s="6">
        <v>4</v>
      </c>
      <c r="F402" s="6" t="s">
        <v>31</v>
      </c>
      <c r="G402" s="7">
        <v>218438</v>
      </c>
      <c r="H402" s="6" t="s">
        <v>27</v>
      </c>
    </row>
    <row r="403" spans="1:8" ht="23" customHeight="1">
      <c r="A403" s="6">
        <v>4</v>
      </c>
      <c r="B403" s="6">
        <v>1</v>
      </c>
      <c r="C403" s="6">
        <v>110</v>
      </c>
      <c r="D403" s="6">
        <v>69</v>
      </c>
      <c r="E403" s="6">
        <v>5</v>
      </c>
      <c r="F403" s="6" t="s">
        <v>32</v>
      </c>
      <c r="G403" s="7">
        <v>2752.4</v>
      </c>
      <c r="H403" s="6" t="s">
        <v>33</v>
      </c>
    </row>
    <row r="404" spans="1:8" ht="23" customHeight="1">
      <c r="A404" s="6">
        <v>4</v>
      </c>
      <c r="B404" s="6">
        <v>1</v>
      </c>
      <c r="C404" s="6">
        <v>110</v>
      </c>
      <c r="D404" s="6">
        <v>69</v>
      </c>
      <c r="E404" s="6">
        <v>6</v>
      </c>
      <c r="F404" s="6" t="s">
        <v>34</v>
      </c>
      <c r="G404" s="7">
        <v>2752.4</v>
      </c>
      <c r="H404" s="6" t="s">
        <v>33</v>
      </c>
    </row>
    <row r="405" spans="1:8" ht="23" customHeight="1">
      <c r="A405" s="6">
        <v>4</v>
      </c>
      <c r="B405" s="6">
        <v>1</v>
      </c>
      <c r="C405" s="6">
        <v>110</v>
      </c>
      <c r="D405" s="6">
        <v>69</v>
      </c>
      <c r="E405" s="6">
        <v>7</v>
      </c>
      <c r="F405" s="6" t="s">
        <v>35</v>
      </c>
      <c r="G405" s="7">
        <v>218438</v>
      </c>
      <c r="H405" s="6" t="s">
        <v>27</v>
      </c>
    </row>
    <row r="406" spans="1:8" ht="23" customHeight="1">
      <c r="A406" s="6">
        <v>4</v>
      </c>
      <c r="B406" s="6">
        <v>1</v>
      </c>
      <c r="C406" s="6">
        <v>110</v>
      </c>
      <c r="D406" s="6">
        <v>69</v>
      </c>
      <c r="E406" s="6">
        <v>8</v>
      </c>
      <c r="F406" s="6" t="s">
        <v>36</v>
      </c>
      <c r="G406" s="7">
        <v>2752.4</v>
      </c>
      <c r="H406" s="6" t="s">
        <v>33</v>
      </c>
    </row>
    <row r="407" spans="1:8" ht="23" customHeight="1">
      <c r="A407" s="6">
        <v>4</v>
      </c>
      <c r="B407" s="6">
        <v>1</v>
      </c>
      <c r="C407" s="6">
        <v>110</v>
      </c>
      <c r="D407" s="6">
        <v>69</v>
      </c>
      <c r="E407" s="6">
        <v>9</v>
      </c>
      <c r="F407" s="6" t="s">
        <v>37</v>
      </c>
      <c r="G407" s="7">
        <v>2752.4</v>
      </c>
      <c r="H407" s="6" t="s">
        <v>33</v>
      </c>
    </row>
    <row r="408" spans="1:8" ht="23" customHeight="1">
      <c r="A408" s="6">
        <v>4</v>
      </c>
      <c r="B408" s="6">
        <v>1</v>
      </c>
      <c r="C408" s="6">
        <v>110</v>
      </c>
      <c r="D408" s="6">
        <v>69</v>
      </c>
      <c r="E408" s="6">
        <v>10</v>
      </c>
      <c r="F408" s="6" t="s">
        <v>38</v>
      </c>
      <c r="G408" s="7">
        <v>218438</v>
      </c>
      <c r="H408" s="6" t="s">
        <v>27</v>
      </c>
    </row>
    <row r="409" spans="1:8" ht="23" customHeight="1">
      <c r="A409" s="6">
        <v>4</v>
      </c>
      <c r="B409" s="6">
        <v>1</v>
      </c>
      <c r="C409" s="6">
        <v>110</v>
      </c>
      <c r="D409" s="6">
        <v>69</v>
      </c>
      <c r="E409" s="6">
        <v>11</v>
      </c>
      <c r="F409" s="6" t="s">
        <v>39</v>
      </c>
      <c r="G409" s="7">
        <v>218438</v>
      </c>
      <c r="H409" s="6" t="s">
        <v>27</v>
      </c>
    </row>
    <row r="410" spans="1:8" ht="23" customHeight="1">
      <c r="A410" s="6">
        <v>4</v>
      </c>
      <c r="B410" s="6">
        <v>1</v>
      </c>
      <c r="C410" s="6">
        <v>110</v>
      </c>
      <c r="D410" s="6">
        <v>69</v>
      </c>
      <c r="E410" s="6">
        <v>12</v>
      </c>
      <c r="F410" s="6" t="s">
        <v>40</v>
      </c>
      <c r="G410" s="7">
        <v>218438</v>
      </c>
      <c r="H410" s="6" t="s">
        <v>27</v>
      </c>
    </row>
    <row r="411" spans="1:8" ht="23" customHeight="1">
      <c r="A411" s="6">
        <v>4</v>
      </c>
      <c r="B411" s="6">
        <v>1</v>
      </c>
      <c r="C411" s="6">
        <v>110</v>
      </c>
      <c r="D411" s="6">
        <v>69</v>
      </c>
      <c r="E411" s="6">
        <v>13</v>
      </c>
      <c r="F411" s="6" t="s">
        <v>41</v>
      </c>
      <c r="G411" s="7">
        <v>218438</v>
      </c>
      <c r="H411" s="6" t="s">
        <v>27</v>
      </c>
    </row>
    <row r="412" spans="1:8" ht="23" customHeight="1">
      <c r="A412" s="6">
        <v>4</v>
      </c>
      <c r="B412" s="6">
        <v>1</v>
      </c>
      <c r="C412" s="6">
        <v>111</v>
      </c>
      <c r="D412" s="6">
        <v>70</v>
      </c>
      <c r="E412" s="6">
        <v>4</v>
      </c>
      <c r="F412" s="6" t="s">
        <v>31</v>
      </c>
      <c r="G412" s="7">
        <v>218438</v>
      </c>
      <c r="H412" s="6" t="s">
        <v>27</v>
      </c>
    </row>
    <row r="413" spans="1:8" ht="23" customHeight="1">
      <c r="A413" s="6">
        <v>4</v>
      </c>
      <c r="B413" s="6">
        <v>1</v>
      </c>
      <c r="C413" s="6">
        <v>111</v>
      </c>
      <c r="D413" s="6">
        <v>70</v>
      </c>
      <c r="E413" s="6">
        <v>5</v>
      </c>
      <c r="F413" s="6" t="s">
        <v>32</v>
      </c>
      <c r="G413" s="7">
        <v>2752.4</v>
      </c>
      <c r="H413" s="6" t="s">
        <v>33</v>
      </c>
    </row>
    <row r="414" spans="1:8" ht="23" customHeight="1">
      <c r="A414" s="6">
        <v>4</v>
      </c>
      <c r="B414" s="6">
        <v>1</v>
      </c>
      <c r="C414" s="6">
        <v>111</v>
      </c>
      <c r="D414" s="6">
        <v>70</v>
      </c>
      <c r="E414" s="6">
        <v>6</v>
      </c>
      <c r="F414" s="6" t="s">
        <v>34</v>
      </c>
      <c r="G414" s="7">
        <v>2752.4</v>
      </c>
      <c r="H414" s="6" t="s">
        <v>33</v>
      </c>
    </row>
    <row r="415" spans="1:8" ht="23" customHeight="1">
      <c r="A415" s="6">
        <v>4</v>
      </c>
      <c r="B415" s="6">
        <v>1</v>
      </c>
      <c r="C415" s="6">
        <v>111</v>
      </c>
      <c r="D415" s="6">
        <v>70</v>
      </c>
      <c r="E415" s="6">
        <v>7</v>
      </c>
      <c r="F415" s="6" t="s">
        <v>35</v>
      </c>
      <c r="G415" s="7">
        <v>218438</v>
      </c>
      <c r="H415" s="6" t="s">
        <v>27</v>
      </c>
    </row>
    <row r="416" spans="1:8" ht="23" customHeight="1">
      <c r="A416" s="6">
        <v>4</v>
      </c>
      <c r="B416" s="6">
        <v>1</v>
      </c>
      <c r="C416" s="6">
        <v>111</v>
      </c>
      <c r="D416" s="6">
        <v>70</v>
      </c>
      <c r="E416" s="6">
        <v>8</v>
      </c>
      <c r="F416" s="6" t="s">
        <v>36</v>
      </c>
      <c r="G416" s="7">
        <v>2752.4</v>
      </c>
      <c r="H416" s="6" t="s">
        <v>33</v>
      </c>
    </row>
    <row r="417" spans="1:8" ht="23" customHeight="1">
      <c r="A417" s="6">
        <v>4</v>
      </c>
      <c r="B417" s="6">
        <v>1</v>
      </c>
      <c r="C417" s="6">
        <v>111</v>
      </c>
      <c r="D417" s="6">
        <v>70</v>
      </c>
      <c r="E417" s="6">
        <v>9</v>
      </c>
      <c r="F417" s="6" t="s">
        <v>37</v>
      </c>
      <c r="G417" s="7">
        <v>2752.4</v>
      </c>
      <c r="H417" s="6" t="s">
        <v>33</v>
      </c>
    </row>
    <row r="418" spans="1:8" ht="23" customHeight="1">
      <c r="A418" s="6">
        <v>4</v>
      </c>
      <c r="B418" s="6">
        <v>1</v>
      </c>
      <c r="C418" s="6">
        <v>111</v>
      </c>
      <c r="D418" s="6">
        <v>70</v>
      </c>
      <c r="E418" s="6">
        <v>10</v>
      </c>
      <c r="F418" s="6" t="s">
        <v>38</v>
      </c>
      <c r="G418" s="7">
        <v>218438</v>
      </c>
      <c r="H418" s="6" t="s">
        <v>27</v>
      </c>
    </row>
    <row r="419" spans="1:8" ht="23" customHeight="1">
      <c r="A419" s="6">
        <v>4</v>
      </c>
      <c r="B419" s="6">
        <v>1</v>
      </c>
      <c r="C419" s="6">
        <v>111</v>
      </c>
      <c r="D419" s="6">
        <v>70</v>
      </c>
      <c r="E419" s="6">
        <v>11</v>
      </c>
      <c r="F419" s="6" t="s">
        <v>39</v>
      </c>
      <c r="G419" s="7">
        <v>218438</v>
      </c>
      <c r="H419" s="6" t="s">
        <v>27</v>
      </c>
    </row>
    <row r="420" spans="1:8" ht="23" customHeight="1">
      <c r="A420" s="6">
        <v>4</v>
      </c>
      <c r="B420" s="6">
        <v>1</v>
      </c>
      <c r="C420" s="6">
        <v>111</v>
      </c>
      <c r="D420" s="6">
        <v>70</v>
      </c>
      <c r="E420" s="6">
        <v>12</v>
      </c>
      <c r="F420" s="6" t="s">
        <v>40</v>
      </c>
      <c r="G420" s="7">
        <v>218438</v>
      </c>
      <c r="H420" s="6" t="s">
        <v>27</v>
      </c>
    </row>
    <row r="421" spans="1:8" ht="23" customHeight="1">
      <c r="A421" s="6">
        <v>4</v>
      </c>
      <c r="B421" s="6">
        <v>1</v>
      </c>
      <c r="C421" s="6">
        <v>111</v>
      </c>
      <c r="D421" s="6">
        <v>70</v>
      </c>
      <c r="E421" s="6">
        <v>13</v>
      </c>
      <c r="F421" s="6" t="s">
        <v>41</v>
      </c>
      <c r="G421" s="7">
        <v>218438</v>
      </c>
      <c r="H421" s="6" t="s">
        <v>27</v>
      </c>
    </row>
    <row r="422" spans="1:8" ht="23" customHeight="1">
      <c r="A422" s="6">
        <v>4</v>
      </c>
      <c r="B422" s="6">
        <v>1</v>
      </c>
      <c r="C422" s="6">
        <v>112</v>
      </c>
      <c r="D422" s="6">
        <v>71</v>
      </c>
      <c r="E422" s="6">
        <v>4</v>
      </c>
      <c r="F422" s="6" t="s">
        <v>31</v>
      </c>
      <c r="G422" s="7">
        <v>179149</v>
      </c>
      <c r="H422" s="6" t="s">
        <v>27</v>
      </c>
    </row>
    <row r="423" spans="1:8" ht="23" customHeight="1">
      <c r="A423" s="6">
        <v>4</v>
      </c>
      <c r="B423" s="6">
        <v>1</v>
      </c>
      <c r="C423" s="6">
        <v>112</v>
      </c>
      <c r="D423" s="6">
        <v>71</v>
      </c>
      <c r="E423" s="6">
        <v>5</v>
      </c>
      <c r="F423" s="6" t="s">
        <v>32</v>
      </c>
      <c r="G423" s="7">
        <v>2032.5</v>
      </c>
      <c r="H423" s="6" t="s">
        <v>33</v>
      </c>
    </row>
    <row r="424" spans="1:8" ht="23" customHeight="1">
      <c r="A424" s="6">
        <v>4</v>
      </c>
      <c r="B424" s="6">
        <v>1</v>
      </c>
      <c r="C424" s="6">
        <v>112</v>
      </c>
      <c r="D424" s="6">
        <v>71</v>
      </c>
      <c r="E424" s="6">
        <v>6</v>
      </c>
      <c r="F424" s="6" t="s">
        <v>34</v>
      </c>
      <c r="G424" s="7">
        <v>2032.5</v>
      </c>
      <c r="H424" s="6" t="s">
        <v>33</v>
      </c>
    </row>
    <row r="425" spans="1:8" ht="23" customHeight="1">
      <c r="A425" s="6">
        <v>4</v>
      </c>
      <c r="B425" s="6">
        <v>1</v>
      </c>
      <c r="C425" s="6">
        <v>112</v>
      </c>
      <c r="D425" s="6">
        <v>71</v>
      </c>
      <c r="E425" s="6">
        <v>7</v>
      </c>
      <c r="F425" s="6" t="s">
        <v>35</v>
      </c>
      <c r="G425" s="7">
        <v>179149</v>
      </c>
      <c r="H425" s="6" t="s">
        <v>27</v>
      </c>
    </row>
    <row r="426" spans="1:8" ht="23" customHeight="1">
      <c r="A426" s="6">
        <v>4</v>
      </c>
      <c r="B426" s="6">
        <v>1</v>
      </c>
      <c r="C426" s="6">
        <v>112</v>
      </c>
      <c r="D426" s="6">
        <v>71</v>
      </c>
      <c r="E426" s="6">
        <v>8</v>
      </c>
      <c r="F426" s="6" t="s">
        <v>36</v>
      </c>
      <c r="G426" s="7">
        <v>2032.5</v>
      </c>
      <c r="H426" s="6" t="s">
        <v>33</v>
      </c>
    </row>
    <row r="427" spans="1:8" ht="23" customHeight="1">
      <c r="A427" s="6">
        <v>4</v>
      </c>
      <c r="B427" s="6">
        <v>1</v>
      </c>
      <c r="C427" s="6">
        <v>112</v>
      </c>
      <c r="D427" s="6">
        <v>71</v>
      </c>
      <c r="E427" s="6">
        <v>9</v>
      </c>
      <c r="F427" s="6" t="s">
        <v>37</v>
      </c>
      <c r="G427" s="7">
        <v>2032.5</v>
      </c>
      <c r="H427" s="6" t="s">
        <v>33</v>
      </c>
    </row>
    <row r="428" spans="1:8" ht="23" customHeight="1">
      <c r="A428" s="6">
        <v>4</v>
      </c>
      <c r="B428" s="6">
        <v>1</v>
      </c>
      <c r="C428" s="6">
        <v>112</v>
      </c>
      <c r="D428" s="6">
        <v>71</v>
      </c>
      <c r="E428" s="6">
        <v>10</v>
      </c>
      <c r="F428" s="6" t="s">
        <v>38</v>
      </c>
      <c r="G428" s="7">
        <v>179149</v>
      </c>
      <c r="H428" s="6" t="s">
        <v>27</v>
      </c>
    </row>
    <row r="429" spans="1:8" ht="23" customHeight="1">
      <c r="A429" s="6">
        <v>4</v>
      </c>
      <c r="B429" s="6">
        <v>1</v>
      </c>
      <c r="C429" s="6">
        <v>112</v>
      </c>
      <c r="D429" s="6">
        <v>71</v>
      </c>
      <c r="E429" s="6">
        <v>11</v>
      </c>
      <c r="F429" s="6" t="s">
        <v>39</v>
      </c>
      <c r="G429" s="7">
        <v>179149</v>
      </c>
      <c r="H429" s="6" t="s">
        <v>27</v>
      </c>
    </row>
    <row r="430" spans="1:8" ht="23" customHeight="1">
      <c r="A430" s="6">
        <v>4</v>
      </c>
      <c r="B430" s="6">
        <v>1</v>
      </c>
      <c r="C430" s="6">
        <v>112</v>
      </c>
      <c r="D430" s="6">
        <v>71</v>
      </c>
      <c r="E430" s="6">
        <v>12</v>
      </c>
      <c r="F430" s="6" t="s">
        <v>40</v>
      </c>
      <c r="G430" s="7">
        <v>179149</v>
      </c>
      <c r="H430" s="6" t="s">
        <v>27</v>
      </c>
    </row>
    <row r="431" spans="1:8" ht="23" customHeight="1">
      <c r="A431" s="6">
        <v>4</v>
      </c>
      <c r="B431" s="6">
        <v>1</v>
      </c>
      <c r="C431" s="6">
        <v>112</v>
      </c>
      <c r="D431" s="6">
        <v>71</v>
      </c>
      <c r="E431" s="6">
        <v>13</v>
      </c>
      <c r="F431" s="6" t="s">
        <v>41</v>
      </c>
      <c r="G431" s="7">
        <v>179149</v>
      </c>
      <c r="H431" s="6" t="s">
        <v>27</v>
      </c>
    </row>
    <row r="432" spans="1:8" ht="23" customHeight="1">
      <c r="A432" s="6">
        <v>4</v>
      </c>
      <c r="B432" s="6">
        <v>1</v>
      </c>
      <c r="C432" s="6">
        <v>113</v>
      </c>
      <c r="D432" s="6">
        <v>72</v>
      </c>
      <c r="E432" s="6">
        <v>4</v>
      </c>
      <c r="F432" s="6" t="s">
        <v>31</v>
      </c>
      <c r="G432" s="7">
        <v>104936</v>
      </c>
      <c r="H432" s="6" t="s">
        <v>27</v>
      </c>
    </row>
    <row r="433" spans="1:8" ht="23" customHeight="1">
      <c r="A433" s="6">
        <v>4</v>
      </c>
      <c r="B433" s="6">
        <v>1</v>
      </c>
      <c r="C433" s="6">
        <v>113</v>
      </c>
      <c r="D433" s="6">
        <v>72</v>
      </c>
      <c r="E433" s="6">
        <v>5</v>
      </c>
      <c r="F433" s="6" t="s">
        <v>32</v>
      </c>
      <c r="G433" s="7">
        <v>672.8</v>
      </c>
      <c r="H433" s="6" t="s">
        <v>33</v>
      </c>
    </row>
    <row r="434" spans="1:8" ht="23" customHeight="1">
      <c r="A434" s="6">
        <v>4</v>
      </c>
      <c r="B434" s="6">
        <v>1</v>
      </c>
      <c r="C434" s="6">
        <v>113</v>
      </c>
      <c r="D434" s="6">
        <v>72</v>
      </c>
      <c r="E434" s="6">
        <v>6</v>
      </c>
      <c r="F434" s="6" t="s">
        <v>34</v>
      </c>
      <c r="G434" s="7">
        <v>672.8</v>
      </c>
      <c r="H434" s="6" t="s">
        <v>33</v>
      </c>
    </row>
    <row r="435" spans="1:8" ht="23" customHeight="1">
      <c r="A435" s="6">
        <v>4</v>
      </c>
      <c r="B435" s="6">
        <v>1</v>
      </c>
      <c r="C435" s="6">
        <v>113</v>
      </c>
      <c r="D435" s="6">
        <v>72</v>
      </c>
      <c r="E435" s="6">
        <v>7</v>
      </c>
      <c r="F435" s="6" t="s">
        <v>35</v>
      </c>
      <c r="G435" s="7">
        <v>104936</v>
      </c>
      <c r="H435" s="6" t="s">
        <v>27</v>
      </c>
    </row>
    <row r="436" spans="1:8" ht="23" customHeight="1">
      <c r="A436" s="6">
        <v>4</v>
      </c>
      <c r="B436" s="6">
        <v>1</v>
      </c>
      <c r="C436" s="6">
        <v>113</v>
      </c>
      <c r="D436" s="6">
        <v>72</v>
      </c>
      <c r="E436" s="6">
        <v>8</v>
      </c>
      <c r="F436" s="6" t="s">
        <v>36</v>
      </c>
      <c r="G436" s="7">
        <v>672.8</v>
      </c>
      <c r="H436" s="6" t="s">
        <v>33</v>
      </c>
    </row>
    <row r="437" spans="1:8" ht="23" customHeight="1">
      <c r="A437" s="6">
        <v>4</v>
      </c>
      <c r="B437" s="6">
        <v>1</v>
      </c>
      <c r="C437" s="6">
        <v>113</v>
      </c>
      <c r="D437" s="6">
        <v>72</v>
      </c>
      <c r="E437" s="6">
        <v>9</v>
      </c>
      <c r="F437" s="6" t="s">
        <v>37</v>
      </c>
      <c r="G437" s="7">
        <v>672.8</v>
      </c>
      <c r="H437" s="6" t="s">
        <v>33</v>
      </c>
    </row>
    <row r="438" spans="1:8" ht="23" customHeight="1">
      <c r="A438" s="6">
        <v>4</v>
      </c>
      <c r="B438" s="6">
        <v>1</v>
      </c>
      <c r="C438" s="6">
        <v>113</v>
      </c>
      <c r="D438" s="6">
        <v>72</v>
      </c>
      <c r="E438" s="6">
        <v>10</v>
      </c>
      <c r="F438" s="6" t="s">
        <v>38</v>
      </c>
      <c r="G438" s="7">
        <v>104936</v>
      </c>
      <c r="H438" s="6" t="s">
        <v>27</v>
      </c>
    </row>
    <row r="439" spans="1:8" ht="23" customHeight="1">
      <c r="A439" s="6">
        <v>4</v>
      </c>
      <c r="B439" s="6">
        <v>1</v>
      </c>
      <c r="C439" s="6">
        <v>113</v>
      </c>
      <c r="D439" s="6">
        <v>72</v>
      </c>
      <c r="E439" s="6">
        <v>11</v>
      </c>
      <c r="F439" s="6" t="s">
        <v>39</v>
      </c>
      <c r="G439" s="7">
        <v>104936</v>
      </c>
      <c r="H439" s="6" t="s">
        <v>27</v>
      </c>
    </row>
    <row r="440" spans="1:8" ht="23" customHeight="1">
      <c r="A440" s="6">
        <v>4</v>
      </c>
      <c r="B440" s="6">
        <v>1</v>
      </c>
      <c r="C440" s="6">
        <v>113</v>
      </c>
      <c r="D440" s="6">
        <v>72</v>
      </c>
      <c r="E440" s="6">
        <v>12</v>
      </c>
      <c r="F440" s="6" t="s">
        <v>40</v>
      </c>
      <c r="G440" s="7">
        <v>104936</v>
      </c>
      <c r="H440" s="6" t="s">
        <v>27</v>
      </c>
    </row>
    <row r="441" spans="1:8" ht="23" customHeight="1">
      <c r="A441" s="6">
        <v>4</v>
      </c>
      <c r="B441" s="6">
        <v>1</v>
      </c>
      <c r="C441" s="6">
        <v>113</v>
      </c>
      <c r="D441" s="6">
        <v>72</v>
      </c>
      <c r="E441" s="6">
        <v>13</v>
      </c>
      <c r="F441" s="6" t="s">
        <v>41</v>
      </c>
      <c r="G441" s="7">
        <v>104936</v>
      </c>
      <c r="H441" s="6" t="s">
        <v>27</v>
      </c>
    </row>
    <row r="442" spans="1:8" ht="23" customHeight="1">
      <c r="A442" s="6">
        <v>4</v>
      </c>
      <c r="B442" s="6">
        <v>1</v>
      </c>
      <c r="C442" s="6">
        <v>114</v>
      </c>
      <c r="D442" s="6">
        <v>73</v>
      </c>
      <c r="E442" s="6">
        <v>4</v>
      </c>
      <c r="F442" s="6" t="s">
        <v>31</v>
      </c>
      <c r="G442" s="7">
        <v>104936</v>
      </c>
      <c r="H442" s="6" t="s">
        <v>27</v>
      </c>
    </row>
    <row r="443" spans="1:8" ht="23" customHeight="1">
      <c r="A443" s="6">
        <v>4</v>
      </c>
      <c r="B443" s="6">
        <v>1</v>
      </c>
      <c r="C443" s="6">
        <v>114</v>
      </c>
      <c r="D443" s="6">
        <v>73</v>
      </c>
      <c r="E443" s="6">
        <v>5</v>
      </c>
      <c r="F443" s="6" t="s">
        <v>32</v>
      </c>
      <c r="G443" s="7">
        <v>672.8</v>
      </c>
      <c r="H443" s="6" t="s">
        <v>33</v>
      </c>
    </row>
    <row r="444" spans="1:8" ht="23" customHeight="1">
      <c r="A444" s="6">
        <v>4</v>
      </c>
      <c r="B444" s="6">
        <v>1</v>
      </c>
      <c r="C444" s="6">
        <v>114</v>
      </c>
      <c r="D444" s="6">
        <v>73</v>
      </c>
      <c r="E444" s="6">
        <v>6</v>
      </c>
      <c r="F444" s="6" t="s">
        <v>34</v>
      </c>
      <c r="G444" s="7">
        <v>672.8</v>
      </c>
      <c r="H444" s="6" t="s">
        <v>33</v>
      </c>
    </row>
    <row r="445" spans="1:8" ht="23" customHeight="1">
      <c r="A445" s="6">
        <v>4</v>
      </c>
      <c r="B445" s="6">
        <v>1</v>
      </c>
      <c r="C445" s="6">
        <v>114</v>
      </c>
      <c r="D445" s="6">
        <v>73</v>
      </c>
      <c r="E445" s="6">
        <v>7</v>
      </c>
      <c r="F445" s="6" t="s">
        <v>35</v>
      </c>
      <c r="G445" s="7">
        <v>104936</v>
      </c>
      <c r="H445" s="6" t="s">
        <v>27</v>
      </c>
    </row>
    <row r="446" spans="1:8" ht="23" customHeight="1">
      <c r="A446" s="6">
        <v>4</v>
      </c>
      <c r="B446" s="6">
        <v>1</v>
      </c>
      <c r="C446" s="6">
        <v>114</v>
      </c>
      <c r="D446" s="6">
        <v>73</v>
      </c>
      <c r="E446" s="6">
        <v>8</v>
      </c>
      <c r="F446" s="6" t="s">
        <v>36</v>
      </c>
      <c r="G446" s="7">
        <v>672.8</v>
      </c>
      <c r="H446" s="6" t="s">
        <v>33</v>
      </c>
    </row>
    <row r="447" spans="1:8" ht="23" customHeight="1">
      <c r="A447" s="6">
        <v>4</v>
      </c>
      <c r="B447" s="6">
        <v>1</v>
      </c>
      <c r="C447" s="6">
        <v>114</v>
      </c>
      <c r="D447" s="6">
        <v>73</v>
      </c>
      <c r="E447" s="6">
        <v>9</v>
      </c>
      <c r="F447" s="6" t="s">
        <v>37</v>
      </c>
      <c r="G447" s="7">
        <v>672.8</v>
      </c>
      <c r="H447" s="6" t="s">
        <v>33</v>
      </c>
    </row>
    <row r="448" spans="1:8" ht="23" customHeight="1">
      <c r="A448" s="6">
        <v>4</v>
      </c>
      <c r="B448" s="6">
        <v>1</v>
      </c>
      <c r="C448" s="6">
        <v>114</v>
      </c>
      <c r="D448" s="6">
        <v>73</v>
      </c>
      <c r="E448" s="6">
        <v>10</v>
      </c>
      <c r="F448" s="6" t="s">
        <v>38</v>
      </c>
      <c r="G448" s="7">
        <v>104936</v>
      </c>
      <c r="H448" s="6" t="s">
        <v>27</v>
      </c>
    </row>
    <row r="449" spans="1:8" ht="23" customHeight="1">
      <c r="A449" s="6">
        <v>4</v>
      </c>
      <c r="B449" s="6">
        <v>1</v>
      </c>
      <c r="C449" s="6">
        <v>114</v>
      </c>
      <c r="D449" s="6">
        <v>73</v>
      </c>
      <c r="E449" s="6">
        <v>11</v>
      </c>
      <c r="F449" s="6" t="s">
        <v>39</v>
      </c>
      <c r="G449" s="7">
        <v>104936</v>
      </c>
      <c r="H449" s="6" t="s">
        <v>27</v>
      </c>
    </row>
    <row r="450" spans="1:8" ht="23" customHeight="1">
      <c r="A450" s="6">
        <v>4</v>
      </c>
      <c r="B450" s="6">
        <v>1</v>
      </c>
      <c r="C450" s="6">
        <v>114</v>
      </c>
      <c r="D450" s="6">
        <v>73</v>
      </c>
      <c r="E450" s="6">
        <v>12</v>
      </c>
      <c r="F450" s="6" t="s">
        <v>40</v>
      </c>
      <c r="G450" s="7">
        <v>104936</v>
      </c>
      <c r="H450" s="6" t="s">
        <v>27</v>
      </c>
    </row>
    <row r="451" spans="1:8" ht="23" customHeight="1">
      <c r="A451" s="6">
        <v>4</v>
      </c>
      <c r="B451" s="6">
        <v>1</v>
      </c>
      <c r="C451" s="6">
        <v>114</v>
      </c>
      <c r="D451" s="6">
        <v>73</v>
      </c>
      <c r="E451" s="6">
        <v>13</v>
      </c>
      <c r="F451" s="6" t="s">
        <v>41</v>
      </c>
      <c r="G451" s="7">
        <v>104936</v>
      </c>
      <c r="H451" s="6" t="s">
        <v>27</v>
      </c>
    </row>
    <row r="452" spans="1:8" ht="23" customHeight="1">
      <c r="A452" s="6">
        <v>4</v>
      </c>
      <c r="B452" s="6">
        <v>1</v>
      </c>
      <c r="C452" s="6">
        <v>115</v>
      </c>
      <c r="D452" s="6">
        <v>74</v>
      </c>
      <c r="E452" s="6">
        <v>4</v>
      </c>
      <c r="F452" s="6" t="s">
        <v>31</v>
      </c>
      <c r="G452" s="7">
        <v>104936</v>
      </c>
      <c r="H452" s="6" t="s">
        <v>27</v>
      </c>
    </row>
    <row r="453" spans="1:8" ht="23" customHeight="1">
      <c r="A453" s="6">
        <v>4</v>
      </c>
      <c r="B453" s="6">
        <v>1</v>
      </c>
      <c r="C453" s="6">
        <v>115</v>
      </c>
      <c r="D453" s="6">
        <v>74</v>
      </c>
      <c r="E453" s="6">
        <v>5</v>
      </c>
      <c r="F453" s="6" t="s">
        <v>32</v>
      </c>
      <c r="G453" s="7">
        <v>672.8</v>
      </c>
      <c r="H453" s="6" t="s">
        <v>33</v>
      </c>
    </row>
    <row r="454" spans="1:8" ht="23" customHeight="1">
      <c r="A454" s="6">
        <v>4</v>
      </c>
      <c r="B454" s="6">
        <v>1</v>
      </c>
      <c r="C454" s="6">
        <v>115</v>
      </c>
      <c r="D454" s="6">
        <v>74</v>
      </c>
      <c r="E454" s="6">
        <v>6</v>
      </c>
      <c r="F454" s="6" t="s">
        <v>34</v>
      </c>
      <c r="G454" s="7">
        <v>672.8</v>
      </c>
      <c r="H454" s="6" t="s">
        <v>33</v>
      </c>
    </row>
    <row r="455" spans="1:8" ht="23" customHeight="1">
      <c r="A455" s="6">
        <v>4</v>
      </c>
      <c r="B455" s="6">
        <v>1</v>
      </c>
      <c r="C455" s="6">
        <v>115</v>
      </c>
      <c r="D455" s="6">
        <v>74</v>
      </c>
      <c r="E455" s="6">
        <v>7</v>
      </c>
      <c r="F455" s="6" t="s">
        <v>35</v>
      </c>
      <c r="G455" s="7">
        <v>104936</v>
      </c>
      <c r="H455" s="6" t="s">
        <v>27</v>
      </c>
    </row>
    <row r="456" spans="1:8" ht="23" customHeight="1">
      <c r="A456" s="6">
        <v>4</v>
      </c>
      <c r="B456" s="6">
        <v>1</v>
      </c>
      <c r="C456" s="6">
        <v>115</v>
      </c>
      <c r="D456" s="6">
        <v>74</v>
      </c>
      <c r="E456" s="6">
        <v>8</v>
      </c>
      <c r="F456" s="6" t="s">
        <v>36</v>
      </c>
      <c r="G456" s="7">
        <v>672.8</v>
      </c>
      <c r="H456" s="6" t="s">
        <v>33</v>
      </c>
    </row>
    <row r="457" spans="1:8" ht="23" customHeight="1">
      <c r="A457" s="6">
        <v>4</v>
      </c>
      <c r="B457" s="6">
        <v>1</v>
      </c>
      <c r="C457" s="6">
        <v>115</v>
      </c>
      <c r="D457" s="6">
        <v>74</v>
      </c>
      <c r="E457" s="6">
        <v>9</v>
      </c>
      <c r="F457" s="6" t="s">
        <v>37</v>
      </c>
      <c r="G457" s="7">
        <v>672.8</v>
      </c>
      <c r="H457" s="6" t="s">
        <v>33</v>
      </c>
    </row>
    <row r="458" spans="1:8" ht="23" customHeight="1">
      <c r="A458" s="6">
        <v>4</v>
      </c>
      <c r="B458" s="6">
        <v>1</v>
      </c>
      <c r="C458" s="6">
        <v>115</v>
      </c>
      <c r="D458" s="6">
        <v>74</v>
      </c>
      <c r="E458" s="6">
        <v>10</v>
      </c>
      <c r="F458" s="6" t="s">
        <v>38</v>
      </c>
      <c r="G458" s="7">
        <v>104936</v>
      </c>
      <c r="H458" s="6" t="s">
        <v>27</v>
      </c>
    </row>
    <row r="459" spans="1:8" ht="23" customHeight="1">
      <c r="A459" s="6">
        <v>4</v>
      </c>
      <c r="B459" s="6">
        <v>1</v>
      </c>
      <c r="C459" s="6">
        <v>115</v>
      </c>
      <c r="D459" s="6">
        <v>74</v>
      </c>
      <c r="E459" s="6">
        <v>11</v>
      </c>
      <c r="F459" s="6" t="s">
        <v>39</v>
      </c>
      <c r="G459" s="7">
        <v>104936</v>
      </c>
      <c r="H459" s="6" t="s">
        <v>27</v>
      </c>
    </row>
    <row r="460" spans="1:8" ht="23" customHeight="1">
      <c r="A460" s="6">
        <v>4</v>
      </c>
      <c r="B460" s="6">
        <v>1</v>
      </c>
      <c r="C460" s="6">
        <v>115</v>
      </c>
      <c r="D460" s="6">
        <v>74</v>
      </c>
      <c r="E460" s="6">
        <v>12</v>
      </c>
      <c r="F460" s="6" t="s">
        <v>40</v>
      </c>
      <c r="G460" s="7">
        <v>104936</v>
      </c>
      <c r="H460" s="6" t="s">
        <v>27</v>
      </c>
    </row>
    <row r="461" spans="1:8" ht="23" customHeight="1">
      <c r="A461" s="6">
        <v>4</v>
      </c>
      <c r="B461" s="6">
        <v>1</v>
      </c>
      <c r="C461" s="6">
        <v>115</v>
      </c>
      <c r="D461" s="6">
        <v>74</v>
      </c>
      <c r="E461" s="6">
        <v>13</v>
      </c>
      <c r="F461" s="6" t="s">
        <v>41</v>
      </c>
      <c r="G461" s="7">
        <v>104936</v>
      </c>
      <c r="H461" s="6" t="s">
        <v>27</v>
      </c>
    </row>
    <row r="462" spans="1:8" ht="23" customHeight="1">
      <c r="A462" s="6">
        <v>4</v>
      </c>
      <c r="B462" s="6">
        <v>1</v>
      </c>
      <c r="C462" s="6">
        <v>116</v>
      </c>
      <c r="D462" s="6">
        <v>75</v>
      </c>
      <c r="E462" s="6">
        <v>4</v>
      </c>
      <c r="F462" s="6" t="s">
        <v>31</v>
      </c>
      <c r="G462" s="7">
        <v>104936</v>
      </c>
      <c r="H462" s="6" t="s">
        <v>27</v>
      </c>
    </row>
    <row r="463" spans="1:8" ht="23" customHeight="1">
      <c r="A463" s="6">
        <v>4</v>
      </c>
      <c r="B463" s="6">
        <v>1</v>
      </c>
      <c r="C463" s="6">
        <v>116</v>
      </c>
      <c r="D463" s="6">
        <v>75</v>
      </c>
      <c r="E463" s="6">
        <v>5</v>
      </c>
      <c r="F463" s="6" t="s">
        <v>32</v>
      </c>
      <c r="G463" s="7">
        <v>672.8</v>
      </c>
      <c r="H463" s="6" t="s">
        <v>33</v>
      </c>
    </row>
    <row r="464" spans="1:8" ht="23" customHeight="1">
      <c r="A464" s="6">
        <v>4</v>
      </c>
      <c r="B464" s="6">
        <v>1</v>
      </c>
      <c r="C464" s="6">
        <v>116</v>
      </c>
      <c r="D464" s="6">
        <v>75</v>
      </c>
      <c r="E464" s="6">
        <v>6</v>
      </c>
      <c r="F464" s="6" t="s">
        <v>34</v>
      </c>
      <c r="G464" s="7">
        <v>672.8</v>
      </c>
      <c r="H464" s="6" t="s">
        <v>33</v>
      </c>
    </row>
    <row r="465" spans="1:8" ht="23" customHeight="1">
      <c r="A465" s="6">
        <v>4</v>
      </c>
      <c r="B465" s="6">
        <v>1</v>
      </c>
      <c r="C465" s="6">
        <v>116</v>
      </c>
      <c r="D465" s="6">
        <v>75</v>
      </c>
      <c r="E465" s="6">
        <v>7</v>
      </c>
      <c r="F465" s="6" t="s">
        <v>35</v>
      </c>
      <c r="G465" s="7">
        <v>104936</v>
      </c>
      <c r="H465" s="6" t="s">
        <v>27</v>
      </c>
    </row>
    <row r="466" spans="1:8" ht="23" customHeight="1">
      <c r="A466" s="6">
        <v>4</v>
      </c>
      <c r="B466" s="6">
        <v>1</v>
      </c>
      <c r="C466" s="6">
        <v>116</v>
      </c>
      <c r="D466" s="6">
        <v>75</v>
      </c>
      <c r="E466" s="6">
        <v>8</v>
      </c>
      <c r="F466" s="6" t="s">
        <v>36</v>
      </c>
      <c r="G466" s="7">
        <v>672.8</v>
      </c>
      <c r="H466" s="6" t="s">
        <v>33</v>
      </c>
    </row>
    <row r="467" spans="1:8" ht="23" customHeight="1">
      <c r="A467" s="6">
        <v>4</v>
      </c>
      <c r="B467" s="6">
        <v>1</v>
      </c>
      <c r="C467" s="6">
        <v>116</v>
      </c>
      <c r="D467" s="6">
        <v>75</v>
      </c>
      <c r="E467" s="6">
        <v>9</v>
      </c>
      <c r="F467" s="6" t="s">
        <v>37</v>
      </c>
      <c r="G467" s="7">
        <v>672.8</v>
      </c>
      <c r="H467" s="6" t="s">
        <v>33</v>
      </c>
    </row>
    <row r="468" spans="1:8" ht="23" customHeight="1">
      <c r="A468" s="6">
        <v>4</v>
      </c>
      <c r="B468" s="6">
        <v>1</v>
      </c>
      <c r="C468" s="6">
        <v>116</v>
      </c>
      <c r="D468" s="6">
        <v>75</v>
      </c>
      <c r="E468" s="6">
        <v>10</v>
      </c>
      <c r="F468" s="6" t="s">
        <v>38</v>
      </c>
      <c r="G468" s="7">
        <v>104936</v>
      </c>
      <c r="H468" s="6" t="s">
        <v>27</v>
      </c>
    </row>
    <row r="469" spans="1:8" ht="23" customHeight="1">
      <c r="A469" s="6">
        <v>4</v>
      </c>
      <c r="B469" s="6">
        <v>1</v>
      </c>
      <c r="C469" s="6">
        <v>116</v>
      </c>
      <c r="D469" s="6">
        <v>75</v>
      </c>
      <c r="E469" s="6">
        <v>11</v>
      </c>
      <c r="F469" s="6" t="s">
        <v>39</v>
      </c>
      <c r="G469" s="7">
        <v>104936</v>
      </c>
      <c r="H469" s="6" t="s">
        <v>27</v>
      </c>
    </row>
    <row r="470" spans="1:8" ht="23" customHeight="1">
      <c r="A470" s="6">
        <v>4</v>
      </c>
      <c r="B470" s="6">
        <v>1</v>
      </c>
      <c r="C470" s="6">
        <v>116</v>
      </c>
      <c r="D470" s="6">
        <v>75</v>
      </c>
      <c r="E470" s="6">
        <v>12</v>
      </c>
      <c r="F470" s="6" t="s">
        <v>40</v>
      </c>
      <c r="G470" s="7">
        <v>104936</v>
      </c>
      <c r="H470" s="6" t="s">
        <v>27</v>
      </c>
    </row>
    <row r="471" spans="1:8" ht="23" customHeight="1">
      <c r="A471" s="6">
        <v>4</v>
      </c>
      <c r="B471" s="6">
        <v>1</v>
      </c>
      <c r="C471" s="6">
        <v>116</v>
      </c>
      <c r="D471" s="6">
        <v>75</v>
      </c>
      <c r="E471" s="6">
        <v>13</v>
      </c>
      <c r="F471" s="6" t="s">
        <v>41</v>
      </c>
      <c r="G471" s="7">
        <v>104936</v>
      </c>
      <c r="H471" s="6" t="s">
        <v>27</v>
      </c>
    </row>
    <row r="472" spans="1:8" ht="23" customHeight="1">
      <c r="A472" s="6">
        <v>4</v>
      </c>
      <c r="B472" s="6">
        <v>1</v>
      </c>
      <c r="C472" s="6">
        <v>117</v>
      </c>
      <c r="D472" s="6">
        <v>76</v>
      </c>
      <c r="E472" s="6">
        <v>4</v>
      </c>
      <c r="F472" s="6" t="s">
        <v>31</v>
      </c>
      <c r="G472" s="7">
        <v>104936</v>
      </c>
      <c r="H472" s="6" t="s">
        <v>27</v>
      </c>
    </row>
    <row r="473" spans="1:8" ht="23" customHeight="1">
      <c r="A473" s="6">
        <v>4</v>
      </c>
      <c r="B473" s="6">
        <v>1</v>
      </c>
      <c r="C473" s="6">
        <v>117</v>
      </c>
      <c r="D473" s="6">
        <v>76</v>
      </c>
      <c r="E473" s="6">
        <v>5</v>
      </c>
      <c r="F473" s="6" t="s">
        <v>32</v>
      </c>
      <c r="G473" s="7">
        <v>672.8</v>
      </c>
      <c r="H473" s="6" t="s">
        <v>33</v>
      </c>
    </row>
    <row r="474" spans="1:8" ht="23" customHeight="1">
      <c r="A474" s="6">
        <v>4</v>
      </c>
      <c r="B474" s="6">
        <v>1</v>
      </c>
      <c r="C474" s="6">
        <v>117</v>
      </c>
      <c r="D474" s="6">
        <v>76</v>
      </c>
      <c r="E474" s="6">
        <v>6</v>
      </c>
      <c r="F474" s="6" t="s">
        <v>34</v>
      </c>
      <c r="G474" s="7">
        <v>672.8</v>
      </c>
      <c r="H474" s="6" t="s">
        <v>33</v>
      </c>
    </row>
    <row r="475" spans="1:8" ht="23" customHeight="1">
      <c r="A475" s="6">
        <v>4</v>
      </c>
      <c r="B475" s="6">
        <v>1</v>
      </c>
      <c r="C475" s="6">
        <v>117</v>
      </c>
      <c r="D475" s="6">
        <v>76</v>
      </c>
      <c r="E475" s="6">
        <v>7</v>
      </c>
      <c r="F475" s="6" t="s">
        <v>35</v>
      </c>
      <c r="G475" s="7">
        <v>104936</v>
      </c>
      <c r="H475" s="6" t="s">
        <v>27</v>
      </c>
    </row>
    <row r="476" spans="1:8" ht="23" customHeight="1">
      <c r="A476" s="6">
        <v>4</v>
      </c>
      <c r="B476" s="6">
        <v>1</v>
      </c>
      <c r="C476" s="6">
        <v>117</v>
      </c>
      <c r="D476" s="6">
        <v>76</v>
      </c>
      <c r="E476" s="6">
        <v>8</v>
      </c>
      <c r="F476" s="6" t="s">
        <v>36</v>
      </c>
      <c r="G476" s="7">
        <v>672.8</v>
      </c>
      <c r="H476" s="6" t="s">
        <v>33</v>
      </c>
    </row>
    <row r="477" spans="1:8" ht="23" customHeight="1">
      <c r="A477" s="6">
        <v>4</v>
      </c>
      <c r="B477" s="6">
        <v>1</v>
      </c>
      <c r="C477" s="6">
        <v>117</v>
      </c>
      <c r="D477" s="6">
        <v>76</v>
      </c>
      <c r="E477" s="6">
        <v>9</v>
      </c>
      <c r="F477" s="6" t="s">
        <v>37</v>
      </c>
      <c r="G477" s="7">
        <v>672.8</v>
      </c>
      <c r="H477" s="6" t="s">
        <v>33</v>
      </c>
    </row>
    <row r="478" spans="1:8" ht="23" customHeight="1">
      <c r="A478" s="6">
        <v>4</v>
      </c>
      <c r="B478" s="6">
        <v>1</v>
      </c>
      <c r="C478" s="6">
        <v>117</v>
      </c>
      <c r="D478" s="6">
        <v>76</v>
      </c>
      <c r="E478" s="6">
        <v>10</v>
      </c>
      <c r="F478" s="6" t="s">
        <v>38</v>
      </c>
      <c r="G478" s="7">
        <v>104936</v>
      </c>
      <c r="H478" s="6" t="s">
        <v>27</v>
      </c>
    </row>
    <row r="479" spans="1:8" ht="23" customHeight="1">
      <c r="A479" s="6">
        <v>4</v>
      </c>
      <c r="B479" s="6">
        <v>1</v>
      </c>
      <c r="C479" s="6">
        <v>117</v>
      </c>
      <c r="D479" s="6">
        <v>76</v>
      </c>
      <c r="E479" s="6">
        <v>11</v>
      </c>
      <c r="F479" s="6" t="s">
        <v>39</v>
      </c>
      <c r="G479" s="7">
        <v>104936</v>
      </c>
      <c r="H479" s="6" t="s">
        <v>27</v>
      </c>
    </row>
    <row r="480" spans="1:8" ht="23" customHeight="1">
      <c r="A480" s="6">
        <v>4</v>
      </c>
      <c r="B480" s="6">
        <v>1</v>
      </c>
      <c r="C480" s="6">
        <v>117</v>
      </c>
      <c r="D480" s="6">
        <v>76</v>
      </c>
      <c r="E480" s="6">
        <v>12</v>
      </c>
      <c r="F480" s="6" t="s">
        <v>40</v>
      </c>
      <c r="G480" s="7">
        <v>104936</v>
      </c>
      <c r="H480" s="6" t="s">
        <v>27</v>
      </c>
    </row>
    <row r="481" spans="1:8" ht="23" customHeight="1">
      <c r="A481" s="6">
        <v>4</v>
      </c>
      <c r="B481" s="6">
        <v>1</v>
      </c>
      <c r="C481" s="6">
        <v>117</v>
      </c>
      <c r="D481" s="6">
        <v>76</v>
      </c>
      <c r="E481" s="6">
        <v>13</v>
      </c>
      <c r="F481" s="6" t="s">
        <v>41</v>
      </c>
      <c r="G481" s="7">
        <v>104936</v>
      </c>
      <c r="H481" s="6" t="s">
        <v>27</v>
      </c>
    </row>
    <row r="482" spans="1:8" ht="23" customHeight="1">
      <c r="A482" s="6">
        <v>4</v>
      </c>
      <c r="B482" s="6">
        <v>1</v>
      </c>
      <c r="C482" s="6">
        <v>118</v>
      </c>
      <c r="D482" s="6">
        <v>77</v>
      </c>
      <c r="E482" s="6">
        <v>4</v>
      </c>
      <c r="F482" s="6" t="s">
        <v>31</v>
      </c>
      <c r="G482" s="7">
        <v>104936</v>
      </c>
      <c r="H482" s="6" t="s">
        <v>27</v>
      </c>
    </row>
    <row r="483" spans="1:8" ht="23" customHeight="1">
      <c r="A483" s="6">
        <v>4</v>
      </c>
      <c r="B483" s="6">
        <v>1</v>
      </c>
      <c r="C483" s="6">
        <v>118</v>
      </c>
      <c r="D483" s="6">
        <v>77</v>
      </c>
      <c r="E483" s="6">
        <v>5</v>
      </c>
      <c r="F483" s="6" t="s">
        <v>32</v>
      </c>
      <c r="G483" s="7">
        <v>672.8</v>
      </c>
      <c r="H483" s="6" t="s">
        <v>33</v>
      </c>
    </row>
    <row r="484" spans="1:8" ht="23" customHeight="1">
      <c r="A484" s="6">
        <v>4</v>
      </c>
      <c r="B484" s="6">
        <v>1</v>
      </c>
      <c r="C484" s="6">
        <v>118</v>
      </c>
      <c r="D484" s="6">
        <v>77</v>
      </c>
      <c r="E484" s="6">
        <v>6</v>
      </c>
      <c r="F484" s="6" t="s">
        <v>34</v>
      </c>
      <c r="G484" s="7">
        <v>672.8</v>
      </c>
      <c r="H484" s="6" t="s">
        <v>33</v>
      </c>
    </row>
    <row r="485" spans="1:8" ht="23" customHeight="1">
      <c r="A485" s="6">
        <v>4</v>
      </c>
      <c r="B485" s="6">
        <v>1</v>
      </c>
      <c r="C485" s="6">
        <v>118</v>
      </c>
      <c r="D485" s="6">
        <v>77</v>
      </c>
      <c r="E485" s="6">
        <v>7</v>
      </c>
      <c r="F485" s="6" t="s">
        <v>35</v>
      </c>
      <c r="G485" s="7">
        <v>104936</v>
      </c>
      <c r="H485" s="6" t="s">
        <v>27</v>
      </c>
    </row>
    <row r="486" spans="1:8" ht="23" customHeight="1">
      <c r="A486" s="6">
        <v>4</v>
      </c>
      <c r="B486" s="6">
        <v>1</v>
      </c>
      <c r="C486" s="6">
        <v>118</v>
      </c>
      <c r="D486" s="6">
        <v>77</v>
      </c>
      <c r="E486" s="6">
        <v>8</v>
      </c>
      <c r="F486" s="6" t="s">
        <v>36</v>
      </c>
      <c r="G486" s="7">
        <v>672.8</v>
      </c>
      <c r="H486" s="6" t="s">
        <v>33</v>
      </c>
    </row>
    <row r="487" spans="1:8" ht="23" customHeight="1">
      <c r="A487" s="6">
        <v>4</v>
      </c>
      <c r="B487" s="6">
        <v>1</v>
      </c>
      <c r="C487" s="6">
        <v>118</v>
      </c>
      <c r="D487" s="6">
        <v>77</v>
      </c>
      <c r="E487" s="6">
        <v>9</v>
      </c>
      <c r="F487" s="6" t="s">
        <v>37</v>
      </c>
      <c r="G487" s="7">
        <v>672.8</v>
      </c>
      <c r="H487" s="6" t="s">
        <v>33</v>
      </c>
    </row>
    <row r="488" spans="1:8" ht="23" customHeight="1">
      <c r="A488" s="6">
        <v>4</v>
      </c>
      <c r="B488" s="6">
        <v>1</v>
      </c>
      <c r="C488" s="6">
        <v>118</v>
      </c>
      <c r="D488" s="6">
        <v>77</v>
      </c>
      <c r="E488" s="6">
        <v>10</v>
      </c>
      <c r="F488" s="6" t="s">
        <v>38</v>
      </c>
      <c r="G488" s="7">
        <v>104936</v>
      </c>
      <c r="H488" s="6" t="s">
        <v>27</v>
      </c>
    </row>
    <row r="489" spans="1:8" ht="23" customHeight="1">
      <c r="A489" s="6">
        <v>4</v>
      </c>
      <c r="B489" s="6">
        <v>1</v>
      </c>
      <c r="C489" s="6">
        <v>118</v>
      </c>
      <c r="D489" s="6">
        <v>77</v>
      </c>
      <c r="E489" s="6">
        <v>11</v>
      </c>
      <c r="F489" s="6" t="s">
        <v>39</v>
      </c>
      <c r="G489" s="7">
        <v>104936</v>
      </c>
      <c r="H489" s="6" t="s">
        <v>27</v>
      </c>
    </row>
    <row r="490" spans="1:8" ht="23" customHeight="1">
      <c r="A490" s="6">
        <v>4</v>
      </c>
      <c r="B490" s="6">
        <v>1</v>
      </c>
      <c r="C490" s="6">
        <v>118</v>
      </c>
      <c r="D490" s="6">
        <v>77</v>
      </c>
      <c r="E490" s="6">
        <v>12</v>
      </c>
      <c r="F490" s="6" t="s">
        <v>40</v>
      </c>
      <c r="G490" s="7">
        <v>104936</v>
      </c>
      <c r="H490" s="6" t="s">
        <v>27</v>
      </c>
    </row>
    <row r="491" spans="1:8" ht="23" customHeight="1">
      <c r="A491" s="6">
        <v>4</v>
      </c>
      <c r="B491" s="6">
        <v>1</v>
      </c>
      <c r="C491" s="6">
        <v>118</v>
      </c>
      <c r="D491" s="6">
        <v>77</v>
      </c>
      <c r="E491" s="6">
        <v>13</v>
      </c>
      <c r="F491" s="6" t="s">
        <v>41</v>
      </c>
      <c r="G491" s="7">
        <v>104936</v>
      </c>
      <c r="H491" s="6" t="s">
        <v>27</v>
      </c>
    </row>
    <row r="492" spans="1:8" ht="23" customHeight="1">
      <c r="A492" s="6">
        <v>4</v>
      </c>
      <c r="B492" s="6">
        <v>1</v>
      </c>
      <c r="C492" s="6">
        <v>119</v>
      </c>
      <c r="D492" s="6">
        <v>78</v>
      </c>
      <c r="E492" s="6">
        <v>4</v>
      </c>
      <c r="F492" s="6" t="s">
        <v>31</v>
      </c>
      <c r="G492" s="7">
        <v>104936</v>
      </c>
      <c r="H492" s="6" t="s">
        <v>27</v>
      </c>
    </row>
    <row r="493" spans="1:8" ht="23" customHeight="1">
      <c r="A493" s="6">
        <v>4</v>
      </c>
      <c r="B493" s="6">
        <v>1</v>
      </c>
      <c r="C493" s="6">
        <v>119</v>
      </c>
      <c r="D493" s="6">
        <v>78</v>
      </c>
      <c r="E493" s="6">
        <v>5</v>
      </c>
      <c r="F493" s="6" t="s">
        <v>32</v>
      </c>
      <c r="G493" s="7">
        <v>672.8</v>
      </c>
      <c r="H493" s="6" t="s">
        <v>33</v>
      </c>
    </row>
    <row r="494" spans="1:8" ht="23" customHeight="1">
      <c r="A494" s="6">
        <v>4</v>
      </c>
      <c r="B494" s="6">
        <v>1</v>
      </c>
      <c r="C494" s="6">
        <v>119</v>
      </c>
      <c r="D494" s="6">
        <v>78</v>
      </c>
      <c r="E494" s="6">
        <v>6</v>
      </c>
      <c r="F494" s="6" t="s">
        <v>34</v>
      </c>
      <c r="G494" s="7">
        <v>672.8</v>
      </c>
      <c r="H494" s="6" t="s">
        <v>33</v>
      </c>
    </row>
    <row r="495" spans="1:8" ht="23" customHeight="1">
      <c r="A495" s="6">
        <v>4</v>
      </c>
      <c r="B495" s="6">
        <v>1</v>
      </c>
      <c r="C495" s="6">
        <v>119</v>
      </c>
      <c r="D495" s="6">
        <v>78</v>
      </c>
      <c r="E495" s="6">
        <v>7</v>
      </c>
      <c r="F495" s="6" t="s">
        <v>35</v>
      </c>
      <c r="G495" s="7">
        <v>104936</v>
      </c>
      <c r="H495" s="6" t="s">
        <v>27</v>
      </c>
    </row>
    <row r="496" spans="1:8" ht="23" customHeight="1">
      <c r="A496" s="6">
        <v>4</v>
      </c>
      <c r="B496" s="6">
        <v>1</v>
      </c>
      <c r="C496" s="6">
        <v>119</v>
      </c>
      <c r="D496" s="6">
        <v>78</v>
      </c>
      <c r="E496" s="6">
        <v>8</v>
      </c>
      <c r="F496" s="6" t="s">
        <v>36</v>
      </c>
      <c r="G496" s="7">
        <v>672.8</v>
      </c>
      <c r="H496" s="6" t="s">
        <v>33</v>
      </c>
    </row>
    <row r="497" spans="1:8" ht="23" customHeight="1">
      <c r="A497" s="6">
        <v>4</v>
      </c>
      <c r="B497" s="6">
        <v>1</v>
      </c>
      <c r="C497" s="6">
        <v>119</v>
      </c>
      <c r="D497" s="6">
        <v>78</v>
      </c>
      <c r="E497" s="6">
        <v>9</v>
      </c>
      <c r="F497" s="6" t="s">
        <v>37</v>
      </c>
      <c r="G497" s="7">
        <v>672.8</v>
      </c>
      <c r="H497" s="6" t="s">
        <v>33</v>
      </c>
    </row>
    <row r="498" spans="1:8" ht="23" customHeight="1">
      <c r="A498" s="6">
        <v>4</v>
      </c>
      <c r="B498" s="6">
        <v>1</v>
      </c>
      <c r="C498" s="6">
        <v>119</v>
      </c>
      <c r="D498" s="6">
        <v>78</v>
      </c>
      <c r="E498" s="6">
        <v>10</v>
      </c>
      <c r="F498" s="6" t="s">
        <v>38</v>
      </c>
      <c r="G498" s="7">
        <v>104936</v>
      </c>
      <c r="H498" s="6" t="s">
        <v>27</v>
      </c>
    </row>
    <row r="499" spans="1:8" ht="23" customHeight="1">
      <c r="A499" s="6">
        <v>4</v>
      </c>
      <c r="B499" s="6">
        <v>1</v>
      </c>
      <c r="C499" s="6">
        <v>119</v>
      </c>
      <c r="D499" s="6">
        <v>78</v>
      </c>
      <c r="E499" s="6">
        <v>11</v>
      </c>
      <c r="F499" s="6" t="s">
        <v>39</v>
      </c>
      <c r="G499" s="7">
        <v>104936</v>
      </c>
      <c r="H499" s="6" t="s">
        <v>27</v>
      </c>
    </row>
    <row r="500" spans="1:8" ht="23" customHeight="1">
      <c r="A500" s="6">
        <v>4</v>
      </c>
      <c r="B500" s="6">
        <v>1</v>
      </c>
      <c r="C500" s="6">
        <v>119</v>
      </c>
      <c r="D500" s="6">
        <v>78</v>
      </c>
      <c r="E500" s="6">
        <v>12</v>
      </c>
      <c r="F500" s="6" t="s">
        <v>40</v>
      </c>
      <c r="G500" s="7">
        <v>104936</v>
      </c>
      <c r="H500" s="6" t="s">
        <v>27</v>
      </c>
    </row>
    <row r="501" spans="1:8" ht="23" customHeight="1">
      <c r="A501" s="6">
        <v>4</v>
      </c>
      <c r="B501" s="6">
        <v>1</v>
      </c>
      <c r="C501" s="6">
        <v>119</v>
      </c>
      <c r="D501" s="6">
        <v>78</v>
      </c>
      <c r="E501" s="6">
        <v>13</v>
      </c>
      <c r="F501" s="6" t="s">
        <v>41</v>
      </c>
      <c r="G501" s="7">
        <v>104936</v>
      </c>
      <c r="H501" s="6" t="s">
        <v>27</v>
      </c>
    </row>
    <row r="502" spans="1:8" ht="23" customHeight="1">
      <c r="A502" s="6">
        <v>4</v>
      </c>
      <c r="B502" s="6">
        <v>1</v>
      </c>
      <c r="C502" s="6">
        <v>120</v>
      </c>
      <c r="D502" s="6">
        <v>79</v>
      </c>
      <c r="E502" s="6">
        <v>4</v>
      </c>
      <c r="F502" s="6" t="s">
        <v>31</v>
      </c>
      <c r="G502" s="7">
        <v>104936</v>
      </c>
      <c r="H502" s="6" t="s">
        <v>27</v>
      </c>
    </row>
    <row r="503" spans="1:8" ht="23" customHeight="1">
      <c r="A503" s="6">
        <v>4</v>
      </c>
      <c r="B503" s="6">
        <v>1</v>
      </c>
      <c r="C503" s="6">
        <v>120</v>
      </c>
      <c r="D503" s="6">
        <v>79</v>
      </c>
      <c r="E503" s="6">
        <v>5</v>
      </c>
      <c r="F503" s="6" t="s">
        <v>32</v>
      </c>
      <c r="G503" s="7">
        <v>672.8</v>
      </c>
      <c r="H503" s="6" t="s">
        <v>33</v>
      </c>
    </row>
    <row r="504" spans="1:8" ht="23" customHeight="1">
      <c r="A504" s="6">
        <v>4</v>
      </c>
      <c r="B504" s="6">
        <v>1</v>
      </c>
      <c r="C504" s="6">
        <v>120</v>
      </c>
      <c r="D504" s="6">
        <v>79</v>
      </c>
      <c r="E504" s="6">
        <v>6</v>
      </c>
      <c r="F504" s="6" t="s">
        <v>34</v>
      </c>
      <c r="G504" s="7">
        <v>672.8</v>
      </c>
      <c r="H504" s="6" t="s">
        <v>33</v>
      </c>
    </row>
    <row r="505" spans="1:8" ht="23" customHeight="1">
      <c r="A505" s="6">
        <v>4</v>
      </c>
      <c r="B505" s="6">
        <v>1</v>
      </c>
      <c r="C505" s="6">
        <v>120</v>
      </c>
      <c r="D505" s="6">
        <v>79</v>
      </c>
      <c r="E505" s="6">
        <v>7</v>
      </c>
      <c r="F505" s="6" t="s">
        <v>35</v>
      </c>
      <c r="G505" s="7">
        <v>104936</v>
      </c>
      <c r="H505" s="6" t="s">
        <v>27</v>
      </c>
    </row>
    <row r="506" spans="1:8" ht="23" customHeight="1">
      <c r="A506" s="6">
        <v>4</v>
      </c>
      <c r="B506" s="6">
        <v>1</v>
      </c>
      <c r="C506" s="6">
        <v>120</v>
      </c>
      <c r="D506" s="6">
        <v>79</v>
      </c>
      <c r="E506" s="6">
        <v>8</v>
      </c>
      <c r="F506" s="6" t="s">
        <v>36</v>
      </c>
      <c r="G506" s="7">
        <v>672.8</v>
      </c>
      <c r="H506" s="6" t="s">
        <v>33</v>
      </c>
    </row>
    <row r="507" spans="1:8" ht="23" customHeight="1">
      <c r="A507" s="6">
        <v>4</v>
      </c>
      <c r="B507" s="6">
        <v>1</v>
      </c>
      <c r="C507" s="6">
        <v>120</v>
      </c>
      <c r="D507" s="6">
        <v>79</v>
      </c>
      <c r="E507" s="6">
        <v>9</v>
      </c>
      <c r="F507" s="6" t="s">
        <v>37</v>
      </c>
      <c r="G507" s="7">
        <v>672.8</v>
      </c>
      <c r="H507" s="6" t="s">
        <v>33</v>
      </c>
    </row>
    <row r="508" spans="1:8" ht="23" customHeight="1">
      <c r="A508" s="6">
        <v>4</v>
      </c>
      <c r="B508" s="6">
        <v>1</v>
      </c>
      <c r="C508" s="6">
        <v>120</v>
      </c>
      <c r="D508" s="6">
        <v>79</v>
      </c>
      <c r="E508" s="6">
        <v>10</v>
      </c>
      <c r="F508" s="6" t="s">
        <v>38</v>
      </c>
      <c r="G508" s="7">
        <v>104936</v>
      </c>
      <c r="H508" s="6" t="s">
        <v>27</v>
      </c>
    </row>
    <row r="509" spans="1:8" ht="23" customHeight="1">
      <c r="A509" s="6">
        <v>4</v>
      </c>
      <c r="B509" s="6">
        <v>1</v>
      </c>
      <c r="C509" s="6">
        <v>120</v>
      </c>
      <c r="D509" s="6">
        <v>79</v>
      </c>
      <c r="E509" s="6">
        <v>11</v>
      </c>
      <c r="F509" s="6" t="s">
        <v>39</v>
      </c>
      <c r="G509" s="7">
        <v>104936</v>
      </c>
      <c r="H509" s="6" t="s">
        <v>27</v>
      </c>
    </row>
    <row r="510" spans="1:8" ht="23" customHeight="1">
      <c r="A510" s="6">
        <v>4</v>
      </c>
      <c r="B510" s="6">
        <v>1</v>
      </c>
      <c r="C510" s="6">
        <v>120</v>
      </c>
      <c r="D510" s="6">
        <v>79</v>
      </c>
      <c r="E510" s="6">
        <v>12</v>
      </c>
      <c r="F510" s="6" t="s">
        <v>40</v>
      </c>
      <c r="G510" s="7">
        <v>104936</v>
      </c>
      <c r="H510" s="6" t="s">
        <v>27</v>
      </c>
    </row>
    <row r="511" spans="1:8" ht="23" customHeight="1">
      <c r="A511" s="6">
        <v>4</v>
      </c>
      <c r="B511" s="6">
        <v>1</v>
      </c>
      <c r="C511" s="6">
        <v>120</v>
      </c>
      <c r="D511" s="6">
        <v>79</v>
      </c>
      <c r="E511" s="6">
        <v>13</v>
      </c>
      <c r="F511" s="6" t="s">
        <v>41</v>
      </c>
      <c r="G511" s="7">
        <v>104936</v>
      </c>
      <c r="H511" s="6" t="s">
        <v>27</v>
      </c>
    </row>
    <row r="512" spans="1:8" ht="23" customHeight="1">
      <c r="A512" s="6">
        <v>4</v>
      </c>
      <c r="B512" s="6">
        <v>1</v>
      </c>
      <c r="C512" s="6">
        <v>121</v>
      </c>
      <c r="D512" s="6">
        <v>80</v>
      </c>
      <c r="E512" s="6">
        <v>4</v>
      </c>
      <c r="F512" s="6" t="s">
        <v>31</v>
      </c>
      <c r="G512" s="7">
        <v>36324</v>
      </c>
      <c r="H512" s="6" t="s">
        <v>27</v>
      </c>
    </row>
    <row r="513" spans="1:8" ht="23" customHeight="1">
      <c r="A513" s="6">
        <v>4</v>
      </c>
      <c r="B513" s="6">
        <v>1</v>
      </c>
      <c r="C513" s="6">
        <v>121</v>
      </c>
      <c r="D513" s="6">
        <v>80</v>
      </c>
      <c r="E513" s="6">
        <v>5</v>
      </c>
      <c r="F513" s="6" t="s">
        <v>32</v>
      </c>
      <c r="G513" s="7">
        <v>232.9</v>
      </c>
      <c r="H513" s="6" t="s">
        <v>33</v>
      </c>
    </row>
    <row r="514" spans="1:8" ht="23" customHeight="1">
      <c r="A514" s="6">
        <v>4</v>
      </c>
      <c r="B514" s="6">
        <v>1</v>
      </c>
      <c r="C514" s="6">
        <v>121</v>
      </c>
      <c r="D514" s="6">
        <v>80</v>
      </c>
      <c r="E514" s="6">
        <v>6</v>
      </c>
      <c r="F514" s="6" t="s">
        <v>34</v>
      </c>
      <c r="G514" s="7">
        <v>232.9</v>
      </c>
      <c r="H514" s="6" t="s">
        <v>33</v>
      </c>
    </row>
    <row r="515" spans="1:8" ht="23" customHeight="1">
      <c r="A515" s="6">
        <v>4</v>
      </c>
      <c r="B515" s="6">
        <v>1</v>
      </c>
      <c r="C515" s="6">
        <v>121</v>
      </c>
      <c r="D515" s="6">
        <v>80</v>
      </c>
      <c r="E515" s="6">
        <v>7</v>
      </c>
      <c r="F515" s="6" t="s">
        <v>35</v>
      </c>
      <c r="G515" s="7">
        <v>36324</v>
      </c>
      <c r="H515" s="6" t="s">
        <v>27</v>
      </c>
    </row>
    <row r="516" spans="1:8" ht="23" customHeight="1">
      <c r="A516" s="6">
        <v>4</v>
      </c>
      <c r="B516" s="6">
        <v>1</v>
      </c>
      <c r="C516" s="6">
        <v>121</v>
      </c>
      <c r="D516" s="6">
        <v>80</v>
      </c>
      <c r="E516" s="6">
        <v>8</v>
      </c>
      <c r="F516" s="6" t="s">
        <v>36</v>
      </c>
      <c r="G516" s="7">
        <v>232.9</v>
      </c>
      <c r="H516" s="6" t="s">
        <v>33</v>
      </c>
    </row>
    <row r="517" spans="1:8" ht="23" customHeight="1">
      <c r="A517" s="6">
        <v>4</v>
      </c>
      <c r="B517" s="6">
        <v>1</v>
      </c>
      <c r="C517" s="6">
        <v>121</v>
      </c>
      <c r="D517" s="6">
        <v>80</v>
      </c>
      <c r="E517" s="6">
        <v>9</v>
      </c>
      <c r="F517" s="6" t="s">
        <v>37</v>
      </c>
      <c r="G517" s="7">
        <v>232.9</v>
      </c>
      <c r="H517" s="6" t="s">
        <v>33</v>
      </c>
    </row>
    <row r="518" spans="1:8" ht="23" customHeight="1">
      <c r="A518" s="6">
        <v>4</v>
      </c>
      <c r="B518" s="6">
        <v>1</v>
      </c>
      <c r="C518" s="6">
        <v>121</v>
      </c>
      <c r="D518" s="6">
        <v>80</v>
      </c>
      <c r="E518" s="6">
        <v>10</v>
      </c>
      <c r="F518" s="6" t="s">
        <v>38</v>
      </c>
      <c r="G518" s="7">
        <v>36324</v>
      </c>
      <c r="H518" s="6" t="s">
        <v>27</v>
      </c>
    </row>
    <row r="519" spans="1:8" ht="23" customHeight="1">
      <c r="A519" s="6">
        <v>4</v>
      </c>
      <c r="B519" s="6">
        <v>1</v>
      </c>
      <c r="C519" s="6">
        <v>121</v>
      </c>
      <c r="D519" s="6">
        <v>80</v>
      </c>
      <c r="E519" s="6">
        <v>11</v>
      </c>
      <c r="F519" s="6" t="s">
        <v>39</v>
      </c>
      <c r="G519" s="7">
        <v>36324</v>
      </c>
      <c r="H519" s="6" t="s">
        <v>27</v>
      </c>
    </row>
    <row r="520" spans="1:8" ht="23" customHeight="1">
      <c r="A520" s="6">
        <v>4</v>
      </c>
      <c r="B520" s="6">
        <v>1</v>
      </c>
      <c r="C520" s="6">
        <v>121</v>
      </c>
      <c r="D520" s="6">
        <v>80</v>
      </c>
      <c r="E520" s="6">
        <v>12</v>
      </c>
      <c r="F520" s="6" t="s">
        <v>40</v>
      </c>
      <c r="G520" s="7">
        <v>36324</v>
      </c>
      <c r="H520" s="6" t="s">
        <v>27</v>
      </c>
    </row>
    <row r="521" spans="1:8" ht="23" customHeight="1">
      <c r="A521" s="6">
        <v>4</v>
      </c>
      <c r="B521" s="6">
        <v>1</v>
      </c>
      <c r="C521" s="6">
        <v>121</v>
      </c>
      <c r="D521" s="6">
        <v>80</v>
      </c>
      <c r="E521" s="6">
        <v>13</v>
      </c>
      <c r="F521" s="6" t="s">
        <v>41</v>
      </c>
      <c r="G521" s="7">
        <v>36324</v>
      </c>
      <c r="H521" s="6" t="s">
        <v>27</v>
      </c>
    </row>
    <row r="522" spans="1:8" ht="23" customHeight="1">
      <c r="A522" s="6">
        <v>5</v>
      </c>
      <c r="B522" s="6">
        <v>2</v>
      </c>
      <c r="C522" s="6">
        <v>127</v>
      </c>
      <c r="D522" s="6">
        <v>81</v>
      </c>
      <c r="E522" s="6">
        <v>4</v>
      </c>
      <c r="F522" s="6" t="s">
        <v>31</v>
      </c>
      <c r="G522" s="7">
        <v>34419</v>
      </c>
      <c r="H522" s="6" t="s">
        <v>27</v>
      </c>
    </row>
    <row r="523" spans="1:8" ht="23" customHeight="1">
      <c r="A523" s="6">
        <v>5</v>
      </c>
      <c r="B523" s="6">
        <v>2</v>
      </c>
      <c r="C523" s="6">
        <v>127</v>
      </c>
      <c r="D523" s="6">
        <v>81</v>
      </c>
      <c r="E523" s="6">
        <v>5</v>
      </c>
      <c r="F523" s="6" t="s">
        <v>32</v>
      </c>
      <c r="G523" s="7">
        <v>289.1</v>
      </c>
      <c r="H523" s="6" t="s">
        <v>33</v>
      </c>
    </row>
    <row r="524" spans="1:8" ht="23" customHeight="1">
      <c r="A524" s="6">
        <v>5</v>
      </c>
      <c r="B524" s="6">
        <v>2</v>
      </c>
      <c r="C524" s="6">
        <v>127</v>
      </c>
      <c r="D524" s="6">
        <v>81</v>
      </c>
      <c r="E524" s="6">
        <v>6</v>
      </c>
      <c r="F524" s="6" t="s">
        <v>34</v>
      </c>
      <c r="G524" s="7">
        <v>289.1</v>
      </c>
      <c r="H524" s="6" t="s">
        <v>33</v>
      </c>
    </row>
    <row r="525" spans="1:8" ht="23" customHeight="1">
      <c r="A525" s="6">
        <v>5</v>
      </c>
      <c r="B525" s="6">
        <v>2</v>
      </c>
      <c r="C525" s="6">
        <v>127</v>
      </c>
      <c r="D525" s="6">
        <v>81</v>
      </c>
      <c r="E525" s="6">
        <v>7</v>
      </c>
      <c r="F525" s="6" t="s">
        <v>35</v>
      </c>
      <c r="G525" s="7">
        <v>34419</v>
      </c>
      <c r="H525" s="6" t="s">
        <v>27</v>
      </c>
    </row>
    <row r="526" spans="1:8" ht="23" customHeight="1">
      <c r="A526" s="6">
        <v>5</v>
      </c>
      <c r="B526" s="6">
        <v>2</v>
      </c>
      <c r="C526" s="6">
        <v>127</v>
      </c>
      <c r="D526" s="6">
        <v>81</v>
      </c>
      <c r="E526" s="6">
        <v>8</v>
      </c>
      <c r="F526" s="6" t="s">
        <v>36</v>
      </c>
      <c r="G526" s="7">
        <v>289.1</v>
      </c>
      <c r="H526" s="6" t="s">
        <v>33</v>
      </c>
    </row>
    <row r="527" spans="1:8" ht="23" customHeight="1">
      <c r="A527" s="6">
        <v>5</v>
      </c>
      <c r="B527" s="6">
        <v>2</v>
      </c>
      <c r="C527" s="6">
        <v>127</v>
      </c>
      <c r="D527" s="6">
        <v>81</v>
      </c>
      <c r="E527" s="6">
        <v>9</v>
      </c>
      <c r="F527" s="6" t="s">
        <v>37</v>
      </c>
      <c r="G527" s="7">
        <v>289.1</v>
      </c>
      <c r="H527" s="6" t="s">
        <v>33</v>
      </c>
    </row>
    <row r="528" spans="1:8" ht="23" customHeight="1">
      <c r="A528" s="6">
        <v>5</v>
      </c>
      <c r="B528" s="6">
        <v>2</v>
      </c>
      <c r="C528" s="6">
        <v>127</v>
      </c>
      <c r="D528" s="6">
        <v>81</v>
      </c>
      <c r="E528" s="6">
        <v>10</v>
      </c>
      <c r="F528" s="6" t="s">
        <v>38</v>
      </c>
      <c r="G528" s="7">
        <v>34419</v>
      </c>
      <c r="H528" s="6" t="s">
        <v>27</v>
      </c>
    </row>
    <row r="529" spans="1:8" ht="23" customHeight="1">
      <c r="A529" s="6">
        <v>5</v>
      </c>
      <c r="B529" s="6">
        <v>2</v>
      </c>
      <c r="C529" s="6">
        <v>127</v>
      </c>
      <c r="D529" s="6">
        <v>81</v>
      </c>
      <c r="E529" s="6">
        <v>11</v>
      </c>
      <c r="F529" s="6" t="s">
        <v>39</v>
      </c>
      <c r="G529" s="7">
        <v>34419</v>
      </c>
      <c r="H529" s="6" t="s">
        <v>27</v>
      </c>
    </row>
    <row r="530" spans="1:8" ht="23" customHeight="1">
      <c r="A530" s="6">
        <v>5</v>
      </c>
      <c r="B530" s="6">
        <v>2</v>
      </c>
      <c r="C530" s="6">
        <v>127</v>
      </c>
      <c r="D530" s="6">
        <v>81</v>
      </c>
      <c r="E530" s="6">
        <v>12</v>
      </c>
      <c r="F530" s="6" t="s">
        <v>40</v>
      </c>
      <c r="G530" s="7">
        <v>34419</v>
      </c>
      <c r="H530" s="6" t="s">
        <v>27</v>
      </c>
    </row>
    <row r="531" spans="1:8" ht="23" customHeight="1">
      <c r="A531" s="6">
        <v>5</v>
      </c>
      <c r="B531" s="6">
        <v>2</v>
      </c>
      <c r="C531" s="6">
        <v>127</v>
      </c>
      <c r="D531" s="6">
        <v>81</v>
      </c>
      <c r="E531" s="6">
        <v>13</v>
      </c>
      <c r="F531" s="6" t="s">
        <v>41</v>
      </c>
      <c r="G531" s="7">
        <v>34419</v>
      </c>
      <c r="H531" s="6" t="s">
        <v>27</v>
      </c>
    </row>
    <row r="532" spans="1:8" ht="23" customHeight="1">
      <c r="A532" s="6">
        <v>5</v>
      </c>
      <c r="B532" s="6">
        <v>2</v>
      </c>
      <c r="C532" s="6">
        <v>128</v>
      </c>
      <c r="D532" s="6">
        <v>82</v>
      </c>
      <c r="E532" s="6">
        <v>4</v>
      </c>
      <c r="F532" s="6" t="s">
        <v>31</v>
      </c>
      <c r="G532" s="7">
        <v>97084</v>
      </c>
      <c r="H532" s="6" t="s">
        <v>27</v>
      </c>
    </row>
    <row r="533" spans="1:8" ht="23" customHeight="1">
      <c r="A533" s="6">
        <v>5</v>
      </c>
      <c r="B533" s="6">
        <v>2</v>
      </c>
      <c r="C533" s="6">
        <v>128</v>
      </c>
      <c r="D533" s="6">
        <v>82</v>
      </c>
      <c r="E533" s="6">
        <v>5</v>
      </c>
      <c r="F533" s="6" t="s">
        <v>32</v>
      </c>
      <c r="G533" s="7">
        <v>1223.3</v>
      </c>
      <c r="H533" s="6" t="s">
        <v>33</v>
      </c>
    </row>
    <row r="534" spans="1:8" ht="23" customHeight="1">
      <c r="A534" s="6">
        <v>5</v>
      </c>
      <c r="B534" s="6">
        <v>2</v>
      </c>
      <c r="C534" s="6">
        <v>128</v>
      </c>
      <c r="D534" s="6">
        <v>82</v>
      </c>
      <c r="E534" s="6">
        <v>6</v>
      </c>
      <c r="F534" s="6" t="s">
        <v>34</v>
      </c>
      <c r="G534" s="7">
        <v>1223.3</v>
      </c>
      <c r="H534" s="6" t="s">
        <v>33</v>
      </c>
    </row>
    <row r="535" spans="1:8" ht="23" customHeight="1">
      <c r="A535" s="6">
        <v>5</v>
      </c>
      <c r="B535" s="6">
        <v>2</v>
      </c>
      <c r="C535" s="6">
        <v>128</v>
      </c>
      <c r="D535" s="6">
        <v>82</v>
      </c>
      <c r="E535" s="6">
        <v>7</v>
      </c>
      <c r="F535" s="6" t="s">
        <v>35</v>
      </c>
      <c r="G535" s="7">
        <v>97084</v>
      </c>
      <c r="H535" s="6" t="s">
        <v>27</v>
      </c>
    </row>
    <row r="536" spans="1:8" ht="23" customHeight="1">
      <c r="A536" s="6">
        <v>5</v>
      </c>
      <c r="B536" s="6">
        <v>2</v>
      </c>
      <c r="C536" s="6">
        <v>128</v>
      </c>
      <c r="D536" s="6">
        <v>82</v>
      </c>
      <c r="E536" s="6">
        <v>8</v>
      </c>
      <c r="F536" s="6" t="s">
        <v>36</v>
      </c>
      <c r="G536" s="7">
        <v>1223.3</v>
      </c>
      <c r="H536" s="6" t="s">
        <v>33</v>
      </c>
    </row>
    <row r="537" spans="1:8" ht="23" customHeight="1">
      <c r="A537" s="6">
        <v>5</v>
      </c>
      <c r="B537" s="6">
        <v>2</v>
      </c>
      <c r="C537" s="6">
        <v>128</v>
      </c>
      <c r="D537" s="6">
        <v>82</v>
      </c>
      <c r="E537" s="6">
        <v>9</v>
      </c>
      <c r="F537" s="6" t="s">
        <v>37</v>
      </c>
      <c r="G537" s="7">
        <v>1223.3</v>
      </c>
      <c r="H537" s="6" t="s">
        <v>33</v>
      </c>
    </row>
    <row r="538" spans="1:8" ht="23" customHeight="1">
      <c r="A538" s="6">
        <v>5</v>
      </c>
      <c r="B538" s="6">
        <v>2</v>
      </c>
      <c r="C538" s="6">
        <v>128</v>
      </c>
      <c r="D538" s="6">
        <v>82</v>
      </c>
      <c r="E538" s="6">
        <v>10</v>
      </c>
      <c r="F538" s="6" t="s">
        <v>38</v>
      </c>
      <c r="G538" s="7">
        <v>97084</v>
      </c>
      <c r="H538" s="6" t="s">
        <v>27</v>
      </c>
    </row>
    <row r="539" spans="1:8" ht="23" customHeight="1">
      <c r="A539" s="6">
        <v>5</v>
      </c>
      <c r="B539" s="6">
        <v>2</v>
      </c>
      <c r="C539" s="6">
        <v>128</v>
      </c>
      <c r="D539" s="6">
        <v>82</v>
      </c>
      <c r="E539" s="6">
        <v>11</v>
      </c>
      <c r="F539" s="6" t="s">
        <v>39</v>
      </c>
      <c r="G539" s="7">
        <v>97084</v>
      </c>
      <c r="H539" s="6" t="s">
        <v>27</v>
      </c>
    </row>
    <row r="540" spans="1:8" ht="23" customHeight="1">
      <c r="A540" s="6">
        <v>5</v>
      </c>
      <c r="B540" s="6">
        <v>2</v>
      </c>
      <c r="C540" s="6">
        <v>128</v>
      </c>
      <c r="D540" s="6">
        <v>82</v>
      </c>
      <c r="E540" s="6">
        <v>12</v>
      </c>
      <c r="F540" s="6" t="s">
        <v>40</v>
      </c>
      <c r="G540" s="7">
        <v>97084</v>
      </c>
      <c r="H540" s="6" t="s">
        <v>27</v>
      </c>
    </row>
    <row r="541" spans="1:8" ht="23" customHeight="1">
      <c r="A541" s="6">
        <v>5</v>
      </c>
      <c r="B541" s="6">
        <v>2</v>
      </c>
      <c r="C541" s="6">
        <v>128</v>
      </c>
      <c r="D541" s="6">
        <v>82</v>
      </c>
      <c r="E541" s="6">
        <v>13</v>
      </c>
      <c r="F541" s="6" t="s">
        <v>41</v>
      </c>
      <c r="G541" s="7">
        <v>97084</v>
      </c>
      <c r="H541" s="6" t="s">
        <v>27</v>
      </c>
    </row>
    <row r="542" spans="1:8" ht="23" customHeight="1">
      <c r="A542" s="6">
        <v>5</v>
      </c>
      <c r="B542" s="6">
        <v>2</v>
      </c>
      <c r="C542" s="6">
        <v>129</v>
      </c>
      <c r="D542" s="6">
        <v>83</v>
      </c>
      <c r="E542" s="6">
        <v>4</v>
      </c>
      <c r="F542" s="6" t="s">
        <v>31</v>
      </c>
      <c r="G542" s="7">
        <v>103756</v>
      </c>
      <c r="H542" s="6" t="s">
        <v>27</v>
      </c>
    </row>
    <row r="543" spans="1:8" ht="23" customHeight="1">
      <c r="A543" s="6">
        <v>5</v>
      </c>
      <c r="B543" s="6">
        <v>2</v>
      </c>
      <c r="C543" s="6">
        <v>129</v>
      </c>
      <c r="D543" s="6">
        <v>83</v>
      </c>
      <c r="E543" s="6">
        <v>5</v>
      </c>
      <c r="F543" s="6" t="s">
        <v>32</v>
      </c>
      <c r="G543" s="7">
        <v>1196.2</v>
      </c>
      <c r="H543" s="6" t="s">
        <v>33</v>
      </c>
    </row>
    <row r="544" spans="1:8" ht="23" customHeight="1">
      <c r="A544" s="6">
        <v>5</v>
      </c>
      <c r="B544" s="6">
        <v>2</v>
      </c>
      <c r="C544" s="6">
        <v>129</v>
      </c>
      <c r="D544" s="6">
        <v>83</v>
      </c>
      <c r="E544" s="6">
        <v>6</v>
      </c>
      <c r="F544" s="6" t="s">
        <v>34</v>
      </c>
      <c r="G544" s="7">
        <v>1196.2</v>
      </c>
      <c r="H544" s="6" t="s">
        <v>33</v>
      </c>
    </row>
    <row r="545" spans="1:8" ht="23" customHeight="1">
      <c r="A545" s="6">
        <v>5</v>
      </c>
      <c r="B545" s="6">
        <v>2</v>
      </c>
      <c r="C545" s="6">
        <v>129</v>
      </c>
      <c r="D545" s="6">
        <v>83</v>
      </c>
      <c r="E545" s="6">
        <v>7</v>
      </c>
      <c r="F545" s="6" t="s">
        <v>35</v>
      </c>
      <c r="G545" s="7">
        <v>103756</v>
      </c>
      <c r="H545" s="6" t="s">
        <v>27</v>
      </c>
    </row>
    <row r="546" spans="1:8" ht="23" customHeight="1">
      <c r="A546" s="6">
        <v>5</v>
      </c>
      <c r="B546" s="6">
        <v>2</v>
      </c>
      <c r="C546" s="6">
        <v>129</v>
      </c>
      <c r="D546" s="6">
        <v>83</v>
      </c>
      <c r="E546" s="6">
        <v>8</v>
      </c>
      <c r="F546" s="6" t="s">
        <v>36</v>
      </c>
      <c r="G546" s="7">
        <v>1196.2</v>
      </c>
      <c r="H546" s="6" t="s">
        <v>33</v>
      </c>
    </row>
    <row r="547" spans="1:8" ht="23" customHeight="1">
      <c r="A547" s="6">
        <v>5</v>
      </c>
      <c r="B547" s="6">
        <v>2</v>
      </c>
      <c r="C547" s="6">
        <v>129</v>
      </c>
      <c r="D547" s="6">
        <v>83</v>
      </c>
      <c r="E547" s="6">
        <v>9</v>
      </c>
      <c r="F547" s="6" t="s">
        <v>37</v>
      </c>
      <c r="G547" s="7">
        <v>1196.2</v>
      </c>
      <c r="H547" s="6" t="s">
        <v>33</v>
      </c>
    </row>
    <row r="548" spans="1:8" ht="23" customHeight="1">
      <c r="A548" s="6">
        <v>5</v>
      </c>
      <c r="B548" s="6">
        <v>2</v>
      </c>
      <c r="C548" s="6">
        <v>129</v>
      </c>
      <c r="D548" s="6">
        <v>83</v>
      </c>
      <c r="E548" s="6">
        <v>10</v>
      </c>
      <c r="F548" s="6" t="s">
        <v>38</v>
      </c>
      <c r="G548" s="7">
        <v>103756</v>
      </c>
      <c r="H548" s="6" t="s">
        <v>27</v>
      </c>
    </row>
    <row r="549" spans="1:8" ht="23" customHeight="1">
      <c r="A549" s="6">
        <v>5</v>
      </c>
      <c r="B549" s="6">
        <v>2</v>
      </c>
      <c r="C549" s="6">
        <v>129</v>
      </c>
      <c r="D549" s="6">
        <v>83</v>
      </c>
      <c r="E549" s="6">
        <v>11</v>
      </c>
      <c r="F549" s="6" t="s">
        <v>39</v>
      </c>
      <c r="G549" s="7">
        <v>103756</v>
      </c>
      <c r="H549" s="6" t="s">
        <v>27</v>
      </c>
    </row>
    <row r="550" spans="1:8" ht="23" customHeight="1">
      <c r="A550" s="6">
        <v>5</v>
      </c>
      <c r="B550" s="6">
        <v>2</v>
      </c>
      <c r="C550" s="6">
        <v>129</v>
      </c>
      <c r="D550" s="6">
        <v>83</v>
      </c>
      <c r="E550" s="6">
        <v>12</v>
      </c>
      <c r="F550" s="6" t="s">
        <v>40</v>
      </c>
      <c r="G550" s="7">
        <v>103756</v>
      </c>
      <c r="H550" s="6" t="s">
        <v>27</v>
      </c>
    </row>
    <row r="551" spans="1:8" ht="23" customHeight="1">
      <c r="A551" s="6">
        <v>5</v>
      </c>
      <c r="B551" s="6">
        <v>2</v>
      </c>
      <c r="C551" s="6">
        <v>129</v>
      </c>
      <c r="D551" s="6">
        <v>83</v>
      </c>
      <c r="E551" s="6">
        <v>13</v>
      </c>
      <c r="F551" s="6" t="s">
        <v>41</v>
      </c>
      <c r="G551" s="7">
        <v>103756</v>
      </c>
      <c r="H551" s="6" t="s">
        <v>27</v>
      </c>
    </row>
    <row r="552" spans="1:8" ht="23" customHeight="1">
      <c r="A552" s="6">
        <v>5</v>
      </c>
      <c r="B552" s="6">
        <v>2</v>
      </c>
      <c r="C552" s="6">
        <v>130</v>
      </c>
      <c r="D552" s="6">
        <v>84</v>
      </c>
      <c r="E552" s="6">
        <v>4</v>
      </c>
      <c r="F552" s="6" t="s">
        <v>31</v>
      </c>
      <c r="G552" s="7">
        <v>148838</v>
      </c>
      <c r="H552" s="6" t="s">
        <v>27</v>
      </c>
    </row>
    <row r="553" spans="1:8" ht="23" customHeight="1">
      <c r="A553" s="6">
        <v>5</v>
      </c>
      <c r="B553" s="6">
        <v>2</v>
      </c>
      <c r="C553" s="6">
        <v>130</v>
      </c>
      <c r="D553" s="6">
        <v>84</v>
      </c>
      <c r="E553" s="6">
        <v>5</v>
      </c>
      <c r="F553" s="6" t="s">
        <v>32</v>
      </c>
      <c r="G553" s="7">
        <v>1542</v>
      </c>
      <c r="H553" s="6" t="s">
        <v>33</v>
      </c>
    </row>
    <row r="554" spans="1:8" ht="23" customHeight="1">
      <c r="A554" s="6">
        <v>5</v>
      </c>
      <c r="B554" s="6">
        <v>2</v>
      </c>
      <c r="C554" s="6">
        <v>130</v>
      </c>
      <c r="D554" s="6">
        <v>84</v>
      </c>
      <c r="E554" s="6">
        <v>6</v>
      </c>
      <c r="F554" s="6" t="s">
        <v>34</v>
      </c>
      <c r="G554" s="7">
        <v>1542</v>
      </c>
      <c r="H554" s="6" t="s">
        <v>33</v>
      </c>
    </row>
    <row r="555" spans="1:8" ht="23" customHeight="1">
      <c r="A555" s="6">
        <v>5</v>
      </c>
      <c r="B555" s="6">
        <v>2</v>
      </c>
      <c r="C555" s="6">
        <v>130</v>
      </c>
      <c r="D555" s="6">
        <v>84</v>
      </c>
      <c r="E555" s="6">
        <v>7</v>
      </c>
      <c r="F555" s="6" t="s">
        <v>35</v>
      </c>
      <c r="G555" s="7">
        <v>148838</v>
      </c>
      <c r="H555" s="6" t="s">
        <v>27</v>
      </c>
    </row>
    <row r="556" spans="1:8" ht="23" customHeight="1">
      <c r="A556" s="6">
        <v>5</v>
      </c>
      <c r="B556" s="6">
        <v>2</v>
      </c>
      <c r="C556" s="6">
        <v>130</v>
      </c>
      <c r="D556" s="6">
        <v>84</v>
      </c>
      <c r="E556" s="6">
        <v>8</v>
      </c>
      <c r="F556" s="6" t="s">
        <v>36</v>
      </c>
      <c r="G556" s="7">
        <v>1542</v>
      </c>
      <c r="H556" s="6" t="s">
        <v>33</v>
      </c>
    </row>
    <row r="557" spans="1:8" ht="23" customHeight="1">
      <c r="A557" s="6">
        <v>5</v>
      </c>
      <c r="B557" s="6">
        <v>2</v>
      </c>
      <c r="C557" s="6">
        <v>130</v>
      </c>
      <c r="D557" s="6">
        <v>84</v>
      </c>
      <c r="E557" s="6">
        <v>9</v>
      </c>
      <c r="F557" s="6" t="s">
        <v>37</v>
      </c>
      <c r="G557" s="7">
        <v>1542</v>
      </c>
      <c r="H557" s="6" t="s">
        <v>33</v>
      </c>
    </row>
    <row r="558" spans="1:8" ht="23" customHeight="1">
      <c r="A558" s="6">
        <v>5</v>
      </c>
      <c r="B558" s="6">
        <v>2</v>
      </c>
      <c r="C558" s="6">
        <v>130</v>
      </c>
      <c r="D558" s="6">
        <v>84</v>
      </c>
      <c r="E558" s="6">
        <v>10</v>
      </c>
      <c r="F558" s="6" t="s">
        <v>38</v>
      </c>
      <c r="G558" s="7">
        <v>148838</v>
      </c>
      <c r="H558" s="6" t="s">
        <v>27</v>
      </c>
    </row>
    <row r="559" spans="1:8" ht="23" customHeight="1">
      <c r="A559" s="6">
        <v>5</v>
      </c>
      <c r="B559" s="6">
        <v>2</v>
      </c>
      <c r="C559" s="6">
        <v>130</v>
      </c>
      <c r="D559" s="6">
        <v>84</v>
      </c>
      <c r="E559" s="6">
        <v>11</v>
      </c>
      <c r="F559" s="6" t="s">
        <v>39</v>
      </c>
      <c r="G559" s="7">
        <v>148838</v>
      </c>
      <c r="H559" s="6" t="s">
        <v>27</v>
      </c>
    </row>
    <row r="560" spans="1:8" ht="23" customHeight="1">
      <c r="A560" s="6">
        <v>5</v>
      </c>
      <c r="B560" s="6">
        <v>2</v>
      </c>
      <c r="C560" s="6">
        <v>130</v>
      </c>
      <c r="D560" s="6">
        <v>84</v>
      </c>
      <c r="E560" s="6">
        <v>12</v>
      </c>
      <c r="F560" s="6" t="s">
        <v>40</v>
      </c>
      <c r="G560" s="7">
        <v>148838</v>
      </c>
      <c r="H560" s="6" t="s">
        <v>27</v>
      </c>
    </row>
    <row r="561" spans="1:8" ht="23" customHeight="1">
      <c r="A561" s="6">
        <v>5</v>
      </c>
      <c r="B561" s="6">
        <v>2</v>
      </c>
      <c r="C561" s="6">
        <v>130</v>
      </c>
      <c r="D561" s="6">
        <v>84</v>
      </c>
      <c r="E561" s="6">
        <v>13</v>
      </c>
      <c r="F561" s="6" t="s">
        <v>41</v>
      </c>
      <c r="G561" s="7">
        <v>148838</v>
      </c>
      <c r="H561" s="6" t="s">
        <v>27</v>
      </c>
    </row>
    <row r="562" spans="1:8" ht="23" customHeight="1">
      <c r="A562" s="6">
        <v>5</v>
      </c>
      <c r="B562" s="6">
        <v>2</v>
      </c>
      <c r="C562" s="6">
        <v>131</v>
      </c>
      <c r="D562" s="6">
        <v>85</v>
      </c>
      <c r="E562" s="6">
        <v>4</v>
      </c>
      <c r="F562" s="6" t="s">
        <v>31</v>
      </c>
      <c r="G562" s="7">
        <v>145626</v>
      </c>
      <c r="H562" s="6" t="s">
        <v>27</v>
      </c>
    </row>
    <row r="563" spans="1:8" ht="23" customHeight="1">
      <c r="A563" s="6">
        <v>5</v>
      </c>
      <c r="B563" s="6">
        <v>2</v>
      </c>
      <c r="C563" s="6">
        <v>131</v>
      </c>
      <c r="D563" s="6">
        <v>85</v>
      </c>
      <c r="E563" s="6">
        <v>5</v>
      </c>
      <c r="F563" s="6" t="s">
        <v>32</v>
      </c>
      <c r="G563" s="7">
        <v>1835</v>
      </c>
      <c r="H563" s="6" t="s">
        <v>33</v>
      </c>
    </row>
    <row r="564" spans="1:8" ht="23" customHeight="1">
      <c r="A564" s="6">
        <v>5</v>
      </c>
      <c r="B564" s="6">
        <v>2</v>
      </c>
      <c r="C564" s="6">
        <v>131</v>
      </c>
      <c r="D564" s="6">
        <v>85</v>
      </c>
      <c r="E564" s="6">
        <v>6</v>
      </c>
      <c r="F564" s="6" t="s">
        <v>34</v>
      </c>
      <c r="G564" s="7">
        <v>1835</v>
      </c>
      <c r="H564" s="6" t="s">
        <v>33</v>
      </c>
    </row>
    <row r="565" spans="1:8" ht="23" customHeight="1">
      <c r="A565" s="6">
        <v>5</v>
      </c>
      <c r="B565" s="6">
        <v>2</v>
      </c>
      <c r="C565" s="6">
        <v>131</v>
      </c>
      <c r="D565" s="6">
        <v>85</v>
      </c>
      <c r="E565" s="6">
        <v>7</v>
      </c>
      <c r="F565" s="6" t="s">
        <v>35</v>
      </c>
      <c r="G565" s="7">
        <v>145626</v>
      </c>
      <c r="H565" s="6" t="s">
        <v>27</v>
      </c>
    </row>
    <row r="566" spans="1:8" ht="23" customHeight="1">
      <c r="A566" s="6">
        <v>5</v>
      </c>
      <c r="B566" s="6">
        <v>2</v>
      </c>
      <c r="C566" s="6">
        <v>131</v>
      </c>
      <c r="D566" s="6">
        <v>85</v>
      </c>
      <c r="E566" s="6">
        <v>8</v>
      </c>
      <c r="F566" s="6" t="s">
        <v>36</v>
      </c>
      <c r="G566" s="7">
        <v>1835</v>
      </c>
      <c r="H566" s="6" t="s">
        <v>33</v>
      </c>
    </row>
    <row r="567" spans="1:8" ht="23" customHeight="1">
      <c r="A567" s="6">
        <v>5</v>
      </c>
      <c r="B567" s="6">
        <v>2</v>
      </c>
      <c r="C567" s="6">
        <v>131</v>
      </c>
      <c r="D567" s="6">
        <v>85</v>
      </c>
      <c r="E567" s="6">
        <v>9</v>
      </c>
      <c r="F567" s="6" t="s">
        <v>37</v>
      </c>
      <c r="G567" s="7">
        <v>1835</v>
      </c>
      <c r="H567" s="6" t="s">
        <v>33</v>
      </c>
    </row>
    <row r="568" spans="1:8" ht="23" customHeight="1">
      <c r="A568" s="6">
        <v>5</v>
      </c>
      <c r="B568" s="6">
        <v>2</v>
      </c>
      <c r="C568" s="6">
        <v>131</v>
      </c>
      <c r="D568" s="6">
        <v>85</v>
      </c>
      <c r="E568" s="6">
        <v>10</v>
      </c>
      <c r="F568" s="6" t="s">
        <v>38</v>
      </c>
      <c r="G568" s="7">
        <v>145626</v>
      </c>
      <c r="H568" s="6" t="s">
        <v>27</v>
      </c>
    </row>
    <row r="569" spans="1:8" ht="23" customHeight="1">
      <c r="A569" s="6">
        <v>5</v>
      </c>
      <c r="B569" s="6">
        <v>2</v>
      </c>
      <c r="C569" s="6">
        <v>131</v>
      </c>
      <c r="D569" s="6">
        <v>85</v>
      </c>
      <c r="E569" s="6">
        <v>11</v>
      </c>
      <c r="F569" s="6" t="s">
        <v>39</v>
      </c>
      <c r="G569" s="7">
        <v>145626</v>
      </c>
      <c r="H569" s="6" t="s">
        <v>27</v>
      </c>
    </row>
    <row r="570" spans="1:8" ht="23" customHeight="1">
      <c r="A570" s="6">
        <v>5</v>
      </c>
      <c r="B570" s="6">
        <v>2</v>
      </c>
      <c r="C570" s="6">
        <v>131</v>
      </c>
      <c r="D570" s="6">
        <v>85</v>
      </c>
      <c r="E570" s="6">
        <v>12</v>
      </c>
      <c r="F570" s="6" t="s">
        <v>40</v>
      </c>
      <c r="G570" s="7">
        <v>145626</v>
      </c>
      <c r="H570" s="6" t="s">
        <v>27</v>
      </c>
    </row>
    <row r="571" spans="1:8" ht="23" customHeight="1">
      <c r="A571" s="6">
        <v>5</v>
      </c>
      <c r="B571" s="6">
        <v>2</v>
      </c>
      <c r="C571" s="6">
        <v>131</v>
      </c>
      <c r="D571" s="6">
        <v>85</v>
      </c>
      <c r="E571" s="6">
        <v>13</v>
      </c>
      <c r="F571" s="6" t="s">
        <v>41</v>
      </c>
      <c r="G571" s="7">
        <v>145626</v>
      </c>
      <c r="H571" s="6" t="s">
        <v>27</v>
      </c>
    </row>
    <row r="572" spans="1:8" ht="23" customHeight="1">
      <c r="A572" s="6">
        <v>5</v>
      </c>
      <c r="B572" s="6">
        <v>2</v>
      </c>
      <c r="C572" s="6">
        <v>132</v>
      </c>
      <c r="D572" s="6">
        <v>86</v>
      </c>
      <c r="E572" s="6">
        <v>4</v>
      </c>
      <c r="F572" s="6" t="s">
        <v>31</v>
      </c>
      <c r="G572" s="7">
        <v>145626</v>
      </c>
      <c r="H572" s="6" t="s">
        <v>27</v>
      </c>
    </row>
    <row r="573" spans="1:8" ht="23" customHeight="1">
      <c r="A573" s="6">
        <v>5</v>
      </c>
      <c r="B573" s="6">
        <v>2</v>
      </c>
      <c r="C573" s="6">
        <v>132</v>
      </c>
      <c r="D573" s="6">
        <v>86</v>
      </c>
      <c r="E573" s="6">
        <v>5</v>
      </c>
      <c r="F573" s="6" t="s">
        <v>32</v>
      </c>
      <c r="G573" s="7">
        <v>1835</v>
      </c>
      <c r="H573" s="6" t="s">
        <v>33</v>
      </c>
    </row>
    <row r="574" spans="1:8" ht="23" customHeight="1">
      <c r="A574" s="6">
        <v>5</v>
      </c>
      <c r="B574" s="6">
        <v>2</v>
      </c>
      <c r="C574" s="6">
        <v>132</v>
      </c>
      <c r="D574" s="6">
        <v>86</v>
      </c>
      <c r="E574" s="6">
        <v>6</v>
      </c>
      <c r="F574" s="6" t="s">
        <v>34</v>
      </c>
      <c r="G574" s="7">
        <v>1835</v>
      </c>
      <c r="H574" s="6" t="s">
        <v>33</v>
      </c>
    </row>
    <row r="575" spans="1:8" ht="23" customHeight="1">
      <c r="A575" s="6">
        <v>5</v>
      </c>
      <c r="B575" s="6">
        <v>2</v>
      </c>
      <c r="C575" s="6">
        <v>132</v>
      </c>
      <c r="D575" s="6">
        <v>86</v>
      </c>
      <c r="E575" s="6">
        <v>7</v>
      </c>
      <c r="F575" s="6" t="s">
        <v>35</v>
      </c>
      <c r="G575" s="7">
        <v>145626</v>
      </c>
      <c r="H575" s="6" t="s">
        <v>27</v>
      </c>
    </row>
    <row r="576" spans="1:8" ht="23" customHeight="1">
      <c r="A576" s="6">
        <v>5</v>
      </c>
      <c r="B576" s="6">
        <v>2</v>
      </c>
      <c r="C576" s="6">
        <v>132</v>
      </c>
      <c r="D576" s="6">
        <v>86</v>
      </c>
      <c r="E576" s="6">
        <v>8</v>
      </c>
      <c r="F576" s="6" t="s">
        <v>36</v>
      </c>
      <c r="G576" s="7">
        <v>1835</v>
      </c>
      <c r="H576" s="6" t="s">
        <v>33</v>
      </c>
    </row>
    <row r="577" spans="1:8" ht="23" customHeight="1">
      <c r="A577" s="6">
        <v>5</v>
      </c>
      <c r="B577" s="6">
        <v>2</v>
      </c>
      <c r="C577" s="6">
        <v>132</v>
      </c>
      <c r="D577" s="6">
        <v>86</v>
      </c>
      <c r="E577" s="6">
        <v>9</v>
      </c>
      <c r="F577" s="6" t="s">
        <v>37</v>
      </c>
      <c r="G577" s="7">
        <v>1835</v>
      </c>
      <c r="H577" s="6" t="s">
        <v>33</v>
      </c>
    </row>
    <row r="578" spans="1:8" ht="23" customHeight="1">
      <c r="A578" s="6">
        <v>5</v>
      </c>
      <c r="B578" s="6">
        <v>2</v>
      </c>
      <c r="C578" s="6">
        <v>132</v>
      </c>
      <c r="D578" s="6">
        <v>86</v>
      </c>
      <c r="E578" s="6">
        <v>10</v>
      </c>
      <c r="F578" s="6" t="s">
        <v>38</v>
      </c>
      <c r="G578" s="7">
        <v>145626</v>
      </c>
      <c r="H578" s="6" t="s">
        <v>27</v>
      </c>
    </row>
    <row r="579" spans="1:8" ht="23" customHeight="1">
      <c r="A579" s="6">
        <v>5</v>
      </c>
      <c r="B579" s="6">
        <v>2</v>
      </c>
      <c r="C579" s="6">
        <v>132</v>
      </c>
      <c r="D579" s="6">
        <v>86</v>
      </c>
      <c r="E579" s="6">
        <v>11</v>
      </c>
      <c r="F579" s="6" t="s">
        <v>39</v>
      </c>
      <c r="G579" s="7">
        <v>145626</v>
      </c>
      <c r="H579" s="6" t="s">
        <v>27</v>
      </c>
    </row>
    <row r="580" spans="1:8" ht="23" customHeight="1">
      <c r="A580" s="6">
        <v>5</v>
      </c>
      <c r="B580" s="6">
        <v>2</v>
      </c>
      <c r="C580" s="6">
        <v>132</v>
      </c>
      <c r="D580" s="6">
        <v>86</v>
      </c>
      <c r="E580" s="6">
        <v>12</v>
      </c>
      <c r="F580" s="6" t="s">
        <v>40</v>
      </c>
      <c r="G580" s="7">
        <v>145626</v>
      </c>
      <c r="H580" s="6" t="s">
        <v>27</v>
      </c>
    </row>
    <row r="581" spans="1:8" ht="23" customHeight="1">
      <c r="A581" s="6">
        <v>5</v>
      </c>
      <c r="B581" s="6">
        <v>2</v>
      </c>
      <c r="C581" s="6">
        <v>132</v>
      </c>
      <c r="D581" s="6">
        <v>86</v>
      </c>
      <c r="E581" s="6">
        <v>13</v>
      </c>
      <c r="F581" s="6" t="s">
        <v>41</v>
      </c>
      <c r="G581" s="7">
        <v>145626</v>
      </c>
      <c r="H581" s="6" t="s">
        <v>27</v>
      </c>
    </row>
    <row r="582" spans="1:8" ht="23" customHeight="1">
      <c r="A582" s="6">
        <v>5</v>
      </c>
      <c r="B582" s="6">
        <v>2</v>
      </c>
      <c r="C582" s="6">
        <v>133</v>
      </c>
      <c r="D582" s="6">
        <v>87</v>
      </c>
      <c r="E582" s="6">
        <v>4</v>
      </c>
      <c r="F582" s="6" t="s">
        <v>31</v>
      </c>
      <c r="G582" s="7">
        <v>145626</v>
      </c>
      <c r="H582" s="6" t="s">
        <v>27</v>
      </c>
    </row>
    <row r="583" spans="1:8" ht="23" customHeight="1">
      <c r="A583" s="6">
        <v>5</v>
      </c>
      <c r="B583" s="6">
        <v>2</v>
      </c>
      <c r="C583" s="6">
        <v>133</v>
      </c>
      <c r="D583" s="6">
        <v>87</v>
      </c>
      <c r="E583" s="6">
        <v>5</v>
      </c>
      <c r="F583" s="6" t="s">
        <v>32</v>
      </c>
      <c r="G583" s="7">
        <v>1835</v>
      </c>
      <c r="H583" s="6" t="s">
        <v>33</v>
      </c>
    </row>
    <row r="584" spans="1:8" ht="23" customHeight="1">
      <c r="A584" s="6">
        <v>5</v>
      </c>
      <c r="B584" s="6">
        <v>2</v>
      </c>
      <c r="C584" s="6">
        <v>133</v>
      </c>
      <c r="D584" s="6">
        <v>87</v>
      </c>
      <c r="E584" s="6">
        <v>6</v>
      </c>
      <c r="F584" s="6" t="s">
        <v>34</v>
      </c>
      <c r="G584" s="7">
        <v>1835</v>
      </c>
      <c r="H584" s="6" t="s">
        <v>33</v>
      </c>
    </row>
    <row r="585" spans="1:8" ht="23" customHeight="1">
      <c r="A585" s="6">
        <v>5</v>
      </c>
      <c r="B585" s="6">
        <v>2</v>
      </c>
      <c r="C585" s="6">
        <v>133</v>
      </c>
      <c r="D585" s="6">
        <v>87</v>
      </c>
      <c r="E585" s="6">
        <v>7</v>
      </c>
      <c r="F585" s="6" t="s">
        <v>35</v>
      </c>
      <c r="G585" s="7">
        <v>145626</v>
      </c>
      <c r="H585" s="6" t="s">
        <v>27</v>
      </c>
    </row>
    <row r="586" spans="1:8" ht="23" customHeight="1">
      <c r="A586" s="6">
        <v>5</v>
      </c>
      <c r="B586" s="6">
        <v>2</v>
      </c>
      <c r="C586" s="6">
        <v>133</v>
      </c>
      <c r="D586" s="6">
        <v>87</v>
      </c>
      <c r="E586" s="6">
        <v>8</v>
      </c>
      <c r="F586" s="6" t="s">
        <v>36</v>
      </c>
      <c r="G586" s="7">
        <v>1835</v>
      </c>
      <c r="H586" s="6" t="s">
        <v>33</v>
      </c>
    </row>
    <row r="587" spans="1:8" ht="23" customHeight="1">
      <c r="A587" s="6">
        <v>5</v>
      </c>
      <c r="B587" s="6">
        <v>2</v>
      </c>
      <c r="C587" s="6">
        <v>133</v>
      </c>
      <c r="D587" s="6">
        <v>87</v>
      </c>
      <c r="E587" s="6">
        <v>9</v>
      </c>
      <c r="F587" s="6" t="s">
        <v>37</v>
      </c>
      <c r="G587" s="7">
        <v>1835</v>
      </c>
      <c r="H587" s="6" t="s">
        <v>33</v>
      </c>
    </row>
    <row r="588" spans="1:8" ht="23" customHeight="1">
      <c r="A588" s="6">
        <v>5</v>
      </c>
      <c r="B588" s="6">
        <v>2</v>
      </c>
      <c r="C588" s="6">
        <v>133</v>
      </c>
      <c r="D588" s="6">
        <v>87</v>
      </c>
      <c r="E588" s="6">
        <v>10</v>
      </c>
      <c r="F588" s="6" t="s">
        <v>38</v>
      </c>
      <c r="G588" s="7">
        <v>145626</v>
      </c>
      <c r="H588" s="6" t="s">
        <v>27</v>
      </c>
    </row>
    <row r="589" spans="1:8" ht="23" customHeight="1">
      <c r="A589" s="6">
        <v>5</v>
      </c>
      <c r="B589" s="6">
        <v>2</v>
      </c>
      <c r="C589" s="6">
        <v>133</v>
      </c>
      <c r="D589" s="6">
        <v>87</v>
      </c>
      <c r="E589" s="6">
        <v>11</v>
      </c>
      <c r="F589" s="6" t="s">
        <v>39</v>
      </c>
      <c r="G589" s="7">
        <v>145626</v>
      </c>
      <c r="H589" s="6" t="s">
        <v>27</v>
      </c>
    </row>
    <row r="590" spans="1:8" ht="23" customHeight="1">
      <c r="A590" s="6">
        <v>5</v>
      </c>
      <c r="B590" s="6">
        <v>2</v>
      </c>
      <c r="C590" s="6">
        <v>133</v>
      </c>
      <c r="D590" s="6">
        <v>87</v>
      </c>
      <c r="E590" s="6">
        <v>12</v>
      </c>
      <c r="F590" s="6" t="s">
        <v>40</v>
      </c>
      <c r="G590" s="7">
        <v>145626</v>
      </c>
      <c r="H590" s="6" t="s">
        <v>27</v>
      </c>
    </row>
    <row r="591" spans="1:8" ht="23" customHeight="1">
      <c r="A591" s="6">
        <v>5</v>
      </c>
      <c r="B591" s="6">
        <v>2</v>
      </c>
      <c r="C591" s="6">
        <v>133</v>
      </c>
      <c r="D591" s="6">
        <v>87</v>
      </c>
      <c r="E591" s="6">
        <v>13</v>
      </c>
      <c r="F591" s="6" t="s">
        <v>41</v>
      </c>
      <c r="G591" s="7">
        <v>145626</v>
      </c>
      <c r="H591" s="6" t="s">
        <v>27</v>
      </c>
    </row>
    <row r="592" spans="1:8" ht="23" customHeight="1">
      <c r="A592" s="6">
        <v>5</v>
      </c>
      <c r="B592" s="6">
        <v>2</v>
      </c>
      <c r="C592" s="6">
        <v>134</v>
      </c>
      <c r="D592" s="6">
        <v>88</v>
      </c>
      <c r="E592" s="6">
        <v>4</v>
      </c>
      <c r="F592" s="6" t="s">
        <v>31</v>
      </c>
      <c r="G592" s="7">
        <v>145626</v>
      </c>
      <c r="H592" s="6" t="s">
        <v>27</v>
      </c>
    </row>
    <row r="593" spans="1:8" ht="23" customHeight="1">
      <c r="A593" s="6">
        <v>5</v>
      </c>
      <c r="B593" s="6">
        <v>2</v>
      </c>
      <c r="C593" s="6">
        <v>134</v>
      </c>
      <c r="D593" s="6">
        <v>88</v>
      </c>
      <c r="E593" s="6">
        <v>5</v>
      </c>
      <c r="F593" s="6" t="s">
        <v>32</v>
      </c>
      <c r="G593" s="7">
        <v>1835</v>
      </c>
      <c r="H593" s="6" t="s">
        <v>33</v>
      </c>
    </row>
    <row r="594" spans="1:8" ht="23" customHeight="1">
      <c r="A594" s="6">
        <v>5</v>
      </c>
      <c r="B594" s="6">
        <v>2</v>
      </c>
      <c r="C594" s="6">
        <v>134</v>
      </c>
      <c r="D594" s="6">
        <v>88</v>
      </c>
      <c r="E594" s="6">
        <v>6</v>
      </c>
      <c r="F594" s="6" t="s">
        <v>34</v>
      </c>
      <c r="G594" s="7">
        <v>1835</v>
      </c>
      <c r="H594" s="6" t="s">
        <v>33</v>
      </c>
    </row>
    <row r="595" spans="1:8" ht="23" customHeight="1">
      <c r="A595" s="6">
        <v>5</v>
      </c>
      <c r="B595" s="6">
        <v>2</v>
      </c>
      <c r="C595" s="6">
        <v>134</v>
      </c>
      <c r="D595" s="6">
        <v>88</v>
      </c>
      <c r="E595" s="6">
        <v>7</v>
      </c>
      <c r="F595" s="6" t="s">
        <v>35</v>
      </c>
      <c r="G595" s="7">
        <v>145626</v>
      </c>
      <c r="H595" s="6" t="s">
        <v>27</v>
      </c>
    </row>
    <row r="596" spans="1:8" ht="23" customHeight="1">
      <c r="A596" s="6">
        <v>5</v>
      </c>
      <c r="B596" s="6">
        <v>2</v>
      </c>
      <c r="C596" s="6">
        <v>134</v>
      </c>
      <c r="D596" s="6">
        <v>88</v>
      </c>
      <c r="E596" s="6">
        <v>8</v>
      </c>
      <c r="F596" s="6" t="s">
        <v>36</v>
      </c>
      <c r="G596" s="7">
        <v>1835</v>
      </c>
      <c r="H596" s="6" t="s">
        <v>33</v>
      </c>
    </row>
    <row r="597" spans="1:8" ht="23" customHeight="1">
      <c r="A597" s="6">
        <v>5</v>
      </c>
      <c r="B597" s="6">
        <v>2</v>
      </c>
      <c r="C597" s="6">
        <v>134</v>
      </c>
      <c r="D597" s="6">
        <v>88</v>
      </c>
      <c r="E597" s="6">
        <v>9</v>
      </c>
      <c r="F597" s="6" t="s">
        <v>37</v>
      </c>
      <c r="G597" s="7">
        <v>1835</v>
      </c>
      <c r="H597" s="6" t="s">
        <v>33</v>
      </c>
    </row>
    <row r="598" spans="1:8" ht="23" customHeight="1">
      <c r="A598" s="6">
        <v>5</v>
      </c>
      <c r="B598" s="6">
        <v>2</v>
      </c>
      <c r="C598" s="6">
        <v>134</v>
      </c>
      <c r="D598" s="6">
        <v>88</v>
      </c>
      <c r="E598" s="6">
        <v>10</v>
      </c>
      <c r="F598" s="6" t="s">
        <v>38</v>
      </c>
      <c r="G598" s="7">
        <v>145626</v>
      </c>
      <c r="H598" s="6" t="s">
        <v>27</v>
      </c>
    </row>
    <row r="599" spans="1:8" ht="23" customHeight="1">
      <c r="A599" s="6">
        <v>5</v>
      </c>
      <c r="B599" s="6">
        <v>2</v>
      </c>
      <c r="C599" s="6">
        <v>134</v>
      </c>
      <c r="D599" s="6">
        <v>88</v>
      </c>
      <c r="E599" s="6">
        <v>11</v>
      </c>
      <c r="F599" s="6" t="s">
        <v>39</v>
      </c>
      <c r="G599" s="7">
        <v>145626</v>
      </c>
      <c r="H599" s="6" t="s">
        <v>27</v>
      </c>
    </row>
    <row r="600" spans="1:8" ht="23" customHeight="1">
      <c r="A600" s="6">
        <v>5</v>
      </c>
      <c r="B600" s="6">
        <v>2</v>
      </c>
      <c r="C600" s="6">
        <v>134</v>
      </c>
      <c r="D600" s="6">
        <v>88</v>
      </c>
      <c r="E600" s="6">
        <v>12</v>
      </c>
      <c r="F600" s="6" t="s">
        <v>40</v>
      </c>
      <c r="G600" s="7">
        <v>145626</v>
      </c>
      <c r="H600" s="6" t="s">
        <v>27</v>
      </c>
    </row>
    <row r="601" spans="1:8" ht="23" customHeight="1">
      <c r="A601" s="6">
        <v>5</v>
      </c>
      <c r="B601" s="6">
        <v>2</v>
      </c>
      <c r="C601" s="6">
        <v>134</v>
      </c>
      <c r="D601" s="6">
        <v>88</v>
      </c>
      <c r="E601" s="6">
        <v>13</v>
      </c>
      <c r="F601" s="6" t="s">
        <v>41</v>
      </c>
      <c r="G601" s="7">
        <v>145626</v>
      </c>
      <c r="H601" s="6" t="s">
        <v>27</v>
      </c>
    </row>
    <row r="602" spans="1:8" ht="23" customHeight="1">
      <c r="A602" s="6">
        <v>5</v>
      </c>
      <c r="B602" s="6">
        <v>2</v>
      </c>
      <c r="C602" s="6">
        <v>135</v>
      </c>
      <c r="D602" s="6">
        <v>89</v>
      </c>
      <c r="E602" s="6">
        <v>4</v>
      </c>
      <c r="F602" s="6" t="s">
        <v>31</v>
      </c>
      <c r="G602" s="7">
        <v>145626</v>
      </c>
      <c r="H602" s="6" t="s">
        <v>27</v>
      </c>
    </row>
    <row r="603" spans="1:8" ht="23" customHeight="1">
      <c r="A603" s="6">
        <v>5</v>
      </c>
      <c r="B603" s="6">
        <v>2</v>
      </c>
      <c r="C603" s="6">
        <v>135</v>
      </c>
      <c r="D603" s="6">
        <v>89</v>
      </c>
      <c r="E603" s="6">
        <v>5</v>
      </c>
      <c r="F603" s="6" t="s">
        <v>32</v>
      </c>
      <c r="G603" s="7">
        <v>1835</v>
      </c>
      <c r="H603" s="6" t="s">
        <v>33</v>
      </c>
    </row>
    <row r="604" spans="1:8" ht="23" customHeight="1">
      <c r="A604" s="6">
        <v>5</v>
      </c>
      <c r="B604" s="6">
        <v>2</v>
      </c>
      <c r="C604" s="6">
        <v>135</v>
      </c>
      <c r="D604" s="6">
        <v>89</v>
      </c>
      <c r="E604" s="6">
        <v>6</v>
      </c>
      <c r="F604" s="6" t="s">
        <v>34</v>
      </c>
      <c r="G604" s="7">
        <v>1835</v>
      </c>
      <c r="H604" s="6" t="s">
        <v>33</v>
      </c>
    </row>
    <row r="605" spans="1:8" ht="23" customHeight="1">
      <c r="A605" s="6">
        <v>5</v>
      </c>
      <c r="B605" s="6">
        <v>2</v>
      </c>
      <c r="C605" s="6">
        <v>135</v>
      </c>
      <c r="D605" s="6">
        <v>89</v>
      </c>
      <c r="E605" s="6">
        <v>7</v>
      </c>
      <c r="F605" s="6" t="s">
        <v>35</v>
      </c>
      <c r="G605" s="7">
        <v>145626</v>
      </c>
      <c r="H605" s="6" t="s">
        <v>27</v>
      </c>
    </row>
    <row r="606" spans="1:8" ht="23" customHeight="1">
      <c r="A606" s="6">
        <v>5</v>
      </c>
      <c r="B606" s="6">
        <v>2</v>
      </c>
      <c r="C606" s="6">
        <v>135</v>
      </c>
      <c r="D606" s="6">
        <v>89</v>
      </c>
      <c r="E606" s="6">
        <v>8</v>
      </c>
      <c r="F606" s="6" t="s">
        <v>36</v>
      </c>
      <c r="G606" s="7">
        <v>1835</v>
      </c>
      <c r="H606" s="6" t="s">
        <v>33</v>
      </c>
    </row>
    <row r="607" spans="1:8" ht="23" customHeight="1">
      <c r="A607" s="6">
        <v>5</v>
      </c>
      <c r="B607" s="6">
        <v>2</v>
      </c>
      <c r="C607" s="6">
        <v>135</v>
      </c>
      <c r="D607" s="6">
        <v>89</v>
      </c>
      <c r="E607" s="6">
        <v>9</v>
      </c>
      <c r="F607" s="6" t="s">
        <v>37</v>
      </c>
      <c r="G607" s="7">
        <v>1835</v>
      </c>
      <c r="H607" s="6" t="s">
        <v>33</v>
      </c>
    </row>
    <row r="608" spans="1:8" ht="23" customHeight="1">
      <c r="A608" s="6">
        <v>5</v>
      </c>
      <c r="B608" s="6">
        <v>2</v>
      </c>
      <c r="C608" s="6">
        <v>135</v>
      </c>
      <c r="D608" s="6">
        <v>89</v>
      </c>
      <c r="E608" s="6">
        <v>10</v>
      </c>
      <c r="F608" s="6" t="s">
        <v>38</v>
      </c>
      <c r="G608" s="7">
        <v>145626</v>
      </c>
      <c r="H608" s="6" t="s">
        <v>27</v>
      </c>
    </row>
    <row r="609" spans="1:8" ht="23" customHeight="1">
      <c r="A609" s="6">
        <v>5</v>
      </c>
      <c r="B609" s="6">
        <v>2</v>
      </c>
      <c r="C609" s="6">
        <v>135</v>
      </c>
      <c r="D609" s="6">
        <v>89</v>
      </c>
      <c r="E609" s="6">
        <v>11</v>
      </c>
      <c r="F609" s="6" t="s">
        <v>39</v>
      </c>
      <c r="G609" s="7">
        <v>145626</v>
      </c>
      <c r="H609" s="6" t="s">
        <v>27</v>
      </c>
    </row>
    <row r="610" spans="1:8" ht="23" customHeight="1">
      <c r="A610" s="6">
        <v>5</v>
      </c>
      <c r="B610" s="6">
        <v>2</v>
      </c>
      <c r="C610" s="6">
        <v>135</v>
      </c>
      <c r="D610" s="6">
        <v>89</v>
      </c>
      <c r="E610" s="6">
        <v>12</v>
      </c>
      <c r="F610" s="6" t="s">
        <v>40</v>
      </c>
      <c r="G610" s="7">
        <v>145626</v>
      </c>
      <c r="H610" s="6" t="s">
        <v>27</v>
      </c>
    </row>
    <row r="611" spans="1:8" ht="23" customHeight="1">
      <c r="A611" s="6">
        <v>5</v>
      </c>
      <c r="B611" s="6">
        <v>2</v>
      </c>
      <c r="C611" s="6">
        <v>135</v>
      </c>
      <c r="D611" s="6">
        <v>89</v>
      </c>
      <c r="E611" s="6">
        <v>13</v>
      </c>
      <c r="F611" s="6" t="s">
        <v>41</v>
      </c>
      <c r="G611" s="7">
        <v>145626</v>
      </c>
      <c r="H611" s="6" t="s">
        <v>27</v>
      </c>
    </row>
    <row r="612" spans="1:8" ht="23" customHeight="1">
      <c r="A612" s="6">
        <v>5</v>
      </c>
      <c r="B612" s="6">
        <v>2</v>
      </c>
      <c r="C612" s="6">
        <v>136</v>
      </c>
      <c r="D612" s="6">
        <v>90</v>
      </c>
      <c r="E612" s="6">
        <v>4</v>
      </c>
      <c r="F612" s="6" t="s">
        <v>31</v>
      </c>
      <c r="G612" s="7">
        <v>145626</v>
      </c>
      <c r="H612" s="6" t="s">
        <v>27</v>
      </c>
    </row>
    <row r="613" spans="1:8" ht="23" customHeight="1">
      <c r="A613" s="6">
        <v>5</v>
      </c>
      <c r="B613" s="6">
        <v>2</v>
      </c>
      <c r="C613" s="6">
        <v>136</v>
      </c>
      <c r="D613" s="6">
        <v>90</v>
      </c>
      <c r="E613" s="6">
        <v>5</v>
      </c>
      <c r="F613" s="6" t="s">
        <v>32</v>
      </c>
      <c r="G613" s="7">
        <v>1835</v>
      </c>
      <c r="H613" s="6" t="s">
        <v>33</v>
      </c>
    </row>
    <row r="614" spans="1:8" ht="23" customHeight="1">
      <c r="A614" s="6">
        <v>5</v>
      </c>
      <c r="B614" s="6">
        <v>2</v>
      </c>
      <c r="C614" s="6">
        <v>136</v>
      </c>
      <c r="D614" s="6">
        <v>90</v>
      </c>
      <c r="E614" s="6">
        <v>6</v>
      </c>
      <c r="F614" s="6" t="s">
        <v>34</v>
      </c>
      <c r="G614" s="7">
        <v>1835</v>
      </c>
      <c r="H614" s="6" t="s">
        <v>33</v>
      </c>
    </row>
    <row r="615" spans="1:8" ht="23" customHeight="1">
      <c r="A615" s="6">
        <v>5</v>
      </c>
      <c r="B615" s="6">
        <v>2</v>
      </c>
      <c r="C615" s="6">
        <v>136</v>
      </c>
      <c r="D615" s="6">
        <v>90</v>
      </c>
      <c r="E615" s="6">
        <v>7</v>
      </c>
      <c r="F615" s="6" t="s">
        <v>35</v>
      </c>
      <c r="G615" s="7">
        <v>145626</v>
      </c>
      <c r="H615" s="6" t="s">
        <v>27</v>
      </c>
    </row>
    <row r="616" spans="1:8" ht="23" customHeight="1">
      <c r="A616" s="6">
        <v>5</v>
      </c>
      <c r="B616" s="6">
        <v>2</v>
      </c>
      <c r="C616" s="6">
        <v>136</v>
      </c>
      <c r="D616" s="6">
        <v>90</v>
      </c>
      <c r="E616" s="6">
        <v>8</v>
      </c>
      <c r="F616" s="6" t="s">
        <v>36</v>
      </c>
      <c r="G616" s="7">
        <v>1835</v>
      </c>
      <c r="H616" s="6" t="s">
        <v>33</v>
      </c>
    </row>
    <row r="617" spans="1:8" ht="23" customHeight="1">
      <c r="A617" s="6">
        <v>5</v>
      </c>
      <c r="B617" s="6">
        <v>2</v>
      </c>
      <c r="C617" s="6">
        <v>136</v>
      </c>
      <c r="D617" s="6">
        <v>90</v>
      </c>
      <c r="E617" s="6">
        <v>9</v>
      </c>
      <c r="F617" s="6" t="s">
        <v>37</v>
      </c>
      <c r="G617" s="7">
        <v>1835</v>
      </c>
      <c r="H617" s="6" t="s">
        <v>33</v>
      </c>
    </row>
    <row r="618" spans="1:8" ht="23" customHeight="1">
      <c r="A618" s="6">
        <v>5</v>
      </c>
      <c r="B618" s="6">
        <v>2</v>
      </c>
      <c r="C618" s="6">
        <v>136</v>
      </c>
      <c r="D618" s="6">
        <v>90</v>
      </c>
      <c r="E618" s="6">
        <v>10</v>
      </c>
      <c r="F618" s="6" t="s">
        <v>38</v>
      </c>
      <c r="G618" s="7">
        <v>145626</v>
      </c>
      <c r="H618" s="6" t="s">
        <v>27</v>
      </c>
    </row>
    <row r="619" spans="1:8" ht="23" customHeight="1">
      <c r="A619" s="6">
        <v>5</v>
      </c>
      <c r="B619" s="6">
        <v>2</v>
      </c>
      <c r="C619" s="6">
        <v>136</v>
      </c>
      <c r="D619" s="6">
        <v>90</v>
      </c>
      <c r="E619" s="6">
        <v>11</v>
      </c>
      <c r="F619" s="6" t="s">
        <v>39</v>
      </c>
      <c r="G619" s="7">
        <v>145626</v>
      </c>
      <c r="H619" s="6" t="s">
        <v>27</v>
      </c>
    </row>
    <row r="620" spans="1:8" ht="23" customHeight="1">
      <c r="A620" s="6">
        <v>5</v>
      </c>
      <c r="B620" s="6">
        <v>2</v>
      </c>
      <c r="C620" s="6">
        <v>136</v>
      </c>
      <c r="D620" s="6">
        <v>90</v>
      </c>
      <c r="E620" s="6">
        <v>12</v>
      </c>
      <c r="F620" s="6" t="s">
        <v>40</v>
      </c>
      <c r="G620" s="7">
        <v>145626</v>
      </c>
      <c r="H620" s="6" t="s">
        <v>27</v>
      </c>
    </row>
    <row r="621" spans="1:8" ht="23" customHeight="1">
      <c r="A621" s="6">
        <v>5</v>
      </c>
      <c r="B621" s="6">
        <v>2</v>
      </c>
      <c r="C621" s="6">
        <v>136</v>
      </c>
      <c r="D621" s="6">
        <v>90</v>
      </c>
      <c r="E621" s="6">
        <v>13</v>
      </c>
      <c r="F621" s="6" t="s">
        <v>41</v>
      </c>
      <c r="G621" s="7">
        <v>145626</v>
      </c>
      <c r="H621" s="6" t="s">
        <v>27</v>
      </c>
    </row>
    <row r="622" spans="1:8" ht="23" customHeight="1">
      <c r="A622" s="6">
        <v>5</v>
      </c>
      <c r="B622" s="6">
        <v>2</v>
      </c>
      <c r="C622" s="6">
        <v>137</v>
      </c>
      <c r="D622" s="6">
        <v>91</v>
      </c>
      <c r="E622" s="6">
        <v>4</v>
      </c>
      <c r="F622" s="6" t="s">
        <v>31</v>
      </c>
      <c r="G622" s="7">
        <v>119433</v>
      </c>
      <c r="H622" s="6" t="s">
        <v>27</v>
      </c>
    </row>
    <row r="623" spans="1:8" ht="23" customHeight="1">
      <c r="A623" s="6">
        <v>5</v>
      </c>
      <c r="B623" s="6">
        <v>2</v>
      </c>
      <c r="C623" s="6">
        <v>137</v>
      </c>
      <c r="D623" s="6">
        <v>91</v>
      </c>
      <c r="E623" s="6">
        <v>5</v>
      </c>
      <c r="F623" s="6" t="s">
        <v>32</v>
      </c>
      <c r="G623" s="7">
        <v>1355</v>
      </c>
      <c r="H623" s="6" t="s">
        <v>33</v>
      </c>
    </row>
    <row r="624" spans="1:8" ht="23" customHeight="1">
      <c r="A624" s="6">
        <v>5</v>
      </c>
      <c r="B624" s="6">
        <v>2</v>
      </c>
      <c r="C624" s="6">
        <v>137</v>
      </c>
      <c r="D624" s="6">
        <v>91</v>
      </c>
      <c r="E624" s="6">
        <v>6</v>
      </c>
      <c r="F624" s="6" t="s">
        <v>34</v>
      </c>
      <c r="G624" s="7">
        <v>1355</v>
      </c>
      <c r="H624" s="6" t="s">
        <v>33</v>
      </c>
    </row>
    <row r="625" spans="1:8" ht="23" customHeight="1">
      <c r="A625" s="6">
        <v>5</v>
      </c>
      <c r="B625" s="6">
        <v>2</v>
      </c>
      <c r="C625" s="6">
        <v>137</v>
      </c>
      <c r="D625" s="6">
        <v>91</v>
      </c>
      <c r="E625" s="6">
        <v>7</v>
      </c>
      <c r="F625" s="6" t="s">
        <v>35</v>
      </c>
      <c r="G625" s="7">
        <v>119433</v>
      </c>
      <c r="H625" s="6" t="s">
        <v>27</v>
      </c>
    </row>
    <row r="626" spans="1:8" ht="23" customHeight="1">
      <c r="A626" s="6">
        <v>5</v>
      </c>
      <c r="B626" s="6">
        <v>2</v>
      </c>
      <c r="C626" s="6">
        <v>137</v>
      </c>
      <c r="D626" s="6">
        <v>91</v>
      </c>
      <c r="E626" s="6">
        <v>8</v>
      </c>
      <c r="F626" s="6" t="s">
        <v>36</v>
      </c>
      <c r="G626" s="7">
        <v>1355</v>
      </c>
      <c r="H626" s="6" t="s">
        <v>33</v>
      </c>
    </row>
    <row r="627" spans="1:8" ht="23" customHeight="1">
      <c r="A627" s="6">
        <v>5</v>
      </c>
      <c r="B627" s="6">
        <v>2</v>
      </c>
      <c r="C627" s="6">
        <v>137</v>
      </c>
      <c r="D627" s="6">
        <v>91</v>
      </c>
      <c r="E627" s="6">
        <v>9</v>
      </c>
      <c r="F627" s="6" t="s">
        <v>37</v>
      </c>
      <c r="G627" s="7">
        <v>1355</v>
      </c>
      <c r="H627" s="6" t="s">
        <v>33</v>
      </c>
    </row>
    <row r="628" spans="1:8" ht="23" customHeight="1">
      <c r="A628" s="6">
        <v>5</v>
      </c>
      <c r="B628" s="6">
        <v>2</v>
      </c>
      <c r="C628" s="6">
        <v>137</v>
      </c>
      <c r="D628" s="6">
        <v>91</v>
      </c>
      <c r="E628" s="6">
        <v>10</v>
      </c>
      <c r="F628" s="6" t="s">
        <v>38</v>
      </c>
      <c r="G628" s="7">
        <v>119433</v>
      </c>
      <c r="H628" s="6" t="s">
        <v>27</v>
      </c>
    </row>
    <row r="629" spans="1:8" ht="23" customHeight="1">
      <c r="A629" s="6">
        <v>5</v>
      </c>
      <c r="B629" s="6">
        <v>2</v>
      </c>
      <c r="C629" s="6">
        <v>137</v>
      </c>
      <c r="D629" s="6">
        <v>91</v>
      </c>
      <c r="E629" s="6">
        <v>11</v>
      </c>
      <c r="F629" s="6" t="s">
        <v>39</v>
      </c>
      <c r="G629" s="7">
        <v>119433</v>
      </c>
      <c r="H629" s="6" t="s">
        <v>27</v>
      </c>
    </row>
    <row r="630" spans="1:8" ht="23" customHeight="1">
      <c r="A630" s="6">
        <v>5</v>
      </c>
      <c r="B630" s="6">
        <v>2</v>
      </c>
      <c r="C630" s="6">
        <v>137</v>
      </c>
      <c r="D630" s="6">
        <v>91</v>
      </c>
      <c r="E630" s="6">
        <v>12</v>
      </c>
      <c r="F630" s="6" t="s">
        <v>40</v>
      </c>
      <c r="G630" s="7">
        <v>119433</v>
      </c>
      <c r="H630" s="6" t="s">
        <v>27</v>
      </c>
    </row>
    <row r="631" spans="1:8" ht="23" customHeight="1">
      <c r="A631" s="6">
        <v>5</v>
      </c>
      <c r="B631" s="6">
        <v>2</v>
      </c>
      <c r="C631" s="6">
        <v>137</v>
      </c>
      <c r="D631" s="6">
        <v>91</v>
      </c>
      <c r="E631" s="6">
        <v>13</v>
      </c>
      <c r="F631" s="6" t="s">
        <v>41</v>
      </c>
      <c r="G631" s="7">
        <v>119433</v>
      </c>
      <c r="H631" s="6" t="s">
        <v>27</v>
      </c>
    </row>
    <row r="632" spans="1:8" ht="23" customHeight="1">
      <c r="A632" s="6">
        <v>5</v>
      </c>
      <c r="B632" s="6">
        <v>2</v>
      </c>
      <c r="C632" s="6">
        <v>138</v>
      </c>
      <c r="D632" s="6">
        <v>92</v>
      </c>
      <c r="E632" s="6">
        <v>4</v>
      </c>
      <c r="F632" s="6" t="s">
        <v>31</v>
      </c>
      <c r="G632" s="7">
        <v>69957</v>
      </c>
      <c r="H632" s="6" t="s">
        <v>27</v>
      </c>
    </row>
    <row r="633" spans="1:8" ht="23" customHeight="1">
      <c r="A633" s="6">
        <v>5</v>
      </c>
      <c r="B633" s="6">
        <v>2</v>
      </c>
      <c r="C633" s="6">
        <v>138</v>
      </c>
      <c r="D633" s="6">
        <v>92</v>
      </c>
      <c r="E633" s="6">
        <v>5</v>
      </c>
      <c r="F633" s="6" t="s">
        <v>32</v>
      </c>
      <c r="G633" s="7">
        <v>448.5</v>
      </c>
      <c r="H633" s="6" t="s">
        <v>33</v>
      </c>
    </row>
    <row r="634" spans="1:8" ht="23" customHeight="1">
      <c r="A634" s="6">
        <v>5</v>
      </c>
      <c r="B634" s="6">
        <v>2</v>
      </c>
      <c r="C634" s="6">
        <v>138</v>
      </c>
      <c r="D634" s="6">
        <v>92</v>
      </c>
      <c r="E634" s="6">
        <v>6</v>
      </c>
      <c r="F634" s="6" t="s">
        <v>34</v>
      </c>
      <c r="G634" s="7">
        <v>448.5</v>
      </c>
      <c r="H634" s="6" t="s">
        <v>33</v>
      </c>
    </row>
    <row r="635" spans="1:8" ht="23" customHeight="1">
      <c r="A635" s="6">
        <v>5</v>
      </c>
      <c r="B635" s="6">
        <v>2</v>
      </c>
      <c r="C635" s="6">
        <v>138</v>
      </c>
      <c r="D635" s="6">
        <v>92</v>
      </c>
      <c r="E635" s="6">
        <v>7</v>
      </c>
      <c r="F635" s="6" t="s">
        <v>35</v>
      </c>
      <c r="G635" s="7">
        <v>69957</v>
      </c>
      <c r="H635" s="6" t="s">
        <v>27</v>
      </c>
    </row>
    <row r="636" spans="1:8" ht="23" customHeight="1">
      <c r="A636" s="6">
        <v>5</v>
      </c>
      <c r="B636" s="6">
        <v>2</v>
      </c>
      <c r="C636" s="6">
        <v>138</v>
      </c>
      <c r="D636" s="6">
        <v>92</v>
      </c>
      <c r="E636" s="6">
        <v>8</v>
      </c>
      <c r="F636" s="6" t="s">
        <v>36</v>
      </c>
      <c r="G636" s="7">
        <v>448.5</v>
      </c>
      <c r="H636" s="6" t="s">
        <v>33</v>
      </c>
    </row>
    <row r="637" spans="1:8" ht="23" customHeight="1">
      <c r="A637" s="6">
        <v>5</v>
      </c>
      <c r="B637" s="6">
        <v>2</v>
      </c>
      <c r="C637" s="6">
        <v>138</v>
      </c>
      <c r="D637" s="6">
        <v>92</v>
      </c>
      <c r="E637" s="6">
        <v>9</v>
      </c>
      <c r="F637" s="6" t="s">
        <v>37</v>
      </c>
      <c r="G637" s="7">
        <v>448.5</v>
      </c>
      <c r="H637" s="6" t="s">
        <v>33</v>
      </c>
    </row>
    <row r="638" spans="1:8" ht="23" customHeight="1">
      <c r="A638" s="6">
        <v>5</v>
      </c>
      <c r="B638" s="6">
        <v>2</v>
      </c>
      <c r="C638" s="6">
        <v>138</v>
      </c>
      <c r="D638" s="6">
        <v>92</v>
      </c>
      <c r="E638" s="6">
        <v>10</v>
      </c>
      <c r="F638" s="6" t="s">
        <v>38</v>
      </c>
      <c r="G638" s="7">
        <v>69957</v>
      </c>
      <c r="H638" s="6" t="s">
        <v>27</v>
      </c>
    </row>
    <row r="639" spans="1:8" ht="23" customHeight="1">
      <c r="A639" s="6">
        <v>5</v>
      </c>
      <c r="B639" s="6">
        <v>2</v>
      </c>
      <c r="C639" s="6">
        <v>138</v>
      </c>
      <c r="D639" s="6">
        <v>92</v>
      </c>
      <c r="E639" s="6">
        <v>11</v>
      </c>
      <c r="F639" s="6" t="s">
        <v>39</v>
      </c>
      <c r="G639" s="7">
        <v>69957</v>
      </c>
      <c r="H639" s="6" t="s">
        <v>27</v>
      </c>
    </row>
    <row r="640" spans="1:8" ht="23" customHeight="1">
      <c r="A640" s="6">
        <v>5</v>
      </c>
      <c r="B640" s="6">
        <v>2</v>
      </c>
      <c r="C640" s="6">
        <v>138</v>
      </c>
      <c r="D640" s="6">
        <v>92</v>
      </c>
      <c r="E640" s="6">
        <v>12</v>
      </c>
      <c r="F640" s="6" t="s">
        <v>40</v>
      </c>
      <c r="G640" s="7">
        <v>69957</v>
      </c>
      <c r="H640" s="6" t="s">
        <v>27</v>
      </c>
    </row>
    <row r="641" spans="1:8" ht="23" customHeight="1">
      <c r="A641" s="6">
        <v>5</v>
      </c>
      <c r="B641" s="6">
        <v>2</v>
      </c>
      <c r="C641" s="6">
        <v>138</v>
      </c>
      <c r="D641" s="6">
        <v>92</v>
      </c>
      <c r="E641" s="6">
        <v>13</v>
      </c>
      <c r="F641" s="6" t="s">
        <v>41</v>
      </c>
      <c r="G641" s="7">
        <v>69957</v>
      </c>
      <c r="H641" s="6" t="s">
        <v>27</v>
      </c>
    </row>
    <row r="642" spans="1:8" ht="23" customHeight="1">
      <c r="A642" s="6">
        <v>5</v>
      </c>
      <c r="B642" s="6">
        <v>2</v>
      </c>
      <c r="C642" s="6">
        <v>139</v>
      </c>
      <c r="D642" s="6">
        <v>93</v>
      </c>
      <c r="E642" s="6">
        <v>4</v>
      </c>
      <c r="F642" s="6" t="s">
        <v>31</v>
      </c>
      <c r="G642" s="7">
        <v>69957</v>
      </c>
      <c r="H642" s="6" t="s">
        <v>27</v>
      </c>
    </row>
    <row r="643" spans="1:8" ht="23" customHeight="1">
      <c r="A643" s="6">
        <v>5</v>
      </c>
      <c r="B643" s="6">
        <v>2</v>
      </c>
      <c r="C643" s="6">
        <v>139</v>
      </c>
      <c r="D643" s="6">
        <v>93</v>
      </c>
      <c r="E643" s="6">
        <v>5</v>
      </c>
      <c r="F643" s="6" t="s">
        <v>32</v>
      </c>
      <c r="G643" s="7">
        <v>448.5</v>
      </c>
      <c r="H643" s="6" t="s">
        <v>33</v>
      </c>
    </row>
    <row r="644" spans="1:8" ht="23" customHeight="1">
      <c r="A644" s="6">
        <v>5</v>
      </c>
      <c r="B644" s="6">
        <v>2</v>
      </c>
      <c r="C644" s="6">
        <v>139</v>
      </c>
      <c r="D644" s="6">
        <v>93</v>
      </c>
      <c r="E644" s="6">
        <v>6</v>
      </c>
      <c r="F644" s="6" t="s">
        <v>34</v>
      </c>
      <c r="G644" s="7">
        <v>448.5</v>
      </c>
      <c r="H644" s="6" t="s">
        <v>33</v>
      </c>
    </row>
    <row r="645" spans="1:8" ht="23" customHeight="1">
      <c r="A645" s="6">
        <v>5</v>
      </c>
      <c r="B645" s="6">
        <v>2</v>
      </c>
      <c r="C645" s="6">
        <v>139</v>
      </c>
      <c r="D645" s="6">
        <v>93</v>
      </c>
      <c r="E645" s="6">
        <v>7</v>
      </c>
      <c r="F645" s="6" t="s">
        <v>35</v>
      </c>
      <c r="G645" s="7">
        <v>69957</v>
      </c>
      <c r="H645" s="6" t="s">
        <v>27</v>
      </c>
    </row>
    <row r="646" spans="1:8" ht="23" customHeight="1">
      <c r="A646" s="6">
        <v>5</v>
      </c>
      <c r="B646" s="6">
        <v>2</v>
      </c>
      <c r="C646" s="6">
        <v>139</v>
      </c>
      <c r="D646" s="6">
        <v>93</v>
      </c>
      <c r="E646" s="6">
        <v>8</v>
      </c>
      <c r="F646" s="6" t="s">
        <v>36</v>
      </c>
      <c r="G646" s="7">
        <v>448.5</v>
      </c>
      <c r="H646" s="6" t="s">
        <v>33</v>
      </c>
    </row>
    <row r="647" spans="1:8" ht="23" customHeight="1">
      <c r="A647" s="6">
        <v>5</v>
      </c>
      <c r="B647" s="6">
        <v>2</v>
      </c>
      <c r="C647" s="6">
        <v>139</v>
      </c>
      <c r="D647" s="6">
        <v>93</v>
      </c>
      <c r="E647" s="6">
        <v>9</v>
      </c>
      <c r="F647" s="6" t="s">
        <v>37</v>
      </c>
      <c r="G647" s="7">
        <v>448.5</v>
      </c>
      <c r="H647" s="6" t="s">
        <v>33</v>
      </c>
    </row>
    <row r="648" spans="1:8" ht="23" customHeight="1">
      <c r="A648" s="6">
        <v>5</v>
      </c>
      <c r="B648" s="6">
        <v>2</v>
      </c>
      <c r="C648" s="6">
        <v>139</v>
      </c>
      <c r="D648" s="6">
        <v>93</v>
      </c>
      <c r="E648" s="6">
        <v>10</v>
      </c>
      <c r="F648" s="6" t="s">
        <v>38</v>
      </c>
      <c r="G648" s="7">
        <v>69957</v>
      </c>
      <c r="H648" s="6" t="s">
        <v>27</v>
      </c>
    </row>
    <row r="649" spans="1:8" ht="23" customHeight="1">
      <c r="A649" s="6">
        <v>5</v>
      </c>
      <c r="B649" s="6">
        <v>2</v>
      </c>
      <c r="C649" s="6">
        <v>139</v>
      </c>
      <c r="D649" s="6">
        <v>93</v>
      </c>
      <c r="E649" s="6">
        <v>11</v>
      </c>
      <c r="F649" s="6" t="s">
        <v>39</v>
      </c>
      <c r="G649" s="7">
        <v>69957</v>
      </c>
      <c r="H649" s="6" t="s">
        <v>27</v>
      </c>
    </row>
    <row r="650" spans="1:8" ht="23" customHeight="1">
      <c r="A650" s="6">
        <v>5</v>
      </c>
      <c r="B650" s="6">
        <v>2</v>
      </c>
      <c r="C650" s="6">
        <v>139</v>
      </c>
      <c r="D650" s="6">
        <v>93</v>
      </c>
      <c r="E650" s="6">
        <v>12</v>
      </c>
      <c r="F650" s="6" t="s">
        <v>40</v>
      </c>
      <c r="G650" s="7">
        <v>69957</v>
      </c>
      <c r="H650" s="6" t="s">
        <v>27</v>
      </c>
    </row>
    <row r="651" spans="1:8" ht="23" customHeight="1">
      <c r="A651" s="6">
        <v>5</v>
      </c>
      <c r="B651" s="6">
        <v>2</v>
      </c>
      <c r="C651" s="6">
        <v>139</v>
      </c>
      <c r="D651" s="6">
        <v>93</v>
      </c>
      <c r="E651" s="6">
        <v>13</v>
      </c>
      <c r="F651" s="6" t="s">
        <v>41</v>
      </c>
      <c r="G651" s="7">
        <v>69957</v>
      </c>
      <c r="H651" s="6" t="s">
        <v>27</v>
      </c>
    </row>
    <row r="652" spans="1:8" ht="23" customHeight="1">
      <c r="A652" s="6">
        <v>5</v>
      </c>
      <c r="B652" s="6">
        <v>2</v>
      </c>
      <c r="C652" s="6">
        <v>140</v>
      </c>
      <c r="D652" s="6">
        <v>94</v>
      </c>
      <c r="E652" s="6">
        <v>4</v>
      </c>
      <c r="F652" s="6" t="s">
        <v>31</v>
      </c>
      <c r="G652" s="7">
        <v>69957</v>
      </c>
      <c r="H652" s="6" t="s">
        <v>27</v>
      </c>
    </row>
    <row r="653" spans="1:8" ht="23" customHeight="1">
      <c r="A653" s="6">
        <v>5</v>
      </c>
      <c r="B653" s="6">
        <v>2</v>
      </c>
      <c r="C653" s="6">
        <v>140</v>
      </c>
      <c r="D653" s="6">
        <v>94</v>
      </c>
      <c r="E653" s="6">
        <v>5</v>
      </c>
      <c r="F653" s="6" t="s">
        <v>32</v>
      </c>
      <c r="G653" s="7">
        <v>448.5</v>
      </c>
      <c r="H653" s="6" t="s">
        <v>33</v>
      </c>
    </row>
    <row r="654" spans="1:8" ht="23" customHeight="1">
      <c r="A654" s="6">
        <v>5</v>
      </c>
      <c r="B654" s="6">
        <v>2</v>
      </c>
      <c r="C654" s="6">
        <v>140</v>
      </c>
      <c r="D654" s="6">
        <v>94</v>
      </c>
      <c r="E654" s="6">
        <v>6</v>
      </c>
      <c r="F654" s="6" t="s">
        <v>34</v>
      </c>
      <c r="G654" s="7">
        <v>448.5</v>
      </c>
      <c r="H654" s="6" t="s">
        <v>33</v>
      </c>
    </row>
    <row r="655" spans="1:8" ht="23" customHeight="1">
      <c r="A655" s="6">
        <v>5</v>
      </c>
      <c r="B655" s="6">
        <v>2</v>
      </c>
      <c r="C655" s="6">
        <v>140</v>
      </c>
      <c r="D655" s="6">
        <v>94</v>
      </c>
      <c r="E655" s="6">
        <v>7</v>
      </c>
      <c r="F655" s="6" t="s">
        <v>35</v>
      </c>
      <c r="G655" s="7">
        <v>69957</v>
      </c>
      <c r="H655" s="6" t="s">
        <v>27</v>
      </c>
    </row>
    <row r="656" spans="1:8" ht="23" customHeight="1">
      <c r="A656" s="6">
        <v>5</v>
      </c>
      <c r="B656" s="6">
        <v>2</v>
      </c>
      <c r="C656" s="6">
        <v>140</v>
      </c>
      <c r="D656" s="6">
        <v>94</v>
      </c>
      <c r="E656" s="6">
        <v>8</v>
      </c>
      <c r="F656" s="6" t="s">
        <v>36</v>
      </c>
      <c r="G656" s="7">
        <v>448.5</v>
      </c>
      <c r="H656" s="6" t="s">
        <v>33</v>
      </c>
    </row>
    <row r="657" spans="1:8" ht="23" customHeight="1">
      <c r="A657" s="6">
        <v>5</v>
      </c>
      <c r="B657" s="6">
        <v>2</v>
      </c>
      <c r="C657" s="6">
        <v>140</v>
      </c>
      <c r="D657" s="6">
        <v>94</v>
      </c>
      <c r="E657" s="6">
        <v>9</v>
      </c>
      <c r="F657" s="6" t="s">
        <v>37</v>
      </c>
      <c r="G657" s="7">
        <v>448.5</v>
      </c>
      <c r="H657" s="6" t="s">
        <v>33</v>
      </c>
    </row>
    <row r="658" spans="1:8" ht="23" customHeight="1">
      <c r="A658" s="6">
        <v>5</v>
      </c>
      <c r="B658" s="6">
        <v>2</v>
      </c>
      <c r="C658" s="6">
        <v>140</v>
      </c>
      <c r="D658" s="6">
        <v>94</v>
      </c>
      <c r="E658" s="6">
        <v>10</v>
      </c>
      <c r="F658" s="6" t="s">
        <v>38</v>
      </c>
      <c r="G658" s="7">
        <v>69957</v>
      </c>
      <c r="H658" s="6" t="s">
        <v>27</v>
      </c>
    </row>
    <row r="659" spans="1:8" ht="23" customHeight="1">
      <c r="A659" s="6">
        <v>5</v>
      </c>
      <c r="B659" s="6">
        <v>2</v>
      </c>
      <c r="C659" s="6">
        <v>140</v>
      </c>
      <c r="D659" s="6">
        <v>94</v>
      </c>
      <c r="E659" s="6">
        <v>11</v>
      </c>
      <c r="F659" s="6" t="s">
        <v>39</v>
      </c>
      <c r="G659" s="7">
        <v>69957</v>
      </c>
      <c r="H659" s="6" t="s">
        <v>27</v>
      </c>
    </row>
    <row r="660" spans="1:8" ht="23" customHeight="1">
      <c r="A660" s="6">
        <v>5</v>
      </c>
      <c r="B660" s="6">
        <v>2</v>
      </c>
      <c r="C660" s="6">
        <v>140</v>
      </c>
      <c r="D660" s="6">
        <v>94</v>
      </c>
      <c r="E660" s="6">
        <v>12</v>
      </c>
      <c r="F660" s="6" t="s">
        <v>40</v>
      </c>
      <c r="G660" s="7">
        <v>69957</v>
      </c>
      <c r="H660" s="6" t="s">
        <v>27</v>
      </c>
    </row>
    <row r="661" spans="1:8" ht="23" customHeight="1">
      <c r="A661" s="6">
        <v>5</v>
      </c>
      <c r="B661" s="6">
        <v>2</v>
      </c>
      <c r="C661" s="6">
        <v>140</v>
      </c>
      <c r="D661" s="6">
        <v>94</v>
      </c>
      <c r="E661" s="6">
        <v>13</v>
      </c>
      <c r="F661" s="6" t="s">
        <v>41</v>
      </c>
      <c r="G661" s="7">
        <v>69957</v>
      </c>
      <c r="H661" s="6" t="s">
        <v>27</v>
      </c>
    </row>
    <row r="662" spans="1:8" ht="23" customHeight="1">
      <c r="A662" s="6">
        <v>5</v>
      </c>
      <c r="B662" s="6">
        <v>2</v>
      </c>
      <c r="C662" s="6">
        <v>141</v>
      </c>
      <c r="D662" s="6">
        <v>95</v>
      </c>
      <c r="E662" s="6">
        <v>4</v>
      </c>
      <c r="F662" s="6" t="s">
        <v>31</v>
      </c>
      <c r="G662" s="7">
        <v>69957</v>
      </c>
      <c r="H662" s="6" t="s">
        <v>27</v>
      </c>
    </row>
    <row r="663" spans="1:8" ht="23" customHeight="1">
      <c r="A663" s="6">
        <v>5</v>
      </c>
      <c r="B663" s="6">
        <v>2</v>
      </c>
      <c r="C663" s="6">
        <v>141</v>
      </c>
      <c r="D663" s="6">
        <v>95</v>
      </c>
      <c r="E663" s="6">
        <v>5</v>
      </c>
      <c r="F663" s="6" t="s">
        <v>32</v>
      </c>
      <c r="G663" s="7">
        <v>448.5</v>
      </c>
      <c r="H663" s="6" t="s">
        <v>33</v>
      </c>
    </row>
    <row r="664" spans="1:8" ht="23" customHeight="1">
      <c r="A664" s="6">
        <v>5</v>
      </c>
      <c r="B664" s="6">
        <v>2</v>
      </c>
      <c r="C664" s="6">
        <v>141</v>
      </c>
      <c r="D664" s="6">
        <v>95</v>
      </c>
      <c r="E664" s="6">
        <v>6</v>
      </c>
      <c r="F664" s="6" t="s">
        <v>34</v>
      </c>
      <c r="G664" s="7">
        <v>448.5</v>
      </c>
      <c r="H664" s="6" t="s">
        <v>33</v>
      </c>
    </row>
    <row r="665" spans="1:8" ht="23" customHeight="1">
      <c r="A665" s="6">
        <v>5</v>
      </c>
      <c r="B665" s="6">
        <v>2</v>
      </c>
      <c r="C665" s="6">
        <v>141</v>
      </c>
      <c r="D665" s="6">
        <v>95</v>
      </c>
      <c r="E665" s="6">
        <v>7</v>
      </c>
      <c r="F665" s="6" t="s">
        <v>35</v>
      </c>
      <c r="G665" s="7">
        <v>69957</v>
      </c>
      <c r="H665" s="6" t="s">
        <v>27</v>
      </c>
    </row>
    <row r="666" spans="1:8" ht="23" customHeight="1">
      <c r="A666" s="6">
        <v>5</v>
      </c>
      <c r="B666" s="6">
        <v>2</v>
      </c>
      <c r="C666" s="6">
        <v>141</v>
      </c>
      <c r="D666" s="6">
        <v>95</v>
      </c>
      <c r="E666" s="6">
        <v>8</v>
      </c>
      <c r="F666" s="6" t="s">
        <v>36</v>
      </c>
      <c r="G666" s="7">
        <v>448.5</v>
      </c>
      <c r="H666" s="6" t="s">
        <v>33</v>
      </c>
    </row>
    <row r="667" spans="1:8" ht="23" customHeight="1">
      <c r="A667" s="6">
        <v>5</v>
      </c>
      <c r="B667" s="6">
        <v>2</v>
      </c>
      <c r="C667" s="6">
        <v>141</v>
      </c>
      <c r="D667" s="6">
        <v>95</v>
      </c>
      <c r="E667" s="6">
        <v>9</v>
      </c>
      <c r="F667" s="6" t="s">
        <v>37</v>
      </c>
      <c r="G667" s="7">
        <v>448.5</v>
      </c>
      <c r="H667" s="6" t="s">
        <v>33</v>
      </c>
    </row>
    <row r="668" spans="1:8" ht="23" customHeight="1">
      <c r="A668" s="6">
        <v>5</v>
      </c>
      <c r="B668" s="6">
        <v>2</v>
      </c>
      <c r="C668" s="6">
        <v>141</v>
      </c>
      <c r="D668" s="6">
        <v>95</v>
      </c>
      <c r="E668" s="6">
        <v>10</v>
      </c>
      <c r="F668" s="6" t="s">
        <v>38</v>
      </c>
      <c r="G668" s="7">
        <v>69957</v>
      </c>
      <c r="H668" s="6" t="s">
        <v>27</v>
      </c>
    </row>
    <row r="669" spans="1:8" ht="23" customHeight="1">
      <c r="A669" s="6">
        <v>5</v>
      </c>
      <c r="B669" s="6">
        <v>2</v>
      </c>
      <c r="C669" s="6">
        <v>141</v>
      </c>
      <c r="D669" s="6">
        <v>95</v>
      </c>
      <c r="E669" s="6">
        <v>11</v>
      </c>
      <c r="F669" s="6" t="s">
        <v>39</v>
      </c>
      <c r="G669" s="7">
        <v>69957</v>
      </c>
      <c r="H669" s="6" t="s">
        <v>27</v>
      </c>
    </row>
    <row r="670" spans="1:8" ht="23" customHeight="1">
      <c r="A670" s="6">
        <v>5</v>
      </c>
      <c r="B670" s="6">
        <v>2</v>
      </c>
      <c r="C670" s="6">
        <v>141</v>
      </c>
      <c r="D670" s="6">
        <v>95</v>
      </c>
      <c r="E670" s="6">
        <v>12</v>
      </c>
      <c r="F670" s="6" t="s">
        <v>40</v>
      </c>
      <c r="G670" s="7">
        <v>69957</v>
      </c>
      <c r="H670" s="6" t="s">
        <v>27</v>
      </c>
    </row>
    <row r="671" spans="1:8" ht="23" customHeight="1">
      <c r="A671" s="6">
        <v>5</v>
      </c>
      <c r="B671" s="6">
        <v>2</v>
      </c>
      <c r="C671" s="6">
        <v>141</v>
      </c>
      <c r="D671" s="6">
        <v>95</v>
      </c>
      <c r="E671" s="6">
        <v>13</v>
      </c>
      <c r="F671" s="6" t="s">
        <v>41</v>
      </c>
      <c r="G671" s="7">
        <v>69957</v>
      </c>
      <c r="H671" s="6" t="s">
        <v>27</v>
      </c>
    </row>
    <row r="672" spans="1:8" ht="23" customHeight="1">
      <c r="A672" s="6">
        <v>5</v>
      </c>
      <c r="B672" s="6">
        <v>2</v>
      </c>
      <c r="C672" s="6">
        <v>142</v>
      </c>
      <c r="D672" s="6">
        <v>96</v>
      </c>
      <c r="E672" s="6">
        <v>4</v>
      </c>
      <c r="F672" s="6" t="s">
        <v>31</v>
      </c>
      <c r="G672" s="7">
        <v>69957</v>
      </c>
      <c r="H672" s="6" t="s">
        <v>27</v>
      </c>
    </row>
    <row r="673" spans="1:8" ht="23" customHeight="1">
      <c r="A673" s="6">
        <v>5</v>
      </c>
      <c r="B673" s="6">
        <v>2</v>
      </c>
      <c r="C673" s="6">
        <v>142</v>
      </c>
      <c r="D673" s="6">
        <v>96</v>
      </c>
      <c r="E673" s="6">
        <v>5</v>
      </c>
      <c r="F673" s="6" t="s">
        <v>32</v>
      </c>
      <c r="G673" s="7">
        <v>448.5</v>
      </c>
      <c r="H673" s="6" t="s">
        <v>33</v>
      </c>
    </row>
    <row r="674" spans="1:8" ht="23" customHeight="1">
      <c r="A674" s="6">
        <v>5</v>
      </c>
      <c r="B674" s="6">
        <v>2</v>
      </c>
      <c r="C674" s="6">
        <v>142</v>
      </c>
      <c r="D674" s="6">
        <v>96</v>
      </c>
      <c r="E674" s="6">
        <v>6</v>
      </c>
      <c r="F674" s="6" t="s">
        <v>34</v>
      </c>
      <c r="G674" s="7">
        <v>448.5</v>
      </c>
      <c r="H674" s="6" t="s">
        <v>33</v>
      </c>
    </row>
    <row r="675" spans="1:8" ht="23" customHeight="1">
      <c r="A675" s="6">
        <v>5</v>
      </c>
      <c r="B675" s="6">
        <v>2</v>
      </c>
      <c r="C675" s="6">
        <v>142</v>
      </c>
      <c r="D675" s="6">
        <v>96</v>
      </c>
      <c r="E675" s="6">
        <v>7</v>
      </c>
      <c r="F675" s="6" t="s">
        <v>35</v>
      </c>
      <c r="G675" s="7">
        <v>69957</v>
      </c>
      <c r="H675" s="6" t="s">
        <v>27</v>
      </c>
    </row>
    <row r="676" spans="1:8" ht="23" customHeight="1">
      <c r="A676" s="6">
        <v>5</v>
      </c>
      <c r="B676" s="6">
        <v>2</v>
      </c>
      <c r="C676" s="6">
        <v>142</v>
      </c>
      <c r="D676" s="6">
        <v>96</v>
      </c>
      <c r="E676" s="6">
        <v>8</v>
      </c>
      <c r="F676" s="6" t="s">
        <v>36</v>
      </c>
      <c r="G676" s="7">
        <v>448.5</v>
      </c>
      <c r="H676" s="6" t="s">
        <v>33</v>
      </c>
    </row>
    <row r="677" spans="1:8" ht="23" customHeight="1">
      <c r="A677" s="6">
        <v>5</v>
      </c>
      <c r="B677" s="6">
        <v>2</v>
      </c>
      <c r="C677" s="6">
        <v>142</v>
      </c>
      <c r="D677" s="6">
        <v>96</v>
      </c>
      <c r="E677" s="6">
        <v>9</v>
      </c>
      <c r="F677" s="6" t="s">
        <v>37</v>
      </c>
      <c r="G677" s="7">
        <v>448.5</v>
      </c>
      <c r="H677" s="6" t="s">
        <v>33</v>
      </c>
    </row>
    <row r="678" spans="1:8" ht="23" customHeight="1">
      <c r="A678" s="6">
        <v>5</v>
      </c>
      <c r="B678" s="6">
        <v>2</v>
      </c>
      <c r="C678" s="6">
        <v>142</v>
      </c>
      <c r="D678" s="6">
        <v>96</v>
      </c>
      <c r="E678" s="6">
        <v>10</v>
      </c>
      <c r="F678" s="6" t="s">
        <v>38</v>
      </c>
      <c r="G678" s="7">
        <v>69957</v>
      </c>
      <c r="H678" s="6" t="s">
        <v>27</v>
      </c>
    </row>
    <row r="679" spans="1:8" ht="23" customHeight="1">
      <c r="A679" s="6">
        <v>5</v>
      </c>
      <c r="B679" s="6">
        <v>2</v>
      </c>
      <c r="C679" s="6">
        <v>142</v>
      </c>
      <c r="D679" s="6">
        <v>96</v>
      </c>
      <c r="E679" s="6">
        <v>11</v>
      </c>
      <c r="F679" s="6" t="s">
        <v>39</v>
      </c>
      <c r="G679" s="7">
        <v>69957</v>
      </c>
      <c r="H679" s="6" t="s">
        <v>27</v>
      </c>
    </row>
    <row r="680" spans="1:8" ht="23" customHeight="1">
      <c r="A680" s="6">
        <v>5</v>
      </c>
      <c r="B680" s="6">
        <v>2</v>
      </c>
      <c r="C680" s="6">
        <v>142</v>
      </c>
      <c r="D680" s="6">
        <v>96</v>
      </c>
      <c r="E680" s="6">
        <v>12</v>
      </c>
      <c r="F680" s="6" t="s">
        <v>40</v>
      </c>
      <c r="G680" s="7">
        <v>69957</v>
      </c>
      <c r="H680" s="6" t="s">
        <v>27</v>
      </c>
    </row>
    <row r="681" spans="1:8" ht="23" customHeight="1">
      <c r="A681" s="6">
        <v>5</v>
      </c>
      <c r="B681" s="6">
        <v>2</v>
      </c>
      <c r="C681" s="6">
        <v>142</v>
      </c>
      <c r="D681" s="6">
        <v>96</v>
      </c>
      <c r="E681" s="6">
        <v>13</v>
      </c>
      <c r="F681" s="6" t="s">
        <v>41</v>
      </c>
      <c r="G681" s="7">
        <v>69957</v>
      </c>
      <c r="H681" s="6" t="s">
        <v>27</v>
      </c>
    </row>
    <row r="682" spans="1:8" ht="23" customHeight="1">
      <c r="A682" s="6">
        <v>5</v>
      </c>
      <c r="B682" s="6">
        <v>2</v>
      </c>
      <c r="C682" s="6">
        <v>143</v>
      </c>
      <c r="D682" s="6">
        <v>97</v>
      </c>
      <c r="E682" s="6">
        <v>4</v>
      </c>
      <c r="F682" s="6" t="s">
        <v>31</v>
      </c>
      <c r="G682" s="7">
        <v>69957</v>
      </c>
      <c r="H682" s="6" t="s">
        <v>27</v>
      </c>
    </row>
    <row r="683" spans="1:8" ht="23" customHeight="1">
      <c r="A683" s="6">
        <v>5</v>
      </c>
      <c r="B683" s="6">
        <v>2</v>
      </c>
      <c r="C683" s="6">
        <v>143</v>
      </c>
      <c r="D683" s="6">
        <v>97</v>
      </c>
      <c r="E683" s="6">
        <v>5</v>
      </c>
      <c r="F683" s="6" t="s">
        <v>32</v>
      </c>
      <c r="G683" s="7">
        <v>448.5</v>
      </c>
      <c r="H683" s="6" t="s">
        <v>33</v>
      </c>
    </row>
    <row r="684" spans="1:8" ht="23" customHeight="1">
      <c r="A684" s="6">
        <v>5</v>
      </c>
      <c r="B684" s="6">
        <v>2</v>
      </c>
      <c r="C684" s="6">
        <v>143</v>
      </c>
      <c r="D684" s="6">
        <v>97</v>
      </c>
      <c r="E684" s="6">
        <v>6</v>
      </c>
      <c r="F684" s="6" t="s">
        <v>34</v>
      </c>
      <c r="G684" s="7">
        <v>448.5</v>
      </c>
      <c r="H684" s="6" t="s">
        <v>33</v>
      </c>
    </row>
    <row r="685" spans="1:8" ht="23" customHeight="1">
      <c r="A685" s="6">
        <v>5</v>
      </c>
      <c r="B685" s="6">
        <v>2</v>
      </c>
      <c r="C685" s="6">
        <v>143</v>
      </c>
      <c r="D685" s="6">
        <v>97</v>
      </c>
      <c r="E685" s="6">
        <v>7</v>
      </c>
      <c r="F685" s="6" t="s">
        <v>35</v>
      </c>
      <c r="G685" s="7">
        <v>69957</v>
      </c>
      <c r="H685" s="6" t="s">
        <v>27</v>
      </c>
    </row>
    <row r="686" spans="1:8" ht="23" customHeight="1">
      <c r="A686" s="6">
        <v>5</v>
      </c>
      <c r="B686" s="6">
        <v>2</v>
      </c>
      <c r="C686" s="6">
        <v>143</v>
      </c>
      <c r="D686" s="6">
        <v>97</v>
      </c>
      <c r="E686" s="6">
        <v>8</v>
      </c>
      <c r="F686" s="6" t="s">
        <v>36</v>
      </c>
      <c r="G686" s="7">
        <v>448.5</v>
      </c>
      <c r="H686" s="6" t="s">
        <v>33</v>
      </c>
    </row>
    <row r="687" spans="1:8" ht="23" customHeight="1">
      <c r="A687" s="6">
        <v>5</v>
      </c>
      <c r="B687" s="6">
        <v>2</v>
      </c>
      <c r="C687" s="6">
        <v>143</v>
      </c>
      <c r="D687" s="6">
        <v>97</v>
      </c>
      <c r="E687" s="6">
        <v>9</v>
      </c>
      <c r="F687" s="6" t="s">
        <v>37</v>
      </c>
      <c r="G687" s="7">
        <v>448.5</v>
      </c>
      <c r="H687" s="6" t="s">
        <v>33</v>
      </c>
    </row>
    <row r="688" spans="1:8" ht="23" customHeight="1">
      <c r="A688" s="6">
        <v>5</v>
      </c>
      <c r="B688" s="6">
        <v>2</v>
      </c>
      <c r="C688" s="6">
        <v>143</v>
      </c>
      <c r="D688" s="6">
        <v>97</v>
      </c>
      <c r="E688" s="6">
        <v>10</v>
      </c>
      <c r="F688" s="6" t="s">
        <v>38</v>
      </c>
      <c r="G688" s="7">
        <v>69957</v>
      </c>
      <c r="H688" s="6" t="s">
        <v>27</v>
      </c>
    </row>
    <row r="689" spans="1:8" ht="23" customHeight="1">
      <c r="A689" s="6">
        <v>5</v>
      </c>
      <c r="B689" s="6">
        <v>2</v>
      </c>
      <c r="C689" s="6">
        <v>143</v>
      </c>
      <c r="D689" s="6">
        <v>97</v>
      </c>
      <c r="E689" s="6">
        <v>11</v>
      </c>
      <c r="F689" s="6" t="s">
        <v>39</v>
      </c>
      <c r="G689" s="7">
        <v>69957</v>
      </c>
      <c r="H689" s="6" t="s">
        <v>27</v>
      </c>
    </row>
    <row r="690" spans="1:8" ht="23" customHeight="1">
      <c r="A690" s="6">
        <v>5</v>
      </c>
      <c r="B690" s="6">
        <v>2</v>
      </c>
      <c r="C690" s="6">
        <v>143</v>
      </c>
      <c r="D690" s="6">
        <v>97</v>
      </c>
      <c r="E690" s="6">
        <v>12</v>
      </c>
      <c r="F690" s="6" t="s">
        <v>40</v>
      </c>
      <c r="G690" s="7">
        <v>69957</v>
      </c>
      <c r="H690" s="6" t="s">
        <v>27</v>
      </c>
    </row>
    <row r="691" spans="1:8" ht="23" customHeight="1">
      <c r="A691" s="6">
        <v>5</v>
      </c>
      <c r="B691" s="6">
        <v>2</v>
      </c>
      <c r="C691" s="6">
        <v>143</v>
      </c>
      <c r="D691" s="6">
        <v>97</v>
      </c>
      <c r="E691" s="6">
        <v>13</v>
      </c>
      <c r="F691" s="6" t="s">
        <v>41</v>
      </c>
      <c r="G691" s="7">
        <v>69957</v>
      </c>
      <c r="H691" s="6" t="s">
        <v>27</v>
      </c>
    </row>
    <row r="692" spans="1:8" ht="23" customHeight="1">
      <c r="A692" s="6">
        <v>5</v>
      </c>
      <c r="B692" s="6">
        <v>2</v>
      </c>
      <c r="C692" s="6">
        <v>144</v>
      </c>
      <c r="D692" s="6">
        <v>98</v>
      </c>
      <c r="E692" s="6">
        <v>4</v>
      </c>
      <c r="F692" s="6" t="s">
        <v>31</v>
      </c>
      <c r="G692" s="7">
        <v>69957</v>
      </c>
      <c r="H692" s="6" t="s">
        <v>27</v>
      </c>
    </row>
    <row r="693" spans="1:8" ht="23" customHeight="1">
      <c r="A693" s="6">
        <v>5</v>
      </c>
      <c r="B693" s="6">
        <v>2</v>
      </c>
      <c r="C693" s="6">
        <v>144</v>
      </c>
      <c r="D693" s="6">
        <v>98</v>
      </c>
      <c r="E693" s="6">
        <v>5</v>
      </c>
      <c r="F693" s="6" t="s">
        <v>32</v>
      </c>
      <c r="G693" s="7">
        <v>448.5</v>
      </c>
      <c r="H693" s="6" t="s">
        <v>33</v>
      </c>
    </row>
    <row r="694" spans="1:8" ht="23" customHeight="1">
      <c r="A694" s="6">
        <v>5</v>
      </c>
      <c r="B694" s="6">
        <v>2</v>
      </c>
      <c r="C694" s="6">
        <v>144</v>
      </c>
      <c r="D694" s="6">
        <v>98</v>
      </c>
      <c r="E694" s="6">
        <v>6</v>
      </c>
      <c r="F694" s="6" t="s">
        <v>34</v>
      </c>
      <c r="G694" s="7">
        <v>448.5</v>
      </c>
      <c r="H694" s="6" t="s">
        <v>33</v>
      </c>
    </row>
    <row r="695" spans="1:8" ht="23" customHeight="1">
      <c r="A695" s="6">
        <v>5</v>
      </c>
      <c r="B695" s="6">
        <v>2</v>
      </c>
      <c r="C695" s="6">
        <v>144</v>
      </c>
      <c r="D695" s="6">
        <v>98</v>
      </c>
      <c r="E695" s="6">
        <v>7</v>
      </c>
      <c r="F695" s="6" t="s">
        <v>35</v>
      </c>
      <c r="G695" s="7">
        <v>69957</v>
      </c>
      <c r="H695" s="6" t="s">
        <v>27</v>
      </c>
    </row>
    <row r="696" spans="1:8" ht="23" customHeight="1">
      <c r="A696" s="6">
        <v>5</v>
      </c>
      <c r="B696" s="6">
        <v>2</v>
      </c>
      <c r="C696" s="6">
        <v>144</v>
      </c>
      <c r="D696" s="6">
        <v>98</v>
      </c>
      <c r="E696" s="6">
        <v>8</v>
      </c>
      <c r="F696" s="6" t="s">
        <v>36</v>
      </c>
      <c r="G696" s="7">
        <v>448.5</v>
      </c>
      <c r="H696" s="6" t="s">
        <v>33</v>
      </c>
    </row>
    <row r="697" spans="1:8" ht="23" customHeight="1">
      <c r="A697" s="6">
        <v>5</v>
      </c>
      <c r="B697" s="6">
        <v>2</v>
      </c>
      <c r="C697" s="6">
        <v>144</v>
      </c>
      <c r="D697" s="6">
        <v>98</v>
      </c>
      <c r="E697" s="6">
        <v>9</v>
      </c>
      <c r="F697" s="6" t="s">
        <v>37</v>
      </c>
      <c r="G697" s="7">
        <v>448.5</v>
      </c>
      <c r="H697" s="6" t="s">
        <v>33</v>
      </c>
    </row>
    <row r="698" spans="1:8" ht="23" customHeight="1">
      <c r="A698" s="6">
        <v>5</v>
      </c>
      <c r="B698" s="6">
        <v>2</v>
      </c>
      <c r="C698" s="6">
        <v>144</v>
      </c>
      <c r="D698" s="6">
        <v>98</v>
      </c>
      <c r="E698" s="6">
        <v>10</v>
      </c>
      <c r="F698" s="6" t="s">
        <v>38</v>
      </c>
      <c r="G698" s="7">
        <v>69957</v>
      </c>
      <c r="H698" s="6" t="s">
        <v>27</v>
      </c>
    </row>
    <row r="699" spans="1:8" ht="23" customHeight="1">
      <c r="A699" s="6">
        <v>5</v>
      </c>
      <c r="B699" s="6">
        <v>2</v>
      </c>
      <c r="C699" s="6">
        <v>144</v>
      </c>
      <c r="D699" s="6">
        <v>98</v>
      </c>
      <c r="E699" s="6">
        <v>11</v>
      </c>
      <c r="F699" s="6" t="s">
        <v>39</v>
      </c>
      <c r="G699" s="7">
        <v>69957</v>
      </c>
      <c r="H699" s="6" t="s">
        <v>27</v>
      </c>
    </row>
    <row r="700" spans="1:8" ht="23" customHeight="1">
      <c r="A700" s="6">
        <v>5</v>
      </c>
      <c r="B700" s="6">
        <v>2</v>
      </c>
      <c r="C700" s="6">
        <v>144</v>
      </c>
      <c r="D700" s="6">
        <v>98</v>
      </c>
      <c r="E700" s="6">
        <v>12</v>
      </c>
      <c r="F700" s="6" t="s">
        <v>40</v>
      </c>
      <c r="G700" s="7">
        <v>69957</v>
      </c>
      <c r="H700" s="6" t="s">
        <v>27</v>
      </c>
    </row>
    <row r="701" spans="1:8" ht="23" customHeight="1">
      <c r="A701" s="6">
        <v>5</v>
      </c>
      <c r="B701" s="6">
        <v>2</v>
      </c>
      <c r="C701" s="6">
        <v>144</v>
      </c>
      <c r="D701" s="6">
        <v>98</v>
      </c>
      <c r="E701" s="6">
        <v>13</v>
      </c>
      <c r="F701" s="6" t="s">
        <v>41</v>
      </c>
      <c r="G701" s="7">
        <v>69957</v>
      </c>
      <c r="H701" s="6" t="s">
        <v>27</v>
      </c>
    </row>
    <row r="702" spans="1:8" ht="23" customHeight="1">
      <c r="A702" s="6">
        <v>5</v>
      </c>
      <c r="B702" s="6">
        <v>2</v>
      </c>
      <c r="C702" s="6">
        <v>145</v>
      </c>
      <c r="D702" s="6">
        <v>99</v>
      </c>
      <c r="E702" s="6">
        <v>4</v>
      </c>
      <c r="F702" s="6" t="s">
        <v>31</v>
      </c>
      <c r="G702" s="7">
        <v>69957</v>
      </c>
      <c r="H702" s="6" t="s">
        <v>27</v>
      </c>
    </row>
    <row r="703" spans="1:8" ht="23" customHeight="1">
      <c r="A703" s="6">
        <v>5</v>
      </c>
      <c r="B703" s="6">
        <v>2</v>
      </c>
      <c r="C703" s="6">
        <v>145</v>
      </c>
      <c r="D703" s="6">
        <v>99</v>
      </c>
      <c r="E703" s="6">
        <v>5</v>
      </c>
      <c r="F703" s="6" t="s">
        <v>32</v>
      </c>
      <c r="G703" s="7">
        <v>448.5</v>
      </c>
      <c r="H703" s="6" t="s">
        <v>33</v>
      </c>
    </row>
    <row r="704" spans="1:8" ht="23" customHeight="1">
      <c r="A704" s="6">
        <v>5</v>
      </c>
      <c r="B704" s="6">
        <v>2</v>
      </c>
      <c r="C704" s="6">
        <v>145</v>
      </c>
      <c r="D704" s="6">
        <v>99</v>
      </c>
      <c r="E704" s="6">
        <v>6</v>
      </c>
      <c r="F704" s="6" t="s">
        <v>34</v>
      </c>
      <c r="G704" s="7">
        <v>448.5</v>
      </c>
      <c r="H704" s="6" t="s">
        <v>33</v>
      </c>
    </row>
    <row r="705" spans="1:8" ht="23" customHeight="1">
      <c r="A705" s="6">
        <v>5</v>
      </c>
      <c r="B705" s="6">
        <v>2</v>
      </c>
      <c r="C705" s="6">
        <v>145</v>
      </c>
      <c r="D705" s="6">
        <v>99</v>
      </c>
      <c r="E705" s="6">
        <v>7</v>
      </c>
      <c r="F705" s="6" t="s">
        <v>35</v>
      </c>
      <c r="G705" s="7">
        <v>69957</v>
      </c>
      <c r="H705" s="6" t="s">
        <v>27</v>
      </c>
    </row>
    <row r="706" spans="1:8" ht="23" customHeight="1">
      <c r="A706" s="6">
        <v>5</v>
      </c>
      <c r="B706" s="6">
        <v>2</v>
      </c>
      <c r="C706" s="6">
        <v>145</v>
      </c>
      <c r="D706" s="6">
        <v>99</v>
      </c>
      <c r="E706" s="6">
        <v>8</v>
      </c>
      <c r="F706" s="6" t="s">
        <v>36</v>
      </c>
      <c r="G706" s="7">
        <v>448.5</v>
      </c>
      <c r="H706" s="6" t="s">
        <v>33</v>
      </c>
    </row>
    <row r="707" spans="1:8" ht="23" customHeight="1">
      <c r="A707" s="6">
        <v>5</v>
      </c>
      <c r="B707" s="6">
        <v>2</v>
      </c>
      <c r="C707" s="6">
        <v>145</v>
      </c>
      <c r="D707" s="6">
        <v>99</v>
      </c>
      <c r="E707" s="6">
        <v>9</v>
      </c>
      <c r="F707" s="6" t="s">
        <v>37</v>
      </c>
      <c r="G707" s="7">
        <v>448.5</v>
      </c>
      <c r="H707" s="6" t="s">
        <v>33</v>
      </c>
    </row>
    <row r="708" spans="1:8" ht="23" customHeight="1">
      <c r="A708" s="6">
        <v>5</v>
      </c>
      <c r="B708" s="6">
        <v>2</v>
      </c>
      <c r="C708" s="6">
        <v>145</v>
      </c>
      <c r="D708" s="6">
        <v>99</v>
      </c>
      <c r="E708" s="6">
        <v>10</v>
      </c>
      <c r="F708" s="6" t="s">
        <v>38</v>
      </c>
      <c r="G708" s="7">
        <v>69957</v>
      </c>
      <c r="H708" s="6" t="s">
        <v>27</v>
      </c>
    </row>
    <row r="709" spans="1:8" ht="23" customHeight="1">
      <c r="A709" s="6">
        <v>5</v>
      </c>
      <c r="B709" s="6">
        <v>2</v>
      </c>
      <c r="C709" s="6">
        <v>145</v>
      </c>
      <c r="D709" s="6">
        <v>99</v>
      </c>
      <c r="E709" s="6">
        <v>11</v>
      </c>
      <c r="F709" s="6" t="s">
        <v>39</v>
      </c>
      <c r="G709" s="7">
        <v>69957</v>
      </c>
      <c r="H709" s="6" t="s">
        <v>27</v>
      </c>
    </row>
    <row r="710" spans="1:8" ht="23" customHeight="1">
      <c r="A710" s="6">
        <v>5</v>
      </c>
      <c r="B710" s="6">
        <v>2</v>
      </c>
      <c r="C710" s="6">
        <v>145</v>
      </c>
      <c r="D710" s="6">
        <v>99</v>
      </c>
      <c r="E710" s="6">
        <v>12</v>
      </c>
      <c r="F710" s="6" t="s">
        <v>40</v>
      </c>
      <c r="G710" s="7">
        <v>69957</v>
      </c>
      <c r="H710" s="6" t="s">
        <v>27</v>
      </c>
    </row>
    <row r="711" spans="1:8" ht="23" customHeight="1">
      <c r="A711" s="6">
        <v>5</v>
      </c>
      <c r="B711" s="6">
        <v>2</v>
      </c>
      <c r="C711" s="6">
        <v>145</v>
      </c>
      <c r="D711" s="6">
        <v>99</v>
      </c>
      <c r="E711" s="6">
        <v>13</v>
      </c>
      <c r="F711" s="6" t="s">
        <v>41</v>
      </c>
      <c r="G711" s="7">
        <v>69957</v>
      </c>
      <c r="H711" s="6" t="s">
        <v>27</v>
      </c>
    </row>
    <row r="712" spans="1:8" ht="23" customHeight="1">
      <c r="A712" s="6">
        <v>5</v>
      </c>
      <c r="B712" s="6">
        <v>2</v>
      </c>
      <c r="C712" s="6">
        <v>146</v>
      </c>
      <c r="D712" s="6">
        <v>100</v>
      </c>
      <c r="E712" s="6">
        <v>4</v>
      </c>
      <c r="F712" s="6" t="s">
        <v>31</v>
      </c>
      <c r="G712" s="7">
        <v>24216</v>
      </c>
      <c r="H712" s="6" t="s">
        <v>27</v>
      </c>
    </row>
    <row r="713" spans="1:8" ht="23" customHeight="1">
      <c r="A713" s="6">
        <v>5</v>
      </c>
      <c r="B713" s="6">
        <v>2</v>
      </c>
      <c r="C713" s="6">
        <v>146</v>
      </c>
      <c r="D713" s="6">
        <v>100</v>
      </c>
      <c r="E713" s="6">
        <v>5</v>
      </c>
      <c r="F713" s="6" t="s">
        <v>32</v>
      </c>
      <c r="G713" s="7">
        <v>155.3</v>
      </c>
      <c r="H713" s="6" t="s">
        <v>33</v>
      </c>
    </row>
    <row r="714" spans="1:8" ht="23" customHeight="1">
      <c r="A714" s="6">
        <v>5</v>
      </c>
      <c r="B714" s="6">
        <v>2</v>
      </c>
      <c r="C714" s="6">
        <v>146</v>
      </c>
      <c r="D714" s="6">
        <v>100</v>
      </c>
      <c r="E714" s="6">
        <v>6</v>
      </c>
      <c r="F714" s="6" t="s">
        <v>34</v>
      </c>
      <c r="G714" s="7">
        <v>155.3</v>
      </c>
      <c r="H714" s="6" t="s">
        <v>33</v>
      </c>
    </row>
    <row r="715" spans="1:8" ht="23" customHeight="1">
      <c r="A715" s="6">
        <v>5</v>
      </c>
      <c r="B715" s="6">
        <v>2</v>
      </c>
      <c r="C715" s="6">
        <v>146</v>
      </c>
      <c r="D715" s="6">
        <v>100</v>
      </c>
      <c r="E715" s="6">
        <v>7</v>
      </c>
      <c r="F715" s="6" t="s">
        <v>35</v>
      </c>
      <c r="G715" s="7">
        <v>24216</v>
      </c>
      <c r="H715" s="6" t="s">
        <v>27</v>
      </c>
    </row>
    <row r="716" spans="1:8" ht="23" customHeight="1">
      <c r="A716" s="6">
        <v>5</v>
      </c>
      <c r="B716" s="6">
        <v>2</v>
      </c>
      <c r="C716" s="6">
        <v>146</v>
      </c>
      <c r="D716" s="6">
        <v>100</v>
      </c>
      <c r="E716" s="6">
        <v>8</v>
      </c>
      <c r="F716" s="6" t="s">
        <v>36</v>
      </c>
      <c r="G716" s="7">
        <v>155.3</v>
      </c>
      <c r="H716" s="6" t="s">
        <v>33</v>
      </c>
    </row>
    <row r="717" spans="1:8" ht="23" customHeight="1">
      <c r="A717" s="6">
        <v>5</v>
      </c>
      <c r="B717" s="6">
        <v>2</v>
      </c>
      <c r="C717" s="6">
        <v>146</v>
      </c>
      <c r="D717" s="6">
        <v>100</v>
      </c>
      <c r="E717" s="6">
        <v>9</v>
      </c>
      <c r="F717" s="6" t="s">
        <v>37</v>
      </c>
      <c r="G717" s="7">
        <v>155.3</v>
      </c>
      <c r="H717" s="6" t="s">
        <v>33</v>
      </c>
    </row>
    <row r="718" spans="1:8" ht="23" customHeight="1">
      <c r="A718" s="6">
        <v>5</v>
      </c>
      <c r="B718" s="6">
        <v>2</v>
      </c>
      <c r="C718" s="6">
        <v>146</v>
      </c>
      <c r="D718" s="6">
        <v>100</v>
      </c>
      <c r="E718" s="6">
        <v>10</v>
      </c>
      <c r="F718" s="6" t="s">
        <v>38</v>
      </c>
      <c r="G718" s="7">
        <v>24216</v>
      </c>
      <c r="H718" s="6" t="s">
        <v>27</v>
      </c>
    </row>
    <row r="719" spans="1:8" ht="23" customHeight="1">
      <c r="A719" s="6">
        <v>5</v>
      </c>
      <c r="B719" s="6">
        <v>2</v>
      </c>
      <c r="C719" s="6">
        <v>146</v>
      </c>
      <c r="D719" s="6">
        <v>100</v>
      </c>
      <c r="E719" s="6">
        <v>11</v>
      </c>
      <c r="F719" s="6" t="s">
        <v>39</v>
      </c>
      <c r="G719" s="7">
        <v>24216</v>
      </c>
      <c r="H719" s="6" t="s">
        <v>27</v>
      </c>
    </row>
    <row r="720" spans="1:8" ht="23" customHeight="1">
      <c r="A720" s="6">
        <v>5</v>
      </c>
      <c r="B720" s="6">
        <v>2</v>
      </c>
      <c r="C720" s="6">
        <v>146</v>
      </c>
      <c r="D720" s="6">
        <v>100</v>
      </c>
      <c r="E720" s="6">
        <v>12</v>
      </c>
      <c r="F720" s="6" t="s">
        <v>40</v>
      </c>
      <c r="G720" s="7">
        <v>24216</v>
      </c>
      <c r="H720" s="6" t="s">
        <v>27</v>
      </c>
    </row>
    <row r="721" spans="1:8" ht="23" customHeight="1">
      <c r="A721" s="6">
        <v>5</v>
      </c>
      <c r="B721" s="6">
        <v>2</v>
      </c>
      <c r="C721" s="6">
        <v>146</v>
      </c>
      <c r="D721" s="6">
        <v>100</v>
      </c>
      <c r="E721" s="6">
        <v>13</v>
      </c>
      <c r="F721" s="6" t="s">
        <v>41</v>
      </c>
      <c r="G721" s="7">
        <v>24216</v>
      </c>
      <c r="H721" s="6" t="s">
        <v>27</v>
      </c>
    </row>
    <row r="722" spans="1:8" ht="23" customHeight="1">
      <c r="A722" s="6">
        <v>6</v>
      </c>
      <c r="B722" s="6">
        <v>3</v>
      </c>
      <c r="C722" s="6">
        <v>152</v>
      </c>
      <c r="D722" s="6">
        <v>101</v>
      </c>
      <c r="E722" s="6">
        <v>4</v>
      </c>
      <c r="F722" s="6" t="s">
        <v>31</v>
      </c>
      <c r="G722" s="7">
        <v>51629</v>
      </c>
      <c r="H722" s="6" t="s">
        <v>27</v>
      </c>
    </row>
    <row r="723" spans="1:8" ht="23" customHeight="1">
      <c r="A723" s="6">
        <v>6</v>
      </c>
      <c r="B723" s="6">
        <v>3</v>
      </c>
      <c r="C723" s="6">
        <v>152</v>
      </c>
      <c r="D723" s="6">
        <v>101</v>
      </c>
      <c r="E723" s="6">
        <v>5</v>
      </c>
      <c r="F723" s="6" t="s">
        <v>32</v>
      </c>
      <c r="G723" s="7">
        <v>433.8</v>
      </c>
      <c r="H723" s="6" t="s">
        <v>33</v>
      </c>
    </row>
    <row r="724" spans="1:8" ht="23" customHeight="1">
      <c r="A724" s="6">
        <v>6</v>
      </c>
      <c r="B724" s="6">
        <v>3</v>
      </c>
      <c r="C724" s="6">
        <v>152</v>
      </c>
      <c r="D724" s="6">
        <v>101</v>
      </c>
      <c r="E724" s="6">
        <v>6</v>
      </c>
      <c r="F724" s="6" t="s">
        <v>34</v>
      </c>
      <c r="G724" s="7">
        <v>433.8</v>
      </c>
      <c r="H724" s="6" t="s">
        <v>33</v>
      </c>
    </row>
    <row r="725" spans="1:8" ht="23" customHeight="1">
      <c r="A725" s="6">
        <v>6</v>
      </c>
      <c r="B725" s="6">
        <v>3</v>
      </c>
      <c r="C725" s="6">
        <v>152</v>
      </c>
      <c r="D725" s="6">
        <v>101</v>
      </c>
      <c r="E725" s="6">
        <v>7</v>
      </c>
      <c r="F725" s="6" t="s">
        <v>35</v>
      </c>
      <c r="G725" s="7">
        <v>51629</v>
      </c>
      <c r="H725" s="6" t="s">
        <v>27</v>
      </c>
    </row>
    <row r="726" spans="1:8" ht="23" customHeight="1">
      <c r="A726" s="6">
        <v>6</v>
      </c>
      <c r="B726" s="6">
        <v>3</v>
      </c>
      <c r="C726" s="6">
        <v>152</v>
      </c>
      <c r="D726" s="6">
        <v>101</v>
      </c>
      <c r="E726" s="6">
        <v>8</v>
      </c>
      <c r="F726" s="6" t="s">
        <v>36</v>
      </c>
      <c r="G726" s="7">
        <v>433.8</v>
      </c>
      <c r="H726" s="6" t="s">
        <v>33</v>
      </c>
    </row>
    <row r="727" spans="1:8" ht="23" customHeight="1">
      <c r="A727" s="6">
        <v>6</v>
      </c>
      <c r="B727" s="6">
        <v>3</v>
      </c>
      <c r="C727" s="6">
        <v>152</v>
      </c>
      <c r="D727" s="6">
        <v>101</v>
      </c>
      <c r="E727" s="6">
        <v>9</v>
      </c>
      <c r="F727" s="6" t="s">
        <v>37</v>
      </c>
      <c r="G727" s="7">
        <v>433.8</v>
      </c>
      <c r="H727" s="6" t="s">
        <v>33</v>
      </c>
    </row>
    <row r="728" spans="1:8" ht="23" customHeight="1">
      <c r="A728" s="6">
        <v>6</v>
      </c>
      <c r="B728" s="6">
        <v>3</v>
      </c>
      <c r="C728" s="6">
        <v>152</v>
      </c>
      <c r="D728" s="6">
        <v>101</v>
      </c>
      <c r="E728" s="6">
        <v>10</v>
      </c>
      <c r="F728" s="6" t="s">
        <v>38</v>
      </c>
      <c r="G728" s="7">
        <v>51629</v>
      </c>
      <c r="H728" s="6" t="s">
        <v>27</v>
      </c>
    </row>
    <row r="729" spans="1:8" ht="23" customHeight="1">
      <c r="A729" s="6">
        <v>6</v>
      </c>
      <c r="B729" s="6">
        <v>3</v>
      </c>
      <c r="C729" s="6">
        <v>152</v>
      </c>
      <c r="D729" s="6">
        <v>101</v>
      </c>
      <c r="E729" s="6">
        <v>11</v>
      </c>
      <c r="F729" s="6" t="s">
        <v>39</v>
      </c>
      <c r="G729" s="7">
        <v>51629</v>
      </c>
      <c r="H729" s="6" t="s">
        <v>27</v>
      </c>
    </row>
    <row r="730" spans="1:8" ht="23" customHeight="1">
      <c r="A730" s="6">
        <v>6</v>
      </c>
      <c r="B730" s="6">
        <v>3</v>
      </c>
      <c r="C730" s="6">
        <v>152</v>
      </c>
      <c r="D730" s="6">
        <v>101</v>
      </c>
      <c r="E730" s="6">
        <v>12</v>
      </c>
      <c r="F730" s="6" t="s">
        <v>40</v>
      </c>
      <c r="G730" s="7">
        <v>51629</v>
      </c>
      <c r="H730" s="6" t="s">
        <v>27</v>
      </c>
    </row>
    <row r="731" spans="1:8" ht="23" customHeight="1">
      <c r="A731" s="6">
        <v>6</v>
      </c>
      <c r="B731" s="6">
        <v>3</v>
      </c>
      <c r="C731" s="6">
        <v>152</v>
      </c>
      <c r="D731" s="6">
        <v>101</v>
      </c>
      <c r="E731" s="6">
        <v>13</v>
      </c>
      <c r="F731" s="6" t="s">
        <v>41</v>
      </c>
      <c r="G731" s="7">
        <v>51629</v>
      </c>
      <c r="H731" s="6" t="s">
        <v>27</v>
      </c>
    </row>
    <row r="732" spans="1:8" ht="23" customHeight="1">
      <c r="A732" s="6">
        <v>6</v>
      </c>
      <c r="B732" s="6">
        <v>3</v>
      </c>
      <c r="C732" s="6">
        <v>153</v>
      </c>
      <c r="D732" s="6">
        <v>102</v>
      </c>
      <c r="E732" s="6">
        <v>4</v>
      </c>
      <c r="F732" s="6" t="s">
        <v>31</v>
      </c>
      <c r="G732" s="7">
        <v>145626</v>
      </c>
      <c r="H732" s="6" t="s">
        <v>27</v>
      </c>
    </row>
    <row r="733" spans="1:8" ht="23" customHeight="1">
      <c r="A733" s="6">
        <v>6</v>
      </c>
      <c r="B733" s="6">
        <v>3</v>
      </c>
      <c r="C733" s="6">
        <v>153</v>
      </c>
      <c r="D733" s="6">
        <v>102</v>
      </c>
      <c r="E733" s="6">
        <v>5</v>
      </c>
      <c r="F733" s="6" t="s">
        <v>32</v>
      </c>
      <c r="G733" s="7">
        <v>1835</v>
      </c>
      <c r="H733" s="6" t="s">
        <v>33</v>
      </c>
    </row>
    <row r="734" spans="1:8" ht="23" customHeight="1">
      <c r="A734" s="6">
        <v>6</v>
      </c>
      <c r="B734" s="6">
        <v>3</v>
      </c>
      <c r="C734" s="6">
        <v>153</v>
      </c>
      <c r="D734" s="6">
        <v>102</v>
      </c>
      <c r="E734" s="6">
        <v>6</v>
      </c>
      <c r="F734" s="6" t="s">
        <v>34</v>
      </c>
      <c r="G734" s="7">
        <v>1835</v>
      </c>
      <c r="H734" s="6" t="s">
        <v>33</v>
      </c>
    </row>
    <row r="735" spans="1:8" ht="23" customHeight="1">
      <c r="A735" s="6">
        <v>6</v>
      </c>
      <c r="B735" s="6">
        <v>3</v>
      </c>
      <c r="C735" s="6">
        <v>153</v>
      </c>
      <c r="D735" s="6">
        <v>102</v>
      </c>
      <c r="E735" s="6">
        <v>7</v>
      </c>
      <c r="F735" s="6" t="s">
        <v>35</v>
      </c>
      <c r="G735" s="7">
        <v>145626</v>
      </c>
      <c r="H735" s="6" t="s">
        <v>27</v>
      </c>
    </row>
    <row r="736" spans="1:8" ht="23" customHeight="1">
      <c r="A736" s="6">
        <v>6</v>
      </c>
      <c r="B736" s="6">
        <v>3</v>
      </c>
      <c r="C736" s="6">
        <v>153</v>
      </c>
      <c r="D736" s="6">
        <v>102</v>
      </c>
      <c r="E736" s="6">
        <v>8</v>
      </c>
      <c r="F736" s="6" t="s">
        <v>36</v>
      </c>
      <c r="G736" s="7">
        <v>1835</v>
      </c>
      <c r="H736" s="6" t="s">
        <v>33</v>
      </c>
    </row>
    <row r="737" spans="1:8" ht="23" customHeight="1">
      <c r="A737" s="6">
        <v>6</v>
      </c>
      <c r="B737" s="6">
        <v>3</v>
      </c>
      <c r="C737" s="6">
        <v>153</v>
      </c>
      <c r="D737" s="6">
        <v>102</v>
      </c>
      <c r="E737" s="6">
        <v>9</v>
      </c>
      <c r="F737" s="6" t="s">
        <v>37</v>
      </c>
      <c r="G737" s="7">
        <v>1835</v>
      </c>
      <c r="H737" s="6" t="s">
        <v>33</v>
      </c>
    </row>
    <row r="738" spans="1:8" ht="23" customHeight="1">
      <c r="A738" s="6">
        <v>6</v>
      </c>
      <c r="B738" s="6">
        <v>3</v>
      </c>
      <c r="C738" s="6">
        <v>153</v>
      </c>
      <c r="D738" s="6">
        <v>102</v>
      </c>
      <c r="E738" s="6">
        <v>10</v>
      </c>
      <c r="F738" s="6" t="s">
        <v>38</v>
      </c>
      <c r="G738" s="7">
        <v>145626</v>
      </c>
      <c r="H738" s="6" t="s">
        <v>27</v>
      </c>
    </row>
    <row r="739" spans="1:8" ht="23" customHeight="1">
      <c r="A739" s="6">
        <v>6</v>
      </c>
      <c r="B739" s="6">
        <v>3</v>
      </c>
      <c r="C739" s="6">
        <v>153</v>
      </c>
      <c r="D739" s="6">
        <v>102</v>
      </c>
      <c r="E739" s="6">
        <v>11</v>
      </c>
      <c r="F739" s="6" t="s">
        <v>39</v>
      </c>
      <c r="G739" s="7">
        <v>145626</v>
      </c>
      <c r="H739" s="6" t="s">
        <v>27</v>
      </c>
    </row>
    <row r="740" spans="1:8" ht="23" customHeight="1">
      <c r="A740" s="6">
        <v>6</v>
      </c>
      <c r="B740" s="6">
        <v>3</v>
      </c>
      <c r="C740" s="6">
        <v>153</v>
      </c>
      <c r="D740" s="6">
        <v>102</v>
      </c>
      <c r="E740" s="6">
        <v>12</v>
      </c>
      <c r="F740" s="6" t="s">
        <v>40</v>
      </c>
      <c r="G740" s="7">
        <v>145626</v>
      </c>
      <c r="H740" s="6" t="s">
        <v>27</v>
      </c>
    </row>
    <row r="741" spans="1:8" ht="23" customHeight="1">
      <c r="A741" s="6">
        <v>6</v>
      </c>
      <c r="B741" s="6">
        <v>3</v>
      </c>
      <c r="C741" s="6">
        <v>153</v>
      </c>
      <c r="D741" s="6">
        <v>102</v>
      </c>
      <c r="E741" s="6">
        <v>13</v>
      </c>
      <c r="F741" s="6" t="s">
        <v>41</v>
      </c>
      <c r="G741" s="7">
        <v>145626</v>
      </c>
      <c r="H741" s="6" t="s">
        <v>27</v>
      </c>
    </row>
    <row r="742" spans="1:8" ht="23" customHeight="1">
      <c r="A742" s="6">
        <v>6</v>
      </c>
      <c r="B742" s="6">
        <v>3</v>
      </c>
      <c r="C742" s="6">
        <v>154</v>
      </c>
      <c r="D742" s="6">
        <v>103</v>
      </c>
      <c r="E742" s="6">
        <v>4</v>
      </c>
      <c r="F742" s="6" t="s">
        <v>31</v>
      </c>
      <c r="G742" s="7">
        <v>155634</v>
      </c>
      <c r="H742" s="6" t="s">
        <v>27</v>
      </c>
    </row>
    <row r="743" spans="1:8" ht="23" customHeight="1">
      <c r="A743" s="6">
        <v>6</v>
      </c>
      <c r="B743" s="6">
        <v>3</v>
      </c>
      <c r="C743" s="6">
        <v>154</v>
      </c>
      <c r="D743" s="6">
        <v>103</v>
      </c>
      <c r="E743" s="6">
        <v>5</v>
      </c>
      <c r="F743" s="6" t="s">
        <v>32</v>
      </c>
      <c r="G743" s="7">
        <v>1794.4</v>
      </c>
      <c r="H743" s="6" t="s">
        <v>33</v>
      </c>
    </row>
    <row r="744" spans="1:8" ht="23" customHeight="1">
      <c r="A744" s="6">
        <v>6</v>
      </c>
      <c r="B744" s="6">
        <v>3</v>
      </c>
      <c r="C744" s="6">
        <v>154</v>
      </c>
      <c r="D744" s="6">
        <v>103</v>
      </c>
      <c r="E744" s="6">
        <v>6</v>
      </c>
      <c r="F744" s="6" t="s">
        <v>34</v>
      </c>
      <c r="G744" s="7">
        <v>1794.4</v>
      </c>
      <c r="H744" s="6" t="s">
        <v>33</v>
      </c>
    </row>
    <row r="745" spans="1:8" ht="23" customHeight="1">
      <c r="A745" s="6">
        <v>6</v>
      </c>
      <c r="B745" s="6">
        <v>3</v>
      </c>
      <c r="C745" s="6">
        <v>154</v>
      </c>
      <c r="D745" s="6">
        <v>103</v>
      </c>
      <c r="E745" s="6">
        <v>7</v>
      </c>
      <c r="F745" s="6" t="s">
        <v>35</v>
      </c>
      <c r="G745" s="7">
        <v>155634</v>
      </c>
      <c r="H745" s="6" t="s">
        <v>27</v>
      </c>
    </row>
    <row r="746" spans="1:8" ht="23" customHeight="1">
      <c r="A746" s="6">
        <v>6</v>
      </c>
      <c r="B746" s="6">
        <v>3</v>
      </c>
      <c r="C746" s="6">
        <v>154</v>
      </c>
      <c r="D746" s="6">
        <v>103</v>
      </c>
      <c r="E746" s="6">
        <v>8</v>
      </c>
      <c r="F746" s="6" t="s">
        <v>36</v>
      </c>
      <c r="G746" s="7">
        <v>1794.4</v>
      </c>
      <c r="H746" s="6" t="s">
        <v>33</v>
      </c>
    </row>
    <row r="747" spans="1:8" ht="23" customHeight="1">
      <c r="A747" s="6">
        <v>6</v>
      </c>
      <c r="B747" s="6">
        <v>3</v>
      </c>
      <c r="C747" s="6">
        <v>154</v>
      </c>
      <c r="D747" s="6">
        <v>103</v>
      </c>
      <c r="E747" s="6">
        <v>9</v>
      </c>
      <c r="F747" s="6" t="s">
        <v>37</v>
      </c>
      <c r="G747" s="7">
        <v>1794.4</v>
      </c>
      <c r="H747" s="6" t="s">
        <v>33</v>
      </c>
    </row>
    <row r="748" spans="1:8" ht="23" customHeight="1">
      <c r="A748" s="6">
        <v>6</v>
      </c>
      <c r="B748" s="6">
        <v>3</v>
      </c>
      <c r="C748" s="6">
        <v>154</v>
      </c>
      <c r="D748" s="6">
        <v>103</v>
      </c>
      <c r="E748" s="6">
        <v>10</v>
      </c>
      <c r="F748" s="6" t="s">
        <v>38</v>
      </c>
      <c r="G748" s="7">
        <v>155634</v>
      </c>
      <c r="H748" s="6" t="s">
        <v>27</v>
      </c>
    </row>
    <row r="749" spans="1:8" ht="23" customHeight="1">
      <c r="A749" s="6">
        <v>6</v>
      </c>
      <c r="B749" s="6">
        <v>3</v>
      </c>
      <c r="C749" s="6">
        <v>154</v>
      </c>
      <c r="D749" s="6">
        <v>103</v>
      </c>
      <c r="E749" s="6">
        <v>11</v>
      </c>
      <c r="F749" s="6" t="s">
        <v>39</v>
      </c>
      <c r="G749" s="7">
        <v>155634</v>
      </c>
      <c r="H749" s="6" t="s">
        <v>27</v>
      </c>
    </row>
    <row r="750" spans="1:8" ht="23" customHeight="1">
      <c r="A750" s="6">
        <v>6</v>
      </c>
      <c r="B750" s="6">
        <v>3</v>
      </c>
      <c r="C750" s="6">
        <v>154</v>
      </c>
      <c r="D750" s="6">
        <v>103</v>
      </c>
      <c r="E750" s="6">
        <v>12</v>
      </c>
      <c r="F750" s="6" t="s">
        <v>40</v>
      </c>
      <c r="G750" s="7">
        <v>155634</v>
      </c>
      <c r="H750" s="6" t="s">
        <v>27</v>
      </c>
    </row>
    <row r="751" spans="1:8" ht="23" customHeight="1">
      <c r="A751" s="6">
        <v>6</v>
      </c>
      <c r="B751" s="6">
        <v>3</v>
      </c>
      <c r="C751" s="6">
        <v>154</v>
      </c>
      <c r="D751" s="6">
        <v>103</v>
      </c>
      <c r="E751" s="6">
        <v>13</v>
      </c>
      <c r="F751" s="6" t="s">
        <v>41</v>
      </c>
      <c r="G751" s="7">
        <v>155634</v>
      </c>
      <c r="H751" s="6" t="s">
        <v>27</v>
      </c>
    </row>
    <row r="752" spans="1:8" ht="23" customHeight="1">
      <c r="A752" s="6">
        <v>6</v>
      </c>
      <c r="B752" s="6">
        <v>3</v>
      </c>
      <c r="C752" s="6">
        <v>155</v>
      </c>
      <c r="D752" s="6">
        <v>104</v>
      </c>
      <c r="E752" s="6">
        <v>4</v>
      </c>
      <c r="F752" s="6" t="s">
        <v>31</v>
      </c>
      <c r="G752" s="7">
        <v>223257</v>
      </c>
      <c r="H752" s="6" t="s">
        <v>27</v>
      </c>
    </row>
    <row r="753" spans="1:8" ht="23" customHeight="1">
      <c r="A753" s="6">
        <v>6</v>
      </c>
      <c r="B753" s="6">
        <v>3</v>
      </c>
      <c r="C753" s="6">
        <v>155</v>
      </c>
      <c r="D753" s="6">
        <v>104</v>
      </c>
      <c r="E753" s="6">
        <v>5</v>
      </c>
      <c r="F753" s="6" t="s">
        <v>32</v>
      </c>
      <c r="G753" s="7">
        <v>2313</v>
      </c>
      <c r="H753" s="6" t="s">
        <v>33</v>
      </c>
    </row>
    <row r="754" spans="1:8" ht="23" customHeight="1">
      <c r="A754" s="6">
        <v>6</v>
      </c>
      <c r="B754" s="6">
        <v>3</v>
      </c>
      <c r="C754" s="6">
        <v>155</v>
      </c>
      <c r="D754" s="6">
        <v>104</v>
      </c>
      <c r="E754" s="6">
        <v>6</v>
      </c>
      <c r="F754" s="6" t="s">
        <v>34</v>
      </c>
      <c r="G754" s="7">
        <v>2313</v>
      </c>
      <c r="H754" s="6" t="s">
        <v>33</v>
      </c>
    </row>
    <row r="755" spans="1:8" ht="23" customHeight="1">
      <c r="A755" s="6">
        <v>6</v>
      </c>
      <c r="B755" s="6">
        <v>3</v>
      </c>
      <c r="C755" s="6">
        <v>155</v>
      </c>
      <c r="D755" s="6">
        <v>104</v>
      </c>
      <c r="E755" s="6">
        <v>7</v>
      </c>
      <c r="F755" s="6" t="s">
        <v>35</v>
      </c>
      <c r="G755" s="7">
        <v>223257</v>
      </c>
      <c r="H755" s="6" t="s">
        <v>27</v>
      </c>
    </row>
    <row r="756" spans="1:8" ht="23" customHeight="1">
      <c r="A756" s="6">
        <v>6</v>
      </c>
      <c r="B756" s="6">
        <v>3</v>
      </c>
      <c r="C756" s="6">
        <v>155</v>
      </c>
      <c r="D756" s="6">
        <v>104</v>
      </c>
      <c r="E756" s="6">
        <v>8</v>
      </c>
      <c r="F756" s="6" t="s">
        <v>36</v>
      </c>
      <c r="G756" s="7">
        <v>2313</v>
      </c>
      <c r="H756" s="6" t="s">
        <v>33</v>
      </c>
    </row>
    <row r="757" spans="1:8" ht="23" customHeight="1">
      <c r="A757" s="6">
        <v>6</v>
      </c>
      <c r="B757" s="6">
        <v>3</v>
      </c>
      <c r="C757" s="6">
        <v>155</v>
      </c>
      <c r="D757" s="6">
        <v>104</v>
      </c>
      <c r="E757" s="6">
        <v>9</v>
      </c>
      <c r="F757" s="6" t="s">
        <v>37</v>
      </c>
      <c r="G757" s="7">
        <v>2313</v>
      </c>
      <c r="H757" s="6" t="s">
        <v>33</v>
      </c>
    </row>
    <row r="758" spans="1:8" ht="23" customHeight="1">
      <c r="A758" s="6">
        <v>6</v>
      </c>
      <c r="B758" s="6">
        <v>3</v>
      </c>
      <c r="C758" s="6">
        <v>155</v>
      </c>
      <c r="D758" s="6">
        <v>104</v>
      </c>
      <c r="E758" s="6">
        <v>10</v>
      </c>
      <c r="F758" s="6" t="s">
        <v>38</v>
      </c>
      <c r="G758" s="7">
        <v>223257</v>
      </c>
      <c r="H758" s="6" t="s">
        <v>27</v>
      </c>
    </row>
    <row r="759" spans="1:8" ht="23" customHeight="1">
      <c r="A759" s="6">
        <v>6</v>
      </c>
      <c r="B759" s="6">
        <v>3</v>
      </c>
      <c r="C759" s="6">
        <v>155</v>
      </c>
      <c r="D759" s="6">
        <v>104</v>
      </c>
      <c r="E759" s="6">
        <v>11</v>
      </c>
      <c r="F759" s="6" t="s">
        <v>39</v>
      </c>
      <c r="G759" s="7">
        <v>223257</v>
      </c>
      <c r="H759" s="6" t="s">
        <v>27</v>
      </c>
    </row>
    <row r="760" spans="1:8" ht="23" customHeight="1">
      <c r="A760" s="6">
        <v>6</v>
      </c>
      <c r="B760" s="6">
        <v>3</v>
      </c>
      <c r="C760" s="6">
        <v>155</v>
      </c>
      <c r="D760" s="6">
        <v>104</v>
      </c>
      <c r="E760" s="6">
        <v>12</v>
      </c>
      <c r="F760" s="6" t="s">
        <v>40</v>
      </c>
      <c r="G760" s="7">
        <v>223257</v>
      </c>
      <c r="H760" s="6" t="s">
        <v>27</v>
      </c>
    </row>
    <row r="761" spans="1:8" ht="23" customHeight="1">
      <c r="A761" s="6">
        <v>6</v>
      </c>
      <c r="B761" s="6">
        <v>3</v>
      </c>
      <c r="C761" s="6">
        <v>155</v>
      </c>
      <c r="D761" s="6">
        <v>104</v>
      </c>
      <c r="E761" s="6">
        <v>13</v>
      </c>
      <c r="F761" s="6" t="s">
        <v>41</v>
      </c>
      <c r="G761" s="7">
        <v>223257</v>
      </c>
      <c r="H761" s="6" t="s">
        <v>27</v>
      </c>
    </row>
    <row r="762" spans="1:8" ht="23" customHeight="1">
      <c r="A762" s="6">
        <v>6</v>
      </c>
      <c r="B762" s="6">
        <v>3</v>
      </c>
      <c r="C762" s="6">
        <v>156</v>
      </c>
      <c r="D762" s="6">
        <v>105</v>
      </c>
      <c r="E762" s="6">
        <v>4</v>
      </c>
      <c r="F762" s="6" t="s">
        <v>31</v>
      </c>
      <c r="G762" s="7">
        <v>218438</v>
      </c>
      <c r="H762" s="6" t="s">
        <v>27</v>
      </c>
    </row>
    <row r="763" spans="1:8" ht="23" customHeight="1">
      <c r="A763" s="6">
        <v>6</v>
      </c>
      <c r="B763" s="6">
        <v>3</v>
      </c>
      <c r="C763" s="6">
        <v>156</v>
      </c>
      <c r="D763" s="6">
        <v>105</v>
      </c>
      <c r="E763" s="6">
        <v>5</v>
      </c>
      <c r="F763" s="6" t="s">
        <v>32</v>
      </c>
      <c r="G763" s="7">
        <v>2752.4</v>
      </c>
      <c r="H763" s="6" t="s">
        <v>33</v>
      </c>
    </row>
    <row r="764" spans="1:8" ht="23" customHeight="1">
      <c r="A764" s="6">
        <v>6</v>
      </c>
      <c r="B764" s="6">
        <v>3</v>
      </c>
      <c r="C764" s="6">
        <v>156</v>
      </c>
      <c r="D764" s="6">
        <v>105</v>
      </c>
      <c r="E764" s="6">
        <v>6</v>
      </c>
      <c r="F764" s="6" t="s">
        <v>34</v>
      </c>
      <c r="G764" s="7">
        <v>2752.4</v>
      </c>
      <c r="H764" s="6" t="s">
        <v>33</v>
      </c>
    </row>
    <row r="765" spans="1:8" ht="23" customHeight="1">
      <c r="A765" s="6">
        <v>6</v>
      </c>
      <c r="B765" s="6">
        <v>3</v>
      </c>
      <c r="C765" s="6">
        <v>156</v>
      </c>
      <c r="D765" s="6">
        <v>105</v>
      </c>
      <c r="E765" s="6">
        <v>7</v>
      </c>
      <c r="F765" s="6" t="s">
        <v>35</v>
      </c>
      <c r="G765" s="7">
        <v>218438</v>
      </c>
      <c r="H765" s="6" t="s">
        <v>27</v>
      </c>
    </row>
    <row r="766" spans="1:8" ht="23" customHeight="1">
      <c r="A766" s="6">
        <v>6</v>
      </c>
      <c r="B766" s="6">
        <v>3</v>
      </c>
      <c r="C766" s="6">
        <v>156</v>
      </c>
      <c r="D766" s="6">
        <v>105</v>
      </c>
      <c r="E766" s="6">
        <v>8</v>
      </c>
      <c r="F766" s="6" t="s">
        <v>36</v>
      </c>
      <c r="G766" s="7">
        <v>2752.4</v>
      </c>
      <c r="H766" s="6" t="s">
        <v>33</v>
      </c>
    </row>
    <row r="767" spans="1:8" ht="23" customHeight="1">
      <c r="A767" s="6">
        <v>6</v>
      </c>
      <c r="B767" s="6">
        <v>3</v>
      </c>
      <c r="C767" s="6">
        <v>156</v>
      </c>
      <c r="D767" s="6">
        <v>105</v>
      </c>
      <c r="E767" s="6">
        <v>9</v>
      </c>
      <c r="F767" s="6" t="s">
        <v>37</v>
      </c>
      <c r="G767" s="7">
        <v>2752.4</v>
      </c>
      <c r="H767" s="6" t="s">
        <v>33</v>
      </c>
    </row>
    <row r="768" spans="1:8" ht="23" customHeight="1">
      <c r="A768" s="6">
        <v>6</v>
      </c>
      <c r="B768" s="6">
        <v>3</v>
      </c>
      <c r="C768" s="6">
        <v>156</v>
      </c>
      <c r="D768" s="6">
        <v>105</v>
      </c>
      <c r="E768" s="6">
        <v>10</v>
      </c>
      <c r="F768" s="6" t="s">
        <v>38</v>
      </c>
      <c r="G768" s="7">
        <v>218438</v>
      </c>
      <c r="H768" s="6" t="s">
        <v>27</v>
      </c>
    </row>
    <row r="769" spans="1:8" ht="23" customHeight="1">
      <c r="A769" s="6">
        <v>6</v>
      </c>
      <c r="B769" s="6">
        <v>3</v>
      </c>
      <c r="C769" s="6">
        <v>156</v>
      </c>
      <c r="D769" s="6">
        <v>105</v>
      </c>
      <c r="E769" s="6">
        <v>11</v>
      </c>
      <c r="F769" s="6" t="s">
        <v>39</v>
      </c>
      <c r="G769" s="7">
        <v>218438</v>
      </c>
      <c r="H769" s="6" t="s">
        <v>27</v>
      </c>
    </row>
    <row r="770" spans="1:8" ht="23" customHeight="1">
      <c r="A770" s="6">
        <v>6</v>
      </c>
      <c r="B770" s="6">
        <v>3</v>
      </c>
      <c r="C770" s="6">
        <v>156</v>
      </c>
      <c r="D770" s="6">
        <v>105</v>
      </c>
      <c r="E770" s="6">
        <v>12</v>
      </c>
      <c r="F770" s="6" t="s">
        <v>40</v>
      </c>
      <c r="G770" s="7">
        <v>218438</v>
      </c>
      <c r="H770" s="6" t="s">
        <v>27</v>
      </c>
    </row>
    <row r="771" spans="1:8" ht="23" customHeight="1">
      <c r="A771" s="6">
        <v>6</v>
      </c>
      <c r="B771" s="6">
        <v>3</v>
      </c>
      <c r="C771" s="6">
        <v>156</v>
      </c>
      <c r="D771" s="6">
        <v>105</v>
      </c>
      <c r="E771" s="6">
        <v>13</v>
      </c>
      <c r="F771" s="6" t="s">
        <v>41</v>
      </c>
      <c r="G771" s="7">
        <v>218438</v>
      </c>
      <c r="H771" s="6" t="s">
        <v>27</v>
      </c>
    </row>
    <row r="772" spans="1:8" ht="23" customHeight="1">
      <c r="A772" s="6">
        <v>6</v>
      </c>
      <c r="B772" s="6">
        <v>3</v>
      </c>
      <c r="C772" s="6">
        <v>157</v>
      </c>
      <c r="D772" s="6">
        <v>106</v>
      </c>
      <c r="E772" s="6">
        <v>4</v>
      </c>
      <c r="F772" s="6" t="s">
        <v>31</v>
      </c>
      <c r="G772" s="7">
        <v>218438</v>
      </c>
      <c r="H772" s="6" t="s">
        <v>27</v>
      </c>
    </row>
    <row r="773" spans="1:8" ht="23" customHeight="1">
      <c r="A773" s="6">
        <v>6</v>
      </c>
      <c r="B773" s="6">
        <v>3</v>
      </c>
      <c r="C773" s="6">
        <v>157</v>
      </c>
      <c r="D773" s="6">
        <v>106</v>
      </c>
      <c r="E773" s="6">
        <v>5</v>
      </c>
      <c r="F773" s="6" t="s">
        <v>32</v>
      </c>
      <c r="G773" s="7">
        <v>2752.4</v>
      </c>
      <c r="H773" s="6" t="s">
        <v>33</v>
      </c>
    </row>
    <row r="774" spans="1:8" ht="23" customHeight="1">
      <c r="A774" s="6">
        <v>6</v>
      </c>
      <c r="B774" s="6">
        <v>3</v>
      </c>
      <c r="C774" s="6">
        <v>157</v>
      </c>
      <c r="D774" s="6">
        <v>106</v>
      </c>
      <c r="E774" s="6">
        <v>6</v>
      </c>
      <c r="F774" s="6" t="s">
        <v>34</v>
      </c>
      <c r="G774" s="7">
        <v>2752.4</v>
      </c>
      <c r="H774" s="6" t="s">
        <v>33</v>
      </c>
    </row>
    <row r="775" spans="1:8" ht="23" customHeight="1">
      <c r="A775" s="6">
        <v>6</v>
      </c>
      <c r="B775" s="6">
        <v>3</v>
      </c>
      <c r="C775" s="6">
        <v>157</v>
      </c>
      <c r="D775" s="6">
        <v>106</v>
      </c>
      <c r="E775" s="6">
        <v>7</v>
      </c>
      <c r="F775" s="6" t="s">
        <v>35</v>
      </c>
      <c r="G775" s="7">
        <v>218438</v>
      </c>
      <c r="H775" s="6" t="s">
        <v>27</v>
      </c>
    </row>
    <row r="776" spans="1:8" ht="23" customHeight="1">
      <c r="A776" s="6">
        <v>6</v>
      </c>
      <c r="B776" s="6">
        <v>3</v>
      </c>
      <c r="C776" s="6">
        <v>157</v>
      </c>
      <c r="D776" s="6">
        <v>106</v>
      </c>
      <c r="E776" s="6">
        <v>8</v>
      </c>
      <c r="F776" s="6" t="s">
        <v>36</v>
      </c>
      <c r="G776" s="7">
        <v>2752.4</v>
      </c>
      <c r="H776" s="6" t="s">
        <v>33</v>
      </c>
    </row>
    <row r="777" spans="1:8" ht="23" customHeight="1">
      <c r="A777" s="6">
        <v>6</v>
      </c>
      <c r="B777" s="6">
        <v>3</v>
      </c>
      <c r="C777" s="6">
        <v>157</v>
      </c>
      <c r="D777" s="6">
        <v>106</v>
      </c>
      <c r="E777" s="6">
        <v>9</v>
      </c>
      <c r="F777" s="6" t="s">
        <v>37</v>
      </c>
      <c r="G777" s="7">
        <v>2752.4</v>
      </c>
      <c r="H777" s="6" t="s">
        <v>33</v>
      </c>
    </row>
    <row r="778" spans="1:8" ht="23" customHeight="1">
      <c r="A778" s="6">
        <v>6</v>
      </c>
      <c r="B778" s="6">
        <v>3</v>
      </c>
      <c r="C778" s="6">
        <v>157</v>
      </c>
      <c r="D778" s="6">
        <v>106</v>
      </c>
      <c r="E778" s="6">
        <v>10</v>
      </c>
      <c r="F778" s="6" t="s">
        <v>38</v>
      </c>
      <c r="G778" s="7">
        <v>218438</v>
      </c>
      <c r="H778" s="6" t="s">
        <v>27</v>
      </c>
    </row>
    <row r="779" spans="1:8" ht="23" customHeight="1">
      <c r="A779" s="6">
        <v>6</v>
      </c>
      <c r="B779" s="6">
        <v>3</v>
      </c>
      <c r="C779" s="6">
        <v>157</v>
      </c>
      <c r="D779" s="6">
        <v>106</v>
      </c>
      <c r="E779" s="6">
        <v>11</v>
      </c>
      <c r="F779" s="6" t="s">
        <v>39</v>
      </c>
      <c r="G779" s="7">
        <v>218438</v>
      </c>
      <c r="H779" s="6" t="s">
        <v>27</v>
      </c>
    </row>
    <row r="780" spans="1:8" ht="23" customHeight="1">
      <c r="A780" s="6">
        <v>6</v>
      </c>
      <c r="B780" s="6">
        <v>3</v>
      </c>
      <c r="C780" s="6">
        <v>157</v>
      </c>
      <c r="D780" s="6">
        <v>106</v>
      </c>
      <c r="E780" s="6">
        <v>12</v>
      </c>
      <c r="F780" s="6" t="s">
        <v>40</v>
      </c>
      <c r="G780" s="7">
        <v>218438</v>
      </c>
      <c r="H780" s="6" t="s">
        <v>27</v>
      </c>
    </row>
    <row r="781" spans="1:8" ht="23" customHeight="1">
      <c r="A781" s="6">
        <v>6</v>
      </c>
      <c r="B781" s="6">
        <v>3</v>
      </c>
      <c r="C781" s="6">
        <v>157</v>
      </c>
      <c r="D781" s="6">
        <v>106</v>
      </c>
      <c r="E781" s="6">
        <v>13</v>
      </c>
      <c r="F781" s="6" t="s">
        <v>41</v>
      </c>
      <c r="G781" s="7">
        <v>218438</v>
      </c>
      <c r="H781" s="6" t="s">
        <v>27</v>
      </c>
    </row>
    <row r="782" spans="1:8" ht="23" customHeight="1">
      <c r="A782" s="6">
        <v>6</v>
      </c>
      <c r="B782" s="6">
        <v>3</v>
      </c>
      <c r="C782" s="6">
        <v>158</v>
      </c>
      <c r="D782" s="6">
        <v>107</v>
      </c>
      <c r="E782" s="6">
        <v>4</v>
      </c>
      <c r="F782" s="6" t="s">
        <v>31</v>
      </c>
      <c r="G782" s="7">
        <v>218438</v>
      </c>
      <c r="H782" s="6" t="s">
        <v>27</v>
      </c>
    </row>
    <row r="783" spans="1:8" ht="23" customHeight="1">
      <c r="A783" s="6">
        <v>6</v>
      </c>
      <c r="B783" s="6">
        <v>3</v>
      </c>
      <c r="C783" s="6">
        <v>158</v>
      </c>
      <c r="D783" s="6">
        <v>107</v>
      </c>
      <c r="E783" s="6">
        <v>5</v>
      </c>
      <c r="F783" s="6" t="s">
        <v>32</v>
      </c>
      <c r="G783" s="7">
        <v>2752.4</v>
      </c>
      <c r="H783" s="6" t="s">
        <v>33</v>
      </c>
    </row>
    <row r="784" spans="1:8" ht="23" customHeight="1">
      <c r="A784" s="6">
        <v>6</v>
      </c>
      <c r="B784" s="6">
        <v>3</v>
      </c>
      <c r="C784" s="6">
        <v>158</v>
      </c>
      <c r="D784" s="6">
        <v>107</v>
      </c>
      <c r="E784" s="6">
        <v>6</v>
      </c>
      <c r="F784" s="6" t="s">
        <v>34</v>
      </c>
      <c r="G784" s="7">
        <v>2752.4</v>
      </c>
      <c r="H784" s="6" t="s">
        <v>33</v>
      </c>
    </row>
    <row r="785" spans="1:8" ht="23" customHeight="1">
      <c r="A785" s="6">
        <v>6</v>
      </c>
      <c r="B785" s="6">
        <v>3</v>
      </c>
      <c r="C785" s="6">
        <v>158</v>
      </c>
      <c r="D785" s="6">
        <v>107</v>
      </c>
      <c r="E785" s="6">
        <v>7</v>
      </c>
      <c r="F785" s="6" t="s">
        <v>35</v>
      </c>
      <c r="G785" s="7">
        <v>218438</v>
      </c>
      <c r="H785" s="6" t="s">
        <v>27</v>
      </c>
    </row>
    <row r="786" spans="1:8" ht="23" customHeight="1">
      <c r="A786" s="6">
        <v>6</v>
      </c>
      <c r="B786" s="6">
        <v>3</v>
      </c>
      <c r="C786" s="6">
        <v>158</v>
      </c>
      <c r="D786" s="6">
        <v>107</v>
      </c>
      <c r="E786" s="6">
        <v>8</v>
      </c>
      <c r="F786" s="6" t="s">
        <v>36</v>
      </c>
      <c r="G786" s="7">
        <v>2752.4</v>
      </c>
      <c r="H786" s="6" t="s">
        <v>33</v>
      </c>
    </row>
    <row r="787" spans="1:8" ht="23" customHeight="1">
      <c r="A787" s="6">
        <v>6</v>
      </c>
      <c r="B787" s="6">
        <v>3</v>
      </c>
      <c r="C787" s="6">
        <v>158</v>
      </c>
      <c r="D787" s="6">
        <v>107</v>
      </c>
      <c r="E787" s="6">
        <v>9</v>
      </c>
      <c r="F787" s="6" t="s">
        <v>37</v>
      </c>
      <c r="G787" s="7">
        <v>2752.4</v>
      </c>
      <c r="H787" s="6" t="s">
        <v>33</v>
      </c>
    </row>
    <row r="788" spans="1:8" ht="23" customHeight="1">
      <c r="A788" s="6">
        <v>6</v>
      </c>
      <c r="B788" s="6">
        <v>3</v>
      </c>
      <c r="C788" s="6">
        <v>158</v>
      </c>
      <c r="D788" s="6">
        <v>107</v>
      </c>
      <c r="E788" s="6">
        <v>10</v>
      </c>
      <c r="F788" s="6" t="s">
        <v>38</v>
      </c>
      <c r="G788" s="7">
        <v>218438</v>
      </c>
      <c r="H788" s="6" t="s">
        <v>27</v>
      </c>
    </row>
    <row r="789" spans="1:8" ht="23" customHeight="1">
      <c r="A789" s="6">
        <v>6</v>
      </c>
      <c r="B789" s="6">
        <v>3</v>
      </c>
      <c r="C789" s="6">
        <v>158</v>
      </c>
      <c r="D789" s="6">
        <v>107</v>
      </c>
      <c r="E789" s="6">
        <v>11</v>
      </c>
      <c r="F789" s="6" t="s">
        <v>39</v>
      </c>
      <c r="G789" s="7">
        <v>218438</v>
      </c>
      <c r="H789" s="6" t="s">
        <v>27</v>
      </c>
    </row>
    <row r="790" spans="1:8" ht="23" customHeight="1">
      <c r="A790" s="6">
        <v>6</v>
      </c>
      <c r="B790" s="6">
        <v>3</v>
      </c>
      <c r="C790" s="6">
        <v>158</v>
      </c>
      <c r="D790" s="6">
        <v>107</v>
      </c>
      <c r="E790" s="6">
        <v>12</v>
      </c>
      <c r="F790" s="6" t="s">
        <v>40</v>
      </c>
      <c r="G790" s="7">
        <v>218438</v>
      </c>
      <c r="H790" s="6" t="s">
        <v>27</v>
      </c>
    </row>
    <row r="791" spans="1:8" ht="23" customHeight="1">
      <c r="A791" s="6">
        <v>6</v>
      </c>
      <c r="B791" s="6">
        <v>3</v>
      </c>
      <c r="C791" s="6">
        <v>158</v>
      </c>
      <c r="D791" s="6">
        <v>107</v>
      </c>
      <c r="E791" s="6">
        <v>13</v>
      </c>
      <c r="F791" s="6" t="s">
        <v>41</v>
      </c>
      <c r="G791" s="7">
        <v>218438</v>
      </c>
      <c r="H791" s="6" t="s">
        <v>27</v>
      </c>
    </row>
    <row r="792" spans="1:8" ht="23" customHeight="1">
      <c r="A792" s="6">
        <v>6</v>
      </c>
      <c r="B792" s="6">
        <v>3</v>
      </c>
      <c r="C792" s="6">
        <v>159</v>
      </c>
      <c r="D792" s="6">
        <v>108</v>
      </c>
      <c r="E792" s="6">
        <v>4</v>
      </c>
      <c r="F792" s="6" t="s">
        <v>31</v>
      </c>
      <c r="G792" s="7">
        <v>218438</v>
      </c>
      <c r="H792" s="6" t="s">
        <v>27</v>
      </c>
    </row>
    <row r="793" spans="1:8" ht="23" customHeight="1">
      <c r="A793" s="6">
        <v>6</v>
      </c>
      <c r="B793" s="6">
        <v>3</v>
      </c>
      <c r="C793" s="6">
        <v>159</v>
      </c>
      <c r="D793" s="6">
        <v>108</v>
      </c>
      <c r="E793" s="6">
        <v>5</v>
      </c>
      <c r="F793" s="6" t="s">
        <v>32</v>
      </c>
      <c r="G793" s="7">
        <v>2752.4</v>
      </c>
      <c r="H793" s="6" t="s">
        <v>33</v>
      </c>
    </row>
    <row r="794" spans="1:8" ht="23" customHeight="1">
      <c r="A794" s="6">
        <v>6</v>
      </c>
      <c r="B794" s="6">
        <v>3</v>
      </c>
      <c r="C794" s="6">
        <v>159</v>
      </c>
      <c r="D794" s="6">
        <v>108</v>
      </c>
      <c r="E794" s="6">
        <v>6</v>
      </c>
      <c r="F794" s="6" t="s">
        <v>34</v>
      </c>
      <c r="G794" s="7">
        <v>2752.4</v>
      </c>
      <c r="H794" s="6" t="s">
        <v>33</v>
      </c>
    </row>
    <row r="795" spans="1:8" ht="23" customHeight="1">
      <c r="A795" s="6">
        <v>6</v>
      </c>
      <c r="B795" s="6">
        <v>3</v>
      </c>
      <c r="C795" s="6">
        <v>159</v>
      </c>
      <c r="D795" s="6">
        <v>108</v>
      </c>
      <c r="E795" s="6">
        <v>7</v>
      </c>
      <c r="F795" s="6" t="s">
        <v>35</v>
      </c>
      <c r="G795" s="7">
        <v>218438</v>
      </c>
      <c r="H795" s="6" t="s">
        <v>27</v>
      </c>
    </row>
    <row r="796" spans="1:8" ht="23" customHeight="1">
      <c r="A796" s="6">
        <v>6</v>
      </c>
      <c r="B796" s="6">
        <v>3</v>
      </c>
      <c r="C796" s="6">
        <v>159</v>
      </c>
      <c r="D796" s="6">
        <v>108</v>
      </c>
      <c r="E796" s="6">
        <v>8</v>
      </c>
      <c r="F796" s="6" t="s">
        <v>36</v>
      </c>
      <c r="G796" s="7">
        <v>2752.4</v>
      </c>
      <c r="H796" s="6" t="s">
        <v>33</v>
      </c>
    </row>
    <row r="797" spans="1:8" ht="23" customHeight="1">
      <c r="A797" s="6">
        <v>6</v>
      </c>
      <c r="B797" s="6">
        <v>3</v>
      </c>
      <c r="C797" s="6">
        <v>159</v>
      </c>
      <c r="D797" s="6">
        <v>108</v>
      </c>
      <c r="E797" s="6">
        <v>9</v>
      </c>
      <c r="F797" s="6" t="s">
        <v>37</v>
      </c>
      <c r="G797" s="7">
        <v>2752.4</v>
      </c>
      <c r="H797" s="6" t="s">
        <v>33</v>
      </c>
    </row>
    <row r="798" spans="1:8" ht="23" customHeight="1">
      <c r="A798" s="6">
        <v>6</v>
      </c>
      <c r="B798" s="6">
        <v>3</v>
      </c>
      <c r="C798" s="6">
        <v>159</v>
      </c>
      <c r="D798" s="6">
        <v>108</v>
      </c>
      <c r="E798" s="6">
        <v>10</v>
      </c>
      <c r="F798" s="6" t="s">
        <v>38</v>
      </c>
      <c r="G798" s="7">
        <v>218438</v>
      </c>
      <c r="H798" s="6" t="s">
        <v>27</v>
      </c>
    </row>
    <row r="799" spans="1:8" ht="23" customHeight="1">
      <c r="A799" s="6">
        <v>6</v>
      </c>
      <c r="B799" s="6">
        <v>3</v>
      </c>
      <c r="C799" s="6">
        <v>159</v>
      </c>
      <c r="D799" s="6">
        <v>108</v>
      </c>
      <c r="E799" s="6">
        <v>11</v>
      </c>
      <c r="F799" s="6" t="s">
        <v>39</v>
      </c>
      <c r="G799" s="7">
        <v>218438</v>
      </c>
      <c r="H799" s="6" t="s">
        <v>27</v>
      </c>
    </row>
    <row r="800" spans="1:8" ht="23" customHeight="1">
      <c r="A800" s="6">
        <v>6</v>
      </c>
      <c r="B800" s="6">
        <v>3</v>
      </c>
      <c r="C800" s="6">
        <v>159</v>
      </c>
      <c r="D800" s="6">
        <v>108</v>
      </c>
      <c r="E800" s="6">
        <v>12</v>
      </c>
      <c r="F800" s="6" t="s">
        <v>40</v>
      </c>
      <c r="G800" s="7">
        <v>218438</v>
      </c>
      <c r="H800" s="6" t="s">
        <v>27</v>
      </c>
    </row>
    <row r="801" spans="1:8" ht="23" customHeight="1">
      <c r="A801" s="6">
        <v>6</v>
      </c>
      <c r="B801" s="6">
        <v>3</v>
      </c>
      <c r="C801" s="6">
        <v>159</v>
      </c>
      <c r="D801" s="6">
        <v>108</v>
      </c>
      <c r="E801" s="6">
        <v>13</v>
      </c>
      <c r="F801" s="6" t="s">
        <v>41</v>
      </c>
      <c r="G801" s="7">
        <v>218438</v>
      </c>
      <c r="H801" s="6" t="s">
        <v>27</v>
      </c>
    </row>
    <row r="802" spans="1:8" ht="23" customHeight="1">
      <c r="A802" s="6">
        <v>6</v>
      </c>
      <c r="B802" s="6">
        <v>3</v>
      </c>
      <c r="C802" s="6">
        <v>160</v>
      </c>
      <c r="D802" s="6">
        <v>109</v>
      </c>
      <c r="E802" s="6">
        <v>4</v>
      </c>
      <c r="F802" s="6" t="s">
        <v>31</v>
      </c>
      <c r="G802" s="7">
        <v>218438</v>
      </c>
      <c r="H802" s="6" t="s">
        <v>27</v>
      </c>
    </row>
    <row r="803" spans="1:8" ht="23" customHeight="1">
      <c r="A803" s="6">
        <v>6</v>
      </c>
      <c r="B803" s="6">
        <v>3</v>
      </c>
      <c r="C803" s="6">
        <v>160</v>
      </c>
      <c r="D803" s="6">
        <v>109</v>
      </c>
      <c r="E803" s="6">
        <v>5</v>
      </c>
      <c r="F803" s="6" t="s">
        <v>32</v>
      </c>
      <c r="G803" s="7">
        <v>2752.4</v>
      </c>
      <c r="H803" s="6" t="s">
        <v>33</v>
      </c>
    </row>
    <row r="804" spans="1:8" ht="23" customHeight="1">
      <c r="A804" s="6">
        <v>6</v>
      </c>
      <c r="B804" s="6">
        <v>3</v>
      </c>
      <c r="C804" s="6">
        <v>160</v>
      </c>
      <c r="D804" s="6">
        <v>109</v>
      </c>
      <c r="E804" s="6">
        <v>6</v>
      </c>
      <c r="F804" s="6" t="s">
        <v>34</v>
      </c>
      <c r="G804" s="7">
        <v>2752.4</v>
      </c>
      <c r="H804" s="6" t="s">
        <v>33</v>
      </c>
    </row>
    <row r="805" spans="1:8" ht="23" customHeight="1">
      <c r="A805" s="6">
        <v>6</v>
      </c>
      <c r="B805" s="6">
        <v>3</v>
      </c>
      <c r="C805" s="6">
        <v>160</v>
      </c>
      <c r="D805" s="6">
        <v>109</v>
      </c>
      <c r="E805" s="6">
        <v>7</v>
      </c>
      <c r="F805" s="6" t="s">
        <v>35</v>
      </c>
      <c r="G805" s="7">
        <v>218438</v>
      </c>
      <c r="H805" s="6" t="s">
        <v>27</v>
      </c>
    </row>
    <row r="806" spans="1:8" ht="23" customHeight="1">
      <c r="A806" s="6">
        <v>6</v>
      </c>
      <c r="B806" s="6">
        <v>3</v>
      </c>
      <c r="C806" s="6">
        <v>160</v>
      </c>
      <c r="D806" s="6">
        <v>109</v>
      </c>
      <c r="E806" s="6">
        <v>8</v>
      </c>
      <c r="F806" s="6" t="s">
        <v>36</v>
      </c>
      <c r="G806" s="7">
        <v>2752.4</v>
      </c>
      <c r="H806" s="6" t="s">
        <v>33</v>
      </c>
    </row>
    <row r="807" spans="1:8" ht="23" customHeight="1">
      <c r="A807" s="6">
        <v>6</v>
      </c>
      <c r="B807" s="6">
        <v>3</v>
      </c>
      <c r="C807" s="6">
        <v>160</v>
      </c>
      <c r="D807" s="6">
        <v>109</v>
      </c>
      <c r="E807" s="6">
        <v>9</v>
      </c>
      <c r="F807" s="6" t="s">
        <v>37</v>
      </c>
      <c r="G807" s="7">
        <v>2752.4</v>
      </c>
      <c r="H807" s="6" t="s">
        <v>33</v>
      </c>
    </row>
    <row r="808" spans="1:8" ht="23" customHeight="1">
      <c r="A808" s="6">
        <v>6</v>
      </c>
      <c r="B808" s="6">
        <v>3</v>
      </c>
      <c r="C808" s="6">
        <v>160</v>
      </c>
      <c r="D808" s="6">
        <v>109</v>
      </c>
      <c r="E808" s="6">
        <v>10</v>
      </c>
      <c r="F808" s="6" t="s">
        <v>38</v>
      </c>
      <c r="G808" s="7">
        <v>218438</v>
      </c>
      <c r="H808" s="6" t="s">
        <v>27</v>
      </c>
    </row>
    <row r="809" spans="1:8" ht="23" customHeight="1">
      <c r="A809" s="6">
        <v>6</v>
      </c>
      <c r="B809" s="6">
        <v>3</v>
      </c>
      <c r="C809" s="6">
        <v>160</v>
      </c>
      <c r="D809" s="6">
        <v>109</v>
      </c>
      <c r="E809" s="6">
        <v>11</v>
      </c>
      <c r="F809" s="6" t="s">
        <v>39</v>
      </c>
      <c r="G809" s="7">
        <v>218438</v>
      </c>
      <c r="H809" s="6" t="s">
        <v>27</v>
      </c>
    </row>
    <row r="810" spans="1:8" ht="23" customHeight="1">
      <c r="A810" s="6">
        <v>6</v>
      </c>
      <c r="B810" s="6">
        <v>3</v>
      </c>
      <c r="C810" s="6">
        <v>160</v>
      </c>
      <c r="D810" s="6">
        <v>109</v>
      </c>
      <c r="E810" s="6">
        <v>12</v>
      </c>
      <c r="F810" s="6" t="s">
        <v>40</v>
      </c>
      <c r="G810" s="7">
        <v>218438</v>
      </c>
      <c r="H810" s="6" t="s">
        <v>27</v>
      </c>
    </row>
    <row r="811" spans="1:8" ht="23" customHeight="1">
      <c r="A811" s="6">
        <v>6</v>
      </c>
      <c r="B811" s="6">
        <v>3</v>
      </c>
      <c r="C811" s="6">
        <v>160</v>
      </c>
      <c r="D811" s="6">
        <v>109</v>
      </c>
      <c r="E811" s="6">
        <v>13</v>
      </c>
      <c r="F811" s="6" t="s">
        <v>41</v>
      </c>
      <c r="G811" s="7">
        <v>218438</v>
      </c>
      <c r="H811" s="6" t="s">
        <v>27</v>
      </c>
    </row>
    <row r="812" spans="1:8" ht="23" customHeight="1">
      <c r="A812" s="6">
        <v>6</v>
      </c>
      <c r="B812" s="6">
        <v>3</v>
      </c>
      <c r="C812" s="6">
        <v>161</v>
      </c>
      <c r="D812" s="6">
        <v>110</v>
      </c>
      <c r="E812" s="6">
        <v>4</v>
      </c>
      <c r="F812" s="6" t="s">
        <v>31</v>
      </c>
      <c r="G812" s="7">
        <v>218438</v>
      </c>
      <c r="H812" s="6" t="s">
        <v>27</v>
      </c>
    </row>
    <row r="813" spans="1:8" ht="23" customHeight="1">
      <c r="A813" s="6">
        <v>6</v>
      </c>
      <c r="B813" s="6">
        <v>3</v>
      </c>
      <c r="C813" s="6">
        <v>161</v>
      </c>
      <c r="D813" s="6">
        <v>110</v>
      </c>
      <c r="E813" s="6">
        <v>5</v>
      </c>
      <c r="F813" s="6" t="s">
        <v>32</v>
      </c>
      <c r="G813" s="7">
        <v>2752.4</v>
      </c>
      <c r="H813" s="6" t="s">
        <v>33</v>
      </c>
    </row>
    <row r="814" spans="1:8" ht="23" customHeight="1">
      <c r="A814" s="6">
        <v>6</v>
      </c>
      <c r="B814" s="6">
        <v>3</v>
      </c>
      <c r="C814" s="6">
        <v>161</v>
      </c>
      <c r="D814" s="6">
        <v>110</v>
      </c>
      <c r="E814" s="6">
        <v>6</v>
      </c>
      <c r="F814" s="6" t="s">
        <v>34</v>
      </c>
      <c r="G814" s="7">
        <v>2752.4</v>
      </c>
      <c r="H814" s="6" t="s">
        <v>33</v>
      </c>
    </row>
    <row r="815" spans="1:8" ht="23" customHeight="1">
      <c r="A815" s="6">
        <v>6</v>
      </c>
      <c r="B815" s="6">
        <v>3</v>
      </c>
      <c r="C815" s="6">
        <v>161</v>
      </c>
      <c r="D815" s="6">
        <v>110</v>
      </c>
      <c r="E815" s="6">
        <v>7</v>
      </c>
      <c r="F815" s="6" t="s">
        <v>35</v>
      </c>
      <c r="G815" s="7">
        <v>218438</v>
      </c>
      <c r="H815" s="6" t="s">
        <v>27</v>
      </c>
    </row>
    <row r="816" spans="1:8" ht="23" customHeight="1">
      <c r="A816" s="6">
        <v>6</v>
      </c>
      <c r="B816" s="6">
        <v>3</v>
      </c>
      <c r="C816" s="6">
        <v>161</v>
      </c>
      <c r="D816" s="6">
        <v>110</v>
      </c>
      <c r="E816" s="6">
        <v>8</v>
      </c>
      <c r="F816" s="6" t="s">
        <v>36</v>
      </c>
      <c r="G816" s="7">
        <v>2752.4</v>
      </c>
      <c r="H816" s="6" t="s">
        <v>33</v>
      </c>
    </row>
    <row r="817" spans="1:8" ht="23" customHeight="1">
      <c r="A817" s="6">
        <v>6</v>
      </c>
      <c r="B817" s="6">
        <v>3</v>
      </c>
      <c r="C817" s="6">
        <v>161</v>
      </c>
      <c r="D817" s="6">
        <v>110</v>
      </c>
      <c r="E817" s="6">
        <v>9</v>
      </c>
      <c r="F817" s="6" t="s">
        <v>37</v>
      </c>
      <c r="G817" s="7">
        <v>2752.4</v>
      </c>
      <c r="H817" s="6" t="s">
        <v>33</v>
      </c>
    </row>
    <row r="818" spans="1:8" ht="23" customHeight="1">
      <c r="A818" s="6">
        <v>6</v>
      </c>
      <c r="B818" s="6">
        <v>3</v>
      </c>
      <c r="C818" s="6">
        <v>161</v>
      </c>
      <c r="D818" s="6">
        <v>110</v>
      </c>
      <c r="E818" s="6">
        <v>10</v>
      </c>
      <c r="F818" s="6" t="s">
        <v>38</v>
      </c>
      <c r="G818" s="7">
        <v>218438</v>
      </c>
      <c r="H818" s="6" t="s">
        <v>27</v>
      </c>
    </row>
    <row r="819" spans="1:8" ht="23" customHeight="1">
      <c r="A819" s="6">
        <v>6</v>
      </c>
      <c r="B819" s="6">
        <v>3</v>
      </c>
      <c r="C819" s="6">
        <v>161</v>
      </c>
      <c r="D819" s="6">
        <v>110</v>
      </c>
      <c r="E819" s="6">
        <v>11</v>
      </c>
      <c r="F819" s="6" t="s">
        <v>39</v>
      </c>
      <c r="G819" s="7">
        <v>218438</v>
      </c>
      <c r="H819" s="6" t="s">
        <v>27</v>
      </c>
    </row>
    <row r="820" spans="1:8" ht="23" customHeight="1">
      <c r="A820" s="6">
        <v>6</v>
      </c>
      <c r="B820" s="6">
        <v>3</v>
      </c>
      <c r="C820" s="6">
        <v>161</v>
      </c>
      <c r="D820" s="6">
        <v>110</v>
      </c>
      <c r="E820" s="6">
        <v>12</v>
      </c>
      <c r="F820" s="6" t="s">
        <v>40</v>
      </c>
      <c r="G820" s="7">
        <v>218438</v>
      </c>
      <c r="H820" s="6" t="s">
        <v>27</v>
      </c>
    </row>
    <row r="821" spans="1:8" ht="23" customHeight="1">
      <c r="A821" s="6">
        <v>6</v>
      </c>
      <c r="B821" s="6">
        <v>3</v>
      </c>
      <c r="C821" s="6">
        <v>161</v>
      </c>
      <c r="D821" s="6">
        <v>110</v>
      </c>
      <c r="E821" s="6">
        <v>13</v>
      </c>
      <c r="F821" s="6" t="s">
        <v>41</v>
      </c>
      <c r="G821" s="7">
        <v>218438</v>
      </c>
      <c r="H821" s="6" t="s">
        <v>27</v>
      </c>
    </row>
    <row r="822" spans="1:8" ht="23" customHeight="1">
      <c r="A822" s="6">
        <v>6</v>
      </c>
      <c r="B822" s="6">
        <v>3</v>
      </c>
      <c r="C822" s="6">
        <v>162</v>
      </c>
      <c r="D822" s="6">
        <v>111</v>
      </c>
      <c r="E822" s="6">
        <v>4</v>
      </c>
      <c r="F822" s="6" t="s">
        <v>31</v>
      </c>
      <c r="G822" s="7">
        <v>179149</v>
      </c>
      <c r="H822" s="6" t="s">
        <v>27</v>
      </c>
    </row>
    <row r="823" spans="1:8" ht="23" customHeight="1">
      <c r="A823" s="6">
        <v>6</v>
      </c>
      <c r="B823" s="6">
        <v>3</v>
      </c>
      <c r="C823" s="6">
        <v>162</v>
      </c>
      <c r="D823" s="6">
        <v>111</v>
      </c>
      <c r="E823" s="6">
        <v>5</v>
      </c>
      <c r="F823" s="6" t="s">
        <v>32</v>
      </c>
      <c r="G823" s="7">
        <v>2032.5</v>
      </c>
      <c r="H823" s="6" t="s">
        <v>33</v>
      </c>
    </row>
    <row r="824" spans="1:8" ht="23" customHeight="1">
      <c r="A824" s="6">
        <v>6</v>
      </c>
      <c r="B824" s="6">
        <v>3</v>
      </c>
      <c r="C824" s="6">
        <v>162</v>
      </c>
      <c r="D824" s="6">
        <v>111</v>
      </c>
      <c r="E824" s="6">
        <v>6</v>
      </c>
      <c r="F824" s="6" t="s">
        <v>34</v>
      </c>
      <c r="G824" s="7">
        <v>2032.5</v>
      </c>
      <c r="H824" s="6" t="s">
        <v>33</v>
      </c>
    </row>
    <row r="825" spans="1:8" ht="23" customHeight="1">
      <c r="A825" s="6">
        <v>6</v>
      </c>
      <c r="B825" s="6">
        <v>3</v>
      </c>
      <c r="C825" s="6">
        <v>162</v>
      </c>
      <c r="D825" s="6">
        <v>111</v>
      </c>
      <c r="E825" s="6">
        <v>7</v>
      </c>
      <c r="F825" s="6" t="s">
        <v>35</v>
      </c>
      <c r="G825" s="7">
        <v>179149</v>
      </c>
      <c r="H825" s="6" t="s">
        <v>27</v>
      </c>
    </row>
    <row r="826" spans="1:8" ht="23" customHeight="1">
      <c r="A826" s="6">
        <v>6</v>
      </c>
      <c r="B826" s="6">
        <v>3</v>
      </c>
      <c r="C826" s="6">
        <v>162</v>
      </c>
      <c r="D826" s="6">
        <v>111</v>
      </c>
      <c r="E826" s="6">
        <v>8</v>
      </c>
      <c r="F826" s="6" t="s">
        <v>36</v>
      </c>
      <c r="G826" s="7">
        <v>2032.5</v>
      </c>
      <c r="H826" s="6" t="s">
        <v>33</v>
      </c>
    </row>
    <row r="827" spans="1:8" ht="23" customHeight="1">
      <c r="A827" s="6">
        <v>6</v>
      </c>
      <c r="B827" s="6">
        <v>3</v>
      </c>
      <c r="C827" s="6">
        <v>162</v>
      </c>
      <c r="D827" s="6">
        <v>111</v>
      </c>
      <c r="E827" s="6">
        <v>9</v>
      </c>
      <c r="F827" s="6" t="s">
        <v>37</v>
      </c>
      <c r="G827" s="7">
        <v>2032.5</v>
      </c>
      <c r="H827" s="6" t="s">
        <v>33</v>
      </c>
    </row>
    <row r="828" spans="1:8" ht="23" customHeight="1">
      <c r="A828" s="6">
        <v>6</v>
      </c>
      <c r="B828" s="6">
        <v>3</v>
      </c>
      <c r="C828" s="6">
        <v>162</v>
      </c>
      <c r="D828" s="6">
        <v>111</v>
      </c>
      <c r="E828" s="6">
        <v>10</v>
      </c>
      <c r="F828" s="6" t="s">
        <v>38</v>
      </c>
      <c r="G828" s="7">
        <v>179149</v>
      </c>
      <c r="H828" s="6" t="s">
        <v>27</v>
      </c>
    </row>
    <row r="829" spans="1:8" ht="23" customHeight="1">
      <c r="A829" s="6">
        <v>6</v>
      </c>
      <c r="B829" s="6">
        <v>3</v>
      </c>
      <c r="C829" s="6">
        <v>162</v>
      </c>
      <c r="D829" s="6">
        <v>111</v>
      </c>
      <c r="E829" s="6">
        <v>11</v>
      </c>
      <c r="F829" s="6" t="s">
        <v>39</v>
      </c>
      <c r="G829" s="7">
        <v>179149</v>
      </c>
      <c r="H829" s="6" t="s">
        <v>27</v>
      </c>
    </row>
    <row r="830" spans="1:8" ht="23" customHeight="1">
      <c r="A830" s="6">
        <v>6</v>
      </c>
      <c r="B830" s="6">
        <v>3</v>
      </c>
      <c r="C830" s="6">
        <v>162</v>
      </c>
      <c r="D830" s="6">
        <v>111</v>
      </c>
      <c r="E830" s="6">
        <v>12</v>
      </c>
      <c r="F830" s="6" t="s">
        <v>40</v>
      </c>
      <c r="G830" s="7">
        <v>179149</v>
      </c>
      <c r="H830" s="6" t="s">
        <v>27</v>
      </c>
    </row>
    <row r="831" spans="1:8" ht="23" customHeight="1">
      <c r="A831" s="6">
        <v>6</v>
      </c>
      <c r="B831" s="6">
        <v>3</v>
      </c>
      <c r="C831" s="6">
        <v>162</v>
      </c>
      <c r="D831" s="6">
        <v>111</v>
      </c>
      <c r="E831" s="6">
        <v>13</v>
      </c>
      <c r="F831" s="6" t="s">
        <v>41</v>
      </c>
      <c r="G831" s="7">
        <v>179149</v>
      </c>
      <c r="H831" s="6" t="s">
        <v>27</v>
      </c>
    </row>
    <row r="832" spans="1:8" ht="23" customHeight="1">
      <c r="A832" s="6">
        <v>6</v>
      </c>
      <c r="B832" s="6">
        <v>3</v>
      </c>
      <c r="C832" s="6">
        <v>163</v>
      </c>
      <c r="D832" s="6">
        <v>112</v>
      </c>
      <c r="E832" s="6">
        <v>4</v>
      </c>
      <c r="F832" s="6" t="s">
        <v>31</v>
      </c>
      <c r="G832" s="7">
        <v>104936</v>
      </c>
      <c r="H832" s="6" t="s">
        <v>27</v>
      </c>
    </row>
    <row r="833" spans="1:8" ht="23" customHeight="1">
      <c r="A833" s="6">
        <v>6</v>
      </c>
      <c r="B833" s="6">
        <v>3</v>
      </c>
      <c r="C833" s="6">
        <v>163</v>
      </c>
      <c r="D833" s="6">
        <v>112</v>
      </c>
      <c r="E833" s="6">
        <v>5</v>
      </c>
      <c r="F833" s="6" t="s">
        <v>32</v>
      </c>
      <c r="G833" s="7">
        <v>672.8</v>
      </c>
      <c r="H833" s="6" t="s">
        <v>33</v>
      </c>
    </row>
    <row r="834" spans="1:8" ht="23" customHeight="1">
      <c r="A834" s="6">
        <v>6</v>
      </c>
      <c r="B834" s="6">
        <v>3</v>
      </c>
      <c r="C834" s="6">
        <v>163</v>
      </c>
      <c r="D834" s="6">
        <v>112</v>
      </c>
      <c r="E834" s="6">
        <v>6</v>
      </c>
      <c r="F834" s="6" t="s">
        <v>34</v>
      </c>
      <c r="G834" s="7">
        <v>672.8</v>
      </c>
      <c r="H834" s="6" t="s">
        <v>33</v>
      </c>
    </row>
    <row r="835" spans="1:8" ht="23" customHeight="1">
      <c r="A835" s="6">
        <v>6</v>
      </c>
      <c r="B835" s="6">
        <v>3</v>
      </c>
      <c r="C835" s="6">
        <v>163</v>
      </c>
      <c r="D835" s="6">
        <v>112</v>
      </c>
      <c r="E835" s="6">
        <v>7</v>
      </c>
      <c r="F835" s="6" t="s">
        <v>35</v>
      </c>
      <c r="G835" s="7">
        <v>104936</v>
      </c>
      <c r="H835" s="6" t="s">
        <v>27</v>
      </c>
    </row>
    <row r="836" spans="1:8" ht="23" customHeight="1">
      <c r="A836" s="6">
        <v>6</v>
      </c>
      <c r="B836" s="6">
        <v>3</v>
      </c>
      <c r="C836" s="6">
        <v>163</v>
      </c>
      <c r="D836" s="6">
        <v>112</v>
      </c>
      <c r="E836" s="6">
        <v>8</v>
      </c>
      <c r="F836" s="6" t="s">
        <v>36</v>
      </c>
      <c r="G836" s="7">
        <v>672.8</v>
      </c>
      <c r="H836" s="6" t="s">
        <v>33</v>
      </c>
    </row>
    <row r="837" spans="1:8" ht="23" customHeight="1">
      <c r="A837" s="6">
        <v>6</v>
      </c>
      <c r="B837" s="6">
        <v>3</v>
      </c>
      <c r="C837" s="6">
        <v>163</v>
      </c>
      <c r="D837" s="6">
        <v>112</v>
      </c>
      <c r="E837" s="6">
        <v>9</v>
      </c>
      <c r="F837" s="6" t="s">
        <v>37</v>
      </c>
      <c r="G837" s="7">
        <v>672.8</v>
      </c>
      <c r="H837" s="6" t="s">
        <v>33</v>
      </c>
    </row>
    <row r="838" spans="1:8" ht="23" customHeight="1">
      <c r="A838" s="6">
        <v>6</v>
      </c>
      <c r="B838" s="6">
        <v>3</v>
      </c>
      <c r="C838" s="6">
        <v>163</v>
      </c>
      <c r="D838" s="6">
        <v>112</v>
      </c>
      <c r="E838" s="6">
        <v>10</v>
      </c>
      <c r="F838" s="6" t="s">
        <v>38</v>
      </c>
      <c r="G838" s="7">
        <v>104936</v>
      </c>
      <c r="H838" s="6" t="s">
        <v>27</v>
      </c>
    </row>
    <row r="839" spans="1:8" ht="23" customHeight="1">
      <c r="A839" s="6">
        <v>6</v>
      </c>
      <c r="B839" s="6">
        <v>3</v>
      </c>
      <c r="C839" s="6">
        <v>163</v>
      </c>
      <c r="D839" s="6">
        <v>112</v>
      </c>
      <c r="E839" s="6">
        <v>11</v>
      </c>
      <c r="F839" s="6" t="s">
        <v>39</v>
      </c>
      <c r="G839" s="7">
        <v>104936</v>
      </c>
      <c r="H839" s="6" t="s">
        <v>27</v>
      </c>
    </row>
    <row r="840" spans="1:8" ht="23" customHeight="1">
      <c r="A840" s="6">
        <v>6</v>
      </c>
      <c r="B840" s="6">
        <v>3</v>
      </c>
      <c r="C840" s="6">
        <v>163</v>
      </c>
      <c r="D840" s="6">
        <v>112</v>
      </c>
      <c r="E840" s="6">
        <v>12</v>
      </c>
      <c r="F840" s="6" t="s">
        <v>40</v>
      </c>
      <c r="G840" s="7">
        <v>104936</v>
      </c>
      <c r="H840" s="6" t="s">
        <v>27</v>
      </c>
    </row>
    <row r="841" spans="1:8" ht="23" customHeight="1">
      <c r="A841" s="6">
        <v>6</v>
      </c>
      <c r="B841" s="6">
        <v>3</v>
      </c>
      <c r="C841" s="6">
        <v>163</v>
      </c>
      <c r="D841" s="6">
        <v>112</v>
      </c>
      <c r="E841" s="6">
        <v>13</v>
      </c>
      <c r="F841" s="6" t="s">
        <v>41</v>
      </c>
      <c r="G841" s="7">
        <v>104936</v>
      </c>
      <c r="H841" s="6" t="s">
        <v>27</v>
      </c>
    </row>
    <row r="842" spans="1:8" ht="23" customHeight="1">
      <c r="A842" s="6">
        <v>6</v>
      </c>
      <c r="B842" s="6">
        <v>3</v>
      </c>
      <c r="C842" s="6">
        <v>164</v>
      </c>
      <c r="D842" s="6">
        <v>113</v>
      </c>
      <c r="E842" s="6">
        <v>4</v>
      </c>
      <c r="F842" s="6" t="s">
        <v>31</v>
      </c>
      <c r="G842" s="7">
        <v>104936</v>
      </c>
      <c r="H842" s="6" t="s">
        <v>27</v>
      </c>
    </row>
    <row r="843" spans="1:8" ht="23" customHeight="1">
      <c r="A843" s="6">
        <v>6</v>
      </c>
      <c r="B843" s="6">
        <v>3</v>
      </c>
      <c r="C843" s="6">
        <v>164</v>
      </c>
      <c r="D843" s="6">
        <v>113</v>
      </c>
      <c r="E843" s="6">
        <v>5</v>
      </c>
      <c r="F843" s="6" t="s">
        <v>32</v>
      </c>
      <c r="G843" s="7">
        <v>672.8</v>
      </c>
      <c r="H843" s="6" t="s">
        <v>33</v>
      </c>
    </row>
    <row r="844" spans="1:8" ht="23" customHeight="1">
      <c r="A844" s="6">
        <v>6</v>
      </c>
      <c r="B844" s="6">
        <v>3</v>
      </c>
      <c r="C844" s="6">
        <v>164</v>
      </c>
      <c r="D844" s="6">
        <v>113</v>
      </c>
      <c r="E844" s="6">
        <v>6</v>
      </c>
      <c r="F844" s="6" t="s">
        <v>34</v>
      </c>
      <c r="G844" s="7">
        <v>672.8</v>
      </c>
      <c r="H844" s="6" t="s">
        <v>33</v>
      </c>
    </row>
    <row r="845" spans="1:8" ht="23" customHeight="1">
      <c r="A845" s="6">
        <v>6</v>
      </c>
      <c r="B845" s="6">
        <v>3</v>
      </c>
      <c r="C845" s="6">
        <v>164</v>
      </c>
      <c r="D845" s="6">
        <v>113</v>
      </c>
      <c r="E845" s="6">
        <v>7</v>
      </c>
      <c r="F845" s="6" t="s">
        <v>35</v>
      </c>
      <c r="G845" s="7">
        <v>104936</v>
      </c>
      <c r="H845" s="6" t="s">
        <v>27</v>
      </c>
    </row>
    <row r="846" spans="1:8" ht="23" customHeight="1">
      <c r="A846" s="6">
        <v>6</v>
      </c>
      <c r="B846" s="6">
        <v>3</v>
      </c>
      <c r="C846" s="6">
        <v>164</v>
      </c>
      <c r="D846" s="6">
        <v>113</v>
      </c>
      <c r="E846" s="6">
        <v>8</v>
      </c>
      <c r="F846" s="6" t="s">
        <v>36</v>
      </c>
      <c r="G846" s="7">
        <v>672.8</v>
      </c>
      <c r="H846" s="6" t="s">
        <v>33</v>
      </c>
    </row>
    <row r="847" spans="1:8" ht="23" customHeight="1">
      <c r="A847" s="6">
        <v>6</v>
      </c>
      <c r="B847" s="6">
        <v>3</v>
      </c>
      <c r="C847" s="6">
        <v>164</v>
      </c>
      <c r="D847" s="6">
        <v>113</v>
      </c>
      <c r="E847" s="6">
        <v>9</v>
      </c>
      <c r="F847" s="6" t="s">
        <v>37</v>
      </c>
      <c r="G847" s="7">
        <v>672.8</v>
      </c>
      <c r="H847" s="6" t="s">
        <v>33</v>
      </c>
    </row>
    <row r="848" spans="1:8" ht="23" customHeight="1">
      <c r="A848" s="6">
        <v>6</v>
      </c>
      <c r="B848" s="6">
        <v>3</v>
      </c>
      <c r="C848" s="6">
        <v>164</v>
      </c>
      <c r="D848" s="6">
        <v>113</v>
      </c>
      <c r="E848" s="6">
        <v>10</v>
      </c>
      <c r="F848" s="6" t="s">
        <v>38</v>
      </c>
      <c r="G848" s="7">
        <v>104936</v>
      </c>
      <c r="H848" s="6" t="s">
        <v>27</v>
      </c>
    </row>
    <row r="849" spans="1:8" ht="23" customHeight="1">
      <c r="A849" s="6">
        <v>6</v>
      </c>
      <c r="B849" s="6">
        <v>3</v>
      </c>
      <c r="C849" s="6">
        <v>164</v>
      </c>
      <c r="D849" s="6">
        <v>113</v>
      </c>
      <c r="E849" s="6">
        <v>11</v>
      </c>
      <c r="F849" s="6" t="s">
        <v>39</v>
      </c>
      <c r="G849" s="7">
        <v>104936</v>
      </c>
      <c r="H849" s="6" t="s">
        <v>27</v>
      </c>
    </row>
    <row r="850" spans="1:8" ht="23" customHeight="1">
      <c r="A850" s="6">
        <v>6</v>
      </c>
      <c r="B850" s="6">
        <v>3</v>
      </c>
      <c r="C850" s="6">
        <v>164</v>
      </c>
      <c r="D850" s="6">
        <v>113</v>
      </c>
      <c r="E850" s="6">
        <v>12</v>
      </c>
      <c r="F850" s="6" t="s">
        <v>40</v>
      </c>
      <c r="G850" s="7">
        <v>104936</v>
      </c>
      <c r="H850" s="6" t="s">
        <v>27</v>
      </c>
    </row>
    <row r="851" spans="1:8" ht="23" customHeight="1">
      <c r="A851" s="6">
        <v>6</v>
      </c>
      <c r="B851" s="6">
        <v>3</v>
      </c>
      <c r="C851" s="6">
        <v>164</v>
      </c>
      <c r="D851" s="6">
        <v>113</v>
      </c>
      <c r="E851" s="6">
        <v>13</v>
      </c>
      <c r="F851" s="6" t="s">
        <v>41</v>
      </c>
      <c r="G851" s="7">
        <v>104936</v>
      </c>
      <c r="H851" s="6" t="s">
        <v>27</v>
      </c>
    </row>
    <row r="852" spans="1:8" ht="23" customHeight="1">
      <c r="A852" s="6">
        <v>6</v>
      </c>
      <c r="B852" s="6">
        <v>3</v>
      </c>
      <c r="C852" s="6">
        <v>165</v>
      </c>
      <c r="D852" s="6">
        <v>114</v>
      </c>
      <c r="E852" s="6">
        <v>4</v>
      </c>
      <c r="F852" s="6" t="s">
        <v>31</v>
      </c>
      <c r="G852" s="7">
        <v>104936</v>
      </c>
      <c r="H852" s="6" t="s">
        <v>27</v>
      </c>
    </row>
    <row r="853" spans="1:8" ht="23" customHeight="1">
      <c r="A853" s="6">
        <v>6</v>
      </c>
      <c r="B853" s="6">
        <v>3</v>
      </c>
      <c r="C853" s="6">
        <v>165</v>
      </c>
      <c r="D853" s="6">
        <v>114</v>
      </c>
      <c r="E853" s="6">
        <v>5</v>
      </c>
      <c r="F853" s="6" t="s">
        <v>32</v>
      </c>
      <c r="G853" s="7">
        <v>672.8</v>
      </c>
      <c r="H853" s="6" t="s">
        <v>33</v>
      </c>
    </row>
    <row r="854" spans="1:8" ht="23" customHeight="1">
      <c r="A854" s="6">
        <v>6</v>
      </c>
      <c r="B854" s="6">
        <v>3</v>
      </c>
      <c r="C854" s="6">
        <v>165</v>
      </c>
      <c r="D854" s="6">
        <v>114</v>
      </c>
      <c r="E854" s="6">
        <v>6</v>
      </c>
      <c r="F854" s="6" t="s">
        <v>34</v>
      </c>
      <c r="G854" s="7">
        <v>672.8</v>
      </c>
      <c r="H854" s="6" t="s">
        <v>33</v>
      </c>
    </row>
    <row r="855" spans="1:8" ht="23" customHeight="1">
      <c r="A855" s="6">
        <v>6</v>
      </c>
      <c r="B855" s="6">
        <v>3</v>
      </c>
      <c r="C855" s="6">
        <v>165</v>
      </c>
      <c r="D855" s="6">
        <v>114</v>
      </c>
      <c r="E855" s="6">
        <v>7</v>
      </c>
      <c r="F855" s="6" t="s">
        <v>35</v>
      </c>
      <c r="G855" s="7">
        <v>104936</v>
      </c>
      <c r="H855" s="6" t="s">
        <v>27</v>
      </c>
    </row>
    <row r="856" spans="1:8" ht="23" customHeight="1">
      <c r="A856" s="6">
        <v>6</v>
      </c>
      <c r="B856" s="6">
        <v>3</v>
      </c>
      <c r="C856" s="6">
        <v>165</v>
      </c>
      <c r="D856" s="6">
        <v>114</v>
      </c>
      <c r="E856" s="6">
        <v>8</v>
      </c>
      <c r="F856" s="6" t="s">
        <v>36</v>
      </c>
      <c r="G856" s="7">
        <v>672.8</v>
      </c>
      <c r="H856" s="6" t="s">
        <v>33</v>
      </c>
    </row>
    <row r="857" spans="1:8" ht="23" customHeight="1">
      <c r="A857" s="6">
        <v>6</v>
      </c>
      <c r="B857" s="6">
        <v>3</v>
      </c>
      <c r="C857" s="6">
        <v>165</v>
      </c>
      <c r="D857" s="6">
        <v>114</v>
      </c>
      <c r="E857" s="6">
        <v>9</v>
      </c>
      <c r="F857" s="6" t="s">
        <v>37</v>
      </c>
      <c r="G857" s="7">
        <v>672.8</v>
      </c>
      <c r="H857" s="6" t="s">
        <v>33</v>
      </c>
    </row>
    <row r="858" spans="1:8" ht="23" customHeight="1">
      <c r="A858" s="6">
        <v>6</v>
      </c>
      <c r="B858" s="6">
        <v>3</v>
      </c>
      <c r="C858" s="6">
        <v>165</v>
      </c>
      <c r="D858" s="6">
        <v>114</v>
      </c>
      <c r="E858" s="6">
        <v>10</v>
      </c>
      <c r="F858" s="6" t="s">
        <v>38</v>
      </c>
      <c r="G858" s="7">
        <v>104936</v>
      </c>
      <c r="H858" s="6" t="s">
        <v>27</v>
      </c>
    </row>
    <row r="859" spans="1:8" ht="23" customHeight="1">
      <c r="A859" s="6">
        <v>6</v>
      </c>
      <c r="B859" s="6">
        <v>3</v>
      </c>
      <c r="C859" s="6">
        <v>165</v>
      </c>
      <c r="D859" s="6">
        <v>114</v>
      </c>
      <c r="E859" s="6">
        <v>11</v>
      </c>
      <c r="F859" s="6" t="s">
        <v>39</v>
      </c>
      <c r="G859" s="7">
        <v>104936</v>
      </c>
      <c r="H859" s="6" t="s">
        <v>27</v>
      </c>
    </row>
    <row r="860" spans="1:8" ht="23" customHeight="1">
      <c r="A860" s="6">
        <v>6</v>
      </c>
      <c r="B860" s="6">
        <v>3</v>
      </c>
      <c r="C860" s="6">
        <v>165</v>
      </c>
      <c r="D860" s="6">
        <v>114</v>
      </c>
      <c r="E860" s="6">
        <v>12</v>
      </c>
      <c r="F860" s="6" t="s">
        <v>40</v>
      </c>
      <c r="G860" s="7">
        <v>104936</v>
      </c>
      <c r="H860" s="6" t="s">
        <v>27</v>
      </c>
    </row>
    <row r="861" spans="1:8" ht="23" customHeight="1">
      <c r="A861" s="6">
        <v>6</v>
      </c>
      <c r="B861" s="6">
        <v>3</v>
      </c>
      <c r="C861" s="6">
        <v>165</v>
      </c>
      <c r="D861" s="6">
        <v>114</v>
      </c>
      <c r="E861" s="6">
        <v>13</v>
      </c>
      <c r="F861" s="6" t="s">
        <v>41</v>
      </c>
      <c r="G861" s="7">
        <v>104936</v>
      </c>
      <c r="H861" s="6" t="s">
        <v>27</v>
      </c>
    </row>
    <row r="862" spans="1:8" ht="23" customHeight="1">
      <c r="A862" s="6">
        <v>6</v>
      </c>
      <c r="B862" s="6">
        <v>3</v>
      </c>
      <c r="C862" s="6">
        <v>166</v>
      </c>
      <c r="D862" s="6">
        <v>115</v>
      </c>
      <c r="E862" s="6">
        <v>4</v>
      </c>
      <c r="F862" s="6" t="s">
        <v>31</v>
      </c>
      <c r="G862" s="7">
        <v>104936</v>
      </c>
      <c r="H862" s="6" t="s">
        <v>27</v>
      </c>
    </row>
    <row r="863" spans="1:8" ht="23" customHeight="1">
      <c r="A863" s="6">
        <v>6</v>
      </c>
      <c r="B863" s="6">
        <v>3</v>
      </c>
      <c r="C863" s="6">
        <v>166</v>
      </c>
      <c r="D863" s="6">
        <v>115</v>
      </c>
      <c r="E863" s="6">
        <v>5</v>
      </c>
      <c r="F863" s="6" t="s">
        <v>32</v>
      </c>
      <c r="G863" s="7">
        <v>672.8</v>
      </c>
      <c r="H863" s="6" t="s">
        <v>33</v>
      </c>
    </row>
    <row r="864" spans="1:8" ht="23" customHeight="1">
      <c r="A864" s="6">
        <v>6</v>
      </c>
      <c r="B864" s="6">
        <v>3</v>
      </c>
      <c r="C864" s="6">
        <v>166</v>
      </c>
      <c r="D864" s="6">
        <v>115</v>
      </c>
      <c r="E864" s="6">
        <v>6</v>
      </c>
      <c r="F864" s="6" t="s">
        <v>34</v>
      </c>
      <c r="G864" s="7">
        <v>672.8</v>
      </c>
      <c r="H864" s="6" t="s">
        <v>33</v>
      </c>
    </row>
    <row r="865" spans="1:8" ht="23" customHeight="1">
      <c r="A865" s="6">
        <v>6</v>
      </c>
      <c r="B865" s="6">
        <v>3</v>
      </c>
      <c r="C865" s="6">
        <v>166</v>
      </c>
      <c r="D865" s="6">
        <v>115</v>
      </c>
      <c r="E865" s="6">
        <v>7</v>
      </c>
      <c r="F865" s="6" t="s">
        <v>35</v>
      </c>
      <c r="G865" s="7">
        <v>104936</v>
      </c>
      <c r="H865" s="6" t="s">
        <v>27</v>
      </c>
    </row>
    <row r="866" spans="1:8" ht="23" customHeight="1">
      <c r="A866" s="6">
        <v>6</v>
      </c>
      <c r="B866" s="6">
        <v>3</v>
      </c>
      <c r="C866" s="6">
        <v>166</v>
      </c>
      <c r="D866" s="6">
        <v>115</v>
      </c>
      <c r="E866" s="6">
        <v>8</v>
      </c>
      <c r="F866" s="6" t="s">
        <v>36</v>
      </c>
      <c r="G866" s="7">
        <v>672.8</v>
      </c>
      <c r="H866" s="6" t="s">
        <v>33</v>
      </c>
    </row>
    <row r="867" spans="1:8" ht="23" customHeight="1">
      <c r="A867" s="6">
        <v>6</v>
      </c>
      <c r="B867" s="6">
        <v>3</v>
      </c>
      <c r="C867" s="6">
        <v>166</v>
      </c>
      <c r="D867" s="6">
        <v>115</v>
      </c>
      <c r="E867" s="6">
        <v>9</v>
      </c>
      <c r="F867" s="6" t="s">
        <v>37</v>
      </c>
      <c r="G867" s="7">
        <v>672.8</v>
      </c>
      <c r="H867" s="6" t="s">
        <v>33</v>
      </c>
    </row>
    <row r="868" spans="1:8" ht="23" customHeight="1">
      <c r="A868" s="6">
        <v>6</v>
      </c>
      <c r="B868" s="6">
        <v>3</v>
      </c>
      <c r="C868" s="6">
        <v>166</v>
      </c>
      <c r="D868" s="6">
        <v>115</v>
      </c>
      <c r="E868" s="6">
        <v>10</v>
      </c>
      <c r="F868" s="6" t="s">
        <v>38</v>
      </c>
      <c r="G868" s="7">
        <v>104936</v>
      </c>
      <c r="H868" s="6" t="s">
        <v>27</v>
      </c>
    </row>
    <row r="869" spans="1:8" ht="23" customHeight="1">
      <c r="A869" s="6">
        <v>6</v>
      </c>
      <c r="B869" s="6">
        <v>3</v>
      </c>
      <c r="C869" s="6">
        <v>166</v>
      </c>
      <c r="D869" s="6">
        <v>115</v>
      </c>
      <c r="E869" s="6">
        <v>11</v>
      </c>
      <c r="F869" s="6" t="s">
        <v>39</v>
      </c>
      <c r="G869" s="7">
        <v>104936</v>
      </c>
      <c r="H869" s="6" t="s">
        <v>27</v>
      </c>
    </row>
    <row r="870" spans="1:8" ht="23" customHeight="1">
      <c r="A870" s="6">
        <v>6</v>
      </c>
      <c r="B870" s="6">
        <v>3</v>
      </c>
      <c r="C870" s="6">
        <v>166</v>
      </c>
      <c r="D870" s="6">
        <v>115</v>
      </c>
      <c r="E870" s="6">
        <v>12</v>
      </c>
      <c r="F870" s="6" t="s">
        <v>40</v>
      </c>
      <c r="G870" s="7">
        <v>104936</v>
      </c>
      <c r="H870" s="6" t="s">
        <v>27</v>
      </c>
    </row>
    <row r="871" spans="1:8" ht="23" customHeight="1">
      <c r="A871" s="6">
        <v>6</v>
      </c>
      <c r="B871" s="6">
        <v>3</v>
      </c>
      <c r="C871" s="6">
        <v>166</v>
      </c>
      <c r="D871" s="6">
        <v>115</v>
      </c>
      <c r="E871" s="6">
        <v>13</v>
      </c>
      <c r="F871" s="6" t="s">
        <v>41</v>
      </c>
      <c r="G871" s="7">
        <v>104936</v>
      </c>
      <c r="H871" s="6" t="s">
        <v>27</v>
      </c>
    </row>
    <row r="872" spans="1:8" ht="23" customHeight="1">
      <c r="A872" s="6">
        <v>6</v>
      </c>
      <c r="B872" s="6">
        <v>3</v>
      </c>
      <c r="C872" s="6">
        <v>167</v>
      </c>
      <c r="D872" s="6">
        <v>116</v>
      </c>
      <c r="E872" s="6">
        <v>4</v>
      </c>
      <c r="F872" s="6" t="s">
        <v>31</v>
      </c>
      <c r="G872" s="7">
        <v>104936</v>
      </c>
      <c r="H872" s="6" t="s">
        <v>27</v>
      </c>
    </row>
    <row r="873" spans="1:8" ht="23" customHeight="1">
      <c r="A873" s="6">
        <v>6</v>
      </c>
      <c r="B873" s="6">
        <v>3</v>
      </c>
      <c r="C873" s="6">
        <v>167</v>
      </c>
      <c r="D873" s="6">
        <v>116</v>
      </c>
      <c r="E873" s="6">
        <v>5</v>
      </c>
      <c r="F873" s="6" t="s">
        <v>32</v>
      </c>
      <c r="G873" s="7">
        <v>672.8</v>
      </c>
      <c r="H873" s="6" t="s">
        <v>33</v>
      </c>
    </row>
    <row r="874" spans="1:8" ht="23" customHeight="1">
      <c r="A874" s="6">
        <v>6</v>
      </c>
      <c r="B874" s="6">
        <v>3</v>
      </c>
      <c r="C874" s="6">
        <v>167</v>
      </c>
      <c r="D874" s="6">
        <v>116</v>
      </c>
      <c r="E874" s="6">
        <v>6</v>
      </c>
      <c r="F874" s="6" t="s">
        <v>34</v>
      </c>
      <c r="G874" s="7">
        <v>672.8</v>
      </c>
      <c r="H874" s="6" t="s">
        <v>33</v>
      </c>
    </row>
    <row r="875" spans="1:8" ht="23" customHeight="1">
      <c r="A875" s="6">
        <v>6</v>
      </c>
      <c r="B875" s="6">
        <v>3</v>
      </c>
      <c r="C875" s="6">
        <v>167</v>
      </c>
      <c r="D875" s="6">
        <v>116</v>
      </c>
      <c r="E875" s="6">
        <v>7</v>
      </c>
      <c r="F875" s="6" t="s">
        <v>35</v>
      </c>
      <c r="G875" s="7">
        <v>104936</v>
      </c>
      <c r="H875" s="6" t="s">
        <v>27</v>
      </c>
    </row>
    <row r="876" spans="1:8" ht="23" customHeight="1">
      <c r="A876" s="6">
        <v>6</v>
      </c>
      <c r="B876" s="6">
        <v>3</v>
      </c>
      <c r="C876" s="6">
        <v>167</v>
      </c>
      <c r="D876" s="6">
        <v>116</v>
      </c>
      <c r="E876" s="6">
        <v>8</v>
      </c>
      <c r="F876" s="6" t="s">
        <v>36</v>
      </c>
      <c r="G876" s="7">
        <v>672.8</v>
      </c>
      <c r="H876" s="6" t="s">
        <v>33</v>
      </c>
    </row>
    <row r="877" spans="1:8" ht="23" customHeight="1">
      <c r="A877" s="6">
        <v>6</v>
      </c>
      <c r="B877" s="6">
        <v>3</v>
      </c>
      <c r="C877" s="6">
        <v>167</v>
      </c>
      <c r="D877" s="6">
        <v>116</v>
      </c>
      <c r="E877" s="6">
        <v>9</v>
      </c>
      <c r="F877" s="6" t="s">
        <v>37</v>
      </c>
      <c r="G877" s="7">
        <v>672.8</v>
      </c>
      <c r="H877" s="6" t="s">
        <v>33</v>
      </c>
    </row>
    <row r="878" spans="1:8" ht="23" customHeight="1">
      <c r="A878" s="6">
        <v>6</v>
      </c>
      <c r="B878" s="6">
        <v>3</v>
      </c>
      <c r="C878" s="6">
        <v>167</v>
      </c>
      <c r="D878" s="6">
        <v>116</v>
      </c>
      <c r="E878" s="6">
        <v>10</v>
      </c>
      <c r="F878" s="6" t="s">
        <v>38</v>
      </c>
      <c r="G878" s="7">
        <v>104936</v>
      </c>
      <c r="H878" s="6" t="s">
        <v>27</v>
      </c>
    </row>
    <row r="879" spans="1:8" ht="23" customHeight="1">
      <c r="A879" s="6">
        <v>6</v>
      </c>
      <c r="B879" s="6">
        <v>3</v>
      </c>
      <c r="C879" s="6">
        <v>167</v>
      </c>
      <c r="D879" s="6">
        <v>116</v>
      </c>
      <c r="E879" s="6">
        <v>11</v>
      </c>
      <c r="F879" s="6" t="s">
        <v>39</v>
      </c>
      <c r="G879" s="7">
        <v>104936</v>
      </c>
      <c r="H879" s="6" t="s">
        <v>27</v>
      </c>
    </row>
    <row r="880" spans="1:8" ht="23" customHeight="1">
      <c r="A880" s="6">
        <v>6</v>
      </c>
      <c r="B880" s="6">
        <v>3</v>
      </c>
      <c r="C880" s="6">
        <v>167</v>
      </c>
      <c r="D880" s="6">
        <v>116</v>
      </c>
      <c r="E880" s="6">
        <v>12</v>
      </c>
      <c r="F880" s="6" t="s">
        <v>40</v>
      </c>
      <c r="G880" s="7">
        <v>104936</v>
      </c>
      <c r="H880" s="6" t="s">
        <v>27</v>
      </c>
    </row>
    <row r="881" spans="1:8" ht="23" customHeight="1">
      <c r="A881" s="6">
        <v>6</v>
      </c>
      <c r="B881" s="6">
        <v>3</v>
      </c>
      <c r="C881" s="6">
        <v>167</v>
      </c>
      <c r="D881" s="6">
        <v>116</v>
      </c>
      <c r="E881" s="6">
        <v>13</v>
      </c>
      <c r="F881" s="6" t="s">
        <v>41</v>
      </c>
      <c r="G881" s="7">
        <v>104936</v>
      </c>
      <c r="H881" s="6" t="s">
        <v>27</v>
      </c>
    </row>
    <row r="882" spans="1:8" ht="23" customHeight="1">
      <c r="A882" s="6">
        <v>6</v>
      </c>
      <c r="B882" s="6">
        <v>3</v>
      </c>
      <c r="C882" s="6">
        <v>168</v>
      </c>
      <c r="D882" s="6">
        <v>117</v>
      </c>
      <c r="E882" s="6">
        <v>4</v>
      </c>
      <c r="F882" s="6" t="s">
        <v>31</v>
      </c>
      <c r="G882" s="7">
        <v>104936</v>
      </c>
      <c r="H882" s="6" t="s">
        <v>27</v>
      </c>
    </row>
    <row r="883" spans="1:8" ht="23" customHeight="1">
      <c r="A883" s="6">
        <v>6</v>
      </c>
      <c r="B883" s="6">
        <v>3</v>
      </c>
      <c r="C883" s="6">
        <v>168</v>
      </c>
      <c r="D883" s="6">
        <v>117</v>
      </c>
      <c r="E883" s="6">
        <v>5</v>
      </c>
      <c r="F883" s="6" t="s">
        <v>32</v>
      </c>
      <c r="G883" s="7">
        <v>672.8</v>
      </c>
      <c r="H883" s="6" t="s">
        <v>33</v>
      </c>
    </row>
    <row r="884" spans="1:8" ht="23" customHeight="1">
      <c r="A884" s="6">
        <v>6</v>
      </c>
      <c r="B884" s="6">
        <v>3</v>
      </c>
      <c r="C884" s="6">
        <v>168</v>
      </c>
      <c r="D884" s="6">
        <v>117</v>
      </c>
      <c r="E884" s="6">
        <v>6</v>
      </c>
      <c r="F884" s="6" t="s">
        <v>34</v>
      </c>
      <c r="G884" s="7">
        <v>672.8</v>
      </c>
      <c r="H884" s="6" t="s">
        <v>33</v>
      </c>
    </row>
    <row r="885" spans="1:8" ht="23" customHeight="1">
      <c r="A885" s="6">
        <v>6</v>
      </c>
      <c r="B885" s="6">
        <v>3</v>
      </c>
      <c r="C885" s="6">
        <v>168</v>
      </c>
      <c r="D885" s="6">
        <v>117</v>
      </c>
      <c r="E885" s="6">
        <v>7</v>
      </c>
      <c r="F885" s="6" t="s">
        <v>35</v>
      </c>
      <c r="G885" s="7">
        <v>104936</v>
      </c>
      <c r="H885" s="6" t="s">
        <v>27</v>
      </c>
    </row>
    <row r="886" spans="1:8" ht="23" customHeight="1">
      <c r="A886" s="6">
        <v>6</v>
      </c>
      <c r="B886" s="6">
        <v>3</v>
      </c>
      <c r="C886" s="6">
        <v>168</v>
      </c>
      <c r="D886" s="6">
        <v>117</v>
      </c>
      <c r="E886" s="6">
        <v>8</v>
      </c>
      <c r="F886" s="6" t="s">
        <v>36</v>
      </c>
      <c r="G886" s="7">
        <v>672.8</v>
      </c>
      <c r="H886" s="6" t="s">
        <v>33</v>
      </c>
    </row>
    <row r="887" spans="1:8" ht="23" customHeight="1">
      <c r="A887" s="6">
        <v>6</v>
      </c>
      <c r="B887" s="6">
        <v>3</v>
      </c>
      <c r="C887" s="6">
        <v>168</v>
      </c>
      <c r="D887" s="6">
        <v>117</v>
      </c>
      <c r="E887" s="6">
        <v>9</v>
      </c>
      <c r="F887" s="6" t="s">
        <v>37</v>
      </c>
      <c r="G887" s="7">
        <v>672.8</v>
      </c>
      <c r="H887" s="6" t="s">
        <v>33</v>
      </c>
    </row>
    <row r="888" spans="1:8" ht="23" customHeight="1">
      <c r="A888" s="6">
        <v>6</v>
      </c>
      <c r="B888" s="6">
        <v>3</v>
      </c>
      <c r="C888" s="6">
        <v>168</v>
      </c>
      <c r="D888" s="6">
        <v>117</v>
      </c>
      <c r="E888" s="6">
        <v>10</v>
      </c>
      <c r="F888" s="6" t="s">
        <v>38</v>
      </c>
      <c r="G888" s="7">
        <v>104936</v>
      </c>
      <c r="H888" s="6" t="s">
        <v>27</v>
      </c>
    </row>
    <row r="889" spans="1:8" ht="23" customHeight="1">
      <c r="A889" s="6">
        <v>6</v>
      </c>
      <c r="B889" s="6">
        <v>3</v>
      </c>
      <c r="C889" s="6">
        <v>168</v>
      </c>
      <c r="D889" s="6">
        <v>117</v>
      </c>
      <c r="E889" s="6">
        <v>11</v>
      </c>
      <c r="F889" s="6" t="s">
        <v>39</v>
      </c>
      <c r="G889" s="7">
        <v>104936</v>
      </c>
      <c r="H889" s="6" t="s">
        <v>27</v>
      </c>
    </row>
    <row r="890" spans="1:8" ht="23" customHeight="1">
      <c r="A890" s="6">
        <v>6</v>
      </c>
      <c r="B890" s="6">
        <v>3</v>
      </c>
      <c r="C890" s="6">
        <v>168</v>
      </c>
      <c r="D890" s="6">
        <v>117</v>
      </c>
      <c r="E890" s="6">
        <v>12</v>
      </c>
      <c r="F890" s="6" t="s">
        <v>40</v>
      </c>
      <c r="G890" s="7">
        <v>104936</v>
      </c>
      <c r="H890" s="6" t="s">
        <v>27</v>
      </c>
    </row>
    <row r="891" spans="1:8" ht="23" customHeight="1">
      <c r="A891" s="6">
        <v>6</v>
      </c>
      <c r="B891" s="6">
        <v>3</v>
      </c>
      <c r="C891" s="6">
        <v>168</v>
      </c>
      <c r="D891" s="6">
        <v>117</v>
      </c>
      <c r="E891" s="6">
        <v>13</v>
      </c>
      <c r="F891" s="6" t="s">
        <v>41</v>
      </c>
      <c r="G891" s="7">
        <v>104936</v>
      </c>
      <c r="H891" s="6" t="s">
        <v>27</v>
      </c>
    </row>
    <row r="892" spans="1:8" ht="23" customHeight="1">
      <c r="A892" s="6">
        <v>6</v>
      </c>
      <c r="B892" s="6">
        <v>3</v>
      </c>
      <c r="C892" s="6">
        <v>169</v>
      </c>
      <c r="D892" s="6">
        <v>118</v>
      </c>
      <c r="E892" s="6">
        <v>4</v>
      </c>
      <c r="F892" s="6" t="s">
        <v>31</v>
      </c>
      <c r="G892" s="7">
        <v>104936</v>
      </c>
      <c r="H892" s="6" t="s">
        <v>27</v>
      </c>
    </row>
    <row r="893" spans="1:8" ht="23" customHeight="1">
      <c r="A893" s="6">
        <v>6</v>
      </c>
      <c r="B893" s="6">
        <v>3</v>
      </c>
      <c r="C893" s="6">
        <v>169</v>
      </c>
      <c r="D893" s="6">
        <v>118</v>
      </c>
      <c r="E893" s="6">
        <v>5</v>
      </c>
      <c r="F893" s="6" t="s">
        <v>32</v>
      </c>
      <c r="G893" s="7">
        <v>672.8</v>
      </c>
      <c r="H893" s="6" t="s">
        <v>33</v>
      </c>
    </row>
    <row r="894" spans="1:8" ht="23" customHeight="1">
      <c r="A894" s="6">
        <v>6</v>
      </c>
      <c r="B894" s="6">
        <v>3</v>
      </c>
      <c r="C894" s="6">
        <v>169</v>
      </c>
      <c r="D894" s="6">
        <v>118</v>
      </c>
      <c r="E894" s="6">
        <v>6</v>
      </c>
      <c r="F894" s="6" t="s">
        <v>34</v>
      </c>
      <c r="G894" s="7">
        <v>672.8</v>
      </c>
      <c r="H894" s="6" t="s">
        <v>33</v>
      </c>
    </row>
    <row r="895" spans="1:8" ht="23" customHeight="1">
      <c r="A895" s="6">
        <v>6</v>
      </c>
      <c r="B895" s="6">
        <v>3</v>
      </c>
      <c r="C895" s="6">
        <v>169</v>
      </c>
      <c r="D895" s="6">
        <v>118</v>
      </c>
      <c r="E895" s="6">
        <v>7</v>
      </c>
      <c r="F895" s="6" t="s">
        <v>35</v>
      </c>
      <c r="G895" s="7">
        <v>104936</v>
      </c>
      <c r="H895" s="6" t="s">
        <v>27</v>
      </c>
    </row>
    <row r="896" spans="1:8" ht="23" customHeight="1">
      <c r="A896" s="6">
        <v>6</v>
      </c>
      <c r="B896" s="6">
        <v>3</v>
      </c>
      <c r="C896" s="6">
        <v>169</v>
      </c>
      <c r="D896" s="6">
        <v>118</v>
      </c>
      <c r="E896" s="6">
        <v>8</v>
      </c>
      <c r="F896" s="6" t="s">
        <v>36</v>
      </c>
      <c r="G896" s="7">
        <v>672.8</v>
      </c>
      <c r="H896" s="6" t="s">
        <v>33</v>
      </c>
    </row>
    <row r="897" spans="1:8" ht="23" customHeight="1">
      <c r="A897" s="6">
        <v>6</v>
      </c>
      <c r="B897" s="6">
        <v>3</v>
      </c>
      <c r="C897" s="6">
        <v>169</v>
      </c>
      <c r="D897" s="6">
        <v>118</v>
      </c>
      <c r="E897" s="6">
        <v>9</v>
      </c>
      <c r="F897" s="6" t="s">
        <v>37</v>
      </c>
      <c r="G897" s="7">
        <v>672.8</v>
      </c>
      <c r="H897" s="6" t="s">
        <v>33</v>
      </c>
    </row>
    <row r="898" spans="1:8" ht="23" customHeight="1">
      <c r="A898" s="6">
        <v>6</v>
      </c>
      <c r="B898" s="6">
        <v>3</v>
      </c>
      <c r="C898" s="6">
        <v>169</v>
      </c>
      <c r="D898" s="6">
        <v>118</v>
      </c>
      <c r="E898" s="6">
        <v>10</v>
      </c>
      <c r="F898" s="6" t="s">
        <v>38</v>
      </c>
      <c r="G898" s="7">
        <v>104936</v>
      </c>
      <c r="H898" s="6" t="s">
        <v>27</v>
      </c>
    </row>
    <row r="899" spans="1:8" ht="23" customHeight="1">
      <c r="A899" s="6">
        <v>6</v>
      </c>
      <c r="B899" s="6">
        <v>3</v>
      </c>
      <c r="C899" s="6">
        <v>169</v>
      </c>
      <c r="D899" s="6">
        <v>118</v>
      </c>
      <c r="E899" s="6">
        <v>11</v>
      </c>
      <c r="F899" s="6" t="s">
        <v>39</v>
      </c>
      <c r="G899" s="7">
        <v>104936</v>
      </c>
      <c r="H899" s="6" t="s">
        <v>27</v>
      </c>
    </row>
    <row r="900" spans="1:8" ht="23" customHeight="1">
      <c r="A900" s="6">
        <v>6</v>
      </c>
      <c r="B900" s="6">
        <v>3</v>
      </c>
      <c r="C900" s="6">
        <v>169</v>
      </c>
      <c r="D900" s="6">
        <v>118</v>
      </c>
      <c r="E900" s="6">
        <v>12</v>
      </c>
      <c r="F900" s="6" t="s">
        <v>40</v>
      </c>
      <c r="G900" s="7">
        <v>104936</v>
      </c>
      <c r="H900" s="6" t="s">
        <v>27</v>
      </c>
    </row>
    <row r="901" spans="1:8" ht="23" customHeight="1">
      <c r="A901" s="6">
        <v>6</v>
      </c>
      <c r="B901" s="6">
        <v>3</v>
      </c>
      <c r="C901" s="6">
        <v>169</v>
      </c>
      <c r="D901" s="6">
        <v>118</v>
      </c>
      <c r="E901" s="6">
        <v>13</v>
      </c>
      <c r="F901" s="6" t="s">
        <v>41</v>
      </c>
      <c r="G901" s="7">
        <v>104936</v>
      </c>
      <c r="H901" s="6" t="s">
        <v>27</v>
      </c>
    </row>
    <row r="902" spans="1:8" ht="23" customHeight="1">
      <c r="A902" s="6">
        <v>6</v>
      </c>
      <c r="B902" s="6">
        <v>3</v>
      </c>
      <c r="C902" s="6">
        <v>170</v>
      </c>
      <c r="D902" s="6">
        <v>119</v>
      </c>
      <c r="E902" s="6">
        <v>4</v>
      </c>
      <c r="F902" s="6" t="s">
        <v>31</v>
      </c>
      <c r="G902" s="7">
        <v>104936</v>
      </c>
      <c r="H902" s="6" t="s">
        <v>27</v>
      </c>
    </row>
    <row r="903" spans="1:8" ht="23" customHeight="1">
      <c r="A903" s="6">
        <v>6</v>
      </c>
      <c r="B903" s="6">
        <v>3</v>
      </c>
      <c r="C903" s="6">
        <v>170</v>
      </c>
      <c r="D903" s="6">
        <v>119</v>
      </c>
      <c r="E903" s="6">
        <v>5</v>
      </c>
      <c r="F903" s="6" t="s">
        <v>32</v>
      </c>
      <c r="G903" s="7">
        <v>672.8</v>
      </c>
      <c r="H903" s="6" t="s">
        <v>33</v>
      </c>
    </row>
    <row r="904" spans="1:8" ht="23" customHeight="1">
      <c r="A904" s="6">
        <v>6</v>
      </c>
      <c r="B904" s="6">
        <v>3</v>
      </c>
      <c r="C904" s="6">
        <v>170</v>
      </c>
      <c r="D904" s="6">
        <v>119</v>
      </c>
      <c r="E904" s="6">
        <v>6</v>
      </c>
      <c r="F904" s="6" t="s">
        <v>34</v>
      </c>
      <c r="G904" s="7">
        <v>672.8</v>
      </c>
      <c r="H904" s="6" t="s">
        <v>33</v>
      </c>
    </row>
    <row r="905" spans="1:8" ht="23" customHeight="1">
      <c r="A905" s="6">
        <v>6</v>
      </c>
      <c r="B905" s="6">
        <v>3</v>
      </c>
      <c r="C905" s="6">
        <v>170</v>
      </c>
      <c r="D905" s="6">
        <v>119</v>
      </c>
      <c r="E905" s="6">
        <v>7</v>
      </c>
      <c r="F905" s="6" t="s">
        <v>35</v>
      </c>
      <c r="G905" s="7">
        <v>104936</v>
      </c>
      <c r="H905" s="6" t="s">
        <v>27</v>
      </c>
    </row>
    <row r="906" spans="1:8" ht="23" customHeight="1">
      <c r="A906" s="6">
        <v>6</v>
      </c>
      <c r="B906" s="6">
        <v>3</v>
      </c>
      <c r="C906" s="6">
        <v>170</v>
      </c>
      <c r="D906" s="6">
        <v>119</v>
      </c>
      <c r="E906" s="6">
        <v>8</v>
      </c>
      <c r="F906" s="6" t="s">
        <v>36</v>
      </c>
      <c r="G906" s="7">
        <v>672.8</v>
      </c>
      <c r="H906" s="6" t="s">
        <v>33</v>
      </c>
    </row>
    <row r="907" spans="1:8" ht="23" customHeight="1">
      <c r="A907" s="6">
        <v>6</v>
      </c>
      <c r="B907" s="6">
        <v>3</v>
      </c>
      <c r="C907" s="6">
        <v>170</v>
      </c>
      <c r="D907" s="6">
        <v>119</v>
      </c>
      <c r="E907" s="6">
        <v>9</v>
      </c>
      <c r="F907" s="6" t="s">
        <v>37</v>
      </c>
      <c r="G907" s="7">
        <v>672.8</v>
      </c>
      <c r="H907" s="6" t="s">
        <v>33</v>
      </c>
    </row>
    <row r="908" spans="1:8" ht="23" customHeight="1">
      <c r="A908" s="6">
        <v>6</v>
      </c>
      <c r="B908" s="6">
        <v>3</v>
      </c>
      <c r="C908" s="6">
        <v>170</v>
      </c>
      <c r="D908" s="6">
        <v>119</v>
      </c>
      <c r="E908" s="6">
        <v>10</v>
      </c>
      <c r="F908" s="6" t="s">
        <v>38</v>
      </c>
      <c r="G908" s="7">
        <v>104936</v>
      </c>
      <c r="H908" s="6" t="s">
        <v>27</v>
      </c>
    </row>
    <row r="909" spans="1:8" ht="23" customHeight="1">
      <c r="A909" s="6">
        <v>6</v>
      </c>
      <c r="B909" s="6">
        <v>3</v>
      </c>
      <c r="C909" s="6">
        <v>170</v>
      </c>
      <c r="D909" s="6">
        <v>119</v>
      </c>
      <c r="E909" s="6">
        <v>11</v>
      </c>
      <c r="F909" s="6" t="s">
        <v>39</v>
      </c>
      <c r="G909" s="7">
        <v>104936</v>
      </c>
      <c r="H909" s="6" t="s">
        <v>27</v>
      </c>
    </row>
    <row r="910" spans="1:8" ht="23" customHeight="1">
      <c r="A910" s="6">
        <v>6</v>
      </c>
      <c r="B910" s="6">
        <v>3</v>
      </c>
      <c r="C910" s="6">
        <v>170</v>
      </c>
      <c r="D910" s="6">
        <v>119</v>
      </c>
      <c r="E910" s="6">
        <v>12</v>
      </c>
      <c r="F910" s="6" t="s">
        <v>40</v>
      </c>
      <c r="G910" s="7">
        <v>104936</v>
      </c>
      <c r="H910" s="6" t="s">
        <v>27</v>
      </c>
    </row>
    <row r="911" spans="1:8" ht="23" customHeight="1">
      <c r="A911" s="6">
        <v>6</v>
      </c>
      <c r="B911" s="6">
        <v>3</v>
      </c>
      <c r="C911" s="6">
        <v>170</v>
      </c>
      <c r="D911" s="6">
        <v>119</v>
      </c>
      <c r="E911" s="6">
        <v>13</v>
      </c>
      <c r="F911" s="6" t="s">
        <v>41</v>
      </c>
      <c r="G911" s="7">
        <v>104936</v>
      </c>
      <c r="H911" s="6" t="s">
        <v>27</v>
      </c>
    </row>
    <row r="912" spans="1:8" ht="23" customHeight="1">
      <c r="A912" s="6">
        <v>6</v>
      </c>
      <c r="B912" s="6">
        <v>3</v>
      </c>
      <c r="C912" s="6">
        <v>171</v>
      </c>
      <c r="D912" s="6">
        <v>120</v>
      </c>
      <c r="E912" s="6">
        <v>4</v>
      </c>
      <c r="F912" s="6" t="s">
        <v>31</v>
      </c>
      <c r="G912" s="7">
        <v>36324</v>
      </c>
      <c r="H912" s="6" t="s">
        <v>27</v>
      </c>
    </row>
    <row r="913" spans="1:12" ht="23" customHeight="1">
      <c r="A913" s="6">
        <v>6</v>
      </c>
      <c r="B913" s="6">
        <v>3</v>
      </c>
      <c r="C913" s="6">
        <v>171</v>
      </c>
      <c r="D913" s="6">
        <v>120</v>
      </c>
      <c r="E913" s="6">
        <v>5</v>
      </c>
      <c r="F913" s="6" t="s">
        <v>32</v>
      </c>
      <c r="G913" s="7">
        <v>232.9</v>
      </c>
      <c r="H913" s="6" t="s">
        <v>33</v>
      </c>
    </row>
    <row r="914" spans="1:12" ht="23" customHeight="1">
      <c r="A914" s="6">
        <v>6</v>
      </c>
      <c r="B914" s="6">
        <v>3</v>
      </c>
      <c r="C914" s="6">
        <v>171</v>
      </c>
      <c r="D914" s="6">
        <v>120</v>
      </c>
      <c r="E914" s="6">
        <v>6</v>
      </c>
      <c r="F914" s="6" t="s">
        <v>34</v>
      </c>
      <c r="G914" s="7">
        <v>232.9</v>
      </c>
      <c r="H914" s="6" t="s">
        <v>33</v>
      </c>
    </row>
    <row r="915" spans="1:12" ht="23" customHeight="1">
      <c r="A915" s="6">
        <v>6</v>
      </c>
      <c r="B915" s="6">
        <v>3</v>
      </c>
      <c r="C915" s="6">
        <v>171</v>
      </c>
      <c r="D915" s="6">
        <v>120</v>
      </c>
      <c r="E915" s="6">
        <v>7</v>
      </c>
      <c r="F915" s="6" t="s">
        <v>35</v>
      </c>
      <c r="G915" s="7">
        <v>36324</v>
      </c>
      <c r="H915" s="6" t="s">
        <v>27</v>
      </c>
    </row>
    <row r="916" spans="1:12" ht="23" customHeight="1">
      <c r="A916" s="6">
        <v>6</v>
      </c>
      <c r="B916" s="6">
        <v>3</v>
      </c>
      <c r="C916" s="6">
        <v>171</v>
      </c>
      <c r="D916" s="6">
        <v>120</v>
      </c>
      <c r="E916" s="6">
        <v>8</v>
      </c>
      <c r="F916" s="6" t="s">
        <v>36</v>
      </c>
      <c r="G916" s="7">
        <v>232.9</v>
      </c>
      <c r="H916" s="6" t="s">
        <v>33</v>
      </c>
    </row>
    <row r="917" spans="1:12" ht="23" customHeight="1">
      <c r="A917" s="6">
        <v>6</v>
      </c>
      <c r="B917" s="6">
        <v>3</v>
      </c>
      <c r="C917" s="6">
        <v>171</v>
      </c>
      <c r="D917" s="6">
        <v>120</v>
      </c>
      <c r="E917" s="6">
        <v>9</v>
      </c>
      <c r="F917" s="6" t="s">
        <v>37</v>
      </c>
      <c r="G917" s="7">
        <v>232.9</v>
      </c>
      <c r="H917" s="6" t="s">
        <v>33</v>
      </c>
    </row>
    <row r="918" spans="1:12" ht="23" customHeight="1">
      <c r="A918" s="6">
        <v>6</v>
      </c>
      <c r="B918" s="6">
        <v>3</v>
      </c>
      <c r="C918" s="6">
        <v>171</v>
      </c>
      <c r="D918" s="6">
        <v>120</v>
      </c>
      <c r="E918" s="6">
        <v>10</v>
      </c>
      <c r="F918" s="6" t="s">
        <v>38</v>
      </c>
      <c r="G918" s="7">
        <v>36324</v>
      </c>
      <c r="H918" s="6" t="s">
        <v>27</v>
      </c>
    </row>
    <row r="919" spans="1:12" ht="23" customHeight="1">
      <c r="A919" s="6">
        <v>6</v>
      </c>
      <c r="B919" s="6">
        <v>3</v>
      </c>
      <c r="C919" s="6">
        <v>171</v>
      </c>
      <c r="D919" s="6">
        <v>120</v>
      </c>
      <c r="E919" s="6">
        <v>11</v>
      </c>
      <c r="F919" s="6" t="s">
        <v>39</v>
      </c>
      <c r="G919" s="7">
        <v>36324</v>
      </c>
      <c r="H919" s="6" t="s">
        <v>27</v>
      </c>
    </row>
    <row r="920" spans="1:12" ht="23" customHeight="1">
      <c r="A920" s="6">
        <v>6</v>
      </c>
      <c r="B920" s="6">
        <v>3</v>
      </c>
      <c r="C920" s="6">
        <v>171</v>
      </c>
      <c r="D920" s="6">
        <v>120</v>
      </c>
      <c r="E920" s="6">
        <v>12</v>
      </c>
      <c r="F920" s="6" t="s">
        <v>40</v>
      </c>
      <c r="G920" s="7">
        <v>36324</v>
      </c>
      <c r="H920" s="6" t="s">
        <v>27</v>
      </c>
    </row>
    <row r="921" spans="1:12" ht="23" customHeight="1">
      <c r="A921" s="6">
        <v>6</v>
      </c>
      <c r="B921" s="6">
        <v>3</v>
      </c>
      <c r="C921" s="6">
        <v>171</v>
      </c>
      <c r="D921" s="6">
        <v>120</v>
      </c>
      <c r="E921" s="6">
        <v>13</v>
      </c>
      <c r="F921" s="6" t="s">
        <v>41</v>
      </c>
      <c r="G921" s="7">
        <v>36324</v>
      </c>
      <c r="H921" s="6" t="s">
        <v>27</v>
      </c>
    </row>
    <row r="922" spans="1:12" ht="23" customHeight="1"/>
    <row r="923" spans="1:12" ht="24" customHeight="1">
      <c r="A923" s="3" t="s">
        <v>72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ht="36" customHeight="1">
      <c r="A924" s="4" t="s">
        <v>8</v>
      </c>
      <c r="B924" s="4" t="s">
        <v>10</v>
      </c>
      <c r="C924" s="4" t="s">
        <v>73</v>
      </c>
      <c r="D924" s="4" t="s">
        <v>74</v>
      </c>
    </row>
    <row r="925" spans="1:12" ht="24" customHeight="1">
      <c r="A925" s="2" t="s">
        <v>356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24" customHeight="1">
      <c r="A926" s="2" t="s">
        <v>357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24" customHeight="1">
      <c r="A927" s="2" t="s">
        <v>358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24" customHeight="1">
      <c r="A928" s="2" t="s">
        <v>359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24" customHeight="1">
      <c r="A929" s="2" t="s">
        <v>360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24" customHeight="1">
      <c r="A930" s="2" t="s">
        <v>361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24" customHeight="1">
      <c r="A931" s="2" t="s">
        <v>362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24" customHeight="1">
      <c r="A932" s="2" t="s">
        <v>363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24" customHeight="1">
      <c r="A933" s="2" t="s">
        <v>364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24" customHeight="1">
      <c r="A934" s="2" t="s">
        <v>365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24" customHeight="1">
      <c r="A935" s="2" t="s">
        <v>366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24" customHeight="1">
      <c r="A936" s="2" t="s">
        <v>367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24" customHeight="1">
      <c r="A937" s="2" t="s">
        <v>368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24" customHeight="1">
      <c r="A938" s="2" t="s">
        <v>369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24" customHeight="1">
      <c r="A939" s="2" t="s">
        <v>370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24" customHeight="1">
      <c r="A940" s="2" t="s">
        <v>371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24" customHeight="1">
      <c r="A941" s="2" t="s">
        <v>372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24" customHeight="1">
      <c r="A942" s="2" t="s">
        <v>373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24" customHeight="1">
      <c r="A943" s="2" t="s">
        <v>374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24" customHeight="1">
      <c r="A944" s="2" t="s">
        <v>375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24" customHeight="1">
      <c r="A945" s="2" t="s">
        <v>376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24" customHeight="1">
      <c r="A946" s="2" t="s">
        <v>377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24" customHeight="1">
      <c r="A947" s="2" t="s">
        <v>378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24" customHeight="1">
      <c r="A948" s="2" t="s">
        <v>379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24" customHeight="1">
      <c r="A949" s="2" t="s">
        <v>380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24" customHeight="1">
      <c r="A950" s="2" t="s">
        <v>381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24" customHeight="1">
      <c r="A951" s="2" t="s">
        <v>382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24" customHeight="1">
      <c r="A952" s="2" t="s">
        <v>383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24" customHeight="1">
      <c r="A953" s="2" t="s">
        <v>384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24" customHeight="1">
      <c r="A954" s="2" t="s">
        <v>385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24" customHeight="1">
      <c r="A955" s="2" t="s">
        <v>386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24" customHeight="1">
      <c r="A956" s="2" t="s">
        <v>387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24" customHeight="1">
      <c r="A957" s="2" t="s">
        <v>388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24" customHeight="1">
      <c r="A958" s="2" t="s">
        <v>389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24" customHeight="1">
      <c r="A959" s="2" t="s">
        <v>390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24" customHeight="1">
      <c r="A960" s="2" t="s">
        <v>391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24" customHeight="1">
      <c r="A961" s="2" t="s">
        <v>392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24" customHeight="1">
      <c r="A962" s="2" t="s">
        <v>393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24" customHeight="1">
      <c r="A963" s="2" t="s">
        <v>394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24" customHeight="1">
      <c r="A964" s="2" t="s">
        <v>395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24" customHeight="1">
      <c r="A965" s="2" t="s">
        <v>396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24" customHeight="1">
      <c r="A966" s="2" t="s">
        <v>397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24" customHeight="1">
      <c r="A967" s="2" t="s">
        <v>398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24" customHeight="1">
      <c r="A968" s="2" t="s">
        <v>399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24" customHeight="1">
      <c r="A969" s="2" t="s">
        <v>400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24" customHeight="1">
      <c r="A970" s="2" t="s">
        <v>401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24" customHeight="1">
      <c r="A971" s="2" t="s">
        <v>402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24" customHeight="1">
      <c r="A972" s="2" t="s">
        <v>403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24" customHeight="1">
      <c r="A973" s="2" t="s">
        <v>404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24" customHeight="1">
      <c r="A974" s="2" t="s">
        <v>405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24" customHeight="1">
      <c r="A975" s="2" t="s">
        <v>406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24" customHeight="1">
      <c r="A976" s="2" t="s">
        <v>407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24" customHeight="1">
      <c r="A977" s="2" t="s">
        <v>408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24" customHeight="1">
      <c r="A978" s="2" t="s">
        <v>409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24" customHeight="1">
      <c r="A979" s="2" t="s">
        <v>410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24" customHeight="1">
      <c r="A980" s="2" t="s">
        <v>411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24" customHeight="1">
      <c r="A981" s="2" t="s">
        <v>412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24" customHeight="1">
      <c r="A982" s="2" t="s">
        <v>413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24" customHeight="1">
      <c r="A983" s="2" t="s">
        <v>414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24" customHeight="1">
      <c r="A984" s="2" t="s">
        <v>415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24" customHeight="1">
      <c r="A985" s="2" t="s">
        <v>416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24" customHeight="1">
      <c r="A986" s="2" t="s">
        <v>417</v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24" customHeight="1">
      <c r="A987" s="2" t="s">
        <v>418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24" customHeight="1">
      <c r="A988" s="2" t="s">
        <v>419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24" customHeight="1">
      <c r="A989" s="2" t="s">
        <v>420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24" customHeight="1">
      <c r="A990" s="2" t="s">
        <v>421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24" customHeight="1">
      <c r="A991" s="2" t="s">
        <v>422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24" customHeight="1">
      <c r="A992" s="2" t="s">
        <v>423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24" customHeight="1">
      <c r="A993" s="2" t="s">
        <v>424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24" customHeight="1">
      <c r="A994" s="2" t="s">
        <v>425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24" customHeight="1">
      <c r="A995" s="2" t="s">
        <v>426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24" customHeight="1">
      <c r="A996" s="2" t="s">
        <v>427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24" customHeight="1">
      <c r="A997" s="2" t="s">
        <v>428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24" customHeight="1">
      <c r="A998" s="2" t="s">
        <v>429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24" customHeight="1">
      <c r="A999" s="2" t="s">
        <v>430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24" customHeight="1">
      <c r="A1000" s="2" t="s">
        <v>431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1:12" ht="24" customHeight="1">
      <c r="A1001" s="2" t="s">
        <v>432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spans="1:12" ht="24" customHeight="1">
      <c r="A1002" s="2" t="s">
        <v>433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  <row r="1003" spans="1:12" ht="24" customHeight="1">
      <c r="A1003" s="2" t="s">
        <v>434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</row>
    <row r="1004" spans="1:12" ht="24" customHeight="1">
      <c r="A1004" s="2" t="s">
        <v>435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</row>
    <row r="1005" spans="1:12" ht="24" customHeight="1">
      <c r="A1005" s="2" t="s">
        <v>436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</row>
    <row r="1006" spans="1:12" ht="24" customHeight="1">
      <c r="A1006" s="2" t="s">
        <v>437</v>
      </c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</row>
    <row r="1007" spans="1:12" ht="24" customHeight="1">
      <c r="A1007" s="2" t="s">
        <v>438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</row>
    <row r="1008" spans="1:12" ht="24" customHeight="1">
      <c r="A1008" s="2" t="s">
        <v>439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</row>
    <row r="1009" spans="1:12" ht="24" customHeight="1">
      <c r="A1009" s="2" t="s">
        <v>440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</row>
    <row r="1010" spans="1:12" ht="24" customHeight="1">
      <c r="A1010" s="2" t="s">
        <v>441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</row>
    <row r="1011" spans="1:12" ht="24" customHeight="1">
      <c r="A1011" s="2" t="s">
        <v>442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</row>
    <row r="1012" spans="1:12" ht="24" customHeight="1">
      <c r="A1012" s="2" t="s">
        <v>443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</row>
    <row r="1013" spans="1:12" ht="24" customHeight="1">
      <c r="A1013" s="2" t="s">
        <v>444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</row>
    <row r="1014" spans="1:12" ht="24" customHeight="1">
      <c r="A1014" s="2" t="s">
        <v>445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</row>
    <row r="1015" spans="1:12" ht="24" customHeight="1">
      <c r="A1015" s="2" t="s">
        <v>446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</row>
    <row r="1016" spans="1:12" ht="24" customHeight="1">
      <c r="A1016" s="2" t="s">
        <v>447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</row>
    <row r="1017" spans="1:12" ht="24" customHeight="1">
      <c r="A1017" s="2" t="s">
        <v>448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</row>
    <row r="1018" spans="1:12" ht="24" customHeight="1">
      <c r="A1018" s="2" t="s">
        <v>449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</row>
    <row r="1019" spans="1:12" ht="24" customHeight="1">
      <c r="A1019" s="2" t="s">
        <v>450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</row>
    <row r="1020" spans="1:12" ht="24" customHeight="1">
      <c r="A1020" s="2" t="s">
        <v>451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</row>
    <row r="1021" spans="1:12" ht="24" customHeight="1">
      <c r="A1021" s="2" t="s">
        <v>452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</row>
    <row r="1022" spans="1:12" ht="24" customHeight="1">
      <c r="A1022" s="2" t="s">
        <v>453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</row>
    <row r="1023" spans="1:12" ht="24" customHeight="1">
      <c r="A1023" s="2" t="s">
        <v>454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</row>
    <row r="1024" spans="1:12" ht="24" customHeight="1">
      <c r="A1024" s="2" t="s">
        <v>455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</row>
    <row r="1025" spans="1:12" ht="24" customHeight="1">
      <c r="A1025" s="2" t="s">
        <v>456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</row>
    <row r="1026" spans="1:12" ht="24" customHeight="1">
      <c r="A1026" s="2" t="s">
        <v>457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</row>
    <row r="1027" spans="1:12" ht="24" customHeight="1">
      <c r="A1027" s="2" t="s">
        <v>458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</row>
    <row r="1028" spans="1:12" ht="24" customHeight="1">
      <c r="A1028" s="2" t="s">
        <v>459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</row>
    <row r="1029" spans="1:12" ht="24" customHeight="1">
      <c r="A1029" s="2" t="s">
        <v>460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</row>
    <row r="1030" spans="1:12" ht="24" customHeight="1">
      <c r="A1030" s="2" t="s">
        <v>461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</row>
    <row r="1031" spans="1:12" ht="24" customHeight="1">
      <c r="A1031" s="2" t="s">
        <v>462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</row>
    <row r="1032" spans="1:12" ht="24" customHeight="1">
      <c r="A1032" s="2" t="s">
        <v>463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</row>
    <row r="1033" spans="1:12" ht="24" customHeight="1">
      <c r="A1033" s="2" t="s">
        <v>464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</row>
    <row r="1034" spans="1:12" ht="24" customHeight="1">
      <c r="A1034" s="2" t="s">
        <v>465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</row>
    <row r="1035" spans="1:12" ht="24" customHeight="1">
      <c r="A1035" s="2" t="s">
        <v>466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</row>
    <row r="1036" spans="1:12" ht="24" customHeight="1">
      <c r="A1036" s="2" t="s">
        <v>467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</row>
    <row r="1037" spans="1:12" ht="24" customHeight="1">
      <c r="A1037" s="2" t="s">
        <v>468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</row>
    <row r="1038" spans="1:12" ht="24" customHeight="1">
      <c r="A1038" s="2" t="s">
        <v>469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</row>
    <row r="1039" spans="1:12" ht="24" customHeight="1">
      <c r="A1039" s="2" t="s">
        <v>470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</row>
    <row r="1040" spans="1:12" ht="24" customHeight="1">
      <c r="A1040" s="2" t="s">
        <v>471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</row>
    <row r="1041" spans="1:12" ht="24" customHeight="1">
      <c r="A1041" s="2" t="s">
        <v>472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</row>
    <row r="1042" spans="1:12" ht="24" customHeight="1">
      <c r="A1042" s="2" t="s">
        <v>473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</row>
    <row r="1043" spans="1:12" ht="24" customHeight="1">
      <c r="A1043" s="2" t="s">
        <v>474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</row>
    <row r="1044" spans="1:12" ht="24" customHeight="1">
      <c r="A1044" s="2" t="s">
        <v>475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</row>
  </sheetData>
  <mergeCells count="147">
    <mergeCell ref="A1:L1"/>
    <mergeCell ref="A2:L2"/>
    <mergeCell ref="A3:L3"/>
    <mergeCell ref="A5:L5"/>
    <mergeCell ref="A7:L7"/>
    <mergeCell ref="A70:L70"/>
    <mergeCell ref="A74:L74"/>
    <mergeCell ref="A137:L137"/>
    <mergeCell ref="A212:L212"/>
    <mergeCell ref="A287:L287"/>
    <mergeCell ref="A290:L290"/>
    <mergeCell ref="A292:L292"/>
    <mergeCell ref="A294:L294"/>
    <mergeCell ref="A296:L296"/>
    <mergeCell ref="A298:L298"/>
    <mergeCell ref="A300:L300"/>
    <mergeCell ref="A302:L302"/>
    <mergeCell ref="A304:L304"/>
    <mergeCell ref="A306:L306"/>
    <mergeCell ref="A308:L308"/>
    <mergeCell ref="A310:L310"/>
    <mergeCell ref="A312:L312"/>
    <mergeCell ref="A314:L314"/>
    <mergeCell ref="A316:L316"/>
    <mergeCell ref="A318:L318"/>
    <mergeCell ref="A320:L320"/>
    <mergeCell ref="A923:L923"/>
    <mergeCell ref="A925:L925"/>
    <mergeCell ref="A926:L926"/>
    <mergeCell ref="A927:L927"/>
    <mergeCell ref="A928:L928"/>
    <mergeCell ref="A929:L929"/>
    <mergeCell ref="A930:L930"/>
    <mergeCell ref="A931:L931"/>
    <mergeCell ref="A932:L932"/>
    <mergeCell ref="A933:L933"/>
    <mergeCell ref="A934:L934"/>
    <mergeCell ref="A935:L935"/>
    <mergeCell ref="A936:L936"/>
    <mergeCell ref="A937:L937"/>
    <mergeCell ref="A938:L938"/>
    <mergeCell ref="A939:L939"/>
    <mergeCell ref="A940:L940"/>
    <mergeCell ref="A941:L941"/>
    <mergeCell ref="A942:L942"/>
    <mergeCell ref="A943:L943"/>
    <mergeCell ref="A944:L944"/>
    <mergeCell ref="A945:L945"/>
    <mergeCell ref="A946:L946"/>
    <mergeCell ref="A947:L947"/>
    <mergeCell ref="A948:L948"/>
    <mergeCell ref="A949:L949"/>
    <mergeCell ref="A950:L950"/>
    <mergeCell ref="A951:L951"/>
    <mergeCell ref="A952:L952"/>
    <mergeCell ref="A953:L953"/>
    <mergeCell ref="A954:L954"/>
    <mergeCell ref="A955:L955"/>
    <mergeCell ref="A956:L956"/>
    <mergeCell ref="A957:L957"/>
    <mergeCell ref="A958:L958"/>
    <mergeCell ref="A959:L959"/>
    <mergeCell ref="A960:L960"/>
    <mergeCell ref="A961:L961"/>
    <mergeCell ref="A962:L962"/>
    <mergeCell ref="A963:L963"/>
    <mergeCell ref="A964:L964"/>
    <mergeCell ref="A965:L965"/>
    <mergeCell ref="A966:L966"/>
    <mergeCell ref="A967:L967"/>
    <mergeCell ref="A968:L968"/>
    <mergeCell ref="A969:L969"/>
    <mergeCell ref="A970:L970"/>
    <mergeCell ref="A971:L971"/>
    <mergeCell ref="A972:L972"/>
    <mergeCell ref="A973:L973"/>
    <mergeCell ref="A974:L974"/>
    <mergeCell ref="A975:L975"/>
    <mergeCell ref="A976:L976"/>
    <mergeCell ref="A977:L977"/>
    <mergeCell ref="A978:L978"/>
    <mergeCell ref="A979:L979"/>
    <mergeCell ref="A980:L980"/>
    <mergeCell ref="A981:L981"/>
    <mergeCell ref="A982:L982"/>
    <mergeCell ref="A983:L983"/>
    <mergeCell ref="A984:L984"/>
    <mergeCell ref="A985:L985"/>
    <mergeCell ref="A986:L986"/>
    <mergeCell ref="A987:L987"/>
    <mergeCell ref="A988:L988"/>
    <mergeCell ref="A989:L989"/>
    <mergeCell ref="A990:L990"/>
    <mergeCell ref="A991:L991"/>
    <mergeCell ref="A992:L992"/>
    <mergeCell ref="A993:L993"/>
    <mergeCell ref="A994:L994"/>
    <mergeCell ref="A995:L995"/>
    <mergeCell ref="A996:L996"/>
    <mergeCell ref="A997:L997"/>
    <mergeCell ref="A998:L998"/>
    <mergeCell ref="A999:L999"/>
    <mergeCell ref="A1000:L1000"/>
    <mergeCell ref="A1001:L1001"/>
    <mergeCell ref="A1002:L1002"/>
    <mergeCell ref="A1003:L1003"/>
    <mergeCell ref="A1004:L1004"/>
    <mergeCell ref="A1005:L1005"/>
    <mergeCell ref="A1006:L1006"/>
    <mergeCell ref="A1007:L1007"/>
    <mergeCell ref="A1008:L1008"/>
    <mergeCell ref="A1009:L1009"/>
    <mergeCell ref="A1010:L1010"/>
    <mergeCell ref="A1011:L1011"/>
    <mergeCell ref="A1012:L1012"/>
    <mergeCell ref="A1013:L1013"/>
    <mergeCell ref="A1014:L1014"/>
    <mergeCell ref="A1015:L1015"/>
    <mergeCell ref="A1016:L1016"/>
    <mergeCell ref="A1017:L1017"/>
    <mergeCell ref="A1018:L1018"/>
    <mergeCell ref="A1019:L1019"/>
    <mergeCell ref="A1020:L1020"/>
    <mergeCell ref="A1021:L1021"/>
    <mergeCell ref="A1022:L1022"/>
    <mergeCell ref="A1023:L1023"/>
    <mergeCell ref="A1024:L1024"/>
    <mergeCell ref="A1025:L1025"/>
    <mergeCell ref="A1026:L1026"/>
    <mergeCell ref="A1027:L1027"/>
    <mergeCell ref="A1028:L1028"/>
    <mergeCell ref="A1029:L1029"/>
    <mergeCell ref="A1030:L1030"/>
    <mergeCell ref="A1031:L1031"/>
    <mergeCell ref="A1032:L1032"/>
    <mergeCell ref="A1033:L1033"/>
    <mergeCell ref="A1034:L1034"/>
    <mergeCell ref="A1035:L1035"/>
    <mergeCell ref="A1036:L1036"/>
    <mergeCell ref="A1037:L1037"/>
    <mergeCell ref="A1038:L1038"/>
    <mergeCell ref="A1039:L1039"/>
    <mergeCell ref="A1040:L1040"/>
    <mergeCell ref="A1041:L1041"/>
    <mergeCell ref="A1042:L1042"/>
    <mergeCell ref="A1043:L1043"/>
    <mergeCell ref="A1044:L1044"/>
  </mergeCells>
  <conditionalFormatting sqref="H10">
    <cfRule type="cellIs" dxfId="0" priority="3" operator="notEqual">
      <formula>0</formula>
    </cfRule>
  </conditionalFormatting>
  <conditionalFormatting sqref="H11">
    <cfRule type="cellIs" dxfId="0" priority="5" operator="notEqual">
      <formula>0</formula>
    </cfRule>
  </conditionalFormatting>
  <conditionalFormatting sqref="H12">
    <cfRule type="cellIs" dxfId="0" priority="7" operator="notEqual">
      <formula>0</formula>
    </cfRule>
  </conditionalFormatting>
  <conditionalFormatting sqref="H13">
    <cfRule type="cellIs" dxfId="0" priority="9" operator="notEqual">
      <formula>0</formula>
    </cfRule>
  </conditionalFormatting>
  <conditionalFormatting sqref="H14">
    <cfRule type="cellIs" dxfId="0" priority="11" operator="notEqual">
      <formula>0</formula>
    </cfRule>
  </conditionalFormatting>
  <conditionalFormatting sqref="H15">
    <cfRule type="cellIs" dxfId="0" priority="13" operator="notEqual">
      <formula>0</formula>
    </cfRule>
  </conditionalFormatting>
  <conditionalFormatting sqref="H16">
    <cfRule type="cellIs" dxfId="0" priority="15" operator="notEqual">
      <formula>0</formula>
    </cfRule>
  </conditionalFormatting>
  <conditionalFormatting sqref="H17">
    <cfRule type="cellIs" dxfId="0" priority="17" operator="notEqual">
      <formula>0</formula>
    </cfRule>
  </conditionalFormatting>
  <conditionalFormatting sqref="H18">
    <cfRule type="cellIs" dxfId="0" priority="19" operator="notEqual">
      <formula>0</formula>
    </cfRule>
  </conditionalFormatting>
  <conditionalFormatting sqref="H19">
    <cfRule type="cellIs" dxfId="0" priority="21" operator="notEqual">
      <formula>0</formula>
    </cfRule>
  </conditionalFormatting>
  <conditionalFormatting sqref="H20">
    <cfRule type="cellIs" dxfId="0" priority="23" operator="notEqual">
      <formula>0</formula>
    </cfRule>
  </conditionalFormatting>
  <conditionalFormatting sqref="H21">
    <cfRule type="cellIs" dxfId="0" priority="25" operator="notEqual">
      <formula>0</formula>
    </cfRule>
  </conditionalFormatting>
  <conditionalFormatting sqref="H22">
    <cfRule type="cellIs" dxfId="0" priority="27" operator="notEqual">
      <formula>0</formula>
    </cfRule>
  </conditionalFormatting>
  <conditionalFormatting sqref="H23">
    <cfRule type="cellIs" dxfId="0" priority="29" operator="notEqual">
      <formula>0</formula>
    </cfRule>
  </conditionalFormatting>
  <conditionalFormatting sqref="H24">
    <cfRule type="cellIs" dxfId="0" priority="31" operator="notEqual">
      <formula>0</formula>
    </cfRule>
  </conditionalFormatting>
  <conditionalFormatting sqref="H25">
    <cfRule type="cellIs" dxfId="0" priority="33" operator="notEqual">
      <formula>0</formula>
    </cfRule>
  </conditionalFormatting>
  <conditionalFormatting sqref="H26">
    <cfRule type="cellIs" dxfId="0" priority="35" operator="notEqual">
      <formula>0</formula>
    </cfRule>
  </conditionalFormatting>
  <conditionalFormatting sqref="H27">
    <cfRule type="cellIs" dxfId="0" priority="37" operator="notEqual">
      <formula>0</formula>
    </cfRule>
  </conditionalFormatting>
  <conditionalFormatting sqref="H28">
    <cfRule type="cellIs" dxfId="0" priority="39" operator="notEqual">
      <formula>0</formula>
    </cfRule>
  </conditionalFormatting>
  <conditionalFormatting sqref="H29">
    <cfRule type="cellIs" dxfId="0" priority="41" operator="notEqual">
      <formula>0</formula>
    </cfRule>
  </conditionalFormatting>
  <conditionalFormatting sqref="H30">
    <cfRule type="cellIs" dxfId="0" priority="43" operator="notEqual">
      <formula>0</formula>
    </cfRule>
  </conditionalFormatting>
  <conditionalFormatting sqref="H31">
    <cfRule type="cellIs" dxfId="0" priority="45" operator="notEqual">
      <formula>0</formula>
    </cfRule>
  </conditionalFormatting>
  <conditionalFormatting sqref="H32">
    <cfRule type="cellIs" dxfId="0" priority="47" operator="notEqual">
      <formula>0</formula>
    </cfRule>
  </conditionalFormatting>
  <conditionalFormatting sqref="H33">
    <cfRule type="cellIs" dxfId="0" priority="49" operator="notEqual">
      <formula>0</formula>
    </cfRule>
  </conditionalFormatting>
  <conditionalFormatting sqref="H34">
    <cfRule type="cellIs" dxfId="0" priority="51" operator="notEqual">
      <formula>0</formula>
    </cfRule>
  </conditionalFormatting>
  <conditionalFormatting sqref="H35">
    <cfRule type="cellIs" dxfId="0" priority="53" operator="notEqual">
      <formula>0</formula>
    </cfRule>
  </conditionalFormatting>
  <conditionalFormatting sqref="H36">
    <cfRule type="cellIs" dxfId="0" priority="55" operator="notEqual">
      <formula>0</formula>
    </cfRule>
  </conditionalFormatting>
  <conditionalFormatting sqref="H37">
    <cfRule type="cellIs" dxfId="0" priority="57" operator="notEqual">
      <formula>0</formula>
    </cfRule>
  </conditionalFormatting>
  <conditionalFormatting sqref="H38">
    <cfRule type="cellIs" dxfId="0" priority="59" operator="notEqual">
      <formula>0</formula>
    </cfRule>
  </conditionalFormatting>
  <conditionalFormatting sqref="H39">
    <cfRule type="cellIs" dxfId="0" priority="61" operator="notEqual">
      <formula>0</formula>
    </cfRule>
  </conditionalFormatting>
  <conditionalFormatting sqref="H40">
    <cfRule type="cellIs" dxfId="0" priority="63" operator="notEqual">
      <formula>0</formula>
    </cfRule>
  </conditionalFormatting>
  <conditionalFormatting sqref="H41">
    <cfRule type="cellIs" dxfId="0" priority="65" operator="notEqual">
      <formula>0</formula>
    </cfRule>
  </conditionalFormatting>
  <conditionalFormatting sqref="H42">
    <cfRule type="cellIs" dxfId="0" priority="67" operator="notEqual">
      <formula>0</formula>
    </cfRule>
  </conditionalFormatting>
  <conditionalFormatting sqref="H43">
    <cfRule type="cellIs" dxfId="0" priority="69" operator="notEqual">
      <formula>0</formula>
    </cfRule>
  </conditionalFormatting>
  <conditionalFormatting sqref="H44">
    <cfRule type="cellIs" dxfId="0" priority="71" operator="notEqual">
      <formula>0</formula>
    </cfRule>
  </conditionalFormatting>
  <conditionalFormatting sqref="H45">
    <cfRule type="cellIs" dxfId="0" priority="73" operator="notEqual">
      <formula>0</formula>
    </cfRule>
  </conditionalFormatting>
  <conditionalFormatting sqref="H46">
    <cfRule type="cellIs" dxfId="0" priority="75" operator="notEqual">
      <formula>0</formula>
    </cfRule>
  </conditionalFormatting>
  <conditionalFormatting sqref="H47">
    <cfRule type="cellIs" dxfId="0" priority="77" operator="notEqual">
      <formula>0</formula>
    </cfRule>
  </conditionalFormatting>
  <conditionalFormatting sqref="H48">
    <cfRule type="cellIs" dxfId="0" priority="79" operator="notEqual">
      <formula>0</formula>
    </cfRule>
  </conditionalFormatting>
  <conditionalFormatting sqref="H49">
    <cfRule type="cellIs" dxfId="0" priority="81" operator="notEqual">
      <formula>0</formula>
    </cfRule>
  </conditionalFormatting>
  <conditionalFormatting sqref="H50">
    <cfRule type="cellIs" dxfId="0" priority="83" operator="notEqual">
      <formula>0</formula>
    </cfRule>
  </conditionalFormatting>
  <conditionalFormatting sqref="H51">
    <cfRule type="cellIs" dxfId="0" priority="85" operator="notEqual">
      <formula>0</formula>
    </cfRule>
  </conditionalFormatting>
  <conditionalFormatting sqref="H52">
    <cfRule type="cellIs" dxfId="0" priority="87" operator="notEqual">
      <formula>0</formula>
    </cfRule>
  </conditionalFormatting>
  <conditionalFormatting sqref="H53">
    <cfRule type="cellIs" dxfId="0" priority="89" operator="notEqual">
      <formula>0</formula>
    </cfRule>
  </conditionalFormatting>
  <conditionalFormatting sqref="H54">
    <cfRule type="cellIs" dxfId="0" priority="91" operator="notEqual">
      <formula>0</formula>
    </cfRule>
  </conditionalFormatting>
  <conditionalFormatting sqref="H55">
    <cfRule type="cellIs" dxfId="0" priority="93" operator="notEqual">
      <formula>0</formula>
    </cfRule>
  </conditionalFormatting>
  <conditionalFormatting sqref="H56">
    <cfRule type="cellIs" dxfId="0" priority="95" operator="notEqual">
      <formula>0</formula>
    </cfRule>
  </conditionalFormatting>
  <conditionalFormatting sqref="H57">
    <cfRule type="cellIs" dxfId="0" priority="97" operator="notEqual">
      <formula>0</formula>
    </cfRule>
  </conditionalFormatting>
  <conditionalFormatting sqref="H58">
    <cfRule type="cellIs" dxfId="0" priority="99" operator="notEqual">
      <formula>0</formula>
    </cfRule>
  </conditionalFormatting>
  <conditionalFormatting sqref="H59">
    <cfRule type="cellIs" dxfId="0" priority="101" operator="notEqual">
      <formula>0</formula>
    </cfRule>
  </conditionalFormatting>
  <conditionalFormatting sqref="H60">
    <cfRule type="cellIs" dxfId="0" priority="103" operator="notEqual">
      <formula>0</formula>
    </cfRule>
  </conditionalFormatting>
  <conditionalFormatting sqref="H61">
    <cfRule type="cellIs" dxfId="0" priority="105" operator="notEqual">
      <formula>0</formula>
    </cfRule>
  </conditionalFormatting>
  <conditionalFormatting sqref="H62">
    <cfRule type="cellIs" dxfId="0" priority="107" operator="notEqual">
      <formula>0</formula>
    </cfRule>
  </conditionalFormatting>
  <conditionalFormatting sqref="H63">
    <cfRule type="cellIs" dxfId="0" priority="109" operator="notEqual">
      <formula>0</formula>
    </cfRule>
  </conditionalFormatting>
  <conditionalFormatting sqref="H64">
    <cfRule type="cellIs" dxfId="0" priority="111" operator="notEqual">
      <formula>0</formula>
    </cfRule>
  </conditionalFormatting>
  <conditionalFormatting sqref="H65">
    <cfRule type="cellIs" dxfId="0" priority="113" operator="notEqual">
      <formula>0</formula>
    </cfRule>
  </conditionalFormatting>
  <conditionalFormatting sqref="H66">
    <cfRule type="cellIs" dxfId="0" priority="115" operator="notEqual">
      <formula>0</formula>
    </cfRule>
  </conditionalFormatting>
  <conditionalFormatting sqref="H67">
    <cfRule type="cellIs" dxfId="0" priority="117" operator="notEqual">
      <formula>0</formula>
    </cfRule>
  </conditionalFormatting>
  <conditionalFormatting sqref="H68">
    <cfRule type="cellIs" dxfId="0" priority="119" operator="notEqual">
      <formula>0</formula>
    </cfRule>
  </conditionalFormatting>
  <conditionalFormatting sqref="H9">
    <cfRule type="cellIs" dxfId="0" priority="1" operator="notEqual">
      <formula>0</formula>
    </cfRule>
  </conditionalFormatting>
  <conditionalFormatting sqref="L10">
    <cfRule type="cellIs" dxfId="0" priority="4" operator="notEqual">
      <formula>0</formula>
    </cfRule>
  </conditionalFormatting>
  <conditionalFormatting sqref="L11">
    <cfRule type="cellIs" dxfId="0" priority="6" operator="notEqual">
      <formula>0</formula>
    </cfRule>
  </conditionalFormatting>
  <conditionalFormatting sqref="L12">
    <cfRule type="cellIs" dxfId="0" priority="8" operator="notEqual">
      <formula>0</formula>
    </cfRule>
  </conditionalFormatting>
  <conditionalFormatting sqref="L13">
    <cfRule type="cellIs" dxfId="0" priority="10" operator="notEqual">
      <formula>0</formula>
    </cfRule>
  </conditionalFormatting>
  <conditionalFormatting sqref="L14">
    <cfRule type="cellIs" dxfId="0" priority="12" operator="notEqual">
      <formula>0</formula>
    </cfRule>
  </conditionalFormatting>
  <conditionalFormatting sqref="L15">
    <cfRule type="cellIs" dxfId="0" priority="14" operator="notEqual">
      <formula>0</formula>
    </cfRule>
  </conditionalFormatting>
  <conditionalFormatting sqref="L16">
    <cfRule type="cellIs" dxfId="0" priority="16" operator="notEqual">
      <formula>0</formula>
    </cfRule>
  </conditionalFormatting>
  <conditionalFormatting sqref="L17">
    <cfRule type="cellIs" dxfId="0" priority="18" operator="notEqual">
      <formula>0</formula>
    </cfRule>
  </conditionalFormatting>
  <conditionalFormatting sqref="L18">
    <cfRule type="cellIs" dxfId="0" priority="20" operator="notEqual">
      <formula>0</formula>
    </cfRule>
  </conditionalFormatting>
  <conditionalFormatting sqref="L19">
    <cfRule type="cellIs" dxfId="0" priority="22" operator="notEqual">
      <formula>0</formula>
    </cfRule>
  </conditionalFormatting>
  <conditionalFormatting sqref="L20">
    <cfRule type="cellIs" dxfId="0" priority="24" operator="notEqual">
      <formula>0</formula>
    </cfRule>
  </conditionalFormatting>
  <conditionalFormatting sqref="L21">
    <cfRule type="cellIs" dxfId="0" priority="26" operator="notEqual">
      <formula>0</formula>
    </cfRule>
  </conditionalFormatting>
  <conditionalFormatting sqref="L22">
    <cfRule type="cellIs" dxfId="0" priority="28" operator="notEqual">
      <formula>0</formula>
    </cfRule>
  </conditionalFormatting>
  <conditionalFormatting sqref="L23">
    <cfRule type="cellIs" dxfId="0" priority="30" operator="notEqual">
      <formula>0</formula>
    </cfRule>
  </conditionalFormatting>
  <conditionalFormatting sqref="L24">
    <cfRule type="cellIs" dxfId="0" priority="32" operator="notEqual">
      <formula>0</formula>
    </cfRule>
  </conditionalFormatting>
  <conditionalFormatting sqref="L25">
    <cfRule type="cellIs" dxfId="0" priority="34" operator="notEqual">
      <formula>0</formula>
    </cfRule>
  </conditionalFormatting>
  <conditionalFormatting sqref="L26">
    <cfRule type="cellIs" dxfId="0" priority="36" operator="notEqual">
      <formula>0</formula>
    </cfRule>
  </conditionalFormatting>
  <conditionalFormatting sqref="L27">
    <cfRule type="cellIs" dxfId="0" priority="38" operator="notEqual">
      <formula>0</formula>
    </cfRule>
  </conditionalFormatting>
  <conditionalFormatting sqref="L28">
    <cfRule type="cellIs" dxfId="0" priority="40" operator="notEqual">
      <formula>0</formula>
    </cfRule>
  </conditionalFormatting>
  <conditionalFormatting sqref="L29">
    <cfRule type="cellIs" dxfId="0" priority="42" operator="notEqual">
      <formula>0</formula>
    </cfRule>
  </conditionalFormatting>
  <conditionalFormatting sqref="L30">
    <cfRule type="cellIs" dxfId="0" priority="44" operator="notEqual">
      <formula>0</formula>
    </cfRule>
  </conditionalFormatting>
  <conditionalFormatting sqref="L31">
    <cfRule type="cellIs" dxfId="0" priority="46" operator="notEqual">
      <formula>0</formula>
    </cfRule>
  </conditionalFormatting>
  <conditionalFormatting sqref="L32">
    <cfRule type="cellIs" dxfId="0" priority="48" operator="notEqual">
      <formula>0</formula>
    </cfRule>
  </conditionalFormatting>
  <conditionalFormatting sqref="L33">
    <cfRule type="cellIs" dxfId="0" priority="50" operator="notEqual">
      <formula>0</formula>
    </cfRule>
  </conditionalFormatting>
  <conditionalFormatting sqref="L34">
    <cfRule type="cellIs" dxfId="0" priority="52" operator="notEqual">
      <formula>0</formula>
    </cfRule>
  </conditionalFormatting>
  <conditionalFormatting sqref="L35">
    <cfRule type="cellIs" dxfId="0" priority="54" operator="notEqual">
      <formula>0</formula>
    </cfRule>
  </conditionalFormatting>
  <conditionalFormatting sqref="L36">
    <cfRule type="cellIs" dxfId="0" priority="56" operator="notEqual">
      <formula>0</formula>
    </cfRule>
  </conditionalFormatting>
  <conditionalFormatting sqref="L37">
    <cfRule type="cellIs" dxfId="0" priority="58" operator="notEqual">
      <formula>0</formula>
    </cfRule>
  </conditionalFormatting>
  <conditionalFormatting sqref="L38">
    <cfRule type="cellIs" dxfId="0" priority="60" operator="notEqual">
      <formula>0</formula>
    </cfRule>
  </conditionalFormatting>
  <conditionalFormatting sqref="L39">
    <cfRule type="cellIs" dxfId="0" priority="62" operator="notEqual">
      <formula>0</formula>
    </cfRule>
  </conditionalFormatting>
  <conditionalFormatting sqref="L40">
    <cfRule type="cellIs" dxfId="0" priority="64" operator="notEqual">
      <formula>0</formula>
    </cfRule>
  </conditionalFormatting>
  <conditionalFormatting sqref="L41">
    <cfRule type="cellIs" dxfId="0" priority="66" operator="notEqual">
      <formula>0</formula>
    </cfRule>
  </conditionalFormatting>
  <conditionalFormatting sqref="L42">
    <cfRule type="cellIs" dxfId="0" priority="68" operator="notEqual">
      <formula>0</formula>
    </cfRule>
  </conditionalFormatting>
  <conditionalFormatting sqref="L43">
    <cfRule type="cellIs" dxfId="0" priority="70" operator="notEqual">
      <formula>0</formula>
    </cfRule>
  </conditionalFormatting>
  <conditionalFormatting sqref="L44">
    <cfRule type="cellIs" dxfId="0" priority="72" operator="notEqual">
      <formula>0</formula>
    </cfRule>
  </conditionalFormatting>
  <conditionalFormatting sqref="L45">
    <cfRule type="cellIs" dxfId="0" priority="74" operator="notEqual">
      <formula>0</formula>
    </cfRule>
  </conditionalFormatting>
  <conditionalFormatting sqref="L46">
    <cfRule type="cellIs" dxfId="0" priority="76" operator="notEqual">
      <formula>0</formula>
    </cfRule>
  </conditionalFormatting>
  <conditionalFormatting sqref="L47">
    <cfRule type="cellIs" dxfId="0" priority="78" operator="notEqual">
      <formula>0</formula>
    </cfRule>
  </conditionalFormatting>
  <conditionalFormatting sqref="L48">
    <cfRule type="cellIs" dxfId="0" priority="80" operator="notEqual">
      <formula>0</formula>
    </cfRule>
  </conditionalFormatting>
  <conditionalFormatting sqref="L49">
    <cfRule type="cellIs" dxfId="0" priority="82" operator="notEqual">
      <formula>0</formula>
    </cfRule>
  </conditionalFormatting>
  <conditionalFormatting sqref="L50">
    <cfRule type="cellIs" dxfId="0" priority="84" operator="notEqual">
      <formula>0</formula>
    </cfRule>
  </conditionalFormatting>
  <conditionalFormatting sqref="L51">
    <cfRule type="cellIs" dxfId="0" priority="86" operator="notEqual">
      <formula>0</formula>
    </cfRule>
  </conditionalFormatting>
  <conditionalFormatting sqref="L52">
    <cfRule type="cellIs" dxfId="0" priority="88" operator="notEqual">
      <formula>0</formula>
    </cfRule>
  </conditionalFormatting>
  <conditionalFormatting sqref="L53">
    <cfRule type="cellIs" dxfId="0" priority="90" operator="notEqual">
      <formula>0</formula>
    </cfRule>
  </conditionalFormatting>
  <conditionalFormatting sqref="L54">
    <cfRule type="cellIs" dxfId="0" priority="92" operator="notEqual">
      <formula>0</formula>
    </cfRule>
  </conditionalFormatting>
  <conditionalFormatting sqref="L55">
    <cfRule type="cellIs" dxfId="0" priority="94" operator="notEqual">
      <formula>0</formula>
    </cfRule>
  </conditionalFormatting>
  <conditionalFormatting sqref="L56">
    <cfRule type="cellIs" dxfId="0" priority="96" operator="notEqual">
      <formula>0</formula>
    </cfRule>
  </conditionalFormatting>
  <conditionalFormatting sqref="L57">
    <cfRule type="cellIs" dxfId="0" priority="98" operator="notEqual">
      <formula>0</formula>
    </cfRule>
  </conditionalFormatting>
  <conditionalFormatting sqref="L58">
    <cfRule type="cellIs" dxfId="0" priority="100" operator="notEqual">
      <formula>0</formula>
    </cfRule>
  </conditionalFormatting>
  <conditionalFormatting sqref="L59">
    <cfRule type="cellIs" dxfId="0" priority="102" operator="notEqual">
      <formula>0</formula>
    </cfRule>
  </conditionalFormatting>
  <conditionalFormatting sqref="L60">
    <cfRule type="cellIs" dxfId="0" priority="104" operator="notEqual">
      <formula>0</formula>
    </cfRule>
  </conditionalFormatting>
  <conditionalFormatting sqref="L61">
    <cfRule type="cellIs" dxfId="0" priority="106" operator="notEqual">
      <formula>0</formula>
    </cfRule>
  </conditionalFormatting>
  <conditionalFormatting sqref="L62">
    <cfRule type="cellIs" dxfId="0" priority="108" operator="notEqual">
      <formula>0</formula>
    </cfRule>
  </conditionalFormatting>
  <conditionalFormatting sqref="L63">
    <cfRule type="cellIs" dxfId="0" priority="110" operator="notEqual">
      <formula>0</formula>
    </cfRule>
  </conditionalFormatting>
  <conditionalFormatting sqref="L64">
    <cfRule type="cellIs" dxfId="0" priority="112" operator="notEqual">
      <formula>0</formula>
    </cfRule>
  </conditionalFormatting>
  <conditionalFormatting sqref="L65">
    <cfRule type="cellIs" dxfId="0" priority="114" operator="notEqual">
      <formula>0</formula>
    </cfRule>
  </conditionalFormatting>
  <conditionalFormatting sqref="L66">
    <cfRule type="cellIs" dxfId="0" priority="116" operator="notEqual">
      <formula>0</formula>
    </cfRule>
  </conditionalFormatting>
  <conditionalFormatting sqref="L67">
    <cfRule type="cellIs" dxfId="0" priority="118" operator="notEqual">
      <formula>0</formula>
    </cfRule>
  </conditionalFormatting>
  <conditionalFormatting sqref="L68">
    <cfRule type="cellIs" dxfId="0" priority="120" operator="notEqual">
      <formula>0</formula>
    </cfRule>
  </conditionalFormatting>
  <conditionalFormatting sqref="L9">
    <cfRule type="cellIs" dxfId="0" priority="2" operator="notEqual">
      <formula>0</formula>
    </cfRule>
  </conditionalFormatting>
  <pageMargins left="0.25" right="0.25" top="0.35" bottom="0.35" header="0.3" footer="0.3"/>
  <pageSetup paperSize="9" fitToHeight="0" orientation="landscape"/>
  <headerFooter>
    <oddFooter>&amp;L杭周面ばね&amp;R&amp;P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6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2" width="8.7109375" customWidth="1"/>
    <col min="3" max="3" width="10.7109375" customWidth="1"/>
    <col min="4" max="4" width="17.7109375" customWidth="1"/>
    <col min="5" max="12" width="15.7109375" customWidth="1"/>
  </cols>
  <sheetData>
    <row r="1" spans="1:12" ht="24" customHeight="1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476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3" customHeight="1"/>
    <row r="7" spans="1:12" ht="24" customHeight="1">
      <c r="A7" s="3" t="s">
        <v>477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6" customHeight="1">
      <c r="A8" s="4" t="s">
        <v>8</v>
      </c>
      <c r="B8" s="4" t="s">
        <v>9</v>
      </c>
      <c r="C8" s="4" t="s">
        <v>478</v>
      </c>
      <c r="D8" s="4" t="s">
        <v>479</v>
      </c>
      <c r="E8" s="4" t="s">
        <v>480</v>
      </c>
      <c r="F8" s="4" t="s">
        <v>481</v>
      </c>
      <c r="G8" s="4" t="s">
        <v>482</v>
      </c>
      <c r="H8" s="4" t="s">
        <v>483</v>
      </c>
      <c r="I8" s="4" t="s">
        <v>484</v>
      </c>
      <c r="J8" s="4" t="s">
        <v>485</v>
      </c>
      <c r="K8" s="4" t="s">
        <v>486</v>
      </c>
    </row>
    <row r="9" spans="1:12" ht="23" customHeight="1">
      <c r="A9" s="6">
        <v>4</v>
      </c>
      <c r="B9" s="6">
        <v>1</v>
      </c>
      <c r="C9" s="6">
        <v>122</v>
      </c>
      <c r="D9" s="6">
        <f>'入力根拠'!F127</f>
        <v>327072.0</v>
      </c>
      <c r="E9" s="7">
        <v>327072</v>
      </c>
      <c r="F9" s="6">
        <f>'入力根拠'!F128</f>
        <v>88418.0</v>
      </c>
      <c r="G9" s="7">
        <v>88418</v>
      </c>
      <c r="H9" s="6">
        <f>'入力根拠'!F129</f>
        <v>7167.5</v>
      </c>
      <c r="I9" s="7">
        <v>7167.5</v>
      </c>
      <c r="J9" s="6">
        <f>'入力根拠'!F130</f>
        <v>16724.3</v>
      </c>
      <c r="K9" s="7">
        <v>16724.3</v>
      </c>
    </row>
    <row r="10" spans="1:12" ht="23" customHeight="1">
      <c r="A10" s="6">
        <v>5</v>
      </c>
      <c r="B10" s="6">
        <v>2</v>
      </c>
      <c r="C10" s="6">
        <v>147</v>
      </c>
      <c r="D10" s="6">
        <f>'入力根拠'!F131</f>
        <v>218048.0</v>
      </c>
      <c r="E10" s="7">
        <v>218048</v>
      </c>
      <c r="F10" s="6">
        <f>'入力根拠'!F132</f>
        <v>58945.0</v>
      </c>
      <c r="G10" s="7">
        <v>58945</v>
      </c>
      <c r="H10" s="6">
        <f>'入力根拠'!F133</f>
        <v>4778.4</v>
      </c>
      <c r="I10" s="7">
        <v>4778.4</v>
      </c>
      <c r="J10" s="6">
        <f>'入力根拠'!F134</f>
        <v>11149.5</v>
      </c>
      <c r="K10" s="7">
        <v>11149.5</v>
      </c>
    </row>
    <row r="11" spans="1:12" ht="23" customHeight="1">
      <c r="A11" s="6">
        <v>6</v>
      </c>
      <c r="B11" s="6">
        <v>3</v>
      </c>
      <c r="C11" s="6">
        <v>172</v>
      </c>
      <c r="D11" s="6">
        <f>'入力根拠'!F135</f>
        <v>327072.0</v>
      </c>
      <c r="E11" s="7">
        <v>327072</v>
      </c>
      <c r="F11" s="6">
        <f>'入力根拠'!F136</f>
        <v>88418.0</v>
      </c>
      <c r="G11" s="7">
        <v>88418</v>
      </c>
      <c r="H11" s="6">
        <f>'入力根拠'!F137</f>
        <v>7167.5</v>
      </c>
      <c r="I11" s="7">
        <v>7167.5</v>
      </c>
      <c r="J11" s="6">
        <f>'入力根拠'!F138</f>
        <v>16724.3</v>
      </c>
      <c r="K11" s="7">
        <v>16724.3</v>
      </c>
    </row>
    <row r="12" spans="1:12" ht="23" customHeight="1"/>
    <row r="13" spans="1:12" ht="24" customHeight="1">
      <c r="A13" s="3" t="s">
        <v>487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36" customHeight="1">
      <c r="A14" s="4" t="s">
        <v>8</v>
      </c>
      <c r="B14" s="4" t="s">
        <v>9</v>
      </c>
      <c r="C14" s="4" t="s">
        <v>488</v>
      </c>
      <c r="D14" s="4" t="s">
        <v>478</v>
      </c>
      <c r="E14" s="4" t="s">
        <v>489</v>
      </c>
      <c r="F14" s="4" t="s">
        <v>490</v>
      </c>
      <c r="G14" s="4" t="s">
        <v>491</v>
      </c>
      <c r="H14" s="4" t="s">
        <v>492</v>
      </c>
      <c r="I14" s="4" t="s">
        <v>493</v>
      </c>
    </row>
    <row r="15" spans="1:12" ht="23" customHeight="1">
      <c r="A15" s="6">
        <v>4</v>
      </c>
      <c r="B15" s="6">
        <v>1</v>
      </c>
      <c r="C15" s="6">
        <v>98</v>
      </c>
      <c r="D15" s="6">
        <v>122</v>
      </c>
      <c r="E15" s="8">
        <v>29.8</v>
      </c>
      <c r="F15" s="8">
        <v>13.041</v>
      </c>
      <c r="G15" s="8">
        <v>44.041</v>
      </c>
      <c r="H15" s="9">
        <f>ROUND((G15-F15),4)</f>
        <v>31.0</v>
      </c>
      <c r="I15" s="8">
        <v>31</v>
      </c>
    </row>
    <row r="16" spans="1:12" ht="23" customHeight="1">
      <c r="A16" s="6">
        <v>5</v>
      </c>
      <c r="B16" s="6">
        <v>2</v>
      </c>
      <c r="C16" s="6">
        <v>123</v>
      </c>
      <c r="D16" s="6">
        <v>147</v>
      </c>
      <c r="E16" s="8">
        <v>33.5</v>
      </c>
      <c r="F16" s="8">
        <v>13.041</v>
      </c>
      <c r="G16" s="8">
        <v>44.041</v>
      </c>
      <c r="H16" s="9">
        <f>ROUND((G16-F16),4)</f>
        <v>31.0</v>
      </c>
      <c r="I16" s="8">
        <v>31</v>
      </c>
    </row>
    <row r="17" spans="1:12" ht="23" customHeight="1">
      <c r="A17" s="6">
        <v>6</v>
      </c>
      <c r="B17" s="6">
        <v>3</v>
      </c>
      <c r="C17" s="6">
        <v>148</v>
      </c>
      <c r="D17" s="6">
        <v>172</v>
      </c>
      <c r="E17" s="8">
        <v>37.2</v>
      </c>
      <c r="F17" s="8">
        <v>13.041</v>
      </c>
      <c r="G17" s="8">
        <v>44.041</v>
      </c>
      <c r="H17" s="9">
        <f>ROUND((G17-F17),4)</f>
        <v>31.0</v>
      </c>
      <c r="I17" s="8">
        <v>31</v>
      </c>
    </row>
    <row r="18" spans="1:12" ht="23" customHeight="1"/>
    <row r="19" spans="1:12" ht="24" customHeight="1">
      <c r="A19" s="3" t="s">
        <v>355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36" customHeight="1">
      <c r="A20" s="4" t="s">
        <v>8</v>
      </c>
      <c r="B20" s="4" t="s">
        <v>9</v>
      </c>
      <c r="C20" s="4" t="s">
        <v>30</v>
      </c>
      <c r="D20" s="4" t="s">
        <v>12</v>
      </c>
      <c r="E20" s="4" t="s">
        <v>14</v>
      </c>
      <c r="F20" s="4" t="s">
        <v>15</v>
      </c>
      <c r="G20" s="4" t="s">
        <v>16</v>
      </c>
      <c r="H20" s="4" t="s">
        <v>17</v>
      </c>
    </row>
    <row r="21" spans="1:12" ht="23" customHeight="1">
      <c r="A21" s="6">
        <v>4</v>
      </c>
      <c r="B21" s="6">
        <v>1</v>
      </c>
      <c r="C21" s="6">
        <v>122</v>
      </c>
      <c r="D21" s="6">
        <v>124</v>
      </c>
      <c r="E21" s="6">
        <v>4</v>
      </c>
      <c r="F21" s="6" t="s">
        <v>31</v>
      </c>
      <c r="G21" s="7">
        <v>327072</v>
      </c>
      <c r="H21" s="6" t="s">
        <v>27</v>
      </c>
    </row>
    <row r="22" spans="1:12" ht="23" customHeight="1">
      <c r="A22" s="6">
        <v>4</v>
      </c>
      <c r="B22" s="6">
        <v>1</v>
      </c>
      <c r="C22" s="6">
        <v>122</v>
      </c>
      <c r="D22" s="6">
        <v>124</v>
      </c>
      <c r="E22" s="6">
        <v>5</v>
      </c>
      <c r="F22" s="6" t="s">
        <v>32</v>
      </c>
      <c r="G22" s="7">
        <v>7167.5</v>
      </c>
      <c r="H22" s="6" t="s">
        <v>33</v>
      </c>
    </row>
    <row r="23" spans="1:12" ht="23" customHeight="1">
      <c r="A23" s="6">
        <v>4</v>
      </c>
      <c r="B23" s="6">
        <v>1</v>
      </c>
      <c r="C23" s="6">
        <v>122</v>
      </c>
      <c r="D23" s="6">
        <v>124</v>
      </c>
      <c r="E23" s="6">
        <v>6</v>
      </c>
      <c r="F23" s="6" t="s">
        <v>34</v>
      </c>
      <c r="G23" s="7"/>
      <c r="H23" s="6" t="s">
        <v>33</v>
      </c>
    </row>
    <row r="24" spans="1:12" ht="23" customHeight="1">
      <c r="A24" s="6">
        <v>4</v>
      </c>
      <c r="B24" s="6">
        <v>1</v>
      </c>
      <c r="C24" s="6">
        <v>122</v>
      </c>
      <c r="D24" s="6">
        <v>124</v>
      </c>
      <c r="E24" s="6">
        <v>7</v>
      </c>
      <c r="F24" s="6" t="s">
        <v>35</v>
      </c>
      <c r="G24" s="7">
        <v>88418</v>
      </c>
      <c r="H24" s="6" t="s">
        <v>27</v>
      </c>
    </row>
    <row r="25" spans="1:12" ht="23" customHeight="1">
      <c r="A25" s="6">
        <v>4</v>
      </c>
      <c r="B25" s="6">
        <v>1</v>
      </c>
      <c r="C25" s="6">
        <v>122</v>
      </c>
      <c r="D25" s="6">
        <v>124</v>
      </c>
      <c r="E25" s="6">
        <v>8</v>
      </c>
      <c r="F25" s="6" t="s">
        <v>36</v>
      </c>
      <c r="G25" s="7">
        <v>16724.3</v>
      </c>
      <c r="H25" s="6" t="s">
        <v>33</v>
      </c>
    </row>
    <row r="26" spans="1:12" ht="23" customHeight="1">
      <c r="A26" s="6">
        <v>4</v>
      </c>
      <c r="B26" s="6">
        <v>1</v>
      </c>
      <c r="C26" s="6">
        <v>122</v>
      </c>
      <c r="D26" s="6">
        <v>124</v>
      </c>
      <c r="E26" s="6">
        <v>9</v>
      </c>
      <c r="F26" s="6" t="s">
        <v>37</v>
      </c>
      <c r="G26" s="7"/>
      <c r="H26" s="6" t="s">
        <v>33</v>
      </c>
    </row>
    <row r="27" spans="1:12" ht="23" customHeight="1">
      <c r="A27" s="6">
        <v>4</v>
      </c>
      <c r="B27" s="6">
        <v>1</v>
      </c>
      <c r="C27" s="6">
        <v>122</v>
      </c>
      <c r="D27" s="6">
        <v>124</v>
      </c>
      <c r="E27" s="6">
        <v>10</v>
      </c>
      <c r="F27" s="6" t="s">
        <v>38</v>
      </c>
      <c r="G27" s="7">
        <v>88418</v>
      </c>
      <c r="H27" s="6" t="s">
        <v>27</v>
      </c>
    </row>
    <row r="28" spans="1:12" ht="23" customHeight="1">
      <c r="A28" s="6">
        <v>4</v>
      </c>
      <c r="B28" s="6">
        <v>1</v>
      </c>
      <c r="C28" s="6">
        <v>122</v>
      </c>
      <c r="D28" s="6">
        <v>124</v>
      </c>
      <c r="E28" s="6">
        <v>11</v>
      </c>
      <c r="F28" s="6" t="s">
        <v>39</v>
      </c>
      <c r="G28" s="7">
        <v>327072</v>
      </c>
      <c r="H28" s="6" t="s">
        <v>27</v>
      </c>
    </row>
    <row r="29" spans="1:12" ht="23" customHeight="1">
      <c r="A29" s="6">
        <v>4</v>
      </c>
      <c r="B29" s="6">
        <v>1</v>
      </c>
      <c r="C29" s="6">
        <v>122</v>
      </c>
      <c r="D29" s="6">
        <v>124</v>
      </c>
      <c r="E29" s="6">
        <v>12</v>
      </c>
      <c r="F29" s="6" t="s">
        <v>40</v>
      </c>
      <c r="G29" s="7">
        <v>88418</v>
      </c>
      <c r="H29" s="6" t="s">
        <v>27</v>
      </c>
    </row>
    <row r="30" spans="1:12" ht="23" customHeight="1">
      <c r="A30" s="6">
        <v>4</v>
      </c>
      <c r="B30" s="6">
        <v>1</v>
      </c>
      <c r="C30" s="6">
        <v>122</v>
      </c>
      <c r="D30" s="6">
        <v>124</v>
      </c>
      <c r="E30" s="6">
        <v>13</v>
      </c>
      <c r="F30" s="6" t="s">
        <v>41</v>
      </c>
      <c r="G30" s="7">
        <v>88418</v>
      </c>
      <c r="H30" s="6" t="s">
        <v>27</v>
      </c>
    </row>
    <row r="31" spans="1:12" ht="23" customHeight="1">
      <c r="A31" s="6">
        <v>5</v>
      </c>
      <c r="B31" s="6">
        <v>2</v>
      </c>
      <c r="C31" s="6">
        <v>147</v>
      </c>
      <c r="D31" s="6">
        <v>125</v>
      </c>
      <c r="E31" s="6">
        <v>4</v>
      </c>
      <c r="F31" s="6" t="s">
        <v>31</v>
      </c>
      <c r="G31" s="7">
        <v>218048</v>
      </c>
      <c r="H31" s="6" t="s">
        <v>27</v>
      </c>
    </row>
    <row r="32" spans="1:12" ht="23" customHeight="1">
      <c r="A32" s="6">
        <v>5</v>
      </c>
      <c r="B32" s="6">
        <v>2</v>
      </c>
      <c r="C32" s="6">
        <v>147</v>
      </c>
      <c r="D32" s="6">
        <v>125</v>
      </c>
      <c r="E32" s="6">
        <v>5</v>
      </c>
      <c r="F32" s="6" t="s">
        <v>32</v>
      </c>
      <c r="G32" s="7">
        <v>4778.4</v>
      </c>
      <c r="H32" s="6" t="s">
        <v>33</v>
      </c>
    </row>
    <row r="33" spans="1:8" ht="23" customHeight="1">
      <c r="A33" s="6">
        <v>5</v>
      </c>
      <c r="B33" s="6">
        <v>2</v>
      </c>
      <c r="C33" s="6">
        <v>147</v>
      </c>
      <c r="D33" s="6">
        <v>125</v>
      </c>
      <c r="E33" s="6">
        <v>6</v>
      </c>
      <c r="F33" s="6" t="s">
        <v>34</v>
      </c>
      <c r="G33" s="7"/>
      <c r="H33" s="6" t="s">
        <v>33</v>
      </c>
    </row>
    <row r="34" spans="1:8" ht="23" customHeight="1">
      <c r="A34" s="6">
        <v>5</v>
      </c>
      <c r="B34" s="6">
        <v>2</v>
      </c>
      <c r="C34" s="6">
        <v>147</v>
      </c>
      <c r="D34" s="6">
        <v>125</v>
      </c>
      <c r="E34" s="6">
        <v>7</v>
      </c>
      <c r="F34" s="6" t="s">
        <v>35</v>
      </c>
      <c r="G34" s="7">
        <v>58945</v>
      </c>
      <c r="H34" s="6" t="s">
        <v>27</v>
      </c>
    </row>
    <row r="35" spans="1:8" ht="23" customHeight="1">
      <c r="A35" s="6">
        <v>5</v>
      </c>
      <c r="B35" s="6">
        <v>2</v>
      </c>
      <c r="C35" s="6">
        <v>147</v>
      </c>
      <c r="D35" s="6">
        <v>125</v>
      </c>
      <c r="E35" s="6">
        <v>8</v>
      </c>
      <c r="F35" s="6" t="s">
        <v>36</v>
      </c>
      <c r="G35" s="7">
        <v>11149.5</v>
      </c>
      <c r="H35" s="6" t="s">
        <v>33</v>
      </c>
    </row>
    <row r="36" spans="1:8" ht="23" customHeight="1">
      <c r="A36" s="6">
        <v>5</v>
      </c>
      <c r="B36" s="6">
        <v>2</v>
      </c>
      <c r="C36" s="6">
        <v>147</v>
      </c>
      <c r="D36" s="6">
        <v>125</v>
      </c>
      <c r="E36" s="6">
        <v>9</v>
      </c>
      <c r="F36" s="6" t="s">
        <v>37</v>
      </c>
      <c r="G36" s="7"/>
      <c r="H36" s="6" t="s">
        <v>33</v>
      </c>
    </row>
    <row r="37" spans="1:8" ht="23" customHeight="1">
      <c r="A37" s="6">
        <v>5</v>
      </c>
      <c r="B37" s="6">
        <v>2</v>
      </c>
      <c r="C37" s="6">
        <v>147</v>
      </c>
      <c r="D37" s="6">
        <v>125</v>
      </c>
      <c r="E37" s="6">
        <v>10</v>
      </c>
      <c r="F37" s="6" t="s">
        <v>38</v>
      </c>
      <c r="G37" s="7">
        <v>58945</v>
      </c>
      <c r="H37" s="6" t="s">
        <v>27</v>
      </c>
    </row>
    <row r="38" spans="1:8" ht="23" customHeight="1">
      <c r="A38" s="6">
        <v>5</v>
      </c>
      <c r="B38" s="6">
        <v>2</v>
      </c>
      <c r="C38" s="6">
        <v>147</v>
      </c>
      <c r="D38" s="6">
        <v>125</v>
      </c>
      <c r="E38" s="6">
        <v>11</v>
      </c>
      <c r="F38" s="6" t="s">
        <v>39</v>
      </c>
      <c r="G38" s="7">
        <v>218048</v>
      </c>
      <c r="H38" s="6" t="s">
        <v>27</v>
      </c>
    </row>
    <row r="39" spans="1:8" ht="23" customHeight="1">
      <c r="A39" s="6">
        <v>5</v>
      </c>
      <c r="B39" s="6">
        <v>2</v>
      </c>
      <c r="C39" s="6">
        <v>147</v>
      </c>
      <c r="D39" s="6">
        <v>125</v>
      </c>
      <c r="E39" s="6">
        <v>12</v>
      </c>
      <c r="F39" s="6" t="s">
        <v>40</v>
      </c>
      <c r="G39" s="7">
        <v>58945</v>
      </c>
      <c r="H39" s="6" t="s">
        <v>27</v>
      </c>
    </row>
    <row r="40" spans="1:8" ht="23" customHeight="1">
      <c r="A40" s="6">
        <v>5</v>
      </c>
      <c r="B40" s="6">
        <v>2</v>
      </c>
      <c r="C40" s="6">
        <v>147</v>
      </c>
      <c r="D40" s="6">
        <v>125</v>
      </c>
      <c r="E40" s="6">
        <v>13</v>
      </c>
      <c r="F40" s="6" t="s">
        <v>41</v>
      </c>
      <c r="G40" s="7">
        <v>58945</v>
      </c>
      <c r="H40" s="6" t="s">
        <v>27</v>
      </c>
    </row>
    <row r="41" spans="1:8" ht="23" customHeight="1">
      <c r="A41" s="6">
        <v>6</v>
      </c>
      <c r="B41" s="6">
        <v>3</v>
      </c>
      <c r="C41" s="6">
        <v>172</v>
      </c>
      <c r="D41" s="6">
        <v>126</v>
      </c>
      <c r="E41" s="6">
        <v>4</v>
      </c>
      <c r="F41" s="6" t="s">
        <v>31</v>
      </c>
      <c r="G41" s="7">
        <v>327072</v>
      </c>
      <c r="H41" s="6" t="s">
        <v>27</v>
      </c>
    </row>
    <row r="42" spans="1:8" ht="23" customHeight="1">
      <c r="A42" s="6">
        <v>6</v>
      </c>
      <c r="B42" s="6">
        <v>3</v>
      </c>
      <c r="C42" s="6">
        <v>172</v>
      </c>
      <c r="D42" s="6">
        <v>126</v>
      </c>
      <c r="E42" s="6">
        <v>5</v>
      </c>
      <c r="F42" s="6" t="s">
        <v>32</v>
      </c>
      <c r="G42" s="7">
        <v>7167.5</v>
      </c>
      <c r="H42" s="6" t="s">
        <v>33</v>
      </c>
    </row>
    <row r="43" spans="1:8" ht="23" customHeight="1">
      <c r="A43" s="6">
        <v>6</v>
      </c>
      <c r="B43" s="6">
        <v>3</v>
      </c>
      <c r="C43" s="6">
        <v>172</v>
      </c>
      <c r="D43" s="6">
        <v>126</v>
      </c>
      <c r="E43" s="6">
        <v>6</v>
      </c>
      <c r="F43" s="6" t="s">
        <v>34</v>
      </c>
      <c r="G43" s="7"/>
      <c r="H43" s="6" t="s">
        <v>33</v>
      </c>
    </row>
    <row r="44" spans="1:8" ht="23" customHeight="1">
      <c r="A44" s="6">
        <v>6</v>
      </c>
      <c r="B44" s="6">
        <v>3</v>
      </c>
      <c r="C44" s="6">
        <v>172</v>
      </c>
      <c r="D44" s="6">
        <v>126</v>
      </c>
      <c r="E44" s="6">
        <v>7</v>
      </c>
      <c r="F44" s="6" t="s">
        <v>35</v>
      </c>
      <c r="G44" s="7">
        <v>88418</v>
      </c>
      <c r="H44" s="6" t="s">
        <v>27</v>
      </c>
    </row>
    <row r="45" spans="1:8" ht="23" customHeight="1">
      <c r="A45" s="6">
        <v>6</v>
      </c>
      <c r="B45" s="6">
        <v>3</v>
      </c>
      <c r="C45" s="6">
        <v>172</v>
      </c>
      <c r="D45" s="6">
        <v>126</v>
      </c>
      <c r="E45" s="6">
        <v>8</v>
      </c>
      <c r="F45" s="6" t="s">
        <v>36</v>
      </c>
      <c r="G45" s="7">
        <v>16724.3</v>
      </c>
      <c r="H45" s="6" t="s">
        <v>33</v>
      </c>
    </row>
    <row r="46" spans="1:8" ht="23" customHeight="1">
      <c r="A46" s="6">
        <v>6</v>
      </c>
      <c r="B46" s="6">
        <v>3</v>
      </c>
      <c r="C46" s="6">
        <v>172</v>
      </c>
      <c r="D46" s="6">
        <v>126</v>
      </c>
      <c r="E46" s="6">
        <v>9</v>
      </c>
      <c r="F46" s="6" t="s">
        <v>37</v>
      </c>
      <c r="G46" s="7"/>
      <c r="H46" s="6" t="s">
        <v>33</v>
      </c>
    </row>
    <row r="47" spans="1:8" ht="23" customHeight="1">
      <c r="A47" s="6">
        <v>6</v>
      </c>
      <c r="B47" s="6">
        <v>3</v>
      </c>
      <c r="C47" s="6">
        <v>172</v>
      </c>
      <c r="D47" s="6">
        <v>126</v>
      </c>
      <c r="E47" s="6">
        <v>10</v>
      </c>
      <c r="F47" s="6" t="s">
        <v>38</v>
      </c>
      <c r="G47" s="7">
        <v>88418</v>
      </c>
      <c r="H47" s="6" t="s">
        <v>27</v>
      </c>
    </row>
    <row r="48" spans="1:8" ht="23" customHeight="1">
      <c r="A48" s="6">
        <v>6</v>
      </c>
      <c r="B48" s="6">
        <v>3</v>
      </c>
      <c r="C48" s="6">
        <v>172</v>
      </c>
      <c r="D48" s="6">
        <v>126</v>
      </c>
      <c r="E48" s="6">
        <v>11</v>
      </c>
      <c r="F48" s="6" t="s">
        <v>39</v>
      </c>
      <c r="G48" s="7">
        <v>327072</v>
      </c>
      <c r="H48" s="6" t="s">
        <v>27</v>
      </c>
    </row>
    <row r="49" spans="1:12" ht="23" customHeight="1">
      <c r="A49" s="6">
        <v>6</v>
      </c>
      <c r="B49" s="6">
        <v>3</v>
      </c>
      <c r="C49" s="6">
        <v>172</v>
      </c>
      <c r="D49" s="6">
        <v>126</v>
      </c>
      <c r="E49" s="6">
        <v>12</v>
      </c>
      <c r="F49" s="6" t="s">
        <v>40</v>
      </c>
      <c r="G49" s="7">
        <v>88418</v>
      </c>
      <c r="H49" s="6" t="s">
        <v>27</v>
      </c>
    </row>
    <row r="50" spans="1:12" ht="23" customHeight="1">
      <c r="A50" s="6">
        <v>6</v>
      </c>
      <c r="B50" s="6">
        <v>3</v>
      </c>
      <c r="C50" s="6">
        <v>172</v>
      </c>
      <c r="D50" s="6">
        <v>126</v>
      </c>
      <c r="E50" s="6">
        <v>13</v>
      </c>
      <c r="F50" s="6" t="s">
        <v>41</v>
      </c>
      <c r="G50" s="7">
        <v>88418</v>
      </c>
      <c r="H50" s="6" t="s">
        <v>27</v>
      </c>
    </row>
    <row r="51" spans="1:12" ht="23" customHeight="1"/>
    <row r="52" spans="1:12" ht="24" customHeight="1">
      <c r="A52" s="3" t="s">
        <v>72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36" customHeight="1">
      <c r="A53" s="4" t="s">
        <v>8</v>
      </c>
      <c r="B53" s="4" t="s">
        <v>10</v>
      </c>
      <c r="C53" s="4" t="s">
        <v>73</v>
      </c>
      <c r="D53" s="4" t="s">
        <v>74</v>
      </c>
    </row>
    <row r="54" spans="1:12" ht="24" customHeight="1">
      <c r="A54" s="2" t="s">
        <v>494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24" customHeight="1">
      <c r="A55" s="2" t="s">
        <v>495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24" customHeight="1">
      <c r="A56" s="2" t="s">
        <v>496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24" customHeight="1">
      <c r="A57" s="2" t="s">
        <v>497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24" customHeight="1">
      <c r="A58" s="2" t="s">
        <v>498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24" customHeight="1">
      <c r="A59" s="2" t="s">
        <v>499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24" customHeight="1">
      <c r="A60" s="2" t="s">
        <v>500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24" customHeight="1">
      <c r="A61" s="2" t="s">
        <v>501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24" customHeight="1">
      <c r="A62" s="2" t="s">
        <v>502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24" customHeight="1">
      <c r="A63" s="2" t="s">
        <v>503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24" customHeight="1">
      <c r="A64" s="2" t="s">
        <v>504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24" customHeight="1">
      <c r="A65" s="2" t="s">
        <v>505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</sheetData>
  <mergeCells count="20">
    <mergeCell ref="A1:L1"/>
    <mergeCell ref="A2:L2"/>
    <mergeCell ref="A3:L3"/>
    <mergeCell ref="A5:L5"/>
    <mergeCell ref="A7:L7"/>
    <mergeCell ref="A13:L13"/>
    <mergeCell ref="A19:L19"/>
    <mergeCell ref="A52:L52"/>
    <mergeCell ref="A54:L54"/>
    <mergeCell ref="A55:L55"/>
    <mergeCell ref="A56:L56"/>
    <mergeCell ref="A57:L57"/>
    <mergeCell ref="A58:L58"/>
    <mergeCell ref="A59:L59"/>
    <mergeCell ref="A60:L60"/>
    <mergeCell ref="A61:L61"/>
    <mergeCell ref="A62:L62"/>
    <mergeCell ref="A63:L63"/>
    <mergeCell ref="A64:L64"/>
    <mergeCell ref="A65:L65"/>
  </mergeCells>
  <pageMargins left="0.25" right="0.25" top="0.35" bottom="0.35" header="0.3" footer="0.3"/>
  <pageSetup paperSize="9" fitToHeight="0" orientation="landscape"/>
  <headerFooter>
    <oddFooter>&amp;L杭先端ばね&amp;R&amp;P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56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1" width="17.7109375" customWidth="1"/>
    <col min="2" max="3" width="9.7109375" customWidth="1"/>
    <col min="4" max="4" width="24.7109375" customWidth="1"/>
    <col min="5" max="5" width="11.7109375" customWidth="1"/>
    <col min="6" max="6" width="15.7109375" customWidth="1"/>
    <col min="7" max="7" width="26.7109375" customWidth="1"/>
    <col min="8" max="12" width="11.7109375" customWidth="1"/>
  </cols>
  <sheetData>
    <row r="1" spans="1:12" ht="24" customHeight="1">
      <c r="A1" s="1" t="s">
        <v>506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3" customHeight="1"/>
    <row r="6" spans="1:12" ht="24" customHeight="1">
      <c r="A6" s="3" t="s">
        <v>507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6" customHeight="1">
      <c r="A7" s="4" t="s">
        <v>73</v>
      </c>
      <c r="B7" s="4" t="s">
        <v>508</v>
      </c>
    </row>
    <row r="8" spans="1:12" ht="24" customHeight="1">
      <c r="A8" s="2" t="s">
        <v>509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4" customHeight="1">
      <c r="A9" s="2" t="s">
        <v>510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4" customHeight="1">
      <c r="A10" s="2" t="s">
        <v>511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4" customHeight="1">
      <c r="A11" s="2" t="s">
        <v>512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4" customHeight="1">
      <c r="A12" s="2" t="s">
        <v>513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4" customHeight="1">
      <c r="A13" s="2" t="s">
        <v>514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4" customHeight="1">
      <c r="A14" s="2" t="s">
        <v>515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32" customHeight="1">
      <c r="A15" s="2" t="s">
        <v>516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32" customHeight="1">
      <c r="A16" s="2" t="s">
        <v>517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4" customHeight="1">
      <c r="A17" s="2" t="s">
        <v>518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4" customHeight="1">
      <c r="A18" s="2" t="s">
        <v>519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4" customHeight="1">
      <c r="A19" s="2" t="s">
        <v>520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4" customHeight="1">
      <c r="A20" s="2" t="s">
        <v>521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4" customHeight="1">
      <c r="A21" s="2" t="s">
        <v>522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4" customHeight="1">
      <c r="A22" s="2" t="s">
        <v>523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4" customHeight="1">
      <c r="A23" s="2" t="s">
        <v>524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4" customHeight="1">
      <c r="A24" s="2" t="s">
        <v>525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4" customHeight="1">
      <c r="A25" s="2" t="s">
        <v>526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4" customHeight="1">
      <c r="A26" s="2" t="s">
        <v>527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4" customHeight="1">
      <c r="A27" s="2" t="s">
        <v>528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4" customHeight="1">
      <c r="A28" s="2" t="s">
        <v>529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4" customHeight="1">
      <c r="A29" s="2" t="s">
        <v>530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4" customHeight="1">
      <c r="A30" s="2" t="s">
        <v>531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3" customHeight="1"/>
    <row r="32" spans="1:12" ht="24" customHeight="1">
      <c r="A32" s="3" t="s">
        <v>532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7" ht="36" customHeight="1">
      <c r="A33" s="4" t="s">
        <v>7</v>
      </c>
      <c r="B33" s="4" t="s">
        <v>64</v>
      </c>
      <c r="C33" s="4" t="s">
        <v>533</v>
      </c>
      <c r="D33" s="4" t="s">
        <v>73</v>
      </c>
      <c r="E33" s="4" t="s">
        <v>17</v>
      </c>
      <c r="F33" s="4" t="s">
        <v>534</v>
      </c>
      <c r="G33" s="4" t="s">
        <v>535</v>
      </c>
    </row>
    <row r="34" spans="1:7" ht="23" customHeight="1">
      <c r="A34" s="6" t="s">
        <v>19</v>
      </c>
      <c r="B34" s="6">
        <v>174</v>
      </c>
      <c r="C34" s="6">
        <v>9</v>
      </c>
      <c r="D34" s="6" t="s">
        <v>536</v>
      </c>
      <c r="E34" s="6" t="s">
        <v>22</v>
      </c>
      <c r="F34" s="10">
        <v>58812</v>
      </c>
      <c r="G34" s="6" t="s">
        <v>537</v>
      </c>
    </row>
    <row r="35" spans="1:7" ht="23" customHeight="1">
      <c r="A35" s="6" t="s">
        <v>19</v>
      </c>
      <c r="B35" s="6">
        <v>175</v>
      </c>
      <c r="C35" s="6">
        <v>9</v>
      </c>
      <c r="D35" s="6" t="s">
        <v>536</v>
      </c>
      <c r="E35" s="6" t="s">
        <v>22</v>
      </c>
      <c r="F35" s="10">
        <v>310863</v>
      </c>
      <c r="G35" s="6" t="s">
        <v>538</v>
      </c>
    </row>
    <row r="36" spans="1:7" ht="23" customHeight="1">
      <c r="A36" s="6" t="s">
        <v>19</v>
      </c>
      <c r="B36" s="6">
        <v>176</v>
      </c>
      <c r="C36" s="6">
        <v>9</v>
      </c>
      <c r="D36" s="6" t="s">
        <v>536</v>
      </c>
      <c r="E36" s="6" t="s">
        <v>22</v>
      </c>
      <c r="F36" s="10">
        <v>110708</v>
      </c>
      <c r="G36" s="6" t="s">
        <v>539</v>
      </c>
    </row>
    <row r="37" spans="1:7" ht="23" customHeight="1">
      <c r="A37" s="6" t="s">
        <v>19</v>
      </c>
      <c r="B37" s="6">
        <v>177</v>
      </c>
      <c r="C37" s="6">
        <v>9</v>
      </c>
      <c r="D37" s="6" t="s">
        <v>536</v>
      </c>
      <c r="E37" s="6" t="s">
        <v>22</v>
      </c>
      <c r="F37" s="10">
        <v>268854</v>
      </c>
      <c r="G37" s="6" t="s">
        <v>540</v>
      </c>
    </row>
    <row r="38" spans="1:7" ht="23" customHeight="1">
      <c r="A38" s="6" t="s">
        <v>19</v>
      </c>
      <c r="B38" s="6">
        <v>178</v>
      </c>
      <c r="C38" s="6">
        <v>9</v>
      </c>
      <c r="D38" s="6" t="s">
        <v>536</v>
      </c>
      <c r="E38" s="6" t="s">
        <v>22</v>
      </c>
      <c r="F38" s="10">
        <v>428981</v>
      </c>
      <c r="G38" s="6" t="s">
        <v>541</v>
      </c>
    </row>
    <row r="39" spans="1:7" ht="23" customHeight="1">
      <c r="A39" s="6" t="s">
        <v>19</v>
      </c>
      <c r="B39" s="6">
        <v>179</v>
      </c>
      <c r="C39" s="6">
        <v>9</v>
      </c>
      <c r="D39" s="6" t="s">
        <v>536</v>
      </c>
      <c r="E39" s="6" t="s">
        <v>22</v>
      </c>
      <c r="F39" s="10">
        <v>403280</v>
      </c>
      <c r="G39" s="6" t="s">
        <v>542</v>
      </c>
    </row>
    <row r="40" spans="1:7" ht="23" customHeight="1">
      <c r="A40" s="6" t="s">
        <v>19</v>
      </c>
      <c r="B40" s="6">
        <v>180</v>
      </c>
      <c r="C40" s="6">
        <v>9</v>
      </c>
      <c r="D40" s="6" t="s">
        <v>536</v>
      </c>
      <c r="E40" s="6" t="s">
        <v>22</v>
      </c>
      <c r="F40" s="10">
        <v>193733</v>
      </c>
      <c r="G40" s="6" t="s">
        <v>543</v>
      </c>
    </row>
    <row r="41" spans="1:7" ht="23" customHeight="1">
      <c r="A41" s="6" t="s">
        <v>19</v>
      </c>
      <c r="B41" s="6">
        <v>174</v>
      </c>
      <c r="C41" s="6">
        <v>10</v>
      </c>
      <c r="D41" s="6" t="s">
        <v>544</v>
      </c>
      <c r="E41" s="6" t="s">
        <v>22</v>
      </c>
      <c r="F41" s="10">
        <v>39208</v>
      </c>
      <c r="G41" s="6" t="s">
        <v>545</v>
      </c>
    </row>
    <row r="42" spans="1:7" ht="23" customHeight="1">
      <c r="A42" s="6" t="s">
        <v>19</v>
      </c>
      <c r="B42" s="6">
        <v>175</v>
      </c>
      <c r="C42" s="6">
        <v>10</v>
      </c>
      <c r="D42" s="6" t="s">
        <v>544</v>
      </c>
      <c r="E42" s="6" t="s">
        <v>22</v>
      </c>
      <c r="F42" s="10">
        <v>207242</v>
      </c>
      <c r="G42" s="6" t="s">
        <v>546</v>
      </c>
    </row>
    <row r="43" spans="1:7" ht="23" customHeight="1">
      <c r="A43" s="6" t="s">
        <v>19</v>
      </c>
      <c r="B43" s="6">
        <v>176</v>
      </c>
      <c r="C43" s="6">
        <v>10</v>
      </c>
      <c r="D43" s="6" t="s">
        <v>544</v>
      </c>
      <c r="E43" s="6" t="s">
        <v>22</v>
      </c>
      <c r="F43" s="10">
        <v>73805</v>
      </c>
      <c r="G43" s="6" t="s">
        <v>547</v>
      </c>
    </row>
    <row r="44" spans="1:7" ht="23" customHeight="1">
      <c r="A44" s="6" t="s">
        <v>19</v>
      </c>
      <c r="B44" s="6">
        <v>177</v>
      </c>
      <c r="C44" s="6">
        <v>10</v>
      </c>
      <c r="D44" s="6" t="s">
        <v>544</v>
      </c>
      <c r="E44" s="6" t="s">
        <v>22</v>
      </c>
      <c r="F44" s="10">
        <v>179236</v>
      </c>
      <c r="G44" s="6" t="s">
        <v>548</v>
      </c>
    </row>
    <row r="45" spans="1:7" ht="23" customHeight="1">
      <c r="A45" s="6" t="s">
        <v>19</v>
      </c>
      <c r="B45" s="6">
        <v>178</v>
      </c>
      <c r="C45" s="6">
        <v>10</v>
      </c>
      <c r="D45" s="6" t="s">
        <v>544</v>
      </c>
      <c r="E45" s="6" t="s">
        <v>22</v>
      </c>
      <c r="F45" s="10">
        <v>285987</v>
      </c>
      <c r="G45" s="6" t="s">
        <v>549</v>
      </c>
    </row>
    <row r="46" spans="1:7" ht="23" customHeight="1">
      <c r="A46" s="6" t="s">
        <v>19</v>
      </c>
      <c r="B46" s="6">
        <v>179</v>
      </c>
      <c r="C46" s="6">
        <v>10</v>
      </c>
      <c r="D46" s="6" t="s">
        <v>544</v>
      </c>
      <c r="E46" s="6" t="s">
        <v>22</v>
      </c>
      <c r="F46" s="10">
        <v>268854</v>
      </c>
      <c r="G46" s="6" t="s">
        <v>540</v>
      </c>
    </row>
    <row r="47" spans="1:7" ht="23" customHeight="1">
      <c r="A47" s="6" t="s">
        <v>19</v>
      </c>
      <c r="B47" s="6">
        <v>180</v>
      </c>
      <c r="C47" s="6">
        <v>10</v>
      </c>
      <c r="D47" s="6" t="s">
        <v>544</v>
      </c>
      <c r="E47" s="6" t="s">
        <v>22</v>
      </c>
      <c r="F47" s="10">
        <v>129155</v>
      </c>
      <c r="G47" s="6" t="s">
        <v>550</v>
      </c>
    </row>
    <row r="48" spans="1:7" ht="23" customHeight="1">
      <c r="A48" s="6" t="s">
        <v>19</v>
      </c>
      <c r="B48" s="6">
        <v>174</v>
      </c>
      <c r="C48" s="6">
        <v>11</v>
      </c>
      <c r="D48" s="6" t="s">
        <v>551</v>
      </c>
      <c r="E48" s="6" t="s">
        <v>22</v>
      </c>
      <c r="F48" s="10">
        <v>58812</v>
      </c>
      <c r="G48" s="6" t="s">
        <v>537</v>
      </c>
    </row>
    <row r="49" spans="1:7" ht="23" customHeight="1">
      <c r="A49" s="6" t="s">
        <v>19</v>
      </c>
      <c r="B49" s="6">
        <v>175</v>
      </c>
      <c r="C49" s="6">
        <v>11</v>
      </c>
      <c r="D49" s="6" t="s">
        <v>551</v>
      </c>
      <c r="E49" s="6" t="s">
        <v>22</v>
      </c>
      <c r="F49" s="10">
        <v>310863</v>
      </c>
      <c r="G49" s="6" t="s">
        <v>538</v>
      </c>
    </row>
    <row r="50" spans="1:7" ht="23" customHeight="1">
      <c r="A50" s="6" t="s">
        <v>19</v>
      </c>
      <c r="B50" s="6">
        <v>176</v>
      </c>
      <c r="C50" s="6">
        <v>11</v>
      </c>
      <c r="D50" s="6" t="s">
        <v>551</v>
      </c>
      <c r="E50" s="6" t="s">
        <v>22</v>
      </c>
      <c r="F50" s="10">
        <v>110708</v>
      </c>
      <c r="G50" s="6" t="s">
        <v>539</v>
      </c>
    </row>
    <row r="51" spans="1:7" ht="23" customHeight="1">
      <c r="A51" s="6" t="s">
        <v>19</v>
      </c>
      <c r="B51" s="6">
        <v>177</v>
      </c>
      <c r="C51" s="6">
        <v>11</v>
      </c>
      <c r="D51" s="6" t="s">
        <v>551</v>
      </c>
      <c r="E51" s="6" t="s">
        <v>22</v>
      </c>
      <c r="F51" s="10">
        <v>268854</v>
      </c>
      <c r="G51" s="6" t="s">
        <v>540</v>
      </c>
    </row>
    <row r="52" spans="1:7" ht="23" customHeight="1">
      <c r="A52" s="6" t="s">
        <v>19</v>
      </c>
      <c r="B52" s="6">
        <v>178</v>
      </c>
      <c r="C52" s="6">
        <v>11</v>
      </c>
      <c r="D52" s="6" t="s">
        <v>551</v>
      </c>
      <c r="E52" s="6" t="s">
        <v>22</v>
      </c>
      <c r="F52" s="10">
        <v>428981</v>
      </c>
      <c r="G52" s="6" t="s">
        <v>541</v>
      </c>
    </row>
    <row r="53" spans="1:7" ht="23" customHeight="1">
      <c r="A53" s="6" t="s">
        <v>19</v>
      </c>
      <c r="B53" s="6">
        <v>179</v>
      </c>
      <c r="C53" s="6">
        <v>11</v>
      </c>
      <c r="D53" s="6" t="s">
        <v>551</v>
      </c>
      <c r="E53" s="6" t="s">
        <v>22</v>
      </c>
      <c r="F53" s="10">
        <v>403280</v>
      </c>
      <c r="G53" s="6" t="s">
        <v>542</v>
      </c>
    </row>
    <row r="54" spans="1:7" ht="23" customHeight="1">
      <c r="A54" s="6" t="s">
        <v>19</v>
      </c>
      <c r="B54" s="6">
        <v>180</v>
      </c>
      <c r="C54" s="6">
        <v>11</v>
      </c>
      <c r="D54" s="6" t="s">
        <v>551</v>
      </c>
      <c r="E54" s="6" t="s">
        <v>22</v>
      </c>
      <c r="F54" s="10">
        <v>193733</v>
      </c>
      <c r="G54" s="6" t="s">
        <v>543</v>
      </c>
    </row>
    <row r="55" spans="1:7" ht="23" customHeight="1">
      <c r="A55" s="6" t="s">
        <v>25</v>
      </c>
      <c r="B55" s="6">
        <v>187</v>
      </c>
      <c r="C55" s="6">
        <v>7</v>
      </c>
      <c r="D55" s="6" t="s">
        <v>552</v>
      </c>
      <c r="E55" s="6" t="s">
        <v>27</v>
      </c>
      <c r="F55" s="10">
        <v>1162.9</v>
      </c>
      <c r="G55" s="6" t="s">
        <v>553</v>
      </c>
    </row>
    <row r="56" spans="1:7" ht="23" customHeight="1">
      <c r="A56" s="6" t="s">
        <v>25</v>
      </c>
      <c r="B56" s="6">
        <v>187</v>
      </c>
      <c r="C56" s="6">
        <v>8</v>
      </c>
      <c r="D56" s="6" t="s">
        <v>554</v>
      </c>
      <c r="E56" s="6" t="s">
        <v>27</v>
      </c>
      <c r="F56" s="10">
        <v>1329.7</v>
      </c>
      <c r="G56" s="6" t="s">
        <v>555</v>
      </c>
    </row>
    <row r="57" spans="1:7" ht="23" customHeight="1">
      <c r="A57" s="6" t="s">
        <v>25</v>
      </c>
      <c r="B57" s="6">
        <v>188</v>
      </c>
      <c r="C57" s="6">
        <v>7</v>
      </c>
      <c r="D57" s="6" t="s">
        <v>552</v>
      </c>
      <c r="E57" s="6" t="s">
        <v>27</v>
      </c>
      <c r="F57" s="10">
        <v>2018.1</v>
      </c>
      <c r="G57" s="6" t="s">
        <v>556</v>
      </c>
    </row>
    <row r="58" spans="1:7" ht="23" customHeight="1">
      <c r="A58" s="6" t="s">
        <v>25</v>
      </c>
      <c r="B58" s="6">
        <v>188</v>
      </c>
      <c r="C58" s="6">
        <v>8</v>
      </c>
      <c r="D58" s="6" t="s">
        <v>554</v>
      </c>
      <c r="E58" s="6" t="s">
        <v>27</v>
      </c>
      <c r="F58" s="10">
        <v>2237.4</v>
      </c>
      <c r="G58" s="6" t="s">
        <v>557</v>
      </c>
    </row>
    <row r="59" spans="1:7" ht="23" customHeight="1">
      <c r="A59" s="6" t="s">
        <v>25</v>
      </c>
      <c r="B59" s="6">
        <v>189</v>
      </c>
      <c r="C59" s="6">
        <v>7</v>
      </c>
      <c r="D59" s="6" t="s">
        <v>552</v>
      </c>
      <c r="E59" s="6" t="s">
        <v>27</v>
      </c>
      <c r="F59" s="10">
        <v>1755</v>
      </c>
      <c r="G59" s="6" t="s">
        <v>558</v>
      </c>
    </row>
    <row r="60" spans="1:7" ht="23" customHeight="1">
      <c r="A60" s="6" t="s">
        <v>25</v>
      </c>
      <c r="B60" s="6">
        <v>189</v>
      </c>
      <c r="C60" s="6">
        <v>8</v>
      </c>
      <c r="D60" s="6" t="s">
        <v>554</v>
      </c>
      <c r="E60" s="6" t="s">
        <v>27</v>
      </c>
      <c r="F60" s="10">
        <v>1755</v>
      </c>
      <c r="G60" s="6" t="s">
        <v>558</v>
      </c>
    </row>
    <row r="61" spans="1:7" ht="23" customHeight="1">
      <c r="A61" s="6" t="s">
        <v>25</v>
      </c>
      <c r="B61" s="6">
        <v>190</v>
      </c>
      <c r="C61" s="6">
        <v>7</v>
      </c>
      <c r="D61" s="6" t="s">
        <v>552</v>
      </c>
      <c r="E61" s="6" t="s">
        <v>27</v>
      </c>
      <c r="F61" s="10">
        <v>2349.1</v>
      </c>
      <c r="G61" s="6" t="s">
        <v>559</v>
      </c>
    </row>
    <row r="62" spans="1:7" ht="23" customHeight="1">
      <c r="A62" s="6" t="s">
        <v>25</v>
      </c>
      <c r="B62" s="6">
        <v>190</v>
      </c>
      <c r="C62" s="6">
        <v>8</v>
      </c>
      <c r="D62" s="6" t="s">
        <v>554</v>
      </c>
      <c r="E62" s="6" t="s">
        <v>27</v>
      </c>
      <c r="F62" s="10">
        <v>2751</v>
      </c>
      <c r="G62" s="6" t="s">
        <v>560</v>
      </c>
    </row>
    <row r="63" spans="1:7" ht="23" customHeight="1">
      <c r="A63" s="6" t="s">
        <v>25</v>
      </c>
      <c r="B63" s="6">
        <v>191</v>
      </c>
      <c r="C63" s="6">
        <v>7</v>
      </c>
      <c r="D63" s="6" t="s">
        <v>552</v>
      </c>
      <c r="E63" s="6" t="s">
        <v>27</v>
      </c>
      <c r="F63" s="10">
        <v>6809.4</v>
      </c>
      <c r="G63" s="6" t="s">
        <v>561</v>
      </c>
    </row>
    <row r="64" spans="1:7" ht="23" customHeight="1">
      <c r="A64" s="6" t="s">
        <v>25</v>
      </c>
      <c r="B64" s="6">
        <v>191</v>
      </c>
      <c r="C64" s="6">
        <v>8</v>
      </c>
      <c r="D64" s="6" t="s">
        <v>554</v>
      </c>
      <c r="E64" s="6" t="s">
        <v>27</v>
      </c>
      <c r="F64" s="10">
        <v>6809.4</v>
      </c>
      <c r="G64" s="6" t="s">
        <v>561</v>
      </c>
    </row>
    <row r="65" spans="1:7" ht="23" customHeight="1">
      <c r="A65" s="6" t="s">
        <v>25</v>
      </c>
      <c r="B65" s="6">
        <v>192</v>
      </c>
      <c r="C65" s="6">
        <v>7</v>
      </c>
      <c r="D65" s="6" t="s">
        <v>552</v>
      </c>
      <c r="E65" s="6" t="s">
        <v>27</v>
      </c>
      <c r="F65" s="10">
        <v>2948.5</v>
      </c>
      <c r="G65" s="6" t="s">
        <v>562</v>
      </c>
    </row>
    <row r="66" spans="1:7" ht="23" customHeight="1">
      <c r="A66" s="6" t="s">
        <v>25</v>
      </c>
      <c r="B66" s="6">
        <v>192</v>
      </c>
      <c r="C66" s="6">
        <v>8</v>
      </c>
      <c r="D66" s="6" t="s">
        <v>554</v>
      </c>
      <c r="E66" s="6" t="s">
        <v>27</v>
      </c>
      <c r="F66" s="10">
        <v>4482.5</v>
      </c>
      <c r="G66" s="6" t="s">
        <v>563</v>
      </c>
    </row>
    <row r="67" spans="1:7" ht="23" customHeight="1">
      <c r="A67" s="6" t="s">
        <v>25</v>
      </c>
      <c r="B67" s="6">
        <v>193</v>
      </c>
      <c r="C67" s="6">
        <v>7</v>
      </c>
      <c r="D67" s="6" t="s">
        <v>552</v>
      </c>
      <c r="E67" s="6" t="s">
        <v>27</v>
      </c>
      <c r="F67" s="10">
        <v>3088.8</v>
      </c>
      <c r="G67" s="6" t="s">
        <v>564</v>
      </c>
    </row>
    <row r="68" spans="1:7" ht="23" customHeight="1">
      <c r="A68" s="6" t="s">
        <v>25</v>
      </c>
      <c r="B68" s="6">
        <v>193</v>
      </c>
      <c r="C68" s="6">
        <v>8</v>
      </c>
      <c r="D68" s="6" t="s">
        <v>554</v>
      </c>
      <c r="E68" s="6" t="s">
        <v>27</v>
      </c>
      <c r="F68" s="10">
        <v>3088.8</v>
      </c>
      <c r="G68" s="6" t="s">
        <v>564</v>
      </c>
    </row>
    <row r="69" spans="1:7" ht="23" customHeight="1">
      <c r="A69" s="6" t="s">
        <v>25</v>
      </c>
      <c r="B69" s="6">
        <v>187</v>
      </c>
      <c r="C69" s="6">
        <v>5</v>
      </c>
      <c r="D69" s="6" t="s">
        <v>565</v>
      </c>
      <c r="E69" s="6" t="s">
        <v>27</v>
      </c>
      <c r="F69" s="10">
        <v>1005.1</v>
      </c>
      <c r="G69" s="6" t="s">
        <v>566</v>
      </c>
    </row>
    <row r="70" spans="1:7" ht="23" customHeight="1">
      <c r="A70" s="6" t="s">
        <v>25</v>
      </c>
      <c r="B70" s="6">
        <v>187</v>
      </c>
      <c r="C70" s="6">
        <v>6</v>
      </c>
      <c r="D70" s="6" t="s">
        <v>567</v>
      </c>
      <c r="E70" s="6" t="s">
        <v>27</v>
      </c>
      <c r="F70" s="10">
        <v>1149.3</v>
      </c>
      <c r="G70" s="6" t="s">
        <v>568</v>
      </c>
    </row>
    <row r="71" spans="1:7" ht="23" customHeight="1">
      <c r="A71" s="6" t="s">
        <v>25</v>
      </c>
      <c r="B71" s="6">
        <v>188</v>
      </c>
      <c r="C71" s="6">
        <v>5</v>
      </c>
      <c r="D71" s="6" t="s">
        <v>565</v>
      </c>
      <c r="E71" s="6" t="s">
        <v>27</v>
      </c>
      <c r="F71" s="10">
        <v>1744.2</v>
      </c>
      <c r="G71" s="6" t="s">
        <v>569</v>
      </c>
    </row>
    <row r="72" spans="1:7" ht="23" customHeight="1">
      <c r="A72" s="6" t="s">
        <v>25</v>
      </c>
      <c r="B72" s="6">
        <v>188</v>
      </c>
      <c r="C72" s="6">
        <v>6</v>
      </c>
      <c r="D72" s="6" t="s">
        <v>567</v>
      </c>
      <c r="E72" s="6" t="s">
        <v>27</v>
      </c>
      <c r="F72" s="10">
        <v>1933.8</v>
      </c>
      <c r="G72" s="6" t="s">
        <v>570</v>
      </c>
    </row>
    <row r="73" spans="1:7" ht="23" customHeight="1">
      <c r="A73" s="6" t="s">
        <v>25</v>
      </c>
      <c r="B73" s="6">
        <v>189</v>
      </c>
      <c r="C73" s="6">
        <v>5</v>
      </c>
      <c r="D73" s="6" t="s">
        <v>565</v>
      </c>
      <c r="E73" s="6" t="s">
        <v>27</v>
      </c>
      <c r="F73" s="10">
        <v>1170</v>
      </c>
      <c r="G73" s="6" t="s">
        <v>571</v>
      </c>
    </row>
    <row r="74" spans="1:7" ht="23" customHeight="1">
      <c r="A74" s="6" t="s">
        <v>25</v>
      </c>
      <c r="B74" s="6">
        <v>189</v>
      </c>
      <c r="C74" s="6">
        <v>6</v>
      </c>
      <c r="D74" s="6" t="s">
        <v>567</v>
      </c>
      <c r="E74" s="6" t="s">
        <v>27</v>
      </c>
      <c r="F74" s="10">
        <v>1170</v>
      </c>
      <c r="G74" s="6" t="s">
        <v>571</v>
      </c>
    </row>
    <row r="75" spans="1:7" ht="23" customHeight="1">
      <c r="A75" s="6" t="s">
        <v>25</v>
      </c>
      <c r="B75" s="6">
        <v>190</v>
      </c>
      <c r="C75" s="6">
        <v>5</v>
      </c>
      <c r="D75" s="6" t="s">
        <v>565</v>
      </c>
      <c r="E75" s="6" t="s">
        <v>27</v>
      </c>
      <c r="F75" s="10">
        <v>2030.3</v>
      </c>
      <c r="G75" s="6" t="s">
        <v>572</v>
      </c>
    </row>
    <row r="76" spans="1:7" ht="23" customHeight="1">
      <c r="A76" s="6" t="s">
        <v>25</v>
      </c>
      <c r="B76" s="6">
        <v>190</v>
      </c>
      <c r="C76" s="6">
        <v>6</v>
      </c>
      <c r="D76" s="6" t="s">
        <v>567</v>
      </c>
      <c r="E76" s="6" t="s">
        <v>27</v>
      </c>
      <c r="F76" s="10">
        <v>2377.7</v>
      </c>
      <c r="G76" s="6" t="s">
        <v>573</v>
      </c>
    </row>
    <row r="77" spans="1:7" ht="23" customHeight="1">
      <c r="A77" s="6" t="s">
        <v>25</v>
      </c>
      <c r="B77" s="6">
        <v>191</v>
      </c>
      <c r="C77" s="6">
        <v>5</v>
      </c>
      <c r="D77" s="6" t="s">
        <v>565</v>
      </c>
      <c r="E77" s="6" t="s">
        <v>27</v>
      </c>
      <c r="F77" s="10">
        <v>4539.6</v>
      </c>
      <c r="G77" s="6" t="s">
        <v>574</v>
      </c>
    </row>
    <row r="78" spans="1:7" ht="23" customHeight="1">
      <c r="A78" s="6" t="s">
        <v>25</v>
      </c>
      <c r="B78" s="6">
        <v>191</v>
      </c>
      <c r="C78" s="6">
        <v>6</v>
      </c>
      <c r="D78" s="6" t="s">
        <v>567</v>
      </c>
      <c r="E78" s="6" t="s">
        <v>27</v>
      </c>
      <c r="F78" s="10">
        <v>4539.6</v>
      </c>
      <c r="G78" s="6" t="s">
        <v>574</v>
      </c>
    </row>
    <row r="79" spans="1:7" ht="23" customHeight="1">
      <c r="A79" s="6" t="s">
        <v>25</v>
      </c>
      <c r="B79" s="6">
        <v>192</v>
      </c>
      <c r="C79" s="6">
        <v>5</v>
      </c>
      <c r="D79" s="6" t="s">
        <v>565</v>
      </c>
      <c r="E79" s="6" t="s">
        <v>27</v>
      </c>
      <c r="F79" s="10">
        <v>2548.4</v>
      </c>
      <c r="G79" s="6" t="s">
        <v>575</v>
      </c>
    </row>
    <row r="80" spans="1:7" ht="23" customHeight="1">
      <c r="A80" s="6" t="s">
        <v>25</v>
      </c>
      <c r="B80" s="6">
        <v>192</v>
      </c>
      <c r="C80" s="6">
        <v>6</v>
      </c>
      <c r="D80" s="6" t="s">
        <v>567</v>
      </c>
      <c r="E80" s="6" t="s">
        <v>27</v>
      </c>
      <c r="F80" s="10">
        <v>3874.2</v>
      </c>
      <c r="G80" s="6" t="s">
        <v>576</v>
      </c>
    </row>
    <row r="81" spans="1:7" ht="23" customHeight="1">
      <c r="A81" s="6" t="s">
        <v>25</v>
      </c>
      <c r="B81" s="6">
        <v>193</v>
      </c>
      <c r="C81" s="6">
        <v>5</v>
      </c>
      <c r="D81" s="6" t="s">
        <v>565</v>
      </c>
      <c r="E81" s="6" t="s">
        <v>27</v>
      </c>
      <c r="F81" s="10">
        <v>2059.2</v>
      </c>
      <c r="G81" s="6" t="s">
        <v>577</v>
      </c>
    </row>
    <row r="82" spans="1:7" ht="23" customHeight="1">
      <c r="A82" s="6" t="s">
        <v>25</v>
      </c>
      <c r="B82" s="6">
        <v>193</v>
      </c>
      <c r="C82" s="6">
        <v>6</v>
      </c>
      <c r="D82" s="6" t="s">
        <v>567</v>
      </c>
      <c r="E82" s="6" t="s">
        <v>27</v>
      </c>
      <c r="F82" s="10">
        <v>2059.2</v>
      </c>
      <c r="G82" s="6" t="s">
        <v>577</v>
      </c>
    </row>
    <row r="83" spans="1:7" ht="23" customHeight="1">
      <c r="A83" s="6" t="s">
        <v>25</v>
      </c>
      <c r="B83" s="6">
        <v>187</v>
      </c>
      <c r="C83" s="6">
        <v>3</v>
      </c>
      <c r="D83" s="6" t="s">
        <v>578</v>
      </c>
      <c r="E83" s="6" t="s">
        <v>27</v>
      </c>
      <c r="F83" s="10">
        <v>2907.3</v>
      </c>
      <c r="G83" s="6" t="s">
        <v>579</v>
      </c>
    </row>
    <row r="84" spans="1:7" ht="23" customHeight="1">
      <c r="A84" s="6" t="s">
        <v>25</v>
      </c>
      <c r="B84" s="6">
        <v>187</v>
      </c>
      <c r="C84" s="6">
        <v>4</v>
      </c>
      <c r="D84" s="6" t="s">
        <v>580</v>
      </c>
      <c r="E84" s="6" t="s">
        <v>27</v>
      </c>
      <c r="F84" s="10">
        <v>3324.3</v>
      </c>
      <c r="G84" s="6" t="s">
        <v>581</v>
      </c>
    </row>
    <row r="85" spans="1:7" ht="23" customHeight="1">
      <c r="A85" s="6" t="s">
        <v>25</v>
      </c>
      <c r="B85" s="6">
        <v>188</v>
      </c>
      <c r="C85" s="6">
        <v>3</v>
      </c>
      <c r="D85" s="6" t="s">
        <v>578</v>
      </c>
      <c r="E85" s="6" t="s">
        <v>27</v>
      </c>
      <c r="F85" s="10">
        <v>5045.2</v>
      </c>
      <c r="G85" s="6" t="s">
        <v>582</v>
      </c>
    </row>
    <row r="86" spans="1:7" ht="23" customHeight="1">
      <c r="A86" s="6" t="s">
        <v>25</v>
      </c>
      <c r="B86" s="6">
        <v>188</v>
      </c>
      <c r="C86" s="6">
        <v>4</v>
      </c>
      <c r="D86" s="6" t="s">
        <v>580</v>
      </c>
      <c r="E86" s="6" t="s">
        <v>27</v>
      </c>
      <c r="F86" s="10">
        <v>5593.6</v>
      </c>
      <c r="G86" s="6" t="s">
        <v>583</v>
      </c>
    </row>
    <row r="87" spans="1:7" ht="23" customHeight="1">
      <c r="A87" s="6" t="s">
        <v>25</v>
      </c>
      <c r="B87" s="6">
        <v>189</v>
      </c>
      <c r="C87" s="6">
        <v>3</v>
      </c>
      <c r="D87" s="6" t="s">
        <v>578</v>
      </c>
      <c r="E87" s="6" t="s">
        <v>27</v>
      </c>
      <c r="F87" s="10">
        <v>1755</v>
      </c>
      <c r="G87" s="6" t="s">
        <v>558</v>
      </c>
    </row>
    <row r="88" spans="1:7" ht="23" customHeight="1">
      <c r="A88" s="6" t="s">
        <v>25</v>
      </c>
      <c r="B88" s="6">
        <v>189</v>
      </c>
      <c r="C88" s="6">
        <v>4</v>
      </c>
      <c r="D88" s="6" t="s">
        <v>580</v>
      </c>
      <c r="E88" s="6" t="s">
        <v>27</v>
      </c>
      <c r="F88" s="10">
        <v>1755</v>
      </c>
      <c r="G88" s="6" t="s">
        <v>558</v>
      </c>
    </row>
    <row r="89" spans="1:7" ht="23" customHeight="1">
      <c r="A89" s="6" t="s">
        <v>25</v>
      </c>
      <c r="B89" s="6">
        <v>190</v>
      </c>
      <c r="C89" s="6">
        <v>3</v>
      </c>
      <c r="D89" s="6" t="s">
        <v>578</v>
      </c>
      <c r="E89" s="6" t="s">
        <v>27</v>
      </c>
      <c r="F89" s="10">
        <v>5872.6</v>
      </c>
      <c r="G89" s="6" t="s">
        <v>584</v>
      </c>
    </row>
    <row r="90" spans="1:7" ht="23" customHeight="1">
      <c r="A90" s="6" t="s">
        <v>25</v>
      </c>
      <c r="B90" s="6">
        <v>190</v>
      </c>
      <c r="C90" s="6">
        <v>4</v>
      </c>
      <c r="D90" s="6" t="s">
        <v>580</v>
      </c>
      <c r="E90" s="6" t="s">
        <v>27</v>
      </c>
      <c r="F90" s="10">
        <v>6877.6</v>
      </c>
      <c r="G90" s="6" t="s">
        <v>585</v>
      </c>
    </row>
    <row r="91" spans="1:7" ht="23" customHeight="1">
      <c r="A91" s="6" t="s">
        <v>25</v>
      </c>
      <c r="B91" s="6">
        <v>191</v>
      </c>
      <c r="C91" s="6">
        <v>3</v>
      </c>
      <c r="D91" s="6" t="s">
        <v>578</v>
      </c>
      <c r="E91" s="6" t="s">
        <v>27</v>
      </c>
      <c r="F91" s="10">
        <v>6809.4</v>
      </c>
      <c r="G91" s="6" t="s">
        <v>561</v>
      </c>
    </row>
    <row r="92" spans="1:7" ht="23" customHeight="1">
      <c r="A92" s="6" t="s">
        <v>25</v>
      </c>
      <c r="B92" s="6">
        <v>191</v>
      </c>
      <c r="C92" s="6">
        <v>4</v>
      </c>
      <c r="D92" s="6" t="s">
        <v>580</v>
      </c>
      <c r="E92" s="6" t="s">
        <v>27</v>
      </c>
      <c r="F92" s="10">
        <v>6809.4</v>
      </c>
      <c r="G92" s="6" t="s">
        <v>561</v>
      </c>
    </row>
    <row r="93" spans="1:7" ht="23" customHeight="1">
      <c r="A93" s="6" t="s">
        <v>25</v>
      </c>
      <c r="B93" s="6">
        <v>192</v>
      </c>
      <c r="C93" s="6">
        <v>3</v>
      </c>
      <c r="D93" s="6" t="s">
        <v>578</v>
      </c>
      <c r="E93" s="6" t="s">
        <v>27</v>
      </c>
      <c r="F93" s="10">
        <v>7371.2</v>
      </c>
      <c r="G93" s="6" t="s">
        <v>586</v>
      </c>
    </row>
    <row r="94" spans="1:7" ht="23" customHeight="1">
      <c r="A94" s="6" t="s">
        <v>25</v>
      </c>
      <c r="B94" s="6">
        <v>192</v>
      </c>
      <c r="C94" s="6">
        <v>4</v>
      </c>
      <c r="D94" s="6" t="s">
        <v>580</v>
      </c>
      <c r="E94" s="6" t="s">
        <v>27</v>
      </c>
      <c r="F94" s="10">
        <v>11206.2</v>
      </c>
      <c r="G94" s="6" t="s">
        <v>587</v>
      </c>
    </row>
    <row r="95" spans="1:7" ht="23" customHeight="1">
      <c r="A95" s="6" t="s">
        <v>25</v>
      </c>
      <c r="B95" s="6">
        <v>193</v>
      </c>
      <c r="C95" s="6">
        <v>3</v>
      </c>
      <c r="D95" s="6" t="s">
        <v>578</v>
      </c>
      <c r="E95" s="6" t="s">
        <v>27</v>
      </c>
      <c r="F95" s="10">
        <v>3088.8</v>
      </c>
      <c r="G95" s="6" t="s">
        <v>564</v>
      </c>
    </row>
    <row r="96" spans="1:7" ht="23" customHeight="1">
      <c r="A96" s="6" t="s">
        <v>25</v>
      </c>
      <c r="B96" s="6">
        <v>193</v>
      </c>
      <c r="C96" s="6">
        <v>4</v>
      </c>
      <c r="D96" s="6" t="s">
        <v>580</v>
      </c>
      <c r="E96" s="6" t="s">
        <v>27</v>
      </c>
      <c r="F96" s="10">
        <v>3088.8</v>
      </c>
      <c r="G96" s="6" t="s">
        <v>564</v>
      </c>
    </row>
    <row r="97" spans="1:7" ht="23" customHeight="1">
      <c r="A97" s="6" t="s">
        <v>29</v>
      </c>
      <c r="B97" s="6">
        <v>214</v>
      </c>
      <c r="C97" s="6">
        <v>10</v>
      </c>
      <c r="D97" s="6" t="s">
        <v>588</v>
      </c>
      <c r="E97" s="6" t="s">
        <v>22</v>
      </c>
      <c r="F97" s="10">
        <v>46127</v>
      </c>
      <c r="G97" s="6" t="s">
        <v>589</v>
      </c>
    </row>
    <row r="98" spans="1:7" ht="23" customHeight="1">
      <c r="A98" s="6" t="s">
        <v>29</v>
      </c>
      <c r="B98" s="6">
        <v>246</v>
      </c>
      <c r="C98" s="6">
        <v>4</v>
      </c>
      <c r="D98" s="6" t="s">
        <v>590</v>
      </c>
      <c r="E98" s="6" t="s">
        <v>27</v>
      </c>
      <c r="F98" s="10">
        <v>294.1</v>
      </c>
      <c r="G98" s="6" t="s">
        <v>591</v>
      </c>
    </row>
    <row r="99" spans="1:7" ht="23" customHeight="1">
      <c r="A99" s="6" t="s">
        <v>29</v>
      </c>
      <c r="B99" s="6">
        <v>215</v>
      </c>
      <c r="C99" s="6">
        <v>10</v>
      </c>
      <c r="D99" s="6" t="s">
        <v>588</v>
      </c>
      <c r="E99" s="6" t="s">
        <v>22</v>
      </c>
      <c r="F99" s="10">
        <v>112020</v>
      </c>
      <c r="G99" s="6" t="s">
        <v>592</v>
      </c>
    </row>
    <row r="100" spans="1:7" ht="23" customHeight="1">
      <c r="A100" s="6" t="s">
        <v>29</v>
      </c>
      <c r="B100" s="6">
        <v>247</v>
      </c>
      <c r="C100" s="6">
        <v>4</v>
      </c>
      <c r="D100" s="6" t="s">
        <v>590</v>
      </c>
      <c r="E100" s="6" t="s">
        <v>27</v>
      </c>
      <c r="F100" s="10">
        <v>1411.5</v>
      </c>
      <c r="G100" s="6" t="s">
        <v>593</v>
      </c>
    </row>
    <row r="101" spans="1:7" ht="23" customHeight="1">
      <c r="A101" s="6" t="s">
        <v>29</v>
      </c>
      <c r="B101" s="6">
        <v>216</v>
      </c>
      <c r="C101" s="6">
        <v>10</v>
      </c>
      <c r="D101" s="6" t="s">
        <v>588</v>
      </c>
      <c r="E101" s="6" t="s">
        <v>22</v>
      </c>
      <c r="F101" s="10">
        <v>178738</v>
      </c>
      <c r="G101" s="6" t="s">
        <v>594</v>
      </c>
    </row>
    <row r="102" spans="1:7" ht="23" customHeight="1">
      <c r="A102" s="6" t="s">
        <v>29</v>
      </c>
      <c r="B102" s="6">
        <v>248</v>
      </c>
      <c r="C102" s="6">
        <v>4</v>
      </c>
      <c r="D102" s="6" t="s">
        <v>590</v>
      </c>
      <c r="E102" s="6" t="s">
        <v>27</v>
      </c>
      <c r="F102" s="10">
        <v>1140.9</v>
      </c>
      <c r="G102" s="6" t="s">
        <v>595</v>
      </c>
    </row>
    <row r="103" spans="1:7" ht="23" customHeight="1">
      <c r="A103" s="6" t="s">
        <v>29</v>
      </c>
      <c r="B103" s="6">
        <v>217</v>
      </c>
      <c r="C103" s="6">
        <v>10</v>
      </c>
      <c r="D103" s="6" t="s">
        <v>588</v>
      </c>
      <c r="E103" s="6" t="s">
        <v>22</v>
      </c>
      <c r="F103" s="10">
        <v>168029</v>
      </c>
      <c r="G103" s="6" t="s">
        <v>596</v>
      </c>
    </row>
    <row r="104" spans="1:7" ht="23" customHeight="1">
      <c r="A104" s="6" t="s">
        <v>29</v>
      </c>
      <c r="B104" s="6">
        <v>249</v>
      </c>
      <c r="C104" s="6">
        <v>4</v>
      </c>
      <c r="D104" s="6" t="s">
        <v>590</v>
      </c>
      <c r="E104" s="6" t="s">
        <v>27</v>
      </c>
      <c r="F104" s="10">
        <v>2117.2</v>
      </c>
      <c r="G104" s="6" t="s">
        <v>597</v>
      </c>
    </row>
    <row r="105" spans="1:7" ht="23" customHeight="1">
      <c r="A105" s="6" t="s">
        <v>29</v>
      </c>
      <c r="B105" s="6">
        <v>218</v>
      </c>
      <c r="C105" s="6">
        <v>10</v>
      </c>
      <c r="D105" s="6" t="s">
        <v>588</v>
      </c>
      <c r="E105" s="6" t="s">
        <v>22</v>
      </c>
      <c r="F105" s="10">
        <v>80720</v>
      </c>
      <c r="G105" s="6" t="s">
        <v>598</v>
      </c>
    </row>
    <row r="106" spans="1:7" ht="23" customHeight="1">
      <c r="A106" s="6" t="s">
        <v>29</v>
      </c>
      <c r="B106" s="6">
        <v>250</v>
      </c>
      <c r="C106" s="6">
        <v>4</v>
      </c>
      <c r="D106" s="6" t="s">
        <v>590</v>
      </c>
      <c r="E106" s="6" t="s">
        <v>27</v>
      </c>
      <c r="F106" s="10">
        <v>517.5</v>
      </c>
      <c r="G106" s="6" t="s">
        <v>599</v>
      </c>
    </row>
    <row r="107" spans="1:7" ht="23" customHeight="1">
      <c r="A107" s="6" t="s">
        <v>29</v>
      </c>
      <c r="B107" s="6">
        <v>214</v>
      </c>
      <c r="C107" s="6">
        <v>11</v>
      </c>
      <c r="D107" s="6" t="s">
        <v>588</v>
      </c>
      <c r="E107" s="6" t="s">
        <v>22</v>
      </c>
      <c r="F107" s="10">
        <v>30751</v>
      </c>
      <c r="G107" s="6" t="s">
        <v>600</v>
      </c>
    </row>
    <row r="108" spans="1:7" ht="23" customHeight="1">
      <c r="A108" s="6" t="s">
        <v>29</v>
      </c>
      <c r="B108" s="6">
        <v>246</v>
      </c>
      <c r="C108" s="6">
        <v>5</v>
      </c>
      <c r="D108" s="6" t="s">
        <v>590</v>
      </c>
      <c r="E108" s="6" t="s">
        <v>27</v>
      </c>
      <c r="F108" s="10">
        <v>196</v>
      </c>
      <c r="G108" s="6" t="s">
        <v>601</v>
      </c>
    </row>
    <row r="109" spans="1:7" ht="23" customHeight="1">
      <c r="A109" s="6" t="s">
        <v>29</v>
      </c>
      <c r="B109" s="6">
        <v>215</v>
      </c>
      <c r="C109" s="6">
        <v>11</v>
      </c>
      <c r="D109" s="6" t="s">
        <v>588</v>
      </c>
      <c r="E109" s="6" t="s">
        <v>22</v>
      </c>
      <c r="F109" s="10">
        <v>74680</v>
      </c>
      <c r="G109" s="6" t="s">
        <v>602</v>
      </c>
    </row>
    <row r="110" spans="1:7" ht="23" customHeight="1">
      <c r="A110" s="6" t="s">
        <v>29</v>
      </c>
      <c r="B110" s="6">
        <v>247</v>
      </c>
      <c r="C110" s="6">
        <v>5</v>
      </c>
      <c r="D110" s="6" t="s">
        <v>590</v>
      </c>
      <c r="E110" s="6" t="s">
        <v>27</v>
      </c>
      <c r="F110" s="10">
        <v>941</v>
      </c>
      <c r="G110" s="6" t="s">
        <v>603</v>
      </c>
    </row>
    <row r="111" spans="1:7" ht="23" customHeight="1">
      <c r="A111" s="6" t="s">
        <v>29</v>
      </c>
      <c r="B111" s="6">
        <v>216</v>
      </c>
      <c r="C111" s="6">
        <v>11</v>
      </c>
      <c r="D111" s="6" t="s">
        <v>588</v>
      </c>
      <c r="E111" s="6" t="s">
        <v>22</v>
      </c>
      <c r="F111" s="10">
        <v>119158</v>
      </c>
      <c r="G111" s="6" t="s">
        <v>604</v>
      </c>
    </row>
    <row r="112" spans="1:7" ht="23" customHeight="1">
      <c r="A112" s="6" t="s">
        <v>29</v>
      </c>
      <c r="B112" s="6">
        <v>248</v>
      </c>
      <c r="C112" s="6">
        <v>5</v>
      </c>
      <c r="D112" s="6" t="s">
        <v>590</v>
      </c>
      <c r="E112" s="6" t="s">
        <v>27</v>
      </c>
      <c r="F112" s="10">
        <v>760.6</v>
      </c>
      <c r="G112" s="6" t="s">
        <v>605</v>
      </c>
    </row>
    <row r="113" spans="1:7" ht="23" customHeight="1">
      <c r="A113" s="6" t="s">
        <v>29</v>
      </c>
      <c r="B113" s="6">
        <v>217</v>
      </c>
      <c r="C113" s="6">
        <v>11</v>
      </c>
      <c r="D113" s="6" t="s">
        <v>588</v>
      </c>
      <c r="E113" s="6" t="s">
        <v>22</v>
      </c>
      <c r="F113" s="10">
        <v>112020</v>
      </c>
      <c r="G113" s="6" t="s">
        <v>592</v>
      </c>
    </row>
    <row r="114" spans="1:7" ht="23" customHeight="1">
      <c r="A114" s="6" t="s">
        <v>29</v>
      </c>
      <c r="B114" s="6">
        <v>249</v>
      </c>
      <c r="C114" s="6">
        <v>5</v>
      </c>
      <c r="D114" s="6" t="s">
        <v>590</v>
      </c>
      <c r="E114" s="6" t="s">
        <v>27</v>
      </c>
      <c r="F114" s="10">
        <v>1411.5</v>
      </c>
      <c r="G114" s="6" t="s">
        <v>593</v>
      </c>
    </row>
    <row r="115" spans="1:7" ht="23" customHeight="1">
      <c r="A115" s="6" t="s">
        <v>29</v>
      </c>
      <c r="B115" s="6">
        <v>218</v>
      </c>
      <c r="C115" s="6">
        <v>11</v>
      </c>
      <c r="D115" s="6" t="s">
        <v>588</v>
      </c>
      <c r="E115" s="6" t="s">
        <v>22</v>
      </c>
      <c r="F115" s="10">
        <v>53813</v>
      </c>
      <c r="G115" s="6" t="s">
        <v>606</v>
      </c>
    </row>
    <row r="116" spans="1:7" ht="23" customHeight="1">
      <c r="A116" s="6" t="s">
        <v>29</v>
      </c>
      <c r="B116" s="6">
        <v>250</v>
      </c>
      <c r="C116" s="6">
        <v>5</v>
      </c>
      <c r="D116" s="6" t="s">
        <v>590</v>
      </c>
      <c r="E116" s="6" t="s">
        <v>27</v>
      </c>
      <c r="F116" s="10">
        <v>345</v>
      </c>
      <c r="G116" s="6" t="s">
        <v>607</v>
      </c>
    </row>
    <row r="117" spans="1:7" ht="23" customHeight="1">
      <c r="A117" s="6" t="s">
        <v>29</v>
      </c>
      <c r="B117" s="6">
        <v>214</v>
      </c>
      <c r="C117" s="6">
        <v>12</v>
      </c>
      <c r="D117" s="6" t="s">
        <v>588</v>
      </c>
      <c r="E117" s="6" t="s">
        <v>22</v>
      </c>
      <c r="F117" s="10">
        <v>46127</v>
      </c>
      <c r="G117" s="6" t="s">
        <v>589</v>
      </c>
    </row>
    <row r="118" spans="1:7" ht="23" customHeight="1">
      <c r="A118" s="6" t="s">
        <v>29</v>
      </c>
      <c r="B118" s="6">
        <v>246</v>
      </c>
      <c r="C118" s="6">
        <v>6</v>
      </c>
      <c r="D118" s="6" t="s">
        <v>590</v>
      </c>
      <c r="E118" s="6" t="s">
        <v>27</v>
      </c>
      <c r="F118" s="10">
        <v>294.1</v>
      </c>
      <c r="G118" s="6" t="s">
        <v>591</v>
      </c>
    </row>
    <row r="119" spans="1:7" ht="23" customHeight="1">
      <c r="A119" s="6" t="s">
        <v>29</v>
      </c>
      <c r="B119" s="6">
        <v>215</v>
      </c>
      <c r="C119" s="6">
        <v>12</v>
      </c>
      <c r="D119" s="6" t="s">
        <v>588</v>
      </c>
      <c r="E119" s="6" t="s">
        <v>22</v>
      </c>
      <c r="F119" s="10">
        <v>112020</v>
      </c>
      <c r="G119" s="6" t="s">
        <v>592</v>
      </c>
    </row>
    <row r="120" spans="1:7" ht="23" customHeight="1">
      <c r="A120" s="6" t="s">
        <v>29</v>
      </c>
      <c r="B120" s="6">
        <v>247</v>
      </c>
      <c r="C120" s="6">
        <v>6</v>
      </c>
      <c r="D120" s="6" t="s">
        <v>590</v>
      </c>
      <c r="E120" s="6" t="s">
        <v>27</v>
      </c>
      <c r="F120" s="10">
        <v>1411.5</v>
      </c>
      <c r="G120" s="6" t="s">
        <v>593</v>
      </c>
    </row>
    <row r="121" spans="1:7" ht="23" customHeight="1">
      <c r="A121" s="6" t="s">
        <v>29</v>
      </c>
      <c r="B121" s="6">
        <v>216</v>
      </c>
      <c r="C121" s="6">
        <v>12</v>
      </c>
      <c r="D121" s="6" t="s">
        <v>588</v>
      </c>
      <c r="E121" s="6" t="s">
        <v>22</v>
      </c>
      <c r="F121" s="10">
        <v>178738</v>
      </c>
      <c r="G121" s="6" t="s">
        <v>594</v>
      </c>
    </row>
    <row r="122" spans="1:7" ht="23" customHeight="1">
      <c r="A122" s="6" t="s">
        <v>29</v>
      </c>
      <c r="B122" s="6">
        <v>248</v>
      </c>
      <c r="C122" s="6">
        <v>6</v>
      </c>
      <c r="D122" s="6" t="s">
        <v>590</v>
      </c>
      <c r="E122" s="6" t="s">
        <v>27</v>
      </c>
      <c r="F122" s="10">
        <v>1140.9</v>
      </c>
      <c r="G122" s="6" t="s">
        <v>595</v>
      </c>
    </row>
    <row r="123" spans="1:7" ht="23" customHeight="1">
      <c r="A123" s="6" t="s">
        <v>29</v>
      </c>
      <c r="B123" s="6">
        <v>217</v>
      </c>
      <c r="C123" s="6">
        <v>12</v>
      </c>
      <c r="D123" s="6" t="s">
        <v>588</v>
      </c>
      <c r="E123" s="6" t="s">
        <v>22</v>
      </c>
      <c r="F123" s="10">
        <v>168029</v>
      </c>
      <c r="G123" s="6" t="s">
        <v>596</v>
      </c>
    </row>
    <row r="124" spans="1:7" ht="23" customHeight="1">
      <c r="A124" s="6" t="s">
        <v>29</v>
      </c>
      <c r="B124" s="6">
        <v>249</v>
      </c>
      <c r="C124" s="6">
        <v>6</v>
      </c>
      <c r="D124" s="6" t="s">
        <v>590</v>
      </c>
      <c r="E124" s="6" t="s">
        <v>27</v>
      </c>
      <c r="F124" s="10">
        <v>2117.2</v>
      </c>
      <c r="G124" s="6" t="s">
        <v>597</v>
      </c>
    </row>
    <row r="125" spans="1:7" ht="23" customHeight="1">
      <c r="A125" s="6" t="s">
        <v>29</v>
      </c>
      <c r="B125" s="6">
        <v>218</v>
      </c>
      <c r="C125" s="6">
        <v>12</v>
      </c>
      <c r="D125" s="6" t="s">
        <v>588</v>
      </c>
      <c r="E125" s="6" t="s">
        <v>22</v>
      </c>
      <c r="F125" s="10">
        <v>80720</v>
      </c>
      <c r="G125" s="6" t="s">
        <v>598</v>
      </c>
    </row>
    <row r="126" spans="1:7" ht="23" customHeight="1">
      <c r="A126" s="6" t="s">
        <v>29</v>
      </c>
      <c r="B126" s="6">
        <v>250</v>
      </c>
      <c r="C126" s="6">
        <v>6</v>
      </c>
      <c r="D126" s="6" t="s">
        <v>590</v>
      </c>
      <c r="E126" s="6" t="s">
        <v>27</v>
      </c>
      <c r="F126" s="10">
        <v>517.5</v>
      </c>
      <c r="G126" s="6" t="s">
        <v>599</v>
      </c>
    </row>
    <row r="127" spans="1:7" ht="23" customHeight="1">
      <c r="A127" s="6" t="s">
        <v>42</v>
      </c>
      <c r="B127" s="6">
        <v>275</v>
      </c>
      <c r="C127" s="6">
        <v>4</v>
      </c>
      <c r="D127" s="6" t="s">
        <v>608</v>
      </c>
      <c r="E127" s="6" t="s">
        <v>27</v>
      </c>
      <c r="F127" s="10">
        <v>327072</v>
      </c>
      <c r="G127" s="6" t="s">
        <v>609</v>
      </c>
    </row>
    <row r="128" spans="1:7" ht="23" customHeight="1">
      <c r="A128" s="6" t="s">
        <v>42</v>
      </c>
      <c r="B128" s="6">
        <v>275</v>
      </c>
      <c r="C128" s="6">
        <v>7</v>
      </c>
      <c r="D128" s="6" t="s">
        <v>610</v>
      </c>
      <c r="E128" s="6" t="s">
        <v>27</v>
      </c>
      <c r="F128" s="10">
        <v>88418</v>
      </c>
      <c r="G128" s="6" t="s">
        <v>611</v>
      </c>
    </row>
    <row r="129" spans="1:12" ht="23" customHeight="1">
      <c r="A129" s="6" t="s">
        <v>42</v>
      </c>
      <c r="B129" s="6">
        <v>293</v>
      </c>
      <c r="C129" s="6">
        <v>1</v>
      </c>
      <c r="D129" s="6" t="s">
        <v>612</v>
      </c>
      <c r="E129" s="6" t="s">
        <v>33</v>
      </c>
      <c r="F129" s="10">
        <v>7167.5</v>
      </c>
      <c r="G129" s="6" t="s">
        <v>613</v>
      </c>
    </row>
    <row r="130" spans="1:12" ht="23" customHeight="1">
      <c r="A130" s="6" t="s">
        <v>42</v>
      </c>
      <c r="B130" s="6">
        <v>293</v>
      </c>
      <c r="C130" s="6">
        <v>4</v>
      </c>
      <c r="D130" s="6" t="s">
        <v>614</v>
      </c>
      <c r="E130" s="6" t="s">
        <v>33</v>
      </c>
      <c r="F130" s="10">
        <v>16724.3</v>
      </c>
      <c r="G130" s="6" t="s">
        <v>615</v>
      </c>
    </row>
    <row r="131" spans="1:12" ht="23" customHeight="1">
      <c r="A131" s="6" t="s">
        <v>42</v>
      </c>
      <c r="B131" s="6">
        <v>275</v>
      </c>
      <c r="C131" s="6">
        <v>5</v>
      </c>
      <c r="D131" s="6" t="s">
        <v>608</v>
      </c>
      <c r="E131" s="6" t="s">
        <v>27</v>
      </c>
      <c r="F131" s="10">
        <v>218048</v>
      </c>
      <c r="G131" s="6" t="s">
        <v>616</v>
      </c>
    </row>
    <row r="132" spans="1:12" ht="23" customHeight="1">
      <c r="A132" s="6" t="s">
        <v>42</v>
      </c>
      <c r="B132" s="6">
        <v>275</v>
      </c>
      <c r="C132" s="6">
        <v>8</v>
      </c>
      <c r="D132" s="6" t="s">
        <v>610</v>
      </c>
      <c r="E132" s="6" t="s">
        <v>27</v>
      </c>
      <c r="F132" s="10">
        <v>58945</v>
      </c>
      <c r="G132" s="6" t="s">
        <v>617</v>
      </c>
    </row>
    <row r="133" spans="1:12" ht="23" customHeight="1">
      <c r="A133" s="6" t="s">
        <v>42</v>
      </c>
      <c r="B133" s="6">
        <v>293</v>
      </c>
      <c r="C133" s="6">
        <v>2</v>
      </c>
      <c r="D133" s="6" t="s">
        <v>612</v>
      </c>
      <c r="E133" s="6" t="s">
        <v>33</v>
      </c>
      <c r="F133" s="10">
        <v>4778.4</v>
      </c>
      <c r="G133" s="6" t="s">
        <v>618</v>
      </c>
    </row>
    <row r="134" spans="1:12" ht="23" customHeight="1">
      <c r="A134" s="6" t="s">
        <v>42</v>
      </c>
      <c r="B134" s="6">
        <v>293</v>
      </c>
      <c r="C134" s="6">
        <v>5</v>
      </c>
      <c r="D134" s="6" t="s">
        <v>614</v>
      </c>
      <c r="E134" s="6" t="s">
        <v>33</v>
      </c>
      <c r="F134" s="10">
        <v>11149.5</v>
      </c>
      <c r="G134" s="6" t="s">
        <v>619</v>
      </c>
    </row>
    <row r="135" spans="1:12" ht="23" customHeight="1">
      <c r="A135" s="6" t="s">
        <v>42</v>
      </c>
      <c r="B135" s="6">
        <v>275</v>
      </c>
      <c r="C135" s="6">
        <v>6</v>
      </c>
      <c r="D135" s="6" t="s">
        <v>608</v>
      </c>
      <c r="E135" s="6" t="s">
        <v>27</v>
      </c>
      <c r="F135" s="10">
        <v>327072</v>
      </c>
      <c r="G135" s="6" t="s">
        <v>609</v>
      </c>
    </row>
    <row r="136" spans="1:12" ht="23" customHeight="1">
      <c r="A136" s="6" t="s">
        <v>42</v>
      </c>
      <c r="B136" s="6">
        <v>275</v>
      </c>
      <c r="C136" s="6">
        <v>9</v>
      </c>
      <c r="D136" s="6" t="s">
        <v>610</v>
      </c>
      <c r="E136" s="6" t="s">
        <v>27</v>
      </c>
      <c r="F136" s="10">
        <v>88418</v>
      </c>
      <c r="G136" s="6" t="s">
        <v>611</v>
      </c>
    </row>
    <row r="137" spans="1:12" ht="23" customHeight="1">
      <c r="A137" s="6" t="s">
        <v>42</v>
      </c>
      <c r="B137" s="6">
        <v>293</v>
      </c>
      <c r="C137" s="6">
        <v>3</v>
      </c>
      <c r="D137" s="6" t="s">
        <v>612</v>
      </c>
      <c r="E137" s="6" t="s">
        <v>33</v>
      </c>
      <c r="F137" s="10">
        <v>7167.5</v>
      </c>
      <c r="G137" s="6" t="s">
        <v>613</v>
      </c>
    </row>
    <row r="138" spans="1:12" ht="23" customHeight="1">
      <c r="A138" s="6" t="s">
        <v>42</v>
      </c>
      <c r="B138" s="6">
        <v>293</v>
      </c>
      <c r="C138" s="6">
        <v>6</v>
      </c>
      <c r="D138" s="6" t="s">
        <v>614</v>
      </c>
      <c r="E138" s="6" t="s">
        <v>33</v>
      </c>
      <c r="F138" s="10">
        <v>16724.3</v>
      </c>
      <c r="G138" s="6" t="s">
        <v>615</v>
      </c>
    </row>
    <row r="139" spans="1:12" ht="24" customHeight="1">
      <c r="A139" s="2" t="s">
        <v>620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3" customHeight="1"/>
    <row r="141" spans="1:12" ht="24" customHeight="1">
      <c r="A141" s="3" t="s">
        <v>621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36" customHeight="1">
      <c r="A142" s="4" t="s">
        <v>622</v>
      </c>
    </row>
    <row r="143" spans="1:12" ht="24" customHeight="1">
      <c r="A143" s="2" t="s">
        <v>623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4" customHeight="1">
      <c r="A144" s="2" t="s">
        <v>624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4" customHeight="1">
      <c r="A145" s="2" t="s">
        <v>625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4" customHeight="1">
      <c r="A146" s="2" t="s">
        <v>626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4" customHeight="1">
      <c r="A147" s="2" t="s">
        <v>627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4" customHeight="1">
      <c r="A148" s="2" t="s">
        <v>628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4" customHeight="1">
      <c r="A149" s="2" t="s">
        <v>629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32" customHeight="1">
      <c r="A150" s="2" t="s">
        <v>630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4" customHeight="1">
      <c r="A151" s="2" t="s">
        <v>631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32" customHeight="1">
      <c r="A152" s="2" t="s">
        <v>632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4" customHeight="1">
      <c r="A153" s="2" t="s">
        <v>633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32" customHeight="1">
      <c r="A154" s="2" t="s">
        <v>634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32" customHeight="1">
      <c r="A155" s="2" t="s">
        <v>635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32" customHeight="1">
      <c r="A156" s="2" t="s">
        <v>636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32" customHeight="1">
      <c r="A157" s="2" t="s">
        <v>637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4" customHeight="1">
      <c r="A158" s="2" t="s">
        <v>638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4" customHeight="1">
      <c r="A159" s="2" t="s">
        <v>639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4" customHeight="1">
      <c r="A160" s="2" t="s">
        <v>640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4" customHeight="1">
      <c r="A161" s="2" t="s">
        <v>641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4" customHeight="1">
      <c r="A162" s="2" t="s">
        <v>642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4" customHeight="1">
      <c r="A163" s="2" t="s">
        <v>643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4" customHeight="1">
      <c r="A164" s="2" t="s">
        <v>644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4" customHeight="1">
      <c r="A165" s="2" t="s">
        <v>645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4" customHeight="1">
      <c r="A166" s="2" t="s">
        <v>646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4" customHeight="1">
      <c r="A167" s="2" t="s">
        <v>647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4" customHeight="1">
      <c r="A168" s="2" t="s">
        <v>648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4" customHeight="1">
      <c r="A169" s="2" t="s">
        <v>649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4" customHeight="1">
      <c r="A170" s="2" t="s">
        <v>650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4" customHeight="1">
      <c r="A171" s="2" t="s">
        <v>651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4" customHeight="1">
      <c r="A172" s="2" t="s">
        <v>652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4" customHeight="1">
      <c r="A173" s="2" t="s">
        <v>653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4" customHeight="1">
      <c r="A174" s="2" t="s">
        <v>654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32" customHeight="1">
      <c r="A175" s="2" t="s">
        <v>655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32" customHeight="1">
      <c r="A176" s="2" t="s">
        <v>656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32" customHeight="1">
      <c r="A177" s="2" t="s">
        <v>657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32" customHeight="1">
      <c r="A178" s="2" t="s">
        <v>658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32" customHeight="1">
      <c r="A179" s="2" t="s">
        <v>659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4" customHeight="1">
      <c r="A180" s="2" t="s">
        <v>660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4" customHeight="1">
      <c r="A181" s="2" t="s">
        <v>661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24" customHeight="1">
      <c r="A182" s="2" t="s">
        <v>662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4" customHeight="1">
      <c r="A183" s="2" t="s">
        <v>663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24" customHeight="1">
      <c r="A184" s="2" t="s">
        <v>664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24" customHeight="1">
      <c r="A185" s="2" t="s">
        <v>665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4" customHeight="1">
      <c r="A186" s="2" t="s">
        <v>666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24" customHeight="1">
      <c r="A187" s="2" t="s">
        <v>667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24" customHeight="1">
      <c r="A188" s="2" t="s">
        <v>668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24" customHeight="1">
      <c r="A189" s="2" t="s">
        <v>669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4" customHeight="1">
      <c r="A190" s="2" t="s">
        <v>670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4" customHeight="1">
      <c r="A191" s="2" t="s">
        <v>671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4" customHeight="1">
      <c r="A192" s="2" t="s">
        <v>672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4" customHeight="1">
      <c r="A193" s="2" t="s">
        <v>673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4" customHeight="1">
      <c r="A194" s="2" t="s">
        <v>674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24" customHeight="1">
      <c r="A195" s="2" t="s">
        <v>675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24" customHeight="1">
      <c r="A196" s="2" t="s">
        <v>676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24" customHeight="1">
      <c r="A197" s="2" t="s">
        <v>677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24" customHeight="1">
      <c r="A198" s="2" t="s">
        <v>678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24" customHeight="1">
      <c r="A199" s="2" t="s">
        <v>679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3" customHeight="1"/>
    <row r="201" spans="1:12" ht="24" customHeight="1">
      <c r="A201" s="3" t="s">
        <v>680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36" customHeight="1">
      <c r="A202" s="4" t="s">
        <v>622</v>
      </c>
    </row>
    <row r="203" spans="1:12" ht="24" customHeight="1">
      <c r="A203" s="2" t="s">
        <v>681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4" customHeight="1">
      <c r="A204" s="2" t="s">
        <v>682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4" customHeight="1">
      <c r="A205" s="2" t="s">
        <v>683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4" customHeight="1">
      <c r="A206" s="2" t="s">
        <v>684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4" customHeight="1">
      <c r="A207" s="2" t="s">
        <v>685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4" customHeight="1">
      <c r="A208" s="2" t="s">
        <v>686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24" customHeight="1">
      <c r="A209" s="2" t="s">
        <v>687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24" customHeight="1">
      <c r="A210" s="2" t="s">
        <v>688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24" customHeight="1">
      <c r="A211" s="2" t="s">
        <v>689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24" customHeight="1">
      <c r="A212" s="2" t="s">
        <v>690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24" customHeight="1">
      <c r="A213" s="2" t="s">
        <v>691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24" customHeight="1">
      <c r="A214" s="2" t="s">
        <v>692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4" customHeight="1">
      <c r="A215" s="2" t="s">
        <v>693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24" customHeight="1">
      <c r="A216" s="2" t="s">
        <v>694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24" customHeight="1">
      <c r="A217" s="2" t="s">
        <v>695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24" customHeight="1">
      <c r="A218" s="2" t="s">
        <v>696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4" customHeight="1">
      <c r="A219" s="2" t="s">
        <v>697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4" customHeight="1">
      <c r="A220" s="2" t="s">
        <v>698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4" customHeight="1">
      <c r="A221" s="2" t="s">
        <v>699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4" customHeight="1">
      <c r="A222" s="2" t="s">
        <v>700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4" customHeight="1">
      <c r="A223" s="2" t="s">
        <v>701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4" customHeight="1">
      <c r="A224" s="2" t="s">
        <v>702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24" customHeight="1">
      <c r="A225" s="2" t="s">
        <v>703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24" customHeight="1">
      <c r="A226" s="2" t="s">
        <v>704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24" customHeight="1">
      <c r="A227" s="2" t="s">
        <v>705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4" customHeight="1">
      <c r="A228" s="2" t="s">
        <v>706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4" customHeight="1">
      <c r="A229" s="2" t="s">
        <v>707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4" customHeight="1">
      <c r="A230" s="2" t="s">
        <v>708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4" customHeight="1">
      <c r="A231" s="2" t="s">
        <v>709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24" customHeight="1">
      <c r="A232" s="2" t="s">
        <v>710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24" customHeight="1">
      <c r="A233" s="2" t="s">
        <v>711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24" customHeight="1">
      <c r="A234" s="2" t="s">
        <v>712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4" customHeight="1">
      <c r="A235" s="2" t="s">
        <v>713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4" customHeight="1">
      <c r="A236" s="2" t="s">
        <v>714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4" customHeight="1">
      <c r="A237" s="2" t="s">
        <v>715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4" customHeight="1">
      <c r="A238" s="2" t="s">
        <v>716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4" customHeight="1">
      <c r="A239" s="2" t="s">
        <v>717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4" customHeight="1">
      <c r="A240" s="2" t="s">
        <v>718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4" customHeight="1">
      <c r="A241" s="2" t="s">
        <v>719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4" customHeight="1">
      <c r="A242" s="2" t="s">
        <v>720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24" customHeight="1">
      <c r="A243" s="2" t="s">
        <v>721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24" customHeight="1">
      <c r="A244" s="2" t="s">
        <v>722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24" customHeight="1">
      <c r="A245" s="2" t="s">
        <v>723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4" customHeight="1">
      <c r="A246" s="2" t="s">
        <v>724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4" customHeight="1">
      <c r="A247" s="2" t="s">
        <v>725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24" customHeight="1">
      <c r="A248" s="2" t="s">
        <v>726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24" customHeight="1">
      <c r="A249" s="2" t="s">
        <v>727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24" customHeight="1">
      <c r="A250" s="2" t="s">
        <v>728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4" customHeight="1">
      <c r="A251" s="2" t="s">
        <v>729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4" customHeight="1">
      <c r="A252" s="2" t="s">
        <v>730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4" customHeight="1">
      <c r="A253" s="2" t="s">
        <v>731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4" customHeight="1">
      <c r="A254" s="2" t="s">
        <v>732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4" customHeight="1">
      <c r="A255" s="2" t="s">
        <v>733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4" customHeight="1">
      <c r="A256" s="2" t="s">
        <v>734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4" customHeight="1">
      <c r="A257" s="2" t="s">
        <v>735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4" customHeight="1">
      <c r="A258" s="2" t="s">
        <v>736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4" customHeight="1">
      <c r="A259" s="2" t="s">
        <v>737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4" customHeight="1">
      <c r="A260" s="2" t="s">
        <v>738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4" customHeight="1">
      <c r="A261" s="2" t="s">
        <v>739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4" customHeight="1">
      <c r="A262" s="2" t="s">
        <v>740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4" customHeight="1">
      <c r="A263" s="2" t="s">
        <v>741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24" customHeight="1">
      <c r="A264" s="2" t="s">
        <v>742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24" customHeight="1">
      <c r="A265" s="2" t="s">
        <v>743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24" customHeight="1">
      <c r="A266" s="2" t="s">
        <v>744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4" customHeight="1">
      <c r="A267" s="2" t="s">
        <v>745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4" customHeight="1">
      <c r="A268" s="2" t="s">
        <v>746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4" customHeight="1">
      <c r="A269" s="2" t="s">
        <v>747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4" customHeight="1">
      <c r="A270" s="2" t="s">
        <v>748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4" customHeight="1">
      <c r="A271" s="2" t="s">
        <v>749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4" customHeight="1">
      <c r="A272" s="2" t="s">
        <v>750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4" customHeight="1">
      <c r="A273" s="2" t="s">
        <v>751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4" customHeight="1">
      <c r="A274" s="2" t="s">
        <v>752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4" customHeight="1">
      <c r="A275" s="2" t="s">
        <v>753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4" customHeight="1">
      <c r="A276" s="2" t="s">
        <v>754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4" customHeight="1">
      <c r="A277" s="2" t="s">
        <v>755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4" customHeight="1">
      <c r="A278" s="2" t="s">
        <v>756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4" customHeight="1">
      <c r="A279" s="2" t="s">
        <v>757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24" customHeight="1">
      <c r="A280" s="2" t="s">
        <v>758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24" customHeight="1">
      <c r="A281" s="2" t="s">
        <v>759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24" customHeight="1">
      <c r="A282" s="2" t="s">
        <v>760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4" customHeight="1">
      <c r="A283" s="2" t="s">
        <v>761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4" customHeight="1">
      <c r="A284" s="2" t="s">
        <v>762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4" customHeight="1">
      <c r="A285" s="2" t="s">
        <v>763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4" customHeight="1">
      <c r="A286" s="2" t="s">
        <v>764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4" customHeight="1">
      <c r="A287" s="2" t="s">
        <v>765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4" customHeight="1">
      <c r="A288" s="2" t="s">
        <v>766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4" customHeight="1">
      <c r="A289" s="2" t="s">
        <v>767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4" customHeight="1">
      <c r="A290" s="2" t="s">
        <v>768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4" customHeight="1">
      <c r="A291" s="2" t="s">
        <v>769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4" customHeight="1">
      <c r="A292" s="2" t="s">
        <v>770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4" customHeight="1">
      <c r="A293" s="2" t="s">
        <v>771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4" customHeight="1">
      <c r="A294" s="2" t="s">
        <v>772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4" customHeight="1">
      <c r="A295" s="2" t="s">
        <v>773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24" customHeight="1">
      <c r="A296" s="2" t="s">
        <v>774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24" customHeight="1">
      <c r="A297" s="2" t="s">
        <v>775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24" customHeight="1">
      <c r="A298" s="2" t="s">
        <v>776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4" customHeight="1">
      <c r="A299" s="2" t="s">
        <v>777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4" customHeight="1">
      <c r="A300" s="2" t="s">
        <v>778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4" customHeight="1">
      <c r="A301" s="2" t="s">
        <v>779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4" customHeight="1">
      <c r="A302" s="2" t="s">
        <v>780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4" customHeight="1">
      <c r="A303" s="2" t="s">
        <v>781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4" customHeight="1">
      <c r="A304" s="2" t="s">
        <v>782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4" customHeight="1">
      <c r="A305" s="2" t="s">
        <v>783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4" customHeight="1">
      <c r="A306" s="2" t="s">
        <v>784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4" customHeight="1">
      <c r="A307" s="2" t="s">
        <v>785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4" customHeight="1">
      <c r="A308" s="2" t="s">
        <v>786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4" customHeight="1">
      <c r="A309" s="2" t="s">
        <v>787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4" customHeight="1">
      <c r="A310" s="2" t="s">
        <v>788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4" customHeight="1">
      <c r="A311" s="2" t="s">
        <v>789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4" customHeight="1">
      <c r="A312" s="2" t="s">
        <v>790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24" customHeight="1">
      <c r="A313" s="2" t="s">
        <v>791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4" customHeight="1">
      <c r="A314" s="2" t="s">
        <v>792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4" customHeight="1">
      <c r="A315" s="2" t="s">
        <v>793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4" customHeight="1">
      <c r="A316" s="2" t="s">
        <v>794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4" customHeight="1">
      <c r="A317" s="2" t="s">
        <v>795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4" customHeight="1">
      <c r="A318" s="2" t="s">
        <v>796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4" customHeight="1">
      <c r="A319" s="2" t="s">
        <v>797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4" customHeight="1">
      <c r="A320" s="2" t="s">
        <v>798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4" customHeight="1">
      <c r="A321" s="2" t="s">
        <v>799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4" customHeight="1">
      <c r="A322" s="2" t="s">
        <v>800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4" customHeight="1">
      <c r="A323" s="2" t="s">
        <v>801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4" customHeight="1">
      <c r="A324" s="2" t="s">
        <v>802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4" customHeight="1">
      <c r="A325" s="2" t="s">
        <v>803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4" customHeight="1">
      <c r="A326" s="2" t="s">
        <v>804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4" customHeight="1">
      <c r="A327" s="2" t="s">
        <v>805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24" customHeight="1">
      <c r="A328" s="2" t="s">
        <v>806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24" customHeight="1">
      <c r="A329" s="2" t="s">
        <v>807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4" customHeight="1">
      <c r="A330" s="2" t="s">
        <v>808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4" customHeight="1">
      <c r="A331" s="2" t="s">
        <v>809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4" customHeight="1">
      <c r="A332" s="2" t="s">
        <v>810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4" customHeight="1">
      <c r="A333" s="2" t="s">
        <v>811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4" customHeight="1">
      <c r="A334" s="2" t="s">
        <v>812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4" customHeight="1">
      <c r="A335" s="2" t="s">
        <v>813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4" customHeight="1">
      <c r="A336" s="2" t="s">
        <v>814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4" customHeight="1">
      <c r="A337" s="2" t="s">
        <v>815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4" customHeight="1">
      <c r="A338" s="2" t="s">
        <v>816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4" customHeight="1">
      <c r="A339" s="2" t="s">
        <v>817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4" customHeight="1">
      <c r="A340" s="2" t="s">
        <v>818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4" customHeight="1">
      <c r="A341" s="2" t="s">
        <v>819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4" customHeight="1">
      <c r="A342" s="2" t="s">
        <v>820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4" customHeight="1">
      <c r="A343" s="2" t="s">
        <v>821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24" customHeight="1">
      <c r="A344" s="2" t="s">
        <v>822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24" customHeight="1">
      <c r="A345" s="2" t="s">
        <v>823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24" customHeight="1">
      <c r="A346" s="2" t="s">
        <v>824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4" customHeight="1">
      <c r="A347" s="2" t="s">
        <v>825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4" customHeight="1">
      <c r="A348" s="2" t="s">
        <v>826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4" customHeight="1">
      <c r="A349" s="2" t="s">
        <v>827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4" customHeight="1">
      <c r="A350" s="2" t="s">
        <v>828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4" customHeight="1">
      <c r="A351" s="2" t="s">
        <v>829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4" customHeight="1">
      <c r="A352" s="2" t="s">
        <v>830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3" customHeight="1"/>
    <row r="354" spans="1:12" ht="24" customHeight="1">
      <c r="A354" s="3" t="s">
        <v>831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36" customHeight="1">
      <c r="A355" s="4" t="s">
        <v>73</v>
      </c>
    </row>
    <row r="356" spans="1:12" ht="24" customHeight="1">
      <c r="A356" s="2" t="s">
        <v>832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</sheetData>
  <mergeCells count="240">
    <mergeCell ref="A1:L1"/>
    <mergeCell ref="A2:L2"/>
    <mergeCell ref="A3:L3"/>
    <mergeCell ref="A6:L6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2:L32"/>
    <mergeCell ref="A139:L139"/>
    <mergeCell ref="A141:L141"/>
    <mergeCell ref="A143:L143"/>
    <mergeCell ref="A144:L144"/>
    <mergeCell ref="A145:L145"/>
    <mergeCell ref="A146:L146"/>
    <mergeCell ref="A147:L147"/>
    <mergeCell ref="A148:L148"/>
    <mergeCell ref="A149:L149"/>
    <mergeCell ref="A150:L150"/>
    <mergeCell ref="A151:L151"/>
    <mergeCell ref="A152:L152"/>
    <mergeCell ref="A153:L153"/>
    <mergeCell ref="A154:L154"/>
    <mergeCell ref="A155:L155"/>
    <mergeCell ref="A156:L156"/>
    <mergeCell ref="A157:L157"/>
    <mergeCell ref="A158:L158"/>
    <mergeCell ref="A159:L159"/>
    <mergeCell ref="A160:L160"/>
    <mergeCell ref="A161:L161"/>
    <mergeCell ref="A162:L162"/>
    <mergeCell ref="A163:L163"/>
    <mergeCell ref="A164:L164"/>
    <mergeCell ref="A165:L165"/>
    <mergeCell ref="A166:L166"/>
    <mergeCell ref="A167:L167"/>
    <mergeCell ref="A168:L168"/>
    <mergeCell ref="A169:L169"/>
    <mergeCell ref="A170:L170"/>
    <mergeCell ref="A171:L171"/>
    <mergeCell ref="A172:L172"/>
    <mergeCell ref="A173:L173"/>
    <mergeCell ref="A174:L174"/>
    <mergeCell ref="A175:L175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85:L185"/>
    <mergeCell ref="A186:L186"/>
    <mergeCell ref="A187:L187"/>
    <mergeCell ref="A188:L188"/>
    <mergeCell ref="A189:L189"/>
    <mergeCell ref="A190:L190"/>
    <mergeCell ref="A191:L191"/>
    <mergeCell ref="A192:L192"/>
    <mergeCell ref="A193:L193"/>
    <mergeCell ref="A194:L194"/>
    <mergeCell ref="A195:L195"/>
    <mergeCell ref="A196:L196"/>
    <mergeCell ref="A197:L197"/>
    <mergeCell ref="A198:L198"/>
    <mergeCell ref="A199:L199"/>
    <mergeCell ref="A201:L201"/>
    <mergeCell ref="A203:L203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214:L214"/>
    <mergeCell ref="A215:L215"/>
    <mergeCell ref="A216:L216"/>
    <mergeCell ref="A217:L217"/>
    <mergeCell ref="A218:L218"/>
    <mergeCell ref="A219:L219"/>
    <mergeCell ref="A220:L220"/>
    <mergeCell ref="A221:L221"/>
    <mergeCell ref="A222:L222"/>
    <mergeCell ref="A223:L223"/>
    <mergeCell ref="A224:L224"/>
    <mergeCell ref="A225:L225"/>
    <mergeCell ref="A226:L226"/>
    <mergeCell ref="A227:L227"/>
    <mergeCell ref="A228:L228"/>
    <mergeCell ref="A229:L229"/>
    <mergeCell ref="A230:L230"/>
    <mergeCell ref="A231:L231"/>
    <mergeCell ref="A232:L232"/>
    <mergeCell ref="A233:L233"/>
    <mergeCell ref="A234:L234"/>
    <mergeCell ref="A235:L235"/>
    <mergeCell ref="A236:L236"/>
    <mergeCell ref="A237:L237"/>
    <mergeCell ref="A238:L238"/>
    <mergeCell ref="A239:L239"/>
    <mergeCell ref="A240:L240"/>
    <mergeCell ref="A241:L241"/>
    <mergeCell ref="A242:L242"/>
    <mergeCell ref="A243:L243"/>
    <mergeCell ref="A244:L244"/>
    <mergeCell ref="A245:L245"/>
    <mergeCell ref="A246:L246"/>
    <mergeCell ref="A247:L247"/>
    <mergeCell ref="A248:L248"/>
    <mergeCell ref="A249:L249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6:L296"/>
    <mergeCell ref="A297:L297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2:L312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  <mergeCell ref="A323:L323"/>
    <mergeCell ref="A324:L324"/>
    <mergeCell ref="A325:L325"/>
    <mergeCell ref="A326:L326"/>
    <mergeCell ref="A327:L327"/>
    <mergeCell ref="A328:L328"/>
    <mergeCell ref="A329:L329"/>
    <mergeCell ref="A330:L330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40:L340"/>
    <mergeCell ref="A341:L341"/>
    <mergeCell ref="A342:L342"/>
    <mergeCell ref="A343:L343"/>
    <mergeCell ref="A344:L344"/>
    <mergeCell ref="A345:L345"/>
    <mergeCell ref="A346:L346"/>
    <mergeCell ref="A347:L347"/>
    <mergeCell ref="A348:L348"/>
    <mergeCell ref="A349:L349"/>
    <mergeCell ref="A350:L350"/>
    <mergeCell ref="A351:L351"/>
    <mergeCell ref="A352:L352"/>
    <mergeCell ref="A354:L354"/>
    <mergeCell ref="A356:L356"/>
  </mergeCells>
  <pageMargins left="0.25" right="0.25" top="0.35" bottom="0.35" header="0.3" footer="0.3"/>
  <pageSetup paperSize="9" fitToHeight="0" orientation="landscape"/>
  <headerFooter>
    <oddFooter>&amp;L入力根拠&amp;R&amp;P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変換結果</vt:lpstr>
      <vt:lpstr>水平地盤ばね</vt:lpstr>
      <vt:lpstr>有効抵抗土圧</vt:lpstr>
      <vt:lpstr>杭周面ばね</vt:lpstr>
      <vt:lpstr>杭先端ばね</vt:lpstr>
      <vt:lpstr>入力根拠</vt:lpstr>
      <vt:lpstr>入力根拠!Print_Area</vt:lpstr>
      <vt:lpstr>変換結果!Print_Area</vt:lpstr>
      <vt:lpstr>有効抵抗土圧!Print_Area</vt:lpstr>
      <vt:lpstr>杭先端ばね!Print_Area</vt:lpstr>
      <vt:lpstr>杭周面ばね!Print_Area</vt:lpstr>
      <vt:lpstr>水平地盤ばね!Print_Area</vt:lpstr>
      <vt:lpstr>入力根拠!Print_Titles</vt:lpstr>
      <vt:lpstr>変換結果!Print_Titles</vt:lpstr>
      <vt:lpstr>有効抵抗土圧!Print_Titles</vt:lpstr>
      <vt:lpstr>杭先端ばね!Print_Titles</vt:lpstr>
      <vt:lpstr>杭周面ばね!Print_Titles</vt:lpstr>
      <vt:lpstr>水平地盤ばね!Print_Titles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2026-09-17T06:06:37Z</dcterms:created>
  <dcterms:modified xsi:type="dcterms:W3CDTF">2026-09-17T06:06:37Z</dcterms:modified>
</cp:coreProperties>
</file>