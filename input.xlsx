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01_物件名(外付けHD)(2024.5.17～)\831_非線形解析(NJC江本様)\01.設計\01.Excel･Word\01_今町橋りょう\"/>
    </mc:Choice>
  </mc:AlternateContent>
  <xr:revisionPtr revIDLastSave="0" documentId="13_ncr:1_{608054DF-7600-4A62-A23F-6106F90D3C0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表紙" sheetId="58" r:id="rId1"/>
    <sheet name="目次" sheetId="59" r:id="rId2"/>
    <sheet name="§1.設計の目的及び一般条件" sheetId="60" r:id="rId3"/>
    <sheet name="§2.設計総括表" sheetId="62" r:id="rId4"/>
    <sheet name="§3.線路直角方向の計算" sheetId="27" r:id="rId5"/>
    <sheet name="断面積および断面二次モーメント" sheetId="25" r:id="rId6"/>
    <sheet name="コンクリートの弾性係数" sheetId="29" r:id="rId7"/>
    <sheet name="材料非線形特性" sheetId="26" r:id="rId8"/>
    <sheet name="要素の構成" sheetId="41" r:id="rId9"/>
    <sheet name="2.地盤のモデル化" sheetId="30" r:id="rId10"/>
    <sheet name="水平地盤ばね定数(4P左)" sheetId="36" r:id="rId11"/>
    <sheet name="水平地盤ばね定数(4P右)" sheetId="47" r:id="rId12"/>
    <sheet name="鉛直せん断地盤ばね定数(4P左)" sheetId="40" r:id="rId13"/>
    <sheet name="鉛直せん断地盤ばね定数(4P右)" sheetId="48" r:id="rId14"/>
    <sheet name="杭先端のばね定数（節点ばね）" sheetId="39" r:id="rId15"/>
    <sheet name="有効抵抗土圧(4P左)" sheetId="43" r:id="rId16"/>
    <sheet name="有効抵抗土圧(4P右)" sheetId="46" r:id="rId17"/>
    <sheet name="周面支持力(4P左)" sheetId="49" r:id="rId18"/>
    <sheet name="周面支持力(4P右)" sheetId="50" r:id="rId19"/>
    <sheet name="先端支持力" sheetId="51" r:id="rId20"/>
    <sheet name="3.荷重計算" sheetId="31" r:id="rId21"/>
    <sheet name="4.荷重図" sheetId="33" r:id="rId22"/>
    <sheet name="5.組合せ" sheetId="34" r:id="rId23"/>
    <sheet name="6.解析条件" sheetId="54" r:id="rId24"/>
    <sheet name="7.解析結果" sheetId="55" r:id="rId25"/>
    <sheet name="8.JRSNAP出力" sheetId="56" r:id="rId26"/>
    <sheet name="§4.財産図" sheetId="57" r:id="rId27"/>
    <sheet name="【印刷なし】初期せん断弾性波速度" sheetId="52" r:id="rId28"/>
    <sheet name="A4" sheetId="24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__evp1">[1]ESピット!#REF!</definedName>
    <definedName name="___evp2">[2]外房⑥ESピット!#REF!</definedName>
    <definedName name="___evp3">'[3]２．EVピット'!#REF!</definedName>
    <definedName name="_1__123Graph_Aｸﾞﾗﾌ_1" localSheetId="1" hidden="1">#REF!</definedName>
    <definedName name="_1__123Graph_Aｸﾞﾗﾌ_1" hidden="1">#REF!</definedName>
    <definedName name="_10__123Graph_Bｸﾞﾗﾌ_3" hidden="1">#REF!</definedName>
    <definedName name="_10__123Graph_Cｸﾞﾗﾌ_4" hidden="1">#REF!</definedName>
    <definedName name="_11__123Graph_Aｸﾞﾗﾌ_4" localSheetId="1" hidden="1">#REF!</definedName>
    <definedName name="_11__123Graph_Dｸﾞﾗﾌ_1" hidden="1">[4]躯体の設計!$AO$1064:$AO$1065</definedName>
    <definedName name="_12__123Graph_Dｸﾞﾗﾌ_4" hidden="1">#REF!</definedName>
    <definedName name="_13__123Graph_Aｸﾞﾗﾌ_4" localSheetId="1" hidden="1">#REF!</definedName>
    <definedName name="_13__123Graph_Aｸﾞﾗﾌ_4" hidden="1">#REF!</definedName>
    <definedName name="_13__123Graph_Xｸﾞﾗﾌ_1" hidden="1">[4]躯体の設計!$AJ$1064:$AJ$1065</definedName>
    <definedName name="_14__123Graph_Bｸﾞﾗﾌ_1" localSheetId="1" hidden="1">#REF!</definedName>
    <definedName name="_14__123Graph_Bｸﾞﾗﾌ_4" hidden="1">#REF!</definedName>
    <definedName name="_14__123Graph_Xｸﾞﾗﾌ_2" hidden="1">#REF!</definedName>
    <definedName name="_15__123Graph_Cｸﾞﾗﾌ_1" hidden="1">[4]躯体の設計!$AN$1064:$AN$1065</definedName>
    <definedName name="_15__123Graph_Xｸﾞﾗﾌ_3" hidden="1">#REF!</definedName>
    <definedName name="_16__123Graph_Bｸﾞﾗﾌ_1" localSheetId="1" hidden="1">#REF!</definedName>
    <definedName name="_16__123Graph_Bｸﾞﾗﾌ_1" hidden="1">#REF!</definedName>
    <definedName name="_17__123Graph_Bｸﾞﾗﾌ_2" localSheetId="1" hidden="1">#REF!</definedName>
    <definedName name="_19__123Graph_Bｸﾞﾗﾌ_2" localSheetId="1" hidden="1">#REF!</definedName>
    <definedName name="_19__123Graph_Bｸﾞﾗﾌ_2" hidden="1">#REF!</definedName>
    <definedName name="_19__123Graph_Cｸﾞﾗﾌ_4" hidden="1">#REF!</definedName>
    <definedName name="_2__123Graph_Aｸﾞﾗﾌ_2" hidden="1">#REF!</definedName>
    <definedName name="_20__123Graph_Bｸﾞﾗﾌ_3" localSheetId="1" hidden="1">#REF!</definedName>
    <definedName name="_20__123Graph_Dｸﾞﾗﾌ_1" hidden="1">[4]躯体の設計!$AO$1064:$AO$1065</definedName>
    <definedName name="_22__123Graph_Bｸﾞﾗﾌ_3" localSheetId="1" hidden="1">#REF!</definedName>
    <definedName name="_22__123Graph_Bｸﾞﾗﾌ_3" hidden="1">#REF!</definedName>
    <definedName name="_24__123Graph_Bｸﾞﾗﾌ_4" localSheetId="1" hidden="1">#REF!</definedName>
    <definedName name="_24__123Graph_Dｸﾞﾗﾌ_4" hidden="1">#REF!</definedName>
    <definedName name="_25__123Graph_Xｸﾞﾗﾌ_1" hidden="1">[4]躯体の設計!$AJ$1064:$AJ$1065</definedName>
    <definedName name="_26__123Graph_Bｸﾞﾗﾌ_4" localSheetId="1" hidden="1">#REF!</definedName>
    <definedName name="_26__123Graph_Bｸﾞﾗﾌ_4" hidden="1">#REF!</definedName>
    <definedName name="_26__123Graph_Xｸﾞﾗﾌ_2" hidden="1">#REF!</definedName>
    <definedName name="_27__123Graph_Cｸﾞﾗﾌ_1" hidden="1">[4]躯体の設計!$AN$1064:$AN$1065</definedName>
    <definedName name="_27__123Graph_Xｸﾞﾗﾌ_3" hidden="1">#REF!</definedName>
    <definedName name="_29__123Graph_Cｸﾞﾗﾌ_4" localSheetId="1" hidden="1">#REF!</definedName>
    <definedName name="_3__123Graph_Aｸﾞﾗﾌ_1" localSheetId="1" hidden="1">#REF!</definedName>
    <definedName name="_3__123Graph_Aｸﾞﾗﾌ_1" hidden="1">#REF!</definedName>
    <definedName name="_3__123Graph_Aｸﾞﾗﾌ_3" hidden="1">#REF!</definedName>
    <definedName name="_31__123Graph_Cｸﾞﾗﾌ_4" localSheetId="1" hidden="1">#REF!</definedName>
    <definedName name="_31__123Graph_Cｸﾞﾗﾌ_4" hidden="1">#REF!</definedName>
    <definedName name="_32__123Graph_Dｸﾞﾗﾌ_1" hidden="1">[4]躯体の設計!$AO$1064:$AO$1065</definedName>
    <definedName name="_34__123Graph_Dｸﾞﾗﾌ_4" localSheetId="1" hidden="1">#REF!</definedName>
    <definedName name="_36__123Graph_Dｸﾞﾗﾌ_4" localSheetId="1" hidden="1">#REF!</definedName>
    <definedName name="_36__123Graph_Dｸﾞﾗﾌ_4" hidden="1">#REF!</definedName>
    <definedName name="_37__123Graph_Xｸﾞﾗﾌ_1" hidden="1">[4]躯体の設計!$AJ$1064:$AJ$1065</definedName>
    <definedName name="_38__123Graph_Xｸﾞﾗﾌ_2" localSheetId="1" hidden="1">#REF!</definedName>
    <definedName name="_4__123Graph_Aｸﾞﾗﾌ_2" localSheetId="1" hidden="1">#REF!</definedName>
    <definedName name="_4__123Graph_Aｸﾞﾗﾌ_4" hidden="1">#REF!</definedName>
    <definedName name="_40__123Graph_Xｸﾞﾗﾌ_2" localSheetId="1" hidden="1">#REF!</definedName>
    <definedName name="_40__123Graph_Xｸﾞﾗﾌ_2" hidden="1">#REF!</definedName>
    <definedName name="_41__123Graph_Xｸﾞﾗﾌ_3" localSheetId="1" hidden="1">#REF!</definedName>
    <definedName name="_43__123Graph_Xｸﾞﾗﾌ_3" localSheetId="1" hidden="1">#REF!</definedName>
    <definedName name="_43__123Graph_Xｸﾞﾗﾌ_3" hidden="1">#REF!</definedName>
    <definedName name="_5__123Graph_Bｸﾞﾗﾌ_1" hidden="1">#REF!</definedName>
    <definedName name="_6__123Graph_Aｸﾞﾗﾌ_2" localSheetId="1" hidden="1">#REF!</definedName>
    <definedName name="_6__123Graph_Aｸﾞﾗﾌ_2" hidden="1">#REF!</definedName>
    <definedName name="_6__123Graph_Bｸﾞﾗﾌ_2" hidden="1">#REF!</definedName>
    <definedName name="_7__123Graph_Aｸﾞﾗﾌ_3" localSheetId="1" hidden="1">#REF!</definedName>
    <definedName name="_7__123Graph_Aｸﾞﾗﾌ_4" hidden="1">#REF!</definedName>
    <definedName name="_7__123Graph_Bｸﾞﾗﾌ_3" hidden="1">#REF!</definedName>
    <definedName name="_8__123Graph_Bｸﾞﾗﾌ_1" hidden="1">#REF!</definedName>
    <definedName name="_8__123Graph_Bｸﾞﾗﾌ_4" hidden="1">#REF!</definedName>
    <definedName name="_9__123Graph_Aｸﾞﾗﾌ_3" localSheetId="1" hidden="1">#REF!</definedName>
    <definedName name="_9__123Graph_Aｸﾞﾗﾌ_3" hidden="1">#REF!</definedName>
    <definedName name="_9__123Graph_Bｸﾞﾗﾌ_2" hidden="1">#REF!</definedName>
    <definedName name="_9__123Graph_Cｸﾞﾗﾌ_1" hidden="1">[4]躯体の設計!$AN$1064:$AN$1065</definedName>
    <definedName name="_C66093">#REF!</definedName>
    <definedName name="_C69093">#REF!</definedName>
    <definedName name="_C71093">#REF!</definedName>
    <definedName name="_C91093">#REF!</definedName>
    <definedName name="_DEL2" hidden="1">#REF!</definedName>
    <definedName name="_evp22">#REF!</definedName>
    <definedName name="_Fill" hidden="1">#REF!</definedName>
    <definedName name="_Table1_In1" hidden="1">[5]ｽｲﾍｲ!$C$22</definedName>
    <definedName name="_Table1_Out" hidden="1">[5]ｽｲﾍｲ!$D$22</definedName>
    <definedName name="_Table2" hidden="1">[6]ｽｲﾍｲ!$D$22</definedName>
    <definedName name="\">'[7]C5-基本計算（常時）'!#REF!</definedName>
    <definedName name="\\">'[7]C5-基本計算（常時）'!#REF!</definedName>
    <definedName name="\a">#REF!</definedName>
    <definedName name="\d">#N/A</definedName>
    <definedName name="\m">#REF!</definedName>
    <definedName name="\p">#N/A</definedName>
    <definedName name="\r">#REF!</definedName>
    <definedName name="\z">#REF!</definedName>
    <definedName name="§１">#REF!</definedName>
    <definedName name="a" localSheetId="2">[8]基本ﾃﾞｰﾀｼｰﾄ!$C$25</definedName>
    <definedName name="a" localSheetId="3">[8]基本ﾃﾞｰﾀｼｰﾄ!$C$25</definedName>
    <definedName name="a" localSheetId="0">[8]基本ﾃﾞｰﾀｼｰﾄ!$C$25</definedName>
    <definedName name="a">'[9]§３.（発進）平行'!$C$7</definedName>
    <definedName name="A111111111111">#REF!</definedName>
    <definedName name="aa">'[7]C5-基本計算（常時）'!#REF!</definedName>
    <definedName name="aaa">[10]設計条件!$C$13</definedName>
    <definedName name="ag">[11]せん断弾性波速度!$D$9</definedName>
    <definedName name="anscount" hidden="1">1</definedName>
    <definedName name="arufa">#REF!</definedName>
    <definedName name="Ａ通り側壁">#REF!</definedName>
    <definedName name="b">[8]基本ﾃﾞｰﾀｼｰﾄ!$C$27</definedName>
    <definedName name="basew">[10]設計条件!$C$13</definedName>
    <definedName name="bbb">[10]設計条件!$C$14</definedName>
    <definedName name="beeta">#REF!</definedName>
    <definedName name="C_ｽﾊﾟﾝ" localSheetId="2">'[7]C5-基本計算（常時）'!#REF!</definedName>
    <definedName name="C_ｽﾊﾟﾝ" localSheetId="3">'[7]C5-基本計算（常時）'!#REF!</definedName>
    <definedName name="C_ｽﾊﾟﾝ" localSheetId="0">'[7]C5-基本計算（常時）'!#REF!</definedName>
    <definedName name="C_ｽﾊﾟﾝ">'[12]C3-基本1'!$AF$53</definedName>
    <definedName name="C_ｽﾊﾟﾝL">'[7]C5-基本計算（常時）'!#REF!</definedName>
    <definedName name="C_ｽﾊﾟﾝR">'[7]C5-基本計算（常時）'!#REF!</definedName>
    <definedName name="ccc">[2]外房⑥ESピット!#REF!</definedName>
    <definedName name="DATA">'[9]§４.（発進）擁壁横、松戸'!$A$1:$IV$65536</definedName>
    <definedName name="DATA1">#REF!</definedName>
    <definedName name="DATA保存">#REF!</definedName>
    <definedName name="DD" hidden="1">#REF!</definedName>
    <definedName name="ddd">#REF!</definedName>
    <definedName name="DEL" hidden="1">#REF!</definedName>
    <definedName name="df">[10]設計条件!$C$14</definedName>
    <definedName name="dgdkgkgk">[13]固死!#REF!</definedName>
    <definedName name="dghkdghkdg">'[7]C5-基本計算（常時）'!#REF!</definedName>
    <definedName name="dgkd">'[7]C5-基本計算（常時）'!#REF!</definedName>
    <definedName name="dgkdgkdg">[13]固死!#REF!</definedName>
    <definedName name="dgkhkdgkg">[13]固死!#REF!</definedName>
    <definedName name="dgkhkhgkgdh">'[7]C5-基本計算（常時）'!#REF!</definedName>
    <definedName name="djyfurur">'[7]C5-基本計算（常時）'!#REF!</definedName>
    <definedName name="dkgdghkry">'[7]C5-基本計算（常時）'!#REF!</definedName>
    <definedName name="e">[8]基本ﾃﾞｰﾀｼｰﾄ!$C$29</definedName>
    <definedName name="EA17W2">[14]列車荷重等値等分布荷重!$F$7:$I$18</definedName>
    <definedName name="EA17W2l">[14]列車荷重等値等分布荷重!$F$7:$F$18</definedName>
    <definedName name="EA17W2S">[14]列車荷重等値等分布荷重!$F$7:$I$7</definedName>
    <definedName name="ee">'[15]×構造計算 (表層厚66.50m)'!$K$334</definedName>
    <definedName name="eee">'[15]×構造計算 (表層厚66.50m)'!$H$322</definedName>
    <definedName name="eie6iyre">'[7]C5-基本計算（常時）'!#REF!</definedName>
    <definedName name="eiue6rre6">'[7]C5-基本計算（常時）'!#REF!</definedName>
    <definedName name="Excel_BuiltIn__FilterDatabase_4">#REF!</definedName>
    <definedName name="Excel_BuiltIn__FilterDatabase_5">#REF!</definedName>
    <definedName name="eyujdfj">'[7]C5-基本計算（常時）'!#REF!</definedName>
    <definedName name="E通り側壁">#REF!</definedName>
    <definedName name="f">[8]基本ﾃﾞｰﾀｼｰﾄ!$C$15</definedName>
    <definedName name="fff">'[15]×構造計算 (表層厚66.50m)'!$Q$672</definedName>
    <definedName name="fg">[11]せん断弾性波速度!$D$8</definedName>
    <definedName name="fgh">'[7]C5-基本計算（常時）'!#REF!</definedName>
    <definedName name="fghj">'[7]C5-基本計算（常時）'!#REF!</definedName>
    <definedName name="fghk">'[7]C5-基本計算（常時）'!#REF!</definedName>
    <definedName name="fghkdgk">#REF!</definedName>
    <definedName name="fgk">'[7]C5-基本計算（常時）'!#REF!</definedName>
    <definedName name="Fill2" hidden="1">#REF!</definedName>
    <definedName name="fjmjbvg">'[7]C5-基本計算（常時）'!#REF!</definedName>
    <definedName name="froﾗｰﾒﾝ">#REF!</definedName>
    <definedName name="fro両端固定梁">#REF!</definedName>
    <definedName name="g">[8]基本ﾃﾞｰﾀｼｰﾄ!$C$17</definedName>
    <definedName name="gannmahaimenn">[10]設計条件!$C$10</definedName>
    <definedName name="gannmarc">[10]設計条件!$C$7</definedName>
    <definedName name="gdhkkhgkh">[13]固死!#REF!</definedName>
    <definedName name="ggg">[10]設計条件!$C$10</definedName>
    <definedName name="ghk">'[7]C5-基本計算（常時）'!#REF!</definedName>
    <definedName name="ground">'[16]ground-data'!$D$5:$F$12</definedName>
    <definedName name="h">[8]基本ﾃﾞｰﾀｼｰﾄ!$C$9</definedName>
    <definedName name="hdgkgd">'[7]C5-基本計算（常時）'!#REF!</definedName>
    <definedName name="hgkf">'[7]C5-基本計算（常時）'!#REF!</definedName>
    <definedName name="hgkfg">'[7]C5-基本計算（常時）'!#REF!</definedName>
    <definedName name="hgmk">'[7]C5-基本計算（常時）'!#REF!</definedName>
    <definedName name="hhh">'[15]×構造計算 (表層厚66.50m)'!$Q$674</definedName>
    <definedName name="HTML_CodePage" hidden="1">932</definedName>
    <definedName name="HTML_Control" hidden="1">{"'表紙・目次 '!$A$8:$K$8"}</definedName>
    <definedName name="HTML_Description" hidden="1">""</definedName>
    <definedName name="HTML_Email" hidden="1">""</definedName>
    <definedName name="HTML_Header" hidden="1">"表紙・目次"</definedName>
    <definedName name="HTML_LastUpdate" hidden="1">"97/12/10"</definedName>
    <definedName name="HTML_LineAfter" hidden="1">FALSE</definedName>
    <definedName name="HTML_LineBefore" hidden="1">FALSE</definedName>
    <definedName name="HTML_Name" hidden="1">"ずう広電"</definedName>
    <definedName name="HTML_OBDlg2" hidden="1">TRUE</definedName>
    <definedName name="HTML_OBDlg4" hidden="1">TRUE</definedName>
    <definedName name="HTML_OS" hidden="1">0</definedName>
    <definedName name="HTML_PathFile" hidden="1">"B:\Zou設計計算\MyHTML.htm"</definedName>
    <definedName name="HTML_Title" hidden="1">"山陽本線97073-1"</definedName>
    <definedName name="hyouzyun">'[14]L2-基本1'!$AF$15</definedName>
    <definedName name="i">[17]基本ﾃﾞｰﾀｼｰﾄ!$B$39</definedName>
    <definedName name="ie653653e">'[7]C5-基本計算（常時）'!#REF!</definedName>
    <definedName name="ieieie">'[7]C5-基本計算（常時）'!#REF!</definedName>
    <definedName name="iotiot">'[7]C5-基本計算（常時）'!#REF!</definedName>
    <definedName name="j" localSheetId="2">[17]基本ﾃﾞｰﾀｼｰﾄ!$B$37</definedName>
    <definedName name="j" localSheetId="3">[17]基本ﾃﾞｰﾀｼｰﾄ!$B$37</definedName>
    <definedName name="j" localSheetId="0">[17]基本ﾃﾞｰﾀｼｰﾄ!$B$37</definedName>
    <definedName name="ｊ">#REF!</definedName>
    <definedName name="ｊｄｊｄさおんｄさ">'[15]×構造計算 (表層厚66.50m)'!$H$322</definedName>
    <definedName name="k">[8]基本ﾃﾞｰﾀｼｰﾄ!$C$5</definedName>
    <definedName name="ka">#REF!</definedName>
    <definedName name="kae">#REF!</definedName>
    <definedName name="kfjldg">'[7]C5-基本計算（常時）'!#REF!</definedName>
    <definedName name="kgddgkdg">[13]固死!#REF!</definedName>
    <definedName name="kgfhkmfgh">'[7]C5-基本計算（常時）'!#REF!</definedName>
    <definedName name="kh">[10]設計条件!$C$5</definedName>
    <definedName name="kkgkghkgh">'[7]C5-基本計算（常時）'!#REF!</definedName>
    <definedName name="kkk">[10]設計条件!$C$5</definedName>
    <definedName name="L">#REF!</definedName>
    <definedName name="L_ｽﾊﾟﾝ1">'[7]C5-基本計算（常時）'!#REF!</definedName>
    <definedName name="L_ｽﾊﾟﾝ2" localSheetId="2">'[7]C5-基本計算（常時）'!#REF!</definedName>
    <definedName name="L_ｽﾊﾟﾝ2" localSheetId="3">'[7]C5-基本計算（常時）'!#REF!</definedName>
    <definedName name="L_ｽﾊﾟﾝ2" localSheetId="0">'[7]C5-基本計算（常時）'!#REF!</definedName>
    <definedName name="L_ｽﾊﾟﾝ2">'[12]C3-基本1'!$AF$55</definedName>
    <definedName name="L_ｽﾊﾟﾝ3">'[7]C5-基本計算（常時）'!#REF!</definedName>
    <definedName name="ｌｌｌ">'[15]×構造計算 (表層厚66.50m)'!$Q$673</definedName>
    <definedName name="lpp">'[7]C5-基本計算（常時）'!#REF!</definedName>
    <definedName name="naikuub">'[18]１設計条件'!$K$8</definedName>
    <definedName name="naikuuh">'[18]１設計条件'!$K$9</definedName>
    <definedName name="naikuul">'[18]１設計条件'!$O$8</definedName>
    <definedName name="ＯＤ盛土部軸ABDE">#REF!</definedName>
    <definedName name="ＯＤ盛土部軸ＢＤ">#REF!</definedName>
    <definedName name="OD盛土部軸高">#REF!</definedName>
    <definedName name="otyot">'[7]C5-基本計算（常時）'!#REF!</definedName>
    <definedName name="otyuyiu">'[7]C5-基本計算（常時）'!#REF!</definedName>
    <definedName name="oyt">'[7]C5-基本計算（常時）'!#REF!</definedName>
    <definedName name="_xlnm.Print_Area" localSheetId="2">'§1.設計の目的及び一般条件'!$A$1:$AE$144</definedName>
    <definedName name="_xlnm.Print_Area" localSheetId="3">'§2.設計総括表'!$A$1:$G$21</definedName>
    <definedName name="_xlnm.Print_Area" localSheetId="4">'§3.線路直角方向の計算'!$A$1:$AI$16</definedName>
    <definedName name="_xlnm.Print_Area" localSheetId="26">'§4.財産図'!$A$1:$AI$4</definedName>
    <definedName name="_xlnm.Print_Area" localSheetId="9">'2.地盤のモデル化'!$A$1:$AI$10</definedName>
    <definedName name="_xlnm.Print_Area" localSheetId="20">'3.荷重計算'!$A$1:$AI$134</definedName>
    <definedName name="_xlnm.Print_Area" localSheetId="21">'4.荷重図'!$A$1:$AI$10</definedName>
    <definedName name="_xlnm.Print_Area" localSheetId="22">'5.組合せ'!$A$1:$AI$21</definedName>
    <definedName name="_xlnm.Print_Area" localSheetId="23">'6.解析条件'!$A$1:$AI$11</definedName>
    <definedName name="_xlnm.Print_Area" localSheetId="24">'7.解析結果'!$A$1:$AI$10</definedName>
    <definedName name="_xlnm.Print_Area" localSheetId="25">'8.JRSNAP出力'!$A$1:$AI$9</definedName>
    <definedName name="_xlnm.Print_Area" localSheetId="6">コンクリートの弾性係数!$A$1:$AI$28</definedName>
    <definedName name="_xlnm.Print_Area" localSheetId="13">'鉛直せん断地盤ばね定数(4P右)'!$A$1:$Q$126</definedName>
    <definedName name="_xlnm.Print_Area" localSheetId="12">'鉛直せん断地盤ばね定数(4P左)'!$A$1:$Q$130</definedName>
    <definedName name="_xlnm.Print_Area" localSheetId="14">'杭先端のばね定数（節点ばね）'!$A$1:$Q$13</definedName>
    <definedName name="_xlnm.Print_Area" localSheetId="7">材料非線形特性!$A$1:$AI$229</definedName>
    <definedName name="_xlnm.Print_Area" localSheetId="18">'周面支持力(4P右)'!$A$1:$R$126</definedName>
    <definedName name="_xlnm.Print_Area" localSheetId="17">'周面支持力(4P左)'!$A$1:$R$130</definedName>
    <definedName name="_xlnm.Print_Area" localSheetId="11">'水平地盤ばね定数(4P右)'!$A$1:$N$86</definedName>
    <definedName name="_xlnm.Print_Area" localSheetId="10">'水平地盤ばね定数(4P左)'!$A$1:$N$88</definedName>
    <definedName name="_xlnm.Print_Area" localSheetId="19">先端支持力!$A$1:$U$13</definedName>
    <definedName name="_xlnm.Print_Area" localSheetId="5">断面積および断面二次モーメント!$A$1:$AI$121</definedName>
    <definedName name="_xlnm.Print_Area" localSheetId="0">表紙!$A$1:$AJ$50</definedName>
    <definedName name="_xlnm.Print_Area" localSheetId="1">目次!$A$1:$AG$27</definedName>
    <definedName name="_xlnm.Print_Area" localSheetId="16">'有効抵抗土圧(4P右)'!$A$1:$P$249</definedName>
    <definedName name="_xlnm.Print_Area" localSheetId="15">'有効抵抗土圧(4P左)'!$A$1:$P$251</definedName>
    <definedName name="_xlnm.Print_Area" localSheetId="8">要素の構成!$A$1:$AF$203</definedName>
    <definedName name="_xlnm.Print_Area">#REF!</definedName>
    <definedName name="PRINT_AREA_MI">#REF!</definedName>
    <definedName name="_xlnm.Print_Titles" localSheetId="3">'§2.設計総括表'!$2:$2</definedName>
    <definedName name="print1">#REF!</definedName>
    <definedName name="q">[13]固死!#REF!</definedName>
    <definedName name="qqq">'[15]×構造計算 (表層厚66.50m)'!$K$333</definedName>
    <definedName name="qqqq">'[9]§５.（発進）擁壁横、上野'!#REF!</definedName>
    <definedName name="_xlnm.Recorder">#REF!</definedName>
    <definedName name="roooryi">'[7]C5-基本計算（常時）'!#REF!</definedName>
    <definedName name="rrr">'[15]×構造計算 (表層厚66.50m)'!$O$115</definedName>
    <definedName name="sdfh">'[7]C5-基本計算（常時）'!#REF!</definedName>
    <definedName name="sokuhekit">'[18]１設計条件'!$AE$8</definedName>
    <definedName name="sss">'[15]×構造計算 (表層厚66.50m)'!$O$105</definedName>
    <definedName name="steelanarea">'[19]Steel Data'!$D$7:$E$16</definedName>
    <definedName name="SUM_CELL_E">'[20]10月売上'!$E$18,'[20]10月売上'!$E$114,'[20]10月売上'!$E$148,'[20]10月売上'!$E$187,'[20]10月売上'!$E$258</definedName>
    <definedName name="SUM_CELL_F">'[20]10月売上'!$G$18,'[20]10月売上'!$G$114,'[20]10月売上'!$G$148,'[20]10月売上'!$G$187,'[20]10月売上'!$G$258</definedName>
    <definedName name="syrdus6r6su">'[7]C5-基本計算（常時）'!#REF!</definedName>
    <definedName name="teibannt">'[21]１設計条件'!#REF!</definedName>
    <definedName name="TEN">#REF!</definedName>
    <definedName name="tioot">'[7]C5-基本計算（常時）'!#REF!</definedName>
    <definedName name="tiou">'[7]C5-基本計算（常時）'!#REF!</definedName>
    <definedName name="toit">'[7]C5-基本計算（常時）'!#REF!</definedName>
    <definedName name="toitti">'[7]C5-基本計算（常時）'!#REF!</definedName>
    <definedName name="totioitu">'[7]C5-基本計算（常時）'!#REF!</definedName>
    <definedName name="totiuot">'[7]C5-基本計算（常時）'!#REF!</definedName>
    <definedName name="toutyo">'[7]C5-基本計算（常時）'!#REF!</definedName>
    <definedName name="toytotro">'[7]C5-基本計算（常時）'!#REF!</definedName>
    <definedName name="tt">'[15]×構造計算 (表層厚66.50m)'!$H$321</definedName>
    <definedName name="ttiotiug">'[7]C5-基本計算（常時）'!#REF!</definedName>
    <definedName name="ttt">'[15]×構造計算 (表層厚66.50m)'!$K$332</definedName>
    <definedName name="tトラフ">'[14]L2-基本1'!$AF$53</definedName>
    <definedName name="u">'[7]C5-基本計算（常時）'!#REF!</definedName>
    <definedName name="ｗ">#REF!</definedName>
    <definedName name="wa">[10]設計条件!$C$10</definedName>
    <definedName name="Wｺﾝｸﾘｰﾄ" localSheetId="2">'[7]C5-基本計算（常時）'!#REF!</definedName>
    <definedName name="Wｺﾝｸﾘｰﾄ" localSheetId="3">'[7]C5-基本計算（常時）'!#REF!</definedName>
    <definedName name="Wｺﾝｸﾘｰﾄ" localSheetId="0">'[7]C5-基本計算（常時）'!#REF!</definedName>
    <definedName name="Wｺﾝｸﾘｰﾄ">'[14]L2-基本1'!$AF$16</definedName>
    <definedName name="W軌きょう" localSheetId="2">'[7]C5-基本計算（常時）'!#REF!</definedName>
    <definedName name="W軌きょう" localSheetId="3">'[7]C5-基本計算（常時）'!#REF!</definedName>
    <definedName name="W軌きょう" localSheetId="0">'[7]C5-基本計算（常時）'!#REF!</definedName>
    <definedName name="W軌きょう">'[14]L2-基本1'!$AF$13</definedName>
    <definedName name="W鋼材" localSheetId="2">'[7]C5-基本計算（常時）'!#REF!</definedName>
    <definedName name="W鋼材" localSheetId="3">'[7]C5-基本計算（常時）'!#REF!</definedName>
    <definedName name="W鋼材" localSheetId="0">'[7]C5-基本計算（常時）'!#REF!</definedName>
    <definedName name="W鋼材">'[14]L2-基本1'!$AF$14</definedName>
    <definedName name="W高欄">'[7]C5-基本計算（常時）'!#REF!</definedName>
    <definedName name="W信号通信ｹｰﾌﾞﾙ">'[7]C5-基本計算（常時）'!#REF!</definedName>
    <definedName name="W鉄筋ｺﾝｸﾘｰﾄ" localSheetId="2">'[7]C5-基本計算（常時）'!#REF!</definedName>
    <definedName name="W鉄筋ｺﾝｸﾘｰﾄ" localSheetId="3">'[7]C5-基本計算（常時）'!#REF!</definedName>
    <definedName name="W鉄筋ｺﾝｸﾘｰﾄ" localSheetId="0">'[7]C5-基本計算（常時）'!#REF!</definedName>
    <definedName name="W鉄筋ｺﾝｸﾘｰﾄ">'[22]L2-基本1'!$AF$15</definedName>
    <definedName name="W電力ｹｰﾌﾞﾙ">'[7]C5-基本計算（常時）'!#REF!</definedName>
    <definedName name="W道床砂利" localSheetId="2">'[7]C5-基本計算（常時）'!#REF!</definedName>
    <definedName name="W道床砂利" localSheetId="3">'[7]C5-基本計算（常時）'!#REF!</definedName>
    <definedName name="W道床砂利" localSheetId="0">'[7]C5-基本計算（常時）'!#REF!</definedName>
    <definedName name="W道床砂利">'[22]L2-基本1'!$AF$17</definedName>
    <definedName name="ytireire">'[7]C5-基本計算（常時）'!#REF!</definedName>
    <definedName name="yup">#REF!</definedName>
    <definedName name="あ">'[9]§５.（発進）擁壁横、上野'!#REF!</definedName>
    <definedName name="あｇさｆ">'[15]×構造計算 (表層厚66.50m)'!$K$334</definedName>
    <definedName name="え２００">#REF!</definedName>
    <definedName name="かおあｊ">#REF!</definedName>
    <definedName name="くあわせ">#REF!</definedName>
    <definedName name="くみ">#REF!</definedName>
    <definedName name="くみあ">#REF!</definedName>
    <definedName name="くみあせ">#REF!</definedName>
    <definedName name="くみあわ">#REF!</definedName>
    <definedName name="くみあわせ">#REF!</definedName>
    <definedName name="くみくみ">#REF!</definedName>
    <definedName name="ｸﾚｰﾝ">#REF!</definedName>
    <definedName name="しあおあ">'[15]×構造計算 (表層厚66.50m)'!$O$105</definedName>
    <definedName name="ｽﾊﾟﾝ" localSheetId="2">#REF!</definedName>
    <definedName name="ｽﾊﾟﾝ" localSheetId="3">#REF!</definedName>
    <definedName name="ｽﾊﾟﾝ" localSheetId="0">#REF!</definedName>
    <definedName name="スパン">'[14]L2-基本1'!$AF$55</definedName>
    <definedName name="ｽﾗﾌﾞ1" localSheetId="2">'[7]C5-基本計算（常時）'!#REF!</definedName>
    <definedName name="ｽﾗﾌﾞ1" localSheetId="3">'[7]C5-基本計算（常時）'!#REF!</definedName>
    <definedName name="ｽﾗﾌﾞ1" localSheetId="0">'[7]C5-基本計算（常時）'!#REF!</definedName>
    <definedName name="ｽﾗﾌﾞ1">'[14]L2-基本1'!$AF$22</definedName>
    <definedName name="ｽﾗﾌﾞh1">[23]基本ﾃﾞｰﾀｼｰﾄ!$B$25</definedName>
    <definedName name="ｽﾗﾌﾞh2">[24]基本ﾃﾞｰﾀｼｰﾄ!$C$25</definedName>
    <definedName name="ｽﾗﾌﾞﾊﾝﾁb1" localSheetId="2">'[7]C5-基本計算（常時）'!#REF!</definedName>
    <definedName name="ｽﾗﾌﾞﾊﾝﾁb1" localSheetId="3">'[7]C5-基本計算（常時）'!#REF!</definedName>
    <definedName name="ｽﾗﾌﾞﾊﾝﾁb1" localSheetId="0">'[7]C5-基本計算（常時）'!#REF!</definedName>
    <definedName name="ｽﾗﾌﾞﾊﾝﾁb1">'[14]L2-基本1'!$AF$23</definedName>
    <definedName name="ｽﾗﾌﾞﾊﾝﾁb2">[24]基本ﾃﾞｰﾀｼｰﾄ!$C$27</definedName>
    <definedName name="ｽﾗﾌﾞﾊﾝﾁh1" localSheetId="2">'[7]C5-基本計算（常時）'!#REF!</definedName>
    <definedName name="ｽﾗﾌﾞﾊﾝﾁh1" localSheetId="3">'[7]C5-基本計算（常時）'!#REF!</definedName>
    <definedName name="ｽﾗﾌﾞﾊﾝﾁh1" localSheetId="0">'[7]C5-基本計算（常時）'!#REF!</definedName>
    <definedName name="ｽﾗﾌﾞﾊﾝﾁh1">'[14]L2-基本1'!$AF$24</definedName>
    <definedName name="ｽﾗﾌﾞﾊﾝﾁh2">[24]基本ﾃﾞｰﾀｼｰﾄ!$C$29</definedName>
    <definedName name="そおお">'[15]×構造計算 (表層厚66.50m)'!$K$333</definedName>
    <definedName name="タイトル">#REF!</definedName>
    <definedName name="チェック">#N/A</definedName>
    <definedName name="つり合い">#REF!</definedName>
    <definedName name="データ286">[13]固死!#REF!</definedName>
    <definedName name="データ287">[13]固死!#REF!</definedName>
    <definedName name="データ288">[13]固死!#REF!</definedName>
    <definedName name="データ289">[13]固死!#REF!</definedName>
    <definedName name="データ290">[13]固死!#REF!</definedName>
    <definedName name="テキスト">#REF!</definedName>
    <definedName name="ハンチ">#REF!</definedName>
    <definedName name="ボックス内水深">'[15]×構造計算 (表層厚66.50m)'!$O$105</definedName>
    <definedName name="まとめ">#REF!</definedName>
    <definedName name="メニュー">#REF!</definedName>
    <definedName name="ﾗｰﾒﾝ支max">#REF!</definedName>
    <definedName name="ﾗｰﾒﾝ支min">#REF!</definedName>
    <definedName name="ﾗｰﾒﾝ中max">#REF!</definedName>
    <definedName name="ﾗｰﾒﾝ中min">#REF!</definedName>
    <definedName name="印刷1">#REF!</definedName>
    <definedName name="印刷10">#REF!</definedName>
    <definedName name="印刷11">#REF!</definedName>
    <definedName name="印刷12">#REF!</definedName>
    <definedName name="印刷13">#REF!</definedName>
    <definedName name="印刷14">[25]躯体の設計!$AM$6:$AU$165</definedName>
    <definedName name="印刷2">#REF!</definedName>
    <definedName name="印刷3">#REF!</definedName>
    <definedName name="印刷4">#REF!</definedName>
    <definedName name="印刷5">#REF!</definedName>
    <definedName name="印刷6">#REF!</definedName>
    <definedName name="印刷7">#REF!</definedName>
    <definedName name="印刷8">#REF!</definedName>
    <definedName name="印刷9">#REF!</definedName>
    <definedName name="奥">#REF!</definedName>
    <definedName name="応力抽出">#N/A</definedName>
    <definedName name="横小梁b1">[23]基本ﾃﾞｰﾀｼｰﾄ!$B$15</definedName>
    <definedName name="横小梁b2">[24]基本ﾃﾞｰﾀｼｰﾄ!$C$15</definedName>
    <definedName name="横小梁h1">[23]基本ﾃﾞｰﾀｼｰﾄ!$B$17</definedName>
    <definedName name="横小梁h2">[24]基本ﾃﾞｰﾀｼｰﾄ!$C$17</definedName>
    <definedName name="横梁b1">[23]基本ﾃﾞｰﾀｼｰﾄ!$B$7</definedName>
    <definedName name="横梁b3">[24]基本ﾃﾞｰﾀｼｰﾄ!$D$7</definedName>
    <definedName name="横梁h1">[23]基本ﾃﾞｰﾀｼｰﾄ!$B$9</definedName>
    <definedName name="横梁h2">[24]基本ﾃﾞｰﾀｼｰﾄ!$C$9</definedName>
    <definedName name="荷重">#REF!</definedName>
    <definedName name="換算">#REF!</definedName>
    <definedName name="軌道">#REF!</definedName>
    <definedName name="計算条件">#REF!</definedName>
    <definedName name="呼び径D13forD22">'[26]Steel Data'!$B$8:$B$11</definedName>
    <definedName name="呼び径D25forD51">'[26]Steel Data'!$B$12:$B$18</definedName>
    <definedName name="呼び出し">#REF!</definedName>
    <definedName name="固定支max">#REF!</definedName>
    <definedName name="固定支min">#REF!</definedName>
    <definedName name="固定中max">#REF!</definedName>
    <definedName name="固定中min">#REF!</definedName>
    <definedName name="杭φ1" localSheetId="2">'[7]C5-基本計算（常時）'!#REF!</definedName>
    <definedName name="杭φ1" localSheetId="3">'[7]C5-基本計算（常時）'!#REF!</definedName>
    <definedName name="杭φ1" localSheetId="0">'[7]C5-基本計算（常時）'!#REF!</definedName>
    <definedName name="杭φ1">'[22]L2-基本1'!$AF$51</definedName>
    <definedName name="杭φ2">[27]基本ﾃﾞｰﾀｼｰﾄ!$B$39</definedName>
    <definedName name="杭受台b1" localSheetId="2">'[7]C5-基本計算（常時）'!#REF!</definedName>
    <definedName name="杭受台b1" localSheetId="3">'[7]C5-基本計算（常時）'!#REF!</definedName>
    <definedName name="杭受台b1" localSheetId="0">'[7]C5-基本計算（常時）'!#REF!</definedName>
    <definedName name="杭受台b1">'[22]L2-基本1'!$AF$43</definedName>
    <definedName name="杭受台b2" localSheetId="2">'[7]C5-基本計算（常時）'!#REF!</definedName>
    <definedName name="杭受台b2" localSheetId="3">'[7]C5-基本計算（常時）'!#REF!</definedName>
    <definedName name="杭受台b2" localSheetId="0">'[7]C5-基本計算（常時）'!#REF!</definedName>
    <definedName name="杭受台b2">'[22]L2-基本1'!$AF$45</definedName>
    <definedName name="杭受台h1">'[7]C5-基本計算（常時）'!#REF!</definedName>
    <definedName name="杭受台h2">'[7]C5-基本計算（常時）'!#REF!</definedName>
    <definedName name="構造物天端高">#REF!</definedName>
    <definedName name="高">#REF!</definedName>
    <definedName name="根入れ総括">#REF!</definedName>
    <definedName name="根入れ長">#REF!</definedName>
    <definedName name="砂質ｼﾙﾄｋh">'[15]×構造計算 (表層厚66.50m)'!$Q$674</definedName>
    <definedName name="細砂ｋh">'[15]×構造計算 (表層厚66.50m)'!$Q$672</definedName>
    <definedName name="軸14">#REF!</definedName>
    <definedName name="軸23">#REF!</definedName>
    <definedName name="軸高">#REF!</definedName>
    <definedName name="終了">#REF!</definedName>
    <definedName name="縦小梁b1">#REF!</definedName>
    <definedName name="縦小梁b2">#REF!</definedName>
    <definedName name="縦小梁h1">#REF!</definedName>
    <definedName name="縦小梁h2">#REF!</definedName>
    <definedName name="縦梁b1">[23]基本ﾃﾞｰﾀｼｰﾄ!$B$3</definedName>
    <definedName name="縦梁b3">[24]基本ﾃﾞｰﾀｼｰﾄ!$D$3</definedName>
    <definedName name="縦梁h1">[23]基本ﾃﾞｰﾀｼｰﾄ!$B$5</definedName>
    <definedName name="縦梁h2">[28]基本ﾃﾞｰﾀｼｰﾄ!$C$5</definedName>
    <definedName name="上載土">[29]固定死荷重2!#REF!</definedName>
    <definedName name="上層横小梁b1" localSheetId="2">'[7]C5-基本計算（常時）'!#REF!</definedName>
    <definedName name="上層横小梁b1" localSheetId="3">'[7]C5-基本計算（常時）'!#REF!</definedName>
    <definedName name="上層横小梁b1" localSheetId="0">'[7]C5-基本計算（常時）'!#REF!</definedName>
    <definedName name="上層横小梁b1">'[14]L2-基本1'!$AF$35</definedName>
    <definedName name="上層横小梁h1" localSheetId="2">'[7]C5-基本計算（常時）'!#REF!</definedName>
    <definedName name="上層横小梁h1" localSheetId="3">'[7]C5-基本計算（常時）'!#REF!</definedName>
    <definedName name="上層横小梁h1" localSheetId="0">'[7]C5-基本計算（常時）'!#REF!</definedName>
    <definedName name="上層横小梁h1">'[14]L2-基本1'!$AF$36</definedName>
    <definedName name="上層横梁b1" localSheetId="2">'[7]C5-基本計算（常時）'!#REF!</definedName>
    <definedName name="上層横梁b1" localSheetId="3">'[7]C5-基本計算（常時）'!#REF!</definedName>
    <definedName name="上層横梁b1" localSheetId="0">'[7]C5-基本計算（常時）'!#REF!</definedName>
    <definedName name="上層横梁b1">'[14]L2-基本1'!$AF$31</definedName>
    <definedName name="上層横梁h1" localSheetId="2">'[7]C5-基本計算（常時）'!#REF!</definedName>
    <definedName name="上層横梁h1" localSheetId="3">'[7]C5-基本計算（常時）'!#REF!</definedName>
    <definedName name="上層横梁h1" localSheetId="0">'[7]C5-基本計算（常時）'!#REF!</definedName>
    <definedName name="上層横梁h1">'[14]L2-基本1'!$AF$32</definedName>
    <definedName name="上層縦小梁b1">'[7]C5-基本計算（常時）'!#REF!</definedName>
    <definedName name="上層縦小梁h1">'[7]C5-基本計算（常時）'!#REF!</definedName>
    <definedName name="上層縦梁b1" localSheetId="2">'[7]C5-基本計算（常時）'!#REF!</definedName>
    <definedName name="上層縦梁b1" localSheetId="3">'[7]C5-基本計算（常時）'!#REF!</definedName>
    <definedName name="上層縦梁b1" localSheetId="0">'[7]C5-基本計算（常時）'!#REF!</definedName>
    <definedName name="上層縦梁b1">'[14]L2-基本1'!$AF$27</definedName>
    <definedName name="上層縦梁h1" localSheetId="2">'[7]C5-基本計算（常時）'!#REF!</definedName>
    <definedName name="上層縦梁h1" localSheetId="3">'[7]C5-基本計算（常時）'!#REF!</definedName>
    <definedName name="上層縦梁h1" localSheetId="0">'[7]C5-基本計算（常時）'!#REF!</definedName>
    <definedName name="上層縦梁h1">'[14]L2-基本1'!$AF$28</definedName>
    <definedName name="上層縦梁ﾊﾝﾁb1" localSheetId="2">'[7]C5-基本計算（常時）'!#REF!</definedName>
    <definedName name="上層縦梁ﾊﾝﾁb1" localSheetId="3">'[7]C5-基本計算（常時）'!#REF!</definedName>
    <definedName name="上層縦梁ﾊﾝﾁb1" localSheetId="0">'[7]C5-基本計算（常時）'!#REF!</definedName>
    <definedName name="上層縦梁ﾊﾝﾁb1">'[14]L2-基本1'!$AF$29</definedName>
    <definedName name="上層縦梁ﾊﾝﾁh1" localSheetId="2">'[7]C5-基本計算（常時）'!#REF!</definedName>
    <definedName name="上層縦梁ﾊﾝﾁh1" localSheetId="3">'[7]C5-基本計算（常時）'!#REF!</definedName>
    <definedName name="上層縦梁ﾊﾝﾁh1" localSheetId="0">'[7]C5-基本計算（常時）'!#REF!</definedName>
    <definedName name="上層縦梁ﾊﾝﾁh1">'[14]L2-基本1'!$AF$30</definedName>
    <definedName name="上層端横梁b1" localSheetId="2">'[7]C5-基本計算（常時）'!#REF!</definedName>
    <definedName name="上層端横梁b1" localSheetId="3">'[7]C5-基本計算（常時）'!#REF!</definedName>
    <definedName name="上層端横梁b1" localSheetId="0">'[7]C5-基本計算（常時）'!#REF!</definedName>
    <definedName name="上層端横梁b1">'[14]L2-基本1'!$AF$33</definedName>
    <definedName name="上層端横梁h1" localSheetId="2">'[7]C5-基本計算（常時）'!#REF!</definedName>
    <definedName name="上層端横梁h1" localSheetId="3">'[7]C5-基本計算（常時）'!#REF!</definedName>
    <definedName name="上層端横梁h1" localSheetId="0">'[7]C5-基本計算（常時）'!#REF!</definedName>
    <definedName name="上層端横梁h1">'[14]L2-基本1'!$AF$34</definedName>
    <definedName name="職種">#REF!</definedName>
    <definedName name="水管頂版">#REF!</definedName>
    <definedName name="折曲筋">#REF!</definedName>
    <definedName name="全体印刷">#REF!</definedName>
    <definedName name="総括印刷">#REF!</definedName>
    <definedName name="総括表">#REF!</definedName>
    <definedName name="側壁">#REF!</definedName>
    <definedName name="側壁厚１">'[15]×構造計算 (表層厚66.50m)'!$K$333</definedName>
    <definedName name="端柱b1" localSheetId="2">'[7]C5-基本計算（常時）'!#REF!</definedName>
    <definedName name="端柱b1" localSheetId="3">'[7]C5-基本計算（常時）'!#REF!</definedName>
    <definedName name="端柱b1" localSheetId="0">'[7]C5-基本計算（常時）'!#REF!</definedName>
    <definedName name="端柱b1">'[14]L2-基本1'!$AF$47</definedName>
    <definedName name="端柱h1" localSheetId="2">'[7]C5-基本計算（常時）'!#REF!</definedName>
    <definedName name="端柱h1" localSheetId="3">'[7]C5-基本計算（常時）'!#REF!</definedName>
    <definedName name="端柱h1" localSheetId="0">'[7]C5-基本計算（常時）'!#REF!</definedName>
    <definedName name="端柱h1">'[14]L2-基本1'!$AF$48</definedName>
    <definedName name="断面係数">#REF!</definedName>
    <definedName name="地下水位高">#REF!</definedName>
    <definedName name="地中梁横b1">'[7]C5-基本計算（常時）'!#REF!</definedName>
    <definedName name="地中梁横h1">'[7]C5-基本計算（常時）'!#REF!</definedName>
    <definedName name="地中梁縦b1">'[7]C5-基本計算（常時）'!#REF!</definedName>
    <definedName name="地中梁縦h1">'[7]C5-基本計算（常時）'!#REF!</definedName>
    <definedName name="地中梁端横b1">'[7]C5-基本計算（常時）'!#REF!</definedName>
    <definedName name="地中梁端横h1">'[7]C5-基本計算（常時）'!#REF!</definedName>
    <definedName name="地反1">#REF!</definedName>
    <definedName name="地反2">#REF!</definedName>
    <definedName name="地盤高">'[15]×構造計算 (表層厚66.50m)'!$O$115</definedName>
    <definedName name="池内水位高">#REF!</definedName>
    <definedName name="池幅">#REF!</definedName>
    <definedName name="中央線">#REF!</definedName>
    <definedName name="中間柱b1" localSheetId="2">'[7]C5-基本計算（常時）'!#REF!</definedName>
    <definedName name="中間柱b1" localSheetId="3">'[7]C5-基本計算（常時）'!#REF!</definedName>
    <definedName name="中間柱b1" localSheetId="0">'[7]C5-基本計算（常時）'!#REF!</definedName>
    <definedName name="中間柱b1">'[14]L2-基本1'!$AF$49</definedName>
    <definedName name="中間柱h1" localSheetId="2">'[7]C5-基本計算（常時）'!#REF!</definedName>
    <definedName name="中間柱h1" localSheetId="3">'[7]C5-基本計算（常時）'!#REF!</definedName>
    <definedName name="中間柱h1" localSheetId="0">'[7]C5-基本計算（常時）'!#REF!</definedName>
    <definedName name="中間柱h1">'[14]L2-基本1'!$AF$50</definedName>
    <definedName name="中壁">#REF!</definedName>
    <definedName name="中壁1">#REF!</definedName>
    <definedName name="中壁2">#REF!</definedName>
    <definedName name="柱b1">[23]基本ﾃﾞｰﾀｼｰﾄ!$B$31</definedName>
    <definedName name="柱b2">#REF!</definedName>
    <definedName name="柱h1">[23]基本ﾃﾞｰﾀｼｰﾄ!$B$33</definedName>
    <definedName name="柱h2">[30]基本ﾃﾞｰﾀｼｰﾄ!$C$33</definedName>
    <definedName name="頂版">#REF!</definedName>
    <definedName name="頂版厚１">'[15]×構造計算 (表層厚66.50m)'!$K$332</definedName>
    <definedName name="頂版上面１">'[15]×構造計算 (表層厚66.50m)'!$H$321</definedName>
    <definedName name="底版">#REF!</definedName>
    <definedName name="底版下面１">'[15]×構造計算 (表層厚66.50m)'!$H$322</definedName>
    <definedName name="底版厚１">'[15]×構造計算 (表層厚66.50m)'!$K$334</definedName>
    <definedName name="抵抗モーメント" hidden="1">[6]ｽｲﾍｲ!$C$22</definedName>
    <definedName name="土被り">#REF!</definedName>
    <definedName name="土木">#REF!</definedName>
    <definedName name="粘土質ｼﾙﾄｋh">'[15]×構造計算 (表層厚66.50m)'!$Q$673</definedName>
    <definedName name="排水勾配">#REF!</definedName>
    <definedName name="白紙" hidden="1">[31]ｽｲﾍｲ!$C$22</definedName>
    <definedName name="標準">'[14]L2-基本1'!$AF$15</definedName>
    <definedName name="表紙">#REF!</definedName>
    <definedName name="幅">#REF!</definedName>
    <definedName name="片持ｽﾗﾌﾞ1" localSheetId="2">'[7]C5-基本計算（常時）'!#REF!</definedName>
    <definedName name="片持ｽﾗﾌﾞ1" localSheetId="3">'[7]C5-基本計算（常時）'!#REF!</definedName>
    <definedName name="片持ｽﾗﾌﾞ1" localSheetId="0">'[7]C5-基本計算（常時）'!#REF!</definedName>
    <definedName name="片持ｽﾗﾌﾞ1">'[22]L2-基本1'!$AF$25</definedName>
    <definedName name="片持ｽﾗﾌﾞ2" localSheetId="2">'[7]C5-基本計算（常時）'!#REF!</definedName>
    <definedName name="片持ｽﾗﾌﾞ2" localSheetId="3">'[7]C5-基本計算（常時）'!#REF!</definedName>
    <definedName name="片持ｽﾗﾌﾞ2" localSheetId="0">'[7]C5-基本計算（常時）'!#REF!</definedName>
    <definedName name="片持ｽﾗﾌﾞ2">'[14]L2-基本1'!$AF$26</definedName>
    <definedName name="梁ﾊﾝﾁb1">[23]基本ﾃﾞｰﾀｼｰﾄ!$B$19</definedName>
    <definedName name="梁ﾊﾝﾁh1">[23]基本ﾃﾞｰﾀｼｰﾄ!$B$21</definedName>
    <definedName name="労務費">#REF!</definedName>
    <definedName name="労務費１">#REF!</definedName>
    <definedName name="肋筋支点">#REF!</definedName>
    <definedName name="肋筋中央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62" l="1"/>
  <c r="G18" i="62"/>
  <c r="G14" i="62"/>
  <c r="F19" i="62"/>
  <c r="F18" i="62"/>
  <c r="F14" i="62"/>
  <c r="AF17" i="59"/>
  <c r="AF18" i="59"/>
  <c r="AF19" i="59"/>
  <c r="AF22" i="59"/>
  <c r="AF16" i="59"/>
  <c r="H121" i="50"/>
  <c r="G104" i="50"/>
  <c r="G90" i="50"/>
  <c r="G88" i="50"/>
  <c r="G84" i="50"/>
  <c r="G80" i="50"/>
  <c r="G78" i="50"/>
  <c r="G76" i="50"/>
  <c r="E104" i="50"/>
  <c r="E90" i="50"/>
  <c r="E124" i="50" s="1"/>
  <c r="E88" i="50"/>
  <c r="F88" i="50" s="1"/>
  <c r="E84" i="50"/>
  <c r="E80" i="50"/>
  <c r="E78" i="50"/>
  <c r="E76" i="50"/>
  <c r="E69" i="50"/>
  <c r="E68" i="50"/>
  <c r="E66" i="50"/>
  <c r="H125" i="49"/>
  <c r="G112" i="49"/>
  <c r="G96" i="49"/>
  <c r="G95" i="49"/>
  <c r="G91" i="49"/>
  <c r="G87" i="49"/>
  <c r="G85" i="49"/>
  <c r="G79" i="49"/>
  <c r="E112" i="49"/>
  <c r="E96" i="49"/>
  <c r="F96" i="49" s="1"/>
  <c r="E95" i="49"/>
  <c r="E91" i="49"/>
  <c r="E87" i="49"/>
  <c r="E85" i="49"/>
  <c r="E79" i="49"/>
  <c r="E72" i="49"/>
  <c r="E71" i="49"/>
  <c r="E69" i="49"/>
  <c r="E69" i="48"/>
  <c r="E68" i="48"/>
  <c r="E66" i="48"/>
  <c r="H121" i="48"/>
  <c r="G104" i="48"/>
  <c r="G90" i="48"/>
  <c r="G88" i="48"/>
  <c r="G84" i="48"/>
  <c r="G80" i="48"/>
  <c r="G78" i="48"/>
  <c r="G76" i="48"/>
  <c r="E104" i="48"/>
  <c r="E90" i="48"/>
  <c r="F90" i="48" s="1"/>
  <c r="E88" i="48"/>
  <c r="F88" i="48" s="1"/>
  <c r="E84" i="48"/>
  <c r="E80" i="48"/>
  <c r="E78" i="48"/>
  <c r="E76" i="48"/>
  <c r="H125" i="40"/>
  <c r="G112" i="40"/>
  <c r="G96" i="40"/>
  <c r="G95" i="40"/>
  <c r="G91" i="40"/>
  <c r="G87" i="40"/>
  <c r="G85" i="40"/>
  <c r="G79" i="40"/>
  <c r="E112" i="40"/>
  <c r="E96" i="40"/>
  <c r="F96" i="40" s="1"/>
  <c r="E95" i="40"/>
  <c r="E91" i="40"/>
  <c r="F91" i="40" s="1"/>
  <c r="E87" i="40"/>
  <c r="E85" i="40"/>
  <c r="E79" i="40"/>
  <c r="E72" i="40"/>
  <c r="E71" i="40"/>
  <c r="E69" i="40"/>
  <c r="F74" i="47"/>
  <c r="K75" i="47" s="1"/>
  <c r="F65" i="47"/>
  <c r="K66" i="47" s="1"/>
  <c r="F64" i="47"/>
  <c r="F61" i="47"/>
  <c r="K62" i="47" s="1"/>
  <c r="F58" i="47"/>
  <c r="K59" i="47" s="1"/>
  <c r="F56" i="47"/>
  <c r="F54" i="47"/>
  <c r="K54" i="47" s="1"/>
  <c r="E74" i="47"/>
  <c r="E65" i="47"/>
  <c r="E64" i="47"/>
  <c r="H64" i="47" s="1"/>
  <c r="E61" i="47"/>
  <c r="E58" i="47"/>
  <c r="E56" i="47"/>
  <c r="E54" i="47"/>
  <c r="E47" i="47"/>
  <c r="E46" i="47"/>
  <c r="G54" i="47" s="1"/>
  <c r="F77" i="36"/>
  <c r="F69" i="36"/>
  <c r="F67" i="36"/>
  <c r="F64" i="36"/>
  <c r="K65" i="36" s="1"/>
  <c r="F61" i="36"/>
  <c r="K62" i="36" s="1"/>
  <c r="F59" i="36"/>
  <c r="F56" i="36"/>
  <c r="E77" i="36"/>
  <c r="E69" i="36"/>
  <c r="E67" i="36"/>
  <c r="E64" i="36"/>
  <c r="E61" i="36"/>
  <c r="E59" i="36"/>
  <c r="E56" i="36"/>
  <c r="E49" i="36"/>
  <c r="E48" i="36"/>
  <c r="G56" i="36" s="1"/>
  <c r="R18" i="52"/>
  <c r="R17" i="52"/>
  <c r="R16" i="52"/>
  <c r="R15" i="52"/>
  <c r="R14" i="52"/>
  <c r="R13" i="52"/>
  <c r="R12" i="52"/>
  <c r="U84" i="47"/>
  <c r="U83" i="47"/>
  <c r="U82" i="47"/>
  <c r="U81" i="47"/>
  <c r="U80" i="47"/>
  <c r="U79" i="47"/>
  <c r="U78" i="47"/>
  <c r="U77" i="47"/>
  <c r="U76" i="47"/>
  <c r="U75" i="47"/>
  <c r="U74" i="47"/>
  <c r="U73" i="47"/>
  <c r="U72" i="47"/>
  <c r="U71" i="47"/>
  <c r="U70" i="47"/>
  <c r="U69" i="47"/>
  <c r="U68" i="47"/>
  <c r="U67" i="47"/>
  <c r="U66" i="47"/>
  <c r="U65" i="47"/>
  <c r="U64" i="47"/>
  <c r="U63" i="47"/>
  <c r="U62" i="47"/>
  <c r="V61" i="47"/>
  <c r="U61" i="47"/>
  <c r="U59" i="47"/>
  <c r="U58" i="47"/>
  <c r="U57" i="47"/>
  <c r="U56" i="47"/>
  <c r="U55" i="47"/>
  <c r="U54" i="47"/>
  <c r="U53" i="47"/>
  <c r="U52" i="47"/>
  <c r="U51" i="47"/>
  <c r="U50" i="47"/>
  <c r="U49" i="47"/>
  <c r="U48" i="47"/>
  <c r="U47" i="47"/>
  <c r="U46" i="47"/>
  <c r="U45" i="47"/>
  <c r="U44" i="47"/>
  <c r="U43" i="47"/>
  <c r="U42" i="47"/>
  <c r="U41" i="47"/>
  <c r="U40" i="47"/>
  <c r="U39" i="47"/>
  <c r="U38" i="47"/>
  <c r="U37" i="47"/>
  <c r="U36" i="47"/>
  <c r="U34" i="47"/>
  <c r="U33" i="47"/>
  <c r="U32" i="47"/>
  <c r="U31" i="47"/>
  <c r="U30" i="47"/>
  <c r="U29" i="47"/>
  <c r="U28" i="47"/>
  <c r="U27" i="47"/>
  <c r="U26" i="47"/>
  <c r="U25" i="47"/>
  <c r="U24" i="47"/>
  <c r="U23" i="47"/>
  <c r="U22" i="47"/>
  <c r="U21" i="47"/>
  <c r="U20" i="47"/>
  <c r="U19" i="47"/>
  <c r="U18" i="47"/>
  <c r="U17" i="47"/>
  <c r="U16" i="47"/>
  <c r="U15" i="47"/>
  <c r="U14" i="47"/>
  <c r="U13" i="47"/>
  <c r="U12" i="47"/>
  <c r="V11" i="47"/>
  <c r="U11" i="47"/>
  <c r="V64" i="36"/>
  <c r="V63" i="36"/>
  <c r="V14" i="36"/>
  <c r="V13" i="36"/>
  <c r="U86" i="36"/>
  <c r="U85" i="36"/>
  <c r="U84" i="36"/>
  <c r="U83" i="36"/>
  <c r="U82" i="36"/>
  <c r="U81" i="36"/>
  <c r="U80" i="36"/>
  <c r="U79" i="36"/>
  <c r="U78" i="36"/>
  <c r="U77" i="36"/>
  <c r="U76" i="36"/>
  <c r="U75" i="36"/>
  <c r="U74" i="36"/>
  <c r="U73" i="36"/>
  <c r="U72" i="36"/>
  <c r="U71" i="36"/>
  <c r="U70" i="36"/>
  <c r="U69" i="36"/>
  <c r="U68" i="36"/>
  <c r="U67" i="36"/>
  <c r="U66" i="36"/>
  <c r="U65" i="36"/>
  <c r="U64" i="36"/>
  <c r="U63" i="36"/>
  <c r="U61" i="36"/>
  <c r="U60" i="36"/>
  <c r="U59" i="36"/>
  <c r="U58" i="36"/>
  <c r="U57" i="36"/>
  <c r="U56" i="36"/>
  <c r="U55" i="36"/>
  <c r="U54" i="36"/>
  <c r="U53" i="36"/>
  <c r="U52" i="36"/>
  <c r="U51" i="36"/>
  <c r="U50" i="36"/>
  <c r="U49" i="36"/>
  <c r="U48" i="36"/>
  <c r="U47" i="36"/>
  <c r="U46" i="36"/>
  <c r="U45" i="36"/>
  <c r="U44" i="36"/>
  <c r="U43" i="36"/>
  <c r="U42" i="36"/>
  <c r="U41" i="36"/>
  <c r="U40" i="36"/>
  <c r="U39" i="36"/>
  <c r="U38" i="36"/>
  <c r="U14" i="36"/>
  <c r="U15" i="36"/>
  <c r="U16" i="36"/>
  <c r="U17" i="36"/>
  <c r="U18" i="36"/>
  <c r="U19" i="36"/>
  <c r="U20" i="36"/>
  <c r="U21" i="36"/>
  <c r="U22" i="36"/>
  <c r="U23" i="36"/>
  <c r="U24" i="36"/>
  <c r="U25" i="36"/>
  <c r="U26" i="36"/>
  <c r="U27" i="36"/>
  <c r="U28" i="36"/>
  <c r="U29" i="36"/>
  <c r="U30" i="36"/>
  <c r="U31" i="36"/>
  <c r="U32" i="36"/>
  <c r="U33" i="36"/>
  <c r="U34" i="36"/>
  <c r="U35" i="36"/>
  <c r="U36" i="36"/>
  <c r="U13" i="36"/>
  <c r="Y7" i="39"/>
  <c r="Y8" i="39"/>
  <c r="Y9" i="39"/>
  <c r="Y10" i="39"/>
  <c r="Y11" i="39"/>
  <c r="Y6" i="39"/>
  <c r="V7" i="39"/>
  <c r="V8" i="39"/>
  <c r="V9" i="39"/>
  <c r="V10" i="39"/>
  <c r="V11" i="39"/>
  <c r="V6" i="39"/>
  <c r="AD7" i="39"/>
  <c r="AD8" i="39"/>
  <c r="AD9" i="39"/>
  <c r="AD10" i="39"/>
  <c r="AD11" i="39"/>
  <c r="AD6" i="39"/>
  <c r="AC7" i="39"/>
  <c r="AC8" i="39"/>
  <c r="AC9" i="39"/>
  <c r="AC10" i="39"/>
  <c r="AC11" i="39"/>
  <c r="AC6" i="39"/>
  <c r="AA7" i="39"/>
  <c r="AA8" i="39"/>
  <c r="AA9" i="39"/>
  <c r="AA10" i="39"/>
  <c r="AA11" i="39"/>
  <c r="AA6" i="39"/>
  <c r="X7" i="39"/>
  <c r="X8" i="39"/>
  <c r="X9" i="39"/>
  <c r="X10" i="39"/>
  <c r="X11" i="39"/>
  <c r="X6" i="39"/>
  <c r="U7" i="39"/>
  <c r="AB7" i="39" s="1"/>
  <c r="U9" i="39"/>
  <c r="AB9" i="39" s="1"/>
  <c r="U10" i="39"/>
  <c r="AB10" i="39" s="1"/>
  <c r="U11" i="39"/>
  <c r="AB11" i="39" s="1"/>
  <c r="U6" i="39"/>
  <c r="AB6" i="39" s="1"/>
  <c r="S7" i="39"/>
  <c r="S8" i="39"/>
  <c r="S9" i="39"/>
  <c r="S10" i="39"/>
  <c r="S11" i="39"/>
  <c r="S6" i="39"/>
  <c r="V109" i="48"/>
  <c r="V110" i="48"/>
  <c r="V111" i="48"/>
  <c r="V112" i="48"/>
  <c r="V113" i="48"/>
  <c r="V114" i="48"/>
  <c r="V115" i="48"/>
  <c r="V116" i="48"/>
  <c r="V117" i="48"/>
  <c r="V118" i="48"/>
  <c r="V119" i="48"/>
  <c r="V120" i="48"/>
  <c r="V121" i="48"/>
  <c r="V122" i="48"/>
  <c r="V123" i="48"/>
  <c r="V124" i="48"/>
  <c r="V125" i="48"/>
  <c r="V126" i="48"/>
  <c r="V127" i="48"/>
  <c r="U111" i="48"/>
  <c r="U112" i="48"/>
  <c r="U113" i="48"/>
  <c r="U114" i="48"/>
  <c r="U115" i="48"/>
  <c r="U116" i="48"/>
  <c r="U117" i="48"/>
  <c r="U118" i="48"/>
  <c r="U119" i="48"/>
  <c r="U120" i="48"/>
  <c r="U121" i="48"/>
  <c r="U122" i="48"/>
  <c r="U123" i="48"/>
  <c r="U124" i="48"/>
  <c r="U125" i="48"/>
  <c r="U126" i="48"/>
  <c r="U127" i="48"/>
  <c r="S104" i="48"/>
  <c r="X127" i="48"/>
  <c r="AA127" i="48" s="1"/>
  <c r="AB127" i="48" s="1"/>
  <c r="AC127" i="48" s="1"/>
  <c r="AD127" i="48" s="1"/>
  <c r="X126" i="48"/>
  <c r="AA126" i="48" s="1"/>
  <c r="AB126" i="48" s="1"/>
  <c r="AC126" i="48" s="1"/>
  <c r="AD126" i="48" s="1"/>
  <c r="X125" i="48"/>
  <c r="AA125" i="48" s="1"/>
  <c r="AB125" i="48" s="1"/>
  <c r="AC125" i="48" s="1"/>
  <c r="AD125" i="48" s="1"/>
  <c r="X124" i="48"/>
  <c r="AA124" i="48" s="1"/>
  <c r="AB124" i="48" s="1"/>
  <c r="AC124" i="48" s="1"/>
  <c r="AD124" i="48" s="1"/>
  <c r="X123" i="48"/>
  <c r="AA123" i="48" s="1"/>
  <c r="AB123" i="48" s="1"/>
  <c r="AC123" i="48" s="1"/>
  <c r="AD123" i="48" s="1"/>
  <c r="X122" i="48"/>
  <c r="AA122" i="48" s="1"/>
  <c r="AB122" i="48" s="1"/>
  <c r="AC122" i="48" s="1"/>
  <c r="AD122" i="48" s="1"/>
  <c r="X121" i="48"/>
  <c r="AA121" i="48" s="1"/>
  <c r="AB121" i="48" s="1"/>
  <c r="AC121" i="48" s="1"/>
  <c r="AD121" i="48" s="1"/>
  <c r="X120" i="48"/>
  <c r="AA120" i="48" s="1"/>
  <c r="AB120" i="48" s="1"/>
  <c r="AC120" i="48" s="1"/>
  <c r="AD120" i="48" s="1"/>
  <c r="X119" i="48"/>
  <c r="AA119" i="48" s="1"/>
  <c r="AB119" i="48" s="1"/>
  <c r="AC119" i="48" s="1"/>
  <c r="AD119" i="48" s="1"/>
  <c r="X118" i="48"/>
  <c r="AA118" i="48" s="1"/>
  <c r="AB118" i="48" s="1"/>
  <c r="AC118" i="48" s="1"/>
  <c r="AD118" i="48" s="1"/>
  <c r="X117" i="48"/>
  <c r="AA117" i="48" s="1"/>
  <c r="AB117" i="48" s="1"/>
  <c r="AC117" i="48" s="1"/>
  <c r="AD117" i="48" s="1"/>
  <c r="X116" i="48"/>
  <c r="AA116" i="48" s="1"/>
  <c r="AB116" i="48" s="1"/>
  <c r="AC116" i="48" s="1"/>
  <c r="AD116" i="48" s="1"/>
  <c r="X115" i="48"/>
  <c r="AA115" i="48" s="1"/>
  <c r="AB115" i="48" s="1"/>
  <c r="AC115" i="48" s="1"/>
  <c r="AD115" i="48" s="1"/>
  <c r="X114" i="48"/>
  <c r="AA114" i="48" s="1"/>
  <c r="AB114" i="48" s="1"/>
  <c r="AC114" i="48" s="1"/>
  <c r="AD114" i="48" s="1"/>
  <c r="X113" i="48"/>
  <c r="AA113" i="48" s="1"/>
  <c r="AB113" i="48" s="1"/>
  <c r="AC113" i="48" s="1"/>
  <c r="AD113" i="48" s="1"/>
  <c r="X112" i="48"/>
  <c r="AA112" i="48" s="1"/>
  <c r="AB112" i="48" s="1"/>
  <c r="AC112" i="48" s="1"/>
  <c r="AD112" i="48" s="1"/>
  <c r="X111" i="48"/>
  <c r="AA111" i="48" s="1"/>
  <c r="AB111" i="48" s="1"/>
  <c r="AC111" i="48" s="1"/>
  <c r="AD111" i="48" s="1"/>
  <c r="Y110" i="48"/>
  <c r="Z110" i="48" s="1"/>
  <c r="W110" i="48"/>
  <c r="S105" i="48"/>
  <c r="S106" i="48" s="1"/>
  <c r="S107" i="48" s="1"/>
  <c r="S108" i="48" s="1"/>
  <c r="S109" i="48" s="1"/>
  <c r="S110" i="48" s="1"/>
  <c r="S111" i="48" s="1"/>
  <c r="S112" i="48" s="1"/>
  <c r="S113" i="48" s="1"/>
  <c r="S114" i="48" s="1"/>
  <c r="S115" i="48" s="1"/>
  <c r="S116" i="48" s="1"/>
  <c r="S117" i="48" s="1"/>
  <c r="S118" i="48" s="1"/>
  <c r="S119" i="48" s="1"/>
  <c r="S120" i="48" s="1"/>
  <c r="S121" i="48" s="1"/>
  <c r="S122" i="48" s="1"/>
  <c r="S123" i="48" s="1"/>
  <c r="S124" i="48" s="1"/>
  <c r="S125" i="48" s="1"/>
  <c r="S126" i="48" s="1"/>
  <c r="S127" i="48" s="1"/>
  <c r="S128" i="48" s="1"/>
  <c r="S74" i="48"/>
  <c r="S75" i="48" s="1"/>
  <c r="S76" i="48" s="1"/>
  <c r="S77" i="48" s="1"/>
  <c r="S78" i="48" s="1"/>
  <c r="S79" i="48" s="1"/>
  <c r="S80" i="48" s="1"/>
  <c r="S81" i="48" s="1"/>
  <c r="S82" i="48" s="1"/>
  <c r="S83" i="48" s="1"/>
  <c r="S84" i="48" s="1"/>
  <c r="S85" i="48" s="1"/>
  <c r="S86" i="48" s="1"/>
  <c r="S87" i="48" s="1"/>
  <c r="S88" i="48" s="1"/>
  <c r="S89" i="48" s="1"/>
  <c r="S90" i="48" s="1"/>
  <c r="S91" i="48" s="1"/>
  <c r="S92" i="48" s="1"/>
  <c r="S93" i="48" s="1"/>
  <c r="S94" i="48" s="1"/>
  <c r="S95" i="48" s="1"/>
  <c r="S96" i="48" s="1"/>
  <c r="S97" i="48" s="1"/>
  <c r="S98" i="48" s="1"/>
  <c r="V34" i="48"/>
  <c r="V33" i="48"/>
  <c r="V32" i="48"/>
  <c r="V31" i="48"/>
  <c r="V30" i="48"/>
  <c r="V29" i="48"/>
  <c r="V28" i="48"/>
  <c r="V27" i="48"/>
  <c r="V26" i="48"/>
  <c r="V25" i="48"/>
  <c r="V24" i="48"/>
  <c r="V23" i="48"/>
  <c r="V22" i="48"/>
  <c r="V21" i="48"/>
  <c r="V20" i="48"/>
  <c r="V19" i="48"/>
  <c r="V18" i="48"/>
  <c r="V17" i="48"/>
  <c r="V16" i="48"/>
  <c r="U34" i="48"/>
  <c r="X34" i="48" s="1"/>
  <c r="AA34" i="48" s="1"/>
  <c r="AB34" i="48" s="1"/>
  <c r="AC34" i="48" s="1"/>
  <c r="AD34" i="48" s="1"/>
  <c r="U33" i="48"/>
  <c r="X33" i="48" s="1"/>
  <c r="AA33" i="48" s="1"/>
  <c r="AB33" i="48" s="1"/>
  <c r="AC33" i="48" s="1"/>
  <c r="AD33" i="48" s="1"/>
  <c r="U32" i="48"/>
  <c r="X32" i="48" s="1"/>
  <c r="AA32" i="48" s="1"/>
  <c r="AB32" i="48" s="1"/>
  <c r="AC32" i="48" s="1"/>
  <c r="AD32" i="48" s="1"/>
  <c r="U31" i="48"/>
  <c r="X31" i="48" s="1"/>
  <c r="AA31" i="48" s="1"/>
  <c r="AB31" i="48" s="1"/>
  <c r="AC31" i="48" s="1"/>
  <c r="AD31" i="48" s="1"/>
  <c r="U30" i="48"/>
  <c r="X30" i="48" s="1"/>
  <c r="AA30" i="48" s="1"/>
  <c r="AB30" i="48" s="1"/>
  <c r="AC30" i="48" s="1"/>
  <c r="AD30" i="48" s="1"/>
  <c r="U29" i="48"/>
  <c r="X29" i="48" s="1"/>
  <c r="AA29" i="48" s="1"/>
  <c r="AB29" i="48" s="1"/>
  <c r="AC29" i="48" s="1"/>
  <c r="AD29" i="48" s="1"/>
  <c r="U28" i="48"/>
  <c r="X28" i="48" s="1"/>
  <c r="AA28" i="48" s="1"/>
  <c r="AB28" i="48" s="1"/>
  <c r="AC28" i="48" s="1"/>
  <c r="AD28" i="48" s="1"/>
  <c r="U27" i="48"/>
  <c r="X27" i="48" s="1"/>
  <c r="AA27" i="48" s="1"/>
  <c r="AB27" i="48" s="1"/>
  <c r="AC27" i="48" s="1"/>
  <c r="AD27" i="48" s="1"/>
  <c r="U26" i="48"/>
  <c r="U25" i="48"/>
  <c r="X25" i="48" s="1"/>
  <c r="AA25" i="48" s="1"/>
  <c r="AB25" i="48" s="1"/>
  <c r="AC25" i="48" s="1"/>
  <c r="AD25" i="48" s="1"/>
  <c r="U24" i="48"/>
  <c r="U23" i="48"/>
  <c r="U22" i="48"/>
  <c r="X22" i="48" s="1"/>
  <c r="AA22" i="48" s="1"/>
  <c r="AB22" i="48" s="1"/>
  <c r="AC22" i="48" s="1"/>
  <c r="AD22" i="48" s="1"/>
  <c r="U21" i="48"/>
  <c r="X21" i="48" s="1"/>
  <c r="AA21" i="48" s="1"/>
  <c r="AB21" i="48" s="1"/>
  <c r="AC21" i="48" s="1"/>
  <c r="AD21" i="48" s="1"/>
  <c r="U20" i="48"/>
  <c r="X20" i="48" s="1"/>
  <c r="AA20" i="48" s="1"/>
  <c r="AB20" i="48" s="1"/>
  <c r="AC20" i="48" s="1"/>
  <c r="AD20" i="48" s="1"/>
  <c r="X26" i="48"/>
  <c r="AA26" i="48" s="1"/>
  <c r="AB26" i="48" s="1"/>
  <c r="AC26" i="48" s="1"/>
  <c r="AD26" i="48" s="1"/>
  <c r="X24" i="48"/>
  <c r="AA24" i="48" s="1"/>
  <c r="AB24" i="48" s="1"/>
  <c r="AC24" i="48" s="1"/>
  <c r="AD24" i="48" s="1"/>
  <c r="X23" i="48"/>
  <c r="AA23" i="48" s="1"/>
  <c r="AB23" i="48" s="1"/>
  <c r="AC23" i="48" s="1"/>
  <c r="AD23" i="48" s="1"/>
  <c r="W20" i="48"/>
  <c r="Y20" i="48"/>
  <c r="Z20" i="48" s="1"/>
  <c r="X19" i="48"/>
  <c r="AA19" i="48" s="1"/>
  <c r="AB19" i="48" s="1"/>
  <c r="AC19" i="48" s="1"/>
  <c r="AD19" i="48" s="1"/>
  <c r="U19" i="48"/>
  <c r="U18" i="48"/>
  <c r="X18" i="48" s="1"/>
  <c r="AA18" i="48" s="1"/>
  <c r="AB18" i="48" s="1"/>
  <c r="AC18" i="48" s="1"/>
  <c r="AD18" i="48" s="1"/>
  <c r="S11" i="48"/>
  <c r="S12" i="48" s="1"/>
  <c r="S13" i="48" s="1"/>
  <c r="S14" i="48" s="1"/>
  <c r="S15" i="48" s="1"/>
  <c r="S16" i="48" s="1"/>
  <c r="S17" i="48" s="1"/>
  <c r="S18" i="48" s="1"/>
  <c r="S19" i="48" s="1"/>
  <c r="S20" i="48" s="1"/>
  <c r="S21" i="48" s="1"/>
  <c r="S22" i="48" s="1"/>
  <c r="S23" i="48" s="1"/>
  <c r="S24" i="48" s="1"/>
  <c r="S25" i="48" s="1"/>
  <c r="S26" i="48" s="1"/>
  <c r="S27" i="48" s="1"/>
  <c r="S28" i="48" s="1"/>
  <c r="S29" i="48" s="1"/>
  <c r="S30" i="48" s="1"/>
  <c r="S31" i="48" s="1"/>
  <c r="S32" i="48" s="1"/>
  <c r="S33" i="48" s="1"/>
  <c r="S34" i="48" s="1"/>
  <c r="S35" i="48" s="1"/>
  <c r="S107" i="40"/>
  <c r="S108" i="40" s="1"/>
  <c r="S109" i="40" s="1"/>
  <c r="S110" i="40" s="1"/>
  <c r="S111" i="40" s="1"/>
  <c r="S112" i="40" s="1"/>
  <c r="S113" i="40" s="1"/>
  <c r="S114" i="40" s="1"/>
  <c r="S115" i="40" s="1"/>
  <c r="S116" i="40" s="1"/>
  <c r="S117" i="40" s="1"/>
  <c r="S118" i="40" s="1"/>
  <c r="S119" i="40" s="1"/>
  <c r="S120" i="40" s="1"/>
  <c r="S121" i="40" s="1"/>
  <c r="S122" i="40" s="1"/>
  <c r="S123" i="40" s="1"/>
  <c r="S124" i="40" s="1"/>
  <c r="S125" i="40" s="1"/>
  <c r="S126" i="40" s="1"/>
  <c r="S127" i="40" s="1"/>
  <c r="S128" i="40" s="1"/>
  <c r="S129" i="40" s="1"/>
  <c r="S130" i="40" s="1"/>
  <c r="S131" i="40" s="1"/>
  <c r="S77" i="40"/>
  <c r="S78" i="40" s="1"/>
  <c r="S79" i="40" s="1"/>
  <c r="S80" i="40" s="1"/>
  <c r="S81" i="40" s="1"/>
  <c r="S82" i="40" s="1"/>
  <c r="S83" i="40" s="1"/>
  <c r="S84" i="40" s="1"/>
  <c r="S85" i="40" s="1"/>
  <c r="S86" i="40" s="1"/>
  <c r="S87" i="40" s="1"/>
  <c r="S88" i="40" s="1"/>
  <c r="S89" i="40" s="1"/>
  <c r="S90" i="40" s="1"/>
  <c r="S91" i="40" s="1"/>
  <c r="S92" i="40" s="1"/>
  <c r="S93" i="40" s="1"/>
  <c r="S94" i="40" s="1"/>
  <c r="S95" i="40" s="1"/>
  <c r="S96" i="40" s="1"/>
  <c r="S97" i="40" s="1"/>
  <c r="S98" i="40" s="1"/>
  <c r="S99" i="40" s="1"/>
  <c r="S100" i="40" s="1"/>
  <c r="S101" i="40" s="1"/>
  <c r="V36" i="40"/>
  <c r="V130" i="40" s="1"/>
  <c r="V35" i="40"/>
  <c r="V129" i="40" s="1"/>
  <c r="V34" i="40"/>
  <c r="V128" i="40" s="1"/>
  <c r="V33" i="40"/>
  <c r="V127" i="40" s="1"/>
  <c r="V32" i="40"/>
  <c r="V126" i="40" s="1"/>
  <c r="V31" i="40"/>
  <c r="V125" i="40" s="1"/>
  <c r="V30" i="40"/>
  <c r="V124" i="40" s="1"/>
  <c r="V29" i="40"/>
  <c r="V123" i="40" s="1"/>
  <c r="V28" i="40"/>
  <c r="V122" i="40" s="1"/>
  <c r="V27" i="40"/>
  <c r="V121" i="40" s="1"/>
  <c r="V26" i="40"/>
  <c r="V120" i="40" s="1"/>
  <c r="V25" i="40"/>
  <c r="V119" i="40" s="1"/>
  <c r="V24" i="40"/>
  <c r="V118" i="40" s="1"/>
  <c r="V23" i="40"/>
  <c r="V117" i="40" s="1"/>
  <c r="V22" i="40"/>
  <c r="V116" i="40" s="1"/>
  <c r="V21" i="40"/>
  <c r="V115" i="40" s="1"/>
  <c r="V20" i="40"/>
  <c r="V114" i="40" s="1"/>
  <c r="V19" i="40"/>
  <c r="V113" i="40" s="1"/>
  <c r="V18" i="40"/>
  <c r="V112" i="40" s="1"/>
  <c r="S13" i="40"/>
  <c r="S14" i="40" s="1"/>
  <c r="S15" i="40" s="1"/>
  <c r="S16" i="40" s="1"/>
  <c r="S17" i="40" s="1"/>
  <c r="S18" i="40" s="1"/>
  <c r="S19" i="40" s="1"/>
  <c r="S20" i="40" s="1"/>
  <c r="S21" i="40" s="1"/>
  <c r="S22" i="40" s="1"/>
  <c r="S23" i="40" s="1"/>
  <c r="S24" i="40" s="1"/>
  <c r="S25" i="40" s="1"/>
  <c r="S26" i="40" s="1"/>
  <c r="S27" i="40" s="1"/>
  <c r="S28" i="40" s="1"/>
  <c r="S29" i="40" s="1"/>
  <c r="S30" i="40" s="1"/>
  <c r="S31" i="40" s="1"/>
  <c r="S32" i="40" s="1"/>
  <c r="S33" i="40" s="1"/>
  <c r="S34" i="40" s="1"/>
  <c r="S35" i="40" s="1"/>
  <c r="S36" i="40" s="1"/>
  <c r="S37" i="40" s="1"/>
  <c r="P11" i="47"/>
  <c r="Q11" i="47"/>
  <c r="P61" i="47"/>
  <c r="P12" i="47"/>
  <c r="P13" i="47" s="1"/>
  <c r="P14" i="47" s="1"/>
  <c r="P15" i="47" s="1"/>
  <c r="P16" i="47" s="1"/>
  <c r="P17" i="47" s="1"/>
  <c r="P18" i="47" s="1"/>
  <c r="P19" i="47" s="1"/>
  <c r="P20" i="47" s="1"/>
  <c r="P21" i="47" s="1"/>
  <c r="P22" i="47" s="1"/>
  <c r="P23" i="47" s="1"/>
  <c r="P24" i="47" s="1"/>
  <c r="P25" i="47" s="1"/>
  <c r="P26" i="47" s="1"/>
  <c r="P27" i="47" s="1"/>
  <c r="P28" i="47" s="1"/>
  <c r="P29" i="47" s="1"/>
  <c r="P30" i="47" s="1"/>
  <c r="P31" i="47" s="1"/>
  <c r="P32" i="47" s="1"/>
  <c r="P33" i="47" s="1"/>
  <c r="P34" i="47" s="1"/>
  <c r="P62" i="47"/>
  <c r="P63" i="47" s="1"/>
  <c r="P64" i="47" s="1"/>
  <c r="P65" i="47" s="1"/>
  <c r="P66" i="47" s="1"/>
  <c r="P67" i="47" s="1"/>
  <c r="P68" i="47" s="1"/>
  <c r="P69" i="47" s="1"/>
  <c r="P70" i="47" s="1"/>
  <c r="P71" i="47" s="1"/>
  <c r="P72" i="47" s="1"/>
  <c r="P73" i="47" s="1"/>
  <c r="P74" i="47" s="1"/>
  <c r="P75" i="47" s="1"/>
  <c r="P76" i="47" s="1"/>
  <c r="P77" i="47" s="1"/>
  <c r="P78" i="47" s="1"/>
  <c r="P79" i="47" s="1"/>
  <c r="P80" i="47" s="1"/>
  <c r="P81" i="47" s="1"/>
  <c r="P82" i="47" s="1"/>
  <c r="P83" i="47" s="1"/>
  <c r="P84" i="47" s="1"/>
  <c r="Q14" i="47"/>
  <c r="V14" i="47" s="1"/>
  <c r="P36" i="47"/>
  <c r="P37" i="47"/>
  <c r="P38" i="47" s="1"/>
  <c r="P39" i="47" s="1"/>
  <c r="P40" i="47" s="1"/>
  <c r="P41" i="47" s="1"/>
  <c r="P42" i="47" s="1"/>
  <c r="P43" i="47" s="1"/>
  <c r="P44" i="47" s="1"/>
  <c r="P45" i="47" s="1"/>
  <c r="P46" i="47" s="1"/>
  <c r="P47" i="47" s="1"/>
  <c r="P48" i="47" s="1"/>
  <c r="P49" i="47" s="1"/>
  <c r="P50" i="47" s="1"/>
  <c r="P51" i="47" s="1"/>
  <c r="P52" i="47" s="1"/>
  <c r="P53" i="47" s="1"/>
  <c r="P54" i="47" s="1"/>
  <c r="P55" i="47" s="1"/>
  <c r="P56" i="47" s="1"/>
  <c r="P57" i="47" s="1"/>
  <c r="P58" i="47" s="1"/>
  <c r="P59" i="47" s="1"/>
  <c r="P38" i="36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3" i="36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P84" i="36" s="1"/>
  <c r="P85" i="36" s="1"/>
  <c r="P86" i="36" s="1"/>
  <c r="Q14" i="36"/>
  <c r="Q64" i="36" s="1"/>
  <c r="Q13" i="36"/>
  <c r="Q63" i="36" s="1"/>
  <c r="P13" i="36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N75" i="26"/>
  <c r="N69" i="26"/>
  <c r="U69" i="26" s="1"/>
  <c r="R69" i="26"/>
  <c r="R68" i="26"/>
  <c r="N68" i="26"/>
  <c r="U68" i="26" s="1"/>
  <c r="U72" i="26" s="1"/>
  <c r="J75" i="26" s="1"/>
  <c r="R75" i="26" s="1"/>
  <c r="X59" i="26" s="1"/>
  <c r="G11" i="51"/>
  <c r="F11" i="51"/>
  <c r="G8" i="51"/>
  <c r="F8" i="51"/>
  <c r="P75" i="50"/>
  <c r="P12" i="50"/>
  <c r="F90" i="50"/>
  <c r="F84" i="50"/>
  <c r="L77" i="50"/>
  <c r="L79" i="50" s="1"/>
  <c r="L81" i="50" s="1"/>
  <c r="L83" i="50" s="1"/>
  <c r="L85" i="50" s="1"/>
  <c r="L87" i="50" s="1"/>
  <c r="L89" i="50" s="1"/>
  <c r="L91" i="50" s="1"/>
  <c r="L93" i="50" s="1"/>
  <c r="L95" i="50" s="1"/>
  <c r="L97" i="50" s="1"/>
  <c r="L99" i="50" s="1"/>
  <c r="L101" i="50" s="1"/>
  <c r="L103" i="50" s="1"/>
  <c r="L105" i="50" s="1"/>
  <c r="L107" i="50" s="1"/>
  <c r="L109" i="50" s="1"/>
  <c r="L111" i="50" s="1"/>
  <c r="L113" i="50" s="1"/>
  <c r="L115" i="50" s="1"/>
  <c r="L117" i="50" s="1"/>
  <c r="L119" i="50" s="1"/>
  <c r="L121" i="50" s="1"/>
  <c r="L123" i="50" s="1"/>
  <c r="E61" i="50"/>
  <c r="F41" i="50"/>
  <c r="F27" i="50"/>
  <c r="F25" i="50"/>
  <c r="F21" i="50"/>
  <c r="J20" i="50"/>
  <c r="F17" i="50"/>
  <c r="M14" i="50"/>
  <c r="M16" i="50" s="1"/>
  <c r="M18" i="50" s="1"/>
  <c r="M20" i="50" s="1"/>
  <c r="M22" i="50" s="1"/>
  <c r="M24" i="50" s="1"/>
  <c r="M26" i="50" s="1"/>
  <c r="M28" i="50" s="1"/>
  <c r="M30" i="50" s="1"/>
  <c r="M32" i="50" s="1"/>
  <c r="M34" i="50" s="1"/>
  <c r="M36" i="50" s="1"/>
  <c r="M38" i="50" s="1"/>
  <c r="M40" i="50" s="1"/>
  <c r="M42" i="50" s="1"/>
  <c r="M44" i="50" s="1"/>
  <c r="M46" i="50" s="1"/>
  <c r="M48" i="50" s="1"/>
  <c r="M50" i="50" s="1"/>
  <c r="M52" i="50" s="1"/>
  <c r="M54" i="50" s="1"/>
  <c r="M56" i="50" s="1"/>
  <c r="M58" i="50" s="1"/>
  <c r="M60" i="50" s="1"/>
  <c r="L14" i="50"/>
  <c r="L16" i="50" s="1"/>
  <c r="L18" i="50" s="1"/>
  <c r="L20" i="50" s="1"/>
  <c r="L22" i="50" s="1"/>
  <c r="L24" i="50" s="1"/>
  <c r="L26" i="50" s="1"/>
  <c r="L28" i="50" s="1"/>
  <c r="L30" i="50" s="1"/>
  <c r="L32" i="50" s="1"/>
  <c r="L34" i="50" s="1"/>
  <c r="L36" i="50" s="1"/>
  <c r="L38" i="50" s="1"/>
  <c r="L40" i="50" s="1"/>
  <c r="L42" i="50" s="1"/>
  <c r="L44" i="50" s="1"/>
  <c r="L46" i="50" s="1"/>
  <c r="L48" i="50" s="1"/>
  <c r="L50" i="50" s="1"/>
  <c r="L52" i="50" s="1"/>
  <c r="L54" i="50" s="1"/>
  <c r="L56" i="50" s="1"/>
  <c r="L58" i="50" s="1"/>
  <c r="L60" i="50" s="1"/>
  <c r="H14" i="50"/>
  <c r="H13" i="50"/>
  <c r="E4" i="50"/>
  <c r="P78" i="49"/>
  <c r="O26" i="49"/>
  <c r="O24" i="49"/>
  <c r="N61" i="49"/>
  <c r="N59" i="49"/>
  <c r="N57" i="49"/>
  <c r="N55" i="49"/>
  <c r="N53" i="49"/>
  <c r="N51" i="49"/>
  <c r="N49" i="49"/>
  <c r="N47" i="49"/>
  <c r="N45" i="49"/>
  <c r="N43" i="49"/>
  <c r="N41" i="49"/>
  <c r="N39" i="49"/>
  <c r="N37" i="49"/>
  <c r="N35" i="49"/>
  <c r="N33" i="49"/>
  <c r="N30" i="49"/>
  <c r="N28" i="49"/>
  <c r="N26" i="49"/>
  <c r="N24" i="49"/>
  <c r="I95" i="49"/>
  <c r="F95" i="49"/>
  <c r="K95" i="49" s="1"/>
  <c r="F91" i="49"/>
  <c r="L80" i="49"/>
  <c r="L82" i="49" s="1"/>
  <c r="L84" i="49" s="1"/>
  <c r="L86" i="49" s="1"/>
  <c r="L88" i="49" s="1"/>
  <c r="L90" i="49" s="1"/>
  <c r="L92" i="49" s="1"/>
  <c r="L94" i="49" s="1"/>
  <c r="L97" i="49" s="1"/>
  <c r="L99" i="49" s="1"/>
  <c r="L101" i="49" s="1"/>
  <c r="L103" i="49" s="1"/>
  <c r="L105" i="49" s="1"/>
  <c r="L107" i="49" s="1"/>
  <c r="L109" i="49" s="1"/>
  <c r="L111" i="49" s="1"/>
  <c r="L113" i="49" s="1"/>
  <c r="L115" i="49" s="1"/>
  <c r="L117" i="49" s="1"/>
  <c r="L119" i="49" s="1"/>
  <c r="L121" i="49" s="1"/>
  <c r="L123" i="49" s="1"/>
  <c r="L125" i="49" s="1"/>
  <c r="L127" i="49" s="1"/>
  <c r="E64" i="49"/>
  <c r="F48" i="49"/>
  <c r="F32" i="49"/>
  <c r="I31" i="49"/>
  <c r="F31" i="49"/>
  <c r="K31" i="49" s="1"/>
  <c r="J28" i="49"/>
  <c r="F27" i="49"/>
  <c r="F23" i="49"/>
  <c r="M16" i="49"/>
  <c r="M18" i="49" s="1"/>
  <c r="M20" i="49" s="1"/>
  <c r="M22" i="49" s="1"/>
  <c r="M24" i="49" s="1"/>
  <c r="M26" i="49" s="1"/>
  <c r="M28" i="49" s="1"/>
  <c r="M30" i="49" s="1"/>
  <c r="M33" i="49" s="1"/>
  <c r="M35" i="49" s="1"/>
  <c r="M37" i="49" s="1"/>
  <c r="M39" i="49" s="1"/>
  <c r="M41" i="49" s="1"/>
  <c r="M43" i="49" s="1"/>
  <c r="M45" i="49" s="1"/>
  <c r="M47" i="49" s="1"/>
  <c r="M49" i="49" s="1"/>
  <c r="M51" i="49" s="1"/>
  <c r="M53" i="49" s="1"/>
  <c r="M55" i="49" s="1"/>
  <c r="M57" i="49" s="1"/>
  <c r="M59" i="49" s="1"/>
  <c r="M61" i="49" s="1"/>
  <c r="M63" i="49" s="1"/>
  <c r="L16" i="49"/>
  <c r="L18" i="49" s="1"/>
  <c r="L20" i="49" s="1"/>
  <c r="L22" i="49" s="1"/>
  <c r="L24" i="49" s="1"/>
  <c r="L26" i="49" s="1"/>
  <c r="L28" i="49" s="1"/>
  <c r="L30" i="49" s="1"/>
  <c r="L33" i="49" s="1"/>
  <c r="L35" i="49" s="1"/>
  <c r="L37" i="49" s="1"/>
  <c r="L39" i="49" s="1"/>
  <c r="L41" i="49" s="1"/>
  <c r="L43" i="49" s="1"/>
  <c r="L45" i="49" s="1"/>
  <c r="L47" i="49" s="1"/>
  <c r="L49" i="49" s="1"/>
  <c r="L51" i="49" s="1"/>
  <c r="L53" i="49" s="1"/>
  <c r="L55" i="49" s="1"/>
  <c r="L57" i="49" s="1"/>
  <c r="L59" i="49" s="1"/>
  <c r="L61" i="49" s="1"/>
  <c r="L63" i="49" s="1"/>
  <c r="H16" i="49"/>
  <c r="H18" i="49" s="1"/>
  <c r="H20" i="49" s="1"/>
  <c r="H15" i="49"/>
  <c r="P14" i="49"/>
  <c r="E6" i="49"/>
  <c r="O58" i="48"/>
  <c r="O56" i="48"/>
  <c r="O54" i="48"/>
  <c r="O52" i="48"/>
  <c r="O50" i="48"/>
  <c r="O48" i="48"/>
  <c r="O46" i="48"/>
  <c r="O44" i="48"/>
  <c r="O42" i="48"/>
  <c r="O40" i="48"/>
  <c r="O38" i="48"/>
  <c r="O36" i="48"/>
  <c r="O34" i="48"/>
  <c r="O32" i="48"/>
  <c r="O30" i="48"/>
  <c r="O28" i="48"/>
  <c r="O26" i="48"/>
  <c r="E4" i="48"/>
  <c r="E6" i="40"/>
  <c r="F23" i="40"/>
  <c r="F17" i="48"/>
  <c r="K20" i="48" s="1"/>
  <c r="F84" i="48"/>
  <c r="L77" i="48"/>
  <c r="L79" i="48" s="1"/>
  <c r="L81" i="48" s="1"/>
  <c r="L83" i="48" s="1"/>
  <c r="L85" i="48" s="1"/>
  <c r="L87" i="48" s="1"/>
  <c r="L89" i="48" s="1"/>
  <c r="L91" i="48" s="1"/>
  <c r="L93" i="48" s="1"/>
  <c r="L95" i="48" s="1"/>
  <c r="L97" i="48" s="1"/>
  <c r="L99" i="48" s="1"/>
  <c r="L101" i="48" s="1"/>
  <c r="L103" i="48" s="1"/>
  <c r="L105" i="48" s="1"/>
  <c r="L107" i="48" s="1"/>
  <c r="L109" i="48" s="1"/>
  <c r="L111" i="48" s="1"/>
  <c r="L113" i="48" s="1"/>
  <c r="L115" i="48" s="1"/>
  <c r="L117" i="48" s="1"/>
  <c r="L119" i="48" s="1"/>
  <c r="L121" i="48" s="1"/>
  <c r="L123" i="48" s="1"/>
  <c r="P75" i="48"/>
  <c r="E61" i="48"/>
  <c r="F27" i="48"/>
  <c r="F25" i="48"/>
  <c r="F21" i="48"/>
  <c r="M14" i="48"/>
  <c r="M16" i="48" s="1"/>
  <c r="M18" i="48" s="1"/>
  <c r="L14" i="48"/>
  <c r="L16" i="48" s="1"/>
  <c r="L18" i="48" s="1"/>
  <c r="P12" i="48"/>
  <c r="I55" i="47"/>
  <c r="I57" i="47" s="1"/>
  <c r="I59" i="47" s="1"/>
  <c r="I60" i="47" s="1"/>
  <c r="I62" i="47" s="1"/>
  <c r="I63" i="47" s="1"/>
  <c r="I66" i="47" s="1"/>
  <c r="I67" i="47" s="1"/>
  <c r="I68" i="47" s="1"/>
  <c r="I69" i="47" s="1"/>
  <c r="I70" i="47" s="1"/>
  <c r="I71" i="47" s="1"/>
  <c r="I72" i="47" s="1"/>
  <c r="I73" i="47" s="1"/>
  <c r="I75" i="47" s="1"/>
  <c r="I76" i="47" s="1"/>
  <c r="I77" i="47" s="1"/>
  <c r="I78" i="47" s="1"/>
  <c r="I79" i="47" s="1"/>
  <c r="I80" i="47" s="1"/>
  <c r="I81" i="47" s="1"/>
  <c r="I82" i="47" s="1"/>
  <c r="I83" i="47" s="1"/>
  <c r="M53" i="47"/>
  <c r="E41" i="47"/>
  <c r="K32" i="47"/>
  <c r="K23" i="47"/>
  <c r="H21" i="47"/>
  <c r="K19" i="47"/>
  <c r="L19" i="47" s="1"/>
  <c r="M19" i="47" s="1"/>
  <c r="Q16" i="47" s="1"/>
  <c r="V16" i="47" s="1"/>
  <c r="K16" i="47"/>
  <c r="L16" i="47" s="1"/>
  <c r="M16" i="47" s="1"/>
  <c r="J12" i="47"/>
  <c r="J14" i="47" s="1"/>
  <c r="J16" i="47" s="1"/>
  <c r="J17" i="47" s="1"/>
  <c r="J19" i="47" s="1"/>
  <c r="J20" i="47" s="1"/>
  <c r="J23" i="47" s="1"/>
  <c r="J24" i="47" s="1"/>
  <c r="J25" i="47" s="1"/>
  <c r="J26" i="47" s="1"/>
  <c r="J27" i="47" s="1"/>
  <c r="J28" i="47" s="1"/>
  <c r="J29" i="47" s="1"/>
  <c r="J30" i="47" s="1"/>
  <c r="J32" i="47" s="1"/>
  <c r="J33" i="47" s="1"/>
  <c r="J34" i="47" s="1"/>
  <c r="J35" i="47" s="1"/>
  <c r="J36" i="47" s="1"/>
  <c r="J37" i="47" s="1"/>
  <c r="J38" i="47" s="1"/>
  <c r="J39" i="47" s="1"/>
  <c r="J40" i="47" s="1"/>
  <c r="I12" i="47"/>
  <c r="I14" i="47" s="1"/>
  <c r="I16" i="47" s="1"/>
  <c r="I17" i="47" s="1"/>
  <c r="I19" i="47" s="1"/>
  <c r="I20" i="47" s="1"/>
  <c r="I23" i="47" s="1"/>
  <c r="I24" i="47" s="1"/>
  <c r="I25" i="47" s="1"/>
  <c r="I26" i="47" s="1"/>
  <c r="I27" i="47" s="1"/>
  <c r="I28" i="47" s="1"/>
  <c r="I29" i="47" s="1"/>
  <c r="I30" i="47" s="1"/>
  <c r="I32" i="47" s="1"/>
  <c r="I33" i="47" s="1"/>
  <c r="I34" i="47" s="1"/>
  <c r="I35" i="47" s="1"/>
  <c r="I36" i="47" s="1"/>
  <c r="I37" i="47" s="1"/>
  <c r="I38" i="47" s="1"/>
  <c r="I39" i="47" s="1"/>
  <c r="I40" i="47" s="1"/>
  <c r="K11" i="47"/>
  <c r="L11" i="47" s="1"/>
  <c r="M11" i="47" s="1"/>
  <c r="G11" i="47"/>
  <c r="M10" i="47"/>
  <c r="F202" i="46"/>
  <c r="F204" i="46" s="1"/>
  <c r="F206" i="46" s="1"/>
  <c r="F208" i="46" s="1"/>
  <c r="F210" i="46" s="1"/>
  <c r="F212" i="46" s="1"/>
  <c r="F214" i="46" s="1"/>
  <c r="F216" i="46" s="1"/>
  <c r="F218" i="46" s="1"/>
  <c r="F220" i="46" s="1"/>
  <c r="F222" i="46" s="1"/>
  <c r="F224" i="46" s="1"/>
  <c r="F226" i="46" s="1"/>
  <c r="F228" i="46" s="1"/>
  <c r="F230" i="46" s="1"/>
  <c r="F232" i="46" s="1"/>
  <c r="F234" i="46" s="1"/>
  <c r="F236" i="46" s="1"/>
  <c r="F238" i="46" s="1"/>
  <c r="F240" i="46" s="1"/>
  <c r="F242" i="46" s="1"/>
  <c r="F244" i="46" s="1"/>
  <c r="F246" i="46" s="1"/>
  <c r="E202" i="46"/>
  <c r="E204" i="46" s="1"/>
  <c r="E206" i="46" s="1"/>
  <c r="E208" i="46" s="1"/>
  <c r="E210" i="46" s="1"/>
  <c r="E212" i="46" s="1"/>
  <c r="E214" i="46" s="1"/>
  <c r="E216" i="46" s="1"/>
  <c r="E218" i="46" s="1"/>
  <c r="E220" i="46" s="1"/>
  <c r="E222" i="46" s="1"/>
  <c r="E224" i="46" s="1"/>
  <c r="E226" i="46" s="1"/>
  <c r="E228" i="46" s="1"/>
  <c r="E230" i="46" s="1"/>
  <c r="E232" i="46" s="1"/>
  <c r="E234" i="46" s="1"/>
  <c r="E236" i="46" s="1"/>
  <c r="E238" i="46" s="1"/>
  <c r="E240" i="46" s="1"/>
  <c r="E242" i="46" s="1"/>
  <c r="E244" i="46" s="1"/>
  <c r="E246" i="46" s="1"/>
  <c r="D202" i="46"/>
  <c r="D204" i="46" s="1"/>
  <c r="D206" i="46" s="1"/>
  <c r="D208" i="46" s="1"/>
  <c r="D210" i="46" s="1"/>
  <c r="D212" i="46" s="1"/>
  <c r="D214" i="46" s="1"/>
  <c r="D216" i="46" s="1"/>
  <c r="D218" i="46" s="1"/>
  <c r="D220" i="46" s="1"/>
  <c r="D222" i="46" s="1"/>
  <c r="D224" i="46" s="1"/>
  <c r="D226" i="46" s="1"/>
  <c r="D228" i="46" s="1"/>
  <c r="D230" i="46" s="1"/>
  <c r="D232" i="46" s="1"/>
  <c r="D234" i="46" s="1"/>
  <c r="D236" i="46" s="1"/>
  <c r="D238" i="46" s="1"/>
  <c r="D240" i="46" s="1"/>
  <c r="D242" i="46" s="1"/>
  <c r="D244" i="46" s="1"/>
  <c r="D246" i="46" s="1"/>
  <c r="I189" i="46"/>
  <c r="J189" i="46" s="1"/>
  <c r="K189" i="46" s="1"/>
  <c r="L189" i="46" s="1"/>
  <c r="G144" i="46"/>
  <c r="G146" i="46" s="1"/>
  <c r="G148" i="46" s="1"/>
  <c r="G150" i="46" s="1"/>
  <c r="G152" i="46" s="1"/>
  <c r="G154" i="46" s="1"/>
  <c r="G156" i="46" s="1"/>
  <c r="G158" i="46" s="1"/>
  <c r="G160" i="46" s="1"/>
  <c r="G162" i="46" s="1"/>
  <c r="G164" i="46" s="1"/>
  <c r="G166" i="46" s="1"/>
  <c r="G168" i="46" s="1"/>
  <c r="G170" i="46" s="1"/>
  <c r="G172" i="46" s="1"/>
  <c r="G174" i="46" s="1"/>
  <c r="G176" i="46" s="1"/>
  <c r="G178" i="46" s="1"/>
  <c r="G180" i="46" s="1"/>
  <c r="G182" i="46" s="1"/>
  <c r="G184" i="46" s="1"/>
  <c r="G186" i="46" s="1"/>
  <c r="G188" i="46" s="1"/>
  <c r="F144" i="46"/>
  <c r="F146" i="46" s="1"/>
  <c r="F148" i="46" s="1"/>
  <c r="F150" i="46" s="1"/>
  <c r="F152" i="46" s="1"/>
  <c r="F154" i="46" s="1"/>
  <c r="F156" i="46" s="1"/>
  <c r="F158" i="46" s="1"/>
  <c r="F160" i="46" s="1"/>
  <c r="F162" i="46" s="1"/>
  <c r="F164" i="46" s="1"/>
  <c r="F166" i="46" s="1"/>
  <c r="F168" i="46" s="1"/>
  <c r="F170" i="46" s="1"/>
  <c r="F172" i="46" s="1"/>
  <c r="F174" i="46" s="1"/>
  <c r="F176" i="46" s="1"/>
  <c r="F178" i="46" s="1"/>
  <c r="F180" i="46" s="1"/>
  <c r="F182" i="46" s="1"/>
  <c r="F184" i="46" s="1"/>
  <c r="F186" i="46" s="1"/>
  <c r="F188" i="46" s="1"/>
  <c r="E144" i="46"/>
  <c r="E146" i="46" s="1"/>
  <c r="E148" i="46" s="1"/>
  <c r="E150" i="46" s="1"/>
  <c r="E152" i="46" s="1"/>
  <c r="E154" i="46" s="1"/>
  <c r="E156" i="46" s="1"/>
  <c r="E158" i="46" s="1"/>
  <c r="E160" i="46" s="1"/>
  <c r="E162" i="46" s="1"/>
  <c r="E164" i="46" s="1"/>
  <c r="E166" i="46" s="1"/>
  <c r="E168" i="46" s="1"/>
  <c r="E170" i="46" s="1"/>
  <c r="E172" i="46" s="1"/>
  <c r="E174" i="46" s="1"/>
  <c r="E176" i="46" s="1"/>
  <c r="E178" i="46" s="1"/>
  <c r="E180" i="46" s="1"/>
  <c r="E182" i="46" s="1"/>
  <c r="E184" i="46" s="1"/>
  <c r="E186" i="46" s="1"/>
  <c r="E188" i="46" s="1"/>
  <c r="I142" i="46"/>
  <c r="J142" i="46" s="1"/>
  <c r="E138" i="46"/>
  <c r="J74" i="46"/>
  <c r="J72" i="46"/>
  <c r="I71" i="46"/>
  <c r="I75" i="46" s="1"/>
  <c r="I79" i="46" s="1"/>
  <c r="I81" i="46" s="1"/>
  <c r="I85" i="46" s="1"/>
  <c r="I87" i="46" s="1"/>
  <c r="I91" i="46" s="1"/>
  <c r="I95" i="46" s="1"/>
  <c r="I97" i="46" s="1"/>
  <c r="I99" i="46" s="1"/>
  <c r="I101" i="46" s="1"/>
  <c r="I103" i="46" s="1"/>
  <c r="I105" i="46" s="1"/>
  <c r="I107" i="46" s="1"/>
  <c r="I111" i="46" s="1"/>
  <c r="I113" i="46" s="1"/>
  <c r="I115" i="46" s="1"/>
  <c r="I117" i="46" s="1"/>
  <c r="I119" i="46" s="1"/>
  <c r="I121" i="46" s="1"/>
  <c r="I123" i="46" s="1"/>
  <c r="I125" i="46" s="1"/>
  <c r="I127" i="46" s="1"/>
  <c r="H71" i="46"/>
  <c r="H75" i="46" s="1"/>
  <c r="H79" i="46" s="1"/>
  <c r="H81" i="46" s="1"/>
  <c r="H85" i="46" s="1"/>
  <c r="H87" i="46" s="1"/>
  <c r="H91" i="46" s="1"/>
  <c r="H95" i="46" s="1"/>
  <c r="H97" i="46" s="1"/>
  <c r="H99" i="46" s="1"/>
  <c r="H101" i="46" s="1"/>
  <c r="H103" i="46" s="1"/>
  <c r="H105" i="46" s="1"/>
  <c r="H107" i="46" s="1"/>
  <c r="H111" i="46" s="1"/>
  <c r="H113" i="46" s="1"/>
  <c r="H115" i="46" s="1"/>
  <c r="H117" i="46" s="1"/>
  <c r="H119" i="46" s="1"/>
  <c r="H121" i="46" s="1"/>
  <c r="H123" i="46" s="1"/>
  <c r="H125" i="46" s="1"/>
  <c r="H127" i="46" s="1"/>
  <c r="G71" i="46"/>
  <c r="G75" i="46" s="1"/>
  <c r="G79" i="46" s="1"/>
  <c r="G81" i="46" s="1"/>
  <c r="G85" i="46" s="1"/>
  <c r="G87" i="46" s="1"/>
  <c r="G91" i="46" s="1"/>
  <c r="G95" i="46" s="1"/>
  <c r="G97" i="46" s="1"/>
  <c r="G99" i="46" s="1"/>
  <c r="G101" i="46" s="1"/>
  <c r="G103" i="46" s="1"/>
  <c r="G105" i="46" s="1"/>
  <c r="G107" i="46" s="1"/>
  <c r="G111" i="46" s="1"/>
  <c r="G113" i="46" s="1"/>
  <c r="G115" i="46" s="1"/>
  <c r="G117" i="46" s="1"/>
  <c r="G119" i="46" s="1"/>
  <c r="G121" i="46" s="1"/>
  <c r="G123" i="46" s="1"/>
  <c r="G125" i="46" s="1"/>
  <c r="G127" i="46" s="1"/>
  <c r="L70" i="46"/>
  <c r="I143" i="46" s="1"/>
  <c r="G11" i="39"/>
  <c r="F11" i="39"/>
  <c r="G8" i="39"/>
  <c r="F8" i="39"/>
  <c r="U8" i="39" s="1"/>
  <c r="AB8" i="39" s="1"/>
  <c r="F204" i="43"/>
  <c r="F206" i="43" s="1"/>
  <c r="F208" i="43" s="1"/>
  <c r="F210" i="43" s="1"/>
  <c r="F212" i="43" s="1"/>
  <c r="F214" i="43" s="1"/>
  <c r="F216" i="43" s="1"/>
  <c r="F218" i="43" s="1"/>
  <c r="F220" i="43" s="1"/>
  <c r="F222" i="43" s="1"/>
  <c r="F224" i="43" s="1"/>
  <c r="F226" i="43" s="1"/>
  <c r="F228" i="43" s="1"/>
  <c r="F230" i="43" s="1"/>
  <c r="F232" i="43" s="1"/>
  <c r="F234" i="43" s="1"/>
  <c r="F236" i="43" s="1"/>
  <c r="F238" i="43" s="1"/>
  <c r="F240" i="43" s="1"/>
  <c r="F242" i="43" s="1"/>
  <c r="F244" i="43" s="1"/>
  <c r="F246" i="43" s="1"/>
  <c r="F248" i="43" s="1"/>
  <c r="E204" i="43"/>
  <c r="E206" i="43" s="1"/>
  <c r="E208" i="43" s="1"/>
  <c r="E210" i="43" s="1"/>
  <c r="E212" i="43" s="1"/>
  <c r="E214" i="43" s="1"/>
  <c r="E216" i="43" s="1"/>
  <c r="E218" i="43" s="1"/>
  <c r="E220" i="43" s="1"/>
  <c r="E222" i="43" s="1"/>
  <c r="E224" i="43" s="1"/>
  <c r="E226" i="43" s="1"/>
  <c r="E228" i="43" s="1"/>
  <c r="E230" i="43" s="1"/>
  <c r="E232" i="43" s="1"/>
  <c r="E234" i="43" s="1"/>
  <c r="E236" i="43" s="1"/>
  <c r="E238" i="43" s="1"/>
  <c r="E240" i="43" s="1"/>
  <c r="E242" i="43" s="1"/>
  <c r="E244" i="43" s="1"/>
  <c r="E246" i="43" s="1"/>
  <c r="E248" i="43" s="1"/>
  <c r="D204" i="43"/>
  <c r="D206" i="43" s="1"/>
  <c r="D208" i="43" s="1"/>
  <c r="D210" i="43" s="1"/>
  <c r="D212" i="43" s="1"/>
  <c r="D214" i="43" s="1"/>
  <c r="D216" i="43" s="1"/>
  <c r="D218" i="43" s="1"/>
  <c r="D220" i="43" s="1"/>
  <c r="D222" i="43" s="1"/>
  <c r="D224" i="43" s="1"/>
  <c r="D226" i="43" s="1"/>
  <c r="D228" i="43" s="1"/>
  <c r="D230" i="43" s="1"/>
  <c r="D232" i="43" s="1"/>
  <c r="D234" i="43" s="1"/>
  <c r="D236" i="43" s="1"/>
  <c r="D238" i="43" s="1"/>
  <c r="D240" i="43" s="1"/>
  <c r="D242" i="43" s="1"/>
  <c r="D244" i="43" s="1"/>
  <c r="D246" i="43" s="1"/>
  <c r="D248" i="43" s="1"/>
  <c r="E140" i="43"/>
  <c r="E196" i="43" s="1"/>
  <c r="I191" i="43"/>
  <c r="J191" i="43" s="1"/>
  <c r="K191" i="43" s="1"/>
  <c r="L191" i="43" s="1"/>
  <c r="I144" i="43"/>
  <c r="G13" i="36"/>
  <c r="G14" i="36"/>
  <c r="G15" i="36" s="1"/>
  <c r="I73" i="43"/>
  <c r="I75" i="43" s="1"/>
  <c r="I79" i="43" s="1"/>
  <c r="H73" i="43"/>
  <c r="H75" i="43" s="1"/>
  <c r="H79" i="43" s="1"/>
  <c r="G73" i="43"/>
  <c r="G75" i="43" s="1"/>
  <c r="G79" i="43" s="1"/>
  <c r="G83" i="43" s="1"/>
  <c r="G85" i="43" s="1"/>
  <c r="F146" i="43"/>
  <c r="F148" i="43" s="1"/>
  <c r="F150" i="43" s="1"/>
  <c r="F152" i="43" s="1"/>
  <c r="F154" i="43" s="1"/>
  <c r="F156" i="43" s="1"/>
  <c r="F158" i="43" s="1"/>
  <c r="F160" i="43" s="1"/>
  <c r="F162" i="43" s="1"/>
  <c r="F164" i="43" s="1"/>
  <c r="F166" i="43" s="1"/>
  <c r="F168" i="43" s="1"/>
  <c r="F170" i="43" s="1"/>
  <c r="F172" i="43" s="1"/>
  <c r="F174" i="43" s="1"/>
  <c r="F176" i="43" s="1"/>
  <c r="F178" i="43" s="1"/>
  <c r="F180" i="43" s="1"/>
  <c r="F182" i="43" s="1"/>
  <c r="F184" i="43" s="1"/>
  <c r="F186" i="43" s="1"/>
  <c r="F188" i="43" s="1"/>
  <c r="F190" i="43" s="1"/>
  <c r="G146" i="43"/>
  <c r="G148" i="43" s="1"/>
  <c r="G150" i="43" s="1"/>
  <c r="G152" i="43" s="1"/>
  <c r="G154" i="43" s="1"/>
  <c r="G156" i="43" s="1"/>
  <c r="G158" i="43" s="1"/>
  <c r="G160" i="43" s="1"/>
  <c r="G162" i="43" s="1"/>
  <c r="G164" i="43" s="1"/>
  <c r="G166" i="43" s="1"/>
  <c r="G168" i="43" s="1"/>
  <c r="G170" i="43" s="1"/>
  <c r="G172" i="43" s="1"/>
  <c r="G174" i="43" s="1"/>
  <c r="G176" i="43" s="1"/>
  <c r="G178" i="43" s="1"/>
  <c r="G180" i="43" s="1"/>
  <c r="G182" i="43" s="1"/>
  <c r="G184" i="43" s="1"/>
  <c r="G186" i="43" s="1"/>
  <c r="G188" i="43" s="1"/>
  <c r="G190" i="43" s="1"/>
  <c r="E146" i="43"/>
  <c r="E148" i="43" s="1"/>
  <c r="E150" i="43" s="1"/>
  <c r="E152" i="43" s="1"/>
  <c r="E154" i="43" s="1"/>
  <c r="E156" i="43" s="1"/>
  <c r="E158" i="43" s="1"/>
  <c r="E160" i="43" s="1"/>
  <c r="E162" i="43" s="1"/>
  <c r="E164" i="43" s="1"/>
  <c r="E166" i="43" s="1"/>
  <c r="E168" i="43" s="1"/>
  <c r="E170" i="43" s="1"/>
  <c r="E172" i="43" s="1"/>
  <c r="E174" i="43" s="1"/>
  <c r="E176" i="43" s="1"/>
  <c r="E178" i="43" s="1"/>
  <c r="E180" i="43" s="1"/>
  <c r="E182" i="43" s="1"/>
  <c r="E184" i="43" s="1"/>
  <c r="E186" i="43" s="1"/>
  <c r="E188" i="43" s="1"/>
  <c r="E190" i="43" s="1"/>
  <c r="J72" i="43"/>
  <c r="J76" i="43"/>
  <c r="L153" i="41"/>
  <c r="W178" i="41"/>
  <c r="W179" i="41"/>
  <c r="W180" i="41"/>
  <c r="W181" i="41"/>
  <c r="W182" i="41"/>
  <c r="W183" i="41"/>
  <c r="W184" i="41"/>
  <c r="W185" i="41"/>
  <c r="W186" i="41"/>
  <c r="W187" i="41"/>
  <c r="W188" i="41"/>
  <c r="W189" i="41"/>
  <c r="W190" i="41"/>
  <c r="W191" i="41"/>
  <c r="W192" i="41"/>
  <c r="W193" i="41"/>
  <c r="W194" i="41"/>
  <c r="W195" i="41"/>
  <c r="W196" i="41"/>
  <c r="W197" i="41"/>
  <c r="W198" i="41"/>
  <c r="W199" i="41"/>
  <c r="W200" i="41"/>
  <c r="W201" i="41"/>
  <c r="W177" i="41"/>
  <c r="W153" i="41"/>
  <c r="M155" i="41"/>
  <c r="M160" i="41"/>
  <c r="M166" i="41"/>
  <c r="M153" i="41"/>
  <c r="J178" i="41"/>
  <c r="J179" i="41" s="1"/>
  <c r="J180" i="41" s="1"/>
  <c r="J181" i="41" s="1"/>
  <c r="J182" i="41" s="1"/>
  <c r="J183" i="41" s="1"/>
  <c r="J184" i="41" s="1"/>
  <c r="J185" i="41" s="1"/>
  <c r="J186" i="41" s="1"/>
  <c r="J187" i="41" s="1"/>
  <c r="J188" i="41" s="1"/>
  <c r="J189" i="41" s="1"/>
  <c r="J190" i="41" s="1"/>
  <c r="J191" i="41" s="1"/>
  <c r="J192" i="41" s="1"/>
  <c r="J193" i="41" s="1"/>
  <c r="J194" i="41" s="1"/>
  <c r="J195" i="41" s="1"/>
  <c r="J196" i="41" s="1"/>
  <c r="J197" i="41" s="1"/>
  <c r="J198" i="41" s="1"/>
  <c r="J199" i="41" s="1"/>
  <c r="J200" i="41" s="1"/>
  <c r="J201" i="41" s="1"/>
  <c r="H178" i="41"/>
  <c r="H179" i="41" s="1"/>
  <c r="H180" i="41" s="1"/>
  <c r="H181" i="41" s="1"/>
  <c r="H182" i="41" s="1"/>
  <c r="H183" i="41" s="1"/>
  <c r="H184" i="41" s="1"/>
  <c r="H185" i="41" s="1"/>
  <c r="H186" i="41" s="1"/>
  <c r="H187" i="41" s="1"/>
  <c r="H188" i="41" s="1"/>
  <c r="H189" i="41" s="1"/>
  <c r="H190" i="41" s="1"/>
  <c r="H191" i="41" s="1"/>
  <c r="H192" i="41" s="1"/>
  <c r="H193" i="41" s="1"/>
  <c r="H194" i="41" s="1"/>
  <c r="H195" i="41" s="1"/>
  <c r="H196" i="41" s="1"/>
  <c r="H197" i="41" s="1"/>
  <c r="H198" i="41" s="1"/>
  <c r="H199" i="41" s="1"/>
  <c r="H200" i="41" s="1"/>
  <c r="H201" i="41" s="1"/>
  <c r="M191" i="41"/>
  <c r="M185" i="41"/>
  <c r="M180" i="41"/>
  <c r="M178" i="41"/>
  <c r="J153" i="41"/>
  <c r="J154" i="41" s="1"/>
  <c r="J155" i="41" s="1"/>
  <c r="J156" i="41" s="1"/>
  <c r="J157" i="41" s="1"/>
  <c r="J158" i="41" s="1"/>
  <c r="J159" i="41" s="1"/>
  <c r="J160" i="41" s="1"/>
  <c r="J161" i="41" s="1"/>
  <c r="J162" i="41" s="1"/>
  <c r="J163" i="41" s="1"/>
  <c r="J164" i="41" s="1"/>
  <c r="J165" i="41" s="1"/>
  <c r="J166" i="41" s="1"/>
  <c r="J167" i="41" s="1"/>
  <c r="J168" i="41" s="1"/>
  <c r="J169" i="41" s="1"/>
  <c r="J170" i="41" s="1"/>
  <c r="J171" i="41" s="1"/>
  <c r="J172" i="41" s="1"/>
  <c r="J173" i="41" s="1"/>
  <c r="J174" i="41" s="1"/>
  <c r="J175" i="41" s="1"/>
  <c r="J176" i="41" s="1"/>
  <c r="H153" i="41"/>
  <c r="H154" i="41" s="1"/>
  <c r="H155" i="41" s="1"/>
  <c r="H156" i="41" s="1"/>
  <c r="H157" i="41" s="1"/>
  <c r="H158" i="41" s="1"/>
  <c r="H159" i="41" s="1"/>
  <c r="H160" i="41" s="1"/>
  <c r="H161" i="41" s="1"/>
  <c r="H162" i="41" s="1"/>
  <c r="H163" i="41" s="1"/>
  <c r="H164" i="41" s="1"/>
  <c r="H165" i="41" s="1"/>
  <c r="H166" i="41" s="1"/>
  <c r="H167" i="41" s="1"/>
  <c r="H168" i="41" s="1"/>
  <c r="H169" i="41" s="1"/>
  <c r="H170" i="41" s="1"/>
  <c r="H171" i="41" s="1"/>
  <c r="H172" i="41" s="1"/>
  <c r="H173" i="41" s="1"/>
  <c r="H174" i="41" s="1"/>
  <c r="H175" i="41" s="1"/>
  <c r="H176" i="41" s="1"/>
  <c r="M134" i="41"/>
  <c r="M128" i="41"/>
  <c r="M123" i="41"/>
  <c r="W121" i="41"/>
  <c r="M121" i="41"/>
  <c r="M154" i="41" s="1"/>
  <c r="M179" i="41" s="1"/>
  <c r="J120" i="41"/>
  <c r="J121" i="41" s="1"/>
  <c r="J122" i="41" s="1"/>
  <c r="J123" i="41" s="1"/>
  <c r="J124" i="41" s="1"/>
  <c r="J125" i="41" s="1"/>
  <c r="J126" i="41" s="1"/>
  <c r="J127" i="41" s="1"/>
  <c r="J128" i="41" s="1"/>
  <c r="J129" i="41" s="1"/>
  <c r="J130" i="41" s="1"/>
  <c r="J131" i="41" s="1"/>
  <c r="J132" i="41" s="1"/>
  <c r="J133" i="41" s="1"/>
  <c r="J134" i="41" s="1"/>
  <c r="J135" i="41" s="1"/>
  <c r="J136" i="41" s="1"/>
  <c r="J137" i="41" s="1"/>
  <c r="J138" i="41" s="1"/>
  <c r="J139" i="41" s="1"/>
  <c r="J140" i="41" s="1"/>
  <c r="J141" i="41" s="1"/>
  <c r="J142" i="41" s="1"/>
  <c r="J143" i="41" s="1"/>
  <c r="H120" i="41"/>
  <c r="H121" i="41" s="1"/>
  <c r="H122" i="41" s="1"/>
  <c r="H123" i="41" s="1"/>
  <c r="H124" i="41" s="1"/>
  <c r="H125" i="41" s="1"/>
  <c r="H126" i="41" s="1"/>
  <c r="H127" i="41" s="1"/>
  <c r="H128" i="41" s="1"/>
  <c r="H129" i="41" s="1"/>
  <c r="H130" i="41" s="1"/>
  <c r="H131" i="41" s="1"/>
  <c r="H132" i="41" s="1"/>
  <c r="H133" i="41" s="1"/>
  <c r="H134" i="41" s="1"/>
  <c r="H135" i="41" s="1"/>
  <c r="H136" i="41" s="1"/>
  <c r="H137" i="41" s="1"/>
  <c r="H138" i="41" s="1"/>
  <c r="H139" i="41" s="1"/>
  <c r="H140" i="41" s="1"/>
  <c r="H141" i="41" s="1"/>
  <c r="H142" i="41" s="1"/>
  <c r="H143" i="41" s="1"/>
  <c r="J83" i="41"/>
  <c r="J84" i="41" s="1"/>
  <c r="J85" i="41" s="1"/>
  <c r="J86" i="41" s="1"/>
  <c r="J87" i="41" s="1"/>
  <c r="J88" i="41" s="1"/>
  <c r="J89" i="41" s="1"/>
  <c r="J90" i="41" s="1"/>
  <c r="J91" i="41" s="1"/>
  <c r="J92" i="41" s="1"/>
  <c r="J93" i="41" s="1"/>
  <c r="J94" i="41" s="1"/>
  <c r="J95" i="41" s="1"/>
  <c r="J96" i="41" s="1"/>
  <c r="J97" i="41" s="1"/>
  <c r="J98" i="41" s="1"/>
  <c r="J99" i="41" s="1"/>
  <c r="J100" i="41" s="1"/>
  <c r="J101" i="41" s="1"/>
  <c r="J102" i="41" s="1"/>
  <c r="J103" i="41" s="1"/>
  <c r="J104" i="41" s="1"/>
  <c r="J105" i="41" s="1"/>
  <c r="J106" i="41" s="1"/>
  <c r="H83" i="41"/>
  <c r="H84" i="41" s="1"/>
  <c r="H85" i="41" s="1"/>
  <c r="H86" i="41" s="1"/>
  <c r="H87" i="41" s="1"/>
  <c r="H88" i="41" s="1"/>
  <c r="H89" i="41" s="1"/>
  <c r="H90" i="41" s="1"/>
  <c r="H91" i="41" s="1"/>
  <c r="H92" i="41" s="1"/>
  <c r="H93" i="41" s="1"/>
  <c r="H94" i="41" s="1"/>
  <c r="H95" i="41" s="1"/>
  <c r="H96" i="41" s="1"/>
  <c r="H97" i="41" s="1"/>
  <c r="H98" i="41" s="1"/>
  <c r="H99" i="41" s="1"/>
  <c r="H100" i="41" s="1"/>
  <c r="H101" i="41" s="1"/>
  <c r="H102" i="41" s="1"/>
  <c r="H103" i="41" s="1"/>
  <c r="H104" i="41" s="1"/>
  <c r="H105" i="41" s="1"/>
  <c r="H106" i="41" s="1"/>
  <c r="W58" i="41"/>
  <c r="W83" i="41" s="1"/>
  <c r="M60" i="41"/>
  <c r="M85" i="41" s="1"/>
  <c r="M65" i="41"/>
  <c r="M90" i="41" s="1"/>
  <c r="M71" i="41"/>
  <c r="M96" i="41" s="1"/>
  <c r="M58" i="41"/>
  <c r="M83" i="41" s="1"/>
  <c r="J58" i="41"/>
  <c r="J59" i="41" s="1"/>
  <c r="J60" i="41" s="1"/>
  <c r="J61" i="41" s="1"/>
  <c r="J62" i="41" s="1"/>
  <c r="J63" i="41" s="1"/>
  <c r="J64" i="41" s="1"/>
  <c r="J65" i="41" s="1"/>
  <c r="J66" i="41" s="1"/>
  <c r="J67" i="41" s="1"/>
  <c r="J68" i="41" s="1"/>
  <c r="J69" i="41" s="1"/>
  <c r="J70" i="41" s="1"/>
  <c r="J71" i="41" s="1"/>
  <c r="J72" i="41" s="1"/>
  <c r="J73" i="41" s="1"/>
  <c r="J74" i="41" s="1"/>
  <c r="J75" i="41" s="1"/>
  <c r="J76" i="41" s="1"/>
  <c r="J77" i="41" s="1"/>
  <c r="J78" i="41" s="1"/>
  <c r="J79" i="41" s="1"/>
  <c r="J80" i="41" s="1"/>
  <c r="J81" i="41" s="1"/>
  <c r="H58" i="41"/>
  <c r="H59" i="41" s="1"/>
  <c r="H60" i="41" s="1"/>
  <c r="H61" i="41" s="1"/>
  <c r="H62" i="41" s="1"/>
  <c r="H63" i="41" s="1"/>
  <c r="H64" i="41" s="1"/>
  <c r="H65" i="41" s="1"/>
  <c r="H66" i="41" s="1"/>
  <c r="H67" i="41" s="1"/>
  <c r="H68" i="41" s="1"/>
  <c r="H69" i="41" s="1"/>
  <c r="H70" i="41" s="1"/>
  <c r="H71" i="41" s="1"/>
  <c r="H72" i="41" s="1"/>
  <c r="H73" i="41" s="1"/>
  <c r="H74" i="41" s="1"/>
  <c r="H75" i="41" s="1"/>
  <c r="H76" i="41" s="1"/>
  <c r="H77" i="41" s="1"/>
  <c r="H78" i="41" s="1"/>
  <c r="H79" i="41" s="1"/>
  <c r="H80" i="41" s="1"/>
  <c r="H81" i="41" s="1"/>
  <c r="M37" i="41"/>
  <c r="M31" i="41"/>
  <c r="M26" i="41"/>
  <c r="M24" i="41"/>
  <c r="M59" i="41" s="1"/>
  <c r="M84" i="41" s="1"/>
  <c r="L16" i="41"/>
  <c r="L23" i="41" s="1"/>
  <c r="L24" i="41" s="1"/>
  <c r="L25" i="41" s="1"/>
  <c r="L26" i="41" s="1"/>
  <c r="L27" i="41" s="1"/>
  <c r="L28" i="41" s="1"/>
  <c r="L29" i="41" s="1"/>
  <c r="L30" i="41" s="1"/>
  <c r="L31" i="41" s="1"/>
  <c r="L32" i="41" s="1"/>
  <c r="L33" i="41" s="1"/>
  <c r="L34" i="41" s="1"/>
  <c r="L35" i="41" s="1"/>
  <c r="L36" i="41" s="1"/>
  <c r="L37" i="41" s="1"/>
  <c r="L38" i="41" s="1"/>
  <c r="L39" i="41" s="1"/>
  <c r="L40" i="41" s="1"/>
  <c r="L41" i="41" s="1"/>
  <c r="L42" i="41" s="1"/>
  <c r="L43" i="41" s="1"/>
  <c r="L44" i="41" s="1"/>
  <c r="L45" i="41" s="1"/>
  <c r="L46" i="41" s="1"/>
  <c r="L58" i="41" s="1"/>
  <c r="L59" i="41" s="1"/>
  <c r="L60" i="41" s="1"/>
  <c r="L61" i="41" s="1"/>
  <c r="L62" i="41" s="1"/>
  <c r="L63" i="41" s="1"/>
  <c r="L64" i="41" s="1"/>
  <c r="L65" i="41" s="1"/>
  <c r="L66" i="41" s="1"/>
  <c r="L67" i="41" s="1"/>
  <c r="L68" i="41" s="1"/>
  <c r="L69" i="41" s="1"/>
  <c r="L70" i="41" s="1"/>
  <c r="L71" i="41" s="1"/>
  <c r="L72" i="41" s="1"/>
  <c r="L73" i="41" s="1"/>
  <c r="L74" i="41" s="1"/>
  <c r="L75" i="41" s="1"/>
  <c r="L76" i="41" s="1"/>
  <c r="L77" i="41" s="1"/>
  <c r="L78" i="41" s="1"/>
  <c r="L79" i="41" s="1"/>
  <c r="L80" i="41" s="1"/>
  <c r="L81" i="41" s="1"/>
  <c r="L83" i="41" s="1"/>
  <c r="L84" i="41" s="1"/>
  <c r="L85" i="41" s="1"/>
  <c r="L86" i="41" s="1"/>
  <c r="L87" i="41" s="1"/>
  <c r="L88" i="41" s="1"/>
  <c r="L89" i="41" s="1"/>
  <c r="L90" i="41" s="1"/>
  <c r="L91" i="41" s="1"/>
  <c r="L92" i="41" s="1"/>
  <c r="L93" i="41" s="1"/>
  <c r="L94" i="41" s="1"/>
  <c r="L95" i="41" s="1"/>
  <c r="L96" i="41" s="1"/>
  <c r="L97" i="41" s="1"/>
  <c r="L98" i="41" s="1"/>
  <c r="L99" i="41" s="1"/>
  <c r="L100" i="41" s="1"/>
  <c r="L101" i="41" s="1"/>
  <c r="L102" i="41" s="1"/>
  <c r="L103" i="41" s="1"/>
  <c r="L104" i="41" s="1"/>
  <c r="L105" i="41" s="1"/>
  <c r="L106" i="41" s="1"/>
  <c r="L120" i="41" s="1"/>
  <c r="L121" i="41" s="1"/>
  <c r="L122" i="41" s="1"/>
  <c r="L123" i="41" s="1"/>
  <c r="L124" i="41" s="1"/>
  <c r="L125" i="41" s="1"/>
  <c r="L126" i="41" s="1"/>
  <c r="L127" i="41" s="1"/>
  <c r="L128" i="41" s="1"/>
  <c r="L129" i="41" s="1"/>
  <c r="L130" i="41" s="1"/>
  <c r="L131" i="41" s="1"/>
  <c r="L132" i="41" s="1"/>
  <c r="L133" i="41" s="1"/>
  <c r="L134" i="41" s="1"/>
  <c r="L135" i="41" s="1"/>
  <c r="L136" i="41" s="1"/>
  <c r="L137" i="41" s="1"/>
  <c r="L138" i="41" s="1"/>
  <c r="L139" i="41" s="1"/>
  <c r="L140" i="41" s="1"/>
  <c r="L141" i="41" s="1"/>
  <c r="H23" i="41"/>
  <c r="H24" i="41" s="1"/>
  <c r="H25" i="41" s="1"/>
  <c r="H26" i="41" s="1"/>
  <c r="H27" i="41" s="1"/>
  <c r="H28" i="41" s="1"/>
  <c r="H29" i="41" s="1"/>
  <c r="H30" i="41" s="1"/>
  <c r="H31" i="41" s="1"/>
  <c r="H32" i="41" s="1"/>
  <c r="H33" i="41" s="1"/>
  <c r="H34" i="41" s="1"/>
  <c r="H35" i="41" s="1"/>
  <c r="H36" i="41" s="1"/>
  <c r="H37" i="41" s="1"/>
  <c r="H38" i="41" s="1"/>
  <c r="H39" i="41" s="1"/>
  <c r="H40" i="41" s="1"/>
  <c r="H41" i="41" s="1"/>
  <c r="H42" i="41" s="1"/>
  <c r="H43" i="41" s="1"/>
  <c r="H44" i="41" s="1"/>
  <c r="H45" i="41" s="1"/>
  <c r="H46" i="41" s="1"/>
  <c r="J23" i="41"/>
  <c r="J24" i="41" s="1"/>
  <c r="J25" i="41" s="1"/>
  <c r="J26" i="41" s="1"/>
  <c r="J27" i="41" s="1"/>
  <c r="J28" i="41" s="1"/>
  <c r="J29" i="41" s="1"/>
  <c r="J30" i="41" s="1"/>
  <c r="J31" i="41" s="1"/>
  <c r="J32" i="41" s="1"/>
  <c r="J33" i="41" s="1"/>
  <c r="J34" i="41" s="1"/>
  <c r="J35" i="41" s="1"/>
  <c r="J36" i="41" s="1"/>
  <c r="J37" i="41" s="1"/>
  <c r="J38" i="41" s="1"/>
  <c r="J39" i="41" s="1"/>
  <c r="J40" i="41" s="1"/>
  <c r="J41" i="41" s="1"/>
  <c r="J42" i="41" s="1"/>
  <c r="J43" i="41" s="1"/>
  <c r="J44" i="41" s="1"/>
  <c r="J45" i="41" s="1"/>
  <c r="J46" i="41" s="1"/>
  <c r="W24" i="41"/>
  <c r="W7" i="41"/>
  <c r="W8" i="41" s="1"/>
  <c r="F7" i="41"/>
  <c r="F8" i="41" s="1"/>
  <c r="F9" i="41" s="1"/>
  <c r="F10" i="41" s="1"/>
  <c r="F11" i="41" s="1"/>
  <c r="F12" i="41" s="1"/>
  <c r="F13" i="41" s="1"/>
  <c r="F14" i="41" s="1"/>
  <c r="F15" i="41" s="1"/>
  <c r="F16" i="41" s="1"/>
  <c r="F17" i="41" s="1"/>
  <c r="F18" i="41" s="1"/>
  <c r="F19" i="41" s="1"/>
  <c r="F20" i="41" s="1"/>
  <c r="F21" i="41" s="1"/>
  <c r="F22" i="41" s="1"/>
  <c r="F23" i="41" s="1"/>
  <c r="F24" i="41" s="1"/>
  <c r="F25" i="41" s="1"/>
  <c r="F26" i="41" s="1"/>
  <c r="F27" i="41" s="1"/>
  <c r="F28" i="41" s="1"/>
  <c r="F29" i="41" s="1"/>
  <c r="F30" i="41" s="1"/>
  <c r="F31" i="41" s="1"/>
  <c r="F32" i="41" s="1"/>
  <c r="F33" i="41" s="1"/>
  <c r="F34" i="41" s="1"/>
  <c r="F35" i="41" s="1"/>
  <c r="F36" i="41" s="1"/>
  <c r="F37" i="41" s="1"/>
  <c r="F38" i="41" s="1"/>
  <c r="F39" i="41" s="1"/>
  <c r="F40" i="41" s="1"/>
  <c r="F41" i="41" s="1"/>
  <c r="F42" i="41" s="1"/>
  <c r="F43" i="41" s="1"/>
  <c r="F44" i="41" s="1"/>
  <c r="F45" i="41" s="1"/>
  <c r="F46" i="41" s="1"/>
  <c r="F57" i="41" s="1"/>
  <c r="F58" i="41" s="1"/>
  <c r="F59" i="41" s="1"/>
  <c r="F60" i="41" s="1"/>
  <c r="F61" i="41" s="1"/>
  <c r="F62" i="41" s="1"/>
  <c r="F63" i="41" s="1"/>
  <c r="F64" i="41" s="1"/>
  <c r="F65" i="41" s="1"/>
  <c r="F66" i="41" s="1"/>
  <c r="F67" i="41" s="1"/>
  <c r="F68" i="41" s="1"/>
  <c r="F69" i="41" s="1"/>
  <c r="F70" i="41" s="1"/>
  <c r="F71" i="41" s="1"/>
  <c r="F72" i="41" s="1"/>
  <c r="F73" i="41" s="1"/>
  <c r="F74" i="41" s="1"/>
  <c r="F75" i="41" s="1"/>
  <c r="F76" i="41" s="1"/>
  <c r="F77" i="41" s="1"/>
  <c r="F78" i="41" s="1"/>
  <c r="F79" i="41" s="1"/>
  <c r="F80" i="41" s="1"/>
  <c r="F81" i="41" s="1"/>
  <c r="F82" i="41" s="1"/>
  <c r="F83" i="41" s="1"/>
  <c r="F84" i="41" s="1"/>
  <c r="F85" i="41" s="1"/>
  <c r="F86" i="41" s="1"/>
  <c r="F87" i="41" s="1"/>
  <c r="F88" i="41" s="1"/>
  <c r="F89" i="41" s="1"/>
  <c r="F90" i="41" s="1"/>
  <c r="F91" i="41" s="1"/>
  <c r="F92" i="41" s="1"/>
  <c r="F93" i="41" s="1"/>
  <c r="F94" i="41" s="1"/>
  <c r="F95" i="41" s="1"/>
  <c r="F96" i="41" s="1"/>
  <c r="F97" i="41" s="1"/>
  <c r="F98" i="41" s="1"/>
  <c r="F99" i="41" s="1"/>
  <c r="F100" i="41" s="1"/>
  <c r="F101" i="41" s="1"/>
  <c r="F102" i="41" s="1"/>
  <c r="F103" i="41" s="1"/>
  <c r="F104" i="41" s="1"/>
  <c r="F105" i="41" s="1"/>
  <c r="F106" i="41" s="1"/>
  <c r="F114" i="41" s="1"/>
  <c r="F115" i="41" s="1"/>
  <c r="F116" i="41" s="1"/>
  <c r="F117" i="41" s="1"/>
  <c r="F118" i="41" s="1"/>
  <c r="F119" i="41" s="1"/>
  <c r="F120" i="41" s="1"/>
  <c r="F121" i="41" s="1"/>
  <c r="F122" i="41" s="1"/>
  <c r="F123" i="41" s="1"/>
  <c r="F124" i="41" s="1"/>
  <c r="F125" i="41" s="1"/>
  <c r="F126" i="41" s="1"/>
  <c r="F127" i="41" s="1"/>
  <c r="F128" i="41" s="1"/>
  <c r="F129" i="41" s="1"/>
  <c r="F130" i="41" s="1"/>
  <c r="F131" i="41" s="1"/>
  <c r="F132" i="41" s="1"/>
  <c r="F133" i="41" s="1"/>
  <c r="F134" i="41" s="1"/>
  <c r="F135" i="41" s="1"/>
  <c r="F136" i="41" s="1"/>
  <c r="F137" i="41" s="1"/>
  <c r="F138" i="41" s="1"/>
  <c r="F139" i="41" s="1"/>
  <c r="F140" i="41" s="1"/>
  <c r="F141" i="41" s="1"/>
  <c r="F142" i="41" s="1"/>
  <c r="F143" i="41" s="1"/>
  <c r="F152" i="41" s="1"/>
  <c r="F153" i="41" s="1"/>
  <c r="F154" i="41" s="1"/>
  <c r="F155" i="41" s="1"/>
  <c r="F156" i="41" s="1"/>
  <c r="F157" i="41" s="1"/>
  <c r="F158" i="41" s="1"/>
  <c r="F159" i="41" s="1"/>
  <c r="F160" i="41" s="1"/>
  <c r="F161" i="41" s="1"/>
  <c r="F162" i="41" s="1"/>
  <c r="F163" i="41" s="1"/>
  <c r="F164" i="41" s="1"/>
  <c r="F165" i="41" s="1"/>
  <c r="F166" i="41" s="1"/>
  <c r="F167" i="41" s="1"/>
  <c r="F168" i="41" s="1"/>
  <c r="F169" i="41" s="1"/>
  <c r="F170" i="41" s="1"/>
  <c r="F171" i="41" s="1"/>
  <c r="F172" i="41" s="1"/>
  <c r="F173" i="41" s="1"/>
  <c r="F174" i="41" s="1"/>
  <c r="F175" i="41" s="1"/>
  <c r="F176" i="41" s="1"/>
  <c r="F177" i="41" s="1"/>
  <c r="F178" i="41" s="1"/>
  <c r="F179" i="41" s="1"/>
  <c r="F180" i="41" s="1"/>
  <c r="F181" i="41" s="1"/>
  <c r="F182" i="41" s="1"/>
  <c r="F183" i="41" s="1"/>
  <c r="F184" i="41" s="1"/>
  <c r="F185" i="41" s="1"/>
  <c r="F186" i="41" s="1"/>
  <c r="F187" i="41" s="1"/>
  <c r="F188" i="41" s="1"/>
  <c r="F189" i="41" s="1"/>
  <c r="F190" i="41" s="1"/>
  <c r="F191" i="41" s="1"/>
  <c r="F192" i="41" s="1"/>
  <c r="F193" i="41" s="1"/>
  <c r="F194" i="41" s="1"/>
  <c r="F195" i="41" s="1"/>
  <c r="F196" i="41" s="1"/>
  <c r="F197" i="41" s="1"/>
  <c r="F198" i="41" s="1"/>
  <c r="F199" i="41" s="1"/>
  <c r="F200" i="41" s="1"/>
  <c r="F201" i="41" s="1"/>
  <c r="M55" i="36"/>
  <c r="P78" i="40"/>
  <c r="E64" i="40"/>
  <c r="I31" i="40"/>
  <c r="F48" i="40"/>
  <c r="H16" i="40"/>
  <c r="H18" i="40" s="1"/>
  <c r="H20" i="40" s="1"/>
  <c r="H15" i="40"/>
  <c r="F32" i="40"/>
  <c r="F31" i="40"/>
  <c r="K31" i="40" s="1"/>
  <c r="F27" i="40"/>
  <c r="L80" i="40"/>
  <c r="L82" i="40" s="1"/>
  <c r="L84" i="40" s="1"/>
  <c r="L86" i="40" s="1"/>
  <c r="L88" i="40" s="1"/>
  <c r="L90" i="40" s="1"/>
  <c r="L92" i="40" s="1"/>
  <c r="L94" i="40" s="1"/>
  <c r="L97" i="40" s="1"/>
  <c r="L99" i="40" s="1"/>
  <c r="L101" i="40" s="1"/>
  <c r="L103" i="40" s="1"/>
  <c r="L105" i="40" s="1"/>
  <c r="L107" i="40" s="1"/>
  <c r="L109" i="40" s="1"/>
  <c r="L111" i="40" s="1"/>
  <c r="L113" i="40" s="1"/>
  <c r="L115" i="40" s="1"/>
  <c r="L117" i="40" s="1"/>
  <c r="L119" i="40" s="1"/>
  <c r="L121" i="40" s="1"/>
  <c r="L123" i="40" s="1"/>
  <c r="L125" i="40" s="1"/>
  <c r="L127" i="40" s="1"/>
  <c r="J28" i="40"/>
  <c r="E43" i="36"/>
  <c r="K13" i="36"/>
  <c r="L13" i="36" s="1"/>
  <c r="M13" i="36" s="1"/>
  <c r="K14" i="36"/>
  <c r="L14" i="36" s="1"/>
  <c r="M14" i="36" s="1"/>
  <c r="K19" i="36"/>
  <c r="L19" i="36" s="1"/>
  <c r="M19" i="36" s="1"/>
  <c r="Q17" i="36" s="1"/>
  <c r="K22" i="36"/>
  <c r="L22" i="36" s="1"/>
  <c r="M22" i="36" s="1"/>
  <c r="Q19" i="36" s="1"/>
  <c r="K27" i="36"/>
  <c r="L27" i="36" s="1"/>
  <c r="M27" i="36" s="1"/>
  <c r="Q22" i="36" s="1"/>
  <c r="K28" i="36"/>
  <c r="L28" i="36" s="1"/>
  <c r="M28" i="36" s="1"/>
  <c r="Q23" i="36" s="1"/>
  <c r="K29" i="36"/>
  <c r="L29" i="36" s="1"/>
  <c r="M29" i="36" s="1"/>
  <c r="Q24" i="36" s="1"/>
  <c r="K30" i="36"/>
  <c r="L30" i="36" s="1"/>
  <c r="M30" i="36" s="1"/>
  <c r="Q25" i="36" s="1"/>
  <c r="K31" i="36"/>
  <c r="L31" i="36" s="1"/>
  <c r="M31" i="36" s="1"/>
  <c r="Q26" i="36" s="1"/>
  <c r="K32" i="36"/>
  <c r="L32" i="36" s="1"/>
  <c r="M32" i="36" s="1"/>
  <c r="Q27" i="36" s="1"/>
  <c r="K35" i="36"/>
  <c r="L35" i="36" s="1"/>
  <c r="M35" i="36" s="1"/>
  <c r="Q29" i="36" s="1"/>
  <c r="K36" i="36"/>
  <c r="L36" i="36" s="1"/>
  <c r="M36" i="36" s="1"/>
  <c r="Q30" i="36" s="1"/>
  <c r="K37" i="36"/>
  <c r="L37" i="36" s="1"/>
  <c r="M37" i="36" s="1"/>
  <c r="Q31" i="36" s="1"/>
  <c r="K38" i="36"/>
  <c r="L38" i="36" s="1"/>
  <c r="M38" i="36" s="1"/>
  <c r="Q32" i="36" s="1"/>
  <c r="K39" i="36"/>
  <c r="L39" i="36" s="1"/>
  <c r="M39" i="36" s="1"/>
  <c r="Q33" i="36" s="1"/>
  <c r="K40" i="36"/>
  <c r="L40" i="36" s="1"/>
  <c r="M40" i="36" s="1"/>
  <c r="Q34" i="36" s="1"/>
  <c r="K41" i="36"/>
  <c r="L41" i="36" s="1"/>
  <c r="M41" i="36" s="1"/>
  <c r="Q35" i="36" s="1"/>
  <c r="K42" i="36"/>
  <c r="L42" i="36" s="1"/>
  <c r="M42" i="36" s="1"/>
  <c r="Q36" i="36" s="1"/>
  <c r="M16" i="40"/>
  <c r="M18" i="40" s="1"/>
  <c r="M20" i="40" s="1"/>
  <c r="M22" i="40" s="1"/>
  <c r="M24" i="40" s="1"/>
  <c r="M26" i="40" s="1"/>
  <c r="M28" i="40" s="1"/>
  <c r="M30" i="40" s="1"/>
  <c r="M33" i="40" s="1"/>
  <c r="M35" i="40" s="1"/>
  <c r="M37" i="40" s="1"/>
  <c r="M39" i="40" s="1"/>
  <c r="M41" i="40" s="1"/>
  <c r="M43" i="40" s="1"/>
  <c r="M45" i="40" s="1"/>
  <c r="M47" i="40" s="1"/>
  <c r="M49" i="40" s="1"/>
  <c r="M51" i="40" s="1"/>
  <c r="M53" i="40" s="1"/>
  <c r="M55" i="40" s="1"/>
  <c r="M57" i="40" s="1"/>
  <c r="M59" i="40" s="1"/>
  <c r="M61" i="40" s="1"/>
  <c r="M63" i="40" s="1"/>
  <c r="L16" i="40"/>
  <c r="L18" i="40" s="1"/>
  <c r="L20" i="40" s="1"/>
  <c r="L22" i="40" s="1"/>
  <c r="L24" i="40" s="1"/>
  <c r="L26" i="40" s="1"/>
  <c r="L28" i="40" s="1"/>
  <c r="L30" i="40" s="1"/>
  <c r="L33" i="40" s="1"/>
  <c r="L35" i="40" s="1"/>
  <c r="L37" i="40" s="1"/>
  <c r="L39" i="40" s="1"/>
  <c r="L41" i="40" s="1"/>
  <c r="L43" i="40" s="1"/>
  <c r="L45" i="40" s="1"/>
  <c r="L47" i="40" s="1"/>
  <c r="L49" i="40" s="1"/>
  <c r="L51" i="40" s="1"/>
  <c r="L53" i="40" s="1"/>
  <c r="L55" i="40" s="1"/>
  <c r="L57" i="40" s="1"/>
  <c r="L59" i="40" s="1"/>
  <c r="L61" i="40" s="1"/>
  <c r="L63" i="40" s="1"/>
  <c r="P14" i="40"/>
  <c r="L61" i="26"/>
  <c r="L62" i="26" s="1"/>
  <c r="L63" i="26" s="1"/>
  <c r="L64" i="26" s="1"/>
  <c r="L65" i="26" s="1"/>
  <c r="L28" i="26"/>
  <c r="I57" i="36"/>
  <c r="I58" i="36"/>
  <c r="I60" i="36"/>
  <c r="I62" i="36"/>
  <c r="I63" i="36" s="1"/>
  <c r="I65" i="36" s="1"/>
  <c r="I66" i="36" s="1"/>
  <c r="I68" i="36" s="1"/>
  <c r="I70" i="36" s="1"/>
  <c r="I71" i="36" s="1"/>
  <c r="I72" i="36" s="1"/>
  <c r="I73" i="36" s="1"/>
  <c r="I74" i="36" s="1"/>
  <c r="I75" i="36" s="1"/>
  <c r="I76" i="36" s="1"/>
  <c r="I78" i="36" s="1"/>
  <c r="I79" i="36" s="1"/>
  <c r="I80" i="36" s="1"/>
  <c r="I81" i="36" s="1"/>
  <c r="I82" i="36" s="1"/>
  <c r="I83" i="36" s="1"/>
  <c r="I84" i="36" s="1"/>
  <c r="I85" i="36" s="1"/>
  <c r="M12" i="36"/>
  <c r="J14" i="36"/>
  <c r="J15" i="36" s="1"/>
  <c r="J17" i="36" s="1"/>
  <c r="J19" i="36" s="1"/>
  <c r="J20" i="36" s="1"/>
  <c r="J22" i="36" s="1"/>
  <c r="J23" i="36" s="1"/>
  <c r="J25" i="36" s="1"/>
  <c r="J27" i="36" s="1"/>
  <c r="J28" i="36" s="1"/>
  <c r="J29" i="36" s="1"/>
  <c r="J30" i="36" s="1"/>
  <c r="J31" i="36" s="1"/>
  <c r="J32" i="36" s="1"/>
  <c r="J33" i="36" s="1"/>
  <c r="J35" i="36" s="1"/>
  <c r="J36" i="36" s="1"/>
  <c r="J37" i="36" s="1"/>
  <c r="J38" i="36" s="1"/>
  <c r="J39" i="36" s="1"/>
  <c r="J40" i="36" s="1"/>
  <c r="J41" i="36" s="1"/>
  <c r="J42" i="36" s="1"/>
  <c r="I14" i="36"/>
  <c r="I15" i="36" s="1"/>
  <c r="I17" i="36" s="1"/>
  <c r="I19" i="36" s="1"/>
  <c r="I20" i="36" s="1"/>
  <c r="I22" i="36" s="1"/>
  <c r="I23" i="36" s="1"/>
  <c r="I25" i="36" s="1"/>
  <c r="I27" i="36" s="1"/>
  <c r="I28" i="36" s="1"/>
  <c r="I29" i="36" s="1"/>
  <c r="I30" i="36" s="1"/>
  <c r="I31" i="36" s="1"/>
  <c r="I32" i="36" s="1"/>
  <c r="I33" i="36" s="1"/>
  <c r="I35" i="36" s="1"/>
  <c r="I36" i="36" s="1"/>
  <c r="I37" i="36" s="1"/>
  <c r="I38" i="36" s="1"/>
  <c r="I39" i="36" s="1"/>
  <c r="I40" i="36" s="1"/>
  <c r="I41" i="36" s="1"/>
  <c r="I42" i="36" s="1"/>
  <c r="AK128" i="31"/>
  <c r="AK126" i="31"/>
  <c r="AE128" i="31"/>
  <c r="H128" i="31"/>
  <c r="AN127" i="26"/>
  <c r="AM127" i="26"/>
  <c r="AL127" i="26"/>
  <c r="AN106" i="26"/>
  <c r="AM106" i="26"/>
  <c r="AL106" i="26"/>
  <c r="AN105" i="26"/>
  <c r="AM105" i="26"/>
  <c r="AL105" i="26"/>
  <c r="AL95" i="26"/>
  <c r="AM95" i="26"/>
  <c r="AN95" i="26"/>
  <c r="AN94" i="26"/>
  <c r="AM94" i="26"/>
  <c r="AL94" i="26"/>
  <c r="AN65" i="26"/>
  <c r="AM65" i="26"/>
  <c r="AN64" i="26"/>
  <c r="AM64" i="26"/>
  <c r="AN63" i="26"/>
  <c r="AM63" i="26"/>
  <c r="AN62" i="26"/>
  <c r="AM62" i="26"/>
  <c r="AN61" i="26"/>
  <c r="AM61" i="26"/>
  <c r="AN60" i="26"/>
  <c r="AM60" i="26"/>
  <c r="AL60" i="26"/>
  <c r="AN59" i="26"/>
  <c r="AM59" i="26"/>
  <c r="AL59" i="26"/>
  <c r="AN27" i="26"/>
  <c r="AN28" i="26"/>
  <c r="AN29" i="26"/>
  <c r="AN30" i="26"/>
  <c r="AN31" i="26"/>
  <c r="AN32" i="26"/>
  <c r="AM27" i="26"/>
  <c r="AM28" i="26"/>
  <c r="AM29" i="26"/>
  <c r="AM30" i="26"/>
  <c r="AM31" i="26"/>
  <c r="AM32" i="26"/>
  <c r="AL27" i="26"/>
  <c r="AN26" i="26"/>
  <c r="AM26" i="26"/>
  <c r="AL26" i="26"/>
  <c r="P17" i="34"/>
  <c r="N17" i="34"/>
  <c r="P16" i="34"/>
  <c r="C10" i="34"/>
  <c r="L132" i="31"/>
  <c r="R126" i="31"/>
  <c r="L119" i="31"/>
  <c r="L115" i="31"/>
  <c r="L111" i="31"/>
  <c r="L107" i="31"/>
  <c r="L103" i="31"/>
  <c r="L99" i="31"/>
  <c r="AE22" i="31"/>
  <c r="AE14" i="31"/>
  <c r="U70" i="31"/>
  <c r="AE74" i="31" s="1"/>
  <c r="AK74" i="31" s="1"/>
  <c r="AL74" i="31" s="1"/>
  <c r="U60" i="31"/>
  <c r="AE64" i="31" s="1"/>
  <c r="AK64" i="31" s="1"/>
  <c r="AL64" i="31" s="1"/>
  <c r="AA46" i="31"/>
  <c r="H46" i="31"/>
  <c r="AA36" i="31"/>
  <c r="H36" i="31"/>
  <c r="AE30" i="31"/>
  <c r="AE26" i="31"/>
  <c r="AE87" i="31"/>
  <c r="AE83" i="31"/>
  <c r="G119" i="25"/>
  <c r="G118" i="25"/>
  <c r="G107" i="25"/>
  <c r="S101" i="25" s="1"/>
  <c r="G93" i="25"/>
  <c r="G92" i="25"/>
  <c r="G81" i="25"/>
  <c r="S75" i="25" s="1"/>
  <c r="O18" i="25"/>
  <c r="K18" i="25"/>
  <c r="T18" i="25" s="1"/>
  <c r="O12" i="25"/>
  <c r="K12" i="25"/>
  <c r="O21" i="29"/>
  <c r="S22" i="29" s="1"/>
  <c r="S23" i="29" s="1"/>
  <c r="S19" i="29"/>
  <c r="Z19" i="29" s="1"/>
  <c r="O14" i="29"/>
  <c r="O8" i="29"/>
  <c r="W115" i="25"/>
  <c r="W103" i="25"/>
  <c r="W89" i="25"/>
  <c r="W77" i="25"/>
  <c r="T65" i="25"/>
  <c r="J65" i="25"/>
  <c r="T64" i="25"/>
  <c r="N64" i="25"/>
  <c r="T63" i="25"/>
  <c r="J63" i="25"/>
  <c r="F63" i="25"/>
  <c r="T62" i="25"/>
  <c r="N62" i="25"/>
  <c r="J62" i="25"/>
  <c r="Q62" i="25" s="1"/>
  <c r="R51" i="25"/>
  <c r="T41" i="25"/>
  <c r="J41" i="25"/>
  <c r="T40" i="25"/>
  <c r="N40" i="25"/>
  <c r="T39" i="25"/>
  <c r="J39" i="25"/>
  <c r="F39" i="25"/>
  <c r="Q39" i="25" s="1"/>
  <c r="W39" i="25" s="1"/>
  <c r="T38" i="25"/>
  <c r="N38" i="25"/>
  <c r="J38" i="25"/>
  <c r="Q38" i="25" s="1"/>
  <c r="R27" i="25"/>
  <c r="J40" i="25" s="1"/>
  <c r="Q40" i="25" s="1"/>
  <c r="W40" i="25" s="1"/>
  <c r="N26" i="25"/>
  <c r="F41" i="25" s="1"/>
  <c r="Q41" i="25" s="1"/>
  <c r="W41" i="25" s="1"/>
  <c r="T16" i="25"/>
  <c r="T12" i="25"/>
  <c r="T10" i="25"/>
  <c r="F80" i="50" l="1"/>
  <c r="J83" i="50"/>
  <c r="H77" i="50"/>
  <c r="E67" i="50"/>
  <c r="F104" i="50"/>
  <c r="H76" i="50"/>
  <c r="E128" i="49"/>
  <c r="F87" i="49"/>
  <c r="F112" i="49"/>
  <c r="F128" i="49" s="1"/>
  <c r="H80" i="49"/>
  <c r="H82" i="49" s="1"/>
  <c r="H84" i="49" s="1"/>
  <c r="H86" i="49" s="1"/>
  <c r="E70" i="49"/>
  <c r="J92" i="49"/>
  <c r="H79" i="49"/>
  <c r="I84" i="49" s="1"/>
  <c r="I85" i="49" s="1"/>
  <c r="I86" i="49" s="1"/>
  <c r="F104" i="48"/>
  <c r="E67" i="48"/>
  <c r="H77" i="48"/>
  <c r="H76" i="48"/>
  <c r="J83" i="48"/>
  <c r="J85" i="48" s="1"/>
  <c r="J87" i="48" s="1"/>
  <c r="J89" i="48" s="1"/>
  <c r="I77" i="48"/>
  <c r="I78" i="48" s="1"/>
  <c r="I79" i="48" s="1"/>
  <c r="E124" i="48"/>
  <c r="F80" i="48"/>
  <c r="E128" i="40"/>
  <c r="I95" i="40"/>
  <c r="F95" i="40"/>
  <c r="K95" i="40" s="1"/>
  <c r="F87" i="40"/>
  <c r="E70" i="40"/>
  <c r="H79" i="40"/>
  <c r="I84" i="40" s="1"/>
  <c r="I85" i="40" s="1"/>
  <c r="I86" i="40" s="1"/>
  <c r="J92" i="40"/>
  <c r="H80" i="40"/>
  <c r="H82" i="40" s="1"/>
  <c r="H84" i="40" s="1"/>
  <c r="H86" i="40" s="1"/>
  <c r="F112" i="40"/>
  <c r="F128" i="40" s="1"/>
  <c r="E84" i="47"/>
  <c r="L62" i="47"/>
  <c r="M62" i="47" s="1"/>
  <c r="Q41" i="47" s="1"/>
  <c r="V41" i="47" s="1"/>
  <c r="L59" i="47"/>
  <c r="M59" i="47" s="1"/>
  <c r="Q39" i="47" s="1"/>
  <c r="V39" i="47" s="1"/>
  <c r="L54" i="47"/>
  <c r="M54" i="47" s="1"/>
  <c r="Q36" i="47" s="1"/>
  <c r="V36" i="47" s="1"/>
  <c r="K84" i="36"/>
  <c r="K82" i="36"/>
  <c r="K79" i="36"/>
  <c r="K85" i="36"/>
  <c r="K81" i="36"/>
  <c r="K83" i="36"/>
  <c r="K80" i="36"/>
  <c r="K78" i="36"/>
  <c r="K75" i="36"/>
  <c r="K72" i="36"/>
  <c r="K74" i="36"/>
  <c r="K73" i="36"/>
  <c r="K71" i="36"/>
  <c r="K70" i="36"/>
  <c r="K56" i="36"/>
  <c r="K57" i="36"/>
  <c r="E86" i="36"/>
  <c r="L71" i="36"/>
  <c r="M71" i="36" s="1"/>
  <c r="Q48" i="36" s="1"/>
  <c r="V48" i="36" s="1"/>
  <c r="L65" i="36"/>
  <c r="M65" i="36" s="1"/>
  <c r="Q44" i="36" s="1"/>
  <c r="V44" i="36" s="1"/>
  <c r="L57" i="36"/>
  <c r="M57" i="36" s="1"/>
  <c r="Q39" i="36" s="1"/>
  <c r="V39" i="36" s="1"/>
  <c r="L85" i="36"/>
  <c r="M85" i="36" s="1"/>
  <c r="Q61" i="36" s="1"/>
  <c r="V61" i="36" s="1"/>
  <c r="L84" i="36"/>
  <c r="M84" i="36" s="1"/>
  <c r="Q60" i="36" s="1"/>
  <c r="V60" i="36" s="1"/>
  <c r="L83" i="36"/>
  <c r="M83" i="36" s="1"/>
  <c r="Q59" i="36" s="1"/>
  <c r="V59" i="36" s="1"/>
  <c r="L82" i="36"/>
  <c r="M82" i="36" s="1"/>
  <c r="Q58" i="36" s="1"/>
  <c r="V58" i="36" s="1"/>
  <c r="L81" i="36"/>
  <c r="M81" i="36" s="1"/>
  <c r="Q57" i="36" s="1"/>
  <c r="V57" i="36" s="1"/>
  <c r="L80" i="36"/>
  <c r="M80" i="36" s="1"/>
  <c r="Q56" i="36" s="1"/>
  <c r="V56" i="36" s="1"/>
  <c r="L79" i="36"/>
  <c r="M79" i="36" s="1"/>
  <c r="Q55" i="36" s="1"/>
  <c r="V55" i="36" s="1"/>
  <c r="L78" i="36"/>
  <c r="M78" i="36" s="1"/>
  <c r="Q54" i="36" s="1"/>
  <c r="V54" i="36" s="1"/>
  <c r="L75" i="36"/>
  <c r="M75" i="36" s="1"/>
  <c r="Q52" i="36" s="1"/>
  <c r="V52" i="36" s="1"/>
  <c r="L74" i="36"/>
  <c r="M74" i="36" s="1"/>
  <c r="Q51" i="36" s="1"/>
  <c r="V51" i="36" s="1"/>
  <c r="L72" i="36"/>
  <c r="M72" i="36" s="1"/>
  <c r="Q49" i="36" s="1"/>
  <c r="V49" i="36" s="1"/>
  <c r="L70" i="36"/>
  <c r="M70" i="36" s="1"/>
  <c r="Q47" i="36" s="1"/>
  <c r="V47" i="36" s="1"/>
  <c r="L62" i="36"/>
  <c r="M62" i="36" s="1"/>
  <c r="Q42" i="36" s="1"/>
  <c r="V42" i="36" s="1"/>
  <c r="L73" i="36"/>
  <c r="M73" i="36" s="1"/>
  <c r="Q50" i="36" s="1"/>
  <c r="V50" i="36" s="1"/>
  <c r="L56" i="36"/>
  <c r="M56" i="36" s="1"/>
  <c r="Q38" i="36" s="1"/>
  <c r="V38" i="36" s="1"/>
  <c r="V29" i="36"/>
  <c r="Q79" i="36"/>
  <c r="V79" i="36" s="1"/>
  <c r="V30" i="36"/>
  <c r="Q80" i="36"/>
  <c r="V80" i="36" s="1"/>
  <c r="V31" i="36"/>
  <c r="Q81" i="36"/>
  <c r="V81" i="36" s="1"/>
  <c r="V32" i="36"/>
  <c r="Q82" i="36"/>
  <c r="V82" i="36" s="1"/>
  <c r="V33" i="36"/>
  <c r="Q83" i="36"/>
  <c r="V83" i="36" s="1"/>
  <c r="V34" i="36"/>
  <c r="Q84" i="36"/>
  <c r="V84" i="36" s="1"/>
  <c r="V35" i="36"/>
  <c r="Q85" i="36"/>
  <c r="V85" i="36" s="1"/>
  <c r="V36" i="36"/>
  <c r="Q86" i="36"/>
  <c r="V86" i="36" s="1"/>
  <c r="V22" i="36"/>
  <c r="Q72" i="36"/>
  <c r="V72" i="36" s="1"/>
  <c r="V23" i="36"/>
  <c r="Q73" i="36"/>
  <c r="V73" i="36" s="1"/>
  <c r="V24" i="36"/>
  <c r="Q74" i="36"/>
  <c r="V74" i="36" s="1"/>
  <c r="V25" i="36"/>
  <c r="Q75" i="36"/>
  <c r="V75" i="36" s="1"/>
  <c r="V26" i="36"/>
  <c r="Q76" i="36"/>
  <c r="V76" i="36" s="1"/>
  <c r="V27" i="36"/>
  <c r="Q77" i="36"/>
  <c r="V77" i="36" s="1"/>
  <c r="V19" i="36"/>
  <c r="Q69" i="36"/>
  <c r="V69" i="36" s="1"/>
  <c r="V17" i="36"/>
  <c r="Q67" i="36"/>
  <c r="V67" i="36" s="1"/>
  <c r="W127" i="48"/>
  <c r="Y127" i="48"/>
  <c r="Z127" i="48" s="1"/>
  <c r="Y126" i="48"/>
  <c r="Z126" i="48" s="1"/>
  <c r="W126" i="48"/>
  <c r="W125" i="48"/>
  <c r="Y125" i="48"/>
  <c r="Z125" i="48" s="1"/>
  <c r="Y124" i="48"/>
  <c r="Z124" i="48" s="1"/>
  <c r="W124" i="48"/>
  <c r="Y123" i="48"/>
  <c r="Z123" i="48" s="1"/>
  <c r="W123" i="48"/>
  <c r="Y122" i="48"/>
  <c r="Z122" i="48" s="1"/>
  <c r="W122" i="48"/>
  <c r="W121" i="48"/>
  <c r="Y121" i="48"/>
  <c r="Z121" i="48" s="1"/>
  <c r="Y120" i="48"/>
  <c r="Z120" i="48" s="1"/>
  <c r="W120" i="48"/>
  <c r="Y119" i="48"/>
  <c r="Z119" i="48" s="1"/>
  <c r="W119" i="48"/>
  <c r="Y118" i="48"/>
  <c r="Z118" i="48" s="1"/>
  <c r="W118" i="48"/>
  <c r="Y117" i="48"/>
  <c r="Z117" i="48" s="1"/>
  <c r="W117" i="48"/>
  <c r="W116" i="48"/>
  <c r="Y116" i="48"/>
  <c r="Z116" i="48" s="1"/>
  <c r="W115" i="48"/>
  <c r="Y115" i="48"/>
  <c r="Z115" i="48" s="1"/>
  <c r="Y114" i="48"/>
  <c r="Z114" i="48" s="1"/>
  <c r="W114" i="48"/>
  <c r="W113" i="48"/>
  <c r="Y113" i="48"/>
  <c r="Z113" i="48" s="1"/>
  <c r="Y112" i="48"/>
  <c r="Z112" i="48" s="1"/>
  <c r="W112" i="48"/>
  <c r="Y111" i="48"/>
  <c r="Z111" i="48" s="1"/>
  <c r="W111" i="48"/>
  <c r="W109" i="48"/>
  <c r="Y109" i="48"/>
  <c r="Z109" i="48" s="1"/>
  <c r="Y19" i="48"/>
  <c r="Z19" i="48" s="1"/>
  <c r="W19" i="48"/>
  <c r="W34" i="48"/>
  <c r="Y34" i="48"/>
  <c r="Z34" i="48" s="1"/>
  <c r="W33" i="48"/>
  <c r="Y33" i="48"/>
  <c r="Z33" i="48" s="1"/>
  <c r="W32" i="48"/>
  <c r="Y32" i="48"/>
  <c r="Z32" i="48" s="1"/>
  <c r="W31" i="48"/>
  <c r="Y31" i="48"/>
  <c r="Z31" i="48" s="1"/>
  <c r="W30" i="48"/>
  <c r="Y30" i="48"/>
  <c r="Z30" i="48" s="1"/>
  <c r="Y29" i="48"/>
  <c r="Z29" i="48" s="1"/>
  <c r="W29" i="48"/>
  <c r="W28" i="48"/>
  <c r="Y28" i="48"/>
  <c r="Z28" i="48" s="1"/>
  <c r="Y27" i="48"/>
  <c r="Z27" i="48" s="1"/>
  <c r="W27" i="48"/>
  <c r="W26" i="48"/>
  <c r="Y26" i="48"/>
  <c r="Z26" i="48" s="1"/>
  <c r="Y25" i="48"/>
  <c r="Z25" i="48" s="1"/>
  <c r="W25" i="48"/>
  <c r="W24" i="48"/>
  <c r="Y24" i="48"/>
  <c r="Z24" i="48" s="1"/>
  <c r="Y23" i="48"/>
  <c r="Z23" i="48" s="1"/>
  <c r="W23" i="48"/>
  <c r="W22" i="48"/>
  <c r="Y22" i="48"/>
  <c r="Z22" i="48" s="1"/>
  <c r="Y21" i="48"/>
  <c r="Z21" i="48" s="1"/>
  <c r="W21" i="48"/>
  <c r="W18" i="48"/>
  <c r="Y18" i="48"/>
  <c r="Z18" i="48" s="1"/>
  <c r="W17" i="48"/>
  <c r="Y17" i="48"/>
  <c r="Z17" i="48" s="1"/>
  <c r="Y16" i="48"/>
  <c r="Z16" i="48" s="1"/>
  <c r="W16" i="48"/>
  <c r="W130" i="40"/>
  <c r="Y130" i="40"/>
  <c r="Z130" i="40" s="1"/>
  <c r="W129" i="40"/>
  <c r="Y129" i="40"/>
  <c r="Z129" i="40" s="1"/>
  <c r="W128" i="40"/>
  <c r="Y128" i="40"/>
  <c r="Z128" i="40" s="1"/>
  <c r="Y127" i="40"/>
  <c r="Z127" i="40" s="1"/>
  <c r="W127" i="40"/>
  <c r="Y126" i="40"/>
  <c r="Z126" i="40" s="1"/>
  <c r="W126" i="40"/>
  <c r="Y125" i="40"/>
  <c r="Z125" i="40" s="1"/>
  <c r="W125" i="40"/>
  <c r="Y124" i="40"/>
  <c r="Z124" i="40" s="1"/>
  <c r="W124" i="40"/>
  <c r="W123" i="40"/>
  <c r="Y123" i="40"/>
  <c r="Z123" i="40" s="1"/>
  <c r="Y122" i="40"/>
  <c r="Z122" i="40" s="1"/>
  <c r="W122" i="40"/>
  <c r="W121" i="40"/>
  <c r="Y121" i="40"/>
  <c r="Z121" i="40" s="1"/>
  <c r="Y120" i="40"/>
  <c r="Z120" i="40" s="1"/>
  <c r="W120" i="40"/>
  <c r="Y119" i="40"/>
  <c r="Z119" i="40" s="1"/>
  <c r="W119" i="40"/>
  <c r="W118" i="40"/>
  <c r="Y118" i="40"/>
  <c r="Z118" i="40" s="1"/>
  <c r="Y117" i="40"/>
  <c r="Z117" i="40" s="1"/>
  <c r="W117" i="40"/>
  <c r="W116" i="40"/>
  <c r="Y116" i="40"/>
  <c r="Z116" i="40" s="1"/>
  <c r="Y115" i="40"/>
  <c r="Z115" i="40" s="1"/>
  <c r="W115" i="40"/>
  <c r="Y114" i="40"/>
  <c r="Z114" i="40" s="1"/>
  <c r="W114" i="40"/>
  <c r="Y113" i="40"/>
  <c r="Z113" i="40" s="1"/>
  <c r="W113" i="40"/>
  <c r="W112" i="40"/>
  <c r="Y112" i="40"/>
  <c r="Z112" i="40" s="1"/>
  <c r="Y31" i="40"/>
  <c r="Z31" i="40" s="1"/>
  <c r="W31" i="40"/>
  <c r="Y29" i="40"/>
  <c r="Z29" i="40" s="1"/>
  <c r="W29" i="40"/>
  <c r="W36" i="40"/>
  <c r="Y36" i="40"/>
  <c r="Z36" i="40" s="1"/>
  <c r="W35" i="40"/>
  <c r="Y35" i="40"/>
  <c r="Z35" i="40" s="1"/>
  <c r="W34" i="40"/>
  <c r="Y34" i="40"/>
  <c r="Z34" i="40" s="1"/>
  <c r="W33" i="40"/>
  <c r="Y33" i="40"/>
  <c r="Z33" i="40" s="1"/>
  <c r="Y32" i="40"/>
  <c r="Z32" i="40" s="1"/>
  <c r="W32" i="40"/>
  <c r="Y30" i="40"/>
  <c r="Z30" i="40" s="1"/>
  <c r="W30" i="40"/>
  <c r="W28" i="40"/>
  <c r="Y28" i="40"/>
  <c r="Z28" i="40" s="1"/>
  <c r="W27" i="40"/>
  <c r="Y27" i="40"/>
  <c r="Z27" i="40" s="1"/>
  <c r="Y26" i="40"/>
  <c r="Z26" i="40" s="1"/>
  <c r="W26" i="40"/>
  <c r="Y25" i="40"/>
  <c r="Z25" i="40" s="1"/>
  <c r="W25" i="40"/>
  <c r="W24" i="40"/>
  <c r="Y24" i="40"/>
  <c r="Z24" i="40" s="1"/>
  <c r="W23" i="40"/>
  <c r="Y23" i="40"/>
  <c r="Z23" i="40" s="1"/>
  <c r="Y22" i="40"/>
  <c r="Z22" i="40" s="1"/>
  <c r="W22" i="40"/>
  <c r="Y21" i="40"/>
  <c r="Z21" i="40" s="1"/>
  <c r="W21" i="40"/>
  <c r="Y20" i="40"/>
  <c r="Z20" i="40" s="1"/>
  <c r="W20" i="40"/>
  <c r="Y19" i="40"/>
  <c r="Z19" i="40" s="1"/>
  <c r="W19" i="40"/>
  <c r="Y18" i="40"/>
  <c r="Z18" i="40" s="1"/>
  <c r="W18" i="40"/>
  <c r="Q66" i="47"/>
  <c r="V66" i="47" s="1"/>
  <c r="Q64" i="47"/>
  <c r="V64" i="47" s="1"/>
  <c r="Q61" i="47"/>
  <c r="J85" i="50"/>
  <c r="H79" i="50"/>
  <c r="I77" i="50"/>
  <c r="I78" i="50" s="1"/>
  <c r="I79" i="50" s="1"/>
  <c r="J22" i="50"/>
  <c r="F61" i="50"/>
  <c r="K20" i="50"/>
  <c r="H16" i="50"/>
  <c r="I14" i="50"/>
  <c r="I15" i="50" s="1"/>
  <c r="I16" i="50" s="1"/>
  <c r="O28" i="49"/>
  <c r="P28" i="49" s="1"/>
  <c r="J30" i="49"/>
  <c r="F64" i="49"/>
  <c r="H22" i="49"/>
  <c r="I20" i="49"/>
  <c r="I21" i="49" s="1"/>
  <c r="I22" i="49" s="1"/>
  <c r="L20" i="48"/>
  <c r="L22" i="48" s="1"/>
  <c r="L24" i="48" s="1"/>
  <c r="L26" i="48" s="1"/>
  <c r="L28" i="48" s="1"/>
  <c r="L30" i="48" s="1"/>
  <c r="L32" i="48" s="1"/>
  <c r="L34" i="48" s="1"/>
  <c r="L36" i="48" s="1"/>
  <c r="L38" i="48" s="1"/>
  <c r="L40" i="48" s="1"/>
  <c r="L42" i="48" s="1"/>
  <c r="L44" i="48" s="1"/>
  <c r="L46" i="48" s="1"/>
  <c r="L48" i="48" s="1"/>
  <c r="L50" i="48" s="1"/>
  <c r="L52" i="48" s="1"/>
  <c r="L54" i="48" s="1"/>
  <c r="L56" i="48" s="1"/>
  <c r="L58" i="48" s="1"/>
  <c r="L60" i="48" s="1"/>
  <c r="H79" i="48"/>
  <c r="M20" i="48"/>
  <c r="M22" i="48" s="1"/>
  <c r="M24" i="48" s="1"/>
  <c r="M26" i="48" s="1"/>
  <c r="M28" i="48" s="1"/>
  <c r="M30" i="48" s="1"/>
  <c r="M32" i="48" s="1"/>
  <c r="M34" i="48" s="1"/>
  <c r="M36" i="48" s="1"/>
  <c r="M38" i="48" s="1"/>
  <c r="M40" i="48" s="1"/>
  <c r="M42" i="48" s="1"/>
  <c r="M44" i="48" s="1"/>
  <c r="M46" i="48" s="1"/>
  <c r="M48" i="48" s="1"/>
  <c r="M50" i="48" s="1"/>
  <c r="M52" i="48" s="1"/>
  <c r="M54" i="48" s="1"/>
  <c r="M56" i="48" s="1"/>
  <c r="M58" i="48" s="1"/>
  <c r="M60" i="48" s="1"/>
  <c r="J91" i="48"/>
  <c r="N85" i="48"/>
  <c r="O85" i="48" s="1"/>
  <c r="P85" i="48" s="1"/>
  <c r="U79" i="48" s="1"/>
  <c r="X79" i="48" s="1"/>
  <c r="AA79" i="48" s="1"/>
  <c r="AB79" i="48" s="1"/>
  <c r="AC79" i="48" s="1"/>
  <c r="AD79" i="48" s="1"/>
  <c r="J20" i="48"/>
  <c r="J22" i="48" s="1"/>
  <c r="H14" i="48"/>
  <c r="H13" i="48"/>
  <c r="F41" i="48"/>
  <c r="F61" i="48" s="1"/>
  <c r="G17" i="36"/>
  <c r="H16" i="36"/>
  <c r="K24" i="47"/>
  <c r="L23" i="47"/>
  <c r="M23" i="47" s="1"/>
  <c r="Q18" i="47" s="1"/>
  <c r="K76" i="47"/>
  <c r="L75" i="47"/>
  <c r="M75" i="47" s="1"/>
  <c r="Q51" i="47" s="1"/>
  <c r="V51" i="47" s="1"/>
  <c r="L66" i="47"/>
  <c r="M66" i="47" s="1"/>
  <c r="Q43" i="47" s="1"/>
  <c r="V43" i="47" s="1"/>
  <c r="K67" i="47"/>
  <c r="H55" i="47"/>
  <c r="G55" i="47"/>
  <c r="L32" i="47"/>
  <c r="M32" i="47" s="1"/>
  <c r="Q26" i="47" s="1"/>
  <c r="K33" i="47"/>
  <c r="L24" i="47"/>
  <c r="M24" i="47" s="1"/>
  <c r="Q19" i="47" s="1"/>
  <c r="K25" i="47"/>
  <c r="H12" i="47"/>
  <c r="G12" i="47"/>
  <c r="J73" i="46"/>
  <c r="K71" i="46"/>
  <c r="L142" i="46"/>
  <c r="K142" i="46"/>
  <c r="J143" i="46"/>
  <c r="M143" i="46" s="1"/>
  <c r="I201" i="46" s="1"/>
  <c r="L143" i="46"/>
  <c r="O143" i="46" s="1"/>
  <c r="G201" i="46" s="1"/>
  <c r="K143" i="46"/>
  <c r="N143" i="46" s="1"/>
  <c r="H201" i="46" s="1"/>
  <c r="O142" i="46"/>
  <c r="G200" i="46" s="1"/>
  <c r="N189" i="46"/>
  <c r="H247" i="46" s="1"/>
  <c r="E194" i="46"/>
  <c r="M142" i="46"/>
  <c r="I200" i="46" s="1"/>
  <c r="N142" i="46"/>
  <c r="H200" i="46" s="1"/>
  <c r="O189" i="46"/>
  <c r="G247" i="46" s="1"/>
  <c r="M189" i="46"/>
  <c r="I247" i="46" s="1"/>
  <c r="L74" i="46"/>
  <c r="J78" i="46"/>
  <c r="K73" i="46"/>
  <c r="J76" i="46"/>
  <c r="O191" i="43"/>
  <c r="G249" i="43" s="1"/>
  <c r="S36" i="36" s="1"/>
  <c r="X86" i="36" s="1"/>
  <c r="N191" i="43"/>
  <c r="H249" i="43" s="1"/>
  <c r="S61" i="36" s="1"/>
  <c r="X61" i="36" s="1"/>
  <c r="M191" i="43"/>
  <c r="I249" i="43" s="1"/>
  <c r="S86" i="36" s="1"/>
  <c r="X36" i="36" s="1"/>
  <c r="J144" i="43"/>
  <c r="M144" i="43" s="1"/>
  <c r="I202" i="43" s="1"/>
  <c r="R63" i="36" s="1"/>
  <c r="W13" i="36" s="1"/>
  <c r="L144" i="43"/>
  <c r="O144" i="43" s="1"/>
  <c r="G202" i="43" s="1"/>
  <c r="R13" i="36" s="1"/>
  <c r="W63" i="36" s="1"/>
  <c r="K144" i="43"/>
  <c r="N144" i="43" s="1"/>
  <c r="H202" i="43" s="1"/>
  <c r="R38" i="36" s="1"/>
  <c r="W38" i="36" s="1"/>
  <c r="J77" i="43"/>
  <c r="J80" i="43" s="1"/>
  <c r="G89" i="43"/>
  <c r="G91" i="43" s="1"/>
  <c r="G95" i="43" s="1"/>
  <c r="G99" i="43" s="1"/>
  <c r="G101" i="43" s="1"/>
  <c r="G103" i="43" s="1"/>
  <c r="G105" i="43" s="1"/>
  <c r="G107" i="43" s="1"/>
  <c r="G109" i="43" s="1"/>
  <c r="G111" i="43" s="1"/>
  <c r="G115" i="43" s="1"/>
  <c r="G117" i="43" s="1"/>
  <c r="G119" i="43" s="1"/>
  <c r="G121" i="43" s="1"/>
  <c r="G123" i="43" s="1"/>
  <c r="G125" i="43" s="1"/>
  <c r="G127" i="43" s="1"/>
  <c r="G129" i="43" s="1"/>
  <c r="I83" i="43"/>
  <c r="I85" i="43" s="1"/>
  <c r="I89" i="43" s="1"/>
  <c r="I91" i="43" s="1"/>
  <c r="I95" i="43" s="1"/>
  <c r="I99" i="43" s="1"/>
  <c r="I101" i="43" s="1"/>
  <c r="I103" i="43" s="1"/>
  <c r="I105" i="43" s="1"/>
  <c r="I107" i="43" s="1"/>
  <c r="I109" i="43" s="1"/>
  <c r="I111" i="43" s="1"/>
  <c r="I115" i="43" s="1"/>
  <c r="I117" i="43" s="1"/>
  <c r="I119" i="43" s="1"/>
  <c r="I121" i="43" s="1"/>
  <c r="I123" i="43" s="1"/>
  <c r="I125" i="43" s="1"/>
  <c r="I127" i="43" s="1"/>
  <c r="I129" i="43" s="1"/>
  <c r="H83" i="43"/>
  <c r="H85" i="43" s="1"/>
  <c r="H89" i="43" s="1"/>
  <c r="H91" i="43" s="1"/>
  <c r="H95" i="43" s="1"/>
  <c r="H99" i="43" s="1"/>
  <c r="H101" i="43" s="1"/>
  <c r="H103" i="43" s="1"/>
  <c r="H105" i="43" s="1"/>
  <c r="H107" i="43" s="1"/>
  <c r="H109" i="43" s="1"/>
  <c r="H111" i="43" s="1"/>
  <c r="H115" i="43" s="1"/>
  <c r="H117" i="43" s="1"/>
  <c r="H119" i="43" s="1"/>
  <c r="H121" i="43" s="1"/>
  <c r="H123" i="43" s="1"/>
  <c r="H125" i="43" s="1"/>
  <c r="H127" i="43" s="1"/>
  <c r="H129" i="43" s="1"/>
  <c r="G57" i="36"/>
  <c r="H58" i="36" s="1"/>
  <c r="L72" i="43"/>
  <c r="J74" i="43"/>
  <c r="K75" i="43" s="1"/>
  <c r="M135" i="41"/>
  <c r="M167" i="41"/>
  <c r="M192" i="41" s="1"/>
  <c r="M129" i="41"/>
  <c r="M161" i="41"/>
  <c r="M186" i="41" s="1"/>
  <c r="M124" i="41"/>
  <c r="M156" i="41"/>
  <c r="M181" i="41" s="1"/>
  <c r="W122" i="41"/>
  <c r="W154" i="41"/>
  <c r="L142" i="41"/>
  <c r="L143" i="41" s="1"/>
  <c r="L154" i="41"/>
  <c r="L155" i="41" s="1"/>
  <c r="L156" i="41" s="1"/>
  <c r="L157" i="41" s="1"/>
  <c r="L158" i="41" s="1"/>
  <c r="L159" i="41" s="1"/>
  <c r="L160" i="41" s="1"/>
  <c r="L161" i="41" s="1"/>
  <c r="L162" i="41" s="1"/>
  <c r="L163" i="41" s="1"/>
  <c r="L164" i="41" s="1"/>
  <c r="L165" i="41" s="1"/>
  <c r="L166" i="41" s="1"/>
  <c r="L167" i="41" s="1"/>
  <c r="L168" i="41" s="1"/>
  <c r="L169" i="41" s="1"/>
  <c r="L170" i="41" s="1"/>
  <c r="L171" i="41" s="1"/>
  <c r="L172" i="41" s="1"/>
  <c r="L173" i="41" s="1"/>
  <c r="L174" i="41" s="1"/>
  <c r="L175" i="41" s="1"/>
  <c r="L176" i="41" s="1"/>
  <c r="L178" i="41" s="1"/>
  <c r="L179" i="41" s="1"/>
  <c r="L180" i="41" s="1"/>
  <c r="L181" i="41" s="1"/>
  <c r="L182" i="41" s="1"/>
  <c r="L183" i="41" s="1"/>
  <c r="L184" i="41" s="1"/>
  <c r="L185" i="41" s="1"/>
  <c r="L186" i="41" s="1"/>
  <c r="L187" i="41" s="1"/>
  <c r="L188" i="41" s="1"/>
  <c r="L189" i="41" s="1"/>
  <c r="L190" i="41" s="1"/>
  <c r="L191" i="41" s="1"/>
  <c r="L192" i="41" s="1"/>
  <c r="L193" i="41" s="1"/>
  <c r="L194" i="41" s="1"/>
  <c r="L195" i="41" s="1"/>
  <c r="L196" i="41" s="1"/>
  <c r="L197" i="41" s="1"/>
  <c r="L198" i="41" s="1"/>
  <c r="L199" i="41" s="1"/>
  <c r="L200" i="41" s="1"/>
  <c r="L201" i="41" s="1"/>
  <c r="M38" i="41"/>
  <c r="M72" i="41"/>
  <c r="M97" i="41" s="1"/>
  <c r="M32" i="41"/>
  <c r="M66" i="41"/>
  <c r="M91" i="41" s="1"/>
  <c r="M27" i="41"/>
  <c r="M61" i="41"/>
  <c r="M86" i="41" s="1"/>
  <c r="W25" i="41"/>
  <c r="W59" i="41"/>
  <c r="W84" i="41" s="1"/>
  <c r="W12" i="41"/>
  <c r="W13" i="41" s="1"/>
  <c r="W14" i="41" s="1"/>
  <c r="W15" i="41" s="1"/>
  <c r="W16" i="41" s="1"/>
  <c r="W17" i="41" s="1"/>
  <c r="W9" i="41"/>
  <c r="W10" i="41" s="1"/>
  <c r="F64" i="40"/>
  <c r="H22" i="40"/>
  <c r="H24" i="40" s="1"/>
  <c r="I20" i="40"/>
  <c r="I21" i="40" s="1"/>
  <c r="I22" i="40" s="1"/>
  <c r="I23" i="40" s="1"/>
  <c r="I26" i="40" s="1"/>
  <c r="K26" i="40" s="1"/>
  <c r="H15" i="36"/>
  <c r="AL61" i="26"/>
  <c r="AL28" i="26"/>
  <c r="L29" i="26"/>
  <c r="H103" i="31"/>
  <c r="AK22" i="31"/>
  <c r="H99" i="31"/>
  <c r="AE99" i="31" s="1"/>
  <c r="AK99" i="31" s="1"/>
  <c r="AL99" i="31" s="1"/>
  <c r="AK14" i="31"/>
  <c r="H111" i="31"/>
  <c r="AE111" i="31" s="1"/>
  <c r="AK111" i="31" s="1"/>
  <c r="AL111" i="31" s="1"/>
  <c r="AK30" i="31"/>
  <c r="H107" i="31"/>
  <c r="AE107" i="31" s="1"/>
  <c r="AK107" i="31" s="1"/>
  <c r="AL107" i="31" s="1"/>
  <c r="AK26" i="31"/>
  <c r="H132" i="31"/>
  <c r="AK87" i="31"/>
  <c r="AL87" i="31" s="1"/>
  <c r="H126" i="31"/>
  <c r="AE126" i="31" s="1"/>
  <c r="AK83" i="31"/>
  <c r="AE132" i="31"/>
  <c r="AK132" i="31" s="1"/>
  <c r="AE103" i="31"/>
  <c r="AK103" i="31" s="1"/>
  <c r="AL103" i="31" s="1"/>
  <c r="AE36" i="31"/>
  <c r="AE46" i="31"/>
  <c r="S113" i="25"/>
  <c r="S87" i="25"/>
  <c r="Q63" i="25"/>
  <c r="W63" i="25" s="1"/>
  <c r="J64" i="25"/>
  <c r="Q64" i="25" s="1"/>
  <c r="N50" i="25"/>
  <c r="F65" i="25" s="1"/>
  <c r="Q65" i="25" s="1"/>
  <c r="W65" i="25" s="1"/>
  <c r="S115" i="25"/>
  <c r="Z115" i="25" s="1"/>
  <c r="Z113" i="25"/>
  <c r="Z101" i="25"/>
  <c r="S103" i="25"/>
  <c r="Z103" i="25" s="1"/>
  <c r="Z87" i="25"/>
  <c r="S89" i="25"/>
  <c r="Z89" i="25" s="1"/>
  <c r="S77" i="25"/>
  <c r="Z77" i="25" s="1"/>
  <c r="Z75" i="25"/>
  <c r="W62" i="25"/>
  <c r="W38" i="25"/>
  <c r="W42" i="25" s="1"/>
  <c r="K44" i="25" s="1"/>
  <c r="Q42" i="25"/>
  <c r="K45" i="25" s="1"/>
  <c r="K83" i="50" l="1"/>
  <c r="F124" i="50"/>
  <c r="N92" i="49"/>
  <c r="O92" i="49" s="1"/>
  <c r="P92" i="49" s="1"/>
  <c r="V84" i="40" s="1"/>
  <c r="J94" i="49"/>
  <c r="L201" i="46"/>
  <c r="S11" i="47"/>
  <c r="X61" i="47" s="1"/>
  <c r="L200" i="46"/>
  <c r="R11" i="47"/>
  <c r="W61" i="47" s="1"/>
  <c r="K247" i="46"/>
  <c r="S59" i="47"/>
  <c r="X59" i="47" s="1"/>
  <c r="J201" i="46"/>
  <c r="S61" i="47"/>
  <c r="X11" i="47" s="1"/>
  <c r="J200" i="46"/>
  <c r="R61" i="47"/>
  <c r="W11" i="47" s="1"/>
  <c r="K200" i="46"/>
  <c r="R36" i="47"/>
  <c r="W36" i="47" s="1"/>
  <c r="L247" i="46"/>
  <c r="S34" i="47"/>
  <c r="X84" i="47" s="1"/>
  <c r="K201" i="46"/>
  <c r="S36" i="47"/>
  <c r="X36" i="47" s="1"/>
  <c r="J247" i="46"/>
  <c r="S84" i="47"/>
  <c r="X34" i="47" s="1"/>
  <c r="K83" i="48"/>
  <c r="F124" i="48"/>
  <c r="J94" i="40"/>
  <c r="J97" i="40" s="1"/>
  <c r="N92" i="40"/>
  <c r="O92" i="40" s="1"/>
  <c r="P92" i="40" s="1"/>
  <c r="U84" i="40" s="1"/>
  <c r="X84" i="40" s="1"/>
  <c r="AA84" i="40" s="1"/>
  <c r="AB84" i="40" s="1"/>
  <c r="AC84" i="40" s="1"/>
  <c r="AD84" i="40" s="1"/>
  <c r="Q76" i="47"/>
  <c r="V76" i="47" s="1"/>
  <c r="V26" i="47"/>
  <c r="Q68" i="47"/>
  <c r="V68" i="47" s="1"/>
  <c r="V18" i="47"/>
  <c r="Q69" i="47"/>
  <c r="V69" i="47" s="1"/>
  <c r="V19" i="47"/>
  <c r="N85" i="50"/>
  <c r="O85" i="50" s="1"/>
  <c r="P85" i="50" s="1"/>
  <c r="V79" i="48" s="1"/>
  <c r="J87" i="50"/>
  <c r="H81" i="50"/>
  <c r="I80" i="50"/>
  <c r="I83" i="50" s="1"/>
  <c r="J24" i="50"/>
  <c r="N22" i="50"/>
  <c r="O22" i="50" s="1"/>
  <c r="P22" i="50" s="1"/>
  <c r="H18" i="50"/>
  <c r="I17" i="50"/>
  <c r="I20" i="50" s="1"/>
  <c r="J97" i="49"/>
  <c r="I87" i="49"/>
  <c r="H88" i="49"/>
  <c r="J33" i="49"/>
  <c r="H24" i="49"/>
  <c r="I23" i="49"/>
  <c r="I26" i="49" s="1"/>
  <c r="K26" i="49" s="1"/>
  <c r="H26" i="40"/>
  <c r="J24" i="40"/>
  <c r="I80" i="48"/>
  <c r="H81" i="48"/>
  <c r="H83" i="48" s="1"/>
  <c r="I87" i="40"/>
  <c r="H88" i="40"/>
  <c r="J93" i="48"/>
  <c r="N91" i="48"/>
  <c r="O91" i="48" s="1"/>
  <c r="P91" i="48" s="1"/>
  <c r="U82" i="48" s="1"/>
  <c r="X82" i="48" s="1"/>
  <c r="AA82" i="48" s="1"/>
  <c r="AB82" i="48" s="1"/>
  <c r="AC82" i="48" s="1"/>
  <c r="AD82" i="48" s="1"/>
  <c r="N22" i="48"/>
  <c r="O22" i="48" s="1"/>
  <c r="P22" i="48" s="1"/>
  <c r="U16" i="48" s="1"/>
  <c r="J24" i="48"/>
  <c r="J26" i="48" s="1"/>
  <c r="J28" i="48" s="1"/>
  <c r="H16" i="48"/>
  <c r="I14" i="48"/>
  <c r="I15" i="48" s="1"/>
  <c r="I16" i="48" s="1"/>
  <c r="G19" i="36"/>
  <c r="G20" i="36" s="1"/>
  <c r="G22" i="36" s="1"/>
  <c r="G23" i="36" s="1"/>
  <c r="K77" i="47"/>
  <c r="L76" i="47"/>
  <c r="M76" i="47" s="1"/>
  <c r="Q52" i="47" s="1"/>
  <c r="V52" i="47" s="1"/>
  <c r="L67" i="47"/>
  <c r="M67" i="47" s="1"/>
  <c r="Q44" i="47" s="1"/>
  <c r="V44" i="47" s="1"/>
  <c r="K68" i="47"/>
  <c r="G57" i="47"/>
  <c r="H56" i="47"/>
  <c r="K34" i="47"/>
  <c r="L33" i="47"/>
  <c r="M33" i="47" s="1"/>
  <c r="Q27" i="47" s="1"/>
  <c r="L25" i="47"/>
  <c r="M25" i="47" s="1"/>
  <c r="Q20" i="47" s="1"/>
  <c r="K26" i="47"/>
  <c r="G14" i="47"/>
  <c r="H13" i="47"/>
  <c r="M71" i="46"/>
  <c r="J80" i="46"/>
  <c r="K75" i="46"/>
  <c r="J77" i="46"/>
  <c r="K249" i="43"/>
  <c r="J249" i="43"/>
  <c r="J202" i="43"/>
  <c r="K202" i="43"/>
  <c r="L249" i="43"/>
  <c r="L202" i="43"/>
  <c r="I146" i="43"/>
  <c r="I145" i="43"/>
  <c r="J81" i="43"/>
  <c r="J86" i="43" s="1"/>
  <c r="G58" i="36"/>
  <c r="J78" i="43"/>
  <c r="L74" i="43"/>
  <c r="I147" i="43" s="1"/>
  <c r="M168" i="41"/>
  <c r="M193" i="41" s="1"/>
  <c r="M136" i="41"/>
  <c r="M162" i="41"/>
  <c r="M187" i="41" s="1"/>
  <c r="M130" i="41"/>
  <c r="M157" i="41"/>
  <c r="M182" i="41" s="1"/>
  <c r="M125" i="41"/>
  <c r="W155" i="41"/>
  <c r="W123" i="41"/>
  <c r="W18" i="41"/>
  <c r="W114" i="41"/>
  <c r="M73" i="41"/>
  <c r="M98" i="41" s="1"/>
  <c r="M39" i="41"/>
  <c r="M67" i="41"/>
  <c r="M92" i="41" s="1"/>
  <c r="M33" i="41"/>
  <c r="M62" i="41"/>
  <c r="M87" i="41" s="1"/>
  <c r="M28" i="41"/>
  <c r="W60" i="41"/>
  <c r="W85" i="41" s="1"/>
  <c r="W26" i="41"/>
  <c r="L30" i="26"/>
  <c r="AL29" i="26"/>
  <c r="AL62" i="26"/>
  <c r="H40" i="31"/>
  <c r="AE40" i="31" s="1"/>
  <c r="H115" i="31" s="1"/>
  <c r="AE115" i="31" s="1"/>
  <c r="AK115" i="31" s="1"/>
  <c r="AK36" i="31"/>
  <c r="AL36" i="31" s="1"/>
  <c r="H50" i="31"/>
  <c r="AE50" i="31" s="1"/>
  <c r="H119" i="31" s="1"/>
  <c r="AE119" i="31" s="1"/>
  <c r="AK119" i="31" s="1"/>
  <c r="AK46" i="31"/>
  <c r="AL46" i="31" s="1"/>
  <c r="W64" i="25"/>
  <c r="W66" i="25" s="1"/>
  <c r="K68" i="25" s="1"/>
  <c r="Q66" i="25"/>
  <c r="K69" i="25" s="1"/>
  <c r="O68" i="25" s="1"/>
  <c r="O44" i="25"/>
  <c r="Y79" i="48" l="1"/>
  <c r="Z79" i="48" s="1"/>
  <c r="W79" i="48"/>
  <c r="Y84" i="40"/>
  <c r="Z84" i="40" s="1"/>
  <c r="W84" i="40"/>
  <c r="U109" i="48"/>
  <c r="X109" i="48" s="1"/>
  <c r="AA109" i="48" s="1"/>
  <c r="AB109" i="48" s="1"/>
  <c r="AC109" i="48" s="1"/>
  <c r="AD109" i="48" s="1"/>
  <c r="X16" i="48"/>
  <c r="AA16" i="48" s="1"/>
  <c r="AB16" i="48" s="1"/>
  <c r="AC16" i="48" s="1"/>
  <c r="AD16" i="48" s="1"/>
  <c r="J99" i="40"/>
  <c r="N97" i="40"/>
  <c r="O97" i="40" s="1"/>
  <c r="P97" i="40" s="1"/>
  <c r="U86" i="40" s="1"/>
  <c r="X86" i="40" s="1"/>
  <c r="AA86" i="40" s="1"/>
  <c r="AB86" i="40" s="1"/>
  <c r="AC86" i="40" s="1"/>
  <c r="AD86" i="40" s="1"/>
  <c r="Q77" i="47"/>
  <c r="V77" i="47" s="1"/>
  <c r="V27" i="47"/>
  <c r="Q70" i="47"/>
  <c r="V70" i="47" s="1"/>
  <c r="V20" i="47"/>
  <c r="L31" i="26"/>
  <c r="L32" i="26" s="1"/>
  <c r="AL30" i="26"/>
  <c r="J89" i="50"/>
  <c r="H83" i="50"/>
  <c r="J26" i="50"/>
  <c r="H20" i="50"/>
  <c r="N97" i="49"/>
  <c r="O97" i="49" s="1"/>
  <c r="P97" i="49" s="1"/>
  <c r="V86" i="40" s="1"/>
  <c r="J99" i="49"/>
  <c r="J88" i="49"/>
  <c r="H90" i="49"/>
  <c r="J35" i="49"/>
  <c r="O33" i="49"/>
  <c r="P33" i="49" s="1"/>
  <c r="H26" i="49"/>
  <c r="J24" i="49"/>
  <c r="K23" i="49"/>
  <c r="N22" i="49" s="1"/>
  <c r="O22" i="49" s="1"/>
  <c r="P22" i="49" s="1"/>
  <c r="V17" i="40" s="1"/>
  <c r="I90" i="49"/>
  <c r="K90" i="49" s="1"/>
  <c r="I27" i="40"/>
  <c r="H28" i="40"/>
  <c r="H30" i="40" s="1"/>
  <c r="K23" i="40"/>
  <c r="N22" i="40" s="1"/>
  <c r="O22" i="40" s="1"/>
  <c r="P22" i="40" s="1"/>
  <c r="U17" i="40" s="1"/>
  <c r="N24" i="40"/>
  <c r="O24" i="40" s="1"/>
  <c r="P24" i="40" s="1"/>
  <c r="U18" i="40" s="1"/>
  <c r="H85" i="48"/>
  <c r="H87" i="48" s="1"/>
  <c r="I83" i="48"/>
  <c r="I84" i="48" s="1"/>
  <c r="H90" i="40"/>
  <c r="J88" i="40"/>
  <c r="N88" i="40" s="1"/>
  <c r="O88" i="40" s="1"/>
  <c r="P88" i="40" s="1"/>
  <c r="U82" i="40" s="1"/>
  <c r="X82" i="40" s="1"/>
  <c r="AA82" i="40" s="1"/>
  <c r="AB82" i="40" s="1"/>
  <c r="AC82" i="40" s="1"/>
  <c r="AD82" i="40" s="1"/>
  <c r="I90" i="40"/>
  <c r="K90" i="40" s="1"/>
  <c r="N93" i="48"/>
  <c r="O93" i="48" s="1"/>
  <c r="P93" i="48" s="1"/>
  <c r="U83" i="48" s="1"/>
  <c r="X83" i="48" s="1"/>
  <c r="AA83" i="48" s="1"/>
  <c r="AB83" i="48" s="1"/>
  <c r="AC83" i="48" s="1"/>
  <c r="AD83" i="48" s="1"/>
  <c r="J95" i="48"/>
  <c r="N28" i="48"/>
  <c r="P28" i="48" s="1"/>
  <c r="J30" i="48"/>
  <c r="H18" i="48"/>
  <c r="I17" i="48"/>
  <c r="G25" i="36"/>
  <c r="K78" i="47"/>
  <c r="L77" i="47"/>
  <c r="M77" i="47" s="1"/>
  <c r="Q53" i="47" s="1"/>
  <c r="V53" i="47" s="1"/>
  <c r="L68" i="47"/>
  <c r="M68" i="47" s="1"/>
  <c r="Q45" i="47" s="1"/>
  <c r="V45" i="47" s="1"/>
  <c r="K69" i="47"/>
  <c r="G59" i="47"/>
  <c r="G60" i="47" s="1"/>
  <c r="K55" i="47"/>
  <c r="L55" i="47" s="1"/>
  <c r="M55" i="47" s="1"/>
  <c r="Q37" i="47" s="1"/>
  <c r="V37" i="47" s="1"/>
  <c r="H57" i="47"/>
  <c r="H58" i="47" s="1"/>
  <c r="L34" i="47"/>
  <c r="M34" i="47" s="1"/>
  <c r="Q28" i="47" s="1"/>
  <c r="K35" i="47"/>
  <c r="L26" i="47"/>
  <c r="M26" i="47" s="1"/>
  <c r="Q21" i="47" s="1"/>
  <c r="K27" i="47"/>
  <c r="G16" i="47"/>
  <c r="K12" i="47"/>
  <c r="L12" i="47" s="1"/>
  <c r="M12" i="47" s="1"/>
  <c r="Q12" i="47" s="1"/>
  <c r="H14" i="47"/>
  <c r="H15" i="47" s="1"/>
  <c r="H17" i="47" s="1"/>
  <c r="M74" i="46"/>
  <c r="I145" i="46" s="1"/>
  <c r="I144" i="46"/>
  <c r="J84" i="46"/>
  <c r="L80" i="46"/>
  <c r="J82" i="46"/>
  <c r="K77" i="46"/>
  <c r="L78" i="46"/>
  <c r="L146" i="43"/>
  <c r="O146" i="43" s="1"/>
  <c r="G204" i="43" s="1"/>
  <c r="R14" i="36" s="1"/>
  <c r="W64" i="36" s="1"/>
  <c r="J146" i="43"/>
  <c r="M146" i="43" s="1"/>
  <c r="I204" i="43" s="1"/>
  <c r="R64" i="36" s="1"/>
  <c r="W14" i="36" s="1"/>
  <c r="K146" i="43"/>
  <c r="N146" i="43" s="1"/>
  <c r="H204" i="43" s="1"/>
  <c r="R39" i="36" s="1"/>
  <c r="W39" i="36" s="1"/>
  <c r="L145" i="43"/>
  <c r="O145" i="43" s="1"/>
  <c r="G203" i="43" s="1"/>
  <c r="S13" i="36" s="1"/>
  <c r="X63" i="36" s="1"/>
  <c r="K145" i="43"/>
  <c r="N145" i="43" s="1"/>
  <c r="H203" i="43" s="1"/>
  <c r="S38" i="36" s="1"/>
  <c r="X38" i="36" s="1"/>
  <c r="J145" i="43"/>
  <c r="M145" i="43" s="1"/>
  <c r="I203" i="43" s="1"/>
  <c r="S63" i="36" s="1"/>
  <c r="X13" i="36" s="1"/>
  <c r="J147" i="43"/>
  <c r="M147" i="43" s="1"/>
  <c r="I205" i="43" s="1"/>
  <c r="S64" i="36" s="1"/>
  <c r="X14" i="36" s="1"/>
  <c r="L147" i="43"/>
  <c r="O147" i="43" s="1"/>
  <c r="G205" i="43" s="1"/>
  <c r="S14" i="36" s="1"/>
  <c r="X64" i="36" s="1"/>
  <c r="K147" i="43"/>
  <c r="N147" i="43" s="1"/>
  <c r="H205" i="43" s="1"/>
  <c r="S39" i="36" s="1"/>
  <c r="X39" i="36" s="1"/>
  <c r="K79" i="43"/>
  <c r="K77" i="43"/>
  <c r="J87" i="43"/>
  <c r="J92" i="43" s="1"/>
  <c r="H59" i="36"/>
  <c r="G60" i="36"/>
  <c r="G27" i="36"/>
  <c r="G28" i="36" s="1"/>
  <c r="G29" i="36" s="1"/>
  <c r="G30" i="36" s="1"/>
  <c r="G31" i="36" s="1"/>
  <c r="L78" i="43"/>
  <c r="J82" i="43"/>
  <c r="K81" i="43" s="1"/>
  <c r="M169" i="41"/>
  <c r="M194" i="41" s="1"/>
  <c r="M137" i="41"/>
  <c r="M163" i="41"/>
  <c r="M188" i="41" s="1"/>
  <c r="M131" i="41"/>
  <c r="M158" i="41"/>
  <c r="M183" i="41" s="1"/>
  <c r="M126" i="41"/>
  <c r="M159" i="41" s="1"/>
  <c r="M184" i="41" s="1"/>
  <c r="W156" i="41"/>
  <c r="W124" i="41"/>
  <c r="W115" i="41"/>
  <c r="W19" i="41"/>
  <c r="M74" i="41"/>
  <c r="M99" i="41" s="1"/>
  <c r="M40" i="41"/>
  <c r="M68" i="41"/>
  <c r="M93" i="41" s="1"/>
  <c r="M34" i="41"/>
  <c r="M63" i="41"/>
  <c r="M88" i="41" s="1"/>
  <c r="M29" i="41"/>
  <c r="M64" i="41" s="1"/>
  <c r="M89" i="41" s="1"/>
  <c r="W61" i="41"/>
  <c r="W86" i="41" s="1"/>
  <c r="W27" i="41"/>
  <c r="AL63" i="26"/>
  <c r="AL31" i="26"/>
  <c r="W86" i="40" l="1"/>
  <c r="Y86" i="40"/>
  <c r="Z86" i="40" s="1"/>
  <c r="W17" i="40"/>
  <c r="Y17" i="40"/>
  <c r="Z17" i="40" s="1"/>
  <c r="V111" i="40"/>
  <c r="J101" i="40"/>
  <c r="J103" i="40" s="1"/>
  <c r="N99" i="40"/>
  <c r="O99" i="40" s="1"/>
  <c r="P99" i="40" s="1"/>
  <c r="U87" i="40" s="1"/>
  <c r="X87" i="40" s="1"/>
  <c r="AA87" i="40" s="1"/>
  <c r="AB87" i="40" s="1"/>
  <c r="AC87" i="40" s="1"/>
  <c r="AD87" i="40" s="1"/>
  <c r="Q78" i="47"/>
  <c r="V78" i="47" s="1"/>
  <c r="V28" i="47"/>
  <c r="Q71" i="47"/>
  <c r="V71" i="47" s="1"/>
  <c r="V21" i="47"/>
  <c r="Q62" i="47"/>
  <c r="V62" i="47" s="1"/>
  <c r="V12" i="47"/>
  <c r="X17" i="40"/>
  <c r="AA17" i="40" s="1"/>
  <c r="AB17" i="40" s="1"/>
  <c r="AC17" i="40" s="1"/>
  <c r="AD17" i="40" s="1"/>
  <c r="U111" i="40"/>
  <c r="X111" i="40" s="1"/>
  <c r="AA111" i="40" s="1"/>
  <c r="AB111" i="40" s="1"/>
  <c r="AC111" i="40" s="1"/>
  <c r="AD111" i="40" s="1"/>
  <c r="X18" i="40"/>
  <c r="AA18" i="40" s="1"/>
  <c r="AB18" i="40" s="1"/>
  <c r="AC18" i="40" s="1"/>
  <c r="AD18" i="40" s="1"/>
  <c r="U112" i="40"/>
  <c r="X112" i="40" s="1"/>
  <c r="AA112" i="40" s="1"/>
  <c r="AB112" i="40" s="1"/>
  <c r="AC112" i="40" s="1"/>
  <c r="AD112" i="40" s="1"/>
  <c r="H85" i="50"/>
  <c r="I84" i="50"/>
  <c r="H22" i="50"/>
  <c r="I21" i="50"/>
  <c r="J91" i="50"/>
  <c r="J28" i="50"/>
  <c r="N99" i="49"/>
  <c r="O99" i="49" s="1"/>
  <c r="P99" i="49" s="1"/>
  <c r="V87" i="40" s="1"/>
  <c r="J101" i="49"/>
  <c r="N88" i="49"/>
  <c r="O88" i="49" s="1"/>
  <c r="P88" i="49" s="1"/>
  <c r="V82" i="40" s="1"/>
  <c r="I91" i="49"/>
  <c r="H92" i="49"/>
  <c r="J37" i="49"/>
  <c r="O35" i="49"/>
  <c r="P35" i="49" s="1"/>
  <c r="H28" i="49"/>
  <c r="I27" i="49"/>
  <c r="P24" i="49"/>
  <c r="K87" i="49"/>
  <c r="N86" i="49" s="1"/>
  <c r="O86" i="49" s="1"/>
  <c r="P86" i="49" s="1"/>
  <c r="V81" i="40" s="1"/>
  <c r="I30" i="40"/>
  <c r="I32" i="40" s="1"/>
  <c r="K27" i="40"/>
  <c r="K84" i="48"/>
  <c r="I87" i="48"/>
  <c r="H89" i="48"/>
  <c r="I91" i="40"/>
  <c r="H92" i="40"/>
  <c r="H94" i="40" s="1"/>
  <c r="K87" i="40"/>
  <c r="N86" i="40" s="1"/>
  <c r="O86" i="40" s="1"/>
  <c r="P86" i="40" s="1"/>
  <c r="U81" i="40" s="1"/>
  <c r="X81" i="40" s="1"/>
  <c r="AA81" i="40" s="1"/>
  <c r="AB81" i="40" s="1"/>
  <c r="AC81" i="40" s="1"/>
  <c r="AD81" i="40" s="1"/>
  <c r="I20" i="48"/>
  <c r="J97" i="48"/>
  <c r="N95" i="48"/>
  <c r="O95" i="48" s="1"/>
  <c r="P95" i="48" s="1"/>
  <c r="U84" i="48" s="1"/>
  <c r="X84" i="48" s="1"/>
  <c r="AA84" i="48" s="1"/>
  <c r="AB84" i="48" s="1"/>
  <c r="AC84" i="48" s="1"/>
  <c r="AD84" i="48" s="1"/>
  <c r="J32" i="48"/>
  <c r="N30" i="48"/>
  <c r="P30" i="48" s="1"/>
  <c r="H20" i="48"/>
  <c r="K79" i="47"/>
  <c r="L78" i="47"/>
  <c r="M78" i="47" s="1"/>
  <c r="Q54" i="47" s="1"/>
  <c r="V54" i="47" s="1"/>
  <c r="L69" i="47"/>
  <c r="M69" i="47" s="1"/>
  <c r="Q46" i="47" s="1"/>
  <c r="V46" i="47" s="1"/>
  <c r="K70" i="47"/>
  <c r="G62" i="47"/>
  <c r="L35" i="47"/>
  <c r="M35" i="47" s="1"/>
  <c r="Q29" i="47" s="1"/>
  <c r="K36" i="47"/>
  <c r="L27" i="47"/>
  <c r="M27" i="47" s="1"/>
  <c r="Q22" i="47" s="1"/>
  <c r="K28" i="47"/>
  <c r="G17" i="47"/>
  <c r="K14" i="47"/>
  <c r="L14" i="47" s="1"/>
  <c r="M14" i="47" s="1"/>
  <c r="Q13" i="47" s="1"/>
  <c r="K57" i="47"/>
  <c r="L57" i="47" s="1"/>
  <c r="M57" i="47" s="1"/>
  <c r="Q38" i="47" s="1"/>
  <c r="V38" i="47" s="1"/>
  <c r="H60" i="47"/>
  <c r="H61" i="47" s="1"/>
  <c r="K145" i="46"/>
  <c r="N145" i="46" s="1"/>
  <c r="H203" i="46" s="1"/>
  <c r="J145" i="46"/>
  <c r="M145" i="46" s="1"/>
  <c r="I203" i="46" s="1"/>
  <c r="L145" i="46"/>
  <c r="O145" i="46" s="1"/>
  <c r="G203" i="46" s="1"/>
  <c r="K144" i="46"/>
  <c r="N144" i="46" s="1"/>
  <c r="H202" i="46" s="1"/>
  <c r="L144" i="46"/>
  <c r="O144" i="46" s="1"/>
  <c r="G202" i="46" s="1"/>
  <c r="J144" i="46"/>
  <c r="M144" i="46" s="1"/>
  <c r="I202" i="46" s="1"/>
  <c r="J86" i="46"/>
  <c r="I149" i="46"/>
  <c r="J83" i="46"/>
  <c r="K81" i="46"/>
  <c r="M75" i="46"/>
  <c r="I148" i="46"/>
  <c r="J204" i="43"/>
  <c r="J203" i="43"/>
  <c r="J205" i="43"/>
  <c r="K205" i="43"/>
  <c r="K204" i="43"/>
  <c r="K203" i="43"/>
  <c r="L204" i="43"/>
  <c r="L203" i="43"/>
  <c r="L205" i="43"/>
  <c r="J93" i="43"/>
  <c r="J96" i="43" s="1"/>
  <c r="M75" i="43"/>
  <c r="K58" i="36"/>
  <c r="L58" i="36" s="1"/>
  <c r="M58" i="36" s="1"/>
  <c r="Q40" i="36" s="1"/>
  <c r="V40" i="36" s="1"/>
  <c r="H60" i="36"/>
  <c r="H61" i="36" s="1"/>
  <c r="G62" i="36"/>
  <c r="J84" i="43"/>
  <c r="K85" i="43" s="1"/>
  <c r="L82" i="43"/>
  <c r="M170" i="41"/>
  <c r="M195" i="41" s="1"/>
  <c r="M138" i="41"/>
  <c r="M164" i="41"/>
  <c r="M189" i="41" s="1"/>
  <c r="M132" i="41"/>
  <c r="M165" i="41" s="1"/>
  <c r="M190" i="41" s="1"/>
  <c r="W157" i="41"/>
  <c r="W125" i="41"/>
  <c r="W116" i="41"/>
  <c r="W20" i="41"/>
  <c r="M75" i="41"/>
  <c r="M100" i="41" s="1"/>
  <c r="M41" i="41"/>
  <c r="M69" i="41"/>
  <c r="M94" i="41" s="1"/>
  <c r="M35" i="41"/>
  <c r="M70" i="41" s="1"/>
  <c r="M95" i="41" s="1"/>
  <c r="W62" i="41"/>
  <c r="W87" i="41" s="1"/>
  <c r="W28" i="41"/>
  <c r="N101" i="40"/>
  <c r="O101" i="40" s="1"/>
  <c r="P101" i="40" s="1"/>
  <c r="U88" i="40" s="1"/>
  <c r="X88" i="40" s="1"/>
  <c r="AA88" i="40" s="1"/>
  <c r="AB88" i="40" s="1"/>
  <c r="AC88" i="40" s="1"/>
  <c r="AD88" i="40" s="1"/>
  <c r="H33" i="40"/>
  <c r="AL64" i="26"/>
  <c r="AL32" i="26"/>
  <c r="G32" i="36"/>
  <c r="G33" i="36" s="1"/>
  <c r="W87" i="40" l="1"/>
  <c r="Y87" i="40"/>
  <c r="Z87" i="40" s="1"/>
  <c r="W82" i="40"/>
  <c r="Y82" i="40"/>
  <c r="Z82" i="40" s="1"/>
  <c r="W81" i="40"/>
  <c r="Y81" i="40"/>
  <c r="Z81" i="40" s="1"/>
  <c r="Y111" i="40"/>
  <c r="Z111" i="40" s="1"/>
  <c r="W111" i="40"/>
  <c r="K203" i="46"/>
  <c r="S37" i="47"/>
  <c r="X37" i="47" s="1"/>
  <c r="J203" i="46"/>
  <c r="S62" i="47"/>
  <c r="X12" i="47" s="1"/>
  <c r="L203" i="46"/>
  <c r="S12" i="47"/>
  <c r="X62" i="47" s="1"/>
  <c r="K202" i="46"/>
  <c r="R37" i="47"/>
  <c r="W37" i="47" s="1"/>
  <c r="L202" i="46"/>
  <c r="R12" i="47"/>
  <c r="W62" i="47" s="1"/>
  <c r="J202" i="46"/>
  <c r="R62" i="47"/>
  <c r="W12" i="47" s="1"/>
  <c r="Q79" i="47"/>
  <c r="V79" i="47" s="1"/>
  <c r="V29" i="47"/>
  <c r="Q72" i="47"/>
  <c r="V72" i="47" s="1"/>
  <c r="V22" i="47"/>
  <c r="Q63" i="47"/>
  <c r="V63" i="47" s="1"/>
  <c r="V13" i="47"/>
  <c r="H63" i="36"/>
  <c r="H87" i="50"/>
  <c r="I87" i="50"/>
  <c r="K87" i="50" s="1"/>
  <c r="K84" i="50"/>
  <c r="N83" i="50" s="1"/>
  <c r="O83" i="50" s="1"/>
  <c r="P83" i="50" s="1"/>
  <c r="V78" i="48" s="1"/>
  <c r="H24" i="50"/>
  <c r="K21" i="50"/>
  <c r="N20" i="50" s="1"/>
  <c r="O20" i="50" s="1"/>
  <c r="P20" i="50" s="1"/>
  <c r="V15" i="48" s="1"/>
  <c r="I24" i="50"/>
  <c r="K24" i="50" s="1"/>
  <c r="N91" i="50"/>
  <c r="O91" i="50" s="1"/>
  <c r="P91" i="50" s="1"/>
  <c r="V82" i="48" s="1"/>
  <c r="J93" i="50"/>
  <c r="N28" i="50"/>
  <c r="O28" i="50" s="1"/>
  <c r="P28" i="50" s="1"/>
  <c r="J30" i="50"/>
  <c r="N101" i="49"/>
  <c r="O101" i="49" s="1"/>
  <c r="P101" i="49" s="1"/>
  <c r="V88" i="40" s="1"/>
  <c r="J103" i="49"/>
  <c r="K91" i="49"/>
  <c r="I94" i="49"/>
  <c r="H94" i="49"/>
  <c r="O37" i="49"/>
  <c r="P37" i="49" s="1"/>
  <c r="J39" i="49"/>
  <c r="H30" i="49"/>
  <c r="K27" i="49"/>
  <c r="I30" i="49"/>
  <c r="J26" i="40"/>
  <c r="N26" i="40"/>
  <c r="K87" i="48"/>
  <c r="I88" i="48"/>
  <c r="K88" i="48" s="1"/>
  <c r="I89" i="48"/>
  <c r="K91" i="40"/>
  <c r="N90" i="40" s="1"/>
  <c r="O90" i="40" s="1"/>
  <c r="P90" i="40" s="1"/>
  <c r="U83" i="40" s="1"/>
  <c r="X83" i="40" s="1"/>
  <c r="AA83" i="40" s="1"/>
  <c r="AB83" i="40" s="1"/>
  <c r="AC83" i="40" s="1"/>
  <c r="AD83" i="40" s="1"/>
  <c r="I94" i="40"/>
  <c r="I96" i="40" s="1"/>
  <c r="N97" i="48"/>
  <c r="O97" i="48" s="1"/>
  <c r="P97" i="48" s="1"/>
  <c r="U85" i="48" s="1"/>
  <c r="X85" i="48" s="1"/>
  <c r="AA85" i="48" s="1"/>
  <c r="AB85" i="48" s="1"/>
  <c r="AC85" i="48" s="1"/>
  <c r="AD85" i="48" s="1"/>
  <c r="J99" i="48"/>
  <c r="N83" i="48"/>
  <c r="O83" i="48" s="1"/>
  <c r="P83" i="48" s="1"/>
  <c r="U78" i="48" s="1"/>
  <c r="X78" i="48" s="1"/>
  <c r="AA78" i="48" s="1"/>
  <c r="AB78" i="48" s="1"/>
  <c r="AC78" i="48" s="1"/>
  <c r="AD78" i="48" s="1"/>
  <c r="J34" i="48"/>
  <c r="N32" i="48"/>
  <c r="P32" i="48" s="1"/>
  <c r="H22" i="48"/>
  <c r="I21" i="48"/>
  <c r="G35" i="36"/>
  <c r="G36" i="36" s="1"/>
  <c r="G37" i="36" s="1"/>
  <c r="G38" i="36" s="1"/>
  <c r="G39" i="36" s="1"/>
  <c r="G40" i="36" s="1"/>
  <c r="G41" i="36" s="1"/>
  <c r="L79" i="47"/>
  <c r="M79" i="47" s="1"/>
  <c r="Q55" i="47" s="1"/>
  <c r="V55" i="47" s="1"/>
  <c r="K80" i="47"/>
  <c r="K71" i="47"/>
  <c r="L70" i="47"/>
  <c r="M70" i="47" s="1"/>
  <c r="Q47" i="47" s="1"/>
  <c r="V47" i="47" s="1"/>
  <c r="G63" i="47"/>
  <c r="L36" i="47"/>
  <c r="M36" i="47" s="1"/>
  <c r="Q30" i="47" s="1"/>
  <c r="K37" i="47"/>
  <c r="K29" i="47"/>
  <c r="L29" i="47" s="1"/>
  <c r="M29" i="47" s="1"/>
  <c r="Q24" i="47" s="1"/>
  <c r="L28" i="47"/>
  <c r="M28" i="47" s="1"/>
  <c r="Q23" i="47" s="1"/>
  <c r="H18" i="47"/>
  <c r="G19" i="47"/>
  <c r="K60" i="47"/>
  <c r="L60" i="47" s="1"/>
  <c r="M60" i="47" s="1"/>
  <c r="Q40" i="47" s="1"/>
  <c r="V40" i="47" s="1"/>
  <c r="H63" i="47"/>
  <c r="J90" i="46"/>
  <c r="L86" i="46"/>
  <c r="L149" i="46"/>
  <c r="O149" i="46" s="1"/>
  <c r="G207" i="46" s="1"/>
  <c r="J149" i="46"/>
  <c r="M149" i="46" s="1"/>
  <c r="I207" i="46" s="1"/>
  <c r="K149" i="46"/>
  <c r="N149" i="46" s="1"/>
  <c r="H207" i="46" s="1"/>
  <c r="I146" i="46"/>
  <c r="M78" i="46"/>
  <c r="I147" i="46" s="1"/>
  <c r="J148" i="46"/>
  <c r="M148" i="46" s="1"/>
  <c r="I206" i="46" s="1"/>
  <c r="L148" i="46"/>
  <c r="O148" i="46" s="1"/>
  <c r="G206" i="46" s="1"/>
  <c r="K148" i="46"/>
  <c r="N148" i="46" s="1"/>
  <c r="H206" i="46" s="1"/>
  <c r="J88" i="46"/>
  <c r="L84" i="46"/>
  <c r="K83" i="46"/>
  <c r="M78" i="43"/>
  <c r="I149" i="43" s="1"/>
  <c r="I148" i="43"/>
  <c r="M79" i="43"/>
  <c r="I152" i="43"/>
  <c r="J97" i="43"/>
  <c r="J112" i="43" s="1"/>
  <c r="K60" i="36"/>
  <c r="L60" i="36" s="1"/>
  <c r="M60" i="36" s="1"/>
  <c r="Q41" i="36" s="1"/>
  <c r="V41" i="36" s="1"/>
  <c r="G63" i="36"/>
  <c r="J88" i="43"/>
  <c r="K87" i="43" s="1"/>
  <c r="L84" i="43"/>
  <c r="I153" i="43" s="1"/>
  <c r="M171" i="41"/>
  <c r="M196" i="41" s="1"/>
  <c r="M139" i="41"/>
  <c r="W158" i="41"/>
  <c r="W126" i="41"/>
  <c r="W117" i="41"/>
  <c r="W21" i="41"/>
  <c r="M76" i="41"/>
  <c r="M101" i="41" s="1"/>
  <c r="M42" i="41"/>
  <c r="W63" i="41"/>
  <c r="W88" i="41" s="1"/>
  <c r="W29" i="41"/>
  <c r="N103" i="40"/>
  <c r="O103" i="40" s="1"/>
  <c r="P103" i="40" s="1"/>
  <c r="U89" i="40" s="1"/>
  <c r="X89" i="40" s="1"/>
  <c r="AA89" i="40" s="1"/>
  <c r="AB89" i="40" s="1"/>
  <c r="AC89" i="40" s="1"/>
  <c r="AD89" i="40" s="1"/>
  <c r="J105" i="40"/>
  <c r="H35" i="40"/>
  <c r="J30" i="40"/>
  <c r="N28" i="40"/>
  <c r="O28" i="40" s="1"/>
  <c r="P28" i="40" s="1"/>
  <c r="U20" i="40" s="1"/>
  <c r="K30" i="40"/>
  <c r="AL65" i="26"/>
  <c r="W78" i="48" l="1"/>
  <c r="Y78" i="48"/>
  <c r="Z78" i="48" s="1"/>
  <c r="Y82" i="48"/>
  <c r="Z82" i="48" s="1"/>
  <c r="W82" i="48"/>
  <c r="Y15" i="48"/>
  <c r="Z15" i="48" s="1"/>
  <c r="W15" i="48"/>
  <c r="V108" i="48"/>
  <c r="W88" i="40"/>
  <c r="Y88" i="40"/>
  <c r="Z88" i="40" s="1"/>
  <c r="L207" i="46"/>
  <c r="S14" i="47"/>
  <c r="X64" i="47" s="1"/>
  <c r="J207" i="46"/>
  <c r="S64" i="47"/>
  <c r="X14" i="47" s="1"/>
  <c r="K207" i="46"/>
  <c r="S39" i="47"/>
  <c r="X39" i="47" s="1"/>
  <c r="J206" i="46"/>
  <c r="R64" i="47"/>
  <c r="W14" i="47" s="1"/>
  <c r="L206" i="46"/>
  <c r="R14" i="47"/>
  <c r="W64" i="47" s="1"/>
  <c r="K206" i="46"/>
  <c r="R39" i="47"/>
  <c r="W39" i="47" s="1"/>
  <c r="Q80" i="47"/>
  <c r="V80" i="47" s="1"/>
  <c r="V30" i="47"/>
  <c r="Q74" i="47"/>
  <c r="V74" i="47" s="1"/>
  <c r="V24" i="47"/>
  <c r="Q73" i="47"/>
  <c r="V73" i="47" s="1"/>
  <c r="V23" i="47"/>
  <c r="X20" i="40"/>
  <c r="AA20" i="40" s="1"/>
  <c r="AB20" i="40" s="1"/>
  <c r="AC20" i="40" s="1"/>
  <c r="AD20" i="40" s="1"/>
  <c r="U114" i="40"/>
  <c r="X114" i="40" s="1"/>
  <c r="AA114" i="40" s="1"/>
  <c r="AB114" i="40" s="1"/>
  <c r="AC114" i="40" s="1"/>
  <c r="AD114" i="40" s="1"/>
  <c r="H89" i="50"/>
  <c r="I88" i="50"/>
  <c r="I25" i="50"/>
  <c r="H26" i="50"/>
  <c r="N93" i="50"/>
  <c r="O93" i="50" s="1"/>
  <c r="P93" i="50" s="1"/>
  <c r="V83" i="48" s="1"/>
  <c r="J95" i="50"/>
  <c r="J32" i="50"/>
  <c r="N30" i="50"/>
  <c r="O30" i="50" s="1"/>
  <c r="P30" i="50" s="1"/>
  <c r="J105" i="49"/>
  <c r="N103" i="49"/>
  <c r="O103" i="49" s="1"/>
  <c r="P103" i="49" s="1"/>
  <c r="V89" i="40" s="1"/>
  <c r="N90" i="49"/>
  <c r="O90" i="49" s="1"/>
  <c r="P90" i="49" s="1"/>
  <c r="V83" i="40" s="1"/>
  <c r="J90" i="49"/>
  <c r="K94" i="49"/>
  <c r="I96" i="49"/>
  <c r="H97" i="49"/>
  <c r="H99" i="49" s="1"/>
  <c r="H101" i="49" s="1"/>
  <c r="H103" i="49" s="1"/>
  <c r="H105" i="49" s="1"/>
  <c r="H107" i="49" s="1"/>
  <c r="H109" i="49" s="1"/>
  <c r="H111" i="49" s="1"/>
  <c r="J41" i="49"/>
  <c r="O39" i="49"/>
  <c r="P39" i="49" s="1"/>
  <c r="H33" i="49"/>
  <c r="H35" i="49" s="1"/>
  <c r="H37" i="49" s="1"/>
  <c r="H39" i="49" s="1"/>
  <c r="H41" i="49" s="1"/>
  <c r="H43" i="49" s="1"/>
  <c r="H45" i="49" s="1"/>
  <c r="H47" i="49" s="1"/>
  <c r="I32" i="49"/>
  <c r="P26" i="49"/>
  <c r="J26" i="49"/>
  <c r="K30" i="49"/>
  <c r="O26" i="40"/>
  <c r="P26" i="40" s="1"/>
  <c r="U19" i="40" s="1"/>
  <c r="I90" i="48"/>
  <c r="K90" i="48" s="1"/>
  <c r="K89" i="48"/>
  <c r="J90" i="40"/>
  <c r="K94" i="40"/>
  <c r="K96" i="40" s="1"/>
  <c r="N99" i="48"/>
  <c r="O99" i="48" s="1"/>
  <c r="P99" i="48" s="1"/>
  <c r="U86" i="48" s="1"/>
  <c r="X86" i="48" s="1"/>
  <c r="AA86" i="48" s="1"/>
  <c r="AB86" i="48" s="1"/>
  <c r="AC86" i="48" s="1"/>
  <c r="AD86" i="48" s="1"/>
  <c r="J101" i="48"/>
  <c r="J36" i="48"/>
  <c r="N34" i="48"/>
  <c r="P34" i="48" s="1"/>
  <c r="H24" i="48"/>
  <c r="I24" i="48"/>
  <c r="K24" i="48" s="1"/>
  <c r="K21" i="48"/>
  <c r="N20" i="48" s="1"/>
  <c r="O20" i="48" s="1"/>
  <c r="P20" i="48" s="1"/>
  <c r="U15" i="48" s="1"/>
  <c r="L80" i="47"/>
  <c r="M80" i="47" s="1"/>
  <c r="Q56" i="47" s="1"/>
  <c r="V56" i="47" s="1"/>
  <c r="K81" i="47"/>
  <c r="K72" i="47"/>
  <c r="L72" i="47" s="1"/>
  <c r="M72" i="47" s="1"/>
  <c r="Q49" i="47" s="1"/>
  <c r="V49" i="47" s="1"/>
  <c r="L71" i="47"/>
  <c r="M71" i="47" s="1"/>
  <c r="Q48" i="47" s="1"/>
  <c r="V48" i="47" s="1"/>
  <c r="G66" i="47"/>
  <c r="G67" i="47" s="1"/>
  <c r="G68" i="47" s="1"/>
  <c r="G69" i="47" s="1"/>
  <c r="G70" i="47" s="1"/>
  <c r="G71" i="47" s="1"/>
  <c r="G72" i="47" s="1"/>
  <c r="G73" i="47" s="1"/>
  <c r="H65" i="47"/>
  <c r="L37" i="47"/>
  <c r="M37" i="47" s="1"/>
  <c r="Q31" i="47" s="1"/>
  <c r="K38" i="47"/>
  <c r="K17" i="47"/>
  <c r="L17" i="47" s="1"/>
  <c r="M17" i="47" s="1"/>
  <c r="Q15" i="47" s="1"/>
  <c r="H20" i="47"/>
  <c r="G20" i="47"/>
  <c r="J94" i="46"/>
  <c r="I153" i="46"/>
  <c r="J146" i="46"/>
  <c r="M146" i="46" s="1"/>
  <c r="I204" i="46" s="1"/>
  <c r="K146" i="46"/>
  <c r="N146" i="46" s="1"/>
  <c r="H204" i="46" s="1"/>
  <c r="L146" i="46"/>
  <c r="O146" i="46" s="1"/>
  <c r="G204" i="46" s="1"/>
  <c r="J147" i="46"/>
  <c r="M147" i="46" s="1"/>
  <c r="I205" i="46" s="1"/>
  <c r="L147" i="46"/>
  <c r="O147" i="46" s="1"/>
  <c r="G205" i="46" s="1"/>
  <c r="K147" i="46"/>
  <c r="N147" i="46" s="1"/>
  <c r="H205" i="46" s="1"/>
  <c r="K87" i="46"/>
  <c r="J89" i="46"/>
  <c r="M81" i="46"/>
  <c r="I152" i="46"/>
  <c r="J149" i="43"/>
  <c r="M149" i="43" s="1"/>
  <c r="I207" i="43" s="1"/>
  <c r="S65" i="36" s="1"/>
  <c r="X15" i="36" s="1"/>
  <c r="K149" i="43"/>
  <c r="N149" i="43" s="1"/>
  <c r="H207" i="43" s="1"/>
  <c r="S40" i="36" s="1"/>
  <c r="X40" i="36" s="1"/>
  <c r="L149" i="43"/>
  <c r="O149" i="43" s="1"/>
  <c r="G207" i="43" s="1"/>
  <c r="S15" i="36" s="1"/>
  <c r="X65" i="36" s="1"/>
  <c r="K148" i="43"/>
  <c r="N148" i="43" s="1"/>
  <c r="H206" i="43" s="1"/>
  <c r="R40" i="36" s="1"/>
  <c r="W40" i="36" s="1"/>
  <c r="J148" i="43"/>
  <c r="M148" i="43" s="1"/>
  <c r="I206" i="43" s="1"/>
  <c r="R65" i="36" s="1"/>
  <c r="W15" i="36" s="1"/>
  <c r="L148" i="43"/>
  <c r="O148" i="43" s="1"/>
  <c r="G206" i="43" s="1"/>
  <c r="R15" i="36" s="1"/>
  <c r="W65" i="36" s="1"/>
  <c r="J152" i="43"/>
  <c r="M152" i="43" s="1"/>
  <c r="I210" i="43" s="1"/>
  <c r="R67" i="36" s="1"/>
  <c r="W17" i="36" s="1"/>
  <c r="L152" i="43"/>
  <c r="O152" i="43" s="1"/>
  <c r="G210" i="43" s="1"/>
  <c r="R17" i="36" s="1"/>
  <c r="W67" i="36" s="1"/>
  <c r="K152" i="43"/>
  <c r="N152" i="43" s="1"/>
  <c r="H210" i="43" s="1"/>
  <c r="R42" i="36" s="1"/>
  <c r="W42" i="36" s="1"/>
  <c r="L153" i="43"/>
  <c r="O153" i="43" s="1"/>
  <c r="G211" i="43" s="1"/>
  <c r="S17" i="36" s="1"/>
  <c r="X67" i="36" s="1"/>
  <c r="K153" i="43"/>
  <c r="N153" i="43" s="1"/>
  <c r="H211" i="43" s="1"/>
  <c r="S42" i="36" s="1"/>
  <c r="X42" i="36" s="1"/>
  <c r="J153" i="43"/>
  <c r="M153" i="43" s="1"/>
  <c r="I211" i="43" s="1"/>
  <c r="S67" i="36" s="1"/>
  <c r="X17" i="36" s="1"/>
  <c r="I150" i="43"/>
  <c r="M82" i="43"/>
  <c r="I151" i="43" s="1"/>
  <c r="J113" i="43"/>
  <c r="J130" i="43" s="1"/>
  <c r="G65" i="36"/>
  <c r="G66" i="36" s="1"/>
  <c r="H64" i="36"/>
  <c r="L88" i="43"/>
  <c r="J90" i="43"/>
  <c r="K91" i="43" s="1"/>
  <c r="M172" i="41"/>
  <c r="M197" i="41" s="1"/>
  <c r="M140" i="41"/>
  <c r="W159" i="41"/>
  <c r="W127" i="41"/>
  <c r="W118" i="41"/>
  <c r="W119" i="41" s="1"/>
  <c r="W152" i="41" s="1"/>
  <c r="W22" i="41"/>
  <c r="W57" i="41" s="1"/>
  <c r="W82" i="41" s="1"/>
  <c r="M77" i="41"/>
  <c r="M102" i="41" s="1"/>
  <c r="M43" i="41"/>
  <c r="W64" i="41"/>
  <c r="W89" i="41" s="1"/>
  <c r="W30" i="41"/>
  <c r="N105" i="40"/>
  <c r="O105" i="40" s="1"/>
  <c r="P105" i="40" s="1"/>
  <c r="U90" i="40" s="1"/>
  <c r="X90" i="40" s="1"/>
  <c r="AA90" i="40" s="1"/>
  <c r="AB90" i="40" s="1"/>
  <c r="AC90" i="40" s="1"/>
  <c r="AD90" i="40" s="1"/>
  <c r="J107" i="40"/>
  <c r="H97" i="40"/>
  <c r="H37" i="40"/>
  <c r="J33" i="40"/>
  <c r="K32" i="40"/>
  <c r="N30" i="40" s="1"/>
  <c r="O30" i="40" s="1"/>
  <c r="P30" i="40" s="1"/>
  <c r="U21" i="40" s="1"/>
  <c r="Y83" i="48" l="1"/>
  <c r="Z83" i="48" s="1"/>
  <c r="W83" i="48"/>
  <c r="Y108" i="48"/>
  <c r="Z108" i="48" s="1"/>
  <c r="W108" i="48"/>
  <c r="W89" i="40"/>
  <c r="Y89" i="40"/>
  <c r="Z89" i="40" s="1"/>
  <c r="W83" i="40"/>
  <c r="Y83" i="40"/>
  <c r="Z83" i="40" s="1"/>
  <c r="J204" i="46"/>
  <c r="R63" i="47"/>
  <c r="W13" i="47" s="1"/>
  <c r="K204" i="46"/>
  <c r="R38" i="47"/>
  <c r="W38" i="47" s="1"/>
  <c r="L204" i="46"/>
  <c r="R13" i="47"/>
  <c r="W63" i="47" s="1"/>
  <c r="J205" i="46"/>
  <c r="S63" i="47"/>
  <c r="X13" i="47" s="1"/>
  <c r="L205" i="46"/>
  <c r="S13" i="47"/>
  <c r="X63" i="47" s="1"/>
  <c r="K205" i="46"/>
  <c r="S38" i="47"/>
  <c r="X38" i="47" s="1"/>
  <c r="U108" i="48"/>
  <c r="X108" i="48" s="1"/>
  <c r="AA108" i="48" s="1"/>
  <c r="AB108" i="48" s="1"/>
  <c r="AC108" i="48" s="1"/>
  <c r="AD108" i="48" s="1"/>
  <c r="X15" i="48"/>
  <c r="AA15" i="48" s="1"/>
  <c r="AB15" i="48" s="1"/>
  <c r="AC15" i="48" s="1"/>
  <c r="AD15" i="48" s="1"/>
  <c r="Q81" i="47"/>
  <c r="V81" i="47" s="1"/>
  <c r="V31" i="47"/>
  <c r="Q65" i="47"/>
  <c r="V65" i="47" s="1"/>
  <c r="V15" i="47"/>
  <c r="X19" i="40"/>
  <c r="AA19" i="40" s="1"/>
  <c r="AB19" i="40" s="1"/>
  <c r="AC19" i="40" s="1"/>
  <c r="AD19" i="40" s="1"/>
  <c r="U113" i="40"/>
  <c r="X113" i="40" s="1"/>
  <c r="AA113" i="40" s="1"/>
  <c r="AB113" i="40" s="1"/>
  <c r="AC113" i="40" s="1"/>
  <c r="AD113" i="40" s="1"/>
  <c r="X21" i="40"/>
  <c r="AA21" i="40" s="1"/>
  <c r="AB21" i="40" s="1"/>
  <c r="AC21" i="40" s="1"/>
  <c r="AD21" i="40" s="1"/>
  <c r="U115" i="40"/>
  <c r="X115" i="40" s="1"/>
  <c r="AA115" i="40" s="1"/>
  <c r="AB115" i="40" s="1"/>
  <c r="AC115" i="40" s="1"/>
  <c r="AD115" i="40" s="1"/>
  <c r="H91" i="50"/>
  <c r="H93" i="50" s="1"/>
  <c r="H95" i="50" s="1"/>
  <c r="H97" i="50" s="1"/>
  <c r="H99" i="50" s="1"/>
  <c r="H101" i="50" s="1"/>
  <c r="H103" i="50" s="1"/>
  <c r="H105" i="50" s="1"/>
  <c r="I89" i="50"/>
  <c r="K88" i="50"/>
  <c r="N87" i="50" s="1"/>
  <c r="O87" i="50" s="1"/>
  <c r="P87" i="50" s="1"/>
  <c r="V80" i="48" s="1"/>
  <c r="K25" i="50"/>
  <c r="N24" i="50" s="1"/>
  <c r="O24" i="50" s="1"/>
  <c r="P24" i="50" s="1"/>
  <c r="I26" i="50"/>
  <c r="K26" i="50" s="1"/>
  <c r="H28" i="50"/>
  <c r="H30" i="50" s="1"/>
  <c r="H32" i="50" s="1"/>
  <c r="H34" i="50" s="1"/>
  <c r="H36" i="50" s="1"/>
  <c r="H38" i="50" s="1"/>
  <c r="H40" i="50" s="1"/>
  <c r="H42" i="50" s="1"/>
  <c r="I27" i="50"/>
  <c r="N95" i="50"/>
  <c r="O95" i="50" s="1"/>
  <c r="P95" i="50" s="1"/>
  <c r="V84" i="48" s="1"/>
  <c r="J97" i="50"/>
  <c r="J34" i="50"/>
  <c r="N32" i="50"/>
  <c r="O32" i="50" s="1"/>
  <c r="P32" i="50" s="1"/>
  <c r="J107" i="49"/>
  <c r="N105" i="49"/>
  <c r="O105" i="49" s="1"/>
  <c r="P105" i="49" s="1"/>
  <c r="V90" i="40" s="1"/>
  <c r="K96" i="49"/>
  <c r="N94" i="49" s="1"/>
  <c r="O94" i="49" s="1"/>
  <c r="P94" i="49" s="1"/>
  <c r="V85" i="40" s="1"/>
  <c r="H113" i="49"/>
  <c r="H115" i="49" s="1"/>
  <c r="H117" i="49" s="1"/>
  <c r="H119" i="49" s="1"/>
  <c r="H121" i="49" s="1"/>
  <c r="H123" i="49" s="1"/>
  <c r="O41" i="49"/>
  <c r="P41" i="49" s="1"/>
  <c r="J43" i="49"/>
  <c r="H49" i="49"/>
  <c r="H51" i="49" s="1"/>
  <c r="H53" i="49" s="1"/>
  <c r="H55" i="49" s="1"/>
  <c r="H57" i="49" s="1"/>
  <c r="H59" i="49" s="1"/>
  <c r="K32" i="49"/>
  <c r="O30" i="49"/>
  <c r="P30" i="49" s="1"/>
  <c r="I111" i="49"/>
  <c r="I112" i="49" s="1"/>
  <c r="H127" i="49" s="1"/>
  <c r="H128" i="49" s="1"/>
  <c r="I47" i="49"/>
  <c r="I48" i="49" s="1"/>
  <c r="H63" i="49" s="1"/>
  <c r="H64" i="49" s="1"/>
  <c r="N101" i="48"/>
  <c r="O101" i="48" s="1"/>
  <c r="P101" i="48" s="1"/>
  <c r="U87" i="48" s="1"/>
  <c r="X87" i="48" s="1"/>
  <c r="AA87" i="48" s="1"/>
  <c r="AB87" i="48" s="1"/>
  <c r="AC87" i="48" s="1"/>
  <c r="AD87" i="48" s="1"/>
  <c r="J103" i="48"/>
  <c r="H91" i="48"/>
  <c r="H93" i="48" s="1"/>
  <c r="H95" i="48" s="1"/>
  <c r="H97" i="48" s="1"/>
  <c r="H99" i="48" s="1"/>
  <c r="H101" i="48" s="1"/>
  <c r="H103" i="48" s="1"/>
  <c r="H105" i="48" s="1"/>
  <c r="N87" i="48"/>
  <c r="O87" i="48" s="1"/>
  <c r="P87" i="48" s="1"/>
  <c r="U80" i="48" s="1"/>
  <c r="X80" i="48" s="1"/>
  <c r="AA80" i="48" s="1"/>
  <c r="AB80" i="48" s="1"/>
  <c r="AC80" i="48" s="1"/>
  <c r="AD80" i="48" s="1"/>
  <c r="J38" i="48"/>
  <c r="N36" i="48"/>
  <c r="P36" i="48" s="1"/>
  <c r="I25" i="48"/>
  <c r="H26" i="48"/>
  <c r="L81" i="47"/>
  <c r="M81" i="47" s="1"/>
  <c r="Q57" i="47" s="1"/>
  <c r="V57" i="47" s="1"/>
  <c r="K82" i="47"/>
  <c r="G75" i="47"/>
  <c r="G76" i="47" s="1"/>
  <c r="G77" i="47" s="1"/>
  <c r="G78" i="47" s="1"/>
  <c r="G79" i="47" s="1"/>
  <c r="G80" i="47" s="1"/>
  <c r="G81" i="47" s="1"/>
  <c r="G82" i="47" s="1"/>
  <c r="K63" i="47"/>
  <c r="L63" i="47" s="1"/>
  <c r="M63" i="47" s="1"/>
  <c r="Q42" i="47" s="1"/>
  <c r="V42" i="47" s="1"/>
  <c r="H73" i="47"/>
  <c r="H74" i="47" s="1"/>
  <c r="K39" i="47"/>
  <c r="L38" i="47"/>
  <c r="M38" i="47" s="1"/>
  <c r="Q32" i="47" s="1"/>
  <c r="G23" i="47"/>
  <c r="G24" i="47" s="1"/>
  <c r="G25" i="47" s="1"/>
  <c r="G26" i="47" s="1"/>
  <c r="G27" i="47" s="1"/>
  <c r="G28" i="47" s="1"/>
  <c r="G29" i="47" s="1"/>
  <c r="G30" i="47" s="1"/>
  <c r="H22" i="47"/>
  <c r="J96" i="46"/>
  <c r="K153" i="46"/>
  <c r="N153" i="46" s="1"/>
  <c r="H211" i="46" s="1"/>
  <c r="L153" i="46"/>
  <c r="O153" i="46" s="1"/>
  <c r="G211" i="46" s="1"/>
  <c r="J153" i="46"/>
  <c r="M153" i="46" s="1"/>
  <c r="I211" i="46" s="1"/>
  <c r="M84" i="46"/>
  <c r="I151" i="46" s="1"/>
  <c r="I150" i="46"/>
  <c r="J152" i="46"/>
  <c r="M152" i="46" s="1"/>
  <c r="I210" i="46" s="1"/>
  <c r="K152" i="46"/>
  <c r="N152" i="46" s="1"/>
  <c r="H210" i="46" s="1"/>
  <c r="L152" i="46"/>
  <c r="O152" i="46" s="1"/>
  <c r="G210" i="46" s="1"/>
  <c r="J92" i="46"/>
  <c r="K89" i="46"/>
  <c r="L90" i="46"/>
  <c r="J207" i="43"/>
  <c r="K207" i="43"/>
  <c r="J206" i="43"/>
  <c r="J210" i="43"/>
  <c r="K210" i="43"/>
  <c r="K211" i="43"/>
  <c r="J211" i="43"/>
  <c r="K206" i="43"/>
  <c r="L207" i="43"/>
  <c r="L211" i="43"/>
  <c r="L206" i="43"/>
  <c r="L210" i="43"/>
  <c r="K150" i="43"/>
  <c r="N150" i="43" s="1"/>
  <c r="H208" i="43" s="1"/>
  <c r="R41" i="36" s="1"/>
  <c r="W41" i="36" s="1"/>
  <c r="L150" i="43"/>
  <c r="O150" i="43" s="1"/>
  <c r="G208" i="43" s="1"/>
  <c r="R16" i="36" s="1"/>
  <c r="W66" i="36" s="1"/>
  <c r="J150" i="43"/>
  <c r="M150" i="43" s="1"/>
  <c r="I208" i="43" s="1"/>
  <c r="R66" i="36" s="1"/>
  <c r="W16" i="36" s="1"/>
  <c r="L151" i="43"/>
  <c r="O151" i="43" s="1"/>
  <c r="G209" i="43" s="1"/>
  <c r="S16" i="36" s="1"/>
  <c r="X66" i="36" s="1"/>
  <c r="K151" i="43"/>
  <c r="N151" i="43" s="1"/>
  <c r="H209" i="43" s="1"/>
  <c r="S41" i="36" s="1"/>
  <c r="X41" i="36" s="1"/>
  <c r="J151" i="43"/>
  <c r="M151" i="43" s="1"/>
  <c r="I209" i="43" s="1"/>
  <c r="S66" i="36" s="1"/>
  <c r="X16" i="36" s="1"/>
  <c r="M85" i="43"/>
  <c r="I156" i="43"/>
  <c r="G68" i="36"/>
  <c r="K63" i="36"/>
  <c r="L63" i="36" s="1"/>
  <c r="M63" i="36" s="1"/>
  <c r="Q43" i="36" s="1"/>
  <c r="V43" i="36" s="1"/>
  <c r="H66" i="36"/>
  <c r="H67" i="36" s="1"/>
  <c r="L90" i="43"/>
  <c r="I157" i="43" s="1"/>
  <c r="J94" i="43"/>
  <c r="M173" i="41"/>
  <c r="M198" i="41" s="1"/>
  <c r="M141" i="41"/>
  <c r="W160" i="41"/>
  <c r="W128" i="41"/>
  <c r="M78" i="41"/>
  <c r="M103" i="41" s="1"/>
  <c r="M44" i="41"/>
  <c r="W65" i="41"/>
  <c r="W90" i="41" s="1"/>
  <c r="W31" i="41"/>
  <c r="N33" i="40"/>
  <c r="O33" i="40" s="1"/>
  <c r="P33" i="40" s="1"/>
  <c r="U22" i="40" s="1"/>
  <c r="J35" i="40"/>
  <c r="N107" i="40"/>
  <c r="O107" i="40" s="1"/>
  <c r="P107" i="40" s="1"/>
  <c r="U91" i="40" s="1"/>
  <c r="X91" i="40" s="1"/>
  <c r="AA91" i="40" s="1"/>
  <c r="AB91" i="40" s="1"/>
  <c r="AC91" i="40" s="1"/>
  <c r="AD91" i="40" s="1"/>
  <c r="J109" i="40"/>
  <c r="H99" i="40"/>
  <c r="H39" i="40"/>
  <c r="Y80" i="48" l="1"/>
  <c r="Z80" i="48" s="1"/>
  <c r="W80" i="48"/>
  <c r="W84" i="48"/>
  <c r="Y84" i="48"/>
  <c r="Z84" i="48" s="1"/>
  <c r="Y90" i="40"/>
  <c r="Z90" i="40" s="1"/>
  <c r="W90" i="40"/>
  <c r="W85" i="40"/>
  <c r="Y85" i="40"/>
  <c r="Z85" i="40" s="1"/>
  <c r="K211" i="46"/>
  <c r="S41" i="47"/>
  <c r="X41" i="47" s="1"/>
  <c r="L211" i="46"/>
  <c r="S16" i="47"/>
  <c r="X66" i="47" s="1"/>
  <c r="J211" i="46"/>
  <c r="S66" i="47"/>
  <c r="X16" i="47" s="1"/>
  <c r="J210" i="46"/>
  <c r="R66" i="47"/>
  <c r="W16" i="47" s="1"/>
  <c r="K210" i="46"/>
  <c r="R41" i="47"/>
  <c r="W41" i="47" s="1"/>
  <c r="L210" i="46"/>
  <c r="R16" i="47"/>
  <c r="W66" i="47" s="1"/>
  <c r="Q82" i="47"/>
  <c r="V82" i="47" s="1"/>
  <c r="V32" i="47"/>
  <c r="X22" i="40"/>
  <c r="AA22" i="40" s="1"/>
  <c r="AB22" i="40" s="1"/>
  <c r="AC22" i="40" s="1"/>
  <c r="AD22" i="40" s="1"/>
  <c r="U116" i="40"/>
  <c r="X116" i="40" s="1"/>
  <c r="AA116" i="40" s="1"/>
  <c r="AB116" i="40" s="1"/>
  <c r="AC116" i="40" s="1"/>
  <c r="AD116" i="40" s="1"/>
  <c r="H107" i="50"/>
  <c r="H109" i="50" s="1"/>
  <c r="H111" i="50" s="1"/>
  <c r="H113" i="50" s="1"/>
  <c r="H115" i="50" s="1"/>
  <c r="H117" i="50" s="1"/>
  <c r="H119" i="50" s="1"/>
  <c r="H44" i="50"/>
  <c r="H46" i="50" s="1"/>
  <c r="H48" i="50" s="1"/>
  <c r="H50" i="50" s="1"/>
  <c r="H52" i="50" s="1"/>
  <c r="H54" i="50" s="1"/>
  <c r="H56" i="50" s="1"/>
  <c r="I40" i="50"/>
  <c r="K27" i="50"/>
  <c r="N26" i="50" s="1"/>
  <c r="O26" i="50" s="1"/>
  <c r="P26" i="50" s="1"/>
  <c r="J99" i="50"/>
  <c r="N97" i="50"/>
  <c r="O97" i="50" s="1"/>
  <c r="P97" i="50" s="1"/>
  <c r="V85" i="48" s="1"/>
  <c r="N34" i="50"/>
  <c r="O34" i="50" s="1"/>
  <c r="P34" i="50" s="1"/>
  <c r="J36" i="50"/>
  <c r="K89" i="50"/>
  <c r="I90" i="50"/>
  <c r="N107" i="49"/>
  <c r="O107" i="49" s="1"/>
  <c r="P107" i="49" s="1"/>
  <c r="V91" i="40" s="1"/>
  <c r="J109" i="49"/>
  <c r="J45" i="49"/>
  <c r="O43" i="49"/>
  <c r="P43" i="49" s="1"/>
  <c r="J105" i="48"/>
  <c r="H107" i="48"/>
  <c r="H109" i="48" s="1"/>
  <c r="H111" i="48" s="1"/>
  <c r="H113" i="48" s="1"/>
  <c r="H115" i="48" s="1"/>
  <c r="H117" i="48" s="1"/>
  <c r="H119" i="48" s="1"/>
  <c r="N38" i="48"/>
  <c r="P38" i="48" s="1"/>
  <c r="J40" i="48"/>
  <c r="K25" i="48"/>
  <c r="N24" i="48" s="1"/>
  <c r="O24" i="48" s="1"/>
  <c r="P24" i="48" s="1"/>
  <c r="U17" i="48" s="1"/>
  <c r="I26" i="48"/>
  <c r="K26" i="48" s="1"/>
  <c r="I27" i="48"/>
  <c r="H28" i="48"/>
  <c r="H30" i="48" s="1"/>
  <c r="H32" i="48" s="1"/>
  <c r="H34" i="48" s="1"/>
  <c r="H36" i="48" s="1"/>
  <c r="H38" i="48" s="1"/>
  <c r="H40" i="48" s="1"/>
  <c r="H42" i="48" s="1"/>
  <c r="L82" i="47"/>
  <c r="M82" i="47" s="1"/>
  <c r="Q58" i="47" s="1"/>
  <c r="V58" i="47" s="1"/>
  <c r="K83" i="47"/>
  <c r="L83" i="47" s="1"/>
  <c r="M83" i="47" s="1"/>
  <c r="Q59" i="47" s="1"/>
  <c r="V59" i="47" s="1"/>
  <c r="K40" i="47"/>
  <c r="L40" i="47" s="1"/>
  <c r="M40" i="47" s="1"/>
  <c r="Q34" i="47" s="1"/>
  <c r="L39" i="47"/>
  <c r="M39" i="47" s="1"/>
  <c r="Q33" i="47" s="1"/>
  <c r="G32" i="47"/>
  <c r="G33" i="47" s="1"/>
  <c r="G34" i="47" s="1"/>
  <c r="G35" i="47" s="1"/>
  <c r="G36" i="47" s="1"/>
  <c r="G37" i="47" s="1"/>
  <c r="G38" i="47" s="1"/>
  <c r="G39" i="47" s="1"/>
  <c r="K20" i="47"/>
  <c r="L20" i="47" s="1"/>
  <c r="M20" i="47" s="1"/>
  <c r="Q17" i="47" s="1"/>
  <c r="H30" i="47"/>
  <c r="H31" i="47" s="1"/>
  <c r="K73" i="47"/>
  <c r="L73" i="47" s="1"/>
  <c r="M73" i="47" s="1"/>
  <c r="Q50" i="47" s="1"/>
  <c r="V50" i="47" s="1"/>
  <c r="G83" i="47"/>
  <c r="G84" i="47" s="1"/>
  <c r="J98" i="46"/>
  <c r="L151" i="46"/>
  <c r="O151" i="46" s="1"/>
  <c r="G209" i="46" s="1"/>
  <c r="K151" i="46"/>
  <c r="N151" i="46" s="1"/>
  <c r="H209" i="46" s="1"/>
  <c r="J151" i="46"/>
  <c r="M151" i="46" s="1"/>
  <c r="I209" i="46" s="1"/>
  <c r="K150" i="46"/>
  <c r="N150" i="46" s="1"/>
  <c r="H208" i="46" s="1"/>
  <c r="J150" i="46"/>
  <c r="M150" i="46" s="1"/>
  <c r="I208" i="46" s="1"/>
  <c r="L150" i="46"/>
  <c r="O150" i="46" s="1"/>
  <c r="G208" i="46" s="1"/>
  <c r="J93" i="46"/>
  <c r="L96" i="46" s="1"/>
  <c r="K91" i="46"/>
  <c r="M87" i="46"/>
  <c r="K208" i="43"/>
  <c r="J208" i="43"/>
  <c r="K209" i="43"/>
  <c r="J209" i="43"/>
  <c r="L209" i="43"/>
  <c r="L208" i="43"/>
  <c r="L156" i="43"/>
  <c r="O156" i="43" s="1"/>
  <c r="G214" i="43" s="1"/>
  <c r="R19" i="36" s="1"/>
  <c r="W69" i="36" s="1"/>
  <c r="K156" i="43"/>
  <c r="N156" i="43" s="1"/>
  <c r="H214" i="43" s="1"/>
  <c r="R44" i="36" s="1"/>
  <c r="W44" i="36" s="1"/>
  <c r="J156" i="43"/>
  <c r="M156" i="43" s="1"/>
  <c r="I214" i="43" s="1"/>
  <c r="R69" i="36" s="1"/>
  <c r="W19" i="36" s="1"/>
  <c r="J157" i="43"/>
  <c r="M157" i="43" s="1"/>
  <c r="I215" i="43" s="1"/>
  <c r="S69" i="36" s="1"/>
  <c r="X19" i="36" s="1"/>
  <c r="L157" i="43"/>
  <c r="O157" i="43" s="1"/>
  <c r="G215" i="43" s="1"/>
  <c r="S19" i="36" s="1"/>
  <c r="X69" i="36" s="1"/>
  <c r="K157" i="43"/>
  <c r="N157" i="43" s="1"/>
  <c r="H215" i="43" s="1"/>
  <c r="S44" i="36" s="1"/>
  <c r="X44" i="36" s="1"/>
  <c r="I154" i="43"/>
  <c r="M88" i="43"/>
  <c r="I155" i="43" s="1"/>
  <c r="K93" i="43"/>
  <c r="K95" i="43"/>
  <c r="G70" i="36"/>
  <c r="G71" i="36" s="1"/>
  <c r="G72" i="36" s="1"/>
  <c r="G73" i="36" s="1"/>
  <c r="G74" i="36" s="1"/>
  <c r="G75" i="36" s="1"/>
  <c r="G76" i="36" s="1"/>
  <c r="K66" i="36"/>
  <c r="L66" i="36" s="1"/>
  <c r="M66" i="36" s="1"/>
  <c r="Q45" i="36" s="1"/>
  <c r="V45" i="36" s="1"/>
  <c r="H68" i="36"/>
  <c r="H69" i="36" s="1"/>
  <c r="L94" i="43"/>
  <c r="J98" i="43"/>
  <c r="K97" i="43" s="1"/>
  <c r="M174" i="41"/>
  <c r="M199" i="41" s="1"/>
  <c r="M142" i="41"/>
  <c r="W161" i="41"/>
  <c r="W129" i="41"/>
  <c r="M79" i="41"/>
  <c r="M104" i="41" s="1"/>
  <c r="M45" i="41"/>
  <c r="W66" i="41"/>
  <c r="W91" i="41" s="1"/>
  <c r="W32" i="41"/>
  <c r="K111" i="40"/>
  <c r="N94" i="40"/>
  <c r="O94" i="40" s="1"/>
  <c r="P94" i="40" s="1"/>
  <c r="U85" i="40" s="1"/>
  <c r="X85" i="40" s="1"/>
  <c r="AA85" i="40" s="1"/>
  <c r="AB85" i="40" s="1"/>
  <c r="AC85" i="40" s="1"/>
  <c r="AD85" i="40" s="1"/>
  <c r="N35" i="40"/>
  <c r="O35" i="40" s="1"/>
  <c r="P35" i="40" s="1"/>
  <c r="U23" i="40" s="1"/>
  <c r="J37" i="40"/>
  <c r="H41" i="40"/>
  <c r="N109" i="40"/>
  <c r="O109" i="40" s="1"/>
  <c r="P109" i="40" s="1"/>
  <c r="U92" i="40" s="1"/>
  <c r="X92" i="40" s="1"/>
  <c r="AA92" i="40" s="1"/>
  <c r="AB92" i="40" s="1"/>
  <c r="AC92" i="40" s="1"/>
  <c r="AD92" i="40" s="1"/>
  <c r="J111" i="40"/>
  <c r="H101" i="40"/>
  <c r="W85" i="48" l="1"/>
  <c r="Y85" i="48"/>
  <c r="Z85" i="48" s="1"/>
  <c r="W91" i="40"/>
  <c r="Y91" i="40"/>
  <c r="Z91" i="40" s="1"/>
  <c r="L209" i="46"/>
  <c r="S15" i="47"/>
  <c r="X65" i="47" s="1"/>
  <c r="K209" i="46"/>
  <c r="S40" i="47"/>
  <c r="X40" i="47" s="1"/>
  <c r="J209" i="46"/>
  <c r="S65" i="47"/>
  <c r="X15" i="47" s="1"/>
  <c r="K208" i="46"/>
  <c r="R40" i="47"/>
  <c r="W40" i="47" s="1"/>
  <c r="J208" i="46"/>
  <c r="R65" i="47"/>
  <c r="W15" i="47" s="1"/>
  <c r="L208" i="46"/>
  <c r="R15" i="47"/>
  <c r="W65" i="47" s="1"/>
  <c r="U110" i="48"/>
  <c r="X110" i="48" s="1"/>
  <c r="AA110" i="48" s="1"/>
  <c r="AB110" i="48" s="1"/>
  <c r="AC110" i="48" s="1"/>
  <c r="AD110" i="48" s="1"/>
  <c r="X17" i="48"/>
  <c r="AA17" i="48" s="1"/>
  <c r="AB17" i="48" s="1"/>
  <c r="AC17" i="48" s="1"/>
  <c r="AD17" i="48" s="1"/>
  <c r="Q84" i="47"/>
  <c r="V84" i="47" s="1"/>
  <c r="V34" i="47"/>
  <c r="Q83" i="47"/>
  <c r="V83" i="47" s="1"/>
  <c r="V33" i="47"/>
  <c r="Q67" i="47"/>
  <c r="V67" i="47" s="1"/>
  <c r="V17" i="47"/>
  <c r="X23" i="40"/>
  <c r="AA23" i="40" s="1"/>
  <c r="AB23" i="40" s="1"/>
  <c r="AC23" i="40" s="1"/>
  <c r="AD23" i="40" s="1"/>
  <c r="U117" i="40"/>
  <c r="X117" i="40" s="1"/>
  <c r="AA117" i="40" s="1"/>
  <c r="AB117" i="40" s="1"/>
  <c r="AC117" i="40" s="1"/>
  <c r="AD117" i="40" s="1"/>
  <c r="N99" i="50"/>
  <c r="O99" i="50" s="1"/>
  <c r="P99" i="50" s="1"/>
  <c r="V86" i="48" s="1"/>
  <c r="J101" i="50"/>
  <c r="J38" i="50"/>
  <c r="N36" i="50"/>
  <c r="O36" i="50" s="1"/>
  <c r="P36" i="50" s="1"/>
  <c r="I103" i="50"/>
  <c r="K90" i="50"/>
  <c r="N89" i="50" s="1"/>
  <c r="O89" i="50" s="1"/>
  <c r="P89" i="50" s="1"/>
  <c r="V81" i="48" s="1"/>
  <c r="K40" i="50"/>
  <c r="I41" i="50"/>
  <c r="K111" i="49"/>
  <c r="N109" i="49"/>
  <c r="O109" i="49" s="1"/>
  <c r="P109" i="49" s="1"/>
  <c r="V92" i="40" s="1"/>
  <c r="J111" i="49"/>
  <c r="K47" i="49"/>
  <c r="J47" i="49"/>
  <c r="O45" i="49"/>
  <c r="P45" i="49" s="1"/>
  <c r="K112" i="40"/>
  <c r="N111" i="40" s="1"/>
  <c r="O111" i="40" s="1"/>
  <c r="P111" i="40" s="1"/>
  <c r="U93" i="40" s="1"/>
  <c r="X93" i="40" s="1"/>
  <c r="AA93" i="40" s="1"/>
  <c r="AB93" i="40" s="1"/>
  <c r="AC93" i="40" s="1"/>
  <c r="AD93" i="40" s="1"/>
  <c r="J107" i="48"/>
  <c r="N105" i="48"/>
  <c r="O105" i="48" s="1"/>
  <c r="P105" i="48" s="1"/>
  <c r="U89" i="48" s="1"/>
  <c r="X89" i="48" s="1"/>
  <c r="AA89" i="48" s="1"/>
  <c r="AB89" i="48" s="1"/>
  <c r="AC89" i="48" s="1"/>
  <c r="AD89" i="48" s="1"/>
  <c r="J42" i="48"/>
  <c r="K27" i="48"/>
  <c r="N26" i="48" s="1"/>
  <c r="P26" i="48" s="1"/>
  <c r="I40" i="48"/>
  <c r="H44" i="48"/>
  <c r="H46" i="48" s="1"/>
  <c r="H48" i="48" s="1"/>
  <c r="H50" i="48" s="1"/>
  <c r="H52" i="48" s="1"/>
  <c r="H54" i="48" s="1"/>
  <c r="H56" i="48" s="1"/>
  <c r="N89" i="48"/>
  <c r="O89" i="48" s="1"/>
  <c r="P89" i="48" s="1"/>
  <c r="U81" i="48" s="1"/>
  <c r="X81" i="48" s="1"/>
  <c r="AA81" i="48" s="1"/>
  <c r="AB81" i="48" s="1"/>
  <c r="AC81" i="48" s="1"/>
  <c r="AD81" i="48" s="1"/>
  <c r="I103" i="48"/>
  <c r="K30" i="47"/>
  <c r="L30" i="47" s="1"/>
  <c r="M30" i="47" s="1"/>
  <c r="Q25" i="47" s="1"/>
  <c r="G40" i="47"/>
  <c r="G41" i="47" s="1"/>
  <c r="I160" i="46"/>
  <c r="I159" i="46"/>
  <c r="L98" i="46"/>
  <c r="J100" i="46"/>
  <c r="K93" i="46"/>
  <c r="L94" i="46"/>
  <c r="J108" i="46"/>
  <c r="I154" i="46"/>
  <c r="M90" i="46"/>
  <c r="I155" i="46" s="1"/>
  <c r="K214" i="43"/>
  <c r="J214" i="43"/>
  <c r="J215" i="43"/>
  <c r="K215" i="43"/>
  <c r="L215" i="43"/>
  <c r="L214" i="43"/>
  <c r="L154" i="43"/>
  <c r="O154" i="43" s="1"/>
  <c r="G212" i="43" s="1"/>
  <c r="R18" i="36" s="1"/>
  <c r="W68" i="36" s="1"/>
  <c r="J154" i="43"/>
  <c r="M154" i="43" s="1"/>
  <c r="I212" i="43" s="1"/>
  <c r="R68" i="36" s="1"/>
  <c r="W18" i="36" s="1"/>
  <c r="K154" i="43"/>
  <c r="N154" i="43" s="1"/>
  <c r="H212" i="43" s="1"/>
  <c r="R43" i="36" s="1"/>
  <c r="W43" i="36" s="1"/>
  <c r="K155" i="43"/>
  <c r="N155" i="43" s="1"/>
  <c r="H213" i="43" s="1"/>
  <c r="S43" i="36" s="1"/>
  <c r="X43" i="36" s="1"/>
  <c r="J155" i="43"/>
  <c r="M155" i="43" s="1"/>
  <c r="I213" i="43" s="1"/>
  <c r="S68" i="36" s="1"/>
  <c r="X18" i="36" s="1"/>
  <c r="L155" i="43"/>
  <c r="O155" i="43" s="1"/>
  <c r="G213" i="43" s="1"/>
  <c r="S18" i="36" s="1"/>
  <c r="X68" i="36" s="1"/>
  <c r="M91" i="43"/>
  <c r="G78" i="36"/>
  <c r="G79" i="36" s="1"/>
  <c r="G80" i="36" s="1"/>
  <c r="G81" i="36" s="1"/>
  <c r="G82" i="36" s="1"/>
  <c r="G83" i="36" s="1"/>
  <c r="G84" i="36" s="1"/>
  <c r="G86" i="36" s="1"/>
  <c r="K68" i="36"/>
  <c r="L68" i="36" s="1"/>
  <c r="M68" i="36" s="1"/>
  <c r="Q46" i="36" s="1"/>
  <c r="V46" i="36" s="1"/>
  <c r="H76" i="36"/>
  <c r="H77" i="36" s="1"/>
  <c r="K76" i="36" s="1"/>
  <c r="L76" i="36" s="1"/>
  <c r="M76" i="36" s="1"/>
  <c r="Q53" i="36" s="1"/>
  <c r="V53" i="36" s="1"/>
  <c r="J100" i="43"/>
  <c r="L98" i="43"/>
  <c r="M175" i="41"/>
  <c r="M200" i="41" s="1"/>
  <c r="M143" i="41"/>
  <c r="M176" i="41" s="1"/>
  <c r="M201" i="41" s="1"/>
  <c r="W162" i="41"/>
  <c r="W130" i="41"/>
  <c r="M80" i="41"/>
  <c r="M105" i="41" s="1"/>
  <c r="M46" i="41"/>
  <c r="M81" i="41" s="1"/>
  <c r="M106" i="41" s="1"/>
  <c r="W67" i="41"/>
  <c r="W92" i="41" s="1"/>
  <c r="W33" i="41"/>
  <c r="J39" i="40"/>
  <c r="N37" i="40"/>
  <c r="O37" i="40" s="1"/>
  <c r="P37" i="40" s="1"/>
  <c r="U24" i="40" s="1"/>
  <c r="H43" i="40"/>
  <c r="J113" i="40"/>
  <c r="H103" i="40"/>
  <c r="W86" i="48" l="1"/>
  <c r="Y86" i="48"/>
  <c r="Z86" i="48" s="1"/>
  <c r="Y81" i="48"/>
  <c r="Z81" i="48" s="1"/>
  <c r="W81" i="48"/>
  <c r="Y92" i="40"/>
  <c r="Z92" i="40" s="1"/>
  <c r="W92" i="40"/>
  <c r="Q75" i="47"/>
  <c r="V75" i="47" s="1"/>
  <c r="V25" i="47"/>
  <c r="X24" i="40"/>
  <c r="AA24" i="40" s="1"/>
  <c r="AB24" i="40" s="1"/>
  <c r="AC24" i="40" s="1"/>
  <c r="AD24" i="40" s="1"/>
  <c r="U118" i="40"/>
  <c r="X118" i="40" s="1"/>
  <c r="AA118" i="40" s="1"/>
  <c r="AB118" i="40" s="1"/>
  <c r="AC118" i="40" s="1"/>
  <c r="AD118" i="40" s="1"/>
  <c r="N101" i="50"/>
  <c r="O101" i="50" s="1"/>
  <c r="P101" i="50" s="1"/>
  <c r="V87" i="48" s="1"/>
  <c r="J103" i="50"/>
  <c r="J105" i="50" s="1"/>
  <c r="J40" i="50"/>
  <c r="J42" i="50" s="1"/>
  <c r="N38" i="50"/>
  <c r="O38" i="50" s="1"/>
  <c r="P38" i="50" s="1"/>
  <c r="I104" i="50"/>
  <c r="K103" i="50"/>
  <c r="H60" i="50"/>
  <c r="H61" i="50" s="1"/>
  <c r="K41" i="50"/>
  <c r="J113" i="49"/>
  <c r="K112" i="49"/>
  <c r="J49" i="49"/>
  <c r="K48" i="49"/>
  <c r="K40" i="48"/>
  <c r="I41" i="48"/>
  <c r="J109" i="48"/>
  <c r="N107" i="48"/>
  <c r="O107" i="48" s="1"/>
  <c r="P107" i="48" s="1"/>
  <c r="U90" i="48" s="1"/>
  <c r="X90" i="48" s="1"/>
  <c r="AA90" i="48" s="1"/>
  <c r="AB90" i="48" s="1"/>
  <c r="AC90" i="48" s="1"/>
  <c r="AD90" i="48" s="1"/>
  <c r="N42" i="48"/>
  <c r="P42" i="48" s="1"/>
  <c r="J44" i="48"/>
  <c r="K41" i="48"/>
  <c r="H60" i="48"/>
  <c r="H61" i="48" s="1"/>
  <c r="I104" i="48"/>
  <c r="K103" i="48"/>
  <c r="K160" i="46"/>
  <c r="N160" i="46" s="1"/>
  <c r="H218" i="46" s="1"/>
  <c r="L160" i="46"/>
  <c r="O160" i="46" s="1"/>
  <c r="G218" i="46" s="1"/>
  <c r="J160" i="46"/>
  <c r="M160" i="46" s="1"/>
  <c r="I218" i="46" s="1"/>
  <c r="L159" i="46"/>
  <c r="O159" i="46" s="1"/>
  <c r="G217" i="46" s="1"/>
  <c r="K159" i="46"/>
  <c r="N159" i="46" s="1"/>
  <c r="H217" i="46" s="1"/>
  <c r="J159" i="46"/>
  <c r="M159" i="46" s="1"/>
  <c r="I217" i="46" s="1"/>
  <c r="I162" i="46"/>
  <c r="I161" i="46"/>
  <c r="J102" i="46"/>
  <c r="L100" i="46"/>
  <c r="M91" i="46"/>
  <c r="I158" i="46"/>
  <c r="J109" i="46"/>
  <c r="J128" i="46" s="1"/>
  <c r="J154" i="46"/>
  <c r="M154" i="46" s="1"/>
  <c r="I212" i="46" s="1"/>
  <c r="L154" i="46"/>
  <c r="O154" i="46" s="1"/>
  <c r="G212" i="46" s="1"/>
  <c r="K154" i="46"/>
  <c r="N154" i="46" s="1"/>
  <c r="H212" i="46" s="1"/>
  <c r="J155" i="46"/>
  <c r="M155" i="46" s="1"/>
  <c r="I213" i="46" s="1"/>
  <c r="K155" i="46"/>
  <c r="N155" i="46" s="1"/>
  <c r="H213" i="46" s="1"/>
  <c r="L155" i="46"/>
  <c r="O155" i="46" s="1"/>
  <c r="G213" i="46" s="1"/>
  <c r="J212" i="43"/>
  <c r="K212" i="43"/>
  <c r="K213" i="43"/>
  <c r="J213" i="43"/>
  <c r="L213" i="43"/>
  <c r="L212" i="43"/>
  <c r="M94" i="43"/>
  <c r="I159" i="43" s="1"/>
  <c r="I158" i="43"/>
  <c r="M95" i="43"/>
  <c r="I162" i="43"/>
  <c r="J102" i="43"/>
  <c r="L100" i="43"/>
  <c r="W163" i="41"/>
  <c r="W131" i="41"/>
  <c r="W68" i="41"/>
  <c r="W93" i="41" s="1"/>
  <c r="W34" i="41"/>
  <c r="H45" i="40"/>
  <c r="N39" i="40"/>
  <c r="O39" i="40" s="1"/>
  <c r="P39" i="40" s="1"/>
  <c r="U25" i="40" s="1"/>
  <c r="J41" i="40"/>
  <c r="N113" i="40"/>
  <c r="O113" i="40" s="1"/>
  <c r="P113" i="40" s="1"/>
  <c r="U94" i="40" s="1"/>
  <c r="X94" i="40" s="1"/>
  <c r="AA94" i="40" s="1"/>
  <c r="AB94" i="40" s="1"/>
  <c r="AC94" i="40" s="1"/>
  <c r="AD94" i="40" s="1"/>
  <c r="J115" i="40"/>
  <c r="H105" i="40"/>
  <c r="Y87" i="48" l="1"/>
  <c r="Z87" i="48" s="1"/>
  <c r="W87" i="48"/>
  <c r="K218" i="46"/>
  <c r="R45" i="47"/>
  <c r="W45" i="47" s="1"/>
  <c r="L218" i="46"/>
  <c r="R20" i="47"/>
  <c r="W70" i="47" s="1"/>
  <c r="J218" i="46"/>
  <c r="R70" i="47"/>
  <c r="W20" i="47" s="1"/>
  <c r="L217" i="46"/>
  <c r="S19" i="47"/>
  <c r="X69" i="47" s="1"/>
  <c r="K217" i="46"/>
  <c r="S44" i="47"/>
  <c r="X44" i="47" s="1"/>
  <c r="J217" i="46"/>
  <c r="S69" i="47"/>
  <c r="X19" i="47" s="1"/>
  <c r="J212" i="46"/>
  <c r="R67" i="47"/>
  <c r="W17" i="47" s="1"/>
  <c r="L212" i="46"/>
  <c r="R17" i="47"/>
  <c r="W67" i="47" s="1"/>
  <c r="K212" i="46"/>
  <c r="R42" i="47"/>
  <c r="W42" i="47" s="1"/>
  <c r="J213" i="46"/>
  <c r="S67" i="47"/>
  <c r="X17" i="47" s="1"/>
  <c r="K213" i="46"/>
  <c r="S42" i="47"/>
  <c r="X42" i="47" s="1"/>
  <c r="L213" i="46"/>
  <c r="S17" i="47"/>
  <c r="X67" i="47" s="1"/>
  <c r="X25" i="40"/>
  <c r="AA25" i="40" s="1"/>
  <c r="AB25" i="40" s="1"/>
  <c r="AC25" i="40" s="1"/>
  <c r="AD25" i="40" s="1"/>
  <c r="U119" i="40"/>
  <c r="X119" i="40" s="1"/>
  <c r="AA119" i="40" s="1"/>
  <c r="AB119" i="40" s="1"/>
  <c r="AC119" i="40" s="1"/>
  <c r="AD119" i="40" s="1"/>
  <c r="N105" i="50"/>
  <c r="O105" i="50" s="1"/>
  <c r="P105" i="50" s="1"/>
  <c r="V89" i="48" s="1"/>
  <c r="J107" i="50"/>
  <c r="J44" i="50"/>
  <c r="N42" i="50"/>
  <c r="O42" i="50" s="1"/>
  <c r="P42" i="50" s="1"/>
  <c r="K104" i="50"/>
  <c r="H123" i="50"/>
  <c r="H124" i="50" s="1"/>
  <c r="N40" i="50"/>
  <c r="O40" i="50" s="1"/>
  <c r="P40" i="50" s="1"/>
  <c r="N113" i="49"/>
  <c r="O113" i="49" s="1"/>
  <c r="P113" i="49" s="1"/>
  <c r="V94" i="40" s="1"/>
  <c r="J115" i="49"/>
  <c r="N111" i="49"/>
  <c r="O111" i="49" s="1"/>
  <c r="P111" i="49" s="1"/>
  <c r="V93" i="40" s="1"/>
  <c r="O49" i="49"/>
  <c r="P49" i="49" s="1"/>
  <c r="J51" i="49"/>
  <c r="O47" i="49"/>
  <c r="P47" i="49" s="1"/>
  <c r="N109" i="48"/>
  <c r="O109" i="48" s="1"/>
  <c r="P109" i="48" s="1"/>
  <c r="U91" i="48" s="1"/>
  <c r="X91" i="48" s="1"/>
  <c r="AA91" i="48" s="1"/>
  <c r="AB91" i="48" s="1"/>
  <c r="AC91" i="48" s="1"/>
  <c r="AD91" i="48" s="1"/>
  <c r="J111" i="48"/>
  <c r="J46" i="48"/>
  <c r="N44" i="48"/>
  <c r="P44" i="48" s="1"/>
  <c r="N40" i="48"/>
  <c r="P40" i="48" s="1"/>
  <c r="K104" i="48"/>
  <c r="H123" i="48"/>
  <c r="H124" i="48" s="1"/>
  <c r="K162" i="46"/>
  <c r="N162" i="46" s="1"/>
  <c r="H220" i="46" s="1"/>
  <c r="J162" i="46"/>
  <c r="M162" i="46" s="1"/>
  <c r="I220" i="46" s="1"/>
  <c r="L162" i="46"/>
  <c r="O162" i="46" s="1"/>
  <c r="G220" i="46" s="1"/>
  <c r="L161" i="46"/>
  <c r="O161" i="46" s="1"/>
  <c r="G219" i="46" s="1"/>
  <c r="J161" i="46"/>
  <c r="M161" i="46" s="1"/>
  <c r="I219" i="46" s="1"/>
  <c r="K161" i="46"/>
  <c r="N161" i="46" s="1"/>
  <c r="H219" i="46" s="1"/>
  <c r="J104" i="46"/>
  <c r="L102" i="46"/>
  <c r="I163" i="46"/>
  <c r="I164" i="46"/>
  <c r="I156" i="46"/>
  <c r="M94" i="46"/>
  <c r="I157" i="46" s="1"/>
  <c r="K158" i="46"/>
  <c r="N158" i="46" s="1"/>
  <c r="H216" i="46" s="1"/>
  <c r="J158" i="46"/>
  <c r="M158" i="46" s="1"/>
  <c r="I216" i="46" s="1"/>
  <c r="L158" i="46"/>
  <c r="O158" i="46" s="1"/>
  <c r="G216" i="46" s="1"/>
  <c r="L159" i="43"/>
  <c r="O159" i="43" s="1"/>
  <c r="G217" i="43" s="1"/>
  <c r="S20" i="36" s="1"/>
  <c r="X70" i="36" s="1"/>
  <c r="K159" i="43"/>
  <c r="N159" i="43" s="1"/>
  <c r="H217" i="43" s="1"/>
  <c r="S45" i="36" s="1"/>
  <c r="X45" i="36" s="1"/>
  <c r="J159" i="43"/>
  <c r="M159" i="43" s="1"/>
  <c r="I217" i="43" s="1"/>
  <c r="S70" i="36" s="1"/>
  <c r="X20" i="36" s="1"/>
  <c r="K158" i="43"/>
  <c r="N158" i="43" s="1"/>
  <c r="H216" i="43" s="1"/>
  <c r="R45" i="36" s="1"/>
  <c r="W45" i="36" s="1"/>
  <c r="L158" i="43"/>
  <c r="O158" i="43" s="1"/>
  <c r="G216" i="43" s="1"/>
  <c r="R20" i="36" s="1"/>
  <c r="W70" i="36" s="1"/>
  <c r="J158" i="43"/>
  <c r="M158" i="43" s="1"/>
  <c r="I216" i="43" s="1"/>
  <c r="R70" i="36" s="1"/>
  <c r="W20" i="36" s="1"/>
  <c r="L162" i="43"/>
  <c r="O162" i="43" s="1"/>
  <c r="G220" i="43" s="1"/>
  <c r="R22" i="36" s="1"/>
  <c r="W72" i="36" s="1"/>
  <c r="J162" i="43"/>
  <c r="M162" i="43" s="1"/>
  <c r="I220" i="43" s="1"/>
  <c r="R72" i="36" s="1"/>
  <c r="W22" i="36" s="1"/>
  <c r="K162" i="43"/>
  <c r="N162" i="43" s="1"/>
  <c r="H220" i="43" s="1"/>
  <c r="R47" i="36" s="1"/>
  <c r="W47" i="36" s="1"/>
  <c r="I160" i="43"/>
  <c r="M98" i="43"/>
  <c r="I161" i="43" s="1"/>
  <c r="I164" i="43"/>
  <c r="I163" i="43"/>
  <c r="J104" i="43"/>
  <c r="L102" i="43"/>
  <c r="W164" i="41"/>
  <c r="W132" i="41"/>
  <c r="W69" i="41"/>
  <c r="W94" i="41" s="1"/>
  <c r="W35" i="41"/>
  <c r="H47" i="40"/>
  <c r="H49" i="40" s="1"/>
  <c r="H51" i="40" s="1"/>
  <c r="H53" i="40" s="1"/>
  <c r="H55" i="40" s="1"/>
  <c r="H57" i="40" s="1"/>
  <c r="H59" i="40" s="1"/>
  <c r="I47" i="40"/>
  <c r="N41" i="40"/>
  <c r="O41" i="40" s="1"/>
  <c r="P41" i="40" s="1"/>
  <c r="U26" i="40" s="1"/>
  <c r="J43" i="40"/>
  <c r="J117" i="40"/>
  <c r="N115" i="40"/>
  <c r="O115" i="40" s="1"/>
  <c r="P115" i="40" s="1"/>
  <c r="U95" i="40" s="1"/>
  <c r="X95" i="40" s="1"/>
  <c r="AA95" i="40" s="1"/>
  <c r="AB95" i="40" s="1"/>
  <c r="AC95" i="40" s="1"/>
  <c r="AD95" i="40" s="1"/>
  <c r="H107" i="40"/>
  <c r="Y89" i="48" l="1"/>
  <c r="Z89" i="48" s="1"/>
  <c r="W89" i="48"/>
  <c r="Y94" i="40"/>
  <c r="Z94" i="40" s="1"/>
  <c r="W94" i="40"/>
  <c r="Y93" i="40"/>
  <c r="Z93" i="40" s="1"/>
  <c r="W93" i="40"/>
  <c r="K220" i="46"/>
  <c r="R46" i="47"/>
  <c r="W46" i="47" s="1"/>
  <c r="J220" i="46"/>
  <c r="R71" i="47"/>
  <c r="W21" i="47" s="1"/>
  <c r="L220" i="46"/>
  <c r="R21" i="47"/>
  <c r="W71" i="47" s="1"/>
  <c r="L219" i="46"/>
  <c r="S20" i="47"/>
  <c r="X70" i="47" s="1"/>
  <c r="J219" i="46"/>
  <c r="S70" i="47"/>
  <c r="X20" i="47" s="1"/>
  <c r="K219" i="46"/>
  <c r="S45" i="47"/>
  <c r="X45" i="47" s="1"/>
  <c r="K216" i="46"/>
  <c r="R44" i="47"/>
  <c r="W44" i="47" s="1"/>
  <c r="J216" i="46"/>
  <c r="R69" i="47"/>
  <c r="W19" i="47" s="1"/>
  <c r="L216" i="46"/>
  <c r="R19" i="47"/>
  <c r="W69" i="47" s="1"/>
  <c r="X26" i="40"/>
  <c r="AA26" i="40" s="1"/>
  <c r="AB26" i="40" s="1"/>
  <c r="AC26" i="40" s="1"/>
  <c r="AD26" i="40" s="1"/>
  <c r="U120" i="40"/>
  <c r="X120" i="40" s="1"/>
  <c r="AA120" i="40" s="1"/>
  <c r="AB120" i="40" s="1"/>
  <c r="AC120" i="40" s="1"/>
  <c r="AD120" i="40" s="1"/>
  <c r="N107" i="50"/>
  <c r="O107" i="50" s="1"/>
  <c r="P107" i="50" s="1"/>
  <c r="V90" i="48" s="1"/>
  <c r="J109" i="50"/>
  <c r="N44" i="50"/>
  <c r="O44" i="50" s="1"/>
  <c r="P44" i="50" s="1"/>
  <c r="J46" i="50"/>
  <c r="N103" i="50"/>
  <c r="O103" i="50" s="1"/>
  <c r="P103" i="50" s="1"/>
  <c r="V88" i="48" s="1"/>
  <c r="J117" i="49"/>
  <c r="N115" i="49"/>
  <c r="O115" i="49" s="1"/>
  <c r="P115" i="49" s="1"/>
  <c r="V95" i="40" s="1"/>
  <c r="O51" i="49"/>
  <c r="P51" i="49" s="1"/>
  <c r="J53" i="49"/>
  <c r="J113" i="48"/>
  <c r="N111" i="48"/>
  <c r="O111" i="48" s="1"/>
  <c r="P111" i="48" s="1"/>
  <c r="U92" i="48" s="1"/>
  <c r="X92" i="48" s="1"/>
  <c r="AA92" i="48" s="1"/>
  <c r="AB92" i="48" s="1"/>
  <c r="AC92" i="48" s="1"/>
  <c r="AD92" i="48" s="1"/>
  <c r="N46" i="48"/>
  <c r="P46" i="48" s="1"/>
  <c r="J48" i="48"/>
  <c r="N103" i="48"/>
  <c r="O103" i="48" s="1"/>
  <c r="P103" i="48" s="1"/>
  <c r="U88" i="48" s="1"/>
  <c r="X88" i="48" s="1"/>
  <c r="AA88" i="48" s="1"/>
  <c r="AB88" i="48" s="1"/>
  <c r="AC88" i="48" s="1"/>
  <c r="AD88" i="48" s="1"/>
  <c r="J106" i="46"/>
  <c r="L104" i="46"/>
  <c r="I165" i="46"/>
  <c r="I166" i="46"/>
  <c r="K163" i="46"/>
  <c r="N163" i="46" s="1"/>
  <c r="H221" i="46" s="1"/>
  <c r="J163" i="46"/>
  <c r="M163" i="46" s="1"/>
  <c r="I221" i="46" s="1"/>
  <c r="L163" i="46"/>
  <c r="O163" i="46" s="1"/>
  <c r="G221" i="46" s="1"/>
  <c r="K164" i="46"/>
  <c r="N164" i="46" s="1"/>
  <c r="H222" i="46" s="1"/>
  <c r="L164" i="46"/>
  <c r="O164" i="46" s="1"/>
  <c r="G222" i="46" s="1"/>
  <c r="J164" i="46"/>
  <c r="M164" i="46" s="1"/>
  <c r="I222" i="46" s="1"/>
  <c r="L156" i="46"/>
  <c r="O156" i="46" s="1"/>
  <c r="G214" i="46" s="1"/>
  <c r="K156" i="46"/>
  <c r="N156" i="46" s="1"/>
  <c r="H214" i="46" s="1"/>
  <c r="J156" i="46"/>
  <c r="M156" i="46" s="1"/>
  <c r="I214" i="46" s="1"/>
  <c r="L157" i="46"/>
  <c r="O157" i="46" s="1"/>
  <c r="G215" i="46" s="1"/>
  <c r="K157" i="46"/>
  <c r="N157" i="46" s="1"/>
  <c r="H215" i="46" s="1"/>
  <c r="J157" i="46"/>
  <c r="M157" i="46" s="1"/>
  <c r="I215" i="46" s="1"/>
  <c r="K217" i="43"/>
  <c r="J217" i="43"/>
  <c r="K216" i="43"/>
  <c r="J216" i="43"/>
  <c r="J220" i="43"/>
  <c r="K220" i="43"/>
  <c r="L217" i="43"/>
  <c r="L216" i="43"/>
  <c r="L220" i="43"/>
  <c r="L160" i="43"/>
  <c r="O160" i="43" s="1"/>
  <c r="G218" i="43" s="1"/>
  <c r="R21" i="36" s="1"/>
  <c r="W71" i="36" s="1"/>
  <c r="J160" i="43"/>
  <c r="M160" i="43" s="1"/>
  <c r="I218" i="43" s="1"/>
  <c r="R71" i="36" s="1"/>
  <c r="W21" i="36" s="1"/>
  <c r="K160" i="43"/>
  <c r="N160" i="43" s="1"/>
  <c r="H218" i="43" s="1"/>
  <c r="R46" i="36" s="1"/>
  <c r="W46" i="36" s="1"/>
  <c r="K161" i="43"/>
  <c r="N161" i="43" s="1"/>
  <c r="H219" i="43" s="1"/>
  <c r="S46" i="36" s="1"/>
  <c r="X46" i="36" s="1"/>
  <c r="L161" i="43"/>
  <c r="O161" i="43" s="1"/>
  <c r="G219" i="43" s="1"/>
  <c r="S21" i="36" s="1"/>
  <c r="X71" i="36" s="1"/>
  <c r="J161" i="43"/>
  <c r="M161" i="43" s="1"/>
  <c r="I219" i="43" s="1"/>
  <c r="S71" i="36" s="1"/>
  <c r="X21" i="36" s="1"/>
  <c r="K164" i="43"/>
  <c r="N164" i="43" s="1"/>
  <c r="H222" i="43" s="1"/>
  <c r="R48" i="36" s="1"/>
  <c r="W48" i="36" s="1"/>
  <c r="L164" i="43"/>
  <c r="O164" i="43" s="1"/>
  <c r="G222" i="43" s="1"/>
  <c r="R23" i="36" s="1"/>
  <c r="W73" i="36" s="1"/>
  <c r="J164" i="43"/>
  <c r="M164" i="43" s="1"/>
  <c r="I222" i="43" s="1"/>
  <c r="R73" i="36" s="1"/>
  <c r="W23" i="36" s="1"/>
  <c r="J163" i="43"/>
  <c r="M163" i="43" s="1"/>
  <c r="I221" i="43" s="1"/>
  <c r="S72" i="36" s="1"/>
  <c r="X22" i="36" s="1"/>
  <c r="L163" i="43"/>
  <c r="O163" i="43" s="1"/>
  <c r="G221" i="43" s="1"/>
  <c r="S22" i="36" s="1"/>
  <c r="X72" i="36" s="1"/>
  <c r="K163" i="43"/>
  <c r="N163" i="43" s="1"/>
  <c r="H221" i="43" s="1"/>
  <c r="S47" i="36" s="1"/>
  <c r="X47" i="36" s="1"/>
  <c r="I166" i="43"/>
  <c r="I165" i="43"/>
  <c r="J106" i="43"/>
  <c r="L104" i="43"/>
  <c r="W165" i="41"/>
  <c r="W133" i="41"/>
  <c r="W70" i="41"/>
  <c r="W95" i="41" s="1"/>
  <c r="W36" i="41"/>
  <c r="I48" i="40"/>
  <c r="H63" i="40" s="1"/>
  <c r="H64" i="40" s="1"/>
  <c r="J45" i="40"/>
  <c r="N43" i="40"/>
  <c r="O43" i="40" s="1"/>
  <c r="P43" i="40" s="1"/>
  <c r="U27" i="40" s="1"/>
  <c r="J119" i="40"/>
  <c r="N117" i="40"/>
  <c r="O117" i="40" s="1"/>
  <c r="P117" i="40" s="1"/>
  <c r="U96" i="40" s="1"/>
  <c r="X96" i="40" s="1"/>
  <c r="AA96" i="40" s="1"/>
  <c r="AB96" i="40" s="1"/>
  <c r="AC96" i="40" s="1"/>
  <c r="AD96" i="40" s="1"/>
  <c r="H109" i="40"/>
  <c r="W90" i="48" l="1"/>
  <c r="Y90" i="48"/>
  <c r="Z90" i="48" s="1"/>
  <c r="Y88" i="48"/>
  <c r="Z88" i="48" s="1"/>
  <c r="W88" i="48"/>
  <c r="Y95" i="40"/>
  <c r="Z95" i="40" s="1"/>
  <c r="W95" i="40"/>
  <c r="K221" i="46"/>
  <c r="S46" i="47"/>
  <c r="X46" i="47" s="1"/>
  <c r="J221" i="46"/>
  <c r="S71" i="47"/>
  <c r="X21" i="47" s="1"/>
  <c r="L221" i="46"/>
  <c r="S21" i="47"/>
  <c r="X71" i="47" s="1"/>
  <c r="K222" i="46"/>
  <c r="R47" i="47"/>
  <c r="W47" i="47" s="1"/>
  <c r="L222" i="46"/>
  <c r="R22" i="47"/>
  <c r="W72" i="47" s="1"/>
  <c r="J222" i="46"/>
  <c r="R72" i="47"/>
  <c r="W22" i="47" s="1"/>
  <c r="L214" i="46"/>
  <c r="R18" i="47"/>
  <c r="W68" i="47" s="1"/>
  <c r="K214" i="46"/>
  <c r="R43" i="47"/>
  <c r="W43" i="47" s="1"/>
  <c r="J214" i="46"/>
  <c r="R68" i="47"/>
  <c r="W18" i="47" s="1"/>
  <c r="L215" i="46"/>
  <c r="S18" i="47"/>
  <c r="X68" i="47" s="1"/>
  <c r="K215" i="46"/>
  <c r="S43" i="47"/>
  <c r="X43" i="47" s="1"/>
  <c r="J215" i="46"/>
  <c r="S68" i="47"/>
  <c r="X18" i="47" s="1"/>
  <c r="X27" i="40"/>
  <c r="AA27" i="40" s="1"/>
  <c r="AB27" i="40" s="1"/>
  <c r="AC27" i="40" s="1"/>
  <c r="AD27" i="40" s="1"/>
  <c r="U121" i="40"/>
  <c r="X121" i="40" s="1"/>
  <c r="AA121" i="40" s="1"/>
  <c r="AB121" i="40" s="1"/>
  <c r="AC121" i="40" s="1"/>
  <c r="AD121" i="40" s="1"/>
  <c r="J111" i="50"/>
  <c r="N109" i="50"/>
  <c r="O109" i="50" s="1"/>
  <c r="P109" i="50" s="1"/>
  <c r="V91" i="48" s="1"/>
  <c r="N46" i="50"/>
  <c r="O46" i="50" s="1"/>
  <c r="P46" i="50" s="1"/>
  <c r="J48" i="50"/>
  <c r="J119" i="49"/>
  <c r="N117" i="49"/>
  <c r="O117" i="49" s="1"/>
  <c r="P117" i="49" s="1"/>
  <c r="V96" i="40" s="1"/>
  <c r="J55" i="49"/>
  <c r="O53" i="49"/>
  <c r="P53" i="49" s="1"/>
  <c r="N113" i="48"/>
  <c r="O113" i="48" s="1"/>
  <c r="P113" i="48" s="1"/>
  <c r="U93" i="48" s="1"/>
  <c r="X93" i="48" s="1"/>
  <c r="AA93" i="48" s="1"/>
  <c r="AB93" i="48" s="1"/>
  <c r="AC93" i="48" s="1"/>
  <c r="AD93" i="48" s="1"/>
  <c r="J115" i="48"/>
  <c r="J50" i="48"/>
  <c r="N48" i="48"/>
  <c r="P48" i="48" s="1"/>
  <c r="K107" i="46"/>
  <c r="J110" i="46"/>
  <c r="L106" i="46"/>
  <c r="I167" i="46"/>
  <c r="I168" i="46"/>
  <c r="L165" i="46"/>
  <c r="O165" i="46" s="1"/>
  <c r="G223" i="46" s="1"/>
  <c r="J165" i="46"/>
  <c r="M165" i="46" s="1"/>
  <c r="I223" i="46" s="1"/>
  <c r="K165" i="46"/>
  <c r="N165" i="46" s="1"/>
  <c r="H223" i="46" s="1"/>
  <c r="J166" i="46"/>
  <c r="M166" i="46" s="1"/>
  <c r="I224" i="46" s="1"/>
  <c r="K166" i="46"/>
  <c r="N166" i="46" s="1"/>
  <c r="H224" i="46" s="1"/>
  <c r="L166" i="46"/>
  <c r="O166" i="46" s="1"/>
  <c r="G224" i="46" s="1"/>
  <c r="J218" i="43"/>
  <c r="K218" i="43"/>
  <c r="K219" i="43"/>
  <c r="J219" i="43"/>
  <c r="K222" i="43"/>
  <c r="J222" i="43"/>
  <c r="J221" i="43"/>
  <c r="K221" i="43"/>
  <c r="L219" i="43"/>
  <c r="L221" i="43"/>
  <c r="L218" i="43"/>
  <c r="L222" i="43"/>
  <c r="K166" i="43"/>
  <c r="N166" i="43" s="1"/>
  <c r="H224" i="43" s="1"/>
  <c r="R49" i="36" s="1"/>
  <c r="W49" i="36" s="1"/>
  <c r="J166" i="43"/>
  <c r="M166" i="43" s="1"/>
  <c r="I224" i="43" s="1"/>
  <c r="R74" i="36" s="1"/>
  <c r="W24" i="36" s="1"/>
  <c r="L166" i="43"/>
  <c r="O166" i="43" s="1"/>
  <c r="G224" i="43" s="1"/>
  <c r="R24" i="36" s="1"/>
  <c r="W74" i="36" s="1"/>
  <c r="L165" i="43"/>
  <c r="O165" i="43" s="1"/>
  <c r="G223" i="43" s="1"/>
  <c r="S23" i="36" s="1"/>
  <c r="X73" i="36" s="1"/>
  <c r="J165" i="43"/>
  <c r="M165" i="43" s="1"/>
  <c r="I223" i="43" s="1"/>
  <c r="S73" i="36" s="1"/>
  <c r="X23" i="36" s="1"/>
  <c r="K165" i="43"/>
  <c r="N165" i="43" s="1"/>
  <c r="H223" i="43" s="1"/>
  <c r="S48" i="36" s="1"/>
  <c r="X48" i="36" s="1"/>
  <c r="I167" i="43"/>
  <c r="I168" i="43"/>
  <c r="J108" i="43"/>
  <c r="L106" i="43"/>
  <c r="W166" i="41"/>
  <c r="W134" i="41"/>
  <c r="W71" i="41"/>
  <c r="W96" i="41" s="1"/>
  <c r="W37" i="41"/>
  <c r="K47" i="40"/>
  <c r="N45" i="40"/>
  <c r="O45" i="40" s="1"/>
  <c r="P45" i="40" s="1"/>
  <c r="U28" i="40" s="1"/>
  <c r="J47" i="40"/>
  <c r="J121" i="40"/>
  <c r="N119" i="40"/>
  <c r="O119" i="40" s="1"/>
  <c r="P119" i="40" s="1"/>
  <c r="U97" i="40" s="1"/>
  <c r="X97" i="40" s="1"/>
  <c r="AA97" i="40" s="1"/>
  <c r="AB97" i="40" s="1"/>
  <c r="AC97" i="40" s="1"/>
  <c r="AD97" i="40" s="1"/>
  <c r="I111" i="40"/>
  <c r="H111" i="40"/>
  <c r="W91" i="48" l="1"/>
  <c r="Y91" i="48"/>
  <c r="Z91" i="48" s="1"/>
  <c r="Y96" i="40"/>
  <c r="Z96" i="40" s="1"/>
  <c r="W96" i="40"/>
  <c r="L223" i="46"/>
  <c r="S22" i="47"/>
  <c r="X72" i="47" s="1"/>
  <c r="J223" i="46"/>
  <c r="S72" i="47"/>
  <c r="X22" i="47" s="1"/>
  <c r="K223" i="46"/>
  <c r="S47" i="47"/>
  <c r="X47" i="47" s="1"/>
  <c r="J224" i="46"/>
  <c r="R73" i="47"/>
  <c r="W23" i="47" s="1"/>
  <c r="K224" i="46"/>
  <c r="R48" i="47"/>
  <c r="W48" i="47" s="1"/>
  <c r="L224" i="46"/>
  <c r="R23" i="47"/>
  <c r="W73" i="47" s="1"/>
  <c r="X28" i="40"/>
  <c r="AA28" i="40" s="1"/>
  <c r="AB28" i="40" s="1"/>
  <c r="AC28" i="40" s="1"/>
  <c r="AD28" i="40" s="1"/>
  <c r="U122" i="40"/>
  <c r="X122" i="40" s="1"/>
  <c r="AA122" i="40" s="1"/>
  <c r="AB122" i="40" s="1"/>
  <c r="AC122" i="40" s="1"/>
  <c r="AD122" i="40" s="1"/>
  <c r="N111" i="50"/>
  <c r="O111" i="50" s="1"/>
  <c r="P111" i="50" s="1"/>
  <c r="V92" i="48" s="1"/>
  <c r="J113" i="50"/>
  <c r="N48" i="50"/>
  <c r="O48" i="50" s="1"/>
  <c r="P48" i="50" s="1"/>
  <c r="J50" i="50"/>
  <c r="N119" i="49"/>
  <c r="O119" i="49" s="1"/>
  <c r="P119" i="49" s="1"/>
  <c r="V97" i="40" s="1"/>
  <c r="J121" i="49"/>
  <c r="J57" i="49"/>
  <c r="O55" i="49"/>
  <c r="P55" i="49" s="1"/>
  <c r="J117" i="48"/>
  <c r="N115" i="48"/>
  <c r="O115" i="48" s="1"/>
  <c r="P115" i="48" s="1"/>
  <c r="U94" i="48" s="1"/>
  <c r="X94" i="48" s="1"/>
  <c r="AA94" i="48" s="1"/>
  <c r="AB94" i="48" s="1"/>
  <c r="AC94" i="48" s="1"/>
  <c r="AD94" i="48" s="1"/>
  <c r="N50" i="48"/>
  <c r="P50" i="48" s="1"/>
  <c r="J52" i="48"/>
  <c r="L110" i="46"/>
  <c r="I172" i="46" s="1"/>
  <c r="J172" i="46" s="1"/>
  <c r="K109" i="46"/>
  <c r="J112" i="46"/>
  <c r="I169" i="46"/>
  <c r="J167" i="46"/>
  <c r="M167" i="46" s="1"/>
  <c r="I225" i="46" s="1"/>
  <c r="K167" i="46"/>
  <c r="N167" i="46" s="1"/>
  <c r="H225" i="46" s="1"/>
  <c r="L167" i="46"/>
  <c r="O167" i="46" s="1"/>
  <c r="G225" i="46" s="1"/>
  <c r="J168" i="46"/>
  <c r="M168" i="46" s="1"/>
  <c r="I226" i="46" s="1"/>
  <c r="K168" i="46"/>
  <c r="N168" i="46" s="1"/>
  <c r="H226" i="46" s="1"/>
  <c r="L168" i="46"/>
  <c r="O168" i="46" s="1"/>
  <c r="G226" i="46" s="1"/>
  <c r="K224" i="43"/>
  <c r="J224" i="43"/>
  <c r="J223" i="43"/>
  <c r="K223" i="43"/>
  <c r="L223" i="43"/>
  <c r="L224" i="43"/>
  <c r="L167" i="43"/>
  <c r="O167" i="43" s="1"/>
  <c r="G225" i="43" s="1"/>
  <c r="S24" i="36" s="1"/>
  <c r="X74" i="36" s="1"/>
  <c r="K167" i="43"/>
  <c r="N167" i="43" s="1"/>
  <c r="H225" i="43" s="1"/>
  <c r="S49" i="36" s="1"/>
  <c r="X49" i="36" s="1"/>
  <c r="J167" i="43"/>
  <c r="M167" i="43" s="1"/>
  <c r="I225" i="43" s="1"/>
  <c r="S74" i="36" s="1"/>
  <c r="X24" i="36" s="1"/>
  <c r="J168" i="43"/>
  <c r="M168" i="43" s="1"/>
  <c r="I226" i="43" s="1"/>
  <c r="R75" i="36" s="1"/>
  <c r="W25" i="36" s="1"/>
  <c r="L168" i="43"/>
  <c r="O168" i="43" s="1"/>
  <c r="G226" i="43" s="1"/>
  <c r="R25" i="36" s="1"/>
  <c r="W75" i="36" s="1"/>
  <c r="K168" i="43"/>
  <c r="N168" i="43" s="1"/>
  <c r="H226" i="43" s="1"/>
  <c r="R50" i="36" s="1"/>
  <c r="W50" i="36" s="1"/>
  <c r="I170" i="43"/>
  <c r="I169" i="43"/>
  <c r="L108" i="43"/>
  <c r="J110" i="43"/>
  <c r="K111" i="43" s="1"/>
  <c r="W167" i="41"/>
  <c r="W135" i="41"/>
  <c r="W72" i="41"/>
  <c r="W97" i="41" s="1"/>
  <c r="W38" i="41"/>
  <c r="K48" i="40"/>
  <c r="N47" i="40" s="1"/>
  <c r="O47" i="40" s="1"/>
  <c r="P47" i="40" s="1"/>
  <c r="U29" i="40" s="1"/>
  <c r="J49" i="40"/>
  <c r="J123" i="40"/>
  <c r="N121" i="40"/>
  <c r="O121" i="40" s="1"/>
  <c r="P121" i="40" s="1"/>
  <c r="U98" i="40" s="1"/>
  <c r="X98" i="40" s="1"/>
  <c r="AA98" i="40" s="1"/>
  <c r="AB98" i="40" s="1"/>
  <c r="AC98" i="40" s="1"/>
  <c r="AD98" i="40" s="1"/>
  <c r="I112" i="40"/>
  <c r="H113" i="40"/>
  <c r="Y92" i="48" l="1"/>
  <c r="Z92" i="48" s="1"/>
  <c r="W92" i="48"/>
  <c r="W97" i="40"/>
  <c r="Y97" i="40"/>
  <c r="Z97" i="40" s="1"/>
  <c r="J225" i="46"/>
  <c r="S73" i="47"/>
  <c r="X23" i="47" s="1"/>
  <c r="K225" i="46"/>
  <c r="S48" i="47"/>
  <c r="X48" i="47" s="1"/>
  <c r="L225" i="46"/>
  <c r="S23" i="47"/>
  <c r="X73" i="47" s="1"/>
  <c r="J226" i="46"/>
  <c r="R74" i="47"/>
  <c r="W24" i="47" s="1"/>
  <c r="K226" i="46"/>
  <c r="R49" i="47"/>
  <c r="W49" i="47" s="1"/>
  <c r="L226" i="46"/>
  <c r="R24" i="47"/>
  <c r="W74" i="47" s="1"/>
  <c r="X29" i="40"/>
  <c r="AA29" i="40" s="1"/>
  <c r="AB29" i="40" s="1"/>
  <c r="AC29" i="40" s="1"/>
  <c r="AD29" i="40" s="1"/>
  <c r="U123" i="40"/>
  <c r="X123" i="40" s="1"/>
  <c r="AA123" i="40" s="1"/>
  <c r="AB123" i="40" s="1"/>
  <c r="AC123" i="40" s="1"/>
  <c r="AD123" i="40" s="1"/>
  <c r="J115" i="50"/>
  <c r="N113" i="50"/>
  <c r="O113" i="50" s="1"/>
  <c r="P113" i="50" s="1"/>
  <c r="V93" i="48" s="1"/>
  <c r="N50" i="50"/>
  <c r="O50" i="50" s="1"/>
  <c r="P50" i="50" s="1"/>
  <c r="J52" i="50"/>
  <c r="N121" i="49"/>
  <c r="O121" i="49" s="1"/>
  <c r="P121" i="49" s="1"/>
  <c r="V98" i="40" s="1"/>
  <c r="J123" i="49"/>
  <c r="O57" i="49"/>
  <c r="P57" i="49" s="1"/>
  <c r="J59" i="49"/>
  <c r="M107" i="46"/>
  <c r="J119" i="48"/>
  <c r="N117" i="48"/>
  <c r="O117" i="48" s="1"/>
  <c r="P117" i="48" s="1"/>
  <c r="U95" i="48" s="1"/>
  <c r="X95" i="48" s="1"/>
  <c r="AA95" i="48" s="1"/>
  <c r="AB95" i="48" s="1"/>
  <c r="AC95" i="48" s="1"/>
  <c r="AD95" i="48" s="1"/>
  <c r="N52" i="48"/>
  <c r="P52" i="48" s="1"/>
  <c r="J54" i="48"/>
  <c r="M172" i="46"/>
  <c r="I230" i="46" s="1"/>
  <c r="K172" i="46"/>
  <c r="J114" i="46"/>
  <c r="L112" i="46"/>
  <c r="J169" i="46"/>
  <c r="M169" i="46" s="1"/>
  <c r="I227" i="46" s="1"/>
  <c r="K169" i="46"/>
  <c r="N169" i="46" s="1"/>
  <c r="H227" i="46" s="1"/>
  <c r="L169" i="46"/>
  <c r="O169" i="46" s="1"/>
  <c r="G227" i="46" s="1"/>
  <c r="K225" i="43"/>
  <c r="J225" i="43"/>
  <c r="J226" i="43"/>
  <c r="K226" i="43"/>
  <c r="L225" i="43"/>
  <c r="L226" i="43"/>
  <c r="L170" i="43"/>
  <c r="O170" i="43" s="1"/>
  <c r="G228" i="43" s="1"/>
  <c r="R26" i="36" s="1"/>
  <c r="W76" i="36" s="1"/>
  <c r="K170" i="43"/>
  <c r="N170" i="43" s="1"/>
  <c r="H228" i="43" s="1"/>
  <c r="R51" i="36" s="1"/>
  <c r="W51" i="36" s="1"/>
  <c r="J170" i="43"/>
  <c r="M170" i="43" s="1"/>
  <c r="I228" i="43" s="1"/>
  <c r="R76" i="36" s="1"/>
  <c r="W26" i="36" s="1"/>
  <c r="K169" i="43"/>
  <c r="N169" i="43" s="1"/>
  <c r="H227" i="43" s="1"/>
  <c r="S50" i="36" s="1"/>
  <c r="X50" i="36" s="1"/>
  <c r="L169" i="43"/>
  <c r="O169" i="43" s="1"/>
  <c r="G227" i="43" s="1"/>
  <c r="S25" i="36" s="1"/>
  <c r="X75" i="36" s="1"/>
  <c r="J169" i="43"/>
  <c r="M169" i="43" s="1"/>
  <c r="I227" i="43" s="1"/>
  <c r="S75" i="36" s="1"/>
  <c r="X25" i="36" s="1"/>
  <c r="I171" i="43"/>
  <c r="I172" i="43"/>
  <c r="L110" i="43"/>
  <c r="I173" i="43" s="1"/>
  <c r="J114" i="43"/>
  <c r="K113" i="43" s="1"/>
  <c r="W168" i="41"/>
  <c r="W136" i="41"/>
  <c r="W73" i="41"/>
  <c r="W98" i="41" s="1"/>
  <c r="W39" i="41"/>
  <c r="N49" i="40"/>
  <c r="O49" i="40" s="1"/>
  <c r="P49" i="40" s="1"/>
  <c r="U30" i="40" s="1"/>
  <c r="J51" i="40"/>
  <c r="N123" i="40"/>
  <c r="O123" i="40" s="1"/>
  <c r="P123" i="40" s="1"/>
  <c r="U99" i="40" s="1"/>
  <c r="X99" i="40" s="1"/>
  <c r="AA99" i="40" s="1"/>
  <c r="AB99" i="40" s="1"/>
  <c r="AC99" i="40" s="1"/>
  <c r="AD99" i="40" s="1"/>
  <c r="J125" i="40"/>
  <c r="H115" i="40"/>
  <c r="W93" i="48" l="1"/>
  <c r="Y93" i="48"/>
  <c r="Z93" i="48" s="1"/>
  <c r="Y98" i="40"/>
  <c r="Z98" i="40" s="1"/>
  <c r="W98" i="40"/>
  <c r="I170" i="46"/>
  <c r="M110" i="46"/>
  <c r="I171" i="46" s="1"/>
  <c r="J171" i="46" s="1"/>
  <c r="M171" i="46" s="1"/>
  <c r="I229" i="46" s="1"/>
  <c r="J230" i="46"/>
  <c r="R76" i="47"/>
  <c r="W26" i="47" s="1"/>
  <c r="J227" i="46"/>
  <c r="S74" i="47"/>
  <c r="X24" i="47" s="1"/>
  <c r="K227" i="46"/>
  <c r="S49" i="47"/>
  <c r="X49" i="47" s="1"/>
  <c r="L227" i="46"/>
  <c r="S24" i="47"/>
  <c r="X74" i="47" s="1"/>
  <c r="X30" i="40"/>
  <c r="AA30" i="40" s="1"/>
  <c r="AB30" i="40" s="1"/>
  <c r="AC30" i="40" s="1"/>
  <c r="AD30" i="40" s="1"/>
  <c r="U124" i="40"/>
  <c r="X124" i="40" s="1"/>
  <c r="AA124" i="40" s="1"/>
  <c r="AB124" i="40" s="1"/>
  <c r="AC124" i="40" s="1"/>
  <c r="AD124" i="40" s="1"/>
  <c r="N115" i="50"/>
  <c r="O115" i="50" s="1"/>
  <c r="P115" i="50" s="1"/>
  <c r="V94" i="48" s="1"/>
  <c r="J117" i="50"/>
  <c r="N52" i="50"/>
  <c r="O52" i="50" s="1"/>
  <c r="P52" i="50" s="1"/>
  <c r="J54" i="50"/>
  <c r="N123" i="49"/>
  <c r="O123" i="49" s="1"/>
  <c r="P123" i="49" s="1"/>
  <c r="V99" i="40" s="1"/>
  <c r="J125" i="49"/>
  <c r="O59" i="49"/>
  <c r="P59" i="49" s="1"/>
  <c r="J61" i="49"/>
  <c r="J121" i="48"/>
  <c r="N119" i="48"/>
  <c r="O119" i="48" s="1"/>
  <c r="P119" i="48" s="1"/>
  <c r="U96" i="48" s="1"/>
  <c r="X96" i="48" s="1"/>
  <c r="AA96" i="48" s="1"/>
  <c r="AB96" i="48" s="1"/>
  <c r="AC96" i="48" s="1"/>
  <c r="AD96" i="48" s="1"/>
  <c r="J56" i="48"/>
  <c r="N54" i="48"/>
  <c r="P54" i="48" s="1"/>
  <c r="N172" i="46"/>
  <c r="H230" i="46" s="1"/>
  <c r="L172" i="46"/>
  <c r="O172" i="46" s="1"/>
  <c r="G230" i="46" s="1"/>
  <c r="J116" i="46"/>
  <c r="L114" i="46"/>
  <c r="I173" i="46"/>
  <c r="J173" i="46" s="1"/>
  <c r="I174" i="46"/>
  <c r="J174" i="46" s="1"/>
  <c r="J170" i="46"/>
  <c r="M170" i="46" s="1"/>
  <c r="I228" i="46" s="1"/>
  <c r="K170" i="46"/>
  <c r="N170" i="46" s="1"/>
  <c r="H228" i="46" s="1"/>
  <c r="L170" i="46"/>
  <c r="O170" i="46" s="1"/>
  <c r="G228" i="46" s="1"/>
  <c r="K171" i="46"/>
  <c r="N171" i="46" s="1"/>
  <c r="H229" i="46" s="1"/>
  <c r="L171" i="46"/>
  <c r="O171" i="46" s="1"/>
  <c r="G229" i="46" s="1"/>
  <c r="K228" i="43"/>
  <c r="J228" i="43"/>
  <c r="K227" i="43"/>
  <c r="J227" i="43"/>
  <c r="L228" i="43"/>
  <c r="L227" i="43"/>
  <c r="K171" i="43"/>
  <c r="N171" i="43" s="1"/>
  <c r="H229" i="43" s="1"/>
  <c r="S51" i="36" s="1"/>
  <c r="X51" i="36" s="1"/>
  <c r="L171" i="43"/>
  <c r="O171" i="43" s="1"/>
  <c r="G229" i="43" s="1"/>
  <c r="S26" i="36" s="1"/>
  <c r="X76" i="36" s="1"/>
  <c r="J171" i="43"/>
  <c r="M171" i="43" s="1"/>
  <c r="I229" i="43" s="1"/>
  <c r="S76" i="36" s="1"/>
  <c r="X26" i="36" s="1"/>
  <c r="L172" i="43"/>
  <c r="O172" i="43" s="1"/>
  <c r="G230" i="43" s="1"/>
  <c r="R27" i="36" s="1"/>
  <c r="W77" i="36" s="1"/>
  <c r="J172" i="43"/>
  <c r="M172" i="43" s="1"/>
  <c r="I230" i="43" s="1"/>
  <c r="R77" i="36" s="1"/>
  <c r="W27" i="36" s="1"/>
  <c r="K172" i="43"/>
  <c r="N172" i="43" s="1"/>
  <c r="H230" i="43" s="1"/>
  <c r="R52" i="36" s="1"/>
  <c r="W52" i="36" s="1"/>
  <c r="J173" i="43"/>
  <c r="M173" i="43" s="1"/>
  <c r="I231" i="43" s="1"/>
  <c r="S77" i="36" s="1"/>
  <c r="X27" i="36" s="1"/>
  <c r="K173" i="43"/>
  <c r="N173" i="43" s="1"/>
  <c r="H231" i="43" s="1"/>
  <c r="S52" i="36" s="1"/>
  <c r="X52" i="36" s="1"/>
  <c r="L173" i="43"/>
  <c r="O173" i="43" s="1"/>
  <c r="G231" i="43" s="1"/>
  <c r="S27" i="36" s="1"/>
  <c r="X77" i="36" s="1"/>
  <c r="L114" i="43"/>
  <c r="J116" i="43"/>
  <c r="W169" i="41"/>
  <c r="W137" i="41"/>
  <c r="W74" i="41"/>
  <c r="W99" i="41" s="1"/>
  <c r="W40" i="41"/>
  <c r="J53" i="40"/>
  <c r="N51" i="40"/>
  <c r="O51" i="40" s="1"/>
  <c r="P51" i="40" s="1"/>
  <c r="U31" i="40" s="1"/>
  <c r="N125" i="40"/>
  <c r="O125" i="40" s="1"/>
  <c r="P125" i="40" s="1"/>
  <c r="U100" i="40" s="1"/>
  <c r="X100" i="40" s="1"/>
  <c r="AA100" i="40" s="1"/>
  <c r="AB100" i="40" s="1"/>
  <c r="AC100" i="40" s="1"/>
  <c r="AD100" i="40" s="1"/>
  <c r="J128" i="40"/>
  <c r="H117" i="40"/>
  <c r="Y94" i="48" l="1"/>
  <c r="Z94" i="48" s="1"/>
  <c r="W94" i="48"/>
  <c r="W99" i="40"/>
  <c r="Y99" i="40"/>
  <c r="Z99" i="40" s="1"/>
  <c r="K230" i="46"/>
  <c r="R51" i="47"/>
  <c r="W51" i="47" s="1"/>
  <c r="L230" i="46"/>
  <c r="R26" i="47"/>
  <c r="W76" i="47" s="1"/>
  <c r="J228" i="46"/>
  <c r="R75" i="47"/>
  <c r="W25" i="47" s="1"/>
  <c r="K228" i="46"/>
  <c r="R50" i="47"/>
  <c r="W50" i="47" s="1"/>
  <c r="L228" i="46"/>
  <c r="R25" i="47"/>
  <c r="W75" i="47" s="1"/>
  <c r="J229" i="46"/>
  <c r="S75" i="47"/>
  <c r="X25" i="47" s="1"/>
  <c r="K229" i="46"/>
  <c r="S50" i="47"/>
  <c r="X50" i="47" s="1"/>
  <c r="L229" i="46"/>
  <c r="S25" i="47"/>
  <c r="X75" i="47" s="1"/>
  <c r="X31" i="40"/>
  <c r="AA31" i="40" s="1"/>
  <c r="AB31" i="40" s="1"/>
  <c r="AC31" i="40" s="1"/>
  <c r="AD31" i="40" s="1"/>
  <c r="U125" i="40"/>
  <c r="X125" i="40" s="1"/>
  <c r="AA125" i="40" s="1"/>
  <c r="AB125" i="40" s="1"/>
  <c r="AC125" i="40" s="1"/>
  <c r="AD125" i="40" s="1"/>
  <c r="N117" i="50"/>
  <c r="O117" i="50" s="1"/>
  <c r="P117" i="50" s="1"/>
  <c r="V95" i="48" s="1"/>
  <c r="J119" i="50"/>
  <c r="N54" i="50"/>
  <c r="O54" i="50" s="1"/>
  <c r="P54" i="50" s="1"/>
  <c r="J56" i="50"/>
  <c r="N125" i="49"/>
  <c r="O125" i="49" s="1"/>
  <c r="P125" i="49" s="1"/>
  <c r="V100" i="40" s="1"/>
  <c r="J128" i="49"/>
  <c r="O61" i="49"/>
  <c r="P61" i="49" s="1"/>
  <c r="J64" i="49"/>
  <c r="J124" i="48"/>
  <c r="N121" i="48"/>
  <c r="O121" i="48" s="1"/>
  <c r="P121" i="48" s="1"/>
  <c r="U97" i="48" s="1"/>
  <c r="X97" i="48" s="1"/>
  <c r="AA97" i="48" s="1"/>
  <c r="AB97" i="48" s="1"/>
  <c r="AC97" i="48" s="1"/>
  <c r="AD97" i="48" s="1"/>
  <c r="J58" i="48"/>
  <c r="N56" i="48"/>
  <c r="P56" i="48" s="1"/>
  <c r="L116" i="46"/>
  <c r="J118" i="46"/>
  <c r="I175" i="46"/>
  <c r="J175" i="46" s="1"/>
  <c r="I176" i="46"/>
  <c r="J176" i="46" s="1"/>
  <c r="M173" i="46"/>
  <c r="I231" i="46" s="1"/>
  <c r="K173" i="46"/>
  <c r="M174" i="46"/>
  <c r="I232" i="46" s="1"/>
  <c r="K174" i="46"/>
  <c r="K229" i="43"/>
  <c r="J229" i="43"/>
  <c r="J230" i="43"/>
  <c r="K230" i="43"/>
  <c r="J231" i="43"/>
  <c r="K231" i="43"/>
  <c r="L229" i="43"/>
  <c r="L230" i="43"/>
  <c r="L231" i="43"/>
  <c r="M111" i="43"/>
  <c r="I176" i="43"/>
  <c r="J176" i="43" s="1"/>
  <c r="K176" i="43" s="1"/>
  <c r="L176" i="43" s="1"/>
  <c r="L116" i="43"/>
  <c r="J118" i="43"/>
  <c r="W170" i="41"/>
  <c r="W138" i="41"/>
  <c r="W75" i="41"/>
  <c r="W100" i="41" s="1"/>
  <c r="W41" i="41"/>
  <c r="J55" i="40"/>
  <c r="N53" i="40"/>
  <c r="O53" i="40" s="1"/>
  <c r="P53" i="40" s="1"/>
  <c r="U32" i="40" s="1"/>
  <c r="H119" i="40"/>
  <c r="Y95" i="48" l="1"/>
  <c r="Z95" i="48" s="1"/>
  <c r="W95" i="48"/>
  <c r="Y100" i="40"/>
  <c r="Z100" i="40" s="1"/>
  <c r="W100" i="40"/>
  <c r="J231" i="46"/>
  <c r="S76" i="47"/>
  <c r="X26" i="47" s="1"/>
  <c r="J232" i="46"/>
  <c r="R77" i="47"/>
  <c r="W27" i="47" s="1"/>
  <c r="X32" i="40"/>
  <c r="AA32" i="40" s="1"/>
  <c r="AB32" i="40" s="1"/>
  <c r="AC32" i="40" s="1"/>
  <c r="AD32" i="40" s="1"/>
  <c r="U126" i="40"/>
  <c r="X126" i="40" s="1"/>
  <c r="AA126" i="40" s="1"/>
  <c r="AB126" i="40" s="1"/>
  <c r="AC126" i="40" s="1"/>
  <c r="AD126" i="40" s="1"/>
  <c r="J121" i="50"/>
  <c r="N119" i="50"/>
  <c r="O119" i="50" s="1"/>
  <c r="P119" i="50" s="1"/>
  <c r="V96" i="48" s="1"/>
  <c r="N56" i="50"/>
  <c r="O56" i="50" s="1"/>
  <c r="P56" i="50" s="1"/>
  <c r="J58" i="50"/>
  <c r="J61" i="48"/>
  <c r="N58" i="48"/>
  <c r="P58" i="48" s="1"/>
  <c r="I177" i="46"/>
  <c r="J177" i="46" s="1"/>
  <c r="I178" i="46"/>
  <c r="J178" i="46" s="1"/>
  <c r="J120" i="46"/>
  <c r="L118" i="46"/>
  <c r="M175" i="46"/>
  <c r="I233" i="46" s="1"/>
  <c r="K175" i="46"/>
  <c r="M176" i="46"/>
  <c r="I234" i="46" s="1"/>
  <c r="K176" i="46"/>
  <c r="N173" i="46"/>
  <c r="H231" i="46" s="1"/>
  <c r="L173" i="46"/>
  <c r="O173" i="46" s="1"/>
  <c r="G231" i="46" s="1"/>
  <c r="N174" i="46"/>
  <c r="H232" i="46" s="1"/>
  <c r="L174" i="46"/>
  <c r="O174" i="46" s="1"/>
  <c r="G232" i="46" s="1"/>
  <c r="M176" i="43"/>
  <c r="I234" i="43" s="1"/>
  <c r="R79" i="36" s="1"/>
  <c r="W29" i="36" s="1"/>
  <c r="O176" i="43"/>
  <c r="G234" i="43" s="1"/>
  <c r="R29" i="36" s="1"/>
  <c r="W79" i="36" s="1"/>
  <c r="N176" i="43"/>
  <c r="H234" i="43" s="1"/>
  <c r="R54" i="36" s="1"/>
  <c r="W54" i="36" s="1"/>
  <c r="I174" i="43"/>
  <c r="M114" i="43"/>
  <c r="I175" i="43" s="1"/>
  <c r="I177" i="43"/>
  <c r="J177" i="43" s="1"/>
  <c r="K177" i="43" s="1"/>
  <c r="L177" i="43" s="1"/>
  <c r="I178" i="43"/>
  <c r="J178" i="43" s="1"/>
  <c r="K178" i="43" s="1"/>
  <c r="L178" i="43" s="1"/>
  <c r="L118" i="43"/>
  <c r="J120" i="43"/>
  <c r="W171" i="41"/>
  <c r="W139" i="41"/>
  <c r="W76" i="41"/>
  <c r="W101" i="41" s="1"/>
  <c r="W42" i="41"/>
  <c r="J57" i="40"/>
  <c r="N55" i="40"/>
  <c r="O55" i="40" s="1"/>
  <c r="P55" i="40" s="1"/>
  <c r="U33" i="40" s="1"/>
  <c r="H121" i="40"/>
  <c r="Y96" i="48" l="1"/>
  <c r="Z96" i="48" s="1"/>
  <c r="W96" i="48"/>
  <c r="J233" i="46"/>
  <c r="S77" i="47"/>
  <c r="X27" i="47" s="1"/>
  <c r="J234" i="46"/>
  <c r="R78" i="47"/>
  <c r="W28" i="47" s="1"/>
  <c r="K231" i="46"/>
  <c r="S51" i="47"/>
  <c r="X51" i="47" s="1"/>
  <c r="L231" i="46"/>
  <c r="S26" i="47"/>
  <c r="X76" i="47" s="1"/>
  <c r="K232" i="46"/>
  <c r="R52" i="47"/>
  <c r="W52" i="47" s="1"/>
  <c r="L232" i="46"/>
  <c r="R27" i="47"/>
  <c r="W77" i="47" s="1"/>
  <c r="X33" i="40"/>
  <c r="AA33" i="40" s="1"/>
  <c r="AB33" i="40" s="1"/>
  <c r="AC33" i="40" s="1"/>
  <c r="AD33" i="40" s="1"/>
  <c r="U127" i="40"/>
  <c r="X127" i="40" s="1"/>
  <c r="AA127" i="40" s="1"/>
  <c r="AB127" i="40" s="1"/>
  <c r="AC127" i="40" s="1"/>
  <c r="AD127" i="40" s="1"/>
  <c r="N121" i="50"/>
  <c r="O121" i="50" s="1"/>
  <c r="P121" i="50" s="1"/>
  <c r="V97" i="48" s="1"/>
  <c r="J124" i="50"/>
  <c r="J61" i="50"/>
  <c r="N58" i="50"/>
  <c r="O58" i="50" s="1"/>
  <c r="P58" i="50" s="1"/>
  <c r="M177" i="46"/>
  <c r="I235" i="46" s="1"/>
  <c r="K177" i="46"/>
  <c r="M178" i="46"/>
  <c r="I236" i="46" s="1"/>
  <c r="K178" i="46"/>
  <c r="L120" i="46"/>
  <c r="J122" i="46"/>
  <c r="I179" i="46"/>
  <c r="J179" i="46" s="1"/>
  <c r="I180" i="46"/>
  <c r="J180" i="46" s="1"/>
  <c r="N175" i="46"/>
  <c r="H233" i="46" s="1"/>
  <c r="L175" i="46"/>
  <c r="O175" i="46" s="1"/>
  <c r="G233" i="46" s="1"/>
  <c r="N176" i="46"/>
  <c r="H234" i="46" s="1"/>
  <c r="L176" i="46"/>
  <c r="O176" i="46" s="1"/>
  <c r="G234" i="46" s="1"/>
  <c r="J234" i="43"/>
  <c r="K234" i="43"/>
  <c r="L234" i="43"/>
  <c r="K174" i="43"/>
  <c r="N174" i="43" s="1"/>
  <c r="H232" i="43" s="1"/>
  <c r="R53" i="36" s="1"/>
  <c r="W53" i="36" s="1"/>
  <c r="L174" i="43"/>
  <c r="O174" i="43" s="1"/>
  <c r="G232" i="43" s="1"/>
  <c r="R28" i="36" s="1"/>
  <c r="W78" i="36" s="1"/>
  <c r="J174" i="43"/>
  <c r="M174" i="43" s="1"/>
  <c r="I232" i="43" s="1"/>
  <c r="R78" i="36" s="1"/>
  <c r="W28" i="36" s="1"/>
  <c r="K175" i="43"/>
  <c r="N175" i="43" s="1"/>
  <c r="H233" i="43" s="1"/>
  <c r="S53" i="36" s="1"/>
  <c r="X53" i="36" s="1"/>
  <c r="L175" i="43"/>
  <c r="O175" i="43" s="1"/>
  <c r="G233" i="43" s="1"/>
  <c r="S28" i="36" s="1"/>
  <c r="X78" i="36" s="1"/>
  <c r="J175" i="43"/>
  <c r="M175" i="43" s="1"/>
  <c r="I233" i="43" s="1"/>
  <c r="S78" i="36" s="1"/>
  <c r="X28" i="36" s="1"/>
  <c r="M177" i="43"/>
  <c r="I235" i="43" s="1"/>
  <c r="S79" i="36" s="1"/>
  <c r="X29" i="36" s="1"/>
  <c r="O177" i="43"/>
  <c r="G235" i="43" s="1"/>
  <c r="S29" i="36" s="1"/>
  <c r="X79" i="36" s="1"/>
  <c r="N177" i="43"/>
  <c r="H235" i="43" s="1"/>
  <c r="S54" i="36" s="1"/>
  <c r="X54" i="36" s="1"/>
  <c r="O178" i="43"/>
  <c r="G236" i="43" s="1"/>
  <c r="R30" i="36" s="1"/>
  <c r="W80" i="36" s="1"/>
  <c r="N178" i="43"/>
  <c r="H236" i="43" s="1"/>
  <c r="R55" i="36" s="1"/>
  <c r="W55" i="36" s="1"/>
  <c r="M178" i="43"/>
  <c r="I236" i="43" s="1"/>
  <c r="R80" i="36" s="1"/>
  <c r="W30" i="36" s="1"/>
  <c r="I179" i="43"/>
  <c r="J179" i="43" s="1"/>
  <c r="K179" i="43" s="1"/>
  <c r="L179" i="43" s="1"/>
  <c r="I180" i="43"/>
  <c r="J180" i="43" s="1"/>
  <c r="K180" i="43" s="1"/>
  <c r="L180" i="43" s="1"/>
  <c r="L120" i="43"/>
  <c r="J122" i="43"/>
  <c r="W172" i="41"/>
  <c r="W140" i="41"/>
  <c r="W77" i="41"/>
  <c r="W102" i="41" s="1"/>
  <c r="W43" i="41"/>
  <c r="N57" i="40"/>
  <c r="O57" i="40" s="1"/>
  <c r="P57" i="40" s="1"/>
  <c r="U34" i="40" s="1"/>
  <c r="J59" i="40"/>
  <c r="H123" i="40"/>
  <c r="W97" i="48" l="1"/>
  <c r="Y97" i="48"/>
  <c r="Z97" i="48" s="1"/>
  <c r="J235" i="46"/>
  <c r="S78" i="47"/>
  <c r="X28" i="47" s="1"/>
  <c r="J236" i="46"/>
  <c r="R79" i="47"/>
  <c r="W29" i="47" s="1"/>
  <c r="K233" i="46"/>
  <c r="S52" i="47"/>
  <c r="X52" i="47" s="1"/>
  <c r="L233" i="46"/>
  <c r="S27" i="47"/>
  <c r="X77" i="47" s="1"/>
  <c r="K234" i="46"/>
  <c r="R53" i="47"/>
  <c r="W53" i="47" s="1"/>
  <c r="L234" i="46"/>
  <c r="R28" i="47"/>
  <c r="W78" i="47" s="1"/>
  <c r="X34" i="40"/>
  <c r="AA34" i="40" s="1"/>
  <c r="AB34" i="40" s="1"/>
  <c r="AC34" i="40" s="1"/>
  <c r="AD34" i="40" s="1"/>
  <c r="U128" i="40"/>
  <c r="X128" i="40" s="1"/>
  <c r="AA128" i="40" s="1"/>
  <c r="AB128" i="40" s="1"/>
  <c r="AC128" i="40" s="1"/>
  <c r="AD128" i="40" s="1"/>
  <c r="N177" i="46"/>
  <c r="H235" i="46" s="1"/>
  <c r="L177" i="46"/>
  <c r="O177" i="46" s="1"/>
  <c r="G235" i="46" s="1"/>
  <c r="N178" i="46"/>
  <c r="H236" i="46" s="1"/>
  <c r="L178" i="46"/>
  <c r="O178" i="46" s="1"/>
  <c r="G236" i="46" s="1"/>
  <c r="I182" i="46"/>
  <c r="J182" i="46" s="1"/>
  <c r="I181" i="46"/>
  <c r="J181" i="46" s="1"/>
  <c r="J124" i="46"/>
  <c r="L122" i="46"/>
  <c r="M179" i="46"/>
  <c r="I237" i="46" s="1"/>
  <c r="K179" i="46"/>
  <c r="M180" i="46"/>
  <c r="I238" i="46" s="1"/>
  <c r="K180" i="46"/>
  <c r="K232" i="43"/>
  <c r="J232" i="43"/>
  <c r="K233" i="43"/>
  <c r="J233" i="43"/>
  <c r="J235" i="43"/>
  <c r="K235" i="43"/>
  <c r="K236" i="43"/>
  <c r="J236" i="43"/>
  <c r="L232" i="43"/>
  <c r="L233" i="43"/>
  <c r="L235" i="43"/>
  <c r="L236" i="43"/>
  <c r="N179" i="43"/>
  <c r="H237" i="43" s="1"/>
  <c r="S55" i="36" s="1"/>
  <c r="X55" i="36" s="1"/>
  <c r="M179" i="43"/>
  <c r="I237" i="43" s="1"/>
  <c r="S80" i="36" s="1"/>
  <c r="X30" i="36" s="1"/>
  <c r="O179" i="43"/>
  <c r="G237" i="43" s="1"/>
  <c r="S30" i="36" s="1"/>
  <c r="X80" i="36" s="1"/>
  <c r="N180" i="43"/>
  <c r="H238" i="43" s="1"/>
  <c r="R56" i="36" s="1"/>
  <c r="W56" i="36" s="1"/>
  <c r="M180" i="43"/>
  <c r="I238" i="43" s="1"/>
  <c r="R81" i="36" s="1"/>
  <c r="W31" i="36" s="1"/>
  <c r="O180" i="43"/>
  <c r="G238" i="43" s="1"/>
  <c r="R31" i="36" s="1"/>
  <c r="W81" i="36" s="1"/>
  <c r="I182" i="43"/>
  <c r="J182" i="43" s="1"/>
  <c r="K182" i="43" s="1"/>
  <c r="L182" i="43" s="1"/>
  <c r="I181" i="43"/>
  <c r="J181" i="43" s="1"/>
  <c r="K181" i="43" s="1"/>
  <c r="L181" i="43" s="1"/>
  <c r="L122" i="43"/>
  <c r="J124" i="43"/>
  <c r="W173" i="41"/>
  <c r="W141" i="41"/>
  <c r="W78" i="41"/>
  <c r="W103" i="41" s="1"/>
  <c r="W44" i="41"/>
  <c r="N59" i="40"/>
  <c r="O59" i="40" s="1"/>
  <c r="P59" i="40" s="1"/>
  <c r="U35" i="40" s="1"/>
  <c r="J61" i="40"/>
  <c r="H127" i="40"/>
  <c r="K235" i="46" l="1"/>
  <c r="S53" i="47"/>
  <c r="X53" i="47" s="1"/>
  <c r="L235" i="46"/>
  <c r="S28" i="47"/>
  <c r="X78" i="47" s="1"/>
  <c r="K236" i="46"/>
  <c r="R54" i="47"/>
  <c r="W54" i="47" s="1"/>
  <c r="L236" i="46"/>
  <c r="R29" i="47"/>
  <c r="W79" i="47" s="1"/>
  <c r="J237" i="46"/>
  <c r="S79" i="47"/>
  <c r="X29" i="47" s="1"/>
  <c r="J238" i="46"/>
  <c r="R80" i="47"/>
  <c r="W30" i="47" s="1"/>
  <c r="X35" i="40"/>
  <c r="AA35" i="40" s="1"/>
  <c r="AB35" i="40" s="1"/>
  <c r="AC35" i="40" s="1"/>
  <c r="AD35" i="40" s="1"/>
  <c r="U129" i="40"/>
  <c r="X129" i="40" s="1"/>
  <c r="AA129" i="40" s="1"/>
  <c r="AB129" i="40" s="1"/>
  <c r="AC129" i="40" s="1"/>
  <c r="AD129" i="40" s="1"/>
  <c r="J64" i="40"/>
  <c r="N61" i="40"/>
  <c r="O61" i="40" s="1"/>
  <c r="P61" i="40" s="1"/>
  <c r="U36" i="40" s="1"/>
  <c r="M182" i="46"/>
  <c r="I240" i="46" s="1"/>
  <c r="K182" i="46"/>
  <c r="M181" i="46"/>
  <c r="I239" i="46" s="1"/>
  <c r="K181" i="46"/>
  <c r="L124" i="46"/>
  <c r="J126" i="46"/>
  <c r="L126" i="46" s="1"/>
  <c r="I183" i="46"/>
  <c r="J183" i="46" s="1"/>
  <c r="I184" i="46"/>
  <c r="J184" i="46" s="1"/>
  <c r="N179" i="46"/>
  <c r="H237" i="46" s="1"/>
  <c r="L179" i="46"/>
  <c r="O179" i="46" s="1"/>
  <c r="G237" i="46" s="1"/>
  <c r="N180" i="46"/>
  <c r="H238" i="46" s="1"/>
  <c r="L180" i="46"/>
  <c r="O180" i="46" s="1"/>
  <c r="G238" i="46" s="1"/>
  <c r="K237" i="43"/>
  <c r="J237" i="43"/>
  <c r="K238" i="43"/>
  <c r="J238" i="43"/>
  <c r="L237" i="43"/>
  <c r="L238" i="43"/>
  <c r="O182" i="43"/>
  <c r="G240" i="43" s="1"/>
  <c r="R32" i="36" s="1"/>
  <c r="W82" i="36" s="1"/>
  <c r="M182" i="43"/>
  <c r="I240" i="43" s="1"/>
  <c r="R82" i="36" s="1"/>
  <c r="W32" i="36" s="1"/>
  <c r="N182" i="43"/>
  <c r="H240" i="43" s="1"/>
  <c r="R57" i="36" s="1"/>
  <c r="W57" i="36" s="1"/>
  <c r="O181" i="43"/>
  <c r="G239" i="43" s="1"/>
  <c r="S31" i="36" s="1"/>
  <c r="X81" i="36" s="1"/>
  <c r="M181" i="43"/>
  <c r="I239" i="43" s="1"/>
  <c r="S81" i="36" s="1"/>
  <c r="X31" i="36" s="1"/>
  <c r="N181" i="43"/>
  <c r="H239" i="43" s="1"/>
  <c r="S56" i="36" s="1"/>
  <c r="X56" i="36" s="1"/>
  <c r="I183" i="43"/>
  <c r="J183" i="43" s="1"/>
  <c r="K183" i="43" s="1"/>
  <c r="L183" i="43" s="1"/>
  <c r="I184" i="43"/>
  <c r="J184" i="43" s="1"/>
  <c r="K184" i="43" s="1"/>
  <c r="L184" i="43" s="1"/>
  <c r="L124" i="43"/>
  <c r="J126" i="43"/>
  <c r="W174" i="41"/>
  <c r="W142" i="41"/>
  <c r="W79" i="41"/>
  <c r="W104" i="41" s="1"/>
  <c r="W45" i="41"/>
  <c r="H128" i="40"/>
  <c r="J240" i="46" l="1"/>
  <c r="R81" i="47"/>
  <c r="W31" i="47" s="1"/>
  <c r="J239" i="46"/>
  <c r="S80" i="47"/>
  <c r="X30" i="47" s="1"/>
  <c r="K237" i="46"/>
  <c r="S54" i="47"/>
  <c r="X54" i="47" s="1"/>
  <c r="L237" i="46"/>
  <c r="S29" i="47"/>
  <c r="X79" i="47" s="1"/>
  <c r="K238" i="46"/>
  <c r="R55" i="47"/>
  <c r="W55" i="47" s="1"/>
  <c r="L238" i="46"/>
  <c r="R30" i="47"/>
  <c r="W80" i="47" s="1"/>
  <c r="X36" i="40"/>
  <c r="AA36" i="40" s="1"/>
  <c r="AB36" i="40" s="1"/>
  <c r="AC36" i="40" s="1"/>
  <c r="AD36" i="40" s="1"/>
  <c r="U130" i="40"/>
  <c r="X130" i="40" s="1"/>
  <c r="AA130" i="40" s="1"/>
  <c r="AB130" i="40" s="1"/>
  <c r="AC130" i="40" s="1"/>
  <c r="AD130" i="40" s="1"/>
  <c r="N182" i="46"/>
  <c r="H240" i="46" s="1"/>
  <c r="L182" i="46"/>
  <c r="O182" i="46" s="1"/>
  <c r="G240" i="46" s="1"/>
  <c r="N181" i="46"/>
  <c r="H239" i="46" s="1"/>
  <c r="L181" i="46"/>
  <c r="O181" i="46" s="1"/>
  <c r="G239" i="46" s="1"/>
  <c r="I185" i="46"/>
  <c r="J185" i="46" s="1"/>
  <c r="I186" i="46"/>
  <c r="J186" i="46" s="1"/>
  <c r="I188" i="46"/>
  <c r="J188" i="46" s="1"/>
  <c r="I187" i="46"/>
  <c r="J187" i="46" s="1"/>
  <c r="M183" i="46"/>
  <c r="I241" i="46" s="1"/>
  <c r="K183" i="46"/>
  <c r="M184" i="46"/>
  <c r="I242" i="46" s="1"/>
  <c r="K184" i="46"/>
  <c r="J240" i="43"/>
  <c r="K240" i="43"/>
  <c r="J239" i="43"/>
  <c r="K239" i="43"/>
  <c r="L240" i="43"/>
  <c r="L239" i="43"/>
  <c r="O183" i="43"/>
  <c r="G241" i="43" s="1"/>
  <c r="S32" i="36" s="1"/>
  <c r="X82" i="36" s="1"/>
  <c r="M183" i="43"/>
  <c r="I241" i="43" s="1"/>
  <c r="S82" i="36" s="1"/>
  <c r="X32" i="36" s="1"/>
  <c r="N183" i="43"/>
  <c r="H241" i="43" s="1"/>
  <c r="S57" i="36" s="1"/>
  <c r="X57" i="36" s="1"/>
  <c r="M184" i="43"/>
  <c r="I242" i="43" s="1"/>
  <c r="R83" i="36" s="1"/>
  <c r="W33" i="36" s="1"/>
  <c r="O184" i="43"/>
  <c r="G242" i="43" s="1"/>
  <c r="R33" i="36" s="1"/>
  <c r="W83" i="36" s="1"/>
  <c r="N184" i="43"/>
  <c r="H242" i="43" s="1"/>
  <c r="R58" i="36" s="1"/>
  <c r="W58" i="36" s="1"/>
  <c r="I185" i="43"/>
  <c r="J185" i="43" s="1"/>
  <c r="K185" i="43" s="1"/>
  <c r="L185" i="43" s="1"/>
  <c r="I186" i="43"/>
  <c r="J186" i="43" s="1"/>
  <c r="K186" i="43" s="1"/>
  <c r="L186" i="43" s="1"/>
  <c r="J128" i="43"/>
  <c r="L128" i="43" s="1"/>
  <c r="L126" i="43"/>
  <c r="W175" i="41"/>
  <c r="W143" i="41"/>
  <c r="W176" i="41" s="1"/>
  <c r="W80" i="41"/>
  <c r="W105" i="41" s="1"/>
  <c r="W46" i="41"/>
  <c r="W81" i="41" s="1"/>
  <c r="W106" i="41" s="1"/>
  <c r="K240" i="46" l="1"/>
  <c r="R56" i="47"/>
  <c r="W56" i="47" s="1"/>
  <c r="L240" i="46"/>
  <c r="R31" i="47"/>
  <c r="W81" i="47" s="1"/>
  <c r="K239" i="46"/>
  <c r="S55" i="47"/>
  <c r="X55" i="47" s="1"/>
  <c r="L239" i="46"/>
  <c r="S30" i="47"/>
  <c r="X80" i="47" s="1"/>
  <c r="J241" i="46"/>
  <c r="S81" i="47"/>
  <c r="X31" i="47" s="1"/>
  <c r="J242" i="46"/>
  <c r="R82" i="47"/>
  <c r="W32" i="47" s="1"/>
  <c r="M185" i="46"/>
  <c r="I243" i="46" s="1"/>
  <c r="K185" i="46"/>
  <c r="M186" i="46"/>
  <c r="I244" i="46" s="1"/>
  <c r="K186" i="46"/>
  <c r="M188" i="46"/>
  <c r="I246" i="46" s="1"/>
  <c r="K188" i="46"/>
  <c r="M187" i="46"/>
  <c r="I245" i="46" s="1"/>
  <c r="K187" i="46"/>
  <c r="N183" i="46"/>
  <c r="H241" i="46" s="1"/>
  <c r="L183" i="46"/>
  <c r="O183" i="46" s="1"/>
  <c r="G241" i="46" s="1"/>
  <c r="N184" i="46"/>
  <c r="H242" i="46" s="1"/>
  <c r="L184" i="46"/>
  <c r="O184" i="46" s="1"/>
  <c r="G242" i="46" s="1"/>
  <c r="J241" i="43"/>
  <c r="K241" i="43"/>
  <c r="J242" i="43"/>
  <c r="K242" i="43"/>
  <c r="L241" i="43"/>
  <c r="L242" i="43"/>
  <c r="N185" i="43"/>
  <c r="H243" i="43" s="1"/>
  <c r="S58" i="36" s="1"/>
  <c r="X58" i="36" s="1"/>
  <c r="O185" i="43"/>
  <c r="G243" i="43" s="1"/>
  <c r="S33" i="36" s="1"/>
  <c r="X83" i="36" s="1"/>
  <c r="M185" i="43"/>
  <c r="I243" i="43" s="1"/>
  <c r="S83" i="36" s="1"/>
  <c r="X33" i="36" s="1"/>
  <c r="O186" i="43"/>
  <c r="G244" i="43" s="1"/>
  <c r="R34" i="36" s="1"/>
  <c r="W84" i="36" s="1"/>
  <c r="N186" i="43"/>
  <c r="H244" i="43" s="1"/>
  <c r="R59" i="36" s="1"/>
  <c r="W59" i="36" s="1"/>
  <c r="M186" i="43"/>
  <c r="I244" i="43" s="1"/>
  <c r="R84" i="36" s="1"/>
  <c r="W34" i="36" s="1"/>
  <c r="I189" i="43"/>
  <c r="J189" i="43" s="1"/>
  <c r="K189" i="43" s="1"/>
  <c r="L189" i="43" s="1"/>
  <c r="I190" i="43"/>
  <c r="J190" i="43" s="1"/>
  <c r="K190" i="43" s="1"/>
  <c r="L190" i="43" s="1"/>
  <c r="I187" i="43"/>
  <c r="J187" i="43" s="1"/>
  <c r="K187" i="43" s="1"/>
  <c r="L187" i="43" s="1"/>
  <c r="I188" i="43"/>
  <c r="J188" i="43" s="1"/>
  <c r="K188" i="43" s="1"/>
  <c r="L188" i="43" s="1"/>
  <c r="J243" i="46" l="1"/>
  <c r="S82" i="47"/>
  <c r="X32" i="47" s="1"/>
  <c r="J244" i="46"/>
  <c r="R83" i="47"/>
  <c r="W33" i="47" s="1"/>
  <c r="J246" i="46"/>
  <c r="R84" i="47"/>
  <c r="W34" i="47" s="1"/>
  <c r="J245" i="46"/>
  <c r="S83" i="47"/>
  <c r="X33" i="47" s="1"/>
  <c r="K241" i="46"/>
  <c r="S56" i="47"/>
  <c r="X56" i="47" s="1"/>
  <c r="L241" i="46"/>
  <c r="S31" i="47"/>
  <c r="X81" i="47" s="1"/>
  <c r="K242" i="46"/>
  <c r="R57" i="47"/>
  <c r="W57" i="47" s="1"/>
  <c r="L242" i="46"/>
  <c r="R32" i="47"/>
  <c r="W82" i="47" s="1"/>
  <c r="N185" i="46"/>
  <c r="H243" i="46" s="1"/>
  <c r="L185" i="46"/>
  <c r="O185" i="46" s="1"/>
  <c r="G243" i="46" s="1"/>
  <c r="N186" i="46"/>
  <c r="H244" i="46" s="1"/>
  <c r="L186" i="46"/>
  <c r="O186" i="46" s="1"/>
  <c r="G244" i="46" s="1"/>
  <c r="N188" i="46"/>
  <c r="H246" i="46" s="1"/>
  <c r="L188" i="46"/>
  <c r="O188" i="46" s="1"/>
  <c r="G246" i="46" s="1"/>
  <c r="N187" i="46"/>
  <c r="H245" i="46" s="1"/>
  <c r="L187" i="46"/>
  <c r="O187" i="46" s="1"/>
  <c r="G245" i="46" s="1"/>
  <c r="K243" i="43"/>
  <c r="J243" i="43"/>
  <c r="K244" i="43"/>
  <c r="J244" i="43"/>
  <c r="L243" i="43"/>
  <c r="L244" i="43"/>
  <c r="O189" i="43"/>
  <c r="G247" i="43" s="1"/>
  <c r="S35" i="36" s="1"/>
  <c r="X85" i="36" s="1"/>
  <c r="M189" i="43"/>
  <c r="I247" i="43" s="1"/>
  <c r="S85" i="36" s="1"/>
  <c r="X35" i="36" s="1"/>
  <c r="N189" i="43"/>
  <c r="H247" i="43" s="1"/>
  <c r="S60" i="36" s="1"/>
  <c r="X60" i="36" s="1"/>
  <c r="M190" i="43"/>
  <c r="I248" i="43" s="1"/>
  <c r="R86" i="36" s="1"/>
  <c r="W36" i="36" s="1"/>
  <c r="N190" i="43"/>
  <c r="H248" i="43" s="1"/>
  <c r="R61" i="36" s="1"/>
  <c r="W61" i="36" s="1"/>
  <c r="O190" i="43"/>
  <c r="G248" i="43" s="1"/>
  <c r="R36" i="36" s="1"/>
  <c r="W86" i="36" s="1"/>
  <c r="N187" i="43"/>
  <c r="H245" i="43" s="1"/>
  <c r="S59" i="36" s="1"/>
  <c r="X59" i="36" s="1"/>
  <c r="O187" i="43"/>
  <c r="G245" i="43" s="1"/>
  <c r="S34" i="36" s="1"/>
  <c r="X84" i="36" s="1"/>
  <c r="M187" i="43"/>
  <c r="I245" i="43" s="1"/>
  <c r="S84" i="36" s="1"/>
  <c r="X34" i="36" s="1"/>
  <c r="M188" i="43"/>
  <c r="I246" i="43" s="1"/>
  <c r="R85" i="36" s="1"/>
  <c r="W35" i="36" s="1"/>
  <c r="N188" i="43"/>
  <c r="H246" i="43" s="1"/>
  <c r="R60" i="36" s="1"/>
  <c r="W60" i="36" s="1"/>
  <c r="O188" i="43"/>
  <c r="G246" i="43" s="1"/>
  <c r="R35" i="36" s="1"/>
  <c r="W85" i="36" s="1"/>
  <c r="K243" i="46" l="1"/>
  <c r="S57" i="47"/>
  <c r="X57" i="47" s="1"/>
  <c r="L243" i="46"/>
  <c r="S32" i="47"/>
  <c r="X82" i="47" s="1"/>
  <c r="K244" i="46"/>
  <c r="R58" i="47"/>
  <c r="W58" i="47" s="1"/>
  <c r="L244" i="46"/>
  <c r="R33" i="47"/>
  <c r="W83" i="47" s="1"/>
  <c r="K246" i="46"/>
  <c r="R59" i="47"/>
  <c r="W59" i="47" s="1"/>
  <c r="L246" i="46"/>
  <c r="R34" i="47"/>
  <c r="W84" i="47" s="1"/>
  <c r="K245" i="46"/>
  <c r="S58" i="47"/>
  <c r="X58" i="47" s="1"/>
  <c r="L245" i="46"/>
  <c r="S33" i="47"/>
  <c r="X83" i="47" s="1"/>
  <c r="J247" i="43"/>
  <c r="K247" i="43"/>
  <c r="J248" i="43"/>
  <c r="K248" i="43"/>
  <c r="K245" i="43"/>
  <c r="J245" i="43"/>
  <c r="J246" i="43"/>
  <c r="K246" i="43"/>
  <c r="L247" i="43"/>
  <c r="L248" i="43"/>
  <c r="L245" i="43"/>
  <c r="L246" i="43"/>
  <c r="K15" i="36" l="1"/>
  <c r="L15" i="36" s="1"/>
  <c r="M15" i="36" s="1"/>
  <c r="Q15" i="36" s="1"/>
  <c r="H17" i="36"/>
  <c r="H18" i="36" s="1"/>
  <c r="H20" i="36" s="1"/>
  <c r="Q65" i="36" l="1"/>
  <c r="V65" i="36" s="1"/>
  <c r="V15" i="36"/>
  <c r="H21" i="36"/>
  <c r="H23" i="36" s="1"/>
  <c r="K20" i="36"/>
  <c r="L20" i="36" s="1"/>
  <c r="M20" i="36" s="1"/>
  <c r="Q18" i="36" s="1"/>
  <c r="K17" i="36"/>
  <c r="L17" i="36" s="1"/>
  <c r="M17" i="36" s="1"/>
  <c r="Q16" i="36" s="1"/>
  <c r="G43" i="36"/>
  <c r="Q68" i="36" l="1"/>
  <c r="V68" i="36" s="1"/>
  <c r="V18" i="36"/>
  <c r="Q66" i="36"/>
  <c r="V66" i="36" s="1"/>
  <c r="V16" i="36"/>
  <c r="H24" i="36"/>
  <c r="H25" i="36" s="1"/>
  <c r="K23" i="36"/>
  <c r="L23" i="36" s="1"/>
  <c r="M23" i="36" s="1"/>
  <c r="Q20" i="36" s="1"/>
  <c r="Q70" i="36" l="1"/>
  <c r="V70" i="36" s="1"/>
  <c r="V20" i="36"/>
  <c r="H26" i="36"/>
  <c r="H33" i="36" l="1"/>
  <c r="K25" i="36"/>
  <c r="L25" i="36" s="1"/>
  <c r="M25" i="36" s="1"/>
  <c r="Q21" i="36" s="1"/>
  <c r="Q71" i="36" l="1"/>
  <c r="V71" i="36" s="1"/>
  <c r="V21" i="36"/>
  <c r="H34" i="36"/>
  <c r="K33" i="36"/>
  <c r="L33" i="36" s="1"/>
  <c r="M33" i="36" s="1"/>
  <c r="Q28" i="36" s="1"/>
  <c r="Q78" i="36" l="1"/>
  <c r="V78" i="36" s="1"/>
  <c r="V28" i="36"/>
</calcChain>
</file>

<file path=xl/sharedStrings.xml><?xml version="1.0" encoding="utf-8"?>
<sst xmlns="http://schemas.openxmlformats.org/spreadsheetml/2006/main" count="3228" uniqueCount="592">
  <si>
    <t>(1)</t>
    <phoneticPr fontId="5"/>
  </si>
  <si>
    <t>(2)</t>
    <phoneticPr fontId="5"/>
  </si>
  <si>
    <t>断面積および断面二次モーメント</t>
    <phoneticPr fontId="5"/>
  </si>
  <si>
    <t>A</t>
    <phoneticPr fontId="1"/>
  </si>
  <si>
    <t>＝</t>
    <phoneticPr fontId="11"/>
  </si>
  <si>
    <t>∞</t>
    <phoneticPr fontId="5"/>
  </si>
  <si>
    <t>I</t>
    <phoneticPr fontId="1"/>
  </si>
  <si>
    <t>（剛域）</t>
    <rPh sb="1" eb="2">
      <t>ゴウ</t>
    </rPh>
    <rPh sb="2" eb="3">
      <t>イキ</t>
    </rPh>
    <phoneticPr fontId="5"/>
  </si>
  <si>
    <r>
      <t>m</t>
    </r>
    <r>
      <rPr>
        <vertAlign val="superscript"/>
        <sz val="10"/>
        <rFont val="ＭＳ 明朝"/>
        <family val="1"/>
        <charset val="128"/>
      </rPr>
      <t>2</t>
    </r>
    <phoneticPr fontId="1"/>
  </si>
  <si>
    <r>
      <t>m</t>
    </r>
    <r>
      <rPr>
        <vertAlign val="superscript"/>
        <sz val="10"/>
        <rFont val="ＭＳ 明朝"/>
        <family val="1"/>
        <charset val="128"/>
      </rPr>
      <t>4</t>
    </r>
    <phoneticPr fontId="1"/>
  </si>
  <si>
    <t>×</t>
    <phoneticPr fontId="1"/>
  </si>
  <si>
    <t>フーチング</t>
    <phoneticPr fontId="1"/>
  </si>
  <si>
    <t>杭</t>
    <rPh sb="0" eb="1">
      <t>クイ</t>
    </rPh>
    <phoneticPr fontId="1"/>
  </si>
  <si>
    <t>奥行き本数</t>
    <rPh sb="0" eb="2">
      <t>オクユ</t>
    </rPh>
    <rPh sb="3" eb="5">
      <t>ホンスウ</t>
    </rPh>
    <phoneticPr fontId="1"/>
  </si>
  <si>
    <t>×</t>
    <phoneticPr fontId="11"/>
  </si>
  <si>
    <t>今設計では、公称径＝設計径とする.</t>
    <rPh sb="0" eb="1">
      <t>コン</t>
    </rPh>
    <rPh sb="1" eb="3">
      <t>セッケイ</t>
    </rPh>
    <rPh sb="6" eb="8">
      <t>コウショウ</t>
    </rPh>
    <rPh sb="8" eb="9">
      <t>ケイ</t>
    </rPh>
    <rPh sb="10" eb="12">
      <t>セッケイ</t>
    </rPh>
    <rPh sb="12" eb="13">
      <t>ケイ</t>
    </rPh>
    <phoneticPr fontId="5"/>
  </si>
  <si>
    <t>①</t>
    <phoneticPr fontId="1"/>
  </si>
  <si>
    <t>②</t>
    <phoneticPr fontId="1"/>
  </si>
  <si>
    <t>③</t>
    <phoneticPr fontId="1"/>
  </si>
  <si>
    <t>④</t>
    <phoneticPr fontId="1"/>
  </si>
  <si>
    <t>(4P左)</t>
    <rPh sb="3" eb="4">
      <t>ヒダリ</t>
    </rPh>
    <phoneticPr fontId="1"/>
  </si>
  <si>
    <t>計算式</t>
    <rPh sb="0" eb="3">
      <t>ケイサンシキ</t>
    </rPh>
    <phoneticPr fontId="1"/>
  </si>
  <si>
    <r>
      <t>A(m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"/>
  </si>
  <si>
    <t>y(m)</t>
    <phoneticPr fontId="1"/>
  </si>
  <si>
    <r>
      <t>A･y(m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phoneticPr fontId="1"/>
  </si>
  <si>
    <t>Σ</t>
    <phoneticPr fontId="1"/>
  </si>
  <si>
    <t>yG</t>
    <phoneticPr fontId="1"/>
  </si>
  <si>
    <t>＝</t>
    <phoneticPr fontId="1"/>
  </si>
  <si>
    <t>A･y</t>
    <phoneticPr fontId="1"/>
  </si>
  <si>
    <t>m</t>
    <phoneticPr fontId="1"/>
  </si>
  <si>
    <t>※</t>
    <phoneticPr fontId="1"/>
  </si>
  <si>
    <t>軸線重心位置</t>
    <rPh sb="0" eb="2">
      <t>ジクセン</t>
    </rPh>
    <rPh sb="2" eb="4">
      <t>ジュウシン</t>
    </rPh>
    <rPh sb="4" eb="6">
      <t>イチ</t>
    </rPh>
    <phoneticPr fontId="1"/>
  </si>
  <si>
    <t>(4P右)</t>
    <rPh sb="3" eb="4">
      <t>ミギ</t>
    </rPh>
    <phoneticPr fontId="1"/>
  </si>
  <si>
    <t>杭(4P左)(1,3列目)</t>
    <rPh sb="0" eb="1">
      <t>クイ</t>
    </rPh>
    <rPh sb="4" eb="5">
      <t>ヒダリ</t>
    </rPh>
    <rPh sb="10" eb="11">
      <t>レツ</t>
    </rPh>
    <rPh sb="11" eb="12">
      <t>メ</t>
    </rPh>
    <phoneticPr fontId="1"/>
  </si>
  <si>
    <t>杭(4P左)(2列目)</t>
    <rPh sb="0" eb="1">
      <t>クイ</t>
    </rPh>
    <rPh sb="4" eb="5">
      <t>ヒダリ</t>
    </rPh>
    <rPh sb="8" eb="9">
      <t>レツ</t>
    </rPh>
    <rPh sb="9" eb="10">
      <t>メ</t>
    </rPh>
    <phoneticPr fontId="1"/>
  </si>
  <si>
    <t>杭(4P右)(1,3列目)</t>
    <rPh sb="0" eb="1">
      <t>クイ</t>
    </rPh>
    <rPh sb="4" eb="5">
      <t>ミギ</t>
    </rPh>
    <rPh sb="10" eb="11">
      <t>レツ</t>
    </rPh>
    <rPh sb="11" eb="12">
      <t>メ</t>
    </rPh>
    <phoneticPr fontId="1"/>
  </si>
  <si>
    <t>杭(4P右)(2列目)</t>
    <rPh sb="0" eb="1">
      <t>クイ</t>
    </rPh>
    <rPh sb="4" eb="5">
      <t>ミギ</t>
    </rPh>
    <rPh sb="8" eb="9">
      <t>レツ</t>
    </rPh>
    <rPh sb="9" eb="10">
      <t>メ</t>
    </rPh>
    <phoneticPr fontId="1"/>
  </si>
  <si>
    <t>(3)</t>
    <phoneticPr fontId="5"/>
  </si>
  <si>
    <t>コンクリートの弾性係数</t>
    <phoneticPr fontId="5"/>
  </si>
  <si>
    <t>・</t>
    <phoneticPr fontId="5"/>
  </si>
  <si>
    <t>設計基準強度</t>
    <rPh sb="0" eb="2">
      <t>セッケイ</t>
    </rPh>
    <rPh sb="2" eb="4">
      <t>キジュン</t>
    </rPh>
    <rPh sb="4" eb="6">
      <t>キョウド</t>
    </rPh>
    <phoneticPr fontId="5"/>
  </si>
  <si>
    <t>：</t>
    <phoneticPr fontId="5"/>
  </si>
  <si>
    <r>
      <t>f'</t>
    </r>
    <r>
      <rPr>
        <vertAlign val="subscript"/>
        <sz val="10"/>
        <color indexed="8"/>
        <rFont val="ＭＳ 明朝"/>
        <family val="1"/>
        <charset val="128"/>
      </rPr>
      <t>ck</t>
    </r>
    <phoneticPr fontId="11"/>
  </si>
  <si>
    <r>
      <t>N/mm</t>
    </r>
    <r>
      <rPr>
        <vertAlign val="superscript"/>
        <sz val="10"/>
        <color indexed="8"/>
        <rFont val="ＭＳ 明朝"/>
        <family val="1"/>
        <charset val="128"/>
      </rPr>
      <t>2</t>
    </r>
    <phoneticPr fontId="11"/>
  </si>
  <si>
    <t>（財産図より）</t>
    <rPh sb="0" eb="2">
      <t>ザイサン</t>
    </rPh>
    <rPh sb="2" eb="3">
      <t>ズ</t>
    </rPh>
    <phoneticPr fontId="5"/>
  </si>
  <si>
    <t>ヤング係数</t>
    <rPh sb="3" eb="5">
      <t>ケイスウ</t>
    </rPh>
    <phoneticPr fontId="5"/>
  </si>
  <si>
    <r>
      <t>E</t>
    </r>
    <r>
      <rPr>
        <vertAlign val="subscript"/>
        <sz val="10"/>
        <color indexed="8"/>
        <rFont val="ＭＳ 明朝"/>
        <family val="1"/>
        <charset val="128"/>
      </rPr>
      <t>c</t>
    </r>
    <phoneticPr fontId="1"/>
  </si>
  <si>
    <r>
      <t>×</t>
    </r>
    <r>
      <rPr>
        <vertAlign val="superscript"/>
        <sz val="10"/>
        <color indexed="8"/>
        <rFont val="ＭＳ 明朝"/>
        <family val="1"/>
        <charset val="128"/>
      </rPr>
      <t xml:space="preserve"> </t>
    </r>
    <phoneticPr fontId="3"/>
  </si>
  <si>
    <r>
      <t>10</t>
    </r>
    <r>
      <rPr>
        <vertAlign val="superscript"/>
        <sz val="10"/>
        <color rgb="FF000000"/>
        <rFont val="ＭＳ 明朝"/>
        <family val="1"/>
        <charset val="128"/>
      </rPr>
      <t>6</t>
    </r>
    <phoneticPr fontId="3"/>
  </si>
  <si>
    <r>
      <t>kN/m</t>
    </r>
    <r>
      <rPr>
        <vertAlign val="superscript"/>
        <sz val="10"/>
        <color indexed="8"/>
        <rFont val="ＭＳ 明朝"/>
        <family val="1"/>
        <charset val="128"/>
      </rPr>
      <t>2</t>
    </r>
    <phoneticPr fontId="1"/>
  </si>
  <si>
    <r>
      <t>ｆ'</t>
    </r>
    <r>
      <rPr>
        <vertAlign val="subscript"/>
        <sz val="10"/>
        <rFont val="ＭＳ 明朝"/>
        <family val="1"/>
        <charset val="128"/>
      </rPr>
      <t>ck</t>
    </r>
    <phoneticPr fontId="11"/>
  </si>
  <si>
    <r>
      <t>N/mm</t>
    </r>
    <r>
      <rPr>
        <vertAlign val="superscript"/>
        <sz val="10"/>
        <rFont val="ＭＳ 明朝"/>
        <family val="1"/>
        <charset val="128"/>
      </rPr>
      <t>2</t>
    </r>
    <phoneticPr fontId="11"/>
  </si>
  <si>
    <r>
      <t>×</t>
    </r>
    <r>
      <rPr>
        <vertAlign val="superscript"/>
        <sz val="10"/>
        <rFont val="ＭＳ 明朝"/>
        <family val="1"/>
        <charset val="128"/>
      </rPr>
      <t xml:space="preserve"> </t>
    </r>
    <phoneticPr fontId="3"/>
  </si>
  <si>
    <r>
      <t>ρ</t>
    </r>
    <r>
      <rPr>
        <vertAlign val="subscript"/>
        <sz val="10"/>
        <rFont val="ＭＳ 明朝"/>
        <family val="1"/>
        <charset val="128"/>
      </rPr>
      <t>c</t>
    </r>
    <phoneticPr fontId="5"/>
  </si>
  <si>
    <r>
      <t>Ｅ</t>
    </r>
    <r>
      <rPr>
        <vertAlign val="subscript"/>
        <sz val="10"/>
        <color indexed="8"/>
        <rFont val="ＭＳ 明朝"/>
        <family val="1"/>
        <charset val="128"/>
      </rPr>
      <t>c</t>
    </r>
    <phoneticPr fontId="1"/>
  </si>
  <si>
    <r>
      <t>10</t>
    </r>
    <r>
      <rPr>
        <vertAlign val="superscript"/>
        <sz val="10"/>
        <rFont val="ＭＳ 明朝"/>
        <family val="1"/>
        <charset val="128"/>
      </rPr>
      <t>6</t>
    </r>
    <phoneticPr fontId="3"/>
  </si>
  <si>
    <r>
      <t>kN/m</t>
    </r>
    <r>
      <rPr>
        <vertAlign val="superscript"/>
        <sz val="10"/>
        <rFont val="ＭＳ 明朝"/>
        <family val="1"/>
        <charset val="128"/>
      </rPr>
      <t>2</t>
    </r>
    <phoneticPr fontId="1"/>
  </si>
  <si>
    <r>
      <t>10</t>
    </r>
    <r>
      <rPr>
        <vertAlign val="superscript"/>
        <sz val="10"/>
        <rFont val="ＭＳ 明朝"/>
        <family val="1"/>
        <charset val="128"/>
      </rPr>
      <t xml:space="preserve">7 </t>
    </r>
    <phoneticPr fontId="3"/>
  </si>
  <si>
    <t>※1)</t>
    <phoneticPr fontId="11"/>
  </si>
  <si>
    <r>
      <t>ρ</t>
    </r>
    <r>
      <rPr>
        <vertAlign val="subscript"/>
        <sz val="10"/>
        <color indexed="8"/>
        <rFont val="ＭＳ 明朝"/>
        <family val="1"/>
        <charset val="128"/>
      </rPr>
      <t>c</t>
    </r>
    <phoneticPr fontId="11"/>
  </si>
  <si>
    <t>：</t>
    <phoneticPr fontId="11"/>
  </si>
  <si>
    <t>コンクリートの施工条件に関する施工修正係数</t>
    <rPh sb="7" eb="9">
      <t>セコウ</t>
    </rPh>
    <rPh sb="9" eb="11">
      <t>ジョウケン</t>
    </rPh>
    <rPh sb="12" eb="13">
      <t>カン</t>
    </rPh>
    <rPh sb="15" eb="17">
      <t>セコウ</t>
    </rPh>
    <rPh sb="17" eb="19">
      <t>シュウセイ</t>
    </rPh>
    <rPh sb="19" eb="21">
      <t>ケイスウ</t>
    </rPh>
    <phoneticPr fontId="11"/>
  </si>
  <si>
    <t>今設計では、水中施工・泥水比重管理条件なしとして設定する.</t>
    <rPh sb="0" eb="1">
      <t>コン</t>
    </rPh>
    <rPh sb="1" eb="3">
      <t>セッケイ</t>
    </rPh>
    <rPh sb="6" eb="8">
      <t>スイチュウ</t>
    </rPh>
    <rPh sb="8" eb="10">
      <t>セコウ</t>
    </rPh>
    <rPh sb="11" eb="13">
      <t>デイスイ</t>
    </rPh>
    <rPh sb="13" eb="15">
      <t>ヒジュウ</t>
    </rPh>
    <rPh sb="15" eb="17">
      <t>カンリ</t>
    </rPh>
    <rPh sb="17" eb="19">
      <t>ジョウケン</t>
    </rPh>
    <rPh sb="24" eb="26">
      <t>セッテイ</t>
    </rPh>
    <phoneticPr fontId="5"/>
  </si>
  <si>
    <t>性能照査</t>
    <rPh sb="0" eb="2">
      <t>セイノウ</t>
    </rPh>
    <rPh sb="2" eb="4">
      <t>ショウサ</t>
    </rPh>
    <phoneticPr fontId="1"/>
  </si>
  <si>
    <t>コンクリート強度</t>
    <rPh sb="6" eb="8">
      <t>キョウド</t>
    </rPh>
    <phoneticPr fontId="1"/>
  </si>
  <si>
    <t>設計圧縮強度</t>
    <rPh sb="0" eb="2">
      <t>セッケイ</t>
    </rPh>
    <rPh sb="2" eb="4">
      <t>アッシュク</t>
    </rPh>
    <rPh sb="4" eb="6">
      <t>キョウド</t>
    </rPh>
    <phoneticPr fontId="1"/>
  </si>
  <si>
    <t>設計引張強度</t>
    <rPh sb="0" eb="2">
      <t>セッケイ</t>
    </rPh>
    <rPh sb="2" eb="4">
      <t>ヒッパリ</t>
    </rPh>
    <rPh sb="4" eb="6">
      <t>キョウド</t>
    </rPh>
    <phoneticPr fontId="1"/>
  </si>
  <si>
    <t>設計付着強度</t>
    <rPh sb="0" eb="2">
      <t>セッケイ</t>
    </rPh>
    <rPh sb="2" eb="4">
      <t>フチャク</t>
    </rPh>
    <rPh sb="4" eb="6">
      <t>キョウド</t>
    </rPh>
    <phoneticPr fontId="1"/>
  </si>
  <si>
    <t>ヤング係数</t>
    <rPh sb="3" eb="5">
      <t>ケイスウ</t>
    </rPh>
    <phoneticPr fontId="1"/>
  </si>
  <si>
    <t>γc=1.0の場合</t>
    <rPh sb="7" eb="9">
      <t>バアイ</t>
    </rPh>
    <phoneticPr fontId="1"/>
  </si>
  <si>
    <t>f'cd</t>
    <phoneticPr fontId="1"/>
  </si>
  <si>
    <t>ftd</t>
    <phoneticPr fontId="1"/>
  </si>
  <si>
    <t>fbod</t>
    <phoneticPr fontId="1"/>
  </si>
  <si>
    <t>Eo(kN/mm2)</t>
    <phoneticPr fontId="1"/>
  </si>
  <si>
    <t>γc=1.3の場合</t>
    <rPh sb="7" eb="9">
      <t>バアイ</t>
    </rPh>
    <phoneticPr fontId="1"/>
  </si>
  <si>
    <t>fbod(N/mm2)</t>
    <phoneticPr fontId="1"/>
  </si>
  <si>
    <t>く体(4P左)</t>
    <rPh sb="1" eb="2">
      <t>タイ</t>
    </rPh>
    <rPh sb="5" eb="6">
      <t>ヒダリ</t>
    </rPh>
    <phoneticPr fontId="5"/>
  </si>
  <si>
    <t>く体(4P右)</t>
    <rPh sb="1" eb="2">
      <t>タイ</t>
    </rPh>
    <rPh sb="5" eb="6">
      <t>ミギ</t>
    </rPh>
    <phoneticPr fontId="5"/>
  </si>
  <si>
    <t>く体</t>
    <rPh sb="1" eb="2">
      <t>タイ</t>
    </rPh>
    <phoneticPr fontId="5"/>
  </si>
  <si>
    <t>フーチング</t>
    <phoneticPr fontId="5"/>
  </si>
  <si>
    <t>(4)</t>
    <phoneticPr fontId="5"/>
  </si>
  <si>
    <t>馬桁</t>
    <rPh sb="0" eb="1">
      <t>ウマ</t>
    </rPh>
    <rPh sb="1" eb="2">
      <t>ケタ</t>
    </rPh>
    <phoneticPr fontId="5"/>
  </si>
  <si>
    <t>材料非線形特性</t>
    <rPh sb="0" eb="2">
      <t>ザイリョウ</t>
    </rPh>
    <rPh sb="2" eb="5">
      <t>ヒセンケイ</t>
    </rPh>
    <rPh sb="5" eb="7">
      <t>トクセイ</t>
    </rPh>
    <phoneticPr fontId="3"/>
  </si>
  <si>
    <t>断面番号</t>
    <rPh sb="0" eb="2">
      <t>ダンメン</t>
    </rPh>
    <rPh sb="2" eb="4">
      <t>バンゴウ</t>
    </rPh>
    <phoneticPr fontId="1"/>
  </si>
  <si>
    <t>く体(4P左)</t>
    <rPh sb="0" eb="1">
      <t>タイ</t>
    </rPh>
    <rPh sb="4" eb="5">
      <t>ヒダリ</t>
    </rPh>
    <phoneticPr fontId="1"/>
  </si>
  <si>
    <t>b</t>
    <phoneticPr fontId="1"/>
  </si>
  <si>
    <t>h</t>
    <phoneticPr fontId="1"/>
  </si>
  <si>
    <t>軸方向鉄筋</t>
    <rPh sb="0" eb="3">
      <t>ジクホウコウ</t>
    </rPh>
    <rPh sb="3" eb="5">
      <t>テッキン</t>
    </rPh>
    <phoneticPr fontId="1"/>
  </si>
  <si>
    <t>せん断補強鉄筋</t>
    <rPh sb="2" eb="3">
      <t>ダン</t>
    </rPh>
    <rPh sb="3" eb="5">
      <t>ホキョウ</t>
    </rPh>
    <rPh sb="5" eb="7">
      <t>テッキン</t>
    </rPh>
    <phoneticPr fontId="1"/>
  </si>
  <si>
    <t>部材上面</t>
    <rPh sb="0" eb="2">
      <t>ブザイ</t>
    </rPh>
    <rPh sb="2" eb="4">
      <t>ジョウメン</t>
    </rPh>
    <phoneticPr fontId="1"/>
  </si>
  <si>
    <t>鉄筋径</t>
    <rPh sb="0" eb="2">
      <t>テッキン</t>
    </rPh>
    <rPh sb="2" eb="3">
      <t>ケイ</t>
    </rPh>
    <phoneticPr fontId="1"/>
  </si>
  <si>
    <t>本数</t>
    <rPh sb="0" eb="2">
      <t>ホンスウ</t>
    </rPh>
    <phoneticPr fontId="1"/>
  </si>
  <si>
    <t>間隔</t>
    <rPh sb="0" eb="2">
      <t>カンカク</t>
    </rPh>
    <phoneticPr fontId="1"/>
  </si>
  <si>
    <t>からの</t>
    <phoneticPr fontId="1"/>
  </si>
  <si>
    <t>鉄筋位置</t>
    <rPh sb="0" eb="2">
      <t>テッキン</t>
    </rPh>
    <rPh sb="2" eb="4">
      <t>イチ</t>
    </rPh>
    <phoneticPr fontId="1"/>
  </si>
  <si>
    <t>(mm)</t>
    <phoneticPr fontId="1"/>
  </si>
  <si>
    <t>(本)</t>
    <rPh sb="1" eb="2">
      <t>ホン</t>
    </rPh>
    <phoneticPr fontId="1"/>
  </si>
  <si>
    <t>く体(4P右)</t>
    <rPh sb="0" eb="1">
      <t>タイ</t>
    </rPh>
    <rPh sb="4" eb="5">
      <t>ヒダリ</t>
    </rPh>
    <rPh sb="5" eb="6">
      <t>ミギ</t>
    </rPh>
    <phoneticPr fontId="1"/>
  </si>
  <si>
    <t>D</t>
    <phoneticPr fontId="1"/>
  </si>
  <si>
    <t>かぶり</t>
    <phoneticPr fontId="1"/>
  </si>
  <si>
    <t>杭①(4P左)</t>
    <rPh sb="0" eb="1">
      <t>クイ</t>
    </rPh>
    <rPh sb="5" eb="6">
      <t>ヒダリ</t>
    </rPh>
    <phoneticPr fontId="1"/>
  </si>
  <si>
    <t>杭②(4P左)</t>
    <rPh sb="0" eb="1">
      <t>クイ</t>
    </rPh>
    <rPh sb="5" eb="6">
      <t>ヒダリ</t>
    </rPh>
    <phoneticPr fontId="1"/>
  </si>
  <si>
    <t>備考</t>
    <rPh sb="0" eb="2">
      <t>ビコウ</t>
    </rPh>
    <phoneticPr fontId="1"/>
  </si>
  <si>
    <t>杭頭～杭頭+2625</t>
    <rPh sb="0" eb="2">
      <t>クイトウ</t>
    </rPh>
    <rPh sb="3" eb="5">
      <t>クイトウ</t>
    </rPh>
    <phoneticPr fontId="1"/>
  </si>
  <si>
    <t>杭頭+2625～10000</t>
    <rPh sb="0" eb="2">
      <t>クイトウ</t>
    </rPh>
    <phoneticPr fontId="1"/>
  </si>
  <si>
    <t>杭頭+10000～17500</t>
    <rPh sb="0" eb="2">
      <t>クイトウ</t>
    </rPh>
    <phoneticPr fontId="1"/>
  </si>
  <si>
    <t>杭③(4P左)</t>
    <rPh sb="0" eb="1">
      <t>クイ</t>
    </rPh>
    <rPh sb="5" eb="6">
      <t>ヒダリ</t>
    </rPh>
    <phoneticPr fontId="1"/>
  </si>
  <si>
    <t>杭④(4P左)</t>
    <rPh sb="0" eb="1">
      <t>クイ</t>
    </rPh>
    <rPh sb="5" eb="6">
      <t>ヒダリ</t>
    </rPh>
    <phoneticPr fontId="1"/>
  </si>
  <si>
    <t>杭⑤(4P右)</t>
    <rPh sb="0" eb="1">
      <t>クイ</t>
    </rPh>
    <rPh sb="5" eb="6">
      <t>ミギ</t>
    </rPh>
    <phoneticPr fontId="1"/>
  </si>
  <si>
    <t>杭⑥(4P右)</t>
    <rPh sb="0" eb="1">
      <t>クイ</t>
    </rPh>
    <rPh sb="5" eb="6">
      <t>ミギ</t>
    </rPh>
    <phoneticPr fontId="1"/>
  </si>
  <si>
    <t>杭⑦(4P右)</t>
    <rPh sb="0" eb="1">
      <t>クイ</t>
    </rPh>
    <rPh sb="5" eb="6">
      <t>ミギ</t>
    </rPh>
    <phoneticPr fontId="1"/>
  </si>
  <si>
    <t>杭⑧(4P右)</t>
    <rPh sb="0" eb="1">
      <t>クイ</t>
    </rPh>
    <rPh sb="5" eb="6">
      <t>ミギ</t>
    </rPh>
    <phoneticPr fontId="1"/>
  </si>
  <si>
    <t>杭頭+10000～17000</t>
    <rPh sb="0" eb="2">
      <t>クイトウ</t>
    </rPh>
    <phoneticPr fontId="1"/>
  </si>
  <si>
    <t>杭頭+17000～30000</t>
    <rPh sb="0" eb="2">
      <t>クイトウ</t>
    </rPh>
    <phoneticPr fontId="1"/>
  </si>
  <si>
    <t>杭頭+17500～31000</t>
    <rPh sb="0" eb="2">
      <t>クイトウ</t>
    </rPh>
    <phoneticPr fontId="1"/>
  </si>
  <si>
    <t>死荷重(D1・D2)</t>
    <phoneticPr fontId="5"/>
  </si>
  <si>
    <t>1)</t>
    <phoneticPr fontId="5"/>
  </si>
  <si>
    <t>2)</t>
    <phoneticPr fontId="5"/>
  </si>
  <si>
    <t>3)</t>
    <phoneticPr fontId="1"/>
  </si>
  <si>
    <t>4)</t>
    <phoneticPr fontId="1"/>
  </si>
  <si>
    <t>5)</t>
    <phoneticPr fontId="1"/>
  </si>
  <si>
    <t>6)</t>
    <phoneticPr fontId="1"/>
  </si>
  <si>
    <t>7)</t>
    <phoneticPr fontId="1"/>
  </si>
  <si>
    <t>8)</t>
    <phoneticPr fontId="1"/>
  </si>
  <si>
    <t>3)</t>
    <phoneticPr fontId="5"/>
  </si>
  <si>
    <t>1)</t>
    <phoneticPr fontId="1"/>
  </si>
  <si>
    <t>2)</t>
    <phoneticPr fontId="1"/>
  </si>
  <si>
    <t>9)</t>
    <phoneticPr fontId="1"/>
  </si>
  <si>
    <t>10)</t>
    <phoneticPr fontId="1"/>
  </si>
  <si>
    <t>wd1</t>
    <phoneticPr fontId="1"/>
  </si>
  <si>
    <r>
      <t>kN/m</t>
    </r>
    <r>
      <rPr>
        <vertAlign val="superscript"/>
        <sz val="10"/>
        <rFont val="ＭＳ 明朝"/>
        <family val="1"/>
        <charset val="128"/>
      </rPr>
      <t>3</t>
    </r>
    <phoneticPr fontId="1"/>
  </si>
  <si>
    <t>kN/m</t>
    <phoneticPr fontId="1"/>
  </si>
  <si>
    <t>wd3</t>
    <phoneticPr fontId="1"/>
  </si>
  <si>
    <t>wd4</t>
    <phoneticPr fontId="1"/>
  </si>
  <si>
    <t>フーチング(4P左)</t>
    <rPh sb="8" eb="9">
      <t>ヒダリ</t>
    </rPh>
    <phoneticPr fontId="1"/>
  </si>
  <si>
    <t>wd5</t>
    <phoneticPr fontId="1"/>
  </si>
  <si>
    <t>wd6</t>
    <phoneticPr fontId="1"/>
  </si>
  <si>
    <t>フーチング(4P右)</t>
    <rPh sb="8" eb="9">
      <t>ミギ</t>
    </rPh>
    <phoneticPr fontId="1"/>
  </si>
  <si>
    <t>wd7</t>
    <phoneticPr fontId="1"/>
  </si>
  <si>
    <t>wd8</t>
    <phoneticPr fontId="1"/>
  </si>
  <si>
    <t>上載土(4P左)</t>
    <rPh sb="0" eb="3">
      <t>ジョウサイド</t>
    </rPh>
    <rPh sb="6" eb="7">
      <t>ヒダリ</t>
    </rPh>
    <phoneticPr fontId="1"/>
  </si>
  <si>
    <t>上載土(4P右)</t>
    <rPh sb="0" eb="3">
      <t>ジョウサイド</t>
    </rPh>
    <rPh sb="6" eb="7">
      <t>ミギ</t>
    </rPh>
    <phoneticPr fontId="1"/>
  </si>
  <si>
    <t>上部工反力</t>
    <rPh sb="0" eb="3">
      <t>ジョウブコウ</t>
    </rPh>
    <rPh sb="3" eb="5">
      <t>ハンリョク</t>
    </rPh>
    <phoneticPr fontId="1"/>
  </si>
  <si>
    <t>上部工反力の計算より</t>
    <rPh sb="0" eb="3">
      <t>ジョウブコウ</t>
    </rPh>
    <rPh sb="3" eb="5">
      <t>ハンリョク</t>
    </rPh>
    <rPh sb="6" eb="8">
      <t>ケイサン</t>
    </rPh>
    <phoneticPr fontId="5"/>
  </si>
  <si>
    <t>Rd</t>
    <phoneticPr fontId="1"/>
  </si>
  <si>
    <t>馬桁</t>
    <rPh sb="0" eb="1">
      <t>ウマ</t>
    </rPh>
    <rPh sb="1" eb="2">
      <t>ケタ</t>
    </rPh>
    <phoneticPr fontId="1"/>
  </si>
  <si>
    <t>wd</t>
    <phoneticPr fontId="1"/>
  </si>
  <si>
    <t>/</t>
    <phoneticPr fontId="1"/>
  </si>
  <si>
    <t>(2)</t>
    <phoneticPr fontId="1"/>
  </si>
  <si>
    <t>死荷重地震(EQ)</t>
    <rPh sb="0" eb="1">
      <t>シ</t>
    </rPh>
    <rPh sb="1" eb="3">
      <t>カジュウ</t>
    </rPh>
    <rPh sb="3" eb="5">
      <t>ジシン</t>
    </rPh>
    <phoneticPr fontId="1"/>
  </si>
  <si>
    <t>【 耐震標準 5.3 】【 耐震照査の手引き 5.1.1 】</t>
    <rPh sb="2" eb="4">
      <t>タイシン</t>
    </rPh>
    <rPh sb="4" eb="6">
      <t>ヒョウジュン</t>
    </rPh>
    <phoneticPr fontId="5"/>
  </si>
  <si>
    <t>　地震の影響として、</t>
    <rPh sb="1" eb="3">
      <t>ジシン</t>
    </rPh>
    <rPh sb="4" eb="6">
      <t>エイキョウ</t>
    </rPh>
    <phoneticPr fontId="5"/>
  </si>
  <si>
    <t>Kh</t>
    <phoneticPr fontId="1"/>
  </si>
  <si>
    <t>における慣性力を考慮する。</t>
    <rPh sb="4" eb="6">
      <t>カンセイ</t>
    </rPh>
    <rPh sb="6" eb="7">
      <t>リョク</t>
    </rPh>
    <rPh sb="8" eb="10">
      <t>コウリョ</t>
    </rPh>
    <phoneticPr fontId="5"/>
  </si>
  <si>
    <t>wd5'</t>
    <phoneticPr fontId="1"/>
  </si>
  <si>
    <t>(</t>
    <phoneticPr fontId="1"/>
  </si>
  <si>
    <t>)</t>
    <phoneticPr fontId="1"/>
  </si>
  <si>
    <t>－</t>
    <phoneticPr fontId="1"/>
  </si>
  <si>
    <t>wd6'</t>
    <phoneticPr fontId="1"/>
  </si>
  <si>
    <t>＋</t>
    <phoneticPr fontId="1"/>
  </si>
  <si>
    <t>[</t>
    <phoneticPr fontId="1"/>
  </si>
  <si>
    <t>]</t>
    <phoneticPr fontId="1"/>
  </si>
  <si>
    <t>柱(4P左)</t>
    <rPh sb="0" eb="1">
      <t>ハシラ</t>
    </rPh>
    <rPh sb="4" eb="5">
      <t>ヒダリ</t>
    </rPh>
    <phoneticPr fontId="5"/>
  </si>
  <si>
    <t>柱(4P右)</t>
    <rPh sb="0" eb="1">
      <t>ハシラ</t>
    </rPh>
    <rPh sb="4" eb="5">
      <t>ミギ</t>
    </rPh>
    <phoneticPr fontId="5"/>
  </si>
  <si>
    <t>梁(4P左)</t>
    <rPh sb="0" eb="1">
      <t>ハリ</t>
    </rPh>
    <rPh sb="4" eb="5">
      <t>ヒダリ</t>
    </rPh>
    <phoneticPr fontId="5"/>
  </si>
  <si>
    <t>梁(4P右)</t>
    <rPh sb="0" eb="1">
      <t>ハリ</t>
    </rPh>
    <rPh sb="4" eb="5">
      <t>ミギ</t>
    </rPh>
    <phoneticPr fontId="5"/>
  </si>
  <si>
    <t>wd2</t>
    <phoneticPr fontId="1"/>
  </si>
  <si>
    <t>hwd1</t>
    <phoneticPr fontId="1"/>
  </si>
  <si>
    <t>kN</t>
    <phoneticPr fontId="1"/>
  </si>
  <si>
    <t>上部工(PC桁)</t>
    <rPh sb="0" eb="3">
      <t>ジョウブコウ</t>
    </rPh>
    <rPh sb="6" eb="7">
      <t>ケタ</t>
    </rPh>
    <phoneticPr fontId="1"/>
  </si>
  <si>
    <t>hwd2</t>
  </si>
  <si>
    <t>hwd3</t>
  </si>
  <si>
    <t>hwd4</t>
  </si>
  <si>
    <t>hwd5</t>
  </si>
  <si>
    <t>hwd6</t>
  </si>
  <si>
    <t>自重</t>
    <rPh sb="0" eb="2">
      <t>ジジュウ</t>
    </rPh>
    <phoneticPr fontId="1"/>
  </si>
  <si>
    <t>上載土</t>
    <rPh sb="0" eb="3">
      <t>ジョウサイド</t>
    </rPh>
    <phoneticPr fontId="1"/>
  </si>
  <si>
    <t>Hd</t>
    <phoneticPr fontId="1"/>
  </si>
  <si>
    <t>hwd</t>
    <phoneticPr fontId="1"/>
  </si>
  <si>
    <t>基本荷重</t>
    <rPh sb="0" eb="2">
      <t>キホン</t>
    </rPh>
    <rPh sb="2" eb="4">
      <t>カジュウ</t>
    </rPh>
    <phoneticPr fontId="3"/>
  </si>
  <si>
    <t>Case No.</t>
    <phoneticPr fontId="11"/>
  </si>
  <si>
    <t>符　号</t>
    <rPh sb="0" eb="1">
      <t>フ</t>
    </rPh>
    <rPh sb="2" eb="3">
      <t>ゴウ</t>
    </rPh>
    <phoneticPr fontId="11"/>
  </si>
  <si>
    <t>荷　重　名　称</t>
    <rPh sb="0" eb="1">
      <t>ニ</t>
    </rPh>
    <rPh sb="2" eb="3">
      <t>シゲル</t>
    </rPh>
    <rPh sb="4" eb="5">
      <t>メイ</t>
    </rPh>
    <rPh sb="6" eb="7">
      <t>ショウ</t>
    </rPh>
    <phoneticPr fontId="11"/>
  </si>
  <si>
    <t>備　　　　考</t>
    <rPh sb="0" eb="1">
      <t>ソナエ</t>
    </rPh>
    <rPh sb="5" eb="6">
      <t>コウ</t>
    </rPh>
    <phoneticPr fontId="11"/>
  </si>
  <si>
    <t>D</t>
    <phoneticPr fontId="22"/>
  </si>
  <si>
    <t xml:space="preserve"> 死荷重</t>
    <rPh sb="1" eb="2">
      <t>シ</t>
    </rPh>
    <rPh sb="2" eb="4">
      <t>カジュウ</t>
    </rPh>
    <phoneticPr fontId="11"/>
  </si>
  <si>
    <t>EQ</t>
    <phoneticPr fontId="11"/>
  </si>
  <si>
    <t xml:space="preserve"> 死荷重地震</t>
    <rPh sb="1" eb="2">
      <t>シ</t>
    </rPh>
    <rPh sb="2" eb="4">
      <t>カジュウ</t>
    </rPh>
    <rPh sb="4" eb="6">
      <t>ジシン</t>
    </rPh>
    <phoneticPr fontId="11"/>
  </si>
  <si>
    <t>［左 → 右］</t>
    <rPh sb="1" eb="2">
      <t>ヒダリ</t>
    </rPh>
    <rPh sb="5" eb="6">
      <t>ミギ</t>
    </rPh>
    <phoneticPr fontId="3"/>
  </si>
  <si>
    <r>
      <t>K</t>
    </r>
    <r>
      <rPr>
        <sz val="11"/>
        <rFont val="ＭＳ Ｐゴシック"/>
        <family val="3"/>
        <charset val="128"/>
      </rPr>
      <t>h</t>
    </r>
    <phoneticPr fontId="1"/>
  </si>
  <si>
    <t>組合せケース</t>
    <rPh sb="0" eb="2">
      <t>クミアワ</t>
    </rPh>
    <phoneticPr fontId="3"/>
  </si>
  <si>
    <t>Case</t>
    <phoneticPr fontId="3"/>
  </si>
  <si>
    <t>検　討　項　目</t>
    <rPh sb="0" eb="1">
      <t>ケン</t>
    </rPh>
    <rPh sb="2" eb="3">
      <t>ウ</t>
    </rPh>
    <rPh sb="4" eb="5">
      <t>コウ</t>
    </rPh>
    <rPh sb="6" eb="7">
      <t>メ</t>
    </rPh>
    <phoneticPr fontId="11"/>
  </si>
  <si>
    <t>荷重作用方向</t>
    <rPh sb="0" eb="1">
      <t>ニ</t>
    </rPh>
    <rPh sb="1" eb="2">
      <t>シゲル</t>
    </rPh>
    <rPh sb="2" eb="4">
      <t>サヨウ</t>
    </rPh>
    <rPh sb="4" eb="6">
      <t>ホウコウ</t>
    </rPh>
    <phoneticPr fontId="3"/>
  </si>
  <si>
    <t>慣性力設計αf＝1.0，ρm＝1.0</t>
    <rPh sb="0" eb="2">
      <t>カンセイ</t>
    </rPh>
    <rPh sb="2" eb="3">
      <t>リョク</t>
    </rPh>
    <rPh sb="3" eb="5">
      <t>セッケイ</t>
    </rPh>
    <phoneticPr fontId="11"/>
  </si>
  <si>
    <t>(5)</t>
    <phoneticPr fontId="1"/>
  </si>
  <si>
    <t>要素の構成</t>
    <rPh sb="0" eb="2">
      <t>ヨウソ</t>
    </rPh>
    <rPh sb="3" eb="5">
      <t>コウセイ</t>
    </rPh>
    <phoneticPr fontId="1"/>
  </si>
  <si>
    <t>Md</t>
    <phoneticPr fontId="1"/>
  </si>
  <si>
    <t>kN･m</t>
    <phoneticPr fontId="1"/>
  </si>
  <si>
    <t>層番号</t>
    <rPh sb="0" eb="1">
      <t>ソウ</t>
    </rPh>
    <rPh sb="1" eb="3">
      <t>バンゴウ</t>
    </rPh>
    <phoneticPr fontId="1"/>
  </si>
  <si>
    <t>杭本数</t>
    <rPh sb="0" eb="1">
      <t>クイ</t>
    </rPh>
    <rPh sb="1" eb="3">
      <t>ホンスウ</t>
    </rPh>
    <phoneticPr fontId="1"/>
  </si>
  <si>
    <t>部材番号</t>
    <rPh sb="0" eb="2">
      <t>ブザイ</t>
    </rPh>
    <rPh sb="2" eb="4">
      <t>バンゴウ</t>
    </rPh>
    <phoneticPr fontId="1"/>
  </si>
  <si>
    <t>杭径</t>
    <rPh sb="0" eb="1">
      <t>クイ</t>
    </rPh>
    <rPh sb="1" eb="2">
      <t>ケイ</t>
    </rPh>
    <phoneticPr fontId="1"/>
  </si>
  <si>
    <t>⑤</t>
    <phoneticPr fontId="1"/>
  </si>
  <si>
    <t>⑥</t>
    <phoneticPr fontId="1"/>
  </si>
  <si>
    <t>⑦</t>
    <phoneticPr fontId="1"/>
  </si>
  <si>
    <t>本</t>
    <rPh sb="0" eb="1">
      <t>ホン</t>
    </rPh>
    <phoneticPr fontId="1"/>
  </si>
  <si>
    <t>杭全長</t>
    <rPh sb="0" eb="1">
      <t>クイ</t>
    </rPh>
    <rPh sb="1" eb="3">
      <t>ゼンチョウ</t>
    </rPh>
    <phoneticPr fontId="1"/>
  </si>
  <si>
    <t>杭1本当り</t>
    <rPh sb="0" eb="1">
      <t>クイ</t>
    </rPh>
    <rPh sb="2" eb="3">
      <t>ホン</t>
    </rPh>
    <rPh sb="3" eb="4">
      <t>アタ</t>
    </rPh>
    <phoneticPr fontId="1"/>
  </si>
  <si>
    <t>(1)</t>
    <phoneticPr fontId="1"/>
  </si>
  <si>
    <t>4P左</t>
    <rPh sb="2" eb="3">
      <t>ヒダリ</t>
    </rPh>
    <phoneticPr fontId="1"/>
  </si>
  <si>
    <t>(2)</t>
  </si>
  <si>
    <t>4P右</t>
    <rPh sb="2" eb="3">
      <t>ミギ</t>
    </rPh>
    <phoneticPr fontId="1"/>
  </si>
  <si>
    <t>(3)</t>
    <phoneticPr fontId="1"/>
  </si>
  <si>
    <t>ばね定数</t>
    <rPh sb="2" eb="4">
      <t>ジョウスウ</t>
    </rPh>
    <phoneticPr fontId="1"/>
  </si>
  <si>
    <t>a)</t>
    <phoneticPr fontId="1"/>
  </si>
  <si>
    <t>4P左(1,3列目)</t>
    <rPh sb="2" eb="3">
      <t>ヒダリ</t>
    </rPh>
    <rPh sb="7" eb="9">
      <t>レツメ</t>
    </rPh>
    <phoneticPr fontId="1"/>
  </si>
  <si>
    <t>b)</t>
    <phoneticPr fontId="1"/>
  </si>
  <si>
    <t>4P左(2列目)</t>
    <rPh sb="2" eb="3">
      <t>ヒダリ</t>
    </rPh>
    <rPh sb="5" eb="7">
      <t>レツメ</t>
    </rPh>
    <phoneticPr fontId="1"/>
  </si>
  <si>
    <t>※</t>
    <phoneticPr fontId="1"/>
  </si>
  <si>
    <t>＝</t>
  </si>
  <si>
    <t>＝</t>
    <phoneticPr fontId="1"/>
  </si>
  <si>
    <t>c)</t>
    <phoneticPr fontId="1"/>
  </si>
  <si>
    <t>d)</t>
    <phoneticPr fontId="1"/>
  </si>
  <si>
    <t>4P右(2列目)</t>
    <rPh sb="2" eb="3">
      <t>ミギ</t>
    </rPh>
    <rPh sb="5" eb="7">
      <t>レツメ</t>
    </rPh>
    <phoneticPr fontId="1"/>
  </si>
  <si>
    <t>4P右(1,3列目)</t>
    <rPh sb="2" eb="3">
      <t>ミギ</t>
    </rPh>
    <rPh sb="7" eb="9">
      <t>レツメ</t>
    </rPh>
    <phoneticPr fontId="1"/>
  </si>
  <si>
    <t>節点番号</t>
    <rPh sb="0" eb="2">
      <t>セツテン</t>
    </rPh>
    <rPh sb="2" eb="4">
      <t>バンゴウ</t>
    </rPh>
    <phoneticPr fontId="1"/>
  </si>
  <si>
    <t>1/β</t>
    <phoneticPr fontId="1"/>
  </si>
  <si>
    <t>Σ</t>
    <phoneticPr fontId="1"/>
  </si>
  <si>
    <t>層厚　　　(m)</t>
    <rPh sb="0" eb="2">
      <t>ソウアツ</t>
    </rPh>
    <phoneticPr fontId="1"/>
  </si>
  <si>
    <t>鉛直せん断地盤ばねを考慮する層厚(m)</t>
    <rPh sb="0" eb="2">
      <t>エンチョク</t>
    </rPh>
    <rPh sb="4" eb="5">
      <t>ダン</t>
    </rPh>
    <rPh sb="5" eb="7">
      <t>ジバン</t>
    </rPh>
    <rPh sb="10" eb="12">
      <t>コウリョ</t>
    </rPh>
    <rPh sb="14" eb="16">
      <t>ソウアツ</t>
    </rPh>
    <phoneticPr fontId="1"/>
  </si>
  <si>
    <t>分布幅　　　　(m)</t>
    <rPh sb="0" eb="2">
      <t>ブンプ</t>
    </rPh>
    <rPh sb="2" eb="3">
      <t>ハバ</t>
    </rPh>
    <phoneticPr fontId="1"/>
  </si>
  <si>
    <t>1/βを考慮　　した分布幅　　　(m)</t>
    <rPh sb="4" eb="6">
      <t>コウリョ</t>
    </rPh>
    <rPh sb="10" eb="12">
      <t>ブンプ</t>
    </rPh>
    <rPh sb="12" eb="13">
      <t>ハバ</t>
    </rPh>
    <phoneticPr fontId="1"/>
  </si>
  <si>
    <r>
      <t>鉛直地盤　反力係数　　kfv　　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rPh sb="0" eb="1">
      <t>エンチョク</t>
    </rPh>
    <rPh sb="2" eb="4">
      <t>ハンリョク</t>
    </rPh>
    <rPh sb="5" eb="7">
      <t>ケイスウ</t>
    </rPh>
    <phoneticPr fontId="1"/>
  </si>
  <si>
    <r>
      <t>分布幅の鉛直地盤反力係数　　　kfv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2">
      <t>ブンプ</t>
    </rPh>
    <rPh sb="2" eb="3">
      <t>ハバ</t>
    </rPh>
    <rPh sb="4" eb="6">
      <t>エンチョク</t>
    </rPh>
    <phoneticPr fontId="1"/>
  </si>
  <si>
    <t>各節点の鉛直ばね定数　　　　　　　　Kfv　　　　　　　　(kN/m)</t>
    <rPh sb="0" eb="2">
      <t>カクセツ</t>
    </rPh>
    <rPh sb="2" eb="3">
      <t>テン</t>
    </rPh>
    <rPh sb="4" eb="6">
      <t>エンチョク</t>
    </rPh>
    <rPh sb="8" eb="10">
      <t>ジョウスウ</t>
    </rPh>
    <phoneticPr fontId="1"/>
  </si>
  <si>
    <r>
      <t>水平地盤反力係数　　khg　　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rPh sb="0" eb="1">
      <t>スイヘイ</t>
    </rPh>
    <rPh sb="1" eb="3">
      <t>ジバン</t>
    </rPh>
    <rPh sb="3" eb="5">
      <t>ハンリョク</t>
    </rPh>
    <rPh sb="5" eb="7">
      <t>ケイスウ</t>
    </rPh>
    <phoneticPr fontId="1"/>
  </si>
  <si>
    <t>部材長　　　　　(m)</t>
    <rPh sb="0" eb="2">
      <t>ブザイ</t>
    </rPh>
    <rPh sb="2" eb="3">
      <t>チョウ</t>
    </rPh>
    <phoneticPr fontId="1"/>
  </si>
  <si>
    <r>
      <t>各部材の水平地盤反力係数　　　khg　　　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rPh sb="0" eb="3">
      <t>カクブザイ</t>
    </rPh>
    <phoneticPr fontId="1"/>
  </si>
  <si>
    <r>
      <t>各部材の水平ばね定数　　　　　　　　KH　　　　　　　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1">
      <t>カク</t>
    </rPh>
    <rPh sb="1" eb="3">
      <t>ブザイ</t>
    </rPh>
    <rPh sb="4" eb="6">
      <t>スイヘイ</t>
    </rPh>
    <rPh sb="8" eb="10">
      <t>ジョウスウ</t>
    </rPh>
    <phoneticPr fontId="1"/>
  </si>
  <si>
    <t>水平地盤ばね定数（部材ばね）</t>
    <rPh sb="0" eb="2">
      <t>スイヘイ</t>
    </rPh>
    <rPh sb="2" eb="4">
      <t>ジバン</t>
    </rPh>
    <rPh sb="6" eb="8">
      <t>ジョウスウ</t>
    </rPh>
    <rPh sb="9" eb="11">
      <t>ブザイ</t>
    </rPh>
    <phoneticPr fontId="1"/>
  </si>
  <si>
    <t>鉛直せん断地盤ばね定数（節点ばね）</t>
    <rPh sb="0" eb="2">
      <t>エンチョク</t>
    </rPh>
    <rPh sb="4" eb="5">
      <t>ダン</t>
    </rPh>
    <rPh sb="5" eb="7">
      <t>ジバン</t>
    </rPh>
    <rPh sb="9" eb="11">
      <t>テイスウ</t>
    </rPh>
    <rPh sb="12" eb="14">
      <t>セツテン</t>
    </rPh>
    <phoneticPr fontId="1"/>
  </si>
  <si>
    <t>杭先端のばね定数（節点ばね）</t>
    <rPh sb="0" eb="1">
      <t>クイ</t>
    </rPh>
    <rPh sb="1" eb="3">
      <t>センタン</t>
    </rPh>
    <rPh sb="6" eb="8">
      <t>ジョウスウ</t>
    </rPh>
    <rPh sb="9" eb="11">
      <t>セツテン</t>
    </rPh>
    <phoneticPr fontId="1"/>
  </si>
  <si>
    <t>杭先端の鉛直地盤ばね定数</t>
    <rPh sb="0" eb="1">
      <t>クイ</t>
    </rPh>
    <rPh sb="1" eb="3">
      <t>センタン</t>
    </rPh>
    <rPh sb="4" eb="6">
      <t>エンチョク</t>
    </rPh>
    <rPh sb="6" eb="8">
      <t>ジバン</t>
    </rPh>
    <rPh sb="10" eb="12">
      <t>ジョウスウ</t>
    </rPh>
    <phoneticPr fontId="1"/>
  </si>
  <si>
    <t>短期（第１勾配）</t>
    <rPh sb="0" eb="2">
      <t>タンキ</t>
    </rPh>
    <rPh sb="3" eb="4">
      <t>ダイ</t>
    </rPh>
    <rPh sb="5" eb="7">
      <t>コウバイ</t>
    </rPh>
    <phoneticPr fontId="1"/>
  </si>
  <si>
    <t>短期（第２勾配）</t>
    <rPh sb="0" eb="2">
      <t>タンキ</t>
    </rPh>
    <rPh sb="3" eb="4">
      <t>ダイ</t>
    </rPh>
    <rPh sb="5" eb="7">
      <t>コウバイ</t>
    </rPh>
    <phoneticPr fontId="1"/>
  </si>
  <si>
    <t>Ktv(kN/m)</t>
    <phoneticPr fontId="1"/>
  </si>
  <si>
    <t>4P(左)</t>
    <rPh sb="3" eb="4">
      <t>ヒダリ</t>
    </rPh>
    <phoneticPr fontId="1"/>
  </si>
  <si>
    <t>4P(右)</t>
    <rPh sb="3" eb="4">
      <t>ミギ</t>
    </rPh>
    <phoneticPr fontId="1"/>
  </si>
  <si>
    <t>部材</t>
    <rPh sb="0" eb="2">
      <t>ブザイ</t>
    </rPh>
    <phoneticPr fontId="1"/>
  </si>
  <si>
    <t>要素</t>
    <rPh sb="0" eb="2">
      <t>ヨウソ</t>
    </rPh>
    <phoneticPr fontId="11"/>
  </si>
  <si>
    <t>非線形
番号</t>
    <rPh sb="0" eb="3">
      <t>ヒセンケイ</t>
    </rPh>
    <rPh sb="4" eb="6">
      <t>バンゴウ</t>
    </rPh>
    <phoneticPr fontId="11"/>
  </si>
  <si>
    <t>断面
番号</t>
    <rPh sb="0" eb="2">
      <t>ダンメン</t>
    </rPh>
    <rPh sb="3" eb="5">
      <t>バンゴウ</t>
    </rPh>
    <phoneticPr fontId="11"/>
  </si>
  <si>
    <t>要素　　種別</t>
    <rPh sb="0" eb="2">
      <t>ヨウソ</t>
    </rPh>
    <rPh sb="4" eb="6">
      <t>シュベツ</t>
    </rPh>
    <phoneticPr fontId="11"/>
  </si>
  <si>
    <r>
      <t>Ａ
(m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1"/>
  </si>
  <si>
    <r>
      <t>Ｉ
(m</t>
    </r>
    <r>
      <rPr>
        <vertAlign val="superscript"/>
        <sz val="10"/>
        <rFont val="ＭＳ 明朝"/>
        <family val="1"/>
        <charset val="128"/>
      </rPr>
      <t>4</t>
    </r>
    <r>
      <rPr>
        <sz val="10"/>
        <rFont val="ＭＳ 明朝"/>
        <family val="1"/>
        <charset val="128"/>
      </rPr>
      <t>)</t>
    </r>
    <phoneticPr fontId="11"/>
  </si>
  <si>
    <t>適用</t>
    <rPh sb="0" eb="2">
      <t>テキヨウ</t>
    </rPh>
    <phoneticPr fontId="11"/>
  </si>
  <si>
    <t>要素
番号</t>
    <rPh sb="0" eb="2">
      <t>ヨウソ</t>
    </rPh>
    <rPh sb="3" eb="5">
      <t>バンゴウ</t>
    </rPh>
    <phoneticPr fontId="11"/>
  </si>
  <si>
    <t>節点番号</t>
    <rPh sb="0" eb="2">
      <t>セッテン</t>
    </rPh>
    <rPh sb="2" eb="4">
      <t>バンゴウ</t>
    </rPh>
    <phoneticPr fontId="11"/>
  </si>
  <si>
    <t>ｉ端</t>
    <rPh sb="1" eb="2">
      <t>タン</t>
    </rPh>
    <phoneticPr fontId="11"/>
  </si>
  <si>
    <t>ｊ端</t>
    <rPh sb="1" eb="2">
      <t>タン</t>
    </rPh>
    <phoneticPr fontId="11"/>
  </si>
  <si>
    <t>剛域</t>
    <rPh sb="0" eb="1">
      <t>ゴウ</t>
    </rPh>
    <rPh sb="1" eb="2">
      <t>イキ</t>
    </rPh>
    <phoneticPr fontId="1"/>
  </si>
  <si>
    <r>
      <t>10</t>
    </r>
    <r>
      <rPr>
        <vertAlign val="superscript"/>
        <sz val="10"/>
        <rFont val="ＭＳ 明朝"/>
        <family val="1"/>
        <charset val="128"/>
      </rPr>
      <t>7</t>
    </r>
    <phoneticPr fontId="1"/>
  </si>
  <si>
    <t>Ｍ～φ</t>
    <phoneticPr fontId="1"/>
  </si>
  <si>
    <t>----</t>
    <phoneticPr fontId="1"/>
  </si>
  <si>
    <t>抜出し考慮</t>
    <rPh sb="0" eb="2">
      <t>ヌケダ</t>
    </rPh>
    <rPh sb="3" eb="5">
      <t>コウリョ</t>
    </rPh>
    <phoneticPr fontId="1"/>
  </si>
  <si>
    <t>Ｍ～θ</t>
    <phoneticPr fontId="1"/>
  </si>
  <si>
    <r>
      <t>10</t>
    </r>
    <r>
      <rPr>
        <vertAlign val="superscript"/>
        <sz val="10"/>
        <rFont val="ＭＳ 明朝"/>
        <family val="1"/>
        <charset val="128"/>
      </rPr>
      <t>8</t>
    </r>
    <phoneticPr fontId="1"/>
  </si>
  <si>
    <t>く体(左)</t>
    <rPh sb="1" eb="2">
      <t>タイ</t>
    </rPh>
    <rPh sb="3" eb="4">
      <t>ヒダリ</t>
    </rPh>
    <phoneticPr fontId="1"/>
  </si>
  <si>
    <t>く体(右)</t>
    <rPh sb="1" eb="2">
      <t>タイ</t>
    </rPh>
    <rPh sb="3" eb="4">
      <t>ミギ</t>
    </rPh>
    <phoneticPr fontId="1"/>
  </si>
  <si>
    <t>※1</t>
    <phoneticPr fontId="1"/>
  </si>
  <si>
    <t>※2</t>
  </si>
  <si>
    <t>※2</t>
    <phoneticPr fontId="1"/>
  </si>
  <si>
    <r>
      <t>Ｅ
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1"/>
  </si>
  <si>
    <t>フーチング(左)</t>
    <rPh sb="6" eb="7">
      <t>ヒダリ</t>
    </rPh>
    <phoneticPr fontId="1"/>
  </si>
  <si>
    <t>※3</t>
  </si>
  <si>
    <t>※3</t>
    <phoneticPr fontId="1"/>
  </si>
  <si>
    <t>：</t>
  </si>
  <si>
    <t>：</t>
    <phoneticPr fontId="1"/>
  </si>
  <si>
    <t>杭(左1列目)</t>
    <rPh sb="0" eb="1">
      <t>クイ</t>
    </rPh>
    <rPh sb="2" eb="3">
      <t>ヒダリ</t>
    </rPh>
    <rPh sb="4" eb="6">
      <t>レツメ</t>
    </rPh>
    <phoneticPr fontId="1"/>
  </si>
  <si>
    <t>杭(左2列目)</t>
    <rPh sb="0" eb="1">
      <t>クイ</t>
    </rPh>
    <rPh sb="2" eb="3">
      <t>ヒダリ</t>
    </rPh>
    <rPh sb="4" eb="6">
      <t>レツメ</t>
    </rPh>
    <phoneticPr fontId="1"/>
  </si>
  <si>
    <t>杭(左3列目)</t>
    <rPh sb="0" eb="1">
      <t>クイ</t>
    </rPh>
    <rPh sb="2" eb="3">
      <t>ヒダリ</t>
    </rPh>
    <rPh sb="4" eb="6">
      <t>レツメ</t>
    </rPh>
    <phoneticPr fontId="1"/>
  </si>
  <si>
    <t>※4</t>
    <phoneticPr fontId="1"/>
  </si>
  <si>
    <t>杭(右1列目)</t>
    <rPh sb="0" eb="1">
      <t>クイ</t>
    </rPh>
    <rPh sb="2" eb="3">
      <t>ミギ</t>
    </rPh>
    <rPh sb="4" eb="6">
      <t>レツメ</t>
    </rPh>
    <phoneticPr fontId="1"/>
  </si>
  <si>
    <t>フーチング(右)</t>
    <rPh sb="6" eb="7">
      <t>ミギ</t>
    </rPh>
    <phoneticPr fontId="1"/>
  </si>
  <si>
    <t>杭(右2列目)</t>
    <rPh sb="0" eb="1">
      <t>クイ</t>
    </rPh>
    <rPh sb="2" eb="3">
      <t>ミギ</t>
    </rPh>
    <rPh sb="4" eb="6">
      <t>レツメ</t>
    </rPh>
    <phoneticPr fontId="1"/>
  </si>
  <si>
    <t>杭(右3列目)</t>
    <rPh sb="0" eb="1">
      <t>クイ</t>
    </rPh>
    <rPh sb="2" eb="3">
      <t>ミギ</t>
    </rPh>
    <rPh sb="4" eb="6">
      <t>レツメ</t>
    </rPh>
    <phoneticPr fontId="1"/>
  </si>
  <si>
    <t>(4)</t>
    <phoneticPr fontId="1"/>
  </si>
  <si>
    <r>
      <t>単杭の　　有効抵抗　　土圧力度　　pe(z)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1">
      <t>クイ</t>
    </rPh>
    <rPh sb="5" eb="7">
      <t>ユウコウ</t>
    </rPh>
    <rPh sb="6" eb="8">
      <t>テイコウ</t>
    </rPh>
    <rPh sb="11" eb="12">
      <t>ツチ</t>
    </rPh>
    <rPh sb="12" eb="14">
      <t>リョクド</t>
    </rPh>
    <phoneticPr fontId="1"/>
  </si>
  <si>
    <t>ηm</t>
    <phoneticPr fontId="1"/>
  </si>
  <si>
    <t>群杭の抵抗分担係数</t>
    <rPh sb="0" eb="2">
      <t>グンクイ</t>
    </rPh>
    <rPh sb="3" eb="5">
      <t>テイコウ</t>
    </rPh>
    <rPh sb="5" eb="7">
      <t>ブンタン</t>
    </rPh>
    <rPh sb="7" eb="9">
      <t>ケイスウ</t>
    </rPh>
    <phoneticPr fontId="1"/>
  </si>
  <si>
    <t>砂質土</t>
  </si>
  <si>
    <t>砂質土</t>
    <rPh sb="0" eb="3">
      <t>サシツド</t>
    </rPh>
    <phoneticPr fontId="1"/>
  </si>
  <si>
    <t>検討方向</t>
    <rPh sb="0" eb="2">
      <t>ケントウ</t>
    </rPh>
    <rPh sb="2" eb="4">
      <t>ホウコウ</t>
    </rPh>
    <phoneticPr fontId="1"/>
  </si>
  <si>
    <t>直角方向</t>
    <rPh sb="0" eb="2">
      <t>チョッカク</t>
    </rPh>
    <rPh sb="2" eb="4">
      <t>ホウコウ</t>
    </rPh>
    <phoneticPr fontId="1"/>
  </si>
  <si>
    <t>ｄm</t>
    <phoneticPr fontId="1"/>
  </si>
  <si>
    <t>1列目</t>
    <rPh sb="1" eb="3">
      <t>レツメ</t>
    </rPh>
    <phoneticPr fontId="1"/>
  </si>
  <si>
    <t>2列目</t>
    <rPh sb="1" eb="3">
      <t>レツメ</t>
    </rPh>
    <phoneticPr fontId="1"/>
  </si>
  <si>
    <t>3列目</t>
    <rPh sb="1" eb="3">
      <t>レツメ</t>
    </rPh>
    <phoneticPr fontId="1"/>
  </si>
  <si>
    <t>粘性土</t>
  </si>
  <si>
    <t>粘性土</t>
    <rPh sb="0" eb="2">
      <t>ネンセイ</t>
    </rPh>
    <rPh sb="2" eb="3">
      <t>ド</t>
    </rPh>
    <phoneticPr fontId="1"/>
  </si>
  <si>
    <t>ηm＝</t>
    <phoneticPr fontId="1"/>
  </si>
  <si>
    <t>層種別</t>
    <rPh sb="0" eb="1">
      <t>ソウ</t>
    </rPh>
    <rPh sb="1" eb="3">
      <t>シュベツ</t>
    </rPh>
    <phoneticPr fontId="1"/>
  </si>
  <si>
    <t>層境の有効抵抗土圧力度については、平均値を矩形分布で考慮する。</t>
    <rPh sb="0" eb="1">
      <t>ソウ</t>
    </rPh>
    <rPh sb="1" eb="2">
      <t>サカイ</t>
    </rPh>
    <rPh sb="3" eb="5">
      <t>ユウコウ</t>
    </rPh>
    <rPh sb="5" eb="7">
      <t>テイコウ</t>
    </rPh>
    <rPh sb="7" eb="9">
      <t>ドアツ</t>
    </rPh>
    <rPh sb="9" eb="11">
      <t>リョクド</t>
    </rPh>
    <rPh sb="17" eb="20">
      <t>ヘイキンチ</t>
    </rPh>
    <rPh sb="21" eb="23">
      <t>クケイ</t>
    </rPh>
    <rPh sb="23" eb="25">
      <t>ブンプ</t>
    </rPh>
    <rPh sb="26" eb="28">
      <t>コウリョ</t>
    </rPh>
    <phoneticPr fontId="1"/>
  </si>
  <si>
    <t>層境の　　　分布幅　　　(m)</t>
    <rPh sb="0" eb="1">
      <t>ソウ</t>
    </rPh>
    <rPh sb="1" eb="2">
      <t>サカイ</t>
    </rPh>
    <rPh sb="6" eb="8">
      <t>ブンプ</t>
    </rPh>
    <rPh sb="8" eb="9">
      <t>ハバ</t>
    </rPh>
    <phoneticPr fontId="1"/>
  </si>
  <si>
    <r>
      <t>有効抵抗土圧力度の平均値　　　pe(z)　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1">
      <t>ユウコウ</t>
    </rPh>
    <rPh sb="1" eb="3">
      <t>テイコウ</t>
    </rPh>
    <rPh sb="3" eb="5">
      <t>ドアツ</t>
    </rPh>
    <rPh sb="5" eb="7">
      <t>リョクド</t>
    </rPh>
    <rPh sb="8" eb="11">
      <t>ヘイキンチ</t>
    </rPh>
    <phoneticPr fontId="1"/>
  </si>
  <si>
    <t>有効抵抗土圧力度を求める深さ　　　　　z　　　　　(m)</t>
    <rPh sb="0" eb="2">
      <t>ユウコウ</t>
    </rPh>
    <rPh sb="2" eb="4">
      <t>テイコウ</t>
    </rPh>
    <rPh sb="4" eb="6">
      <t>ドアツ</t>
    </rPh>
    <rPh sb="6" eb="8">
      <t>リョクド</t>
    </rPh>
    <rPh sb="9" eb="10">
      <t>モト</t>
    </rPh>
    <rPh sb="12" eb="13">
      <t>フカ</t>
    </rPh>
    <phoneticPr fontId="1"/>
  </si>
  <si>
    <r>
      <t>pe(z)　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"/>
  </si>
  <si>
    <t>上端</t>
    <rPh sb="0" eb="2">
      <t>ジョウタン</t>
    </rPh>
    <phoneticPr fontId="1"/>
  </si>
  <si>
    <t>下端</t>
    <rPh sb="0" eb="2">
      <t>カタン</t>
    </rPh>
    <phoneticPr fontId="1"/>
  </si>
  <si>
    <t>位置</t>
    <rPh sb="0" eb="2">
      <t>イチ</t>
    </rPh>
    <phoneticPr fontId="1"/>
  </si>
  <si>
    <t>単杭の有効抵抗土圧力度</t>
    <rPh sb="0" eb="1">
      <t>タン</t>
    </rPh>
    <rPh sb="1" eb="2">
      <t>クイ</t>
    </rPh>
    <rPh sb="3" eb="5">
      <t>ユウコウ</t>
    </rPh>
    <rPh sb="5" eb="7">
      <t>テイコウ</t>
    </rPh>
    <rPh sb="7" eb="9">
      <t>ドアツ</t>
    </rPh>
    <rPh sb="9" eb="11">
      <t>リョクド</t>
    </rPh>
    <phoneticPr fontId="1"/>
  </si>
  <si>
    <r>
      <t>pe(z)(kN/m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"/>
  </si>
  <si>
    <t>単杭の有効抵抗土圧力</t>
    <rPh sb="0" eb="1">
      <t>タン</t>
    </rPh>
    <rPh sb="1" eb="2">
      <t>クイ</t>
    </rPh>
    <rPh sb="3" eb="5">
      <t>ユウコウ</t>
    </rPh>
    <rPh sb="5" eb="7">
      <t>テイコウ</t>
    </rPh>
    <rPh sb="7" eb="9">
      <t>ドアツ</t>
    </rPh>
    <phoneticPr fontId="1"/>
  </si>
  <si>
    <t>Pe(z)(kN/m)</t>
    <phoneticPr fontId="1"/>
  </si>
  <si>
    <t>層境の有効抵抗土圧力度については、安全側を考慮して群杭の抵抗分担係数を考慮する。</t>
    <rPh sb="0" eb="1">
      <t>ソウ</t>
    </rPh>
    <rPh sb="1" eb="2">
      <t>サカイ</t>
    </rPh>
    <rPh sb="3" eb="5">
      <t>ユウコウ</t>
    </rPh>
    <rPh sb="5" eb="7">
      <t>テイコウ</t>
    </rPh>
    <rPh sb="7" eb="9">
      <t>ドアツ</t>
    </rPh>
    <rPh sb="9" eb="11">
      <t>リョクド</t>
    </rPh>
    <rPh sb="17" eb="19">
      <t>アンゼン</t>
    </rPh>
    <rPh sb="19" eb="20">
      <t>ガワ</t>
    </rPh>
    <rPh sb="21" eb="23">
      <t>コウリョ</t>
    </rPh>
    <rPh sb="25" eb="26">
      <t>グン</t>
    </rPh>
    <rPh sb="26" eb="27">
      <t>クイ</t>
    </rPh>
    <rPh sb="28" eb="30">
      <t>テイコウ</t>
    </rPh>
    <rPh sb="30" eb="32">
      <t>ブンタン</t>
    </rPh>
    <rPh sb="32" eb="34">
      <t>ケイスウ</t>
    </rPh>
    <rPh sb="35" eb="37">
      <t>コウリョ</t>
    </rPh>
    <phoneticPr fontId="1"/>
  </si>
  <si>
    <t>群杭の有効抵抗土圧力度および有効抵抗土圧力</t>
    <rPh sb="0" eb="2">
      <t>グンクイ</t>
    </rPh>
    <rPh sb="3" eb="5">
      <t>ユウコウ</t>
    </rPh>
    <rPh sb="5" eb="7">
      <t>テイコウ</t>
    </rPh>
    <rPh sb="7" eb="9">
      <t>ドアツ</t>
    </rPh>
    <rPh sb="9" eb="11">
      <t>リョクド</t>
    </rPh>
    <rPh sb="14" eb="16">
      <t>ユウコウ</t>
    </rPh>
    <rPh sb="16" eb="18">
      <t>テイコウ</t>
    </rPh>
    <rPh sb="18" eb="19">
      <t>ド</t>
    </rPh>
    <rPh sb="19" eb="21">
      <t>アツリョク</t>
    </rPh>
    <phoneticPr fontId="1"/>
  </si>
  <si>
    <t>(1,3列目)</t>
    <rPh sb="4" eb="6">
      <t>レツメ</t>
    </rPh>
    <phoneticPr fontId="1"/>
  </si>
  <si>
    <t>(2列目)</t>
    <rPh sb="2" eb="4">
      <t>レツメ</t>
    </rPh>
    <phoneticPr fontId="1"/>
  </si>
  <si>
    <t>各列当りの有効抵抗土圧力</t>
    <rPh sb="0" eb="1">
      <t>カク</t>
    </rPh>
    <rPh sb="1" eb="2">
      <t>レツ</t>
    </rPh>
    <rPh sb="2" eb="3">
      <t>アタ</t>
    </rPh>
    <rPh sb="5" eb="7">
      <t>ユウコウ</t>
    </rPh>
    <rPh sb="7" eb="9">
      <t>テイコウ</t>
    </rPh>
    <rPh sb="9" eb="10">
      <t>ド</t>
    </rPh>
    <rPh sb="10" eb="12">
      <t>アツリョク</t>
    </rPh>
    <phoneticPr fontId="1"/>
  </si>
  <si>
    <t>右押し（→）</t>
    <rPh sb="0" eb="1">
      <t>ミギ</t>
    </rPh>
    <rPh sb="1" eb="2">
      <t>オ</t>
    </rPh>
    <phoneticPr fontId="1"/>
  </si>
  <si>
    <t>左押し（←）</t>
    <rPh sb="0" eb="1">
      <t>ヒダリ</t>
    </rPh>
    <rPh sb="1" eb="2">
      <t>オ</t>
    </rPh>
    <phoneticPr fontId="1"/>
  </si>
  <si>
    <t>有効抵抗土圧力　　　　　　　　　　　　　　　　　　　　　　　Pe(z)(kN/m)</t>
    <rPh sb="0" eb="2">
      <t>ユウコウ</t>
    </rPh>
    <rPh sb="2" eb="4">
      <t>テイコウ</t>
    </rPh>
    <rPh sb="4" eb="6">
      <t>ドアツ</t>
    </rPh>
    <phoneticPr fontId="1"/>
  </si>
  <si>
    <t>有効抵抗土圧力</t>
    <rPh sb="0" eb="2">
      <t>ユウコウ</t>
    </rPh>
    <rPh sb="2" eb="4">
      <t>テイコウ</t>
    </rPh>
    <rPh sb="4" eb="6">
      <t>ドアツ</t>
    </rPh>
    <rPh sb="6" eb="7">
      <t>リョク</t>
    </rPh>
    <phoneticPr fontId="1"/>
  </si>
  <si>
    <t>単杭の有効抵抗土圧力度pe(z)</t>
    <rPh sb="0" eb="1">
      <t>タン</t>
    </rPh>
    <rPh sb="1" eb="2">
      <t>クイ</t>
    </rPh>
    <rPh sb="3" eb="5">
      <t>ユウコウ</t>
    </rPh>
    <rPh sb="5" eb="7">
      <t>テイコウ</t>
    </rPh>
    <rPh sb="7" eb="9">
      <t>ドアツ</t>
    </rPh>
    <rPh sb="9" eb="11">
      <t>リョクド</t>
    </rPh>
    <phoneticPr fontId="1"/>
  </si>
  <si>
    <t>有効抵抗土圧力図</t>
    <rPh sb="0" eb="2">
      <t>ユウコウ</t>
    </rPh>
    <rPh sb="2" eb="4">
      <t>テイコウ</t>
    </rPh>
    <rPh sb="4" eb="5">
      <t>ド</t>
    </rPh>
    <rPh sb="5" eb="7">
      <t>アツリョク</t>
    </rPh>
    <rPh sb="7" eb="8">
      <t>ズ</t>
    </rPh>
    <phoneticPr fontId="1"/>
  </si>
  <si>
    <t>安全側を考慮して【押込み側】で計算を行う。</t>
    <rPh sb="0" eb="2">
      <t>アンゼン</t>
    </rPh>
    <rPh sb="2" eb="3">
      <t>ガワ</t>
    </rPh>
    <rPh sb="4" eb="6">
      <t>コウリョ</t>
    </rPh>
    <rPh sb="9" eb="11">
      <t>オシコ</t>
    </rPh>
    <rPh sb="12" eb="13">
      <t>ガワ</t>
    </rPh>
    <rPh sb="15" eb="17">
      <t>ケイサン</t>
    </rPh>
    <rPh sb="18" eb="19">
      <t>オコナ</t>
    </rPh>
    <phoneticPr fontId="1"/>
  </si>
  <si>
    <t>周長</t>
    <rPh sb="0" eb="2">
      <t>シュウチョウ</t>
    </rPh>
    <phoneticPr fontId="1"/>
  </si>
  <si>
    <t>周面支持力</t>
    <rPh sb="0" eb="2">
      <t>シュウメン</t>
    </rPh>
    <rPh sb="2" eb="5">
      <t>シジリョク</t>
    </rPh>
    <phoneticPr fontId="1"/>
  </si>
  <si>
    <t>周面支持力を考慮する層厚(m)</t>
    <rPh sb="0" eb="2">
      <t>シュウメン</t>
    </rPh>
    <rPh sb="2" eb="5">
      <t>シジリョク</t>
    </rPh>
    <rPh sb="6" eb="8">
      <t>コウリョ</t>
    </rPh>
    <rPh sb="10" eb="12">
      <t>ソウアツ</t>
    </rPh>
    <phoneticPr fontId="1"/>
  </si>
  <si>
    <t>分布幅の周面　　　支持力度　　　rfk　　(kN/m)</t>
    <rPh sb="0" eb="2">
      <t>ブンプ</t>
    </rPh>
    <rPh sb="2" eb="3">
      <t>ハバ</t>
    </rPh>
    <rPh sb="4" eb="6">
      <t>シュウメン</t>
    </rPh>
    <rPh sb="9" eb="12">
      <t>シジリョク</t>
    </rPh>
    <rPh sb="12" eb="13">
      <t>ド</t>
    </rPh>
    <phoneticPr fontId="1"/>
  </si>
  <si>
    <r>
      <t>各層での　基準周面　　支持力度　　rfk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1">
      <t>カクソウ</t>
    </rPh>
    <rPh sb="4" eb="6">
      <t>キジュン</t>
    </rPh>
    <rPh sb="6" eb="8">
      <t>シュウメン</t>
    </rPh>
    <rPh sb="10" eb="13">
      <t>シジリョク</t>
    </rPh>
    <rPh sb="14" eb="15">
      <t>ド</t>
    </rPh>
    <phoneticPr fontId="1"/>
  </si>
  <si>
    <t>各節点の周面支持力　　　　　　　　　　Rfk　　　　　　　　　　(kN)</t>
    <rPh sb="0" eb="2">
      <t>カクセツ</t>
    </rPh>
    <rPh sb="2" eb="3">
      <t>テン</t>
    </rPh>
    <rPh sb="4" eb="6">
      <t>シュウメン</t>
    </rPh>
    <rPh sb="6" eb="9">
      <t>シジリョク</t>
    </rPh>
    <phoneticPr fontId="1"/>
  </si>
  <si>
    <t>(6)</t>
    <phoneticPr fontId="1"/>
  </si>
  <si>
    <t>先端支持力</t>
    <rPh sb="0" eb="2">
      <t>センタン</t>
    </rPh>
    <rPh sb="2" eb="5">
      <t>シジリョク</t>
    </rPh>
    <phoneticPr fontId="1"/>
  </si>
  <si>
    <t>杭先端の鉛直地盤支持力</t>
    <rPh sb="0" eb="1">
      <t>クイ</t>
    </rPh>
    <rPh sb="1" eb="3">
      <t>センタン</t>
    </rPh>
    <rPh sb="4" eb="6">
      <t>エンチョク</t>
    </rPh>
    <rPh sb="6" eb="8">
      <t>ジバン</t>
    </rPh>
    <rPh sb="8" eb="11">
      <t>シジリョク</t>
    </rPh>
    <phoneticPr fontId="1"/>
  </si>
  <si>
    <t>(kN)</t>
    <phoneticPr fontId="1"/>
  </si>
  <si>
    <t>降伏点</t>
    <rPh sb="0" eb="3">
      <t>コウフクテン</t>
    </rPh>
    <phoneticPr fontId="1"/>
  </si>
  <si>
    <t>終局点</t>
    <rPh sb="0" eb="2">
      <t>シュウキョク</t>
    </rPh>
    <rPh sb="2" eb="3">
      <t>テン</t>
    </rPh>
    <phoneticPr fontId="1"/>
  </si>
  <si>
    <t>せん断補強鉄筋</t>
    <rPh sb="2" eb="3">
      <t>ダン</t>
    </rPh>
    <rPh sb="3" eb="5">
      <t>ホキョウ</t>
    </rPh>
    <rPh sb="5" eb="7">
      <t>テッキン</t>
    </rPh>
    <phoneticPr fontId="1"/>
  </si>
  <si>
    <t>－</t>
    <phoneticPr fontId="1"/>
  </si>
  <si>
    <t>本</t>
    <rPh sb="0" eb="1">
      <t>ホン</t>
    </rPh>
    <phoneticPr fontId="1"/>
  </si>
  <si>
    <t>ctc</t>
    <phoneticPr fontId="1"/>
  </si>
  <si>
    <t>×</t>
    <phoneticPr fontId="1"/>
  </si>
  <si>
    <r>
      <t>mm</t>
    </r>
    <r>
      <rPr>
        <vertAlign val="superscript"/>
        <sz val="10"/>
        <rFont val="ＭＳ 明朝"/>
        <family val="1"/>
        <charset val="128"/>
      </rPr>
      <t>2</t>
    </r>
    <phoneticPr fontId="1"/>
  </si>
  <si>
    <t>に換算</t>
    <rPh sb="1" eb="3">
      <t>カンザン</t>
    </rPh>
    <phoneticPr fontId="1"/>
  </si>
  <si>
    <t>n</t>
    <phoneticPr fontId="1"/>
  </si>
  <si>
    <t>/</t>
    <phoneticPr fontId="1"/>
  </si>
  <si>
    <t>※本数</t>
    <rPh sb="1" eb="3">
      <t>ホンスウ</t>
    </rPh>
    <phoneticPr fontId="1"/>
  </si>
  <si>
    <t>有効抵抗土圧力</t>
    <rPh sb="0" eb="2">
      <t>ユウコウ</t>
    </rPh>
    <rPh sb="2" eb="4">
      <t>テイコウ</t>
    </rPh>
    <rPh sb="4" eb="6">
      <t>ドアツ</t>
    </rPh>
    <rPh sb="6" eb="7">
      <t>リョク</t>
    </rPh>
    <phoneticPr fontId="1"/>
  </si>
  <si>
    <t>上端</t>
    <rPh sb="0" eb="2">
      <t>ジョウタン</t>
    </rPh>
    <phoneticPr fontId="1"/>
  </si>
  <si>
    <t>下端</t>
    <rPh sb="0" eb="2">
      <t>カタン</t>
    </rPh>
    <phoneticPr fontId="1"/>
  </si>
  <si>
    <t>水平ばね</t>
    <rPh sb="0" eb="2">
      <t>スイヘイ</t>
    </rPh>
    <phoneticPr fontId="1"/>
  </si>
  <si>
    <t>右押し（→）</t>
    <rPh sb="0" eb="1">
      <t>ミギ</t>
    </rPh>
    <rPh sb="1" eb="2">
      <t>オ</t>
    </rPh>
    <phoneticPr fontId="1"/>
  </si>
  <si>
    <t>鉛直ばね</t>
    <rPh sb="0" eb="2">
      <t>エンチョク</t>
    </rPh>
    <phoneticPr fontId="1"/>
  </si>
  <si>
    <t>拘束方向</t>
    <rPh sb="0" eb="2">
      <t>コウソク</t>
    </rPh>
    <rPh sb="2" eb="4">
      <t>ホウコウ</t>
    </rPh>
    <phoneticPr fontId="1"/>
  </si>
  <si>
    <t>Y</t>
  </si>
  <si>
    <t>制限値</t>
    <rPh sb="0" eb="3">
      <t>セイゲンチ</t>
    </rPh>
    <phoneticPr fontId="1"/>
  </si>
  <si>
    <t>＋側</t>
    <rPh sb="1" eb="2">
      <t>ガワ</t>
    </rPh>
    <phoneticPr fontId="1"/>
  </si>
  <si>
    <t>－側</t>
    <rPh sb="1" eb="2">
      <t>ガワ</t>
    </rPh>
    <phoneticPr fontId="1"/>
  </si>
  <si>
    <t>第1勾配</t>
    <rPh sb="0" eb="1">
      <t>ダイ</t>
    </rPh>
    <rPh sb="2" eb="4">
      <t>コウバイ</t>
    </rPh>
    <phoneticPr fontId="1"/>
  </si>
  <si>
    <t>第2勾配</t>
    <rPh sb="0" eb="1">
      <t>ダイ</t>
    </rPh>
    <rPh sb="2" eb="4">
      <t>コウバイ</t>
    </rPh>
    <phoneticPr fontId="1"/>
  </si>
  <si>
    <t>第3勾配</t>
    <rPh sb="0" eb="1">
      <t>ダイ</t>
    </rPh>
    <rPh sb="2" eb="4">
      <t>コウバイ</t>
    </rPh>
    <phoneticPr fontId="1"/>
  </si>
  <si>
    <t>【慣性力算定用重量】</t>
    <rPh sb="1" eb="4">
      <t>カンセイリョク</t>
    </rPh>
    <rPh sb="4" eb="6">
      <t>サンテイ</t>
    </rPh>
    <rPh sb="6" eb="7">
      <t>ヨウ</t>
    </rPh>
    <rPh sb="7" eb="9">
      <t>ジュウリョウ</t>
    </rPh>
    <phoneticPr fontId="1"/>
  </si>
  <si>
    <t>左押し（←）</t>
    <rPh sb="0" eb="1">
      <t>ヒダリ</t>
    </rPh>
    <rPh sb="1" eb="2">
      <t>オ</t>
    </rPh>
    <phoneticPr fontId="1"/>
  </si>
  <si>
    <t>節点番号</t>
    <rPh sb="0" eb="2">
      <t>セツテン</t>
    </rPh>
    <rPh sb="2" eb="4">
      <t>バンゴウ</t>
    </rPh>
    <phoneticPr fontId="1"/>
  </si>
  <si>
    <r>
      <t>Ｖ</t>
    </r>
    <r>
      <rPr>
        <vertAlign val="subscript"/>
        <sz val="10"/>
        <rFont val="ＭＳ 明朝"/>
        <family val="1"/>
        <charset val="128"/>
      </rPr>
      <t>so</t>
    </r>
    <phoneticPr fontId="1"/>
  </si>
  <si>
    <r>
      <t>80Ｎ</t>
    </r>
    <r>
      <rPr>
        <vertAlign val="superscript"/>
        <sz val="10"/>
        <rFont val="ＭＳ 明朝"/>
        <family val="1"/>
        <charset val="128"/>
      </rPr>
      <t>1/3</t>
    </r>
    <phoneticPr fontId="1"/>
  </si>
  <si>
    <t>（Ｎ≦50）</t>
    <phoneticPr fontId="1"/>
  </si>
  <si>
    <r>
      <t>100Ｎ</t>
    </r>
    <r>
      <rPr>
        <vertAlign val="superscript"/>
        <sz val="10"/>
        <rFont val="ＭＳ 明朝"/>
        <family val="1"/>
        <charset val="128"/>
      </rPr>
      <t>1/3</t>
    </r>
    <phoneticPr fontId="1"/>
  </si>
  <si>
    <t>（2≦Ｎ≦50）</t>
    <phoneticPr fontId="1"/>
  </si>
  <si>
    <r>
      <t>23ｑu</t>
    </r>
    <r>
      <rPr>
        <vertAlign val="superscript"/>
        <sz val="10"/>
        <rFont val="ＭＳ 明朝"/>
        <family val="1"/>
        <charset val="128"/>
      </rPr>
      <t>0.36</t>
    </r>
    <phoneticPr fontId="1"/>
  </si>
  <si>
    <t>（Ｎ＜2）</t>
    <phoneticPr fontId="1"/>
  </si>
  <si>
    <t>初期せん断弾性波速度（m/s）</t>
    <rPh sb="0" eb="2">
      <t>ショキ</t>
    </rPh>
    <phoneticPr fontId="1"/>
  </si>
  <si>
    <t>Ｎ</t>
    <phoneticPr fontId="1"/>
  </si>
  <si>
    <t>標準貫入試験によるＮ値</t>
    <rPh sb="0" eb="2">
      <t>ヒョウジュン</t>
    </rPh>
    <rPh sb="2" eb="4">
      <t>カンニュウ</t>
    </rPh>
    <rPh sb="4" eb="6">
      <t>シケン</t>
    </rPh>
    <rPh sb="10" eb="11">
      <t>チ</t>
    </rPh>
    <phoneticPr fontId="1"/>
  </si>
  <si>
    <t>qu</t>
    <phoneticPr fontId="1"/>
  </si>
  <si>
    <r>
      <t>一軸圧縮強さ（kN/m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）</t>
    </r>
    <rPh sb="0" eb="2">
      <t>イチジク</t>
    </rPh>
    <rPh sb="2" eb="4">
      <t>アッシュク</t>
    </rPh>
    <rPh sb="4" eb="5">
      <t>ツヨ</t>
    </rPh>
    <phoneticPr fontId="1"/>
  </si>
  <si>
    <t>土質</t>
    <rPh sb="1" eb="2">
      <t>シツ</t>
    </rPh>
    <phoneticPr fontId="31"/>
  </si>
  <si>
    <t>Ｎ値</t>
  </si>
  <si>
    <t>ｑu</t>
    <phoneticPr fontId="1"/>
  </si>
  <si>
    <t>区分</t>
    <rPh sb="0" eb="2">
      <t>クブン</t>
    </rPh>
    <phoneticPr fontId="31"/>
  </si>
  <si>
    <t>(m/s)</t>
  </si>
  <si>
    <t>--</t>
    <phoneticPr fontId="1"/>
  </si>
  <si>
    <t>粘性土</t>
    <rPh sb="0" eb="3">
      <t>ネンセイド</t>
    </rPh>
    <phoneticPr fontId="1"/>
  </si>
  <si>
    <r>
      <t>Ｎ</t>
    </r>
    <r>
      <rPr>
        <vertAlign val="superscript"/>
        <sz val="10"/>
        <rFont val="ＭＳ 明朝"/>
        <family val="1"/>
        <charset val="128"/>
      </rPr>
      <t>1/3</t>
    </r>
    <phoneticPr fontId="1"/>
  </si>
  <si>
    <t>【耐震標準 解説表 7.3.2】</t>
    <rPh sb="1" eb="3">
      <t>タイシン</t>
    </rPh>
    <rPh sb="3" eb="5">
      <t>ヒョウジュン</t>
    </rPh>
    <rPh sb="6" eb="9">
      <t>カイセツヒョウ</t>
    </rPh>
    <phoneticPr fontId="1"/>
  </si>
  <si>
    <t>地盤の固有周期</t>
    <rPh sb="0" eb="2">
      <t>ジバン</t>
    </rPh>
    <rPh sb="3" eb="5">
      <t>コユウ</t>
    </rPh>
    <rPh sb="5" eb="7">
      <t>シュウキ</t>
    </rPh>
    <phoneticPr fontId="1"/>
  </si>
  <si>
    <t>地盤種別</t>
    <rPh sb="0" eb="2">
      <t>ジバン</t>
    </rPh>
    <rPh sb="2" eb="4">
      <t>シュベツ</t>
    </rPh>
    <phoneticPr fontId="1"/>
  </si>
  <si>
    <t>備　考</t>
    <rPh sb="0" eb="1">
      <t>ビ</t>
    </rPh>
    <rPh sb="2" eb="3">
      <t>コウ</t>
    </rPh>
    <phoneticPr fontId="1"/>
  </si>
  <si>
    <t>Ｔg（s）</t>
    <phoneticPr fontId="1"/>
  </si>
  <si>
    <t>Ｇ0 地盤</t>
    <rPh sb="3" eb="5">
      <t>ジバン</t>
    </rPh>
    <phoneticPr fontId="1"/>
  </si>
  <si>
    <t>岩　盤</t>
    <rPh sb="0" eb="1">
      <t>ガン</t>
    </rPh>
    <rPh sb="2" eb="3">
      <t>バン</t>
    </rPh>
    <phoneticPr fontId="1"/>
  </si>
  <si>
    <t>Ｇ1 地盤</t>
    <rPh sb="3" eb="5">
      <t>ジバン</t>
    </rPh>
    <phoneticPr fontId="1"/>
  </si>
  <si>
    <t>基　盤</t>
    <rPh sb="0" eb="1">
      <t>モト</t>
    </rPh>
    <rPh sb="2" eb="3">
      <t>バン</t>
    </rPh>
    <phoneticPr fontId="1"/>
  </si>
  <si>
    <t xml:space="preserve">        ～ 0.25</t>
    <phoneticPr fontId="1"/>
  </si>
  <si>
    <t>Ｇ2 地盤</t>
    <rPh sb="3" eb="5">
      <t>ジバン</t>
    </rPh>
    <phoneticPr fontId="1"/>
  </si>
  <si>
    <t>洪積地盤など</t>
    <rPh sb="0" eb="2">
      <t>コウセキ</t>
    </rPh>
    <rPh sb="2" eb="4">
      <t>ジバン</t>
    </rPh>
    <phoneticPr fontId="1"/>
  </si>
  <si>
    <t>0.25 ～ 0.50</t>
    <phoneticPr fontId="1"/>
  </si>
  <si>
    <t>Ｇ3 地盤</t>
    <rPh sb="3" eb="5">
      <t>ジバン</t>
    </rPh>
    <phoneticPr fontId="1"/>
  </si>
  <si>
    <t>普通地盤</t>
    <rPh sb="0" eb="2">
      <t>フツウ</t>
    </rPh>
    <rPh sb="2" eb="4">
      <t>ジバン</t>
    </rPh>
    <phoneticPr fontId="1"/>
  </si>
  <si>
    <t>0.50 ～ 0.75</t>
    <phoneticPr fontId="1"/>
  </si>
  <si>
    <t>Ｇ4 地盤</t>
    <rPh sb="3" eb="5">
      <t>ジバン</t>
    </rPh>
    <phoneticPr fontId="1"/>
  </si>
  <si>
    <t>普通～軟弱地盤</t>
    <rPh sb="0" eb="2">
      <t>フツウ</t>
    </rPh>
    <rPh sb="3" eb="5">
      <t>ナンジャク</t>
    </rPh>
    <rPh sb="5" eb="7">
      <t>ジバン</t>
    </rPh>
    <phoneticPr fontId="1"/>
  </si>
  <si>
    <t>0.75 ～ 1.00</t>
    <phoneticPr fontId="1"/>
  </si>
  <si>
    <t>Ｇ5 地盤</t>
    <rPh sb="3" eb="5">
      <t>ジバン</t>
    </rPh>
    <phoneticPr fontId="1"/>
  </si>
  <si>
    <t>軟弱地盤</t>
    <rPh sb="0" eb="2">
      <t>ナンジャク</t>
    </rPh>
    <rPh sb="2" eb="4">
      <t>ジバン</t>
    </rPh>
    <phoneticPr fontId="1"/>
  </si>
  <si>
    <t>1.00 ～ 1.50</t>
    <phoneticPr fontId="1"/>
  </si>
  <si>
    <t>Ｇ6 地盤</t>
    <rPh sb="3" eb="5">
      <t>ジバン</t>
    </rPh>
    <phoneticPr fontId="1"/>
  </si>
  <si>
    <t>1.50 ～</t>
    <phoneticPr fontId="1"/>
  </si>
  <si>
    <t>Ｇ7 地盤</t>
    <rPh sb="3" eb="5">
      <t>ジバン</t>
    </rPh>
    <phoneticPr fontId="1"/>
  </si>
  <si>
    <t>極めて軟弱な地盤</t>
    <rPh sb="0" eb="1">
      <t>キワ</t>
    </rPh>
    <rPh sb="3" eb="5">
      <t>ナンジャク</t>
    </rPh>
    <rPh sb="6" eb="8">
      <t>ジバン</t>
    </rPh>
    <phoneticPr fontId="1"/>
  </si>
  <si>
    <t>初期せん断弾性波速度</t>
    <rPh sb="0" eb="1">
      <t>ショキ</t>
    </rPh>
    <rPh sb="3" eb="4">
      <t>ダン</t>
    </rPh>
    <rPh sb="4" eb="6">
      <t>ダンセイ</t>
    </rPh>
    <rPh sb="6" eb="7">
      <t>ハ</t>
    </rPh>
    <rPh sb="7" eb="9">
      <t>ソクド</t>
    </rPh>
    <phoneticPr fontId="1"/>
  </si>
  <si>
    <t>【耐震標準 付属資料7-6】</t>
  </si>
  <si>
    <t>構造解析モデル</t>
    <rPh sb="0" eb="2">
      <t>コウゾウ</t>
    </rPh>
    <rPh sb="2" eb="4">
      <t>カイセキ</t>
    </rPh>
    <phoneticPr fontId="1"/>
  </si>
  <si>
    <t>6.解析条件</t>
    <rPh sb="2" eb="4">
      <t>カイセキ</t>
    </rPh>
    <rPh sb="4" eb="6">
      <t>ジョウケン</t>
    </rPh>
    <phoneticPr fontId="1"/>
  </si>
  <si>
    <t>解析モデルを用いて静的非線形解析を行う。</t>
  </si>
  <si>
    <t>解析手法</t>
  </si>
  <si>
    <t>解析手法は、慣性力分布に応じて荷重を増分する変位増分法による。</t>
  </si>
  <si>
    <t>解析ステップ</t>
  </si>
  <si>
    <t>解析ステップは、変位荷重増分量を１ステップ当りδ=1mmを目安に分割</t>
  </si>
  <si>
    <t>して設定する。</t>
  </si>
  <si>
    <t>5.組合せ</t>
    <rPh sb="2" eb="4">
      <t>クミアワ</t>
    </rPh>
    <phoneticPr fontId="5"/>
  </si>
  <si>
    <t>4.荷重図</t>
    <rPh sb="2" eb="4">
      <t>カジュウ</t>
    </rPh>
    <rPh sb="4" eb="5">
      <t>ズ</t>
    </rPh>
    <phoneticPr fontId="5"/>
  </si>
  <si>
    <t>3.荷重計算</t>
    <rPh sb="2" eb="4">
      <t>カジュウ</t>
    </rPh>
    <rPh sb="4" eb="6">
      <t>ケイサン</t>
    </rPh>
    <phoneticPr fontId="5"/>
  </si>
  <si>
    <t>1.基本計算</t>
    <rPh sb="2" eb="4">
      <t>キホン</t>
    </rPh>
    <rPh sb="4" eb="6">
      <t>ケイサン</t>
    </rPh>
    <phoneticPr fontId="5"/>
  </si>
  <si>
    <t>2.地盤のモデル化</t>
    <phoneticPr fontId="1"/>
  </si>
  <si>
    <t>7.解析結果</t>
    <rPh sb="2" eb="4">
      <t>カイセキ</t>
    </rPh>
    <rPh sb="4" eb="6">
      <t>ケッカ</t>
    </rPh>
    <phoneticPr fontId="1"/>
  </si>
  <si>
    <t>※</t>
    <phoneticPr fontId="1"/>
  </si>
  <si>
    <t>右押し(→)</t>
    <rPh sb="0" eb="1">
      <t>ミギ</t>
    </rPh>
    <rPh sb="1" eb="2">
      <t>オ</t>
    </rPh>
    <phoneticPr fontId="1"/>
  </si>
  <si>
    <t>左押し(←)</t>
    <rPh sb="0" eb="1">
      <t>ヒダリ</t>
    </rPh>
    <rPh sb="1" eb="2">
      <t>オ</t>
    </rPh>
    <phoneticPr fontId="5"/>
  </si>
  <si>
    <t>§4.財産図</t>
    <rPh sb="3" eb="5">
      <t>ザイサン</t>
    </rPh>
    <rPh sb="5" eb="6">
      <t>ズ</t>
    </rPh>
    <phoneticPr fontId="1"/>
  </si>
  <si>
    <t>研開構 第１７６号</t>
    <rPh sb="0" eb="1">
      <t>ケン</t>
    </rPh>
    <rPh sb="1" eb="2">
      <t>カイ</t>
    </rPh>
    <rPh sb="2" eb="3">
      <t>コウ</t>
    </rPh>
    <rPh sb="4" eb="5">
      <t>ダイ</t>
    </rPh>
    <rPh sb="8" eb="9">
      <t>ゴウ</t>
    </rPh>
    <phoneticPr fontId="5"/>
  </si>
  <si>
    <t>（26債）新幹線構造物の地震時応答特性解析</t>
    <rPh sb="3" eb="4">
      <t>サイ</t>
    </rPh>
    <rPh sb="5" eb="8">
      <t>シンカンセン</t>
    </rPh>
    <rPh sb="8" eb="11">
      <t>コウゾウブツ</t>
    </rPh>
    <rPh sb="12" eb="14">
      <t>ジシン</t>
    </rPh>
    <rPh sb="14" eb="15">
      <t>ジ</t>
    </rPh>
    <rPh sb="15" eb="17">
      <t>オウトウ</t>
    </rPh>
    <rPh sb="17" eb="19">
      <t>トクセイ</t>
    </rPh>
    <rPh sb="19" eb="21">
      <t>カイセキ</t>
    </rPh>
    <phoneticPr fontId="5"/>
  </si>
  <si>
    <t>特　殊　構　造　物　検　討　書</t>
    <rPh sb="0" eb="1">
      <t>トク</t>
    </rPh>
    <rPh sb="2" eb="3">
      <t>コト</t>
    </rPh>
    <rPh sb="4" eb="5">
      <t>カマエ</t>
    </rPh>
    <rPh sb="6" eb="7">
      <t>ヅクリ</t>
    </rPh>
    <rPh sb="8" eb="9">
      <t>モノ</t>
    </rPh>
    <rPh sb="10" eb="11">
      <t>ケン</t>
    </rPh>
    <rPh sb="12" eb="13">
      <t>トウ</t>
    </rPh>
    <rPh sb="14" eb="15">
      <t>ショ</t>
    </rPh>
    <phoneticPr fontId="5"/>
  </si>
  <si>
    <t>2026年 10月</t>
    <rPh sb="4" eb="5">
      <t>ネン</t>
    </rPh>
    <rPh sb="8" eb="9">
      <t>ガツ</t>
    </rPh>
    <phoneticPr fontId="5"/>
  </si>
  <si>
    <t>照査技術者</t>
    <rPh sb="0" eb="2">
      <t>ショウサ</t>
    </rPh>
    <rPh sb="2" eb="5">
      <t>ギジュツシャ</t>
    </rPh>
    <phoneticPr fontId="11"/>
  </si>
  <si>
    <t>主任技術者</t>
    <rPh sb="0" eb="2">
      <t>シュニン</t>
    </rPh>
    <rPh sb="2" eb="5">
      <t>ギジュツシャ</t>
    </rPh>
    <phoneticPr fontId="11"/>
  </si>
  <si>
    <t>照 査 者</t>
    <rPh sb="0" eb="1">
      <t>テラシ</t>
    </rPh>
    <rPh sb="2" eb="3">
      <t>サ</t>
    </rPh>
    <rPh sb="4" eb="5">
      <t>シャ</t>
    </rPh>
    <phoneticPr fontId="11"/>
  </si>
  <si>
    <t>設 計 者</t>
    <rPh sb="0" eb="1">
      <t>セツ</t>
    </rPh>
    <rPh sb="2" eb="3">
      <t>ケイ</t>
    </rPh>
    <rPh sb="4" eb="5">
      <t>モノ</t>
    </rPh>
    <phoneticPr fontId="11"/>
  </si>
  <si>
    <t>東日本旅客鉄道株式会社　JR東日本研究開発センター</t>
    <rPh sb="0" eb="1">
      <t>ヒガシ</t>
    </rPh>
    <rPh sb="1" eb="3">
      <t>ニホン</t>
    </rPh>
    <rPh sb="3" eb="5">
      <t>リョカク</t>
    </rPh>
    <rPh sb="5" eb="7">
      <t>テツドウ</t>
    </rPh>
    <rPh sb="7" eb="11">
      <t>カブシキガイシャ</t>
    </rPh>
    <rPh sb="14" eb="15">
      <t>ヒガシ</t>
    </rPh>
    <rPh sb="15" eb="17">
      <t>ニホン</t>
    </rPh>
    <rPh sb="17" eb="19">
      <t>ケンキュウ</t>
    </rPh>
    <rPh sb="19" eb="21">
      <t>カイハツ</t>
    </rPh>
    <phoneticPr fontId="5"/>
  </si>
  <si>
    <t>ジェイアール東日本コンサルタンツ株式会社</t>
    <rPh sb="6" eb="7">
      <t>ヒガシ</t>
    </rPh>
    <rPh sb="7" eb="9">
      <t>ニホン</t>
    </rPh>
    <rPh sb="16" eb="20">
      <t>カブシキガイシャ</t>
    </rPh>
    <phoneticPr fontId="5"/>
  </si>
  <si>
    <t>　</t>
    <phoneticPr fontId="5"/>
  </si>
  <si>
    <t>【今町橋りょう4P】</t>
    <phoneticPr fontId="5"/>
  </si>
  <si>
    <t>―　目　　　　次　―</t>
    <rPh sb="2" eb="3">
      <t>メ</t>
    </rPh>
    <rPh sb="7" eb="8">
      <t>ツギ</t>
    </rPh>
    <phoneticPr fontId="1"/>
  </si>
  <si>
    <t>頁</t>
    <rPh sb="0" eb="1">
      <t>ペイジ</t>
    </rPh>
    <phoneticPr fontId="1"/>
  </si>
  <si>
    <t>------------------------------------------------------------------------------------------------------------</t>
    <phoneticPr fontId="1"/>
  </si>
  <si>
    <t>一般条件</t>
    <rPh sb="0" eb="2">
      <t>イッパン</t>
    </rPh>
    <rPh sb="2" eb="4">
      <t>ジョウケン</t>
    </rPh>
    <phoneticPr fontId="1"/>
  </si>
  <si>
    <t>～</t>
    <phoneticPr fontId="1"/>
  </si>
  <si>
    <t>§1.設計の目的及び一般条件</t>
    <rPh sb="6" eb="8">
      <t>モクテキ</t>
    </rPh>
    <rPh sb="8" eb="9">
      <t>オヨ</t>
    </rPh>
    <rPh sb="10" eb="12">
      <t>イッパン</t>
    </rPh>
    <rPh sb="12" eb="14">
      <t>ジョウケン</t>
    </rPh>
    <phoneticPr fontId="1"/>
  </si>
  <si>
    <t>§2.設計総括表</t>
    <rPh sb="3" eb="5">
      <t>セッケイ</t>
    </rPh>
    <rPh sb="5" eb="7">
      <t>ソウカツ</t>
    </rPh>
    <rPh sb="7" eb="8">
      <t>ヒョウ</t>
    </rPh>
    <phoneticPr fontId="1"/>
  </si>
  <si>
    <t>§3.線路直角方向の検討</t>
    <rPh sb="3" eb="5">
      <t>センロ</t>
    </rPh>
    <rPh sb="5" eb="7">
      <t>チョッカク</t>
    </rPh>
    <rPh sb="7" eb="9">
      <t>ホウコウ</t>
    </rPh>
    <rPh sb="10" eb="12">
      <t>ケントウ</t>
    </rPh>
    <phoneticPr fontId="1"/>
  </si>
  <si>
    <t>§3.線路直角方向の計算</t>
    <rPh sb="3" eb="5">
      <t>センロ</t>
    </rPh>
    <rPh sb="5" eb="7">
      <t>チョッカク</t>
    </rPh>
    <rPh sb="7" eb="9">
      <t>ホウコウ</t>
    </rPh>
    <rPh sb="10" eb="12">
      <t>ケイサン</t>
    </rPh>
    <phoneticPr fontId="5"/>
  </si>
  <si>
    <t>1.</t>
    <phoneticPr fontId="1"/>
  </si>
  <si>
    <t>設計の目的</t>
    <rPh sb="0" eb="2">
      <t>セッケイ</t>
    </rPh>
    <rPh sb="3" eb="5">
      <t>モクテキ</t>
    </rPh>
    <phoneticPr fontId="1"/>
  </si>
  <si>
    <t>2.</t>
    <phoneticPr fontId="1"/>
  </si>
  <si>
    <t>適用基準及び使用プログラム</t>
    <rPh sb="0" eb="2">
      <t>テキヨウ</t>
    </rPh>
    <rPh sb="2" eb="4">
      <t>キジュン</t>
    </rPh>
    <rPh sb="4" eb="5">
      <t>オヨ</t>
    </rPh>
    <rPh sb="6" eb="8">
      <t>シヨウ</t>
    </rPh>
    <phoneticPr fontId="1"/>
  </si>
  <si>
    <t>3.</t>
    <phoneticPr fontId="1"/>
  </si>
  <si>
    <t>4.</t>
    <phoneticPr fontId="1"/>
  </si>
  <si>
    <t>設計作用</t>
    <rPh sb="0" eb="2">
      <t>セッケイ</t>
    </rPh>
    <rPh sb="2" eb="4">
      <t>サヨウ</t>
    </rPh>
    <phoneticPr fontId="1"/>
  </si>
  <si>
    <t>5.</t>
    <phoneticPr fontId="1"/>
  </si>
  <si>
    <t>地盤条件</t>
    <rPh sb="0" eb="2">
      <t>ジバン</t>
    </rPh>
    <rPh sb="2" eb="4">
      <t>ジョウケン</t>
    </rPh>
    <phoneticPr fontId="1"/>
  </si>
  <si>
    <t>6.</t>
    <phoneticPr fontId="1"/>
  </si>
  <si>
    <t>上部工荷重</t>
    <rPh sb="0" eb="3">
      <t>ジョウブコウ</t>
    </rPh>
    <rPh sb="3" eb="5">
      <t>カジュウ</t>
    </rPh>
    <phoneticPr fontId="1"/>
  </si>
  <si>
    <t>高架橋の土木構造物の地震時応答を算出するには，個々の土木構造物が有する固有周期等</t>
    <phoneticPr fontId="5"/>
  </si>
  <si>
    <t>の特性値が必要である．本件では，上越新幹線構造物について，財産図および地質柱状図の</t>
    <phoneticPr fontId="5"/>
  </si>
  <si>
    <t>情報に基づく構造解析モデルを作成し，等価固有周期と降伏震度を算定する．</t>
    <phoneticPr fontId="5"/>
  </si>
  <si>
    <t>2.1 設計標準</t>
    <rPh sb="4" eb="6">
      <t>セッケイ</t>
    </rPh>
    <rPh sb="6" eb="8">
      <t>ヒョウジュン</t>
    </rPh>
    <phoneticPr fontId="1"/>
  </si>
  <si>
    <t>鉄道構造物等設計標準（コンクリート構造物）【 平成16年 4月版 】</t>
    <rPh sb="0" eb="2">
      <t>テツドウ</t>
    </rPh>
    <rPh sb="2" eb="5">
      <t>コウゾウブツ</t>
    </rPh>
    <rPh sb="5" eb="6">
      <t>トウ</t>
    </rPh>
    <rPh sb="6" eb="8">
      <t>セッケイ</t>
    </rPh>
    <rPh sb="8" eb="10">
      <t>ヒョウジュン</t>
    </rPh>
    <rPh sb="17" eb="20">
      <t>コウゾウブツ</t>
    </rPh>
    <rPh sb="23" eb="25">
      <t>ヘイセイ</t>
    </rPh>
    <rPh sb="27" eb="28">
      <t>ネン</t>
    </rPh>
    <rPh sb="30" eb="31">
      <t>ツキ</t>
    </rPh>
    <rPh sb="31" eb="32">
      <t>バン</t>
    </rPh>
    <phoneticPr fontId="5"/>
  </si>
  <si>
    <t>鉄道構造物等設計標準（土構造物）【 平成19年 1月版 】</t>
    <rPh sb="0" eb="2">
      <t>テツドウ</t>
    </rPh>
    <rPh sb="2" eb="5">
      <t>コウゾウブツ</t>
    </rPh>
    <rPh sb="5" eb="6">
      <t>トウ</t>
    </rPh>
    <rPh sb="6" eb="8">
      <t>セッケイ</t>
    </rPh>
    <rPh sb="8" eb="10">
      <t>ヒョウジュン</t>
    </rPh>
    <rPh sb="11" eb="12">
      <t>ツチ</t>
    </rPh>
    <rPh sb="12" eb="14">
      <t>コウゾウ</t>
    </rPh>
    <rPh sb="14" eb="15">
      <t>ブツ</t>
    </rPh>
    <phoneticPr fontId="5"/>
  </si>
  <si>
    <t>[ 本建第45号　平成21年 7月 ]</t>
    <rPh sb="9" eb="11">
      <t>ヘイセイ</t>
    </rPh>
    <rPh sb="13" eb="14">
      <t>ネン</t>
    </rPh>
    <rPh sb="16" eb="17">
      <t>ツキ</t>
    </rPh>
    <phoneticPr fontId="5"/>
  </si>
  <si>
    <t>[ 本建第463号　平成17年 3月 ]</t>
    <rPh sb="10" eb="12">
      <t>ヘイセイ</t>
    </rPh>
    <rPh sb="14" eb="15">
      <t>ネン</t>
    </rPh>
    <rPh sb="17" eb="18">
      <t>ツキ</t>
    </rPh>
    <phoneticPr fontId="5"/>
  </si>
  <si>
    <t>⇒</t>
    <phoneticPr fontId="5"/>
  </si>
  <si>
    <t>【 土標準 】と略記</t>
    <rPh sb="2" eb="3">
      <t>ツチ</t>
    </rPh>
    <rPh sb="3" eb="5">
      <t>ヒョウジュン</t>
    </rPh>
    <rPh sb="8" eb="9">
      <t>リャク</t>
    </rPh>
    <rPh sb="9" eb="10">
      <t>キ</t>
    </rPh>
    <phoneticPr fontId="5"/>
  </si>
  <si>
    <t>【 RC標準 】と略記</t>
    <rPh sb="4" eb="6">
      <t>ヒョウジュン</t>
    </rPh>
    <rPh sb="9" eb="10">
      <t>リャク</t>
    </rPh>
    <rPh sb="10" eb="11">
      <t>キ</t>
    </rPh>
    <phoneticPr fontId="5"/>
  </si>
  <si>
    <t>鉄道構造物等設計標準（鋼・合成構造物）【 平成21年 7月版 】</t>
    <rPh sb="0" eb="2">
      <t>テツドウ</t>
    </rPh>
    <rPh sb="2" eb="5">
      <t>コウゾウブツ</t>
    </rPh>
    <rPh sb="5" eb="6">
      <t>トウ</t>
    </rPh>
    <rPh sb="6" eb="8">
      <t>セッケイ</t>
    </rPh>
    <rPh sb="8" eb="10">
      <t>ヒョウジュン</t>
    </rPh>
    <rPh sb="11" eb="12">
      <t>コウ</t>
    </rPh>
    <rPh sb="13" eb="15">
      <t>ゴウセイ</t>
    </rPh>
    <rPh sb="15" eb="18">
      <t>コウゾウブツ</t>
    </rPh>
    <rPh sb="21" eb="23">
      <t>ヘイセイ</t>
    </rPh>
    <rPh sb="25" eb="26">
      <t>ネン</t>
    </rPh>
    <rPh sb="28" eb="29">
      <t>ツキ</t>
    </rPh>
    <rPh sb="29" eb="30">
      <t>バン</t>
    </rPh>
    <phoneticPr fontId="5"/>
  </si>
  <si>
    <t>[ 本建第304号　平成21年 7月 ]</t>
    <rPh sb="10" eb="12">
      <t>ヘイセイ</t>
    </rPh>
    <rPh sb="14" eb="15">
      <t>ネン</t>
    </rPh>
    <rPh sb="17" eb="18">
      <t>ツキ</t>
    </rPh>
    <phoneticPr fontId="5"/>
  </si>
  <si>
    <t>【 鋼標準 】と略記</t>
    <rPh sb="2" eb="3">
      <t>コウ</t>
    </rPh>
    <rPh sb="3" eb="5">
      <t>ヒョウジュン</t>
    </rPh>
    <rPh sb="8" eb="9">
      <t>リャク</t>
    </rPh>
    <rPh sb="9" eb="10">
      <t>キ</t>
    </rPh>
    <phoneticPr fontId="5"/>
  </si>
  <si>
    <t>鉄道構造物等設計標準（基礎構造物）【 平成24年 1月版 】</t>
    <rPh sb="0" eb="2">
      <t>テツドウ</t>
    </rPh>
    <rPh sb="2" eb="5">
      <t>コウゾウブツ</t>
    </rPh>
    <rPh sb="5" eb="6">
      <t>トウ</t>
    </rPh>
    <rPh sb="6" eb="8">
      <t>セッケイ</t>
    </rPh>
    <rPh sb="8" eb="10">
      <t>ヒョウジュン</t>
    </rPh>
    <rPh sb="11" eb="13">
      <t>キソ</t>
    </rPh>
    <rPh sb="13" eb="15">
      <t>コウゾウ</t>
    </rPh>
    <rPh sb="15" eb="16">
      <t>ブツ</t>
    </rPh>
    <phoneticPr fontId="5"/>
  </si>
  <si>
    <t>[ 本建第504号　平成26年 3月 ]</t>
    <rPh sb="10" eb="12">
      <t>ヘイセイ</t>
    </rPh>
    <rPh sb="14" eb="15">
      <t>ネン</t>
    </rPh>
    <rPh sb="17" eb="18">
      <t>ツキ</t>
    </rPh>
    <phoneticPr fontId="5"/>
  </si>
  <si>
    <t>【 基礎標準(H24) 】と略記</t>
    <rPh sb="2" eb="4">
      <t>キソ</t>
    </rPh>
    <rPh sb="4" eb="6">
      <t>ヒョウジュン</t>
    </rPh>
    <rPh sb="14" eb="15">
      <t>リャク</t>
    </rPh>
    <rPh sb="15" eb="16">
      <t>キ</t>
    </rPh>
    <phoneticPr fontId="5"/>
  </si>
  <si>
    <t>鉄道構造物等設計標準（耐震設計）【 平成24年 9月版 】</t>
    <rPh sb="0" eb="2">
      <t>テツドウ</t>
    </rPh>
    <rPh sb="2" eb="5">
      <t>コウゾウブツ</t>
    </rPh>
    <rPh sb="5" eb="6">
      <t>トウ</t>
    </rPh>
    <rPh sb="6" eb="8">
      <t>セッケイ</t>
    </rPh>
    <rPh sb="8" eb="10">
      <t>ヒョウジュン</t>
    </rPh>
    <rPh sb="11" eb="13">
      <t>タイシン</t>
    </rPh>
    <rPh sb="13" eb="15">
      <t>セッケイ</t>
    </rPh>
    <phoneticPr fontId="5"/>
  </si>
  <si>
    <t>[ 本建第501号　平成26年 3月 ]</t>
    <rPh sb="10" eb="12">
      <t>ヘイセイ</t>
    </rPh>
    <rPh sb="14" eb="15">
      <t>ネン</t>
    </rPh>
    <rPh sb="17" eb="18">
      <t>ツキ</t>
    </rPh>
    <phoneticPr fontId="5"/>
  </si>
  <si>
    <t>【 耐震標準 】と略記</t>
    <rPh sb="2" eb="4">
      <t>タイシン</t>
    </rPh>
    <rPh sb="4" eb="6">
      <t>ヒョウジュン</t>
    </rPh>
    <rPh sb="9" eb="10">
      <t>リャク</t>
    </rPh>
    <rPh sb="10" eb="11">
      <t>キ</t>
    </rPh>
    <phoneticPr fontId="5"/>
  </si>
  <si>
    <t>鉄道構造物等設計標準（変位制限）【 平成18年 2月版 】</t>
    <rPh sb="0" eb="2">
      <t>テツドウ</t>
    </rPh>
    <rPh sb="2" eb="5">
      <t>コウゾウブツ</t>
    </rPh>
    <rPh sb="5" eb="6">
      <t>トウ</t>
    </rPh>
    <rPh sb="6" eb="8">
      <t>セッケイ</t>
    </rPh>
    <rPh sb="8" eb="10">
      <t>ヒョウジュン</t>
    </rPh>
    <rPh sb="11" eb="13">
      <t>ヘンイ</t>
    </rPh>
    <rPh sb="13" eb="15">
      <t>セイゲン</t>
    </rPh>
    <phoneticPr fontId="5"/>
  </si>
  <si>
    <t>[ 本建第123号　平成19年 6月 ]</t>
    <rPh sb="10" eb="12">
      <t>ヘイセイ</t>
    </rPh>
    <rPh sb="14" eb="15">
      <t>ネン</t>
    </rPh>
    <rPh sb="17" eb="18">
      <t>ツキ</t>
    </rPh>
    <phoneticPr fontId="5"/>
  </si>
  <si>
    <t>【 変位標準 】と略記</t>
    <rPh sb="2" eb="4">
      <t>ヘンイ</t>
    </rPh>
    <rPh sb="4" eb="6">
      <t>ヒョウジュン</t>
    </rPh>
    <rPh sb="9" eb="10">
      <t>リャク</t>
    </rPh>
    <rPh sb="10" eb="11">
      <t>キ</t>
    </rPh>
    <phoneticPr fontId="5"/>
  </si>
  <si>
    <t>2.2 手引き</t>
    <rPh sb="4" eb="6">
      <t>テビ</t>
    </rPh>
    <phoneticPr fontId="1"/>
  </si>
  <si>
    <t>鉄道構造物等設計標準（耐震設計）【 平成24年版 】橋梁および高架橋耐震照査の手引き</t>
    <rPh sb="0" eb="2">
      <t>テツドウ</t>
    </rPh>
    <rPh sb="2" eb="6">
      <t>コウゾウブツナド</t>
    </rPh>
    <rPh sb="6" eb="8">
      <t>セッケイ</t>
    </rPh>
    <rPh sb="8" eb="10">
      <t>ヒョウジュン</t>
    </rPh>
    <rPh sb="11" eb="13">
      <t>タイシン</t>
    </rPh>
    <rPh sb="13" eb="15">
      <t>セッケイ</t>
    </rPh>
    <phoneticPr fontId="5"/>
  </si>
  <si>
    <t>[ 鉄道総研　平成29年 3月 ]</t>
    <rPh sb="7" eb="9">
      <t>ヘイセイ</t>
    </rPh>
    <rPh sb="11" eb="12">
      <t>ネン</t>
    </rPh>
    <rPh sb="14" eb="15">
      <t>ツキ</t>
    </rPh>
    <phoneticPr fontId="5"/>
  </si>
  <si>
    <t>【 耐震照査の手引き 】と略記</t>
    <rPh sb="2" eb="4">
      <t>タイシン</t>
    </rPh>
    <rPh sb="4" eb="6">
      <t>ショウサ</t>
    </rPh>
    <rPh sb="7" eb="9">
      <t>テビ</t>
    </rPh>
    <rPh sb="13" eb="14">
      <t>リャク</t>
    </rPh>
    <rPh sb="14" eb="15">
      <t>キ</t>
    </rPh>
    <phoneticPr fontId="5"/>
  </si>
  <si>
    <t>鉄道構造物等設計標準（基礎構造物）【 平成24年版 】基礎構造物の性能照査の手引き</t>
    <rPh sb="0" eb="2">
      <t>テツドウ</t>
    </rPh>
    <rPh sb="2" eb="6">
      <t>コウゾウブツナド</t>
    </rPh>
    <rPh sb="6" eb="8">
      <t>セッケイ</t>
    </rPh>
    <rPh sb="8" eb="10">
      <t>ヒョウジュン</t>
    </rPh>
    <rPh sb="11" eb="13">
      <t>キソ</t>
    </rPh>
    <rPh sb="13" eb="16">
      <t>コウゾウブツ</t>
    </rPh>
    <rPh sb="24" eb="25">
      <t>バン</t>
    </rPh>
    <rPh sb="27" eb="29">
      <t>キソ</t>
    </rPh>
    <rPh sb="29" eb="32">
      <t>コウゾウブツ</t>
    </rPh>
    <rPh sb="33" eb="35">
      <t>セイノウ</t>
    </rPh>
    <rPh sb="35" eb="37">
      <t>ショウサ</t>
    </rPh>
    <rPh sb="38" eb="40">
      <t>テビ</t>
    </rPh>
    <phoneticPr fontId="5"/>
  </si>
  <si>
    <t>[ 鉄道総研　平成30年 7月 ]</t>
    <rPh sb="7" eb="9">
      <t>ヘイセイ</t>
    </rPh>
    <rPh sb="11" eb="12">
      <t>ネン</t>
    </rPh>
    <rPh sb="14" eb="15">
      <t>ツキ</t>
    </rPh>
    <phoneticPr fontId="5"/>
  </si>
  <si>
    <t>【 基礎照査の手引き 】と略記</t>
    <rPh sb="2" eb="4">
      <t>キソ</t>
    </rPh>
    <rPh sb="4" eb="6">
      <t>ショウサ</t>
    </rPh>
    <rPh sb="7" eb="9">
      <t>テビ</t>
    </rPh>
    <rPh sb="13" eb="14">
      <t>リャク</t>
    </rPh>
    <rPh sb="14" eb="15">
      <t>キ</t>
    </rPh>
    <phoneticPr fontId="5"/>
  </si>
  <si>
    <t>鉄道構造物等設計標準（基礎構造物）【 平成24年 1月版 】杭体設計の手引き</t>
    <rPh sb="0" eb="2">
      <t>テツドウ</t>
    </rPh>
    <rPh sb="2" eb="6">
      <t>コウゾウブツナド</t>
    </rPh>
    <rPh sb="6" eb="8">
      <t>セッケイ</t>
    </rPh>
    <rPh sb="8" eb="10">
      <t>ヒョウジュン</t>
    </rPh>
    <rPh sb="11" eb="13">
      <t>キソ</t>
    </rPh>
    <rPh sb="13" eb="16">
      <t>コウゾウブツ</t>
    </rPh>
    <rPh sb="30" eb="31">
      <t>クイ</t>
    </rPh>
    <rPh sb="31" eb="32">
      <t>タイ</t>
    </rPh>
    <rPh sb="32" eb="34">
      <t>セッケイ</t>
    </rPh>
    <rPh sb="35" eb="37">
      <t>テビ</t>
    </rPh>
    <phoneticPr fontId="5"/>
  </si>
  <si>
    <t>[ 鉄道総研　平成27年10月 ]</t>
    <rPh sb="7" eb="9">
      <t>ヘイセイ</t>
    </rPh>
    <rPh sb="11" eb="12">
      <t>ネン</t>
    </rPh>
    <rPh sb="14" eb="15">
      <t>ツキ</t>
    </rPh>
    <phoneticPr fontId="5"/>
  </si>
  <si>
    <t>【 杭体の手引き 】と略記</t>
    <rPh sb="2" eb="3">
      <t>クイ</t>
    </rPh>
    <rPh sb="3" eb="4">
      <t>タイ</t>
    </rPh>
    <rPh sb="5" eb="7">
      <t>テビ</t>
    </rPh>
    <rPh sb="11" eb="12">
      <t>リャク</t>
    </rPh>
    <rPh sb="12" eb="13">
      <t>キ</t>
    </rPh>
    <phoneticPr fontId="5"/>
  </si>
  <si>
    <t>2.3 使用プログラム</t>
    <rPh sb="3" eb="5">
      <t>シヨウ</t>
    </rPh>
    <phoneticPr fontId="5"/>
  </si>
  <si>
    <t>線名</t>
  </si>
  <si>
    <t>上越新幹線</t>
    <rPh sb="0" eb="5">
      <t>ジョウエツシンカンセン</t>
    </rPh>
    <phoneticPr fontId="5"/>
  </si>
  <si>
    <t>構造形式</t>
  </si>
  <si>
    <t>ＲＣ馬桁式橋脚</t>
    <rPh sb="2" eb="3">
      <t>ウマ</t>
    </rPh>
    <rPh sb="3" eb="4">
      <t>ケタ</t>
    </rPh>
    <rPh sb="4" eb="5">
      <t>シキ</t>
    </rPh>
    <rPh sb="5" eb="7">
      <t>キョウキャク</t>
    </rPh>
    <phoneticPr fontId="5"/>
  </si>
  <si>
    <t>軌道構造</t>
  </si>
  <si>
    <t>直結軌道</t>
    <phoneticPr fontId="5"/>
  </si>
  <si>
    <t>基礎形式</t>
  </si>
  <si>
    <t>杭基礎φ1300 (オールケーシング工法)</t>
    <phoneticPr fontId="5"/>
  </si>
  <si>
    <t>荷重の考え方、モデル化等については以下に準ずる。</t>
  </si>
  <si>
    <t>・鉄道構造物等設計標準・同解説　設計計算例　RCラーメン高架橋（平成25年3月）</t>
  </si>
  <si>
    <t>（公益社団法人鉄道総合技術研究所　鉄道技術推進センター）</t>
  </si>
  <si>
    <t>上記と異なる条件について以下に記載する.</t>
  </si>
  <si>
    <t>列車荷重は常時、地震時ともに考慮しない.</t>
    <phoneticPr fontId="5"/>
  </si>
  <si>
    <t>既設高架橋の固有周期算出を目的とするため、安全係数はすべて1.0とする.</t>
    <phoneticPr fontId="5"/>
  </si>
  <si>
    <t>(モデル化におけるY点上昇係数は0.9とする)</t>
  </si>
  <si>
    <t>電車線柱荷重は考慮しない.</t>
    <phoneticPr fontId="5"/>
  </si>
  <si>
    <t>調整桁反力等は、図面に設計荷重の記載がある場合、新たに算出はせずに記載の値を</t>
    <phoneticPr fontId="5"/>
  </si>
  <si>
    <t>使用するものとする.</t>
  </si>
  <si>
    <t>版上荷重(軌道重量、地覆、高欄等)はＰＣ桁上の載荷位置に応じて分担した反力が</t>
    <phoneticPr fontId="5"/>
  </si>
  <si>
    <t>作用し、上部工慣性力は分担した反力分の水平力が作用するものとする.</t>
  </si>
  <si>
    <t>ＰＣ桁は重量を2等分した反力がそれぞれ作用する.支承は半固定とし、上部工慣性力</t>
    <phoneticPr fontId="5"/>
  </si>
  <si>
    <t>は0.5Wが作用するものとする.（W：PC桁重量）</t>
  </si>
  <si>
    <t>以下に、本構造物の支承条件および慣性力作用のイメージ図を示す.</t>
  </si>
  <si>
    <t>1.1.2 152k477 第一湯元橋りょう（G2地盤，S=33(&lt;50)）</t>
    <phoneticPr fontId="5"/>
  </si>
  <si>
    <t>上部工荷重は、「上部工反力の計算」より以下に示す.</t>
    <rPh sb="0" eb="2">
      <t>ジョウブ</t>
    </rPh>
    <rPh sb="2" eb="3">
      <t>コウ</t>
    </rPh>
    <rPh sb="3" eb="5">
      <t>カジュウ</t>
    </rPh>
    <rPh sb="8" eb="10">
      <t>ジョウブ</t>
    </rPh>
    <rPh sb="10" eb="11">
      <t>コウ</t>
    </rPh>
    <rPh sb="11" eb="13">
      <t>ハンリョク</t>
    </rPh>
    <rPh sb="14" eb="16">
      <t>ケイサン</t>
    </rPh>
    <rPh sb="19" eb="21">
      <t>イカ</t>
    </rPh>
    <rPh sb="22" eb="23">
      <t>シメ</t>
    </rPh>
    <phoneticPr fontId="5"/>
  </si>
  <si>
    <t>PC桁</t>
    <rPh sb="2" eb="3">
      <t>ケタ</t>
    </rPh>
    <phoneticPr fontId="5"/>
  </si>
  <si>
    <t>PC6主桁</t>
    <rPh sb="3" eb="5">
      <t>シュケタ</t>
    </rPh>
    <phoneticPr fontId="5"/>
  </si>
  <si>
    <t>L＝</t>
    <phoneticPr fontId="5"/>
  </si>
  <si>
    <t>m</t>
    <phoneticPr fontId="5"/>
  </si>
  <si>
    <t>ΣRd＝</t>
    <phoneticPr fontId="5"/>
  </si>
  <si>
    <t>kN</t>
    <phoneticPr fontId="5"/>
  </si>
  <si>
    <t>SRC</t>
    <phoneticPr fontId="5"/>
  </si>
  <si>
    <t>§1.設計の目的及び一般条件</t>
    <rPh sb="3" eb="5">
      <t>セッケイ</t>
    </rPh>
    <rPh sb="6" eb="8">
      <t>モクテキ</t>
    </rPh>
    <rPh sb="8" eb="9">
      <t>オヨ</t>
    </rPh>
    <rPh sb="10" eb="12">
      <t>イッパン</t>
    </rPh>
    <rPh sb="12" eb="14">
      <t>ジョウケン</t>
    </rPh>
    <phoneticPr fontId="40"/>
  </si>
  <si>
    <t>JRSNAP Ver.5.2-L03：公益財団法人 鉄道総合技術研究所</t>
    <phoneticPr fontId="5"/>
  </si>
  <si>
    <t>§2.設計総括表</t>
    <rPh sb="3" eb="5">
      <t>セッケイ</t>
    </rPh>
    <rPh sb="5" eb="8">
      <t>ソウカツヒョウ</t>
    </rPh>
    <phoneticPr fontId="1"/>
  </si>
  <si>
    <t>解析ケース</t>
    <rPh sb="0" eb="2">
      <t>カイセキ</t>
    </rPh>
    <phoneticPr fontId="1"/>
  </si>
  <si>
    <t>名称</t>
    <phoneticPr fontId="1"/>
  </si>
  <si>
    <t>αf</t>
    <phoneticPr fontId="1"/>
  </si>
  <si>
    <t>ρm</t>
    <phoneticPr fontId="1"/>
  </si>
  <si>
    <t>降伏点</t>
    <rPh sb="0" eb="2">
      <t>コウフク</t>
    </rPh>
    <rPh sb="2" eb="3">
      <t>テン</t>
    </rPh>
    <phoneticPr fontId="1"/>
  </si>
  <si>
    <t>初期降伏震度</t>
    <rPh sb="0" eb="2">
      <t>ショキ</t>
    </rPh>
    <rPh sb="2" eb="4">
      <t>コウフク</t>
    </rPh>
    <rPh sb="4" eb="6">
      <t>シンド</t>
    </rPh>
    <phoneticPr fontId="1"/>
  </si>
  <si>
    <t>Khy</t>
    <phoneticPr fontId="1"/>
  </si>
  <si>
    <t>全体系折曲点震度</t>
    <rPh sb="0" eb="2">
      <t>ゼンタイ</t>
    </rPh>
    <rPh sb="2" eb="3">
      <t>ケイ</t>
    </rPh>
    <rPh sb="3" eb="4">
      <t>オ</t>
    </rPh>
    <rPh sb="4" eb="5">
      <t>マ</t>
    </rPh>
    <rPh sb="5" eb="6">
      <t>テン</t>
    </rPh>
    <rPh sb="6" eb="8">
      <t>シンド</t>
    </rPh>
    <phoneticPr fontId="1"/>
  </si>
  <si>
    <t>Kheq</t>
    <phoneticPr fontId="1"/>
  </si>
  <si>
    <t>降伏変位</t>
    <rPh sb="0" eb="2">
      <t>コウフク</t>
    </rPh>
    <rPh sb="2" eb="4">
      <t>ヘンイ</t>
    </rPh>
    <phoneticPr fontId="1"/>
  </si>
  <si>
    <t>δeq(mm)</t>
    <phoneticPr fontId="1"/>
  </si>
  <si>
    <t>降伏個所</t>
    <rPh sb="0" eb="2">
      <t>コウフク</t>
    </rPh>
    <rPh sb="2" eb="4">
      <t>カショ</t>
    </rPh>
    <phoneticPr fontId="1"/>
  </si>
  <si>
    <t>等価固有周期</t>
    <rPh sb="0" eb="2">
      <t>トウカ</t>
    </rPh>
    <rPh sb="2" eb="4">
      <t>コユウ</t>
    </rPh>
    <rPh sb="4" eb="6">
      <t>シュウキ</t>
    </rPh>
    <phoneticPr fontId="1"/>
  </si>
  <si>
    <t>Teq(sec)</t>
    <phoneticPr fontId="1"/>
  </si>
  <si>
    <t>復旧性</t>
    <rPh sb="0" eb="2">
      <t>フッキュウ</t>
    </rPh>
    <rPh sb="2" eb="3">
      <t>セイ</t>
    </rPh>
    <phoneticPr fontId="1"/>
  </si>
  <si>
    <t>応答塑性率</t>
    <rPh sb="0" eb="2">
      <t>オウトウ</t>
    </rPh>
    <rPh sb="2" eb="4">
      <t>ソセイ</t>
    </rPh>
    <rPh sb="4" eb="5">
      <t>リツ</t>
    </rPh>
    <phoneticPr fontId="1"/>
  </si>
  <si>
    <t>μ</t>
    <phoneticPr fontId="1"/>
  </si>
  <si>
    <t>最大応答変位</t>
    <rPh sb="0" eb="2">
      <t>サイダイ</t>
    </rPh>
    <rPh sb="2" eb="4">
      <t>オウトウ</t>
    </rPh>
    <rPh sb="4" eb="6">
      <t>ヘンイ</t>
    </rPh>
    <phoneticPr fontId="1"/>
  </si>
  <si>
    <t>δmax(mm)</t>
    <phoneticPr fontId="1"/>
  </si>
  <si>
    <t>最大応答震度</t>
    <rPh sb="0" eb="2">
      <t>サイダイ</t>
    </rPh>
    <rPh sb="2" eb="4">
      <t>オウトウ</t>
    </rPh>
    <rPh sb="4" eb="6">
      <t>シンド</t>
    </rPh>
    <phoneticPr fontId="1"/>
  </si>
  <si>
    <t>Khmax</t>
    <phoneticPr fontId="1"/>
  </si>
  <si>
    <t>L1地震動</t>
    <rPh sb="2" eb="5">
      <t>ジシンドウ</t>
    </rPh>
    <phoneticPr fontId="1"/>
  </si>
  <si>
    <t>KhL1</t>
    <phoneticPr fontId="1"/>
  </si>
  <si>
    <t>安全性</t>
    <rPh sb="0" eb="3">
      <t>アンゼンセイ</t>
    </rPh>
    <phoneticPr fontId="1"/>
  </si>
  <si>
    <t>6.上部工荷重</t>
    <rPh sb="2" eb="5">
      <t>ジョウブコウ</t>
    </rPh>
    <rPh sb="5" eb="7">
      <t>カジュウ</t>
    </rPh>
    <phoneticPr fontId="5"/>
  </si>
  <si>
    <t>5.地盤条件</t>
    <phoneticPr fontId="1"/>
  </si>
  <si>
    <t>4.設計作用</t>
    <phoneticPr fontId="1"/>
  </si>
  <si>
    <t>3.一般条件</t>
    <phoneticPr fontId="1"/>
  </si>
  <si>
    <t>2.適用基準及び使用プログラム</t>
    <phoneticPr fontId="5"/>
  </si>
  <si>
    <t>1.設計の目的</t>
    <rPh sb="2" eb="4">
      <t>セッケイ</t>
    </rPh>
    <rPh sb="5" eb="7">
      <t>モクテキ</t>
    </rPh>
    <phoneticPr fontId="5"/>
  </si>
  <si>
    <t>JR東日本</t>
    <rPh sb="2" eb="5">
      <t>ヒガシニホン</t>
    </rPh>
    <phoneticPr fontId="1"/>
  </si>
  <si>
    <t>長期支持性能</t>
    <rPh sb="0" eb="2">
      <t>チョウキ</t>
    </rPh>
    <rPh sb="2" eb="4">
      <t>シジ</t>
    </rPh>
    <rPh sb="4" eb="6">
      <t>セイノウ</t>
    </rPh>
    <phoneticPr fontId="1"/>
  </si>
  <si>
    <t>短期支持性能</t>
    <rPh sb="0" eb="2">
      <t>タンキ</t>
    </rPh>
    <rPh sb="2" eb="4">
      <t>シジ</t>
    </rPh>
    <rPh sb="4" eb="6">
      <t>セイノウ</t>
    </rPh>
    <phoneticPr fontId="1"/>
  </si>
  <si>
    <t>安全性(地震時以外)</t>
    <rPh sb="0" eb="3">
      <t>アンゼンセイ</t>
    </rPh>
    <rPh sb="4" eb="7">
      <t>ジシンジ</t>
    </rPh>
    <rPh sb="7" eb="9">
      <t>イガイ</t>
    </rPh>
    <phoneticPr fontId="1"/>
  </si>
  <si>
    <t>場所打ち杭</t>
    <rPh sb="0" eb="3">
      <t>バショウ</t>
    </rPh>
    <rPh sb="4" eb="5">
      <t>クイ</t>
    </rPh>
    <phoneticPr fontId="1"/>
  </si>
  <si>
    <t>復旧性(性能レベル1)</t>
    <rPh sb="0" eb="3">
      <t>フッキュウセイ</t>
    </rPh>
    <rPh sb="4" eb="6">
      <t>セイノウ</t>
    </rPh>
    <phoneticPr fontId="1"/>
  </si>
  <si>
    <t>復旧性(性能レベル2)</t>
    <rPh sb="0" eb="3">
      <t>フッキュウセイ</t>
    </rPh>
    <rPh sb="4" eb="6">
      <t>セイノウ</t>
    </rPh>
    <phoneticPr fontId="1"/>
  </si>
  <si>
    <t>Case1</t>
    <phoneticPr fontId="1"/>
  </si>
  <si>
    <t>Case2</t>
    <phoneticPr fontId="1"/>
  </si>
  <si>
    <t>※</t>
    <phoneticPr fontId="1"/>
  </si>
  <si>
    <t>Case1に対して異なるデータのみ記載する。</t>
    <rPh sb="6" eb="7">
      <t>タイ</t>
    </rPh>
    <rPh sb="9" eb="10">
      <t>コト</t>
    </rPh>
    <rPh sb="17" eb="19">
      <t>キサイ</t>
    </rPh>
    <phoneticPr fontId="1"/>
  </si>
  <si>
    <t>ρm＝1.0,αf＝1.0　左押し（←）</t>
    <rPh sb="14" eb="15">
      <t>ヒダリ</t>
    </rPh>
    <rPh sb="15" eb="16">
      <t>オ</t>
    </rPh>
    <phoneticPr fontId="1"/>
  </si>
  <si>
    <t>ρm＝1.0,αf＝1.0　右押し（→）</t>
    <rPh sb="14" eb="15">
      <t>ミギ</t>
    </rPh>
    <rPh sb="15" eb="16">
      <t>オ</t>
    </rPh>
    <phoneticPr fontId="1"/>
  </si>
  <si>
    <t>8.JRSNAP　入力データ出力</t>
    <rPh sb="9" eb="11">
      <t>ニュウリョク</t>
    </rPh>
    <rPh sb="14" eb="16">
      <t>シュツリョク</t>
    </rPh>
    <phoneticPr fontId="1"/>
  </si>
  <si>
    <t>　代表断面として、「Case1　ρm＝1.0,αf＝1.0　右押し（→）」の結果を以降に示す.</t>
    <rPh sb="1" eb="3">
      <t>ダイヒョウ</t>
    </rPh>
    <rPh sb="3" eb="5">
      <t>ダンメン</t>
    </rPh>
    <rPh sb="38" eb="40">
      <t>ケッカ</t>
    </rPh>
    <rPh sb="41" eb="43">
      <t>イコウ</t>
    </rPh>
    <rPh sb="44" eb="45">
      <t>シメ</t>
    </rPh>
    <phoneticPr fontId="1"/>
  </si>
  <si>
    <t>基本計算</t>
    <rPh sb="0" eb="2">
      <t>キホン</t>
    </rPh>
    <rPh sb="2" eb="4">
      <t>ケイサン</t>
    </rPh>
    <phoneticPr fontId="1"/>
  </si>
  <si>
    <t>地盤のモデル化</t>
    <rPh sb="0" eb="2">
      <t>ジバン</t>
    </rPh>
    <rPh sb="6" eb="7">
      <t>カ</t>
    </rPh>
    <phoneticPr fontId="1"/>
  </si>
  <si>
    <t>荷重計算</t>
    <rPh sb="0" eb="2">
      <t>カジュウ</t>
    </rPh>
    <rPh sb="2" eb="4">
      <t>ケイサン</t>
    </rPh>
    <phoneticPr fontId="1"/>
  </si>
  <si>
    <t>荷重図</t>
    <rPh sb="0" eb="2">
      <t>カジュウ</t>
    </rPh>
    <rPh sb="2" eb="3">
      <t>ズ</t>
    </rPh>
    <phoneticPr fontId="1"/>
  </si>
  <si>
    <t>組合せ</t>
    <rPh sb="0" eb="2">
      <t>クミアワ</t>
    </rPh>
    <phoneticPr fontId="1"/>
  </si>
  <si>
    <t>解析条件</t>
    <rPh sb="0" eb="2">
      <t>カイセキ</t>
    </rPh>
    <rPh sb="2" eb="4">
      <t>ジョウケン</t>
    </rPh>
    <phoneticPr fontId="1"/>
  </si>
  <si>
    <t>7.</t>
  </si>
  <si>
    <t>8.</t>
  </si>
  <si>
    <t>解析結果</t>
    <rPh sb="0" eb="2">
      <t>カイセキ</t>
    </rPh>
    <rPh sb="2" eb="4">
      <t>ケッカ</t>
    </rPh>
    <phoneticPr fontId="1"/>
  </si>
  <si>
    <t>JRSNAP 入力データ出力</t>
    <rPh sb="7" eb="9">
      <t>ニュウリョク</t>
    </rPh>
    <rPh sb="12" eb="14">
      <t>シュツリョク</t>
    </rPh>
    <phoneticPr fontId="1"/>
  </si>
  <si>
    <t>ρm＝1.0,αf＝1.0 右押し(→)</t>
  </si>
  <si>
    <t>ρm＝1.0,αf＝1.0 左押し(←)</t>
  </si>
  <si>
    <t>Case</t>
    <phoneticPr fontId="1"/>
  </si>
  <si>
    <t>左く体・損傷レベル</t>
    <rPh sb="0" eb="1">
      <t>ヒダリ</t>
    </rPh>
    <rPh sb="2" eb="3">
      <t>タイ</t>
    </rPh>
    <rPh sb="4" eb="6">
      <t>ソンショウ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</si>
</sst>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\ "/>
    <numFmt numFmtId="177" formatCode="0.000_ "/>
    <numFmt numFmtId="178" formatCode="0.00&quot;(設計径)&quot;"/>
    <numFmt numFmtId="179" formatCode="0.000"/>
    <numFmt numFmtId="180" formatCode="0.00000"/>
    <numFmt numFmtId="181" formatCode="&quot;π/&quot;0"/>
    <numFmt numFmtId="182" formatCode="0.00000_ "/>
    <numFmt numFmtId="183" formatCode="0.00&quot;(公称径)&quot;"/>
    <numFmt numFmtId="184" formatCode="0.0"/>
    <numFmt numFmtId="185" formatCode="0_ "/>
    <numFmt numFmtId="186" formatCode="&quot;D&quot;##"/>
    <numFmt numFmtId="187" formatCode="0.0_ "/>
    <numFmt numFmtId="188" formatCode="&quot;杭&quot;#&quot;本当り&quot;"/>
    <numFmt numFmtId="189" formatCode="&quot;Ｄ&quot;\ #,##0;&quot;▲&quot;\ #,##0"/>
    <numFmt numFmtId="190" formatCode="&quot;第&quot;0&quot;層&quot;"/>
  </numFmts>
  <fonts count="4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0"/>
      <color rgb="FF0000FF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10"/>
      <name val="ＭＳ ゴシック"/>
      <family val="3"/>
      <charset val="128"/>
    </font>
    <font>
      <b/>
      <sz val="10"/>
      <name val="ＭＳ 明朝"/>
      <family val="1"/>
      <charset val="128"/>
    </font>
    <font>
      <sz val="6"/>
      <name val="ＭＳ Ｐ明朝"/>
      <family val="1"/>
      <charset val="128"/>
    </font>
    <font>
      <vertAlign val="superscript"/>
      <sz val="10"/>
      <name val="ＭＳ 明朝"/>
      <family val="1"/>
      <charset val="128"/>
    </font>
    <font>
      <sz val="8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indexed="8"/>
      <name val="ＭＳ 明朝"/>
      <family val="1"/>
      <charset val="128"/>
    </font>
    <font>
      <vertAlign val="subscript"/>
      <sz val="10"/>
      <color indexed="8"/>
      <name val="ＭＳ 明朝"/>
      <family val="1"/>
      <charset val="128"/>
    </font>
    <font>
      <vertAlign val="superscript"/>
      <sz val="10"/>
      <color indexed="8"/>
      <name val="ＭＳ 明朝"/>
      <family val="1"/>
      <charset val="128"/>
    </font>
    <font>
      <vertAlign val="superscript"/>
      <sz val="10"/>
      <color rgb="FF000000"/>
      <name val="ＭＳ 明朝"/>
      <family val="1"/>
      <charset val="128"/>
    </font>
    <font>
      <vertAlign val="subscript"/>
      <sz val="10"/>
      <name val="ＭＳ 明朝"/>
      <family val="1"/>
      <charset val="128"/>
    </font>
    <font>
      <sz val="10"/>
      <color indexed="10"/>
      <name val="ＭＳ 明朝"/>
      <family val="1"/>
      <charset val="128"/>
    </font>
    <font>
      <b/>
      <sz val="10"/>
      <color indexed="10"/>
      <name val="ＭＳ 明朝"/>
      <family val="1"/>
      <charset val="128"/>
    </font>
    <font>
      <sz val="10.5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rgb="FF0000FF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1"/>
      <name val="ＭＳ Ｐ明朝"/>
      <family val="1"/>
      <charset val="128"/>
    </font>
    <font>
      <sz val="10"/>
      <color rgb="FFC00000"/>
      <name val="ＭＳ 明朝"/>
      <family val="1"/>
      <charset val="128"/>
    </font>
    <font>
      <b/>
      <sz val="10"/>
      <color indexed="12"/>
      <name val="ＭＳ 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.5"/>
      <color rgb="FF0000FF"/>
      <name val="ＭＳ 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2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ゴシック"/>
      <family val="3"/>
      <charset val="128"/>
    </font>
    <font>
      <sz val="10.5"/>
      <color indexed="10"/>
      <name val="ＭＳ 明朝"/>
      <family val="1"/>
      <charset val="128"/>
    </font>
    <font>
      <sz val="10"/>
      <color indexed="8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indexed="8"/>
      <name val="ＭＳ ゴシック"/>
      <family val="3"/>
      <charset val="128"/>
    </font>
    <font>
      <sz val="11"/>
      <color theme="1"/>
      <name val="ＭＳ 明朝"/>
      <family val="1"/>
      <charset val="128"/>
    </font>
    <font>
      <b/>
      <sz val="10"/>
      <color rgb="FF0000FF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2" fillId="0" borderId="0">
      <alignment vertical="center"/>
    </xf>
    <xf numFmtId="0" fontId="22" fillId="0" borderId="0"/>
    <xf numFmtId="0" fontId="4" fillId="0" borderId="0">
      <alignment vertical="center"/>
    </xf>
    <xf numFmtId="0" fontId="3" fillId="0" borderId="0">
      <alignment vertical="center"/>
    </xf>
    <xf numFmtId="0" fontId="43" fillId="0" borderId="0"/>
  </cellStyleXfs>
  <cellXfs count="799">
    <xf numFmtId="0" fontId="0" fillId="0" borderId="0" xfId="0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right" vertical="center"/>
    </xf>
    <xf numFmtId="2" fontId="6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9" fillId="0" borderId="0" xfId="0" quotePrefix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textRotation="180"/>
    </xf>
    <xf numFmtId="0" fontId="4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12" fontId="4" fillId="0" borderId="0" xfId="0" applyNumberFormat="1" applyFont="1" applyAlignment="1">
      <alignment horizontal="center" vertical="center"/>
    </xf>
    <xf numFmtId="2" fontId="4" fillId="0" borderId="0" xfId="0" quotePrefix="1" applyNumberFormat="1" applyFont="1" applyAlignment="1">
      <alignment vertical="center"/>
    </xf>
    <xf numFmtId="2" fontId="4" fillId="0" borderId="0" xfId="0" quotePrefix="1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quotePrefix="1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horizontal="distributed" vertical="center"/>
    </xf>
    <xf numFmtId="0" fontId="15" fillId="0" borderId="0" xfId="0" quotePrefix="1" applyFont="1" applyAlignment="1">
      <alignment horizontal="center" vertical="center"/>
    </xf>
    <xf numFmtId="0" fontId="15" fillId="0" borderId="0" xfId="0" quotePrefix="1" applyFont="1" applyAlignment="1">
      <alignment vertical="center"/>
    </xf>
    <xf numFmtId="0" fontId="15" fillId="0" borderId="0" xfId="0" applyFont="1" applyAlignment="1">
      <alignment horizontal="center" vertical="center"/>
    </xf>
    <xf numFmtId="185" fontId="4" fillId="0" borderId="0" xfId="0" applyNumberFormat="1" applyFont="1" applyAlignment="1">
      <alignment vertical="center"/>
    </xf>
    <xf numFmtId="2" fontId="15" fillId="0" borderId="0" xfId="0" quotePrefix="1" applyNumberFormat="1" applyFont="1" applyAlignment="1">
      <alignment horizontal="left" vertical="center"/>
    </xf>
    <xf numFmtId="184" fontId="4" fillId="0" borderId="0" xfId="0" quotePrefix="1" applyNumberFormat="1" applyFont="1" applyAlignment="1">
      <alignment horizontal="center" vertical="center"/>
    </xf>
    <xf numFmtId="0" fontId="4" fillId="0" borderId="0" xfId="1" applyFont="1" applyAlignment="1">
      <alignment vertical="center" shrinkToFit="1"/>
    </xf>
    <xf numFmtId="0" fontId="10" fillId="0" borderId="0" xfId="1" applyFont="1">
      <alignment vertical="center"/>
    </xf>
    <xf numFmtId="0" fontId="4" fillId="0" borderId="1" xfId="0" applyFont="1" applyBorder="1" applyAlignment="1">
      <alignment horizontal="center" vertical="center"/>
    </xf>
    <xf numFmtId="2" fontId="4" fillId="0" borderId="0" xfId="0" quotePrefix="1" applyNumberFormat="1" applyFont="1" applyAlignment="1">
      <alignment horizontal="center" vertical="center"/>
    </xf>
    <xf numFmtId="0" fontId="15" fillId="0" borderId="0" xfId="0" quotePrefix="1" applyFont="1" applyAlignment="1">
      <alignment horizontal="right" vertical="center"/>
    </xf>
    <xf numFmtId="184" fontId="4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 shrinkToFit="1"/>
    </xf>
    <xf numFmtId="2" fontId="4" fillId="0" borderId="0" xfId="0" applyNumberFormat="1" applyFont="1"/>
    <xf numFmtId="1" fontId="12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" fontId="10" fillId="0" borderId="0" xfId="0" quotePrefix="1" applyNumberFormat="1" applyFont="1" applyAlignment="1">
      <alignment horizontal="center" vertical="center"/>
    </xf>
    <xf numFmtId="0" fontId="10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center" vertical="center"/>
    </xf>
    <xf numFmtId="182" fontId="10" fillId="0" borderId="0" xfId="0" applyNumberFormat="1" applyFont="1" applyAlignment="1">
      <alignment vertical="center" shrinkToFit="1"/>
    </xf>
    <xf numFmtId="0" fontId="10" fillId="0" borderId="0" xfId="0" applyFont="1" applyAlignment="1">
      <alignment vertical="center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1" fontId="15" fillId="0" borderId="0" xfId="0" quotePrefix="1" applyNumberFormat="1" applyFont="1" applyAlignment="1">
      <alignment horizontal="center" vertical="center"/>
    </xf>
    <xf numFmtId="2" fontId="15" fillId="0" borderId="0" xfId="0" quotePrefix="1" applyNumberFormat="1" applyFont="1" applyAlignment="1">
      <alignment horizontal="center" vertical="center"/>
    </xf>
    <xf numFmtId="2" fontId="4" fillId="0" borderId="0" xfId="0" quotePrefix="1" applyNumberFormat="1" applyFont="1" applyAlignment="1">
      <alignment horizontal="left" vertical="center"/>
    </xf>
    <xf numFmtId="177" fontId="23" fillId="0" borderId="0" xfId="0" applyNumberFormat="1" applyFont="1" applyAlignment="1">
      <alignment vertical="center"/>
    </xf>
    <xf numFmtId="187" fontId="21" fillId="0" borderId="0" xfId="0" applyNumberFormat="1" applyFont="1" applyAlignment="1">
      <alignment vertical="center"/>
    </xf>
    <xf numFmtId="184" fontId="4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2" fontId="24" fillId="0" borderId="0" xfId="0" applyNumberFormat="1" applyFont="1" applyAlignment="1">
      <alignment vertical="center"/>
    </xf>
    <xf numFmtId="2" fontId="25" fillId="0" borderId="0" xfId="0" applyNumberFormat="1" applyFont="1" applyAlignment="1">
      <alignment vertical="center"/>
    </xf>
    <xf numFmtId="2" fontId="26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179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84" fontId="9" fillId="0" borderId="0" xfId="0" applyNumberFormat="1" applyFont="1" applyAlignment="1">
      <alignment vertical="center"/>
    </xf>
    <xf numFmtId="184" fontId="4" fillId="0" borderId="1" xfId="0" applyNumberFormat="1" applyFont="1" applyBorder="1" applyAlignment="1">
      <alignment vertical="center"/>
    </xf>
    <xf numFmtId="179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186" fontId="6" fillId="0" borderId="8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79" fontId="6" fillId="0" borderId="1" xfId="0" applyNumberFormat="1" applyFont="1" applyBorder="1" applyAlignment="1">
      <alignment vertical="center"/>
    </xf>
    <xf numFmtId="179" fontId="4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4" fillId="0" borderId="65" xfId="0" applyNumberFormat="1" applyFont="1" applyBorder="1" applyAlignment="1">
      <alignment vertical="center"/>
    </xf>
    <xf numFmtId="0" fontId="4" fillId="0" borderId="65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2" fontId="4" fillId="0" borderId="65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top"/>
    </xf>
    <xf numFmtId="179" fontId="6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184" fontId="4" fillId="0" borderId="64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88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vertical="center"/>
    </xf>
    <xf numFmtId="179" fontId="4" fillId="0" borderId="1" xfId="0" quotePrefix="1" applyNumberFormat="1" applyFont="1" applyBorder="1" applyAlignment="1">
      <alignment vertical="center"/>
    </xf>
    <xf numFmtId="179" fontId="4" fillId="0" borderId="1" xfId="0" quotePrefix="1" applyNumberFormat="1" applyFont="1" applyBorder="1" applyAlignment="1">
      <alignment horizontal="center" vertical="center"/>
    </xf>
    <xf numFmtId="179" fontId="27" fillId="0" borderId="1" xfId="0" applyNumberFormat="1" applyFont="1" applyBorder="1" applyAlignment="1">
      <alignment vertical="top"/>
    </xf>
    <xf numFmtId="179" fontId="27" fillId="0" borderId="0" xfId="0" applyNumberFormat="1" applyFont="1" applyAlignment="1">
      <alignment vertical="center"/>
    </xf>
    <xf numFmtId="179" fontId="27" fillId="0" borderId="1" xfId="0" applyNumberFormat="1" applyFont="1" applyBorder="1" applyAlignment="1">
      <alignment vertical="center"/>
    </xf>
    <xf numFmtId="179" fontId="4" fillId="0" borderId="0" xfId="0" applyNumberFormat="1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79" fontId="6" fillId="3" borderId="1" xfId="0" applyNumberFormat="1" applyFont="1" applyFill="1" applyBorder="1" applyAlignment="1">
      <alignment vertical="center"/>
    </xf>
    <xf numFmtId="2" fontId="9" fillId="0" borderId="0" xfId="0" quotePrefix="1" applyNumberFormat="1" applyFont="1" applyAlignment="1">
      <alignment vertical="center"/>
    </xf>
    <xf numFmtId="2" fontId="9" fillId="0" borderId="0" xfId="0" applyNumberFormat="1" applyFont="1" applyAlignment="1">
      <alignment horizontal="right" vertical="center"/>
    </xf>
    <xf numFmtId="0" fontId="4" fillId="0" borderId="1" xfId="2" applyFont="1" applyBorder="1" applyAlignment="1">
      <alignment horizontal="centerContinuous" vertical="center"/>
    </xf>
    <xf numFmtId="0" fontId="4" fillId="0" borderId="23" xfId="2" applyFont="1" applyBorder="1" applyAlignment="1">
      <alignment horizontal="centerContinuous" vertical="center"/>
    </xf>
    <xf numFmtId="1" fontId="4" fillId="0" borderId="65" xfId="2" applyNumberFormat="1" applyFont="1" applyBorder="1" applyAlignment="1">
      <alignment horizontal="center" vertical="center"/>
    </xf>
    <xf numFmtId="1" fontId="6" fillId="0" borderId="65" xfId="2" applyNumberFormat="1" applyFont="1" applyBorder="1" applyAlignment="1" applyProtection="1">
      <alignment horizontal="center" vertical="center"/>
      <protection locked="0"/>
    </xf>
    <xf numFmtId="0" fontId="4" fillId="0" borderId="8" xfId="2" applyFont="1" applyBorder="1" applyAlignment="1">
      <alignment horizontal="center" vertical="center"/>
    </xf>
    <xf numFmtId="1" fontId="6" fillId="0" borderId="1" xfId="2" applyNumberFormat="1" applyFont="1" applyBorder="1" applyAlignment="1" applyProtection="1">
      <alignment horizontal="center" vertical="center"/>
      <protection locked="0"/>
    </xf>
    <xf numFmtId="0" fontId="4" fillId="0" borderId="12" xfId="2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1" fontId="4" fillId="0" borderId="23" xfId="2" applyNumberFormat="1" applyFont="1" applyBorder="1" applyAlignment="1">
      <alignment horizontal="center" vertical="center"/>
    </xf>
    <xf numFmtId="1" fontId="6" fillId="0" borderId="23" xfId="2" applyNumberFormat="1" applyFont="1" applyBorder="1" applyAlignment="1" applyProtection="1">
      <alignment horizontal="center" vertical="center"/>
      <protection locked="0"/>
    </xf>
    <xf numFmtId="0" fontId="4" fillId="0" borderId="33" xfId="2" applyFont="1" applyBorder="1" applyAlignment="1">
      <alignment horizontal="center" vertical="center"/>
    </xf>
    <xf numFmtId="1" fontId="4" fillId="0" borderId="66" xfId="2" applyNumberFormat="1" applyFont="1" applyBorder="1" applyAlignment="1">
      <alignment horizontal="center" vertical="center"/>
    </xf>
    <xf numFmtId="1" fontId="6" fillId="0" borderId="66" xfId="2" applyNumberFormat="1" applyFont="1" applyBorder="1" applyAlignment="1" applyProtection="1">
      <alignment horizontal="center" vertical="center"/>
      <protection locked="0"/>
    </xf>
    <xf numFmtId="0" fontId="4" fillId="0" borderId="55" xfId="2" applyFont="1" applyBorder="1" applyAlignment="1">
      <alignment horizontal="center" vertical="center"/>
    </xf>
    <xf numFmtId="1" fontId="4" fillId="0" borderId="1" xfId="2" applyNumberFormat="1" applyFont="1" applyBorder="1" applyAlignment="1" applyProtection="1">
      <alignment horizontal="center" vertical="center"/>
      <protection locked="0"/>
    </xf>
    <xf numFmtId="0" fontId="4" fillId="0" borderId="26" xfId="2" applyFont="1" applyBorder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quotePrefix="1" applyFont="1" applyAlignment="1">
      <alignment horizontal="center" vertical="center"/>
    </xf>
    <xf numFmtId="0" fontId="4" fillId="0" borderId="0" xfId="2" applyFont="1" applyAlignment="1">
      <alignment horizontal="center" vertical="center" shrinkToFit="1"/>
    </xf>
    <xf numFmtId="1" fontId="6" fillId="0" borderId="23" xfId="2" applyNumberFormat="1" applyFont="1" applyBorder="1" applyAlignment="1">
      <alignment horizontal="center" vertical="center"/>
    </xf>
    <xf numFmtId="179" fontId="4" fillId="0" borderId="0" xfId="2" quotePrefix="1" applyNumberFormat="1" applyFont="1" applyAlignment="1">
      <alignment horizontal="center" vertical="center"/>
    </xf>
    <xf numFmtId="179" fontId="4" fillId="0" borderId="0" xfId="2" applyNumberFormat="1" applyFont="1" applyAlignment="1">
      <alignment horizontal="center" vertical="center"/>
    </xf>
    <xf numFmtId="180" fontId="4" fillId="0" borderId="0" xfId="2" quotePrefix="1" applyNumberFormat="1" applyFont="1" applyAlignment="1">
      <alignment horizontal="center" vertical="center"/>
    </xf>
    <xf numFmtId="180" fontId="4" fillId="0" borderId="0" xfId="2" applyNumberFormat="1" applyFont="1" applyAlignment="1">
      <alignment horizontal="center" vertical="center"/>
    </xf>
    <xf numFmtId="1" fontId="6" fillId="0" borderId="66" xfId="2" applyNumberFormat="1" applyFont="1" applyBorder="1" applyAlignment="1">
      <alignment horizontal="center" vertical="center"/>
    </xf>
    <xf numFmtId="1" fontId="4" fillId="0" borderId="0" xfId="2" applyNumberFormat="1" applyFont="1" applyAlignment="1" applyProtection="1">
      <alignment horizontal="center" vertical="center"/>
      <protection locked="0"/>
    </xf>
    <xf numFmtId="2" fontId="4" fillId="0" borderId="0" xfId="0" applyNumberFormat="1" applyFont="1" applyAlignment="1">
      <alignment vertical="center" textRotation="255"/>
    </xf>
    <xf numFmtId="1" fontId="6" fillId="3" borderId="1" xfId="2" applyNumberFormat="1" applyFont="1" applyFill="1" applyBorder="1" applyAlignment="1" applyProtection="1">
      <alignment horizontal="center" vertical="center"/>
      <protection locked="0"/>
    </xf>
    <xf numFmtId="1" fontId="4" fillId="0" borderId="23" xfId="2" applyNumberFormat="1" applyFont="1" applyBorder="1" applyAlignment="1" applyProtection="1">
      <alignment horizontal="center" vertical="center"/>
      <protection locked="0"/>
    </xf>
    <xf numFmtId="0" fontId="4" fillId="0" borderId="0" xfId="0" applyFont="1"/>
    <xf numFmtId="179" fontId="4" fillId="3" borderId="1" xfId="0" applyNumberFormat="1" applyFont="1" applyFill="1" applyBorder="1" applyAlignment="1">
      <alignment vertical="center"/>
    </xf>
    <xf numFmtId="2" fontId="4" fillId="0" borderId="64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184" fontId="4" fillId="0" borderId="8" xfId="0" applyNumberFormat="1" applyFont="1" applyBorder="1" applyAlignment="1">
      <alignment vertical="center"/>
    </xf>
    <xf numFmtId="179" fontId="4" fillId="0" borderId="1" xfId="0" applyNumberFormat="1" applyFont="1" applyBorder="1" applyAlignment="1">
      <alignment vertical="center" wrapText="1"/>
    </xf>
    <xf numFmtId="179" fontId="4" fillId="0" borderId="64" xfId="0" applyNumberFormat="1" applyFont="1" applyBorder="1" applyAlignment="1">
      <alignment vertical="center" wrapText="1"/>
    </xf>
    <xf numFmtId="184" fontId="6" fillId="0" borderId="1" xfId="0" applyNumberFormat="1" applyFont="1" applyBorder="1" applyAlignment="1">
      <alignment vertical="center"/>
    </xf>
    <xf numFmtId="179" fontId="29" fillId="0" borderId="64" xfId="0" applyNumberFormat="1" applyFont="1" applyBorder="1" applyAlignment="1">
      <alignment vertical="center" wrapText="1"/>
    </xf>
    <xf numFmtId="179" fontId="29" fillId="0" borderId="64" xfId="0" applyNumberFormat="1" applyFont="1" applyBorder="1" applyAlignment="1">
      <alignment vertical="center"/>
    </xf>
    <xf numFmtId="184" fontId="4" fillId="0" borderId="10" xfId="0" applyNumberFormat="1" applyFont="1" applyBorder="1" applyAlignment="1">
      <alignment vertical="center"/>
    </xf>
    <xf numFmtId="184" fontId="4" fillId="0" borderId="11" xfId="0" applyNumberFormat="1" applyFont="1" applyBorder="1" applyAlignment="1">
      <alignment vertical="center"/>
    </xf>
    <xf numFmtId="184" fontId="4" fillId="2" borderId="1" xfId="0" applyNumberFormat="1" applyFont="1" applyFill="1" applyBorder="1" applyAlignment="1">
      <alignment vertical="center"/>
    </xf>
    <xf numFmtId="184" fontId="4" fillId="2" borderId="11" xfId="0" applyNumberFormat="1" applyFont="1" applyFill="1" applyBorder="1" applyAlignment="1">
      <alignment vertical="center"/>
    </xf>
    <xf numFmtId="184" fontId="4" fillId="2" borderId="7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84" fontId="6" fillId="0" borderId="1" xfId="0" applyNumberFormat="1" applyFont="1" applyBorder="1" applyAlignment="1">
      <alignment vertical="top"/>
    </xf>
    <xf numFmtId="184" fontId="6" fillId="2" borderId="1" xfId="0" applyNumberFormat="1" applyFont="1" applyFill="1" applyBorder="1" applyAlignment="1">
      <alignment vertical="center"/>
    </xf>
    <xf numFmtId="189" fontId="30" fillId="0" borderId="1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2" fontId="4" fillId="0" borderId="8" xfId="0" applyNumberFormat="1" applyFont="1" applyBorder="1" applyAlignment="1">
      <alignment vertical="center"/>
    </xf>
    <xf numFmtId="2" fontId="4" fillId="0" borderId="8" xfId="0" quotePrefix="1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1" fontId="10" fillId="0" borderId="1" xfId="0" applyNumberFormat="1" applyFont="1" applyBorder="1" applyAlignment="1">
      <alignment vertical="center"/>
    </xf>
    <xf numFmtId="184" fontId="10" fillId="0" borderId="0" xfId="0" applyNumberFormat="1" applyFont="1" applyAlignment="1">
      <alignment vertical="center"/>
    </xf>
    <xf numFmtId="184" fontId="10" fillId="0" borderId="1" xfId="0" applyNumberFormat="1" applyFont="1" applyBorder="1" applyAlignment="1">
      <alignment vertical="center"/>
    </xf>
    <xf numFmtId="184" fontId="4" fillId="4" borderId="1" xfId="0" applyNumberFormat="1" applyFont="1" applyFill="1" applyBorder="1" applyAlignment="1">
      <alignment vertical="center"/>
    </xf>
    <xf numFmtId="184" fontId="4" fillId="4" borderId="11" xfId="0" applyNumberFormat="1" applyFont="1" applyFill="1" applyBorder="1" applyAlignment="1">
      <alignment vertical="center"/>
    </xf>
    <xf numFmtId="184" fontId="4" fillId="4" borderId="71" xfId="0" applyNumberFormat="1" applyFont="1" applyFill="1" applyBorder="1" applyAlignment="1">
      <alignment vertical="center"/>
    </xf>
    <xf numFmtId="2" fontId="4" fillId="0" borderId="1" xfId="0" quotePrefix="1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vertical="center"/>
    </xf>
    <xf numFmtId="0" fontId="4" fillId="0" borderId="0" xfId="3" quotePrefix="1" applyFont="1" applyAlignment="1">
      <alignment horizontal="right" vertical="center"/>
    </xf>
    <xf numFmtId="0" fontId="4" fillId="0" borderId="0" xfId="4" applyFont="1">
      <alignment vertical="center"/>
    </xf>
    <xf numFmtId="0" fontId="4" fillId="0" borderId="0" xfId="4" applyFont="1" applyAlignment="1">
      <alignment horizontal="center" vertical="center"/>
    </xf>
    <xf numFmtId="0" fontId="4" fillId="0" borderId="0" xfId="4" quotePrefix="1" applyFont="1">
      <alignment vertical="center"/>
    </xf>
    <xf numFmtId="0" fontId="4" fillId="0" borderId="0" xfId="5" applyFont="1">
      <alignment vertical="center"/>
    </xf>
    <xf numFmtId="0" fontId="4" fillId="0" borderId="2" xfId="4" applyFont="1" applyBorder="1" applyAlignment="1">
      <alignment horizontal="centerContinuous" vertical="center"/>
    </xf>
    <xf numFmtId="0" fontId="4" fillId="0" borderId="3" xfId="4" applyFont="1" applyBorder="1" applyAlignment="1">
      <alignment horizontal="centerContinuous" vertical="center"/>
    </xf>
    <xf numFmtId="0" fontId="4" fillId="0" borderId="4" xfId="4" applyFont="1" applyBorder="1" applyAlignment="1">
      <alignment horizontal="centerContinuous" vertical="center"/>
    </xf>
    <xf numFmtId="0" fontId="4" fillId="0" borderId="7" xfId="4" applyFont="1" applyBorder="1" applyAlignment="1">
      <alignment horizontal="centerContinuous" vertical="center"/>
    </xf>
    <xf numFmtId="0" fontId="4" fillId="0" borderId="8" xfId="4" applyFont="1" applyBorder="1" applyAlignment="1">
      <alignment horizontal="centerContinuous" vertical="center"/>
    </xf>
    <xf numFmtId="0" fontId="4" fillId="0" borderId="9" xfId="4" applyFont="1" applyBorder="1" applyAlignment="1">
      <alignment horizontal="centerContinuous" vertical="center"/>
    </xf>
    <xf numFmtId="0" fontId="4" fillId="0" borderId="7" xfId="4" applyFont="1" applyBorder="1">
      <alignment vertical="center"/>
    </xf>
    <xf numFmtId="0" fontId="4" fillId="0" borderId="9" xfId="4" applyFont="1" applyBorder="1">
      <alignment vertical="center"/>
    </xf>
    <xf numFmtId="0" fontId="4" fillId="0" borderId="12" xfId="4" quotePrefix="1" applyFont="1" applyBorder="1">
      <alignment vertical="center"/>
    </xf>
    <xf numFmtId="0" fontId="4" fillId="0" borderId="10" xfId="4" quotePrefix="1" applyFont="1" applyBorder="1">
      <alignment vertical="center"/>
    </xf>
    <xf numFmtId="179" fontId="4" fillId="0" borderId="1" xfId="0" applyNumberFormat="1" applyFont="1" applyBorder="1" applyAlignment="1">
      <alignment vertical="top"/>
    </xf>
    <xf numFmtId="0" fontId="27" fillId="0" borderId="0" xfId="6" applyFont="1" applyAlignment="1">
      <alignment horizontal="left" vertical="center"/>
    </xf>
    <xf numFmtId="2" fontId="34" fillId="0" borderId="0" xfId="0" applyNumberFormat="1" applyFont="1" applyAlignment="1">
      <alignment vertical="center"/>
    </xf>
    <xf numFmtId="0" fontId="34" fillId="0" borderId="0" xfId="0" applyFont="1" applyAlignment="1">
      <alignment horizontal="left" vertical="center"/>
    </xf>
    <xf numFmtId="0" fontId="35" fillId="0" borderId="0" xfId="7" applyFont="1" applyAlignment="1">
      <alignment vertical="center"/>
    </xf>
    <xf numFmtId="0" fontId="22" fillId="0" borderId="2" xfId="7" applyBorder="1" applyAlignment="1">
      <alignment vertical="center"/>
    </xf>
    <xf numFmtId="0" fontId="22" fillId="0" borderId="3" xfId="7" applyBorder="1" applyAlignment="1">
      <alignment vertical="center"/>
    </xf>
    <xf numFmtId="0" fontId="22" fillId="0" borderId="4" xfId="7" applyBorder="1" applyAlignment="1">
      <alignment vertical="center"/>
    </xf>
    <xf numFmtId="0" fontId="4" fillId="0" borderId="0" xfId="8">
      <alignment vertical="center"/>
    </xf>
    <xf numFmtId="0" fontId="22" fillId="0" borderId="0" xfId="7" applyAlignment="1">
      <alignment vertical="center"/>
    </xf>
    <xf numFmtId="0" fontId="22" fillId="0" borderId="5" xfId="7" applyBorder="1" applyAlignment="1">
      <alignment vertical="center"/>
    </xf>
    <xf numFmtId="0" fontId="22" fillId="0" borderId="6" xfId="7" applyBorder="1" applyAlignment="1">
      <alignment vertical="center"/>
    </xf>
    <xf numFmtId="0" fontId="9" fillId="0" borderId="5" xfId="7" applyFont="1" applyBorder="1" applyAlignment="1">
      <alignment vertical="center"/>
    </xf>
    <xf numFmtId="0" fontId="36" fillId="0" borderId="0" xfId="7" applyFont="1" applyAlignment="1">
      <alignment vertical="center"/>
    </xf>
    <xf numFmtId="0" fontId="31" fillId="0" borderId="0" xfId="7" applyFont="1" applyAlignment="1">
      <alignment vertical="center"/>
    </xf>
    <xf numFmtId="0" fontId="9" fillId="0" borderId="0" xfId="7" applyFont="1" applyAlignment="1">
      <alignment vertical="center"/>
    </xf>
    <xf numFmtId="0" fontId="36" fillId="0" borderId="0" xfId="7" applyFont="1" applyAlignment="1">
      <alignment horizontal="center" vertical="center"/>
    </xf>
    <xf numFmtId="0" fontId="31" fillId="0" borderId="0" xfId="7" applyFont="1" applyAlignment="1">
      <alignment horizontal="center" vertical="center"/>
    </xf>
    <xf numFmtId="0" fontId="38" fillId="0" borderId="0" xfId="7" applyFont="1" applyAlignment="1">
      <alignment horizontal="distributed" vertical="center" indent="2"/>
    </xf>
    <xf numFmtId="0" fontId="22" fillId="0" borderId="7" xfId="7" applyBorder="1" applyAlignment="1">
      <alignment vertical="center"/>
    </xf>
    <xf numFmtId="0" fontId="22" fillId="0" borderId="8" xfId="7" applyBorder="1" applyAlignment="1">
      <alignment vertical="center"/>
    </xf>
    <xf numFmtId="0" fontId="22" fillId="0" borderId="9" xfId="7" applyBorder="1" applyAlignment="1">
      <alignment vertical="center"/>
    </xf>
    <xf numFmtId="1" fontId="9" fillId="0" borderId="0" xfId="0" quotePrefix="1" applyNumberFormat="1" applyFont="1"/>
    <xf numFmtId="1" fontId="9" fillId="0" borderId="0" xfId="0" quotePrefix="1" applyNumberFormat="1" applyFont="1" applyAlignment="1">
      <alignment horizontal="center"/>
    </xf>
    <xf numFmtId="1" fontId="9" fillId="0" borderId="0" xfId="0" applyNumberFormat="1" applyFont="1"/>
    <xf numFmtId="1" fontId="39" fillId="0" borderId="0" xfId="0" quotePrefix="1" applyNumberFormat="1" applyFont="1" applyAlignment="1">
      <alignment horizontal="center"/>
    </xf>
    <xf numFmtId="1" fontId="39" fillId="0" borderId="0" xfId="0" quotePrefix="1" applyNumberFormat="1" applyFont="1" applyAlignment="1">
      <alignment horizontal="center" shrinkToFit="1"/>
    </xf>
    <xf numFmtId="1" fontId="39" fillId="0" borderId="0" xfId="0" quotePrefix="1" applyNumberFormat="1" applyFont="1"/>
    <xf numFmtId="1" fontId="39" fillId="0" borderId="0" xfId="0" applyNumberFormat="1" applyFont="1" applyAlignment="1">
      <alignment horizontal="center"/>
    </xf>
    <xf numFmtId="1" fontId="39" fillId="0" borderId="0" xfId="0" applyNumberFormat="1" applyFont="1" applyAlignment="1">
      <alignment horizontal="right"/>
    </xf>
    <xf numFmtId="1" fontId="39" fillId="0" borderId="0" xfId="0" applyNumberFormat="1" applyFont="1"/>
    <xf numFmtId="1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 shrinkToFit="1"/>
    </xf>
    <xf numFmtId="1" fontId="34" fillId="0" borderId="0" xfId="0" applyNumberFormat="1" applyFont="1"/>
    <xf numFmtId="0" fontId="9" fillId="0" borderId="0" xfId="0" applyFont="1" applyAlignment="1">
      <alignment horizontal="center" shrinkToFit="1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0" quotePrefix="1" applyNumberFormat="1" applyFont="1" applyAlignment="1">
      <alignment horizontal="right"/>
    </xf>
    <xf numFmtId="1" fontId="9" fillId="0" borderId="0" xfId="9" applyNumberFormat="1" applyFont="1" applyAlignment="1"/>
    <xf numFmtId="0" fontId="9" fillId="0" borderId="0" xfId="0" quotePrefix="1" applyFont="1"/>
    <xf numFmtId="1" fontId="9" fillId="0" borderId="0" xfId="0" applyNumberFormat="1" applyFont="1" applyAlignment="1">
      <alignment shrinkToFit="1"/>
    </xf>
    <xf numFmtId="0" fontId="34" fillId="0" borderId="0" xfId="8" applyFont="1">
      <alignment vertical="center"/>
    </xf>
    <xf numFmtId="0" fontId="4" fillId="0" borderId="0" xfId="8" quotePrefix="1">
      <alignment vertical="center"/>
    </xf>
    <xf numFmtId="0" fontId="10" fillId="0" borderId="0" xfId="8" applyFont="1">
      <alignment vertical="center"/>
    </xf>
    <xf numFmtId="0" fontId="9" fillId="0" borderId="0" xfId="8" applyFont="1">
      <alignment vertical="center"/>
    </xf>
    <xf numFmtId="0" fontId="8" fillId="0" borderId="0" xfId="7" applyFont="1" applyAlignment="1">
      <alignment horizontal="left" vertical="center" indent="1"/>
    </xf>
    <xf numFmtId="20" fontId="4" fillId="0" borderId="0" xfId="8" applyNumberFormat="1">
      <alignment vertical="center"/>
    </xf>
    <xf numFmtId="179" fontId="4" fillId="0" borderId="0" xfId="8" applyNumberFormat="1">
      <alignment vertical="center"/>
    </xf>
    <xf numFmtId="0" fontId="4" fillId="0" borderId="0" xfId="7" applyFont="1"/>
    <xf numFmtId="0" fontId="9" fillId="0" borderId="0" xfId="7" applyFont="1"/>
    <xf numFmtId="0" fontId="9" fillId="0" borderId="0" xfId="7" applyFont="1" applyAlignment="1">
      <alignment horizontal="right"/>
    </xf>
    <xf numFmtId="185" fontId="9" fillId="0" borderId="0" xfId="7" applyNumberFormat="1" applyFont="1" applyAlignment="1">
      <alignment horizontal="left"/>
    </xf>
    <xf numFmtId="0" fontId="41" fillId="0" borderId="0" xfId="7" applyFont="1"/>
    <xf numFmtId="0" fontId="4" fillId="0" borderId="0" xfId="7" applyFont="1" applyAlignment="1">
      <alignment horizontal="center"/>
    </xf>
    <xf numFmtId="2" fontId="4" fillId="0" borderId="0" xfId="7" applyNumberFormat="1" applyFont="1" applyAlignment="1">
      <alignment horizontal="right" textRotation="90"/>
    </xf>
    <xf numFmtId="0" fontId="4" fillId="0" borderId="0" xfId="7" applyFont="1" applyAlignment="1">
      <alignment horizontal="right" textRotation="90"/>
    </xf>
    <xf numFmtId="0" fontId="4" fillId="0" borderId="0" xfId="7" applyFont="1" applyAlignment="1">
      <alignment horizontal="center" textRotation="180"/>
    </xf>
    <xf numFmtId="1" fontId="4" fillId="0" borderId="0" xfId="7" quotePrefix="1" applyNumberFormat="1" applyFont="1" applyAlignment="1">
      <alignment horizontal="right"/>
    </xf>
    <xf numFmtId="0" fontId="4" fillId="0" borderId="0" xfId="7" applyFont="1" applyAlignment="1">
      <alignment horizontal="left"/>
    </xf>
    <xf numFmtId="0" fontId="4" fillId="0" borderId="0" xfId="7" applyFont="1" applyAlignment="1">
      <alignment horizontal="right"/>
    </xf>
    <xf numFmtId="0" fontId="15" fillId="0" borderId="0" xfId="7" applyFont="1"/>
    <xf numFmtId="2" fontId="4" fillId="0" borderId="0" xfId="7" applyNumberFormat="1" applyFont="1"/>
    <xf numFmtId="2" fontId="4" fillId="0" borderId="0" xfId="7" quotePrefix="1" applyNumberFormat="1" applyFont="1" applyAlignment="1">
      <alignment horizontal="right"/>
    </xf>
    <xf numFmtId="2" fontId="4" fillId="0" borderId="0" xfId="8" applyNumberFormat="1">
      <alignment vertical="center"/>
    </xf>
    <xf numFmtId="176" fontId="4" fillId="0" borderId="0" xfId="8" applyNumberFormat="1">
      <alignment vertical="center"/>
    </xf>
    <xf numFmtId="0" fontId="4" fillId="0" borderId="0" xfId="8" applyAlignment="1">
      <alignment horizontal="right" vertical="center"/>
    </xf>
    <xf numFmtId="0" fontId="9" fillId="0" borderId="0" xfId="8" quotePrefix="1" applyFont="1">
      <alignment vertical="center"/>
    </xf>
    <xf numFmtId="0" fontId="34" fillId="0" borderId="0" xfId="8" quotePrefix="1" applyFont="1">
      <alignment vertical="center"/>
    </xf>
    <xf numFmtId="0" fontId="42" fillId="0" borderId="0" xfId="8" applyFont="1">
      <alignment vertical="center"/>
    </xf>
    <xf numFmtId="20" fontId="9" fillId="0" borderId="0" xfId="8" applyNumberFormat="1" applyFont="1">
      <alignment vertical="center"/>
    </xf>
    <xf numFmtId="185" fontId="4" fillId="0" borderId="0" xfId="7" applyNumberFormat="1" applyFont="1" applyAlignment="1">
      <alignment horizontal="left"/>
    </xf>
    <xf numFmtId="176" fontId="9" fillId="0" borderId="0" xfId="8" applyNumberFormat="1" applyFont="1">
      <alignment vertical="center"/>
    </xf>
    <xf numFmtId="0" fontId="44" fillId="0" borderId="0" xfId="10" applyFont="1" applyAlignment="1" applyProtection="1">
      <alignment vertical="center"/>
      <protection locked="0"/>
    </xf>
    <xf numFmtId="0" fontId="45" fillId="0" borderId="0" xfId="10" applyFont="1"/>
    <xf numFmtId="0" fontId="15" fillId="0" borderId="7" xfId="10" applyFont="1" applyBorder="1" applyAlignment="1" applyProtection="1">
      <alignment vertical="center"/>
      <protection locked="0"/>
    </xf>
    <xf numFmtId="0" fontId="15" fillId="0" borderId="84" xfId="10" applyFont="1" applyBorder="1" applyAlignment="1" applyProtection="1">
      <alignment vertical="center"/>
      <protection locked="0"/>
    </xf>
    <xf numFmtId="0" fontId="15" fillId="0" borderId="83" xfId="10" applyFont="1" applyBorder="1" applyAlignment="1" applyProtection="1">
      <alignment horizontal="center" vertical="center"/>
      <protection locked="0"/>
    </xf>
    <xf numFmtId="0" fontId="15" fillId="0" borderId="86" xfId="10" applyFont="1" applyBorder="1" applyAlignment="1" applyProtection="1">
      <alignment vertical="center"/>
      <protection locked="0"/>
    </xf>
    <xf numFmtId="0" fontId="15" fillId="0" borderId="88" xfId="10" applyFont="1" applyBorder="1" applyAlignment="1" applyProtection="1">
      <alignment vertical="center"/>
      <protection locked="0"/>
    </xf>
    <xf numFmtId="0" fontId="15" fillId="0" borderId="89" xfId="10" applyFont="1" applyBorder="1" applyAlignment="1" applyProtection="1">
      <alignment vertical="center"/>
      <protection locked="0"/>
    </xf>
    <xf numFmtId="0" fontId="15" fillId="0" borderId="90" xfId="10" applyFont="1" applyBorder="1" applyAlignment="1" applyProtection="1">
      <alignment vertical="center"/>
      <protection locked="0"/>
    </xf>
    <xf numFmtId="1" fontId="39" fillId="0" borderId="0" xfId="0" quotePrefix="1" applyNumberFormat="1" applyFont="1" applyAlignment="1">
      <alignment horizontal="centerContinuous"/>
    </xf>
    <xf numFmtId="184" fontId="46" fillId="0" borderId="1" xfId="0" applyNumberFormat="1" applyFont="1" applyBorder="1" applyAlignment="1">
      <alignment horizontal="center" vertical="center" shrinkToFit="1"/>
    </xf>
    <xf numFmtId="2" fontId="46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vertical="top"/>
    </xf>
    <xf numFmtId="184" fontId="4" fillId="0" borderId="1" xfId="0" applyNumberFormat="1" applyFont="1" applyBorder="1" applyAlignment="1">
      <alignment vertical="top"/>
    </xf>
    <xf numFmtId="0" fontId="9" fillId="0" borderId="0" xfId="9" applyFont="1" applyAlignment="1">
      <alignment horizontal="center" shrinkToFit="1"/>
    </xf>
    <xf numFmtId="184" fontId="15" fillId="0" borderId="83" xfId="7" applyNumberFormat="1" applyFont="1" applyBorder="1" applyAlignment="1" applyProtection="1">
      <alignment horizontal="center" vertical="center"/>
      <protection locked="0"/>
    </xf>
    <xf numFmtId="184" fontId="15" fillId="0" borderId="65" xfId="7" applyNumberFormat="1" applyFont="1" applyBorder="1" applyAlignment="1" applyProtection="1">
      <alignment horizontal="center" vertical="center"/>
      <protection locked="0"/>
    </xf>
    <xf numFmtId="184" fontId="15" fillId="0" borderId="87" xfId="7" applyNumberFormat="1" applyFont="1" applyBorder="1" applyAlignment="1" applyProtection="1">
      <alignment horizontal="center" vertical="center"/>
      <protection locked="0"/>
    </xf>
    <xf numFmtId="179" fontId="15" fillId="0" borderId="65" xfId="7" applyNumberFormat="1" applyFont="1" applyBorder="1" applyAlignment="1" applyProtection="1">
      <alignment horizontal="center" vertical="center"/>
      <protection locked="0"/>
    </xf>
    <xf numFmtId="184" fontId="6" fillId="0" borderId="87" xfId="7" applyNumberFormat="1" applyFont="1" applyBorder="1" applyAlignment="1" applyProtection="1">
      <alignment horizontal="center" vertical="center"/>
      <protection locked="0"/>
    </xf>
    <xf numFmtId="179" fontId="6" fillId="0" borderId="87" xfId="7" applyNumberFormat="1" applyFont="1" applyBorder="1" applyAlignment="1" applyProtection="1">
      <alignment horizontal="center" vertical="center"/>
      <protection locked="0"/>
    </xf>
    <xf numFmtId="179" fontId="6" fillId="0" borderId="65" xfId="7" applyNumberFormat="1" applyFont="1" applyBorder="1" applyAlignment="1" applyProtection="1">
      <alignment horizontal="center" vertical="center"/>
      <protection locked="0"/>
    </xf>
    <xf numFmtId="179" fontId="6" fillId="0" borderId="83" xfId="7" applyNumberFormat="1" applyFont="1" applyBorder="1" applyAlignment="1" applyProtection="1">
      <alignment horizontal="center" vertical="center"/>
      <protection locked="0"/>
    </xf>
    <xf numFmtId="2" fontId="15" fillId="0" borderId="65" xfId="7" applyNumberFormat="1" applyFont="1" applyBorder="1" applyAlignment="1" applyProtection="1">
      <alignment horizontal="center" vertical="center" shrinkToFit="1"/>
      <protection locked="0"/>
    </xf>
    <xf numFmtId="2" fontId="6" fillId="0" borderId="83" xfId="7" quotePrefix="1" applyNumberFormat="1" applyFont="1" applyBorder="1" applyAlignment="1" applyProtection="1">
      <alignment horizontal="center" vertical="center"/>
      <protection locked="0"/>
    </xf>
    <xf numFmtId="2" fontId="4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2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38" fillId="0" borderId="0" xfId="7" applyFont="1" applyAlignment="1">
      <alignment horizontal="distributed" vertical="center" indent="2"/>
    </xf>
    <xf numFmtId="0" fontId="37" fillId="0" borderId="0" xfId="7" applyFont="1" applyAlignment="1">
      <alignment horizontal="distributed" vertical="center" indent="2"/>
    </xf>
    <xf numFmtId="0" fontId="37" fillId="0" borderId="0" xfId="7" applyFont="1" applyAlignment="1">
      <alignment horizontal="center" vertical="center"/>
    </xf>
    <xf numFmtId="0" fontId="38" fillId="0" borderId="0" xfId="7" applyFont="1" applyAlignment="1">
      <alignment horizontal="center" vertical="center"/>
    </xf>
    <xf numFmtId="0" fontId="36" fillId="0" borderId="0" xfId="7" applyFont="1" applyAlignment="1">
      <alignment horizontal="center" vertical="center"/>
    </xf>
    <xf numFmtId="0" fontId="4" fillId="0" borderId="0" xfId="7" applyFont="1" applyAlignment="1">
      <alignment horizontal="center" vertical="center" shrinkToFit="1"/>
    </xf>
    <xf numFmtId="0" fontId="4" fillId="0" borderId="0" xfId="7" applyFont="1" applyAlignment="1">
      <alignment horizontal="center" vertical="center"/>
    </xf>
    <xf numFmtId="1" fontId="39" fillId="0" borderId="0" xfId="0" applyNumberFormat="1" applyFont="1" applyAlignment="1">
      <alignment horizontal="center"/>
    </xf>
    <xf numFmtId="2" fontId="4" fillId="3" borderId="0" xfId="8" applyNumberFormat="1" applyFill="1" applyAlignment="1">
      <alignment horizontal="center" vertical="center" shrinkToFit="1"/>
    </xf>
    <xf numFmtId="184" fontId="4" fillId="3" borderId="0" xfId="8" applyNumberFormat="1" applyFill="1" applyAlignment="1">
      <alignment horizontal="center" vertical="center" shrinkToFit="1"/>
    </xf>
    <xf numFmtId="0" fontId="15" fillId="0" borderId="79" xfId="10" applyFont="1" applyBorder="1" applyAlignment="1" applyProtection="1">
      <alignment horizontal="center" vertical="center"/>
      <protection locked="0"/>
    </xf>
    <xf numFmtId="0" fontId="15" fillId="0" borderId="81" xfId="10" applyFont="1" applyBorder="1" applyAlignment="1" applyProtection="1">
      <alignment horizontal="center" vertical="center"/>
      <protection locked="0"/>
    </xf>
    <xf numFmtId="0" fontId="15" fillId="0" borderId="82" xfId="10" applyFont="1" applyBorder="1" applyAlignment="1" applyProtection="1">
      <alignment horizontal="center" vertical="center"/>
      <protection locked="0"/>
    </xf>
    <xf numFmtId="0" fontId="15" fillId="0" borderId="80" xfId="10" applyFont="1" applyBorder="1" applyAlignment="1" applyProtection="1">
      <alignment horizontal="center" vertical="center"/>
      <protection locked="0"/>
    </xf>
    <xf numFmtId="0" fontId="15" fillId="0" borderId="84" xfId="10" applyFont="1" applyBorder="1" applyAlignment="1" applyProtection="1">
      <alignment vertical="center"/>
      <protection locked="0"/>
    </xf>
    <xf numFmtId="0" fontId="15" fillId="0" borderId="85" xfId="10" applyFont="1" applyBorder="1" applyAlignment="1" applyProtection="1">
      <alignment vertical="center"/>
      <protection locked="0"/>
    </xf>
    <xf numFmtId="0" fontId="15" fillId="0" borderId="7" xfId="10" applyFont="1" applyBorder="1" applyAlignment="1" applyProtection="1">
      <alignment vertical="center"/>
      <protection locked="0"/>
    </xf>
    <xf numFmtId="0" fontId="15" fillId="0" borderId="9" xfId="10" applyFont="1" applyBorder="1" applyAlignment="1" applyProtection="1">
      <alignment vertical="center"/>
      <protection locked="0"/>
    </xf>
    <xf numFmtId="2" fontId="4" fillId="0" borderId="0" xfId="0" applyNumberFormat="1" applyFont="1" applyAlignment="1">
      <alignment horizontal="center" vertical="center" shrinkToFit="1"/>
    </xf>
    <xf numFmtId="181" fontId="4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right" vertical="center" shrinkToFit="1"/>
    </xf>
    <xf numFmtId="183" fontId="4" fillId="0" borderId="0" xfId="0" applyNumberFormat="1" applyFont="1" applyAlignment="1">
      <alignment horizontal="center" vertical="center" shrinkToFit="1"/>
    </xf>
    <xf numFmtId="178" fontId="4" fillId="0" borderId="0" xfId="0" applyNumberFormat="1" applyFont="1" applyAlignment="1">
      <alignment horizontal="center" vertical="center" shrinkToFit="1"/>
    </xf>
    <xf numFmtId="183" fontId="6" fillId="0" borderId="0" xfId="0" applyNumberFormat="1" applyFont="1" applyAlignment="1">
      <alignment horizontal="center" vertical="center" shrinkToFit="1"/>
    </xf>
    <xf numFmtId="177" fontId="4" fillId="0" borderId="0" xfId="0" applyNumberFormat="1" applyFont="1" applyAlignment="1">
      <alignment horizontal="right" vertical="center" shrinkToFit="1"/>
    </xf>
    <xf numFmtId="2" fontId="4" fillId="0" borderId="0" xfId="0" applyNumberFormat="1" applyFont="1" applyAlignment="1">
      <alignment vertical="center"/>
    </xf>
    <xf numFmtId="2" fontId="4" fillId="0" borderId="7" xfId="0" applyNumberFormat="1" applyFont="1" applyBorder="1" applyAlignment="1">
      <alignment horizontal="right" vertical="center"/>
    </xf>
    <xf numFmtId="2" fontId="4" fillId="0" borderId="8" xfId="0" applyNumberFormat="1" applyFont="1" applyBorder="1" applyAlignment="1">
      <alignment horizontal="right" vertical="center"/>
    </xf>
    <xf numFmtId="2" fontId="4" fillId="0" borderId="9" xfId="0" applyNumberFormat="1" applyFont="1" applyBorder="1" applyAlignment="1">
      <alignment horizontal="right" vertical="center"/>
    </xf>
    <xf numFmtId="179" fontId="4" fillId="0" borderId="7" xfId="0" applyNumberFormat="1" applyFont="1" applyBorder="1" applyAlignment="1">
      <alignment vertical="center"/>
    </xf>
    <xf numFmtId="179" fontId="4" fillId="0" borderId="8" xfId="0" applyNumberFormat="1" applyFont="1" applyBorder="1" applyAlignment="1">
      <alignment vertical="center"/>
    </xf>
    <xf numFmtId="179" fontId="4" fillId="0" borderId="9" xfId="0" applyNumberFormat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179" fontId="4" fillId="0" borderId="8" xfId="0" applyNumberFormat="1" applyFont="1" applyBorder="1" applyAlignment="1">
      <alignment horizontal="center" vertical="center"/>
    </xf>
    <xf numFmtId="179" fontId="4" fillId="0" borderId="12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179" fontId="4" fillId="0" borderId="11" xfId="0" applyNumberFormat="1" applyFont="1" applyBorder="1" applyAlignment="1">
      <alignment vertical="center"/>
    </xf>
    <xf numFmtId="179" fontId="4" fillId="0" borderId="12" xfId="0" applyNumberFormat="1" applyFont="1" applyBorder="1" applyAlignment="1">
      <alignment vertical="center"/>
    </xf>
    <xf numFmtId="179" fontId="4" fillId="0" borderId="10" xfId="0" applyNumberFormat="1" applyFont="1" applyBorder="1" applyAlignment="1">
      <alignment vertical="center"/>
    </xf>
    <xf numFmtId="12" fontId="4" fillId="0" borderId="12" xfId="0" applyNumberFormat="1" applyFont="1" applyBorder="1" applyAlignment="1">
      <alignment horizontal="center" vertical="center"/>
    </xf>
    <xf numFmtId="179" fontId="4" fillId="0" borderId="10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 textRotation="90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2" fontId="14" fillId="0" borderId="0" xfId="0" quotePrefix="1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 vertical="center" shrinkToFit="1"/>
    </xf>
    <xf numFmtId="2" fontId="6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vertical="center" shrinkToFit="1"/>
    </xf>
    <xf numFmtId="13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vertical="center" shrinkToFit="1"/>
    </xf>
    <xf numFmtId="1" fontId="6" fillId="0" borderId="0" xfId="0" quotePrefix="1" applyNumberFormat="1" applyFont="1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distributed" vertical="center"/>
    </xf>
    <xf numFmtId="0" fontId="15" fillId="0" borderId="0" xfId="0" applyFont="1" applyAlignment="1">
      <alignment horizontal="center" vertical="center"/>
    </xf>
    <xf numFmtId="184" fontId="15" fillId="0" borderId="0" xfId="0" quotePrefix="1" applyNumberFormat="1" applyFont="1" applyAlignment="1">
      <alignment horizontal="center" vertical="center"/>
    </xf>
    <xf numFmtId="1" fontId="15" fillId="0" borderId="0" xfId="0" quotePrefix="1" applyNumberFormat="1" applyFont="1" applyAlignment="1">
      <alignment horizontal="center" vertical="center"/>
    </xf>
    <xf numFmtId="184" fontId="4" fillId="0" borderId="0" xfId="0" quotePrefix="1" applyNumberFormat="1" applyFont="1" applyAlignment="1">
      <alignment horizontal="center" vertical="center"/>
    </xf>
    <xf numFmtId="1" fontId="4" fillId="0" borderId="0" xfId="0" quotePrefix="1" applyNumberFormat="1" applyFont="1" applyAlignment="1">
      <alignment horizontal="center" vertical="center"/>
    </xf>
    <xf numFmtId="1" fontId="4" fillId="0" borderId="0" xfId="0" quotePrefix="1" applyNumberFormat="1" applyFont="1" applyAlignment="1">
      <alignment horizontal="center" vertical="center" shrinkToFit="1"/>
    </xf>
    <xf numFmtId="2" fontId="4" fillId="0" borderId="7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7" xfId="0" quotePrefix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29" xfId="0" applyNumberFormat="1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2" fontId="4" fillId="0" borderId="3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shrinkToFit="1"/>
    </xf>
    <xf numFmtId="2" fontId="4" fillId="0" borderId="3" xfId="0" applyNumberFormat="1" applyFont="1" applyBorder="1" applyAlignment="1">
      <alignment horizontal="center" vertical="center" shrinkToFit="1"/>
    </xf>
    <xf numFmtId="2" fontId="4" fillId="0" borderId="4" xfId="0" applyNumberFormat="1" applyFont="1" applyBorder="1" applyAlignment="1">
      <alignment horizontal="center" vertical="center" shrinkToFit="1"/>
    </xf>
    <xf numFmtId="2" fontId="4" fillId="0" borderId="5" xfId="0" applyNumberFormat="1" applyFont="1" applyBorder="1" applyAlignment="1">
      <alignment horizontal="center" vertical="center" shrinkToFit="1"/>
    </xf>
    <xf numFmtId="2" fontId="4" fillId="0" borderId="6" xfId="0" applyNumberFormat="1" applyFont="1" applyBorder="1" applyAlignment="1">
      <alignment horizontal="center" vertical="center" shrinkToFit="1"/>
    </xf>
    <xf numFmtId="2" fontId="4" fillId="0" borderId="29" xfId="0" applyNumberFormat="1" applyFont="1" applyBorder="1" applyAlignment="1">
      <alignment horizontal="center" vertical="center" shrinkToFit="1"/>
    </xf>
    <xf numFmtId="2" fontId="4" fillId="0" borderId="30" xfId="0" applyNumberFormat="1" applyFont="1" applyBorder="1" applyAlignment="1">
      <alignment horizontal="center" vertical="center" shrinkToFit="1"/>
    </xf>
    <xf numFmtId="2" fontId="4" fillId="0" borderId="31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186" fontId="6" fillId="0" borderId="2" xfId="0" applyNumberFormat="1" applyFont="1" applyBorder="1" applyAlignment="1">
      <alignment horizontal="center" vertical="center"/>
    </xf>
    <xf numFmtId="186" fontId="6" fillId="0" borderId="3" xfId="0" applyNumberFormat="1" applyFont="1" applyBorder="1" applyAlignment="1">
      <alignment horizontal="center" vertical="center"/>
    </xf>
    <xf numFmtId="186" fontId="6" fillId="0" borderId="4" xfId="0" applyNumberFormat="1" applyFont="1" applyBorder="1" applyAlignment="1">
      <alignment horizontal="center" vertical="center"/>
    </xf>
    <xf numFmtId="186" fontId="6" fillId="0" borderId="5" xfId="0" applyNumberFormat="1" applyFont="1" applyBorder="1" applyAlignment="1">
      <alignment horizontal="center" vertical="center"/>
    </xf>
    <xf numFmtId="186" fontId="6" fillId="0" borderId="6" xfId="0" applyNumberFormat="1" applyFont="1" applyBorder="1" applyAlignment="1">
      <alignment horizontal="center" vertical="center"/>
    </xf>
    <xf numFmtId="186" fontId="6" fillId="0" borderId="7" xfId="0" applyNumberFormat="1" applyFont="1" applyBorder="1" applyAlignment="1">
      <alignment horizontal="center" vertical="center"/>
    </xf>
    <xf numFmtId="186" fontId="6" fillId="0" borderId="8" xfId="0" applyNumberFormat="1" applyFont="1" applyBorder="1" applyAlignment="1">
      <alignment horizontal="center" vertical="center"/>
    </xf>
    <xf numFmtId="186" fontId="6" fillId="0" borderId="9" xfId="0" applyNumberFormat="1" applyFont="1" applyBorder="1" applyAlignment="1">
      <alignment horizontal="center" vertical="center"/>
    </xf>
    <xf numFmtId="184" fontId="4" fillId="0" borderId="0" xfId="0" applyNumberFormat="1" applyFont="1" applyAlignment="1">
      <alignment vertical="center"/>
    </xf>
    <xf numFmtId="184" fontId="10" fillId="2" borderId="11" xfId="0" applyNumberFormat="1" applyFont="1" applyFill="1" applyBorder="1" applyAlignment="1">
      <alignment horizontal="center" vertical="center"/>
    </xf>
    <xf numFmtId="184" fontId="10" fillId="2" borderId="12" xfId="0" applyNumberFormat="1" applyFont="1" applyFill="1" applyBorder="1" applyAlignment="1">
      <alignment horizontal="center" vertical="center"/>
    </xf>
    <xf numFmtId="184" fontId="10" fillId="2" borderId="10" xfId="0" applyNumberFormat="1" applyFont="1" applyFill="1" applyBorder="1" applyAlignment="1">
      <alignment horizontal="center" vertical="center"/>
    </xf>
    <xf numFmtId="184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 wrapText="1"/>
    </xf>
    <xf numFmtId="2" fontId="4" fillId="3" borderId="66" xfId="2" applyNumberFormat="1" applyFont="1" applyFill="1" applyBorder="1" applyAlignment="1" applyProtection="1">
      <alignment horizontal="center" vertical="center"/>
      <protection locked="0"/>
    </xf>
    <xf numFmtId="2" fontId="4" fillId="3" borderId="60" xfId="2" applyNumberFormat="1" applyFont="1" applyFill="1" applyBorder="1" applyAlignment="1" applyProtection="1">
      <alignment horizontal="center" vertical="center"/>
      <protection locked="0"/>
    </xf>
    <xf numFmtId="0" fontId="4" fillId="0" borderId="55" xfId="2" quotePrefix="1" applyFont="1" applyBorder="1" applyAlignment="1">
      <alignment horizontal="center" vertical="center"/>
    </xf>
    <xf numFmtId="0" fontId="4" fillId="0" borderId="55" xfId="2" applyFont="1" applyBorder="1" applyAlignment="1">
      <alignment horizontal="center" vertical="center"/>
    </xf>
    <xf numFmtId="0" fontId="4" fillId="0" borderId="66" xfId="2" applyFont="1" applyBorder="1" applyAlignment="1">
      <alignment horizontal="center" vertical="center" shrinkToFit="1"/>
    </xf>
    <xf numFmtId="0" fontId="6" fillId="0" borderId="1" xfId="2" applyFont="1" applyBorder="1" applyAlignment="1">
      <alignment horizontal="center" vertical="center"/>
    </xf>
    <xf numFmtId="2" fontId="4" fillId="0" borderId="65" xfId="0" applyNumberFormat="1" applyFont="1" applyBorder="1" applyAlignment="1">
      <alignment horizontal="center" vertical="center"/>
    </xf>
    <xf numFmtId="0" fontId="4" fillId="0" borderId="65" xfId="2" applyFont="1" applyBorder="1" applyAlignment="1" applyProtection="1">
      <alignment horizontal="center" vertical="center" shrinkToFit="1"/>
      <protection locked="0"/>
    </xf>
    <xf numFmtId="0" fontId="4" fillId="0" borderId="65" xfId="2" applyFont="1" applyBorder="1" applyAlignment="1" applyProtection="1">
      <alignment horizontal="center" vertical="center"/>
      <protection locked="0"/>
    </xf>
    <xf numFmtId="2" fontId="4" fillId="0" borderId="1" xfId="2" applyNumberFormat="1" applyFont="1" applyBorder="1" applyAlignment="1">
      <alignment horizontal="center" vertical="center"/>
    </xf>
    <xf numFmtId="2" fontId="4" fillId="0" borderId="11" xfId="2" applyNumberFormat="1" applyFont="1" applyBorder="1" applyAlignment="1">
      <alignment horizontal="center" vertical="center"/>
    </xf>
    <xf numFmtId="0" fontId="6" fillId="0" borderId="66" xfId="2" applyFont="1" applyBorder="1" applyAlignment="1" applyProtection="1">
      <alignment horizontal="center" vertical="center"/>
      <protection locked="0"/>
    </xf>
    <xf numFmtId="0" fontId="6" fillId="0" borderId="66" xfId="2" applyFont="1" applyBorder="1" applyAlignment="1">
      <alignment horizontal="center" vertical="center"/>
    </xf>
    <xf numFmtId="2" fontId="4" fillId="0" borderId="66" xfId="0" applyNumberFormat="1" applyFont="1" applyBorder="1" applyAlignment="1">
      <alignment horizontal="center" vertical="center"/>
    </xf>
    <xf numFmtId="0" fontId="4" fillId="0" borderId="66" xfId="2" applyFont="1" applyBorder="1" applyAlignment="1" applyProtection="1">
      <alignment horizontal="center" vertical="center" shrinkToFit="1"/>
      <protection locked="0"/>
    </xf>
    <xf numFmtId="0" fontId="4" fillId="0" borderId="66" xfId="2" applyFont="1" applyBorder="1" applyAlignment="1" applyProtection="1">
      <alignment horizontal="center" vertical="center"/>
      <protection locked="0"/>
    </xf>
    <xf numFmtId="0" fontId="4" fillId="0" borderId="1" xfId="2" applyFont="1" applyBorder="1" applyAlignment="1">
      <alignment horizontal="center" vertical="center" shrinkToFit="1"/>
    </xf>
    <xf numFmtId="0" fontId="4" fillId="0" borderId="1" xfId="2" applyFont="1" applyBorder="1" applyAlignment="1" applyProtection="1">
      <alignment horizontal="center" vertical="center" shrinkToFit="1"/>
      <protection locked="0"/>
    </xf>
    <xf numFmtId="0" fontId="4" fillId="0" borderId="1" xfId="2" applyFont="1" applyBorder="1" applyAlignment="1" applyProtection="1">
      <alignment horizontal="center" vertical="center"/>
      <protection locked="0"/>
    </xf>
    <xf numFmtId="0" fontId="4" fillId="0" borderId="12" xfId="2" quotePrefix="1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 shrinkToFit="1"/>
    </xf>
    <xf numFmtId="0" fontId="4" fillId="0" borderId="10" xfId="2" applyFont="1" applyBorder="1" applyAlignment="1">
      <alignment horizontal="center" vertical="center" shrinkToFit="1"/>
    </xf>
    <xf numFmtId="0" fontId="4" fillId="0" borderId="12" xfId="2" applyFont="1" applyBorder="1" applyAlignment="1">
      <alignment horizontal="center" vertical="center"/>
    </xf>
    <xf numFmtId="0" fontId="6" fillId="0" borderId="1" xfId="2" applyFont="1" applyBorder="1" applyAlignment="1" applyProtection="1">
      <alignment horizontal="center" vertical="center"/>
      <protection locked="0"/>
    </xf>
    <xf numFmtId="0" fontId="4" fillId="0" borderId="23" xfId="2" applyFont="1" applyBorder="1" applyAlignment="1">
      <alignment horizontal="center" vertical="center" shrinkToFit="1"/>
    </xf>
    <xf numFmtId="0" fontId="6" fillId="0" borderId="23" xfId="2" applyFont="1" applyBorder="1" applyAlignment="1">
      <alignment horizontal="center" vertical="center"/>
    </xf>
    <xf numFmtId="0" fontId="4" fillId="0" borderId="69" xfId="2" applyFont="1" applyBorder="1" applyAlignment="1">
      <alignment horizontal="center" vertical="center"/>
    </xf>
    <xf numFmtId="2" fontId="29" fillId="0" borderId="23" xfId="0" applyNumberFormat="1" applyFont="1" applyBorder="1" applyAlignment="1">
      <alignment horizontal="center" vertical="center"/>
    </xf>
    <xf numFmtId="179" fontId="4" fillId="0" borderId="23" xfId="2" quotePrefix="1" applyNumberFormat="1" applyFont="1" applyBorder="1" applyAlignment="1">
      <alignment horizontal="center" vertical="center"/>
    </xf>
    <xf numFmtId="179" fontId="4" fillId="0" borderId="23" xfId="2" applyNumberFormat="1" applyFont="1" applyBorder="1" applyAlignment="1">
      <alignment horizontal="center" vertical="center"/>
    </xf>
    <xf numFmtId="180" fontId="4" fillId="0" borderId="23" xfId="2" quotePrefix="1" applyNumberFormat="1" applyFont="1" applyBorder="1" applyAlignment="1">
      <alignment horizontal="center" vertical="center"/>
    </xf>
    <xf numFmtId="180" fontId="4" fillId="0" borderId="23" xfId="2" applyNumberFormat="1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6" xfId="2" quotePrefix="1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2" fontId="4" fillId="0" borderId="23" xfId="2" applyNumberFormat="1" applyFont="1" applyBorder="1" applyAlignment="1">
      <alignment horizontal="center" vertical="center"/>
    </xf>
    <xf numFmtId="2" fontId="4" fillId="0" borderId="24" xfId="2" applyNumberFormat="1" applyFont="1" applyBorder="1" applyAlignment="1">
      <alignment horizontal="center" vertical="center"/>
    </xf>
    <xf numFmtId="0" fontId="4" fillId="0" borderId="33" xfId="2" quotePrefix="1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 shrinkToFit="1"/>
    </xf>
    <xf numFmtId="0" fontId="4" fillId="0" borderId="33" xfId="2" applyFont="1" applyBorder="1" applyAlignment="1">
      <alignment horizontal="center" vertical="center" shrinkToFit="1"/>
    </xf>
    <xf numFmtId="0" fontId="4" fillId="0" borderId="21" xfId="2" applyFont="1" applyBorder="1" applyAlignment="1">
      <alignment horizontal="center" vertical="center" shrinkToFit="1"/>
    </xf>
    <xf numFmtId="0" fontId="4" fillId="0" borderId="66" xfId="2" applyFont="1" applyBorder="1" applyAlignment="1">
      <alignment horizontal="center" vertical="center"/>
    </xf>
    <xf numFmtId="0" fontId="4" fillId="3" borderId="60" xfId="2" applyFont="1" applyFill="1" applyBorder="1" applyAlignment="1">
      <alignment horizontal="center" vertical="center"/>
    </xf>
    <xf numFmtId="0" fontId="4" fillId="3" borderId="55" xfId="2" applyFont="1" applyFill="1" applyBorder="1" applyAlignment="1">
      <alignment horizontal="center" vertical="center"/>
    </xf>
    <xf numFmtId="0" fontId="6" fillId="0" borderId="23" xfId="2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>
      <alignment horizontal="center" vertical="center"/>
    </xf>
    <xf numFmtId="2" fontId="4" fillId="0" borderId="33" xfId="0" applyNumberFormat="1" applyFont="1" applyBorder="1" applyAlignment="1">
      <alignment horizontal="center" vertical="center"/>
    </xf>
    <xf numFmtId="0" fontId="4" fillId="0" borderId="23" xfId="2" applyFont="1" applyBorder="1" applyAlignment="1" applyProtection="1">
      <alignment horizontal="center" vertical="center" shrinkToFit="1"/>
      <protection locked="0"/>
    </xf>
    <xf numFmtId="0" fontId="4" fillId="0" borderId="23" xfId="2" applyFont="1" applyBorder="1" applyAlignment="1" applyProtection="1">
      <alignment horizontal="center" vertical="center"/>
      <protection locked="0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8" xfId="2" quotePrefix="1" applyFont="1" applyBorder="1" applyAlignment="1">
      <alignment horizontal="center" vertical="center"/>
    </xf>
    <xf numFmtId="0" fontId="4" fillId="0" borderId="65" xfId="2" applyFont="1" applyBorder="1" applyAlignment="1">
      <alignment horizontal="center" vertical="center" shrinkToFit="1"/>
    </xf>
    <xf numFmtId="0" fontId="4" fillId="0" borderId="11" xfId="2" applyFont="1" applyBorder="1" applyAlignment="1">
      <alignment horizontal="center" vertical="center"/>
    </xf>
    <xf numFmtId="0" fontId="4" fillId="0" borderId="65" xfId="2" applyFont="1" applyBorder="1" applyAlignment="1">
      <alignment horizontal="center" vertical="center"/>
    </xf>
    <xf numFmtId="0" fontId="6" fillId="0" borderId="65" xfId="2" applyFont="1" applyBorder="1" applyAlignment="1">
      <alignment horizontal="center" vertical="center"/>
    </xf>
    <xf numFmtId="0" fontId="4" fillId="0" borderId="11" xfId="2" applyFont="1" applyBorder="1" applyAlignment="1" applyProtection="1">
      <alignment horizontal="center" vertical="center" shrinkToFit="1"/>
      <protection locked="0"/>
    </xf>
    <xf numFmtId="0" fontId="4" fillId="0" borderId="12" xfId="2" applyFont="1" applyBorder="1" applyAlignment="1" applyProtection="1">
      <alignment horizontal="center" vertical="center" shrinkToFit="1"/>
      <protection locked="0"/>
    </xf>
    <xf numFmtId="0" fontId="4" fillId="0" borderId="10" xfId="2" applyFont="1" applyBorder="1" applyAlignment="1" applyProtection="1">
      <alignment horizontal="center" vertical="center" shrinkToFit="1"/>
      <protection locked="0"/>
    </xf>
    <xf numFmtId="0" fontId="4" fillId="0" borderId="11" xfId="2" applyFont="1" applyBorder="1" applyAlignment="1" applyProtection="1">
      <alignment horizontal="center" vertical="center"/>
      <protection locked="0"/>
    </xf>
    <xf numFmtId="0" fontId="4" fillId="0" borderId="12" xfId="2" applyFont="1" applyBorder="1" applyAlignment="1" applyProtection="1">
      <alignment horizontal="center" vertical="center"/>
      <protection locked="0"/>
    </xf>
    <xf numFmtId="0" fontId="4" fillId="0" borderId="10" xfId="2" applyFont="1" applyBorder="1" applyAlignment="1" applyProtection="1">
      <alignment horizontal="center" vertical="center"/>
      <protection locked="0"/>
    </xf>
    <xf numFmtId="2" fontId="4" fillId="0" borderId="60" xfId="0" applyNumberFormat="1" applyFont="1" applyBorder="1" applyAlignment="1">
      <alignment horizontal="center" vertical="center"/>
    </xf>
    <xf numFmtId="2" fontId="4" fillId="0" borderId="55" xfId="0" applyNumberFormat="1" applyFont="1" applyBorder="1" applyAlignment="1">
      <alignment horizontal="center" vertical="center"/>
    </xf>
    <xf numFmtId="2" fontId="4" fillId="0" borderId="69" xfId="0" applyNumberFormat="1" applyFont="1" applyBorder="1" applyAlignment="1">
      <alignment horizontal="center" vertical="center"/>
    </xf>
    <xf numFmtId="0" fontId="4" fillId="0" borderId="60" xfId="2" applyFont="1" applyBorder="1" applyAlignment="1" applyProtection="1">
      <alignment horizontal="center" vertical="center" shrinkToFit="1"/>
      <protection locked="0"/>
    </xf>
    <xf numFmtId="0" fontId="4" fillId="0" borderId="55" xfId="2" applyFont="1" applyBorder="1" applyAlignment="1" applyProtection="1">
      <alignment horizontal="center" vertical="center" shrinkToFit="1"/>
      <protection locked="0"/>
    </xf>
    <xf numFmtId="0" fontId="4" fillId="0" borderId="69" xfId="2" applyFont="1" applyBorder="1" applyAlignment="1" applyProtection="1">
      <alignment horizontal="center" vertical="center" shrinkToFit="1"/>
      <protection locked="0"/>
    </xf>
    <xf numFmtId="0" fontId="4" fillId="0" borderId="60" xfId="2" applyFont="1" applyBorder="1" applyAlignment="1" applyProtection="1">
      <alignment horizontal="center" vertical="center"/>
      <protection locked="0"/>
    </xf>
    <xf numFmtId="0" fontId="4" fillId="0" borderId="55" xfId="2" applyFont="1" applyBorder="1" applyAlignment="1" applyProtection="1">
      <alignment horizontal="center" vertical="center"/>
      <protection locked="0"/>
    </xf>
    <xf numFmtId="0" fontId="4" fillId="0" borderId="69" xfId="2" applyFont="1" applyBorder="1" applyAlignment="1" applyProtection="1">
      <alignment horizontal="center" vertical="center"/>
      <protection locked="0"/>
    </xf>
    <xf numFmtId="0" fontId="4" fillId="0" borderId="60" xfId="2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4" fillId="0" borderId="24" xfId="2" applyFont="1" applyBorder="1" applyAlignment="1" applyProtection="1">
      <alignment horizontal="center" vertical="center" shrinkToFit="1"/>
      <protection locked="0"/>
    </xf>
    <xf numFmtId="0" fontId="4" fillId="0" borderId="33" xfId="2" applyFont="1" applyBorder="1" applyAlignment="1" applyProtection="1">
      <alignment horizontal="center" vertical="center" shrinkToFit="1"/>
      <protection locked="0"/>
    </xf>
    <xf numFmtId="0" fontId="4" fillId="0" borderId="21" xfId="2" applyFont="1" applyBorder="1" applyAlignment="1" applyProtection="1">
      <alignment horizontal="center" vertical="center" shrinkToFit="1"/>
      <protection locked="0"/>
    </xf>
    <xf numFmtId="0" fontId="4" fillId="0" borderId="24" xfId="2" applyFont="1" applyBorder="1" applyAlignment="1" applyProtection="1">
      <alignment horizontal="center" vertical="center"/>
      <protection locked="0"/>
    </xf>
    <xf numFmtId="0" fontId="4" fillId="0" borderId="33" xfId="2" applyFont="1" applyBorder="1" applyAlignment="1" applyProtection="1">
      <alignment horizontal="center" vertical="center"/>
      <protection locked="0"/>
    </xf>
    <xf numFmtId="0" fontId="4" fillId="0" borderId="21" xfId="2" applyFont="1" applyBorder="1" applyAlignment="1" applyProtection="1">
      <alignment horizontal="center" vertical="center"/>
      <protection locked="0"/>
    </xf>
    <xf numFmtId="0" fontId="4" fillId="0" borderId="24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9" fontId="4" fillId="0" borderId="1" xfId="2" quotePrefix="1" applyNumberFormat="1" applyFont="1" applyBorder="1" applyAlignment="1">
      <alignment horizontal="center" vertical="center"/>
    </xf>
    <xf numFmtId="179" fontId="4" fillId="0" borderId="1" xfId="2" applyNumberFormat="1" applyFont="1" applyBorder="1" applyAlignment="1">
      <alignment horizontal="center" vertical="center"/>
    </xf>
    <xf numFmtId="180" fontId="4" fillId="0" borderId="1" xfId="2" quotePrefix="1" applyNumberFormat="1" applyFont="1" applyBorder="1" applyAlignment="1">
      <alignment horizontal="center" vertical="center"/>
    </xf>
    <xf numFmtId="180" fontId="4" fillId="0" borderId="1" xfId="2" applyNumberFormat="1" applyFont="1" applyBorder="1" applyAlignment="1">
      <alignment horizontal="center" vertical="center"/>
    </xf>
    <xf numFmtId="0" fontId="6" fillId="3" borderId="66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horizontal="center" vertical="center"/>
    </xf>
    <xf numFmtId="0" fontId="6" fillId="3" borderId="65" xfId="2" applyFont="1" applyFill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 shrinkToFit="1"/>
    </xf>
    <xf numFmtId="0" fontId="4" fillId="0" borderId="6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66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 textRotation="255"/>
    </xf>
    <xf numFmtId="0" fontId="4" fillId="0" borderId="68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 textRotation="255"/>
    </xf>
    <xf numFmtId="0" fontId="4" fillId="0" borderId="25" xfId="0" applyFont="1" applyBorder="1" applyAlignment="1">
      <alignment horizontal="center" vertical="center" textRotation="255"/>
    </xf>
    <xf numFmtId="0" fontId="4" fillId="0" borderId="27" xfId="0" applyFont="1" applyBorder="1" applyAlignment="1">
      <alignment horizontal="center" vertical="center" textRotation="255"/>
    </xf>
    <xf numFmtId="2" fontId="4" fillId="0" borderId="5" xfId="0" applyNumberFormat="1" applyFont="1" applyBorder="1" applyAlignment="1">
      <alignment horizontal="center" vertical="center" textRotation="255"/>
    </xf>
    <xf numFmtId="2" fontId="4" fillId="0" borderId="6" xfId="0" applyNumberFormat="1" applyFont="1" applyBorder="1" applyAlignment="1">
      <alignment horizontal="center" vertical="center" textRotation="255"/>
    </xf>
    <xf numFmtId="2" fontId="4" fillId="0" borderId="7" xfId="0" applyNumberFormat="1" applyFont="1" applyBorder="1" applyAlignment="1">
      <alignment horizontal="center" vertical="center" textRotation="255"/>
    </xf>
    <xf numFmtId="2" fontId="4" fillId="0" borderId="9" xfId="0" applyNumberFormat="1" applyFont="1" applyBorder="1" applyAlignment="1">
      <alignment horizontal="center" vertical="center" textRotation="255"/>
    </xf>
    <xf numFmtId="2" fontId="4" fillId="0" borderId="67" xfId="0" applyNumberFormat="1" applyFont="1" applyBorder="1" applyAlignment="1">
      <alignment horizontal="center" vertical="center" textRotation="255"/>
    </xf>
    <xf numFmtId="2" fontId="4" fillId="0" borderId="68" xfId="0" applyNumberFormat="1" applyFont="1" applyBorder="1" applyAlignment="1">
      <alignment horizontal="center" vertical="center" textRotation="255"/>
    </xf>
    <xf numFmtId="2" fontId="4" fillId="0" borderId="25" xfId="0" applyNumberFormat="1" applyFont="1" applyBorder="1" applyAlignment="1">
      <alignment horizontal="center" vertical="center" textRotation="255"/>
    </xf>
    <xf numFmtId="2" fontId="4" fillId="0" borderId="27" xfId="0" applyNumberFormat="1" applyFont="1" applyBorder="1" applyAlignment="1">
      <alignment horizontal="center" vertical="center" textRotation="255"/>
    </xf>
    <xf numFmtId="0" fontId="4" fillId="0" borderId="1" xfId="0" applyFont="1" applyBorder="1" applyAlignment="1">
      <alignment vertical="top"/>
    </xf>
    <xf numFmtId="1" fontId="4" fillId="0" borderId="63" xfId="0" applyNumberFormat="1" applyFont="1" applyBorder="1" applyAlignment="1">
      <alignment vertical="center"/>
    </xf>
    <xf numFmtId="1" fontId="4" fillId="0" borderId="65" xfId="0" applyNumberFormat="1" applyFont="1" applyBorder="1" applyAlignment="1">
      <alignment vertical="center"/>
    </xf>
    <xf numFmtId="17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2" fontId="4" fillId="0" borderId="63" xfId="0" applyNumberFormat="1" applyFont="1" applyBorder="1" applyAlignment="1">
      <alignment horizontal="center" vertical="center" wrapText="1"/>
    </xf>
    <xf numFmtId="2" fontId="4" fillId="0" borderId="64" xfId="0" applyNumberFormat="1" applyFont="1" applyBorder="1" applyAlignment="1">
      <alignment horizontal="center" vertical="center" wrapText="1"/>
    </xf>
    <xf numFmtId="2" fontId="4" fillId="0" borderId="65" xfId="0" applyNumberFormat="1" applyFont="1" applyBorder="1" applyAlignment="1">
      <alignment horizontal="center" vertical="center" wrapText="1"/>
    </xf>
    <xf numFmtId="2" fontId="4" fillId="0" borderId="63" xfId="0" quotePrefix="1" applyNumberFormat="1" applyFont="1" applyBorder="1" applyAlignment="1">
      <alignment horizontal="center" vertical="center" wrapText="1"/>
    </xf>
    <xf numFmtId="2" fontId="4" fillId="0" borderId="64" xfId="0" quotePrefix="1" applyNumberFormat="1" applyFont="1" applyBorder="1" applyAlignment="1">
      <alignment horizontal="center" vertical="center" wrapText="1"/>
    </xf>
    <xf numFmtId="2" fontId="4" fillId="0" borderId="65" xfId="0" quotePrefix="1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top"/>
    </xf>
    <xf numFmtId="179" fontId="4" fillId="0" borderId="1" xfId="0" applyNumberFormat="1" applyFont="1" applyBorder="1" applyAlignment="1">
      <alignment vertical="top"/>
    </xf>
    <xf numFmtId="1" fontId="4" fillId="2" borderId="63" xfId="0" applyNumberFormat="1" applyFont="1" applyFill="1" applyBorder="1" applyAlignment="1">
      <alignment vertical="center"/>
    </xf>
    <xf numFmtId="1" fontId="4" fillId="2" borderId="65" xfId="0" applyNumberFormat="1" applyFont="1" applyFill="1" applyBorder="1" applyAlignment="1">
      <alignment vertical="center"/>
    </xf>
    <xf numFmtId="2" fontId="4" fillId="0" borderId="63" xfId="0" applyNumberFormat="1" applyFont="1" applyBorder="1" applyAlignment="1">
      <alignment horizontal="center" vertical="top"/>
    </xf>
    <xf numFmtId="2" fontId="4" fillId="0" borderId="64" xfId="0" applyNumberFormat="1" applyFont="1" applyBorder="1" applyAlignment="1">
      <alignment horizontal="center" vertical="top"/>
    </xf>
    <xf numFmtId="2" fontId="4" fillId="0" borderId="65" xfId="0" applyNumberFormat="1" applyFont="1" applyBorder="1" applyAlignment="1">
      <alignment horizontal="center" vertical="top"/>
    </xf>
    <xf numFmtId="0" fontId="6" fillId="0" borderId="63" xfId="0" applyFont="1" applyBorder="1" applyAlignment="1">
      <alignment vertical="top"/>
    </xf>
    <xf numFmtId="0" fontId="6" fillId="0" borderId="64" xfId="0" applyFont="1" applyBorder="1" applyAlignment="1">
      <alignment vertical="top"/>
    </xf>
    <xf numFmtId="0" fontId="6" fillId="0" borderId="65" xfId="0" applyFont="1" applyBorder="1" applyAlignment="1">
      <alignment vertical="top"/>
    </xf>
    <xf numFmtId="179" fontId="6" fillId="0" borderId="63" xfId="0" applyNumberFormat="1" applyFont="1" applyBorder="1" applyAlignment="1">
      <alignment vertical="top"/>
    </xf>
    <xf numFmtId="179" fontId="6" fillId="0" borderId="65" xfId="0" applyNumberFormat="1" applyFont="1" applyBorder="1" applyAlignment="1">
      <alignment vertical="top"/>
    </xf>
    <xf numFmtId="179" fontId="6" fillId="0" borderId="64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9" fontId="6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1" fontId="4" fillId="0" borderId="1" xfId="0" applyNumberFormat="1" applyFont="1" applyBorder="1" applyAlignment="1">
      <alignment vertical="center"/>
    </xf>
    <xf numFmtId="1" fontId="4" fillId="2" borderId="1" xfId="0" applyNumberFormat="1" applyFont="1" applyFill="1" applyBorder="1" applyAlignment="1">
      <alignment vertical="center"/>
    </xf>
    <xf numFmtId="179" fontId="4" fillId="0" borderId="63" xfId="0" applyNumberFormat="1" applyFont="1" applyBorder="1" applyAlignment="1">
      <alignment vertical="center"/>
    </xf>
    <xf numFmtId="179" fontId="4" fillId="0" borderId="64" xfId="0" applyNumberFormat="1" applyFont="1" applyBorder="1" applyAlignment="1">
      <alignment vertical="center"/>
    </xf>
    <xf numFmtId="179" fontId="4" fillId="0" borderId="65" xfId="0" applyNumberFormat="1" applyFont="1" applyBorder="1" applyAlignment="1">
      <alignment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1" fontId="4" fillId="0" borderId="64" xfId="0" applyNumberFormat="1" applyFont="1" applyBorder="1" applyAlignment="1">
      <alignment vertical="center"/>
    </xf>
    <xf numFmtId="179" fontId="4" fillId="0" borderId="63" xfId="0" applyNumberFormat="1" applyFont="1" applyBorder="1" applyAlignment="1">
      <alignment vertical="top"/>
    </xf>
    <xf numFmtId="179" fontId="4" fillId="0" borderId="64" xfId="0" applyNumberFormat="1" applyFont="1" applyBorder="1" applyAlignment="1">
      <alignment vertical="top"/>
    </xf>
    <xf numFmtId="179" fontId="4" fillId="0" borderId="65" xfId="0" applyNumberFormat="1" applyFont="1" applyBorder="1" applyAlignment="1">
      <alignment vertical="top"/>
    </xf>
    <xf numFmtId="0" fontId="4" fillId="0" borderId="63" xfId="0" applyFont="1" applyBorder="1" applyAlignment="1">
      <alignment vertical="top"/>
    </xf>
    <xf numFmtId="0" fontId="4" fillId="0" borderId="64" xfId="0" applyFont="1" applyBorder="1" applyAlignment="1">
      <alignment vertical="top"/>
    </xf>
    <xf numFmtId="0" fontId="4" fillId="0" borderId="65" xfId="0" applyFont="1" applyBorder="1" applyAlignment="1">
      <alignment vertical="top"/>
    </xf>
    <xf numFmtId="1" fontId="4" fillId="0" borderId="1" xfId="0" quotePrefix="1" applyNumberFormat="1" applyFont="1" applyBorder="1" applyAlignment="1">
      <alignment vertical="center"/>
    </xf>
    <xf numFmtId="1" fontId="4" fillId="2" borderId="1" xfId="0" quotePrefix="1" applyNumberFormat="1" applyFont="1" applyFill="1" applyBorder="1" applyAlignment="1">
      <alignment vertical="center"/>
    </xf>
    <xf numFmtId="1" fontId="4" fillId="0" borderId="1" xfId="0" quotePrefix="1" applyNumberFormat="1" applyFont="1" applyBorder="1" applyAlignment="1">
      <alignment horizontal="center" vertical="center"/>
    </xf>
    <xf numFmtId="179" fontId="4" fillId="0" borderId="64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6" fillId="0" borderId="63" xfId="0" applyNumberFormat="1" applyFont="1" applyBorder="1" applyAlignment="1">
      <alignment horizontal="center" vertical="center"/>
    </xf>
    <xf numFmtId="179" fontId="6" fillId="0" borderId="64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9" fontId="27" fillId="0" borderId="1" xfId="0" quotePrefix="1" applyNumberFormat="1" applyFont="1" applyBorder="1" applyAlignment="1">
      <alignment horizontal="center" vertical="top"/>
    </xf>
    <xf numFmtId="179" fontId="27" fillId="0" borderId="1" xfId="0" applyNumberFormat="1" applyFont="1" applyBorder="1" applyAlignment="1">
      <alignment horizontal="center" vertical="top"/>
    </xf>
    <xf numFmtId="0" fontId="29" fillId="0" borderId="1" xfId="0" quotePrefix="1" applyFont="1" applyBorder="1" applyAlignment="1">
      <alignment vertical="top"/>
    </xf>
    <xf numFmtId="0" fontId="29" fillId="0" borderId="1" xfId="0" applyFont="1" applyBorder="1" applyAlignment="1">
      <alignment vertical="top"/>
    </xf>
    <xf numFmtId="179" fontId="27" fillId="0" borderId="1" xfId="0" applyNumberFormat="1" applyFont="1" applyBorder="1" applyAlignment="1">
      <alignment vertical="top"/>
    </xf>
    <xf numFmtId="179" fontId="4" fillId="0" borderId="1" xfId="0" quotePrefix="1" applyNumberFormat="1" applyFont="1" applyBorder="1" applyAlignment="1">
      <alignment horizontal="center" vertical="center"/>
    </xf>
    <xf numFmtId="179" fontId="4" fillId="0" borderId="1" xfId="0" quotePrefix="1" applyNumberFormat="1" applyFont="1" applyBorder="1" applyAlignment="1">
      <alignment vertical="center"/>
    </xf>
    <xf numFmtId="179" fontId="4" fillId="0" borderId="1" xfId="0" quotePrefix="1" applyNumberFormat="1" applyFont="1" applyBorder="1" applyAlignment="1">
      <alignment horizontal="center" vertical="top"/>
    </xf>
    <xf numFmtId="179" fontId="4" fillId="0" borderId="1" xfId="0" applyNumberFormat="1" applyFont="1" applyBorder="1" applyAlignment="1">
      <alignment horizontal="center" vertical="top"/>
    </xf>
    <xf numFmtId="0" fontId="4" fillId="0" borderId="1" xfId="0" quotePrefix="1" applyFont="1" applyBorder="1" applyAlignment="1">
      <alignment vertical="top"/>
    </xf>
    <xf numFmtId="179" fontId="4" fillId="0" borderId="1" xfId="0" quotePrefix="1" applyNumberFormat="1" applyFont="1" applyBorder="1" applyAlignment="1">
      <alignment vertical="top"/>
    </xf>
    <xf numFmtId="179" fontId="6" fillId="0" borderId="1" xfId="0" quotePrefix="1" applyNumberFormat="1" applyFont="1" applyBorder="1" applyAlignment="1">
      <alignment vertical="top"/>
    </xf>
    <xf numFmtId="179" fontId="6" fillId="3" borderId="1" xfId="0" applyNumberFormat="1" applyFont="1" applyFill="1" applyBorder="1" applyAlignment="1">
      <alignment vertical="center"/>
    </xf>
    <xf numFmtId="179" fontId="6" fillId="0" borderId="63" xfId="0" quotePrefix="1" applyNumberFormat="1" applyFont="1" applyBorder="1" applyAlignment="1">
      <alignment vertical="top"/>
    </xf>
    <xf numFmtId="179" fontId="6" fillId="0" borderId="65" xfId="0" quotePrefix="1" applyNumberFormat="1" applyFont="1" applyBorder="1" applyAlignment="1">
      <alignment vertical="top"/>
    </xf>
    <xf numFmtId="179" fontId="4" fillId="0" borderId="63" xfId="0" quotePrefix="1" applyNumberFormat="1" applyFont="1" applyBorder="1" applyAlignment="1">
      <alignment horizontal="center" vertical="top"/>
    </xf>
    <xf numFmtId="179" fontId="4" fillId="0" borderId="65" xfId="0" quotePrefix="1" applyNumberFormat="1" applyFont="1" applyBorder="1" applyAlignment="1">
      <alignment horizontal="center" vertical="top"/>
    </xf>
    <xf numFmtId="0" fontId="29" fillId="0" borderId="63" xfId="0" quotePrefix="1" applyFont="1" applyBorder="1" applyAlignment="1">
      <alignment vertical="top"/>
    </xf>
    <xf numFmtId="0" fontId="29" fillId="0" borderId="65" xfId="0" quotePrefix="1" applyFont="1" applyBorder="1" applyAlignment="1">
      <alignment vertical="top"/>
    </xf>
    <xf numFmtId="2" fontId="4" fillId="0" borderId="63" xfId="0" applyNumberFormat="1" applyFont="1" applyBorder="1" applyAlignment="1">
      <alignment vertical="center"/>
    </xf>
    <xf numFmtId="2" fontId="4" fillId="0" borderId="65" xfId="0" applyNumberFormat="1" applyFont="1" applyBorder="1" applyAlignment="1">
      <alignment vertical="center"/>
    </xf>
    <xf numFmtId="179" fontId="4" fillId="0" borderId="63" xfId="0" quotePrefix="1" applyNumberFormat="1" applyFont="1" applyBorder="1" applyAlignment="1">
      <alignment vertical="top"/>
    </xf>
    <xf numFmtId="179" fontId="4" fillId="0" borderId="65" xfId="0" quotePrefix="1" applyNumberFormat="1" applyFont="1" applyBorder="1" applyAlignment="1">
      <alignment vertical="top"/>
    </xf>
    <xf numFmtId="0" fontId="4" fillId="0" borderId="63" xfId="0" quotePrefix="1" applyFont="1" applyBorder="1" applyAlignment="1">
      <alignment vertical="top"/>
    </xf>
    <xf numFmtId="0" fontId="4" fillId="0" borderId="65" xfId="0" quotePrefix="1" applyFont="1" applyBorder="1" applyAlignment="1">
      <alignment vertical="top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vertical="center"/>
    </xf>
    <xf numFmtId="184" fontId="4" fillId="0" borderId="63" xfId="0" applyNumberFormat="1" applyFont="1" applyBorder="1" applyAlignment="1">
      <alignment vertical="center"/>
    </xf>
    <xf numFmtId="184" fontId="4" fillId="0" borderId="65" xfId="0" applyNumberFormat="1" applyFont="1" applyBorder="1" applyAlignment="1">
      <alignment vertical="center"/>
    </xf>
    <xf numFmtId="2" fontId="4" fillId="0" borderId="63" xfId="0" applyNumberFormat="1" applyFont="1" applyBorder="1" applyAlignment="1">
      <alignment horizontal="center" vertical="center"/>
    </xf>
    <xf numFmtId="2" fontId="4" fillId="0" borderId="64" xfId="0" applyNumberFormat="1" applyFon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179" fontId="29" fillId="0" borderId="63" xfId="0" applyNumberFormat="1" applyFont="1" applyBorder="1" applyAlignment="1">
      <alignment vertical="center" wrapText="1"/>
    </xf>
    <xf numFmtId="179" fontId="29" fillId="0" borderId="65" xfId="0" applyNumberFormat="1" applyFont="1" applyBorder="1" applyAlignment="1">
      <alignment vertical="center" wrapText="1"/>
    </xf>
    <xf numFmtId="179" fontId="29" fillId="0" borderId="63" xfId="0" applyNumberFormat="1" applyFont="1" applyBorder="1" applyAlignment="1">
      <alignment vertical="center"/>
    </xf>
    <xf numFmtId="179" fontId="29" fillId="0" borderId="65" xfId="0" applyNumberFormat="1" applyFont="1" applyBorder="1" applyAlignment="1">
      <alignment vertical="center"/>
    </xf>
    <xf numFmtId="0" fontId="6" fillId="0" borderId="63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textRotation="255"/>
    </xf>
    <xf numFmtId="2" fontId="29" fillId="0" borderId="1" xfId="0" applyNumberFormat="1" applyFont="1" applyBorder="1" applyAlignment="1">
      <alignment horizontal="center" vertical="center" shrinkToFit="1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4" fillId="2" borderId="7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184" fontId="29" fillId="0" borderId="1" xfId="0" quotePrefix="1" applyNumberFormat="1" applyFont="1" applyBorder="1" applyAlignment="1">
      <alignment vertical="top"/>
    </xf>
    <xf numFmtId="184" fontId="29" fillId="0" borderId="1" xfId="0" applyNumberFormat="1" applyFont="1" applyBorder="1" applyAlignment="1">
      <alignment vertical="top"/>
    </xf>
    <xf numFmtId="184" fontId="4" fillId="0" borderId="1" xfId="0" quotePrefix="1" applyNumberFormat="1" applyFont="1" applyBorder="1" applyAlignment="1">
      <alignment vertical="center"/>
    </xf>
    <xf numFmtId="184" fontId="4" fillId="0" borderId="1" xfId="0" applyNumberFormat="1" applyFont="1" applyBorder="1" applyAlignment="1">
      <alignment vertical="center"/>
    </xf>
    <xf numFmtId="184" fontId="4" fillId="2" borderId="1" xfId="0" quotePrefix="1" applyNumberFormat="1" applyFont="1" applyFill="1" applyBorder="1" applyAlignment="1">
      <alignment vertical="center"/>
    </xf>
    <xf numFmtId="184" fontId="4" fillId="2" borderId="1" xfId="0" applyNumberFormat="1" applyFont="1" applyFill="1" applyBorder="1" applyAlignment="1">
      <alignment vertical="center"/>
    </xf>
    <xf numFmtId="184" fontId="6" fillId="0" borderId="1" xfId="0" applyNumberFormat="1" applyFont="1" applyBorder="1" applyAlignment="1">
      <alignment vertical="top"/>
    </xf>
    <xf numFmtId="184" fontId="4" fillId="0" borderId="64" xfId="0" applyNumberFormat="1" applyFont="1" applyBorder="1" applyAlignment="1">
      <alignment vertical="center"/>
    </xf>
    <xf numFmtId="184" fontId="4" fillId="0" borderId="1" xfId="0" quotePrefix="1" applyNumberFormat="1" applyFont="1" applyBorder="1" applyAlignment="1">
      <alignment vertical="top"/>
    </xf>
    <xf numFmtId="184" fontId="4" fillId="0" borderId="1" xfId="0" applyNumberFormat="1" applyFont="1" applyBorder="1" applyAlignment="1">
      <alignment vertical="top"/>
    </xf>
    <xf numFmtId="184" fontId="29" fillId="0" borderId="63" xfId="0" quotePrefix="1" applyNumberFormat="1" applyFont="1" applyBorder="1" applyAlignment="1">
      <alignment vertical="top"/>
    </xf>
    <xf numFmtId="184" fontId="29" fillId="0" borderId="65" xfId="0" quotePrefix="1" applyNumberFormat="1" applyFont="1" applyBorder="1" applyAlignment="1">
      <alignment vertical="top"/>
    </xf>
    <xf numFmtId="184" fontId="6" fillId="0" borderId="63" xfId="0" applyNumberFormat="1" applyFont="1" applyBorder="1" applyAlignment="1">
      <alignment vertical="top"/>
    </xf>
    <xf numFmtId="184" fontId="6" fillId="0" borderId="64" xfId="0" applyNumberFormat="1" applyFont="1" applyBorder="1" applyAlignment="1">
      <alignment vertical="top"/>
    </xf>
    <xf numFmtId="184" fontId="6" fillId="0" borderId="65" xfId="0" applyNumberFormat="1" applyFont="1" applyBorder="1" applyAlignment="1">
      <alignment vertical="top"/>
    </xf>
    <xf numFmtId="184" fontId="4" fillId="0" borderId="63" xfId="0" quotePrefix="1" applyNumberFormat="1" applyFont="1" applyBorder="1" applyAlignment="1">
      <alignment vertical="top"/>
    </xf>
    <xf numFmtId="184" fontId="4" fillId="0" borderId="65" xfId="0" quotePrefix="1" applyNumberFormat="1" applyFont="1" applyBorder="1" applyAlignment="1">
      <alignment vertical="top"/>
    </xf>
    <xf numFmtId="184" fontId="4" fillId="0" borderId="63" xfId="0" applyNumberFormat="1" applyFont="1" applyBorder="1" applyAlignment="1">
      <alignment vertical="top"/>
    </xf>
    <xf numFmtId="184" fontId="4" fillId="0" borderId="64" xfId="0" applyNumberFormat="1" applyFont="1" applyBorder="1" applyAlignment="1">
      <alignment vertical="top"/>
    </xf>
    <xf numFmtId="184" fontId="4" fillId="0" borderId="65" xfId="0" applyNumberFormat="1" applyFont="1" applyBorder="1" applyAlignment="1">
      <alignment vertical="top"/>
    </xf>
    <xf numFmtId="12" fontId="4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84" fontId="6" fillId="0" borderId="0" xfId="0" applyNumberFormat="1" applyFont="1" applyAlignment="1">
      <alignment horizontal="center" vertical="center"/>
    </xf>
    <xf numFmtId="1" fontId="4" fillId="0" borderId="55" xfId="0" applyNumberFormat="1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184" fontId="4" fillId="0" borderId="57" xfId="0" applyNumberFormat="1" applyFont="1" applyBorder="1" applyAlignment="1">
      <alignment horizontal="center" vertical="center" shrinkToFit="1"/>
    </xf>
    <xf numFmtId="184" fontId="4" fillId="0" borderId="58" xfId="0" applyNumberFormat="1" applyFont="1" applyBorder="1" applyAlignment="1">
      <alignment horizontal="center" vertical="center" shrinkToFit="1"/>
    </xf>
    <xf numFmtId="184" fontId="8" fillId="0" borderId="59" xfId="0" applyNumberFormat="1" applyFont="1" applyBorder="1" applyAlignment="1">
      <alignment horizontal="center" vertical="center" shrinkToFit="1"/>
    </xf>
    <xf numFmtId="0" fontId="4" fillId="0" borderId="60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1" fontId="4" fillId="0" borderId="40" xfId="0" applyNumberFormat="1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shrinkToFit="1"/>
    </xf>
    <xf numFmtId="184" fontId="4" fillId="0" borderId="61" xfId="0" applyNumberFormat="1" applyFont="1" applyBorder="1" applyAlignment="1">
      <alignment horizontal="center" vertical="center" shrinkToFit="1"/>
    </xf>
    <xf numFmtId="184" fontId="4" fillId="0" borderId="45" xfId="0" applyNumberFormat="1" applyFont="1" applyBorder="1" applyAlignment="1">
      <alignment horizontal="center" vertical="center" shrinkToFit="1"/>
    </xf>
    <xf numFmtId="184" fontId="8" fillId="0" borderId="62" xfId="0" applyNumberFormat="1" applyFont="1" applyBorder="1" applyAlignment="1">
      <alignment horizontal="center" vertical="center" shrinkToFit="1"/>
    </xf>
    <xf numFmtId="0" fontId="4" fillId="0" borderId="44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22" fillId="0" borderId="12" xfId="0" quotePrefix="1" applyFont="1" applyBorder="1" applyAlignment="1">
      <alignment horizontal="center" vertical="center"/>
    </xf>
    <xf numFmtId="0" fontId="22" fillId="0" borderId="40" xfId="0" quotePrefix="1" applyFont="1" applyBorder="1" applyAlignment="1">
      <alignment horizontal="center" vertical="center"/>
    </xf>
    <xf numFmtId="2" fontId="33" fillId="0" borderId="12" xfId="0" applyNumberFormat="1" applyFont="1" applyBorder="1" applyAlignment="1">
      <alignment horizontal="center" vertical="center"/>
    </xf>
    <xf numFmtId="2" fontId="33" fillId="0" borderId="40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1" fontId="15" fillId="0" borderId="48" xfId="0" applyNumberFormat="1" applyFont="1" applyBorder="1" applyAlignment="1">
      <alignment horizontal="center" vertical="center" shrinkToFit="1"/>
    </xf>
    <xf numFmtId="1" fontId="15" fillId="0" borderId="49" xfId="0" applyNumberFormat="1" applyFont="1" applyBorder="1" applyAlignment="1">
      <alignment horizontal="center" vertical="center" shrinkToFit="1"/>
    </xf>
    <xf numFmtId="1" fontId="20" fillId="0" borderId="50" xfId="0" applyNumberFormat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15" fillId="0" borderId="52" xfId="0" applyFont="1" applyBorder="1" applyAlignment="1">
      <alignment horizontal="center" vertical="center" shrinkToFit="1"/>
    </xf>
    <xf numFmtId="0" fontId="15" fillId="0" borderId="53" xfId="0" applyFont="1" applyBorder="1" applyAlignment="1">
      <alignment horizontal="center" vertical="center" shrinkToFit="1"/>
    </xf>
    <xf numFmtId="0" fontId="15" fillId="0" borderId="54" xfId="0" applyFont="1" applyBorder="1" applyAlignment="1">
      <alignment horizontal="center" vertical="center" shrinkToFit="1"/>
    </xf>
    <xf numFmtId="1" fontId="0" fillId="0" borderId="12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22" fillId="0" borderId="44" xfId="0" quotePrefix="1" applyFont="1" applyBorder="1" applyAlignment="1">
      <alignment horizontal="center" vertical="center"/>
    </xf>
    <xf numFmtId="0" fontId="22" fillId="0" borderId="11" xfId="0" quotePrefix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2" fillId="0" borderId="39" xfId="0" quotePrefix="1" applyFont="1" applyBorder="1" applyAlignment="1">
      <alignment horizontal="center" vertical="center"/>
    </xf>
    <xf numFmtId="0" fontId="22" fillId="0" borderId="45" xfId="0" quotePrefix="1" applyFont="1" applyBorder="1" applyAlignment="1">
      <alignment horizontal="center" vertical="center"/>
    </xf>
    <xf numFmtId="0" fontId="22" fillId="0" borderId="46" xfId="0" quotePrefix="1" applyFont="1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22" fillId="0" borderId="45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190" fontId="4" fillId="0" borderId="11" xfId="4" applyNumberFormat="1" applyFont="1" applyBorder="1" applyAlignment="1">
      <alignment horizontal="center" vertical="center"/>
    </xf>
    <xf numFmtId="190" fontId="4" fillId="0" borderId="12" xfId="4" applyNumberFormat="1" applyFont="1" applyBorder="1" applyAlignment="1">
      <alignment horizontal="center" vertical="center"/>
    </xf>
    <xf numFmtId="190" fontId="4" fillId="0" borderId="10" xfId="4" applyNumberFormat="1" applyFont="1" applyBorder="1" applyAlignment="1">
      <alignment horizontal="center" vertical="center"/>
    </xf>
    <xf numFmtId="0" fontId="4" fillId="0" borderId="72" xfId="4" applyFont="1" applyBorder="1" applyAlignment="1">
      <alignment horizontal="center" vertical="center"/>
    </xf>
    <xf numFmtId="0" fontId="4" fillId="0" borderId="73" xfId="4" applyFont="1" applyBorder="1" applyAlignment="1">
      <alignment horizontal="center" vertical="center"/>
    </xf>
    <xf numFmtId="0" fontId="4" fillId="0" borderId="74" xfId="4" applyFont="1" applyBorder="1" applyAlignment="1">
      <alignment horizontal="center" vertical="center"/>
    </xf>
    <xf numFmtId="0" fontId="4" fillId="0" borderId="75" xfId="4" applyFont="1" applyBorder="1" applyAlignment="1">
      <alignment horizontal="center" vertical="center"/>
    </xf>
    <xf numFmtId="0" fontId="4" fillId="0" borderId="76" xfId="4" applyFont="1" applyBorder="1" applyAlignment="1">
      <alignment horizontal="center" vertical="center"/>
    </xf>
    <xf numFmtId="0" fontId="4" fillId="0" borderId="7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0" borderId="4" xfId="4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1" fontId="6" fillId="0" borderId="11" xfId="4" applyNumberFormat="1" applyFont="1" applyBorder="1" applyAlignment="1" applyProtection="1">
      <alignment horizontal="center" vertical="center" wrapText="1"/>
      <protection locked="0"/>
    </xf>
    <xf numFmtId="0" fontId="6" fillId="0" borderId="12" xfId="4" applyFont="1" applyBorder="1" applyAlignment="1" applyProtection="1">
      <alignment horizontal="center" vertical="center" wrapText="1"/>
      <protection locked="0"/>
    </xf>
    <xf numFmtId="0" fontId="6" fillId="0" borderId="10" xfId="4" applyFont="1" applyBorder="1" applyAlignment="1" applyProtection="1">
      <alignment horizontal="center" vertical="center" wrapText="1"/>
      <protection locked="0"/>
    </xf>
    <xf numFmtId="1" fontId="23" fillId="0" borderId="11" xfId="4" applyNumberFormat="1" applyFont="1" applyBorder="1" applyAlignment="1" applyProtection="1">
      <alignment horizontal="center" vertical="center"/>
      <protection locked="0"/>
    </xf>
    <xf numFmtId="0" fontId="23" fillId="0" borderId="10" xfId="4" applyFont="1" applyBorder="1" applyAlignment="1" applyProtection="1">
      <alignment horizontal="center" vertical="center"/>
      <protection locked="0"/>
    </xf>
    <xf numFmtId="0" fontId="4" fillId="0" borderId="11" xfId="4" quotePrefix="1" applyFont="1" applyBorder="1" applyAlignment="1">
      <alignment horizontal="center" vertical="center"/>
    </xf>
    <xf numFmtId="0" fontId="4" fillId="0" borderId="10" xfId="4" quotePrefix="1" applyFont="1" applyBorder="1" applyAlignment="1">
      <alignment horizontal="center" vertical="center"/>
    </xf>
    <xf numFmtId="0" fontId="6" fillId="0" borderId="11" xfId="4" quotePrefix="1" applyFont="1" applyBorder="1">
      <alignment vertical="center"/>
    </xf>
    <xf numFmtId="0" fontId="6" fillId="0" borderId="12" xfId="4" quotePrefix="1" applyFont="1" applyBorder="1">
      <alignment vertical="center"/>
    </xf>
    <xf numFmtId="1" fontId="29" fillId="0" borderId="11" xfId="4" applyNumberFormat="1" applyFont="1" applyBorder="1" applyAlignment="1" applyProtection="1">
      <alignment horizontal="center" vertical="center" wrapText="1"/>
      <protection locked="0"/>
    </xf>
    <xf numFmtId="0" fontId="29" fillId="0" borderId="12" xfId="4" applyFont="1" applyBorder="1" applyAlignment="1" applyProtection="1">
      <alignment horizontal="center" vertical="center" wrapText="1"/>
      <protection locked="0"/>
    </xf>
    <xf numFmtId="0" fontId="29" fillId="0" borderId="10" xfId="4" applyFont="1" applyBorder="1" applyAlignment="1" applyProtection="1">
      <alignment horizontal="center" vertical="center" wrapText="1"/>
      <protection locked="0"/>
    </xf>
    <xf numFmtId="1" fontId="29" fillId="0" borderId="11" xfId="4" applyNumberFormat="1" applyFont="1" applyBorder="1" applyAlignment="1" applyProtection="1">
      <alignment horizontal="center" vertical="center"/>
      <protection locked="0"/>
    </xf>
    <xf numFmtId="0" fontId="29" fillId="0" borderId="10" xfId="4" applyFont="1" applyBorder="1" applyAlignment="1" applyProtection="1">
      <alignment horizontal="center" vertical="center"/>
      <protection locked="0"/>
    </xf>
    <xf numFmtId="0" fontId="29" fillId="0" borderId="11" xfId="4" quotePrefix="1" applyFont="1" applyBorder="1">
      <alignment vertical="center"/>
    </xf>
    <xf numFmtId="0" fontId="29" fillId="0" borderId="12" xfId="4" quotePrefix="1" applyFont="1" applyBorder="1">
      <alignment vertical="center"/>
    </xf>
    <xf numFmtId="184" fontId="4" fillId="0" borderId="11" xfId="4" applyNumberFormat="1" applyFont="1" applyBorder="1">
      <alignment vertical="center"/>
    </xf>
    <xf numFmtId="184" fontId="4" fillId="0" borderId="12" xfId="4" applyNumberFormat="1" applyFont="1" applyBorder="1">
      <alignment vertical="center"/>
    </xf>
    <xf numFmtId="184" fontId="4" fillId="0" borderId="10" xfId="4" applyNumberFormat="1" applyFont="1" applyBorder="1">
      <alignment vertical="center"/>
    </xf>
    <xf numFmtId="0" fontId="4" fillId="0" borderId="12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78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indent="1" shrinkToFit="1"/>
    </xf>
    <xf numFmtId="0" fontId="4" fillId="0" borderId="70" xfId="0" applyFont="1" applyBorder="1" applyAlignment="1">
      <alignment horizontal="left" vertical="center" indent="1" shrinkToFit="1"/>
    </xf>
    <xf numFmtId="0" fontId="4" fillId="0" borderId="44" xfId="0" applyFont="1" applyBorder="1" applyAlignment="1">
      <alignment horizontal="left" vertical="center" indent="1" shrinkToFit="1"/>
    </xf>
    <xf numFmtId="0" fontId="4" fillId="0" borderId="70" xfId="0" applyFont="1" applyBorder="1" applyAlignment="1">
      <alignment horizontal="center" vertical="center" shrinkToFit="1"/>
    </xf>
    <xf numFmtId="0" fontId="4" fillId="0" borderId="44" xfId="0" applyFont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65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4" fillId="0" borderId="10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0" borderId="11" xfId="0" applyFont="1" applyBorder="1" applyAlignment="1">
      <alignment vertical="center" shrinkToFit="1"/>
    </xf>
    <xf numFmtId="184" fontId="4" fillId="0" borderId="87" xfId="7" quotePrefix="1" applyNumberFormat="1" applyFont="1" applyBorder="1" applyAlignment="1" applyProtection="1">
      <alignment horizontal="center" vertical="center"/>
      <protection locked="0"/>
    </xf>
    <xf numFmtId="2" fontId="6" fillId="0" borderId="83" xfId="7" applyNumberFormat="1" applyFont="1" applyBorder="1" applyAlignment="1" applyProtection="1">
      <alignment horizontal="center" vertical="center"/>
      <protection locked="0"/>
    </xf>
    <xf numFmtId="179" fontId="6" fillId="0" borderId="87" xfId="7" quotePrefix="1" applyNumberFormat="1" applyFont="1" applyBorder="1" applyAlignment="1" applyProtection="1">
      <alignment horizontal="center" vertical="center"/>
      <protection locked="0"/>
    </xf>
  </cellXfs>
  <cellStyles count="11">
    <cellStyle name="標準" xfId="0" builtinId="0"/>
    <cellStyle name="標準 2" xfId="7" xr:uid="{49264459-2DA1-4F54-B3CB-9CD7AAA954BE}"/>
    <cellStyle name="標準 2 2" xfId="8" xr:uid="{68F14292-2BF2-44EA-BDD5-5626E6C17024}"/>
    <cellStyle name="標準 3" xfId="10" xr:uid="{B05D6471-8969-48F2-B40B-7A38D62E5DDE}"/>
    <cellStyle name="標準 4" xfId="6" xr:uid="{59D7805A-DA53-4A5F-AD6D-7B4AD9D0A627}"/>
    <cellStyle name="標準_06 構造解析(P5)" xfId="2" xr:uid="{427A714F-6520-4B1D-A5ED-762B9DD2DD75}"/>
    <cellStyle name="標準_鋼材データ" xfId="1" xr:uid="{96C304F8-C1BE-4555-8066-348F073B867C}"/>
    <cellStyle name="標準_地盤条件の設定_01～02.設計条件他（仮設時）（修正）" xfId="9" xr:uid="{2D6ADA40-2263-4357-910D-993AAE9D7254}"/>
    <cellStyle name="標準_地盤条件の設定_ＣＦＴ門型ラーメン橋脚設計計算書 2" xfId="4" xr:uid="{998F447D-5215-4D55-9E66-C73364F5FB21}"/>
    <cellStyle name="標準_地盤条件の設定_戸塚" xfId="5" xr:uid="{F3797371-CDFE-41B0-967E-C9B9FFD23B2D}"/>
    <cellStyle name="標準_立坑部仮土留工設計条件_立坑部仮土留め工設計計算書（修正版）" xfId="3" xr:uid="{455AAFF4-3C96-4C10-83AD-6AABBF1B8F1B}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externalLink" Target="externalLinks/externalLink26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8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27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59" Type="http://schemas.openxmlformats.org/officeDocument/2006/relationships/externalLink" Target="externalLinks/externalLink3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externalLink" Target="externalLinks/externalLink25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externalLink" Target="externalLinks/externalLink28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Relationship Id="rId60" Type="http://schemas.openxmlformats.org/officeDocument/2006/relationships/externalLink" Target="externalLinks/externalLink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36</xdr:row>
      <xdr:rowOff>0</xdr:rowOff>
    </xdr:from>
    <xdr:to>
      <xdr:col>26</xdr:col>
      <xdr:colOff>0</xdr:colOff>
      <xdr:row>40</xdr:row>
      <xdr:rowOff>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9A71F27A-C761-423A-BFEC-E938150F0811}"/>
            </a:ext>
          </a:extLst>
        </xdr:cNvPr>
        <xdr:cNvGrpSpPr>
          <a:grpSpLocks/>
        </xdr:cNvGrpSpPr>
      </xdr:nvGrpSpPr>
      <xdr:grpSpPr bwMode="auto">
        <a:xfrm>
          <a:off x="1809750" y="7200900"/>
          <a:ext cx="2895600" cy="800100"/>
          <a:chOff x="190" y="756"/>
          <a:chExt cx="304" cy="84"/>
        </a:xfrm>
      </xdr:grpSpPr>
      <xdr:sp macro="" textlink="">
        <xdr:nvSpPr>
          <xdr:cNvPr id="3" name="Rectangle 1">
            <a:extLst>
              <a:ext uri="{FF2B5EF4-FFF2-40B4-BE49-F238E27FC236}">
                <a16:creationId xmlns:a16="http://schemas.microsoft.com/office/drawing/2014/main" id="{21521EF7-D8E4-0D4D-15F0-A05146B6AEC8}"/>
              </a:ext>
            </a:extLst>
          </xdr:cNvPr>
          <xdr:cNvSpPr>
            <a:spLocks noChangeArrowheads="1"/>
          </xdr:cNvSpPr>
        </xdr:nvSpPr>
        <xdr:spPr bwMode="auto">
          <a:xfrm>
            <a:off x="190" y="756"/>
            <a:ext cx="304" cy="84"/>
          </a:xfrm>
          <a:prstGeom prst="rect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4" name="Line 2">
            <a:extLst>
              <a:ext uri="{FF2B5EF4-FFF2-40B4-BE49-F238E27FC236}">
                <a16:creationId xmlns:a16="http://schemas.microsoft.com/office/drawing/2014/main" id="{C30FFE4B-3175-DD30-22DA-40BA71E6DFAE}"/>
              </a:ext>
            </a:extLst>
          </xdr:cNvPr>
          <xdr:cNvSpPr>
            <a:spLocks noChangeShapeType="1"/>
          </xdr:cNvSpPr>
        </xdr:nvSpPr>
        <xdr:spPr bwMode="auto">
          <a:xfrm>
            <a:off x="190" y="777"/>
            <a:ext cx="304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">
            <a:extLst>
              <a:ext uri="{FF2B5EF4-FFF2-40B4-BE49-F238E27FC236}">
                <a16:creationId xmlns:a16="http://schemas.microsoft.com/office/drawing/2014/main" id="{FE5D7F33-5BB2-7951-C97A-1E521A46FEB8}"/>
              </a:ext>
            </a:extLst>
          </xdr:cNvPr>
          <xdr:cNvSpPr>
            <a:spLocks noChangeShapeType="1"/>
          </xdr:cNvSpPr>
        </xdr:nvSpPr>
        <xdr:spPr bwMode="auto">
          <a:xfrm>
            <a:off x="266" y="756"/>
            <a:ext cx="0" cy="84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4">
            <a:extLst>
              <a:ext uri="{FF2B5EF4-FFF2-40B4-BE49-F238E27FC236}">
                <a16:creationId xmlns:a16="http://schemas.microsoft.com/office/drawing/2014/main" id="{92BC7898-01C8-0DC5-51D7-18AF48FC8815}"/>
              </a:ext>
            </a:extLst>
          </xdr:cNvPr>
          <xdr:cNvSpPr>
            <a:spLocks noChangeShapeType="1"/>
          </xdr:cNvSpPr>
        </xdr:nvSpPr>
        <xdr:spPr bwMode="auto">
          <a:xfrm>
            <a:off x="342" y="756"/>
            <a:ext cx="0" cy="84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5">
            <a:extLst>
              <a:ext uri="{FF2B5EF4-FFF2-40B4-BE49-F238E27FC236}">
                <a16:creationId xmlns:a16="http://schemas.microsoft.com/office/drawing/2014/main" id="{4B6088A5-4340-7E37-41FD-B7D1523FB1EB}"/>
              </a:ext>
            </a:extLst>
          </xdr:cNvPr>
          <xdr:cNvSpPr>
            <a:spLocks noChangeShapeType="1"/>
          </xdr:cNvSpPr>
        </xdr:nvSpPr>
        <xdr:spPr bwMode="auto">
          <a:xfrm>
            <a:off x="418" y="756"/>
            <a:ext cx="0" cy="84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104</xdr:row>
      <xdr:rowOff>0</xdr:rowOff>
    </xdr:from>
    <xdr:to>
      <xdr:col>30</xdr:col>
      <xdr:colOff>193500</xdr:colOff>
      <xdr:row>131</xdr:row>
      <xdr:rowOff>18999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B934D2-6CC9-47D0-9AFE-A16711CA11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t="1028" r="781" b="284"/>
        <a:stretch>
          <a:fillRect/>
        </a:stretch>
      </xdr:blipFill>
      <xdr:spPr>
        <a:xfrm>
          <a:off x="0" y="30803850"/>
          <a:ext cx="6480000" cy="57593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30</xdr:col>
      <xdr:colOff>193500</xdr:colOff>
      <xdr:row>97</xdr:row>
      <xdr:rowOff>199312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33C81F-F18B-4EDA-9979-C87E4777B2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70" t="2828" r="634"/>
        <a:stretch>
          <a:fillRect/>
        </a:stretch>
      </xdr:blipFill>
      <xdr:spPr>
        <a:xfrm>
          <a:off x="0" y="24203025"/>
          <a:ext cx="6480000" cy="35997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76</xdr:row>
      <xdr:rowOff>0</xdr:rowOff>
    </xdr:from>
    <xdr:to>
      <xdr:col>5</xdr:col>
      <xdr:colOff>133350</xdr:colOff>
      <xdr:row>81</xdr:row>
      <xdr:rowOff>0</xdr:rowOff>
    </xdr:to>
    <xdr:sp macro="" textlink="">
      <xdr:nvSpPr>
        <xdr:cNvPr id="2" name="Line 1640">
          <a:extLst>
            <a:ext uri="{FF2B5EF4-FFF2-40B4-BE49-F238E27FC236}">
              <a16:creationId xmlns:a16="http://schemas.microsoft.com/office/drawing/2014/main" id="{2E21C0EF-0B46-42D3-8730-D5FD4ED6D8E7}"/>
            </a:ext>
          </a:extLst>
        </xdr:cNvPr>
        <xdr:cNvSpPr>
          <a:spLocks noChangeShapeType="1"/>
        </xdr:cNvSpPr>
      </xdr:nvSpPr>
      <xdr:spPr bwMode="auto">
        <a:xfrm>
          <a:off x="1333500" y="26289000"/>
          <a:ext cx="0" cy="10477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</xdr:colOff>
      <xdr:row>76</xdr:row>
      <xdr:rowOff>0</xdr:rowOff>
    </xdr:from>
    <xdr:to>
      <xdr:col>10</xdr:col>
      <xdr:colOff>85725</xdr:colOff>
      <xdr:row>81</xdr:row>
      <xdr:rowOff>0</xdr:rowOff>
    </xdr:to>
    <xdr:sp macro="" textlink="">
      <xdr:nvSpPr>
        <xdr:cNvPr id="3" name="Line 1641">
          <a:extLst>
            <a:ext uri="{FF2B5EF4-FFF2-40B4-BE49-F238E27FC236}">
              <a16:creationId xmlns:a16="http://schemas.microsoft.com/office/drawing/2014/main" id="{197575A5-2E35-494C-8AA4-0B20C94944EC}"/>
            </a:ext>
          </a:extLst>
        </xdr:cNvPr>
        <xdr:cNvSpPr>
          <a:spLocks noChangeShapeType="1"/>
        </xdr:cNvSpPr>
      </xdr:nvSpPr>
      <xdr:spPr bwMode="auto">
        <a:xfrm>
          <a:off x="2286000" y="26289000"/>
          <a:ext cx="0" cy="10477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81</xdr:row>
      <xdr:rowOff>0</xdr:rowOff>
    </xdr:from>
    <xdr:to>
      <xdr:col>10</xdr:col>
      <xdr:colOff>85725</xdr:colOff>
      <xdr:row>81</xdr:row>
      <xdr:rowOff>0</xdr:rowOff>
    </xdr:to>
    <xdr:sp macro="" textlink="">
      <xdr:nvSpPr>
        <xdr:cNvPr id="4" name="Line 1642">
          <a:extLst>
            <a:ext uri="{FF2B5EF4-FFF2-40B4-BE49-F238E27FC236}">
              <a16:creationId xmlns:a16="http://schemas.microsoft.com/office/drawing/2014/main" id="{5277A3EB-6EE5-40CC-A782-47356BBDC012}"/>
            </a:ext>
          </a:extLst>
        </xdr:cNvPr>
        <xdr:cNvSpPr>
          <a:spLocks noChangeShapeType="1"/>
        </xdr:cNvSpPr>
      </xdr:nvSpPr>
      <xdr:spPr bwMode="auto">
        <a:xfrm flipH="1">
          <a:off x="1333500" y="27336750"/>
          <a:ext cx="9525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80</xdr:row>
      <xdr:rowOff>190500</xdr:rowOff>
    </xdr:from>
    <xdr:to>
      <xdr:col>5</xdr:col>
      <xdr:colOff>180975</xdr:colOff>
      <xdr:row>80</xdr:row>
      <xdr:rowOff>190500</xdr:rowOff>
    </xdr:to>
    <xdr:sp macro="" textlink="">
      <xdr:nvSpPr>
        <xdr:cNvPr id="5" name="Line 1643">
          <a:extLst>
            <a:ext uri="{FF2B5EF4-FFF2-40B4-BE49-F238E27FC236}">
              <a16:creationId xmlns:a16="http://schemas.microsoft.com/office/drawing/2014/main" id="{5C2D5C4E-DDF4-482C-BFF3-2E158E62BDA2}"/>
            </a:ext>
          </a:extLst>
        </xdr:cNvPr>
        <xdr:cNvSpPr>
          <a:spLocks noChangeShapeType="1"/>
        </xdr:cNvSpPr>
      </xdr:nvSpPr>
      <xdr:spPr bwMode="auto">
        <a:xfrm>
          <a:off x="1333500" y="27317700"/>
          <a:ext cx="476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80</xdr:row>
      <xdr:rowOff>190500</xdr:rowOff>
    </xdr:from>
    <xdr:to>
      <xdr:col>10</xdr:col>
      <xdr:colOff>85725</xdr:colOff>
      <xdr:row>80</xdr:row>
      <xdr:rowOff>190500</xdr:rowOff>
    </xdr:to>
    <xdr:sp macro="" textlink="">
      <xdr:nvSpPr>
        <xdr:cNvPr id="6" name="Line 1644">
          <a:extLst>
            <a:ext uri="{FF2B5EF4-FFF2-40B4-BE49-F238E27FC236}">
              <a16:creationId xmlns:a16="http://schemas.microsoft.com/office/drawing/2014/main" id="{33327CE0-9F1C-440A-9741-15663FF77C11}"/>
            </a:ext>
          </a:extLst>
        </xdr:cNvPr>
        <xdr:cNvSpPr>
          <a:spLocks noChangeShapeType="1"/>
        </xdr:cNvSpPr>
      </xdr:nvSpPr>
      <xdr:spPr bwMode="auto">
        <a:xfrm>
          <a:off x="2238375" y="27317700"/>
          <a:ext cx="476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9</xdr:col>
      <xdr:colOff>71438</xdr:colOff>
      <xdr:row>79</xdr:row>
      <xdr:rowOff>197302</xdr:rowOff>
    </xdr:from>
    <xdr:to>
      <xdr:col>10</xdr:col>
      <xdr:colOff>91220</xdr:colOff>
      <xdr:row>80</xdr:row>
      <xdr:rowOff>191185</xdr:rowOff>
    </xdr:to>
    <xdr:sp macro="" textlink="">
      <xdr:nvSpPr>
        <xdr:cNvPr id="7" name="Text Box 4775">
          <a:extLst>
            <a:ext uri="{FF2B5EF4-FFF2-40B4-BE49-F238E27FC236}">
              <a16:creationId xmlns:a16="http://schemas.microsoft.com/office/drawing/2014/main" id="{AE7AEC5C-1B29-4391-AFD8-5D276682796D}"/>
            </a:ext>
          </a:extLst>
        </xdr:cNvPr>
        <xdr:cNvSpPr txBox="1">
          <a:spLocks noChangeArrowheads="1"/>
        </xdr:cNvSpPr>
      </xdr:nvSpPr>
      <xdr:spPr bwMode="auto">
        <a:xfrm>
          <a:off x="2071688" y="27114952"/>
          <a:ext cx="219807" cy="203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18288" bIns="0" anchor="t" upright="1"/>
        <a:lstStyle/>
        <a:p>
          <a:pPr algn="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※1</a:t>
          </a:r>
        </a:p>
      </xdr:txBody>
    </xdr:sp>
    <xdr:clientData/>
  </xdr:twoCellAnchor>
  <xdr:twoCellAnchor>
    <xdr:from>
      <xdr:col>5</xdr:col>
      <xdr:colOff>133350</xdr:colOff>
      <xdr:row>71</xdr:row>
      <xdr:rowOff>109537</xdr:rowOff>
    </xdr:from>
    <xdr:to>
      <xdr:col>10</xdr:col>
      <xdr:colOff>80963</xdr:colOff>
      <xdr:row>76</xdr:row>
      <xdr:rowOff>9525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C296132B-2CEC-4BE4-BFF3-46FDFB2F540B}"/>
            </a:ext>
          </a:extLst>
        </xdr:cNvPr>
        <xdr:cNvSpPr/>
      </xdr:nvSpPr>
      <xdr:spPr>
        <a:xfrm>
          <a:off x="1333500" y="25350787"/>
          <a:ext cx="947738" cy="94773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133350</xdr:colOff>
      <xdr:row>88</xdr:row>
      <xdr:rowOff>0</xdr:rowOff>
    </xdr:from>
    <xdr:to>
      <xdr:col>5</xdr:col>
      <xdr:colOff>133350</xdr:colOff>
      <xdr:row>93</xdr:row>
      <xdr:rowOff>0</xdr:rowOff>
    </xdr:to>
    <xdr:sp macro="" textlink="">
      <xdr:nvSpPr>
        <xdr:cNvPr id="9" name="Line 1640">
          <a:extLst>
            <a:ext uri="{FF2B5EF4-FFF2-40B4-BE49-F238E27FC236}">
              <a16:creationId xmlns:a16="http://schemas.microsoft.com/office/drawing/2014/main" id="{E681AD91-88F6-4B82-8C82-85C9EB2153AC}"/>
            </a:ext>
          </a:extLst>
        </xdr:cNvPr>
        <xdr:cNvSpPr>
          <a:spLocks noChangeShapeType="1"/>
        </xdr:cNvSpPr>
      </xdr:nvSpPr>
      <xdr:spPr bwMode="auto">
        <a:xfrm>
          <a:off x="1333500" y="28803600"/>
          <a:ext cx="0" cy="10477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</xdr:colOff>
      <xdr:row>88</xdr:row>
      <xdr:rowOff>0</xdr:rowOff>
    </xdr:from>
    <xdr:to>
      <xdr:col>10</xdr:col>
      <xdr:colOff>85725</xdr:colOff>
      <xdr:row>93</xdr:row>
      <xdr:rowOff>0</xdr:rowOff>
    </xdr:to>
    <xdr:sp macro="" textlink="">
      <xdr:nvSpPr>
        <xdr:cNvPr id="10" name="Line 1641">
          <a:extLst>
            <a:ext uri="{FF2B5EF4-FFF2-40B4-BE49-F238E27FC236}">
              <a16:creationId xmlns:a16="http://schemas.microsoft.com/office/drawing/2014/main" id="{5E1B5412-0515-4ACF-9B3A-C7AF4D7C137A}"/>
            </a:ext>
          </a:extLst>
        </xdr:cNvPr>
        <xdr:cNvSpPr>
          <a:spLocks noChangeShapeType="1"/>
        </xdr:cNvSpPr>
      </xdr:nvSpPr>
      <xdr:spPr bwMode="auto">
        <a:xfrm>
          <a:off x="2286000" y="28803600"/>
          <a:ext cx="0" cy="10477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93</xdr:row>
      <xdr:rowOff>0</xdr:rowOff>
    </xdr:from>
    <xdr:to>
      <xdr:col>10</xdr:col>
      <xdr:colOff>85725</xdr:colOff>
      <xdr:row>93</xdr:row>
      <xdr:rowOff>0</xdr:rowOff>
    </xdr:to>
    <xdr:sp macro="" textlink="">
      <xdr:nvSpPr>
        <xdr:cNvPr id="11" name="Line 1642">
          <a:extLst>
            <a:ext uri="{FF2B5EF4-FFF2-40B4-BE49-F238E27FC236}">
              <a16:creationId xmlns:a16="http://schemas.microsoft.com/office/drawing/2014/main" id="{4A5172E6-F377-47E1-8932-6DED703BC488}"/>
            </a:ext>
          </a:extLst>
        </xdr:cNvPr>
        <xdr:cNvSpPr>
          <a:spLocks noChangeShapeType="1"/>
        </xdr:cNvSpPr>
      </xdr:nvSpPr>
      <xdr:spPr bwMode="auto">
        <a:xfrm flipH="1">
          <a:off x="1333500" y="29851350"/>
          <a:ext cx="9525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92</xdr:row>
      <xdr:rowOff>190500</xdr:rowOff>
    </xdr:from>
    <xdr:to>
      <xdr:col>5</xdr:col>
      <xdr:colOff>180975</xdr:colOff>
      <xdr:row>92</xdr:row>
      <xdr:rowOff>190500</xdr:rowOff>
    </xdr:to>
    <xdr:sp macro="" textlink="">
      <xdr:nvSpPr>
        <xdr:cNvPr id="12" name="Line 1643">
          <a:extLst>
            <a:ext uri="{FF2B5EF4-FFF2-40B4-BE49-F238E27FC236}">
              <a16:creationId xmlns:a16="http://schemas.microsoft.com/office/drawing/2014/main" id="{52C41C47-6F5E-479A-9670-7213F31B9A59}"/>
            </a:ext>
          </a:extLst>
        </xdr:cNvPr>
        <xdr:cNvSpPr>
          <a:spLocks noChangeShapeType="1"/>
        </xdr:cNvSpPr>
      </xdr:nvSpPr>
      <xdr:spPr bwMode="auto">
        <a:xfrm>
          <a:off x="1333500" y="29832300"/>
          <a:ext cx="476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92</xdr:row>
      <xdr:rowOff>190500</xdr:rowOff>
    </xdr:from>
    <xdr:to>
      <xdr:col>10</xdr:col>
      <xdr:colOff>85725</xdr:colOff>
      <xdr:row>92</xdr:row>
      <xdr:rowOff>190500</xdr:rowOff>
    </xdr:to>
    <xdr:sp macro="" textlink="">
      <xdr:nvSpPr>
        <xdr:cNvPr id="13" name="Line 1644">
          <a:extLst>
            <a:ext uri="{FF2B5EF4-FFF2-40B4-BE49-F238E27FC236}">
              <a16:creationId xmlns:a16="http://schemas.microsoft.com/office/drawing/2014/main" id="{2225EE67-2D9B-4159-836B-98C5DE9DC3C7}"/>
            </a:ext>
          </a:extLst>
        </xdr:cNvPr>
        <xdr:cNvSpPr>
          <a:spLocks noChangeShapeType="1"/>
        </xdr:cNvSpPr>
      </xdr:nvSpPr>
      <xdr:spPr bwMode="auto">
        <a:xfrm>
          <a:off x="2238375" y="29832300"/>
          <a:ext cx="476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71438</xdr:colOff>
      <xdr:row>91</xdr:row>
      <xdr:rowOff>197302</xdr:rowOff>
    </xdr:from>
    <xdr:ext cx="219807" cy="203433"/>
    <xdr:sp macro="" textlink="">
      <xdr:nvSpPr>
        <xdr:cNvPr id="14" name="Text Box 4775">
          <a:extLst>
            <a:ext uri="{FF2B5EF4-FFF2-40B4-BE49-F238E27FC236}">
              <a16:creationId xmlns:a16="http://schemas.microsoft.com/office/drawing/2014/main" id="{087B4B9A-37BF-4B7A-9732-96F4206C75DE}"/>
            </a:ext>
          </a:extLst>
        </xdr:cNvPr>
        <xdr:cNvSpPr txBox="1">
          <a:spLocks noChangeArrowheads="1"/>
        </xdr:cNvSpPr>
      </xdr:nvSpPr>
      <xdr:spPr bwMode="auto">
        <a:xfrm>
          <a:off x="2071688" y="29629552"/>
          <a:ext cx="219807" cy="203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18288" bIns="0" anchor="t" upright="1"/>
        <a:lstStyle/>
        <a:p>
          <a:pPr algn="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※1</a:t>
          </a:r>
        </a:p>
      </xdr:txBody>
    </xdr:sp>
    <xdr:clientData/>
  </xdr:oneCellAnchor>
  <xdr:twoCellAnchor>
    <xdr:from>
      <xdr:col>5</xdr:col>
      <xdr:colOff>133350</xdr:colOff>
      <xdr:row>83</xdr:row>
      <xdr:rowOff>109537</xdr:rowOff>
    </xdr:from>
    <xdr:to>
      <xdr:col>10</xdr:col>
      <xdr:colOff>80963</xdr:colOff>
      <xdr:row>88</xdr:row>
      <xdr:rowOff>9525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CA3DE81D-C683-4D59-9A84-199A181A9FD4}"/>
            </a:ext>
          </a:extLst>
        </xdr:cNvPr>
        <xdr:cNvSpPr/>
      </xdr:nvSpPr>
      <xdr:spPr>
        <a:xfrm>
          <a:off x="1333500" y="27865387"/>
          <a:ext cx="947738" cy="94773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133350</xdr:colOff>
      <xdr:row>102</xdr:row>
      <xdr:rowOff>0</xdr:rowOff>
    </xdr:from>
    <xdr:to>
      <xdr:col>5</xdr:col>
      <xdr:colOff>133350</xdr:colOff>
      <xdr:row>107</xdr:row>
      <xdr:rowOff>0</xdr:rowOff>
    </xdr:to>
    <xdr:sp macro="" textlink="">
      <xdr:nvSpPr>
        <xdr:cNvPr id="16" name="Line 1640">
          <a:extLst>
            <a:ext uri="{FF2B5EF4-FFF2-40B4-BE49-F238E27FC236}">
              <a16:creationId xmlns:a16="http://schemas.microsoft.com/office/drawing/2014/main" id="{936D0DC5-9ECC-4673-B8B0-78D3132E7EB8}"/>
            </a:ext>
          </a:extLst>
        </xdr:cNvPr>
        <xdr:cNvSpPr>
          <a:spLocks noChangeShapeType="1"/>
        </xdr:cNvSpPr>
      </xdr:nvSpPr>
      <xdr:spPr bwMode="auto">
        <a:xfrm>
          <a:off x="1333500" y="31318200"/>
          <a:ext cx="0" cy="10477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</xdr:colOff>
      <xdr:row>102</xdr:row>
      <xdr:rowOff>0</xdr:rowOff>
    </xdr:from>
    <xdr:to>
      <xdr:col>10</xdr:col>
      <xdr:colOff>85725</xdr:colOff>
      <xdr:row>107</xdr:row>
      <xdr:rowOff>0</xdr:rowOff>
    </xdr:to>
    <xdr:sp macro="" textlink="">
      <xdr:nvSpPr>
        <xdr:cNvPr id="17" name="Line 1641">
          <a:extLst>
            <a:ext uri="{FF2B5EF4-FFF2-40B4-BE49-F238E27FC236}">
              <a16:creationId xmlns:a16="http://schemas.microsoft.com/office/drawing/2014/main" id="{193F1DCE-D763-4E63-97CE-3FF8CB479EC0}"/>
            </a:ext>
          </a:extLst>
        </xdr:cNvPr>
        <xdr:cNvSpPr>
          <a:spLocks noChangeShapeType="1"/>
        </xdr:cNvSpPr>
      </xdr:nvSpPr>
      <xdr:spPr bwMode="auto">
        <a:xfrm>
          <a:off x="2286000" y="31318200"/>
          <a:ext cx="0" cy="10477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107</xdr:row>
      <xdr:rowOff>0</xdr:rowOff>
    </xdr:from>
    <xdr:to>
      <xdr:col>10</xdr:col>
      <xdr:colOff>85725</xdr:colOff>
      <xdr:row>107</xdr:row>
      <xdr:rowOff>0</xdr:rowOff>
    </xdr:to>
    <xdr:sp macro="" textlink="">
      <xdr:nvSpPr>
        <xdr:cNvPr id="18" name="Line 1642">
          <a:extLst>
            <a:ext uri="{FF2B5EF4-FFF2-40B4-BE49-F238E27FC236}">
              <a16:creationId xmlns:a16="http://schemas.microsoft.com/office/drawing/2014/main" id="{A14E610F-3400-474D-93D1-A29D8C6152EC}"/>
            </a:ext>
          </a:extLst>
        </xdr:cNvPr>
        <xdr:cNvSpPr>
          <a:spLocks noChangeShapeType="1"/>
        </xdr:cNvSpPr>
      </xdr:nvSpPr>
      <xdr:spPr bwMode="auto">
        <a:xfrm flipH="1">
          <a:off x="1333500" y="32365950"/>
          <a:ext cx="9525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106</xdr:row>
      <xdr:rowOff>190500</xdr:rowOff>
    </xdr:from>
    <xdr:to>
      <xdr:col>5</xdr:col>
      <xdr:colOff>180975</xdr:colOff>
      <xdr:row>106</xdr:row>
      <xdr:rowOff>190500</xdr:rowOff>
    </xdr:to>
    <xdr:sp macro="" textlink="">
      <xdr:nvSpPr>
        <xdr:cNvPr id="19" name="Line 1643">
          <a:extLst>
            <a:ext uri="{FF2B5EF4-FFF2-40B4-BE49-F238E27FC236}">
              <a16:creationId xmlns:a16="http://schemas.microsoft.com/office/drawing/2014/main" id="{6638A3C7-3E67-4B71-A83A-CB26750B1B99}"/>
            </a:ext>
          </a:extLst>
        </xdr:cNvPr>
        <xdr:cNvSpPr>
          <a:spLocks noChangeShapeType="1"/>
        </xdr:cNvSpPr>
      </xdr:nvSpPr>
      <xdr:spPr bwMode="auto">
        <a:xfrm>
          <a:off x="1333500" y="32346900"/>
          <a:ext cx="476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106</xdr:row>
      <xdr:rowOff>190500</xdr:rowOff>
    </xdr:from>
    <xdr:to>
      <xdr:col>10</xdr:col>
      <xdr:colOff>85725</xdr:colOff>
      <xdr:row>106</xdr:row>
      <xdr:rowOff>190500</xdr:rowOff>
    </xdr:to>
    <xdr:sp macro="" textlink="">
      <xdr:nvSpPr>
        <xdr:cNvPr id="20" name="Line 1644">
          <a:extLst>
            <a:ext uri="{FF2B5EF4-FFF2-40B4-BE49-F238E27FC236}">
              <a16:creationId xmlns:a16="http://schemas.microsoft.com/office/drawing/2014/main" id="{9362DAAD-BA55-4835-8FBB-9FFAE11E4574}"/>
            </a:ext>
          </a:extLst>
        </xdr:cNvPr>
        <xdr:cNvSpPr>
          <a:spLocks noChangeShapeType="1"/>
        </xdr:cNvSpPr>
      </xdr:nvSpPr>
      <xdr:spPr bwMode="auto">
        <a:xfrm>
          <a:off x="2238375" y="32346900"/>
          <a:ext cx="476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71438</xdr:colOff>
      <xdr:row>105</xdr:row>
      <xdr:rowOff>197302</xdr:rowOff>
    </xdr:from>
    <xdr:ext cx="219807" cy="203433"/>
    <xdr:sp macro="" textlink="">
      <xdr:nvSpPr>
        <xdr:cNvPr id="21" name="Text Box 4775">
          <a:extLst>
            <a:ext uri="{FF2B5EF4-FFF2-40B4-BE49-F238E27FC236}">
              <a16:creationId xmlns:a16="http://schemas.microsoft.com/office/drawing/2014/main" id="{E1A6DC64-3C71-4669-96FB-6B8C1E3019B9}"/>
            </a:ext>
          </a:extLst>
        </xdr:cNvPr>
        <xdr:cNvSpPr txBox="1">
          <a:spLocks noChangeArrowheads="1"/>
        </xdr:cNvSpPr>
      </xdr:nvSpPr>
      <xdr:spPr bwMode="auto">
        <a:xfrm>
          <a:off x="2071688" y="32144152"/>
          <a:ext cx="219807" cy="203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18288" bIns="0" anchor="t" upright="1"/>
        <a:lstStyle/>
        <a:p>
          <a:pPr algn="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※1</a:t>
          </a:r>
        </a:p>
      </xdr:txBody>
    </xdr:sp>
    <xdr:clientData/>
  </xdr:oneCellAnchor>
  <xdr:twoCellAnchor>
    <xdr:from>
      <xdr:col>5</xdr:col>
      <xdr:colOff>133350</xdr:colOff>
      <xdr:row>97</xdr:row>
      <xdr:rowOff>109537</xdr:rowOff>
    </xdr:from>
    <xdr:to>
      <xdr:col>10</xdr:col>
      <xdr:colOff>80963</xdr:colOff>
      <xdr:row>102</xdr:row>
      <xdr:rowOff>9525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4033B257-0E41-424E-85A7-4B127A53E8B9}"/>
            </a:ext>
          </a:extLst>
        </xdr:cNvPr>
        <xdr:cNvSpPr/>
      </xdr:nvSpPr>
      <xdr:spPr>
        <a:xfrm>
          <a:off x="1333500" y="30379987"/>
          <a:ext cx="947738" cy="94773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133350</xdr:colOff>
      <xdr:row>114</xdr:row>
      <xdr:rowOff>0</xdr:rowOff>
    </xdr:from>
    <xdr:to>
      <xdr:col>5</xdr:col>
      <xdr:colOff>133350</xdr:colOff>
      <xdr:row>119</xdr:row>
      <xdr:rowOff>0</xdr:rowOff>
    </xdr:to>
    <xdr:sp macro="" textlink="">
      <xdr:nvSpPr>
        <xdr:cNvPr id="23" name="Line 1640">
          <a:extLst>
            <a:ext uri="{FF2B5EF4-FFF2-40B4-BE49-F238E27FC236}">
              <a16:creationId xmlns:a16="http://schemas.microsoft.com/office/drawing/2014/main" id="{22D00D3B-6BCD-4B92-A0EC-81366A330D47}"/>
            </a:ext>
          </a:extLst>
        </xdr:cNvPr>
        <xdr:cNvSpPr>
          <a:spLocks noChangeShapeType="1"/>
        </xdr:cNvSpPr>
      </xdr:nvSpPr>
      <xdr:spPr bwMode="auto">
        <a:xfrm>
          <a:off x="1333500" y="33832800"/>
          <a:ext cx="0" cy="10477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</xdr:colOff>
      <xdr:row>114</xdr:row>
      <xdr:rowOff>0</xdr:rowOff>
    </xdr:from>
    <xdr:to>
      <xdr:col>10</xdr:col>
      <xdr:colOff>85725</xdr:colOff>
      <xdr:row>119</xdr:row>
      <xdr:rowOff>0</xdr:rowOff>
    </xdr:to>
    <xdr:sp macro="" textlink="">
      <xdr:nvSpPr>
        <xdr:cNvPr id="24" name="Line 1641">
          <a:extLst>
            <a:ext uri="{FF2B5EF4-FFF2-40B4-BE49-F238E27FC236}">
              <a16:creationId xmlns:a16="http://schemas.microsoft.com/office/drawing/2014/main" id="{DAB05446-068F-43B7-87D7-86F36E690F69}"/>
            </a:ext>
          </a:extLst>
        </xdr:cNvPr>
        <xdr:cNvSpPr>
          <a:spLocks noChangeShapeType="1"/>
        </xdr:cNvSpPr>
      </xdr:nvSpPr>
      <xdr:spPr bwMode="auto">
        <a:xfrm>
          <a:off x="2286000" y="33832800"/>
          <a:ext cx="0" cy="10477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119</xdr:row>
      <xdr:rowOff>0</xdr:rowOff>
    </xdr:from>
    <xdr:to>
      <xdr:col>10</xdr:col>
      <xdr:colOff>85725</xdr:colOff>
      <xdr:row>119</xdr:row>
      <xdr:rowOff>0</xdr:rowOff>
    </xdr:to>
    <xdr:sp macro="" textlink="">
      <xdr:nvSpPr>
        <xdr:cNvPr id="25" name="Line 1642">
          <a:extLst>
            <a:ext uri="{FF2B5EF4-FFF2-40B4-BE49-F238E27FC236}">
              <a16:creationId xmlns:a16="http://schemas.microsoft.com/office/drawing/2014/main" id="{60C6D4DE-06CA-44B0-AFAA-547C23ED8865}"/>
            </a:ext>
          </a:extLst>
        </xdr:cNvPr>
        <xdr:cNvSpPr>
          <a:spLocks noChangeShapeType="1"/>
        </xdr:cNvSpPr>
      </xdr:nvSpPr>
      <xdr:spPr bwMode="auto">
        <a:xfrm flipH="1">
          <a:off x="1333500" y="34880550"/>
          <a:ext cx="9525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118</xdr:row>
      <xdr:rowOff>190500</xdr:rowOff>
    </xdr:from>
    <xdr:to>
      <xdr:col>5</xdr:col>
      <xdr:colOff>180975</xdr:colOff>
      <xdr:row>118</xdr:row>
      <xdr:rowOff>190500</xdr:rowOff>
    </xdr:to>
    <xdr:sp macro="" textlink="">
      <xdr:nvSpPr>
        <xdr:cNvPr id="26" name="Line 1643">
          <a:extLst>
            <a:ext uri="{FF2B5EF4-FFF2-40B4-BE49-F238E27FC236}">
              <a16:creationId xmlns:a16="http://schemas.microsoft.com/office/drawing/2014/main" id="{3F719AA5-5885-4FE6-BF68-4FA81C6A6A13}"/>
            </a:ext>
          </a:extLst>
        </xdr:cNvPr>
        <xdr:cNvSpPr>
          <a:spLocks noChangeShapeType="1"/>
        </xdr:cNvSpPr>
      </xdr:nvSpPr>
      <xdr:spPr bwMode="auto">
        <a:xfrm>
          <a:off x="1333500" y="34861500"/>
          <a:ext cx="476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118</xdr:row>
      <xdr:rowOff>190500</xdr:rowOff>
    </xdr:from>
    <xdr:to>
      <xdr:col>10</xdr:col>
      <xdr:colOff>85725</xdr:colOff>
      <xdr:row>118</xdr:row>
      <xdr:rowOff>190500</xdr:rowOff>
    </xdr:to>
    <xdr:sp macro="" textlink="">
      <xdr:nvSpPr>
        <xdr:cNvPr id="27" name="Line 1644">
          <a:extLst>
            <a:ext uri="{FF2B5EF4-FFF2-40B4-BE49-F238E27FC236}">
              <a16:creationId xmlns:a16="http://schemas.microsoft.com/office/drawing/2014/main" id="{E1661E61-2A98-4243-B609-02590D677EC1}"/>
            </a:ext>
          </a:extLst>
        </xdr:cNvPr>
        <xdr:cNvSpPr>
          <a:spLocks noChangeShapeType="1"/>
        </xdr:cNvSpPr>
      </xdr:nvSpPr>
      <xdr:spPr bwMode="auto">
        <a:xfrm>
          <a:off x="2238375" y="34861500"/>
          <a:ext cx="476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71438</xdr:colOff>
      <xdr:row>117</xdr:row>
      <xdr:rowOff>197302</xdr:rowOff>
    </xdr:from>
    <xdr:ext cx="219807" cy="203433"/>
    <xdr:sp macro="" textlink="">
      <xdr:nvSpPr>
        <xdr:cNvPr id="28" name="Text Box 4775">
          <a:extLst>
            <a:ext uri="{FF2B5EF4-FFF2-40B4-BE49-F238E27FC236}">
              <a16:creationId xmlns:a16="http://schemas.microsoft.com/office/drawing/2014/main" id="{34D4571F-2CBA-45AC-B5E2-884087659B41}"/>
            </a:ext>
          </a:extLst>
        </xdr:cNvPr>
        <xdr:cNvSpPr txBox="1">
          <a:spLocks noChangeArrowheads="1"/>
        </xdr:cNvSpPr>
      </xdr:nvSpPr>
      <xdr:spPr bwMode="auto">
        <a:xfrm>
          <a:off x="2071688" y="34658752"/>
          <a:ext cx="219807" cy="203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18288" bIns="0" anchor="t" upright="1"/>
        <a:lstStyle/>
        <a:p>
          <a:pPr algn="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※1</a:t>
          </a:r>
        </a:p>
      </xdr:txBody>
    </xdr:sp>
    <xdr:clientData/>
  </xdr:oneCellAnchor>
  <xdr:twoCellAnchor>
    <xdr:from>
      <xdr:col>5</xdr:col>
      <xdr:colOff>133350</xdr:colOff>
      <xdr:row>109</xdr:row>
      <xdr:rowOff>109537</xdr:rowOff>
    </xdr:from>
    <xdr:to>
      <xdr:col>10</xdr:col>
      <xdr:colOff>80963</xdr:colOff>
      <xdr:row>114</xdr:row>
      <xdr:rowOff>9525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5CACE26C-2C38-4D1D-9119-E426D3BC5BF8}"/>
            </a:ext>
          </a:extLst>
        </xdr:cNvPr>
        <xdr:cNvSpPr/>
      </xdr:nvSpPr>
      <xdr:spPr>
        <a:xfrm>
          <a:off x="1333500" y="32894587"/>
          <a:ext cx="947738" cy="94773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29</xdr:row>
      <xdr:rowOff>0</xdr:rowOff>
    </xdr:from>
    <xdr:to>
      <xdr:col>21</xdr:col>
      <xdr:colOff>4763</xdr:colOff>
      <xdr:row>34</xdr:row>
      <xdr:rowOff>0</xdr:rowOff>
    </xdr:to>
    <xdr:sp macro="" textlink="">
      <xdr:nvSpPr>
        <xdr:cNvPr id="30" name="フリーフォーム: 図形 29">
          <a:extLst>
            <a:ext uri="{FF2B5EF4-FFF2-40B4-BE49-F238E27FC236}">
              <a16:creationId xmlns:a16="http://schemas.microsoft.com/office/drawing/2014/main" id="{C6603E30-34C8-4D4C-9566-35F48E9ADBFB}"/>
            </a:ext>
          </a:extLst>
        </xdr:cNvPr>
        <xdr:cNvSpPr/>
      </xdr:nvSpPr>
      <xdr:spPr>
        <a:xfrm>
          <a:off x="1800225" y="17068800"/>
          <a:ext cx="2605088" cy="838200"/>
        </a:xfrm>
        <a:custGeom>
          <a:avLst/>
          <a:gdLst>
            <a:gd name="csX0" fmla="*/ 0 w 2605088"/>
            <a:gd name="csY0" fmla="*/ 204788 h 838200"/>
            <a:gd name="csX1" fmla="*/ 1004888 w 2605088"/>
            <a:gd name="csY1" fmla="*/ 0 h 838200"/>
            <a:gd name="csX2" fmla="*/ 1609725 w 2605088"/>
            <a:gd name="csY2" fmla="*/ 0 h 838200"/>
            <a:gd name="csX3" fmla="*/ 2605088 w 2605088"/>
            <a:gd name="csY3" fmla="*/ 209550 h 838200"/>
            <a:gd name="csX4" fmla="*/ 2605088 w 2605088"/>
            <a:gd name="csY4" fmla="*/ 838200 h 838200"/>
            <a:gd name="csX5" fmla="*/ 0 w 2605088"/>
            <a:gd name="csY5" fmla="*/ 838200 h 838200"/>
            <a:gd name="csX6" fmla="*/ 0 w 2605088"/>
            <a:gd name="csY6" fmla="*/ 204788 h 8382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605088" h="838200">
              <a:moveTo>
                <a:pt x="0" y="204788"/>
              </a:moveTo>
              <a:lnTo>
                <a:pt x="1004888" y="0"/>
              </a:lnTo>
              <a:lnTo>
                <a:pt x="1609725" y="0"/>
              </a:lnTo>
              <a:lnTo>
                <a:pt x="2605088" y="209550"/>
              </a:lnTo>
              <a:lnTo>
                <a:pt x="2605088" y="838200"/>
              </a:lnTo>
              <a:lnTo>
                <a:pt x="0" y="838200"/>
              </a:lnTo>
              <a:lnTo>
                <a:pt x="0" y="204788"/>
              </a:lnTo>
              <a:close/>
            </a:path>
          </a:pathLst>
        </a:cu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31</xdr:row>
      <xdr:rowOff>1</xdr:rowOff>
    </xdr:from>
    <xdr:to>
      <xdr:col>21</xdr:col>
      <xdr:colOff>0</xdr:colOff>
      <xdr:row>31</xdr:row>
      <xdr:rowOff>4763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158AD774-A423-41BE-A437-1067D580AD0B}"/>
            </a:ext>
          </a:extLst>
        </xdr:cNvPr>
        <xdr:cNvCxnSpPr/>
      </xdr:nvCxnSpPr>
      <xdr:spPr>
        <a:xfrm>
          <a:off x="1800225" y="17278351"/>
          <a:ext cx="2600325" cy="4762"/>
        </a:xfrm>
        <a:prstGeom prst="line">
          <a:avLst/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4763</xdr:colOff>
      <xdr:row>31</xdr:row>
      <xdr:rowOff>4763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6B15A6BB-8B03-4CD7-A537-80BE7641BE1E}"/>
            </a:ext>
          </a:extLst>
        </xdr:cNvPr>
        <xdr:cNvCxnSpPr>
          <a:stCxn id="30" idx="1"/>
        </xdr:cNvCxnSpPr>
      </xdr:nvCxnSpPr>
      <xdr:spPr>
        <a:xfrm flipH="1">
          <a:off x="2800350" y="17068800"/>
          <a:ext cx="4763" cy="214313"/>
        </a:xfrm>
        <a:prstGeom prst="line">
          <a:avLst/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29</xdr:row>
      <xdr:rowOff>0</xdr:rowOff>
    </xdr:from>
    <xdr:to>
      <xdr:col>16</xdr:col>
      <xdr:colOff>4763</xdr:colOff>
      <xdr:row>31</xdr:row>
      <xdr:rowOff>4763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1F27F4A8-42CC-41F3-B34E-2E62607C9712}"/>
            </a:ext>
          </a:extLst>
        </xdr:cNvPr>
        <xdr:cNvCxnSpPr/>
      </xdr:nvCxnSpPr>
      <xdr:spPr>
        <a:xfrm flipH="1">
          <a:off x="3400425" y="17068800"/>
          <a:ext cx="4763" cy="214313"/>
        </a:xfrm>
        <a:prstGeom prst="line">
          <a:avLst/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</xdr:row>
      <xdr:rowOff>180975</xdr:rowOff>
    </xdr:from>
    <xdr:to>
      <xdr:col>8</xdr:col>
      <xdr:colOff>0</xdr:colOff>
      <xdr:row>30</xdr:row>
      <xdr:rowOff>52388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6F74EA53-7AB5-4B52-9FF6-8D092A9B9A6F}"/>
            </a:ext>
          </a:extLst>
        </xdr:cNvPr>
        <xdr:cNvCxnSpPr/>
      </xdr:nvCxnSpPr>
      <xdr:spPr>
        <a:xfrm flipV="1">
          <a:off x="1800225" y="16411575"/>
          <a:ext cx="0" cy="81438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26</xdr:row>
      <xdr:rowOff>185738</xdr:rowOff>
    </xdr:from>
    <xdr:to>
      <xdr:col>13</xdr:col>
      <xdr:colOff>0</xdr:colOff>
      <xdr:row>28</xdr:row>
      <xdr:rowOff>185738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AFABC8A2-54F6-4265-9350-288B9737617A}"/>
            </a:ext>
          </a:extLst>
        </xdr:cNvPr>
        <xdr:cNvCxnSpPr/>
      </xdr:nvCxnSpPr>
      <xdr:spPr>
        <a:xfrm flipV="1">
          <a:off x="2800350" y="16625888"/>
          <a:ext cx="0" cy="4191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195262</xdr:colOff>
      <xdr:row>26</xdr:row>
      <xdr:rowOff>180975</xdr:rowOff>
    </xdr:from>
    <xdr:to>
      <xdr:col>15</xdr:col>
      <xdr:colOff>195262</xdr:colOff>
      <xdr:row>28</xdr:row>
      <xdr:rowOff>185738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36C75A3B-27EC-4CF2-A71F-77B416F948ED}"/>
            </a:ext>
          </a:extLst>
        </xdr:cNvPr>
        <xdr:cNvCxnSpPr/>
      </xdr:nvCxnSpPr>
      <xdr:spPr>
        <a:xfrm flipV="1">
          <a:off x="3395662" y="16621125"/>
          <a:ext cx="0" cy="423863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25</xdr:row>
      <xdr:rowOff>180975</xdr:rowOff>
    </xdr:from>
    <xdr:to>
      <xdr:col>21</xdr:col>
      <xdr:colOff>4763</xdr:colOff>
      <xdr:row>31</xdr:row>
      <xdr:rowOff>0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6CFD1CA5-CC4E-4E52-9E61-715904EB3AE1}"/>
            </a:ext>
          </a:extLst>
        </xdr:cNvPr>
        <xdr:cNvCxnSpPr>
          <a:stCxn id="30" idx="3"/>
        </xdr:cNvCxnSpPr>
      </xdr:nvCxnSpPr>
      <xdr:spPr>
        <a:xfrm flipH="1" flipV="1">
          <a:off x="4400550" y="16411575"/>
          <a:ext cx="4763" cy="86677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4764</xdr:rowOff>
    </xdr:from>
    <xdr:to>
      <xdr:col>21</xdr:col>
      <xdr:colOff>4763</xdr:colOff>
      <xdr:row>26</xdr:row>
      <xdr:rowOff>4764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01136F44-E252-443E-8D04-F70B44338E18}"/>
            </a:ext>
          </a:extLst>
        </xdr:cNvPr>
        <xdr:cNvCxnSpPr/>
      </xdr:nvCxnSpPr>
      <xdr:spPr>
        <a:xfrm>
          <a:off x="1800225" y="16444914"/>
          <a:ext cx="2605088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27</xdr:row>
      <xdr:rowOff>0</xdr:rowOff>
    </xdr:from>
    <xdr:to>
      <xdr:col>13</xdr:col>
      <xdr:colOff>4763</xdr:colOff>
      <xdr:row>27</xdr:row>
      <xdr:rowOff>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6CC297D6-8364-487D-B9E3-9EE3514BB727}"/>
            </a:ext>
          </a:extLst>
        </xdr:cNvPr>
        <xdr:cNvCxnSpPr/>
      </xdr:nvCxnSpPr>
      <xdr:spPr>
        <a:xfrm>
          <a:off x="1800225" y="16649700"/>
          <a:ext cx="1004888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</xdr:row>
      <xdr:rowOff>1</xdr:rowOff>
    </xdr:from>
    <xdr:to>
      <xdr:col>16</xdr:col>
      <xdr:colOff>0</xdr:colOff>
      <xdr:row>27</xdr:row>
      <xdr:rowOff>1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49837388-6840-4737-8CB2-7D52CFFA70A7}"/>
            </a:ext>
          </a:extLst>
        </xdr:cNvPr>
        <xdr:cNvCxnSpPr/>
      </xdr:nvCxnSpPr>
      <xdr:spPr>
        <a:xfrm>
          <a:off x="2800350" y="16649701"/>
          <a:ext cx="6000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27</xdr:row>
      <xdr:rowOff>0</xdr:rowOff>
    </xdr:from>
    <xdr:to>
      <xdr:col>21</xdr:col>
      <xdr:colOff>0</xdr:colOff>
      <xdr:row>27</xdr:row>
      <xdr:rowOff>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7C5E37F6-95E8-45EB-A3D2-342B1DAFBED9}"/>
            </a:ext>
          </a:extLst>
        </xdr:cNvPr>
        <xdr:cNvCxnSpPr/>
      </xdr:nvCxnSpPr>
      <xdr:spPr>
        <a:xfrm>
          <a:off x="3400425" y="16649700"/>
          <a:ext cx="100012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25</xdr:row>
      <xdr:rowOff>195263</xdr:rowOff>
    </xdr:from>
    <xdr:to>
      <xdr:col>8</xdr:col>
      <xdr:colOff>109538</xdr:colOff>
      <xdr:row>25</xdr:row>
      <xdr:rowOff>195263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C7758452-BC0D-497C-B61F-88030AEAA8C3}"/>
            </a:ext>
          </a:extLst>
        </xdr:cNvPr>
        <xdr:cNvCxnSpPr/>
      </xdr:nvCxnSpPr>
      <xdr:spPr>
        <a:xfrm>
          <a:off x="1804988" y="16425863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25</xdr:row>
      <xdr:rowOff>195263</xdr:rowOff>
    </xdr:from>
    <xdr:to>
      <xdr:col>21</xdr:col>
      <xdr:colOff>0</xdr:colOff>
      <xdr:row>25</xdr:row>
      <xdr:rowOff>195263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F55E0CBA-9C85-4A02-863A-F04DB57C99DC}"/>
            </a:ext>
          </a:extLst>
        </xdr:cNvPr>
        <xdr:cNvCxnSpPr/>
      </xdr:nvCxnSpPr>
      <xdr:spPr>
        <a:xfrm>
          <a:off x="4295775" y="16425863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26</xdr:row>
      <xdr:rowOff>190501</xdr:rowOff>
    </xdr:from>
    <xdr:to>
      <xdr:col>8</xdr:col>
      <xdr:colOff>109538</xdr:colOff>
      <xdr:row>26</xdr:row>
      <xdr:rowOff>190501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1EDFADDA-9730-400C-BA0A-2664963E2F3D}"/>
            </a:ext>
          </a:extLst>
        </xdr:cNvPr>
        <xdr:cNvCxnSpPr/>
      </xdr:nvCxnSpPr>
      <xdr:spPr>
        <a:xfrm>
          <a:off x="1804988" y="16630651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147638</xdr:colOff>
      <xdr:row>26</xdr:row>
      <xdr:rowOff>190501</xdr:rowOff>
    </xdr:from>
    <xdr:to>
      <xdr:col>13</xdr:col>
      <xdr:colOff>52388</xdr:colOff>
      <xdr:row>26</xdr:row>
      <xdr:rowOff>190501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5E585B74-0A34-48EE-B911-560FC1005276}"/>
            </a:ext>
          </a:extLst>
        </xdr:cNvPr>
        <xdr:cNvCxnSpPr/>
      </xdr:nvCxnSpPr>
      <xdr:spPr>
        <a:xfrm>
          <a:off x="2747963" y="16630651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26</xdr:row>
      <xdr:rowOff>190501</xdr:rowOff>
    </xdr:from>
    <xdr:to>
      <xdr:col>16</xdr:col>
      <xdr:colOff>47625</xdr:colOff>
      <xdr:row>26</xdr:row>
      <xdr:rowOff>190501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1BB53164-2D72-4B84-8480-8C5394BD09E4}"/>
            </a:ext>
          </a:extLst>
        </xdr:cNvPr>
        <xdr:cNvCxnSpPr/>
      </xdr:nvCxnSpPr>
      <xdr:spPr>
        <a:xfrm>
          <a:off x="3343275" y="16630651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26</xdr:row>
      <xdr:rowOff>190501</xdr:rowOff>
    </xdr:from>
    <xdr:to>
      <xdr:col>21</xdr:col>
      <xdr:colOff>0</xdr:colOff>
      <xdr:row>26</xdr:row>
      <xdr:rowOff>190501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41F1BB96-00B8-4E8D-9A2B-9F5E5D534BAB}"/>
            </a:ext>
          </a:extLst>
        </xdr:cNvPr>
        <xdr:cNvCxnSpPr/>
      </xdr:nvCxnSpPr>
      <xdr:spPr>
        <a:xfrm>
          <a:off x="4295775" y="16630651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30</xdr:row>
      <xdr:rowOff>100013</xdr:rowOff>
    </xdr:from>
    <xdr:to>
      <xdr:col>8</xdr:col>
      <xdr:colOff>0</xdr:colOff>
      <xdr:row>31</xdr:row>
      <xdr:rowOff>0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060BA0B8-57C6-45FC-978F-D45404720340}"/>
            </a:ext>
          </a:extLst>
        </xdr:cNvPr>
        <xdr:cNvCxnSpPr>
          <a:stCxn id="30" idx="0"/>
        </xdr:cNvCxnSpPr>
      </xdr:nvCxnSpPr>
      <xdr:spPr>
        <a:xfrm flipH="1">
          <a:off x="1166813" y="17273588"/>
          <a:ext cx="633412" cy="47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33</xdr:row>
      <xdr:rowOff>204788</xdr:rowOff>
    </xdr:from>
    <xdr:to>
      <xdr:col>8</xdr:col>
      <xdr:colOff>0</xdr:colOff>
      <xdr:row>34</xdr:row>
      <xdr:rowOff>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57671461-3C83-4782-B310-3EF0BA15F2B3}"/>
            </a:ext>
          </a:extLst>
        </xdr:cNvPr>
        <xdr:cNvCxnSpPr/>
      </xdr:nvCxnSpPr>
      <xdr:spPr>
        <a:xfrm flipH="1">
          <a:off x="1166813" y="17902238"/>
          <a:ext cx="633412" cy="47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0</xdr:colOff>
      <xdr:row>33</xdr:row>
      <xdr:rowOff>204788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D5C8B646-D9A2-466D-ADC5-9ACAC6C01920}"/>
            </a:ext>
          </a:extLst>
        </xdr:cNvPr>
        <xdr:cNvCxnSpPr/>
      </xdr:nvCxnSpPr>
      <xdr:spPr>
        <a:xfrm>
          <a:off x="1200150" y="17278350"/>
          <a:ext cx="0" cy="62388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185738</xdr:colOff>
      <xdr:row>30</xdr:row>
      <xdr:rowOff>66675</xdr:rowOff>
    </xdr:from>
    <xdr:to>
      <xdr:col>4</xdr:col>
      <xdr:colOff>185738</xdr:colOff>
      <xdr:row>31</xdr:row>
      <xdr:rowOff>42862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8867DA16-CD5E-41F2-9934-DCB30033989F}"/>
            </a:ext>
          </a:extLst>
        </xdr:cNvPr>
        <xdr:cNvCxnSpPr/>
      </xdr:nvCxnSpPr>
      <xdr:spPr>
        <a:xfrm>
          <a:off x="1185863" y="17240250"/>
          <a:ext cx="0" cy="809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185738</xdr:colOff>
      <xdr:row>33</xdr:row>
      <xdr:rowOff>123825</xdr:rowOff>
    </xdr:from>
    <xdr:to>
      <xdr:col>4</xdr:col>
      <xdr:colOff>185738</xdr:colOff>
      <xdr:row>33</xdr:row>
      <xdr:rowOff>204787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737A7E9B-63D3-4D01-AD9C-A13027BE9A98}"/>
            </a:ext>
          </a:extLst>
        </xdr:cNvPr>
        <xdr:cNvCxnSpPr/>
      </xdr:nvCxnSpPr>
      <xdr:spPr>
        <a:xfrm>
          <a:off x="1185863" y="17821275"/>
          <a:ext cx="0" cy="809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28</xdr:row>
      <xdr:rowOff>204788</xdr:rowOff>
    </xdr:from>
    <xdr:to>
      <xdr:col>11</xdr:col>
      <xdr:colOff>195263</xdr:colOff>
      <xdr:row>28</xdr:row>
      <xdr:rowOff>204788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1F2E689F-67A8-42C8-AD89-85257DF656EA}"/>
            </a:ext>
          </a:extLst>
        </xdr:cNvPr>
        <xdr:cNvCxnSpPr/>
      </xdr:nvCxnSpPr>
      <xdr:spPr>
        <a:xfrm flipH="1">
          <a:off x="1166813" y="17064038"/>
          <a:ext cx="142875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28</xdr:row>
      <xdr:rowOff>204788</xdr:rowOff>
    </xdr:from>
    <xdr:to>
      <xdr:col>5</xdr:col>
      <xdr:colOff>0</xdr:colOff>
      <xdr:row>31</xdr:row>
      <xdr:rowOff>0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F430032D-3384-4439-9E04-FB09BF59D9F9}"/>
            </a:ext>
          </a:extLst>
        </xdr:cNvPr>
        <xdr:cNvCxnSpPr/>
      </xdr:nvCxnSpPr>
      <xdr:spPr>
        <a:xfrm>
          <a:off x="1200150" y="17064038"/>
          <a:ext cx="0" cy="21431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53</xdr:row>
      <xdr:rowOff>0</xdr:rowOff>
    </xdr:from>
    <xdr:to>
      <xdr:col>21</xdr:col>
      <xdr:colOff>4763</xdr:colOff>
      <xdr:row>58</xdr:row>
      <xdr:rowOff>0</xdr:rowOff>
    </xdr:to>
    <xdr:sp macro="" textlink="">
      <xdr:nvSpPr>
        <xdr:cNvPr id="55" name="フリーフォーム: 図形 54">
          <a:extLst>
            <a:ext uri="{FF2B5EF4-FFF2-40B4-BE49-F238E27FC236}">
              <a16:creationId xmlns:a16="http://schemas.microsoft.com/office/drawing/2014/main" id="{5CBE6FEC-A844-4412-9683-F93D4884CB3A}"/>
            </a:ext>
          </a:extLst>
        </xdr:cNvPr>
        <xdr:cNvSpPr/>
      </xdr:nvSpPr>
      <xdr:spPr>
        <a:xfrm>
          <a:off x="1800225" y="21469350"/>
          <a:ext cx="2605088" cy="838200"/>
        </a:xfrm>
        <a:custGeom>
          <a:avLst/>
          <a:gdLst>
            <a:gd name="csX0" fmla="*/ 0 w 2605088"/>
            <a:gd name="csY0" fmla="*/ 204788 h 838200"/>
            <a:gd name="csX1" fmla="*/ 1004888 w 2605088"/>
            <a:gd name="csY1" fmla="*/ 0 h 838200"/>
            <a:gd name="csX2" fmla="*/ 1609725 w 2605088"/>
            <a:gd name="csY2" fmla="*/ 0 h 838200"/>
            <a:gd name="csX3" fmla="*/ 2605088 w 2605088"/>
            <a:gd name="csY3" fmla="*/ 209550 h 838200"/>
            <a:gd name="csX4" fmla="*/ 2605088 w 2605088"/>
            <a:gd name="csY4" fmla="*/ 838200 h 838200"/>
            <a:gd name="csX5" fmla="*/ 0 w 2605088"/>
            <a:gd name="csY5" fmla="*/ 838200 h 838200"/>
            <a:gd name="csX6" fmla="*/ 0 w 2605088"/>
            <a:gd name="csY6" fmla="*/ 204788 h 8382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605088" h="838200">
              <a:moveTo>
                <a:pt x="0" y="204788"/>
              </a:moveTo>
              <a:lnTo>
                <a:pt x="1004888" y="0"/>
              </a:lnTo>
              <a:lnTo>
                <a:pt x="1609725" y="0"/>
              </a:lnTo>
              <a:lnTo>
                <a:pt x="2605088" y="209550"/>
              </a:lnTo>
              <a:lnTo>
                <a:pt x="2605088" y="838200"/>
              </a:lnTo>
              <a:lnTo>
                <a:pt x="0" y="838200"/>
              </a:lnTo>
              <a:lnTo>
                <a:pt x="0" y="204788"/>
              </a:lnTo>
              <a:close/>
            </a:path>
          </a:pathLst>
        </a:cu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55</xdr:row>
      <xdr:rowOff>1</xdr:rowOff>
    </xdr:from>
    <xdr:to>
      <xdr:col>21</xdr:col>
      <xdr:colOff>0</xdr:colOff>
      <xdr:row>55</xdr:row>
      <xdr:rowOff>4763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0494DEAA-F7FC-45F9-A3A8-96DC1D51450D}"/>
            </a:ext>
          </a:extLst>
        </xdr:cNvPr>
        <xdr:cNvCxnSpPr/>
      </xdr:nvCxnSpPr>
      <xdr:spPr>
        <a:xfrm>
          <a:off x="1800225" y="21678901"/>
          <a:ext cx="2600325" cy="4762"/>
        </a:xfrm>
        <a:prstGeom prst="line">
          <a:avLst/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53</xdr:row>
      <xdr:rowOff>0</xdr:rowOff>
    </xdr:from>
    <xdr:to>
      <xdr:col>13</xdr:col>
      <xdr:colOff>4763</xdr:colOff>
      <xdr:row>55</xdr:row>
      <xdr:rowOff>4763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B675DA20-39DB-45DF-A6E6-E1B24B25E33D}"/>
            </a:ext>
          </a:extLst>
        </xdr:cNvPr>
        <xdr:cNvCxnSpPr>
          <a:stCxn id="55" idx="1"/>
        </xdr:cNvCxnSpPr>
      </xdr:nvCxnSpPr>
      <xdr:spPr>
        <a:xfrm flipH="1">
          <a:off x="2800350" y="21469350"/>
          <a:ext cx="4763" cy="214313"/>
        </a:xfrm>
        <a:prstGeom prst="line">
          <a:avLst/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53</xdr:row>
      <xdr:rowOff>0</xdr:rowOff>
    </xdr:from>
    <xdr:to>
      <xdr:col>16</xdr:col>
      <xdr:colOff>4763</xdr:colOff>
      <xdr:row>55</xdr:row>
      <xdr:rowOff>4763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AF5AC205-0014-4CC4-8CE2-CD72CBEC8D3C}"/>
            </a:ext>
          </a:extLst>
        </xdr:cNvPr>
        <xdr:cNvCxnSpPr/>
      </xdr:nvCxnSpPr>
      <xdr:spPr>
        <a:xfrm flipH="1">
          <a:off x="3400425" y="21469350"/>
          <a:ext cx="4763" cy="214313"/>
        </a:xfrm>
        <a:prstGeom prst="line">
          <a:avLst/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180975</xdr:rowOff>
    </xdr:from>
    <xdr:to>
      <xdr:col>8</xdr:col>
      <xdr:colOff>0</xdr:colOff>
      <xdr:row>54</xdr:row>
      <xdr:rowOff>52388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A1F10710-F042-42D0-BF2E-0E8209A89A2B}"/>
            </a:ext>
          </a:extLst>
        </xdr:cNvPr>
        <xdr:cNvCxnSpPr/>
      </xdr:nvCxnSpPr>
      <xdr:spPr>
        <a:xfrm flipV="1">
          <a:off x="1800225" y="20812125"/>
          <a:ext cx="0" cy="81438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185738</xdr:rowOff>
    </xdr:from>
    <xdr:to>
      <xdr:col>13</xdr:col>
      <xdr:colOff>0</xdr:colOff>
      <xdr:row>52</xdr:row>
      <xdr:rowOff>185738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C0024DC1-7DF2-4046-BDAB-C7C5F23AC691}"/>
            </a:ext>
          </a:extLst>
        </xdr:cNvPr>
        <xdr:cNvCxnSpPr/>
      </xdr:nvCxnSpPr>
      <xdr:spPr>
        <a:xfrm flipV="1">
          <a:off x="2800350" y="21026438"/>
          <a:ext cx="0" cy="4191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195262</xdr:colOff>
      <xdr:row>50</xdr:row>
      <xdr:rowOff>180975</xdr:rowOff>
    </xdr:from>
    <xdr:to>
      <xdr:col>15</xdr:col>
      <xdr:colOff>195262</xdr:colOff>
      <xdr:row>52</xdr:row>
      <xdr:rowOff>185738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39DF7986-A3B2-426A-9D33-A95859606F98}"/>
            </a:ext>
          </a:extLst>
        </xdr:cNvPr>
        <xdr:cNvCxnSpPr/>
      </xdr:nvCxnSpPr>
      <xdr:spPr>
        <a:xfrm flipV="1">
          <a:off x="3395662" y="21021675"/>
          <a:ext cx="0" cy="423863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49</xdr:row>
      <xdr:rowOff>180975</xdr:rowOff>
    </xdr:from>
    <xdr:to>
      <xdr:col>21</xdr:col>
      <xdr:colOff>4763</xdr:colOff>
      <xdr:row>55</xdr:row>
      <xdr:rowOff>0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CA3D869A-878F-4DB9-880D-3080312D5A8B}"/>
            </a:ext>
          </a:extLst>
        </xdr:cNvPr>
        <xdr:cNvCxnSpPr>
          <a:stCxn id="55" idx="3"/>
        </xdr:cNvCxnSpPr>
      </xdr:nvCxnSpPr>
      <xdr:spPr>
        <a:xfrm flipH="1" flipV="1">
          <a:off x="4400550" y="20812125"/>
          <a:ext cx="4763" cy="86677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50</xdr:row>
      <xdr:rowOff>4764</xdr:rowOff>
    </xdr:from>
    <xdr:to>
      <xdr:col>21</xdr:col>
      <xdr:colOff>4763</xdr:colOff>
      <xdr:row>50</xdr:row>
      <xdr:rowOff>4764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1DC0FEDA-E737-4160-949E-965DB74CF240}"/>
            </a:ext>
          </a:extLst>
        </xdr:cNvPr>
        <xdr:cNvCxnSpPr/>
      </xdr:nvCxnSpPr>
      <xdr:spPr>
        <a:xfrm>
          <a:off x="1800225" y="20845464"/>
          <a:ext cx="2605088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51</xdr:row>
      <xdr:rowOff>0</xdr:rowOff>
    </xdr:from>
    <xdr:to>
      <xdr:col>13</xdr:col>
      <xdr:colOff>4763</xdr:colOff>
      <xdr:row>51</xdr:row>
      <xdr:rowOff>0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2CD8769E-7793-4773-AF25-915C2BF231C4}"/>
            </a:ext>
          </a:extLst>
        </xdr:cNvPr>
        <xdr:cNvCxnSpPr/>
      </xdr:nvCxnSpPr>
      <xdr:spPr>
        <a:xfrm>
          <a:off x="1800225" y="21050250"/>
          <a:ext cx="1004888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51</xdr:row>
      <xdr:rowOff>1</xdr:rowOff>
    </xdr:from>
    <xdr:to>
      <xdr:col>16</xdr:col>
      <xdr:colOff>0</xdr:colOff>
      <xdr:row>51</xdr:row>
      <xdr:rowOff>1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A17A5281-FB4E-473C-A251-09936AC0DE8A}"/>
            </a:ext>
          </a:extLst>
        </xdr:cNvPr>
        <xdr:cNvCxnSpPr/>
      </xdr:nvCxnSpPr>
      <xdr:spPr>
        <a:xfrm>
          <a:off x="2800350" y="21050251"/>
          <a:ext cx="6000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51</xdr:row>
      <xdr:rowOff>0</xdr:rowOff>
    </xdr:from>
    <xdr:to>
      <xdr:col>21</xdr:col>
      <xdr:colOff>0</xdr:colOff>
      <xdr:row>51</xdr:row>
      <xdr:rowOff>0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CAD75AFE-6F4B-4A0B-A378-AAD1166B0909}"/>
            </a:ext>
          </a:extLst>
        </xdr:cNvPr>
        <xdr:cNvCxnSpPr/>
      </xdr:nvCxnSpPr>
      <xdr:spPr>
        <a:xfrm>
          <a:off x="3400425" y="21050250"/>
          <a:ext cx="100012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49</xdr:row>
      <xdr:rowOff>195263</xdr:rowOff>
    </xdr:from>
    <xdr:to>
      <xdr:col>8</xdr:col>
      <xdr:colOff>109538</xdr:colOff>
      <xdr:row>49</xdr:row>
      <xdr:rowOff>195263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0E44ED21-B949-4D3F-A355-F6E84BCBD845}"/>
            </a:ext>
          </a:extLst>
        </xdr:cNvPr>
        <xdr:cNvCxnSpPr/>
      </xdr:nvCxnSpPr>
      <xdr:spPr>
        <a:xfrm>
          <a:off x="1804988" y="20826413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49</xdr:row>
      <xdr:rowOff>195263</xdr:rowOff>
    </xdr:from>
    <xdr:to>
      <xdr:col>21</xdr:col>
      <xdr:colOff>0</xdr:colOff>
      <xdr:row>49</xdr:row>
      <xdr:rowOff>195263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CC22308D-4CE2-4C17-8DB7-C4341C00EF07}"/>
            </a:ext>
          </a:extLst>
        </xdr:cNvPr>
        <xdr:cNvCxnSpPr/>
      </xdr:nvCxnSpPr>
      <xdr:spPr>
        <a:xfrm>
          <a:off x="4295775" y="20826413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50</xdr:row>
      <xdr:rowOff>190501</xdr:rowOff>
    </xdr:from>
    <xdr:to>
      <xdr:col>8</xdr:col>
      <xdr:colOff>109538</xdr:colOff>
      <xdr:row>50</xdr:row>
      <xdr:rowOff>190501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6A794B41-9D49-45A0-8EA4-D205660998A4}"/>
            </a:ext>
          </a:extLst>
        </xdr:cNvPr>
        <xdr:cNvCxnSpPr/>
      </xdr:nvCxnSpPr>
      <xdr:spPr>
        <a:xfrm>
          <a:off x="1804988" y="21031201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147638</xdr:colOff>
      <xdr:row>50</xdr:row>
      <xdr:rowOff>190501</xdr:rowOff>
    </xdr:from>
    <xdr:to>
      <xdr:col>13</xdr:col>
      <xdr:colOff>52388</xdr:colOff>
      <xdr:row>50</xdr:row>
      <xdr:rowOff>190501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8D271EB4-B7F2-46D8-8D42-5218108D42A8}"/>
            </a:ext>
          </a:extLst>
        </xdr:cNvPr>
        <xdr:cNvCxnSpPr/>
      </xdr:nvCxnSpPr>
      <xdr:spPr>
        <a:xfrm>
          <a:off x="2747963" y="21031201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50</xdr:row>
      <xdr:rowOff>190501</xdr:rowOff>
    </xdr:from>
    <xdr:to>
      <xdr:col>16</xdr:col>
      <xdr:colOff>47625</xdr:colOff>
      <xdr:row>50</xdr:row>
      <xdr:rowOff>190501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5F998160-B69F-41DF-A407-C5C0462301F5}"/>
            </a:ext>
          </a:extLst>
        </xdr:cNvPr>
        <xdr:cNvCxnSpPr/>
      </xdr:nvCxnSpPr>
      <xdr:spPr>
        <a:xfrm>
          <a:off x="3343275" y="21031201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50</xdr:row>
      <xdr:rowOff>190501</xdr:rowOff>
    </xdr:from>
    <xdr:to>
      <xdr:col>21</xdr:col>
      <xdr:colOff>0</xdr:colOff>
      <xdr:row>50</xdr:row>
      <xdr:rowOff>190501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7A8BE1A1-3FFA-4494-B353-E5C0EA9FBA5F}"/>
            </a:ext>
          </a:extLst>
        </xdr:cNvPr>
        <xdr:cNvCxnSpPr/>
      </xdr:nvCxnSpPr>
      <xdr:spPr>
        <a:xfrm>
          <a:off x="4295775" y="21031201"/>
          <a:ext cx="1047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54</xdr:row>
      <xdr:rowOff>100013</xdr:rowOff>
    </xdr:from>
    <xdr:to>
      <xdr:col>8</xdr:col>
      <xdr:colOff>0</xdr:colOff>
      <xdr:row>55</xdr:row>
      <xdr:rowOff>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0C7AC974-19A6-4054-B4EE-6A5730877C12}"/>
            </a:ext>
          </a:extLst>
        </xdr:cNvPr>
        <xdr:cNvCxnSpPr>
          <a:stCxn id="55" idx="0"/>
        </xdr:cNvCxnSpPr>
      </xdr:nvCxnSpPr>
      <xdr:spPr>
        <a:xfrm flipH="1">
          <a:off x="1166813" y="21674138"/>
          <a:ext cx="633412" cy="47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57</xdr:row>
      <xdr:rowOff>204788</xdr:rowOff>
    </xdr:from>
    <xdr:to>
      <xdr:col>8</xdr:col>
      <xdr:colOff>0</xdr:colOff>
      <xdr:row>58</xdr:row>
      <xdr:rowOff>0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540BEA07-DA25-4C5F-86B3-500D77F5C650}"/>
            </a:ext>
          </a:extLst>
        </xdr:cNvPr>
        <xdr:cNvCxnSpPr/>
      </xdr:nvCxnSpPr>
      <xdr:spPr>
        <a:xfrm flipH="1">
          <a:off x="1166813" y="22302788"/>
          <a:ext cx="633412" cy="47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55</xdr:row>
      <xdr:rowOff>0</xdr:rowOff>
    </xdr:from>
    <xdr:to>
      <xdr:col>5</xdr:col>
      <xdr:colOff>0</xdr:colOff>
      <xdr:row>57</xdr:row>
      <xdr:rowOff>204788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C34068AE-5605-4EFB-83B7-7EF635DA657F}"/>
            </a:ext>
          </a:extLst>
        </xdr:cNvPr>
        <xdr:cNvCxnSpPr/>
      </xdr:nvCxnSpPr>
      <xdr:spPr>
        <a:xfrm>
          <a:off x="1200150" y="21678900"/>
          <a:ext cx="0" cy="62388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185738</xdr:colOff>
      <xdr:row>54</xdr:row>
      <xdr:rowOff>61913</xdr:rowOff>
    </xdr:from>
    <xdr:to>
      <xdr:col>4</xdr:col>
      <xdr:colOff>185738</xdr:colOff>
      <xdr:row>55</xdr:row>
      <xdr:rowOff>38100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49B10DCB-3DC1-4859-8AEF-AE875FF66E7C}"/>
            </a:ext>
          </a:extLst>
        </xdr:cNvPr>
        <xdr:cNvCxnSpPr/>
      </xdr:nvCxnSpPr>
      <xdr:spPr>
        <a:xfrm>
          <a:off x="1185863" y="21636038"/>
          <a:ext cx="0" cy="809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185738</xdr:colOff>
      <xdr:row>57</xdr:row>
      <xdr:rowOff>123825</xdr:rowOff>
    </xdr:from>
    <xdr:to>
      <xdr:col>4</xdr:col>
      <xdr:colOff>185738</xdr:colOff>
      <xdr:row>57</xdr:row>
      <xdr:rowOff>204787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CFC067A8-1967-4AF0-A584-F57DD7205BDF}"/>
            </a:ext>
          </a:extLst>
        </xdr:cNvPr>
        <xdr:cNvCxnSpPr/>
      </xdr:nvCxnSpPr>
      <xdr:spPr>
        <a:xfrm>
          <a:off x="1185863" y="22221825"/>
          <a:ext cx="0" cy="809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52</xdr:row>
      <xdr:rowOff>204788</xdr:rowOff>
    </xdr:from>
    <xdr:to>
      <xdr:col>11</xdr:col>
      <xdr:colOff>195263</xdr:colOff>
      <xdr:row>52</xdr:row>
      <xdr:rowOff>204788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3DA0C1DC-EF72-4229-9F9F-437132D22BE5}"/>
            </a:ext>
          </a:extLst>
        </xdr:cNvPr>
        <xdr:cNvCxnSpPr/>
      </xdr:nvCxnSpPr>
      <xdr:spPr>
        <a:xfrm flipH="1">
          <a:off x="1166813" y="21464588"/>
          <a:ext cx="142875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52</xdr:row>
      <xdr:rowOff>204788</xdr:rowOff>
    </xdr:from>
    <xdr:to>
      <xdr:col>5</xdr:col>
      <xdr:colOff>0</xdr:colOff>
      <xdr:row>55</xdr:row>
      <xdr:rowOff>0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DF29C4B2-BB3D-442A-B5F5-8376A43CA82F}"/>
            </a:ext>
          </a:extLst>
        </xdr:cNvPr>
        <xdr:cNvCxnSpPr/>
      </xdr:nvCxnSpPr>
      <xdr:spPr>
        <a:xfrm>
          <a:off x="1200150" y="21464588"/>
          <a:ext cx="0" cy="21431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185738</xdr:colOff>
      <xdr:row>28</xdr:row>
      <xdr:rowOff>204787</xdr:rowOff>
    </xdr:from>
    <xdr:to>
      <xdr:col>4</xdr:col>
      <xdr:colOff>185738</xdr:colOff>
      <xdr:row>29</xdr:row>
      <xdr:rowOff>76199</xdr:rowOff>
    </xdr:to>
    <xdr:cxnSp macro="">
      <xdr:nvCxnSpPr>
        <xdr:cNvPr id="80" name="直線コネクタ 79">
          <a:extLst>
            <a:ext uri="{FF2B5EF4-FFF2-40B4-BE49-F238E27FC236}">
              <a16:creationId xmlns:a16="http://schemas.microsoft.com/office/drawing/2014/main" id="{B868DBF5-D885-4383-B894-BFDB60A51903}"/>
            </a:ext>
          </a:extLst>
        </xdr:cNvPr>
        <xdr:cNvCxnSpPr/>
      </xdr:nvCxnSpPr>
      <xdr:spPr>
        <a:xfrm>
          <a:off x="1185863" y="17064037"/>
          <a:ext cx="0" cy="809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185738</xdr:colOff>
      <xdr:row>52</xdr:row>
      <xdr:rowOff>204788</xdr:rowOff>
    </xdr:from>
    <xdr:to>
      <xdr:col>4</xdr:col>
      <xdr:colOff>185738</xdr:colOff>
      <xdr:row>53</xdr:row>
      <xdr:rowOff>76200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C4C9CAB2-9623-4609-9C79-5CCACB8E57E0}"/>
            </a:ext>
          </a:extLst>
        </xdr:cNvPr>
        <xdr:cNvCxnSpPr/>
      </xdr:nvCxnSpPr>
      <xdr:spPr>
        <a:xfrm>
          <a:off x="1185863" y="21464588"/>
          <a:ext cx="0" cy="8096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66675</xdr:colOff>
      <xdr:row>17</xdr:row>
      <xdr:rowOff>190500</xdr:rowOff>
    </xdr:from>
    <xdr:ext cx="438882" cy="202748"/>
    <xdr:sp macro="" textlink="">
      <xdr:nvSpPr>
        <xdr:cNvPr id="27" name="Text Box 4775">
          <a:extLst>
            <a:ext uri="{FF2B5EF4-FFF2-40B4-BE49-F238E27FC236}">
              <a16:creationId xmlns:a16="http://schemas.microsoft.com/office/drawing/2014/main" id="{6BB27E06-4FC4-4873-B625-D3BE183DEC06}"/>
            </a:ext>
          </a:extLst>
        </xdr:cNvPr>
        <xdr:cNvSpPr txBox="1">
          <a:spLocks noChangeArrowheads="1"/>
        </xdr:cNvSpPr>
      </xdr:nvSpPr>
      <xdr:spPr bwMode="auto">
        <a:xfrm>
          <a:off x="3267075" y="38690550"/>
          <a:ext cx="438882" cy="2027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※1</a:t>
          </a:r>
        </a:p>
      </xdr:txBody>
    </xdr:sp>
    <xdr:clientData/>
  </xdr:oneCellAnchor>
  <xdr:oneCellAnchor>
    <xdr:from>
      <xdr:col>15</xdr:col>
      <xdr:colOff>66675</xdr:colOff>
      <xdr:row>20</xdr:row>
      <xdr:rowOff>190500</xdr:rowOff>
    </xdr:from>
    <xdr:ext cx="438882" cy="202748"/>
    <xdr:sp macro="" textlink="">
      <xdr:nvSpPr>
        <xdr:cNvPr id="28" name="Text Box 4775">
          <a:extLst>
            <a:ext uri="{FF2B5EF4-FFF2-40B4-BE49-F238E27FC236}">
              <a16:creationId xmlns:a16="http://schemas.microsoft.com/office/drawing/2014/main" id="{A0C93903-BCCA-41D9-896B-A80145556756}"/>
            </a:ext>
          </a:extLst>
        </xdr:cNvPr>
        <xdr:cNvSpPr txBox="1">
          <a:spLocks noChangeArrowheads="1"/>
        </xdr:cNvSpPr>
      </xdr:nvSpPr>
      <xdr:spPr bwMode="auto">
        <a:xfrm>
          <a:off x="3267075" y="39290625"/>
          <a:ext cx="438882" cy="2027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※1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32</xdr:col>
      <xdr:colOff>0</xdr:colOff>
      <xdr:row>18</xdr:row>
      <xdr:rowOff>17615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3BEF7158-325D-B5C4-92D8-A51B67DF4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038225"/>
          <a:ext cx="5800725" cy="274176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32</xdr:col>
      <xdr:colOff>27898</xdr:colOff>
      <xdr:row>50</xdr:row>
      <xdr:rowOff>203200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24C8B2A1-BE1E-E5E5-1328-F77B0E4CC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21780500"/>
          <a:ext cx="5920698" cy="30099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80</xdr:row>
      <xdr:rowOff>0</xdr:rowOff>
    </xdr:from>
    <xdr:to>
      <xdr:col>24</xdr:col>
      <xdr:colOff>28576</xdr:colOff>
      <xdr:row>89</xdr:row>
      <xdr:rowOff>29667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FAC38BEF-FDCF-D8BA-EB82-4F56D1148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351" y="41471850"/>
          <a:ext cx="3752850" cy="1915617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171451</xdr:colOff>
      <xdr:row>114</xdr:row>
      <xdr:rowOff>0</xdr:rowOff>
    </xdr:from>
    <xdr:to>
      <xdr:col>22</xdr:col>
      <xdr:colOff>114301</xdr:colOff>
      <xdr:row>121</xdr:row>
      <xdr:rowOff>206737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DB9223E8-D994-74AF-62F1-4AF18F656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1776" y="46081950"/>
          <a:ext cx="1943100" cy="1673587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134</xdr:row>
      <xdr:rowOff>0</xdr:rowOff>
    </xdr:from>
    <xdr:to>
      <xdr:col>23</xdr:col>
      <xdr:colOff>136645</xdr:colOff>
      <xdr:row>143</xdr:row>
      <xdr:rowOff>47625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D364C1A2-E271-0B5E-685B-13555E9D8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76525" y="52578000"/>
          <a:ext cx="2260720" cy="1933575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156</xdr:row>
      <xdr:rowOff>0</xdr:rowOff>
    </xdr:from>
    <xdr:to>
      <xdr:col>24</xdr:col>
      <xdr:colOff>50800</xdr:colOff>
      <xdr:row>165</xdr:row>
      <xdr:rowOff>19175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B0415303-F6C7-3315-E658-6A364B6F3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0800" y="58915300"/>
          <a:ext cx="3810000" cy="196227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190</xdr:row>
      <xdr:rowOff>1</xdr:rowOff>
    </xdr:from>
    <xdr:to>
      <xdr:col>22</xdr:col>
      <xdr:colOff>88900</xdr:colOff>
      <xdr:row>198</xdr:row>
      <xdr:rowOff>9033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711FBE04-954C-7A73-7190-AD43BF756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17800" y="66040001"/>
          <a:ext cx="2044700" cy="1736232"/>
        </a:xfrm>
        <a:prstGeom prst="rect">
          <a:avLst/>
        </a:prstGeom>
      </xdr:spPr>
    </xdr:pic>
    <xdr:clientData/>
  </xdr:twoCellAnchor>
  <xdr:twoCellAnchor editAs="oneCell">
    <xdr:from>
      <xdr:col>12</xdr:col>
      <xdr:colOff>12701</xdr:colOff>
      <xdr:row>210</xdr:row>
      <xdr:rowOff>0</xdr:rowOff>
    </xdr:from>
    <xdr:to>
      <xdr:col>23</xdr:col>
      <xdr:colOff>76201</xdr:colOff>
      <xdr:row>219</xdr:row>
      <xdr:rowOff>25808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F9F85EE5-948F-9C56-2C45-CCD303D71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4301" y="70142100"/>
          <a:ext cx="2298700" cy="19689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1</xdr:row>
      <xdr:rowOff>0</xdr:rowOff>
    </xdr:from>
    <xdr:to>
      <xdr:col>46</xdr:col>
      <xdr:colOff>232651</xdr:colOff>
      <xdr:row>11</xdr:row>
      <xdr:rowOff>41582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D832DD-9C96-D3FD-59B6-4BC393550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1600" y="215900"/>
          <a:ext cx="6277851" cy="22005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7</xdr:row>
      <xdr:rowOff>0</xdr:rowOff>
    </xdr:from>
    <xdr:to>
      <xdr:col>14</xdr:col>
      <xdr:colOff>26430</xdr:colOff>
      <xdr:row>58</xdr:row>
      <xdr:rowOff>63499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B381CD-8636-8DBA-8B5B-0F3504625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511300"/>
          <a:ext cx="7290829" cy="110743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5</xdr:row>
      <xdr:rowOff>1</xdr:rowOff>
    </xdr:from>
    <xdr:to>
      <xdr:col>14</xdr:col>
      <xdr:colOff>20705</xdr:colOff>
      <xdr:row>56</xdr:row>
      <xdr:rowOff>203200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6F7E9C-56C1-D296-B099-D7EDDBF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079501"/>
          <a:ext cx="7285104" cy="112140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0E_&#12381;&#12398;&#20182;\EH140040&#24029;&#36234;\T03&#35373;&#35336;&#35336;&#31639;&#26360;\EV_Esc&#35373;&#32622;&#37096;\Esc&#12500;&#12483;&#12488;&#12398;&#26908;&#3534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YAMAMO\2001-h13\082&#22823;&#32178;&#12456;&#12473;&#12459;\&#27083;&#36896;&#35336;&#31639;&#26360;\&#27083;&#36896;&#35336;&#31639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0E_&#12381;&#12398;&#20182;\EH140056&#35199;&#33337;&#27211;EV.ESC&#65288;&#12381;&#12398;&#65298;&#65289;\T03&#35373;&#35336;&#35336;&#31639;&#26360;\EV&#12539;Esc\Ev&#12500;&#12483;&#12488;&#27083;&#36896;&#35336;&#3163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D\Documents%20and%20Settings\&#30959;&#35997;&#12288;&#28165;\My%20Documents\excldata\&#36899;&#25658;&#65420;&#65383;&#65394;&#6543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3509;&#26519;\&#27700;&#37089;&#32218;\&#12521;&#12540;&#12513;&#12531;&#35336;&#31639;-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&#12539;&#12524;&#65293;&#12523;&#12454;&#12455;&#12452;&#65381;&#12463;&#12523;&#12475;&#12452;&#12480;&#12540;&#12474;\&#33337;&#23567;&#23627;&#39365;&#39640;&#26550;&#20445;&#23432;&#29992;&#26012;&#36335;\&#35336;&#31639;&#26360;\&#12521;&#12540;&#12513;&#12531;&#35336;&#31639;-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o2%20&#35199;&#21407;\&#24029;&#21644;&#39640;&#26550;\&#65315;&#26041;&#21521;&#12521;&#12540;&#12513;&#12531;\&#167;14.&#30452;&#35282;&#26041;&#21521;C5&#12521;&#12540;&#12513;&#12531;&#12398;&#35336;&#3163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3721;&#20999;\LAN&#23721;&#20999;\LAN&#23721;&#20999;\&#26032;&#23487;&#39365;&#25913;&#20462;\&#26032;&#23487;&#35336;&#31639;&#26360;\R4\2&#23652;\R4-2&#23652;-C2&#33655;&#37325;&#35336;&#3163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TAKAGI\&#167;&#65298;&#65374;&#167;&#65305;&#20206;&#22303;&#30041;&#24037;&#65288;&#65297;&#652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YAMAMO\2001-h13\082&#22823;&#32178;&#12456;&#12473;&#12459;\&#27083;&#36896;&#35336;&#31639;&#26360;\L&#22411;&#25793;&#22721;&#12398;&#35336;&#3163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4A4708&#65288;&#24120;&#26032;&#12289;&#21271;&#22290;&#65314;&#65356;&#19979;&#37096;&#24037;&#21205;&#30340;&#35299;&#26512;&#20182;&#65289;\&#20316;&#26989;&#12501;&#12449;&#12452;&#12523;\excel\&#29305;&#27530;&#22320;&#30436;&#12398;&#22266;&#26377;&#21608;&#26399;&#65288;SHAKE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&#65281;&#23567;&#37326;&#23546;&#31168;&#19968;\&#27494;&#34101;&#37326;&#32218;&#12521;&#12540;&#12513;&#12531;&#39640;&#26550;&#27211;\&#12513;&#12540;&#12523;&#21463;&#20449;&#12487;&#12540;&#12479;\H14.2.13\&#27494;&#34101;&#37326;&#32218;R7-C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&#12539;&#12849;&#24314;&#25216;\2007&#24180;&#24230;\&#28006;&#21644;&#36008;&#29289;\&#26082;&#35373;&#65330;1&#32784;&#38663;&#26908;&#35342;\R1-&#167;09.&#32218;&#36335;&#30452;&#35282;&#26041;&#21521;C1(&#32784;&#38663;)\R1-&#167;09.&#32784;&#38663;&#30452;&#35282;&#26041;&#21521;C1&#2101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Windows\Profiles\ROY\Desktop\&#39640;&#26550;&#27211;\&#12521;&#12540;&#12513;&#12531;\&#27494;&#34101;&#37326;&#32218;R7-L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My%20Documents\&#22528;&#31840;\21_&#19979;&#27700;&#36947;\&#26481;&#20140;&#37117;&#19979;&#27700;&#36947;&#12288;&#31532;&#20108;&#27973;&#33609;&#24185;&#32218;&#12509;&#12531;&#12503;&#25152;&#27969;&#20837;&#28192;&#35443;&#32048;&#35373;&#35336;\&#27083;&#36896;&#35336;&#31639;&#26360;(&#27809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No.3&#37329;&#24059;\PCKK\&#26093;&#24029;&#39640;&#26550;\R15\&#167;21.&#26032;&#32784;&#38663;&#65315;2&#12521;&#12540;&#12513;&#12531;&#12398;&#35336;&#31639;\R1&#65301;&#65293;C2&#32784;&#38663;&#29031;&#2661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3721;&#20999;\LAN&#23721;&#20999;\LAN&#23721;&#20999;\&#26032;&#23487;&#39365;&#25913;&#20462;\&#26032;&#23487;&#35336;&#31639;&#26360;\R1\R1-2&#23652;C6\R1-2c&#167;12-C6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Mitui\Mitui\&#26247;&#12394;&#12392;&#12365;&#12395;&#12414;&#12392;&#12417;&#12427;&#12290;\&#25972;&#29702;&#28168;&#12415;&#35336;&#31639;&#12487;&#12540;&#12479;\&#12496;&#12522;&#12450;&#12501;&#12522;&#12540;&#12304;&#65322;&#65330;&#12305;\EV&#38306;&#36899;&#12398;&#27083;&#36896;&#35336;&#31639;\Ev&#12500;&#12483;&#12488;&#27083;&#36896;&#35336;&#31639;&#65288;&#26477;&#22522;&#30990;&#20559;&#24515;&#32771;&#24942;&#652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8165;&#27700;\LAN&#28165;&#27700;\R11L3&#12398;&#35336;&#31639;-&#37096;&#26448;&#29031;&#2661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l\datstock\DATSTOCK\&#24037;&#31243;\&#24037;&#31243;&#34920;\10&#26376;&#21029;&#22770;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0R_&#37444;&#36947;\RH160038&#26085;&#26286;&#37324;&#39365;&#25913;&#33391;\T03&#35373;&#35336;&#35336;&#31639;&#26360;\99&#26032;&#35373;&#38542;&#27573;&#22522;&#30990;\&#38542;&#27573;&#22522;&#30990;&#35373;&#35336;&#35336;&#31639;&#2636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&#65281;&#23567;&#37326;&#23546;&#31168;&#19968;\&#27494;&#34101;&#37326;&#32218;&#12521;&#12540;&#12513;&#12531;&#39640;&#26550;&#27211;\&#12513;&#12540;&#12523;&#21463;&#20449;&#12487;&#12540;&#12479;\H14.3.1\&#27494;&#34101;&#37326;&#32218;R7-L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3509;&#26519;\&#26032;&#23487;\R1%20&#19968;&#23652;&#35336;&#31639;\R1&#167;14-1,2&#23652;C3\R1-1&#23652;-&#167;14-C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LAN&#23721;&#20999;\&#26032;&#23487;&#39365;&#25913;&#20462;\&#26032;&#23487;&#35336;&#31639;&#26360;\R4\2&#23652;\R4-2&#23652;-C2&#33655;&#37325;&#35336;&#3163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Documents%20and%20Settings\&#30959;&#35997;&#12288;&#28165;\My%20Documents\excldata\&#36899;&#25658;&#65420;&#65383;&#65394;&#6543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8165;&#27700;\LAN&#28165;&#27700;\P6&#167;12&#26609;&#12398;&#35336;&#3163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LAN&#23721;&#20999;\&#26032;&#23487;&#39365;&#25913;&#20462;\&#26032;&#23487;&#35336;&#31639;&#26360;\R1\R1-2&#23652;C6\R1-2c&#167;12-C6-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972;&#27704;\&#26093;&#24029;&#39640;&#26550;&#27211;\LAN&#23721;&#20999;\&#26032;&#23487;&#39365;&#25913;&#20462;\&#26032;&#23487;&#35336;&#31639;&#26360;\R4\2&#23652;\R4-2&#23652;-C2&#33655;&#37325;&#35336;&#3163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-1\01_&#29289;&#20214;&#21517;(&#22806;&#20184;&#12369;hd)(2024.5.17&#65374;)\2016_&#21271;&#38520;&#26032;&#24185;&#32218;\&#33446;&#21407;&#28201;&#27849;&#39365;R1\&#167;12_&#22320;&#38663;&#26178;&#20197;&#22806;_C4\&#167;09_&#32218;&#36335;&#26041;&#21521;L4&#12521;&#12540;&#12513;&#12531;(&#24120;&#26178;)&#12398;&#35336;&#31639;&#65339;&#23436;&#25104;&#26178;&#65341;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3721;&#20999;\LAN&#23721;&#20999;\WINDOWS\&#65411;&#65438;&#65405;&#65400;&#65412;&#65391;&#65420;&#65439;\R3-2&#23652;-&#167;13-C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&#12521;&#12540;&#12513;&#12531;&#35336;&#31639;-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．計算結果総括"/>
      <sheetName val="Esピット設計条件"/>
      <sheetName val="ESピット"/>
      <sheetName val="ピット断面計算"/>
      <sheetName val="階段基礎"/>
      <sheetName val="階段基礎断面計算"/>
      <sheetName val="既設ホーム桁の検討"/>
      <sheetName val="ホーム桁（片持ち部）"/>
      <sheetName val="支柱、基礎の検討"/>
      <sheetName val="ホーム受台計算結果総括"/>
      <sheetName val="ホーム基礎設計条件"/>
      <sheetName val="２．(1)許容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ﾘｼﾞﾅﾙ"/>
      <sheetName val="外房②ささら桁"/>
      <sheetName val="外房③ホーム補強梁の検討"/>
      <sheetName val="外房③補強梁断面計算"/>
      <sheetName val="外房④開口補強梁の検討"/>
      <sheetName val="外房⑤中間支持梁"/>
      <sheetName val="外房⑥ESピット"/>
      <sheetName val="外房⑥ピット断面計算"/>
      <sheetName val="外房ＥＶ⑦片持ちスラブ"/>
      <sheetName val="外房EV⑦断面計算"/>
      <sheetName val="外房EV⑧ピット"/>
      <sheetName val="外房⑧ピット断面計算"/>
      <sheetName val="外房ＥＶ⑨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×目次"/>
      <sheetName val="計算結果総括"/>
      <sheetName val="１設計条件"/>
      <sheetName val="２．EVピット"/>
      <sheetName val="２．ピット断面計算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携ﾌｧｲﾙ"/>
      <sheetName val="躯体の設計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ﾗｰﾒﾝIN"/>
      <sheetName val="ｸｲｷｿ"/>
      <sheetName val="ｸｲｷｿ-2"/>
      <sheetName val="ｽﾗﾌﾞR"/>
      <sheetName val="ﾈｼﾞﾘM"/>
      <sheetName val="ｼﾞｮｳﾌﾞS"/>
      <sheetName val="ｼﾝﾄﾞT"/>
      <sheetName val="ｽｲﾍ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ﾗｰﾒﾝIN"/>
      <sheetName val="ｸｲｷｿ"/>
      <sheetName val="ｸｲｷｿ-2"/>
      <sheetName val="ｽﾗﾌﾞR"/>
      <sheetName val="ねじりモーメント"/>
      <sheetName val="ﾈｼﾞﾘM"/>
      <sheetName val="ｼﾞｮｳﾌﾞS"/>
      <sheetName val="ｼﾝﾄﾞT"/>
      <sheetName val="水平分担"/>
      <sheetName val="ｽｲﾍｲ"/>
      <sheetName val="TAISHIN1"/>
      <sheetName val="ｹﾀｳｹ"/>
      <sheetName val="ﾊｼﾗ-U2"/>
      <sheetName val="ﾊﾘ-U"/>
      <sheetName val="ﾃﾞｨｰﾌﾟB"/>
      <sheetName val="ｽｲﾍｲPUD"/>
      <sheetName val="R37-ｹｯｶ1"/>
      <sheetName val="R37-ｹｯｶ2"/>
      <sheetName val="表紙・目次 "/>
      <sheetName val="設計条件-1"/>
      <sheetName val="設計条件-2"/>
      <sheetName val="荷重計算"/>
      <sheetName val="電算シート"/>
      <sheetName val="曲げモーメントの検討"/>
      <sheetName val="せん断の検討"/>
      <sheetName val="安全性の照査"/>
      <sheetName val="トーニチ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5-基本計算（常時）"/>
      <sheetName val="版上荷重（荷重計算Ｐ１）"/>
      <sheetName val="荷重計算"/>
      <sheetName val="荷重図"/>
      <sheetName val="荷重組合せ"/>
      <sheetName val="combine表"/>
      <sheetName val="抽出ケース)"/>
      <sheetName val="C5-基本計算 (耐震用)"/>
      <sheetName val="部材断面"/>
      <sheetName val="荷重計算 (耐震)"/>
      <sheetName val="荷重図 (耐震)"/>
      <sheetName val="荷重組合せ (耐震)"/>
      <sheetName val="combine (耐震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計算位置"/>
      <sheetName val="C2-軸線"/>
      <sheetName val="C2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L+I pic"/>
      <sheetName val="L+I"/>
      <sheetName val="LC,LF,Sh"/>
      <sheetName val="EQD"/>
      <sheetName val="EQL pic"/>
      <sheetName val="EQL"/>
      <sheetName val="LP"/>
      <sheetName val="E (2)"/>
      <sheetName val="断面二次"/>
    </sheetNames>
    <sheetDataSet>
      <sheetData sheetId="0" refreshError="1">
        <row r="5">
          <cell r="C5">
            <v>1.5</v>
          </cell>
        </row>
        <row r="9">
          <cell r="C9">
            <v>1.5</v>
          </cell>
        </row>
        <row r="15">
          <cell r="C15">
            <v>0.7</v>
          </cell>
        </row>
        <row r="17">
          <cell r="C17">
            <v>1</v>
          </cell>
        </row>
        <row r="25">
          <cell r="C25">
            <v>0.2</v>
          </cell>
        </row>
        <row r="27">
          <cell r="C27">
            <v>0.45</v>
          </cell>
        </row>
        <row r="29">
          <cell r="C29">
            <v>0.15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次"/>
      <sheetName val="§２.総括表"/>
      <sheetName val="§３.（発進）平行"/>
      <sheetName val="§４.（発進）擁壁横、松戸"/>
      <sheetName val="§５.（発進）擁壁横、上野"/>
      <sheetName val="§６.（発進）擁壁下、松戸"/>
      <sheetName val="§７.（発進）擁壁下、上野"/>
      <sheetName val="§８.（発進）橋台下"/>
      <sheetName val="§９.（発進）一般部"/>
      <sheetName val="§１０.（発進）直角"/>
      <sheetName val="§１１.（発進）ﾙﾐﾅｽ部"/>
      <sheetName val="§１２.（到達）平行"/>
      <sheetName val="§１３.（到達）擁壁横、松戸"/>
      <sheetName val="§１４.（到達）擁壁横、上野"/>
      <sheetName val="§１５.（到達）擁壁下、松戸"/>
      <sheetName val="§１６.（到達）擁壁下、上野"/>
      <sheetName val="§１７.（到達）橋台下"/>
      <sheetName val="§１８.（到達）一般部"/>
      <sheetName val="§１９.（到達）一般部 松戸"/>
      <sheetName val="§２０.（到達）一般部 上野"/>
      <sheetName val="§２１.人道覆工主桁"/>
      <sheetName val="×構造計算 (表層厚66.50m)"/>
      <sheetName val="外房⑥ESピット"/>
      <sheetName val="設計条件"/>
      <sheetName val="DATA"/>
      <sheetName val="常時土圧"/>
      <sheetName val="#RE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"/>
      <sheetName val="設計条件"/>
      <sheetName val="表紙"/>
      <sheetName val="目次"/>
      <sheetName val="設計条件・作用荷重"/>
      <sheetName val="常時土圧"/>
      <sheetName val="一時土圧"/>
      <sheetName val="地震時土圧"/>
      <sheetName val="安定計算"/>
      <sheetName val="杭支持力の検討"/>
      <sheetName val="杭体の検討"/>
      <sheetName val="ﾌｰﾁﾝｸﾞ計算"/>
      <sheetName val="Sheet3"/>
      <sheetName val="×安定計算（杭反力考慮）"/>
    </sheetNames>
    <sheetDataSet>
      <sheetData sheetId="0" refreshError="1"/>
      <sheetData sheetId="1" refreshError="1">
        <row r="5">
          <cell r="C5">
            <v>0.2</v>
          </cell>
        </row>
        <row r="7">
          <cell r="C7">
            <v>24.5</v>
          </cell>
        </row>
        <row r="10">
          <cell r="C10">
            <v>18</v>
          </cell>
        </row>
        <row r="13">
          <cell r="C13">
            <v>3</v>
          </cell>
        </row>
        <row r="14">
          <cell r="C14">
            <v>0.6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せん断弾性波速度"/>
      <sheetName val="Sheet1"/>
      <sheetName val="Sheet2"/>
      <sheetName val="Sheet3"/>
      <sheetName val="目次"/>
      <sheetName val="§１ "/>
      <sheetName val="耐震フロー"/>
      <sheetName val="§２"/>
      <sheetName val="検討結果"/>
      <sheetName val="§３(1)"/>
      <sheetName val="§４ (1)"/>
      <sheetName val="§４ (2)"/>
      <sheetName val="§４ (3)"/>
      <sheetName val="（Ｊの算定）"/>
      <sheetName val="曲げひび割れ"/>
      <sheetName val="せん断ひび割れ"/>
      <sheetName val="§５"/>
      <sheetName val="§６ (1)"/>
      <sheetName val="§６ (2)"/>
      <sheetName val="§６ (3)"/>
      <sheetName val="§７"/>
    </sheetNames>
    <sheetDataSet>
      <sheetData sheetId="0" refreshError="1">
        <row r="8">
          <cell r="D8">
            <v>0.85</v>
          </cell>
        </row>
        <row r="9">
          <cell r="D9">
            <v>0.7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3-基本1"/>
      <sheetName val="C3-EI"/>
      <sheetName val="C3-ﾊﾞﾈ"/>
      <sheetName val="D1-1"/>
      <sheetName val="D2-1"/>
      <sheetName val="D1-2"/>
      <sheetName val="D2-2"/>
      <sheetName val="D3(ﾈｶﾞﾃｨﾌﾞ)"/>
      <sheetName val="Sh"/>
      <sheetName val="L+I"/>
      <sheetName val="LF&amp;W"/>
      <sheetName val="荷重図"/>
      <sheetName val="組合せ"/>
      <sheetName val="Combine"/>
      <sheetName val="抽出"/>
      <sheetName val="剛域"/>
      <sheetName val="算出点"/>
      <sheetName val="D1-beam"/>
      <sheetName val="列車荷重等値等分布荷重"/>
      <sheetName val="EQ"/>
      <sheetName val="EQL"/>
      <sheetName val="荷重図 (2)"/>
    </sheetNames>
    <sheetDataSet>
      <sheetData sheetId="0" refreshError="1">
        <row r="53">
          <cell r="AF53">
            <v>7</v>
          </cell>
        </row>
        <row r="55">
          <cell r="AF55">
            <v>12.5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計算"/>
      <sheetName val="固死"/>
      <sheetName val="地震時"/>
      <sheetName val="荷重図"/>
      <sheetName val="組合せ"/>
      <sheetName val="配筋"/>
      <sheetName val="応答変位←"/>
      <sheetName val="せん断照査←"/>
      <sheetName val="M-θ←"/>
      <sheetName val="M-φ←"/>
      <sheetName val="損傷度"/>
      <sheetName val="S-bea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2-基本1"/>
      <sheetName val="L2-EI"/>
      <sheetName val="L2-ﾊﾞﾈ"/>
      <sheetName val="D1-1"/>
      <sheetName val="D2-1"/>
      <sheetName val="D1-2"/>
      <sheetName val="D2-2"/>
      <sheetName val="D3(ﾈｶﾞﾃｨﾌﾞ)"/>
      <sheetName val="Sh"/>
      <sheetName val="L+I"/>
      <sheetName val="B&amp;LR"/>
      <sheetName val="荷重図"/>
      <sheetName val="組合せ"/>
      <sheetName val="Combine"/>
      <sheetName val="抽出"/>
      <sheetName val="剛域"/>
      <sheetName val="算出点"/>
      <sheetName val="列車荷重等値等分布荷重"/>
      <sheetName val="D1-beam"/>
    </sheetNames>
    <sheetDataSet>
      <sheetData sheetId="0">
        <row r="13">
          <cell r="AF13">
            <v>4.5</v>
          </cell>
        </row>
        <row r="14">
          <cell r="AF14">
            <v>77</v>
          </cell>
        </row>
        <row r="15">
          <cell r="AF15">
            <v>24.5</v>
          </cell>
        </row>
        <row r="16">
          <cell r="AF16">
            <v>23</v>
          </cell>
        </row>
        <row r="22">
          <cell r="AF22">
            <v>0.25</v>
          </cell>
        </row>
        <row r="23">
          <cell r="AF23">
            <v>0.45</v>
          </cell>
        </row>
        <row r="24">
          <cell r="AF24">
            <v>0.15</v>
          </cell>
        </row>
        <row r="26">
          <cell r="AF26">
            <v>0.4</v>
          </cell>
        </row>
        <row r="27">
          <cell r="AF27">
            <v>0.9</v>
          </cell>
        </row>
        <row r="28">
          <cell r="AF28">
            <v>1.5</v>
          </cell>
        </row>
        <row r="29">
          <cell r="AF29">
            <v>1.7999999999999998</v>
          </cell>
        </row>
        <row r="30">
          <cell r="AF30">
            <v>0.6</v>
          </cell>
        </row>
        <row r="31">
          <cell r="AF31">
            <v>0.9</v>
          </cell>
        </row>
        <row r="32">
          <cell r="AF32">
            <v>1.3</v>
          </cell>
        </row>
        <row r="33">
          <cell r="AF33">
            <v>0.5</v>
          </cell>
        </row>
        <row r="34">
          <cell r="AF34">
            <v>1.3</v>
          </cell>
        </row>
        <row r="35">
          <cell r="AF35">
            <v>0.8</v>
          </cell>
        </row>
        <row r="36">
          <cell r="AF36">
            <v>1</v>
          </cell>
        </row>
        <row r="47">
          <cell r="AF47">
            <v>1</v>
          </cell>
        </row>
        <row r="48">
          <cell r="AF48">
            <v>0.5</v>
          </cell>
        </row>
        <row r="49">
          <cell r="AF49">
            <v>1</v>
          </cell>
        </row>
        <row r="50">
          <cell r="AF50">
            <v>1</v>
          </cell>
        </row>
        <row r="53">
          <cell r="AF53">
            <v>7</v>
          </cell>
        </row>
        <row r="55">
          <cell r="AF55">
            <v>12.5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7">
          <cell r="F7" t="str">
            <v>スパン(m)</v>
          </cell>
          <cell r="G7" t="str">
            <v>WM1</v>
          </cell>
          <cell r="H7" t="str">
            <v>WM2</v>
          </cell>
          <cell r="I7" t="str">
            <v>WS</v>
          </cell>
        </row>
        <row r="8">
          <cell r="G8" t="str">
            <v>最大スパン曲げモーメント</v>
          </cell>
          <cell r="H8" t="str">
            <v>負の最大支点曲げモーメント</v>
          </cell>
          <cell r="I8" t="str">
            <v>せん断力</v>
          </cell>
        </row>
        <row r="9">
          <cell r="F9">
            <v>6</v>
          </cell>
          <cell r="G9">
            <v>108</v>
          </cell>
          <cell r="H9">
            <v>80</v>
          </cell>
          <cell r="I9">
            <v>136</v>
          </cell>
        </row>
        <row r="10">
          <cell r="F10">
            <v>7</v>
          </cell>
          <cell r="G10">
            <v>102</v>
          </cell>
          <cell r="H10">
            <v>78</v>
          </cell>
          <cell r="I10">
            <v>124</v>
          </cell>
        </row>
        <row r="11">
          <cell r="F11">
            <v>8</v>
          </cell>
          <cell r="G11">
            <v>96</v>
          </cell>
          <cell r="H11">
            <v>76</v>
          </cell>
          <cell r="I11">
            <v>112</v>
          </cell>
        </row>
        <row r="12">
          <cell r="F12">
            <v>9</v>
          </cell>
          <cell r="G12">
            <v>90</v>
          </cell>
          <cell r="H12">
            <v>72</v>
          </cell>
          <cell r="I12">
            <v>104</v>
          </cell>
        </row>
        <row r="13">
          <cell r="F13">
            <v>10</v>
          </cell>
          <cell r="G13">
            <v>86</v>
          </cell>
          <cell r="H13">
            <v>70</v>
          </cell>
          <cell r="I13">
            <v>100</v>
          </cell>
        </row>
        <row r="14">
          <cell r="F14">
            <v>11</v>
          </cell>
          <cell r="G14">
            <v>80</v>
          </cell>
          <cell r="H14">
            <v>70</v>
          </cell>
          <cell r="I14">
            <v>98</v>
          </cell>
        </row>
        <row r="15">
          <cell r="F15">
            <v>12</v>
          </cell>
          <cell r="G15">
            <v>76</v>
          </cell>
          <cell r="H15">
            <v>70</v>
          </cell>
          <cell r="I15">
            <v>94</v>
          </cell>
        </row>
        <row r="16">
          <cell r="F16">
            <v>13</v>
          </cell>
          <cell r="G16">
            <v>76</v>
          </cell>
          <cell r="H16">
            <v>70</v>
          </cell>
          <cell r="I16">
            <v>92</v>
          </cell>
        </row>
        <row r="17">
          <cell r="F17">
            <v>14</v>
          </cell>
          <cell r="G17">
            <v>74</v>
          </cell>
          <cell r="H17">
            <v>70</v>
          </cell>
          <cell r="I17">
            <v>90</v>
          </cell>
        </row>
        <row r="18">
          <cell r="F18">
            <v>15</v>
          </cell>
          <cell r="G18">
            <v>74</v>
          </cell>
          <cell r="H18">
            <v>70</v>
          </cell>
          <cell r="I18">
            <v>88</v>
          </cell>
        </row>
      </sheetData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×構造計算 (表層厚66.50m)"/>
      <sheetName val="×構造計算 (表層厚37.16m)"/>
    </sheetNames>
    <sheetDataSet>
      <sheetData sheetId="0" refreshError="1">
        <row r="105">
          <cell r="O105">
            <v>0.75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応答値算定"/>
      <sheetName val="1.0-1.0-(→)"/>
      <sheetName val="2.0-1.0-(→)"/>
      <sheetName val="1.0-1.0-(←)"/>
      <sheetName val="2.0-1.0-(←)"/>
      <sheetName val="ground-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D5">
            <v>0</v>
          </cell>
          <cell r="E5" t="str">
            <v>Ｇ０</v>
          </cell>
          <cell r="F5" t="str">
            <v>岩盤</v>
          </cell>
        </row>
        <row r="6">
          <cell r="D6">
            <v>0</v>
          </cell>
          <cell r="E6" t="str">
            <v>Ｇ１</v>
          </cell>
          <cell r="F6" t="str">
            <v>基盤</v>
          </cell>
        </row>
        <row r="7">
          <cell r="D7">
            <v>0</v>
          </cell>
          <cell r="E7" t="str">
            <v>Ｇ２</v>
          </cell>
          <cell r="F7" t="str">
            <v>洪積層</v>
          </cell>
        </row>
        <row r="8">
          <cell r="D8">
            <v>0.25</v>
          </cell>
          <cell r="E8" t="str">
            <v>Ｇ３</v>
          </cell>
          <cell r="F8" t="str">
            <v>普通地盤</v>
          </cell>
        </row>
        <row r="9">
          <cell r="D9">
            <v>0.5</v>
          </cell>
          <cell r="E9" t="str">
            <v>Ｇ４</v>
          </cell>
          <cell r="F9" t="str">
            <v>普通～軟弱地盤</v>
          </cell>
        </row>
        <row r="10">
          <cell r="D10">
            <v>0.75</v>
          </cell>
          <cell r="E10" t="str">
            <v>Ｇ５</v>
          </cell>
          <cell r="F10" t="str">
            <v>軟弱地盤</v>
          </cell>
        </row>
        <row r="11">
          <cell r="D11">
            <v>1</v>
          </cell>
          <cell r="E11" t="str">
            <v>Ｇ６</v>
          </cell>
          <cell r="F11" t="str">
            <v>軟弱地盤</v>
          </cell>
        </row>
        <row r="12">
          <cell r="D12">
            <v>1.5</v>
          </cell>
          <cell r="E12" t="str">
            <v>Ｇ７</v>
          </cell>
          <cell r="F12" t="str">
            <v>極めて軟弱な地盤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C1-軸線"/>
      <sheetName val="C1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電柱"/>
      <sheetName val="L+I pic"/>
      <sheetName val="L+I"/>
      <sheetName val="LC,LF,Sh"/>
      <sheetName val="EQD"/>
      <sheetName val="EQL pic"/>
      <sheetName val="EQL"/>
      <sheetName val="荷重図"/>
      <sheetName val="組合せ"/>
      <sheetName val="Combine"/>
      <sheetName val="抽出"/>
      <sheetName val="剛域"/>
      <sheetName val="算出点"/>
      <sheetName val="LP"/>
      <sheetName val="E (2)"/>
      <sheetName val="ki"/>
    </sheetNames>
    <sheetDataSet>
      <sheetData sheetId="0" refreshError="1">
        <row r="37">
          <cell r="B37">
            <v>1.5</v>
          </cell>
        </row>
        <row r="39">
          <cell r="B39">
            <v>1.8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表紙"/>
      <sheetName val="×目次"/>
      <sheetName val="計算結果総括"/>
      <sheetName val="１設計条件"/>
      <sheetName val="２．EVピット(偏心考慮)"/>
      <sheetName val="３（3）側壁の断面計算"/>
      <sheetName val="４．底版の計算①（荷重）"/>
      <sheetName val="底版の計算②（バネ，ｷｬﾘｰﾊﾟｲﾙ）"/>
      <sheetName val="底版の計算③（ﾌﾚｰﾑ）"/>
      <sheetName val="底版断面計算"/>
      <sheetName val="５．杭体の検討"/>
      <sheetName val="６．杭支持力"/>
    </sheetNames>
    <sheetDataSet>
      <sheetData sheetId="0" refreshError="1"/>
      <sheetData sheetId="1" refreshError="1"/>
      <sheetData sheetId="2" refreshError="1"/>
      <sheetData sheetId="3">
        <row r="8">
          <cell r="K8">
            <v>1.7450000000000001</v>
          </cell>
          <cell r="O8">
            <v>2.4540000000000002</v>
          </cell>
          <cell r="AE8">
            <v>0.33</v>
          </cell>
        </row>
        <row r="9">
          <cell r="K9">
            <v>0.72499999999999998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層梁M"/>
      <sheetName val="上層梁V"/>
      <sheetName val="上層梁変形性能"/>
      <sheetName val="上層梁変形性能 (2)"/>
      <sheetName val="抵抗Mr"/>
      <sheetName val="抵抗Ｖr"/>
      <sheetName val="Sheet1"/>
      <sheetName val="Stee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7">
          <cell r="D7">
            <v>0</v>
          </cell>
          <cell r="E7">
            <v>0</v>
          </cell>
        </row>
        <row r="8">
          <cell r="D8" t="str">
            <v>D13</v>
          </cell>
          <cell r="E8">
            <v>1.2669999999999999</v>
          </cell>
        </row>
        <row r="9">
          <cell r="D9" t="str">
            <v>D16</v>
          </cell>
          <cell r="E9">
            <v>1.986</v>
          </cell>
        </row>
        <row r="10">
          <cell r="D10" t="str">
            <v>D19</v>
          </cell>
          <cell r="E10">
            <v>2.8650000000000002</v>
          </cell>
        </row>
        <row r="11">
          <cell r="D11" t="str">
            <v>D22</v>
          </cell>
          <cell r="E11">
            <v>3.871</v>
          </cell>
        </row>
        <row r="12">
          <cell r="D12" t="str">
            <v>D25</v>
          </cell>
          <cell r="E12">
            <v>5.0670000000000002</v>
          </cell>
        </row>
        <row r="13">
          <cell r="D13" t="str">
            <v>D29</v>
          </cell>
          <cell r="E13">
            <v>6.4240000000000004</v>
          </cell>
        </row>
        <row r="14">
          <cell r="D14" t="str">
            <v>D32</v>
          </cell>
          <cell r="E14">
            <v>7.9420000000000002</v>
          </cell>
        </row>
        <row r="15">
          <cell r="D15" t="str">
            <v>D38</v>
          </cell>
          <cell r="E15">
            <v>11.4</v>
          </cell>
        </row>
        <row r="16">
          <cell r="D16" t="str">
            <v>D51</v>
          </cell>
          <cell r="E16">
            <v>20.260000000000002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月売上"/>
      <sheetName val="11月売上"/>
      <sheetName val="12月売上"/>
      <sheetName val="1月売上"/>
      <sheetName val="2月売上"/>
    </sheetNames>
    <sheetDataSet>
      <sheetData sheetId="0" refreshError="1">
        <row r="18">
          <cell r="G18">
            <v>11.2</v>
          </cell>
        </row>
        <row r="114">
          <cell r="E114">
            <v>188</v>
          </cell>
          <cell r="G114">
            <v>357</v>
          </cell>
        </row>
        <row r="187">
          <cell r="E187">
            <v>370.3</v>
          </cell>
          <cell r="G187">
            <v>222</v>
          </cell>
        </row>
        <row r="258">
          <cell r="E258">
            <v>250.1</v>
          </cell>
          <cell r="G258">
            <v>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１設計条件"/>
      <sheetName val="1.8.1土質条件山側"/>
      <sheetName val="山側"/>
      <sheetName val="1.8.2土質条件海側"/>
      <sheetName val="海側"/>
      <sheetName val="2かがみ"/>
      <sheetName val="2結果総括表"/>
      <sheetName val="3北行"/>
      <sheetName val="4常磐"/>
      <sheetName val="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2-基本1"/>
      <sheetName val="L2-EI"/>
      <sheetName val="L2-ﾊﾞﾈ"/>
      <sheetName val="D1-1"/>
      <sheetName val="D2-1"/>
      <sheetName val="D1-2"/>
      <sheetName val="D2-2"/>
      <sheetName val="D3(ﾈｶﾞﾃｨﾌﾞ)"/>
      <sheetName val="Sh"/>
      <sheetName val="L+I"/>
      <sheetName val="B&amp;LR"/>
      <sheetName val="荷重図"/>
      <sheetName val="組合せ"/>
      <sheetName val="Combine"/>
      <sheetName val="抽出"/>
      <sheetName val="剛域"/>
      <sheetName val="算出点"/>
      <sheetName val="列車荷重等値等分布荷重"/>
      <sheetName val="D1-beam"/>
    </sheetNames>
    <sheetDataSet>
      <sheetData sheetId="0" refreshError="1">
        <row r="15">
          <cell r="AF15">
            <v>24.5</v>
          </cell>
        </row>
        <row r="17">
          <cell r="AF17">
            <v>19</v>
          </cell>
        </row>
        <row r="25">
          <cell r="AF25">
            <v>0.25</v>
          </cell>
        </row>
        <row r="43">
          <cell r="AF43">
            <v>2.1</v>
          </cell>
        </row>
        <row r="45">
          <cell r="AF45">
            <v>1.9</v>
          </cell>
        </row>
        <row r="51">
          <cell r="AF51">
            <v>1.2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C3-軸線"/>
      <sheetName val="C3-EI"/>
      <sheetName val="上層固定 pic"/>
      <sheetName val="上層固定"/>
      <sheetName val="上層付加 pic"/>
      <sheetName val="上層付加"/>
      <sheetName val="下層固定 pic"/>
      <sheetName val="下層固定"/>
      <sheetName val="下層付加 pic"/>
      <sheetName val="下層付加"/>
      <sheetName val="群集"/>
      <sheetName val="電柱"/>
      <sheetName val="L+I pic"/>
      <sheetName val="L+I"/>
      <sheetName val="LC,LF,Sh"/>
      <sheetName val="EQD"/>
      <sheetName val="EQL pic"/>
      <sheetName val="EQL"/>
      <sheetName val="荷重図"/>
      <sheetName val="組合せ"/>
      <sheetName val="Combine"/>
      <sheetName val="抽出"/>
      <sheetName val="剛域 "/>
      <sheetName val="算出点"/>
      <sheetName val="LP"/>
      <sheetName val="E (2)"/>
      <sheetName val="L2-基本計算(限界設計用)"/>
    </sheetNames>
    <sheetDataSet>
      <sheetData sheetId="0" refreshError="1">
        <row r="3">
          <cell r="B3">
            <v>1.05</v>
          </cell>
        </row>
        <row r="5">
          <cell r="B5">
            <v>0.9</v>
          </cell>
        </row>
        <row r="7">
          <cell r="B7">
            <v>0.95</v>
          </cell>
        </row>
        <row r="9">
          <cell r="B9">
            <v>0.9</v>
          </cell>
        </row>
        <row r="15">
          <cell r="B15">
            <v>0.8</v>
          </cell>
        </row>
        <row r="17">
          <cell r="B17">
            <v>0.7</v>
          </cell>
        </row>
        <row r="19">
          <cell r="B19">
            <v>1.2</v>
          </cell>
        </row>
        <row r="21">
          <cell r="B21">
            <v>0.4</v>
          </cell>
        </row>
        <row r="25">
          <cell r="B25">
            <v>0.25</v>
          </cell>
        </row>
        <row r="31">
          <cell r="B31">
            <v>0.9</v>
          </cell>
        </row>
        <row r="33">
          <cell r="B33">
            <v>0.9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計算位置"/>
      <sheetName val="C2-軸線"/>
      <sheetName val="C2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L+I pic"/>
      <sheetName val="L+I"/>
      <sheetName val="LC,LF,Sh"/>
      <sheetName val="EQD"/>
      <sheetName val="EQL pic"/>
      <sheetName val="EQL"/>
      <sheetName val="LP"/>
      <sheetName val="E (2)"/>
    </sheetNames>
    <sheetDataSet>
      <sheetData sheetId="0" refreshError="1">
        <row r="3">
          <cell r="D3">
            <v>1.05</v>
          </cell>
        </row>
        <row r="7">
          <cell r="D7">
            <v>1.05</v>
          </cell>
        </row>
        <row r="9">
          <cell r="C9">
            <v>1.5</v>
          </cell>
        </row>
        <row r="15">
          <cell r="C15">
            <v>0.7</v>
          </cell>
        </row>
        <row r="17">
          <cell r="C17">
            <v>1</v>
          </cell>
        </row>
        <row r="25">
          <cell r="C25">
            <v>0.2</v>
          </cell>
        </row>
        <row r="27">
          <cell r="C27">
            <v>0.45</v>
          </cell>
        </row>
        <row r="29">
          <cell r="C29">
            <v>0.15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携ﾌｧｲﾙ"/>
      <sheetName val="躯体の設計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躯体の計算"/>
      <sheetName val="変形性能"/>
      <sheetName val="貼り付け"/>
      <sheetName val="Graph1"/>
      <sheetName val="配筋要領"/>
      <sheetName val="途中定着"/>
      <sheetName val="Steel Data"/>
      <sheetName val="7.上層曲げ応力度"/>
      <sheetName val="上層せん断力"/>
      <sheetName val="上層照査"/>
      <sheetName val="上層照査2"/>
      <sheetName val="柱曲げ応力度"/>
      <sheetName val="柱せん断力"/>
      <sheetName val="柱照査"/>
      <sheetName val="安定計算"/>
      <sheetName val="杭曲げ応力度"/>
      <sheetName val="杭せん断力"/>
      <sheetName val="杭照査"/>
      <sheetName val="L1ラーメン設計総括表"/>
      <sheetName val="上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B8" t="str">
            <v>D13</v>
          </cell>
        </row>
        <row r="9">
          <cell r="B9" t="str">
            <v>D16</v>
          </cell>
        </row>
        <row r="10">
          <cell r="B10" t="str">
            <v>D19</v>
          </cell>
        </row>
        <row r="11">
          <cell r="B11" t="str">
            <v>D22</v>
          </cell>
        </row>
        <row r="12">
          <cell r="B12" t="str">
            <v>D25</v>
          </cell>
        </row>
        <row r="13">
          <cell r="B13" t="str">
            <v>D29</v>
          </cell>
        </row>
        <row r="14">
          <cell r="B14" t="str">
            <v>D32</v>
          </cell>
        </row>
        <row r="15">
          <cell r="B15" t="str">
            <v>D35</v>
          </cell>
        </row>
        <row r="16">
          <cell r="B16" t="str">
            <v>D38</v>
          </cell>
        </row>
        <row r="17">
          <cell r="B17" t="str">
            <v>D41</v>
          </cell>
        </row>
        <row r="18">
          <cell r="B18" t="str">
            <v>D51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C1-軸線"/>
      <sheetName val="C1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電柱"/>
      <sheetName val="L+I pic"/>
      <sheetName val="L+I"/>
      <sheetName val="LC,LF,Sh"/>
      <sheetName val="EQD"/>
      <sheetName val="EQL pic"/>
      <sheetName val="EQL"/>
      <sheetName val="荷重図"/>
      <sheetName val="組合せ"/>
      <sheetName val="Combine"/>
      <sheetName val="抽出"/>
      <sheetName val="剛域"/>
      <sheetName val="算出点"/>
      <sheetName val="LP"/>
      <sheetName val="E (2)"/>
    </sheetNames>
    <sheetDataSet>
      <sheetData sheetId="0">
        <row r="39">
          <cell r="B39">
            <v>1.8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計算位置"/>
      <sheetName val="C2-軸線"/>
      <sheetName val="C2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L+I pic"/>
      <sheetName val="L+I"/>
      <sheetName val="LC,LF,Sh"/>
      <sheetName val="EQD"/>
      <sheetName val="EQL pic"/>
      <sheetName val="EQL"/>
      <sheetName val="LP"/>
      <sheetName val="E (2)"/>
    </sheetNames>
    <sheetDataSet>
      <sheetData sheetId="0">
        <row r="3">
          <cell r="D3">
            <v>1.05</v>
          </cell>
        </row>
        <row r="5">
          <cell r="C5">
            <v>1.5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側面形状"/>
      <sheetName val="断面形状"/>
      <sheetName val="版上"/>
      <sheetName val="諸元"/>
      <sheetName val="荷重条件"/>
      <sheetName val="上部工"/>
      <sheetName val="水平分担"/>
      <sheetName val="ねじりモーメント"/>
      <sheetName val="地盤条件"/>
      <sheetName val="電柱"/>
      <sheetName val="上屋"/>
      <sheetName val="A4"/>
      <sheetName val="基本計算"/>
      <sheetName val="平面"/>
      <sheetName val="固定死荷重_平面図"/>
      <sheetName val="固定死荷重_横断図"/>
      <sheetName val="固定死荷重2"/>
      <sheetName val="付加死荷重"/>
      <sheetName val="群集荷重 "/>
      <sheetName val="列衝"/>
      <sheetName val="LR_B_SH_T"/>
      <sheetName val="浮力"/>
      <sheetName val="雪荷重30"/>
      <sheetName val="雪荷重20"/>
      <sheetName val="雪荷重2"/>
      <sheetName val="荷重図A3"/>
      <sheetName val="荷重図A4"/>
      <sheetName val="組合せ"/>
      <sheetName val="Combine"/>
      <sheetName val="抽出"/>
      <sheetName val="算出点"/>
      <sheetName val="照査-上層梁"/>
      <sheetName val="乾燥収縮度(上層梁）"/>
      <sheetName val="照査-柱"/>
      <sheetName val="乾燥収縮度(柱）"/>
      <sheetName val="照査-地中梁"/>
      <sheetName val="乾燥収縮度(地中梁）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列車荷重等値等分布荷重"/>
      <sheetName val="基本ﾃﾞｰﾀｼｰﾄ"/>
      <sheetName val="計算位置"/>
      <sheetName val="C2-軸線"/>
      <sheetName val="C2-EI 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L+I pic"/>
      <sheetName val="L+I"/>
      <sheetName val="LC,LF,Sh"/>
      <sheetName val="E (2)"/>
      <sheetName val="EQD"/>
      <sheetName val="EQL pic"/>
      <sheetName val="EQL"/>
      <sheetName val="荷重図"/>
      <sheetName val="組合せ"/>
      <sheetName val="Combine"/>
      <sheetName val="抽出"/>
      <sheetName val="剛域"/>
      <sheetName val="算出点"/>
      <sheetName val="rim"/>
    </sheetNames>
    <sheetDataSet>
      <sheetData sheetId="0" refreshError="1"/>
      <sheetData sheetId="1" refreshError="1">
        <row r="33">
          <cell r="C33">
            <v>0.9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ｽｲﾍｲ"/>
      <sheetName val="ﾗｰﾒﾝIN"/>
      <sheetName val="ｸｲｷｿ"/>
      <sheetName val="ｸｲｷｿ-2"/>
      <sheetName val="ｽﾗﾌﾞR"/>
      <sheetName val="ﾈｼﾞﾘM"/>
      <sheetName val="ｼﾞｮｳﾌﾞS"/>
      <sheetName val="ｼﾝﾄﾞT"/>
      <sheetName val="ねじりモーメント"/>
      <sheetName val="水平分担"/>
      <sheetName val="TAISHIN1"/>
      <sheetName val="ｹﾀｳｹ"/>
      <sheetName val="ﾊｼﾗ-U2"/>
      <sheetName val="ﾊﾘ-U"/>
      <sheetName val="ﾃﾞｨｰﾌﾟB"/>
      <sheetName val="ｽｲﾍｲPUD"/>
      <sheetName val="R37-ｹｯｶ1"/>
      <sheetName val="R37-ｹｯｶ2"/>
      <sheetName val="表紙・目次 "/>
      <sheetName val="設計条件-1"/>
      <sheetName val="設計条件-2"/>
      <sheetName val="荷重計算"/>
      <sheetName val="電算シート"/>
      <sheetName val="曲げモーメントの検討"/>
      <sheetName val="せん断の検討"/>
      <sheetName val="安全性の照査"/>
      <sheetName val="トーニチ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9525"/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5A52-96FA-4EAD-8629-5EA3DD685980}">
  <dimension ref="A1:AI50"/>
  <sheetViews>
    <sheetView view="pageBreakPreview" zoomScaleNormal="100" zoomScaleSheetLayoutView="75" workbookViewId="0"/>
  </sheetViews>
  <sheetFormatPr defaultColWidth="2.375" defaultRowHeight="15.75" customHeight="1" x14ac:dyDescent="0.15"/>
  <cols>
    <col min="1" max="16384" width="2.375" style="196"/>
  </cols>
  <sheetData>
    <row r="1" spans="1:35" ht="15.75" customHeight="1" x14ac:dyDescent="0.15">
      <c r="A1" s="192"/>
      <c r="B1" s="193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5"/>
    </row>
    <row r="2" spans="1:35" ht="15.75" customHeight="1" x14ac:dyDescent="0.15">
      <c r="A2" s="197"/>
      <c r="B2" s="198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9"/>
    </row>
    <row r="3" spans="1:35" ht="15.75" customHeight="1" x14ac:dyDescent="0.15">
      <c r="A3" s="197"/>
      <c r="B3" s="200"/>
      <c r="C3" s="201" t="s">
        <v>432</v>
      </c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9"/>
    </row>
    <row r="4" spans="1:35" ht="15.75" customHeight="1" x14ac:dyDescent="0.15">
      <c r="A4" s="197"/>
      <c r="B4" s="200"/>
      <c r="C4" s="197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9"/>
    </row>
    <row r="5" spans="1:35" ht="15.75" customHeight="1" x14ac:dyDescent="0.15">
      <c r="A5" s="197"/>
      <c r="B5" s="198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9"/>
    </row>
    <row r="6" spans="1:35" ht="15.75" customHeight="1" x14ac:dyDescent="0.15">
      <c r="A6" s="197"/>
      <c r="B6" s="198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9"/>
    </row>
    <row r="7" spans="1:35" ht="15.75" customHeight="1" x14ac:dyDescent="0.15">
      <c r="A7" s="197"/>
      <c r="B7" s="198"/>
      <c r="C7" s="293" t="s">
        <v>433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199"/>
    </row>
    <row r="8" spans="1:35" ht="15.75" customHeight="1" x14ac:dyDescent="0.15">
      <c r="A8" s="197"/>
      <c r="B8" s="198"/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293"/>
      <c r="AH8" s="293"/>
      <c r="AI8" s="199"/>
    </row>
    <row r="9" spans="1:35" ht="15.75" customHeight="1" x14ac:dyDescent="0.15">
      <c r="A9" s="197"/>
      <c r="B9" s="198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9"/>
    </row>
    <row r="10" spans="1:35" ht="15.75" customHeight="1" x14ac:dyDescent="0.15">
      <c r="A10" s="197"/>
      <c r="B10" s="198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9"/>
    </row>
    <row r="11" spans="1:35" ht="15.75" customHeight="1" x14ac:dyDescent="0.15">
      <c r="A11" s="197"/>
      <c r="B11" s="198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9"/>
    </row>
    <row r="12" spans="1:35" ht="15.75" customHeight="1" x14ac:dyDescent="0.15">
      <c r="A12" s="197"/>
      <c r="B12" s="198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9"/>
    </row>
    <row r="13" spans="1:35" ht="15.75" customHeight="1" x14ac:dyDescent="0.15">
      <c r="A13" s="202"/>
      <c r="B13" s="198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9"/>
    </row>
    <row r="14" spans="1:35" ht="15.75" customHeight="1" x14ac:dyDescent="0.15">
      <c r="A14" s="197"/>
      <c r="B14" s="198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9"/>
    </row>
    <row r="15" spans="1:35" ht="15.75" customHeight="1" x14ac:dyDescent="0.15">
      <c r="A15" s="197"/>
      <c r="B15" s="198"/>
      <c r="C15" s="294" t="s">
        <v>434</v>
      </c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199"/>
    </row>
    <row r="16" spans="1:35" ht="15.75" customHeight="1" x14ac:dyDescent="0.15">
      <c r="A16" s="197"/>
      <c r="B16" s="198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199"/>
    </row>
    <row r="17" spans="1:35" ht="15.75" customHeight="1" x14ac:dyDescent="0.15">
      <c r="A17" s="197"/>
      <c r="B17" s="198"/>
      <c r="C17" s="295" t="s">
        <v>443</v>
      </c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199"/>
    </row>
    <row r="18" spans="1:35" ht="15.75" customHeight="1" x14ac:dyDescent="0.15">
      <c r="A18" s="197"/>
      <c r="B18" s="198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199"/>
    </row>
    <row r="19" spans="1:35" ht="15.75" customHeight="1" x14ac:dyDescent="0.15">
      <c r="A19" s="197"/>
      <c r="B19" s="200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9"/>
    </row>
    <row r="20" spans="1:35" ht="15.75" customHeight="1" x14ac:dyDescent="0.15">
      <c r="A20" s="197"/>
      <c r="B20" s="200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9"/>
    </row>
    <row r="21" spans="1:35" ht="15.75" customHeight="1" x14ac:dyDescent="0.15">
      <c r="A21" s="197"/>
      <c r="B21" s="198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9"/>
    </row>
    <row r="22" spans="1:35" ht="15.75" customHeight="1" x14ac:dyDescent="0.15">
      <c r="A22" s="197"/>
      <c r="B22" s="198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9"/>
    </row>
    <row r="23" spans="1:35" ht="15.75" customHeight="1" x14ac:dyDescent="0.15">
      <c r="A23" s="197"/>
      <c r="B23" s="200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9"/>
    </row>
    <row r="24" spans="1:35" ht="15.75" customHeight="1" x14ac:dyDescent="0.15">
      <c r="A24" s="197"/>
      <c r="B24" s="198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9"/>
    </row>
    <row r="25" spans="1:35" ht="15.75" customHeight="1" x14ac:dyDescent="0.15">
      <c r="A25" s="197"/>
      <c r="B25" s="198"/>
      <c r="C25" s="197"/>
      <c r="D25" s="197"/>
      <c r="E25" s="197"/>
      <c r="F25" s="197"/>
      <c r="G25" s="197"/>
      <c r="H25" s="197"/>
      <c r="I25" s="192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9"/>
    </row>
    <row r="26" spans="1:35" ht="15.75" customHeight="1" x14ac:dyDescent="0.15">
      <c r="A26" s="197"/>
      <c r="B26" s="198"/>
      <c r="C26" s="197"/>
      <c r="D26" s="197"/>
      <c r="E26" s="197"/>
      <c r="F26" s="197"/>
      <c r="G26" s="197"/>
      <c r="H26" s="197"/>
      <c r="I26" s="197"/>
      <c r="J26" s="203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9"/>
    </row>
    <row r="27" spans="1:35" ht="15.75" customHeight="1" x14ac:dyDescent="0.15">
      <c r="A27" s="197"/>
      <c r="B27" s="198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9"/>
    </row>
    <row r="28" spans="1:35" ht="15.75" customHeight="1" x14ac:dyDescent="0.15">
      <c r="A28" s="197"/>
      <c r="B28" s="198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9"/>
    </row>
    <row r="29" spans="1:35" ht="15.75" customHeight="1" x14ac:dyDescent="0.15">
      <c r="A29" s="197"/>
      <c r="B29" s="198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9"/>
    </row>
    <row r="30" spans="1:35" ht="15.75" customHeight="1" x14ac:dyDescent="0.15">
      <c r="A30" s="197"/>
      <c r="B30" s="198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9"/>
    </row>
    <row r="31" spans="1:35" ht="15.75" customHeight="1" x14ac:dyDescent="0.15">
      <c r="A31" s="197"/>
      <c r="B31" s="198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9"/>
    </row>
    <row r="32" spans="1:35" ht="15.75" customHeight="1" x14ac:dyDescent="0.15">
      <c r="A32" s="197"/>
      <c r="B32" s="198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9"/>
    </row>
    <row r="33" spans="1:35" ht="15.75" customHeight="1" x14ac:dyDescent="0.15">
      <c r="A33" s="197"/>
      <c r="B33" s="198"/>
      <c r="C33" s="197"/>
      <c r="D33" s="197"/>
      <c r="E33" s="197"/>
      <c r="F33" s="197"/>
      <c r="G33" s="197"/>
      <c r="H33" s="197"/>
      <c r="I33" s="197"/>
      <c r="J33" s="197"/>
      <c r="K33" s="197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197"/>
      <c r="AB33" s="197"/>
      <c r="AC33" s="197"/>
      <c r="AD33" s="197"/>
      <c r="AE33" s="197"/>
      <c r="AF33" s="197"/>
      <c r="AG33" s="197"/>
      <c r="AH33" s="197"/>
      <c r="AI33" s="199"/>
    </row>
    <row r="34" spans="1:35" ht="15.75" customHeight="1" x14ac:dyDescent="0.15">
      <c r="A34" s="197"/>
      <c r="B34" s="198"/>
      <c r="C34" s="197"/>
      <c r="D34" s="197"/>
      <c r="E34" s="197"/>
      <c r="F34" s="197"/>
      <c r="G34" s="197"/>
      <c r="H34" s="197"/>
      <c r="I34" s="197"/>
      <c r="J34" s="197"/>
      <c r="K34" s="296" t="s">
        <v>435</v>
      </c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197"/>
      <c r="AB34" s="197"/>
      <c r="AC34" s="197"/>
      <c r="AD34" s="197"/>
      <c r="AE34" s="197"/>
      <c r="AF34" s="197"/>
      <c r="AG34" s="197"/>
      <c r="AH34" s="197"/>
      <c r="AI34" s="199"/>
    </row>
    <row r="35" spans="1:35" ht="15.75" customHeight="1" x14ac:dyDescent="0.15">
      <c r="A35" s="197"/>
      <c r="B35" s="198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9"/>
    </row>
    <row r="36" spans="1:35" ht="15.75" customHeight="1" x14ac:dyDescent="0.15">
      <c r="A36" s="197"/>
      <c r="B36" s="198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9"/>
    </row>
    <row r="37" spans="1:35" ht="15.75" customHeight="1" x14ac:dyDescent="0.15">
      <c r="A37" s="197"/>
      <c r="B37" s="200"/>
      <c r="C37" s="197"/>
      <c r="D37" s="197"/>
      <c r="E37" s="197"/>
      <c r="F37" s="197"/>
      <c r="G37" s="197"/>
      <c r="H37" s="197"/>
      <c r="I37" s="197"/>
      <c r="J37" s="197"/>
      <c r="K37" s="297" t="s">
        <v>436</v>
      </c>
      <c r="L37" s="297"/>
      <c r="M37" s="297"/>
      <c r="N37" s="297"/>
      <c r="O37" s="297" t="s">
        <v>437</v>
      </c>
      <c r="P37" s="297"/>
      <c r="Q37" s="297"/>
      <c r="R37" s="297"/>
      <c r="S37" s="298" t="s">
        <v>438</v>
      </c>
      <c r="T37" s="298"/>
      <c r="U37" s="298"/>
      <c r="V37" s="298"/>
      <c r="W37" s="298" t="s">
        <v>439</v>
      </c>
      <c r="X37" s="298"/>
      <c r="Y37" s="298"/>
      <c r="Z37" s="298"/>
      <c r="AA37" s="197"/>
      <c r="AB37" s="197"/>
      <c r="AC37" s="197"/>
      <c r="AD37" s="197"/>
      <c r="AE37" s="197"/>
      <c r="AF37" s="197"/>
      <c r="AG37" s="197"/>
      <c r="AH37" s="197"/>
      <c r="AI37" s="199"/>
    </row>
    <row r="38" spans="1:35" ht="15.75" customHeight="1" x14ac:dyDescent="0.15">
      <c r="A38" s="197"/>
      <c r="B38" s="198"/>
      <c r="C38" s="203"/>
      <c r="D38" s="197"/>
      <c r="E38" s="197"/>
      <c r="F38" s="197"/>
      <c r="G38" s="197"/>
      <c r="H38" s="197"/>
      <c r="I38" s="197"/>
      <c r="J38" s="197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197"/>
      <c r="AB38" s="197"/>
      <c r="AC38" s="197"/>
      <c r="AD38" s="197"/>
      <c r="AE38" s="197"/>
      <c r="AF38" s="197"/>
      <c r="AG38" s="197"/>
      <c r="AH38" s="197"/>
      <c r="AI38" s="199"/>
    </row>
    <row r="39" spans="1:35" ht="15.75" customHeight="1" x14ac:dyDescent="0.15">
      <c r="A39" s="197"/>
      <c r="B39" s="198"/>
      <c r="C39" s="197"/>
      <c r="D39" s="197"/>
      <c r="E39" s="197"/>
      <c r="F39" s="197"/>
      <c r="G39" s="197"/>
      <c r="H39" s="197"/>
      <c r="I39" s="197"/>
      <c r="J39" s="197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197"/>
      <c r="AB39" s="197"/>
      <c r="AC39" s="197"/>
      <c r="AD39" s="197"/>
      <c r="AE39" s="197"/>
      <c r="AF39" s="197"/>
      <c r="AG39" s="197"/>
      <c r="AH39" s="197"/>
      <c r="AI39" s="199"/>
    </row>
    <row r="40" spans="1:35" ht="15.75" customHeight="1" x14ac:dyDescent="0.15">
      <c r="A40" s="197"/>
      <c r="B40" s="198"/>
      <c r="C40" s="197"/>
      <c r="D40" s="197"/>
      <c r="E40" s="197"/>
      <c r="F40" s="197"/>
      <c r="G40" s="197"/>
      <c r="H40" s="197"/>
      <c r="I40" s="197"/>
      <c r="J40" s="197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197"/>
      <c r="AB40" s="197"/>
      <c r="AC40" s="197"/>
      <c r="AD40" s="197"/>
      <c r="AE40" s="197"/>
      <c r="AF40" s="197"/>
      <c r="AG40" s="197"/>
      <c r="AH40" s="197"/>
      <c r="AI40" s="199"/>
    </row>
    <row r="41" spans="1:35" ht="15.75" customHeight="1" x14ac:dyDescent="0.15">
      <c r="A41" s="197"/>
      <c r="B41" s="198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9"/>
    </row>
    <row r="42" spans="1:35" ht="15.75" customHeight="1" x14ac:dyDescent="0.15">
      <c r="A42" s="197"/>
      <c r="B42" s="198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9"/>
    </row>
    <row r="43" spans="1:35" ht="15.75" customHeight="1" x14ac:dyDescent="0.15">
      <c r="A43" s="197"/>
      <c r="B43" s="198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9"/>
    </row>
    <row r="44" spans="1:35" ht="15.75" customHeight="1" x14ac:dyDescent="0.15">
      <c r="A44" s="197"/>
      <c r="B44" s="198"/>
      <c r="C44" s="292" t="s">
        <v>440</v>
      </c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292"/>
      <c r="AB44" s="292"/>
      <c r="AC44" s="292"/>
      <c r="AD44" s="292"/>
      <c r="AE44" s="292"/>
      <c r="AF44" s="292"/>
      <c r="AG44" s="292"/>
      <c r="AH44" s="292"/>
      <c r="AI44" s="199"/>
    </row>
    <row r="45" spans="1:35" ht="15.75" customHeight="1" x14ac:dyDescent="0.15">
      <c r="A45" s="197"/>
      <c r="B45" s="198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92"/>
      <c r="AB45" s="292"/>
      <c r="AC45" s="292"/>
      <c r="AD45" s="292"/>
      <c r="AE45" s="292"/>
      <c r="AF45" s="292"/>
      <c r="AG45" s="292"/>
      <c r="AH45" s="292"/>
      <c r="AI45" s="199"/>
    </row>
    <row r="46" spans="1:35" ht="15.75" customHeight="1" x14ac:dyDescent="0.15">
      <c r="A46" s="197"/>
      <c r="B46" s="198"/>
      <c r="C46" s="292" t="s">
        <v>441</v>
      </c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92"/>
      <c r="AB46" s="292"/>
      <c r="AC46" s="292"/>
      <c r="AD46" s="292"/>
      <c r="AE46" s="292"/>
      <c r="AF46" s="292"/>
      <c r="AG46" s="292"/>
      <c r="AH46" s="292"/>
      <c r="AI46" s="199"/>
    </row>
    <row r="47" spans="1:35" ht="15.75" customHeight="1" x14ac:dyDescent="0.15">
      <c r="A47" s="197"/>
      <c r="B47" s="198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199"/>
    </row>
    <row r="48" spans="1:35" ht="15.75" customHeight="1" x14ac:dyDescent="0.15">
      <c r="A48" s="197"/>
      <c r="B48" s="198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199"/>
    </row>
    <row r="49" spans="1:35" ht="15.75" customHeight="1" x14ac:dyDescent="0.15">
      <c r="A49" s="197"/>
      <c r="B49" s="207" t="s">
        <v>442</v>
      </c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9"/>
    </row>
    <row r="50" spans="1:35" ht="15.75" customHeight="1" x14ac:dyDescent="0.15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</row>
  </sheetData>
  <mergeCells count="10">
    <mergeCell ref="C44:AH45"/>
    <mergeCell ref="C46:AH47"/>
    <mergeCell ref="C7:AH8"/>
    <mergeCell ref="C15:AH16"/>
    <mergeCell ref="C17:AH18"/>
    <mergeCell ref="K34:Z34"/>
    <mergeCell ref="K37:N37"/>
    <mergeCell ref="O37:R37"/>
    <mergeCell ref="S37:V37"/>
    <mergeCell ref="W37:Z37"/>
  </mergeCells>
  <phoneticPr fontId="1"/>
  <printOptions horizontalCentered="1" verticalCentered="1"/>
  <pageMargins left="0.59055118110236227" right="0.39370078740157483" top="0.59055118110236227" bottom="0.39370078740157483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8FDB-881D-463C-8027-A8B258E6C137}">
  <dimension ref="A1:AI27"/>
  <sheetViews>
    <sheetView view="pageBreakPreview" zoomScale="75" zoomScaleNormal="100" zoomScaleSheetLayoutView="75" workbookViewId="0"/>
  </sheetViews>
  <sheetFormatPr defaultColWidth="2.625" defaultRowHeight="16.5" customHeight="1" x14ac:dyDescent="0.15"/>
  <cols>
    <col min="1" max="2" width="2.625" style="212" customWidth="1"/>
    <col min="3" max="4" width="2.625" style="220" customWidth="1"/>
    <col min="5" max="27" width="2.625" style="212"/>
    <col min="28" max="28" width="3.625" style="212" customWidth="1"/>
    <col min="29" max="29" width="2.625" style="212"/>
    <col min="30" max="30" width="3.625" style="229" customWidth="1"/>
    <col min="31" max="31" width="2.625" style="212"/>
    <col min="32" max="32" width="3.625" style="221" customWidth="1"/>
    <col min="33" max="16384" width="2.625" style="212"/>
  </cols>
  <sheetData>
    <row r="1" spans="1:35" ht="16.5" customHeight="1" x14ac:dyDescent="0.15">
      <c r="A1" s="270" t="s">
        <v>444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10"/>
      <c r="AI1" s="211"/>
    </row>
    <row r="2" spans="1:35" ht="16.5" customHeight="1" x14ac:dyDescent="0.15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4"/>
      <c r="AG2" s="215"/>
      <c r="AH2" s="210"/>
      <c r="AI2" s="211"/>
    </row>
    <row r="3" spans="1:35" ht="16.5" customHeight="1" x14ac:dyDescent="0.15">
      <c r="A3" s="216"/>
      <c r="B3" s="216"/>
      <c r="C3" s="217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99" t="s">
        <v>445</v>
      </c>
      <c r="AC3" s="299"/>
      <c r="AD3" s="299"/>
      <c r="AE3" s="299"/>
      <c r="AF3" s="299"/>
      <c r="AG3" s="218"/>
      <c r="AH3" s="219"/>
    </row>
    <row r="4" spans="1:35" ht="16.5" customHeight="1" x14ac:dyDescent="0.15">
      <c r="A4" s="219"/>
      <c r="B4" s="219"/>
      <c r="D4" s="212"/>
      <c r="Z4" s="219"/>
      <c r="AA4" s="219"/>
      <c r="AB4" s="219"/>
      <c r="AC4" s="219"/>
      <c r="AD4" s="221"/>
      <c r="AE4" s="219"/>
      <c r="AH4" s="219"/>
    </row>
    <row r="5" spans="1:35" ht="16.5" customHeight="1" x14ac:dyDescent="0.15">
      <c r="A5" s="222" t="s">
        <v>449</v>
      </c>
      <c r="D5" s="212"/>
      <c r="G5" s="210"/>
      <c r="L5" s="210" t="s">
        <v>446</v>
      </c>
      <c r="Z5" s="223"/>
      <c r="AA5" s="224"/>
      <c r="AB5" s="223">
        <v>1</v>
      </c>
      <c r="AC5" s="224" t="s">
        <v>157</v>
      </c>
      <c r="AD5" s="223">
        <v>1</v>
      </c>
      <c r="AE5" s="223"/>
      <c r="AF5" s="223"/>
      <c r="AG5" s="225"/>
    </row>
    <row r="6" spans="1:35" ht="16.5" customHeight="1" x14ac:dyDescent="0.15">
      <c r="A6" s="222"/>
      <c r="C6" s="226" t="s">
        <v>453</v>
      </c>
      <c r="D6" s="212" t="s">
        <v>454</v>
      </c>
      <c r="G6" s="219"/>
      <c r="H6" s="210"/>
      <c r="I6" s="210" t="s">
        <v>446</v>
      </c>
      <c r="Z6" s="223"/>
      <c r="AA6" s="224"/>
      <c r="AB6" s="223">
        <v>1</v>
      </c>
      <c r="AC6" s="224" t="s">
        <v>157</v>
      </c>
      <c r="AD6" s="223">
        <v>1</v>
      </c>
      <c r="AE6" s="223"/>
      <c r="AF6" s="223"/>
      <c r="AG6" s="225"/>
    </row>
    <row r="7" spans="1:35" ht="16.5" customHeight="1" x14ac:dyDescent="0.15">
      <c r="A7" s="222"/>
      <c r="C7" s="226" t="s">
        <v>455</v>
      </c>
      <c r="D7" s="212" t="s">
        <v>456</v>
      </c>
      <c r="G7" s="219"/>
      <c r="H7" s="210"/>
      <c r="N7" s="210" t="s">
        <v>446</v>
      </c>
      <c r="Z7" s="223"/>
      <c r="AA7" s="224"/>
      <c r="AB7" s="223">
        <v>1</v>
      </c>
      <c r="AC7" s="224" t="s">
        <v>157</v>
      </c>
      <c r="AD7" s="223">
        <v>1</v>
      </c>
      <c r="AE7" s="223"/>
      <c r="AF7" s="223"/>
      <c r="AG7" s="225"/>
    </row>
    <row r="8" spans="1:35" ht="16.5" customHeight="1" x14ac:dyDescent="0.15">
      <c r="A8" s="222"/>
      <c r="C8" s="226" t="s">
        <v>457</v>
      </c>
      <c r="D8" s="212" t="s">
        <v>447</v>
      </c>
      <c r="G8" s="219"/>
      <c r="H8" s="210" t="s">
        <v>446</v>
      </c>
      <c r="N8" s="210"/>
      <c r="Z8" s="223"/>
      <c r="AA8" s="224"/>
      <c r="AB8" s="223">
        <v>1</v>
      </c>
      <c r="AC8" s="224" t="s">
        <v>157</v>
      </c>
      <c r="AD8" s="223">
        <v>2</v>
      </c>
      <c r="AE8" s="223"/>
      <c r="AF8" s="223"/>
      <c r="AG8" s="225"/>
    </row>
    <row r="9" spans="1:35" ht="16.5" customHeight="1" x14ac:dyDescent="0.15">
      <c r="A9" s="222"/>
      <c r="C9" s="226" t="s">
        <v>458</v>
      </c>
      <c r="D9" s="212" t="s">
        <v>459</v>
      </c>
      <c r="G9" s="219"/>
      <c r="H9" s="210" t="s">
        <v>446</v>
      </c>
      <c r="Z9" s="223"/>
      <c r="AA9" s="224"/>
      <c r="AB9" s="223">
        <v>1</v>
      </c>
      <c r="AC9" s="224" t="s">
        <v>157</v>
      </c>
      <c r="AD9" s="223">
        <v>3</v>
      </c>
      <c r="AE9" s="223"/>
      <c r="AF9" s="223"/>
      <c r="AG9" s="225"/>
    </row>
    <row r="10" spans="1:35" ht="16.5" customHeight="1" x14ac:dyDescent="0.15">
      <c r="A10" s="222"/>
      <c r="C10" s="226" t="s">
        <v>460</v>
      </c>
      <c r="D10" s="212" t="s">
        <v>461</v>
      </c>
      <c r="G10" s="219"/>
      <c r="H10" s="210" t="s">
        <v>446</v>
      </c>
      <c r="K10" s="210"/>
      <c r="L10" s="210"/>
      <c r="Z10" s="223"/>
      <c r="AA10" s="224"/>
      <c r="AB10" s="223">
        <v>1</v>
      </c>
      <c r="AC10" s="224" t="s">
        <v>157</v>
      </c>
      <c r="AD10" s="223">
        <v>4</v>
      </c>
      <c r="AE10" s="223"/>
      <c r="AF10" s="223"/>
      <c r="AG10" s="225"/>
    </row>
    <row r="11" spans="1:35" ht="16.5" customHeight="1" x14ac:dyDescent="0.15">
      <c r="A11" s="222"/>
      <c r="C11" s="226" t="s">
        <v>462</v>
      </c>
      <c r="D11" s="212" t="s">
        <v>463</v>
      </c>
      <c r="G11" s="219"/>
      <c r="H11" s="210"/>
      <c r="I11" s="210" t="s">
        <v>446</v>
      </c>
      <c r="Z11" s="223"/>
      <c r="AA11" s="224"/>
      <c r="AB11" s="223">
        <v>1</v>
      </c>
      <c r="AC11" s="224" t="s">
        <v>157</v>
      </c>
      <c r="AD11" s="223">
        <v>4</v>
      </c>
      <c r="AE11" s="223"/>
      <c r="AF11" s="223"/>
      <c r="AG11" s="225"/>
    </row>
    <row r="12" spans="1:35" ht="16.5" customHeight="1" x14ac:dyDescent="0.15">
      <c r="A12" s="222"/>
      <c r="D12" s="212"/>
      <c r="G12" s="219"/>
      <c r="Z12" s="225"/>
      <c r="AA12" s="223"/>
      <c r="AB12" s="225"/>
      <c r="AC12" s="223"/>
      <c r="AD12" s="223"/>
      <c r="AE12" s="225"/>
      <c r="AF12" s="223"/>
      <c r="AG12" s="225"/>
    </row>
    <row r="13" spans="1:35" ht="16.5" customHeight="1" x14ac:dyDescent="0.15">
      <c r="A13" s="222" t="s">
        <v>450</v>
      </c>
      <c r="D13" s="227"/>
      <c r="E13" s="227"/>
      <c r="G13" s="210"/>
      <c r="H13" s="210" t="s">
        <v>446</v>
      </c>
      <c r="Z13" s="223"/>
      <c r="AA13" s="224"/>
      <c r="AB13" s="223">
        <v>2</v>
      </c>
      <c r="AC13" s="224" t="s">
        <v>157</v>
      </c>
      <c r="AD13" s="223">
        <v>1</v>
      </c>
      <c r="AE13" s="223"/>
      <c r="AF13" s="223"/>
      <c r="AG13" s="225"/>
    </row>
    <row r="14" spans="1:35" ht="16.5" customHeight="1" x14ac:dyDescent="0.15">
      <c r="A14" s="222"/>
      <c r="D14" s="227"/>
      <c r="E14" s="227"/>
      <c r="F14" s="219"/>
      <c r="G14" s="219"/>
      <c r="I14" s="228"/>
      <c r="Z14" s="225"/>
      <c r="AA14" s="225"/>
      <c r="AB14" s="223"/>
      <c r="AC14" s="225"/>
      <c r="AD14" s="223"/>
      <c r="AE14" s="225"/>
      <c r="AF14" s="275"/>
      <c r="AG14" s="225"/>
    </row>
    <row r="15" spans="1:35" ht="16.5" customHeight="1" x14ac:dyDescent="0.15">
      <c r="A15" s="222" t="s">
        <v>451</v>
      </c>
      <c r="D15" s="212"/>
      <c r="E15" s="227"/>
      <c r="F15" s="227"/>
      <c r="G15" s="210"/>
      <c r="H15" s="210"/>
      <c r="K15" s="210" t="s">
        <v>446</v>
      </c>
      <c r="Z15" s="223"/>
      <c r="AA15" s="224"/>
      <c r="AB15" s="223">
        <v>3</v>
      </c>
      <c r="AC15" s="224" t="s">
        <v>157</v>
      </c>
      <c r="AD15" s="223">
        <v>1</v>
      </c>
      <c r="AE15" s="223"/>
      <c r="AF15" s="223"/>
      <c r="AG15" s="225"/>
    </row>
    <row r="16" spans="1:35" ht="16.5" customHeight="1" x14ac:dyDescent="0.15">
      <c r="A16" s="222"/>
      <c r="C16" s="226" t="s">
        <v>453</v>
      </c>
      <c r="D16" s="212" t="s">
        <v>578</v>
      </c>
      <c r="E16" s="227"/>
      <c r="F16" s="227"/>
      <c r="H16" s="210" t="s">
        <v>446</v>
      </c>
      <c r="Z16" s="223"/>
      <c r="AA16" s="225"/>
      <c r="AB16" s="223">
        <v>3</v>
      </c>
      <c r="AC16" s="224" t="s">
        <v>157</v>
      </c>
      <c r="AD16" s="223">
        <v>1</v>
      </c>
      <c r="AE16" s="223" t="s">
        <v>448</v>
      </c>
      <c r="AF16" s="223">
        <f>+AD17-1</f>
        <v>38</v>
      </c>
      <c r="AG16" s="225"/>
    </row>
    <row r="17" spans="1:33" ht="16.5" customHeight="1" x14ac:dyDescent="0.15">
      <c r="A17" s="222"/>
      <c r="C17" s="226" t="s">
        <v>455</v>
      </c>
      <c r="D17" s="212" t="s">
        <v>579</v>
      </c>
      <c r="E17" s="227"/>
      <c r="F17" s="227"/>
      <c r="H17" s="228"/>
      <c r="J17" s="210" t="s">
        <v>446</v>
      </c>
      <c r="Z17" s="223"/>
      <c r="AA17" s="225"/>
      <c r="AB17" s="223">
        <v>3</v>
      </c>
      <c r="AC17" s="224" t="s">
        <v>157</v>
      </c>
      <c r="AD17" s="223">
        <v>39</v>
      </c>
      <c r="AE17" s="223" t="s">
        <v>448</v>
      </c>
      <c r="AF17" s="223">
        <f t="shared" ref="AF17:AF22" si="0">+AD18-1</f>
        <v>116</v>
      </c>
      <c r="AG17" s="225"/>
    </row>
    <row r="18" spans="1:33" ht="16.5" customHeight="1" x14ac:dyDescent="0.15">
      <c r="A18" s="222"/>
      <c r="C18" s="226" t="s">
        <v>457</v>
      </c>
      <c r="D18" s="212" t="s">
        <v>580</v>
      </c>
      <c r="E18" s="227"/>
      <c r="F18" s="227"/>
      <c r="H18" s="210" t="s">
        <v>446</v>
      </c>
      <c r="Z18" s="223"/>
      <c r="AA18" s="225"/>
      <c r="AB18" s="223">
        <v>3</v>
      </c>
      <c r="AC18" s="224" t="s">
        <v>157</v>
      </c>
      <c r="AD18" s="223">
        <v>117</v>
      </c>
      <c r="AE18" s="223" t="s">
        <v>448</v>
      </c>
      <c r="AF18" s="223">
        <f t="shared" si="0"/>
        <v>119</v>
      </c>
      <c r="AG18" s="225"/>
    </row>
    <row r="19" spans="1:33" ht="16.5" customHeight="1" x14ac:dyDescent="0.15">
      <c r="A19" s="222"/>
      <c r="C19" s="226" t="s">
        <v>458</v>
      </c>
      <c r="D19" s="212" t="s">
        <v>581</v>
      </c>
      <c r="E19" s="227"/>
      <c r="F19" s="227"/>
      <c r="H19" s="210" t="s">
        <v>446</v>
      </c>
      <c r="Z19" s="223"/>
      <c r="AA19" s="225"/>
      <c r="AB19" s="223">
        <v>3</v>
      </c>
      <c r="AC19" s="224" t="s">
        <v>157</v>
      </c>
      <c r="AD19" s="223">
        <v>120</v>
      </c>
      <c r="AE19" s="223" t="s">
        <v>448</v>
      </c>
      <c r="AF19" s="223">
        <f t="shared" si="0"/>
        <v>125</v>
      </c>
      <c r="AG19" s="225"/>
    </row>
    <row r="20" spans="1:33" ht="16.5" customHeight="1" x14ac:dyDescent="0.15">
      <c r="A20" s="222"/>
      <c r="C20" s="226" t="s">
        <v>460</v>
      </c>
      <c r="D20" s="212" t="s">
        <v>582</v>
      </c>
      <c r="E20" s="227"/>
      <c r="F20" s="227"/>
      <c r="H20" s="210" t="s">
        <v>446</v>
      </c>
      <c r="Z20" s="223"/>
      <c r="AA20" s="225"/>
      <c r="AB20" s="223">
        <v>3</v>
      </c>
      <c r="AC20" s="224" t="s">
        <v>157</v>
      </c>
      <c r="AD20" s="223">
        <v>126</v>
      </c>
      <c r="AE20" s="223"/>
      <c r="AF20" s="223"/>
      <c r="AG20" s="225"/>
    </row>
    <row r="21" spans="1:33" ht="16.5" customHeight="1" x14ac:dyDescent="0.15">
      <c r="A21" s="222"/>
      <c r="C21" s="226" t="s">
        <v>462</v>
      </c>
      <c r="D21" s="212" t="s">
        <v>583</v>
      </c>
      <c r="E21" s="227"/>
      <c r="F21" s="227"/>
      <c r="H21" s="210" t="s">
        <v>446</v>
      </c>
      <c r="Z21" s="223"/>
      <c r="AA21" s="225"/>
      <c r="AB21" s="223">
        <v>3</v>
      </c>
      <c r="AC21" s="224" t="s">
        <v>157</v>
      </c>
      <c r="AD21" s="223">
        <v>127</v>
      </c>
      <c r="AE21" s="223"/>
      <c r="AF21" s="223"/>
      <c r="AG21" s="225"/>
    </row>
    <row r="22" spans="1:33" ht="16.5" customHeight="1" x14ac:dyDescent="0.15">
      <c r="A22" s="222"/>
      <c r="C22" s="226" t="s">
        <v>584</v>
      </c>
      <c r="D22" s="212" t="s">
        <v>586</v>
      </c>
      <c r="E22" s="227"/>
      <c r="F22" s="227"/>
      <c r="H22" s="210" t="s">
        <v>446</v>
      </c>
      <c r="Z22" s="223"/>
      <c r="AA22" s="225"/>
      <c r="AB22" s="223">
        <v>3</v>
      </c>
      <c r="AC22" s="224" t="s">
        <v>157</v>
      </c>
      <c r="AD22" s="223">
        <v>128</v>
      </c>
      <c r="AE22" s="223" t="s">
        <v>448</v>
      </c>
      <c r="AF22" s="223">
        <f t="shared" si="0"/>
        <v>173</v>
      </c>
      <c r="AG22" s="225"/>
    </row>
    <row r="23" spans="1:33" ht="16.5" customHeight="1" x14ac:dyDescent="0.15">
      <c r="A23" s="222"/>
      <c r="C23" s="226" t="s">
        <v>585</v>
      </c>
      <c r="D23" s="212" t="s">
        <v>587</v>
      </c>
      <c r="E23" s="227"/>
      <c r="F23" s="227"/>
      <c r="H23" s="228"/>
      <c r="L23" s="210" t="s">
        <v>446</v>
      </c>
      <c r="Z23" s="223"/>
      <c r="AA23" s="225"/>
      <c r="AB23" s="223">
        <v>3</v>
      </c>
      <c r="AC23" s="224" t="s">
        <v>157</v>
      </c>
      <c r="AD23" s="223">
        <v>174</v>
      </c>
      <c r="AE23" s="223" t="s">
        <v>448</v>
      </c>
      <c r="AF23" s="223">
        <v>224</v>
      </c>
      <c r="AG23" s="225"/>
    </row>
    <row r="24" spans="1:33" ht="16.5" customHeight="1" x14ac:dyDescent="0.15">
      <c r="A24" s="222"/>
      <c r="D24" s="212"/>
      <c r="E24" s="227"/>
      <c r="F24" s="227"/>
      <c r="H24" s="228"/>
      <c r="Z24" s="223"/>
      <c r="AA24" s="225"/>
      <c r="AB24" s="225"/>
      <c r="AC24" s="223"/>
      <c r="AD24" s="223"/>
      <c r="AE24" s="225"/>
      <c r="AF24" s="223"/>
      <c r="AG24" s="225"/>
    </row>
    <row r="25" spans="1:33" ht="16.5" customHeight="1" x14ac:dyDescent="0.15">
      <c r="A25" s="222" t="s">
        <v>431</v>
      </c>
      <c r="D25" s="212"/>
      <c r="E25" s="227"/>
      <c r="G25" s="210"/>
      <c r="I25" s="210"/>
      <c r="J25" s="228"/>
      <c r="M25" s="228"/>
      <c r="N25" s="210"/>
      <c r="U25" s="210"/>
      <c r="Z25" s="223"/>
      <c r="AA25" s="224"/>
      <c r="AB25" s="223">
        <v>4</v>
      </c>
      <c r="AC25" s="224" t="s">
        <v>157</v>
      </c>
      <c r="AD25" s="223">
        <v>1</v>
      </c>
      <c r="AE25" s="223" t="s">
        <v>448</v>
      </c>
      <c r="AF25" s="223">
        <v>6</v>
      </c>
      <c r="AG25" s="225"/>
    </row>
    <row r="26" spans="1:33" ht="16.5" customHeight="1" x14ac:dyDescent="0.15">
      <c r="B26" s="220"/>
      <c r="Z26" s="225"/>
      <c r="AA26" s="225"/>
      <c r="AB26" s="225"/>
      <c r="AC26" s="225"/>
      <c r="AD26" s="223"/>
      <c r="AE26" s="225"/>
      <c r="AF26" s="223"/>
      <c r="AG26" s="225"/>
    </row>
    <row r="27" spans="1:33" ht="16.5" customHeight="1" x14ac:dyDescent="0.15">
      <c r="B27" s="220"/>
      <c r="Z27" s="225"/>
      <c r="AA27" s="225"/>
      <c r="AB27" s="225"/>
      <c r="AC27" s="225"/>
      <c r="AD27" s="223"/>
      <c r="AE27" s="225"/>
      <c r="AF27" s="223"/>
      <c r="AG27" s="225"/>
    </row>
  </sheetData>
  <mergeCells count="1">
    <mergeCell ref="AB3:AF3"/>
  </mergeCells>
  <phoneticPr fontId="1"/>
  <pageMargins left="0.98425196850393704" right="0.27559055118110237" top="0.59055118110236227" bottom="0.15748031496062992" header="0.78740157480314965" footer="0.15748031496062992"/>
  <pageSetup paperSize="9" orientation="portrait" r:id="rId1"/>
  <headerFooter alignWithMargins="0"/>
  <ignoredErrors>
    <ignoredError sqref="C6:C11 C16:C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C878-446D-478E-8110-AC65A533FC5E}">
  <dimension ref="A2:BE142"/>
  <sheetViews>
    <sheetView view="pageBreakPreview" zoomScale="75" zoomScaleNormal="100" zoomScaleSheetLayoutView="75" workbookViewId="0"/>
  </sheetViews>
  <sheetFormatPr defaultColWidth="2.75" defaultRowHeight="16.5" customHeight="1" x14ac:dyDescent="0.15"/>
  <cols>
    <col min="1" max="16384" width="2.75" style="196"/>
  </cols>
  <sheetData>
    <row r="2" spans="1:57" s="230" customFormat="1" ht="16.5" customHeight="1" x14ac:dyDescent="0.15">
      <c r="B2" s="230" t="s">
        <v>530</v>
      </c>
      <c r="C2" s="256"/>
    </row>
    <row r="3" spans="1:57" ht="16.5" customHeight="1" x14ac:dyDescent="0.15">
      <c r="A3" s="232"/>
      <c r="B3" s="231"/>
      <c r="C3" s="231"/>
    </row>
    <row r="4" spans="1:57" s="233" customFormat="1" ht="16.5" customHeight="1" x14ac:dyDescent="0.15">
      <c r="C4" s="233" t="s">
        <v>562</v>
      </c>
      <c r="E4" s="257"/>
      <c r="F4" s="257"/>
    </row>
    <row r="5" spans="1:57" ht="16.5" customHeight="1" x14ac:dyDescent="0.15">
      <c r="E5" s="232"/>
      <c r="F5" s="232"/>
    </row>
    <row r="6" spans="1:57" ht="16.5" customHeight="1" x14ac:dyDescent="0.15">
      <c r="D6" s="234" t="s">
        <v>464</v>
      </c>
      <c r="M6" s="235"/>
    </row>
    <row r="7" spans="1:57" ht="16.5" customHeight="1" x14ac:dyDescent="0.15">
      <c r="D7" s="196" t="s">
        <v>465</v>
      </c>
      <c r="M7" s="235"/>
    </row>
    <row r="8" spans="1:57" ht="16.5" customHeight="1" x14ac:dyDescent="0.15">
      <c r="D8" s="196" t="s">
        <v>466</v>
      </c>
      <c r="M8" s="235"/>
    </row>
    <row r="9" spans="1:57" ht="16.5" customHeight="1" x14ac:dyDescent="0.15">
      <c r="C9" s="231"/>
      <c r="D9" s="231"/>
      <c r="M9" s="235"/>
      <c r="X9" s="236"/>
      <c r="Y9" s="236"/>
      <c r="Z9" s="236"/>
    </row>
    <row r="10" spans="1:57" s="233" customFormat="1" ht="16.5" customHeight="1" x14ac:dyDescent="0.15">
      <c r="C10" s="255" t="s">
        <v>561</v>
      </c>
      <c r="D10" s="255"/>
      <c r="M10" s="258"/>
    </row>
    <row r="11" spans="1:57" ht="16.5" customHeight="1" x14ac:dyDescent="0.15">
      <c r="C11" s="231"/>
      <c r="D11" s="231"/>
      <c r="M11" s="235"/>
    </row>
    <row r="12" spans="1:57" s="237" customFormat="1" ht="16.5" customHeight="1" x14ac:dyDescent="0.15">
      <c r="C12" s="248"/>
      <c r="D12" s="259" t="s">
        <v>467</v>
      </c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</row>
    <row r="13" spans="1:57" s="237" customFormat="1" ht="16.5" customHeight="1" x14ac:dyDescent="0.15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O13" s="242"/>
      <c r="P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3"/>
      <c r="AK13" s="244"/>
      <c r="AL13" s="242"/>
      <c r="AM13" s="242"/>
      <c r="AN13" s="242"/>
      <c r="AO13" s="242"/>
      <c r="AP13" s="242"/>
      <c r="AV13" s="245"/>
    </row>
    <row r="14" spans="1:57" s="237" customFormat="1" ht="16.5" customHeight="1" x14ac:dyDescent="0.15">
      <c r="A14" s="242"/>
      <c r="B14" s="242"/>
      <c r="C14" s="242"/>
      <c r="D14" s="242"/>
      <c r="E14" s="246" t="s">
        <v>39</v>
      </c>
      <c r="F14" s="247" t="s">
        <v>468</v>
      </c>
      <c r="G14" s="242"/>
      <c r="H14" s="242"/>
      <c r="I14" s="242"/>
      <c r="J14" s="242"/>
      <c r="K14" s="242"/>
      <c r="L14" s="242"/>
      <c r="M14" s="242"/>
      <c r="P14" s="242"/>
      <c r="Q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  <c r="AC14" s="242"/>
      <c r="AE14" s="242"/>
      <c r="AF14" s="246" t="s">
        <v>39</v>
      </c>
      <c r="AG14" s="247" t="s">
        <v>469</v>
      </c>
      <c r="AH14" s="242"/>
      <c r="AI14" s="242"/>
      <c r="AJ14" s="242"/>
      <c r="AK14" s="242"/>
      <c r="AL14" s="242"/>
      <c r="AM14" s="242"/>
      <c r="AN14" s="242"/>
      <c r="AQ14" s="242"/>
      <c r="AR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8" t="s">
        <v>470</v>
      </c>
    </row>
    <row r="15" spans="1:57" s="237" customFormat="1" ht="16.5" customHeight="1" x14ac:dyDescent="0.15">
      <c r="A15" s="242"/>
      <c r="B15" s="242"/>
      <c r="C15" s="242"/>
      <c r="D15" s="242"/>
      <c r="E15" s="246"/>
      <c r="F15" s="247"/>
      <c r="G15" s="242"/>
      <c r="H15" s="242"/>
      <c r="I15" s="242"/>
      <c r="J15" s="242"/>
      <c r="K15" s="242"/>
      <c r="L15" s="242"/>
      <c r="M15" s="242"/>
      <c r="P15" s="242"/>
      <c r="Q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8" t="s">
        <v>471</v>
      </c>
      <c r="AE15" s="242"/>
      <c r="AF15" s="242"/>
      <c r="AG15" s="242"/>
      <c r="AH15" s="242" t="s">
        <v>472</v>
      </c>
      <c r="AI15" s="247" t="s">
        <v>473</v>
      </c>
      <c r="AJ15" s="242"/>
      <c r="AK15" s="242"/>
      <c r="AL15" s="242"/>
      <c r="AM15" s="242"/>
      <c r="AN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8"/>
    </row>
    <row r="16" spans="1:57" s="237" customFormat="1" ht="16.5" customHeight="1" x14ac:dyDescent="0.15">
      <c r="A16" s="242"/>
      <c r="B16" s="242"/>
      <c r="C16" s="242"/>
      <c r="D16" s="242"/>
      <c r="E16" s="242"/>
      <c r="F16" s="242"/>
      <c r="G16" s="242" t="s">
        <v>472</v>
      </c>
      <c r="H16" s="247" t="s">
        <v>474</v>
      </c>
      <c r="I16" s="242"/>
      <c r="J16" s="242"/>
      <c r="K16" s="242"/>
      <c r="L16" s="242"/>
      <c r="M16" s="242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8"/>
      <c r="AE16" s="242"/>
      <c r="AF16" s="242"/>
      <c r="AG16" s="242"/>
      <c r="AH16" s="242"/>
      <c r="AI16" s="242"/>
      <c r="AJ16" s="242"/>
      <c r="AK16" s="243"/>
      <c r="AL16" s="244"/>
      <c r="AM16" s="242"/>
      <c r="AN16" s="242"/>
      <c r="AO16" s="242"/>
      <c r="AP16" s="242"/>
      <c r="AQ16" s="242"/>
      <c r="AW16" s="245"/>
    </row>
    <row r="17" spans="1:49" s="237" customFormat="1" ht="16.5" customHeight="1" x14ac:dyDescent="0.15">
      <c r="A17" s="242"/>
      <c r="B17" s="242"/>
      <c r="C17" s="242"/>
      <c r="D17" s="242"/>
      <c r="E17" s="242"/>
      <c r="F17" s="242"/>
      <c r="G17" s="242"/>
      <c r="H17" s="247"/>
      <c r="I17" s="242"/>
      <c r="J17" s="242"/>
      <c r="K17" s="242"/>
      <c r="L17" s="242"/>
      <c r="M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8"/>
      <c r="AE17" s="242"/>
      <c r="AF17" s="242"/>
      <c r="AG17" s="242"/>
      <c r="AH17" s="242"/>
      <c r="AI17" s="242"/>
      <c r="AJ17" s="242"/>
      <c r="AK17" s="243"/>
      <c r="AL17" s="244"/>
      <c r="AM17" s="242"/>
      <c r="AN17" s="242"/>
      <c r="AO17" s="242"/>
      <c r="AP17" s="242"/>
      <c r="AQ17" s="242"/>
      <c r="AW17" s="245"/>
    </row>
    <row r="18" spans="1:49" s="237" customFormat="1" ht="16.5" customHeight="1" x14ac:dyDescent="0.15">
      <c r="A18" s="242"/>
      <c r="B18" s="242"/>
      <c r="C18" s="242"/>
      <c r="D18" s="242"/>
      <c r="E18" s="246" t="s">
        <v>39</v>
      </c>
      <c r="F18" s="247" t="s">
        <v>475</v>
      </c>
      <c r="G18" s="242"/>
      <c r="H18" s="242"/>
      <c r="I18" s="242"/>
      <c r="J18" s="242"/>
      <c r="K18" s="242"/>
      <c r="L18" s="242"/>
      <c r="M18" s="242"/>
      <c r="P18" s="242"/>
      <c r="Q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42"/>
      <c r="AC18" s="242"/>
      <c r="AE18" s="242"/>
      <c r="AF18" s="242"/>
      <c r="AG18" s="242"/>
      <c r="AH18" s="242"/>
      <c r="AI18" s="242"/>
      <c r="AJ18" s="242"/>
      <c r="AK18" s="243"/>
      <c r="AL18" s="244"/>
      <c r="AM18" s="242"/>
      <c r="AN18" s="242"/>
      <c r="AO18" s="242"/>
      <c r="AP18" s="242"/>
      <c r="AQ18" s="242"/>
      <c r="AW18" s="245"/>
    </row>
    <row r="19" spans="1:49" s="237" customFormat="1" ht="16.5" customHeight="1" x14ac:dyDescent="0.15">
      <c r="A19" s="242"/>
      <c r="B19" s="242"/>
      <c r="C19" s="242"/>
      <c r="D19" s="242"/>
      <c r="E19" s="246"/>
      <c r="F19" s="247"/>
      <c r="G19" s="242"/>
      <c r="H19" s="242"/>
      <c r="I19" s="242"/>
      <c r="J19" s="242"/>
      <c r="K19" s="242"/>
      <c r="L19" s="242"/>
      <c r="M19" s="242"/>
      <c r="P19" s="242"/>
      <c r="Q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8" t="s">
        <v>476</v>
      </c>
      <c r="AE19" s="242"/>
      <c r="AF19" s="242"/>
      <c r="AG19" s="242"/>
      <c r="AH19" s="242"/>
      <c r="AI19" s="242"/>
      <c r="AJ19" s="242"/>
      <c r="AK19" s="243"/>
      <c r="AL19" s="244"/>
      <c r="AM19" s="242"/>
      <c r="AN19" s="242"/>
      <c r="AO19" s="242"/>
      <c r="AP19" s="242"/>
      <c r="AQ19" s="242"/>
      <c r="AW19" s="245"/>
    </row>
    <row r="20" spans="1:49" s="237" customFormat="1" ht="16.5" customHeight="1" x14ac:dyDescent="0.15">
      <c r="A20" s="242"/>
      <c r="B20" s="242"/>
      <c r="C20" s="242"/>
      <c r="D20" s="242"/>
      <c r="E20" s="242"/>
      <c r="F20" s="242"/>
      <c r="G20" s="242" t="s">
        <v>472</v>
      </c>
      <c r="H20" s="247" t="s">
        <v>477</v>
      </c>
      <c r="I20" s="242"/>
      <c r="J20" s="242"/>
      <c r="K20" s="242"/>
      <c r="L20" s="242"/>
      <c r="M20" s="242"/>
      <c r="T20" s="242"/>
      <c r="U20" s="242"/>
      <c r="V20" s="242"/>
      <c r="W20" s="242"/>
      <c r="X20" s="242"/>
      <c r="Y20" s="242"/>
      <c r="Z20" s="242"/>
      <c r="AA20" s="242"/>
      <c r="AB20" s="242"/>
      <c r="AC20" s="242"/>
      <c r="AD20" s="248"/>
      <c r="AE20" s="242"/>
      <c r="AF20" s="242"/>
      <c r="AG20" s="242"/>
      <c r="AH20" s="242"/>
      <c r="AI20" s="242"/>
      <c r="AJ20" s="242"/>
      <c r="AK20" s="243"/>
      <c r="AL20" s="244"/>
      <c r="AM20" s="242"/>
      <c r="AN20" s="242"/>
      <c r="AO20" s="242"/>
      <c r="AP20" s="242"/>
      <c r="AQ20" s="242"/>
      <c r="AW20" s="245"/>
    </row>
    <row r="21" spans="1:49" s="237" customFormat="1" ht="16.5" customHeight="1" x14ac:dyDescent="0.15">
      <c r="A21" s="242"/>
      <c r="B21" s="242"/>
      <c r="C21" s="242"/>
      <c r="D21" s="242"/>
      <c r="E21" s="242"/>
      <c r="F21" s="242"/>
      <c r="G21" s="242"/>
      <c r="H21" s="247"/>
      <c r="I21" s="242"/>
      <c r="J21" s="242"/>
      <c r="K21" s="242"/>
      <c r="L21" s="242"/>
      <c r="M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8"/>
      <c r="AE21" s="242"/>
      <c r="AF21" s="242"/>
      <c r="AG21" s="242"/>
      <c r="AH21" s="242"/>
      <c r="AI21" s="242"/>
      <c r="AJ21" s="242"/>
      <c r="AK21" s="243"/>
      <c r="AL21" s="244"/>
      <c r="AM21" s="242"/>
      <c r="AN21" s="242"/>
      <c r="AO21" s="242"/>
      <c r="AP21" s="242"/>
      <c r="AQ21" s="242"/>
      <c r="AW21" s="245"/>
    </row>
    <row r="22" spans="1:49" s="237" customFormat="1" ht="16.5" customHeight="1" x14ac:dyDescent="0.15">
      <c r="A22" s="242"/>
      <c r="B22" s="242"/>
      <c r="C22" s="242"/>
      <c r="D22" s="242"/>
      <c r="E22" s="246" t="s">
        <v>39</v>
      </c>
      <c r="F22" s="247" t="s">
        <v>478</v>
      </c>
      <c r="G22" s="242"/>
      <c r="H22" s="242"/>
      <c r="I22" s="242"/>
      <c r="J22" s="242"/>
      <c r="K22" s="242"/>
      <c r="L22" s="242"/>
      <c r="M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E22" s="242"/>
    </row>
    <row r="23" spans="1:49" s="237" customFormat="1" ht="16.5" customHeight="1" x14ac:dyDescent="0.15">
      <c r="A23" s="242"/>
      <c r="B23" s="242"/>
      <c r="C23" s="242"/>
      <c r="D23" s="242"/>
      <c r="E23" s="246"/>
      <c r="F23" s="247"/>
      <c r="G23" s="242"/>
      <c r="H23" s="242"/>
      <c r="I23" s="242"/>
      <c r="J23" s="242"/>
      <c r="K23" s="242"/>
      <c r="L23" s="242"/>
      <c r="M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8" t="s">
        <v>479</v>
      </c>
      <c r="AE23" s="242"/>
    </row>
    <row r="24" spans="1:49" s="237" customFormat="1" ht="16.5" customHeight="1" x14ac:dyDescent="0.15">
      <c r="A24" s="242"/>
      <c r="B24" s="242"/>
      <c r="C24" s="242"/>
      <c r="D24" s="242"/>
      <c r="E24" s="248"/>
      <c r="F24" s="247"/>
      <c r="G24" s="242" t="s">
        <v>472</v>
      </c>
      <c r="H24" s="247" t="s">
        <v>480</v>
      </c>
      <c r="I24" s="242"/>
      <c r="J24" s="242"/>
      <c r="K24" s="242"/>
      <c r="L24" s="242"/>
      <c r="M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E24" s="242"/>
    </row>
    <row r="25" spans="1:49" s="237" customFormat="1" ht="16.5" customHeight="1" x14ac:dyDescent="0.15">
      <c r="A25" s="242"/>
      <c r="B25" s="242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P25" s="242"/>
      <c r="Q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E25" s="242"/>
    </row>
    <row r="26" spans="1:49" s="237" customFormat="1" ht="16.5" customHeight="1" x14ac:dyDescent="0.15">
      <c r="A26" s="242"/>
      <c r="B26" s="242"/>
      <c r="C26" s="242"/>
      <c r="D26" s="242"/>
      <c r="E26" s="246" t="s">
        <v>39</v>
      </c>
      <c r="F26" s="247" t="s">
        <v>481</v>
      </c>
      <c r="G26" s="242"/>
      <c r="H26" s="242"/>
      <c r="I26" s="242"/>
      <c r="J26" s="242"/>
      <c r="K26" s="242"/>
      <c r="L26" s="242"/>
      <c r="M26" s="242"/>
      <c r="T26" s="242"/>
      <c r="U26" s="242"/>
      <c r="V26" s="242"/>
      <c r="W26" s="242"/>
      <c r="X26" s="242"/>
      <c r="Y26" s="242"/>
      <c r="Z26" s="242"/>
      <c r="AA26" s="242"/>
      <c r="AB26" s="242"/>
      <c r="AC26" s="242"/>
      <c r="AE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</row>
    <row r="27" spans="1:49" s="237" customFormat="1" ht="16.5" customHeight="1" x14ac:dyDescent="0.15">
      <c r="A27" s="242"/>
      <c r="B27" s="242"/>
      <c r="C27" s="242"/>
      <c r="D27" s="242"/>
      <c r="E27" s="246"/>
      <c r="F27" s="247"/>
      <c r="G27" s="242"/>
      <c r="H27" s="242"/>
      <c r="I27" s="242"/>
      <c r="J27" s="242"/>
      <c r="K27" s="242"/>
      <c r="L27" s="242"/>
      <c r="M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D27" s="248" t="s">
        <v>482</v>
      </c>
      <c r="AE27" s="242"/>
      <c r="AG27" s="242"/>
      <c r="AH27" s="242"/>
      <c r="AI27" s="242"/>
      <c r="AJ27" s="242"/>
      <c r="AK27" s="242"/>
      <c r="AL27" s="242"/>
      <c r="AM27" s="242"/>
      <c r="AN27" s="242"/>
      <c r="AO27" s="242"/>
      <c r="AP27" s="242"/>
      <c r="AQ27" s="242"/>
    </row>
    <row r="28" spans="1:49" s="237" customFormat="1" ht="16.5" customHeight="1" x14ac:dyDescent="0.15">
      <c r="A28" s="242"/>
      <c r="B28" s="242"/>
      <c r="C28" s="242"/>
      <c r="D28" s="242"/>
      <c r="E28" s="242"/>
      <c r="F28" s="242"/>
      <c r="G28" s="242" t="s">
        <v>472</v>
      </c>
      <c r="H28" s="247" t="s">
        <v>483</v>
      </c>
      <c r="I28" s="242"/>
      <c r="J28" s="242"/>
      <c r="K28" s="242"/>
      <c r="L28" s="242"/>
      <c r="M28" s="242"/>
      <c r="N28" s="242"/>
      <c r="P28" s="242"/>
      <c r="Q28" s="242"/>
      <c r="R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8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  <c r="AP28" s="242"/>
      <c r="AQ28" s="242"/>
    </row>
    <row r="29" spans="1:49" s="237" customFormat="1" ht="16.5" customHeight="1" x14ac:dyDescent="0.15">
      <c r="A29" s="242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P29" s="242"/>
      <c r="Q29" s="242"/>
      <c r="T29" s="242"/>
      <c r="U29" s="242"/>
      <c r="V29" s="242"/>
      <c r="W29" s="242"/>
      <c r="X29" s="242"/>
      <c r="Y29" s="242"/>
      <c r="Z29" s="242"/>
      <c r="AA29" s="242"/>
      <c r="AB29" s="242"/>
      <c r="AC29" s="242"/>
      <c r="AE29" s="242"/>
    </row>
    <row r="30" spans="1:49" s="237" customFormat="1" ht="16.5" customHeight="1" x14ac:dyDescent="0.15">
      <c r="A30" s="242"/>
      <c r="B30" s="242"/>
      <c r="C30" s="242"/>
      <c r="D30" s="242"/>
      <c r="E30" s="246" t="s">
        <v>39</v>
      </c>
      <c r="F30" s="247" t="s">
        <v>484</v>
      </c>
      <c r="G30" s="242"/>
      <c r="H30" s="242"/>
      <c r="I30" s="242"/>
      <c r="J30" s="242"/>
      <c r="K30" s="242"/>
      <c r="L30" s="242"/>
      <c r="M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E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</row>
    <row r="31" spans="1:49" s="237" customFormat="1" ht="16.5" customHeight="1" x14ac:dyDescent="0.15">
      <c r="A31" s="242"/>
      <c r="B31" s="242"/>
      <c r="C31" s="242"/>
      <c r="D31" s="242"/>
      <c r="E31" s="246"/>
      <c r="F31" s="247"/>
      <c r="G31" s="242"/>
      <c r="H31" s="242"/>
      <c r="I31" s="242"/>
      <c r="J31" s="242"/>
      <c r="K31" s="242"/>
      <c r="L31" s="242"/>
      <c r="M31" s="242"/>
      <c r="T31" s="242"/>
      <c r="U31" s="242"/>
      <c r="V31" s="242"/>
      <c r="W31" s="242"/>
      <c r="X31" s="242"/>
      <c r="Y31" s="242"/>
      <c r="Z31" s="242"/>
      <c r="AA31" s="242"/>
      <c r="AB31" s="242"/>
      <c r="AC31" s="242"/>
      <c r="AD31" s="248" t="s">
        <v>485</v>
      </c>
      <c r="AE31" s="242"/>
      <c r="AG31" s="242"/>
      <c r="AH31" s="242"/>
      <c r="AI31" s="242"/>
      <c r="AJ31" s="242"/>
      <c r="AK31" s="242"/>
      <c r="AL31" s="242"/>
      <c r="AM31" s="242"/>
      <c r="AN31" s="242"/>
      <c r="AO31" s="242"/>
      <c r="AP31" s="242"/>
      <c r="AQ31" s="242"/>
    </row>
    <row r="32" spans="1:49" s="237" customFormat="1" ht="16.5" customHeight="1" x14ac:dyDescent="0.15">
      <c r="A32" s="242"/>
      <c r="B32" s="242"/>
      <c r="C32" s="242"/>
      <c r="D32" s="242"/>
      <c r="E32" s="242"/>
      <c r="F32" s="242"/>
      <c r="G32" s="242" t="s">
        <v>472</v>
      </c>
      <c r="H32" s="247" t="s">
        <v>486</v>
      </c>
      <c r="I32" s="242"/>
      <c r="J32" s="242"/>
      <c r="K32" s="242"/>
      <c r="L32" s="242"/>
      <c r="M32" s="242"/>
      <c r="N32" s="242"/>
      <c r="P32" s="242"/>
      <c r="Q32" s="242"/>
      <c r="R32" s="242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8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</row>
    <row r="33" spans="1:43" s="237" customFormat="1" ht="16.5" customHeight="1" x14ac:dyDescent="0.15">
      <c r="A33" s="242"/>
      <c r="B33" s="242"/>
      <c r="C33" s="242"/>
      <c r="D33" s="242"/>
      <c r="E33" s="242"/>
      <c r="F33" s="242"/>
      <c r="G33" s="242"/>
      <c r="H33" s="247"/>
      <c r="I33" s="242"/>
      <c r="J33" s="242"/>
      <c r="K33" s="242"/>
      <c r="L33" s="242"/>
      <c r="M33" s="242"/>
      <c r="N33" s="242"/>
      <c r="P33" s="242"/>
      <c r="Q33" s="242"/>
      <c r="R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2"/>
      <c r="AD33" s="248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</row>
    <row r="34" spans="1:43" s="238" customFormat="1" ht="16.5" customHeight="1" x14ac:dyDescent="0.15">
      <c r="C34" s="239"/>
      <c r="D34" s="240" t="s">
        <v>487</v>
      </c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</row>
    <row r="35" spans="1:43" s="237" customFormat="1" ht="16.5" customHeight="1" x14ac:dyDescent="0.15">
      <c r="C35" s="242"/>
      <c r="D35" s="242"/>
      <c r="E35" s="242"/>
      <c r="S35" s="247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</row>
    <row r="36" spans="1:43" s="237" customFormat="1" ht="16.5" customHeight="1" x14ac:dyDescent="0.15">
      <c r="A36" s="249"/>
      <c r="B36" s="250"/>
      <c r="C36" s="250"/>
      <c r="D36" s="251"/>
      <c r="E36" s="246" t="s">
        <v>39</v>
      </c>
      <c r="F36" s="247" t="s">
        <v>488</v>
      </c>
      <c r="G36" s="242"/>
      <c r="H36" s="247"/>
      <c r="I36" s="242"/>
      <c r="J36" s="242"/>
      <c r="K36" s="242"/>
      <c r="L36" s="242"/>
      <c r="M36" s="242"/>
      <c r="N36" s="242"/>
      <c r="P36" s="242"/>
      <c r="Q36" s="242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8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</row>
    <row r="37" spans="1:43" s="237" customFormat="1" ht="16.5" customHeight="1" x14ac:dyDescent="0.15">
      <c r="A37" s="249"/>
      <c r="B37" s="250"/>
      <c r="C37" s="250"/>
      <c r="D37" s="251"/>
      <c r="AD37" s="248" t="s">
        <v>489</v>
      </c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</row>
    <row r="38" spans="1:43" s="237" customFormat="1" ht="16.5" customHeight="1" x14ac:dyDescent="0.15">
      <c r="A38" s="249"/>
      <c r="B38" s="250"/>
      <c r="C38" s="250"/>
      <c r="D38" s="251"/>
      <c r="G38" s="242" t="s">
        <v>472</v>
      </c>
      <c r="H38" s="247" t="s">
        <v>490</v>
      </c>
      <c r="AD38" s="248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</row>
    <row r="39" spans="1:43" s="237" customFormat="1" ht="16.5" customHeight="1" x14ac:dyDescent="0.15">
      <c r="A39" s="249"/>
      <c r="B39" s="250"/>
      <c r="C39" s="250"/>
      <c r="D39" s="251"/>
      <c r="G39" s="242"/>
      <c r="H39" s="247"/>
      <c r="AD39" s="248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</row>
    <row r="40" spans="1:43" s="237" customFormat="1" ht="16.5" customHeight="1" x14ac:dyDescent="0.15">
      <c r="A40" s="249"/>
      <c r="B40" s="250"/>
      <c r="C40" s="250"/>
      <c r="D40" s="251"/>
      <c r="E40" s="246" t="s">
        <v>39</v>
      </c>
      <c r="F40" s="247" t="s">
        <v>491</v>
      </c>
      <c r="G40" s="242"/>
      <c r="H40" s="247"/>
      <c r="I40" s="242"/>
      <c r="J40" s="242"/>
      <c r="K40" s="242"/>
      <c r="L40" s="242"/>
      <c r="M40" s="242"/>
      <c r="N40" s="242"/>
      <c r="P40" s="242"/>
      <c r="Q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8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</row>
    <row r="41" spans="1:43" s="237" customFormat="1" ht="16.5" customHeight="1" x14ac:dyDescent="0.15">
      <c r="A41" s="249"/>
      <c r="B41" s="250"/>
      <c r="C41" s="250"/>
      <c r="D41" s="251"/>
      <c r="AD41" s="248" t="s">
        <v>492</v>
      </c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</row>
    <row r="42" spans="1:43" s="237" customFormat="1" ht="16.5" customHeight="1" x14ac:dyDescent="0.15">
      <c r="A42" s="249"/>
      <c r="B42" s="250"/>
      <c r="C42" s="250"/>
      <c r="D42" s="251"/>
      <c r="G42" s="242" t="s">
        <v>472</v>
      </c>
      <c r="H42" s="247" t="s">
        <v>493</v>
      </c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</row>
    <row r="43" spans="1:43" s="237" customFormat="1" ht="16.5" customHeight="1" x14ac:dyDescent="0.15">
      <c r="A43" s="249"/>
      <c r="B43" s="250"/>
      <c r="C43" s="250"/>
      <c r="D43" s="251"/>
      <c r="G43" s="242"/>
      <c r="H43" s="247"/>
      <c r="AD43" s="248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</row>
    <row r="44" spans="1:43" s="237" customFormat="1" ht="16.5" customHeight="1" x14ac:dyDescent="0.15">
      <c r="A44" s="249"/>
      <c r="B44" s="250"/>
      <c r="C44" s="250"/>
      <c r="D44" s="251"/>
      <c r="E44" s="246" t="s">
        <v>39</v>
      </c>
      <c r="F44" s="247" t="s">
        <v>494</v>
      </c>
      <c r="G44" s="242"/>
      <c r="H44" s="247"/>
      <c r="I44" s="242"/>
      <c r="J44" s="242"/>
      <c r="K44" s="242"/>
      <c r="L44" s="242"/>
      <c r="M44" s="242"/>
      <c r="N44" s="242"/>
      <c r="P44" s="242"/>
      <c r="Q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8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</row>
    <row r="45" spans="1:43" s="237" customFormat="1" ht="16.5" customHeight="1" x14ac:dyDescent="0.15">
      <c r="A45" s="249"/>
      <c r="B45" s="250"/>
      <c r="C45" s="250"/>
      <c r="D45" s="251"/>
      <c r="AD45" s="248" t="s">
        <v>495</v>
      </c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2"/>
    </row>
    <row r="46" spans="1:43" s="237" customFormat="1" ht="16.5" customHeight="1" x14ac:dyDescent="0.15">
      <c r="A46" s="249"/>
      <c r="B46" s="250"/>
      <c r="C46" s="250"/>
      <c r="D46" s="251"/>
      <c r="G46" s="242" t="s">
        <v>472</v>
      </c>
      <c r="H46" s="247" t="s">
        <v>496</v>
      </c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</row>
    <row r="47" spans="1:43" ht="16.5" customHeight="1" x14ac:dyDescent="0.15">
      <c r="C47" s="231"/>
      <c r="D47" s="231"/>
    </row>
    <row r="48" spans="1:43" s="233" customFormat="1" ht="16.5" customHeight="1" x14ac:dyDescent="0.15">
      <c r="C48" s="255"/>
      <c r="D48" s="255" t="s">
        <v>497</v>
      </c>
      <c r="M48" s="258"/>
    </row>
    <row r="49" spans="2:33" ht="16.5" customHeight="1" x14ac:dyDescent="0.15">
      <c r="C49" s="231"/>
      <c r="D49" s="231"/>
    </row>
    <row r="50" spans="2:33" ht="16.5" customHeight="1" x14ac:dyDescent="0.15">
      <c r="C50" s="231"/>
      <c r="D50" s="231"/>
      <c r="F50" s="196" t="s">
        <v>531</v>
      </c>
      <c r="W50" s="236"/>
      <c r="X50" s="236"/>
      <c r="Y50" s="236"/>
    </row>
    <row r="51" spans="2:33" ht="16.5" customHeight="1" x14ac:dyDescent="0.15">
      <c r="W51" s="236"/>
      <c r="X51" s="236"/>
      <c r="Y51" s="236"/>
    </row>
    <row r="52" spans="2:33" ht="16.5" customHeight="1" x14ac:dyDescent="0.15">
      <c r="W52" s="236"/>
      <c r="X52" s="236"/>
      <c r="Y52" s="236"/>
    </row>
    <row r="53" spans="2:33" ht="16.5" customHeight="1" x14ac:dyDescent="0.15">
      <c r="C53" s="231"/>
      <c r="D53" s="231"/>
      <c r="U53" s="252"/>
      <c r="Z53" s="252"/>
      <c r="AA53" s="252"/>
      <c r="AB53" s="252"/>
    </row>
    <row r="54" spans="2:33" s="233" customFormat="1" ht="16.5" customHeight="1" x14ac:dyDescent="0.15">
      <c r="C54" s="255" t="s">
        <v>560</v>
      </c>
      <c r="M54" s="258"/>
    </row>
    <row r="55" spans="2:33" ht="16.5" customHeight="1" x14ac:dyDescent="0.15">
      <c r="C55" s="231"/>
      <c r="D55" s="231"/>
    </row>
    <row r="56" spans="2:33" ht="16.5" customHeight="1" x14ac:dyDescent="0.15">
      <c r="C56" s="231"/>
      <c r="D56" s="196" t="s">
        <v>39</v>
      </c>
      <c r="E56" s="196" t="s">
        <v>498</v>
      </c>
      <c r="H56" s="196" t="s">
        <v>41</v>
      </c>
      <c r="I56" s="196" t="s">
        <v>499</v>
      </c>
      <c r="P56" s="252"/>
      <c r="Q56" s="252"/>
    </row>
    <row r="57" spans="2:33" ht="16.5" customHeight="1" x14ac:dyDescent="0.15">
      <c r="D57" s="196" t="s">
        <v>39</v>
      </c>
      <c r="E57" s="231" t="s">
        <v>500</v>
      </c>
      <c r="H57" s="196" t="s">
        <v>41</v>
      </c>
      <c r="I57" s="196" t="s">
        <v>501</v>
      </c>
      <c r="N57" s="252"/>
      <c r="O57" s="252"/>
      <c r="AF57" s="253"/>
      <c r="AG57" s="253"/>
    </row>
    <row r="58" spans="2:33" ht="16.5" customHeight="1" x14ac:dyDescent="0.15">
      <c r="D58" s="196" t="s">
        <v>39</v>
      </c>
      <c r="E58" s="196" t="s">
        <v>502</v>
      </c>
      <c r="H58" s="196" t="s">
        <v>41</v>
      </c>
      <c r="I58" s="196" t="s">
        <v>503</v>
      </c>
      <c r="N58" s="252"/>
      <c r="O58" s="252"/>
      <c r="AF58" s="253"/>
      <c r="AG58" s="253"/>
    </row>
    <row r="59" spans="2:33" ht="16.5" customHeight="1" x14ac:dyDescent="0.15">
      <c r="B59" s="233"/>
      <c r="D59" s="196" t="s">
        <v>39</v>
      </c>
      <c r="E59" s="196" t="s">
        <v>504</v>
      </c>
      <c r="H59" s="196" t="s">
        <v>41</v>
      </c>
      <c r="I59" s="196" t="s">
        <v>505</v>
      </c>
      <c r="AF59" s="253"/>
      <c r="AG59" s="253"/>
    </row>
    <row r="60" spans="2:33" ht="16.5" customHeight="1" x14ac:dyDescent="0.15">
      <c r="C60" s="232"/>
      <c r="AF60" s="253"/>
      <c r="AG60" s="253"/>
    </row>
    <row r="61" spans="2:33" ht="16.5" customHeight="1" x14ac:dyDescent="0.15">
      <c r="C61" s="232"/>
      <c r="AF61" s="253"/>
      <c r="AG61" s="253"/>
    </row>
    <row r="62" spans="2:33" ht="16.5" customHeight="1" x14ac:dyDescent="0.15">
      <c r="C62" s="232"/>
      <c r="AF62" s="253"/>
      <c r="AG62" s="253"/>
    </row>
    <row r="63" spans="2:33" s="233" customFormat="1" ht="16.5" customHeight="1" x14ac:dyDescent="0.15">
      <c r="C63" s="255" t="s">
        <v>559</v>
      </c>
      <c r="AF63" s="260"/>
      <c r="AG63" s="260"/>
    </row>
    <row r="64" spans="2:33" ht="16.5" customHeight="1" x14ac:dyDescent="0.15">
      <c r="AG64" s="253"/>
    </row>
    <row r="65" spans="3:33" ht="16.5" customHeight="1" x14ac:dyDescent="0.15">
      <c r="D65" s="196" t="s">
        <v>506</v>
      </c>
      <c r="AG65" s="253"/>
    </row>
    <row r="66" spans="3:33" ht="16.5" customHeight="1" x14ac:dyDescent="0.15">
      <c r="D66" s="196" t="s">
        <v>507</v>
      </c>
      <c r="AG66" s="253"/>
    </row>
    <row r="67" spans="3:33" ht="16.5" customHeight="1" x14ac:dyDescent="0.15">
      <c r="D67" s="196" t="s">
        <v>508</v>
      </c>
      <c r="AG67" s="253"/>
    </row>
    <row r="68" spans="3:33" ht="16.5" customHeight="1" x14ac:dyDescent="0.15">
      <c r="AF68" s="253"/>
      <c r="AG68" s="253"/>
    </row>
    <row r="69" spans="3:33" ht="16.5" customHeight="1" x14ac:dyDescent="0.15">
      <c r="D69" s="196" t="s">
        <v>509</v>
      </c>
      <c r="AF69" s="253"/>
      <c r="AG69" s="253"/>
    </row>
    <row r="70" spans="3:33" ht="16.5" customHeight="1" x14ac:dyDescent="0.15">
      <c r="D70" s="196" t="s">
        <v>39</v>
      </c>
      <c r="E70" s="196" t="s">
        <v>510</v>
      </c>
      <c r="AF70" s="253"/>
      <c r="AG70" s="253"/>
    </row>
    <row r="71" spans="3:33" ht="16.5" customHeight="1" x14ac:dyDescent="0.15">
      <c r="C71" s="231"/>
      <c r="D71" s="196" t="s">
        <v>39</v>
      </c>
      <c r="E71" s="231" t="s">
        <v>511</v>
      </c>
      <c r="AF71" s="253"/>
      <c r="AG71" s="253"/>
    </row>
    <row r="72" spans="3:33" ht="16.5" customHeight="1" x14ac:dyDescent="0.15">
      <c r="E72" s="196" t="s">
        <v>512</v>
      </c>
      <c r="AF72" s="253"/>
      <c r="AG72" s="253"/>
    </row>
    <row r="73" spans="3:33" ht="16.5" customHeight="1" x14ac:dyDescent="0.15">
      <c r="D73" s="196" t="s">
        <v>39</v>
      </c>
      <c r="E73" s="196" t="s">
        <v>513</v>
      </c>
      <c r="AF73" s="253"/>
      <c r="AG73" s="253"/>
    </row>
    <row r="74" spans="3:33" ht="16.5" customHeight="1" x14ac:dyDescent="0.15">
      <c r="D74" s="196" t="s">
        <v>39</v>
      </c>
      <c r="E74" s="196" t="s">
        <v>514</v>
      </c>
      <c r="AF74" s="253"/>
      <c r="AG74" s="253"/>
    </row>
    <row r="75" spans="3:33" ht="16.5" customHeight="1" x14ac:dyDescent="0.15">
      <c r="E75" s="196" t="s">
        <v>515</v>
      </c>
      <c r="AF75" s="253"/>
      <c r="AG75" s="253"/>
    </row>
    <row r="76" spans="3:33" ht="16.5" customHeight="1" x14ac:dyDescent="0.15">
      <c r="D76" s="196" t="s">
        <v>39</v>
      </c>
      <c r="E76" s="196" t="s">
        <v>516</v>
      </c>
      <c r="K76" s="231"/>
      <c r="AF76" s="253"/>
      <c r="AG76" s="253"/>
    </row>
    <row r="77" spans="3:33" ht="16.5" customHeight="1" x14ac:dyDescent="0.15">
      <c r="C77" s="231"/>
      <c r="E77" s="231" t="s">
        <v>517</v>
      </c>
      <c r="T77" s="231"/>
      <c r="AF77" s="253"/>
      <c r="AG77" s="253"/>
    </row>
    <row r="78" spans="3:33" ht="16.5" customHeight="1" x14ac:dyDescent="0.15">
      <c r="D78" s="196" t="s">
        <v>39</v>
      </c>
      <c r="E78" s="196" t="s">
        <v>518</v>
      </c>
      <c r="AF78" s="253"/>
      <c r="AG78" s="253"/>
    </row>
    <row r="79" spans="3:33" ht="16.5" customHeight="1" x14ac:dyDescent="0.15">
      <c r="E79" s="196" t="s">
        <v>519</v>
      </c>
      <c r="AF79" s="253"/>
      <c r="AG79" s="253"/>
    </row>
    <row r="80" spans="3:33" ht="16.5" customHeight="1" x14ac:dyDescent="0.15">
      <c r="E80" s="196" t="s">
        <v>520</v>
      </c>
    </row>
    <row r="81" spans="3:36" ht="16.5" customHeight="1" x14ac:dyDescent="0.15">
      <c r="C81" s="231"/>
      <c r="D81" s="231"/>
      <c r="E81" s="231"/>
    </row>
    <row r="83" spans="3:36" ht="16.5" customHeight="1" x14ac:dyDescent="0.15">
      <c r="C83" s="231"/>
      <c r="D83" s="231"/>
      <c r="AJ83" s="196" t="s">
        <v>521</v>
      </c>
    </row>
    <row r="89" spans="3:36" ht="16.5" customHeight="1" x14ac:dyDescent="0.15">
      <c r="C89" s="233"/>
    </row>
    <row r="103" spans="3:3" s="233" customFormat="1" ht="16.5" customHeight="1" x14ac:dyDescent="0.15">
      <c r="C103" s="233" t="s">
        <v>558</v>
      </c>
    </row>
    <row r="136" spans="3:21" s="233" customFormat="1" ht="16.5" customHeight="1" x14ac:dyDescent="0.15">
      <c r="C136" s="233" t="s">
        <v>557</v>
      </c>
    </row>
    <row r="138" spans="3:21" ht="16.5" customHeight="1" x14ac:dyDescent="0.15">
      <c r="C138" s="231"/>
      <c r="D138" s="196" t="s">
        <v>522</v>
      </c>
    </row>
    <row r="140" spans="3:21" ht="16.5" customHeight="1" x14ac:dyDescent="0.15">
      <c r="D140" s="196" t="s">
        <v>523</v>
      </c>
      <c r="G140" s="196" t="s">
        <v>524</v>
      </c>
      <c r="K140" s="254" t="s">
        <v>525</v>
      </c>
      <c r="L140" s="300">
        <v>27</v>
      </c>
      <c r="M140" s="300"/>
      <c r="N140" s="196" t="s">
        <v>526</v>
      </c>
      <c r="Q140" s="254" t="s">
        <v>527</v>
      </c>
      <c r="R140" s="301">
        <v>9800</v>
      </c>
      <c r="S140" s="301"/>
      <c r="T140" s="301"/>
      <c r="U140" s="196" t="s">
        <v>528</v>
      </c>
    </row>
    <row r="142" spans="3:21" ht="16.5" customHeight="1" x14ac:dyDescent="0.15">
      <c r="D142" s="196" t="s">
        <v>81</v>
      </c>
      <c r="G142" s="196" t="s">
        <v>529</v>
      </c>
      <c r="K142" s="254" t="s">
        <v>525</v>
      </c>
      <c r="L142" s="300">
        <v>34.700000000000003</v>
      </c>
      <c r="M142" s="300"/>
      <c r="N142" s="196" t="s">
        <v>526</v>
      </c>
      <c r="Q142" s="254" t="s">
        <v>527</v>
      </c>
      <c r="R142" s="301">
        <v>4234.8999999999996</v>
      </c>
      <c r="S142" s="301"/>
      <c r="T142" s="301"/>
      <c r="U142" s="196" t="s">
        <v>528</v>
      </c>
    </row>
  </sheetData>
  <mergeCells count="4">
    <mergeCell ref="L140:M140"/>
    <mergeCell ref="R140:T140"/>
    <mergeCell ref="L142:M142"/>
    <mergeCell ref="R142:T142"/>
  </mergeCells>
  <phoneticPr fontId="1"/>
  <pageMargins left="0.78740157480314965" right="0.27559055118110237" top="0.59055118110236227" bottom="0.15748031496062992" header="0.51181102362204722" footer="0.15748031496062992"/>
  <pageSetup paperSize="9" orientation="portrait" blackAndWhite="1" r:id="rId1"/>
  <headerFooter alignWithMargins="0"/>
  <rowBreaks count="3" manualBreakCount="3">
    <brk id="52" max="30" man="1"/>
    <brk id="61" max="30" man="1"/>
    <brk id="101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0E69-6901-4DF8-A7A0-E646C865B8AE}">
  <dimension ref="A2:G19"/>
  <sheetViews>
    <sheetView tabSelected="1" view="pageBreakPreview" zoomScale="75" zoomScaleNormal="70" zoomScaleSheetLayoutView="75" workbookViewId="0"/>
  </sheetViews>
  <sheetFormatPr defaultColWidth="15" defaultRowHeight="16.5" customHeight="1" x14ac:dyDescent="0.15"/>
  <cols>
    <col min="1" max="2" width="2.625" style="262" customWidth="1"/>
    <col min="3" max="3" width="10.625" style="262" customWidth="1"/>
    <col min="4" max="5" width="15.625" style="262" customWidth="1"/>
    <col min="6" max="7" width="25.625" style="262" customWidth="1"/>
    <col min="8" max="15" width="2.625" style="262" customWidth="1"/>
    <col min="16" max="16384" width="15" style="262"/>
  </cols>
  <sheetData>
    <row r="2" spans="1:7" ht="16.5" customHeight="1" x14ac:dyDescent="0.15">
      <c r="A2" s="261" t="s">
        <v>532</v>
      </c>
      <c r="B2" s="261"/>
    </row>
    <row r="4" spans="1:7" ht="16.5" customHeight="1" x14ac:dyDescent="0.15">
      <c r="C4" s="302" t="s">
        <v>533</v>
      </c>
      <c r="D4" s="306" t="s">
        <v>590</v>
      </c>
      <c r="E4" s="307"/>
      <c r="F4" s="265">
        <v>1</v>
      </c>
      <c r="G4" s="265">
        <v>2</v>
      </c>
    </row>
    <row r="5" spans="1:7" ht="16.5" customHeight="1" x14ac:dyDescent="0.15">
      <c r="C5" s="305"/>
      <c r="D5" s="308" t="s">
        <v>534</v>
      </c>
      <c r="E5" s="309"/>
      <c r="F5" s="284" t="s">
        <v>588</v>
      </c>
      <c r="G5" s="284" t="s">
        <v>589</v>
      </c>
    </row>
    <row r="6" spans="1:7" ht="16.5" customHeight="1" x14ac:dyDescent="0.15">
      <c r="C6" s="303"/>
      <c r="D6" s="306" t="s">
        <v>535</v>
      </c>
      <c r="E6" s="307"/>
      <c r="F6" s="276">
        <v>1</v>
      </c>
      <c r="G6" s="276">
        <v>1</v>
      </c>
    </row>
    <row r="7" spans="1:7" ht="16.5" customHeight="1" x14ac:dyDescent="0.15">
      <c r="C7" s="304"/>
      <c r="D7" s="308" t="s">
        <v>536</v>
      </c>
      <c r="E7" s="309"/>
      <c r="F7" s="277">
        <v>1</v>
      </c>
      <c r="G7" s="277">
        <v>1</v>
      </c>
    </row>
    <row r="8" spans="1:7" ht="16.5" customHeight="1" x14ac:dyDescent="0.15">
      <c r="C8" s="302" t="s">
        <v>537</v>
      </c>
      <c r="D8" s="264" t="s">
        <v>538</v>
      </c>
      <c r="E8" s="267" t="s">
        <v>539</v>
      </c>
      <c r="F8" s="283">
        <v>0.25</v>
      </c>
      <c r="G8" s="283">
        <v>0.255</v>
      </c>
    </row>
    <row r="9" spans="1:7" ht="16.5" customHeight="1" x14ac:dyDescent="0.15">
      <c r="C9" s="303"/>
      <c r="D9" s="266" t="s">
        <v>540</v>
      </c>
      <c r="E9" s="268" t="s">
        <v>541</v>
      </c>
      <c r="F9" s="281">
        <v>0.27300000000000002</v>
      </c>
      <c r="G9" s="281">
        <v>0.27600000000000002</v>
      </c>
    </row>
    <row r="10" spans="1:7" ht="16.5" customHeight="1" x14ac:dyDescent="0.15">
      <c r="C10" s="303"/>
      <c r="D10" s="266" t="s">
        <v>542</v>
      </c>
      <c r="E10" s="268" t="s">
        <v>543</v>
      </c>
      <c r="F10" s="280">
        <v>41.5</v>
      </c>
      <c r="G10" s="280">
        <v>42.2</v>
      </c>
    </row>
    <row r="11" spans="1:7" ht="16.5" customHeight="1" x14ac:dyDescent="0.15">
      <c r="C11" s="303"/>
      <c r="D11" s="266" t="s">
        <v>544</v>
      </c>
      <c r="E11" s="268"/>
      <c r="F11" s="281" t="s">
        <v>591</v>
      </c>
      <c r="G11" s="281" t="s">
        <v>591</v>
      </c>
    </row>
    <row r="12" spans="1:7" ht="16.5" customHeight="1" x14ac:dyDescent="0.15">
      <c r="C12" s="304"/>
      <c r="D12" s="263" t="s">
        <v>545</v>
      </c>
      <c r="E12" s="269" t="s">
        <v>546</v>
      </c>
      <c r="F12" s="282">
        <v>0.78</v>
      </c>
      <c r="G12" s="282">
        <v>0.78200000000000003</v>
      </c>
    </row>
    <row r="13" spans="1:7" ht="16.5" customHeight="1" x14ac:dyDescent="0.15">
      <c r="C13" s="302" t="s">
        <v>547</v>
      </c>
      <c r="D13" s="264" t="s">
        <v>548</v>
      </c>
      <c r="E13" s="267" t="s">
        <v>549</v>
      </c>
      <c r="F13" s="285">
        <v>7.04</v>
      </c>
      <c r="G13" s="285">
        <v>6.93</v>
      </c>
    </row>
    <row r="14" spans="1:7" ht="16.5" customHeight="1" x14ac:dyDescent="0.15">
      <c r="C14" s="303"/>
      <c r="D14" s="266" t="s">
        <v>550</v>
      </c>
      <c r="E14" s="268" t="s">
        <v>551</v>
      </c>
      <c r="F14" s="796">
        <f>+F13*F10</f>
        <v>292.16000000000003</v>
      </c>
      <c r="G14" s="796">
        <f>+G13*G10</f>
        <v>292.44600000000003</v>
      </c>
    </row>
    <row r="15" spans="1:7" ht="16.5" customHeight="1" x14ac:dyDescent="0.15">
      <c r="C15" s="303"/>
      <c r="D15" s="266" t="s">
        <v>552</v>
      </c>
      <c r="E15" s="268" t="s">
        <v>553</v>
      </c>
      <c r="F15" s="798">
        <v>0.29699999999999999</v>
      </c>
      <c r="G15" s="798">
        <v>0.29699999999999999</v>
      </c>
    </row>
    <row r="16" spans="1:7" ht="16.5" customHeight="1" x14ac:dyDescent="0.15">
      <c r="C16" s="304"/>
      <c r="D16" s="263" t="s">
        <v>554</v>
      </c>
      <c r="E16" s="269" t="s">
        <v>555</v>
      </c>
      <c r="F16" s="282">
        <v>0.378</v>
      </c>
      <c r="G16" s="282">
        <v>0.378</v>
      </c>
    </row>
    <row r="17" spans="3:7" ht="16.5" customHeight="1" x14ac:dyDescent="0.15">
      <c r="C17" s="302" t="s">
        <v>556</v>
      </c>
      <c r="D17" s="264" t="s">
        <v>548</v>
      </c>
      <c r="E17" s="267" t="s">
        <v>549</v>
      </c>
      <c r="F17" s="797">
        <v>9.2899999999999991</v>
      </c>
      <c r="G17" s="797">
        <v>9.16</v>
      </c>
    </row>
    <row r="18" spans="3:7" ht="16.5" customHeight="1" x14ac:dyDescent="0.15">
      <c r="C18" s="303"/>
      <c r="D18" s="266" t="s">
        <v>550</v>
      </c>
      <c r="E18" s="268" t="s">
        <v>551</v>
      </c>
      <c r="F18" s="278">
        <f>+F17*F10</f>
        <v>385.53499999999997</v>
      </c>
      <c r="G18" s="278">
        <f>+G17*G10</f>
        <v>386.55200000000002</v>
      </c>
    </row>
    <row r="19" spans="3:7" ht="16.5" customHeight="1" x14ac:dyDescent="0.15">
      <c r="C19" s="304"/>
      <c r="D19" s="263" t="s">
        <v>552</v>
      </c>
      <c r="E19" s="269" t="s">
        <v>553</v>
      </c>
      <c r="F19" s="279">
        <f>+F15</f>
        <v>0.29699999999999999</v>
      </c>
      <c r="G19" s="279">
        <f>+G15</f>
        <v>0.29699999999999999</v>
      </c>
    </row>
  </sheetData>
  <mergeCells count="8">
    <mergeCell ref="C13:C16"/>
    <mergeCell ref="C17:C19"/>
    <mergeCell ref="C4:C7"/>
    <mergeCell ref="D4:E4"/>
    <mergeCell ref="D5:E5"/>
    <mergeCell ref="D6:E6"/>
    <mergeCell ref="D7:E7"/>
    <mergeCell ref="C8:C12"/>
  </mergeCells>
  <phoneticPr fontId="1"/>
  <pageMargins left="0.78740157480314965" right="0.27559055118110237" top="0.59055118110236227" bottom="0.15748031496062992" header="0.78740157480314965" footer="0.15748031496062992"/>
  <pageSetup paperSize="9" scale="95" orientation="portrait" r:id="rId1"/>
  <ignoredErrors>
    <ignoredError sqref="F14:F19 G14:G19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H14"/>
  <sheetViews>
    <sheetView view="pageBreakPreview" zoomScale="75" zoomScaleNormal="100" zoomScaleSheetLayoutView="75" workbookViewId="0"/>
  </sheetViews>
  <sheetFormatPr defaultColWidth="2.625" defaultRowHeight="16.5" customHeight="1" x14ac:dyDescent="0.15"/>
  <cols>
    <col min="1" max="2" width="2.625" style="17"/>
    <col min="3" max="3" width="2.625" style="18"/>
    <col min="4" max="16384" width="2.625" style="17"/>
  </cols>
  <sheetData>
    <row r="2" spans="1:34" s="62" customFormat="1" ht="15.75" customHeight="1" x14ac:dyDescent="0.15">
      <c r="A2" s="191" t="s">
        <v>452</v>
      </c>
      <c r="B2" s="63"/>
      <c r="C2" s="16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34" s="62" customFormat="1" ht="15.75" customHeight="1" x14ac:dyDescent="0.15">
      <c r="I3" s="9"/>
      <c r="J3" s="9"/>
      <c r="K3" s="9"/>
      <c r="X3" s="64"/>
      <c r="Y3" s="65"/>
      <c r="Z3" s="65"/>
      <c r="AH3" s="66"/>
    </row>
    <row r="4" spans="1:34" s="62" customFormat="1" ht="15.75" customHeight="1" x14ac:dyDescent="0.15">
      <c r="B4" s="10" t="s">
        <v>425</v>
      </c>
      <c r="C4" s="9"/>
      <c r="I4" s="9"/>
      <c r="J4" s="9"/>
      <c r="K4" s="9"/>
      <c r="X4" s="64"/>
      <c r="Y4" s="65"/>
      <c r="Z4" s="65"/>
      <c r="AH4" s="66"/>
    </row>
    <row r="5" spans="1:34" s="3" customFormat="1" ht="15.75" customHeight="1" x14ac:dyDescent="0.15">
      <c r="A5" s="62"/>
      <c r="B5" s="62"/>
      <c r="C5" s="9"/>
      <c r="D5" s="10"/>
      <c r="E5" s="62"/>
      <c r="F5" s="62"/>
      <c r="G5" s="62"/>
      <c r="H5" s="62"/>
      <c r="I5" s="9"/>
      <c r="J5" s="9"/>
      <c r="K5" s="5"/>
      <c r="X5" s="6"/>
      <c r="Y5" s="7"/>
      <c r="Z5" s="7"/>
      <c r="AH5" s="8"/>
    </row>
    <row r="6" spans="1:34" s="3" customFormat="1" ht="15.75" customHeight="1" x14ac:dyDescent="0.15">
      <c r="C6" s="5" t="s">
        <v>0</v>
      </c>
      <c r="D6" s="17" t="s">
        <v>414</v>
      </c>
      <c r="H6" s="5"/>
      <c r="I6" s="5"/>
      <c r="J6" s="5"/>
      <c r="W6" s="6"/>
      <c r="X6" s="7"/>
      <c r="Y6" s="7"/>
      <c r="AG6" s="8"/>
    </row>
    <row r="8" spans="1:34" ht="16.5" customHeight="1" x14ac:dyDescent="0.15">
      <c r="C8" s="21"/>
      <c r="D8" s="17" t="s">
        <v>570</v>
      </c>
      <c r="G8" s="17" t="s">
        <v>575</v>
      </c>
    </row>
    <row r="9" spans="1:34" ht="16.5" customHeight="1" x14ac:dyDescent="0.15">
      <c r="C9" s="21"/>
    </row>
    <row r="12" spans="1:34" ht="16.5" customHeight="1" x14ac:dyDescent="0.15">
      <c r="C12" s="21"/>
      <c r="D12" s="17" t="s">
        <v>571</v>
      </c>
      <c r="G12" s="17" t="s">
        <v>574</v>
      </c>
    </row>
    <row r="14" spans="1:34" ht="16.5" customHeight="1" x14ac:dyDescent="0.15">
      <c r="C14" s="18" t="s">
        <v>572</v>
      </c>
      <c r="D14" s="17" t="s">
        <v>573</v>
      </c>
    </row>
  </sheetData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1" manualBreakCount="1">
    <brk id="10" max="3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20"/>
  <sheetViews>
    <sheetView view="pageBreakPreview" zoomScale="75" zoomScaleNormal="100" zoomScaleSheetLayoutView="75" workbookViewId="0"/>
  </sheetViews>
  <sheetFormatPr defaultColWidth="2.625" defaultRowHeight="16.5" customHeight="1" x14ac:dyDescent="0.15"/>
  <cols>
    <col min="1" max="1" width="2.625" style="1" customWidth="1"/>
    <col min="2" max="2" width="2.625" style="2" customWidth="1"/>
    <col min="3" max="16384" width="2.625" style="1"/>
  </cols>
  <sheetData>
    <row r="1" spans="1:34" ht="16.5" customHeight="1" x14ac:dyDescent="0.15">
      <c r="A1" s="17"/>
      <c r="B1" s="18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ht="16.5" customHeight="1" x14ac:dyDescent="0.15">
      <c r="A2" s="3"/>
      <c r="B2" s="4"/>
      <c r="C2" s="5" t="s">
        <v>1</v>
      </c>
      <c r="D2" s="11" t="s">
        <v>2</v>
      </c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11"/>
      <c r="V2" s="4"/>
      <c r="W2" s="4"/>
      <c r="X2" s="4"/>
      <c r="Y2" s="4"/>
      <c r="Z2" s="4"/>
      <c r="AA2" s="5"/>
      <c r="AB2" s="12"/>
      <c r="AC2" s="13"/>
      <c r="AD2" s="13"/>
      <c r="AE2" s="3"/>
      <c r="AF2" s="3"/>
      <c r="AG2" s="3"/>
      <c r="AH2" s="3"/>
    </row>
    <row r="3" spans="1:34" ht="16.5" customHeight="1" x14ac:dyDescent="0.15">
      <c r="A3" s="3"/>
      <c r="B3" s="4"/>
      <c r="C3" s="5"/>
      <c r="D3" s="11"/>
      <c r="E3" s="4"/>
      <c r="F3" s="4"/>
      <c r="G3" s="4"/>
      <c r="H3" s="4"/>
      <c r="I3" s="4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5"/>
      <c r="W3" s="5"/>
      <c r="X3" s="12"/>
      <c r="Y3" s="12"/>
      <c r="Z3" s="4"/>
      <c r="AA3" s="5"/>
      <c r="AB3" s="12"/>
      <c r="AC3" s="13"/>
      <c r="AD3" s="13"/>
      <c r="AE3" s="3"/>
      <c r="AF3" s="3"/>
      <c r="AG3" s="3"/>
      <c r="AH3" s="3"/>
    </row>
    <row r="4" spans="1:34" ht="16.5" customHeight="1" x14ac:dyDescent="0.15">
      <c r="A4" s="4"/>
      <c r="B4" s="4"/>
      <c r="C4" s="5" t="s">
        <v>116</v>
      </c>
      <c r="D4" s="11" t="s">
        <v>81</v>
      </c>
      <c r="E4" s="11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4"/>
      <c r="R4" s="4"/>
      <c r="S4" s="4"/>
      <c r="T4" s="4"/>
      <c r="U4" s="4"/>
      <c r="V4" s="4"/>
      <c r="W4" s="11"/>
      <c r="X4" s="4"/>
      <c r="Y4" s="4"/>
      <c r="Z4" s="4"/>
      <c r="AA4" s="4"/>
      <c r="AB4" s="4"/>
      <c r="AC4" s="4"/>
      <c r="AD4" s="4"/>
      <c r="AE4" s="3"/>
      <c r="AF4" s="4"/>
      <c r="AG4" s="4"/>
      <c r="AH4" s="4"/>
    </row>
    <row r="5" spans="1:34" ht="16.5" customHeight="1" x14ac:dyDescent="0.15">
      <c r="A5" s="3"/>
      <c r="B5" s="3"/>
      <c r="C5" s="3"/>
      <c r="D5" s="5"/>
      <c r="E5" s="11"/>
      <c r="F5" s="3"/>
      <c r="G5" s="3"/>
      <c r="H5" s="3"/>
      <c r="I5" s="3"/>
      <c r="J5" s="3"/>
      <c r="K5" s="3"/>
      <c r="L5" s="1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6.5" customHeight="1" x14ac:dyDescent="0.15">
      <c r="A6" s="3"/>
      <c r="B6" s="3"/>
      <c r="C6" s="3"/>
      <c r="D6" s="3"/>
      <c r="E6" s="4" t="s">
        <v>3</v>
      </c>
      <c r="F6" s="15" t="s">
        <v>4</v>
      </c>
      <c r="G6" s="342" t="s">
        <v>5</v>
      </c>
      <c r="H6" s="342"/>
      <c r="I6" s="3" t="s">
        <v>8</v>
      </c>
      <c r="J6" s="3"/>
      <c r="K6" s="3"/>
      <c r="L6" s="4" t="s">
        <v>6</v>
      </c>
      <c r="M6" s="15" t="s">
        <v>4</v>
      </c>
      <c r="N6" s="342" t="s">
        <v>5</v>
      </c>
      <c r="O6" s="342"/>
      <c r="P6" s="3" t="s">
        <v>9</v>
      </c>
      <c r="Q6" s="3"/>
      <c r="R6" s="3" t="s">
        <v>7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6.5" customHeight="1" x14ac:dyDescent="0.15">
      <c r="A7" s="3"/>
      <c r="B7" s="3"/>
      <c r="C7" s="3"/>
      <c r="D7" s="3"/>
      <c r="E7" s="3"/>
      <c r="F7" s="3"/>
      <c r="G7" s="42"/>
      <c r="H7" s="42"/>
      <c r="I7" s="42"/>
      <c r="J7" s="4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6.5" customHeight="1" x14ac:dyDescent="0.15">
      <c r="A8" s="17"/>
      <c r="B8" s="18"/>
      <c r="C8" s="5" t="s">
        <v>117</v>
      </c>
      <c r="D8" s="11" t="s">
        <v>76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6.5" customHeight="1" x14ac:dyDescent="0.15">
      <c r="A9" s="17"/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6.5" customHeight="1" x14ac:dyDescent="0.15">
      <c r="A10" s="17"/>
      <c r="B10" s="18"/>
      <c r="C10" s="17"/>
      <c r="D10" s="17"/>
      <c r="E10" s="4" t="s">
        <v>3</v>
      </c>
      <c r="F10" s="15" t="s">
        <v>4</v>
      </c>
      <c r="G10" s="343">
        <v>8</v>
      </c>
      <c r="H10" s="343"/>
      <c r="I10" s="343"/>
      <c r="J10" s="17" t="s">
        <v>10</v>
      </c>
      <c r="K10" s="343">
        <v>1.7</v>
      </c>
      <c r="L10" s="343"/>
      <c r="M10" s="343"/>
      <c r="N10" s="17"/>
      <c r="O10" s="17"/>
      <c r="P10" s="17"/>
      <c r="Q10" s="17"/>
      <c r="R10" s="17"/>
      <c r="S10" s="15" t="s">
        <v>4</v>
      </c>
      <c r="T10" s="344">
        <f>+ROUND(G10*K10,3)</f>
        <v>13.6</v>
      </c>
      <c r="U10" s="344"/>
      <c r="V10" s="344"/>
      <c r="W10" s="3" t="s">
        <v>8</v>
      </c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6.5" customHeight="1" x14ac:dyDescent="0.15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43"/>
      <c r="U11" s="43"/>
      <c r="V11" s="43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6.5" customHeight="1" x14ac:dyDescent="0.15">
      <c r="A12" s="17"/>
      <c r="B12" s="18"/>
      <c r="C12" s="17"/>
      <c r="D12" s="17"/>
      <c r="E12" s="4" t="s">
        <v>6</v>
      </c>
      <c r="F12" s="15" t="s">
        <v>4</v>
      </c>
      <c r="G12" s="345">
        <v>8.3333333333333329E-2</v>
      </c>
      <c r="H12" s="345"/>
      <c r="I12" s="345"/>
      <c r="J12" s="17" t="s">
        <v>10</v>
      </c>
      <c r="K12" s="286">
        <f>+G10</f>
        <v>8</v>
      </c>
      <c r="L12" s="286"/>
      <c r="M12" s="286"/>
      <c r="N12" s="17" t="s">
        <v>10</v>
      </c>
      <c r="O12" s="286">
        <f>+K10</f>
        <v>1.7</v>
      </c>
      <c r="P12" s="286"/>
      <c r="Q12" s="286"/>
      <c r="R12" s="53">
        <v>3</v>
      </c>
      <c r="S12" s="15" t="s">
        <v>4</v>
      </c>
      <c r="T12" s="346">
        <f>+ROUND(G12*K12*O12^R12,5)</f>
        <v>3.2753299999999999</v>
      </c>
      <c r="U12" s="346"/>
      <c r="V12" s="346"/>
      <c r="W12" s="17" t="s">
        <v>9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 ht="16.5" customHeight="1" x14ac:dyDescent="0.15">
      <c r="A13" s="17"/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4" ht="16.5" customHeight="1" x14ac:dyDescent="0.15">
      <c r="A14" s="17"/>
      <c r="B14" s="18"/>
      <c r="C14" s="21" t="s">
        <v>118</v>
      </c>
      <c r="D14" s="11" t="s">
        <v>77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spans="1:34" ht="16.5" customHeight="1" x14ac:dyDescent="0.15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34" ht="16.5" customHeight="1" x14ac:dyDescent="0.15">
      <c r="A16" s="17"/>
      <c r="B16" s="18"/>
      <c r="C16" s="17"/>
      <c r="D16" s="17"/>
      <c r="E16" s="4" t="s">
        <v>3</v>
      </c>
      <c r="F16" s="15" t="s">
        <v>4</v>
      </c>
      <c r="G16" s="343">
        <v>8</v>
      </c>
      <c r="H16" s="343"/>
      <c r="I16" s="343"/>
      <c r="J16" s="17" t="s">
        <v>10</v>
      </c>
      <c r="K16" s="343">
        <v>2</v>
      </c>
      <c r="L16" s="343"/>
      <c r="M16" s="343"/>
      <c r="N16" s="17"/>
      <c r="O16" s="17"/>
      <c r="P16" s="17"/>
      <c r="Q16" s="17"/>
      <c r="R16" s="17"/>
      <c r="S16" s="15" t="s">
        <v>4</v>
      </c>
      <c r="T16" s="344">
        <f>+ROUND(G16*K16,3)</f>
        <v>16</v>
      </c>
      <c r="U16" s="344"/>
      <c r="V16" s="344"/>
      <c r="W16" s="3" t="s">
        <v>8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4" ht="16.5" customHeight="1" x14ac:dyDescent="0.15">
      <c r="A17" s="17"/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43"/>
      <c r="U17" s="43"/>
      <c r="V17" s="43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spans="1:34" ht="16.5" customHeight="1" x14ac:dyDescent="0.15">
      <c r="A18" s="17"/>
      <c r="B18" s="18"/>
      <c r="C18" s="17"/>
      <c r="D18" s="17"/>
      <c r="E18" s="4" t="s">
        <v>6</v>
      </c>
      <c r="F18" s="15" t="s">
        <v>4</v>
      </c>
      <c r="G18" s="345">
        <v>8.3333333333333329E-2</v>
      </c>
      <c r="H18" s="345"/>
      <c r="I18" s="345"/>
      <c r="J18" s="17" t="s">
        <v>10</v>
      </c>
      <c r="K18" s="286">
        <f>+G16</f>
        <v>8</v>
      </c>
      <c r="L18" s="286"/>
      <c r="M18" s="286"/>
      <c r="N18" s="17" t="s">
        <v>10</v>
      </c>
      <c r="O18" s="286">
        <f>+K16</f>
        <v>2</v>
      </c>
      <c r="P18" s="286"/>
      <c r="Q18" s="286"/>
      <c r="R18" s="53">
        <v>3</v>
      </c>
      <c r="S18" s="15" t="s">
        <v>4</v>
      </c>
      <c r="T18" s="346">
        <f>+ROUND(G18*K18*O18^R18,5)</f>
        <v>5.3333300000000001</v>
      </c>
      <c r="U18" s="346"/>
      <c r="V18" s="346"/>
      <c r="W18" s="17" t="s">
        <v>9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spans="1:34" ht="16.5" customHeight="1" x14ac:dyDescent="0.15">
      <c r="A19" s="17"/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1:34" s="17" customFormat="1" ht="16.5" customHeight="1" x14ac:dyDescent="0.15">
      <c r="B20" s="18"/>
      <c r="C20" s="21" t="s">
        <v>119</v>
      </c>
      <c r="D20" s="17" t="s">
        <v>11</v>
      </c>
    </row>
    <row r="21" spans="1:34" s="17" customFormat="1" ht="16.5" customHeight="1" x14ac:dyDescent="0.15">
      <c r="B21" s="18"/>
    </row>
    <row r="22" spans="1:34" s="3" customFormat="1" ht="15.75" customHeight="1" x14ac:dyDescent="0.15">
      <c r="E22" s="4" t="s">
        <v>3</v>
      </c>
      <c r="F22" s="15" t="s">
        <v>4</v>
      </c>
      <c r="G22" s="342" t="s">
        <v>5</v>
      </c>
      <c r="H22" s="342"/>
      <c r="I22" s="3" t="s">
        <v>8</v>
      </c>
      <c r="L22" s="4" t="s">
        <v>6</v>
      </c>
      <c r="M22" s="15" t="s">
        <v>4</v>
      </c>
      <c r="N22" s="342" t="s">
        <v>5</v>
      </c>
      <c r="O22" s="342"/>
      <c r="P22" s="3" t="s">
        <v>9</v>
      </c>
      <c r="R22" s="3" t="s">
        <v>7</v>
      </c>
    </row>
    <row r="23" spans="1:34" s="17" customFormat="1" ht="16.5" customHeight="1" x14ac:dyDescent="0.15">
      <c r="B23" s="18"/>
    </row>
    <row r="24" spans="1:34" s="17" customFormat="1" ht="16.5" customHeight="1" x14ac:dyDescent="0.15">
      <c r="B24" s="18"/>
      <c r="C24" s="18" t="s">
        <v>30</v>
      </c>
      <c r="D24" s="17" t="s">
        <v>31</v>
      </c>
    </row>
    <row r="25" spans="1:34" s="17" customFormat="1" ht="16.5" customHeight="1" x14ac:dyDescent="0.15">
      <c r="B25" s="18"/>
      <c r="N25" s="340" t="s">
        <v>20</v>
      </c>
      <c r="O25" s="341"/>
      <c r="P25" s="341"/>
    </row>
    <row r="26" spans="1:34" s="17" customFormat="1" ht="16.5" customHeight="1" x14ac:dyDescent="0.15">
      <c r="B26" s="18"/>
      <c r="N26" s="336">
        <f>SUM(J27:T27)</f>
        <v>7.9999999999999991</v>
      </c>
      <c r="O26" s="336"/>
      <c r="P26" s="336"/>
    </row>
    <row r="27" spans="1:34" s="17" customFormat="1" ht="16.5" customHeight="1" x14ac:dyDescent="0.15">
      <c r="B27" s="18"/>
      <c r="J27" s="335">
        <v>3.05</v>
      </c>
      <c r="K27" s="335"/>
      <c r="L27" s="335"/>
      <c r="M27" s="44"/>
      <c r="N27" s="335">
        <v>1.9</v>
      </c>
      <c r="O27" s="335"/>
      <c r="P27" s="335"/>
      <c r="Q27" s="44"/>
      <c r="R27" s="336">
        <f>+J27</f>
        <v>3.05</v>
      </c>
      <c r="S27" s="336"/>
      <c r="T27" s="336"/>
    </row>
    <row r="28" spans="1:34" s="17" customFormat="1" ht="16.5" customHeight="1" x14ac:dyDescent="0.15">
      <c r="B28" s="18"/>
    </row>
    <row r="29" spans="1:34" s="17" customFormat="1" ht="16.5" customHeight="1" x14ac:dyDescent="0.15">
      <c r="B29" s="18"/>
      <c r="E29" s="337">
        <v>0.7</v>
      </c>
    </row>
    <row r="30" spans="1:34" s="17" customFormat="1" ht="8.25" customHeight="1" x14ac:dyDescent="0.15">
      <c r="B30" s="18"/>
      <c r="E30" s="337"/>
      <c r="I30" s="338" t="s">
        <v>16</v>
      </c>
      <c r="J30" s="338"/>
      <c r="K30" s="338"/>
      <c r="L30" s="338"/>
      <c r="M30" s="338"/>
      <c r="N30" s="336" t="s">
        <v>17</v>
      </c>
      <c r="O30" s="336"/>
      <c r="P30" s="336"/>
      <c r="Q30" s="339" t="s">
        <v>18</v>
      </c>
      <c r="R30" s="339"/>
      <c r="S30" s="339"/>
      <c r="T30" s="339"/>
      <c r="U30" s="339"/>
    </row>
    <row r="31" spans="1:34" s="17" customFormat="1" ht="8.25" customHeight="1" x14ac:dyDescent="0.15">
      <c r="B31" s="18"/>
      <c r="E31" s="337"/>
      <c r="I31" s="338"/>
      <c r="J31" s="338"/>
      <c r="K31" s="338"/>
      <c r="L31" s="338"/>
      <c r="M31" s="338"/>
      <c r="N31" s="336"/>
      <c r="O31" s="336"/>
      <c r="P31" s="336"/>
      <c r="Q31" s="339"/>
      <c r="R31" s="339"/>
      <c r="S31" s="339"/>
      <c r="T31" s="339"/>
      <c r="U31" s="339"/>
    </row>
    <row r="32" spans="1:34" s="17" customFormat="1" ht="16.5" customHeight="1" x14ac:dyDescent="0.15">
      <c r="B32" s="18"/>
      <c r="E32" s="337">
        <v>2.1</v>
      </c>
      <c r="I32" s="286" t="s">
        <v>19</v>
      </c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</row>
    <row r="33" spans="2:26" s="17" customFormat="1" ht="16.5" customHeight="1" x14ac:dyDescent="0.15">
      <c r="B33" s="18"/>
      <c r="E33" s="337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</row>
    <row r="34" spans="2:26" s="17" customFormat="1" ht="16.5" customHeight="1" x14ac:dyDescent="0.15">
      <c r="B34" s="18"/>
      <c r="E34" s="337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</row>
    <row r="35" spans="2:26" s="17" customFormat="1" ht="16.5" customHeight="1" x14ac:dyDescent="0.15">
      <c r="B35" s="18"/>
    </row>
    <row r="36" spans="2:26" s="17" customFormat="1" ht="16.5" customHeight="1" x14ac:dyDescent="0.15">
      <c r="B36" s="18"/>
    </row>
    <row r="37" spans="2:26" s="17" customFormat="1" ht="16.5" customHeight="1" x14ac:dyDescent="0.15">
      <c r="B37" s="18"/>
      <c r="E37" s="334" t="s">
        <v>21</v>
      </c>
      <c r="F37" s="327"/>
      <c r="G37" s="327"/>
      <c r="H37" s="327"/>
      <c r="I37" s="327"/>
      <c r="J37" s="327"/>
      <c r="K37" s="327"/>
      <c r="L37" s="327"/>
      <c r="M37" s="327"/>
      <c r="N37" s="327"/>
      <c r="O37" s="327"/>
      <c r="P37" s="328"/>
      <c r="Q37" s="334" t="s">
        <v>22</v>
      </c>
      <c r="R37" s="327"/>
      <c r="S37" s="328"/>
      <c r="T37" s="334" t="s">
        <v>23</v>
      </c>
      <c r="U37" s="327"/>
      <c r="V37" s="328"/>
      <c r="W37" s="334" t="s">
        <v>24</v>
      </c>
      <c r="X37" s="327"/>
      <c r="Y37" s="327"/>
      <c r="Z37" s="328"/>
    </row>
    <row r="38" spans="2:26" s="17" customFormat="1" ht="16.5" customHeight="1" x14ac:dyDescent="0.15">
      <c r="B38" s="18"/>
      <c r="E38" s="25" t="s">
        <v>16</v>
      </c>
      <c r="F38" s="332">
        <v>0.5</v>
      </c>
      <c r="G38" s="332"/>
      <c r="H38" s="332"/>
      <c r="I38" s="26" t="s">
        <v>10</v>
      </c>
      <c r="J38" s="326">
        <f>+J27</f>
        <v>3.05</v>
      </c>
      <c r="K38" s="326"/>
      <c r="L38" s="326"/>
      <c r="M38" s="26" t="s">
        <v>10</v>
      </c>
      <c r="N38" s="326">
        <f>+E29</f>
        <v>0.7</v>
      </c>
      <c r="O38" s="326"/>
      <c r="P38" s="333"/>
      <c r="Q38" s="329">
        <f>+ROUND(F38*J38*N38,3)</f>
        <v>1.0680000000000001</v>
      </c>
      <c r="R38" s="330"/>
      <c r="S38" s="331"/>
      <c r="T38" s="329">
        <f>+ROUND(E32+E29/3,3)</f>
        <v>2.3330000000000002</v>
      </c>
      <c r="U38" s="330"/>
      <c r="V38" s="331"/>
      <c r="W38" s="330">
        <f>+ROUND(Q38*T38,3)</f>
        <v>2.492</v>
      </c>
      <c r="X38" s="330"/>
      <c r="Y38" s="330"/>
      <c r="Z38" s="331"/>
    </row>
    <row r="39" spans="2:26" s="17" customFormat="1" ht="16.5" customHeight="1" x14ac:dyDescent="0.15">
      <c r="B39" s="18"/>
      <c r="E39" s="25" t="s">
        <v>17</v>
      </c>
      <c r="F39" s="326">
        <f>+N27</f>
        <v>1.9</v>
      </c>
      <c r="G39" s="326"/>
      <c r="H39" s="326"/>
      <c r="I39" s="26" t="s">
        <v>10</v>
      </c>
      <c r="J39" s="326">
        <f>+E29</f>
        <v>0.7</v>
      </c>
      <c r="K39" s="326"/>
      <c r="L39" s="326"/>
      <c r="M39" s="26"/>
      <c r="N39" s="327"/>
      <c r="O39" s="327"/>
      <c r="P39" s="328"/>
      <c r="Q39" s="329">
        <f>+ROUND(F39*J39,3)</f>
        <v>1.33</v>
      </c>
      <c r="R39" s="330"/>
      <c r="S39" s="331"/>
      <c r="T39" s="329">
        <f>+ROUND(E32+E29/2,3)</f>
        <v>2.4500000000000002</v>
      </c>
      <c r="U39" s="330"/>
      <c r="V39" s="331"/>
      <c r="W39" s="330">
        <f t="shared" ref="W39:W41" si="0">+ROUND(Q39*T39,3)</f>
        <v>3.2589999999999999</v>
      </c>
      <c r="X39" s="330"/>
      <c r="Y39" s="330"/>
      <c r="Z39" s="331"/>
    </row>
    <row r="40" spans="2:26" s="17" customFormat="1" ht="16.5" customHeight="1" x14ac:dyDescent="0.15">
      <c r="B40" s="18"/>
      <c r="E40" s="25" t="s">
        <v>18</v>
      </c>
      <c r="F40" s="332">
        <v>0.5</v>
      </c>
      <c r="G40" s="332"/>
      <c r="H40" s="332"/>
      <c r="I40" s="26" t="s">
        <v>10</v>
      </c>
      <c r="J40" s="326">
        <f>+R27</f>
        <v>3.05</v>
      </c>
      <c r="K40" s="326"/>
      <c r="L40" s="326"/>
      <c r="M40" s="26" t="s">
        <v>10</v>
      </c>
      <c r="N40" s="326">
        <f>+E29</f>
        <v>0.7</v>
      </c>
      <c r="O40" s="326"/>
      <c r="P40" s="333"/>
      <c r="Q40" s="329">
        <f>+ROUND(F40*J40*N40,3)</f>
        <v>1.0680000000000001</v>
      </c>
      <c r="R40" s="330"/>
      <c r="S40" s="331"/>
      <c r="T40" s="329">
        <f>+ROUND(E32+E29/3,3)</f>
        <v>2.3330000000000002</v>
      </c>
      <c r="U40" s="330"/>
      <c r="V40" s="331"/>
      <c r="W40" s="330">
        <f t="shared" si="0"/>
        <v>2.492</v>
      </c>
      <c r="X40" s="330"/>
      <c r="Y40" s="330"/>
      <c r="Z40" s="331"/>
    </row>
    <row r="41" spans="2:26" s="17" customFormat="1" ht="16.5" customHeight="1" x14ac:dyDescent="0.15">
      <c r="B41" s="18"/>
      <c r="E41" s="25" t="s">
        <v>19</v>
      </c>
      <c r="F41" s="326">
        <f>+N26</f>
        <v>7.9999999999999991</v>
      </c>
      <c r="G41" s="326"/>
      <c r="H41" s="326"/>
      <c r="I41" s="26" t="s">
        <v>10</v>
      </c>
      <c r="J41" s="326">
        <f>+E32</f>
        <v>2.1</v>
      </c>
      <c r="K41" s="326"/>
      <c r="L41" s="326"/>
      <c r="M41" s="26"/>
      <c r="N41" s="327"/>
      <c r="O41" s="327"/>
      <c r="P41" s="328"/>
      <c r="Q41" s="329">
        <f>+ROUND(F41*J41,3)</f>
        <v>16.8</v>
      </c>
      <c r="R41" s="330"/>
      <c r="S41" s="331"/>
      <c r="T41" s="329">
        <f>+ROUND(E32/2,3)</f>
        <v>1.05</v>
      </c>
      <c r="U41" s="330"/>
      <c r="V41" s="331"/>
      <c r="W41" s="330">
        <f t="shared" si="0"/>
        <v>17.64</v>
      </c>
      <c r="X41" s="330"/>
      <c r="Y41" s="330"/>
      <c r="Z41" s="331"/>
    </row>
    <row r="42" spans="2:26" s="17" customFormat="1" ht="16.5" customHeight="1" x14ac:dyDescent="0.15">
      <c r="B42" s="18"/>
      <c r="E42" s="318" t="s">
        <v>25</v>
      </c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20"/>
      <c r="Q42" s="321">
        <f>SUM(Q38:S41)</f>
        <v>20.266000000000002</v>
      </c>
      <c r="R42" s="322"/>
      <c r="S42" s="323"/>
      <c r="T42" s="321"/>
      <c r="U42" s="322"/>
      <c r="V42" s="323"/>
      <c r="W42" s="322">
        <f>SUM(W38:Z41)</f>
        <v>25.882999999999999</v>
      </c>
      <c r="X42" s="322"/>
      <c r="Y42" s="322"/>
      <c r="Z42" s="323"/>
    </row>
    <row r="43" spans="2:26" s="17" customFormat="1" ht="16.5" customHeight="1" x14ac:dyDescent="0.15">
      <c r="B43" s="18"/>
    </row>
    <row r="44" spans="2:26" s="17" customFormat="1" ht="16.5" customHeight="1" x14ac:dyDescent="0.15">
      <c r="B44" s="18"/>
      <c r="E44" s="286" t="s">
        <v>26</v>
      </c>
      <c r="F44" s="286"/>
      <c r="G44" s="288" t="s">
        <v>27</v>
      </c>
      <c r="H44" s="324" t="s">
        <v>28</v>
      </c>
      <c r="I44" s="324"/>
      <c r="J44" s="288" t="s">
        <v>27</v>
      </c>
      <c r="K44" s="325">
        <f>+W42</f>
        <v>25.882999999999999</v>
      </c>
      <c r="L44" s="325"/>
      <c r="M44" s="325"/>
      <c r="N44" s="288" t="s">
        <v>27</v>
      </c>
      <c r="O44" s="286">
        <f>+ROUND(K44/K45,2)</f>
        <v>1.28</v>
      </c>
      <c r="P44" s="286"/>
      <c r="Q44" s="286"/>
      <c r="R44" s="317" t="s">
        <v>29</v>
      </c>
      <c r="S44" s="317"/>
    </row>
    <row r="45" spans="2:26" s="17" customFormat="1" ht="16.5" customHeight="1" x14ac:dyDescent="0.15">
      <c r="B45" s="18"/>
      <c r="E45" s="286"/>
      <c r="F45" s="286"/>
      <c r="G45" s="286"/>
      <c r="H45" s="286" t="s">
        <v>3</v>
      </c>
      <c r="I45" s="286"/>
      <c r="J45" s="286"/>
      <c r="K45" s="291">
        <f>+Q42</f>
        <v>20.266000000000002</v>
      </c>
      <c r="L45" s="291"/>
      <c r="M45" s="291"/>
      <c r="N45" s="286"/>
      <c r="O45" s="286"/>
      <c r="P45" s="286"/>
      <c r="Q45" s="286"/>
      <c r="R45" s="317"/>
      <c r="S45" s="317"/>
    </row>
    <row r="46" spans="2:26" s="17" customFormat="1" ht="16.5" customHeight="1" x14ac:dyDescent="0.15">
      <c r="B46" s="18"/>
    </row>
    <row r="47" spans="2:26" s="17" customFormat="1" ht="16.5" customHeight="1" x14ac:dyDescent="0.15">
      <c r="B47" s="18"/>
    </row>
    <row r="48" spans="2:26" s="17" customFormat="1" ht="16.5" customHeight="1" x14ac:dyDescent="0.15">
      <c r="B48" s="18"/>
    </row>
    <row r="49" spans="2:26" s="17" customFormat="1" ht="16.5" customHeight="1" x14ac:dyDescent="0.15">
      <c r="B49" s="18"/>
      <c r="N49" s="340" t="s">
        <v>32</v>
      </c>
      <c r="O49" s="341"/>
      <c r="P49" s="341"/>
    </row>
    <row r="50" spans="2:26" s="17" customFormat="1" ht="16.5" customHeight="1" x14ac:dyDescent="0.15">
      <c r="B50" s="18"/>
      <c r="N50" s="336">
        <f>SUM(J51:T51)</f>
        <v>10</v>
      </c>
      <c r="O50" s="336"/>
      <c r="P50" s="336"/>
    </row>
    <row r="51" spans="2:26" s="17" customFormat="1" ht="16.5" customHeight="1" x14ac:dyDescent="0.15">
      <c r="B51" s="18"/>
      <c r="J51" s="335">
        <v>3.9</v>
      </c>
      <c r="K51" s="335"/>
      <c r="L51" s="335"/>
      <c r="M51" s="44"/>
      <c r="N51" s="335">
        <v>2.2000000000000002</v>
      </c>
      <c r="O51" s="335"/>
      <c r="P51" s="335"/>
      <c r="Q51" s="44"/>
      <c r="R51" s="336">
        <f>+J51</f>
        <v>3.9</v>
      </c>
      <c r="S51" s="336"/>
      <c r="T51" s="336"/>
    </row>
    <row r="52" spans="2:26" s="17" customFormat="1" ht="16.5" customHeight="1" x14ac:dyDescent="0.15">
      <c r="B52" s="18"/>
    </row>
    <row r="53" spans="2:26" s="17" customFormat="1" ht="16.5" customHeight="1" x14ac:dyDescent="0.15">
      <c r="B53" s="18"/>
      <c r="E53" s="337">
        <v>0.7</v>
      </c>
    </row>
    <row r="54" spans="2:26" s="17" customFormat="1" ht="8.25" customHeight="1" x14ac:dyDescent="0.15">
      <c r="B54" s="18"/>
      <c r="E54" s="337"/>
      <c r="I54" s="338" t="s">
        <v>16</v>
      </c>
      <c r="J54" s="338"/>
      <c r="K54" s="338"/>
      <c r="L54" s="338"/>
      <c r="M54" s="338"/>
      <c r="N54" s="336" t="s">
        <v>17</v>
      </c>
      <c r="O54" s="336"/>
      <c r="P54" s="336"/>
      <c r="Q54" s="339" t="s">
        <v>18</v>
      </c>
      <c r="R54" s="339"/>
      <c r="S54" s="339"/>
      <c r="T54" s="339"/>
      <c r="U54" s="339"/>
    </row>
    <row r="55" spans="2:26" s="17" customFormat="1" ht="8.25" customHeight="1" x14ac:dyDescent="0.15">
      <c r="B55" s="18"/>
      <c r="E55" s="337"/>
      <c r="I55" s="338"/>
      <c r="J55" s="338"/>
      <c r="K55" s="338"/>
      <c r="L55" s="338"/>
      <c r="M55" s="338"/>
      <c r="N55" s="336"/>
      <c r="O55" s="336"/>
      <c r="P55" s="336"/>
      <c r="Q55" s="339"/>
      <c r="R55" s="339"/>
      <c r="S55" s="339"/>
      <c r="T55" s="339"/>
      <c r="U55" s="339"/>
    </row>
    <row r="56" spans="2:26" s="17" customFormat="1" ht="16.5" customHeight="1" x14ac:dyDescent="0.15">
      <c r="B56" s="18"/>
      <c r="E56" s="337">
        <v>2.1</v>
      </c>
      <c r="I56" s="286" t="s">
        <v>19</v>
      </c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</row>
    <row r="57" spans="2:26" s="17" customFormat="1" ht="16.5" customHeight="1" x14ac:dyDescent="0.15">
      <c r="B57" s="18"/>
      <c r="E57" s="337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</row>
    <row r="58" spans="2:26" s="17" customFormat="1" ht="16.5" customHeight="1" x14ac:dyDescent="0.15">
      <c r="B58" s="18"/>
      <c r="E58" s="337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</row>
    <row r="59" spans="2:26" s="17" customFormat="1" ht="16.5" customHeight="1" x14ac:dyDescent="0.15">
      <c r="B59" s="18"/>
    </row>
    <row r="60" spans="2:26" s="17" customFormat="1" ht="16.5" customHeight="1" x14ac:dyDescent="0.15">
      <c r="B60" s="18"/>
    </row>
    <row r="61" spans="2:26" s="17" customFormat="1" ht="16.5" customHeight="1" x14ac:dyDescent="0.15">
      <c r="B61" s="18"/>
      <c r="E61" s="334" t="s">
        <v>21</v>
      </c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8"/>
      <c r="Q61" s="334" t="s">
        <v>22</v>
      </c>
      <c r="R61" s="327"/>
      <c r="S61" s="328"/>
      <c r="T61" s="334" t="s">
        <v>23</v>
      </c>
      <c r="U61" s="327"/>
      <c r="V61" s="328"/>
      <c r="W61" s="334" t="s">
        <v>24</v>
      </c>
      <c r="X61" s="327"/>
      <c r="Y61" s="327"/>
      <c r="Z61" s="328"/>
    </row>
    <row r="62" spans="2:26" s="17" customFormat="1" ht="16.5" customHeight="1" x14ac:dyDescent="0.15">
      <c r="B62" s="18"/>
      <c r="E62" s="25" t="s">
        <v>16</v>
      </c>
      <c r="F62" s="332">
        <v>0.5</v>
      </c>
      <c r="G62" s="332"/>
      <c r="H62" s="332"/>
      <c r="I62" s="26" t="s">
        <v>10</v>
      </c>
      <c r="J62" s="326">
        <f>+J51</f>
        <v>3.9</v>
      </c>
      <c r="K62" s="326"/>
      <c r="L62" s="326"/>
      <c r="M62" s="26" t="s">
        <v>10</v>
      </c>
      <c r="N62" s="326">
        <f>+E53</f>
        <v>0.7</v>
      </c>
      <c r="O62" s="326"/>
      <c r="P62" s="333"/>
      <c r="Q62" s="329">
        <f>+ROUND(F62*J62*N62,3)</f>
        <v>1.365</v>
      </c>
      <c r="R62" s="330"/>
      <c r="S62" s="331"/>
      <c r="T62" s="329">
        <f>+ROUND(E56+E53/3,3)</f>
        <v>2.3330000000000002</v>
      </c>
      <c r="U62" s="330"/>
      <c r="V62" s="331"/>
      <c r="W62" s="330">
        <f>+ROUND(Q62*T62,3)</f>
        <v>3.1850000000000001</v>
      </c>
      <c r="X62" s="330"/>
      <c r="Y62" s="330"/>
      <c r="Z62" s="331"/>
    </row>
    <row r="63" spans="2:26" s="17" customFormat="1" ht="16.5" customHeight="1" x14ac:dyDescent="0.15">
      <c r="B63" s="18"/>
      <c r="E63" s="25" t="s">
        <v>17</v>
      </c>
      <c r="F63" s="326">
        <f>+N51</f>
        <v>2.2000000000000002</v>
      </c>
      <c r="G63" s="326"/>
      <c r="H63" s="326"/>
      <c r="I63" s="26" t="s">
        <v>10</v>
      </c>
      <c r="J63" s="326">
        <f>+E53</f>
        <v>0.7</v>
      </c>
      <c r="K63" s="326"/>
      <c r="L63" s="326"/>
      <c r="M63" s="26"/>
      <c r="N63" s="327"/>
      <c r="O63" s="327"/>
      <c r="P63" s="328"/>
      <c r="Q63" s="329">
        <f>+ROUND(F63*J63,3)</f>
        <v>1.54</v>
      </c>
      <c r="R63" s="330"/>
      <c r="S63" s="331"/>
      <c r="T63" s="329">
        <f>+ROUND(E56+E53/2,3)</f>
        <v>2.4500000000000002</v>
      </c>
      <c r="U63" s="330"/>
      <c r="V63" s="331"/>
      <c r="W63" s="330">
        <f t="shared" ref="W63:W65" si="1">+ROUND(Q63*T63,3)</f>
        <v>3.7730000000000001</v>
      </c>
      <c r="X63" s="330"/>
      <c r="Y63" s="330"/>
      <c r="Z63" s="331"/>
    </row>
    <row r="64" spans="2:26" s="17" customFormat="1" ht="16.5" customHeight="1" x14ac:dyDescent="0.15">
      <c r="B64" s="18"/>
      <c r="E64" s="25" t="s">
        <v>18</v>
      </c>
      <c r="F64" s="332">
        <v>0.5</v>
      </c>
      <c r="G64" s="332"/>
      <c r="H64" s="332"/>
      <c r="I64" s="26" t="s">
        <v>10</v>
      </c>
      <c r="J64" s="326">
        <f>+R51</f>
        <v>3.9</v>
      </c>
      <c r="K64" s="326"/>
      <c r="L64" s="326"/>
      <c r="M64" s="26" t="s">
        <v>10</v>
      </c>
      <c r="N64" s="326">
        <f>+E53</f>
        <v>0.7</v>
      </c>
      <c r="O64" s="326"/>
      <c r="P64" s="333"/>
      <c r="Q64" s="329">
        <f>+ROUND(F64*J64*N64,3)</f>
        <v>1.365</v>
      </c>
      <c r="R64" s="330"/>
      <c r="S64" s="331"/>
      <c r="T64" s="329">
        <f>+ROUND(E56+E53/3,3)</f>
        <v>2.3330000000000002</v>
      </c>
      <c r="U64" s="330"/>
      <c r="V64" s="331"/>
      <c r="W64" s="330">
        <f t="shared" si="1"/>
        <v>3.1850000000000001</v>
      </c>
      <c r="X64" s="330"/>
      <c r="Y64" s="330"/>
      <c r="Z64" s="331"/>
    </row>
    <row r="65" spans="1:29" s="17" customFormat="1" ht="16.5" customHeight="1" x14ac:dyDescent="0.15">
      <c r="B65" s="18"/>
      <c r="E65" s="25" t="s">
        <v>19</v>
      </c>
      <c r="F65" s="326">
        <f>+N50</f>
        <v>10</v>
      </c>
      <c r="G65" s="326"/>
      <c r="H65" s="326"/>
      <c r="I65" s="26" t="s">
        <v>10</v>
      </c>
      <c r="J65" s="326">
        <f>+E56</f>
        <v>2.1</v>
      </c>
      <c r="K65" s="326"/>
      <c r="L65" s="326"/>
      <c r="M65" s="26"/>
      <c r="N65" s="327"/>
      <c r="O65" s="327"/>
      <c r="P65" s="328"/>
      <c r="Q65" s="329">
        <f>+ROUND(F65*J65,3)</f>
        <v>21</v>
      </c>
      <c r="R65" s="330"/>
      <c r="S65" s="331"/>
      <c r="T65" s="329">
        <f>+ROUND(E56/2,3)</f>
        <v>1.05</v>
      </c>
      <c r="U65" s="330"/>
      <c r="V65" s="331"/>
      <c r="W65" s="330">
        <f t="shared" si="1"/>
        <v>22.05</v>
      </c>
      <c r="X65" s="330"/>
      <c r="Y65" s="330"/>
      <c r="Z65" s="331"/>
    </row>
    <row r="66" spans="1:29" s="17" customFormat="1" ht="16.5" customHeight="1" x14ac:dyDescent="0.15">
      <c r="B66" s="18"/>
      <c r="E66" s="318" t="s">
        <v>25</v>
      </c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20"/>
      <c r="Q66" s="321">
        <f>SUM(Q62:S65)</f>
        <v>25.27</v>
      </c>
      <c r="R66" s="322"/>
      <c r="S66" s="323"/>
      <c r="T66" s="321"/>
      <c r="U66" s="322"/>
      <c r="V66" s="323"/>
      <c r="W66" s="322">
        <f>SUM(W62:Z65)</f>
        <v>32.192999999999998</v>
      </c>
      <c r="X66" s="322"/>
      <c r="Y66" s="322"/>
      <c r="Z66" s="323"/>
    </row>
    <row r="67" spans="1:29" s="17" customFormat="1" ht="16.5" customHeight="1" x14ac:dyDescent="0.15">
      <c r="B67" s="18"/>
    </row>
    <row r="68" spans="1:29" s="17" customFormat="1" ht="16.5" customHeight="1" x14ac:dyDescent="0.15">
      <c r="B68" s="18"/>
      <c r="E68" s="286" t="s">
        <v>26</v>
      </c>
      <c r="F68" s="286"/>
      <c r="G68" s="288" t="s">
        <v>27</v>
      </c>
      <c r="H68" s="324" t="s">
        <v>28</v>
      </c>
      <c r="I68" s="324"/>
      <c r="J68" s="288" t="s">
        <v>27</v>
      </c>
      <c r="K68" s="325">
        <f>+W66</f>
        <v>32.192999999999998</v>
      </c>
      <c r="L68" s="325"/>
      <c r="M68" s="325"/>
      <c r="N68" s="288" t="s">
        <v>27</v>
      </c>
      <c r="O68" s="286">
        <f>+ROUND(K68/K69,2)</f>
        <v>1.27</v>
      </c>
      <c r="P68" s="286"/>
      <c r="Q68" s="286"/>
      <c r="R68" s="317" t="s">
        <v>29</v>
      </c>
      <c r="S68" s="317"/>
    </row>
    <row r="69" spans="1:29" s="17" customFormat="1" ht="16.5" customHeight="1" x14ac:dyDescent="0.15">
      <c r="B69" s="18"/>
      <c r="E69" s="286"/>
      <c r="F69" s="286"/>
      <c r="G69" s="286"/>
      <c r="H69" s="286" t="s">
        <v>3</v>
      </c>
      <c r="I69" s="286"/>
      <c r="J69" s="286"/>
      <c r="K69" s="291">
        <f>+Q66</f>
        <v>25.27</v>
      </c>
      <c r="L69" s="291"/>
      <c r="M69" s="291"/>
      <c r="N69" s="286"/>
      <c r="O69" s="286"/>
      <c r="P69" s="286"/>
      <c r="Q69" s="286"/>
      <c r="R69" s="317"/>
      <c r="S69" s="317"/>
    </row>
    <row r="70" spans="1:29" s="17" customFormat="1" ht="16.5" customHeight="1" x14ac:dyDescent="0.15">
      <c r="B70" s="18"/>
    </row>
    <row r="71" spans="1:29" s="17" customFormat="1" ht="16.5" customHeight="1" x14ac:dyDescent="0.15">
      <c r="B71" s="18"/>
      <c r="C71" s="21" t="s">
        <v>120</v>
      </c>
      <c r="D71" s="17" t="s">
        <v>33</v>
      </c>
    </row>
    <row r="72" spans="1:29" s="17" customFormat="1" ht="16.5" customHeight="1" x14ac:dyDescent="0.15">
      <c r="A72" s="3"/>
      <c r="B72" s="3"/>
      <c r="C72" s="3"/>
      <c r="D72" s="5"/>
      <c r="E72" s="11"/>
      <c r="F72" s="3"/>
      <c r="G72" s="3"/>
      <c r="H72" s="3"/>
      <c r="I72" s="3"/>
      <c r="J72" s="3"/>
      <c r="K72" s="3"/>
      <c r="L72" s="1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s="17" customFormat="1" ht="16.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s="17" customFormat="1" ht="16.5" customHeight="1" x14ac:dyDescent="0.15">
      <c r="A74" s="3"/>
      <c r="B74" s="3"/>
      <c r="C74" s="3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10" t="s">
        <v>13</v>
      </c>
      <c r="W74" s="310"/>
      <c r="X74" s="310"/>
      <c r="Y74" s="3"/>
      <c r="Z74" s="3"/>
      <c r="AA74" s="3"/>
      <c r="AB74" s="3"/>
      <c r="AC74" s="3"/>
    </row>
    <row r="75" spans="1:29" s="17" customFormat="1" ht="16.5" customHeight="1" x14ac:dyDescent="0.15">
      <c r="A75" s="3"/>
      <c r="B75" s="3"/>
      <c r="C75" s="3"/>
      <c r="D75" s="5"/>
      <c r="E75" s="3"/>
      <c r="F75" s="3"/>
      <c r="G75" s="3"/>
      <c r="H75" s="3"/>
      <c r="I75" s="3"/>
      <c r="J75" s="3"/>
      <c r="K75" s="3"/>
      <c r="L75" s="3"/>
      <c r="M75" s="3"/>
      <c r="N75" s="4" t="s">
        <v>3</v>
      </c>
      <c r="O75" s="15" t="s">
        <v>4</v>
      </c>
      <c r="P75" s="311">
        <v>4</v>
      </c>
      <c r="Q75" s="311"/>
      <c r="R75" s="15" t="s">
        <v>14</v>
      </c>
      <c r="S75" s="286">
        <f>G81</f>
        <v>1.3</v>
      </c>
      <c r="T75" s="286"/>
      <c r="U75" s="45">
        <v>2</v>
      </c>
      <c r="V75" s="15" t="s">
        <v>14</v>
      </c>
      <c r="W75" s="46">
        <v>2</v>
      </c>
      <c r="Y75" s="15" t="s">
        <v>4</v>
      </c>
      <c r="Z75" s="316">
        <f>ROUND(PI()/P75*S75^U75*W75,3)</f>
        <v>2.6549999999999998</v>
      </c>
      <c r="AA75" s="316"/>
      <c r="AB75" s="316"/>
      <c r="AC75" s="3" t="s">
        <v>8</v>
      </c>
    </row>
    <row r="76" spans="1:29" s="17" customFormat="1" ht="16.5" customHeight="1" x14ac:dyDescent="0.15">
      <c r="A76" s="3"/>
      <c r="B76" s="3"/>
      <c r="C76" s="3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10" t="s">
        <v>13</v>
      </c>
      <c r="W76" s="310"/>
      <c r="X76" s="310"/>
      <c r="Y76" s="3"/>
      <c r="Z76" s="3"/>
      <c r="AA76" s="3"/>
      <c r="AB76" s="3"/>
      <c r="AC76" s="3"/>
    </row>
    <row r="77" spans="1:29" s="17" customFormat="1" ht="16.5" customHeight="1" x14ac:dyDescent="0.15">
      <c r="A77" s="3"/>
      <c r="B77" s="3"/>
      <c r="C77" s="3"/>
      <c r="D77" s="5"/>
      <c r="E77" s="3"/>
      <c r="F77" s="3"/>
      <c r="G77" s="3"/>
      <c r="H77" s="3"/>
      <c r="I77" s="3"/>
      <c r="J77" s="3"/>
      <c r="K77" s="3"/>
      <c r="L77" s="3"/>
      <c r="M77" s="3"/>
      <c r="N77" s="4" t="s">
        <v>6</v>
      </c>
      <c r="O77" s="15" t="s">
        <v>4</v>
      </c>
      <c r="P77" s="311">
        <v>64</v>
      </c>
      <c r="Q77" s="311"/>
      <c r="R77" s="15" t="s">
        <v>14</v>
      </c>
      <c r="S77" s="286">
        <f>S75</f>
        <v>1.3</v>
      </c>
      <c r="T77" s="286"/>
      <c r="U77" s="45">
        <v>4</v>
      </c>
      <c r="V77" s="15" t="s">
        <v>14</v>
      </c>
      <c r="W77" s="46">
        <f>W75</f>
        <v>2</v>
      </c>
      <c r="Y77" s="15" t="s">
        <v>4</v>
      </c>
      <c r="Z77" s="312">
        <f>ROUND(PI()/P77*S77^U77*W77,5)</f>
        <v>0.28039999999999998</v>
      </c>
      <c r="AA77" s="312"/>
      <c r="AB77" s="312"/>
      <c r="AC77" s="3" t="s">
        <v>9</v>
      </c>
    </row>
    <row r="78" spans="1:29" s="17" customFormat="1" ht="16.5" customHeight="1" x14ac:dyDescent="0.15">
      <c r="A78" s="3"/>
      <c r="B78" s="3"/>
      <c r="C78" s="3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s="17" customFormat="1" ht="16.5" customHeight="1" x14ac:dyDescent="0.15">
      <c r="A79" s="3"/>
      <c r="B79" s="3"/>
      <c r="C79" s="3"/>
      <c r="D79" s="5"/>
      <c r="E79" s="3"/>
      <c r="F79" s="3"/>
      <c r="G79" s="3"/>
      <c r="H79" s="3"/>
      <c r="I79" s="3"/>
      <c r="J79" s="3"/>
      <c r="K79" s="3"/>
      <c r="L79" s="3"/>
      <c r="M79" s="3"/>
      <c r="N79" s="11" t="s">
        <v>15</v>
      </c>
      <c r="O79" s="22"/>
      <c r="P79" s="3"/>
      <c r="Q79" s="3"/>
      <c r="R79" s="3"/>
      <c r="S79" s="3"/>
      <c r="T79" s="47"/>
      <c r="U79" s="48"/>
      <c r="V79" s="49"/>
      <c r="W79" s="3"/>
      <c r="X79" s="3"/>
      <c r="Y79" s="50"/>
      <c r="Z79" s="51"/>
      <c r="AA79" s="51"/>
      <c r="AB79" s="51"/>
      <c r="AC79" s="52"/>
    </row>
    <row r="80" spans="1:29" s="17" customFormat="1" ht="16.5" customHeight="1" x14ac:dyDescent="0.15">
      <c r="A80" s="3"/>
      <c r="B80" s="3"/>
      <c r="C80" s="3"/>
      <c r="D80" s="5"/>
      <c r="E80" s="3"/>
      <c r="F80" s="3"/>
      <c r="G80" s="315">
        <v>1.3</v>
      </c>
      <c r="H80" s="315"/>
      <c r="I80" s="315"/>
      <c r="J80" s="315"/>
      <c r="K80" s="3"/>
      <c r="L80" s="3"/>
      <c r="M80" s="3"/>
      <c r="N80" s="3"/>
      <c r="O80" s="23"/>
      <c r="P80" s="3"/>
      <c r="Q80" s="3"/>
      <c r="R80" s="22"/>
      <c r="U80" s="3"/>
      <c r="V80" s="3"/>
      <c r="W80" s="3"/>
      <c r="X80" s="3"/>
      <c r="Y80" s="3"/>
      <c r="Z80" s="3"/>
      <c r="AA80" s="3"/>
      <c r="AB80" s="3"/>
      <c r="AC80" s="3"/>
    </row>
    <row r="81" spans="1:29" s="17" customFormat="1" ht="16.5" customHeight="1" x14ac:dyDescent="0.15">
      <c r="A81" s="3"/>
      <c r="B81" s="3"/>
      <c r="C81" s="3"/>
      <c r="D81" s="3"/>
      <c r="E81" s="3"/>
      <c r="F81" s="3"/>
      <c r="G81" s="314">
        <f>+G80</f>
        <v>1.3</v>
      </c>
      <c r="H81" s="314"/>
      <c r="I81" s="314"/>
      <c r="J81" s="31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s="17" customFormat="1" ht="16.5" customHeight="1" x14ac:dyDescent="0.15">
      <c r="A82" s="3"/>
      <c r="B82" s="3"/>
      <c r="C82" s="3"/>
      <c r="D82" s="3"/>
      <c r="E82" s="3"/>
      <c r="F82" s="3"/>
      <c r="G82" s="3"/>
      <c r="H82" s="13"/>
      <c r="I82" s="1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s="17" customFormat="1" ht="16.5" customHeight="1" x14ac:dyDescent="0.15">
      <c r="B83" s="18"/>
      <c r="C83" s="21" t="s">
        <v>121</v>
      </c>
      <c r="D83" s="17" t="s">
        <v>34</v>
      </c>
    </row>
    <row r="84" spans="1:29" s="17" customFormat="1" ht="16.5" customHeight="1" x14ac:dyDescent="0.15">
      <c r="A84" s="3"/>
      <c r="B84" s="3"/>
      <c r="C84" s="3"/>
      <c r="D84" s="5"/>
      <c r="E84" s="11"/>
      <c r="F84" s="3"/>
      <c r="G84" s="3"/>
      <c r="H84" s="3"/>
      <c r="I84" s="3"/>
      <c r="J84" s="3"/>
      <c r="K84" s="3"/>
      <c r="L84" s="1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s="17" customFormat="1" ht="16.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s="17" customFormat="1" ht="16.5" customHeight="1" x14ac:dyDescent="0.15">
      <c r="A86" s="3"/>
      <c r="B86" s="3"/>
      <c r="C86" s="3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10" t="s">
        <v>13</v>
      </c>
      <c r="W86" s="310"/>
      <c r="X86" s="310"/>
      <c r="Y86" s="3"/>
      <c r="Z86" s="3"/>
      <c r="AA86" s="3"/>
      <c r="AB86" s="3"/>
      <c r="AC86" s="3"/>
    </row>
    <row r="87" spans="1:29" s="17" customFormat="1" ht="16.5" customHeight="1" x14ac:dyDescent="0.15">
      <c r="A87" s="3"/>
      <c r="B87" s="3"/>
      <c r="C87" s="3"/>
      <c r="D87" s="5"/>
      <c r="E87" s="3"/>
      <c r="F87" s="3"/>
      <c r="G87" s="3"/>
      <c r="H87" s="3"/>
      <c r="I87" s="3"/>
      <c r="J87" s="3"/>
      <c r="K87" s="3"/>
      <c r="L87" s="3"/>
      <c r="M87" s="3"/>
      <c r="N87" s="4" t="s">
        <v>3</v>
      </c>
      <c r="O87" s="15" t="s">
        <v>4</v>
      </c>
      <c r="P87" s="311">
        <v>4</v>
      </c>
      <c r="Q87" s="311"/>
      <c r="R87" s="15" t="s">
        <v>14</v>
      </c>
      <c r="S87" s="286">
        <f>G93</f>
        <v>1.3</v>
      </c>
      <c r="T87" s="286"/>
      <c r="U87" s="45">
        <v>2</v>
      </c>
      <c r="V87" s="15" t="s">
        <v>14</v>
      </c>
      <c r="W87" s="46">
        <v>1</v>
      </c>
      <c r="Y87" s="15" t="s">
        <v>4</v>
      </c>
      <c r="Z87" s="316">
        <f>ROUND(PI()/P87*S87^U87*W87,3)</f>
        <v>1.327</v>
      </c>
      <c r="AA87" s="316"/>
      <c r="AB87" s="316"/>
      <c r="AC87" s="3" t="s">
        <v>8</v>
      </c>
    </row>
    <row r="88" spans="1:29" s="17" customFormat="1" ht="16.5" customHeight="1" x14ac:dyDescent="0.15">
      <c r="A88" s="3"/>
      <c r="B88" s="3"/>
      <c r="C88" s="3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10" t="s">
        <v>13</v>
      </c>
      <c r="W88" s="310"/>
      <c r="X88" s="310"/>
      <c r="Y88" s="3"/>
      <c r="Z88" s="3"/>
      <c r="AA88" s="3"/>
      <c r="AB88" s="3"/>
      <c r="AC88" s="3"/>
    </row>
    <row r="89" spans="1:29" s="17" customFormat="1" ht="16.5" customHeight="1" x14ac:dyDescent="0.15">
      <c r="A89" s="3"/>
      <c r="B89" s="3"/>
      <c r="C89" s="3"/>
      <c r="D89" s="5"/>
      <c r="E89" s="3"/>
      <c r="F89" s="3"/>
      <c r="G89" s="3"/>
      <c r="H89" s="3"/>
      <c r="I89" s="3"/>
      <c r="J89" s="3"/>
      <c r="K89" s="3"/>
      <c r="L89" s="3"/>
      <c r="M89" s="3"/>
      <c r="N89" s="4" t="s">
        <v>6</v>
      </c>
      <c r="O89" s="15" t="s">
        <v>4</v>
      </c>
      <c r="P89" s="311">
        <v>64</v>
      </c>
      <c r="Q89" s="311"/>
      <c r="R89" s="15" t="s">
        <v>14</v>
      </c>
      <c r="S89" s="286">
        <f>S87</f>
        <v>1.3</v>
      </c>
      <c r="T89" s="286"/>
      <c r="U89" s="45">
        <v>4</v>
      </c>
      <c r="V89" s="15" t="s">
        <v>14</v>
      </c>
      <c r="W89" s="46">
        <f>W87</f>
        <v>1</v>
      </c>
      <c r="Y89" s="15" t="s">
        <v>4</v>
      </c>
      <c r="Z89" s="312">
        <f>ROUND(PI()/P89*S89^U89*W89,5)</f>
        <v>0.14019999999999999</v>
      </c>
      <c r="AA89" s="312"/>
      <c r="AB89" s="312"/>
      <c r="AC89" s="3" t="s">
        <v>9</v>
      </c>
    </row>
    <row r="90" spans="1:29" s="17" customFormat="1" ht="16.5" customHeight="1" x14ac:dyDescent="0.15">
      <c r="A90" s="3"/>
      <c r="B90" s="3"/>
      <c r="C90" s="3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s="17" customFormat="1" ht="16.5" customHeight="1" x14ac:dyDescent="0.15">
      <c r="A91" s="3"/>
      <c r="B91" s="3"/>
      <c r="C91" s="3"/>
      <c r="D91" s="5"/>
      <c r="E91" s="3"/>
      <c r="F91" s="3"/>
      <c r="G91" s="3"/>
      <c r="H91" s="3"/>
      <c r="I91" s="3"/>
      <c r="J91" s="3"/>
      <c r="K91" s="3"/>
      <c r="L91" s="3"/>
      <c r="M91" s="3"/>
      <c r="N91" s="11" t="s">
        <v>15</v>
      </c>
      <c r="O91" s="22"/>
      <c r="P91" s="3"/>
      <c r="Q91" s="3"/>
      <c r="R91" s="3"/>
      <c r="S91" s="3"/>
      <c r="T91" s="47"/>
      <c r="U91" s="48"/>
      <c r="V91" s="49"/>
      <c r="W91" s="3"/>
      <c r="X91" s="3"/>
      <c r="Y91" s="50"/>
      <c r="Z91" s="51"/>
      <c r="AA91" s="51"/>
      <c r="AB91" s="51"/>
      <c r="AC91" s="52"/>
    </row>
    <row r="92" spans="1:29" s="17" customFormat="1" ht="16.5" customHeight="1" x14ac:dyDescent="0.15">
      <c r="A92" s="3"/>
      <c r="B92" s="3"/>
      <c r="C92" s="3"/>
      <c r="D92" s="5"/>
      <c r="E92" s="3"/>
      <c r="F92" s="3"/>
      <c r="G92" s="313">
        <f>+G80</f>
        <v>1.3</v>
      </c>
      <c r="H92" s="313"/>
      <c r="I92" s="313"/>
      <c r="J92" s="313"/>
      <c r="K92" s="3"/>
      <c r="L92" s="3"/>
      <c r="M92" s="3"/>
      <c r="N92" s="3"/>
      <c r="O92" s="23"/>
      <c r="P92" s="3"/>
      <c r="Q92" s="3"/>
      <c r="R92" s="22"/>
      <c r="U92" s="3"/>
      <c r="V92" s="3"/>
      <c r="W92" s="3"/>
      <c r="X92" s="3"/>
      <c r="Y92" s="3"/>
      <c r="Z92" s="3"/>
      <c r="AA92" s="3"/>
      <c r="AB92" s="3"/>
      <c r="AC92" s="3"/>
    </row>
    <row r="93" spans="1:29" s="17" customFormat="1" ht="16.5" customHeight="1" x14ac:dyDescent="0.15">
      <c r="A93" s="3"/>
      <c r="B93" s="3"/>
      <c r="C93" s="3"/>
      <c r="D93" s="3"/>
      <c r="E93" s="3"/>
      <c r="F93" s="3"/>
      <c r="G93" s="314">
        <f>+G81</f>
        <v>1.3</v>
      </c>
      <c r="H93" s="314"/>
      <c r="I93" s="314"/>
      <c r="J93" s="31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s="17" customFormat="1" ht="16.5" customHeight="1" x14ac:dyDescent="0.15">
      <c r="A94" s="3"/>
      <c r="B94" s="3"/>
      <c r="C94" s="3"/>
      <c r="D94" s="3"/>
      <c r="E94" s="3"/>
      <c r="F94" s="3"/>
      <c r="G94" s="3"/>
      <c r="H94" s="13"/>
      <c r="I94" s="1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s="17" customFormat="1" ht="16.5" customHeight="1" x14ac:dyDescent="0.15">
      <c r="A95" s="3"/>
      <c r="B95" s="3"/>
      <c r="C95" s="3"/>
      <c r="D95" s="3"/>
      <c r="E95" s="3"/>
      <c r="F95" s="3"/>
      <c r="G95" s="3"/>
      <c r="H95" s="13"/>
      <c r="I95" s="1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s="17" customFormat="1" ht="16.5" customHeight="1" x14ac:dyDescent="0.15">
      <c r="A96" s="3"/>
      <c r="B96" s="3"/>
      <c r="C96" s="3"/>
      <c r="D96" s="3"/>
      <c r="E96" s="3"/>
      <c r="F96" s="3"/>
      <c r="G96" s="3"/>
      <c r="H96" s="13"/>
      <c r="I96" s="1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s="17" customFormat="1" ht="16.5" customHeight="1" x14ac:dyDescent="0.15">
      <c r="B97" s="18"/>
      <c r="C97" s="21" t="s">
        <v>122</v>
      </c>
      <c r="D97" s="17" t="s">
        <v>35</v>
      </c>
    </row>
    <row r="98" spans="1:29" s="17" customFormat="1" ht="16.5" customHeight="1" x14ac:dyDescent="0.15">
      <c r="A98" s="3"/>
      <c r="B98" s="3"/>
      <c r="C98" s="3"/>
      <c r="D98" s="5"/>
      <c r="E98" s="11"/>
      <c r="F98" s="3"/>
      <c r="G98" s="3"/>
      <c r="H98" s="3"/>
      <c r="I98" s="3"/>
      <c r="J98" s="3"/>
      <c r="K98" s="3"/>
      <c r="L98" s="1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s="17" customFormat="1" ht="16.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s="17" customFormat="1" ht="16.5" customHeight="1" x14ac:dyDescent="0.15">
      <c r="A100" s="3"/>
      <c r="B100" s="3"/>
      <c r="C100" s="3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10" t="s">
        <v>13</v>
      </c>
      <c r="W100" s="310"/>
      <c r="X100" s="310"/>
      <c r="Y100" s="3"/>
      <c r="Z100" s="3"/>
      <c r="AA100" s="3"/>
      <c r="AB100" s="3"/>
      <c r="AC100" s="3"/>
    </row>
    <row r="101" spans="1:29" s="17" customFormat="1" ht="16.5" customHeight="1" x14ac:dyDescent="0.15">
      <c r="A101" s="3"/>
      <c r="B101" s="3"/>
      <c r="C101" s="3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4" t="s">
        <v>3</v>
      </c>
      <c r="O101" s="15" t="s">
        <v>4</v>
      </c>
      <c r="P101" s="311">
        <v>4</v>
      </c>
      <c r="Q101" s="311"/>
      <c r="R101" s="15" t="s">
        <v>14</v>
      </c>
      <c r="S101" s="286">
        <f>G107</f>
        <v>1.3</v>
      </c>
      <c r="T101" s="286"/>
      <c r="U101" s="45">
        <v>2</v>
      </c>
      <c r="V101" s="15" t="s">
        <v>14</v>
      </c>
      <c r="W101" s="46">
        <v>3</v>
      </c>
      <c r="Y101" s="15" t="s">
        <v>4</v>
      </c>
      <c r="Z101" s="316">
        <f>ROUND(PI()/P101*S101^U101*W101,3)</f>
        <v>3.9820000000000002</v>
      </c>
      <c r="AA101" s="316"/>
      <c r="AB101" s="316"/>
      <c r="AC101" s="3" t="s">
        <v>8</v>
      </c>
    </row>
    <row r="102" spans="1:29" s="17" customFormat="1" ht="16.5" customHeight="1" x14ac:dyDescent="0.15">
      <c r="A102" s="3"/>
      <c r="B102" s="3"/>
      <c r="C102" s="3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10" t="s">
        <v>13</v>
      </c>
      <c r="W102" s="310"/>
      <c r="X102" s="310"/>
      <c r="Y102" s="3"/>
      <c r="Z102" s="3"/>
      <c r="AA102" s="3"/>
      <c r="AB102" s="3"/>
      <c r="AC102" s="3"/>
    </row>
    <row r="103" spans="1:29" s="17" customFormat="1" ht="16.5" customHeight="1" x14ac:dyDescent="0.15">
      <c r="A103" s="3"/>
      <c r="B103" s="3"/>
      <c r="C103" s="3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4" t="s">
        <v>6</v>
      </c>
      <c r="O103" s="15" t="s">
        <v>4</v>
      </c>
      <c r="P103" s="311">
        <v>64</v>
      </c>
      <c r="Q103" s="311"/>
      <c r="R103" s="15" t="s">
        <v>14</v>
      </c>
      <c r="S103" s="286">
        <f>S101</f>
        <v>1.3</v>
      </c>
      <c r="T103" s="286"/>
      <c r="U103" s="45">
        <v>4</v>
      </c>
      <c r="V103" s="15" t="s">
        <v>14</v>
      </c>
      <c r="W103" s="46">
        <f>W101</f>
        <v>3</v>
      </c>
      <c r="Y103" s="15" t="s">
        <v>4</v>
      </c>
      <c r="Z103" s="312">
        <f>ROUND(PI()/P103*S103^U103*W103,5)</f>
        <v>0.42059999999999997</v>
      </c>
      <c r="AA103" s="312"/>
      <c r="AB103" s="312"/>
      <c r="AC103" s="3" t="s">
        <v>9</v>
      </c>
    </row>
    <row r="104" spans="1:29" s="17" customFormat="1" ht="16.5" customHeight="1" x14ac:dyDescent="0.15">
      <c r="A104" s="3"/>
      <c r="B104" s="3"/>
      <c r="C104" s="3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s="17" customFormat="1" ht="16.5" customHeight="1" x14ac:dyDescent="0.15">
      <c r="A105" s="3"/>
      <c r="B105" s="3"/>
      <c r="C105" s="3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11" t="s">
        <v>15</v>
      </c>
      <c r="O105" s="22"/>
      <c r="P105" s="3"/>
      <c r="Q105" s="3"/>
      <c r="R105" s="3"/>
      <c r="S105" s="3"/>
      <c r="T105" s="47"/>
      <c r="U105" s="48"/>
      <c r="V105" s="49"/>
      <c r="W105" s="3"/>
      <c r="X105" s="3"/>
      <c r="Y105" s="50"/>
      <c r="Z105" s="51"/>
      <c r="AA105" s="51"/>
      <c r="AB105" s="51"/>
      <c r="AC105" s="52"/>
    </row>
    <row r="106" spans="1:29" s="17" customFormat="1" ht="16.5" customHeight="1" x14ac:dyDescent="0.15">
      <c r="A106" s="3"/>
      <c r="B106" s="3"/>
      <c r="C106" s="3"/>
      <c r="D106" s="5"/>
      <c r="E106" s="3"/>
      <c r="F106" s="3"/>
      <c r="G106" s="315">
        <v>1.3</v>
      </c>
      <c r="H106" s="315"/>
      <c r="I106" s="315"/>
      <c r="J106" s="315"/>
      <c r="K106" s="3"/>
      <c r="L106" s="3"/>
      <c r="M106" s="3"/>
      <c r="N106" s="3"/>
      <c r="O106" s="23"/>
      <c r="P106" s="3"/>
      <c r="Q106" s="3"/>
      <c r="R106" s="22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s="17" customFormat="1" ht="16.5" customHeight="1" x14ac:dyDescent="0.15">
      <c r="A107" s="3"/>
      <c r="B107" s="3"/>
      <c r="C107" s="3"/>
      <c r="D107" s="3"/>
      <c r="E107" s="3"/>
      <c r="F107" s="3"/>
      <c r="G107" s="314">
        <f>+G106</f>
        <v>1.3</v>
      </c>
      <c r="H107" s="314"/>
      <c r="I107" s="314"/>
      <c r="J107" s="31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s="17" customFormat="1" ht="16.5" customHeight="1" x14ac:dyDescent="0.15">
      <c r="A108" s="3"/>
      <c r="B108" s="3"/>
      <c r="C108" s="3"/>
      <c r="D108" s="3"/>
      <c r="E108" s="3"/>
      <c r="F108" s="3"/>
      <c r="G108" s="3"/>
      <c r="H108" s="13"/>
      <c r="I108" s="1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s="17" customFormat="1" ht="16.5" customHeight="1" x14ac:dyDescent="0.15">
      <c r="B109" s="18"/>
      <c r="C109" s="21" t="s">
        <v>123</v>
      </c>
      <c r="D109" s="17" t="s">
        <v>36</v>
      </c>
    </row>
    <row r="110" spans="1:29" s="17" customFormat="1" ht="16.5" customHeight="1" x14ac:dyDescent="0.15">
      <c r="A110" s="3"/>
      <c r="B110" s="3"/>
      <c r="C110" s="3"/>
      <c r="D110" s="5"/>
      <c r="E110" s="11"/>
      <c r="F110" s="3"/>
      <c r="G110" s="3"/>
      <c r="H110" s="3"/>
      <c r="I110" s="3"/>
      <c r="J110" s="3"/>
      <c r="K110" s="3"/>
      <c r="L110" s="1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s="17" customFormat="1" ht="16.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s="17" customFormat="1" ht="16.5" customHeight="1" x14ac:dyDescent="0.15">
      <c r="A112" s="3"/>
      <c r="B112" s="3"/>
      <c r="C112" s="3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10" t="s">
        <v>13</v>
      </c>
      <c r="W112" s="310"/>
      <c r="X112" s="310"/>
      <c r="Y112" s="3"/>
      <c r="Z112" s="3"/>
      <c r="AA112" s="3"/>
      <c r="AB112" s="3"/>
      <c r="AC112" s="3"/>
    </row>
    <row r="113" spans="1:29" s="17" customFormat="1" ht="16.5" customHeight="1" x14ac:dyDescent="0.15">
      <c r="A113" s="3"/>
      <c r="B113" s="3"/>
      <c r="C113" s="3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4" t="s">
        <v>3</v>
      </c>
      <c r="O113" s="15" t="s">
        <v>4</v>
      </c>
      <c r="P113" s="311">
        <v>4</v>
      </c>
      <c r="Q113" s="311"/>
      <c r="R113" s="15" t="s">
        <v>14</v>
      </c>
      <c r="S113" s="286">
        <f>G119</f>
        <v>1.3</v>
      </c>
      <c r="T113" s="286"/>
      <c r="U113" s="45">
        <v>2</v>
      </c>
      <c r="V113" s="15" t="s">
        <v>14</v>
      </c>
      <c r="W113" s="46">
        <v>2</v>
      </c>
      <c r="Y113" s="15" t="s">
        <v>4</v>
      </c>
      <c r="Z113" s="316">
        <f>ROUND(PI()/P113*S113^U113*W113,3)</f>
        <v>2.6549999999999998</v>
      </c>
      <c r="AA113" s="316"/>
      <c r="AB113" s="316"/>
      <c r="AC113" s="3" t="s">
        <v>8</v>
      </c>
    </row>
    <row r="114" spans="1:29" s="17" customFormat="1" ht="16.5" customHeight="1" x14ac:dyDescent="0.15">
      <c r="A114" s="3"/>
      <c r="B114" s="3"/>
      <c r="C114" s="3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10" t="s">
        <v>13</v>
      </c>
      <c r="W114" s="310"/>
      <c r="X114" s="310"/>
      <c r="Y114" s="3"/>
      <c r="Z114" s="3"/>
      <c r="AA114" s="3"/>
      <c r="AB114" s="3"/>
      <c r="AC114" s="3"/>
    </row>
    <row r="115" spans="1:29" s="17" customFormat="1" ht="16.5" customHeight="1" x14ac:dyDescent="0.15">
      <c r="A115" s="3"/>
      <c r="B115" s="3"/>
      <c r="C115" s="3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4" t="s">
        <v>6</v>
      </c>
      <c r="O115" s="15" t="s">
        <v>4</v>
      </c>
      <c r="P115" s="311">
        <v>64</v>
      </c>
      <c r="Q115" s="311"/>
      <c r="R115" s="15" t="s">
        <v>14</v>
      </c>
      <c r="S115" s="286">
        <f>S113</f>
        <v>1.3</v>
      </c>
      <c r="T115" s="286"/>
      <c r="U115" s="45">
        <v>4</v>
      </c>
      <c r="V115" s="15" t="s">
        <v>14</v>
      </c>
      <c r="W115" s="46">
        <f>W113</f>
        <v>2</v>
      </c>
      <c r="Y115" s="15" t="s">
        <v>4</v>
      </c>
      <c r="Z115" s="312">
        <f>ROUND(PI()/P115*S115^U115*W115,5)</f>
        <v>0.28039999999999998</v>
      </c>
      <c r="AA115" s="312"/>
      <c r="AB115" s="312"/>
      <c r="AC115" s="3" t="s">
        <v>9</v>
      </c>
    </row>
    <row r="116" spans="1:29" s="17" customFormat="1" ht="16.5" customHeight="1" x14ac:dyDescent="0.15">
      <c r="A116" s="3"/>
      <c r="B116" s="3"/>
      <c r="C116" s="3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s="17" customFormat="1" ht="16.5" customHeight="1" x14ac:dyDescent="0.15">
      <c r="A117" s="3"/>
      <c r="B117" s="3"/>
      <c r="C117" s="3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11" t="s">
        <v>15</v>
      </c>
      <c r="O117" s="22"/>
      <c r="P117" s="3"/>
      <c r="Q117" s="3"/>
      <c r="R117" s="3"/>
      <c r="S117" s="3"/>
      <c r="T117" s="47"/>
      <c r="U117" s="48"/>
      <c r="V117" s="49"/>
      <c r="W117" s="3"/>
      <c r="X117" s="3"/>
      <c r="Y117" s="50"/>
      <c r="Z117" s="51"/>
      <c r="AA117" s="51"/>
      <c r="AB117" s="51"/>
      <c r="AC117" s="52"/>
    </row>
    <row r="118" spans="1:29" s="17" customFormat="1" ht="16.5" customHeight="1" x14ac:dyDescent="0.15">
      <c r="A118" s="3"/>
      <c r="B118" s="3"/>
      <c r="C118" s="3"/>
      <c r="D118" s="5"/>
      <c r="E118" s="3"/>
      <c r="F118" s="3"/>
      <c r="G118" s="313">
        <f>+G106</f>
        <v>1.3</v>
      </c>
      <c r="H118" s="313"/>
      <c r="I118" s="313"/>
      <c r="J118" s="313"/>
      <c r="K118" s="3"/>
      <c r="L118" s="3"/>
      <c r="M118" s="3"/>
      <c r="N118" s="3"/>
      <c r="O118" s="23"/>
      <c r="P118" s="3"/>
      <c r="Q118" s="3"/>
      <c r="R118" s="22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s="17" customFormat="1" ht="16.5" customHeight="1" x14ac:dyDescent="0.15">
      <c r="A119" s="3"/>
      <c r="B119" s="3"/>
      <c r="C119" s="3"/>
      <c r="D119" s="3"/>
      <c r="E119" s="3"/>
      <c r="F119" s="3"/>
      <c r="G119" s="314">
        <f>+G107</f>
        <v>1.3</v>
      </c>
      <c r="H119" s="314"/>
      <c r="I119" s="314"/>
      <c r="J119" s="31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s="17" customFormat="1" ht="16.5" customHeight="1" x14ac:dyDescent="0.15">
      <c r="A120" s="3"/>
      <c r="B120" s="3"/>
      <c r="C120" s="3"/>
      <c r="D120" s="3"/>
      <c r="E120" s="3"/>
      <c r="F120" s="3"/>
      <c r="G120" s="3"/>
      <c r="H120" s="13"/>
      <c r="I120" s="1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</sheetData>
  <mergeCells count="164">
    <mergeCell ref="G16:I16"/>
    <mergeCell ref="K16:M16"/>
    <mergeCell ref="T16:V16"/>
    <mergeCell ref="G18:I18"/>
    <mergeCell ref="K18:M18"/>
    <mergeCell ref="O18:Q18"/>
    <mergeCell ref="T18:V18"/>
    <mergeCell ref="G6:H6"/>
    <mergeCell ref="N6:O6"/>
    <mergeCell ref="G10:I10"/>
    <mergeCell ref="K10:M10"/>
    <mergeCell ref="T10:V10"/>
    <mergeCell ref="G12:I12"/>
    <mergeCell ref="K12:M12"/>
    <mergeCell ref="O12:Q12"/>
    <mergeCell ref="T12:V12"/>
    <mergeCell ref="R27:T27"/>
    <mergeCell ref="E29:E31"/>
    <mergeCell ref="I30:M31"/>
    <mergeCell ref="N30:P31"/>
    <mergeCell ref="Q30:U31"/>
    <mergeCell ref="E32:E34"/>
    <mergeCell ref="I32:U34"/>
    <mergeCell ref="G22:H22"/>
    <mergeCell ref="N22:O22"/>
    <mergeCell ref="N25:P25"/>
    <mergeCell ref="N26:P26"/>
    <mergeCell ref="J27:L27"/>
    <mergeCell ref="N27:P27"/>
    <mergeCell ref="E37:P37"/>
    <mergeCell ref="Q37:S37"/>
    <mergeCell ref="T37:V37"/>
    <mergeCell ref="W37:Z37"/>
    <mergeCell ref="F38:H38"/>
    <mergeCell ref="J38:L38"/>
    <mergeCell ref="N38:P38"/>
    <mergeCell ref="Q38:S38"/>
    <mergeCell ref="T38:V38"/>
    <mergeCell ref="W38:Z38"/>
    <mergeCell ref="F40:H40"/>
    <mergeCell ref="J40:L40"/>
    <mergeCell ref="N40:P40"/>
    <mergeCell ref="Q40:S40"/>
    <mergeCell ref="T40:V40"/>
    <mergeCell ref="W40:Z40"/>
    <mergeCell ref="F39:H39"/>
    <mergeCell ref="J39:L39"/>
    <mergeCell ref="N39:P39"/>
    <mergeCell ref="Q39:S39"/>
    <mergeCell ref="T39:V39"/>
    <mergeCell ref="W39:Z39"/>
    <mergeCell ref="W42:Z42"/>
    <mergeCell ref="E44:F45"/>
    <mergeCell ref="G44:G45"/>
    <mergeCell ref="H44:I44"/>
    <mergeCell ref="J44:J45"/>
    <mergeCell ref="K44:M44"/>
    <mergeCell ref="N44:N45"/>
    <mergeCell ref="F41:H41"/>
    <mergeCell ref="J41:L41"/>
    <mergeCell ref="N41:P41"/>
    <mergeCell ref="Q41:S41"/>
    <mergeCell ref="T41:V41"/>
    <mergeCell ref="W41:Z41"/>
    <mergeCell ref="O44:Q45"/>
    <mergeCell ref="R44:S45"/>
    <mergeCell ref="H45:I45"/>
    <mergeCell ref="K45:M45"/>
    <mergeCell ref="N49:P49"/>
    <mergeCell ref="N50:P50"/>
    <mergeCell ref="E42:P42"/>
    <mergeCell ref="Q42:S42"/>
    <mergeCell ref="T42:V42"/>
    <mergeCell ref="E56:E58"/>
    <mergeCell ref="I56:U58"/>
    <mergeCell ref="E61:P61"/>
    <mergeCell ref="Q61:S61"/>
    <mergeCell ref="T61:V61"/>
    <mergeCell ref="W61:Z61"/>
    <mergeCell ref="J51:L51"/>
    <mergeCell ref="N51:P51"/>
    <mergeCell ref="R51:T51"/>
    <mergeCell ref="E53:E55"/>
    <mergeCell ref="I54:M55"/>
    <mergeCell ref="N54:P55"/>
    <mergeCell ref="Q54:U55"/>
    <mergeCell ref="F63:H63"/>
    <mergeCell ref="J63:L63"/>
    <mergeCell ref="N63:P63"/>
    <mergeCell ref="Q63:S63"/>
    <mergeCell ref="T63:V63"/>
    <mergeCell ref="W63:Z63"/>
    <mergeCell ref="F62:H62"/>
    <mergeCell ref="J62:L62"/>
    <mergeCell ref="N62:P62"/>
    <mergeCell ref="Q62:S62"/>
    <mergeCell ref="T62:V62"/>
    <mergeCell ref="W62:Z62"/>
    <mergeCell ref="F65:H65"/>
    <mergeCell ref="J65:L65"/>
    <mergeCell ref="N65:P65"/>
    <mergeCell ref="Q65:S65"/>
    <mergeCell ref="T65:V65"/>
    <mergeCell ref="W65:Z65"/>
    <mergeCell ref="F64:H64"/>
    <mergeCell ref="J64:L64"/>
    <mergeCell ref="N64:P64"/>
    <mergeCell ref="Q64:S64"/>
    <mergeCell ref="T64:V64"/>
    <mergeCell ref="W64:Z64"/>
    <mergeCell ref="E66:P66"/>
    <mergeCell ref="Q66:S66"/>
    <mergeCell ref="T66:V66"/>
    <mergeCell ref="W66:Z66"/>
    <mergeCell ref="E68:F69"/>
    <mergeCell ref="G68:G69"/>
    <mergeCell ref="H68:I68"/>
    <mergeCell ref="J68:J69"/>
    <mergeCell ref="K68:M68"/>
    <mergeCell ref="N68:N69"/>
    <mergeCell ref="Z75:AB75"/>
    <mergeCell ref="V76:X76"/>
    <mergeCell ref="P77:Q77"/>
    <mergeCell ref="S77:T77"/>
    <mergeCell ref="Z77:AB77"/>
    <mergeCell ref="G80:J80"/>
    <mergeCell ref="O68:Q69"/>
    <mergeCell ref="R68:S69"/>
    <mergeCell ref="H69:I69"/>
    <mergeCell ref="K69:M69"/>
    <mergeCell ref="V74:X74"/>
    <mergeCell ref="P75:Q75"/>
    <mergeCell ref="S75:T75"/>
    <mergeCell ref="G92:J92"/>
    <mergeCell ref="G93:J93"/>
    <mergeCell ref="V100:X100"/>
    <mergeCell ref="G81:J81"/>
    <mergeCell ref="V86:X86"/>
    <mergeCell ref="P87:Q87"/>
    <mergeCell ref="S87:T87"/>
    <mergeCell ref="Z87:AB87"/>
    <mergeCell ref="V88:X88"/>
    <mergeCell ref="P101:Q101"/>
    <mergeCell ref="S101:T101"/>
    <mergeCell ref="Z101:AB101"/>
    <mergeCell ref="V102:X102"/>
    <mergeCell ref="P103:Q103"/>
    <mergeCell ref="S103:T103"/>
    <mergeCell ref="Z103:AB103"/>
    <mergeCell ref="P89:Q89"/>
    <mergeCell ref="S89:T89"/>
    <mergeCell ref="Z89:AB89"/>
    <mergeCell ref="V114:X114"/>
    <mergeCell ref="P115:Q115"/>
    <mergeCell ref="S115:T115"/>
    <mergeCell ref="Z115:AB115"/>
    <mergeCell ref="G118:J118"/>
    <mergeCell ref="G119:J119"/>
    <mergeCell ref="G106:J106"/>
    <mergeCell ref="G107:J107"/>
    <mergeCell ref="V112:X112"/>
    <mergeCell ref="P113:Q113"/>
    <mergeCell ref="S113:T113"/>
    <mergeCell ref="Z113:AB113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2" manualBreakCount="2">
    <brk id="47" max="34" man="1"/>
    <brk id="95" max="34" man="1"/>
  </rowBreaks>
  <ignoredErrors>
    <ignoredError sqref="Q39 Q6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CB49-ECD7-4CC6-BCEA-B0CEC8EE4106}">
  <dimension ref="A2:AW26"/>
  <sheetViews>
    <sheetView view="pageBreakPreview" zoomScale="75" zoomScaleNormal="100" zoomScaleSheetLayoutView="75" workbookViewId="0"/>
  </sheetViews>
  <sheetFormatPr defaultColWidth="2.625" defaultRowHeight="16.5" customHeight="1" x14ac:dyDescent="0.15"/>
  <cols>
    <col min="1" max="1" width="2.625" style="17" customWidth="1"/>
    <col min="2" max="2" width="2.625" style="18" customWidth="1"/>
    <col min="3" max="36" width="2.625" style="17"/>
    <col min="37" max="45" width="4.625" style="17" customWidth="1"/>
    <col min="46" max="16384" width="2.625" style="17"/>
  </cols>
  <sheetData>
    <row r="2" spans="1:49" s="3" customFormat="1" ht="15.75" customHeight="1" x14ac:dyDescent="0.15">
      <c r="B2" s="4"/>
      <c r="C2" s="5" t="s">
        <v>37</v>
      </c>
      <c r="D2" s="11" t="s">
        <v>38</v>
      </c>
      <c r="E2" s="4"/>
      <c r="F2" s="4"/>
      <c r="G2" s="4"/>
      <c r="H2" s="4"/>
      <c r="I2" s="4"/>
      <c r="J2" s="4"/>
      <c r="U2" s="11"/>
      <c r="V2" s="4"/>
      <c r="W2" s="4"/>
      <c r="X2" s="4"/>
      <c r="Y2" s="4"/>
      <c r="Z2" s="4"/>
      <c r="AA2" s="5"/>
      <c r="AB2" s="12"/>
      <c r="AC2" s="13"/>
      <c r="AD2" s="13"/>
      <c r="AE2" s="13"/>
    </row>
    <row r="3" spans="1:49" s="3" customFormat="1" ht="15.75" customHeight="1" x14ac:dyDescent="0.15">
      <c r="A3" s="4"/>
      <c r="B3" s="4"/>
      <c r="V3" s="4"/>
      <c r="AF3" s="14"/>
      <c r="AG3" s="14"/>
      <c r="AH3" s="14"/>
    </row>
    <row r="4" spans="1:49" s="3" customFormat="1" ht="15.75" customHeight="1" x14ac:dyDescent="0.15">
      <c r="C4" s="5" t="s">
        <v>116</v>
      </c>
      <c r="D4" s="11" t="s">
        <v>78</v>
      </c>
      <c r="F4" s="11"/>
      <c r="G4" s="4"/>
      <c r="H4" s="4"/>
      <c r="I4" s="4"/>
      <c r="J4" s="4"/>
      <c r="K4" s="4"/>
      <c r="L4" s="4"/>
      <c r="O4" s="4"/>
      <c r="P4" s="4"/>
      <c r="Q4" s="4"/>
      <c r="R4" s="4"/>
      <c r="S4" s="4"/>
      <c r="T4" s="4"/>
      <c r="U4" s="27"/>
      <c r="V4" s="27"/>
      <c r="W4" s="27"/>
      <c r="X4" s="27"/>
    </row>
    <row r="5" spans="1:49" s="3" customFormat="1" ht="15.75" customHeight="1" x14ac:dyDescent="0.15">
      <c r="F5" s="5"/>
      <c r="H5" s="24"/>
      <c r="J5" s="24"/>
      <c r="T5" s="27"/>
      <c r="U5" s="27"/>
      <c r="V5" s="27"/>
      <c r="W5" s="27"/>
    </row>
    <row r="6" spans="1:49" s="3" customFormat="1" ht="15.75" customHeight="1" x14ac:dyDescent="0.15">
      <c r="D6" s="5" t="s">
        <v>39</v>
      </c>
      <c r="E6" s="349" t="s">
        <v>40</v>
      </c>
      <c r="F6" s="349"/>
      <c r="G6" s="349"/>
      <c r="H6" s="349"/>
      <c r="I6" s="349"/>
      <c r="J6" s="349"/>
      <c r="K6" s="15" t="s">
        <v>41</v>
      </c>
      <c r="L6" s="350" t="s">
        <v>42</v>
      </c>
      <c r="M6" s="350"/>
      <c r="N6" s="29" t="s">
        <v>4</v>
      </c>
      <c r="O6" s="347">
        <v>21</v>
      </c>
      <c r="P6" s="347"/>
      <c r="Q6" s="54" t="s">
        <v>43</v>
      </c>
      <c r="R6" s="24"/>
      <c r="S6" s="24" t="s">
        <v>44</v>
      </c>
      <c r="T6" s="27"/>
      <c r="U6" s="27"/>
      <c r="V6" s="27"/>
      <c r="W6" s="27"/>
      <c r="AK6" s="36" t="s">
        <v>63</v>
      </c>
      <c r="AL6" s="35"/>
      <c r="AM6" s="35"/>
      <c r="AN6" s="35"/>
      <c r="AO6" s="35"/>
      <c r="AP6" s="35"/>
      <c r="AQ6" s="35"/>
      <c r="AR6" s="35"/>
      <c r="AS6" s="35"/>
    </row>
    <row r="7" spans="1:49" s="3" customFormat="1" ht="15.75" customHeight="1" x14ac:dyDescent="0.15">
      <c r="I7" s="28"/>
      <c r="J7" s="15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AK7" s="35" t="s">
        <v>64</v>
      </c>
      <c r="AL7" s="35" t="s">
        <v>65</v>
      </c>
      <c r="AM7" s="35" t="s">
        <v>66</v>
      </c>
      <c r="AN7" s="35" t="s">
        <v>67</v>
      </c>
      <c r="AO7" s="35" t="s">
        <v>68</v>
      </c>
      <c r="AP7" s="35" t="s">
        <v>64</v>
      </c>
      <c r="AQ7" s="35" t="s">
        <v>65</v>
      </c>
      <c r="AR7" s="35" t="s">
        <v>66</v>
      </c>
      <c r="AS7" s="35" t="s">
        <v>67</v>
      </c>
    </row>
    <row r="8" spans="1:49" s="3" customFormat="1" ht="15.75" customHeight="1" x14ac:dyDescent="0.15">
      <c r="D8" s="5" t="s">
        <v>39</v>
      </c>
      <c r="E8" s="349" t="s">
        <v>45</v>
      </c>
      <c r="F8" s="349"/>
      <c r="G8" s="349"/>
      <c r="H8" s="349"/>
      <c r="I8" s="349"/>
      <c r="J8" s="349"/>
      <c r="K8" s="15" t="s">
        <v>41</v>
      </c>
      <c r="L8" s="350" t="s">
        <v>46</v>
      </c>
      <c r="M8" s="350"/>
      <c r="N8" s="29" t="s">
        <v>4</v>
      </c>
      <c r="O8" s="351">
        <f>VLOOKUP(O6,AK9:AT15,5)</f>
        <v>23.5</v>
      </c>
      <c r="P8" s="351"/>
      <c r="Q8" s="29" t="s">
        <v>47</v>
      </c>
      <c r="R8" s="352" t="s">
        <v>48</v>
      </c>
      <c r="S8" s="352"/>
      <c r="T8" s="30" t="s">
        <v>49</v>
      </c>
      <c r="U8" s="27"/>
      <c r="V8" s="27"/>
      <c r="W8" s="27"/>
      <c r="AK8" s="35" t="s">
        <v>69</v>
      </c>
      <c r="AL8" s="35" t="s">
        <v>70</v>
      </c>
      <c r="AM8" s="35" t="s">
        <v>71</v>
      </c>
      <c r="AN8" s="35" t="s">
        <v>72</v>
      </c>
      <c r="AO8" s="35" t="s">
        <v>73</v>
      </c>
      <c r="AP8" s="35" t="s">
        <v>74</v>
      </c>
      <c r="AQ8" s="35" t="s">
        <v>70</v>
      </c>
      <c r="AR8" s="35" t="s">
        <v>71</v>
      </c>
      <c r="AS8" s="35" t="s">
        <v>75</v>
      </c>
    </row>
    <row r="9" spans="1:49" s="3" customFormat="1" ht="15.75" customHeight="1" x14ac:dyDescent="0.15">
      <c r="D9" s="5"/>
      <c r="E9" s="28"/>
      <c r="F9" s="28"/>
      <c r="G9" s="28"/>
      <c r="H9" s="28"/>
      <c r="I9" s="28"/>
      <c r="J9" s="28"/>
      <c r="K9" s="15"/>
      <c r="L9" s="31"/>
      <c r="M9" s="31"/>
      <c r="N9" s="29"/>
      <c r="O9" s="56"/>
      <c r="P9" s="56"/>
      <c r="Q9" s="29"/>
      <c r="R9" s="55"/>
      <c r="S9" s="30"/>
      <c r="T9" s="27"/>
      <c r="U9" s="27"/>
      <c r="V9" s="27"/>
      <c r="W9" s="27"/>
      <c r="AK9" s="35">
        <v>18</v>
      </c>
      <c r="AL9" s="35">
        <v>18</v>
      </c>
      <c r="AM9" s="35">
        <v>1.6</v>
      </c>
      <c r="AN9" s="35">
        <v>1.9</v>
      </c>
      <c r="AO9" s="35">
        <v>22</v>
      </c>
      <c r="AP9" s="35">
        <v>18</v>
      </c>
      <c r="AQ9" s="35">
        <v>13.8</v>
      </c>
      <c r="AR9" s="35">
        <v>1.2</v>
      </c>
      <c r="AS9" s="35">
        <v>1.5</v>
      </c>
    </row>
    <row r="10" spans="1:49" s="3" customFormat="1" ht="15.75" customHeight="1" x14ac:dyDescent="0.15">
      <c r="C10" s="5" t="s">
        <v>117</v>
      </c>
      <c r="D10" s="11" t="s">
        <v>79</v>
      </c>
      <c r="F10" s="11"/>
      <c r="G10" s="4"/>
      <c r="H10" s="4"/>
      <c r="I10" s="4"/>
      <c r="J10" s="4"/>
      <c r="K10" s="4"/>
      <c r="L10" s="4"/>
      <c r="O10" s="4"/>
      <c r="P10" s="4"/>
      <c r="Q10" s="4"/>
      <c r="R10" s="4"/>
      <c r="S10" s="4"/>
      <c r="T10" s="4"/>
      <c r="U10" s="27"/>
      <c r="V10" s="27"/>
      <c r="W10" s="27"/>
      <c r="X10" s="27"/>
      <c r="AK10" s="35">
        <v>21</v>
      </c>
      <c r="AL10" s="35">
        <v>21</v>
      </c>
      <c r="AM10" s="35">
        <v>1.8</v>
      </c>
      <c r="AN10" s="35">
        <v>2.1</v>
      </c>
      <c r="AO10" s="35">
        <v>23.5</v>
      </c>
      <c r="AP10" s="35">
        <v>21</v>
      </c>
      <c r="AQ10" s="35">
        <v>16.2</v>
      </c>
      <c r="AR10" s="35">
        <v>1.3</v>
      </c>
      <c r="AS10" s="35">
        <v>1.6</v>
      </c>
    </row>
    <row r="11" spans="1:49" s="3" customFormat="1" ht="15.75" customHeight="1" x14ac:dyDescent="0.15">
      <c r="F11" s="5"/>
      <c r="H11" s="24"/>
      <c r="J11" s="24"/>
      <c r="T11" s="27"/>
      <c r="U11" s="27"/>
      <c r="V11" s="27"/>
      <c r="W11" s="27"/>
      <c r="AJ11" s="4"/>
      <c r="AK11" s="35">
        <v>24</v>
      </c>
      <c r="AL11" s="35">
        <v>24</v>
      </c>
      <c r="AM11" s="35">
        <v>1.9</v>
      </c>
      <c r="AN11" s="35">
        <v>2.2999999999999998</v>
      </c>
      <c r="AO11" s="35">
        <v>25</v>
      </c>
      <c r="AP11" s="35">
        <v>24</v>
      </c>
      <c r="AQ11" s="35">
        <v>18.5</v>
      </c>
      <c r="AR11" s="35">
        <v>1.5</v>
      </c>
      <c r="AS11" s="35">
        <v>1.8</v>
      </c>
      <c r="AW11" s="14"/>
    </row>
    <row r="12" spans="1:49" s="3" customFormat="1" ht="15.75" customHeight="1" x14ac:dyDescent="0.15">
      <c r="D12" s="5" t="s">
        <v>39</v>
      </c>
      <c r="E12" s="349" t="s">
        <v>40</v>
      </c>
      <c r="F12" s="349"/>
      <c r="G12" s="349"/>
      <c r="H12" s="349"/>
      <c r="I12" s="349"/>
      <c r="J12" s="349"/>
      <c r="K12" s="15" t="s">
        <v>41</v>
      </c>
      <c r="L12" s="350" t="s">
        <v>42</v>
      </c>
      <c r="M12" s="350"/>
      <c r="N12" s="29" t="s">
        <v>4</v>
      </c>
      <c r="O12" s="347">
        <v>21</v>
      </c>
      <c r="P12" s="347"/>
      <c r="Q12" s="54" t="s">
        <v>43</v>
      </c>
      <c r="R12" s="24"/>
      <c r="S12" s="24" t="s">
        <v>44</v>
      </c>
      <c r="T12" s="27"/>
      <c r="U12" s="27"/>
      <c r="V12" s="27"/>
      <c r="W12" s="27"/>
      <c r="AK12" s="35">
        <v>27</v>
      </c>
      <c r="AL12" s="35">
        <v>27</v>
      </c>
      <c r="AM12" s="35">
        <v>2.1</v>
      </c>
      <c r="AN12" s="35">
        <v>2.5</v>
      </c>
      <c r="AO12" s="35">
        <v>26.5</v>
      </c>
      <c r="AP12" s="35">
        <v>27</v>
      </c>
      <c r="AQ12" s="35">
        <v>20.8</v>
      </c>
      <c r="AR12" s="35">
        <v>1.6</v>
      </c>
      <c r="AS12" s="35">
        <v>1.9</v>
      </c>
    </row>
    <row r="13" spans="1:49" s="3" customFormat="1" ht="15.75" customHeight="1" x14ac:dyDescent="0.15">
      <c r="I13" s="28"/>
      <c r="J13" s="15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AK13" s="35">
        <v>30</v>
      </c>
      <c r="AL13" s="35">
        <v>30</v>
      </c>
      <c r="AM13" s="35">
        <v>2.2000000000000002</v>
      </c>
      <c r="AN13" s="35">
        <v>2.7</v>
      </c>
      <c r="AO13" s="35">
        <v>28</v>
      </c>
      <c r="AP13" s="35">
        <v>30</v>
      </c>
      <c r="AQ13" s="35">
        <v>23.1</v>
      </c>
      <c r="AR13" s="35">
        <v>1.7</v>
      </c>
      <c r="AS13" s="35">
        <v>2.1</v>
      </c>
    </row>
    <row r="14" spans="1:49" s="3" customFormat="1" ht="15.75" customHeight="1" x14ac:dyDescent="0.15">
      <c r="D14" s="5" t="s">
        <v>39</v>
      </c>
      <c r="E14" s="349" t="s">
        <v>45</v>
      </c>
      <c r="F14" s="349"/>
      <c r="G14" s="349"/>
      <c r="H14" s="349"/>
      <c r="I14" s="349"/>
      <c r="J14" s="349"/>
      <c r="K14" s="15" t="s">
        <v>41</v>
      </c>
      <c r="L14" s="350" t="s">
        <v>46</v>
      </c>
      <c r="M14" s="350"/>
      <c r="N14" s="29" t="s">
        <v>4</v>
      </c>
      <c r="O14" s="351">
        <f>VLOOKUP(O12,AK9:AT15,5)</f>
        <v>23.5</v>
      </c>
      <c r="P14" s="351"/>
      <c r="Q14" s="29" t="s">
        <v>47</v>
      </c>
      <c r="R14" s="352" t="s">
        <v>48</v>
      </c>
      <c r="S14" s="352"/>
      <c r="T14" s="30" t="s">
        <v>49</v>
      </c>
      <c r="U14" s="27"/>
      <c r="V14" s="27"/>
      <c r="W14" s="27"/>
      <c r="AK14" s="35">
        <v>40</v>
      </c>
      <c r="AL14" s="35">
        <v>40</v>
      </c>
      <c r="AM14" s="35">
        <v>2.7</v>
      </c>
      <c r="AN14" s="35">
        <v>3.3</v>
      </c>
      <c r="AO14" s="35">
        <v>31</v>
      </c>
      <c r="AP14" s="35">
        <v>40</v>
      </c>
      <c r="AQ14" s="35">
        <v>30.8</v>
      </c>
      <c r="AR14" s="35">
        <v>2.1</v>
      </c>
      <c r="AS14" s="35">
        <v>2.5</v>
      </c>
    </row>
    <row r="15" spans="1:49" s="3" customFormat="1" ht="15.75" customHeight="1" x14ac:dyDescent="0.15">
      <c r="AK15" s="35">
        <v>50</v>
      </c>
      <c r="AL15" s="35">
        <v>50</v>
      </c>
      <c r="AM15" s="35">
        <v>3.1</v>
      </c>
      <c r="AN15" s="35">
        <v>3.8</v>
      </c>
      <c r="AO15" s="35">
        <v>33</v>
      </c>
      <c r="AP15" s="35"/>
      <c r="AQ15" s="35"/>
      <c r="AR15" s="35"/>
      <c r="AS15" s="35"/>
    </row>
    <row r="16" spans="1:49" s="3" customFormat="1" ht="15.75" customHeight="1" x14ac:dyDescent="0.15">
      <c r="A16" s="4"/>
      <c r="B16" s="4"/>
      <c r="C16" s="5" t="s">
        <v>124</v>
      </c>
      <c r="D16" s="32" t="s">
        <v>12</v>
      </c>
      <c r="E16" s="11"/>
      <c r="F16" s="4"/>
      <c r="G16" s="4"/>
      <c r="H16" s="4"/>
      <c r="I16" s="4"/>
      <c r="J16" s="4"/>
      <c r="K16" s="4"/>
      <c r="L16" s="4"/>
      <c r="M16" s="4"/>
      <c r="P16" s="4"/>
      <c r="Q16" s="4"/>
      <c r="R16" s="4"/>
      <c r="S16" s="4"/>
      <c r="T16" s="4"/>
      <c r="U16" s="4"/>
      <c r="V16" s="11"/>
      <c r="W16" s="4"/>
      <c r="X16" s="4"/>
      <c r="Y16" s="4"/>
      <c r="Z16" s="4"/>
      <c r="AA16" s="4"/>
      <c r="AB16" s="4"/>
      <c r="AC16" s="4"/>
      <c r="AF16" s="4"/>
      <c r="AG16" s="4"/>
      <c r="AH16" s="4"/>
      <c r="AI16" s="4"/>
    </row>
    <row r="17" spans="1:35" s="3" customFormat="1" ht="15.75" customHeight="1" x14ac:dyDescent="0.15">
      <c r="D17" s="32"/>
      <c r="S17" s="5"/>
      <c r="V17" s="24"/>
      <c r="W17" s="27"/>
      <c r="X17" s="27"/>
      <c r="Y17" s="31"/>
      <c r="Z17" s="27"/>
      <c r="AA17" s="27"/>
      <c r="AB17" s="27"/>
      <c r="AF17" s="11"/>
      <c r="AG17" s="11"/>
    </row>
    <row r="18" spans="1:35" s="3" customFormat="1" ht="15.75" customHeight="1" x14ac:dyDescent="0.15">
      <c r="D18" s="5" t="s">
        <v>39</v>
      </c>
      <c r="E18" s="349" t="s">
        <v>40</v>
      </c>
      <c r="F18" s="349"/>
      <c r="G18" s="349"/>
      <c r="H18" s="349"/>
      <c r="I18" s="349"/>
      <c r="J18" s="349"/>
      <c r="K18" s="15" t="s">
        <v>41</v>
      </c>
      <c r="L18" s="289" t="s">
        <v>50</v>
      </c>
      <c r="M18" s="289"/>
      <c r="N18" s="15" t="s">
        <v>4</v>
      </c>
      <c r="O18" s="347">
        <v>30</v>
      </c>
      <c r="P18" s="347"/>
      <c r="Q18" s="11" t="s">
        <v>51</v>
      </c>
      <c r="S18" s="24" t="s">
        <v>44</v>
      </c>
      <c r="T18" s="11"/>
      <c r="U18" s="11"/>
    </row>
    <row r="19" spans="1:35" s="3" customFormat="1" ht="15.75" customHeight="1" x14ac:dyDescent="0.15">
      <c r="D19" s="5"/>
      <c r="E19" s="28"/>
      <c r="F19" s="28"/>
      <c r="G19" s="28"/>
      <c r="H19" s="28"/>
      <c r="I19" s="28"/>
      <c r="J19" s="28"/>
      <c r="K19" s="15"/>
      <c r="L19" s="289" t="s">
        <v>50</v>
      </c>
      <c r="M19" s="289"/>
      <c r="N19" s="15" t="s">
        <v>52</v>
      </c>
      <c r="O19" s="289" t="s">
        <v>53</v>
      </c>
      <c r="P19" s="289"/>
      <c r="R19" s="15" t="s">
        <v>4</v>
      </c>
      <c r="S19" s="354">
        <f>O18</f>
        <v>30</v>
      </c>
      <c r="T19" s="354"/>
      <c r="U19" s="15" t="s">
        <v>52</v>
      </c>
      <c r="V19" s="348">
        <v>0.7</v>
      </c>
      <c r="W19" s="348"/>
      <c r="X19" s="57"/>
      <c r="Y19" s="15" t="s">
        <v>4</v>
      </c>
      <c r="Z19" s="353">
        <f>ROUND(S19*V19,1)</f>
        <v>21</v>
      </c>
      <c r="AA19" s="353"/>
      <c r="AB19" s="11" t="s">
        <v>51</v>
      </c>
    </row>
    <row r="20" spans="1:35" s="3" customFormat="1" ht="15.75" customHeight="1" x14ac:dyDescent="0.15">
      <c r="D20" s="5"/>
      <c r="E20" s="28"/>
      <c r="F20" s="28"/>
      <c r="G20" s="28"/>
      <c r="H20" s="28"/>
      <c r="I20" s="28"/>
      <c r="J20" s="28"/>
      <c r="K20" s="15"/>
      <c r="L20" s="31"/>
      <c r="M20" s="31"/>
      <c r="N20" s="29"/>
      <c r="O20" s="31"/>
      <c r="P20" s="29"/>
    </row>
    <row r="21" spans="1:35" s="3" customFormat="1" ht="15.75" customHeight="1" x14ac:dyDescent="0.15">
      <c r="D21" s="5" t="s">
        <v>39</v>
      </c>
      <c r="E21" s="349" t="s">
        <v>45</v>
      </c>
      <c r="F21" s="349"/>
      <c r="G21" s="349"/>
      <c r="H21" s="349"/>
      <c r="I21" s="349"/>
      <c r="J21" s="349"/>
      <c r="K21" s="15" t="s">
        <v>41</v>
      </c>
      <c r="L21" s="350" t="s">
        <v>54</v>
      </c>
      <c r="M21" s="350"/>
      <c r="N21" s="29" t="s">
        <v>4</v>
      </c>
      <c r="O21" s="353">
        <f>VLOOKUP(O18,AK9:AS15,5)</f>
        <v>28</v>
      </c>
      <c r="P21" s="353"/>
      <c r="Q21" s="15" t="s">
        <v>52</v>
      </c>
      <c r="R21" s="355" t="s">
        <v>55</v>
      </c>
      <c r="S21" s="355"/>
      <c r="T21" s="23" t="s">
        <v>56</v>
      </c>
      <c r="V21" s="24"/>
      <c r="Y21" s="27"/>
      <c r="Z21" s="27"/>
      <c r="AA21" s="27"/>
      <c r="AB21" s="27"/>
    </row>
    <row r="22" spans="1:35" s="3" customFormat="1" ht="15.75" customHeight="1" x14ac:dyDescent="0.15">
      <c r="L22" s="350" t="s">
        <v>54</v>
      </c>
      <c r="M22" s="350"/>
      <c r="N22" s="29" t="s">
        <v>47</v>
      </c>
      <c r="O22" s="289" t="s">
        <v>53</v>
      </c>
      <c r="P22" s="289"/>
      <c r="R22" s="15" t="s">
        <v>4</v>
      </c>
      <c r="S22" s="353">
        <f>O21</f>
        <v>28</v>
      </c>
      <c r="T22" s="353"/>
      <c r="U22" s="15" t="s">
        <v>52</v>
      </c>
      <c r="V22" s="355" t="s">
        <v>57</v>
      </c>
      <c r="W22" s="355"/>
      <c r="X22" s="15" t="s">
        <v>52</v>
      </c>
      <c r="Y22" s="348">
        <v>0.8</v>
      </c>
      <c r="Z22" s="348"/>
    </row>
    <row r="23" spans="1:35" ht="16.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1"/>
      <c r="M23" s="31"/>
      <c r="N23" s="29"/>
      <c r="O23" s="4"/>
      <c r="P23" s="3"/>
      <c r="Q23" s="3"/>
      <c r="R23" s="15" t="s">
        <v>4</v>
      </c>
      <c r="S23" s="353">
        <f>ROUND(S22*Y22,2)</f>
        <v>22.4</v>
      </c>
      <c r="T23" s="353"/>
      <c r="U23" s="15" t="s">
        <v>52</v>
      </c>
      <c r="V23" s="354" t="s">
        <v>55</v>
      </c>
      <c r="W23" s="354"/>
      <c r="X23" s="23" t="s">
        <v>56</v>
      </c>
      <c r="Y23" s="3"/>
      <c r="Z23" s="3"/>
      <c r="AA23" s="3"/>
      <c r="AB23" s="3"/>
      <c r="AC23" s="3"/>
      <c r="AD23" s="3"/>
      <c r="AE23" s="3"/>
      <c r="AF23" s="3"/>
      <c r="AG23" s="33"/>
      <c r="AH23" s="3"/>
      <c r="AI23" s="3"/>
    </row>
    <row r="24" spans="1:35" ht="16.5" customHeight="1" x14ac:dyDescent="0.15">
      <c r="A24" s="3"/>
      <c r="B24" s="3"/>
      <c r="C24" s="3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6.5" customHeight="1" x14ac:dyDescent="0.15">
      <c r="A25" s="3"/>
      <c r="B25" s="3"/>
      <c r="C25" s="3"/>
      <c r="D25" s="3"/>
      <c r="E25" s="22" t="s">
        <v>58</v>
      </c>
      <c r="F25" s="31" t="s">
        <v>59</v>
      </c>
      <c r="G25" s="29" t="s">
        <v>60</v>
      </c>
      <c r="H25" s="27" t="s">
        <v>61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6.5" customHeight="1" x14ac:dyDescent="0.15">
      <c r="A26" s="3"/>
      <c r="B26" s="3"/>
      <c r="C26" s="3"/>
      <c r="D26" s="3"/>
      <c r="E26" s="3"/>
      <c r="F26" s="3"/>
      <c r="G26" s="3"/>
      <c r="H26" s="3" t="s">
        <v>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</sheetData>
  <mergeCells count="33">
    <mergeCell ref="S19:T19"/>
    <mergeCell ref="S23:T23"/>
    <mergeCell ref="V23:W23"/>
    <mergeCell ref="E18:J18"/>
    <mergeCell ref="S22:T22"/>
    <mergeCell ref="V22:W22"/>
    <mergeCell ref="R21:S21"/>
    <mergeCell ref="E14:J14"/>
    <mergeCell ref="L14:M14"/>
    <mergeCell ref="O14:P14"/>
    <mergeCell ref="L22:M22"/>
    <mergeCell ref="O22:P22"/>
    <mergeCell ref="E21:J21"/>
    <mergeCell ref="L21:M21"/>
    <mergeCell ref="O21:P21"/>
    <mergeCell ref="L18:M18"/>
    <mergeCell ref="O18:P18"/>
    <mergeCell ref="O12:P12"/>
    <mergeCell ref="Y22:Z22"/>
    <mergeCell ref="E12:J12"/>
    <mergeCell ref="L12:M12"/>
    <mergeCell ref="E6:J6"/>
    <mergeCell ref="L6:M6"/>
    <mergeCell ref="O6:P6"/>
    <mergeCell ref="E8:J8"/>
    <mergeCell ref="L8:M8"/>
    <mergeCell ref="O8:P8"/>
    <mergeCell ref="R8:S8"/>
    <mergeCell ref="R14:S14"/>
    <mergeCell ref="Z19:AA19"/>
    <mergeCell ref="V19:W19"/>
    <mergeCell ref="L19:M19"/>
    <mergeCell ref="O19:P19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T227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1" width="2.625" style="17" customWidth="1"/>
    <col min="2" max="2" width="2.625" style="18" customWidth="1"/>
    <col min="3" max="36" width="2.625" style="17"/>
    <col min="37" max="37" width="4.625" style="4" customWidth="1"/>
    <col min="38" max="40" width="8.625" style="3" customWidth="1"/>
    <col min="41" max="16384" width="2.625" style="17"/>
  </cols>
  <sheetData>
    <row r="2" spans="1:37" ht="16.5" customHeight="1" x14ac:dyDescent="0.15">
      <c r="C2" s="5" t="s">
        <v>80</v>
      </c>
      <c r="D2" s="27" t="s">
        <v>82</v>
      </c>
    </row>
    <row r="3" spans="1:37" ht="16.5" customHeight="1" x14ac:dyDescent="0.15">
      <c r="B3" s="17"/>
    </row>
    <row r="4" spans="1:37" s="3" customFormat="1" ht="15.75" customHeight="1" x14ac:dyDescent="0.15">
      <c r="A4" s="27"/>
      <c r="B4" s="27"/>
      <c r="C4" s="39" t="s">
        <v>125</v>
      </c>
      <c r="D4" s="30" t="s">
        <v>84</v>
      </c>
      <c r="E4" s="27"/>
      <c r="F4" s="27"/>
      <c r="G4" s="27"/>
      <c r="AK4" s="4"/>
    </row>
    <row r="5" spans="1:37" ht="16.5" customHeight="1" x14ac:dyDescent="0.15">
      <c r="B5" s="17"/>
    </row>
    <row r="6" spans="1:37" ht="16.5" customHeight="1" x14ac:dyDescent="0.15">
      <c r="B6" s="17"/>
    </row>
    <row r="7" spans="1:37" ht="16.5" customHeight="1" x14ac:dyDescent="0.15">
      <c r="B7" s="17"/>
    </row>
    <row r="21" spans="4:40" ht="16.5" customHeight="1" x14ac:dyDescent="0.15">
      <c r="D21" s="362" t="s">
        <v>83</v>
      </c>
      <c r="E21" s="363"/>
      <c r="F21" s="368" t="s">
        <v>85</v>
      </c>
      <c r="G21" s="369"/>
      <c r="H21" s="370"/>
      <c r="I21" s="368" t="s">
        <v>86</v>
      </c>
      <c r="J21" s="369"/>
      <c r="K21" s="370"/>
      <c r="L21" s="334" t="s">
        <v>87</v>
      </c>
      <c r="M21" s="327"/>
      <c r="N21" s="327"/>
      <c r="O21" s="327"/>
      <c r="P21" s="327"/>
      <c r="Q21" s="327"/>
      <c r="R21" s="327"/>
      <c r="S21" s="327"/>
      <c r="T21" s="328"/>
      <c r="U21" s="334" t="s">
        <v>88</v>
      </c>
      <c r="V21" s="327"/>
      <c r="W21" s="327"/>
      <c r="X21" s="327"/>
      <c r="Y21" s="327"/>
      <c r="Z21" s="327"/>
      <c r="AA21" s="327"/>
      <c r="AB21" s="327"/>
      <c r="AC21" s="328"/>
    </row>
    <row r="22" spans="4:40" ht="16.5" customHeight="1" x14ac:dyDescent="0.15">
      <c r="D22" s="364"/>
      <c r="E22" s="365"/>
      <c r="F22" s="371"/>
      <c r="G22" s="286"/>
      <c r="H22" s="372"/>
      <c r="I22" s="371"/>
      <c r="J22" s="286"/>
      <c r="K22" s="372"/>
      <c r="L22" s="377" t="s">
        <v>89</v>
      </c>
      <c r="M22" s="378"/>
      <c r="N22" s="379"/>
      <c r="O22" s="368" t="s">
        <v>90</v>
      </c>
      <c r="P22" s="369"/>
      <c r="Q22" s="370"/>
      <c r="R22" s="368" t="s">
        <v>91</v>
      </c>
      <c r="S22" s="369"/>
      <c r="T22" s="370"/>
      <c r="U22" s="368" t="s">
        <v>90</v>
      </c>
      <c r="V22" s="369"/>
      <c r="W22" s="370"/>
      <c r="X22" s="368" t="s">
        <v>91</v>
      </c>
      <c r="Y22" s="369"/>
      <c r="Z22" s="370"/>
      <c r="AA22" s="385" t="s">
        <v>92</v>
      </c>
      <c r="AB22" s="386"/>
      <c r="AC22" s="387"/>
    </row>
    <row r="23" spans="4:40" ht="16.5" customHeight="1" x14ac:dyDescent="0.15">
      <c r="D23" s="364"/>
      <c r="E23" s="365"/>
      <c r="F23" s="371"/>
      <c r="G23" s="286"/>
      <c r="H23" s="372"/>
      <c r="I23" s="371"/>
      <c r="J23" s="286"/>
      <c r="K23" s="372"/>
      <c r="L23" s="380" t="s">
        <v>93</v>
      </c>
      <c r="M23" s="310"/>
      <c r="N23" s="381"/>
      <c r="O23" s="371"/>
      <c r="P23" s="286"/>
      <c r="Q23" s="372"/>
      <c r="R23" s="371"/>
      <c r="S23" s="286"/>
      <c r="T23" s="372"/>
      <c r="U23" s="371"/>
      <c r="V23" s="286"/>
      <c r="W23" s="372"/>
      <c r="X23" s="371"/>
      <c r="Y23" s="286"/>
      <c r="Z23" s="372"/>
      <c r="AA23" s="388"/>
      <c r="AB23" s="289"/>
      <c r="AC23" s="389"/>
    </row>
    <row r="24" spans="4:40" ht="16.5" customHeight="1" x14ac:dyDescent="0.15">
      <c r="D24" s="364"/>
      <c r="E24" s="365"/>
      <c r="F24" s="373"/>
      <c r="G24" s="374"/>
      <c r="H24" s="375"/>
      <c r="I24" s="373"/>
      <c r="J24" s="374"/>
      <c r="K24" s="375"/>
      <c r="L24" s="382" t="s">
        <v>94</v>
      </c>
      <c r="M24" s="383"/>
      <c r="N24" s="384"/>
      <c r="O24" s="373"/>
      <c r="P24" s="374"/>
      <c r="Q24" s="375"/>
      <c r="R24" s="373"/>
      <c r="S24" s="374"/>
      <c r="T24" s="375"/>
      <c r="U24" s="373"/>
      <c r="V24" s="374"/>
      <c r="W24" s="375"/>
      <c r="X24" s="373"/>
      <c r="Y24" s="374"/>
      <c r="Z24" s="375"/>
      <c r="AA24" s="390"/>
      <c r="AB24" s="391"/>
      <c r="AC24" s="392"/>
    </row>
    <row r="25" spans="4:40" ht="16.5" customHeight="1" x14ac:dyDescent="0.15">
      <c r="D25" s="366"/>
      <c r="E25" s="367"/>
      <c r="F25" s="356" t="s">
        <v>95</v>
      </c>
      <c r="G25" s="324"/>
      <c r="H25" s="357"/>
      <c r="I25" s="356" t="s">
        <v>95</v>
      </c>
      <c r="J25" s="324"/>
      <c r="K25" s="357"/>
      <c r="L25" s="356" t="s">
        <v>95</v>
      </c>
      <c r="M25" s="324"/>
      <c r="N25" s="357"/>
      <c r="O25" s="356" t="s">
        <v>95</v>
      </c>
      <c r="P25" s="324"/>
      <c r="Q25" s="357"/>
      <c r="R25" s="358" t="s">
        <v>96</v>
      </c>
      <c r="S25" s="324"/>
      <c r="T25" s="357"/>
      <c r="U25" s="356" t="s">
        <v>95</v>
      </c>
      <c r="V25" s="324"/>
      <c r="W25" s="357"/>
      <c r="X25" s="358" t="s">
        <v>96</v>
      </c>
      <c r="Y25" s="324"/>
      <c r="Z25" s="357"/>
      <c r="AA25" s="356" t="s">
        <v>95</v>
      </c>
      <c r="AB25" s="324"/>
      <c r="AC25" s="357"/>
    </row>
    <row r="26" spans="4:40" ht="16.5" customHeight="1" x14ac:dyDescent="0.15">
      <c r="D26" s="394">
        <v>1</v>
      </c>
      <c r="E26" s="395"/>
      <c r="F26" s="394">
        <v>8000</v>
      </c>
      <c r="G26" s="400"/>
      <c r="H26" s="395"/>
      <c r="I26" s="394">
        <v>1700</v>
      </c>
      <c r="J26" s="400"/>
      <c r="K26" s="395"/>
      <c r="L26" s="360">
        <v>100</v>
      </c>
      <c r="M26" s="360"/>
      <c r="N26" s="360"/>
      <c r="O26" s="361">
        <v>19</v>
      </c>
      <c r="P26" s="361"/>
      <c r="Q26" s="361"/>
      <c r="R26" s="360">
        <v>63</v>
      </c>
      <c r="S26" s="360"/>
      <c r="T26" s="360"/>
      <c r="U26" s="404">
        <v>13</v>
      </c>
      <c r="V26" s="405"/>
      <c r="W26" s="406"/>
      <c r="X26" s="394">
        <v>17</v>
      </c>
      <c r="Y26" s="400"/>
      <c r="Z26" s="395"/>
      <c r="AA26" s="394">
        <v>150</v>
      </c>
      <c r="AB26" s="400"/>
      <c r="AC26" s="395"/>
      <c r="AK26" s="4">
        <v>1</v>
      </c>
      <c r="AL26" s="37">
        <f>+L26</f>
        <v>100</v>
      </c>
      <c r="AM26" s="37">
        <f>+O26</f>
        <v>19</v>
      </c>
      <c r="AN26" s="70">
        <f>+R26</f>
        <v>63</v>
      </c>
    </row>
    <row r="27" spans="4:40" ht="16.5" customHeight="1" x14ac:dyDescent="0.15">
      <c r="D27" s="396"/>
      <c r="E27" s="397"/>
      <c r="F27" s="396"/>
      <c r="G27" s="401"/>
      <c r="H27" s="397"/>
      <c r="I27" s="396"/>
      <c r="J27" s="401"/>
      <c r="K27" s="397"/>
      <c r="L27" s="360">
        <v>350</v>
      </c>
      <c r="M27" s="360"/>
      <c r="N27" s="360"/>
      <c r="O27" s="361">
        <v>19</v>
      </c>
      <c r="P27" s="361"/>
      <c r="Q27" s="361"/>
      <c r="R27" s="360">
        <v>2</v>
      </c>
      <c r="S27" s="360"/>
      <c r="T27" s="360"/>
      <c r="U27" s="407"/>
      <c r="V27" s="403"/>
      <c r="W27" s="408"/>
      <c r="X27" s="396"/>
      <c r="Y27" s="401"/>
      <c r="Z27" s="397"/>
      <c r="AA27" s="396"/>
      <c r="AB27" s="401"/>
      <c r="AC27" s="397"/>
      <c r="AK27" s="4">
        <v>2</v>
      </c>
      <c r="AL27" s="37">
        <f t="shared" ref="AL27:AL32" si="0">+L27</f>
        <v>350</v>
      </c>
      <c r="AM27" s="37">
        <f t="shared" ref="AM27:AM32" si="1">+O27</f>
        <v>19</v>
      </c>
      <c r="AN27" s="70">
        <f t="shared" ref="AN27:AN32" si="2">+R27</f>
        <v>2</v>
      </c>
    </row>
    <row r="28" spans="4:40" ht="16.5" customHeight="1" x14ac:dyDescent="0.15">
      <c r="D28" s="396"/>
      <c r="E28" s="397"/>
      <c r="F28" s="396"/>
      <c r="G28" s="401"/>
      <c r="H28" s="397"/>
      <c r="I28" s="396"/>
      <c r="J28" s="401"/>
      <c r="K28" s="397"/>
      <c r="L28" s="393">
        <f>+L27+250</f>
        <v>600</v>
      </c>
      <c r="M28" s="393"/>
      <c r="N28" s="393"/>
      <c r="O28" s="361">
        <v>19</v>
      </c>
      <c r="P28" s="361"/>
      <c r="Q28" s="361"/>
      <c r="R28" s="360">
        <v>2</v>
      </c>
      <c r="S28" s="360"/>
      <c r="T28" s="360"/>
      <c r="U28" s="407"/>
      <c r="V28" s="403"/>
      <c r="W28" s="408"/>
      <c r="X28" s="396"/>
      <c r="Y28" s="401"/>
      <c r="Z28" s="397"/>
      <c r="AA28" s="396"/>
      <c r="AB28" s="401"/>
      <c r="AC28" s="397"/>
      <c r="AK28" s="4">
        <v>3</v>
      </c>
      <c r="AL28" s="37">
        <f t="shared" si="0"/>
        <v>600</v>
      </c>
      <c r="AM28" s="37">
        <f t="shared" si="1"/>
        <v>19</v>
      </c>
      <c r="AN28" s="70">
        <f t="shared" si="2"/>
        <v>2</v>
      </c>
    </row>
    <row r="29" spans="4:40" ht="16.5" customHeight="1" x14ac:dyDescent="0.15">
      <c r="D29" s="396"/>
      <c r="E29" s="397"/>
      <c r="F29" s="396"/>
      <c r="G29" s="401"/>
      <c r="H29" s="397"/>
      <c r="I29" s="396"/>
      <c r="J29" s="401"/>
      <c r="K29" s="397"/>
      <c r="L29" s="393">
        <f t="shared" ref="L29:L32" si="3">+L28+250</f>
        <v>850</v>
      </c>
      <c r="M29" s="393"/>
      <c r="N29" s="393"/>
      <c r="O29" s="361">
        <v>19</v>
      </c>
      <c r="P29" s="361"/>
      <c r="Q29" s="361"/>
      <c r="R29" s="360">
        <v>2</v>
      </c>
      <c r="S29" s="360"/>
      <c r="T29" s="360"/>
      <c r="U29" s="407"/>
      <c r="V29" s="403"/>
      <c r="W29" s="408"/>
      <c r="X29" s="396"/>
      <c r="Y29" s="401"/>
      <c r="Z29" s="397"/>
      <c r="AA29" s="396"/>
      <c r="AB29" s="401"/>
      <c r="AC29" s="397"/>
      <c r="AK29" s="4">
        <v>4</v>
      </c>
      <c r="AL29" s="37">
        <f t="shared" si="0"/>
        <v>850</v>
      </c>
      <c r="AM29" s="37">
        <f t="shared" si="1"/>
        <v>19</v>
      </c>
      <c r="AN29" s="70">
        <f t="shared" si="2"/>
        <v>2</v>
      </c>
    </row>
    <row r="30" spans="4:40" ht="16.5" customHeight="1" x14ac:dyDescent="0.15">
      <c r="D30" s="396"/>
      <c r="E30" s="397"/>
      <c r="F30" s="396"/>
      <c r="G30" s="401"/>
      <c r="H30" s="397"/>
      <c r="I30" s="396"/>
      <c r="J30" s="401"/>
      <c r="K30" s="397"/>
      <c r="L30" s="393">
        <f t="shared" si="3"/>
        <v>1100</v>
      </c>
      <c r="M30" s="393"/>
      <c r="N30" s="393"/>
      <c r="O30" s="361">
        <v>19</v>
      </c>
      <c r="P30" s="361"/>
      <c r="Q30" s="361"/>
      <c r="R30" s="360">
        <v>2</v>
      </c>
      <c r="S30" s="360"/>
      <c r="T30" s="360"/>
      <c r="U30" s="407"/>
      <c r="V30" s="403"/>
      <c r="W30" s="408"/>
      <c r="X30" s="396"/>
      <c r="Y30" s="401"/>
      <c r="Z30" s="397"/>
      <c r="AA30" s="396"/>
      <c r="AB30" s="401"/>
      <c r="AC30" s="397"/>
      <c r="AK30" s="4">
        <v>5</v>
      </c>
      <c r="AL30" s="37">
        <f t="shared" si="0"/>
        <v>1100</v>
      </c>
      <c r="AM30" s="37">
        <f t="shared" si="1"/>
        <v>19</v>
      </c>
      <c r="AN30" s="70">
        <f t="shared" si="2"/>
        <v>2</v>
      </c>
    </row>
    <row r="31" spans="4:40" ht="16.5" customHeight="1" x14ac:dyDescent="0.15">
      <c r="D31" s="396"/>
      <c r="E31" s="397"/>
      <c r="F31" s="396"/>
      <c r="G31" s="401"/>
      <c r="H31" s="397"/>
      <c r="I31" s="396"/>
      <c r="J31" s="401"/>
      <c r="K31" s="397"/>
      <c r="L31" s="393">
        <f t="shared" si="3"/>
        <v>1350</v>
      </c>
      <c r="M31" s="393"/>
      <c r="N31" s="393"/>
      <c r="O31" s="361">
        <v>19</v>
      </c>
      <c r="P31" s="361"/>
      <c r="Q31" s="361"/>
      <c r="R31" s="360">
        <v>2</v>
      </c>
      <c r="S31" s="360"/>
      <c r="T31" s="360"/>
      <c r="U31" s="407"/>
      <c r="V31" s="403"/>
      <c r="W31" s="408"/>
      <c r="X31" s="396"/>
      <c r="Y31" s="401"/>
      <c r="Z31" s="397"/>
      <c r="AA31" s="396"/>
      <c r="AB31" s="401"/>
      <c r="AC31" s="397"/>
      <c r="AK31" s="4">
        <v>6</v>
      </c>
      <c r="AL31" s="37">
        <f t="shared" si="0"/>
        <v>1350</v>
      </c>
      <c r="AM31" s="37">
        <f t="shared" si="1"/>
        <v>19</v>
      </c>
      <c r="AN31" s="70">
        <f t="shared" si="2"/>
        <v>2</v>
      </c>
    </row>
    <row r="32" spans="4:40" ht="16.5" customHeight="1" x14ac:dyDescent="0.15">
      <c r="D32" s="398"/>
      <c r="E32" s="399"/>
      <c r="F32" s="398"/>
      <c r="G32" s="402"/>
      <c r="H32" s="399"/>
      <c r="I32" s="398"/>
      <c r="J32" s="402"/>
      <c r="K32" s="399"/>
      <c r="L32" s="393">
        <f t="shared" si="3"/>
        <v>1600</v>
      </c>
      <c r="M32" s="393"/>
      <c r="N32" s="393"/>
      <c r="O32" s="361">
        <v>19</v>
      </c>
      <c r="P32" s="361"/>
      <c r="Q32" s="361"/>
      <c r="R32" s="360">
        <v>63</v>
      </c>
      <c r="S32" s="360"/>
      <c r="T32" s="360"/>
      <c r="U32" s="409"/>
      <c r="V32" s="410"/>
      <c r="W32" s="411"/>
      <c r="X32" s="398"/>
      <c r="Y32" s="402"/>
      <c r="Z32" s="399"/>
      <c r="AA32" s="398"/>
      <c r="AB32" s="402"/>
      <c r="AC32" s="399"/>
      <c r="AK32" s="4">
        <v>7</v>
      </c>
      <c r="AL32" s="37">
        <f t="shared" si="0"/>
        <v>1600</v>
      </c>
      <c r="AM32" s="37">
        <f t="shared" si="1"/>
        <v>19</v>
      </c>
      <c r="AN32" s="70">
        <f t="shared" si="2"/>
        <v>63</v>
      </c>
    </row>
    <row r="33" spans="1:46" ht="16.5" customHeight="1" x14ac:dyDescent="0.15">
      <c r="AK33" s="17"/>
      <c r="AL33" s="17"/>
      <c r="AM33" s="17"/>
      <c r="AN33" s="17"/>
    </row>
    <row r="34" spans="1:46" ht="16.5" customHeight="1" x14ac:dyDescent="0.15">
      <c r="AK34" s="17"/>
      <c r="AL34" s="17"/>
      <c r="AM34" s="17"/>
      <c r="AN34" s="17"/>
    </row>
    <row r="36" spans="1:46" s="3" customFormat="1" ht="15.75" customHeight="1" x14ac:dyDescent="0.15">
      <c r="A36" s="27"/>
      <c r="B36" s="27"/>
      <c r="C36" s="39" t="s">
        <v>126</v>
      </c>
      <c r="D36" s="30" t="s">
        <v>97</v>
      </c>
      <c r="E36" s="27"/>
      <c r="F36" s="27"/>
      <c r="G36" s="27"/>
      <c r="AJ36" s="17"/>
      <c r="AK36" s="4"/>
      <c r="AO36" s="17"/>
      <c r="AP36" s="17"/>
      <c r="AQ36" s="17"/>
      <c r="AR36" s="17"/>
      <c r="AS36" s="17"/>
      <c r="AT36" s="17"/>
    </row>
    <row r="48" spans="1:46" ht="16.5" customHeight="1" x14ac:dyDescent="0.15">
      <c r="AL48" s="159">
        <v>13</v>
      </c>
      <c r="AM48" s="160">
        <v>126.7</v>
      </c>
    </row>
    <row r="49" spans="4:40" ht="16.5" customHeight="1" x14ac:dyDescent="0.15">
      <c r="AL49" s="159">
        <v>16</v>
      </c>
      <c r="AM49" s="160">
        <v>198.6</v>
      </c>
    </row>
    <row r="50" spans="4:40" ht="16.5" customHeight="1" x14ac:dyDescent="0.15">
      <c r="AL50" s="159">
        <v>19</v>
      </c>
      <c r="AM50" s="160">
        <v>286.5</v>
      </c>
    </row>
    <row r="51" spans="4:40" ht="16.5" customHeight="1" x14ac:dyDescent="0.15">
      <c r="AL51" s="159">
        <v>22</v>
      </c>
      <c r="AM51" s="160">
        <v>387.1</v>
      </c>
    </row>
    <row r="52" spans="4:40" ht="16.5" customHeight="1" x14ac:dyDescent="0.15">
      <c r="AL52" s="159">
        <v>25</v>
      </c>
      <c r="AM52" s="160">
        <v>506.7</v>
      </c>
    </row>
    <row r="53" spans="4:40" ht="16.5" customHeight="1" x14ac:dyDescent="0.15">
      <c r="AL53" s="159">
        <v>29</v>
      </c>
      <c r="AM53" s="160">
        <v>642.4</v>
      </c>
    </row>
    <row r="54" spans="4:40" ht="16.5" customHeight="1" x14ac:dyDescent="0.15">
      <c r="D54" s="362" t="s">
        <v>83</v>
      </c>
      <c r="E54" s="363"/>
      <c r="F54" s="368" t="s">
        <v>85</v>
      </c>
      <c r="G54" s="369"/>
      <c r="H54" s="370"/>
      <c r="I54" s="368" t="s">
        <v>86</v>
      </c>
      <c r="J54" s="369"/>
      <c r="K54" s="370"/>
      <c r="L54" s="334" t="s">
        <v>87</v>
      </c>
      <c r="M54" s="327"/>
      <c r="N54" s="327"/>
      <c r="O54" s="327"/>
      <c r="P54" s="327"/>
      <c r="Q54" s="327"/>
      <c r="R54" s="327"/>
      <c r="S54" s="327"/>
      <c r="T54" s="328"/>
      <c r="U54" s="334" t="s">
        <v>88</v>
      </c>
      <c r="V54" s="327"/>
      <c r="W54" s="327"/>
      <c r="X54" s="327"/>
      <c r="Y54" s="327"/>
      <c r="Z54" s="327"/>
      <c r="AA54" s="327"/>
      <c r="AB54" s="327"/>
      <c r="AC54" s="328"/>
      <c r="AL54" s="159">
        <v>32</v>
      </c>
      <c r="AM54" s="160">
        <v>794.2</v>
      </c>
    </row>
    <row r="55" spans="4:40" ht="16.5" customHeight="1" x14ac:dyDescent="0.15">
      <c r="D55" s="364"/>
      <c r="E55" s="365"/>
      <c r="F55" s="371"/>
      <c r="G55" s="286"/>
      <c r="H55" s="372"/>
      <c r="I55" s="371"/>
      <c r="J55" s="286"/>
      <c r="K55" s="372"/>
      <c r="L55" s="377" t="s">
        <v>89</v>
      </c>
      <c r="M55" s="378"/>
      <c r="N55" s="379"/>
      <c r="O55" s="368" t="s">
        <v>90</v>
      </c>
      <c r="P55" s="369"/>
      <c r="Q55" s="370"/>
      <c r="R55" s="368" t="s">
        <v>91</v>
      </c>
      <c r="S55" s="369"/>
      <c r="T55" s="370"/>
      <c r="U55" s="368" t="s">
        <v>90</v>
      </c>
      <c r="V55" s="369"/>
      <c r="W55" s="370"/>
      <c r="X55" s="368" t="s">
        <v>348</v>
      </c>
      <c r="Y55" s="369"/>
      <c r="Z55" s="370"/>
      <c r="AA55" s="385" t="s">
        <v>92</v>
      </c>
      <c r="AB55" s="386"/>
      <c r="AC55" s="387"/>
      <c r="AL55" s="159">
        <v>38</v>
      </c>
      <c r="AM55" s="160">
        <v>1140</v>
      </c>
    </row>
    <row r="56" spans="4:40" ht="16.5" customHeight="1" x14ac:dyDescent="0.15">
      <c r="D56" s="364"/>
      <c r="E56" s="365"/>
      <c r="F56" s="371"/>
      <c r="G56" s="286"/>
      <c r="H56" s="372"/>
      <c r="I56" s="371"/>
      <c r="J56" s="286"/>
      <c r="K56" s="372"/>
      <c r="L56" s="380" t="s">
        <v>93</v>
      </c>
      <c r="M56" s="310"/>
      <c r="N56" s="381"/>
      <c r="O56" s="371"/>
      <c r="P56" s="286"/>
      <c r="Q56" s="372"/>
      <c r="R56" s="371"/>
      <c r="S56" s="286"/>
      <c r="T56" s="372"/>
      <c r="U56" s="371"/>
      <c r="V56" s="286"/>
      <c r="W56" s="372"/>
      <c r="X56" s="371"/>
      <c r="Y56" s="286"/>
      <c r="Z56" s="372"/>
      <c r="AA56" s="388"/>
      <c r="AB56" s="289"/>
      <c r="AC56" s="389"/>
    </row>
    <row r="57" spans="4:40" ht="16.5" customHeight="1" x14ac:dyDescent="0.15">
      <c r="D57" s="364"/>
      <c r="E57" s="365"/>
      <c r="F57" s="373"/>
      <c r="G57" s="374"/>
      <c r="H57" s="375"/>
      <c r="I57" s="373"/>
      <c r="J57" s="374"/>
      <c r="K57" s="375"/>
      <c r="L57" s="382" t="s">
        <v>94</v>
      </c>
      <c r="M57" s="383"/>
      <c r="N57" s="384"/>
      <c r="O57" s="373"/>
      <c r="P57" s="374"/>
      <c r="Q57" s="375"/>
      <c r="R57" s="373"/>
      <c r="S57" s="374"/>
      <c r="T57" s="375"/>
      <c r="U57" s="373"/>
      <c r="V57" s="374"/>
      <c r="W57" s="375"/>
      <c r="X57" s="373"/>
      <c r="Y57" s="374"/>
      <c r="Z57" s="375"/>
      <c r="AA57" s="390"/>
      <c r="AB57" s="391"/>
      <c r="AC57" s="392"/>
    </row>
    <row r="58" spans="4:40" ht="16.5" customHeight="1" x14ac:dyDescent="0.15">
      <c r="D58" s="366"/>
      <c r="E58" s="367"/>
      <c r="F58" s="356" t="s">
        <v>95</v>
      </c>
      <c r="G58" s="324"/>
      <c r="H58" s="357"/>
      <c r="I58" s="356" t="s">
        <v>95</v>
      </c>
      <c r="J58" s="324"/>
      <c r="K58" s="357"/>
      <c r="L58" s="356" t="s">
        <v>95</v>
      </c>
      <c r="M58" s="324"/>
      <c r="N58" s="357"/>
      <c r="O58" s="356" t="s">
        <v>95</v>
      </c>
      <c r="P58" s="324"/>
      <c r="Q58" s="357"/>
      <c r="R58" s="358" t="s">
        <v>96</v>
      </c>
      <c r="S58" s="324"/>
      <c r="T58" s="357"/>
      <c r="U58" s="356" t="s">
        <v>95</v>
      </c>
      <c r="V58" s="324"/>
      <c r="W58" s="357"/>
      <c r="X58" s="358" t="s">
        <v>96</v>
      </c>
      <c r="Y58" s="324"/>
      <c r="Z58" s="357"/>
      <c r="AA58" s="356" t="s">
        <v>95</v>
      </c>
      <c r="AB58" s="324"/>
      <c r="AC58" s="357"/>
    </row>
    <row r="59" spans="4:40" ht="16.5" customHeight="1" x14ac:dyDescent="0.15">
      <c r="D59" s="394">
        <v>2</v>
      </c>
      <c r="E59" s="395"/>
      <c r="F59" s="394">
        <v>8000</v>
      </c>
      <c r="G59" s="400"/>
      <c r="H59" s="395"/>
      <c r="I59" s="394">
        <v>2000</v>
      </c>
      <c r="J59" s="400"/>
      <c r="K59" s="395"/>
      <c r="L59" s="360">
        <v>100</v>
      </c>
      <c r="M59" s="360"/>
      <c r="N59" s="360"/>
      <c r="O59" s="361">
        <v>29</v>
      </c>
      <c r="P59" s="361"/>
      <c r="Q59" s="361"/>
      <c r="R59" s="360">
        <v>63</v>
      </c>
      <c r="S59" s="360"/>
      <c r="T59" s="360"/>
      <c r="U59" s="404">
        <v>19</v>
      </c>
      <c r="V59" s="405"/>
      <c r="W59" s="406"/>
      <c r="X59" s="416">
        <f>+R75</f>
        <v>12.397905759162304</v>
      </c>
      <c r="Y59" s="386"/>
      <c r="Z59" s="387"/>
      <c r="AA59" s="394">
        <v>150</v>
      </c>
      <c r="AB59" s="400"/>
      <c r="AC59" s="395"/>
      <c r="AE59" s="289" t="s">
        <v>342</v>
      </c>
      <c r="AF59" s="289"/>
      <c r="AG59" s="401">
        <v>150</v>
      </c>
      <c r="AH59" s="401"/>
      <c r="AK59" s="4">
        <v>1</v>
      </c>
      <c r="AL59" s="37">
        <f>+L59</f>
        <v>100</v>
      </c>
      <c r="AM59" s="37">
        <f>+O59</f>
        <v>29</v>
      </c>
      <c r="AN59" s="70">
        <f>+R59</f>
        <v>63</v>
      </c>
    </row>
    <row r="60" spans="4:40" ht="16.5" customHeight="1" x14ac:dyDescent="0.15">
      <c r="D60" s="396"/>
      <c r="E60" s="397"/>
      <c r="F60" s="396"/>
      <c r="G60" s="401"/>
      <c r="H60" s="397"/>
      <c r="I60" s="396"/>
      <c r="J60" s="401"/>
      <c r="K60" s="397"/>
      <c r="L60" s="360">
        <v>400</v>
      </c>
      <c r="M60" s="360"/>
      <c r="N60" s="360"/>
      <c r="O60" s="361">
        <v>29</v>
      </c>
      <c r="P60" s="361"/>
      <c r="Q60" s="361"/>
      <c r="R60" s="360">
        <v>2</v>
      </c>
      <c r="S60" s="360"/>
      <c r="T60" s="360"/>
      <c r="U60" s="407"/>
      <c r="V60" s="403"/>
      <c r="W60" s="408"/>
      <c r="X60" s="388"/>
      <c r="Y60" s="289"/>
      <c r="Z60" s="389"/>
      <c r="AA60" s="396"/>
      <c r="AB60" s="401"/>
      <c r="AC60" s="397"/>
      <c r="AE60" s="289" t="s">
        <v>342</v>
      </c>
      <c r="AF60" s="289"/>
      <c r="AG60" s="401">
        <v>150</v>
      </c>
      <c r="AH60" s="401"/>
      <c r="AK60" s="4">
        <v>2</v>
      </c>
      <c r="AL60" s="37">
        <f t="shared" ref="AL60:AL65" si="4">+L60</f>
        <v>400</v>
      </c>
      <c r="AM60" s="37">
        <f t="shared" ref="AM60:AM65" si="5">+O60</f>
        <v>29</v>
      </c>
      <c r="AN60" s="70">
        <f t="shared" ref="AN60:AN65" si="6">+R60</f>
        <v>2</v>
      </c>
    </row>
    <row r="61" spans="4:40" ht="16.5" customHeight="1" x14ac:dyDescent="0.15">
      <c r="D61" s="396"/>
      <c r="E61" s="397"/>
      <c r="F61" s="396"/>
      <c r="G61" s="401"/>
      <c r="H61" s="397"/>
      <c r="I61" s="396"/>
      <c r="J61" s="401"/>
      <c r="K61" s="397"/>
      <c r="L61" s="393">
        <f>+L60+300</f>
        <v>700</v>
      </c>
      <c r="M61" s="393"/>
      <c r="N61" s="393"/>
      <c r="O61" s="361">
        <v>29</v>
      </c>
      <c r="P61" s="361"/>
      <c r="Q61" s="361"/>
      <c r="R61" s="360">
        <v>2</v>
      </c>
      <c r="S61" s="360"/>
      <c r="T61" s="360"/>
      <c r="U61" s="407"/>
      <c r="V61" s="403"/>
      <c r="W61" s="408"/>
      <c r="X61" s="388"/>
      <c r="Y61" s="289"/>
      <c r="Z61" s="389"/>
      <c r="AA61" s="396"/>
      <c r="AB61" s="401"/>
      <c r="AC61" s="397"/>
      <c r="AK61" s="4">
        <v>3</v>
      </c>
      <c r="AL61" s="37">
        <f t="shared" si="4"/>
        <v>700</v>
      </c>
      <c r="AM61" s="37">
        <f t="shared" si="5"/>
        <v>29</v>
      </c>
      <c r="AN61" s="70">
        <f t="shared" si="6"/>
        <v>2</v>
      </c>
    </row>
    <row r="62" spans="4:40" ht="16.5" customHeight="1" x14ac:dyDescent="0.15">
      <c r="D62" s="396"/>
      <c r="E62" s="397"/>
      <c r="F62" s="396"/>
      <c r="G62" s="401"/>
      <c r="H62" s="397"/>
      <c r="I62" s="396"/>
      <c r="J62" s="401"/>
      <c r="K62" s="397"/>
      <c r="L62" s="393">
        <f t="shared" ref="L62:L64" si="7">+L61+300</f>
        <v>1000</v>
      </c>
      <c r="M62" s="393"/>
      <c r="N62" s="393"/>
      <c r="O62" s="361">
        <v>29</v>
      </c>
      <c r="P62" s="361"/>
      <c r="Q62" s="361"/>
      <c r="R62" s="360">
        <v>2</v>
      </c>
      <c r="S62" s="360"/>
      <c r="T62" s="360"/>
      <c r="U62" s="407"/>
      <c r="V62" s="403"/>
      <c r="W62" s="408"/>
      <c r="X62" s="388"/>
      <c r="Y62" s="289"/>
      <c r="Z62" s="389"/>
      <c r="AA62" s="396"/>
      <c r="AB62" s="401"/>
      <c r="AC62" s="397"/>
      <c r="AK62" s="4">
        <v>4</v>
      </c>
      <c r="AL62" s="37">
        <f t="shared" si="4"/>
        <v>1000</v>
      </c>
      <c r="AM62" s="37">
        <f t="shared" si="5"/>
        <v>29</v>
      </c>
      <c r="AN62" s="70">
        <f t="shared" si="6"/>
        <v>2</v>
      </c>
    </row>
    <row r="63" spans="4:40" ht="16.5" customHeight="1" x14ac:dyDescent="0.15">
      <c r="D63" s="396"/>
      <c r="E63" s="397"/>
      <c r="F63" s="396"/>
      <c r="G63" s="401"/>
      <c r="H63" s="397"/>
      <c r="I63" s="396"/>
      <c r="J63" s="401"/>
      <c r="K63" s="397"/>
      <c r="L63" s="393">
        <f t="shared" si="7"/>
        <v>1300</v>
      </c>
      <c r="M63" s="393"/>
      <c r="N63" s="393"/>
      <c r="O63" s="361">
        <v>29</v>
      </c>
      <c r="P63" s="361"/>
      <c r="Q63" s="361"/>
      <c r="R63" s="360">
        <v>2</v>
      </c>
      <c r="S63" s="360"/>
      <c r="T63" s="360"/>
      <c r="U63" s="407"/>
      <c r="V63" s="403"/>
      <c r="W63" s="408"/>
      <c r="X63" s="388"/>
      <c r="Y63" s="289"/>
      <c r="Z63" s="389"/>
      <c r="AA63" s="396"/>
      <c r="AB63" s="401"/>
      <c r="AC63" s="397"/>
      <c r="AK63" s="4">
        <v>5</v>
      </c>
      <c r="AL63" s="37">
        <f t="shared" si="4"/>
        <v>1300</v>
      </c>
      <c r="AM63" s="37">
        <f t="shared" si="5"/>
        <v>29</v>
      </c>
      <c r="AN63" s="70">
        <f t="shared" si="6"/>
        <v>2</v>
      </c>
    </row>
    <row r="64" spans="4:40" ht="16.5" customHeight="1" x14ac:dyDescent="0.15">
      <c r="D64" s="396"/>
      <c r="E64" s="397"/>
      <c r="F64" s="396"/>
      <c r="G64" s="401"/>
      <c r="H64" s="397"/>
      <c r="I64" s="396"/>
      <c r="J64" s="401"/>
      <c r="K64" s="397"/>
      <c r="L64" s="393">
        <f t="shared" si="7"/>
        <v>1600</v>
      </c>
      <c r="M64" s="393"/>
      <c r="N64" s="393"/>
      <c r="O64" s="361">
        <v>29</v>
      </c>
      <c r="P64" s="361"/>
      <c r="Q64" s="361"/>
      <c r="R64" s="360">
        <v>2</v>
      </c>
      <c r="S64" s="360"/>
      <c r="T64" s="360"/>
      <c r="U64" s="407"/>
      <c r="V64" s="403"/>
      <c r="W64" s="408"/>
      <c r="X64" s="388"/>
      <c r="Y64" s="289"/>
      <c r="Z64" s="389"/>
      <c r="AA64" s="396"/>
      <c r="AB64" s="401"/>
      <c r="AC64" s="397"/>
      <c r="AK64" s="4">
        <v>6</v>
      </c>
      <c r="AL64" s="37">
        <f t="shared" si="4"/>
        <v>1600</v>
      </c>
      <c r="AM64" s="37">
        <f t="shared" si="5"/>
        <v>29</v>
      </c>
      <c r="AN64" s="70">
        <f t="shared" si="6"/>
        <v>2</v>
      </c>
    </row>
    <row r="65" spans="2:44" ht="16.5" customHeight="1" x14ac:dyDescent="0.15">
      <c r="D65" s="398"/>
      <c r="E65" s="399"/>
      <c r="F65" s="398"/>
      <c r="G65" s="402"/>
      <c r="H65" s="399"/>
      <c r="I65" s="398"/>
      <c r="J65" s="402"/>
      <c r="K65" s="399"/>
      <c r="L65" s="393">
        <f>+L64+300</f>
        <v>1900</v>
      </c>
      <c r="M65" s="393"/>
      <c r="N65" s="393"/>
      <c r="O65" s="361">
        <v>29</v>
      </c>
      <c r="P65" s="361"/>
      <c r="Q65" s="361"/>
      <c r="R65" s="360">
        <v>63</v>
      </c>
      <c r="S65" s="360"/>
      <c r="T65" s="360"/>
      <c r="U65" s="409"/>
      <c r="V65" s="410"/>
      <c r="W65" s="411"/>
      <c r="X65" s="417"/>
      <c r="Y65" s="418"/>
      <c r="Z65" s="419"/>
      <c r="AA65" s="398"/>
      <c r="AB65" s="402"/>
      <c r="AC65" s="399"/>
      <c r="AK65" s="4">
        <v>7</v>
      </c>
      <c r="AL65" s="37">
        <f t="shared" si="4"/>
        <v>1900</v>
      </c>
      <c r="AM65" s="37">
        <f t="shared" si="5"/>
        <v>29</v>
      </c>
      <c r="AN65" s="70">
        <f t="shared" si="6"/>
        <v>63</v>
      </c>
    </row>
    <row r="66" spans="2:44" ht="16.5" customHeight="1" x14ac:dyDescent="0.15">
      <c r="AK66" s="17"/>
      <c r="AL66" s="4"/>
      <c r="AO66" s="3"/>
    </row>
    <row r="67" spans="2:44" ht="16.5" customHeight="1" x14ac:dyDescent="0.15">
      <c r="B67" s="17"/>
      <c r="E67" s="18"/>
      <c r="F67" s="17" t="s">
        <v>219</v>
      </c>
      <c r="G67" s="17" t="s">
        <v>339</v>
      </c>
      <c r="AK67" s="17"/>
      <c r="AL67" s="17"/>
      <c r="AM67" s="17"/>
      <c r="AN67" s="4"/>
      <c r="AO67" s="3"/>
      <c r="AP67" s="3"/>
      <c r="AQ67" s="3"/>
    </row>
    <row r="68" spans="2:44" ht="16.5" customHeight="1" x14ac:dyDescent="0.15">
      <c r="B68" s="17"/>
      <c r="E68" s="18"/>
      <c r="G68" s="403">
        <v>19</v>
      </c>
      <c r="H68" s="403"/>
      <c r="I68" s="20" t="s">
        <v>340</v>
      </c>
      <c r="J68" s="401">
        <v>2</v>
      </c>
      <c r="K68" s="401"/>
      <c r="L68" s="3" t="s">
        <v>341</v>
      </c>
      <c r="M68" s="23" t="s">
        <v>221</v>
      </c>
      <c r="N68" s="289">
        <f>+SUMIF(AL48:AL55,G68,AM48:AM55)</f>
        <v>286.5</v>
      </c>
      <c r="O68" s="289"/>
      <c r="P68" s="289"/>
      <c r="Q68" s="3" t="s">
        <v>343</v>
      </c>
      <c r="R68" s="289">
        <f>+J68</f>
        <v>2</v>
      </c>
      <c r="S68" s="289"/>
      <c r="T68" s="20" t="s">
        <v>221</v>
      </c>
      <c r="U68" s="412">
        <f>+N68*R68</f>
        <v>573</v>
      </c>
      <c r="V68" s="412"/>
      <c r="W68" s="412"/>
      <c r="X68" s="3" t="s">
        <v>344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N68" s="17"/>
      <c r="AO68" s="3"/>
      <c r="AP68" s="3"/>
      <c r="AQ68" s="3"/>
      <c r="AR68" s="3"/>
    </row>
    <row r="69" spans="2:44" ht="16.5" customHeight="1" x14ac:dyDescent="0.15">
      <c r="B69" s="17"/>
      <c r="E69" s="18"/>
      <c r="G69" s="403">
        <v>16</v>
      </c>
      <c r="H69" s="403"/>
      <c r="I69" s="20" t="s">
        <v>340</v>
      </c>
      <c r="J69" s="401">
        <v>15</v>
      </c>
      <c r="K69" s="401"/>
      <c r="L69" s="3" t="s">
        <v>341</v>
      </c>
      <c r="M69" s="23" t="s">
        <v>221</v>
      </c>
      <c r="N69" s="289">
        <f>+SUMIF(AL48:AL55,G69,AM48:AM55)</f>
        <v>198.6</v>
      </c>
      <c r="O69" s="289"/>
      <c r="P69" s="289"/>
      <c r="Q69" s="3" t="s">
        <v>343</v>
      </c>
      <c r="R69" s="289">
        <f>+J69</f>
        <v>15</v>
      </c>
      <c r="S69" s="289"/>
      <c r="T69" s="20" t="s">
        <v>221</v>
      </c>
      <c r="U69" s="412">
        <f>+N69*R69</f>
        <v>2979</v>
      </c>
      <c r="V69" s="412"/>
      <c r="W69" s="412"/>
      <c r="X69" s="3" t="s">
        <v>344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M69" s="17"/>
      <c r="AN69" s="4"/>
      <c r="AO69" s="3"/>
      <c r="AP69" s="3"/>
      <c r="AQ69" s="3"/>
    </row>
    <row r="70" spans="2:44" ht="8.25" customHeight="1" x14ac:dyDescent="0.15">
      <c r="B70" s="17"/>
      <c r="E70" s="18"/>
      <c r="F70" s="161"/>
      <c r="G70" s="76"/>
      <c r="H70" s="76"/>
      <c r="I70" s="162"/>
      <c r="J70" s="84"/>
      <c r="K70" s="84"/>
      <c r="L70" s="163"/>
      <c r="M70" s="164"/>
      <c r="N70" s="83"/>
      <c r="O70" s="83"/>
      <c r="P70" s="83"/>
      <c r="Q70" s="163"/>
      <c r="R70" s="83"/>
      <c r="S70" s="83"/>
      <c r="T70" s="162"/>
      <c r="U70" s="143"/>
      <c r="V70" s="143"/>
      <c r="W70" s="143"/>
      <c r="X70" s="163"/>
      <c r="Y70" s="16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M70" s="17"/>
      <c r="AN70" s="4"/>
      <c r="AO70" s="3"/>
      <c r="AP70" s="3"/>
      <c r="AQ70" s="3"/>
    </row>
    <row r="71" spans="2:44" ht="8.25" customHeight="1" x14ac:dyDescent="0.15">
      <c r="B71" s="17"/>
      <c r="E71" s="18"/>
      <c r="G71" s="75"/>
      <c r="H71" s="75"/>
      <c r="I71" s="20"/>
      <c r="J71" s="85"/>
      <c r="K71" s="85"/>
      <c r="L71" s="3"/>
      <c r="M71" s="23"/>
      <c r="N71" s="4"/>
      <c r="O71" s="4"/>
      <c r="P71" s="4"/>
      <c r="Q71" s="3"/>
      <c r="R71" s="4"/>
      <c r="S71" s="4"/>
      <c r="T71" s="20"/>
      <c r="U71" s="60"/>
      <c r="V71" s="60"/>
      <c r="W71" s="60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M71" s="17"/>
      <c r="AN71" s="4"/>
      <c r="AO71" s="3"/>
      <c r="AP71" s="3"/>
      <c r="AQ71" s="3"/>
    </row>
    <row r="72" spans="2:44" ht="16.5" customHeight="1" x14ac:dyDescent="0.15">
      <c r="B72" s="17"/>
      <c r="E72" s="18"/>
      <c r="G72" s="75"/>
      <c r="H72" s="75"/>
      <c r="I72" s="20"/>
      <c r="J72" s="85"/>
      <c r="K72" s="85"/>
      <c r="L72" s="3"/>
      <c r="M72" s="23"/>
      <c r="N72" s="4"/>
      <c r="O72" s="4"/>
      <c r="P72" s="4"/>
      <c r="Q72" s="3"/>
      <c r="R72" s="4"/>
      <c r="S72" s="4" t="s">
        <v>228</v>
      </c>
      <c r="T72" s="20" t="s">
        <v>221</v>
      </c>
      <c r="U72" s="412">
        <f>SUM(U68:W69)</f>
        <v>3552</v>
      </c>
      <c r="V72" s="412"/>
      <c r="W72" s="412"/>
      <c r="X72" s="3" t="s">
        <v>344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M72" s="17"/>
      <c r="AN72" s="4"/>
      <c r="AO72" s="3"/>
      <c r="AP72" s="3"/>
      <c r="AQ72" s="3"/>
    </row>
    <row r="73" spans="2:44" ht="16.5" customHeight="1" x14ac:dyDescent="0.15">
      <c r="B73" s="17"/>
      <c r="E73" s="1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M73" s="17"/>
      <c r="AN73" s="4"/>
      <c r="AO73" s="3"/>
      <c r="AP73" s="3"/>
      <c r="AQ73" s="3"/>
    </row>
    <row r="74" spans="2:44" ht="16.5" customHeight="1" x14ac:dyDescent="0.15">
      <c r="B74" s="17"/>
      <c r="E74" s="18"/>
      <c r="G74" s="403">
        <v>19</v>
      </c>
      <c r="H74" s="403"/>
      <c r="I74" s="17" t="s">
        <v>345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M74" s="17"/>
      <c r="AN74" s="4"/>
      <c r="AO74" s="3"/>
      <c r="AP74" s="3"/>
      <c r="AQ74" s="3"/>
    </row>
    <row r="75" spans="2:44" ht="16.5" customHeight="1" x14ac:dyDescent="0.15">
      <c r="B75" s="17"/>
      <c r="E75" s="18"/>
      <c r="G75" s="286" t="s">
        <v>346</v>
      </c>
      <c r="H75" s="286"/>
      <c r="I75" s="20" t="s">
        <v>221</v>
      </c>
      <c r="J75" s="290">
        <f>+U72</f>
        <v>3552</v>
      </c>
      <c r="K75" s="289"/>
      <c r="L75" s="289"/>
      <c r="M75" s="23" t="s">
        <v>347</v>
      </c>
      <c r="N75" s="289">
        <f>+SUMIF(AL48:AL55,G74,AM48:AM55)</f>
        <v>286.5</v>
      </c>
      <c r="O75" s="289"/>
      <c r="P75" s="289"/>
      <c r="Q75" s="23" t="s">
        <v>221</v>
      </c>
      <c r="R75" s="413">
        <f>+J75/N75</f>
        <v>12.397905759162304</v>
      </c>
      <c r="S75" s="414"/>
      <c r="T75" s="415"/>
      <c r="U75" s="3" t="s">
        <v>341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M75" s="17"/>
      <c r="AN75" s="4"/>
      <c r="AO75" s="3"/>
      <c r="AP75" s="3"/>
      <c r="AQ75" s="3"/>
    </row>
    <row r="76" spans="2:44" ht="16.5" customHeight="1" x14ac:dyDescent="0.15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9" spans="2:44" ht="16.5" customHeight="1" x14ac:dyDescent="0.15">
      <c r="C79" s="21" t="s">
        <v>118</v>
      </c>
      <c r="D79" s="17" t="s">
        <v>100</v>
      </c>
    </row>
    <row r="92" spans="4:40" ht="16.5" customHeight="1" x14ac:dyDescent="0.15">
      <c r="D92" s="362" t="s">
        <v>83</v>
      </c>
      <c r="E92" s="363"/>
      <c r="F92" s="368" t="s">
        <v>98</v>
      </c>
      <c r="G92" s="369"/>
      <c r="H92" s="370"/>
      <c r="I92" s="334" t="s">
        <v>87</v>
      </c>
      <c r="J92" s="327"/>
      <c r="K92" s="327"/>
      <c r="L92" s="327"/>
      <c r="M92" s="327"/>
      <c r="N92" s="327"/>
      <c r="O92" s="327"/>
      <c r="P92" s="327"/>
      <c r="Q92" s="328"/>
      <c r="R92" s="334" t="s">
        <v>88</v>
      </c>
      <c r="S92" s="327"/>
      <c r="T92" s="327"/>
      <c r="U92" s="327"/>
      <c r="V92" s="327"/>
      <c r="W92" s="327"/>
      <c r="X92" s="327"/>
      <c r="Y92" s="327"/>
      <c r="Z92" s="328"/>
      <c r="AA92" s="376" t="s">
        <v>102</v>
      </c>
      <c r="AB92" s="376"/>
      <c r="AC92" s="376"/>
      <c r="AD92" s="376"/>
      <c r="AE92" s="376"/>
      <c r="AF92" s="376"/>
    </row>
    <row r="93" spans="4:40" ht="16.5" customHeight="1" x14ac:dyDescent="0.15">
      <c r="D93" s="364"/>
      <c r="E93" s="365"/>
      <c r="F93" s="371"/>
      <c r="G93" s="286"/>
      <c r="H93" s="372"/>
      <c r="I93" s="377" t="s">
        <v>99</v>
      </c>
      <c r="J93" s="378"/>
      <c r="K93" s="379"/>
      <c r="L93" s="368" t="s">
        <v>90</v>
      </c>
      <c r="M93" s="369"/>
      <c r="N93" s="370"/>
      <c r="O93" s="368" t="s">
        <v>91</v>
      </c>
      <c r="P93" s="369"/>
      <c r="Q93" s="370"/>
      <c r="R93" s="368" t="s">
        <v>90</v>
      </c>
      <c r="S93" s="369"/>
      <c r="T93" s="370"/>
      <c r="U93" s="368" t="s">
        <v>91</v>
      </c>
      <c r="V93" s="369"/>
      <c r="W93" s="370"/>
      <c r="X93" s="385" t="s">
        <v>92</v>
      </c>
      <c r="Y93" s="386"/>
      <c r="Z93" s="387"/>
      <c r="AA93" s="376"/>
      <c r="AB93" s="376"/>
      <c r="AC93" s="376"/>
      <c r="AD93" s="376"/>
      <c r="AE93" s="376"/>
      <c r="AF93" s="376"/>
    </row>
    <row r="94" spans="4:40" ht="16.5" customHeight="1" x14ac:dyDescent="0.15">
      <c r="D94" s="364"/>
      <c r="E94" s="365"/>
      <c r="F94" s="371"/>
      <c r="G94" s="286"/>
      <c r="H94" s="372"/>
      <c r="I94" s="380"/>
      <c r="J94" s="310"/>
      <c r="K94" s="381"/>
      <c r="L94" s="371"/>
      <c r="M94" s="286"/>
      <c r="N94" s="372"/>
      <c r="O94" s="371"/>
      <c r="P94" s="286"/>
      <c r="Q94" s="372"/>
      <c r="R94" s="371"/>
      <c r="S94" s="286"/>
      <c r="T94" s="372"/>
      <c r="U94" s="371"/>
      <c r="V94" s="286"/>
      <c r="W94" s="372"/>
      <c r="X94" s="388"/>
      <c r="Y94" s="289"/>
      <c r="Z94" s="389"/>
      <c r="AA94" s="376"/>
      <c r="AB94" s="376"/>
      <c r="AC94" s="376"/>
      <c r="AD94" s="376"/>
      <c r="AE94" s="376"/>
      <c r="AF94" s="376"/>
      <c r="AL94" s="37">
        <f>+I97</f>
        <v>161</v>
      </c>
      <c r="AM94" s="37">
        <f>+L97</f>
        <v>32</v>
      </c>
      <c r="AN94" s="70">
        <f>+O97</f>
        <v>20</v>
      </c>
    </row>
    <row r="95" spans="4:40" ht="16.5" customHeight="1" x14ac:dyDescent="0.15">
      <c r="D95" s="364"/>
      <c r="E95" s="365"/>
      <c r="F95" s="373"/>
      <c r="G95" s="374"/>
      <c r="H95" s="375"/>
      <c r="I95" s="382"/>
      <c r="J95" s="383"/>
      <c r="K95" s="384"/>
      <c r="L95" s="373"/>
      <c r="M95" s="374"/>
      <c r="N95" s="375"/>
      <c r="O95" s="373"/>
      <c r="P95" s="374"/>
      <c r="Q95" s="375"/>
      <c r="R95" s="373"/>
      <c r="S95" s="374"/>
      <c r="T95" s="375"/>
      <c r="U95" s="373"/>
      <c r="V95" s="374"/>
      <c r="W95" s="375"/>
      <c r="X95" s="390"/>
      <c r="Y95" s="391"/>
      <c r="Z95" s="392"/>
      <c r="AA95" s="376"/>
      <c r="AB95" s="376"/>
      <c r="AC95" s="376"/>
      <c r="AD95" s="376"/>
      <c r="AE95" s="376"/>
      <c r="AF95" s="376"/>
      <c r="AL95" s="37">
        <f>+I98</f>
        <v>193</v>
      </c>
      <c r="AM95" s="37">
        <f>+L98</f>
        <v>32</v>
      </c>
      <c r="AN95" s="70">
        <f>+O98</f>
        <v>20</v>
      </c>
    </row>
    <row r="96" spans="4:40" ht="16.5" customHeight="1" x14ac:dyDescent="0.15">
      <c r="D96" s="366"/>
      <c r="E96" s="367"/>
      <c r="F96" s="356" t="s">
        <v>95</v>
      </c>
      <c r="G96" s="324"/>
      <c r="H96" s="357"/>
      <c r="I96" s="356" t="s">
        <v>95</v>
      </c>
      <c r="J96" s="324"/>
      <c r="K96" s="357"/>
      <c r="L96" s="356" t="s">
        <v>95</v>
      </c>
      <c r="M96" s="324"/>
      <c r="N96" s="357"/>
      <c r="O96" s="358" t="s">
        <v>96</v>
      </c>
      <c r="P96" s="324"/>
      <c r="Q96" s="357"/>
      <c r="R96" s="356" t="s">
        <v>95</v>
      </c>
      <c r="S96" s="324"/>
      <c r="T96" s="357"/>
      <c r="U96" s="358" t="s">
        <v>96</v>
      </c>
      <c r="V96" s="324"/>
      <c r="W96" s="357"/>
      <c r="X96" s="356" t="s">
        <v>95</v>
      </c>
      <c r="Y96" s="324"/>
      <c r="Z96" s="357"/>
      <c r="AA96" s="376"/>
      <c r="AB96" s="376"/>
      <c r="AC96" s="376"/>
      <c r="AD96" s="376"/>
      <c r="AE96" s="376"/>
      <c r="AF96" s="376"/>
    </row>
    <row r="97" spans="3:40" ht="16.5" customHeight="1" x14ac:dyDescent="0.15">
      <c r="D97" s="360">
        <v>3</v>
      </c>
      <c r="E97" s="360"/>
      <c r="F97" s="360">
        <v>1300</v>
      </c>
      <c r="G97" s="360"/>
      <c r="H97" s="360"/>
      <c r="I97" s="360">
        <v>161</v>
      </c>
      <c r="J97" s="360"/>
      <c r="K97" s="360"/>
      <c r="L97" s="361">
        <v>32</v>
      </c>
      <c r="M97" s="361"/>
      <c r="N97" s="361"/>
      <c r="O97" s="360">
        <v>20</v>
      </c>
      <c r="P97" s="360"/>
      <c r="Q97" s="360"/>
      <c r="R97" s="361">
        <v>16</v>
      </c>
      <c r="S97" s="361"/>
      <c r="T97" s="361"/>
      <c r="U97" s="360">
        <v>2</v>
      </c>
      <c r="V97" s="360"/>
      <c r="W97" s="360"/>
      <c r="X97" s="360">
        <v>125</v>
      </c>
      <c r="Y97" s="360"/>
      <c r="Z97" s="360"/>
      <c r="AA97" s="359" t="s">
        <v>103</v>
      </c>
      <c r="AB97" s="359"/>
      <c r="AC97" s="359"/>
      <c r="AD97" s="359"/>
      <c r="AE97" s="359"/>
      <c r="AF97" s="359"/>
    </row>
    <row r="98" spans="3:40" ht="16.5" customHeight="1" x14ac:dyDescent="0.15">
      <c r="D98" s="360"/>
      <c r="E98" s="360"/>
      <c r="F98" s="360"/>
      <c r="G98" s="360"/>
      <c r="H98" s="360"/>
      <c r="I98" s="360">
        <v>193</v>
      </c>
      <c r="J98" s="360"/>
      <c r="K98" s="360"/>
      <c r="L98" s="361">
        <v>32</v>
      </c>
      <c r="M98" s="361"/>
      <c r="N98" s="361"/>
      <c r="O98" s="360">
        <v>20</v>
      </c>
      <c r="P98" s="360"/>
      <c r="Q98" s="360"/>
      <c r="R98" s="361"/>
      <c r="S98" s="361"/>
      <c r="T98" s="361"/>
      <c r="U98" s="360"/>
      <c r="V98" s="360"/>
      <c r="W98" s="360"/>
      <c r="X98" s="360"/>
      <c r="Y98" s="360"/>
      <c r="Z98" s="360"/>
      <c r="AA98" s="359"/>
      <c r="AB98" s="359"/>
      <c r="AC98" s="359"/>
      <c r="AD98" s="359"/>
      <c r="AE98" s="359"/>
      <c r="AF98" s="359"/>
    </row>
    <row r="101" spans="3:40" ht="16.5" customHeight="1" x14ac:dyDescent="0.15">
      <c r="C101" s="21" t="s">
        <v>119</v>
      </c>
      <c r="D101" s="17" t="s">
        <v>101</v>
      </c>
    </row>
    <row r="103" spans="3:40" ht="16.5" customHeight="1" x14ac:dyDescent="0.15">
      <c r="D103" s="362" t="s">
        <v>83</v>
      </c>
      <c r="E103" s="363"/>
      <c r="F103" s="368" t="s">
        <v>98</v>
      </c>
      <c r="G103" s="369"/>
      <c r="H103" s="370"/>
      <c r="I103" s="334" t="s">
        <v>87</v>
      </c>
      <c r="J103" s="327"/>
      <c r="K103" s="327"/>
      <c r="L103" s="327"/>
      <c r="M103" s="327"/>
      <c r="N103" s="327"/>
      <c r="O103" s="327"/>
      <c r="P103" s="327"/>
      <c r="Q103" s="328"/>
      <c r="R103" s="334" t="s">
        <v>88</v>
      </c>
      <c r="S103" s="327"/>
      <c r="T103" s="327"/>
      <c r="U103" s="327"/>
      <c r="V103" s="327"/>
      <c r="W103" s="327"/>
      <c r="X103" s="327"/>
      <c r="Y103" s="327"/>
      <c r="Z103" s="328"/>
      <c r="AA103" s="376" t="s">
        <v>102</v>
      </c>
      <c r="AB103" s="376"/>
      <c r="AC103" s="376"/>
      <c r="AD103" s="376"/>
      <c r="AE103" s="376"/>
      <c r="AF103" s="376"/>
    </row>
    <row r="104" spans="3:40" ht="16.5" customHeight="1" x14ac:dyDescent="0.15">
      <c r="D104" s="364"/>
      <c r="E104" s="365"/>
      <c r="F104" s="371"/>
      <c r="G104" s="286"/>
      <c r="H104" s="372"/>
      <c r="I104" s="377" t="s">
        <v>99</v>
      </c>
      <c r="J104" s="378"/>
      <c r="K104" s="379"/>
      <c r="L104" s="368" t="s">
        <v>90</v>
      </c>
      <c r="M104" s="369"/>
      <c r="N104" s="370"/>
      <c r="O104" s="368" t="s">
        <v>91</v>
      </c>
      <c r="P104" s="369"/>
      <c r="Q104" s="370"/>
      <c r="R104" s="368" t="s">
        <v>90</v>
      </c>
      <c r="S104" s="369"/>
      <c r="T104" s="370"/>
      <c r="U104" s="368" t="s">
        <v>91</v>
      </c>
      <c r="V104" s="369"/>
      <c r="W104" s="370"/>
      <c r="X104" s="385" t="s">
        <v>92</v>
      </c>
      <c r="Y104" s="386"/>
      <c r="Z104" s="387"/>
      <c r="AA104" s="376"/>
      <c r="AB104" s="376"/>
      <c r="AC104" s="376"/>
      <c r="AD104" s="376"/>
      <c r="AE104" s="376"/>
      <c r="AF104" s="376"/>
    </row>
    <row r="105" spans="3:40" ht="16.5" customHeight="1" x14ac:dyDescent="0.15">
      <c r="D105" s="364"/>
      <c r="E105" s="365"/>
      <c r="F105" s="371"/>
      <c r="G105" s="286"/>
      <c r="H105" s="372"/>
      <c r="I105" s="380"/>
      <c r="J105" s="310"/>
      <c r="K105" s="381"/>
      <c r="L105" s="371"/>
      <c r="M105" s="286"/>
      <c r="N105" s="372"/>
      <c r="O105" s="371"/>
      <c r="P105" s="286"/>
      <c r="Q105" s="372"/>
      <c r="R105" s="371"/>
      <c r="S105" s="286"/>
      <c r="T105" s="372"/>
      <c r="U105" s="371"/>
      <c r="V105" s="286"/>
      <c r="W105" s="372"/>
      <c r="X105" s="388"/>
      <c r="Y105" s="289"/>
      <c r="Z105" s="389"/>
      <c r="AA105" s="376"/>
      <c r="AB105" s="376"/>
      <c r="AC105" s="376"/>
      <c r="AD105" s="376"/>
      <c r="AE105" s="376"/>
      <c r="AF105" s="376"/>
      <c r="AL105" s="37">
        <f>+I108</f>
        <v>161</v>
      </c>
      <c r="AM105" s="37">
        <f>+L108</f>
        <v>32</v>
      </c>
      <c r="AN105" s="70">
        <f>+O108</f>
        <v>20</v>
      </c>
    </row>
    <row r="106" spans="3:40" ht="16.5" customHeight="1" x14ac:dyDescent="0.15">
      <c r="D106" s="364"/>
      <c r="E106" s="365"/>
      <c r="F106" s="373"/>
      <c r="G106" s="374"/>
      <c r="H106" s="375"/>
      <c r="I106" s="382"/>
      <c r="J106" s="383"/>
      <c r="K106" s="384"/>
      <c r="L106" s="373"/>
      <c r="M106" s="374"/>
      <c r="N106" s="375"/>
      <c r="O106" s="373"/>
      <c r="P106" s="374"/>
      <c r="Q106" s="375"/>
      <c r="R106" s="373"/>
      <c r="S106" s="374"/>
      <c r="T106" s="375"/>
      <c r="U106" s="373"/>
      <c r="V106" s="374"/>
      <c r="W106" s="375"/>
      <c r="X106" s="390"/>
      <c r="Y106" s="391"/>
      <c r="Z106" s="392"/>
      <c r="AA106" s="376"/>
      <c r="AB106" s="376"/>
      <c r="AC106" s="376"/>
      <c r="AD106" s="376"/>
      <c r="AE106" s="376"/>
      <c r="AF106" s="376"/>
      <c r="AL106" s="37">
        <f>+I109</f>
        <v>193</v>
      </c>
      <c r="AM106" s="37">
        <f>+L109</f>
        <v>32</v>
      </c>
      <c r="AN106" s="70">
        <f>+O109</f>
        <v>20</v>
      </c>
    </row>
    <row r="107" spans="3:40" ht="16.5" customHeight="1" x14ac:dyDescent="0.15">
      <c r="D107" s="366"/>
      <c r="E107" s="367"/>
      <c r="F107" s="356" t="s">
        <v>95</v>
      </c>
      <c r="G107" s="324"/>
      <c r="H107" s="357"/>
      <c r="I107" s="356" t="s">
        <v>95</v>
      </c>
      <c r="J107" s="324"/>
      <c r="K107" s="357"/>
      <c r="L107" s="356" t="s">
        <v>95</v>
      </c>
      <c r="M107" s="324"/>
      <c r="N107" s="357"/>
      <c r="O107" s="358" t="s">
        <v>96</v>
      </c>
      <c r="P107" s="324"/>
      <c r="Q107" s="357"/>
      <c r="R107" s="356" t="s">
        <v>95</v>
      </c>
      <c r="S107" s="324"/>
      <c r="T107" s="357"/>
      <c r="U107" s="358" t="s">
        <v>96</v>
      </c>
      <c r="V107" s="324"/>
      <c r="W107" s="357"/>
      <c r="X107" s="356" t="s">
        <v>95</v>
      </c>
      <c r="Y107" s="324"/>
      <c r="Z107" s="357"/>
      <c r="AA107" s="376"/>
      <c r="AB107" s="376"/>
      <c r="AC107" s="376"/>
      <c r="AD107" s="376"/>
      <c r="AE107" s="376"/>
      <c r="AF107" s="376"/>
    </row>
    <row r="108" spans="3:40" ht="16.5" customHeight="1" x14ac:dyDescent="0.15">
      <c r="D108" s="360">
        <v>4</v>
      </c>
      <c r="E108" s="360"/>
      <c r="F108" s="360">
        <v>1300</v>
      </c>
      <c r="G108" s="360"/>
      <c r="H108" s="360"/>
      <c r="I108" s="360">
        <v>161</v>
      </c>
      <c r="J108" s="360"/>
      <c r="K108" s="360"/>
      <c r="L108" s="361">
        <v>32</v>
      </c>
      <c r="M108" s="361"/>
      <c r="N108" s="361"/>
      <c r="O108" s="360">
        <v>20</v>
      </c>
      <c r="P108" s="360"/>
      <c r="Q108" s="360"/>
      <c r="R108" s="361">
        <v>16</v>
      </c>
      <c r="S108" s="361"/>
      <c r="T108" s="361"/>
      <c r="U108" s="360">
        <v>2</v>
      </c>
      <c r="V108" s="360"/>
      <c r="W108" s="360"/>
      <c r="X108" s="360">
        <v>150</v>
      </c>
      <c r="Y108" s="360"/>
      <c r="Z108" s="360"/>
      <c r="AA108" s="359" t="s">
        <v>104</v>
      </c>
      <c r="AB108" s="359"/>
      <c r="AC108" s="359"/>
      <c r="AD108" s="359"/>
      <c r="AE108" s="359"/>
      <c r="AF108" s="359"/>
    </row>
    <row r="109" spans="3:40" ht="16.5" customHeight="1" x14ac:dyDescent="0.15">
      <c r="D109" s="360"/>
      <c r="E109" s="360"/>
      <c r="F109" s="360"/>
      <c r="G109" s="360"/>
      <c r="H109" s="360"/>
      <c r="I109" s="360">
        <v>193</v>
      </c>
      <c r="J109" s="360"/>
      <c r="K109" s="360"/>
      <c r="L109" s="361">
        <v>32</v>
      </c>
      <c r="M109" s="361"/>
      <c r="N109" s="361"/>
      <c r="O109" s="360">
        <v>20</v>
      </c>
      <c r="P109" s="360"/>
      <c r="Q109" s="360"/>
      <c r="R109" s="361"/>
      <c r="S109" s="361"/>
      <c r="T109" s="361"/>
      <c r="U109" s="360"/>
      <c r="V109" s="360"/>
      <c r="W109" s="360"/>
      <c r="X109" s="360"/>
      <c r="Y109" s="360"/>
      <c r="Z109" s="360"/>
      <c r="AA109" s="359"/>
      <c r="AB109" s="359"/>
      <c r="AC109" s="359"/>
      <c r="AD109" s="359"/>
      <c r="AE109" s="359"/>
      <c r="AF109" s="359"/>
    </row>
    <row r="113" spans="3:40" ht="16.5" customHeight="1" x14ac:dyDescent="0.15">
      <c r="C113" s="21" t="s">
        <v>120</v>
      </c>
      <c r="D113" s="17" t="s">
        <v>106</v>
      </c>
    </row>
    <row r="125" spans="3:40" ht="16.5" customHeight="1" x14ac:dyDescent="0.15">
      <c r="D125" s="362" t="s">
        <v>83</v>
      </c>
      <c r="E125" s="363"/>
      <c r="F125" s="368" t="s">
        <v>98</v>
      </c>
      <c r="G125" s="369"/>
      <c r="H125" s="370"/>
      <c r="I125" s="334" t="s">
        <v>87</v>
      </c>
      <c r="J125" s="327"/>
      <c r="K125" s="327"/>
      <c r="L125" s="327"/>
      <c r="M125" s="327"/>
      <c r="N125" s="327"/>
      <c r="O125" s="327"/>
      <c r="P125" s="327"/>
      <c r="Q125" s="328"/>
      <c r="R125" s="334" t="s">
        <v>88</v>
      </c>
      <c r="S125" s="327"/>
      <c r="T125" s="327"/>
      <c r="U125" s="327"/>
      <c r="V125" s="327"/>
      <c r="W125" s="327"/>
      <c r="X125" s="327"/>
      <c r="Y125" s="327"/>
      <c r="Z125" s="328"/>
      <c r="AA125" s="376" t="s">
        <v>102</v>
      </c>
      <c r="AB125" s="376"/>
      <c r="AC125" s="376"/>
      <c r="AD125" s="376"/>
      <c r="AE125" s="376"/>
      <c r="AF125" s="376"/>
    </row>
    <row r="126" spans="3:40" ht="16.5" customHeight="1" x14ac:dyDescent="0.15">
      <c r="D126" s="364"/>
      <c r="E126" s="365"/>
      <c r="F126" s="371"/>
      <c r="G126" s="286"/>
      <c r="H126" s="372"/>
      <c r="I126" s="377" t="s">
        <v>99</v>
      </c>
      <c r="J126" s="378"/>
      <c r="K126" s="379"/>
      <c r="L126" s="368" t="s">
        <v>90</v>
      </c>
      <c r="M126" s="369"/>
      <c r="N126" s="370"/>
      <c r="O126" s="368" t="s">
        <v>91</v>
      </c>
      <c r="P126" s="369"/>
      <c r="Q126" s="370"/>
      <c r="R126" s="368" t="s">
        <v>90</v>
      </c>
      <c r="S126" s="369"/>
      <c r="T126" s="370"/>
      <c r="U126" s="368" t="s">
        <v>91</v>
      </c>
      <c r="V126" s="369"/>
      <c r="W126" s="370"/>
      <c r="X126" s="385" t="s">
        <v>92</v>
      </c>
      <c r="Y126" s="386"/>
      <c r="Z126" s="387"/>
      <c r="AA126" s="376"/>
      <c r="AB126" s="376"/>
      <c r="AC126" s="376"/>
      <c r="AD126" s="376"/>
      <c r="AE126" s="376"/>
      <c r="AF126" s="376"/>
    </row>
    <row r="127" spans="3:40" ht="16.5" customHeight="1" x14ac:dyDescent="0.15">
      <c r="D127" s="364"/>
      <c r="E127" s="365"/>
      <c r="F127" s="371"/>
      <c r="G127" s="286"/>
      <c r="H127" s="372"/>
      <c r="I127" s="380"/>
      <c r="J127" s="310"/>
      <c r="K127" s="381"/>
      <c r="L127" s="371"/>
      <c r="M127" s="286"/>
      <c r="N127" s="372"/>
      <c r="O127" s="371"/>
      <c r="P127" s="286"/>
      <c r="Q127" s="372"/>
      <c r="R127" s="371"/>
      <c r="S127" s="286"/>
      <c r="T127" s="372"/>
      <c r="U127" s="371"/>
      <c r="V127" s="286"/>
      <c r="W127" s="372"/>
      <c r="X127" s="388"/>
      <c r="Y127" s="289"/>
      <c r="Z127" s="389"/>
      <c r="AA127" s="376"/>
      <c r="AB127" s="376"/>
      <c r="AC127" s="376"/>
      <c r="AD127" s="376"/>
      <c r="AE127" s="376"/>
      <c r="AF127" s="376"/>
      <c r="AL127" s="37">
        <f>+I130</f>
        <v>161</v>
      </c>
      <c r="AM127" s="37">
        <f>+L130</f>
        <v>32</v>
      </c>
      <c r="AN127" s="70">
        <f>+O130</f>
        <v>20</v>
      </c>
    </row>
    <row r="128" spans="3:40" ht="16.5" customHeight="1" x14ac:dyDescent="0.15">
      <c r="D128" s="364"/>
      <c r="E128" s="365"/>
      <c r="F128" s="373"/>
      <c r="G128" s="374"/>
      <c r="H128" s="375"/>
      <c r="I128" s="382"/>
      <c r="J128" s="383"/>
      <c r="K128" s="384"/>
      <c r="L128" s="373"/>
      <c r="M128" s="374"/>
      <c r="N128" s="375"/>
      <c r="O128" s="373"/>
      <c r="P128" s="374"/>
      <c r="Q128" s="375"/>
      <c r="R128" s="373"/>
      <c r="S128" s="374"/>
      <c r="T128" s="375"/>
      <c r="U128" s="373"/>
      <c r="V128" s="374"/>
      <c r="W128" s="375"/>
      <c r="X128" s="390"/>
      <c r="Y128" s="391"/>
      <c r="Z128" s="392"/>
      <c r="AA128" s="376"/>
      <c r="AB128" s="376"/>
      <c r="AC128" s="376"/>
      <c r="AD128" s="376"/>
      <c r="AE128" s="376"/>
      <c r="AF128" s="376"/>
    </row>
    <row r="129" spans="3:32" ht="16.5" customHeight="1" x14ac:dyDescent="0.15">
      <c r="D129" s="366"/>
      <c r="E129" s="367"/>
      <c r="F129" s="356" t="s">
        <v>95</v>
      </c>
      <c r="G129" s="324"/>
      <c r="H129" s="357"/>
      <c r="I129" s="356" t="s">
        <v>95</v>
      </c>
      <c r="J129" s="324"/>
      <c r="K129" s="357"/>
      <c r="L129" s="356" t="s">
        <v>95</v>
      </c>
      <c r="M129" s="324"/>
      <c r="N129" s="357"/>
      <c r="O129" s="358" t="s">
        <v>96</v>
      </c>
      <c r="P129" s="324"/>
      <c r="Q129" s="357"/>
      <c r="R129" s="356" t="s">
        <v>95</v>
      </c>
      <c r="S129" s="324"/>
      <c r="T129" s="357"/>
      <c r="U129" s="358" t="s">
        <v>96</v>
      </c>
      <c r="V129" s="324"/>
      <c r="W129" s="357"/>
      <c r="X129" s="356" t="s">
        <v>95</v>
      </c>
      <c r="Y129" s="324"/>
      <c r="Z129" s="357"/>
      <c r="AA129" s="376"/>
      <c r="AB129" s="376"/>
      <c r="AC129" s="376"/>
      <c r="AD129" s="376"/>
      <c r="AE129" s="376"/>
      <c r="AF129" s="376"/>
    </row>
    <row r="130" spans="3:32" ht="16.5" customHeight="1" x14ac:dyDescent="0.15">
      <c r="D130" s="360">
        <v>5</v>
      </c>
      <c r="E130" s="360"/>
      <c r="F130" s="360">
        <v>1300</v>
      </c>
      <c r="G130" s="360"/>
      <c r="H130" s="360"/>
      <c r="I130" s="360">
        <v>161</v>
      </c>
      <c r="J130" s="360"/>
      <c r="K130" s="360"/>
      <c r="L130" s="361">
        <v>32</v>
      </c>
      <c r="M130" s="361"/>
      <c r="N130" s="361"/>
      <c r="O130" s="360">
        <v>20</v>
      </c>
      <c r="P130" s="360"/>
      <c r="Q130" s="360"/>
      <c r="R130" s="361">
        <v>16</v>
      </c>
      <c r="S130" s="361"/>
      <c r="T130" s="361"/>
      <c r="U130" s="360">
        <v>2</v>
      </c>
      <c r="V130" s="360"/>
      <c r="W130" s="360"/>
      <c r="X130" s="360">
        <v>200</v>
      </c>
      <c r="Y130" s="360"/>
      <c r="Z130" s="360"/>
      <c r="AA130" s="359" t="s">
        <v>105</v>
      </c>
      <c r="AB130" s="359"/>
      <c r="AC130" s="359"/>
      <c r="AD130" s="359"/>
      <c r="AE130" s="359"/>
      <c r="AF130" s="359"/>
    </row>
    <row r="133" spans="3:32" ht="16.5" customHeight="1" x14ac:dyDescent="0.15">
      <c r="C133" s="21" t="s">
        <v>121</v>
      </c>
      <c r="D133" s="17" t="s">
        <v>107</v>
      </c>
    </row>
    <row r="146" spans="3:32" ht="16.5" customHeight="1" x14ac:dyDescent="0.15">
      <c r="D146" s="362" t="s">
        <v>83</v>
      </c>
      <c r="E146" s="363"/>
      <c r="F146" s="368" t="s">
        <v>98</v>
      </c>
      <c r="G146" s="369"/>
      <c r="H146" s="370"/>
      <c r="I146" s="334" t="s">
        <v>87</v>
      </c>
      <c r="J146" s="327"/>
      <c r="K146" s="327"/>
      <c r="L146" s="327"/>
      <c r="M146" s="327"/>
      <c r="N146" s="327"/>
      <c r="O146" s="327"/>
      <c r="P146" s="327"/>
      <c r="Q146" s="328"/>
      <c r="R146" s="334" t="s">
        <v>88</v>
      </c>
      <c r="S146" s="327"/>
      <c r="T146" s="327"/>
      <c r="U146" s="327"/>
      <c r="V146" s="327"/>
      <c r="W146" s="327"/>
      <c r="X146" s="327"/>
      <c r="Y146" s="327"/>
      <c r="Z146" s="328"/>
      <c r="AA146" s="376" t="s">
        <v>102</v>
      </c>
      <c r="AB146" s="376"/>
      <c r="AC146" s="376"/>
      <c r="AD146" s="376"/>
      <c r="AE146" s="376"/>
      <c r="AF146" s="376"/>
    </row>
    <row r="147" spans="3:32" ht="16.5" customHeight="1" x14ac:dyDescent="0.15">
      <c r="D147" s="364"/>
      <c r="E147" s="365"/>
      <c r="F147" s="371"/>
      <c r="G147" s="286"/>
      <c r="H147" s="372"/>
      <c r="I147" s="377" t="s">
        <v>99</v>
      </c>
      <c r="J147" s="378"/>
      <c r="K147" s="379"/>
      <c r="L147" s="368" t="s">
        <v>90</v>
      </c>
      <c r="M147" s="369"/>
      <c r="N147" s="370"/>
      <c r="O147" s="368" t="s">
        <v>91</v>
      </c>
      <c r="P147" s="369"/>
      <c r="Q147" s="370"/>
      <c r="R147" s="368" t="s">
        <v>90</v>
      </c>
      <c r="S147" s="369"/>
      <c r="T147" s="370"/>
      <c r="U147" s="368" t="s">
        <v>91</v>
      </c>
      <c r="V147" s="369"/>
      <c r="W147" s="370"/>
      <c r="X147" s="385" t="s">
        <v>92</v>
      </c>
      <c r="Y147" s="386"/>
      <c r="Z147" s="387"/>
      <c r="AA147" s="376"/>
      <c r="AB147" s="376"/>
      <c r="AC147" s="376"/>
      <c r="AD147" s="376"/>
      <c r="AE147" s="376"/>
      <c r="AF147" s="376"/>
    </row>
    <row r="148" spans="3:32" ht="16.5" customHeight="1" x14ac:dyDescent="0.15">
      <c r="D148" s="364"/>
      <c r="E148" s="365"/>
      <c r="F148" s="371"/>
      <c r="G148" s="286"/>
      <c r="H148" s="372"/>
      <c r="I148" s="380"/>
      <c r="J148" s="310"/>
      <c r="K148" s="381"/>
      <c r="L148" s="371"/>
      <c r="M148" s="286"/>
      <c r="N148" s="372"/>
      <c r="O148" s="371"/>
      <c r="P148" s="286"/>
      <c r="Q148" s="372"/>
      <c r="R148" s="371"/>
      <c r="S148" s="286"/>
      <c r="T148" s="372"/>
      <c r="U148" s="371"/>
      <c r="V148" s="286"/>
      <c r="W148" s="372"/>
      <c r="X148" s="388"/>
      <c r="Y148" s="289"/>
      <c r="Z148" s="389"/>
      <c r="AA148" s="376"/>
      <c r="AB148" s="376"/>
      <c r="AC148" s="376"/>
      <c r="AD148" s="376"/>
      <c r="AE148" s="376"/>
      <c r="AF148" s="376"/>
    </row>
    <row r="149" spans="3:32" ht="16.5" customHeight="1" x14ac:dyDescent="0.15">
      <c r="D149" s="364"/>
      <c r="E149" s="365"/>
      <c r="F149" s="373"/>
      <c r="G149" s="374"/>
      <c r="H149" s="375"/>
      <c r="I149" s="382"/>
      <c r="J149" s="383"/>
      <c r="K149" s="384"/>
      <c r="L149" s="373"/>
      <c r="M149" s="374"/>
      <c r="N149" s="375"/>
      <c r="O149" s="373"/>
      <c r="P149" s="374"/>
      <c r="Q149" s="375"/>
      <c r="R149" s="373"/>
      <c r="S149" s="374"/>
      <c r="T149" s="375"/>
      <c r="U149" s="373"/>
      <c r="V149" s="374"/>
      <c r="W149" s="375"/>
      <c r="X149" s="390"/>
      <c r="Y149" s="391"/>
      <c r="Z149" s="392"/>
      <c r="AA149" s="376"/>
      <c r="AB149" s="376"/>
      <c r="AC149" s="376"/>
      <c r="AD149" s="376"/>
      <c r="AE149" s="376"/>
      <c r="AF149" s="376"/>
    </row>
    <row r="150" spans="3:32" ht="16.5" customHeight="1" x14ac:dyDescent="0.15">
      <c r="D150" s="366"/>
      <c r="E150" s="367"/>
      <c r="F150" s="356" t="s">
        <v>95</v>
      </c>
      <c r="G150" s="324"/>
      <c r="H150" s="357"/>
      <c r="I150" s="356" t="s">
        <v>95</v>
      </c>
      <c r="J150" s="324"/>
      <c r="K150" s="357"/>
      <c r="L150" s="356" t="s">
        <v>95</v>
      </c>
      <c r="M150" s="324"/>
      <c r="N150" s="357"/>
      <c r="O150" s="358" t="s">
        <v>96</v>
      </c>
      <c r="P150" s="324"/>
      <c r="Q150" s="357"/>
      <c r="R150" s="356" t="s">
        <v>95</v>
      </c>
      <c r="S150" s="324"/>
      <c r="T150" s="357"/>
      <c r="U150" s="358" t="s">
        <v>96</v>
      </c>
      <c r="V150" s="324"/>
      <c r="W150" s="357"/>
      <c r="X150" s="356" t="s">
        <v>95</v>
      </c>
      <c r="Y150" s="324"/>
      <c r="Z150" s="357"/>
      <c r="AA150" s="376"/>
      <c r="AB150" s="376"/>
      <c r="AC150" s="376"/>
      <c r="AD150" s="376"/>
      <c r="AE150" s="376"/>
      <c r="AF150" s="376"/>
    </row>
    <row r="151" spans="3:32" ht="16.5" customHeight="1" x14ac:dyDescent="0.15">
      <c r="D151" s="360">
        <v>6</v>
      </c>
      <c r="E151" s="360"/>
      <c r="F151" s="360">
        <v>1300</v>
      </c>
      <c r="G151" s="360"/>
      <c r="H151" s="360"/>
      <c r="I151" s="360">
        <v>161</v>
      </c>
      <c r="J151" s="360"/>
      <c r="K151" s="360"/>
      <c r="L151" s="361">
        <v>32</v>
      </c>
      <c r="M151" s="361"/>
      <c r="N151" s="361"/>
      <c r="O151" s="360">
        <v>10</v>
      </c>
      <c r="P151" s="360"/>
      <c r="Q151" s="360"/>
      <c r="R151" s="361">
        <v>16</v>
      </c>
      <c r="S151" s="361"/>
      <c r="T151" s="361"/>
      <c r="U151" s="360">
        <v>2</v>
      </c>
      <c r="V151" s="360"/>
      <c r="W151" s="360"/>
      <c r="X151" s="360">
        <v>300</v>
      </c>
      <c r="Y151" s="360"/>
      <c r="Z151" s="360"/>
      <c r="AA151" s="359" t="s">
        <v>114</v>
      </c>
      <c r="AB151" s="359"/>
      <c r="AC151" s="359"/>
      <c r="AD151" s="359"/>
      <c r="AE151" s="359"/>
      <c r="AF151" s="359"/>
    </row>
    <row r="155" spans="3:32" ht="16.5" customHeight="1" x14ac:dyDescent="0.15">
      <c r="C155" s="21" t="s">
        <v>122</v>
      </c>
      <c r="D155" s="17" t="s">
        <v>108</v>
      </c>
    </row>
    <row r="168" spans="4:32" ht="16.5" customHeight="1" x14ac:dyDescent="0.15">
      <c r="D168" s="362" t="s">
        <v>83</v>
      </c>
      <c r="E168" s="363"/>
      <c r="F168" s="368" t="s">
        <v>98</v>
      </c>
      <c r="G168" s="369"/>
      <c r="H168" s="370"/>
      <c r="I168" s="334" t="s">
        <v>87</v>
      </c>
      <c r="J168" s="327"/>
      <c r="K168" s="327"/>
      <c r="L168" s="327"/>
      <c r="M168" s="327"/>
      <c r="N168" s="327"/>
      <c r="O168" s="327"/>
      <c r="P168" s="327"/>
      <c r="Q168" s="328"/>
      <c r="R168" s="334" t="s">
        <v>88</v>
      </c>
      <c r="S168" s="327"/>
      <c r="T168" s="327"/>
      <c r="U168" s="327"/>
      <c r="V168" s="327"/>
      <c r="W168" s="327"/>
      <c r="X168" s="327"/>
      <c r="Y168" s="327"/>
      <c r="Z168" s="328"/>
      <c r="AA168" s="376" t="s">
        <v>102</v>
      </c>
      <c r="AB168" s="376"/>
      <c r="AC168" s="376"/>
      <c r="AD168" s="376"/>
      <c r="AE168" s="376"/>
      <c r="AF168" s="376"/>
    </row>
    <row r="169" spans="4:32" ht="16.5" customHeight="1" x14ac:dyDescent="0.15">
      <c r="D169" s="364"/>
      <c r="E169" s="365"/>
      <c r="F169" s="371"/>
      <c r="G169" s="286"/>
      <c r="H169" s="372"/>
      <c r="I169" s="377" t="s">
        <v>99</v>
      </c>
      <c r="J169" s="378"/>
      <c r="K169" s="379"/>
      <c r="L169" s="368" t="s">
        <v>90</v>
      </c>
      <c r="M169" s="369"/>
      <c r="N169" s="370"/>
      <c r="O169" s="368" t="s">
        <v>91</v>
      </c>
      <c r="P169" s="369"/>
      <c r="Q169" s="370"/>
      <c r="R169" s="368" t="s">
        <v>90</v>
      </c>
      <c r="S169" s="369"/>
      <c r="T169" s="370"/>
      <c r="U169" s="368" t="s">
        <v>91</v>
      </c>
      <c r="V169" s="369"/>
      <c r="W169" s="370"/>
      <c r="X169" s="385" t="s">
        <v>92</v>
      </c>
      <c r="Y169" s="386"/>
      <c r="Z169" s="387"/>
      <c r="AA169" s="376"/>
      <c r="AB169" s="376"/>
      <c r="AC169" s="376"/>
      <c r="AD169" s="376"/>
      <c r="AE169" s="376"/>
      <c r="AF169" s="376"/>
    </row>
    <row r="170" spans="4:32" ht="16.5" customHeight="1" x14ac:dyDescent="0.15">
      <c r="D170" s="364"/>
      <c r="E170" s="365"/>
      <c r="F170" s="371"/>
      <c r="G170" s="286"/>
      <c r="H170" s="372"/>
      <c r="I170" s="380"/>
      <c r="J170" s="310"/>
      <c r="K170" s="381"/>
      <c r="L170" s="371"/>
      <c r="M170" s="286"/>
      <c r="N170" s="372"/>
      <c r="O170" s="371"/>
      <c r="P170" s="286"/>
      <c r="Q170" s="372"/>
      <c r="R170" s="371"/>
      <c r="S170" s="286"/>
      <c r="T170" s="372"/>
      <c r="U170" s="371"/>
      <c r="V170" s="286"/>
      <c r="W170" s="372"/>
      <c r="X170" s="388"/>
      <c r="Y170" s="289"/>
      <c r="Z170" s="389"/>
      <c r="AA170" s="376"/>
      <c r="AB170" s="376"/>
      <c r="AC170" s="376"/>
      <c r="AD170" s="376"/>
      <c r="AE170" s="376"/>
      <c r="AF170" s="376"/>
    </row>
    <row r="171" spans="4:32" ht="16.5" customHeight="1" x14ac:dyDescent="0.15">
      <c r="D171" s="364"/>
      <c r="E171" s="365"/>
      <c r="F171" s="373"/>
      <c r="G171" s="374"/>
      <c r="H171" s="375"/>
      <c r="I171" s="382"/>
      <c r="J171" s="383"/>
      <c r="K171" s="384"/>
      <c r="L171" s="373"/>
      <c r="M171" s="374"/>
      <c r="N171" s="375"/>
      <c r="O171" s="373"/>
      <c r="P171" s="374"/>
      <c r="Q171" s="375"/>
      <c r="R171" s="373"/>
      <c r="S171" s="374"/>
      <c r="T171" s="375"/>
      <c r="U171" s="373"/>
      <c r="V171" s="374"/>
      <c r="W171" s="375"/>
      <c r="X171" s="390"/>
      <c r="Y171" s="391"/>
      <c r="Z171" s="392"/>
      <c r="AA171" s="376"/>
      <c r="AB171" s="376"/>
      <c r="AC171" s="376"/>
      <c r="AD171" s="376"/>
      <c r="AE171" s="376"/>
      <c r="AF171" s="376"/>
    </row>
    <row r="172" spans="4:32" ht="16.5" customHeight="1" x14ac:dyDescent="0.15">
      <c r="D172" s="366"/>
      <c r="E172" s="367"/>
      <c r="F172" s="356" t="s">
        <v>95</v>
      </c>
      <c r="G172" s="324"/>
      <c r="H172" s="357"/>
      <c r="I172" s="356" t="s">
        <v>95</v>
      </c>
      <c r="J172" s="324"/>
      <c r="K172" s="357"/>
      <c r="L172" s="356" t="s">
        <v>95</v>
      </c>
      <c r="M172" s="324"/>
      <c r="N172" s="357"/>
      <c r="O172" s="358" t="s">
        <v>96</v>
      </c>
      <c r="P172" s="324"/>
      <c r="Q172" s="357"/>
      <c r="R172" s="356" t="s">
        <v>95</v>
      </c>
      <c r="S172" s="324"/>
      <c r="T172" s="357"/>
      <c r="U172" s="358" t="s">
        <v>96</v>
      </c>
      <c r="V172" s="324"/>
      <c r="W172" s="357"/>
      <c r="X172" s="356" t="s">
        <v>95</v>
      </c>
      <c r="Y172" s="324"/>
      <c r="Z172" s="357"/>
      <c r="AA172" s="376"/>
      <c r="AB172" s="376"/>
      <c r="AC172" s="376"/>
      <c r="AD172" s="376"/>
      <c r="AE172" s="376"/>
      <c r="AF172" s="376"/>
    </row>
    <row r="173" spans="4:32" ht="16.5" customHeight="1" x14ac:dyDescent="0.15">
      <c r="D173" s="360">
        <v>7</v>
      </c>
      <c r="E173" s="360"/>
      <c r="F173" s="360">
        <v>1300</v>
      </c>
      <c r="G173" s="360"/>
      <c r="H173" s="360"/>
      <c r="I173" s="360">
        <v>161</v>
      </c>
      <c r="J173" s="360"/>
      <c r="K173" s="360"/>
      <c r="L173" s="361">
        <v>32</v>
      </c>
      <c r="M173" s="361"/>
      <c r="N173" s="361"/>
      <c r="O173" s="360">
        <v>20</v>
      </c>
      <c r="P173" s="360"/>
      <c r="Q173" s="360"/>
      <c r="R173" s="361">
        <v>16</v>
      </c>
      <c r="S173" s="361"/>
      <c r="T173" s="361"/>
      <c r="U173" s="360">
        <v>2</v>
      </c>
      <c r="V173" s="360"/>
      <c r="W173" s="360"/>
      <c r="X173" s="360">
        <v>125</v>
      </c>
      <c r="Y173" s="360"/>
      <c r="Z173" s="360"/>
      <c r="AA173" s="359" t="s">
        <v>103</v>
      </c>
      <c r="AB173" s="359"/>
      <c r="AC173" s="359"/>
      <c r="AD173" s="359"/>
      <c r="AE173" s="359"/>
      <c r="AF173" s="359"/>
    </row>
    <row r="174" spans="4:32" ht="16.5" customHeight="1" x14ac:dyDescent="0.15">
      <c r="D174" s="360"/>
      <c r="E174" s="360"/>
      <c r="F174" s="360"/>
      <c r="G174" s="360"/>
      <c r="H174" s="360"/>
      <c r="I174" s="360">
        <v>193</v>
      </c>
      <c r="J174" s="360"/>
      <c r="K174" s="360"/>
      <c r="L174" s="361">
        <v>32</v>
      </c>
      <c r="M174" s="361"/>
      <c r="N174" s="361"/>
      <c r="O174" s="360">
        <v>20</v>
      </c>
      <c r="P174" s="360"/>
      <c r="Q174" s="360"/>
      <c r="R174" s="361"/>
      <c r="S174" s="361"/>
      <c r="T174" s="361"/>
      <c r="U174" s="360"/>
      <c r="V174" s="360"/>
      <c r="W174" s="360"/>
      <c r="X174" s="360"/>
      <c r="Y174" s="360"/>
      <c r="Z174" s="360"/>
      <c r="AA174" s="359"/>
      <c r="AB174" s="359"/>
      <c r="AC174" s="359"/>
      <c r="AD174" s="359"/>
      <c r="AE174" s="359"/>
      <c r="AF174" s="359"/>
    </row>
    <row r="177" spans="3:32" ht="16.5" customHeight="1" x14ac:dyDescent="0.15">
      <c r="C177" s="21" t="s">
        <v>123</v>
      </c>
      <c r="D177" s="17" t="s">
        <v>109</v>
      </c>
    </row>
    <row r="179" spans="3:32" ht="16.5" customHeight="1" x14ac:dyDescent="0.15">
      <c r="D179" s="362" t="s">
        <v>83</v>
      </c>
      <c r="E179" s="363"/>
      <c r="F179" s="368" t="s">
        <v>98</v>
      </c>
      <c r="G179" s="369"/>
      <c r="H179" s="370"/>
      <c r="I179" s="334" t="s">
        <v>87</v>
      </c>
      <c r="J179" s="327"/>
      <c r="K179" s="327"/>
      <c r="L179" s="327"/>
      <c r="M179" s="327"/>
      <c r="N179" s="327"/>
      <c r="O179" s="327"/>
      <c r="P179" s="327"/>
      <c r="Q179" s="328"/>
      <c r="R179" s="334" t="s">
        <v>88</v>
      </c>
      <c r="S179" s="327"/>
      <c r="T179" s="327"/>
      <c r="U179" s="327"/>
      <c r="V179" s="327"/>
      <c r="W179" s="327"/>
      <c r="X179" s="327"/>
      <c r="Y179" s="327"/>
      <c r="Z179" s="328"/>
      <c r="AA179" s="376" t="s">
        <v>102</v>
      </c>
      <c r="AB179" s="376"/>
      <c r="AC179" s="376"/>
      <c r="AD179" s="376"/>
      <c r="AE179" s="376"/>
      <c r="AF179" s="376"/>
    </row>
    <row r="180" spans="3:32" ht="16.5" customHeight="1" x14ac:dyDescent="0.15">
      <c r="D180" s="364"/>
      <c r="E180" s="365"/>
      <c r="F180" s="371"/>
      <c r="G180" s="286"/>
      <c r="H180" s="372"/>
      <c r="I180" s="377" t="s">
        <v>99</v>
      </c>
      <c r="J180" s="378"/>
      <c r="K180" s="379"/>
      <c r="L180" s="368" t="s">
        <v>90</v>
      </c>
      <c r="M180" s="369"/>
      <c r="N180" s="370"/>
      <c r="O180" s="368" t="s">
        <v>91</v>
      </c>
      <c r="P180" s="369"/>
      <c r="Q180" s="370"/>
      <c r="R180" s="368" t="s">
        <v>90</v>
      </c>
      <c r="S180" s="369"/>
      <c r="T180" s="370"/>
      <c r="U180" s="368" t="s">
        <v>91</v>
      </c>
      <c r="V180" s="369"/>
      <c r="W180" s="370"/>
      <c r="X180" s="385" t="s">
        <v>92</v>
      </c>
      <c r="Y180" s="386"/>
      <c r="Z180" s="387"/>
      <c r="AA180" s="376"/>
      <c r="AB180" s="376"/>
      <c r="AC180" s="376"/>
      <c r="AD180" s="376"/>
      <c r="AE180" s="376"/>
      <c r="AF180" s="376"/>
    </row>
    <row r="181" spans="3:32" ht="16.5" customHeight="1" x14ac:dyDescent="0.15">
      <c r="D181" s="364"/>
      <c r="E181" s="365"/>
      <c r="F181" s="371"/>
      <c r="G181" s="286"/>
      <c r="H181" s="372"/>
      <c r="I181" s="380"/>
      <c r="J181" s="310"/>
      <c r="K181" s="381"/>
      <c r="L181" s="371"/>
      <c r="M181" s="286"/>
      <c r="N181" s="372"/>
      <c r="O181" s="371"/>
      <c r="P181" s="286"/>
      <c r="Q181" s="372"/>
      <c r="R181" s="371"/>
      <c r="S181" s="286"/>
      <c r="T181" s="372"/>
      <c r="U181" s="371"/>
      <c r="V181" s="286"/>
      <c r="W181" s="372"/>
      <c r="X181" s="388"/>
      <c r="Y181" s="289"/>
      <c r="Z181" s="389"/>
      <c r="AA181" s="376"/>
      <c r="AB181" s="376"/>
      <c r="AC181" s="376"/>
      <c r="AD181" s="376"/>
      <c r="AE181" s="376"/>
      <c r="AF181" s="376"/>
    </row>
    <row r="182" spans="3:32" ht="16.5" customHeight="1" x14ac:dyDescent="0.15">
      <c r="D182" s="364"/>
      <c r="E182" s="365"/>
      <c r="F182" s="373"/>
      <c r="G182" s="374"/>
      <c r="H182" s="375"/>
      <c r="I182" s="382"/>
      <c r="J182" s="383"/>
      <c r="K182" s="384"/>
      <c r="L182" s="373"/>
      <c r="M182" s="374"/>
      <c r="N182" s="375"/>
      <c r="O182" s="373"/>
      <c r="P182" s="374"/>
      <c r="Q182" s="375"/>
      <c r="R182" s="373"/>
      <c r="S182" s="374"/>
      <c r="T182" s="375"/>
      <c r="U182" s="373"/>
      <c r="V182" s="374"/>
      <c r="W182" s="375"/>
      <c r="X182" s="390"/>
      <c r="Y182" s="391"/>
      <c r="Z182" s="392"/>
      <c r="AA182" s="376"/>
      <c r="AB182" s="376"/>
      <c r="AC182" s="376"/>
      <c r="AD182" s="376"/>
      <c r="AE182" s="376"/>
      <c r="AF182" s="376"/>
    </row>
    <row r="183" spans="3:32" ht="16.5" customHeight="1" x14ac:dyDescent="0.15">
      <c r="D183" s="366"/>
      <c r="E183" s="367"/>
      <c r="F183" s="356" t="s">
        <v>95</v>
      </c>
      <c r="G183" s="324"/>
      <c r="H183" s="357"/>
      <c r="I183" s="356" t="s">
        <v>95</v>
      </c>
      <c r="J183" s="324"/>
      <c r="K183" s="357"/>
      <c r="L183" s="356" t="s">
        <v>95</v>
      </c>
      <c r="M183" s="324"/>
      <c r="N183" s="357"/>
      <c r="O183" s="358" t="s">
        <v>96</v>
      </c>
      <c r="P183" s="324"/>
      <c r="Q183" s="357"/>
      <c r="R183" s="356" t="s">
        <v>95</v>
      </c>
      <c r="S183" s="324"/>
      <c r="T183" s="357"/>
      <c r="U183" s="358" t="s">
        <v>96</v>
      </c>
      <c r="V183" s="324"/>
      <c r="W183" s="357"/>
      <c r="X183" s="356" t="s">
        <v>95</v>
      </c>
      <c r="Y183" s="324"/>
      <c r="Z183" s="357"/>
      <c r="AA183" s="376"/>
      <c r="AB183" s="376"/>
      <c r="AC183" s="376"/>
      <c r="AD183" s="376"/>
      <c r="AE183" s="376"/>
      <c r="AF183" s="376"/>
    </row>
    <row r="184" spans="3:32" ht="16.5" customHeight="1" x14ac:dyDescent="0.15">
      <c r="D184" s="360">
        <v>8</v>
      </c>
      <c r="E184" s="360"/>
      <c r="F184" s="360">
        <v>1300</v>
      </c>
      <c r="G184" s="360"/>
      <c r="H184" s="360"/>
      <c r="I184" s="360">
        <v>161</v>
      </c>
      <c r="J184" s="360"/>
      <c r="K184" s="360"/>
      <c r="L184" s="361">
        <v>32</v>
      </c>
      <c r="M184" s="361"/>
      <c r="N184" s="361"/>
      <c r="O184" s="360">
        <v>20</v>
      </c>
      <c r="P184" s="360"/>
      <c r="Q184" s="360"/>
      <c r="R184" s="361">
        <v>16</v>
      </c>
      <c r="S184" s="361"/>
      <c r="T184" s="361"/>
      <c r="U184" s="360">
        <v>2</v>
      </c>
      <c r="V184" s="360"/>
      <c r="W184" s="360"/>
      <c r="X184" s="360">
        <v>150</v>
      </c>
      <c r="Y184" s="360"/>
      <c r="Z184" s="360"/>
      <c r="AA184" s="359" t="s">
        <v>104</v>
      </c>
      <c r="AB184" s="359"/>
      <c r="AC184" s="359"/>
      <c r="AD184" s="359"/>
      <c r="AE184" s="359"/>
      <c r="AF184" s="359"/>
    </row>
    <row r="185" spans="3:32" ht="16.5" customHeight="1" x14ac:dyDescent="0.15">
      <c r="D185" s="360"/>
      <c r="E185" s="360"/>
      <c r="F185" s="360"/>
      <c r="G185" s="360"/>
      <c r="H185" s="360"/>
      <c r="I185" s="360">
        <v>193</v>
      </c>
      <c r="J185" s="360"/>
      <c r="K185" s="360"/>
      <c r="L185" s="361">
        <v>32</v>
      </c>
      <c r="M185" s="361"/>
      <c r="N185" s="361"/>
      <c r="O185" s="360">
        <v>20</v>
      </c>
      <c r="P185" s="360"/>
      <c r="Q185" s="360"/>
      <c r="R185" s="361"/>
      <c r="S185" s="361"/>
      <c r="T185" s="361"/>
      <c r="U185" s="360"/>
      <c r="V185" s="360"/>
      <c r="W185" s="360"/>
      <c r="X185" s="360"/>
      <c r="Y185" s="360"/>
      <c r="Z185" s="360"/>
      <c r="AA185" s="359"/>
      <c r="AB185" s="359"/>
      <c r="AC185" s="359"/>
      <c r="AD185" s="359"/>
      <c r="AE185" s="359"/>
      <c r="AF185" s="359"/>
    </row>
    <row r="189" spans="3:32" ht="16.5" customHeight="1" x14ac:dyDescent="0.15">
      <c r="C189" s="21" t="s">
        <v>127</v>
      </c>
      <c r="D189" s="17" t="s">
        <v>110</v>
      </c>
    </row>
    <row r="201" spans="4:32" ht="16.5" customHeight="1" x14ac:dyDescent="0.15">
      <c r="D201" s="362" t="s">
        <v>83</v>
      </c>
      <c r="E201" s="363"/>
      <c r="F201" s="368" t="s">
        <v>98</v>
      </c>
      <c r="G201" s="369"/>
      <c r="H201" s="370"/>
      <c r="I201" s="334" t="s">
        <v>87</v>
      </c>
      <c r="J201" s="327"/>
      <c r="K201" s="327"/>
      <c r="L201" s="327"/>
      <c r="M201" s="327"/>
      <c r="N201" s="327"/>
      <c r="O201" s="327"/>
      <c r="P201" s="327"/>
      <c r="Q201" s="328"/>
      <c r="R201" s="334" t="s">
        <v>88</v>
      </c>
      <c r="S201" s="327"/>
      <c r="T201" s="327"/>
      <c r="U201" s="327"/>
      <c r="V201" s="327"/>
      <c r="W201" s="327"/>
      <c r="X201" s="327"/>
      <c r="Y201" s="327"/>
      <c r="Z201" s="328"/>
      <c r="AA201" s="376" t="s">
        <v>102</v>
      </c>
      <c r="AB201" s="376"/>
      <c r="AC201" s="376"/>
      <c r="AD201" s="376"/>
      <c r="AE201" s="376"/>
      <c r="AF201" s="376"/>
    </row>
    <row r="202" spans="4:32" ht="16.5" customHeight="1" x14ac:dyDescent="0.15">
      <c r="D202" s="364"/>
      <c r="E202" s="365"/>
      <c r="F202" s="371"/>
      <c r="G202" s="286"/>
      <c r="H202" s="372"/>
      <c r="I202" s="377" t="s">
        <v>99</v>
      </c>
      <c r="J202" s="378"/>
      <c r="K202" s="379"/>
      <c r="L202" s="368" t="s">
        <v>90</v>
      </c>
      <c r="M202" s="369"/>
      <c r="N202" s="370"/>
      <c r="O202" s="368" t="s">
        <v>91</v>
      </c>
      <c r="P202" s="369"/>
      <c r="Q202" s="370"/>
      <c r="R202" s="368" t="s">
        <v>90</v>
      </c>
      <c r="S202" s="369"/>
      <c r="T202" s="370"/>
      <c r="U202" s="368" t="s">
        <v>91</v>
      </c>
      <c r="V202" s="369"/>
      <c r="W202" s="370"/>
      <c r="X202" s="385" t="s">
        <v>92</v>
      </c>
      <c r="Y202" s="386"/>
      <c r="Z202" s="387"/>
      <c r="AA202" s="376"/>
      <c r="AB202" s="376"/>
      <c r="AC202" s="376"/>
      <c r="AD202" s="376"/>
      <c r="AE202" s="376"/>
      <c r="AF202" s="376"/>
    </row>
    <row r="203" spans="4:32" ht="16.5" customHeight="1" x14ac:dyDescent="0.15">
      <c r="D203" s="364"/>
      <c r="E203" s="365"/>
      <c r="F203" s="371"/>
      <c r="G203" s="286"/>
      <c r="H203" s="372"/>
      <c r="I203" s="380"/>
      <c r="J203" s="310"/>
      <c r="K203" s="381"/>
      <c r="L203" s="371"/>
      <c r="M203" s="286"/>
      <c r="N203" s="372"/>
      <c r="O203" s="371"/>
      <c r="P203" s="286"/>
      <c r="Q203" s="372"/>
      <c r="R203" s="371"/>
      <c r="S203" s="286"/>
      <c r="T203" s="372"/>
      <c r="U203" s="371"/>
      <c r="V203" s="286"/>
      <c r="W203" s="372"/>
      <c r="X203" s="388"/>
      <c r="Y203" s="289"/>
      <c r="Z203" s="389"/>
      <c r="AA203" s="376"/>
      <c r="AB203" s="376"/>
      <c r="AC203" s="376"/>
      <c r="AD203" s="376"/>
      <c r="AE203" s="376"/>
      <c r="AF203" s="376"/>
    </row>
    <row r="204" spans="4:32" ht="16.5" customHeight="1" x14ac:dyDescent="0.15">
      <c r="D204" s="364"/>
      <c r="E204" s="365"/>
      <c r="F204" s="373"/>
      <c r="G204" s="374"/>
      <c r="H204" s="375"/>
      <c r="I204" s="382"/>
      <c r="J204" s="383"/>
      <c r="K204" s="384"/>
      <c r="L204" s="373"/>
      <c r="M204" s="374"/>
      <c r="N204" s="375"/>
      <c r="O204" s="373"/>
      <c r="P204" s="374"/>
      <c r="Q204" s="375"/>
      <c r="R204" s="373"/>
      <c r="S204" s="374"/>
      <c r="T204" s="375"/>
      <c r="U204" s="373"/>
      <c r="V204" s="374"/>
      <c r="W204" s="375"/>
      <c r="X204" s="390"/>
      <c r="Y204" s="391"/>
      <c r="Z204" s="392"/>
      <c r="AA204" s="376"/>
      <c r="AB204" s="376"/>
      <c r="AC204" s="376"/>
      <c r="AD204" s="376"/>
      <c r="AE204" s="376"/>
      <c r="AF204" s="376"/>
    </row>
    <row r="205" spans="4:32" ht="16.5" customHeight="1" x14ac:dyDescent="0.15">
      <c r="D205" s="366"/>
      <c r="E205" s="367"/>
      <c r="F205" s="356" t="s">
        <v>95</v>
      </c>
      <c r="G205" s="324"/>
      <c r="H205" s="357"/>
      <c r="I205" s="356" t="s">
        <v>95</v>
      </c>
      <c r="J205" s="324"/>
      <c r="K205" s="357"/>
      <c r="L205" s="356" t="s">
        <v>95</v>
      </c>
      <c r="M205" s="324"/>
      <c r="N205" s="357"/>
      <c r="O205" s="358" t="s">
        <v>96</v>
      </c>
      <c r="P205" s="324"/>
      <c r="Q205" s="357"/>
      <c r="R205" s="356" t="s">
        <v>95</v>
      </c>
      <c r="S205" s="324"/>
      <c r="T205" s="357"/>
      <c r="U205" s="358" t="s">
        <v>96</v>
      </c>
      <c r="V205" s="324"/>
      <c r="W205" s="357"/>
      <c r="X205" s="356" t="s">
        <v>95</v>
      </c>
      <c r="Y205" s="324"/>
      <c r="Z205" s="357"/>
      <c r="AA205" s="376"/>
      <c r="AB205" s="376"/>
      <c r="AC205" s="376"/>
      <c r="AD205" s="376"/>
      <c r="AE205" s="376"/>
      <c r="AF205" s="376"/>
    </row>
    <row r="206" spans="4:32" ht="16.5" customHeight="1" x14ac:dyDescent="0.15">
      <c r="D206" s="360">
        <v>9</v>
      </c>
      <c r="E206" s="360"/>
      <c r="F206" s="360">
        <v>1300</v>
      </c>
      <c r="G206" s="360"/>
      <c r="H206" s="360"/>
      <c r="I206" s="360">
        <v>161</v>
      </c>
      <c r="J206" s="360"/>
      <c r="K206" s="360"/>
      <c r="L206" s="361">
        <v>32</v>
      </c>
      <c r="M206" s="361"/>
      <c r="N206" s="361"/>
      <c r="O206" s="360">
        <v>20</v>
      </c>
      <c r="P206" s="360"/>
      <c r="Q206" s="360"/>
      <c r="R206" s="361">
        <v>16</v>
      </c>
      <c r="S206" s="361"/>
      <c r="T206" s="361"/>
      <c r="U206" s="360">
        <v>2</v>
      </c>
      <c r="V206" s="360"/>
      <c r="W206" s="360"/>
      <c r="X206" s="360">
        <v>200</v>
      </c>
      <c r="Y206" s="360"/>
      <c r="Z206" s="360"/>
      <c r="AA206" s="359" t="s">
        <v>112</v>
      </c>
      <c r="AB206" s="359"/>
      <c r="AC206" s="359"/>
      <c r="AD206" s="359"/>
      <c r="AE206" s="359"/>
      <c r="AF206" s="359"/>
    </row>
    <row r="209" spans="3:32" ht="16.5" customHeight="1" x14ac:dyDescent="0.15">
      <c r="C209" s="21" t="s">
        <v>128</v>
      </c>
      <c r="D209" s="17" t="s">
        <v>111</v>
      </c>
    </row>
    <row r="222" spans="3:32" ht="16.5" customHeight="1" x14ac:dyDescent="0.15">
      <c r="D222" s="362" t="s">
        <v>83</v>
      </c>
      <c r="E222" s="363"/>
      <c r="F222" s="368" t="s">
        <v>98</v>
      </c>
      <c r="G222" s="369"/>
      <c r="H222" s="370"/>
      <c r="I222" s="334" t="s">
        <v>87</v>
      </c>
      <c r="J222" s="327"/>
      <c r="K222" s="327"/>
      <c r="L222" s="327"/>
      <c r="M222" s="327"/>
      <c r="N222" s="327"/>
      <c r="O222" s="327"/>
      <c r="P222" s="327"/>
      <c r="Q222" s="328"/>
      <c r="R222" s="334" t="s">
        <v>88</v>
      </c>
      <c r="S222" s="327"/>
      <c r="T222" s="327"/>
      <c r="U222" s="327"/>
      <c r="V222" s="327"/>
      <c r="W222" s="327"/>
      <c r="X222" s="327"/>
      <c r="Y222" s="327"/>
      <c r="Z222" s="328"/>
      <c r="AA222" s="376" t="s">
        <v>102</v>
      </c>
      <c r="AB222" s="376"/>
      <c r="AC222" s="376"/>
      <c r="AD222" s="376"/>
      <c r="AE222" s="376"/>
      <c r="AF222" s="376"/>
    </row>
    <row r="223" spans="3:32" ht="16.5" customHeight="1" x14ac:dyDescent="0.15">
      <c r="D223" s="364"/>
      <c r="E223" s="365"/>
      <c r="F223" s="371"/>
      <c r="G223" s="286"/>
      <c r="H223" s="372"/>
      <c r="I223" s="377" t="s">
        <v>99</v>
      </c>
      <c r="J223" s="378"/>
      <c r="K223" s="379"/>
      <c r="L223" s="368" t="s">
        <v>90</v>
      </c>
      <c r="M223" s="369"/>
      <c r="N223" s="370"/>
      <c r="O223" s="368" t="s">
        <v>91</v>
      </c>
      <c r="P223" s="369"/>
      <c r="Q223" s="370"/>
      <c r="R223" s="368" t="s">
        <v>90</v>
      </c>
      <c r="S223" s="369"/>
      <c r="T223" s="370"/>
      <c r="U223" s="368" t="s">
        <v>91</v>
      </c>
      <c r="V223" s="369"/>
      <c r="W223" s="370"/>
      <c r="X223" s="385" t="s">
        <v>92</v>
      </c>
      <c r="Y223" s="386"/>
      <c r="Z223" s="387"/>
      <c r="AA223" s="376"/>
      <c r="AB223" s="376"/>
      <c r="AC223" s="376"/>
      <c r="AD223" s="376"/>
      <c r="AE223" s="376"/>
      <c r="AF223" s="376"/>
    </row>
    <row r="224" spans="3:32" ht="16.5" customHeight="1" x14ac:dyDescent="0.15">
      <c r="D224" s="364"/>
      <c r="E224" s="365"/>
      <c r="F224" s="371"/>
      <c r="G224" s="286"/>
      <c r="H224" s="372"/>
      <c r="I224" s="380"/>
      <c r="J224" s="310"/>
      <c r="K224" s="381"/>
      <c r="L224" s="371"/>
      <c r="M224" s="286"/>
      <c r="N224" s="372"/>
      <c r="O224" s="371"/>
      <c r="P224" s="286"/>
      <c r="Q224" s="372"/>
      <c r="R224" s="371"/>
      <c r="S224" s="286"/>
      <c r="T224" s="372"/>
      <c r="U224" s="371"/>
      <c r="V224" s="286"/>
      <c r="W224" s="372"/>
      <c r="X224" s="388"/>
      <c r="Y224" s="289"/>
      <c r="Z224" s="389"/>
      <c r="AA224" s="376"/>
      <c r="AB224" s="376"/>
      <c r="AC224" s="376"/>
      <c r="AD224" s="376"/>
      <c r="AE224" s="376"/>
      <c r="AF224" s="376"/>
    </row>
    <row r="225" spans="4:32" ht="16.5" customHeight="1" x14ac:dyDescent="0.15">
      <c r="D225" s="364"/>
      <c r="E225" s="365"/>
      <c r="F225" s="373"/>
      <c r="G225" s="374"/>
      <c r="H225" s="375"/>
      <c r="I225" s="382"/>
      <c r="J225" s="383"/>
      <c r="K225" s="384"/>
      <c r="L225" s="373"/>
      <c r="M225" s="374"/>
      <c r="N225" s="375"/>
      <c r="O225" s="373"/>
      <c r="P225" s="374"/>
      <c r="Q225" s="375"/>
      <c r="R225" s="373"/>
      <c r="S225" s="374"/>
      <c r="T225" s="375"/>
      <c r="U225" s="373"/>
      <c r="V225" s="374"/>
      <c r="W225" s="375"/>
      <c r="X225" s="390"/>
      <c r="Y225" s="391"/>
      <c r="Z225" s="392"/>
      <c r="AA225" s="376"/>
      <c r="AB225" s="376"/>
      <c r="AC225" s="376"/>
      <c r="AD225" s="376"/>
      <c r="AE225" s="376"/>
      <c r="AF225" s="376"/>
    </row>
    <row r="226" spans="4:32" ht="16.5" customHeight="1" x14ac:dyDescent="0.15">
      <c r="D226" s="366"/>
      <c r="E226" s="367"/>
      <c r="F226" s="356" t="s">
        <v>95</v>
      </c>
      <c r="G226" s="324"/>
      <c r="H226" s="357"/>
      <c r="I226" s="356" t="s">
        <v>95</v>
      </c>
      <c r="J226" s="324"/>
      <c r="K226" s="357"/>
      <c r="L226" s="356" t="s">
        <v>95</v>
      </c>
      <c r="M226" s="324"/>
      <c r="N226" s="357"/>
      <c r="O226" s="358" t="s">
        <v>96</v>
      </c>
      <c r="P226" s="324"/>
      <c r="Q226" s="357"/>
      <c r="R226" s="356" t="s">
        <v>95</v>
      </c>
      <c r="S226" s="324"/>
      <c r="T226" s="357"/>
      <c r="U226" s="358" t="s">
        <v>96</v>
      </c>
      <c r="V226" s="324"/>
      <c r="W226" s="357"/>
      <c r="X226" s="356" t="s">
        <v>95</v>
      </c>
      <c r="Y226" s="324"/>
      <c r="Z226" s="357"/>
      <c r="AA226" s="376"/>
      <c r="AB226" s="376"/>
      <c r="AC226" s="376"/>
      <c r="AD226" s="376"/>
      <c r="AE226" s="376"/>
      <c r="AF226" s="376"/>
    </row>
    <row r="227" spans="4:32" ht="16.5" customHeight="1" x14ac:dyDescent="0.15">
      <c r="D227" s="360">
        <v>10</v>
      </c>
      <c r="E227" s="360"/>
      <c r="F227" s="360">
        <v>1300</v>
      </c>
      <c r="G227" s="360"/>
      <c r="H227" s="360"/>
      <c r="I227" s="360">
        <v>161</v>
      </c>
      <c r="J227" s="360"/>
      <c r="K227" s="360"/>
      <c r="L227" s="361">
        <v>32</v>
      </c>
      <c r="M227" s="361"/>
      <c r="N227" s="361"/>
      <c r="O227" s="360">
        <v>10</v>
      </c>
      <c r="P227" s="360"/>
      <c r="Q227" s="360"/>
      <c r="R227" s="361">
        <v>16</v>
      </c>
      <c r="S227" s="361"/>
      <c r="T227" s="361"/>
      <c r="U227" s="360">
        <v>2</v>
      </c>
      <c r="V227" s="360"/>
      <c r="W227" s="360"/>
      <c r="X227" s="360">
        <v>300</v>
      </c>
      <c r="Y227" s="360"/>
      <c r="Z227" s="360"/>
      <c r="AA227" s="359" t="s">
        <v>113</v>
      </c>
      <c r="AB227" s="359"/>
      <c r="AC227" s="359"/>
      <c r="AD227" s="359"/>
      <c r="AE227" s="359"/>
      <c r="AF227" s="359"/>
    </row>
  </sheetData>
  <mergeCells count="344">
    <mergeCell ref="U68:W68"/>
    <mergeCell ref="N69:P69"/>
    <mergeCell ref="R69:S69"/>
    <mergeCell ref="G74:H74"/>
    <mergeCell ref="G75:H75"/>
    <mergeCell ref="J75:L75"/>
    <mergeCell ref="N75:P75"/>
    <mergeCell ref="G68:H68"/>
    <mergeCell ref="AE59:AF59"/>
    <mergeCell ref="L65:N65"/>
    <mergeCell ref="U69:W69"/>
    <mergeCell ref="N68:P68"/>
    <mergeCell ref="R68:S68"/>
    <mergeCell ref="R75:T75"/>
    <mergeCell ref="U72:W72"/>
    <mergeCell ref="U59:W65"/>
    <mergeCell ref="X59:Z65"/>
    <mergeCell ref="AA59:AC65"/>
    <mergeCell ref="O64:Q64"/>
    <mergeCell ref="R64:T64"/>
    <mergeCell ref="O65:Q65"/>
    <mergeCell ref="R65:T65"/>
    <mergeCell ref="L64:N64"/>
    <mergeCell ref="AG59:AH59"/>
    <mergeCell ref="J68:K68"/>
    <mergeCell ref="G69:H69"/>
    <mergeCell ref="J69:K69"/>
    <mergeCell ref="AE60:AF60"/>
    <mergeCell ref="AG60:AH60"/>
    <mergeCell ref="U21:AC21"/>
    <mergeCell ref="R22:T24"/>
    <mergeCell ref="U22:W24"/>
    <mergeCell ref="X22:Z24"/>
    <mergeCell ref="AA22:AC24"/>
    <mergeCell ref="U25:W25"/>
    <mergeCell ref="X25:Z25"/>
    <mergeCell ref="R29:T29"/>
    <mergeCell ref="L30:N30"/>
    <mergeCell ref="O30:Q30"/>
    <mergeCell ref="R30:T30"/>
    <mergeCell ref="L31:N31"/>
    <mergeCell ref="O31:Q31"/>
    <mergeCell ref="R31:T31"/>
    <mergeCell ref="AA25:AC25"/>
    <mergeCell ref="L29:N29"/>
    <mergeCell ref="O29:Q29"/>
    <mergeCell ref="U26:W32"/>
    <mergeCell ref="D21:E25"/>
    <mergeCell ref="F21:H24"/>
    <mergeCell ref="I21:K24"/>
    <mergeCell ref="L21:T21"/>
    <mergeCell ref="L27:N27"/>
    <mergeCell ref="O27:Q27"/>
    <mergeCell ref="R27:T27"/>
    <mergeCell ref="L22:N22"/>
    <mergeCell ref="O22:Q24"/>
    <mergeCell ref="L23:N23"/>
    <mergeCell ref="L24:N24"/>
    <mergeCell ref="F25:H25"/>
    <mergeCell ref="I25:K25"/>
    <mergeCell ref="L25:N25"/>
    <mergeCell ref="O25:Q25"/>
    <mergeCell ref="R25:T25"/>
    <mergeCell ref="L26:N26"/>
    <mergeCell ref="O26:Q26"/>
    <mergeCell ref="R26:T26"/>
    <mergeCell ref="D26:E32"/>
    <mergeCell ref="F26:H32"/>
    <mergeCell ref="I26:K32"/>
    <mergeCell ref="X26:Z32"/>
    <mergeCell ref="AA26:AC32"/>
    <mergeCell ref="L28:N28"/>
    <mergeCell ref="R28:T28"/>
    <mergeCell ref="O28:Q28"/>
    <mergeCell ref="L32:N32"/>
    <mergeCell ref="R32:T32"/>
    <mergeCell ref="O32:Q32"/>
    <mergeCell ref="AA55:AC57"/>
    <mergeCell ref="L56:N56"/>
    <mergeCell ref="L57:N57"/>
    <mergeCell ref="R58:T58"/>
    <mergeCell ref="U58:W58"/>
    <mergeCell ref="X58:Z58"/>
    <mergeCell ref="L62:N62"/>
    <mergeCell ref="L63:N63"/>
    <mergeCell ref="U54:AC54"/>
    <mergeCell ref="L55:N55"/>
    <mergeCell ref="O55:Q57"/>
    <mergeCell ref="R55:T57"/>
    <mergeCell ref="U55:W57"/>
    <mergeCell ref="X55:Z57"/>
    <mergeCell ref="AA58:AC58"/>
    <mergeCell ref="D54:E58"/>
    <mergeCell ref="O62:Q62"/>
    <mergeCell ref="R62:T62"/>
    <mergeCell ref="O63:Q63"/>
    <mergeCell ref="R63:T63"/>
    <mergeCell ref="L60:N60"/>
    <mergeCell ref="O60:Q60"/>
    <mergeCell ref="R60:T60"/>
    <mergeCell ref="L61:N61"/>
    <mergeCell ref="O61:Q61"/>
    <mergeCell ref="R61:T61"/>
    <mergeCell ref="D59:E65"/>
    <mergeCell ref="F59:H65"/>
    <mergeCell ref="I59:K65"/>
    <mergeCell ref="L59:N59"/>
    <mergeCell ref="O59:Q59"/>
    <mergeCell ref="R59:T59"/>
    <mergeCell ref="F54:H57"/>
    <mergeCell ref="I54:K57"/>
    <mergeCell ref="L54:T54"/>
    <mergeCell ref="F58:H58"/>
    <mergeCell ref="I58:K58"/>
    <mergeCell ref="L58:N58"/>
    <mergeCell ref="O58:Q58"/>
    <mergeCell ref="D92:E96"/>
    <mergeCell ref="F92:H95"/>
    <mergeCell ref="I92:Q92"/>
    <mergeCell ref="R92:Z92"/>
    <mergeCell ref="I93:K95"/>
    <mergeCell ref="L93:N95"/>
    <mergeCell ref="O93:Q95"/>
    <mergeCell ref="F96:H96"/>
    <mergeCell ref="I96:K96"/>
    <mergeCell ref="L96:N96"/>
    <mergeCell ref="O96:Q96"/>
    <mergeCell ref="R96:T96"/>
    <mergeCell ref="U96:W96"/>
    <mergeCell ref="X96:Z96"/>
    <mergeCell ref="D108:E109"/>
    <mergeCell ref="F108:H109"/>
    <mergeCell ref="I108:K108"/>
    <mergeCell ref="L108:N108"/>
    <mergeCell ref="F107:H107"/>
    <mergeCell ref="I107:K107"/>
    <mergeCell ref="L107:N107"/>
    <mergeCell ref="O107:Q107"/>
    <mergeCell ref="R107:T107"/>
    <mergeCell ref="D103:E107"/>
    <mergeCell ref="F103:H106"/>
    <mergeCell ref="I103:Q103"/>
    <mergeCell ref="R103:Z103"/>
    <mergeCell ref="I104:K106"/>
    <mergeCell ref="I109:K109"/>
    <mergeCell ref="L109:N109"/>
    <mergeCell ref="O109:Q109"/>
    <mergeCell ref="U104:W106"/>
    <mergeCell ref="X104:Z106"/>
    <mergeCell ref="U107:W107"/>
    <mergeCell ref="X107:Z107"/>
    <mergeCell ref="AA97:AF98"/>
    <mergeCell ref="AA92:AF96"/>
    <mergeCell ref="AA103:AF107"/>
    <mergeCell ref="AA108:AF109"/>
    <mergeCell ref="O108:Q108"/>
    <mergeCell ref="R108:T109"/>
    <mergeCell ref="U108:W109"/>
    <mergeCell ref="X108:Z109"/>
    <mergeCell ref="D125:E129"/>
    <mergeCell ref="F125:H128"/>
    <mergeCell ref="I125:Q125"/>
    <mergeCell ref="R125:Z125"/>
    <mergeCell ref="I126:K128"/>
    <mergeCell ref="L126:N128"/>
    <mergeCell ref="O126:Q128"/>
    <mergeCell ref="R126:T128"/>
    <mergeCell ref="U126:W128"/>
    <mergeCell ref="X126:Z128"/>
    <mergeCell ref="D97:E98"/>
    <mergeCell ref="F97:H98"/>
    <mergeCell ref="R97:T98"/>
    <mergeCell ref="U97:W98"/>
    <mergeCell ref="X97:Z98"/>
    <mergeCell ref="I97:K97"/>
    <mergeCell ref="I98:K98"/>
    <mergeCell ref="L98:N98"/>
    <mergeCell ref="O98:Q98"/>
    <mergeCell ref="R93:T95"/>
    <mergeCell ref="U93:W95"/>
    <mergeCell ref="X93:Z95"/>
    <mergeCell ref="L104:N106"/>
    <mergeCell ref="O104:Q106"/>
    <mergeCell ref="R104:T106"/>
    <mergeCell ref="L97:N97"/>
    <mergeCell ref="O97:Q97"/>
    <mergeCell ref="AA125:AF129"/>
    <mergeCell ref="AA130:AF130"/>
    <mergeCell ref="D146:E150"/>
    <mergeCell ref="F146:H149"/>
    <mergeCell ref="I146:Q146"/>
    <mergeCell ref="R146:Z146"/>
    <mergeCell ref="AA146:AF150"/>
    <mergeCell ref="I147:K149"/>
    <mergeCell ref="L147:N149"/>
    <mergeCell ref="X129:Z129"/>
    <mergeCell ref="D130:E130"/>
    <mergeCell ref="F130:H130"/>
    <mergeCell ref="I130:K130"/>
    <mergeCell ref="L130:N130"/>
    <mergeCell ref="O130:Q130"/>
    <mergeCell ref="R130:T130"/>
    <mergeCell ref="U130:W130"/>
    <mergeCell ref="X130:Z130"/>
    <mergeCell ref="F129:H129"/>
    <mergeCell ref="I129:K129"/>
    <mergeCell ref="L129:N129"/>
    <mergeCell ref="O129:Q129"/>
    <mergeCell ref="R129:T129"/>
    <mergeCell ref="U129:W129"/>
    <mergeCell ref="O147:Q149"/>
    <mergeCell ref="R147:T149"/>
    <mergeCell ref="U147:W149"/>
    <mergeCell ref="X147:Z149"/>
    <mergeCell ref="F150:H150"/>
    <mergeCell ref="I150:K150"/>
    <mergeCell ref="L150:N150"/>
    <mergeCell ref="O150:Q150"/>
    <mergeCell ref="R150:T150"/>
    <mergeCell ref="U150:W150"/>
    <mergeCell ref="X150:Z150"/>
    <mergeCell ref="AA168:AF172"/>
    <mergeCell ref="I169:K171"/>
    <mergeCell ref="L169:N171"/>
    <mergeCell ref="O169:Q171"/>
    <mergeCell ref="R169:T171"/>
    <mergeCell ref="D151:E151"/>
    <mergeCell ref="F151:H151"/>
    <mergeCell ref="I151:K151"/>
    <mergeCell ref="L151:N151"/>
    <mergeCell ref="O151:Q151"/>
    <mergeCell ref="R151:T151"/>
    <mergeCell ref="U151:W151"/>
    <mergeCell ref="X151:Z151"/>
    <mergeCell ref="AA151:AF151"/>
    <mergeCell ref="D173:E174"/>
    <mergeCell ref="F173:H174"/>
    <mergeCell ref="I173:K173"/>
    <mergeCell ref="L173:N173"/>
    <mergeCell ref="O173:Q173"/>
    <mergeCell ref="R173:T174"/>
    <mergeCell ref="U169:W171"/>
    <mergeCell ref="X169:Z171"/>
    <mergeCell ref="F172:H172"/>
    <mergeCell ref="I172:K172"/>
    <mergeCell ref="L172:N172"/>
    <mergeCell ref="O172:Q172"/>
    <mergeCell ref="R172:T172"/>
    <mergeCell ref="U172:W172"/>
    <mergeCell ref="X172:Z172"/>
    <mergeCell ref="D168:E172"/>
    <mergeCell ref="F168:H171"/>
    <mergeCell ref="I168:Q168"/>
    <mergeCell ref="R168:Z168"/>
    <mergeCell ref="AA179:AF183"/>
    <mergeCell ref="I180:K182"/>
    <mergeCell ref="L180:N182"/>
    <mergeCell ref="O180:Q182"/>
    <mergeCell ref="R180:T182"/>
    <mergeCell ref="U180:W182"/>
    <mergeCell ref="U173:W174"/>
    <mergeCell ref="X173:Z174"/>
    <mergeCell ref="AA173:AF174"/>
    <mergeCell ref="I174:K174"/>
    <mergeCell ref="L174:N174"/>
    <mergeCell ref="O174:Q174"/>
    <mergeCell ref="D184:E185"/>
    <mergeCell ref="F184:H185"/>
    <mergeCell ref="I184:K184"/>
    <mergeCell ref="L184:N184"/>
    <mergeCell ref="O184:Q184"/>
    <mergeCell ref="R184:T185"/>
    <mergeCell ref="X180:Z182"/>
    <mergeCell ref="F183:H183"/>
    <mergeCell ref="I183:K183"/>
    <mergeCell ref="L183:N183"/>
    <mergeCell ref="O183:Q183"/>
    <mergeCell ref="R183:T183"/>
    <mergeCell ref="U183:W183"/>
    <mergeCell ref="X183:Z183"/>
    <mergeCell ref="D179:E183"/>
    <mergeCell ref="F179:H182"/>
    <mergeCell ref="I179:Q179"/>
    <mergeCell ref="R179:Z179"/>
    <mergeCell ref="AA201:AF205"/>
    <mergeCell ref="I202:K204"/>
    <mergeCell ref="L202:N204"/>
    <mergeCell ref="O202:Q204"/>
    <mergeCell ref="R202:T204"/>
    <mergeCell ref="U202:W204"/>
    <mergeCell ref="U184:W185"/>
    <mergeCell ref="X184:Z185"/>
    <mergeCell ref="AA184:AF185"/>
    <mergeCell ref="I185:K185"/>
    <mergeCell ref="L185:N185"/>
    <mergeCell ref="O185:Q185"/>
    <mergeCell ref="X202:Z204"/>
    <mergeCell ref="F205:H205"/>
    <mergeCell ref="I205:K205"/>
    <mergeCell ref="L205:N205"/>
    <mergeCell ref="O205:Q205"/>
    <mergeCell ref="R205:T205"/>
    <mergeCell ref="U205:W205"/>
    <mergeCell ref="X205:Z205"/>
    <mergeCell ref="D201:E205"/>
    <mergeCell ref="F201:H204"/>
    <mergeCell ref="I201:Q201"/>
    <mergeCell ref="R201:Z201"/>
    <mergeCell ref="U206:W206"/>
    <mergeCell ref="X206:Z206"/>
    <mergeCell ref="AA206:AF206"/>
    <mergeCell ref="D222:E226"/>
    <mergeCell ref="F222:H225"/>
    <mergeCell ref="I222:Q222"/>
    <mergeCell ref="R222:Z222"/>
    <mergeCell ref="AA222:AF226"/>
    <mergeCell ref="I223:K225"/>
    <mergeCell ref="L223:N225"/>
    <mergeCell ref="D206:E206"/>
    <mergeCell ref="F206:H206"/>
    <mergeCell ref="I206:K206"/>
    <mergeCell ref="L206:N206"/>
    <mergeCell ref="O206:Q206"/>
    <mergeCell ref="R206:T206"/>
    <mergeCell ref="O223:Q225"/>
    <mergeCell ref="R223:T225"/>
    <mergeCell ref="U223:W225"/>
    <mergeCell ref="X223:Z225"/>
    <mergeCell ref="F226:H226"/>
    <mergeCell ref="I226:K226"/>
    <mergeCell ref="L226:N226"/>
    <mergeCell ref="O226:Q226"/>
    <mergeCell ref="R226:T226"/>
    <mergeCell ref="U226:W226"/>
    <mergeCell ref="AA227:AF227"/>
    <mergeCell ref="X226:Z226"/>
    <mergeCell ref="D227:E227"/>
    <mergeCell ref="F227:H227"/>
    <mergeCell ref="I227:K227"/>
    <mergeCell ref="L227:N227"/>
    <mergeCell ref="O227:Q227"/>
    <mergeCell ref="R227:T227"/>
    <mergeCell ref="U227:W227"/>
    <mergeCell ref="X227:Z227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5" manualBreakCount="5">
    <brk id="34" max="34" man="1"/>
    <brk id="77" max="34" man="1"/>
    <brk id="111" max="34" man="1"/>
    <brk id="153" max="34" man="1"/>
    <brk id="187" max="3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775B-E732-476C-B6EF-84B73B1F636E}">
  <dimension ref="B1:AG201"/>
  <sheetViews>
    <sheetView view="pageBreakPreview" zoomScale="75" zoomScaleNormal="100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11" width="2.625" style="17"/>
    <col min="12" max="12" width="6.625" style="17" customWidth="1"/>
    <col min="13" max="13" width="4.625" style="17" customWidth="1"/>
    <col min="14" max="33" width="2.625" style="17"/>
    <col min="34" max="37" width="8.625" style="17" customWidth="1"/>
    <col min="38" max="16384" width="2.625" style="17"/>
  </cols>
  <sheetData>
    <row r="1" spans="2:31" s="61" customFormat="1" ht="16.5" customHeight="1" x14ac:dyDescent="0.15">
      <c r="B1" s="107"/>
      <c r="C1" s="108"/>
    </row>
    <row r="2" spans="2:31" ht="16.5" customHeight="1" x14ac:dyDescent="0.15">
      <c r="C2" s="21" t="s">
        <v>195</v>
      </c>
      <c r="D2" s="17" t="s">
        <v>196</v>
      </c>
    </row>
    <row r="3" spans="2:31" ht="16.5" customHeight="1" x14ac:dyDescent="0.15">
      <c r="D3" s="385" t="s">
        <v>249</v>
      </c>
      <c r="E3" s="387"/>
      <c r="F3" s="109" t="s">
        <v>250</v>
      </c>
      <c r="G3" s="109"/>
      <c r="H3" s="109"/>
      <c r="I3" s="109"/>
      <c r="J3" s="109"/>
      <c r="K3" s="109"/>
      <c r="L3" s="422" t="s">
        <v>251</v>
      </c>
      <c r="M3" s="422" t="s">
        <v>252</v>
      </c>
      <c r="N3" s="422" t="s">
        <v>253</v>
      </c>
      <c r="O3" s="422"/>
      <c r="P3" s="423"/>
      <c r="Q3" s="422" t="s">
        <v>254</v>
      </c>
      <c r="R3" s="423"/>
      <c r="S3" s="423"/>
      <c r="T3" s="422" t="s">
        <v>255</v>
      </c>
      <c r="U3" s="422"/>
      <c r="V3" s="422"/>
      <c r="W3" s="422" t="s">
        <v>273</v>
      </c>
      <c r="X3" s="423"/>
      <c r="Y3" s="423"/>
      <c r="Z3" s="423"/>
      <c r="AA3" s="423"/>
      <c r="AB3" s="423" t="s">
        <v>256</v>
      </c>
      <c r="AC3" s="423"/>
      <c r="AD3" s="423"/>
      <c r="AE3" s="423"/>
    </row>
    <row r="4" spans="2:31" ht="16.5" customHeight="1" x14ac:dyDescent="0.15">
      <c r="D4" s="388"/>
      <c r="E4" s="389"/>
      <c r="F4" s="422" t="s">
        <v>257</v>
      </c>
      <c r="G4" s="423"/>
      <c r="H4" s="109" t="s">
        <v>258</v>
      </c>
      <c r="I4" s="109"/>
      <c r="J4" s="109"/>
      <c r="K4" s="109"/>
      <c r="L4" s="423"/>
      <c r="M4" s="423"/>
      <c r="N4" s="423"/>
      <c r="O4" s="423"/>
      <c r="P4" s="423"/>
      <c r="Q4" s="423"/>
      <c r="R4" s="423"/>
      <c r="S4" s="423"/>
      <c r="T4" s="422"/>
      <c r="U4" s="422"/>
      <c r="V4" s="422"/>
      <c r="W4" s="423"/>
      <c r="X4" s="423"/>
      <c r="Y4" s="423"/>
      <c r="Z4" s="423"/>
      <c r="AA4" s="423"/>
      <c r="AB4" s="423"/>
      <c r="AC4" s="423"/>
      <c r="AD4" s="423"/>
      <c r="AE4" s="423"/>
    </row>
    <row r="5" spans="2:31" ht="16.5" customHeight="1" thickBot="1" x14ac:dyDescent="0.2">
      <c r="D5" s="420"/>
      <c r="E5" s="421"/>
      <c r="F5" s="424"/>
      <c r="G5" s="424"/>
      <c r="H5" s="110" t="s">
        <v>259</v>
      </c>
      <c r="I5" s="110"/>
      <c r="J5" s="110" t="s">
        <v>260</v>
      </c>
      <c r="K5" s="110"/>
      <c r="L5" s="424"/>
      <c r="M5" s="424"/>
      <c r="N5" s="424"/>
      <c r="O5" s="424"/>
      <c r="P5" s="424"/>
      <c r="Q5" s="424"/>
      <c r="R5" s="424"/>
      <c r="S5" s="424"/>
      <c r="T5" s="425"/>
      <c r="U5" s="425"/>
      <c r="V5" s="425"/>
      <c r="W5" s="424"/>
      <c r="X5" s="424"/>
      <c r="Y5" s="424"/>
      <c r="Z5" s="424"/>
      <c r="AA5" s="424"/>
      <c r="AB5" s="424"/>
      <c r="AC5" s="424"/>
      <c r="AD5" s="424"/>
      <c r="AE5" s="424"/>
    </row>
    <row r="6" spans="2:31" ht="16.5" customHeight="1" thickTop="1" x14ac:dyDescent="0.15">
      <c r="D6" s="530" t="s">
        <v>145</v>
      </c>
      <c r="E6" s="531"/>
      <c r="F6" s="437">
        <v>1</v>
      </c>
      <c r="G6" s="437"/>
      <c r="H6" s="437">
        <v>1</v>
      </c>
      <c r="I6" s="437"/>
      <c r="J6" s="438">
        <v>2</v>
      </c>
      <c r="K6" s="438"/>
      <c r="L6" s="120"/>
      <c r="M6" s="121"/>
      <c r="N6" s="439" t="s">
        <v>261</v>
      </c>
      <c r="O6" s="439"/>
      <c r="P6" s="439"/>
      <c r="Q6" s="440">
        <v>1000</v>
      </c>
      <c r="R6" s="440"/>
      <c r="S6" s="440"/>
      <c r="T6" s="441">
        <v>1000</v>
      </c>
      <c r="U6" s="441"/>
      <c r="V6" s="441"/>
      <c r="W6" s="426">
        <v>2</v>
      </c>
      <c r="X6" s="427"/>
      <c r="Y6" s="122" t="s">
        <v>14</v>
      </c>
      <c r="Z6" s="428" t="s">
        <v>267</v>
      </c>
      <c r="AA6" s="429"/>
      <c r="AB6" s="430"/>
      <c r="AC6" s="430"/>
      <c r="AD6" s="430"/>
      <c r="AE6" s="430"/>
    </row>
    <row r="7" spans="2:31" ht="16.5" customHeight="1" x14ac:dyDescent="0.15">
      <c r="D7" s="532"/>
      <c r="E7" s="533"/>
      <c r="F7" s="423">
        <f>+F6+1</f>
        <v>2</v>
      </c>
      <c r="G7" s="423"/>
      <c r="H7" s="431">
        <v>2</v>
      </c>
      <c r="I7" s="431"/>
      <c r="J7" s="431">
        <v>3</v>
      </c>
      <c r="K7" s="431"/>
      <c r="L7" s="114"/>
      <c r="M7" s="114"/>
      <c r="N7" s="432" t="s">
        <v>261</v>
      </c>
      <c r="O7" s="432"/>
      <c r="P7" s="432"/>
      <c r="Q7" s="433">
        <v>1000</v>
      </c>
      <c r="R7" s="433"/>
      <c r="S7" s="433"/>
      <c r="T7" s="434">
        <v>1000</v>
      </c>
      <c r="U7" s="434"/>
      <c r="V7" s="434"/>
      <c r="W7" s="435">
        <f>W6</f>
        <v>2</v>
      </c>
      <c r="X7" s="436"/>
      <c r="Y7" s="115" t="s">
        <v>14</v>
      </c>
      <c r="Z7" s="445" t="s">
        <v>267</v>
      </c>
      <c r="AA7" s="449"/>
      <c r="AB7" s="442"/>
      <c r="AC7" s="442"/>
      <c r="AD7" s="442"/>
      <c r="AE7" s="442"/>
    </row>
    <row r="8" spans="2:31" ht="16.5" customHeight="1" x14ac:dyDescent="0.15">
      <c r="D8" s="532"/>
      <c r="E8" s="533"/>
      <c r="F8" s="423">
        <f t="shared" ref="F8:F46" si="0">+F7+1</f>
        <v>3</v>
      </c>
      <c r="G8" s="423"/>
      <c r="H8" s="450">
        <v>3</v>
      </c>
      <c r="I8" s="450"/>
      <c r="J8" s="431">
        <v>4</v>
      </c>
      <c r="K8" s="431"/>
      <c r="L8" s="116"/>
      <c r="M8" s="114"/>
      <c r="N8" s="432" t="s">
        <v>261</v>
      </c>
      <c r="O8" s="432"/>
      <c r="P8" s="432"/>
      <c r="Q8" s="433">
        <v>1000</v>
      </c>
      <c r="R8" s="433"/>
      <c r="S8" s="433"/>
      <c r="T8" s="434">
        <v>1000</v>
      </c>
      <c r="U8" s="434"/>
      <c r="V8" s="434"/>
      <c r="W8" s="435">
        <f>W7</f>
        <v>2</v>
      </c>
      <c r="X8" s="436"/>
      <c r="Y8" s="115" t="s">
        <v>14</v>
      </c>
      <c r="Z8" s="445" t="s">
        <v>267</v>
      </c>
      <c r="AA8" s="449"/>
      <c r="AB8" s="442"/>
      <c r="AC8" s="442"/>
      <c r="AD8" s="442"/>
      <c r="AE8" s="442"/>
    </row>
    <row r="9" spans="2:31" ht="16.5" customHeight="1" x14ac:dyDescent="0.15">
      <c r="D9" s="532"/>
      <c r="E9" s="533"/>
      <c r="F9" s="423">
        <f t="shared" si="0"/>
        <v>4</v>
      </c>
      <c r="G9" s="423"/>
      <c r="H9" s="431">
        <v>2</v>
      </c>
      <c r="I9" s="431"/>
      <c r="J9" s="431">
        <v>5</v>
      </c>
      <c r="K9" s="431"/>
      <c r="L9" s="116"/>
      <c r="M9" s="114"/>
      <c r="N9" s="376" t="s">
        <v>261</v>
      </c>
      <c r="O9" s="376"/>
      <c r="P9" s="376"/>
      <c r="Q9" s="443">
        <v>1000</v>
      </c>
      <c r="R9" s="443"/>
      <c r="S9" s="443"/>
      <c r="T9" s="444">
        <v>1000</v>
      </c>
      <c r="U9" s="444"/>
      <c r="V9" s="444"/>
      <c r="W9" s="435">
        <f t="shared" ref="W9:W10" si="1">W8</f>
        <v>2</v>
      </c>
      <c r="X9" s="436"/>
      <c r="Y9" s="115" t="s">
        <v>14</v>
      </c>
      <c r="Z9" s="445" t="s">
        <v>262</v>
      </c>
      <c r="AA9" s="446"/>
      <c r="AB9" s="447"/>
      <c r="AC9" s="447"/>
      <c r="AD9" s="447"/>
      <c r="AE9" s="448"/>
    </row>
    <row r="10" spans="2:31" ht="16.5" customHeight="1" thickBot="1" x14ac:dyDescent="0.2">
      <c r="D10" s="534"/>
      <c r="E10" s="535"/>
      <c r="F10" s="424">
        <f t="shared" si="0"/>
        <v>5</v>
      </c>
      <c r="G10" s="424"/>
      <c r="H10" s="473">
        <v>3</v>
      </c>
      <c r="I10" s="473"/>
      <c r="J10" s="452">
        <v>8</v>
      </c>
      <c r="K10" s="452"/>
      <c r="L10" s="117"/>
      <c r="M10" s="118"/>
      <c r="N10" s="474" t="s">
        <v>261</v>
      </c>
      <c r="O10" s="475"/>
      <c r="P10" s="475"/>
      <c r="Q10" s="476">
        <v>1000</v>
      </c>
      <c r="R10" s="476"/>
      <c r="S10" s="476"/>
      <c r="T10" s="477">
        <v>1000</v>
      </c>
      <c r="U10" s="477"/>
      <c r="V10" s="477"/>
      <c r="W10" s="463">
        <f t="shared" si="1"/>
        <v>2</v>
      </c>
      <c r="X10" s="464"/>
      <c r="Y10" s="119" t="s">
        <v>14</v>
      </c>
      <c r="Z10" s="465" t="s">
        <v>262</v>
      </c>
      <c r="AA10" s="466"/>
      <c r="AB10" s="467"/>
      <c r="AC10" s="468"/>
      <c r="AD10" s="468"/>
      <c r="AE10" s="469"/>
    </row>
    <row r="11" spans="2:31" ht="16.5" customHeight="1" thickTop="1" x14ac:dyDescent="0.15">
      <c r="D11" s="521" t="s">
        <v>270</v>
      </c>
      <c r="E11" s="522"/>
      <c r="F11" s="470">
        <f t="shared" si="0"/>
        <v>6</v>
      </c>
      <c r="G11" s="470"/>
      <c r="H11" s="438">
        <v>5</v>
      </c>
      <c r="I11" s="438"/>
      <c r="J11" s="438">
        <v>6</v>
      </c>
      <c r="K11" s="438"/>
      <c r="L11" s="120"/>
      <c r="M11" s="121"/>
      <c r="N11" s="439" t="s">
        <v>261</v>
      </c>
      <c r="O11" s="439"/>
      <c r="P11" s="439"/>
      <c r="Q11" s="440">
        <v>1000</v>
      </c>
      <c r="R11" s="440"/>
      <c r="S11" s="440"/>
      <c r="T11" s="441">
        <v>1000</v>
      </c>
      <c r="U11" s="441"/>
      <c r="V11" s="441"/>
      <c r="W11" s="471">
        <v>2.35</v>
      </c>
      <c r="X11" s="472"/>
      <c r="Y11" s="122" t="s">
        <v>14</v>
      </c>
      <c r="Z11" s="428" t="s">
        <v>262</v>
      </c>
      <c r="AA11" s="453"/>
      <c r="AB11" s="430"/>
      <c r="AC11" s="430"/>
      <c r="AD11" s="430"/>
      <c r="AE11" s="430"/>
    </row>
    <row r="12" spans="2:31" ht="16.5" customHeight="1" x14ac:dyDescent="0.15">
      <c r="D12" s="523"/>
      <c r="E12" s="524"/>
      <c r="F12" s="423">
        <f t="shared" si="0"/>
        <v>7</v>
      </c>
      <c r="G12" s="423"/>
      <c r="H12" s="450">
        <v>6</v>
      </c>
      <c r="I12" s="450"/>
      <c r="J12" s="431">
        <v>7</v>
      </c>
      <c r="K12" s="431"/>
      <c r="L12" s="88"/>
      <c r="M12" s="88"/>
      <c r="N12" s="376" t="s">
        <v>261</v>
      </c>
      <c r="O12" s="376"/>
      <c r="P12" s="376"/>
      <c r="Q12" s="443">
        <v>1000</v>
      </c>
      <c r="R12" s="443"/>
      <c r="S12" s="443"/>
      <c r="T12" s="444">
        <v>1000</v>
      </c>
      <c r="U12" s="444"/>
      <c r="V12" s="444"/>
      <c r="W12" s="482">
        <f>+W11</f>
        <v>2.35</v>
      </c>
      <c r="X12" s="449"/>
      <c r="Y12" s="115" t="s">
        <v>14</v>
      </c>
      <c r="Z12" s="445" t="s">
        <v>262</v>
      </c>
      <c r="AA12" s="446"/>
      <c r="AB12" s="442"/>
      <c r="AC12" s="442"/>
      <c r="AD12" s="442"/>
      <c r="AE12" s="442"/>
    </row>
    <row r="13" spans="2:31" ht="16.5" customHeight="1" thickBot="1" x14ac:dyDescent="0.2">
      <c r="D13" s="525"/>
      <c r="E13" s="526"/>
      <c r="F13" s="424">
        <f t="shared" si="0"/>
        <v>8</v>
      </c>
      <c r="G13" s="424"/>
      <c r="H13" s="452">
        <v>7</v>
      </c>
      <c r="I13" s="452"/>
      <c r="J13" s="452">
        <v>11</v>
      </c>
      <c r="K13" s="452"/>
      <c r="L13" s="129">
        <v>1</v>
      </c>
      <c r="M13" s="118">
        <v>1</v>
      </c>
      <c r="N13" s="454" t="s">
        <v>266</v>
      </c>
      <c r="O13" s="454"/>
      <c r="P13" s="454"/>
      <c r="Q13" s="455" t="s">
        <v>264</v>
      </c>
      <c r="R13" s="456"/>
      <c r="S13" s="456"/>
      <c r="T13" s="457" t="s">
        <v>264</v>
      </c>
      <c r="U13" s="458"/>
      <c r="V13" s="458"/>
      <c r="W13" s="459">
        <f>+W12</f>
        <v>2.35</v>
      </c>
      <c r="X13" s="460"/>
      <c r="Y13" s="124" t="s">
        <v>14</v>
      </c>
      <c r="Z13" s="461" t="s">
        <v>262</v>
      </c>
      <c r="AA13" s="462"/>
      <c r="AB13" s="451" t="s">
        <v>265</v>
      </c>
      <c r="AC13" s="451"/>
      <c r="AD13" s="451"/>
      <c r="AE13" s="451"/>
    </row>
    <row r="14" spans="2:31" ht="16.5" customHeight="1" thickTop="1" x14ac:dyDescent="0.15">
      <c r="D14" s="523" t="s">
        <v>272</v>
      </c>
      <c r="E14" s="524"/>
      <c r="F14" s="483">
        <f t="shared" si="0"/>
        <v>9</v>
      </c>
      <c r="G14" s="483"/>
      <c r="H14" s="484">
        <v>8</v>
      </c>
      <c r="I14" s="484"/>
      <c r="J14" s="484">
        <v>9</v>
      </c>
      <c r="K14" s="484"/>
      <c r="L14" s="111"/>
      <c r="M14" s="112"/>
      <c r="N14" s="432" t="s">
        <v>261</v>
      </c>
      <c r="O14" s="432"/>
      <c r="P14" s="432"/>
      <c r="Q14" s="433">
        <v>1000</v>
      </c>
      <c r="R14" s="433"/>
      <c r="S14" s="433"/>
      <c r="T14" s="434">
        <v>1000</v>
      </c>
      <c r="U14" s="434"/>
      <c r="V14" s="434"/>
      <c r="W14" s="478">
        <f>+W13</f>
        <v>2.35</v>
      </c>
      <c r="X14" s="479"/>
      <c r="Y14" s="113" t="s">
        <v>14</v>
      </c>
      <c r="Z14" s="480" t="s">
        <v>262</v>
      </c>
      <c r="AA14" s="479"/>
      <c r="AB14" s="481"/>
      <c r="AC14" s="481"/>
      <c r="AD14" s="481"/>
      <c r="AE14" s="481"/>
    </row>
    <row r="15" spans="2:31" ht="16.5" customHeight="1" x14ac:dyDescent="0.15">
      <c r="D15" s="523"/>
      <c r="E15" s="524"/>
      <c r="F15" s="423">
        <f t="shared" si="0"/>
        <v>10</v>
      </c>
      <c r="G15" s="423"/>
      <c r="H15" s="450">
        <v>9</v>
      </c>
      <c r="I15" s="450"/>
      <c r="J15" s="431">
        <v>10</v>
      </c>
      <c r="K15" s="431"/>
      <c r="L15" s="88"/>
      <c r="M15" s="88"/>
      <c r="N15" s="376" t="s">
        <v>261</v>
      </c>
      <c r="O15" s="376"/>
      <c r="P15" s="376"/>
      <c r="Q15" s="443">
        <v>1000</v>
      </c>
      <c r="R15" s="443"/>
      <c r="S15" s="443"/>
      <c r="T15" s="444">
        <v>1000</v>
      </c>
      <c r="U15" s="444"/>
      <c r="V15" s="444"/>
      <c r="W15" s="482">
        <f>+W14</f>
        <v>2.35</v>
      </c>
      <c r="X15" s="449"/>
      <c r="Y15" s="115" t="s">
        <v>14</v>
      </c>
      <c r="Z15" s="445" t="s">
        <v>262</v>
      </c>
      <c r="AA15" s="449"/>
      <c r="AB15" s="442"/>
      <c r="AC15" s="442"/>
      <c r="AD15" s="442"/>
      <c r="AE15" s="442"/>
    </row>
    <row r="16" spans="2:31" ht="16.5" customHeight="1" thickBot="1" x14ac:dyDescent="0.2">
      <c r="D16" s="525"/>
      <c r="E16" s="526"/>
      <c r="F16" s="424">
        <f t="shared" si="0"/>
        <v>11</v>
      </c>
      <c r="G16" s="424"/>
      <c r="H16" s="452">
        <v>10</v>
      </c>
      <c r="I16" s="452"/>
      <c r="J16" s="452">
        <v>92</v>
      </c>
      <c r="K16" s="452"/>
      <c r="L16" s="117">
        <f>+L13+1</f>
        <v>2</v>
      </c>
      <c r="M16" s="118">
        <v>2</v>
      </c>
      <c r="N16" s="454" t="s">
        <v>266</v>
      </c>
      <c r="O16" s="454"/>
      <c r="P16" s="454"/>
      <c r="Q16" s="455" t="s">
        <v>264</v>
      </c>
      <c r="R16" s="456"/>
      <c r="S16" s="456"/>
      <c r="T16" s="457" t="s">
        <v>264</v>
      </c>
      <c r="U16" s="458"/>
      <c r="V16" s="458"/>
      <c r="W16" s="459">
        <f>+W15</f>
        <v>2.35</v>
      </c>
      <c r="X16" s="460"/>
      <c r="Y16" s="124" t="s">
        <v>14</v>
      </c>
      <c r="Z16" s="461" t="s">
        <v>262</v>
      </c>
      <c r="AA16" s="460"/>
      <c r="AB16" s="451" t="s">
        <v>265</v>
      </c>
      <c r="AC16" s="451"/>
      <c r="AD16" s="451"/>
      <c r="AE16" s="451"/>
    </row>
    <row r="17" spans="4:31" ht="16.5" customHeight="1" thickTop="1" x14ac:dyDescent="0.15">
      <c r="D17" s="527" t="s">
        <v>276</v>
      </c>
      <c r="E17" s="527"/>
      <c r="F17" s="470">
        <f t="shared" si="0"/>
        <v>12</v>
      </c>
      <c r="G17" s="470"/>
      <c r="H17" s="437">
        <v>11</v>
      </c>
      <c r="I17" s="437"/>
      <c r="J17" s="438">
        <v>14</v>
      </c>
      <c r="K17" s="438"/>
      <c r="L17" s="134"/>
      <c r="M17" s="121"/>
      <c r="N17" s="491" t="s">
        <v>261</v>
      </c>
      <c r="O17" s="492"/>
      <c r="P17" s="493"/>
      <c r="Q17" s="494">
        <v>1000</v>
      </c>
      <c r="R17" s="495"/>
      <c r="S17" s="496"/>
      <c r="T17" s="497">
        <v>1000</v>
      </c>
      <c r="U17" s="498"/>
      <c r="V17" s="499"/>
      <c r="W17" s="500">
        <f t="shared" ref="W17:W21" si="2">+W16</f>
        <v>2.35</v>
      </c>
      <c r="X17" s="429"/>
      <c r="Y17" s="122" t="s">
        <v>14</v>
      </c>
      <c r="Z17" s="428" t="s">
        <v>262</v>
      </c>
      <c r="AA17" s="453"/>
      <c r="AB17" s="430"/>
      <c r="AC17" s="430"/>
      <c r="AD17" s="430"/>
      <c r="AE17" s="430"/>
    </row>
    <row r="18" spans="4:31" ht="16.5" customHeight="1" x14ac:dyDescent="0.15">
      <c r="D18" s="528"/>
      <c r="E18" s="528"/>
      <c r="F18" s="423">
        <f t="shared" si="0"/>
        <v>13</v>
      </c>
      <c r="G18" s="423"/>
      <c r="H18" s="431">
        <v>12</v>
      </c>
      <c r="I18" s="431"/>
      <c r="J18" s="431">
        <v>13</v>
      </c>
      <c r="K18" s="431"/>
      <c r="L18" s="116"/>
      <c r="M18" s="114"/>
      <c r="N18" s="334" t="s">
        <v>261</v>
      </c>
      <c r="O18" s="327"/>
      <c r="P18" s="328"/>
      <c r="Q18" s="485">
        <v>1000</v>
      </c>
      <c r="R18" s="486"/>
      <c r="S18" s="487"/>
      <c r="T18" s="488">
        <v>1000</v>
      </c>
      <c r="U18" s="489"/>
      <c r="V18" s="490"/>
      <c r="W18" s="482">
        <f t="shared" si="2"/>
        <v>2.35</v>
      </c>
      <c r="X18" s="449"/>
      <c r="Y18" s="115" t="s">
        <v>14</v>
      </c>
      <c r="Z18" s="445" t="s">
        <v>262</v>
      </c>
      <c r="AA18" s="446"/>
      <c r="AB18" s="442"/>
      <c r="AC18" s="442"/>
      <c r="AD18" s="442"/>
      <c r="AE18" s="442"/>
    </row>
    <row r="19" spans="4:31" ht="16.5" customHeight="1" x14ac:dyDescent="0.15">
      <c r="D19" s="528"/>
      <c r="E19" s="528"/>
      <c r="F19" s="423">
        <f t="shared" si="0"/>
        <v>14</v>
      </c>
      <c r="G19" s="423"/>
      <c r="H19" s="450">
        <v>13</v>
      </c>
      <c r="I19" s="450"/>
      <c r="J19" s="431">
        <v>14</v>
      </c>
      <c r="K19" s="431"/>
      <c r="L19" s="116"/>
      <c r="M19" s="114"/>
      <c r="N19" s="334" t="s">
        <v>261</v>
      </c>
      <c r="O19" s="327"/>
      <c r="P19" s="328"/>
      <c r="Q19" s="485">
        <v>1000</v>
      </c>
      <c r="R19" s="486"/>
      <c r="S19" s="487"/>
      <c r="T19" s="488">
        <v>1000</v>
      </c>
      <c r="U19" s="489"/>
      <c r="V19" s="490"/>
      <c r="W19" s="482">
        <f t="shared" si="2"/>
        <v>2.35</v>
      </c>
      <c r="X19" s="449"/>
      <c r="Y19" s="115" t="s">
        <v>14</v>
      </c>
      <c r="Z19" s="445" t="s">
        <v>262</v>
      </c>
      <c r="AA19" s="446"/>
      <c r="AB19" s="442"/>
      <c r="AC19" s="442"/>
      <c r="AD19" s="442"/>
      <c r="AE19" s="442"/>
    </row>
    <row r="20" spans="4:31" ht="16.5" customHeight="1" x14ac:dyDescent="0.15">
      <c r="D20" s="528"/>
      <c r="E20" s="528"/>
      <c r="F20" s="423">
        <f t="shared" si="0"/>
        <v>15</v>
      </c>
      <c r="G20" s="423"/>
      <c r="H20" s="431">
        <v>14</v>
      </c>
      <c r="I20" s="431"/>
      <c r="J20" s="431">
        <v>15</v>
      </c>
      <c r="K20" s="431"/>
      <c r="L20" s="116"/>
      <c r="M20" s="114"/>
      <c r="N20" s="334" t="s">
        <v>261</v>
      </c>
      <c r="O20" s="327"/>
      <c r="P20" s="328"/>
      <c r="Q20" s="485">
        <v>1000</v>
      </c>
      <c r="R20" s="486"/>
      <c r="S20" s="487"/>
      <c r="T20" s="488">
        <v>1000</v>
      </c>
      <c r="U20" s="489"/>
      <c r="V20" s="490"/>
      <c r="W20" s="482">
        <f t="shared" si="2"/>
        <v>2.35</v>
      </c>
      <c r="X20" s="449"/>
      <c r="Y20" s="115" t="s">
        <v>14</v>
      </c>
      <c r="Z20" s="445" t="s">
        <v>262</v>
      </c>
      <c r="AA20" s="446"/>
      <c r="AB20" s="442"/>
      <c r="AC20" s="442"/>
      <c r="AD20" s="442"/>
      <c r="AE20" s="442"/>
    </row>
    <row r="21" spans="4:31" ht="16.5" customHeight="1" thickBot="1" x14ac:dyDescent="0.2">
      <c r="D21" s="529"/>
      <c r="E21" s="529"/>
      <c r="F21" s="424">
        <f t="shared" si="0"/>
        <v>16</v>
      </c>
      <c r="G21" s="424"/>
      <c r="H21" s="473">
        <v>15</v>
      </c>
      <c r="I21" s="473"/>
      <c r="J21" s="452">
        <v>16</v>
      </c>
      <c r="K21" s="452"/>
      <c r="L21" s="117"/>
      <c r="M21" s="118"/>
      <c r="N21" s="474" t="s">
        <v>261</v>
      </c>
      <c r="O21" s="475"/>
      <c r="P21" s="501"/>
      <c r="Q21" s="502">
        <v>1000</v>
      </c>
      <c r="R21" s="503"/>
      <c r="S21" s="504"/>
      <c r="T21" s="505">
        <v>1000</v>
      </c>
      <c r="U21" s="506"/>
      <c r="V21" s="507"/>
      <c r="W21" s="508">
        <f t="shared" si="2"/>
        <v>2.35</v>
      </c>
      <c r="X21" s="509"/>
      <c r="Y21" s="119" t="s">
        <v>14</v>
      </c>
      <c r="Z21" s="465" t="s">
        <v>262</v>
      </c>
      <c r="AA21" s="466"/>
      <c r="AB21" s="451"/>
      <c r="AC21" s="451"/>
      <c r="AD21" s="451"/>
      <c r="AE21" s="451"/>
    </row>
    <row r="22" spans="4:31" ht="16.5" customHeight="1" thickTop="1" x14ac:dyDescent="0.15">
      <c r="D22" s="536" t="s">
        <v>279</v>
      </c>
      <c r="E22" s="537"/>
      <c r="F22" s="483">
        <f t="shared" si="0"/>
        <v>17</v>
      </c>
      <c r="G22" s="483"/>
      <c r="H22" s="519">
        <v>13</v>
      </c>
      <c r="I22" s="519"/>
      <c r="J22" s="519">
        <v>17</v>
      </c>
      <c r="K22" s="519"/>
      <c r="L22" s="111"/>
      <c r="M22" s="112"/>
      <c r="N22" s="432" t="s">
        <v>261</v>
      </c>
      <c r="O22" s="432"/>
      <c r="P22" s="432"/>
      <c r="Q22" s="433">
        <v>1000</v>
      </c>
      <c r="R22" s="433"/>
      <c r="S22" s="433"/>
      <c r="T22" s="434">
        <v>1000</v>
      </c>
      <c r="U22" s="434"/>
      <c r="V22" s="434"/>
      <c r="W22" s="478">
        <f t="shared" ref="W22" si="3">+W21</f>
        <v>2.35</v>
      </c>
      <c r="X22" s="479"/>
      <c r="Y22" s="113" t="s">
        <v>14</v>
      </c>
      <c r="Z22" s="480" t="s">
        <v>262</v>
      </c>
      <c r="AA22" s="516"/>
      <c r="AB22" s="481"/>
      <c r="AC22" s="481"/>
      <c r="AD22" s="481"/>
      <c r="AE22" s="481"/>
    </row>
    <row r="23" spans="4:31" ht="16.5" customHeight="1" x14ac:dyDescent="0.15">
      <c r="D23" s="536"/>
      <c r="E23" s="537"/>
      <c r="F23" s="423">
        <f t="shared" si="0"/>
        <v>18</v>
      </c>
      <c r="G23" s="423"/>
      <c r="H23" s="423">
        <f>+J22</f>
        <v>17</v>
      </c>
      <c r="I23" s="423"/>
      <c r="J23" s="423">
        <f>+J22+1</f>
        <v>18</v>
      </c>
      <c r="K23" s="423"/>
      <c r="L23" s="116">
        <f>+L16+1</f>
        <v>3</v>
      </c>
      <c r="M23" s="137">
        <v>3</v>
      </c>
      <c r="N23" s="510" t="s">
        <v>263</v>
      </c>
      <c r="O23" s="510"/>
      <c r="P23" s="510"/>
      <c r="Q23" s="511" t="s">
        <v>264</v>
      </c>
      <c r="R23" s="512"/>
      <c r="S23" s="512"/>
      <c r="T23" s="513" t="s">
        <v>264</v>
      </c>
      <c r="U23" s="514"/>
      <c r="V23" s="514"/>
      <c r="W23" s="517">
        <v>2.2400000000000002</v>
      </c>
      <c r="X23" s="518"/>
      <c r="Y23" s="115" t="s">
        <v>14</v>
      </c>
      <c r="Z23" s="445" t="s">
        <v>262</v>
      </c>
      <c r="AA23" s="446"/>
      <c r="AB23" s="442" t="s">
        <v>265</v>
      </c>
      <c r="AC23" s="442"/>
      <c r="AD23" s="442"/>
      <c r="AE23" s="442"/>
    </row>
    <row r="24" spans="4:31" ht="16.5" customHeight="1" x14ac:dyDescent="0.15">
      <c r="D24" s="536"/>
      <c r="E24" s="537"/>
      <c r="F24" s="423">
        <f t="shared" si="0"/>
        <v>19</v>
      </c>
      <c r="G24" s="423"/>
      <c r="H24" s="423">
        <f t="shared" ref="H24:H46" si="4">+H23+1</f>
        <v>18</v>
      </c>
      <c r="I24" s="423"/>
      <c r="J24" s="423">
        <f t="shared" ref="J24:J41" si="5">+J23+1</f>
        <v>19</v>
      </c>
      <c r="K24" s="423"/>
      <c r="L24" s="116">
        <f>+L23+1</f>
        <v>4</v>
      </c>
      <c r="M24" s="123">
        <f>+M23</f>
        <v>3</v>
      </c>
      <c r="N24" s="510" t="s">
        <v>263</v>
      </c>
      <c r="O24" s="510"/>
      <c r="P24" s="510"/>
      <c r="Q24" s="511" t="s">
        <v>264</v>
      </c>
      <c r="R24" s="512"/>
      <c r="S24" s="512"/>
      <c r="T24" s="513" t="s">
        <v>264</v>
      </c>
      <c r="U24" s="514"/>
      <c r="V24" s="514"/>
      <c r="W24" s="482">
        <f t="shared" ref="W24:W46" si="6">W23</f>
        <v>2.2400000000000002</v>
      </c>
      <c r="X24" s="449"/>
      <c r="Y24" s="115" t="s">
        <v>14</v>
      </c>
      <c r="Z24" s="445" t="s">
        <v>262</v>
      </c>
      <c r="AA24" s="446"/>
      <c r="AB24" s="442"/>
      <c r="AC24" s="442"/>
      <c r="AD24" s="442"/>
      <c r="AE24" s="442"/>
    </row>
    <row r="25" spans="4:31" ht="16.5" customHeight="1" x14ac:dyDescent="0.15">
      <c r="D25" s="536"/>
      <c r="E25" s="537"/>
      <c r="F25" s="423">
        <f t="shared" si="0"/>
        <v>20</v>
      </c>
      <c r="G25" s="423"/>
      <c r="H25" s="423">
        <f t="shared" si="4"/>
        <v>19</v>
      </c>
      <c r="I25" s="423"/>
      <c r="J25" s="423">
        <f t="shared" si="5"/>
        <v>20</v>
      </c>
      <c r="K25" s="423"/>
      <c r="L25" s="116">
        <f t="shared" ref="L25:L40" si="7">+L24+1</f>
        <v>5</v>
      </c>
      <c r="M25" s="137">
        <v>4</v>
      </c>
      <c r="N25" s="510" t="s">
        <v>263</v>
      </c>
      <c r="O25" s="510"/>
      <c r="P25" s="510"/>
      <c r="Q25" s="511" t="s">
        <v>264</v>
      </c>
      <c r="R25" s="512"/>
      <c r="S25" s="512"/>
      <c r="T25" s="513" t="s">
        <v>264</v>
      </c>
      <c r="U25" s="514"/>
      <c r="V25" s="514"/>
      <c r="W25" s="482">
        <f t="shared" si="6"/>
        <v>2.2400000000000002</v>
      </c>
      <c r="X25" s="449"/>
      <c r="Y25" s="115" t="s">
        <v>14</v>
      </c>
      <c r="Z25" s="445" t="s">
        <v>262</v>
      </c>
      <c r="AA25" s="446"/>
      <c r="AB25" s="442"/>
      <c r="AC25" s="442"/>
      <c r="AD25" s="442"/>
      <c r="AE25" s="442"/>
    </row>
    <row r="26" spans="4:31" ht="16.5" customHeight="1" x14ac:dyDescent="0.15">
      <c r="D26" s="536"/>
      <c r="E26" s="537"/>
      <c r="F26" s="423">
        <f t="shared" si="0"/>
        <v>21</v>
      </c>
      <c r="G26" s="423"/>
      <c r="H26" s="423">
        <f t="shared" si="4"/>
        <v>20</v>
      </c>
      <c r="I26" s="423"/>
      <c r="J26" s="423">
        <f t="shared" si="5"/>
        <v>21</v>
      </c>
      <c r="K26" s="423"/>
      <c r="L26" s="116">
        <f t="shared" si="7"/>
        <v>6</v>
      </c>
      <c r="M26" s="123">
        <f>+M25</f>
        <v>4</v>
      </c>
      <c r="N26" s="510" t="s">
        <v>263</v>
      </c>
      <c r="O26" s="510"/>
      <c r="P26" s="510"/>
      <c r="Q26" s="511" t="s">
        <v>264</v>
      </c>
      <c r="R26" s="512"/>
      <c r="S26" s="512"/>
      <c r="T26" s="513" t="s">
        <v>264</v>
      </c>
      <c r="U26" s="514"/>
      <c r="V26" s="514"/>
      <c r="W26" s="482">
        <f t="shared" si="6"/>
        <v>2.2400000000000002</v>
      </c>
      <c r="X26" s="449"/>
      <c r="Y26" s="115" t="s">
        <v>14</v>
      </c>
      <c r="Z26" s="445" t="s">
        <v>262</v>
      </c>
      <c r="AA26" s="446"/>
      <c r="AB26" s="442"/>
      <c r="AC26" s="442"/>
      <c r="AD26" s="442"/>
      <c r="AE26" s="442"/>
    </row>
    <row r="27" spans="4:31" ht="16.5" customHeight="1" x14ac:dyDescent="0.15">
      <c r="D27" s="536"/>
      <c r="E27" s="537"/>
      <c r="F27" s="423">
        <f t="shared" si="0"/>
        <v>22</v>
      </c>
      <c r="G27" s="423"/>
      <c r="H27" s="423">
        <f t="shared" si="4"/>
        <v>21</v>
      </c>
      <c r="I27" s="423"/>
      <c r="J27" s="423">
        <f t="shared" si="5"/>
        <v>22</v>
      </c>
      <c r="K27" s="423"/>
      <c r="L27" s="116">
        <f t="shared" si="7"/>
        <v>7</v>
      </c>
      <c r="M27" s="123">
        <f t="shared" ref="M27:M29" si="8">+M26</f>
        <v>4</v>
      </c>
      <c r="N27" s="510" t="s">
        <v>263</v>
      </c>
      <c r="O27" s="510"/>
      <c r="P27" s="510"/>
      <c r="Q27" s="511" t="s">
        <v>264</v>
      </c>
      <c r="R27" s="512"/>
      <c r="S27" s="512"/>
      <c r="T27" s="513" t="s">
        <v>264</v>
      </c>
      <c r="U27" s="514"/>
      <c r="V27" s="514"/>
      <c r="W27" s="482">
        <f t="shared" si="6"/>
        <v>2.2400000000000002</v>
      </c>
      <c r="X27" s="449"/>
      <c r="Y27" s="115" t="s">
        <v>14</v>
      </c>
      <c r="Z27" s="445" t="s">
        <v>262</v>
      </c>
      <c r="AA27" s="446"/>
      <c r="AB27" s="442"/>
      <c r="AC27" s="442"/>
      <c r="AD27" s="442"/>
      <c r="AE27" s="442"/>
    </row>
    <row r="28" spans="4:31" ht="16.5" customHeight="1" x14ac:dyDescent="0.15">
      <c r="D28" s="536"/>
      <c r="E28" s="537"/>
      <c r="F28" s="423">
        <f t="shared" si="0"/>
        <v>23</v>
      </c>
      <c r="G28" s="423"/>
      <c r="H28" s="423">
        <f t="shared" si="4"/>
        <v>22</v>
      </c>
      <c r="I28" s="423"/>
      <c r="J28" s="423">
        <f t="shared" si="5"/>
        <v>23</v>
      </c>
      <c r="K28" s="423"/>
      <c r="L28" s="116">
        <f t="shared" si="7"/>
        <v>8</v>
      </c>
      <c r="M28" s="123">
        <f t="shared" si="8"/>
        <v>4</v>
      </c>
      <c r="N28" s="510" t="s">
        <v>263</v>
      </c>
      <c r="O28" s="510"/>
      <c r="P28" s="510"/>
      <c r="Q28" s="511" t="s">
        <v>264</v>
      </c>
      <c r="R28" s="512"/>
      <c r="S28" s="512"/>
      <c r="T28" s="513" t="s">
        <v>264</v>
      </c>
      <c r="U28" s="514"/>
      <c r="V28" s="514"/>
      <c r="W28" s="482">
        <f t="shared" si="6"/>
        <v>2.2400000000000002</v>
      </c>
      <c r="X28" s="449"/>
      <c r="Y28" s="115" t="s">
        <v>14</v>
      </c>
      <c r="Z28" s="445" t="s">
        <v>262</v>
      </c>
      <c r="AA28" s="446"/>
      <c r="AB28" s="442"/>
      <c r="AC28" s="442"/>
      <c r="AD28" s="442"/>
      <c r="AE28" s="442"/>
    </row>
    <row r="29" spans="4:31" ht="16.5" customHeight="1" x14ac:dyDescent="0.15">
      <c r="D29" s="536"/>
      <c r="E29" s="537"/>
      <c r="F29" s="423">
        <f t="shared" si="0"/>
        <v>24</v>
      </c>
      <c r="G29" s="423"/>
      <c r="H29" s="423">
        <f t="shared" si="4"/>
        <v>23</v>
      </c>
      <c r="I29" s="423"/>
      <c r="J29" s="423">
        <f t="shared" si="5"/>
        <v>24</v>
      </c>
      <c r="K29" s="423"/>
      <c r="L29" s="116">
        <f t="shared" si="7"/>
        <v>9</v>
      </c>
      <c r="M29" s="123">
        <f t="shared" si="8"/>
        <v>4</v>
      </c>
      <c r="N29" s="510" t="s">
        <v>263</v>
      </c>
      <c r="O29" s="510"/>
      <c r="P29" s="510"/>
      <c r="Q29" s="511" t="s">
        <v>264</v>
      </c>
      <c r="R29" s="512"/>
      <c r="S29" s="512"/>
      <c r="T29" s="513" t="s">
        <v>264</v>
      </c>
      <c r="U29" s="514"/>
      <c r="V29" s="514"/>
      <c r="W29" s="482">
        <f t="shared" si="6"/>
        <v>2.2400000000000002</v>
      </c>
      <c r="X29" s="449"/>
      <c r="Y29" s="115" t="s">
        <v>14</v>
      </c>
      <c r="Z29" s="445" t="s">
        <v>262</v>
      </c>
      <c r="AA29" s="446"/>
      <c r="AB29" s="442"/>
      <c r="AC29" s="442"/>
      <c r="AD29" s="442"/>
      <c r="AE29" s="442"/>
    </row>
    <row r="30" spans="4:31" ht="16.5" customHeight="1" x14ac:dyDescent="0.15">
      <c r="D30" s="536"/>
      <c r="E30" s="537"/>
      <c r="F30" s="423">
        <f t="shared" si="0"/>
        <v>25</v>
      </c>
      <c r="G30" s="423"/>
      <c r="H30" s="423">
        <f t="shared" si="4"/>
        <v>24</v>
      </c>
      <c r="I30" s="423"/>
      <c r="J30" s="423">
        <f t="shared" si="5"/>
        <v>25</v>
      </c>
      <c r="K30" s="423"/>
      <c r="L30" s="116">
        <f t="shared" si="7"/>
        <v>10</v>
      </c>
      <c r="M30" s="137">
        <v>5</v>
      </c>
      <c r="N30" s="510" t="s">
        <v>263</v>
      </c>
      <c r="O30" s="510"/>
      <c r="P30" s="510"/>
      <c r="Q30" s="511" t="s">
        <v>264</v>
      </c>
      <c r="R30" s="512"/>
      <c r="S30" s="512"/>
      <c r="T30" s="513" t="s">
        <v>264</v>
      </c>
      <c r="U30" s="514"/>
      <c r="V30" s="514"/>
      <c r="W30" s="482">
        <f t="shared" si="6"/>
        <v>2.2400000000000002</v>
      </c>
      <c r="X30" s="449"/>
      <c r="Y30" s="115" t="s">
        <v>14</v>
      </c>
      <c r="Z30" s="445" t="s">
        <v>262</v>
      </c>
      <c r="AA30" s="446"/>
      <c r="AB30" s="442"/>
      <c r="AC30" s="442"/>
      <c r="AD30" s="442"/>
      <c r="AE30" s="442"/>
    </row>
    <row r="31" spans="4:31" ht="16.5" customHeight="1" x14ac:dyDescent="0.15">
      <c r="D31" s="536"/>
      <c r="E31" s="537"/>
      <c r="F31" s="423">
        <f t="shared" si="0"/>
        <v>26</v>
      </c>
      <c r="G31" s="423"/>
      <c r="H31" s="423">
        <f t="shared" si="4"/>
        <v>25</v>
      </c>
      <c r="I31" s="423"/>
      <c r="J31" s="423">
        <f t="shared" si="5"/>
        <v>26</v>
      </c>
      <c r="K31" s="423"/>
      <c r="L31" s="116">
        <f t="shared" si="7"/>
        <v>11</v>
      </c>
      <c r="M31" s="123">
        <f>+M30</f>
        <v>5</v>
      </c>
      <c r="N31" s="510" t="s">
        <v>263</v>
      </c>
      <c r="O31" s="510"/>
      <c r="P31" s="510"/>
      <c r="Q31" s="511" t="s">
        <v>264</v>
      </c>
      <c r="R31" s="512"/>
      <c r="S31" s="512"/>
      <c r="T31" s="513" t="s">
        <v>264</v>
      </c>
      <c r="U31" s="514"/>
      <c r="V31" s="514"/>
      <c r="W31" s="482">
        <f t="shared" si="6"/>
        <v>2.2400000000000002</v>
      </c>
      <c r="X31" s="449"/>
      <c r="Y31" s="115" t="s">
        <v>14</v>
      </c>
      <c r="Z31" s="445" t="s">
        <v>262</v>
      </c>
      <c r="AA31" s="446"/>
      <c r="AB31" s="442"/>
      <c r="AC31" s="442"/>
      <c r="AD31" s="442"/>
      <c r="AE31" s="442"/>
    </row>
    <row r="32" spans="4:31" ht="16.5" customHeight="1" x14ac:dyDescent="0.15">
      <c r="D32" s="536"/>
      <c r="E32" s="537"/>
      <c r="F32" s="423">
        <f t="shared" si="0"/>
        <v>27</v>
      </c>
      <c r="G32" s="423"/>
      <c r="H32" s="423">
        <f t="shared" si="4"/>
        <v>26</v>
      </c>
      <c r="I32" s="423"/>
      <c r="J32" s="423">
        <f t="shared" si="5"/>
        <v>27</v>
      </c>
      <c r="K32" s="423"/>
      <c r="L32" s="116">
        <f t="shared" si="7"/>
        <v>12</v>
      </c>
      <c r="M32" s="123">
        <f t="shared" ref="M32:M35" si="9">+M31</f>
        <v>5</v>
      </c>
      <c r="N32" s="510" t="s">
        <v>263</v>
      </c>
      <c r="O32" s="510"/>
      <c r="P32" s="510"/>
      <c r="Q32" s="511" t="s">
        <v>264</v>
      </c>
      <c r="R32" s="512"/>
      <c r="S32" s="512"/>
      <c r="T32" s="513" t="s">
        <v>264</v>
      </c>
      <c r="U32" s="514"/>
      <c r="V32" s="514"/>
      <c r="W32" s="482">
        <f t="shared" si="6"/>
        <v>2.2400000000000002</v>
      </c>
      <c r="X32" s="449"/>
      <c r="Y32" s="115" t="s">
        <v>14</v>
      </c>
      <c r="Z32" s="445" t="s">
        <v>262</v>
      </c>
      <c r="AA32" s="446"/>
      <c r="AB32" s="442"/>
      <c r="AC32" s="442"/>
      <c r="AD32" s="442"/>
      <c r="AE32" s="442"/>
    </row>
    <row r="33" spans="3:33" ht="16.5" customHeight="1" x14ac:dyDescent="0.15">
      <c r="D33" s="536"/>
      <c r="E33" s="537"/>
      <c r="F33" s="423">
        <f t="shared" si="0"/>
        <v>28</v>
      </c>
      <c r="G33" s="423"/>
      <c r="H33" s="423">
        <f t="shared" si="4"/>
        <v>27</v>
      </c>
      <c r="I33" s="423"/>
      <c r="J33" s="423">
        <f t="shared" si="5"/>
        <v>28</v>
      </c>
      <c r="K33" s="423"/>
      <c r="L33" s="116">
        <f t="shared" si="7"/>
        <v>13</v>
      </c>
      <c r="M33" s="123">
        <f t="shared" si="9"/>
        <v>5</v>
      </c>
      <c r="N33" s="510" t="s">
        <v>263</v>
      </c>
      <c r="O33" s="510"/>
      <c r="P33" s="510"/>
      <c r="Q33" s="511" t="s">
        <v>264</v>
      </c>
      <c r="R33" s="512"/>
      <c r="S33" s="512"/>
      <c r="T33" s="513" t="s">
        <v>264</v>
      </c>
      <c r="U33" s="514"/>
      <c r="V33" s="514"/>
      <c r="W33" s="482">
        <f t="shared" si="6"/>
        <v>2.2400000000000002</v>
      </c>
      <c r="X33" s="449"/>
      <c r="Y33" s="115" t="s">
        <v>14</v>
      </c>
      <c r="Z33" s="445" t="s">
        <v>262</v>
      </c>
      <c r="AA33" s="446"/>
      <c r="AB33" s="442"/>
      <c r="AC33" s="442"/>
      <c r="AD33" s="442"/>
      <c r="AE33" s="442"/>
    </row>
    <row r="34" spans="3:33" ht="16.5" customHeight="1" x14ac:dyDescent="0.15">
      <c r="D34" s="536"/>
      <c r="E34" s="537"/>
      <c r="F34" s="423">
        <f t="shared" si="0"/>
        <v>29</v>
      </c>
      <c r="G34" s="423"/>
      <c r="H34" s="423">
        <f t="shared" si="4"/>
        <v>28</v>
      </c>
      <c r="I34" s="423"/>
      <c r="J34" s="423">
        <f t="shared" si="5"/>
        <v>29</v>
      </c>
      <c r="K34" s="423"/>
      <c r="L34" s="116">
        <f t="shared" si="7"/>
        <v>14</v>
      </c>
      <c r="M34" s="123">
        <f t="shared" si="9"/>
        <v>5</v>
      </c>
      <c r="N34" s="510" t="s">
        <v>263</v>
      </c>
      <c r="O34" s="510"/>
      <c r="P34" s="510"/>
      <c r="Q34" s="511" t="s">
        <v>264</v>
      </c>
      <c r="R34" s="512"/>
      <c r="S34" s="512"/>
      <c r="T34" s="513" t="s">
        <v>264</v>
      </c>
      <c r="U34" s="514"/>
      <c r="V34" s="514"/>
      <c r="W34" s="482">
        <f t="shared" si="6"/>
        <v>2.2400000000000002</v>
      </c>
      <c r="X34" s="449"/>
      <c r="Y34" s="115" t="s">
        <v>14</v>
      </c>
      <c r="Z34" s="445" t="s">
        <v>262</v>
      </c>
      <c r="AA34" s="446"/>
      <c r="AB34" s="442"/>
      <c r="AC34" s="442"/>
      <c r="AD34" s="442"/>
      <c r="AE34" s="442"/>
    </row>
    <row r="35" spans="3:33" ht="16.5" customHeight="1" x14ac:dyDescent="0.15">
      <c r="D35" s="536"/>
      <c r="E35" s="537"/>
      <c r="F35" s="423">
        <f t="shared" si="0"/>
        <v>30</v>
      </c>
      <c r="G35" s="423"/>
      <c r="H35" s="423">
        <f t="shared" si="4"/>
        <v>29</v>
      </c>
      <c r="I35" s="423"/>
      <c r="J35" s="423">
        <f t="shared" si="5"/>
        <v>30</v>
      </c>
      <c r="K35" s="423"/>
      <c r="L35" s="116">
        <f t="shared" si="7"/>
        <v>15</v>
      </c>
      <c r="M35" s="123">
        <f t="shared" si="9"/>
        <v>5</v>
      </c>
      <c r="N35" s="510" t="s">
        <v>263</v>
      </c>
      <c r="O35" s="510"/>
      <c r="P35" s="510"/>
      <c r="Q35" s="511" t="s">
        <v>264</v>
      </c>
      <c r="R35" s="512"/>
      <c r="S35" s="512"/>
      <c r="T35" s="513" t="s">
        <v>264</v>
      </c>
      <c r="U35" s="514"/>
      <c r="V35" s="514"/>
      <c r="W35" s="482">
        <f t="shared" si="6"/>
        <v>2.2400000000000002</v>
      </c>
      <c r="X35" s="449"/>
      <c r="Y35" s="115" t="s">
        <v>14</v>
      </c>
      <c r="Z35" s="445" t="s">
        <v>262</v>
      </c>
      <c r="AA35" s="446"/>
      <c r="AB35" s="442"/>
      <c r="AC35" s="442"/>
      <c r="AD35" s="442"/>
      <c r="AE35" s="442"/>
    </row>
    <row r="36" spans="3:33" ht="16.5" customHeight="1" x14ac:dyDescent="0.15">
      <c r="D36" s="536"/>
      <c r="E36" s="537"/>
      <c r="F36" s="423">
        <f t="shared" si="0"/>
        <v>31</v>
      </c>
      <c r="G36" s="423"/>
      <c r="H36" s="423">
        <f t="shared" si="4"/>
        <v>30</v>
      </c>
      <c r="I36" s="423"/>
      <c r="J36" s="423">
        <f t="shared" si="5"/>
        <v>31</v>
      </c>
      <c r="K36" s="423"/>
      <c r="L36" s="116">
        <f t="shared" si="7"/>
        <v>16</v>
      </c>
      <c r="M36" s="137">
        <v>6</v>
      </c>
      <c r="N36" s="510" t="s">
        <v>263</v>
      </c>
      <c r="O36" s="510"/>
      <c r="P36" s="510"/>
      <c r="Q36" s="511" t="s">
        <v>264</v>
      </c>
      <c r="R36" s="512"/>
      <c r="S36" s="512"/>
      <c r="T36" s="513" t="s">
        <v>264</v>
      </c>
      <c r="U36" s="514"/>
      <c r="V36" s="514"/>
      <c r="W36" s="482">
        <f t="shared" si="6"/>
        <v>2.2400000000000002</v>
      </c>
      <c r="X36" s="449"/>
      <c r="Y36" s="115" t="s">
        <v>14</v>
      </c>
      <c r="Z36" s="445" t="s">
        <v>262</v>
      </c>
      <c r="AA36" s="446"/>
      <c r="AB36" s="442"/>
      <c r="AC36" s="442"/>
      <c r="AD36" s="442"/>
      <c r="AE36" s="442"/>
    </row>
    <row r="37" spans="3:33" ht="16.5" customHeight="1" x14ac:dyDescent="0.15">
      <c r="D37" s="536"/>
      <c r="E37" s="537"/>
      <c r="F37" s="423">
        <f t="shared" si="0"/>
        <v>32</v>
      </c>
      <c r="G37" s="423"/>
      <c r="H37" s="423">
        <f t="shared" si="4"/>
        <v>31</v>
      </c>
      <c r="I37" s="423"/>
      <c r="J37" s="423">
        <f t="shared" si="5"/>
        <v>32</v>
      </c>
      <c r="K37" s="423"/>
      <c r="L37" s="116">
        <f t="shared" si="7"/>
        <v>17</v>
      </c>
      <c r="M37" s="123">
        <f>+M36</f>
        <v>6</v>
      </c>
      <c r="N37" s="510" t="s">
        <v>263</v>
      </c>
      <c r="O37" s="510"/>
      <c r="P37" s="510"/>
      <c r="Q37" s="511" t="s">
        <v>264</v>
      </c>
      <c r="R37" s="512"/>
      <c r="S37" s="512"/>
      <c r="T37" s="513" t="s">
        <v>264</v>
      </c>
      <c r="U37" s="514"/>
      <c r="V37" s="514"/>
      <c r="W37" s="482">
        <f t="shared" si="6"/>
        <v>2.2400000000000002</v>
      </c>
      <c r="X37" s="449"/>
      <c r="Y37" s="115" t="s">
        <v>14</v>
      </c>
      <c r="Z37" s="445" t="s">
        <v>262</v>
      </c>
      <c r="AA37" s="446"/>
      <c r="AB37" s="442"/>
      <c r="AC37" s="442"/>
      <c r="AD37" s="442"/>
      <c r="AE37" s="442"/>
    </row>
    <row r="38" spans="3:33" ht="16.5" customHeight="1" x14ac:dyDescent="0.15">
      <c r="D38" s="536"/>
      <c r="E38" s="537"/>
      <c r="F38" s="423">
        <f t="shared" si="0"/>
        <v>33</v>
      </c>
      <c r="G38" s="423"/>
      <c r="H38" s="423">
        <f t="shared" si="4"/>
        <v>32</v>
      </c>
      <c r="I38" s="423"/>
      <c r="J38" s="423">
        <f t="shared" si="5"/>
        <v>33</v>
      </c>
      <c r="K38" s="423"/>
      <c r="L38" s="116">
        <f t="shared" si="7"/>
        <v>18</v>
      </c>
      <c r="M38" s="123">
        <f t="shared" ref="M38:M46" si="10">+M37</f>
        <v>6</v>
      </c>
      <c r="N38" s="510" t="s">
        <v>263</v>
      </c>
      <c r="O38" s="510"/>
      <c r="P38" s="510"/>
      <c r="Q38" s="511" t="s">
        <v>264</v>
      </c>
      <c r="R38" s="512"/>
      <c r="S38" s="512"/>
      <c r="T38" s="513" t="s">
        <v>264</v>
      </c>
      <c r="U38" s="514"/>
      <c r="V38" s="514"/>
      <c r="W38" s="482">
        <f t="shared" si="6"/>
        <v>2.2400000000000002</v>
      </c>
      <c r="X38" s="449"/>
      <c r="Y38" s="115" t="s">
        <v>14</v>
      </c>
      <c r="Z38" s="445" t="s">
        <v>262</v>
      </c>
      <c r="AA38" s="446"/>
      <c r="AB38" s="442"/>
      <c r="AC38" s="442"/>
      <c r="AD38" s="442"/>
      <c r="AE38" s="442"/>
    </row>
    <row r="39" spans="3:33" ht="16.5" customHeight="1" x14ac:dyDescent="0.15">
      <c r="D39" s="536"/>
      <c r="E39" s="537"/>
      <c r="F39" s="423">
        <f t="shared" si="0"/>
        <v>34</v>
      </c>
      <c r="G39" s="423"/>
      <c r="H39" s="423">
        <f t="shared" si="4"/>
        <v>33</v>
      </c>
      <c r="I39" s="423"/>
      <c r="J39" s="423">
        <f t="shared" si="5"/>
        <v>34</v>
      </c>
      <c r="K39" s="423"/>
      <c r="L39" s="116">
        <f t="shared" si="7"/>
        <v>19</v>
      </c>
      <c r="M39" s="123">
        <f t="shared" si="10"/>
        <v>6</v>
      </c>
      <c r="N39" s="510" t="s">
        <v>263</v>
      </c>
      <c r="O39" s="510"/>
      <c r="P39" s="510"/>
      <c r="Q39" s="511" t="s">
        <v>264</v>
      </c>
      <c r="R39" s="512"/>
      <c r="S39" s="512"/>
      <c r="T39" s="513" t="s">
        <v>264</v>
      </c>
      <c r="U39" s="514"/>
      <c r="V39" s="514"/>
      <c r="W39" s="482">
        <f t="shared" si="6"/>
        <v>2.2400000000000002</v>
      </c>
      <c r="X39" s="449"/>
      <c r="Y39" s="115" t="s">
        <v>14</v>
      </c>
      <c r="Z39" s="445" t="s">
        <v>262</v>
      </c>
      <c r="AA39" s="446"/>
      <c r="AB39" s="442"/>
      <c r="AC39" s="442"/>
      <c r="AD39" s="442"/>
      <c r="AE39" s="442"/>
    </row>
    <row r="40" spans="3:33" ht="16.5" customHeight="1" x14ac:dyDescent="0.15">
      <c r="D40" s="536"/>
      <c r="E40" s="537"/>
      <c r="F40" s="423">
        <f t="shared" si="0"/>
        <v>35</v>
      </c>
      <c r="G40" s="423"/>
      <c r="H40" s="423">
        <f t="shared" si="4"/>
        <v>34</v>
      </c>
      <c r="I40" s="423"/>
      <c r="J40" s="423">
        <f t="shared" si="5"/>
        <v>35</v>
      </c>
      <c r="K40" s="423"/>
      <c r="L40" s="116">
        <f t="shared" si="7"/>
        <v>20</v>
      </c>
      <c r="M40" s="123">
        <f t="shared" si="10"/>
        <v>6</v>
      </c>
      <c r="N40" s="510" t="s">
        <v>263</v>
      </c>
      <c r="O40" s="510"/>
      <c r="P40" s="510"/>
      <c r="Q40" s="511" t="s">
        <v>264</v>
      </c>
      <c r="R40" s="512"/>
      <c r="S40" s="512"/>
      <c r="T40" s="513" t="s">
        <v>264</v>
      </c>
      <c r="U40" s="514"/>
      <c r="V40" s="514"/>
      <c r="W40" s="482">
        <f t="shared" si="6"/>
        <v>2.2400000000000002</v>
      </c>
      <c r="X40" s="449"/>
      <c r="Y40" s="115" t="s">
        <v>14</v>
      </c>
      <c r="Z40" s="445" t="s">
        <v>262</v>
      </c>
      <c r="AA40" s="446"/>
      <c r="AB40" s="442"/>
      <c r="AC40" s="442"/>
      <c r="AD40" s="442"/>
      <c r="AE40" s="442"/>
    </row>
    <row r="41" spans="3:33" ht="16.5" customHeight="1" x14ac:dyDescent="0.15">
      <c r="D41" s="536"/>
      <c r="E41" s="537"/>
      <c r="F41" s="423">
        <f t="shared" si="0"/>
        <v>36</v>
      </c>
      <c r="G41" s="423"/>
      <c r="H41" s="423">
        <f t="shared" si="4"/>
        <v>35</v>
      </c>
      <c r="I41" s="423"/>
      <c r="J41" s="423">
        <f t="shared" si="5"/>
        <v>36</v>
      </c>
      <c r="K41" s="423"/>
      <c r="L41" s="116">
        <f>+L40+1</f>
        <v>21</v>
      </c>
      <c r="M41" s="123">
        <f t="shared" si="10"/>
        <v>6</v>
      </c>
      <c r="N41" s="510" t="s">
        <v>263</v>
      </c>
      <c r="O41" s="510"/>
      <c r="P41" s="510"/>
      <c r="Q41" s="511" t="s">
        <v>264</v>
      </c>
      <c r="R41" s="512"/>
      <c r="S41" s="512"/>
      <c r="T41" s="513" t="s">
        <v>264</v>
      </c>
      <c r="U41" s="514"/>
      <c r="V41" s="514"/>
      <c r="W41" s="482">
        <f t="shared" si="6"/>
        <v>2.2400000000000002</v>
      </c>
      <c r="X41" s="449"/>
      <c r="Y41" s="115" t="s">
        <v>14</v>
      </c>
      <c r="Z41" s="445" t="s">
        <v>262</v>
      </c>
      <c r="AA41" s="446"/>
      <c r="AB41" s="442"/>
      <c r="AC41" s="442"/>
      <c r="AD41" s="442"/>
      <c r="AE41" s="442"/>
    </row>
    <row r="42" spans="3:33" ht="16.5" customHeight="1" x14ac:dyDescent="0.15">
      <c r="D42" s="536"/>
      <c r="E42" s="537"/>
      <c r="F42" s="423">
        <f t="shared" si="0"/>
        <v>37</v>
      </c>
      <c r="G42" s="423"/>
      <c r="H42" s="423">
        <f t="shared" si="4"/>
        <v>36</v>
      </c>
      <c r="I42" s="423"/>
      <c r="J42" s="423">
        <f t="shared" ref="J42:J46" si="11">+J41+1</f>
        <v>37</v>
      </c>
      <c r="K42" s="423"/>
      <c r="L42" s="116">
        <f t="shared" ref="L42:L46" si="12">+L41+1</f>
        <v>22</v>
      </c>
      <c r="M42" s="123">
        <f t="shared" si="10"/>
        <v>6</v>
      </c>
      <c r="N42" s="510" t="s">
        <v>263</v>
      </c>
      <c r="O42" s="510"/>
      <c r="P42" s="510"/>
      <c r="Q42" s="511" t="s">
        <v>264</v>
      </c>
      <c r="R42" s="512"/>
      <c r="S42" s="512"/>
      <c r="T42" s="513" t="s">
        <v>264</v>
      </c>
      <c r="U42" s="514"/>
      <c r="V42" s="514"/>
      <c r="W42" s="482">
        <f t="shared" si="6"/>
        <v>2.2400000000000002</v>
      </c>
      <c r="X42" s="449"/>
      <c r="Y42" s="115" t="s">
        <v>14</v>
      </c>
      <c r="Z42" s="445" t="s">
        <v>262</v>
      </c>
      <c r="AA42" s="446"/>
      <c r="AB42" s="442"/>
      <c r="AC42" s="442"/>
      <c r="AD42" s="442"/>
      <c r="AE42" s="442"/>
    </row>
    <row r="43" spans="3:33" ht="16.5" customHeight="1" x14ac:dyDescent="0.15">
      <c r="D43" s="536"/>
      <c r="E43" s="537"/>
      <c r="F43" s="423">
        <f t="shared" si="0"/>
        <v>38</v>
      </c>
      <c r="G43" s="423"/>
      <c r="H43" s="423">
        <f t="shared" si="4"/>
        <v>37</v>
      </c>
      <c r="I43" s="423"/>
      <c r="J43" s="423">
        <f t="shared" si="11"/>
        <v>38</v>
      </c>
      <c r="K43" s="423"/>
      <c r="L43" s="116">
        <f t="shared" si="12"/>
        <v>23</v>
      </c>
      <c r="M43" s="123">
        <f t="shared" si="10"/>
        <v>6</v>
      </c>
      <c r="N43" s="510" t="s">
        <v>263</v>
      </c>
      <c r="O43" s="510"/>
      <c r="P43" s="510"/>
      <c r="Q43" s="511" t="s">
        <v>264</v>
      </c>
      <c r="R43" s="512"/>
      <c r="S43" s="512"/>
      <c r="T43" s="513" t="s">
        <v>264</v>
      </c>
      <c r="U43" s="514"/>
      <c r="V43" s="514"/>
      <c r="W43" s="482">
        <f t="shared" si="6"/>
        <v>2.2400000000000002</v>
      </c>
      <c r="X43" s="449"/>
      <c r="Y43" s="115" t="s">
        <v>14</v>
      </c>
      <c r="Z43" s="445" t="s">
        <v>262</v>
      </c>
      <c r="AA43" s="446"/>
      <c r="AB43" s="442"/>
      <c r="AC43" s="442"/>
      <c r="AD43" s="442"/>
      <c r="AE43" s="442"/>
    </row>
    <row r="44" spans="3:33" ht="16.5" customHeight="1" x14ac:dyDescent="0.15">
      <c r="D44" s="536"/>
      <c r="E44" s="537"/>
      <c r="F44" s="423">
        <f t="shared" si="0"/>
        <v>39</v>
      </c>
      <c r="G44" s="423"/>
      <c r="H44" s="423">
        <f t="shared" si="4"/>
        <v>38</v>
      </c>
      <c r="I44" s="423"/>
      <c r="J44" s="423">
        <f t="shared" si="11"/>
        <v>39</v>
      </c>
      <c r="K44" s="423"/>
      <c r="L44" s="116">
        <f t="shared" si="12"/>
        <v>24</v>
      </c>
      <c r="M44" s="123">
        <f t="shared" si="10"/>
        <v>6</v>
      </c>
      <c r="N44" s="510" t="s">
        <v>263</v>
      </c>
      <c r="O44" s="510"/>
      <c r="P44" s="510"/>
      <c r="Q44" s="511" t="s">
        <v>264</v>
      </c>
      <c r="R44" s="512"/>
      <c r="S44" s="512"/>
      <c r="T44" s="513" t="s">
        <v>264</v>
      </c>
      <c r="U44" s="514"/>
      <c r="V44" s="514"/>
      <c r="W44" s="482">
        <f t="shared" si="6"/>
        <v>2.2400000000000002</v>
      </c>
      <c r="X44" s="449"/>
      <c r="Y44" s="115" t="s">
        <v>14</v>
      </c>
      <c r="Z44" s="445" t="s">
        <v>262</v>
      </c>
      <c r="AA44" s="446"/>
      <c r="AB44" s="442"/>
      <c r="AC44" s="442"/>
      <c r="AD44" s="442"/>
      <c r="AE44" s="442"/>
    </row>
    <row r="45" spans="3:33" ht="16.5" customHeight="1" x14ac:dyDescent="0.15">
      <c r="D45" s="536"/>
      <c r="E45" s="537"/>
      <c r="F45" s="423">
        <f t="shared" si="0"/>
        <v>40</v>
      </c>
      <c r="G45" s="423"/>
      <c r="H45" s="423">
        <f t="shared" si="4"/>
        <v>39</v>
      </c>
      <c r="I45" s="423"/>
      <c r="J45" s="423">
        <f t="shared" si="11"/>
        <v>40</v>
      </c>
      <c r="K45" s="423"/>
      <c r="L45" s="116">
        <f t="shared" si="12"/>
        <v>25</v>
      </c>
      <c r="M45" s="123">
        <f t="shared" si="10"/>
        <v>6</v>
      </c>
      <c r="N45" s="510" t="s">
        <v>263</v>
      </c>
      <c r="O45" s="510"/>
      <c r="P45" s="510"/>
      <c r="Q45" s="511" t="s">
        <v>264</v>
      </c>
      <c r="R45" s="512"/>
      <c r="S45" s="512"/>
      <c r="T45" s="513" t="s">
        <v>264</v>
      </c>
      <c r="U45" s="514"/>
      <c r="V45" s="514"/>
      <c r="W45" s="482">
        <f t="shared" si="6"/>
        <v>2.2400000000000002</v>
      </c>
      <c r="X45" s="449"/>
      <c r="Y45" s="115" t="s">
        <v>14</v>
      </c>
      <c r="Z45" s="445" t="s">
        <v>262</v>
      </c>
      <c r="AA45" s="446"/>
      <c r="AB45" s="442"/>
      <c r="AC45" s="442"/>
      <c r="AD45" s="442"/>
      <c r="AE45" s="442"/>
    </row>
    <row r="46" spans="3:33" ht="16.5" customHeight="1" x14ac:dyDescent="0.15">
      <c r="D46" s="538"/>
      <c r="E46" s="539"/>
      <c r="F46" s="423">
        <f t="shared" si="0"/>
        <v>41</v>
      </c>
      <c r="G46" s="423"/>
      <c r="H46" s="423">
        <f t="shared" si="4"/>
        <v>40</v>
      </c>
      <c r="I46" s="423"/>
      <c r="J46" s="423">
        <f t="shared" si="11"/>
        <v>41</v>
      </c>
      <c r="K46" s="423"/>
      <c r="L46" s="116">
        <f t="shared" si="12"/>
        <v>26</v>
      </c>
      <c r="M46" s="123">
        <f t="shared" si="10"/>
        <v>6</v>
      </c>
      <c r="N46" s="510" t="s">
        <v>263</v>
      </c>
      <c r="O46" s="510"/>
      <c r="P46" s="510"/>
      <c r="Q46" s="511" t="s">
        <v>264</v>
      </c>
      <c r="R46" s="512"/>
      <c r="S46" s="512"/>
      <c r="T46" s="513" t="s">
        <v>264</v>
      </c>
      <c r="U46" s="514"/>
      <c r="V46" s="514"/>
      <c r="W46" s="479">
        <f t="shared" si="6"/>
        <v>2.2400000000000002</v>
      </c>
      <c r="X46" s="479"/>
      <c r="Y46" s="113" t="s">
        <v>14</v>
      </c>
      <c r="Z46" s="480" t="s">
        <v>262</v>
      </c>
      <c r="AA46" s="479"/>
      <c r="AB46" s="442"/>
      <c r="AC46" s="442"/>
      <c r="AD46" s="442"/>
      <c r="AE46" s="442"/>
    </row>
    <row r="47" spans="3:33" ht="16.5" customHeight="1" x14ac:dyDescent="0.15">
      <c r="C47" s="17"/>
      <c r="E47" s="18" t="s">
        <v>270</v>
      </c>
      <c r="F47" s="136" t="s">
        <v>278</v>
      </c>
      <c r="G47" s="17" t="s">
        <v>268</v>
      </c>
      <c r="H47" s="126"/>
      <c r="I47" s="126"/>
      <c r="J47" s="126"/>
      <c r="K47" s="126"/>
      <c r="L47" s="126"/>
      <c r="M47" s="126"/>
      <c r="N47" s="125"/>
      <c r="O47" s="135"/>
      <c r="P47" s="41"/>
      <c r="Q47" s="41"/>
      <c r="R47" s="41"/>
      <c r="S47" s="130"/>
      <c r="T47" s="131"/>
      <c r="U47" s="131"/>
      <c r="V47" s="132"/>
      <c r="W47" s="133"/>
      <c r="X47" s="133"/>
      <c r="Y47" s="126"/>
      <c r="Z47" s="126"/>
      <c r="AA47" s="126"/>
      <c r="AB47" s="127"/>
      <c r="AC47" s="126"/>
      <c r="AD47" s="128"/>
      <c r="AE47" s="128"/>
      <c r="AF47" s="128"/>
      <c r="AG47" s="128"/>
    </row>
    <row r="48" spans="3:33" ht="16.5" customHeight="1" x14ac:dyDescent="0.15">
      <c r="C48" s="17"/>
      <c r="E48" s="18" t="s">
        <v>271</v>
      </c>
      <c r="F48" s="136" t="s">
        <v>278</v>
      </c>
      <c r="G48" s="17" t="s">
        <v>269</v>
      </c>
      <c r="H48" s="126"/>
      <c r="I48" s="126"/>
      <c r="J48" s="126"/>
      <c r="K48" s="126"/>
      <c r="L48" s="126"/>
      <c r="M48" s="126"/>
      <c r="N48" s="125"/>
      <c r="O48" s="135"/>
      <c r="P48" s="41"/>
      <c r="Q48" s="41"/>
      <c r="R48" s="41"/>
      <c r="S48" s="130"/>
      <c r="T48" s="131"/>
      <c r="U48" s="131"/>
      <c r="V48" s="132"/>
      <c r="W48" s="133"/>
      <c r="X48" s="133"/>
      <c r="Y48" s="126"/>
      <c r="Z48" s="126"/>
      <c r="AA48" s="126"/>
      <c r="AB48" s="127"/>
      <c r="AC48" s="126"/>
      <c r="AD48" s="128"/>
      <c r="AE48" s="128"/>
      <c r="AF48" s="128"/>
      <c r="AG48" s="128"/>
    </row>
    <row r="49" spans="3:33" ht="16.5" customHeight="1" x14ac:dyDescent="0.15">
      <c r="C49" s="17"/>
      <c r="E49" s="18" t="s">
        <v>275</v>
      </c>
      <c r="F49" s="136" t="s">
        <v>278</v>
      </c>
      <c r="G49" s="17" t="s">
        <v>274</v>
      </c>
      <c r="H49" s="126"/>
      <c r="I49" s="126"/>
      <c r="J49" s="126"/>
      <c r="K49" s="126"/>
      <c r="L49" s="126"/>
      <c r="M49" s="126"/>
      <c r="N49" s="125"/>
      <c r="O49" s="135"/>
      <c r="P49" s="41"/>
      <c r="Q49" s="41"/>
      <c r="R49" s="41"/>
      <c r="S49" s="130"/>
      <c r="T49" s="131"/>
      <c r="U49" s="131"/>
      <c r="V49" s="132"/>
      <c r="W49" s="133"/>
      <c r="X49" s="133"/>
      <c r="Y49" s="126"/>
      <c r="Z49" s="126"/>
      <c r="AA49" s="126"/>
      <c r="AB49" s="127"/>
      <c r="AC49" s="126"/>
      <c r="AD49" s="128"/>
      <c r="AE49" s="128"/>
      <c r="AF49" s="128"/>
      <c r="AG49" s="128"/>
    </row>
    <row r="50" spans="3:33" ht="16.5" customHeight="1" x14ac:dyDescent="0.15">
      <c r="D50" s="136"/>
      <c r="F50" s="126"/>
      <c r="G50" s="126"/>
      <c r="H50" s="126"/>
      <c r="I50" s="126"/>
      <c r="J50" s="126"/>
      <c r="K50" s="126"/>
      <c r="L50" s="125"/>
      <c r="M50" s="135"/>
      <c r="N50" s="41"/>
      <c r="O50" s="41"/>
      <c r="P50" s="41"/>
      <c r="Q50" s="130"/>
      <c r="R50" s="131"/>
      <c r="S50" s="131"/>
      <c r="T50" s="132"/>
      <c r="U50" s="133"/>
      <c r="V50" s="133"/>
      <c r="W50" s="126"/>
      <c r="X50" s="126"/>
      <c r="Y50" s="126"/>
      <c r="Z50" s="127"/>
      <c r="AA50" s="126"/>
      <c r="AB50" s="128"/>
      <c r="AC50" s="128"/>
      <c r="AD50" s="128"/>
      <c r="AE50" s="128"/>
    </row>
    <row r="51" spans="3:33" ht="16.5" customHeight="1" x14ac:dyDescent="0.15">
      <c r="D51" s="136"/>
      <c r="F51" s="126"/>
      <c r="G51" s="126"/>
      <c r="H51" s="126"/>
      <c r="I51" s="126"/>
      <c r="J51" s="126"/>
      <c r="K51" s="126"/>
      <c r="L51" s="125"/>
      <c r="M51" s="135"/>
      <c r="N51" s="41"/>
      <c r="O51" s="41"/>
      <c r="P51" s="41"/>
      <c r="Q51" s="130"/>
      <c r="R51" s="131"/>
      <c r="S51" s="131"/>
      <c r="T51" s="132"/>
      <c r="U51" s="133"/>
      <c r="V51" s="133"/>
      <c r="W51" s="126"/>
      <c r="X51" s="126"/>
      <c r="Y51" s="126"/>
      <c r="Z51" s="127"/>
      <c r="AA51" s="126"/>
      <c r="AB51" s="128"/>
      <c r="AC51" s="128"/>
      <c r="AD51" s="128"/>
      <c r="AE51" s="128"/>
    </row>
    <row r="52" spans="3:33" ht="16.5" customHeight="1" x14ac:dyDescent="0.15">
      <c r="D52" s="136"/>
      <c r="F52" s="126"/>
      <c r="G52" s="126"/>
      <c r="H52" s="126"/>
      <c r="I52" s="126"/>
      <c r="J52" s="126"/>
      <c r="K52" s="126"/>
      <c r="L52" s="125"/>
      <c r="M52" s="135"/>
      <c r="N52" s="41"/>
      <c r="O52" s="41"/>
      <c r="P52" s="41"/>
      <c r="Q52" s="130"/>
      <c r="R52" s="131"/>
      <c r="S52" s="131"/>
      <c r="T52" s="132"/>
      <c r="U52" s="133"/>
      <c r="V52" s="133"/>
      <c r="W52" s="126"/>
      <c r="X52" s="126"/>
      <c r="Y52" s="126"/>
      <c r="Z52" s="127"/>
      <c r="AA52" s="126"/>
      <c r="AB52" s="128"/>
      <c r="AC52" s="128"/>
      <c r="AD52" s="128"/>
      <c r="AE52" s="128"/>
    </row>
    <row r="53" spans="3:33" ht="16.5" customHeight="1" x14ac:dyDescent="0.15">
      <c r="D53" s="136"/>
      <c r="F53" s="126"/>
      <c r="G53" s="126"/>
      <c r="H53" s="126"/>
      <c r="I53" s="126"/>
      <c r="J53" s="126"/>
      <c r="K53" s="126"/>
      <c r="L53" s="125"/>
      <c r="M53" s="135"/>
      <c r="N53" s="41"/>
      <c r="O53" s="41"/>
      <c r="P53" s="41"/>
      <c r="Q53" s="130"/>
      <c r="R53" s="131"/>
      <c r="S53" s="131"/>
      <c r="T53" s="132"/>
      <c r="U53" s="133"/>
      <c r="V53" s="133"/>
      <c r="W53" s="126"/>
      <c r="X53" s="126"/>
      <c r="Y53" s="126"/>
      <c r="Z53" s="127"/>
      <c r="AA53" s="126"/>
      <c r="AB53" s="128"/>
      <c r="AC53" s="128"/>
      <c r="AD53" s="128"/>
      <c r="AE53" s="128"/>
    </row>
    <row r="54" spans="3:33" ht="16.5" customHeight="1" x14ac:dyDescent="0.15">
      <c r="D54" s="385" t="s">
        <v>249</v>
      </c>
      <c r="E54" s="387"/>
      <c r="F54" s="109" t="s">
        <v>250</v>
      </c>
      <c r="G54" s="109"/>
      <c r="H54" s="109"/>
      <c r="I54" s="109"/>
      <c r="J54" s="109"/>
      <c r="K54" s="109"/>
      <c r="L54" s="422" t="s">
        <v>251</v>
      </c>
      <c r="M54" s="422" t="s">
        <v>252</v>
      </c>
      <c r="N54" s="422" t="s">
        <v>253</v>
      </c>
      <c r="O54" s="422"/>
      <c r="P54" s="423"/>
      <c r="Q54" s="422" t="s">
        <v>254</v>
      </c>
      <c r="R54" s="423"/>
      <c r="S54" s="423"/>
      <c r="T54" s="422" t="s">
        <v>255</v>
      </c>
      <c r="U54" s="422"/>
      <c r="V54" s="422"/>
      <c r="W54" s="422" t="s">
        <v>273</v>
      </c>
      <c r="X54" s="423"/>
      <c r="Y54" s="423"/>
      <c r="Z54" s="423"/>
      <c r="AA54" s="423"/>
      <c r="AB54" s="423" t="s">
        <v>256</v>
      </c>
      <c r="AC54" s="423"/>
      <c r="AD54" s="423"/>
      <c r="AE54" s="423"/>
    </row>
    <row r="55" spans="3:33" ht="16.5" customHeight="1" x14ac:dyDescent="0.15">
      <c r="D55" s="388"/>
      <c r="E55" s="389"/>
      <c r="F55" s="422" t="s">
        <v>257</v>
      </c>
      <c r="G55" s="423"/>
      <c r="H55" s="109" t="s">
        <v>258</v>
      </c>
      <c r="I55" s="109"/>
      <c r="J55" s="109"/>
      <c r="K55" s="109"/>
      <c r="L55" s="423"/>
      <c r="M55" s="423"/>
      <c r="N55" s="423"/>
      <c r="O55" s="423"/>
      <c r="P55" s="423"/>
      <c r="Q55" s="423"/>
      <c r="R55" s="423"/>
      <c r="S55" s="423"/>
      <c r="T55" s="422"/>
      <c r="U55" s="422"/>
      <c r="V55" s="422"/>
      <c r="W55" s="423"/>
      <c r="X55" s="423"/>
      <c r="Y55" s="423"/>
      <c r="Z55" s="423"/>
      <c r="AA55" s="423"/>
      <c r="AB55" s="423"/>
      <c r="AC55" s="423"/>
      <c r="AD55" s="423"/>
      <c r="AE55" s="423"/>
    </row>
    <row r="56" spans="3:33" ht="16.5" customHeight="1" thickBot="1" x14ac:dyDescent="0.2">
      <c r="D56" s="420"/>
      <c r="E56" s="421"/>
      <c r="F56" s="424"/>
      <c r="G56" s="424"/>
      <c r="H56" s="110" t="s">
        <v>259</v>
      </c>
      <c r="I56" s="110"/>
      <c r="J56" s="110" t="s">
        <v>260</v>
      </c>
      <c r="K56" s="110"/>
      <c r="L56" s="424"/>
      <c r="M56" s="424"/>
      <c r="N56" s="424"/>
      <c r="O56" s="424"/>
      <c r="P56" s="424"/>
      <c r="Q56" s="424"/>
      <c r="R56" s="424"/>
      <c r="S56" s="424"/>
      <c r="T56" s="425"/>
      <c r="U56" s="425"/>
      <c r="V56" s="425"/>
      <c r="W56" s="424"/>
      <c r="X56" s="424"/>
      <c r="Y56" s="424"/>
      <c r="Z56" s="424"/>
      <c r="AA56" s="424"/>
      <c r="AB56" s="424"/>
      <c r="AC56" s="424"/>
      <c r="AD56" s="424"/>
      <c r="AE56" s="424"/>
    </row>
    <row r="57" spans="3:33" ht="16.5" customHeight="1" thickTop="1" x14ac:dyDescent="0.15">
      <c r="D57" s="540" t="s">
        <v>280</v>
      </c>
      <c r="E57" s="541"/>
      <c r="F57" s="470">
        <f>+F46+1</f>
        <v>42</v>
      </c>
      <c r="G57" s="470"/>
      <c r="H57" s="515">
        <v>14</v>
      </c>
      <c r="I57" s="515"/>
      <c r="J57" s="515">
        <v>42</v>
      </c>
      <c r="K57" s="515"/>
      <c r="L57" s="120"/>
      <c r="M57" s="121"/>
      <c r="N57" s="439" t="s">
        <v>261</v>
      </c>
      <c r="O57" s="439"/>
      <c r="P57" s="439"/>
      <c r="Q57" s="440">
        <v>1000</v>
      </c>
      <c r="R57" s="440"/>
      <c r="S57" s="440"/>
      <c r="T57" s="441">
        <v>1000</v>
      </c>
      <c r="U57" s="441"/>
      <c r="V57" s="441"/>
      <c r="W57" s="500">
        <f t="shared" ref="W57:W81" si="13">+W22</f>
        <v>2.35</v>
      </c>
      <c r="X57" s="429"/>
      <c r="Y57" s="122" t="s">
        <v>14</v>
      </c>
      <c r="Z57" s="428" t="s">
        <v>262</v>
      </c>
      <c r="AA57" s="453"/>
      <c r="AB57" s="430"/>
      <c r="AC57" s="430"/>
      <c r="AD57" s="430"/>
      <c r="AE57" s="430"/>
    </row>
    <row r="58" spans="3:33" ht="16.5" customHeight="1" x14ac:dyDescent="0.15">
      <c r="D58" s="536"/>
      <c r="E58" s="537"/>
      <c r="F58" s="423">
        <f t="shared" ref="F58:F106" si="14">+F57+1</f>
        <v>43</v>
      </c>
      <c r="G58" s="423"/>
      <c r="H58" s="423">
        <f>+J57</f>
        <v>42</v>
      </c>
      <c r="I58" s="423"/>
      <c r="J58" s="423">
        <f>+J57+1</f>
        <v>43</v>
      </c>
      <c r="K58" s="423"/>
      <c r="L58" s="116">
        <f>+L46+1</f>
        <v>27</v>
      </c>
      <c r="M58" s="123">
        <f t="shared" ref="M58:M81" si="15">+M23</f>
        <v>3</v>
      </c>
      <c r="N58" s="510" t="s">
        <v>263</v>
      </c>
      <c r="O58" s="510"/>
      <c r="P58" s="510"/>
      <c r="Q58" s="511" t="s">
        <v>264</v>
      </c>
      <c r="R58" s="512"/>
      <c r="S58" s="512"/>
      <c r="T58" s="513" t="s">
        <v>264</v>
      </c>
      <c r="U58" s="514"/>
      <c r="V58" s="514"/>
      <c r="W58" s="482">
        <f t="shared" si="13"/>
        <v>2.2400000000000002</v>
      </c>
      <c r="X58" s="449"/>
      <c r="Y58" s="115" t="s">
        <v>14</v>
      </c>
      <c r="Z58" s="445" t="s">
        <v>262</v>
      </c>
      <c r="AA58" s="446"/>
      <c r="AB58" s="442" t="s">
        <v>265</v>
      </c>
      <c r="AC58" s="442"/>
      <c r="AD58" s="442"/>
      <c r="AE58" s="442"/>
    </row>
    <row r="59" spans="3:33" ht="16.5" customHeight="1" x14ac:dyDescent="0.15">
      <c r="D59" s="536"/>
      <c r="E59" s="537"/>
      <c r="F59" s="423">
        <f t="shared" si="14"/>
        <v>44</v>
      </c>
      <c r="G59" s="423"/>
      <c r="H59" s="423">
        <f t="shared" ref="H59:H81" si="16">+H58+1</f>
        <v>43</v>
      </c>
      <c r="I59" s="423"/>
      <c r="J59" s="423">
        <f t="shared" ref="J59:J81" si="17">+J58+1</f>
        <v>44</v>
      </c>
      <c r="K59" s="423"/>
      <c r="L59" s="116">
        <f>+L58+1</f>
        <v>28</v>
      </c>
      <c r="M59" s="123">
        <f t="shared" si="15"/>
        <v>3</v>
      </c>
      <c r="N59" s="510" t="s">
        <v>263</v>
      </c>
      <c r="O59" s="510"/>
      <c r="P59" s="510"/>
      <c r="Q59" s="511" t="s">
        <v>264</v>
      </c>
      <c r="R59" s="512"/>
      <c r="S59" s="512"/>
      <c r="T59" s="513" t="s">
        <v>264</v>
      </c>
      <c r="U59" s="514"/>
      <c r="V59" s="514"/>
      <c r="W59" s="482">
        <f t="shared" si="13"/>
        <v>2.2400000000000002</v>
      </c>
      <c r="X59" s="449"/>
      <c r="Y59" s="115" t="s">
        <v>14</v>
      </c>
      <c r="Z59" s="445" t="s">
        <v>262</v>
      </c>
      <c r="AA59" s="446"/>
      <c r="AB59" s="442"/>
      <c r="AC59" s="442"/>
      <c r="AD59" s="442"/>
      <c r="AE59" s="442"/>
    </row>
    <row r="60" spans="3:33" ht="16.5" customHeight="1" x14ac:dyDescent="0.15">
      <c r="D60" s="536"/>
      <c r="E60" s="537"/>
      <c r="F60" s="423">
        <f t="shared" si="14"/>
        <v>45</v>
      </c>
      <c r="G60" s="423"/>
      <c r="H60" s="423">
        <f t="shared" si="16"/>
        <v>44</v>
      </c>
      <c r="I60" s="423"/>
      <c r="J60" s="423">
        <f t="shared" si="17"/>
        <v>45</v>
      </c>
      <c r="K60" s="423"/>
      <c r="L60" s="116">
        <f t="shared" ref="L60:L75" si="18">+L59+1</f>
        <v>29</v>
      </c>
      <c r="M60" s="123">
        <f t="shared" si="15"/>
        <v>4</v>
      </c>
      <c r="N60" s="510" t="s">
        <v>263</v>
      </c>
      <c r="O60" s="510"/>
      <c r="P60" s="510"/>
      <c r="Q60" s="511" t="s">
        <v>264</v>
      </c>
      <c r="R60" s="512"/>
      <c r="S60" s="512"/>
      <c r="T60" s="513" t="s">
        <v>264</v>
      </c>
      <c r="U60" s="514"/>
      <c r="V60" s="514"/>
      <c r="W60" s="482">
        <f t="shared" si="13"/>
        <v>2.2400000000000002</v>
      </c>
      <c r="X60" s="449"/>
      <c r="Y60" s="115" t="s">
        <v>14</v>
      </c>
      <c r="Z60" s="445" t="s">
        <v>262</v>
      </c>
      <c r="AA60" s="446"/>
      <c r="AB60" s="442"/>
      <c r="AC60" s="442"/>
      <c r="AD60" s="442"/>
      <c r="AE60" s="442"/>
    </row>
    <row r="61" spans="3:33" ht="16.5" customHeight="1" x14ac:dyDescent="0.15">
      <c r="D61" s="536"/>
      <c r="E61" s="537"/>
      <c r="F61" s="423">
        <f t="shared" si="14"/>
        <v>46</v>
      </c>
      <c r="G61" s="423"/>
      <c r="H61" s="423">
        <f t="shared" si="16"/>
        <v>45</v>
      </c>
      <c r="I61" s="423"/>
      <c r="J61" s="423">
        <f t="shared" si="17"/>
        <v>46</v>
      </c>
      <c r="K61" s="423"/>
      <c r="L61" s="116">
        <f t="shared" si="18"/>
        <v>30</v>
      </c>
      <c r="M61" s="123">
        <f t="shared" si="15"/>
        <v>4</v>
      </c>
      <c r="N61" s="510" t="s">
        <v>263</v>
      </c>
      <c r="O61" s="510"/>
      <c r="P61" s="510"/>
      <c r="Q61" s="511" t="s">
        <v>264</v>
      </c>
      <c r="R61" s="512"/>
      <c r="S61" s="512"/>
      <c r="T61" s="513" t="s">
        <v>264</v>
      </c>
      <c r="U61" s="514"/>
      <c r="V61" s="514"/>
      <c r="W61" s="482">
        <f t="shared" si="13"/>
        <v>2.2400000000000002</v>
      </c>
      <c r="X61" s="449"/>
      <c r="Y61" s="115" t="s">
        <v>14</v>
      </c>
      <c r="Z61" s="445" t="s">
        <v>262</v>
      </c>
      <c r="AA61" s="446"/>
      <c r="AB61" s="442"/>
      <c r="AC61" s="442"/>
      <c r="AD61" s="442"/>
      <c r="AE61" s="442"/>
    </row>
    <row r="62" spans="3:33" ht="16.5" customHeight="1" x14ac:dyDescent="0.15">
      <c r="D62" s="536"/>
      <c r="E62" s="537"/>
      <c r="F62" s="423">
        <f t="shared" si="14"/>
        <v>47</v>
      </c>
      <c r="G62" s="423"/>
      <c r="H62" s="423">
        <f t="shared" si="16"/>
        <v>46</v>
      </c>
      <c r="I62" s="423"/>
      <c r="J62" s="423">
        <f t="shared" si="17"/>
        <v>47</v>
      </c>
      <c r="K62" s="423"/>
      <c r="L62" s="116">
        <f t="shared" si="18"/>
        <v>31</v>
      </c>
      <c r="M62" s="123">
        <f t="shared" si="15"/>
        <v>4</v>
      </c>
      <c r="N62" s="510" t="s">
        <v>263</v>
      </c>
      <c r="O62" s="510"/>
      <c r="P62" s="510"/>
      <c r="Q62" s="511" t="s">
        <v>264</v>
      </c>
      <c r="R62" s="512"/>
      <c r="S62" s="512"/>
      <c r="T62" s="513" t="s">
        <v>264</v>
      </c>
      <c r="U62" s="514"/>
      <c r="V62" s="514"/>
      <c r="W62" s="482">
        <f t="shared" si="13"/>
        <v>2.2400000000000002</v>
      </c>
      <c r="X62" s="449"/>
      <c r="Y62" s="115" t="s">
        <v>14</v>
      </c>
      <c r="Z62" s="445" t="s">
        <v>262</v>
      </c>
      <c r="AA62" s="446"/>
      <c r="AB62" s="442"/>
      <c r="AC62" s="442"/>
      <c r="AD62" s="442"/>
      <c r="AE62" s="442"/>
    </row>
    <row r="63" spans="3:33" ht="16.5" customHeight="1" x14ac:dyDescent="0.15">
      <c r="D63" s="536"/>
      <c r="E63" s="537"/>
      <c r="F63" s="423">
        <f t="shared" si="14"/>
        <v>48</v>
      </c>
      <c r="G63" s="423"/>
      <c r="H63" s="423">
        <f t="shared" si="16"/>
        <v>47</v>
      </c>
      <c r="I63" s="423"/>
      <c r="J63" s="423">
        <f t="shared" si="17"/>
        <v>48</v>
      </c>
      <c r="K63" s="423"/>
      <c r="L63" s="116">
        <f t="shared" si="18"/>
        <v>32</v>
      </c>
      <c r="M63" s="123">
        <f t="shared" si="15"/>
        <v>4</v>
      </c>
      <c r="N63" s="510" t="s">
        <v>263</v>
      </c>
      <c r="O63" s="510"/>
      <c r="P63" s="510"/>
      <c r="Q63" s="511" t="s">
        <v>264</v>
      </c>
      <c r="R63" s="512"/>
      <c r="S63" s="512"/>
      <c r="T63" s="513" t="s">
        <v>264</v>
      </c>
      <c r="U63" s="514"/>
      <c r="V63" s="514"/>
      <c r="W63" s="482">
        <f t="shared" si="13"/>
        <v>2.2400000000000002</v>
      </c>
      <c r="X63" s="449"/>
      <c r="Y63" s="115" t="s">
        <v>14</v>
      </c>
      <c r="Z63" s="445" t="s">
        <v>262</v>
      </c>
      <c r="AA63" s="446"/>
      <c r="AB63" s="442"/>
      <c r="AC63" s="442"/>
      <c r="AD63" s="442"/>
      <c r="AE63" s="442"/>
    </row>
    <row r="64" spans="3:33" ht="16.5" customHeight="1" x14ac:dyDescent="0.15">
      <c r="D64" s="536"/>
      <c r="E64" s="537"/>
      <c r="F64" s="423">
        <f t="shared" si="14"/>
        <v>49</v>
      </c>
      <c r="G64" s="423"/>
      <c r="H64" s="423">
        <f t="shared" si="16"/>
        <v>48</v>
      </c>
      <c r="I64" s="423"/>
      <c r="J64" s="423">
        <f t="shared" si="17"/>
        <v>49</v>
      </c>
      <c r="K64" s="423"/>
      <c r="L64" s="116">
        <f t="shared" si="18"/>
        <v>33</v>
      </c>
      <c r="M64" s="123">
        <f t="shared" si="15"/>
        <v>4</v>
      </c>
      <c r="N64" s="510" t="s">
        <v>263</v>
      </c>
      <c r="O64" s="510"/>
      <c r="P64" s="510"/>
      <c r="Q64" s="511" t="s">
        <v>264</v>
      </c>
      <c r="R64" s="512"/>
      <c r="S64" s="512"/>
      <c r="T64" s="513" t="s">
        <v>264</v>
      </c>
      <c r="U64" s="514"/>
      <c r="V64" s="514"/>
      <c r="W64" s="482">
        <f t="shared" si="13"/>
        <v>2.2400000000000002</v>
      </c>
      <c r="X64" s="449"/>
      <c r="Y64" s="115" t="s">
        <v>14</v>
      </c>
      <c r="Z64" s="445" t="s">
        <v>262</v>
      </c>
      <c r="AA64" s="446"/>
      <c r="AB64" s="442"/>
      <c r="AC64" s="442"/>
      <c r="AD64" s="442"/>
      <c r="AE64" s="442"/>
    </row>
    <row r="65" spans="4:31" ht="16.5" customHeight="1" x14ac:dyDescent="0.15">
      <c r="D65" s="536"/>
      <c r="E65" s="537"/>
      <c r="F65" s="423">
        <f t="shared" si="14"/>
        <v>50</v>
      </c>
      <c r="G65" s="423"/>
      <c r="H65" s="423">
        <f t="shared" si="16"/>
        <v>49</v>
      </c>
      <c r="I65" s="423"/>
      <c r="J65" s="423">
        <f t="shared" si="17"/>
        <v>50</v>
      </c>
      <c r="K65" s="423"/>
      <c r="L65" s="116">
        <f t="shared" si="18"/>
        <v>34</v>
      </c>
      <c r="M65" s="123">
        <f t="shared" si="15"/>
        <v>5</v>
      </c>
      <c r="N65" s="510" t="s">
        <v>263</v>
      </c>
      <c r="O65" s="510"/>
      <c r="P65" s="510"/>
      <c r="Q65" s="511" t="s">
        <v>264</v>
      </c>
      <c r="R65" s="512"/>
      <c r="S65" s="512"/>
      <c r="T65" s="513" t="s">
        <v>264</v>
      </c>
      <c r="U65" s="514"/>
      <c r="V65" s="514"/>
      <c r="W65" s="482">
        <f t="shared" si="13"/>
        <v>2.2400000000000002</v>
      </c>
      <c r="X65" s="449"/>
      <c r="Y65" s="115" t="s">
        <v>14</v>
      </c>
      <c r="Z65" s="445" t="s">
        <v>262</v>
      </c>
      <c r="AA65" s="446"/>
      <c r="AB65" s="442"/>
      <c r="AC65" s="442"/>
      <c r="AD65" s="442"/>
      <c r="AE65" s="442"/>
    </row>
    <row r="66" spans="4:31" ht="16.5" customHeight="1" x14ac:dyDescent="0.15">
      <c r="D66" s="536"/>
      <c r="E66" s="537"/>
      <c r="F66" s="423">
        <f t="shared" si="14"/>
        <v>51</v>
      </c>
      <c r="G66" s="423"/>
      <c r="H66" s="423">
        <f t="shared" si="16"/>
        <v>50</v>
      </c>
      <c r="I66" s="423"/>
      <c r="J66" s="423">
        <f t="shared" si="17"/>
        <v>51</v>
      </c>
      <c r="K66" s="423"/>
      <c r="L66" s="116">
        <f t="shared" si="18"/>
        <v>35</v>
      </c>
      <c r="M66" s="123">
        <f t="shared" si="15"/>
        <v>5</v>
      </c>
      <c r="N66" s="510" t="s">
        <v>263</v>
      </c>
      <c r="O66" s="510"/>
      <c r="P66" s="510"/>
      <c r="Q66" s="511" t="s">
        <v>264</v>
      </c>
      <c r="R66" s="512"/>
      <c r="S66" s="512"/>
      <c r="T66" s="513" t="s">
        <v>264</v>
      </c>
      <c r="U66" s="514"/>
      <c r="V66" s="514"/>
      <c r="W66" s="482">
        <f t="shared" si="13"/>
        <v>2.2400000000000002</v>
      </c>
      <c r="X66" s="449"/>
      <c r="Y66" s="115" t="s">
        <v>14</v>
      </c>
      <c r="Z66" s="445" t="s">
        <v>262</v>
      </c>
      <c r="AA66" s="446"/>
      <c r="AB66" s="442"/>
      <c r="AC66" s="442"/>
      <c r="AD66" s="442"/>
      <c r="AE66" s="442"/>
    </row>
    <row r="67" spans="4:31" ht="16.5" customHeight="1" x14ac:dyDescent="0.15">
      <c r="D67" s="536"/>
      <c r="E67" s="537"/>
      <c r="F67" s="423">
        <f t="shared" si="14"/>
        <v>52</v>
      </c>
      <c r="G67" s="423"/>
      <c r="H67" s="423">
        <f t="shared" si="16"/>
        <v>51</v>
      </c>
      <c r="I67" s="423"/>
      <c r="J67" s="423">
        <f t="shared" si="17"/>
        <v>52</v>
      </c>
      <c r="K67" s="423"/>
      <c r="L67" s="116">
        <f t="shared" si="18"/>
        <v>36</v>
      </c>
      <c r="M67" s="123">
        <f t="shared" si="15"/>
        <v>5</v>
      </c>
      <c r="N67" s="510" t="s">
        <v>263</v>
      </c>
      <c r="O67" s="510"/>
      <c r="P67" s="510"/>
      <c r="Q67" s="511" t="s">
        <v>264</v>
      </c>
      <c r="R67" s="512"/>
      <c r="S67" s="512"/>
      <c r="T67" s="513" t="s">
        <v>264</v>
      </c>
      <c r="U67" s="514"/>
      <c r="V67" s="514"/>
      <c r="W67" s="482">
        <f t="shared" si="13"/>
        <v>2.2400000000000002</v>
      </c>
      <c r="X67" s="449"/>
      <c r="Y67" s="115" t="s">
        <v>14</v>
      </c>
      <c r="Z67" s="445" t="s">
        <v>262</v>
      </c>
      <c r="AA67" s="446"/>
      <c r="AB67" s="442"/>
      <c r="AC67" s="442"/>
      <c r="AD67" s="442"/>
      <c r="AE67" s="442"/>
    </row>
    <row r="68" spans="4:31" ht="16.5" customHeight="1" x14ac:dyDescent="0.15">
      <c r="D68" s="536"/>
      <c r="E68" s="537"/>
      <c r="F68" s="423">
        <f t="shared" si="14"/>
        <v>53</v>
      </c>
      <c r="G68" s="423"/>
      <c r="H68" s="423">
        <f t="shared" si="16"/>
        <v>52</v>
      </c>
      <c r="I68" s="423"/>
      <c r="J68" s="423">
        <f t="shared" si="17"/>
        <v>53</v>
      </c>
      <c r="K68" s="423"/>
      <c r="L68" s="116">
        <f t="shared" si="18"/>
        <v>37</v>
      </c>
      <c r="M68" s="123">
        <f t="shared" si="15"/>
        <v>5</v>
      </c>
      <c r="N68" s="510" t="s">
        <v>263</v>
      </c>
      <c r="O68" s="510"/>
      <c r="P68" s="510"/>
      <c r="Q68" s="511" t="s">
        <v>264</v>
      </c>
      <c r="R68" s="512"/>
      <c r="S68" s="512"/>
      <c r="T68" s="513" t="s">
        <v>264</v>
      </c>
      <c r="U68" s="514"/>
      <c r="V68" s="514"/>
      <c r="W68" s="482">
        <f t="shared" si="13"/>
        <v>2.2400000000000002</v>
      </c>
      <c r="X68" s="449"/>
      <c r="Y68" s="115" t="s">
        <v>14</v>
      </c>
      <c r="Z68" s="445" t="s">
        <v>262</v>
      </c>
      <c r="AA68" s="446"/>
      <c r="AB68" s="442"/>
      <c r="AC68" s="442"/>
      <c r="AD68" s="442"/>
      <c r="AE68" s="442"/>
    </row>
    <row r="69" spans="4:31" ht="16.5" customHeight="1" x14ac:dyDescent="0.15">
      <c r="D69" s="536"/>
      <c r="E69" s="537"/>
      <c r="F69" s="423">
        <f t="shared" si="14"/>
        <v>54</v>
      </c>
      <c r="G69" s="423"/>
      <c r="H69" s="423">
        <f t="shared" si="16"/>
        <v>53</v>
      </c>
      <c r="I69" s="423"/>
      <c r="J69" s="423">
        <f t="shared" si="17"/>
        <v>54</v>
      </c>
      <c r="K69" s="423"/>
      <c r="L69" s="116">
        <f t="shared" si="18"/>
        <v>38</v>
      </c>
      <c r="M69" s="123">
        <f t="shared" si="15"/>
        <v>5</v>
      </c>
      <c r="N69" s="510" t="s">
        <v>263</v>
      </c>
      <c r="O69" s="510"/>
      <c r="P69" s="510"/>
      <c r="Q69" s="511" t="s">
        <v>264</v>
      </c>
      <c r="R69" s="512"/>
      <c r="S69" s="512"/>
      <c r="T69" s="513" t="s">
        <v>264</v>
      </c>
      <c r="U69" s="514"/>
      <c r="V69" s="514"/>
      <c r="W69" s="482">
        <f t="shared" si="13"/>
        <v>2.2400000000000002</v>
      </c>
      <c r="X69" s="449"/>
      <c r="Y69" s="115" t="s">
        <v>14</v>
      </c>
      <c r="Z69" s="445" t="s">
        <v>262</v>
      </c>
      <c r="AA69" s="446"/>
      <c r="AB69" s="442"/>
      <c r="AC69" s="442"/>
      <c r="AD69" s="442"/>
      <c r="AE69" s="442"/>
    </row>
    <row r="70" spans="4:31" ht="16.5" customHeight="1" x14ac:dyDescent="0.15">
      <c r="D70" s="536"/>
      <c r="E70" s="537"/>
      <c r="F70" s="423">
        <f t="shared" si="14"/>
        <v>55</v>
      </c>
      <c r="G70" s="423"/>
      <c r="H70" s="423">
        <f t="shared" si="16"/>
        <v>54</v>
      </c>
      <c r="I70" s="423"/>
      <c r="J70" s="423">
        <f t="shared" si="17"/>
        <v>55</v>
      </c>
      <c r="K70" s="423"/>
      <c r="L70" s="116">
        <f t="shared" si="18"/>
        <v>39</v>
      </c>
      <c r="M70" s="123">
        <f t="shared" si="15"/>
        <v>5</v>
      </c>
      <c r="N70" s="510" t="s">
        <v>263</v>
      </c>
      <c r="O70" s="510"/>
      <c r="P70" s="510"/>
      <c r="Q70" s="511" t="s">
        <v>264</v>
      </c>
      <c r="R70" s="512"/>
      <c r="S70" s="512"/>
      <c r="T70" s="513" t="s">
        <v>264</v>
      </c>
      <c r="U70" s="514"/>
      <c r="V70" s="514"/>
      <c r="W70" s="482">
        <f t="shared" si="13"/>
        <v>2.2400000000000002</v>
      </c>
      <c r="X70" s="449"/>
      <c r="Y70" s="115" t="s">
        <v>14</v>
      </c>
      <c r="Z70" s="445" t="s">
        <v>262</v>
      </c>
      <c r="AA70" s="446"/>
      <c r="AB70" s="442"/>
      <c r="AC70" s="442"/>
      <c r="AD70" s="442"/>
      <c r="AE70" s="442"/>
    </row>
    <row r="71" spans="4:31" ht="16.5" customHeight="1" x14ac:dyDescent="0.15">
      <c r="D71" s="536"/>
      <c r="E71" s="537"/>
      <c r="F71" s="423">
        <f t="shared" si="14"/>
        <v>56</v>
      </c>
      <c r="G71" s="423"/>
      <c r="H71" s="423">
        <f t="shared" si="16"/>
        <v>55</v>
      </c>
      <c r="I71" s="423"/>
      <c r="J71" s="423">
        <f t="shared" si="17"/>
        <v>56</v>
      </c>
      <c r="K71" s="423"/>
      <c r="L71" s="116">
        <f t="shared" si="18"/>
        <v>40</v>
      </c>
      <c r="M71" s="123">
        <f t="shared" si="15"/>
        <v>6</v>
      </c>
      <c r="N71" s="510" t="s">
        <v>263</v>
      </c>
      <c r="O71" s="510"/>
      <c r="P71" s="510"/>
      <c r="Q71" s="511" t="s">
        <v>264</v>
      </c>
      <c r="R71" s="512"/>
      <c r="S71" s="512"/>
      <c r="T71" s="513" t="s">
        <v>264</v>
      </c>
      <c r="U71" s="514"/>
      <c r="V71" s="514"/>
      <c r="W71" s="482">
        <f t="shared" si="13"/>
        <v>2.2400000000000002</v>
      </c>
      <c r="X71" s="449"/>
      <c r="Y71" s="115" t="s">
        <v>14</v>
      </c>
      <c r="Z71" s="445" t="s">
        <v>262</v>
      </c>
      <c r="AA71" s="446"/>
      <c r="AB71" s="442"/>
      <c r="AC71" s="442"/>
      <c r="AD71" s="442"/>
      <c r="AE71" s="442"/>
    </row>
    <row r="72" spans="4:31" ht="16.5" customHeight="1" x14ac:dyDescent="0.15">
      <c r="D72" s="536"/>
      <c r="E72" s="537"/>
      <c r="F72" s="423">
        <f t="shared" si="14"/>
        <v>57</v>
      </c>
      <c r="G72" s="423"/>
      <c r="H72" s="423">
        <f t="shared" si="16"/>
        <v>56</v>
      </c>
      <c r="I72" s="423"/>
      <c r="J72" s="423">
        <f t="shared" si="17"/>
        <v>57</v>
      </c>
      <c r="K72" s="423"/>
      <c r="L72" s="116">
        <f t="shared" si="18"/>
        <v>41</v>
      </c>
      <c r="M72" s="123">
        <f t="shared" si="15"/>
        <v>6</v>
      </c>
      <c r="N72" s="510" t="s">
        <v>263</v>
      </c>
      <c r="O72" s="510"/>
      <c r="P72" s="510"/>
      <c r="Q72" s="511" t="s">
        <v>264</v>
      </c>
      <c r="R72" s="512"/>
      <c r="S72" s="512"/>
      <c r="T72" s="513" t="s">
        <v>264</v>
      </c>
      <c r="U72" s="514"/>
      <c r="V72" s="514"/>
      <c r="W72" s="482">
        <f t="shared" si="13"/>
        <v>2.2400000000000002</v>
      </c>
      <c r="X72" s="449"/>
      <c r="Y72" s="115" t="s">
        <v>14</v>
      </c>
      <c r="Z72" s="445" t="s">
        <v>262</v>
      </c>
      <c r="AA72" s="446"/>
      <c r="AB72" s="442"/>
      <c r="AC72" s="442"/>
      <c r="AD72" s="442"/>
      <c r="AE72" s="442"/>
    </row>
    <row r="73" spans="4:31" ht="16.5" customHeight="1" x14ac:dyDescent="0.15">
      <c r="D73" s="536"/>
      <c r="E73" s="537"/>
      <c r="F73" s="423">
        <f t="shared" si="14"/>
        <v>58</v>
      </c>
      <c r="G73" s="423"/>
      <c r="H73" s="423">
        <f t="shared" si="16"/>
        <v>57</v>
      </c>
      <c r="I73" s="423"/>
      <c r="J73" s="423">
        <f t="shared" si="17"/>
        <v>58</v>
      </c>
      <c r="K73" s="423"/>
      <c r="L73" s="116">
        <f t="shared" si="18"/>
        <v>42</v>
      </c>
      <c r="M73" s="123">
        <f t="shared" si="15"/>
        <v>6</v>
      </c>
      <c r="N73" s="510" t="s">
        <v>263</v>
      </c>
      <c r="O73" s="510"/>
      <c r="P73" s="510"/>
      <c r="Q73" s="511" t="s">
        <v>264</v>
      </c>
      <c r="R73" s="512"/>
      <c r="S73" s="512"/>
      <c r="T73" s="513" t="s">
        <v>264</v>
      </c>
      <c r="U73" s="514"/>
      <c r="V73" s="514"/>
      <c r="W73" s="482">
        <f t="shared" si="13"/>
        <v>2.2400000000000002</v>
      </c>
      <c r="X73" s="449"/>
      <c r="Y73" s="115" t="s">
        <v>14</v>
      </c>
      <c r="Z73" s="445" t="s">
        <v>262</v>
      </c>
      <c r="AA73" s="446"/>
      <c r="AB73" s="442"/>
      <c r="AC73" s="442"/>
      <c r="AD73" s="442"/>
      <c r="AE73" s="442"/>
    </row>
    <row r="74" spans="4:31" ht="16.5" customHeight="1" x14ac:dyDescent="0.15">
      <c r="D74" s="536"/>
      <c r="E74" s="537"/>
      <c r="F74" s="423">
        <f t="shared" si="14"/>
        <v>59</v>
      </c>
      <c r="G74" s="423"/>
      <c r="H74" s="423">
        <f t="shared" si="16"/>
        <v>58</v>
      </c>
      <c r="I74" s="423"/>
      <c r="J74" s="423">
        <f t="shared" si="17"/>
        <v>59</v>
      </c>
      <c r="K74" s="423"/>
      <c r="L74" s="116">
        <f t="shared" si="18"/>
        <v>43</v>
      </c>
      <c r="M74" s="123">
        <f t="shared" si="15"/>
        <v>6</v>
      </c>
      <c r="N74" s="510" t="s">
        <v>263</v>
      </c>
      <c r="O74" s="510"/>
      <c r="P74" s="510"/>
      <c r="Q74" s="511" t="s">
        <v>264</v>
      </c>
      <c r="R74" s="512"/>
      <c r="S74" s="512"/>
      <c r="T74" s="513" t="s">
        <v>264</v>
      </c>
      <c r="U74" s="514"/>
      <c r="V74" s="514"/>
      <c r="W74" s="482">
        <f t="shared" si="13"/>
        <v>2.2400000000000002</v>
      </c>
      <c r="X74" s="449"/>
      <c r="Y74" s="115" t="s">
        <v>14</v>
      </c>
      <c r="Z74" s="445" t="s">
        <v>262</v>
      </c>
      <c r="AA74" s="446"/>
      <c r="AB74" s="442"/>
      <c r="AC74" s="442"/>
      <c r="AD74" s="442"/>
      <c r="AE74" s="442"/>
    </row>
    <row r="75" spans="4:31" ht="16.5" customHeight="1" x14ac:dyDescent="0.15">
      <c r="D75" s="536"/>
      <c r="E75" s="537"/>
      <c r="F75" s="423">
        <f t="shared" si="14"/>
        <v>60</v>
      </c>
      <c r="G75" s="423"/>
      <c r="H75" s="423">
        <f t="shared" si="16"/>
        <v>59</v>
      </c>
      <c r="I75" s="423"/>
      <c r="J75" s="423">
        <f t="shared" si="17"/>
        <v>60</v>
      </c>
      <c r="K75" s="423"/>
      <c r="L75" s="116">
        <f t="shared" si="18"/>
        <v>44</v>
      </c>
      <c r="M75" s="123">
        <f t="shared" si="15"/>
        <v>6</v>
      </c>
      <c r="N75" s="510" t="s">
        <v>263</v>
      </c>
      <c r="O75" s="510"/>
      <c r="P75" s="510"/>
      <c r="Q75" s="511" t="s">
        <v>264</v>
      </c>
      <c r="R75" s="512"/>
      <c r="S75" s="512"/>
      <c r="T75" s="513" t="s">
        <v>264</v>
      </c>
      <c r="U75" s="514"/>
      <c r="V75" s="514"/>
      <c r="W75" s="482">
        <f t="shared" si="13"/>
        <v>2.2400000000000002</v>
      </c>
      <c r="X75" s="449"/>
      <c r="Y75" s="115" t="s">
        <v>14</v>
      </c>
      <c r="Z75" s="445" t="s">
        <v>262</v>
      </c>
      <c r="AA75" s="446"/>
      <c r="AB75" s="442"/>
      <c r="AC75" s="442"/>
      <c r="AD75" s="442"/>
      <c r="AE75" s="442"/>
    </row>
    <row r="76" spans="4:31" ht="16.5" customHeight="1" x14ac:dyDescent="0.15">
      <c r="D76" s="536"/>
      <c r="E76" s="537"/>
      <c r="F76" s="423">
        <f t="shared" si="14"/>
        <v>61</v>
      </c>
      <c r="G76" s="423"/>
      <c r="H76" s="423">
        <f t="shared" si="16"/>
        <v>60</v>
      </c>
      <c r="I76" s="423"/>
      <c r="J76" s="423">
        <f t="shared" si="17"/>
        <v>61</v>
      </c>
      <c r="K76" s="423"/>
      <c r="L76" s="116">
        <f>+L75+1</f>
        <v>45</v>
      </c>
      <c r="M76" s="123">
        <f t="shared" si="15"/>
        <v>6</v>
      </c>
      <c r="N76" s="510" t="s">
        <v>263</v>
      </c>
      <c r="O76" s="510"/>
      <c r="P76" s="510"/>
      <c r="Q76" s="511" t="s">
        <v>264</v>
      </c>
      <c r="R76" s="512"/>
      <c r="S76" s="512"/>
      <c r="T76" s="513" t="s">
        <v>264</v>
      </c>
      <c r="U76" s="514"/>
      <c r="V76" s="514"/>
      <c r="W76" s="482">
        <f t="shared" si="13"/>
        <v>2.2400000000000002</v>
      </c>
      <c r="X76" s="449"/>
      <c r="Y76" s="115" t="s">
        <v>14</v>
      </c>
      <c r="Z76" s="445" t="s">
        <v>262</v>
      </c>
      <c r="AA76" s="446"/>
      <c r="AB76" s="442"/>
      <c r="AC76" s="442"/>
      <c r="AD76" s="442"/>
      <c r="AE76" s="442"/>
    </row>
    <row r="77" spans="4:31" ht="16.5" customHeight="1" x14ac:dyDescent="0.15">
      <c r="D77" s="536"/>
      <c r="E77" s="537"/>
      <c r="F77" s="423">
        <f t="shared" si="14"/>
        <v>62</v>
      </c>
      <c r="G77" s="423"/>
      <c r="H77" s="423">
        <f t="shared" si="16"/>
        <v>61</v>
      </c>
      <c r="I77" s="423"/>
      <c r="J77" s="423">
        <f t="shared" si="17"/>
        <v>62</v>
      </c>
      <c r="K77" s="423"/>
      <c r="L77" s="116">
        <f t="shared" ref="L77:L81" si="19">+L76+1</f>
        <v>46</v>
      </c>
      <c r="M77" s="123">
        <f t="shared" si="15"/>
        <v>6</v>
      </c>
      <c r="N77" s="510" t="s">
        <v>263</v>
      </c>
      <c r="O77" s="510"/>
      <c r="P77" s="510"/>
      <c r="Q77" s="511" t="s">
        <v>264</v>
      </c>
      <c r="R77" s="512"/>
      <c r="S77" s="512"/>
      <c r="T77" s="513" t="s">
        <v>264</v>
      </c>
      <c r="U77" s="514"/>
      <c r="V77" s="514"/>
      <c r="W77" s="482">
        <f t="shared" si="13"/>
        <v>2.2400000000000002</v>
      </c>
      <c r="X77" s="449"/>
      <c r="Y77" s="115" t="s">
        <v>14</v>
      </c>
      <c r="Z77" s="445" t="s">
        <v>262</v>
      </c>
      <c r="AA77" s="446"/>
      <c r="AB77" s="442"/>
      <c r="AC77" s="442"/>
      <c r="AD77" s="442"/>
      <c r="AE77" s="442"/>
    </row>
    <row r="78" spans="4:31" ht="16.5" customHeight="1" x14ac:dyDescent="0.15">
      <c r="D78" s="536"/>
      <c r="E78" s="537"/>
      <c r="F78" s="423">
        <f t="shared" si="14"/>
        <v>63</v>
      </c>
      <c r="G78" s="423"/>
      <c r="H78" s="423">
        <f t="shared" si="16"/>
        <v>62</v>
      </c>
      <c r="I78" s="423"/>
      <c r="J78" s="423">
        <f t="shared" si="17"/>
        <v>63</v>
      </c>
      <c r="K78" s="423"/>
      <c r="L78" s="116">
        <f t="shared" si="19"/>
        <v>47</v>
      </c>
      <c r="M78" s="123">
        <f t="shared" si="15"/>
        <v>6</v>
      </c>
      <c r="N78" s="510" t="s">
        <v>263</v>
      </c>
      <c r="O78" s="510"/>
      <c r="P78" s="510"/>
      <c r="Q78" s="511" t="s">
        <v>264</v>
      </c>
      <c r="R78" s="512"/>
      <c r="S78" s="512"/>
      <c r="T78" s="513" t="s">
        <v>264</v>
      </c>
      <c r="U78" s="514"/>
      <c r="V78" s="514"/>
      <c r="W78" s="482">
        <f t="shared" si="13"/>
        <v>2.2400000000000002</v>
      </c>
      <c r="X78" s="449"/>
      <c r="Y78" s="115" t="s">
        <v>14</v>
      </c>
      <c r="Z78" s="445" t="s">
        <v>262</v>
      </c>
      <c r="AA78" s="446"/>
      <c r="AB78" s="442"/>
      <c r="AC78" s="442"/>
      <c r="AD78" s="442"/>
      <c r="AE78" s="442"/>
    </row>
    <row r="79" spans="4:31" ht="16.5" customHeight="1" x14ac:dyDescent="0.15">
      <c r="D79" s="536"/>
      <c r="E79" s="537"/>
      <c r="F79" s="423">
        <f t="shared" si="14"/>
        <v>64</v>
      </c>
      <c r="G79" s="423"/>
      <c r="H79" s="423">
        <f t="shared" si="16"/>
        <v>63</v>
      </c>
      <c r="I79" s="423"/>
      <c r="J79" s="423">
        <f t="shared" si="17"/>
        <v>64</v>
      </c>
      <c r="K79" s="423"/>
      <c r="L79" s="116">
        <f t="shared" si="19"/>
        <v>48</v>
      </c>
      <c r="M79" s="123">
        <f t="shared" si="15"/>
        <v>6</v>
      </c>
      <c r="N79" s="510" t="s">
        <v>263</v>
      </c>
      <c r="O79" s="510"/>
      <c r="P79" s="510"/>
      <c r="Q79" s="511" t="s">
        <v>264</v>
      </c>
      <c r="R79" s="512"/>
      <c r="S79" s="512"/>
      <c r="T79" s="513" t="s">
        <v>264</v>
      </c>
      <c r="U79" s="514"/>
      <c r="V79" s="514"/>
      <c r="W79" s="482">
        <f t="shared" si="13"/>
        <v>2.2400000000000002</v>
      </c>
      <c r="X79" s="449"/>
      <c r="Y79" s="115" t="s">
        <v>14</v>
      </c>
      <c r="Z79" s="445" t="s">
        <v>262</v>
      </c>
      <c r="AA79" s="446"/>
      <c r="AB79" s="442"/>
      <c r="AC79" s="442"/>
      <c r="AD79" s="442"/>
      <c r="AE79" s="442"/>
    </row>
    <row r="80" spans="4:31" ht="16.5" customHeight="1" x14ac:dyDescent="0.15">
      <c r="D80" s="536"/>
      <c r="E80" s="537"/>
      <c r="F80" s="423">
        <f t="shared" si="14"/>
        <v>65</v>
      </c>
      <c r="G80" s="423"/>
      <c r="H80" s="423">
        <f t="shared" si="16"/>
        <v>64</v>
      </c>
      <c r="I80" s="423"/>
      <c r="J80" s="423">
        <f t="shared" si="17"/>
        <v>65</v>
      </c>
      <c r="K80" s="423"/>
      <c r="L80" s="116">
        <f t="shared" si="19"/>
        <v>49</v>
      </c>
      <c r="M80" s="123">
        <f t="shared" si="15"/>
        <v>6</v>
      </c>
      <c r="N80" s="510" t="s">
        <v>263</v>
      </c>
      <c r="O80" s="510"/>
      <c r="P80" s="510"/>
      <c r="Q80" s="511" t="s">
        <v>264</v>
      </c>
      <c r="R80" s="512"/>
      <c r="S80" s="512"/>
      <c r="T80" s="513" t="s">
        <v>264</v>
      </c>
      <c r="U80" s="514"/>
      <c r="V80" s="514"/>
      <c r="W80" s="482">
        <f t="shared" si="13"/>
        <v>2.2400000000000002</v>
      </c>
      <c r="X80" s="449"/>
      <c r="Y80" s="115" t="s">
        <v>14</v>
      </c>
      <c r="Z80" s="445" t="s">
        <v>262</v>
      </c>
      <c r="AA80" s="446"/>
      <c r="AB80" s="442"/>
      <c r="AC80" s="442"/>
      <c r="AD80" s="442"/>
      <c r="AE80" s="442"/>
    </row>
    <row r="81" spans="4:31" ht="16.5" customHeight="1" thickBot="1" x14ac:dyDescent="0.2">
      <c r="D81" s="542"/>
      <c r="E81" s="543"/>
      <c r="F81" s="424">
        <f t="shared" si="14"/>
        <v>66</v>
      </c>
      <c r="G81" s="424"/>
      <c r="H81" s="424">
        <f t="shared" si="16"/>
        <v>65</v>
      </c>
      <c r="I81" s="424"/>
      <c r="J81" s="424">
        <f t="shared" si="17"/>
        <v>66</v>
      </c>
      <c r="K81" s="424"/>
      <c r="L81" s="117">
        <f t="shared" si="19"/>
        <v>50</v>
      </c>
      <c r="M81" s="138">
        <f t="shared" si="15"/>
        <v>6</v>
      </c>
      <c r="N81" s="520" t="s">
        <v>263</v>
      </c>
      <c r="O81" s="520"/>
      <c r="P81" s="520"/>
      <c r="Q81" s="455" t="s">
        <v>264</v>
      </c>
      <c r="R81" s="456"/>
      <c r="S81" s="456"/>
      <c r="T81" s="457" t="s">
        <v>264</v>
      </c>
      <c r="U81" s="458"/>
      <c r="V81" s="458"/>
      <c r="W81" s="508">
        <f t="shared" si="13"/>
        <v>2.2400000000000002</v>
      </c>
      <c r="X81" s="509"/>
      <c r="Y81" s="124" t="s">
        <v>14</v>
      </c>
      <c r="Z81" s="461" t="s">
        <v>262</v>
      </c>
      <c r="AA81" s="460"/>
      <c r="AB81" s="451"/>
      <c r="AC81" s="451"/>
      <c r="AD81" s="451"/>
      <c r="AE81" s="451"/>
    </row>
    <row r="82" spans="4:31" ht="16.5" customHeight="1" thickTop="1" x14ac:dyDescent="0.15">
      <c r="D82" s="536" t="s">
        <v>281</v>
      </c>
      <c r="E82" s="537"/>
      <c r="F82" s="483">
        <f>+F81+1</f>
        <v>67</v>
      </c>
      <c r="G82" s="483"/>
      <c r="H82" s="519">
        <v>15</v>
      </c>
      <c r="I82" s="519"/>
      <c r="J82" s="519">
        <v>67</v>
      </c>
      <c r="K82" s="519"/>
      <c r="L82" s="111"/>
      <c r="M82" s="112"/>
      <c r="N82" s="432" t="s">
        <v>261</v>
      </c>
      <c r="O82" s="432"/>
      <c r="P82" s="432"/>
      <c r="Q82" s="433">
        <v>1000</v>
      </c>
      <c r="R82" s="433"/>
      <c r="S82" s="433"/>
      <c r="T82" s="434">
        <v>1000</v>
      </c>
      <c r="U82" s="434"/>
      <c r="V82" s="434"/>
      <c r="W82" s="478">
        <f>+W57</f>
        <v>2.35</v>
      </c>
      <c r="X82" s="479"/>
      <c r="Y82" s="113" t="s">
        <v>14</v>
      </c>
      <c r="Z82" s="480" t="s">
        <v>262</v>
      </c>
      <c r="AA82" s="516"/>
      <c r="AB82" s="481"/>
      <c r="AC82" s="481"/>
      <c r="AD82" s="481"/>
      <c r="AE82" s="481"/>
    </row>
    <row r="83" spans="4:31" ht="16.5" customHeight="1" x14ac:dyDescent="0.15">
      <c r="D83" s="536"/>
      <c r="E83" s="537"/>
      <c r="F83" s="423">
        <f t="shared" si="14"/>
        <v>68</v>
      </c>
      <c r="G83" s="423"/>
      <c r="H83" s="423">
        <f>+J82</f>
        <v>67</v>
      </c>
      <c r="I83" s="423"/>
      <c r="J83" s="423">
        <f>+J82+1</f>
        <v>68</v>
      </c>
      <c r="K83" s="423"/>
      <c r="L83" s="116">
        <f>+L81+1</f>
        <v>51</v>
      </c>
      <c r="M83" s="123">
        <f>+M58</f>
        <v>3</v>
      </c>
      <c r="N83" s="510" t="s">
        <v>263</v>
      </c>
      <c r="O83" s="510"/>
      <c r="P83" s="510"/>
      <c r="Q83" s="511" t="s">
        <v>264</v>
      </c>
      <c r="R83" s="512"/>
      <c r="S83" s="512"/>
      <c r="T83" s="513" t="s">
        <v>264</v>
      </c>
      <c r="U83" s="514"/>
      <c r="V83" s="514"/>
      <c r="W83" s="482">
        <f t="shared" ref="W83:W106" si="20">+W58</f>
        <v>2.2400000000000002</v>
      </c>
      <c r="X83" s="449"/>
      <c r="Y83" s="115" t="s">
        <v>14</v>
      </c>
      <c r="Z83" s="445" t="s">
        <v>262</v>
      </c>
      <c r="AA83" s="446"/>
      <c r="AB83" s="442" t="s">
        <v>265</v>
      </c>
      <c r="AC83" s="442"/>
      <c r="AD83" s="442"/>
      <c r="AE83" s="442"/>
    </row>
    <row r="84" spans="4:31" ht="16.5" customHeight="1" x14ac:dyDescent="0.15">
      <c r="D84" s="536"/>
      <c r="E84" s="537"/>
      <c r="F84" s="423">
        <f t="shared" si="14"/>
        <v>69</v>
      </c>
      <c r="G84" s="423"/>
      <c r="H84" s="423">
        <f t="shared" ref="H84:H106" si="21">+H83+1</f>
        <v>68</v>
      </c>
      <c r="I84" s="423"/>
      <c r="J84" s="423">
        <f t="shared" ref="J84:J106" si="22">+J83+1</f>
        <v>69</v>
      </c>
      <c r="K84" s="423"/>
      <c r="L84" s="116">
        <f>+L83+1</f>
        <v>52</v>
      </c>
      <c r="M84" s="123">
        <f t="shared" ref="M84:M106" si="23">+M59</f>
        <v>3</v>
      </c>
      <c r="N84" s="510" t="s">
        <v>263</v>
      </c>
      <c r="O84" s="510"/>
      <c r="P84" s="510"/>
      <c r="Q84" s="511" t="s">
        <v>264</v>
      </c>
      <c r="R84" s="512"/>
      <c r="S84" s="512"/>
      <c r="T84" s="513" t="s">
        <v>264</v>
      </c>
      <c r="U84" s="514"/>
      <c r="V84" s="514"/>
      <c r="W84" s="482">
        <f t="shared" si="20"/>
        <v>2.2400000000000002</v>
      </c>
      <c r="X84" s="449"/>
      <c r="Y84" s="115" t="s">
        <v>14</v>
      </c>
      <c r="Z84" s="445" t="s">
        <v>262</v>
      </c>
      <c r="AA84" s="446"/>
      <c r="AB84" s="442"/>
      <c r="AC84" s="442"/>
      <c r="AD84" s="442"/>
      <c r="AE84" s="442"/>
    </row>
    <row r="85" spans="4:31" ht="16.5" customHeight="1" x14ac:dyDescent="0.15">
      <c r="D85" s="536"/>
      <c r="E85" s="537"/>
      <c r="F85" s="423">
        <f t="shared" si="14"/>
        <v>70</v>
      </c>
      <c r="G85" s="423"/>
      <c r="H85" s="423">
        <f t="shared" si="21"/>
        <v>69</v>
      </c>
      <c r="I85" s="423"/>
      <c r="J85" s="423">
        <f t="shared" si="22"/>
        <v>70</v>
      </c>
      <c r="K85" s="423"/>
      <c r="L85" s="116">
        <f t="shared" ref="L85:L100" si="24">+L84+1</f>
        <v>53</v>
      </c>
      <c r="M85" s="123">
        <f t="shared" si="23"/>
        <v>4</v>
      </c>
      <c r="N85" s="510" t="s">
        <v>263</v>
      </c>
      <c r="O85" s="510"/>
      <c r="P85" s="510"/>
      <c r="Q85" s="511" t="s">
        <v>264</v>
      </c>
      <c r="R85" s="512"/>
      <c r="S85" s="512"/>
      <c r="T85" s="513" t="s">
        <v>264</v>
      </c>
      <c r="U85" s="514"/>
      <c r="V85" s="514"/>
      <c r="W85" s="482">
        <f t="shared" si="20"/>
        <v>2.2400000000000002</v>
      </c>
      <c r="X85" s="449"/>
      <c r="Y85" s="115" t="s">
        <v>14</v>
      </c>
      <c r="Z85" s="445" t="s">
        <v>262</v>
      </c>
      <c r="AA85" s="446"/>
      <c r="AB85" s="442"/>
      <c r="AC85" s="442"/>
      <c r="AD85" s="442"/>
      <c r="AE85" s="442"/>
    </row>
    <row r="86" spans="4:31" ht="16.5" customHeight="1" x14ac:dyDescent="0.15">
      <c r="D86" s="536"/>
      <c r="E86" s="537"/>
      <c r="F86" s="423">
        <f t="shared" si="14"/>
        <v>71</v>
      </c>
      <c r="G86" s="423"/>
      <c r="H86" s="423">
        <f t="shared" si="21"/>
        <v>70</v>
      </c>
      <c r="I86" s="423"/>
      <c r="J86" s="423">
        <f t="shared" si="22"/>
        <v>71</v>
      </c>
      <c r="K86" s="423"/>
      <c r="L86" s="116">
        <f t="shared" si="24"/>
        <v>54</v>
      </c>
      <c r="M86" s="123">
        <f t="shared" si="23"/>
        <v>4</v>
      </c>
      <c r="N86" s="510" t="s">
        <v>263</v>
      </c>
      <c r="O86" s="510"/>
      <c r="P86" s="510"/>
      <c r="Q86" s="511" t="s">
        <v>264</v>
      </c>
      <c r="R86" s="512"/>
      <c r="S86" s="512"/>
      <c r="T86" s="513" t="s">
        <v>264</v>
      </c>
      <c r="U86" s="514"/>
      <c r="V86" s="514"/>
      <c r="W86" s="482">
        <f t="shared" si="20"/>
        <v>2.2400000000000002</v>
      </c>
      <c r="X86" s="449"/>
      <c r="Y86" s="115" t="s">
        <v>14</v>
      </c>
      <c r="Z86" s="445" t="s">
        <v>262</v>
      </c>
      <c r="AA86" s="446"/>
      <c r="AB86" s="442"/>
      <c r="AC86" s="442"/>
      <c r="AD86" s="442"/>
      <c r="AE86" s="442"/>
    </row>
    <row r="87" spans="4:31" ht="16.5" customHeight="1" x14ac:dyDescent="0.15">
      <c r="D87" s="536"/>
      <c r="E87" s="537"/>
      <c r="F87" s="423">
        <f t="shared" si="14"/>
        <v>72</v>
      </c>
      <c r="G87" s="423"/>
      <c r="H87" s="423">
        <f t="shared" si="21"/>
        <v>71</v>
      </c>
      <c r="I87" s="423"/>
      <c r="J87" s="423">
        <f t="shared" si="22"/>
        <v>72</v>
      </c>
      <c r="K87" s="423"/>
      <c r="L87" s="116">
        <f t="shared" si="24"/>
        <v>55</v>
      </c>
      <c r="M87" s="123">
        <f t="shared" si="23"/>
        <v>4</v>
      </c>
      <c r="N87" s="510" t="s">
        <v>263</v>
      </c>
      <c r="O87" s="510"/>
      <c r="P87" s="510"/>
      <c r="Q87" s="511" t="s">
        <v>264</v>
      </c>
      <c r="R87" s="512"/>
      <c r="S87" s="512"/>
      <c r="T87" s="513" t="s">
        <v>264</v>
      </c>
      <c r="U87" s="514"/>
      <c r="V87" s="514"/>
      <c r="W87" s="482">
        <f t="shared" si="20"/>
        <v>2.2400000000000002</v>
      </c>
      <c r="X87" s="449"/>
      <c r="Y87" s="115" t="s">
        <v>14</v>
      </c>
      <c r="Z87" s="445" t="s">
        <v>262</v>
      </c>
      <c r="AA87" s="446"/>
      <c r="AB87" s="442"/>
      <c r="AC87" s="442"/>
      <c r="AD87" s="442"/>
      <c r="AE87" s="442"/>
    </row>
    <row r="88" spans="4:31" ht="16.5" customHeight="1" x14ac:dyDescent="0.15">
      <c r="D88" s="536"/>
      <c r="E88" s="537"/>
      <c r="F88" s="423">
        <f t="shared" si="14"/>
        <v>73</v>
      </c>
      <c r="G88" s="423"/>
      <c r="H88" s="423">
        <f t="shared" si="21"/>
        <v>72</v>
      </c>
      <c r="I88" s="423"/>
      <c r="J88" s="423">
        <f t="shared" si="22"/>
        <v>73</v>
      </c>
      <c r="K88" s="423"/>
      <c r="L88" s="116">
        <f t="shared" si="24"/>
        <v>56</v>
      </c>
      <c r="M88" s="123">
        <f t="shared" si="23"/>
        <v>4</v>
      </c>
      <c r="N88" s="510" t="s">
        <v>263</v>
      </c>
      <c r="O88" s="510"/>
      <c r="P88" s="510"/>
      <c r="Q88" s="511" t="s">
        <v>264</v>
      </c>
      <c r="R88" s="512"/>
      <c r="S88" s="512"/>
      <c r="T88" s="513" t="s">
        <v>264</v>
      </c>
      <c r="U88" s="514"/>
      <c r="V88" s="514"/>
      <c r="W88" s="482">
        <f t="shared" si="20"/>
        <v>2.2400000000000002</v>
      </c>
      <c r="X88" s="449"/>
      <c r="Y88" s="115" t="s">
        <v>14</v>
      </c>
      <c r="Z88" s="445" t="s">
        <v>262</v>
      </c>
      <c r="AA88" s="446"/>
      <c r="AB88" s="442"/>
      <c r="AC88" s="442"/>
      <c r="AD88" s="442"/>
      <c r="AE88" s="442"/>
    </row>
    <row r="89" spans="4:31" ht="16.5" customHeight="1" x14ac:dyDescent="0.15">
      <c r="D89" s="536"/>
      <c r="E89" s="537"/>
      <c r="F89" s="423">
        <f t="shared" si="14"/>
        <v>74</v>
      </c>
      <c r="G89" s="423"/>
      <c r="H89" s="423">
        <f t="shared" si="21"/>
        <v>73</v>
      </c>
      <c r="I89" s="423"/>
      <c r="J89" s="423">
        <f t="shared" si="22"/>
        <v>74</v>
      </c>
      <c r="K89" s="423"/>
      <c r="L89" s="116">
        <f t="shared" si="24"/>
        <v>57</v>
      </c>
      <c r="M89" s="123">
        <f t="shared" si="23"/>
        <v>4</v>
      </c>
      <c r="N89" s="510" t="s">
        <v>263</v>
      </c>
      <c r="O89" s="510"/>
      <c r="P89" s="510"/>
      <c r="Q89" s="511" t="s">
        <v>264</v>
      </c>
      <c r="R89" s="512"/>
      <c r="S89" s="512"/>
      <c r="T89" s="513" t="s">
        <v>264</v>
      </c>
      <c r="U89" s="514"/>
      <c r="V89" s="514"/>
      <c r="W89" s="482">
        <f t="shared" si="20"/>
        <v>2.2400000000000002</v>
      </c>
      <c r="X89" s="449"/>
      <c r="Y89" s="115" t="s">
        <v>14</v>
      </c>
      <c r="Z89" s="445" t="s">
        <v>262</v>
      </c>
      <c r="AA89" s="446"/>
      <c r="AB89" s="442"/>
      <c r="AC89" s="442"/>
      <c r="AD89" s="442"/>
      <c r="AE89" s="442"/>
    </row>
    <row r="90" spans="4:31" ht="16.5" customHeight="1" x14ac:dyDescent="0.15">
      <c r="D90" s="536"/>
      <c r="E90" s="537"/>
      <c r="F90" s="423">
        <f t="shared" si="14"/>
        <v>75</v>
      </c>
      <c r="G90" s="423"/>
      <c r="H90" s="423">
        <f t="shared" si="21"/>
        <v>74</v>
      </c>
      <c r="I90" s="423"/>
      <c r="J90" s="423">
        <f t="shared" si="22"/>
        <v>75</v>
      </c>
      <c r="K90" s="423"/>
      <c r="L90" s="116">
        <f t="shared" si="24"/>
        <v>58</v>
      </c>
      <c r="M90" s="123">
        <f t="shared" si="23"/>
        <v>5</v>
      </c>
      <c r="N90" s="510" t="s">
        <v>263</v>
      </c>
      <c r="O90" s="510"/>
      <c r="P90" s="510"/>
      <c r="Q90" s="511" t="s">
        <v>264</v>
      </c>
      <c r="R90" s="512"/>
      <c r="S90" s="512"/>
      <c r="T90" s="513" t="s">
        <v>264</v>
      </c>
      <c r="U90" s="514"/>
      <c r="V90" s="514"/>
      <c r="W90" s="482">
        <f t="shared" si="20"/>
        <v>2.2400000000000002</v>
      </c>
      <c r="X90" s="449"/>
      <c r="Y90" s="115" t="s">
        <v>14</v>
      </c>
      <c r="Z90" s="445" t="s">
        <v>262</v>
      </c>
      <c r="AA90" s="446"/>
      <c r="AB90" s="442"/>
      <c r="AC90" s="442"/>
      <c r="AD90" s="442"/>
      <c r="AE90" s="442"/>
    </row>
    <row r="91" spans="4:31" ht="16.5" customHeight="1" x14ac:dyDescent="0.15">
      <c r="D91" s="536"/>
      <c r="E91" s="537"/>
      <c r="F91" s="423">
        <f t="shared" si="14"/>
        <v>76</v>
      </c>
      <c r="G91" s="423"/>
      <c r="H91" s="423">
        <f t="shared" si="21"/>
        <v>75</v>
      </c>
      <c r="I91" s="423"/>
      <c r="J91" s="423">
        <f t="shared" si="22"/>
        <v>76</v>
      </c>
      <c r="K91" s="423"/>
      <c r="L91" s="116">
        <f t="shared" si="24"/>
        <v>59</v>
      </c>
      <c r="M91" s="123">
        <f t="shared" si="23"/>
        <v>5</v>
      </c>
      <c r="N91" s="510" t="s">
        <v>263</v>
      </c>
      <c r="O91" s="510"/>
      <c r="P91" s="510"/>
      <c r="Q91" s="511" t="s">
        <v>264</v>
      </c>
      <c r="R91" s="512"/>
      <c r="S91" s="512"/>
      <c r="T91" s="513" t="s">
        <v>264</v>
      </c>
      <c r="U91" s="514"/>
      <c r="V91" s="514"/>
      <c r="W91" s="482">
        <f t="shared" si="20"/>
        <v>2.2400000000000002</v>
      </c>
      <c r="X91" s="449"/>
      <c r="Y91" s="115" t="s">
        <v>14</v>
      </c>
      <c r="Z91" s="445" t="s">
        <v>262</v>
      </c>
      <c r="AA91" s="446"/>
      <c r="AB91" s="442"/>
      <c r="AC91" s="442"/>
      <c r="AD91" s="442"/>
      <c r="AE91" s="442"/>
    </row>
    <row r="92" spans="4:31" ht="16.5" customHeight="1" x14ac:dyDescent="0.15">
      <c r="D92" s="536"/>
      <c r="E92" s="537"/>
      <c r="F92" s="423">
        <f t="shared" si="14"/>
        <v>77</v>
      </c>
      <c r="G92" s="423"/>
      <c r="H92" s="423">
        <f t="shared" si="21"/>
        <v>76</v>
      </c>
      <c r="I92" s="423"/>
      <c r="J92" s="423">
        <f t="shared" si="22"/>
        <v>77</v>
      </c>
      <c r="K92" s="423"/>
      <c r="L92" s="116">
        <f t="shared" si="24"/>
        <v>60</v>
      </c>
      <c r="M92" s="123">
        <f t="shared" si="23"/>
        <v>5</v>
      </c>
      <c r="N92" s="510" t="s">
        <v>263</v>
      </c>
      <c r="O92" s="510"/>
      <c r="P92" s="510"/>
      <c r="Q92" s="511" t="s">
        <v>264</v>
      </c>
      <c r="R92" s="512"/>
      <c r="S92" s="512"/>
      <c r="T92" s="513" t="s">
        <v>264</v>
      </c>
      <c r="U92" s="514"/>
      <c r="V92" s="514"/>
      <c r="W92" s="482">
        <f t="shared" si="20"/>
        <v>2.2400000000000002</v>
      </c>
      <c r="X92" s="449"/>
      <c r="Y92" s="115" t="s">
        <v>14</v>
      </c>
      <c r="Z92" s="445" t="s">
        <v>262</v>
      </c>
      <c r="AA92" s="446"/>
      <c r="AB92" s="442"/>
      <c r="AC92" s="442"/>
      <c r="AD92" s="442"/>
      <c r="AE92" s="442"/>
    </row>
    <row r="93" spans="4:31" ht="16.5" customHeight="1" x14ac:dyDescent="0.15">
      <c r="D93" s="536"/>
      <c r="E93" s="537"/>
      <c r="F93" s="423">
        <f t="shared" si="14"/>
        <v>78</v>
      </c>
      <c r="G93" s="423"/>
      <c r="H93" s="423">
        <f t="shared" si="21"/>
        <v>77</v>
      </c>
      <c r="I93" s="423"/>
      <c r="J93" s="423">
        <f t="shared" si="22"/>
        <v>78</v>
      </c>
      <c r="K93" s="423"/>
      <c r="L93" s="116">
        <f t="shared" si="24"/>
        <v>61</v>
      </c>
      <c r="M93" s="123">
        <f t="shared" si="23"/>
        <v>5</v>
      </c>
      <c r="N93" s="510" t="s">
        <v>263</v>
      </c>
      <c r="O93" s="510"/>
      <c r="P93" s="510"/>
      <c r="Q93" s="511" t="s">
        <v>264</v>
      </c>
      <c r="R93" s="512"/>
      <c r="S93" s="512"/>
      <c r="T93" s="513" t="s">
        <v>264</v>
      </c>
      <c r="U93" s="514"/>
      <c r="V93" s="514"/>
      <c r="W93" s="482">
        <f t="shared" si="20"/>
        <v>2.2400000000000002</v>
      </c>
      <c r="X93" s="449"/>
      <c r="Y93" s="115" t="s">
        <v>14</v>
      </c>
      <c r="Z93" s="445" t="s">
        <v>262</v>
      </c>
      <c r="AA93" s="446"/>
      <c r="AB93" s="442"/>
      <c r="AC93" s="442"/>
      <c r="AD93" s="442"/>
      <c r="AE93" s="442"/>
    </row>
    <row r="94" spans="4:31" ht="16.5" customHeight="1" x14ac:dyDescent="0.15">
      <c r="D94" s="536"/>
      <c r="E94" s="537"/>
      <c r="F94" s="423">
        <f t="shared" si="14"/>
        <v>79</v>
      </c>
      <c r="G94" s="423"/>
      <c r="H94" s="423">
        <f t="shared" si="21"/>
        <v>78</v>
      </c>
      <c r="I94" s="423"/>
      <c r="J94" s="423">
        <f t="shared" si="22"/>
        <v>79</v>
      </c>
      <c r="K94" s="423"/>
      <c r="L94" s="116">
        <f t="shared" si="24"/>
        <v>62</v>
      </c>
      <c r="M94" s="123">
        <f t="shared" si="23"/>
        <v>5</v>
      </c>
      <c r="N94" s="510" t="s">
        <v>263</v>
      </c>
      <c r="O94" s="510"/>
      <c r="P94" s="510"/>
      <c r="Q94" s="511" t="s">
        <v>264</v>
      </c>
      <c r="R94" s="512"/>
      <c r="S94" s="512"/>
      <c r="T94" s="513" t="s">
        <v>264</v>
      </c>
      <c r="U94" s="514"/>
      <c r="V94" s="514"/>
      <c r="W94" s="482">
        <f t="shared" si="20"/>
        <v>2.2400000000000002</v>
      </c>
      <c r="X94" s="449"/>
      <c r="Y94" s="115" t="s">
        <v>14</v>
      </c>
      <c r="Z94" s="445" t="s">
        <v>262</v>
      </c>
      <c r="AA94" s="446"/>
      <c r="AB94" s="442"/>
      <c r="AC94" s="442"/>
      <c r="AD94" s="442"/>
      <c r="AE94" s="442"/>
    </row>
    <row r="95" spans="4:31" ht="16.5" customHeight="1" x14ac:dyDescent="0.15">
      <c r="D95" s="536"/>
      <c r="E95" s="537"/>
      <c r="F95" s="423">
        <f t="shared" si="14"/>
        <v>80</v>
      </c>
      <c r="G95" s="423"/>
      <c r="H95" s="423">
        <f t="shared" si="21"/>
        <v>79</v>
      </c>
      <c r="I95" s="423"/>
      <c r="J95" s="423">
        <f t="shared" si="22"/>
        <v>80</v>
      </c>
      <c r="K95" s="423"/>
      <c r="L95" s="116">
        <f t="shared" si="24"/>
        <v>63</v>
      </c>
      <c r="M95" s="123">
        <f t="shared" si="23"/>
        <v>5</v>
      </c>
      <c r="N95" s="510" t="s">
        <v>263</v>
      </c>
      <c r="O95" s="510"/>
      <c r="P95" s="510"/>
      <c r="Q95" s="511" t="s">
        <v>264</v>
      </c>
      <c r="R95" s="512"/>
      <c r="S95" s="512"/>
      <c r="T95" s="513" t="s">
        <v>264</v>
      </c>
      <c r="U95" s="514"/>
      <c r="V95" s="514"/>
      <c r="W95" s="482">
        <f t="shared" si="20"/>
        <v>2.2400000000000002</v>
      </c>
      <c r="X95" s="449"/>
      <c r="Y95" s="115" t="s">
        <v>14</v>
      </c>
      <c r="Z95" s="445" t="s">
        <v>262</v>
      </c>
      <c r="AA95" s="446"/>
      <c r="AB95" s="442"/>
      <c r="AC95" s="442"/>
      <c r="AD95" s="442"/>
      <c r="AE95" s="442"/>
    </row>
    <row r="96" spans="4:31" ht="16.5" customHeight="1" x14ac:dyDescent="0.15">
      <c r="D96" s="536"/>
      <c r="E96" s="537"/>
      <c r="F96" s="423">
        <f t="shared" si="14"/>
        <v>81</v>
      </c>
      <c r="G96" s="423"/>
      <c r="H96" s="423">
        <f t="shared" si="21"/>
        <v>80</v>
      </c>
      <c r="I96" s="423"/>
      <c r="J96" s="423">
        <f t="shared" si="22"/>
        <v>81</v>
      </c>
      <c r="K96" s="423"/>
      <c r="L96" s="116">
        <f t="shared" si="24"/>
        <v>64</v>
      </c>
      <c r="M96" s="123">
        <f t="shared" si="23"/>
        <v>6</v>
      </c>
      <c r="N96" s="510" t="s">
        <v>263</v>
      </c>
      <c r="O96" s="510"/>
      <c r="P96" s="510"/>
      <c r="Q96" s="511" t="s">
        <v>264</v>
      </c>
      <c r="R96" s="512"/>
      <c r="S96" s="512"/>
      <c r="T96" s="513" t="s">
        <v>264</v>
      </c>
      <c r="U96" s="514"/>
      <c r="V96" s="514"/>
      <c r="W96" s="482">
        <f t="shared" si="20"/>
        <v>2.2400000000000002</v>
      </c>
      <c r="X96" s="449"/>
      <c r="Y96" s="115" t="s">
        <v>14</v>
      </c>
      <c r="Z96" s="445" t="s">
        <v>262</v>
      </c>
      <c r="AA96" s="446"/>
      <c r="AB96" s="442"/>
      <c r="AC96" s="442"/>
      <c r="AD96" s="442"/>
      <c r="AE96" s="442"/>
    </row>
    <row r="97" spans="4:31" ht="16.5" customHeight="1" x14ac:dyDescent="0.15">
      <c r="D97" s="536"/>
      <c r="E97" s="537"/>
      <c r="F97" s="423">
        <f t="shared" si="14"/>
        <v>82</v>
      </c>
      <c r="G97" s="423"/>
      <c r="H97" s="423">
        <f t="shared" si="21"/>
        <v>81</v>
      </c>
      <c r="I97" s="423"/>
      <c r="J97" s="423">
        <f t="shared" si="22"/>
        <v>82</v>
      </c>
      <c r="K97" s="423"/>
      <c r="L97" s="116">
        <f t="shared" si="24"/>
        <v>65</v>
      </c>
      <c r="M97" s="123">
        <f t="shared" si="23"/>
        <v>6</v>
      </c>
      <c r="N97" s="510" t="s">
        <v>263</v>
      </c>
      <c r="O97" s="510"/>
      <c r="P97" s="510"/>
      <c r="Q97" s="511" t="s">
        <v>264</v>
      </c>
      <c r="R97" s="512"/>
      <c r="S97" s="512"/>
      <c r="T97" s="513" t="s">
        <v>264</v>
      </c>
      <c r="U97" s="514"/>
      <c r="V97" s="514"/>
      <c r="W97" s="482">
        <f t="shared" si="20"/>
        <v>2.2400000000000002</v>
      </c>
      <c r="X97" s="449"/>
      <c r="Y97" s="115" t="s">
        <v>14</v>
      </c>
      <c r="Z97" s="445" t="s">
        <v>262</v>
      </c>
      <c r="AA97" s="446"/>
      <c r="AB97" s="442"/>
      <c r="AC97" s="442"/>
      <c r="AD97" s="442"/>
      <c r="AE97" s="442"/>
    </row>
    <row r="98" spans="4:31" ht="16.5" customHeight="1" x14ac:dyDescent="0.15">
      <c r="D98" s="536"/>
      <c r="E98" s="537"/>
      <c r="F98" s="423">
        <f t="shared" si="14"/>
        <v>83</v>
      </c>
      <c r="G98" s="423"/>
      <c r="H98" s="423">
        <f t="shared" si="21"/>
        <v>82</v>
      </c>
      <c r="I98" s="423"/>
      <c r="J98" s="423">
        <f t="shared" si="22"/>
        <v>83</v>
      </c>
      <c r="K98" s="423"/>
      <c r="L98" s="116">
        <f t="shared" si="24"/>
        <v>66</v>
      </c>
      <c r="M98" s="123">
        <f t="shared" si="23"/>
        <v>6</v>
      </c>
      <c r="N98" s="510" t="s">
        <v>263</v>
      </c>
      <c r="O98" s="510"/>
      <c r="P98" s="510"/>
      <c r="Q98" s="511" t="s">
        <v>264</v>
      </c>
      <c r="R98" s="512"/>
      <c r="S98" s="512"/>
      <c r="T98" s="513" t="s">
        <v>264</v>
      </c>
      <c r="U98" s="514"/>
      <c r="V98" s="514"/>
      <c r="W98" s="482">
        <f t="shared" si="20"/>
        <v>2.2400000000000002</v>
      </c>
      <c r="X98" s="449"/>
      <c r="Y98" s="115" t="s">
        <v>14</v>
      </c>
      <c r="Z98" s="445" t="s">
        <v>262</v>
      </c>
      <c r="AA98" s="446"/>
      <c r="AB98" s="442"/>
      <c r="AC98" s="442"/>
      <c r="AD98" s="442"/>
      <c r="AE98" s="442"/>
    </row>
    <row r="99" spans="4:31" ht="16.5" customHeight="1" x14ac:dyDescent="0.15">
      <c r="D99" s="536"/>
      <c r="E99" s="537"/>
      <c r="F99" s="423">
        <f t="shared" si="14"/>
        <v>84</v>
      </c>
      <c r="G99" s="423"/>
      <c r="H99" s="423">
        <f t="shared" si="21"/>
        <v>83</v>
      </c>
      <c r="I99" s="423"/>
      <c r="J99" s="423">
        <f t="shared" si="22"/>
        <v>84</v>
      </c>
      <c r="K99" s="423"/>
      <c r="L99" s="116">
        <f t="shared" si="24"/>
        <v>67</v>
      </c>
      <c r="M99" s="123">
        <f t="shared" si="23"/>
        <v>6</v>
      </c>
      <c r="N99" s="510" t="s">
        <v>263</v>
      </c>
      <c r="O99" s="510"/>
      <c r="P99" s="510"/>
      <c r="Q99" s="511" t="s">
        <v>264</v>
      </c>
      <c r="R99" s="512"/>
      <c r="S99" s="512"/>
      <c r="T99" s="513" t="s">
        <v>264</v>
      </c>
      <c r="U99" s="514"/>
      <c r="V99" s="514"/>
      <c r="W99" s="482">
        <f t="shared" si="20"/>
        <v>2.2400000000000002</v>
      </c>
      <c r="X99" s="449"/>
      <c r="Y99" s="115" t="s">
        <v>14</v>
      </c>
      <c r="Z99" s="445" t="s">
        <v>262</v>
      </c>
      <c r="AA99" s="446"/>
      <c r="AB99" s="442"/>
      <c r="AC99" s="442"/>
      <c r="AD99" s="442"/>
      <c r="AE99" s="442"/>
    </row>
    <row r="100" spans="4:31" ht="16.5" customHeight="1" x14ac:dyDescent="0.15">
      <c r="D100" s="536"/>
      <c r="E100" s="537"/>
      <c r="F100" s="423">
        <f t="shared" si="14"/>
        <v>85</v>
      </c>
      <c r="G100" s="423"/>
      <c r="H100" s="423">
        <f t="shared" si="21"/>
        <v>84</v>
      </c>
      <c r="I100" s="423"/>
      <c r="J100" s="423">
        <f t="shared" si="22"/>
        <v>85</v>
      </c>
      <c r="K100" s="423"/>
      <c r="L100" s="116">
        <f t="shared" si="24"/>
        <v>68</v>
      </c>
      <c r="M100" s="123">
        <f t="shared" si="23"/>
        <v>6</v>
      </c>
      <c r="N100" s="510" t="s">
        <v>263</v>
      </c>
      <c r="O100" s="510"/>
      <c r="P100" s="510"/>
      <c r="Q100" s="511" t="s">
        <v>264</v>
      </c>
      <c r="R100" s="512"/>
      <c r="S100" s="512"/>
      <c r="T100" s="513" t="s">
        <v>264</v>
      </c>
      <c r="U100" s="514"/>
      <c r="V100" s="514"/>
      <c r="W100" s="482">
        <f t="shared" si="20"/>
        <v>2.2400000000000002</v>
      </c>
      <c r="X100" s="449"/>
      <c r="Y100" s="115" t="s">
        <v>14</v>
      </c>
      <c r="Z100" s="445" t="s">
        <v>262</v>
      </c>
      <c r="AA100" s="446"/>
      <c r="AB100" s="442"/>
      <c r="AC100" s="442"/>
      <c r="AD100" s="442"/>
      <c r="AE100" s="442"/>
    </row>
    <row r="101" spans="4:31" ht="16.5" customHeight="1" x14ac:dyDescent="0.15">
      <c r="D101" s="536"/>
      <c r="E101" s="537"/>
      <c r="F101" s="423">
        <f t="shared" si="14"/>
        <v>86</v>
      </c>
      <c r="G101" s="423"/>
      <c r="H101" s="423">
        <f t="shared" si="21"/>
        <v>85</v>
      </c>
      <c r="I101" s="423"/>
      <c r="J101" s="423">
        <f t="shared" si="22"/>
        <v>86</v>
      </c>
      <c r="K101" s="423"/>
      <c r="L101" s="116">
        <f>+L100+1</f>
        <v>69</v>
      </c>
      <c r="M101" s="123">
        <f t="shared" si="23"/>
        <v>6</v>
      </c>
      <c r="N101" s="510" t="s">
        <v>263</v>
      </c>
      <c r="O101" s="510"/>
      <c r="P101" s="510"/>
      <c r="Q101" s="511" t="s">
        <v>264</v>
      </c>
      <c r="R101" s="512"/>
      <c r="S101" s="512"/>
      <c r="T101" s="513" t="s">
        <v>264</v>
      </c>
      <c r="U101" s="514"/>
      <c r="V101" s="514"/>
      <c r="W101" s="482">
        <f t="shared" si="20"/>
        <v>2.2400000000000002</v>
      </c>
      <c r="X101" s="449"/>
      <c r="Y101" s="115" t="s">
        <v>14</v>
      </c>
      <c r="Z101" s="445" t="s">
        <v>262</v>
      </c>
      <c r="AA101" s="446"/>
      <c r="AB101" s="442"/>
      <c r="AC101" s="442"/>
      <c r="AD101" s="442"/>
      <c r="AE101" s="442"/>
    </row>
    <row r="102" spans="4:31" ht="16.5" customHeight="1" x14ac:dyDescent="0.15">
      <c r="D102" s="536"/>
      <c r="E102" s="537"/>
      <c r="F102" s="423">
        <f t="shared" si="14"/>
        <v>87</v>
      </c>
      <c r="G102" s="423"/>
      <c r="H102" s="423">
        <f t="shared" si="21"/>
        <v>86</v>
      </c>
      <c r="I102" s="423"/>
      <c r="J102" s="423">
        <f t="shared" si="22"/>
        <v>87</v>
      </c>
      <c r="K102" s="423"/>
      <c r="L102" s="116">
        <f t="shared" ref="L102:L106" si="25">+L101+1</f>
        <v>70</v>
      </c>
      <c r="M102" s="123">
        <f t="shared" si="23"/>
        <v>6</v>
      </c>
      <c r="N102" s="510" t="s">
        <v>263</v>
      </c>
      <c r="O102" s="510"/>
      <c r="P102" s="510"/>
      <c r="Q102" s="511" t="s">
        <v>264</v>
      </c>
      <c r="R102" s="512"/>
      <c r="S102" s="512"/>
      <c r="T102" s="513" t="s">
        <v>264</v>
      </c>
      <c r="U102" s="514"/>
      <c r="V102" s="514"/>
      <c r="W102" s="482">
        <f t="shared" si="20"/>
        <v>2.2400000000000002</v>
      </c>
      <c r="X102" s="449"/>
      <c r="Y102" s="115" t="s">
        <v>14</v>
      </c>
      <c r="Z102" s="445" t="s">
        <v>262</v>
      </c>
      <c r="AA102" s="446"/>
      <c r="AB102" s="442"/>
      <c r="AC102" s="442"/>
      <c r="AD102" s="442"/>
      <c r="AE102" s="442"/>
    </row>
    <row r="103" spans="4:31" ht="16.5" customHeight="1" x14ac:dyDescent="0.15">
      <c r="D103" s="536"/>
      <c r="E103" s="537"/>
      <c r="F103" s="423">
        <f t="shared" si="14"/>
        <v>88</v>
      </c>
      <c r="G103" s="423"/>
      <c r="H103" s="423">
        <f t="shared" si="21"/>
        <v>87</v>
      </c>
      <c r="I103" s="423"/>
      <c r="J103" s="423">
        <f t="shared" si="22"/>
        <v>88</v>
      </c>
      <c r="K103" s="423"/>
      <c r="L103" s="116">
        <f t="shared" si="25"/>
        <v>71</v>
      </c>
      <c r="M103" s="123">
        <f t="shared" si="23"/>
        <v>6</v>
      </c>
      <c r="N103" s="510" t="s">
        <v>263</v>
      </c>
      <c r="O103" s="510"/>
      <c r="P103" s="510"/>
      <c r="Q103" s="511" t="s">
        <v>264</v>
      </c>
      <c r="R103" s="512"/>
      <c r="S103" s="512"/>
      <c r="T103" s="513" t="s">
        <v>264</v>
      </c>
      <c r="U103" s="514"/>
      <c r="V103" s="514"/>
      <c r="W103" s="482">
        <f t="shared" si="20"/>
        <v>2.2400000000000002</v>
      </c>
      <c r="X103" s="449"/>
      <c r="Y103" s="115" t="s">
        <v>14</v>
      </c>
      <c r="Z103" s="445" t="s">
        <v>262</v>
      </c>
      <c r="AA103" s="446"/>
      <c r="AB103" s="442"/>
      <c r="AC103" s="442"/>
      <c r="AD103" s="442"/>
      <c r="AE103" s="442"/>
    </row>
    <row r="104" spans="4:31" ht="16.5" customHeight="1" x14ac:dyDescent="0.15">
      <c r="D104" s="536"/>
      <c r="E104" s="537"/>
      <c r="F104" s="423">
        <f t="shared" si="14"/>
        <v>89</v>
      </c>
      <c r="G104" s="423"/>
      <c r="H104" s="423">
        <f t="shared" si="21"/>
        <v>88</v>
      </c>
      <c r="I104" s="423"/>
      <c r="J104" s="423">
        <f t="shared" si="22"/>
        <v>89</v>
      </c>
      <c r="K104" s="423"/>
      <c r="L104" s="116">
        <f t="shared" si="25"/>
        <v>72</v>
      </c>
      <c r="M104" s="123">
        <f t="shared" si="23"/>
        <v>6</v>
      </c>
      <c r="N104" s="510" t="s">
        <v>263</v>
      </c>
      <c r="O104" s="510"/>
      <c r="P104" s="510"/>
      <c r="Q104" s="511" t="s">
        <v>264</v>
      </c>
      <c r="R104" s="512"/>
      <c r="S104" s="512"/>
      <c r="T104" s="513" t="s">
        <v>264</v>
      </c>
      <c r="U104" s="514"/>
      <c r="V104" s="514"/>
      <c r="W104" s="482">
        <f t="shared" si="20"/>
        <v>2.2400000000000002</v>
      </c>
      <c r="X104" s="449"/>
      <c r="Y104" s="115" t="s">
        <v>14</v>
      </c>
      <c r="Z104" s="445" t="s">
        <v>262</v>
      </c>
      <c r="AA104" s="446"/>
      <c r="AB104" s="442"/>
      <c r="AC104" s="442"/>
      <c r="AD104" s="442"/>
      <c r="AE104" s="442"/>
    </row>
    <row r="105" spans="4:31" ht="16.5" customHeight="1" x14ac:dyDescent="0.15">
      <c r="D105" s="536"/>
      <c r="E105" s="537"/>
      <c r="F105" s="423">
        <f t="shared" si="14"/>
        <v>90</v>
      </c>
      <c r="G105" s="423"/>
      <c r="H105" s="423">
        <f t="shared" si="21"/>
        <v>89</v>
      </c>
      <c r="I105" s="423"/>
      <c r="J105" s="423">
        <f t="shared" si="22"/>
        <v>90</v>
      </c>
      <c r="K105" s="423"/>
      <c r="L105" s="116">
        <f t="shared" si="25"/>
        <v>73</v>
      </c>
      <c r="M105" s="123">
        <f t="shared" si="23"/>
        <v>6</v>
      </c>
      <c r="N105" s="510" t="s">
        <v>263</v>
      </c>
      <c r="O105" s="510"/>
      <c r="P105" s="510"/>
      <c r="Q105" s="511" t="s">
        <v>264</v>
      </c>
      <c r="R105" s="512"/>
      <c r="S105" s="512"/>
      <c r="T105" s="513" t="s">
        <v>264</v>
      </c>
      <c r="U105" s="514"/>
      <c r="V105" s="514"/>
      <c r="W105" s="482">
        <f t="shared" si="20"/>
        <v>2.2400000000000002</v>
      </c>
      <c r="X105" s="449"/>
      <c r="Y105" s="115" t="s">
        <v>14</v>
      </c>
      <c r="Z105" s="445" t="s">
        <v>262</v>
      </c>
      <c r="AA105" s="446"/>
      <c r="AB105" s="442"/>
      <c r="AC105" s="442"/>
      <c r="AD105" s="442"/>
      <c r="AE105" s="442"/>
    </row>
    <row r="106" spans="4:31" ht="16.5" customHeight="1" x14ac:dyDescent="0.15">
      <c r="D106" s="538"/>
      <c r="E106" s="539"/>
      <c r="F106" s="423">
        <f t="shared" si="14"/>
        <v>91</v>
      </c>
      <c r="G106" s="423"/>
      <c r="H106" s="423">
        <f t="shared" si="21"/>
        <v>90</v>
      </c>
      <c r="I106" s="423"/>
      <c r="J106" s="423">
        <f t="shared" si="22"/>
        <v>91</v>
      </c>
      <c r="K106" s="423"/>
      <c r="L106" s="116">
        <f t="shared" si="25"/>
        <v>74</v>
      </c>
      <c r="M106" s="123">
        <f t="shared" si="23"/>
        <v>6</v>
      </c>
      <c r="N106" s="510" t="s">
        <v>263</v>
      </c>
      <c r="O106" s="510"/>
      <c r="P106" s="510"/>
      <c r="Q106" s="511" t="s">
        <v>264</v>
      </c>
      <c r="R106" s="512"/>
      <c r="S106" s="512"/>
      <c r="T106" s="513" t="s">
        <v>264</v>
      </c>
      <c r="U106" s="514"/>
      <c r="V106" s="514"/>
      <c r="W106" s="482">
        <f t="shared" si="20"/>
        <v>2.2400000000000002</v>
      </c>
      <c r="X106" s="449"/>
      <c r="Y106" s="113" t="s">
        <v>14</v>
      </c>
      <c r="Z106" s="480" t="s">
        <v>262</v>
      </c>
      <c r="AA106" s="479"/>
      <c r="AB106" s="442"/>
      <c r="AC106" s="442"/>
      <c r="AD106" s="442"/>
      <c r="AE106" s="442"/>
    </row>
    <row r="111" spans="4:31" ht="16.5" customHeight="1" x14ac:dyDescent="0.15">
      <c r="D111" s="385" t="s">
        <v>249</v>
      </c>
      <c r="E111" s="387"/>
      <c r="F111" s="109" t="s">
        <v>250</v>
      </c>
      <c r="G111" s="109"/>
      <c r="H111" s="109"/>
      <c r="I111" s="109"/>
      <c r="J111" s="109"/>
      <c r="K111" s="109"/>
      <c r="L111" s="422" t="s">
        <v>251</v>
      </c>
      <c r="M111" s="422" t="s">
        <v>252</v>
      </c>
      <c r="N111" s="422" t="s">
        <v>253</v>
      </c>
      <c r="O111" s="422"/>
      <c r="P111" s="423"/>
      <c r="Q111" s="422" t="s">
        <v>254</v>
      </c>
      <c r="R111" s="423"/>
      <c r="S111" s="423"/>
      <c r="T111" s="422" t="s">
        <v>255</v>
      </c>
      <c r="U111" s="422"/>
      <c r="V111" s="422"/>
      <c r="W111" s="422" t="s">
        <v>273</v>
      </c>
      <c r="X111" s="423"/>
      <c r="Y111" s="423"/>
      <c r="Z111" s="423"/>
      <c r="AA111" s="423"/>
      <c r="AB111" s="423" t="s">
        <v>256</v>
      </c>
      <c r="AC111" s="423"/>
      <c r="AD111" s="423"/>
      <c r="AE111" s="423"/>
    </row>
    <row r="112" spans="4:31" ht="16.5" customHeight="1" x14ac:dyDescent="0.15">
      <c r="D112" s="388"/>
      <c r="E112" s="389"/>
      <c r="F112" s="422" t="s">
        <v>257</v>
      </c>
      <c r="G112" s="423"/>
      <c r="H112" s="109" t="s">
        <v>258</v>
      </c>
      <c r="I112" s="109"/>
      <c r="J112" s="109"/>
      <c r="K112" s="109"/>
      <c r="L112" s="423"/>
      <c r="M112" s="423"/>
      <c r="N112" s="423"/>
      <c r="O112" s="423"/>
      <c r="P112" s="423"/>
      <c r="Q112" s="423"/>
      <c r="R112" s="423"/>
      <c r="S112" s="423"/>
      <c r="T112" s="422"/>
      <c r="U112" s="422"/>
      <c r="V112" s="422"/>
      <c r="W112" s="423"/>
      <c r="X112" s="423"/>
      <c r="Y112" s="423"/>
      <c r="Z112" s="423"/>
      <c r="AA112" s="423"/>
      <c r="AB112" s="423"/>
      <c r="AC112" s="423"/>
      <c r="AD112" s="423"/>
      <c r="AE112" s="423"/>
    </row>
    <row r="113" spans="4:31" ht="16.5" customHeight="1" thickBot="1" x14ac:dyDescent="0.2">
      <c r="D113" s="420"/>
      <c r="E113" s="421"/>
      <c r="F113" s="424"/>
      <c r="G113" s="424"/>
      <c r="H113" s="110" t="s">
        <v>259</v>
      </c>
      <c r="I113" s="110"/>
      <c r="J113" s="110" t="s">
        <v>260</v>
      </c>
      <c r="K113" s="110"/>
      <c r="L113" s="424"/>
      <c r="M113" s="424"/>
      <c r="N113" s="424"/>
      <c r="O113" s="424"/>
      <c r="P113" s="424"/>
      <c r="Q113" s="424"/>
      <c r="R113" s="424"/>
      <c r="S113" s="424"/>
      <c r="T113" s="425"/>
      <c r="U113" s="425"/>
      <c r="V113" s="425"/>
      <c r="W113" s="424"/>
      <c r="X113" s="424"/>
      <c r="Y113" s="424"/>
      <c r="Z113" s="424"/>
      <c r="AA113" s="424"/>
      <c r="AB113" s="424"/>
      <c r="AC113" s="424"/>
      <c r="AD113" s="424"/>
      <c r="AE113" s="424"/>
    </row>
    <row r="114" spans="4:31" ht="16.5" customHeight="1" thickTop="1" x14ac:dyDescent="0.15">
      <c r="D114" s="527" t="s">
        <v>282</v>
      </c>
      <c r="E114" s="527"/>
      <c r="F114" s="470">
        <f>+F106+1</f>
        <v>92</v>
      </c>
      <c r="G114" s="470"/>
      <c r="H114" s="437">
        <v>92</v>
      </c>
      <c r="I114" s="437"/>
      <c r="J114" s="438">
        <v>95</v>
      </c>
      <c r="K114" s="438"/>
      <c r="L114" s="134"/>
      <c r="M114" s="121"/>
      <c r="N114" s="491" t="s">
        <v>261</v>
      </c>
      <c r="O114" s="492"/>
      <c r="P114" s="493"/>
      <c r="Q114" s="494">
        <v>1000</v>
      </c>
      <c r="R114" s="495"/>
      <c r="S114" s="496"/>
      <c r="T114" s="497">
        <v>1000</v>
      </c>
      <c r="U114" s="498"/>
      <c r="V114" s="499"/>
      <c r="W114" s="500">
        <f>+W17</f>
        <v>2.35</v>
      </c>
      <c r="X114" s="429"/>
      <c r="Y114" s="122" t="s">
        <v>14</v>
      </c>
      <c r="Z114" s="428" t="s">
        <v>262</v>
      </c>
      <c r="AA114" s="453"/>
      <c r="AB114" s="430"/>
      <c r="AC114" s="430"/>
      <c r="AD114" s="430"/>
      <c r="AE114" s="430"/>
    </row>
    <row r="115" spans="4:31" ht="16.5" customHeight="1" x14ac:dyDescent="0.15">
      <c r="D115" s="528"/>
      <c r="E115" s="528"/>
      <c r="F115" s="423">
        <f t="shared" ref="F115:F143" si="26">+F114+1</f>
        <v>93</v>
      </c>
      <c r="G115" s="423"/>
      <c r="H115" s="431">
        <v>93</v>
      </c>
      <c r="I115" s="431"/>
      <c r="J115" s="431">
        <v>94</v>
      </c>
      <c r="K115" s="431"/>
      <c r="L115" s="116"/>
      <c r="M115" s="114"/>
      <c r="N115" s="334" t="s">
        <v>261</v>
      </c>
      <c r="O115" s="327"/>
      <c r="P115" s="328"/>
      <c r="Q115" s="485">
        <v>1000</v>
      </c>
      <c r="R115" s="486"/>
      <c r="S115" s="487"/>
      <c r="T115" s="488">
        <v>1000</v>
      </c>
      <c r="U115" s="489"/>
      <c r="V115" s="490"/>
      <c r="W115" s="482">
        <f t="shared" ref="W115:W118" si="27">+W18</f>
        <v>2.35</v>
      </c>
      <c r="X115" s="449"/>
      <c r="Y115" s="115" t="s">
        <v>14</v>
      </c>
      <c r="Z115" s="445" t="s">
        <v>262</v>
      </c>
      <c r="AA115" s="446"/>
      <c r="AB115" s="442"/>
      <c r="AC115" s="442"/>
      <c r="AD115" s="442"/>
      <c r="AE115" s="442"/>
    </row>
    <row r="116" spans="4:31" ht="16.5" customHeight="1" x14ac:dyDescent="0.15">
      <c r="D116" s="528"/>
      <c r="E116" s="528"/>
      <c r="F116" s="423">
        <f t="shared" si="26"/>
        <v>94</v>
      </c>
      <c r="G116" s="423"/>
      <c r="H116" s="450">
        <v>94</v>
      </c>
      <c r="I116" s="450"/>
      <c r="J116" s="431">
        <v>95</v>
      </c>
      <c r="K116" s="431"/>
      <c r="L116" s="116"/>
      <c r="M116" s="114"/>
      <c r="N116" s="334" t="s">
        <v>261</v>
      </c>
      <c r="O116" s="327"/>
      <c r="P116" s="328"/>
      <c r="Q116" s="485">
        <v>1000</v>
      </c>
      <c r="R116" s="486"/>
      <c r="S116" s="487"/>
      <c r="T116" s="488">
        <v>1000</v>
      </c>
      <c r="U116" s="489"/>
      <c r="V116" s="490"/>
      <c r="W116" s="482">
        <f t="shared" si="27"/>
        <v>2.35</v>
      </c>
      <c r="X116" s="449"/>
      <c r="Y116" s="115" t="s">
        <v>14</v>
      </c>
      <c r="Z116" s="445" t="s">
        <v>262</v>
      </c>
      <c r="AA116" s="446"/>
      <c r="AB116" s="442"/>
      <c r="AC116" s="442"/>
      <c r="AD116" s="442"/>
      <c r="AE116" s="442"/>
    </row>
    <row r="117" spans="4:31" ht="16.5" customHeight="1" x14ac:dyDescent="0.15">
      <c r="D117" s="528"/>
      <c r="E117" s="528"/>
      <c r="F117" s="423">
        <f t="shared" si="26"/>
        <v>95</v>
      </c>
      <c r="G117" s="423"/>
      <c r="H117" s="431">
        <v>95</v>
      </c>
      <c r="I117" s="431"/>
      <c r="J117" s="431">
        <v>96</v>
      </c>
      <c r="K117" s="431"/>
      <c r="L117" s="116"/>
      <c r="M117" s="114"/>
      <c r="N117" s="334" t="s">
        <v>261</v>
      </c>
      <c r="O117" s="327"/>
      <c r="P117" s="328"/>
      <c r="Q117" s="485">
        <v>1000</v>
      </c>
      <c r="R117" s="486"/>
      <c r="S117" s="487"/>
      <c r="T117" s="488">
        <v>1000</v>
      </c>
      <c r="U117" s="489"/>
      <c r="V117" s="490"/>
      <c r="W117" s="482">
        <f t="shared" si="27"/>
        <v>2.35</v>
      </c>
      <c r="X117" s="449"/>
      <c r="Y117" s="115" t="s">
        <v>14</v>
      </c>
      <c r="Z117" s="445" t="s">
        <v>262</v>
      </c>
      <c r="AA117" s="446"/>
      <c r="AB117" s="442"/>
      <c r="AC117" s="442"/>
      <c r="AD117" s="442"/>
      <c r="AE117" s="442"/>
    </row>
    <row r="118" spans="4:31" ht="16.5" customHeight="1" thickBot="1" x14ac:dyDescent="0.2">
      <c r="D118" s="529"/>
      <c r="E118" s="529"/>
      <c r="F118" s="424">
        <f t="shared" si="26"/>
        <v>96</v>
      </c>
      <c r="G118" s="424"/>
      <c r="H118" s="473">
        <v>96</v>
      </c>
      <c r="I118" s="473"/>
      <c r="J118" s="452">
        <v>97</v>
      </c>
      <c r="K118" s="452"/>
      <c r="L118" s="117"/>
      <c r="M118" s="118"/>
      <c r="N118" s="474" t="s">
        <v>261</v>
      </c>
      <c r="O118" s="475"/>
      <c r="P118" s="501"/>
      <c r="Q118" s="502">
        <v>1000</v>
      </c>
      <c r="R118" s="503"/>
      <c r="S118" s="504"/>
      <c r="T118" s="505">
        <v>1000</v>
      </c>
      <c r="U118" s="506"/>
      <c r="V118" s="507"/>
      <c r="W118" s="508">
        <f t="shared" si="27"/>
        <v>2.35</v>
      </c>
      <c r="X118" s="509"/>
      <c r="Y118" s="119" t="s">
        <v>14</v>
      </c>
      <c r="Z118" s="465" t="s">
        <v>262</v>
      </c>
      <c r="AA118" s="466"/>
      <c r="AB118" s="451"/>
      <c r="AC118" s="451"/>
      <c r="AD118" s="451"/>
      <c r="AE118" s="451"/>
    </row>
    <row r="119" spans="4:31" ht="16.5" customHeight="1" thickTop="1" x14ac:dyDescent="0.15">
      <c r="D119" s="536" t="s">
        <v>283</v>
      </c>
      <c r="E119" s="537"/>
      <c r="F119" s="483">
        <f t="shared" si="26"/>
        <v>97</v>
      </c>
      <c r="G119" s="483"/>
      <c r="H119" s="519">
        <v>94</v>
      </c>
      <c r="I119" s="519"/>
      <c r="J119" s="519">
        <v>98</v>
      </c>
      <c r="K119" s="519"/>
      <c r="L119" s="111"/>
      <c r="M119" s="112"/>
      <c r="N119" s="432" t="s">
        <v>261</v>
      </c>
      <c r="O119" s="432"/>
      <c r="P119" s="432"/>
      <c r="Q119" s="433">
        <v>1000</v>
      </c>
      <c r="R119" s="433"/>
      <c r="S119" s="433"/>
      <c r="T119" s="434">
        <v>1000</v>
      </c>
      <c r="U119" s="434"/>
      <c r="V119" s="434"/>
      <c r="W119" s="478">
        <f t="shared" ref="W119" si="28">+W118</f>
        <v>2.35</v>
      </c>
      <c r="X119" s="479"/>
      <c r="Y119" s="113" t="s">
        <v>14</v>
      </c>
      <c r="Z119" s="480" t="s">
        <v>262</v>
      </c>
      <c r="AA119" s="516"/>
      <c r="AB119" s="481"/>
      <c r="AC119" s="481"/>
      <c r="AD119" s="481"/>
      <c r="AE119" s="481"/>
    </row>
    <row r="120" spans="4:31" ht="16.5" customHeight="1" x14ac:dyDescent="0.15">
      <c r="D120" s="536"/>
      <c r="E120" s="537"/>
      <c r="F120" s="423">
        <f t="shared" si="26"/>
        <v>98</v>
      </c>
      <c r="G120" s="423"/>
      <c r="H120" s="423">
        <f>+J119</f>
        <v>98</v>
      </c>
      <c r="I120" s="423"/>
      <c r="J120" s="423">
        <f>+J119+1</f>
        <v>99</v>
      </c>
      <c r="K120" s="423"/>
      <c r="L120" s="116">
        <f>+L106+1</f>
        <v>75</v>
      </c>
      <c r="M120" s="137">
        <v>7</v>
      </c>
      <c r="N120" s="510" t="s">
        <v>263</v>
      </c>
      <c r="O120" s="510"/>
      <c r="P120" s="510"/>
      <c r="Q120" s="511" t="s">
        <v>264</v>
      </c>
      <c r="R120" s="512"/>
      <c r="S120" s="512"/>
      <c r="T120" s="513" t="s">
        <v>264</v>
      </c>
      <c r="U120" s="514"/>
      <c r="V120" s="514"/>
      <c r="W120" s="517">
        <v>2.2400000000000002</v>
      </c>
      <c r="X120" s="518"/>
      <c r="Y120" s="115" t="s">
        <v>14</v>
      </c>
      <c r="Z120" s="445" t="s">
        <v>262</v>
      </c>
      <c r="AA120" s="446"/>
      <c r="AB120" s="442" t="s">
        <v>265</v>
      </c>
      <c r="AC120" s="442"/>
      <c r="AD120" s="442"/>
      <c r="AE120" s="442"/>
    </row>
    <row r="121" spans="4:31" ht="16.5" customHeight="1" x14ac:dyDescent="0.15">
      <c r="D121" s="536"/>
      <c r="E121" s="537"/>
      <c r="F121" s="423">
        <f t="shared" si="26"/>
        <v>99</v>
      </c>
      <c r="G121" s="423"/>
      <c r="H121" s="423">
        <f t="shared" ref="H121:H143" si="29">+H120+1</f>
        <v>99</v>
      </c>
      <c r="I121" s="423"/>
      <c r="J121" s="423">
        <f t="shared" ref="J121:J143" si="30">+J120+1</f>
        <v>100</v>
      </c>
      <c r="K121" s="423"/>
      <c r="L121" s="116">
        <f>+L120+1</f>
        <v>76</v>
      </c>
      <c r="M121" s="123">
        <f>+M120</f>
        <v>7</v>
      </c>
      <c r="N121" s="510" t="s">
        <v>263</v>
      </c>
      <c r="O121" s="510"/>
      <c r="P121" s="510"/>
      <c r="Q121" s="511" t="s">
        <v>264</v>
      </c>
      <c r="R121" s="512"/>
      <c r="S121" s="512"/>
      <c r="T121" s="513" t="s">
        <v>264</v>
      </c>
      <c r="U121" s="514"/>
      <c r="V121" s="514"/>
      <c r="W121" s="482">
        <f t="shared" ref="W121:W143" si="31">W120</f>
        <v>2.2400000000000002</v>
      </c>
      <c r="X121" s="449"/>
      <c r="Y121" s="115" t="s">
        <v>14</v>
      </c>
      <c r="Z121" s="445" t="s">
        <v>262</v>
      </c>
      <c r="AA121" s="446"/>
      <c r="AB121" s="442"/>
      <c r="AC121" s="442"/>
      <c r="AD121" s="442"/>
      <c r="AE121" s="442"/>
    </row>
    <row r="122" spans="4:31" ht="16.5" customHeight="1" x14ac:dyDescent="0.15">
      <c r="D122" s="536"/>
      <c r="E122" s="537"/>
      <c r="F122" s="423">
        <f t="shared" si="26"/>
        <v>100</v>
      </c>
      <c r="G122" s="423"/>
      <c r="H122" s="423">
        <f t="shared" si="29"/>
        <v>100</v>
      </c>
      <c r="I122" s="423"/>
      <c r="J122" s="423">
        <f t="shared" si="30"/>
        <v>101</v>
      </c>
      <c r="K122" s="423"/>
      <c r="L122" s="116">
        <f t="shared" ref="L122:L137" si="32">+L121+1</f>
        <v>77</v>
      </c>
      <c r="M122" s="137">
        <v>8</v>
      </c>
      <c r="N122" s="510" t="s">
        <v>263</v>
      </c>
      <c r="O122" s="510"/>
      <c r="P122" s="510"/>
      <c r="Q122" s="511" t="s">
        <v>264</v>
      </c>
      <c r="R122" s="512"/>
      <c r="S122" s="512"/>
      <c r="T122" s="513" t="s">
        <v>264</v>
      </c>
      <c r="U122" s="514"/>
      <c r="V122" s="514"/>
      <c r="W122" s="482">
        <f t="shared" si="31"/>
        <v>2.2400000000000002</v>
      </c>
      <c r="X122" s="449"/>
      <c r="Y122" s="115" t="s">
        <v>14</v>
      </c>
      <c r="Z122" s="445" t="s">
        <v>262</v>
      </c>
      <c r="AA122" s="446"/>
      <c r="AB122" s="442"/>
      <c r="AC122" s="442"/>
      <c r="AD122" s="442"/>
      <c r="AE122" s="442"/>
    </row>
    <row r="123" spans="4:31" ht="16.5" customHeight="1" x14ac:dyDescent="0.15">
      <c r="D123" s="536"/>
      <c r="E123" s="537"/>
      <c r="F123" s="423">
        <f t="shared" si="26"/>
        <v>101</v>
      </c>
      <c r="G123" s="423"/>
      <c r="H123" s="423">
        <f t="shared" si="29"/>
        <v>101</v>
      </c>
      <c r="I123" s="423"/>
      <c r="J123" s="423">
        <f t="shared" si="30"/>
        <v>102</v>
      </c>
      <c r="K123" s="423"/>
      <c r="L123" s="116">
        <f t="shared" si="32"/>
        <v>78</v>
      </c>
      <c r="M123" s="123">
        <f>+M122</f>
        <v>8</v>
      </c>
      <c r="N123" s="510" t="s">
        <v>263</v>
      </c>
      <c r="O123" s="510"/>
      <c r="P123" s="510"/>
      <c r="Q123" s="511" t="s">
        <v>264</v>
      </c>
      <c r="R123" s="512"/>
      <c r="S123" s="512"/>
      <c r="T123" s="513" t="s">
        <v>264</v>
      </c>
      <c r="U123" s="514"/>
      <c r="V123" s="514"/>
      <c r="W123" s="482">
        <f t="shared" si="31"/>
        <v>2.2400000000000002</v>
      </c>
      <c r="X123" s="449"/>
      <c r="Y123" s="115" t="s">
        <v>14</v>
      </c>
      <c r="Z123" s="445" t="s">
        <v>262</v>
      </c>
      <c r="AA123" s="446"/>
      <c r="AB123" s="442"/>
      <c r="AC123" s="442"/>
      <c r="AD123" s="442"/>
      <c r="AE123" s="442"/>
    </row>
    <row r="124" spans="4:31" ht="16.5" customHeight="1" x14ac:dyDescent="0.15">
      <c r="D124" s="536"/>
      <c r="E124" s="537"/>
      <c r="F124" s="423">
        <f t="shared" si="26"/>
        <v>102</v>
      </c>
      <c r="G124" s="423"/>
      <c r="H124" s="423">
        <f t="shared" si="29"/>
        <v>102</v>
      </c>
      <c r="I124" s="423"/>
      <c r="J124" s="423">
        <f t="shared" si="30"/>
        <v>103</v>
      </c>
      <c r="K124" s="423"/>
      <c r="L124" s="116">
        <f t="shared" si="32"/>
        <v>79</v>
      </c>
      <c r="M124" s="123">
        <f t="shared" ref="M124:M126" si="33">+M123</f>
        <v>8</v>
      </c>
      <c r="N124" s="510" t="s">
        <v>263</v>
      </c>
      <c r="O124" s="510"/>
      <c r="P124" s="510"/>
      <c r="Q124" s="511" t="s">
        <v>264</v>
      </c>
      <c r="R124" s="512"/>
      <c r="S124" s="512"/>
      <c r="T124" s="513" t="s">
        <v>264</v>
      </c>
      <c r="U124" s="514"/>
      <c r="V124" s="514"/>
      <c r="W124" s="482">
        <f t="shared" si="31"/>
        <v>2.2400000000000002</v>
      </c>
      <c r="X124" s="449"/>
      <c r="Y124" s="115" t="s">
        <v>14</v>
      </c>
      <c r="Z124" s="445" t="s">
        <v>262</v>
      </c>
      <c r="AA124" s="446"/>
      <c r="AB124" s="442"/>
      <c r="AC124" s="442"/>
      <c r="AD124" s="442"/>
      <c r="AE124" s="442"/>
    </row>
    <row r="125" spans="4:31" ht="16.5" customHeight="1" x14ac:dyDescent="0.15">
      <c r="D125" s="536"/>
      <c r="E125" s="537"/>
      <c r="F125" s="423">
        <f t="shared" si="26"/>
        <v>103</v>
      </c>
      <c r="G125" s="423"/>
      <c r="H125" s="423">
        <f t="shared" si="29"/>
        <v>103</v>
      </c>
      <c r="I125" s="423"/>
      <c r="J125" s="423">
        <f t="shared" si="30"/>
        <v>104</v>
      </c>
      <c r="K125" s="423"/>
      <c r="L125" s="116">
        <f t="shared" si="32"/>
        <v>80</v>
      </c>
      <c r="M125" s="123">
        <f t="shared" si="33"/>
        <v>8</v>
      </c>
      <c r="N125" s="510" t="s">
        <v>263</v>
      </c>
      <c r="O125" s="510"/>
      <c r="P125" s="510"/>
      <c r="Q125" s="511" t="s">
        <v>264</v>
      </c>
      <c r="R125" s="512"/>
      <c r="S125" s="512"/>
      <c r="T125" s="513" t="s">
        <v>264</v>
      </c>
      <c r="U125" s="514"/>
      <c r="V125" s="514"/>
      <c r="W125" s="482">
        <f t="shared" si="31"/>
        <v>2.2400000000000002</v>
      </c>
      <c r="X125" s="449"/>
      <c r="Y125" s="115" t="s">
        <v>14</v>
      </c>
      <c r="Z125" s="445" t="s">
        <v>262</v>
      </c>
      <c r="AA125" s="446"/>
      <c r="AB125" s="442"/>
      <c r="AC125" s="442"/>
      <c r="AD125" s="442"/>
      <c r="AE125" s="442"/>
    </row>
    <row r="126" spans="4:31" ht="16.5" customHeight="1" x14ac:dyDescent="0.15">
      <c r="D126" s="536"/>
      <c r="E126" s="537"/>
      <c r="F126" s="423">
        <f t="shared" si="26"/>
        <v>104</v>
      </c>
      <c r="G126" s="423"/>
      <c r="H126" s="423">
        <f t="shared" si="29"/>
        <v>104</v>
      </c>
      <c r="I126" s="423"/>
      <c r="J126" s="423">
        <f t="shared" si="30"/>
        <v>105</v>
      </c>
      <c r="K126" s="423"/>
      <c r="L126" s="116">
        <f t="shared" si="32"/>
        <v>81</v>
      </c>
      <c r="M126" s="123">
        <f t="shared" si="33"/>
        <v>8</v>
      </c>
      <c r="N126" s="510" t="s">
        <v>263</v>
      </c>
      <c r="O126" s="510"/>
      <c r="P126" s="510"/>
      <c r="Q126" s="511" t="s">
        <v>264</v>
      </c>
      <c r="R126" s="512"/>
      <c r="S126" s="512"/>
      <c r="T126" s="513" t="s">
        <v>264</v>
      </c>
      <c r="U126" s="514"/>
      <c r="V126" s="514"/>
      <c r="W126" s="482">
        <f t="shared" si="31"/>
        <v>2.2400000000000002</v>
      </c>
      <c r="X126" s="449"/>
      <c r="Y126" s="115" t="s">
        <v>14</v>
      </c>
      <c r="Z126" s="445" t="s">
        <v>262</v>
      </c>
      <c r="AA126" s="446"/>
      <c r="AB126" s="442"/>
      <c r="AC126" s="442"/>
      <c r="AD126" s="442"/>
      <c r="AE126" s="442"/>
    </row>
    <row r="127" spans="4:31" ht="16.5" customHeight="1" x14ac:dyDescent="0.15">
      <c r="D127" s="536"/>
      <c r="E127" s="537"/>
      <c r="F127" s="423">
        <f t="shared" si="26"/>
        <v>105</v>
      </c>
      <c r="G127" s="423"/>
      <c r="H127" s="423">
        <f t="shared" si="29"/>
        <v>105</v>
      </c>
      <c r="I127" s="423"/>
      <c r="J127" s="423">
        <f t="shared" si="30"/>
        <v>106</v>
      </c>
      <c r="K127" s="423"/>
      <c r="L127" s="116">
        <f t="shared" si="32"/>
        <v>82</v>
      </c>
      <c r="M127" s="137">
        <v>9</v>
      </c>
      <c r="N127" s="510" t="s">
        <v>263</v>
      </c>
      <c r="O127" s="510"/>
      <c r="P127" s="510"/>
      <c r="Q127" s="511" t="s">
        <v>264</v>
      </c>
      <c r="R127" s="512"/>
      <c r="S127" s="512"/>
      <c r="T127" s="513" t="s">
        <v>264</v>
      </c>
      <c r="U127" s="514"/>
      <c r="V127" s="514"/>
      <c r="W127" s="482">
        <f t="shared" si="31"/>
        <v>2.2400000000000002</v>
      </c>
      <c r="X127" s="449"/>
      <c r="Y127" s="115" t="s">
        <v>14</v>
      </c>
      <c r="Z127" s="445" t="s">
        <v>262</v>
      </c>
      <c r="AA127" s="446"/>
      <c r="AB127" s="442"/>
      <c r="AC127" s="442"/>
      <c r="AD127" s="442"/>
      <c r="AE127" s="442"/>
    </row>
    <row r="128" spans="4:31" ht="16.5" customHeight="1" x14ac:dyDescent="0.15">
      <c r="D128" s="536"/>
      <c r="E128" s="537"/>
      <c r="F128" s="423">
        <f t="shared" si="26"/>
        <v>106</v>
      </c>
      <c r="G128" s="423"/>
      <c r="H128" s="423">
        <f t="shared" si="29"/>
        <v>106</v>
      </c>
      <c r="I128" s="423"/>
      <c r="J128" s="423">
        <f t="shared" si="30"/>
        <v>107</v>
      </c>
      <c r="K128" s="423"/>
      <c r="L128" s="116">
        <f t="shared" si="32"/>
        <v>83</v>
      </c>
      <c r="M128" s="123">
        <f>+M127</f>
        <v>9</v>
      </c>
      <c r="N128" s="510" t="s">
        <v>263</v>
      </c>
      <c r="O128" s="510"/>
      <c r="P128" s="510"/>
      <c r="Q128" s="511" t="s">
        <v>264</v>
      </c>
      <c r="R128" s="512"/>
      <c r="S128" s="512"/>
      <c r="T128" s="513" t="s">
        <v>264</v>
      </c>
      <c r="U128" s="514"/>
      <c r="V128" s="514"/>
      <c r="W128" s="482">
        <f t="shared" si="31"/>
        <v>2.2400000000000002</v>
      </c>
      <c r="X128" s="449"/>
      <c r="Y128" s="115" t="s">
        <v>14</v>
      </c>
      <c r="Z128" s="445" t="s">
        <v>262</v>
      </c>
      <c r="AA128" s="446"/>
      <c r="AB128" s="442"/>
      <c r="AC128" s="442"/>
      <c r="AD128" s="442"/>
      <c r="AE128" s="442"/>
    </row>
    <row r="129" spans="3:33" ht="16.5" customHeight="1" x14ac:dyDescent="0.15">
      <c r="D129" s="536"/>
      <c r="E129" s="537"/>
      <c r="F129" s="423">
        <f t="shared" si="26"/>
        <v>107</v>
      </c>
      <c r="G129" s="423"/>
      <c r="H129" s="423">
        <f t="shared" si="29"/>
        <v>107</v>
      </c>
      <c r="I129" s="423"/>
      <c r="J129" s="423">
        <f t="shared" si="30"/>
        <v>108</v>
      </c>
      <c r="K129" s="423"/>
      <c r="L129" s="116">
        <f t="shared" si="32"/>
        <v>84</v>
      </c>
      <c r="M129" s="123">
        <f t="shared" ref="M129:M132" si="34">+M128</f>
        <v>9</v>
      </c>
      <c r="N129" s="510" t="s">
        <v>263</v>
      </c>
      <c r="O129" s="510"/>
      <c r="P129" s="510"/>
      <c r="Q129" s="511" t="s">
        <v>264</v>
      </c>
      <c r="R129" s="512"/>
      <c r="S129" s="512"/>
      <c r="T129" s="513" t="s">
        <v>264</v>
      </c>
      <c r="U129" s="514"/>
      <c r="V129" s="514"/>
      <c r="W129" s="482">
        <f t="shared" si="31"/>
        <v>2.2400000000000002</v>
      </c>
      <c r="X129" s="449"/>
      <c r="Y129" s="115" t="s">
        <v>14</v>
      </c>
      <c r="Z129" s="445" t="s">
        <v>262</v>
      </c>
      <c r="AA129" s="446"/>
      <c r="AB129" s="442"/>
      <c r="AC129" s="442"/>
      <c r="AD129" s="442"/>
      <c r="AE129" s="442"/>
    </row>
    <row r="130" spans="3:33" ht="16.5" customHeight="1" x14ac:dyDescent="0.15">
      <c r="D130" s="536"/>
      <c r="E130" s="537"/>
      <c r="F130" s="423">
        <f t="shared" si="26"/>
        <v>108</v>
      </c>
      <c r="G130" s="423"/>
      <c r="H130" s="423">
        <f t="shared" si="29"/>
        <v>108</v>
      </c>
      <c r="I130" s="423"/>
      <c r="J130" s="423">
        <f t="shared" si="30"/>
        <v>109</v>
      </c>
      <c r="K130" s="423"/>
      <c r="L130" s="116">
        <f t="shared" si="32"/>
        <v>85</v>
      </c>
      <c r="M130" s="123">
        <f t="shared" si="34"/>
        <v>9</v>
      </c>
      <c r="N130" s="510" t="s">
        <v>263</v>
      </c>
      <c r="O130" s="510"/>
      <c r="P130" s="510"/>
      <c r="Q130" s="511" t="s">
        <v>264</v>
      </c>
      <c r="R130" s="512"/>
      <c r="S130" s="512"/>
      <c r="T130" s="513" t="s">
        <v>264</v>
      </c>
      <c r="U130" s="514"/>
      <c r="V130" s="514"/>
      <c r="W130" s="482">
        <f t="shared" si="31"/>
        <v>2.2400000000000002</v>
      </c>
      <c r="X130" s="449"/>
      <c r="Y130" s="115" t="s">
        <v>14</v>
      </c>
      <c r="Z130" s="445" t="s">
        <v>262</v>
      </c>
      <c r="AA130" s="446"/>
      <c r="AB130" s="442"/>
      <c r="AC130" s="442"/>
      <c r="AD130" s="442"/>
      <c r="AE130" s="442"/>
    </row>
    <row r="131" spans="3:33" ht="16.5" customHeight="1" x14ac:dyDescent="0.15">
      <c r="D131" s="536"/>
      <c r="E131" s="537"/>
      <c r="F131" s="423">
        <f t="shared" si="26"/>
        <v>109</v>
      </c>
      <c r="G131" s="423"/>
      <c r="H131" s="423">
        <f t="shared" si="29"/>
        <v>109</v>
      </c>
      <c r="I131" s="423"/>
      <c r="J131" s="423">
        <f t="shared" si="30"/>
        <v>110</v>
      </c>
      <c r="K131" s="423"/>
      <c r="L131" s="116">
        <f t="shared" si="32"/>
        <v>86</v>
      </c>
      <c r="M131" s="123">
        <f t="shared" si="34"/>
        <v>9</v>
      </c>
      <c r="N131" s="510" t="s">
        <v>263</v>
      </c>
      <c r="O131" s="510"/>
      <c r="P131" s="510"/>
      <c r="Q131" s="511" t="s">
        <v>264</v>
      </c>
      <c r="R131" s="512"/>
      <c r="S131" s="512"/>
      <c r="T131" s="513" t="s">
        <v>264</v>
      </c>
      <c r="U131" s="514"/>
      <c r="V131" s="514"/>
      <c r="W131" s="482">
        <f t="shared" si="31"/>
        <v>2.2400000000000002</v>
      </c>
      <c r="X131" s="449"/>
      <c r="Y131" s="115" t="s">
        <v>14</v>
      </c>
      <c r="Z131" s="445" t="s">
        <v>262</v>
      </c>
      <c r="AA131" s="446"/>
      <c r="AB131" s="442"/>
      <c r="AC131" s="442"/>
      <c r="AD131" s="442"/>
      <c r="AE131" s="442"/>
    </row>
    <row r="132" spans="3:33" ht="16.5" customHeight="1" x14ac:dyDescent="0.15">
      <c r="D132" s="536"/>
      <c r="E132" s="537"/>
      <c r="F132" s="423">
        <f t="shared" si="26"/>
        <v>110</v>
      </c>
      <c r="G132" s="423"/>
      <c r="H132" s="423">
        <f t="shared" si="29"/>
        <v>110</v>
      </c>
      <c r="I132" s="423"/>
      <c r="J132" s="423">
        <f t="shared" si="30"/>
        <v>111</v>
      </c>
      <c r="K132" s="423"/>
      <c r="L132" s="116">
        <f t="shared" si="32"/>
        <v>87</v>
      </c>
      <c r="M132" s="123">
        <f t="shared" si="34"/>
        <v>9</v>
      </c>
      <c r="N132" s="510" t="s">
        <v>263</v>
      </c>
      <c r="O132" s="510"/>
      <c r="P132" s="510"/>
      <c r="Q132" s="511" t="s">
        <v>264</v>
      </c>
      <c r="R132" s="512"/>
      <c r="S132" s="512"/>
      <c r="T132" s="513" t="s">
        <v>264</v>
      </c>
      <c r="U132" s="514"/>
      <c r="V132" s="514"/>
      <c r="W132" s="482">
        <f t="shared" si="31"/>
        <v>2.2400000000000002</v>
      </c>
      <c r="X132" s="449"/>
      <c r="Y132" s="115" t="s">
        <v>14</v>
      </c>
      <c r="Z132" s="445" t="s">
        <v>262</v>
      </c>
      <c r="AA132" s="446"/>
      <c r="AB132" s="442"/>
      <c r="AC132" s="442"/>
      <c r="AD132" s="442"/>
      <c r="AE132" s="442"/>
    </row>
    <row r="133" spans="3:33" ht="16.5" customHeight="1" x14ac:dyDescent="0.15">
      <c r="D133" s="536"/>
      <c r="E133" s="537"/>
      <c r="F133" s="423">
        <f t="shared" si="26"/>
        <v>111</v>
      </c>
      <c r="G133" s="423"/>
      <c r="H133" s="423">
        <f t="shared" si="29"/>
        <v>111</v>
      </c>
      <c r="I133" s="423"/>
      <c r="J133" s="423">
        <f t="shared" si="30"/>
        <v>112</v>
      </c>
      <c r="K133" s="423"/>
      <c r="L133" s="116">
        <f t="shared" si="32"/>
        <v>88</v>
      </c>
      <c r="M133" s="137">
        <v>10</v>
      </c>
      <c r="N133" s="510" t="s">
        <v>263</v>
      </c>
      <c r="O133" s="510"/>
      <c r="P133" s="510"/>
      <c r="Q133" s="511" t="s">
        <v>264</v>
      </c>
      <c r="R133" s="512"/>
      <c r="S133" s="512"/>
      <c r="T133" s="513" t="s">
        <v>264</v>
      </c>
      <c r="U133" s="514"/>
      <c r="V133" s="514"/>
      <c r="W133" s="482">
        <f t="shared" si="31"/>
        <v>2.2400000000000002</v>
      </c>
      <c r="X133" s="449"/>
      <c r="Y133" s="115" t="s">
        <v>14</v>
      </c>
      <c r="Z133" s="445" t="s">
        <v>262</v>
      </c>
      <c r="AA133" s="446"/>
      <c r="AB133" s="442"/>
      <c r="AC133" s="442"/>
      <c r="AD133" s="442"/>
      <c r="AE133" s="442"/>
    </row>
    <row r="134" spans="3:33" ht="16.5" customHeight="1" x14ac:dyDescent="0.15">
      <c r="D134" s="536"/>
      <c r="E134" s="537"/>
      <c r="F134" s="423">
        <f t="shared" si="26"/>
        <v>112</v>
      </c>
      <c r="G134" s="423"/>
      <c r="H134" s="423">
        <f t="shared" si="29"/>
        <v>112</v>
      </c>
      <c r="I134" s="423"/>
      <c r="J134" s="423">
        <f t="shared" si="30"/>
        <v>113</v>
      </c>
      <c r="K134" s="423"/>
      <c r="L134" s="116">
        <f t="shared" si="32"/>
        <v>89</v>
      </c>
      <c r="M134" s="123">
        <f>+M133</f>
        <v>10</v>
      </c>
      <c r="N134" s="510" t="s">
        <v>263</v>
      </c>
      <c r="O134" s="510"/>
      <c r="P134" s="510"/>
      <c r="Q134" s="511" t="s">
        <v>264</v>
      </c>
      <c r="R134" s="512"/>
      <c r="S134" s="512"/>
      <c r="T134" s="513" t="s">
        <v>264</v>
      </c>
      <c r="U134" s="514"/>
      <c r="V134" s="514"/>
      <c r="W134" s="482">
        <f t="shared" si="31"/>
        <v>2.2400000000000002</v>
      </c>
      <c r="X134" s="449"/>
      <c r="Y134" s="115" t="s">
        <v>14</v>
      </c>
      <c r="Z134" s="445" t="s">
        <v>262</v>
      </c>
      <c r="AA134" s="446"/>
      <c r="AB134" s="442"/>
      <c r="AC134" s="442"/>
      <c r="AD134" s="442"/>
      <c r="AE134" s="442"/>
    </row>
    <row r="135" spans="3:33" ht="16.5" customHeight="1" x14ac:dyDescent="0.15">
      <c r="D135" s="536"/>
      <c r="E135" s="537"/>
      <c r="F135" s="423">
        <f t="shared" si="26"/>
        <v>113</v>
      </c>
      <c r="G135" s="423"/>
      <c r="H135" s="423">
        <f t="shared" si="29"/>
        <v>113</v>
      </c>
      <c r="I135" s="423"/>
      <c r="J135" s="423">
        <f t="shared" si="30"/>
        <v>114</v>
      </c>
      <c r="K135" s="423"/>
      <c r="L135" s="116">
        <f t="shared" si="32"/>
        <v>90</v>
      </c>
      <c r="M135" s="123">
        <f t="shared" ref="M135:M143" si="35">+M134</f>
        <v>10</v>
      </c>
      <c r="N135" s="510" t="s">
        <v>263</v>
      </c>
      <c r="O135" s="510"/>
      <c r="P135" s="510"/>
      <c r="Q135" s="511" t="s">
        <v>264</v>
      </c>
      <c r="R135" s="512"/>
      <c r="S135" s="512"/>
      <c r="T135" s="513" t="s">
        <v>264</v>
      </c>
      <c r="U135" s="514"/>
      <c r="V135" s="514"/>
      <c r="W135" s="482">
        <f t="shared" si="31"/>
        <v>2.2400000000000002</v>
      </c>
      <c r="X135" s="449"/>
      <c r="Y135" s="115" t="s">
        <v>14</v>
      </c>
      <c r="Z135" s="445" t="s">
        <v>262</v>
      </c>
      <c r="AA135" s="446"/>
      <c r="AB135" s="442"/>
      <c r="AC135" s="442"/>
      <c r="AD135" s="442"/>
      <c r="AE135" s="442"/>
    </row>
    <row r="136" spans="3:33" ht="16.5" customHeight="1" x14ac:dyDescent="0.15">
      <c r="D136" s="536"/>
      <c r="E136" s="537"/>
      <c r="F136" s="423">
        <f t="shared" si="26"/>
        <v>114</v>
      </c>
      <c r="G136" s="423"/>
      <c r="H136" s="423">
        <f t="shared" si="29"/>
        <v>114</v>
      </c>
      <c r="I136" s="423"/>
      <c r="J136" s="423">
        <f t="shared" si="30"/>
        <v>115</v>
      </c>
      <c r="K136" s="423"/>
      <c r="L136" s="116">
        <f t="shared" si="32"/>
        <v>91</v>
      </c>
      <c r="M136" s="123">
        <f t="shared" si="35"/>
        <v>10</v>
      </c>
      <c r="N136" s="510" t="s">
        <v>263</v>
      </c>
      <c r="O136" s="510"/>
      <c r="P136" s="510"/>
      <c r="Q136" s="511" t="s">
        <v>264</v>
      </c>
      <c r="R136" s="512"/>
      <c r="S136" s="512"/>
      <c r="T136" s="513" t="s">
        <v>264</v>
      </c>
      <c r="U136" s="514"/>
      <c r="V136" s="514"/>
      <c r="W136" s="482">
        <f t="shared" si="31"/>
        <v>2.2400000000000002</v>
      </c>
      <c r="X136" s="449"/>
      <c r="Y136" s="115" t="s">
        <v>14</v>
      </c>
      <c r="Z136" s="445" t="s">
        <v>262</v>
      </c>
      <c r="AA136" s="446"/>
      <c r="AB136" s="442"/>
      <c r="AC136" s="442"/>
      <c r="AD136" s="442"/>
      <c r="AE136" s="442"/>
    </row>
    <row r="137" spans="3:33" ht="16.5" customHeight="1" x14ac:dyDescent="0.15">
      <c r="D137" s="536"/>
      <c r="E137" s="537"/>
      <c r="F137" s="423">
        <f t="shared" si="26"/>
        <v>115</v>
      </c>
      <c r="G137" s="423"/>
      <c r="H137" s="423">
        <f t="shared" si="29"/>
        <v>115</v>
      </c>
      <c r="I137" s="423"/>
      <c r="J137" s="423">
        <f t="shared" si="30"/>
        <v>116</v>
      </c>
      <c r="K137" s="423"/>
      <c r="L137" s="116">
        <f t="shared" si="32"/>
        <v>92</v>
      </c>
      <c r="M137" s="123">
        <f t="shared" si="35"/>
        <v>10</v>
      </c>
      <c r="N137" s="510" t="s">
        <v>263</v>
      </c>
      <c r="O137" s="510"/>
      <c r="P137" s="510"/>
      <c r="Q137" s="511" t="s">
        <v>264</v>
      </c>
      <c r="R137" s="512"/>
      <c r="S137" s="512"/>
      <c r="T137" s="513" t="s">
        <v>264</v>
      </c>
      <c r="U137" s="514"/>
      <c r="V137" s="514"/>
      <c r="W137" s="482">
        <f t="shared" si="31"/>
        <v>2.2400000000000002</v>
      </c>
      <c r="X137" s="449"/>
      <c r="Y137" s="115" t="s">
        <v>14</v>
      </c>
      <c r="Z137" s="445" t="s">
        <v>262</v>
      </c>
      <c r="AA137" s="446"/>
      <c r="AB137" s="442"/>
      <c r="AC137" s="442"/>
      <c r="AD137" s="442"/>
      <c r="AE137" s="442"/>
    </row>
    <row r="138" spans="3:33" ht="16.5" customHeight="1" x14ac:dyDescent="0.15">
      <c r="D138" s="536"/>
      <c r="E138" s="537"/>
      <c r="F138" s="423">
        <f t="shared" si="26"/>
        <v>116</v>
      </c>
      <c r="G138" s="423"/>
      <c r="H138" s="423">
        <f t="shared" si="29"/>
        <v>116</v>
      </c>
      <c r="I138" s="423"/>
      <c r="J138" s="423">
        <f t="shared" si="30"/>
        <v>117</v>
      </c>
      <c r="K138" s="423"/>
      <c r="L138" s="116">
        <f>+L137+1</f>
        <v>93</v>
      </c>
      <c r="M138" s="123">
        <f t="shared" si="35"/>
        <v>10</v>
      </c>
      <c r="N138" s="510" t="s">
        <v>263</v>
      </c>
      <c r="O138" s="510"/>
      <c r="P138" s="510"/>
      <c r="Q138" s="511" t="s">
        <v>264</v>
      </c>
      <c r="R138" s="512"/>
      <c r="S138" s="512"/>
      <c r="T138" s="513" t="s">
        <v>264</v>
      </c>
      <c r="U138" s="514"/>
      <c r="V138" s="514"/>
      <c r="W138" s="482">
        <f t="shared" si="31"/>
        <v>2.2400000000000002</v>
      </c>
      <c r="X138" s="449"/>
      <c r="Y138" s="115" t="s">
        <v>14</v>
      </c>
      <c r="Z138" s="445" t="s">
        <v>262</v>
      </c>
      <c r="AA138" s="446"/>
      <c r="AB138" s="442"/>
      <c r="AC138" s="442"/>
      <c r="AD138" s="442"/>
      <c r="AE138" s="442"/>
    </row>
    <row r="139" spans="3:33" ht="16.5" customHeight="1" x14ac:dyDescent="0.15">
      <c r="D139" s="536"/>
      <c r="E139" s="537"/>
      <c r="F139" s="423">
        <f t="shared" si="26"/>
        <v>117</v>
      </c>
      <c r="G139" s="423"/>
      <c r="H139" s="423">
        <f t="shared" si="29"/>
        <v>117</v>
      </c>
      <c r="I139" s="423"/>
      <c r="J139" s="423">
        <f t="shared" si="30"/>
        <v>118</v>
      </c>
      <c r="K139" s="423"/>
      <c r="L139" s="116">
        <f t="shared" ref="L139:L143" si="36">+L138+1</f>
        <v>94</v>
      </c>
      <c r="M139" s="123">
        <f t="shared" si="35"/>
        <v>10</v>
      </c>
      <c r="N139" s="510" t="s">
        <v>263</v>
      </c>
      <c r="O139" s="510"/>
      <c r="P139" s="510"/>
      <c r="Q139" s="511" t="s">
        <v>264</v>
      </c>
      <c r="R139" s="512"/>
      <c r="S139" s="512"/>
      <c r="T139" s="513" t="s">
        <v>264</v>
      </c>
      <c r="U139" s="514"/>
      <c r="V139" s="514"/>
      <c r="W139" s="482">
        <f t="shared" si="31"/>
        <v>2.2400000000000002</v>
      </c>
      <c r="X139" s="449"/>
      <c r="Y139" s="115" t="s">
        <v>14</v>
      </c>
      <c r="Z139" s="445" t="s">
        <v>262</v>
      </c>
      <c r="AA139" s="446"/>
      <c r="AB139" s="442"/>
      <c r="AC139" s="442"/>
      <c r="AD139" s="442"/>
      <c r="AE139" s="442"/>
    </row>
    <row r="140" spans="3:33" ht="16.5" customHeight="1" x14ac:dyDescent="0.15">
      <c r="D140" s="536"/>
      <c r="E140" s="537"/>
      <c r="F140" s="423">
        <f t="shared" si="26"/>
        <v>118</v>
      </c>
      <c r="G140" s="423"/>
      <c r="H140" s="423">
        <f t="shared" si="29"/>
        <v>118</v>
      </c>
      <c r="I140" s="423"/>
      <c r="J140" s="423">
        <f t="shared" si="30"/>
        <v>119</v>
      </c>
      <c r="K140" s="423"/>
      <c r="L140" s="116">
        <f t="shared" si="36"/>
        <v>95</v>
      </c>
      <c r="M140" s="123">
        <f t="shared" si="35"/>
        <v>10</v>
      </c>
      <c r="N140" s="510" t="s">
        <v>263</v>
      </c>
      <c r="O140" s="510"/>
      <c r="P140" s="510"/>
      <c r="Q140" s="511" t="s">
        <v>264</v>
      </c>
      <c r="R140" s="512"/>
      <c r="S140" s="512"/>
      <c r="T140" s="513" t="s">
        <v>264</v>
      </c>
      <c r="U140" s="514"/>
      <c r="V140" s="514"/>
      <c r="W140" s="482">
        <f t="shared" si="31"/>
        <v>2.2400000000000002</v>
      </c>
      <c r="X140" s="449"/>
      <c r="Y140" s="115" t="s">
        <v>14</v>
      </c>
      <c r="Z140" s="445" t="s">
        <v>262</v>
      </c>
      <c r="AA140" s="446"/>
      <c r="AB140" s="442"/>
      <c r="AC140" s="442"/>
      <c r="AD140" s="442"/>
      <c r="AE140" s="442"/>
    </row>
    <row r="141" spans="3:33" ht="16.5" customHeight="1" x14ac:dyDescent="0.15">
      <c r="D141" s="536"/>
      <c r="E141" s="537"/>
      <c r="F141" s="423">
        <f t="shared" si="26"/>
        <v>119</v>
      </c>
      <c r="G141" s="423"/>
      <c r="H141" s="423">
        <f t="shared" si="29"/>
        <v>119</v>
      </c>
      <c r="I141" s="423"/>
      <c r="J141" s="423">
        <f t="shared" si="30"/>
        <v>120</v>
      </c>
      <c r="K141" s="423"/>
      <c r="L141" s="116">
        <f t="shared" si="36"/>
        <v>96</v>
      </c>
      <c r="M141" s="123">
        <f t="shared" si="35"/>
        <v>10</v>
      </c>
      <c r="N141" s="510" t="s">
        <v>263</v>
      </c>
      <c r="O141" s="510"/>
      <c r="P141" s="510"/>
      <c r="Q141" s="511" t="s">
        <v>264</v>
      </c>
      <c r="R141" s="512"/>
      <c r="S141" s="512"/>
      <c r="T141" s="513" t="s">
        <v>264</v>
      </c>
      <c r="U141" s="514"/>
      <c r="V141" s="514"/>
      <c r="W141" s="482">
        <f t="shared" si="31"/>
        <v>2.2400000000000002</v>
      </c>
      <c r="X141" s="449"/>
      <c r="Y141" s="115" t="s">
        <v>14</v>
      </c>
      <c r="Z141" s="445" t="s">
        <v>262</v>
      </c>
      <c r="AA141" s="446"/>
      <c r="AB141" s="442"/>
      <c r="AC141" s="442"/>
      <c r="AD141" s="442"/>
      <c r="AE141" s="442"/>
    </row>
    <row r="142" spans="3:33" ht="16.5" customHeight="1" x14ac:dyDescent="0.15">
      <c r="D142" s="536"/>
      <c r="E142" s="537"/>
      <c r="F142" s="423">
        <f t="shared" si="26"/>
        <v>120</v>
      </c>
      <c r="G142" s="423"/>
      <c r="H142" s="423">
        <f t="shared" si="29"/>
        <v>120</v>
      </c>
      <c r="I142" s="423"/>
      <c r="J142" s="423">
        <f t="shared" si="30"/>
        <v>121</v>
      </c>
      <c r="K142" s="423"/>
      <c r="L142" s="116">
        <f t="shared" si="36"/>
        <v>97</v>
      </c>
      <c r="M142" s="123">
        <f t="shared" si="35"/>
        <v>10</v>
      </c>
      <c r="N142" s="510" t="s">
        <v>263</v>
      </c>
      <c r="O142" s="510"/>
      <c r="P142" s="510"/>
      <c r="Q142" s="511" t="s">
        <v>264</v>
      </c>
      <c r="R142" s="512"/>
      <c r="S142" s="512"/>
      <c r="T142" s="513" t="s">
        <v>264</v>
      </c>
      <c r="U142" s="514"/>
      <c r="V142" s="514"/>
      <c r="W142" s="482">
        <f t="shared" si="31"/>
        <v>2.2400000000000002</v>
      </c>
      <c r="X142" s="449"/>
      <c r="Y142" s="115" t="s">
        <v>14</v>
      </c>
      <c r="Z142" s="445" t="s">
        <v>262</v>
      </c>
      <c r="AA142" s="446"/>
      <c r="AB142" s="442"/>
      <c r="AC142" s="442"/>
      <c r="AD142" s="442"/>
      <c r="AE142" s="442"/>
    </row>
    <row r="143" spans="3:33" ht="16.5" customHeight="1" x14ac:dyDescent="0.15">
      <c r="D143" s="538"/>
      <c r="E143" s="539"/>
      <c r="F143" s="423">
        <f t="shared" si="26"/>
        <v>121</v>
      </c>
      <c r="G143" s="423"/>
      <c r="H143" s="423">
        <f t="shared" si="29"/>
        <v>121</v>
      </c>
      <c r="I143" s="423"/>
      <c r="J143" s="423">
        <f t="shared" si="30"/>
        <v>122</v>
      </c>
      <c r="K143" s="423"/>
      <c r="L143" s="116">
        <f t="shared" si="36"/>
        <v>98</v>
      </c>
      <c r="M143" s="123">
        <f t="shared" si="35"/>
        <v>10</v>
      </c>
      <c r="N143" s="510" t="s">
        <v>263</v>
      </c>
      <c r="O143" s="510"/>
      <c r="P143" s="510"/>
      <c r="Q143" s="511" t="s">
        <v>264</v>
      </c>
      <c r="R143" s="512"/>
      <c r="S143" s="512"/>
      <c r="T143" s="513" t="s">
        <v>264</v>
      </c>
      <c r="U143" s="514"/>
      <c r="V143" s="514"/>
      <c r="W143" s="479">
        <f t="shared" si="31"/>
        <v>2.2400000000000002</v>
      </c>
      <c r="X143" s="479"/>
      <c r="Y143" s="113" t="s">
        <v>14</v>
      </c>
      <c r="Z143" s="480" t="s">
        <v>262</v>
      </c>
      <c r="AA143" s="479"/>
      <c r="AB143" s="442"/>
      <c r="AC143" s="442"/>
      <c r="AD143" s="442"/>
      <c r="AE143" s="442"/>
    </row>
    <row r="144" spans="3:33" ht="16.5" customHeight="1" x14ac:dyDescent="0.15">
      <c r="C144" s="17"/>
      <c r="E144" s="18" t="s">
        <v>282</v>
      </c>
      <c r="F144" s="136" t="s">
        <v>278</v>
      </c>
      <c r="G144" s="17" t="s">
        <v>284</v>
      </c>
      <c r="H144" s="126"/>
      <c r="I144" s="126"/>
      <c r="J144" s="126"/>
      <c r="K144" s="126"/>
      <c r="L144" s="126"/>
      <c r="M144" s="126"/>
      <c r="N144" s="125"/>
      <c r="O144" s="135"/>
      <c r="P144" s="41"/>
      <c r="Q144" s="41"/>
      <c r="R144" s="41"/>
      <c r="S144" s="130"/>
      <c r="T144" s="131"/>
      <c r="U144" s="131"/>
      <c r="V144" s="132"/>
      <c r="W144" s="133"/>
      <c r="X144" s="133"/>
      <c r="Y144" s="126"/>
      <c r="Z144" s="126"/>
      <c r="AA144" s="126"/>
      <c r="AB144" s="127"/>
      <c r="AC144" s="126"/>
      <c r="AD144" s="128"/>
      <c r="AE144" s="128"/>
      <c r="AF144" s="128"/>
      <c r="AG144" s="128"/>
    </row>
    <row r="149" spans="4:31" ht="16.5" customHeight="1" x14ac:dyDescent="0.15">
      <c r="D149" s="385" t="s">
        <v>249</v>
      </c>
      <c r="E149" s="387"/>
      <c r="F149" s="109" t="s">
        <v>250</v>
      </c>
      <c r="G149" s="109"/>
      <c r="H149" s="109"/>
      <c r="I149" s="109"/>
      <c r="J149" s="109"/>
      <c r="K149" s="109"/>
      <c r="L149" s="422" t="s">
        <v>251</v>
      </c>
      <c r="M149" s="422" t="s">
        <v>252</v>
      </c>
      <c r="N149" s="422" t="s">
        <v>253</v>
      </c>
      <c r="O149" s="422"/>
      <c r="P149" s="423"/>
      <c r="Q149" s="422" t="s">
        <v>254</v>
      </c>
      <c r="R149" s="423"/>
      <c r="S149" s="423"/>
      <c r="T149" s="422" t="s">
        <v>255</v>
      </c>
      <c r="U149" s="422"/>
      <c r="V149" s="422"/>
      <c r="W149" s="422" t="s">
        <v>273</v>
      </c>
      <c r="X149" s="423"/>
      <c r="Y149" s="423"/>
      <c r="Z149" s="423"/>
      <c r="AA149" s="423"/>
      <c r="AB149" s="423" t="s">
        <v>256</v>
      </c>
      <c r="AC149" s="423"/>
      <c r="AD149" s="423"/>
      <c r="AE149" s="423"/>
    </row>
    <row r="150" spans="4:31" ht="16.5" customHeight="1" x14ac:dyDescent="0.15">
      <c r="D150" s="388"/>
      <c r="E150" s="389"/>
      <c r="F150" s="422" t="s">
        <v>257</v>
      </c>
      <c r="G150" s="423"/>
      <c r="H150" s="109" t="s">
        <v>258</v>
      </c>
      <c r="I150" s="109"/>
      <c r="J150" s="109"/>
      <c r="K150" s="109"/>
      <c r="L150" s="423"/>
      <c r="M150" s="423"/>
      <c r="N150" s="423"/>
      <c r="O150" s="423"/>
      <c r="P150" s="423"/>
      <c r="Q150" s="423"/>
      <c r="R150" s="423"/>
      <c r="S150" s="423"/>
      <c r="T150" s="422"/>
      <c r="U150" s="422"/>
      <c r="V150" s="422"/>
      <c r="W150" s="423"/>
      <c r="X150" s="423"/>
      <c r="Y150" s="423"/>
      <c r="Z150" s="423"/>
      <c r="AA150" s="423"/>
      <c r="AB150" s="423"/>
      <c r="AC150" s="423"/>
      <c r="AD150" s="423"/>
      <c r="AE150" s="423"/>
    </row>
    <row r="151" spans="4:31" ht="16.5" customHeight="1" thickBot="1" x14ac:dyDescent="0.2">
      <c r="D151" s="420"/>
      <c r="E151" s="421"/>
      <c r="F151" s="424"/>
      <c r="G151" s="424"/>
      <c r="H151" s="110" t="s">
        <v>259</v>
      </c>
      <c r="I151" s="110"/>
      <c r="J151" s="110" t="s">
        <v>260</v>
      </c>
      <c r="K151" s="110"/>
      <c r="L151" s="424"/>
      <c r="M151" s="424"/>
      <c r="N151" s="424"/>
      <c r="O151" s="424"/>
      <c r="P151" s="424"/>
      <c r="Q151" s="424"/>
      <c r="R151" s="424"/>
      <c r="S151" s="424"/>
      <c r="T151" s="425"/>
      <c r="U151" s="425"/>
      <c r="V151" s="425"/>
      <c r="W151" s="424"/>
      <c r="X151" s="424"/>
      <c r="Y151" s="424"/>
      <c r="Z151" s="424"/>
      <c r="AA151" s="424"/>
      <c r="AB151" s="424"/>
      <c r="AC151" s="424"/>
      <c r="AD151" s="424"/>
      <c r="AE151" s="424"/>
    </row>
    <row r="152" spans="4:31" ht="16.5" customHeight="1" thickTop="1" x14ac:dyDescent="0.15">
      <c r="D152" s="540" t="s">
        <v>285</v>
      </c>
      <c r="E152" s="541"/>
      <c r="F152" s="470">
        <f>+F143+1</f>
        <v>122</v>
      </c>
      <c r="G152" s="470"/>
      <c r="H152" s="515">
        <v>95</v>
      </c>
      <c r="I152" s="515"/>
      <c r="J152" s="515">
        <v>123</v>
      </c>
      <c r="K152" s="515"/>
      <c r="L152" s="120"/>
      <c r="M152" s="121"/>
      <c r="N152" s="439" t="s">
        <v>261</v>
      </c>
      <c r="O152" s="439"/>
      <c r="P152" s="439"/>
      <c r="Q152" s="440">
        <v>1000</v>
      </c>
      <c r="R152" s="440"/>
      <c r="S152" s="440"/>
      <c r="T152" s="441">
        <v>1000</v>
      </c>
      <c r="U152" s="441"/>
      <c r="V152" s="441"/>
      <c r="W152" s="500">
        <f>+W119</f>
        <v>2.35</v>
      </c>
      <c r="X152" s="429"/>
      <c r="Y152" s="122" t="s">
        <v>14</v>
      </c>
      <c r="Z152" s="428" t="s">
        <v>262</v>
      </c>
      <c r="AA152" s="453"/>
      <c r="AB152" s="430"/>
      <c r="AC152" s="430"/>
      <c r="AD152" s="430"/>
      <c r="AE152" s="430"/>
    </row>
    <row r="153" spans="4:31" ht="16.5" customHeight="1" x14ac:dyDescent="0.15">
      <c r="D153" s="536"/>
      <c r="E153" s="537"/>
      <c r="F153" s="423">
        <f t="shared" ref="F153:F201" si="37">+F152+1</f>
        <v>123</v>
      </c>
      <c r="G153" s="423"/>
      <c r="H153" s="423">
        <f>+J152</f>
        <v>123</v>
      </c>
      <c r="I153" s="423"/>
      <c r="J153" s="423">
        <f>+J152+1</f>
        <v>124</v>
      </c>
      <c r="K153" s="423"/>
      <c r="L153" s="116">
        <f>+L143+1</f>
        <v>99</v>
      </c>
      <c r="M153" s="123">
        <f>+M120</f>
        <v>7</v>
      </c>
      <c r="N153" s="510" t="s">
        <v>263</v>
      </c>
      <c r="O153" s="510"/>
      <c r="P153" s="510"/>
      <c r="Q153" s="511" t="s">
        <v>264</v>
      </c>
      <c r="R153" s="512"/>
      <c r="S153" s="512"/>
      <c r="T153" s="513" t="s">
        <v>264</v>
      </c>
      <c r="U153" s="514"/>
      <c r="V153" s="514"/>
      <c r="W153" s="482">
        <f t="shared" ref="W153:W176" si="38">+W120</f>
        <v>2.2400000000000002</v>
      </c>
      <c r="X153" s="449"/>
      <c r="Y153" s="115" t="s">
        <v>14</v>
      </c>
      <c r="Z153" s="445" t="s">
        <v>262</v>
      </c>
      <c r="AA153" s="446"/>
      <c r="AB153" s="442" t="s">
        <v>265</v>
      </c>
      <c r="AC153" s="442"/>
      <c r="AD153" s="442"/>
      <c r="AE153" s="442"/>
    </row>
    <row r="154" spans="4:31" ht="16.5" customHeight="1" x14ac:dyDescent="0.15">
      <c r="D154" s="536"/>
      <c r="E154" s="537"/>
      <c r="F154" s="423">
        <f t="shared" si="37"/>
        <v>124</v>
      </c>
      <c r="G154" s="423"/>
      <c r="H154" s="423">
        <f t="shared" ref="H154:H176" si="39">+H153+1</f>
        <v>124</v>
      </c>
      <c r="I154" s="423"/>
      <c r="J154" s="423">
        <f t="shared" ref="J154:J176" si="40">+J153+1</f>
        <v>125</v>
      </c>
      <c r="K154" s="423"/>
      <c r="L154" s="116">
        <f>+L153+1</f>
        <v>100</v>
      </c>
      <c r="M154" s="123">
        <f t="shared" ref="M154:M176" si="41">+M121</f>
        <v>7</v>
      </c>
      <c r="N154" s="510" t="s">
        <v>263</v>
      </c>
      <c r="O154" s="510"/>
      <c r="P154" s="510"/>
      <c r="Q154" s="511" t="s">
        <v>264</v>
      </c>
      <c r="R154" s="512"/>
      <c r="S154" s="512"/>
      <c r="T154" s="513" t="s">
        <v>264</v>
      </c>
      <c r="U154" s="514"/>
      <c r="V154" s="514"/>
      <c r="W154" s="482">
        <f t="shared" si="38"/>
        <v>2.2400000000000002</v>
      </c>
      <c r="X154" s="449"/>
      <c r="Y154" s="115" t="s">
        <v>14</v>
      </c>
      <c r="Z154" s="445" t="s">
        <v>262</v>
      </c>
      <c r="AA154" s="446"/>
      <c r="AB154" s="442"/>
      <c r="AC154" s="442"/>
      <c r="AD154" s="442"/>
      <c r="AE154" s="442"/>
    </row>
    <row r="155" spans="4:31" ht="16.5" customHeight="1" x14ac:dyDescent="0.15">
      <c r="D155" s="536"/>
      <c r="E155" s="537"/>
      <c r="F155" s="423">
        <f t="shared" si="37"/>
        <v>125</v>
      </c>
      <c r="G155" s="423"/>
      <c r="H155" s="423">
        <f t="shared" si="39"/>
        <v>125</v>
      </c>
      <c r="I155" s="423"/>
      <c r="J155" s="423">
        <f t="shared" si="40"/>
        <v>126</v>
      </c>
      <c r="K155" s="423"/>
      <c r="L155" s="116">
        <f t="shared" ref="L155:L170" si="42">+L154+1</f>
        <v>101</v>
      </c>
      <c r="M155" s="123">
        <f t="shared" si="41"/>
        <v>8</v>
      </c>
      <c r="N155" s="510" t="s">
        <v>263</v>
      </c>
      <c r="O155" s="510"/>
      <c r="P155" s="510"/>
      <c r="Q155" s="511" t="s">
        <v>264</v>
      </c>
      <c r="R155" s="512"/>
      <c r="S155" s="512"/>
      <c r="T155" s="513" t="s">
        <v>264</v>
      </c>
      <c r="U155" s="514"/>
      <c r="V155" s="514"/>
      <c r="W155" s="482">
        <f t="shared" si="38"/>
        <v>2.2400000000000002</v>
      </c>
      <c r="X155" s="449"/>
      <c r="Y155" s="115" t="s">
        <v>14</v>
      </c>
      <c r="Z155" s="445" t="s">
        <v>262</v>
      </c>
      <c r="AA155" s="446"/>
      <c r="AB155" s="442"/>
      <c r="AC155" s="442"/>
      <c r="AD155" s="442"/>
      <c r="AE155" s="442"/>
    </row>
    <row r="156" spans="4:31" ht="16.5" customHeight="1" x14ac:dyDescent="0.15">
      <c r="D156" s="536"/>
      <c r="E156" s="537"/>
      <c r="F156" s="423">
        <f t="shared" si="37"/>
        <v>126</v>
      </c>
      <c r="G156" s="423"/>
      <c r="H156" s="423">
        <f t="shared" si="39"/>
        <v>126</v>
      </c>
      <c r="I156" s="423"/>
      <c r="J156" s="423">
        <f t="shared" si="40"/>
        <v>127</v>
      </c>
      <c r="K156" s="423"/>
      <c r="L156" s="116">
        <f t="shared" si="42"/>
        <v>102</v>
      </c>
      <c r="M156" s="123">
        <f t="shared" si="41"/>
        <v>8</v>
      </c>
      <c r="N156" s="510" t="s">
        <v>263</v>
      </c>
      <c r="O156" s="510"/>
      <c r="P156" s="510"/>
      <c r="Q156" s="511" t="s">
        <v>264</v>
      </c>
      <c r="R156" s="512"/>
      <c r="S156" s="512"/>
      <c r="T156" s="513" t="s">
        <v>264</v>
      </c>
      <c r="U156" s="514"/>
      <c r="V156" s="514"/>
      <c r="W156" s="482">
        <f t="shared" si="38"/>
        <v>2.2400000000000002</v>
      </c>
      <c r="X156" s="449"/>
      <c r="Y156" s="115" t="s">
        <v>14</v>
      </c>
      <c r="Z156" s="445" t="s">
        <v>262</v>
      </c>
      <c r="AA156" s="446"/>
      <c r="AB156" s="442"/>
      <c r="AC156" s="442"/>
      <c r="AD156" s="442"/>
      <c r="AE156" s="442"/>
    </row>
    <row r="157" spans="4:31" ht="16.5" customHeight="1" x14ac:dyDescent="0.15">
      <c r="D157" s="536"/>
      <c r="E157" s="537"/>
      <c r="F157" s="423">
        <f t="shared" si="37"/>
        <v>127</v>
      </c>
      <c r="G157" s="423"/>
      <c r="H157" s="423">
        <f t="shared" si="39"/>
        <v>127</v>
      </c>
      <c r="I157" s="423"/>
      <c r="J157" s="423">
        <f t="shared" si="40"/>
        <v>128</v>
      </c>
      <c r="K157" s="423"/>
      <c r="L157" s="116">
        <f t="shared" si="42"/>
        <v>103</v>
      </c>
      <c r="M157" s="123">
        <f t="shared" si="41"/>
        <v>8</v>
      </c>
      <c r="N157" s="510" t="s">
        <v>263</v>
      </c>
      <c r="O157" s="510"/>
      <c r="P157" s="510"/>
      <c r="Q157" s="511" t="s">
        <v>264</v>
      </c>
      <c r="R157" s="512"/>
      <c r="S157" s="512"/>
      <c r="T157" s="513" t="s">
        <v>264</v>
      </c>
      <c r="U157" s="514"/>
      <c r="V157" s="514"/>
      <c r="W157" s="482">
        <f t="shared" si="38"/>
        <v>2.2400000000000002</v>
      </c>
      <c r="X157" s="449"/>
      <c r="Y157" s="115" t="s">
        <v>14</v>
      </c>
      <c r="Z157" s="445" t="s">
        <v>262</v>
      </c>
      <c r="AA157" s="446"/>
      <c r="AB157" s="442"/>
      <c r="AC157" s="442"/>
      <c r="AD157" s="442"/>
      <c r="AE157" s="442"/>
    </row>
    <row r="158" spans="4:31" ht="16.5" customHeight="1" x14ac:dyDescent="0.15">
      <c r="D158" s="536"/>
      <c r="E158" s="537"/>
      <c r="F158" s="423">
        <f t="shared" si="37"/>
        <v>128</v>
      </c>
      <c r="G158" s="423"/>
      <c r="H158" s="423">
        <f t="shared" si="39"/>
        <v>128</v>
      </c>
      <c r="I158" s="423"/>
      <c r="J158" s="423">
        <f t="shared" si="40"/>
        <v>129</v>
      </c>
      <c r="K158" s="423"/>
      <c r="L158" s="116">
        <f t="shared" si="42"/>
        <v>104</v>
      </c>
      <c r="M158" s="123">
        <f t="shared" si="41"/>
        <v>8</v>
      </c>
      <c r="N158" s="510" t="s">
        <v>263</v>
      </c>
      <c r="O158" s="510"/>
      <c r="P158" s="510"/>
      <c r="Q158" s="511" t="s">
        <v>264</v>
      </c>
      <c r="R158" s="512"/>
      <c r="S158" s="512"/>
      <c r="T158" s="513" t="s">
        <v>264</v>
      </c>
      <c r="U158" s="514"/>
      <c r="V158" s="514"/>
      <c r="W158" s="482">
        <f t="shared" si="38"/>
        <v>2.2400000000000002</v>
      </c>
      <c r="X158" s="449"/>
      <c r="Y158" s="115" t="s">
        <v>14</v>
      </c>
      <c r="Z158" s="445" t="s">
        <v>262</v>
      </c>
      <c r="AA158" s="446"/>
      <c r="AB158" s="442"/>
      <c r="AC158" s="442"/>
      <c r="AD158" s="442"/>
      <c r="AE158" s="442"/>
    </row>
    <row r="159" spans="4:31" ht="16.5" customHeight="1" x14ac:dyDescent="0.15">
      <c r="D159" s="536"/>
      <c r="E159" s="537"/>
      <c r="F159" s="423">
        <f t="shared" si="37"/>
        <v>129</v>
      </c>
      <c r="G159" s="423"/>
      <c r="H159" s="423">
        <f t="shared" si="39"/>
        <v>129</v>
      </c>
      <c r="I159" s="423"/>
      <c r="J159" s="423">
        <f t="shared" si="40"/>
        <v>130</v>
      </c>
      <c r="K159" s="423"/>
      <c r="L159" s="116">
        <f t="shared" si="42"/>
        <v>105</v>
      </c>
      <c r="M159" s="123">
        <f t="shared" si="41"/>
        <v>8</v>
      </c>
      <c r="N159" s="510" t="s">
        <v>263</v>
      </c>
      <c r="O159" s="510"/>
      <c r="P159" s="510"/>
      <c r="Q159" s="511" t="s">
        <v>264</v>
      </c>
      <c r="R159" s="512"/>
      <c r="S159" s="512"/>
      <c r="T159" s="513" t="s">
        <v>264</v>
      </c>
      <c r="U159" s="514"/>
      <c r="V159" s="514"/>
      <c r="W159" s="482">
        <f t="shared" si="38"/>
        <v>2.2400000000000002</v>
      </c>
      <c r="X159" s="449"/>
      <c r="Y159" s="115" t="s">
        <v>14</v>
      </c>
      <c r="Z159" s="445" t="s">
        <v>262</v>
      </c>
      <c r="AA159" s="446"/>
      <c r="AB159" s="442"/>
      <c r="AC159" s="442"/>
      <c r="AD159" s="442"/>
      <c r="AE159" s="442"/>
    </row>
    <row r="160" spans="4:31" ht="16.5" customHeight="1" x14ac:dyDescent="0.15">
      <c r="D160" s="536"/>
      <c r="E160" s="537"/>
      <c r="F160" s="423">
        <f t="shared" si="37"/>
        <v>130</v>
      </c>
      <c r="G160" s="423"/>
      <c r="H160" s="423">
        <f t="shared" si="39"/>
        <v>130</v>
      </c>
      <c r="I160" s="423"/>
      <c r="J160" s="423">
        <f t="shared" si="40"/>
        <v>131</v>
      </c>
      <c r="K160" s="423"/>
      <c r="L160" s="116">
        <f t="shared" si="42"/>
        <v>106</v>
      </c>
      <c r="M160" s="123">
        <f t="shared" si="41"/>
        <v>9</v>
      </c>
      <c r="N160" s="510" t="s">
        <v>263</v>
      </c>
      <c r="O160" s="510"/>
      <c r="P160" s="510"/>
      <c r="Q160" s="511" t="s">
        <v>264</v>
      </c>
      <c r="R160" s="512"/>
      <c r="S160" s="512"/>
      <c r="T160" s="513" t="s">
        <v>264</v>
      </c>
      <c r="U160" s="514"/>
      <c r="V160" s="514"/>
      <c r="W160" s="482">
        <f t="shared" si="38"/>
        <v>2.2400000000000002</v>
      </c>
      <c r="X160" s="449"/>
      <c r="Y160" s="115" t="s">
        <v>14</v>
      </c>
      <c r="Z160" s="445" t="s">
        <v>262</v>
      </c>
      <c r="AA160" s="446"/>
      <c r="AB160" s="442"/>
      <c r="AC160" s="442"/>
      <c r="AD160" s="442"/>
      <c r="AE160" s="442"/>
    </row>
    <row r="161" spans="4:31" ht="16.5" customHeight="1" x14ac:dyDescent="0.15">
      <c r="D161" s="536"/>
      <c r="E161" s="537"/>
      <c r="F161" s="423">
        <f t="shared" si="37"/>
        <v>131</v>
      </c>
      <c r="G161" s="423"/>
      <c r="H161" s="423">
        <f t="shared" si="39"/>
        <v>131</v>
      </c>
      <c r="I161" s="423"/>
      <c r="J161" s="423">
        <f t="shared" si="40"/>
        <v>132</v>
      </c>
      <c r="K161" s="423"/>
      <c r="L161" s="116">
        <f t="shared" si="42"/>
        <v>107</v>
      </c>
      <c r="M161" s="123">
        <f t="shared" si="41"/>
        <v>9</v>
      </c>
      <c r="N161" s="510" t="s">
        <v>263</v>
      </c>
      <c r="O161" s="510"/>
      <c r="P161" s="510"/>
      <c r="Q161" s="511" t="s">
        <v>264</v>
      </c>
      <c r="R161" s="512"/>
      <c r="S161" s="512"/>
      <c r="T161" s="513" t="s">
        <v>264</v>
      </c>
      <c r="U161" s="514"/>
      <c r="V161" s="514"/>
      <c r="W161" s="482">
        <f t="shared" si="38"/>
        <v>2.2400000000000002</v>
      </c>
      <c r="X161" s="449"/>
      <c r="Y161" s="115" t="s">
        <v>14</v>
      </c>
      <c r="Z161" s="445" t="s">
        <v>262</v>
      </c>
      <c r="AA161" s="446"/>
      <c r="AB161" s="442"/>
      <c r="AC161" s="442"/>
      <c r="AD161" s="442"/>
      <c r="AE161" s="442"/>
    </row>
    <row r="162" spans="4:31" ht="16.5" customHeight="1" x14ac:dyDescent="0.15">
      <c r="D162" s="536"/>
      <c r="E162" s="537"/>
      <c r="F162" s="423">
        <f t="shared" si="37"/>
        <v>132</v>
      </c>
      <c r="G162" s="423"/>
      <c r="H162" s="423">
        <f t="shared" si="39"/>
        <v>132</v>
      </c>
      <c r="I162" s="423"/>
      <c r="J162" s="423">
        <f t="shared" si="40"/>
        <v>133</v>
      </c>
      <c r="K162" s="423"/>
      <c r="L162" s="116">
        <f t="shared" si="42"/>
        <v>108</v>
      </c>
      <c r="M162" s="123">
        <f t="shared" si="41"/>
        <v>9</v>
      </c>
      <c r="N162" s="510" t="s">
        <v>263</v>
      </c>
      <c r="O162" s="510"/>
      <c r="P162" s="510"/>
      <c r="Q162" s="511" t="s">
        <v>264</v>
      </c>
      <c r="R162" s="512"/>
      <c r="S162" s="512"/>
      <c r="T162" s="513" t="s">
        <v>264</v>
      </c>
      <c r="U162" s="514"/>
      <c r="V162" s="514"/>
      <c r="W162" s="482">
        <f t="shared" si="38"/>
        <v>2.2400000000000002</v>
      </c>
      <c r="X162" s="449"/>
      <c r="Y162" s="115" t="s">
        <v>14</v>
      </c>
      <c r="Z162" s="445" t="s">
        <v>262</v>
      </c>
      <c r="AA162" s="446"/>
      <c r="AB162" s="442"/>
      <c r="AC162" s="442"/>
      <c r="AD162" s="442"/>
      <c r="AE162" s="442"/>
    </row>
    <row r="163" spans="4:31" ht="16.5" customHeight="1" x14ac:dyDescent="0.15">
      <c r="D163" s="536"/>
      <c r="E163" s="537"/>
      <c r="F163" s="423">
        <f t="shared" si="37"/>
        <v>133</v>
      </c>
      <c r="G163" s="423"/>
      <c r="H163" s="423">
        <f t="shared" si="39"/>
        <v>133</v>
      </c>
      <c r="I163" s="423"/>
      <c r="J163" s="423">
        <f t="shared" si="40"/>
        <v>134</v>
      </c>
      <c r="K163" s="423"/>
      <c r="L163" s="116">
        <f t="shared" si="42"/>
        <v>109</v>
      </c>
      <c r="M163" s="123">
        <f t="shared" si="41"/>
        <v>9</v>
      </c>
      <c r="N163" s="510" t="s">
        <v>263</v>
      </c>
      <c r="O163" s="510"/>
      <c r="P163" s="510"/>
      <c r="Q163" s="511" t="s">
        <v>264</v>
      </c>
      <c r="R163" s="512"/>
      <c r="S163" s="512"/>
      <c r="T163" s="513" t="s">
        <v>264</v>
      </c>
      <c r="U163" s="514"/>
      <c r="V163" s="514"/>
      <c r="W163" s="482">
        <f t="shared" si="38"/>
        <v>2.2400000000000002</v>
      </c>
      <c r="X163" s="449"/>
      <c r="Y163" s="115" t="s">
        <v>14</v>
      </c>
      <c r="Z163" s="445" t="s">
        <v>262</v>
      </c>
      <c r="AA163" s="446"/>
      <c r="AB163" s="442"/>
      <c r="AC163" s="442"/>
      <c r="AD163" s="442"/>
      <c r="AE163" s="442"/>
    </row>
    <row r="164" spans="4:31" ht="16.5" customHeight="1" x14ac:dyDescent="0.15">
      <c r="D164" s="536"/>
      <c r="E164" s="537"/>
      <c r="F164" s="423">
        <f t="shared" si="37"/>
        <v>134</v>
      </c>
      <c r="G164" s="423"/>
      <c r="H164" s="423">
        <f t="shared" si="39"/>
        <v>134</v>
      </c>
      <c r="I164" s="423"/>
      <c r="J164" s="423">
        <f t="shared" si="40"/>
        <v>135</v>
      </c>
      <c r="K164" s="423"/>
      <c r="L164" s="116">
        <f t="shared" si="42"/>
        <v>110</v>
      </c>
      <c r="M164" s="123">
        <f t="shared" si="41"/>
        <v>9</v>
      </c>
      <c r="N164" s="510" t="s">
        <v>263</v>
      </c>
      <c r="O164" s="510"/>
      <c r="P164" s="510"/>
      <c r="Q164" s="511" t="s">
        <v>264</v>
      </c>
      <c r="R164" s="512"/>
      <c r="S164" s="512"/>
      <c r="T164" s="513" t="s">
        <v>264</v>
      </c>
      <c r="U164" s="514"/>
      <c r="V164" s="514"/>
      <c r="W164" s="482">
        <f t="shared" si="38"/>
        <v>2.2400000000000002</v>
      </c>
      <c r="X164" s="449"/>
      <c r="Y164" s="115" t="s">
        <v>14</v>
      </c>
      <c r="Z164" s="445" t="s">
        <v>262</v>
      </c>
      <c r="AA164" s="446"/>
      <c r="AB164" s="442"/>
      <c r="AC164" s="442"/>
      <c r="AD164" s="442"/>
      <c r="AE164" s="442"/>
    </row>
    <row r="165" spans="4:31" ht="16.5" customHeight="1" x14ac:dyDescent="0.15">
      <c r="D165" s="536"/>
      <c r="E165" s="537"/>
      <c r="F165" s="423">
        <f t="shared" si="37"/>
        <v>135</v>
      </c>
      <c r="G165" s="423"/>
      <c r="H165" s="423">
        <f t="shared" si="39"/>
        <v>135</v>
      </c>
      <c r="I165" s="423"/>
      <c r="J165" s="423">
        <f t="shared" si="40"/>
        <v>136</v>
      </c>
      <c r="K165" s="423"/>
      <c r="L165" s="116">
        <f t="shared" si="42"/>
        <v>111</v>
      </c>
      <c r="M165" s="123">
        <f t="shared" si="41"/>
        <v>9</v>
      </c>
      <c r="N165" s="510" t="s">
        <v>263</v>
      </c>
      <c r="O165" s="510"/>
      <c r="P165" s="510"/>
      <c r="Q165" s="511" t="s">
        <v>264</v>
      </c>
      <c r="R165" s="512"/>
      <c r="S165" s="512"/>
      <c r="T165" s="513" t="s">
        <v>264</v>
      </c>
      <c r="U165" s="514"/>
      <c r="V165" s="514"/>
      <c r="W165" s="482">
        <f t="shared" si="38"/>
        <v>2.2400000000000002</v>
      </c>
      <c r="X165" s="449"/>
      <c r="Y165" s="115" t="s">
        <v>14</v>
      </c>
      <c r="Z165" s="445" t="s">
        <v>262</v>
      </c>
      <c r="AA165" s="446"/>
      <c r="AB165" s="442"/>
      <c r="AC165" s="442"/>
      <c r="AD165" s="442"/>
      <c r="AE165" s="442"/>
    </row>
    <row r="166" spans="4:31" ht="16.5" customHeight="1" x14ac:dyDescent="0.15">
      <c r="D166" s="536"/>
      <c r="E166" s="537"/>
      <c r="F166" s="423">
        <f t="shared" si="37"/>
        <v>136</v>
      </c>
      <c r="G166" s="423"/>
      <c r="H166" s="423">
        <f t="shared" si="39"/>
        <v>136</v>
      </c>
      <c r="I166" s="423"/>
      <c r="J166" s="423">
        <f t="shared" si="40"/>
        <v>137</v>
      </c>
      <c r="K166" s="423"/>
      <c r="L166" s="116">
        <f t="shared" si="42"/>
        <v>112</v>
      </c>
      <c r="M166" s="123">
        <f t="shared" si="41"/>
        <v>10</v>
      </c>
      <c r="N166" s="510" t="s">
        <v>263</v>
      </c>
      <c r="O166" s="510"/>
      <c r="P166" s="510"/>
      <c r="Q166" s="511" t="s">
        <v>264</v>
      </c>
      <c r="R166" s="512"/>
      <c r="S166" s="512"/>
      <c r="T166" s="513" t="s">
        <v>264</v>
      </c>
      <c r="U166" s="514"/>
      <c r="V166" s="514"/>
      <c r="W166" s="482">
        <f t="shared" si="38"/>
        <v>2.2400000000000002</v>
      </c>
      <c r="X166" s="449"/>
      <c r="Y166" s="115" t="s">
        <v>14</v>
      </c>
      <c r="Z166" s="445" t="s">
        <v>262</v>
      </c>
      <c r="AA166" s="446"/>
      <c r="AB166" s="442"/>
      <c r="AC166" s="442"/>
      <c r="AD166" s="442"/>
      <c r="AE166" s="442"/>
    </row>
    <row r="167" spans="4:31" ht="16.5" customHeight="1" x14ac:dyDescent="0.15">
      <c r="D167" s="536"/>
      <c r="E167" s="537"/>
      <c r="F167" s="423">
        <f t="shared" si="37"/>
        <v>137</v>
      </c>
      <c r="G167" s="423"/>
      <c r="H167" s="423">
        <f t="shared" si="39"/>
        <v>137</v>
      </c>
      <c r="I167" s="423"/>
      <c r="J167" s="423">
        <f t="shared" si="40"/>
        <v>138</v>
      </c>
      <c r="K167" s="423"/>
      <c r="L167" s="116">
        <f t="shared" si="42"/>
        <v>113</v>
      </c>
      <c r="M167" s="123">
        <f t="shared" si="41"/>
        <v>10</v>
      </c>
      <c r="N167" s="510" t="s">
        <v>263</v>
      </c>
      <c r="O167" s="510"/>
      <c r="P167" s="510"/>
      <c r="Q167" s="511" t="s">
        <v>264</v>
      </c>
      <c r="R167" s="512"/>
      <c r="S167" s="512"/>
      <c r="T167" s="513" t="s">
        <v>264</v>
      </c>
      <c r="U167" s="514"/>
      <c r="V167" s="514"/>
      <c r="W167" s="482">
        <f t="shared" si="38"/>
        <v>2.2400000000000002</v>
      </c>
      <c r="X167" s="449"/>
      <c r="Y167" s="115" t="s">
        <v>14</v>
      </c>
      <c r="Z167" s="445" t="s">
        <v>262</v>
      </c>
      <c r="AA167" s="446"/>
      <c r="AB167" s="442"/>
      <c r="AC167" s="442"/>
      <c r="AD167" s="442"/>
      <c r="AE167" s="442"/>
    </row>
    <row r="168" spans="4:31" ht="16.5" customHeight="1" x14ac:dyDescent="0.15">
      <c r="D168" s="536"/>
      <c r="E168" s="537"/>
      <c r="F168" s="423">
        <f t="shared" si="37"/>
        <v>138</v>
      </c>
      <c r="G168" s="423"/>
      <c r="H168" s="423">
        <f t="shared" si="39"/>
        <v>138</v>
      </c>
      <c r="I168" s="423"/>
      <c r="J168" s="423">
        <f t="shared" si="40"/>
        <v>139</v>
      </c>
      <c r="K168" s="423"/>
      <c r="L168" s="116">
        <f t="shared" si="42"/>
        <v>114</v>
      </c>
      <c r="M168" s="123">
        <f t="shared" si="41"/>
        <v>10</v>
      </c>
      <c r="N168" s="510" t="s">
        <v>263</v>
      </c>
      <c r="O168" s="510"/>
      <c r="P168" s="510"/>
      <c r="Q168" s="511" t="s">
        <v>264</v>
      </c>
      <c r="R168" s="512"/>
      <c r="S168" s="512"/>
      <c r="T168" s="513" t="s">
        <v>264</v>
      </c>
      <c r="U168" s="514"/>
      <c r="V168" s="514"/>
      <c r="W168" s="482">
        <f t="shared" si="38"/>
        <v>2.2400000000000002</v>
      </c>
      <c r="X168" s="449"/>
      <c r="Y168" s="115" t="s">
        <v>14</v>
      </c>
      <c r="Z168" s="445" t="s">
        <v>262</v>
      </c>
      <c r="AA168" s="446"/>
      <c r="AB168" s="442"/>
      <c r="AC168" s="442"/>
      <c r="AD168" s="442"/>
      <c r="AE168" s="442"/>
    </row>
    <row r="169" spans="4:31" ht="16.5" customHeight="1" x14ac:dyDescent="0.15">
      <c r="D169" s="536"/>
      <c r="E169" s="537"/>
      <c r="F169" s="423">
        <f t="shared" si="37"/>
        <v>139</v>
      </c>
      <c r="G169" s="423"/>
      <c r="H169" s="423">
        <f t="shared" si="39"/>
        <v>139</v>
      </c>
      <c r="I169" s="423"/>
      <c r="J169" s="423">
        <f t="shared" si="40"/>
        <v>140</v>
      </c>
      <c r="K169" s="423"/>
      <c r="L169" s="116">
        <f t="shared" si="42"/>
        <v>115</v>
      </c>
      <c r="M169" s="123">
        <f t="shared" si="41"/>
        <v>10</v>
      </c>
      <c r="N169" s="510" t="s">
        <v>263</v>
      </c>
      <c r="O169" s="510"/>
      <c r="P169" s="510"/>
      <c r="Q169" s="511" t="s">
        <v>264</v>
      </c>
      <c r="R169" s="512"/>
      <c r="S169" s="512"/>
      <c r="T169" s="513" t="s">
        <v>264</v>
      </c>
      <c r="U169" s="514"/>
      <c r="V169" s="514"/>
      <c r="W169" s="482">
        <f t="shared" si="38"/>
        <v>2.2400000000000002</v>
      </c>
      <c r="X169" s="449"/>
      <c r="Y169" s="115" t="s">
        <v>14</v>
      </c>
      <c r="Z169" s="445" t="s">
        <v>262</v>
      </c>
      <c r="AA169" s="446"/>
      <c r="AB169" s="442"/>
      <c r="AC169" s="442"/>
      <c r="AD169" s="442"/>
      <c r="AE169" s="442"/>
    </row>
    <row r="170" spans="4:31" ht="16.5" customHeight="1" x14ac:dyDescent="0.15">
      <c r="D170" s="536"/>
      <c r="E170" s="537"/>
      <c r="F170" s="423">
        <f t="shared" si="37"/>
        <v>140</v>
      </c>
      <c r="G170" s="423"/>
      <c r="H170" s="423">
        <f t="shared" si="39"/>
        <v>140</v>
      </c>
      <c r="I170" s="423"/>
      <c r="J170" s="423">
        <f t="shared" si="40"/>
        <v>141</v>
      </c>
      <c r="K170" s="423"/>
      <c r="L170" s="116">
        <f t="shared" si="42"/>
        <v>116</v>
      </c>
      <c r="M170" s="123">
        <f t="shared" si="41"/>
        <v>10</v>
      </c>
      <c r="N170" s="510" t="s">
        <v>263</v>
      </c>
      <c r="O170" s="510"/>
      <c r="P170" s="510"/>
      <c r="Q170" s="511" t="s">
        <v>264</v>
      </c>
      <c r="R170" s="512"/>
      <c r="S170" s="512"/>
      <c r="T170" s="513" t="s">
        <v>264</v>
      </c>
      <c r="U170" s="514"/>
      <c r="V170" s="514"/>
      <c r="W170" s="482">
        <f t="shared" si="38"/>
        <v>2.2400000000000002</v>
      </c>
      <c r="X170" s="449"/>
      <c r="Y170" s="115" t="s">
        <v>14</v>
      </c>
      <c r="Z170" s="445" t="s">
        <v>262</v>
      </c>
      <c r="AA170" s="446"/>
      <c r="AB170" s="442"/>
      <c r="AC170" s="442"/>
      <c r="AD170" s="442"/>
      <c r="AE170" s="442"/>
    </row>
    <row r="171" spans="4:31" ht="16.5" customHeight="1" x14ac:dyDescent="0.15">
      <c r="D171" s="536"/>
      <c r="E171" s="537"/>
      <c r="F171" s="423">
        <f t="shared" si="37"/>
        <v>141</v>
      </c>
      <c r="G171" s="423"/>
      <c r="H171" s="423">
        <f t="shared" si="39"/>
        <v>141</v>
      </c>
      <c r="I171" s="423"/>
      <c r="J171" s="423">
        <f t="shared" si="40"/>
        <v>142</v>
      </c>
      <c r="K171" s="423"/>
      <c r="L171" s="116">
        <f>+L170+1</f>
        <v>117</v>
      </c>
      <c r="M171" s="123">
        <f t="shared" si="41"/>
        <v>10</v>
      </c>
      <c r="N171" s="510" t="s">
        <v>263</v>
      </c>
      <c r="O171" s="510"/>
      <c r="P171" s="510"/>
      <c r="Q171" s="511" t="s">
        <v>264</v>
      </c>
      <c r="R171" s="512"/>
      <c r="S171" s="512"/>
      <c r="T171" s="513" t="s">
        <v>264</v>
      </c>
      <c r="U171" s="514"/>
      <c r="V171" s="514"/>
      <c r="W171" s="482">
        <f t="shared" si="38"/>
        <v>2.2400000000000002</v>
      </c>
      <c r="X171" s="449"/>
      <c r="Y171" s="115" t="s">
        <v>14</v>
      </c>
      <c r="Z171" s="445" t="s">
        <v>262</v>
      </c>
      <c r="AA171" s="446"/>
      <c r="AB171" s="442"/>
      <c r="AC171" s="442"/>
      <c r="AD171" s="442"/>
      <c r="AE171" s="442"/>
    </row>
    <row r="172" spans="4:31" ht="16.5" customHeight="1" x14ac:dyDescent="0.15">
      <c r="D172" s="536"/>
      <c r="E172" s="537"/>
      <c r="F172" s="423">
        <f t="shared" si="37"/>
        <v>142</v>
      </c>
      <c r="G172" s="423"/>
      <c r="H172" s="423">
        <f t="shared" si="39"/>
        <v>142</v>
      </c>
      <c r="I172" s="423"/>
      <c r="J172" s="423">
        <f t="shared" si="40"/>
        <v>143</v>
      </c>
      <c r="K172" s="423"/>
      <c r="L172" s="116">
        <f t="shared" ref="L172:L176" si="43">+L171+1</f>
        <v>118</v>
      </c>
      <c r="M172" s="123">
        <f t="shared" si="41"/>
        <v>10</v>
      </c>
      <c r="N172" s="510" t="s">
        <v>263</v>
      </c>
      <c r="O172" s="510"/>
      <c r="P172" s="510"/>
      <c r="Q172" s="511" t="s">
        <v>264</v>
      </c>
      <c r="R172" s="512"/>
      <c r="S172" s="512"/>
      <c r="T172" s="513" t="s">
        <v>264</v>
      </c>
      <c r="U172" s="514"/>
      <c r="V172" s="514"/>
      <c r="W172" s="482">
        <f t="shared" si="38"/>
        <v>2.2400000000000002</v>
      </c>
      <c r="X172" s="449"/>
      <c r="Y172" s="115" t="s">
        <v>14</v>
      </c>
      <c r="Z172" s="445" t="s">
        <v>262</v>
      </c>
      <c r="AA172" s="446"/>
      <c r="AB172" s="442"/>
      <c r="AC172" s="442"/>
      <c r="AD172" s="442"/>
      <c r="AE172" s="442"/>
    </row>
    <row r="173" spans="4:31" ht="16.5" customHeight="1" x14ac:dyDescent="0.15">
      <c r="D173" s="536"/>
      <c r="E173" s="537"/>
      <c r="F173" s="423">
        <f t="shared" si="37"/>
        <v>143</v>
      </c>
      <c r="G173" s="423"/>
      <c r="H173" s="423">
        <f t="shared" si="39"/>
        <v>143</v>
      </c>
      <c r="I173" s="423"/>
      <c r="J173" s="423">
        <f t="shared" si="40"/>
        <v>144</v>
      </c>
      <c r="K173" s="423"/>
      <c r="L173" s="116">
        <f t="shared" si="43"/>
        <v>119</v>
      </c>
      <c r="M173" s="123">
        <f t="shared" si="41"/>
        <v>10</v>
      </c>
      <c r="N173" s="510" t="s">
        <v>263</v>
      </c>
      <c r="O173" s="510"/>
      <c r="P173" s="510"/>
      <c r="Q173" s="511" t="s">
        <v>264</v>
      </c>
      <c r="R173" s="512"/>
      <c r="S173" s="512"/>
      <c r="T173" s="513" t="s">
        <v>264</v>
      </c>
      <c r="U173" s="514"/>
      <c r="V173" s="514"/>
      <c r="W173" s="482">
        <f t="shared" si="38"/>
        <v>2.2400000000000002</v>
      </c>
      <c r="X173" s="449"/>
      <c r="Y173" s="115" t="s">
        <v>14</v>
      </c>
      <c r="Z173" s="445" t="s">
        <v>262</v>
      </c>
      <c r="AA173" s="446"/>
      <c r="AB173" s="442"/>
      <c r="AC173" s="442"/>
      <c r="AD173" s="442"/>
      <c r="AE173" s="442"/>
    </row>
    <row r="174" spans="4:31" ht="16.5" customHeight="1" x14ac:dyDescent="0.15">
      <c r="D174" s="536"/>
      <c r="E174" s="537"/>
      <c r="F174" s="423">
        <f t="shared" si="37"/>
        <v>144</v>
      </c>
      <c r="G174" s="423"/>
      <c r="H174" s="423">
        <f t="shared" si="39"/>
        <v>144</v>
      </c>
      <c r="I174" s="423"/>
      <c r="J174" s="423">
        <f t="shared" si="40"/>
        <v>145</v>
      </c>
      <c r="K174" s="423"/>
      <c r="L174" s="116">
        <f t="shared" si="43"/>
        <v>120</v>
      </c>
      <c r="M174" s="123">
        <f t="shared" si="41"/>
        <v>10</v>
      </c>
      <c r="N174" s="510" t="s">
        <v>263</v>
      </c>
      <c r="O174" s="510"/>
      <c r="P174" s="510"/>
      <c r="Q174" s="511" t="s">
        <v>264</v>
      </c>
      <c r="R174" s="512"/>
      <c r="S174" s="512"/>
      <c r="T174" s="513" t="s">
        <v>264</v>
      </c>
      <c r="U174" s="514"/>
      <c r="V174" s="514"/>
      <c r="W174" s="482">
        <f t="shared" si="38"/>
        <v>2.2400000000000002</v>
      </c>
      <c r="X174" s="449"/>
      <c r="Y174" s="115" t="s">
        <v>14</v>
      </c>
      <c r="Z174" s="445" t="s">
        <v>262</v>
      </c>
      <c r="AA174" s="446"/>
      <c r="AB174" s="442"/>
      <c r="AC174" s="442"/>
      <c r="AD174" s="442"/>
      <c r="AE174" s="442"/>
    </row>
    <row r="175" spans="4:31" ht="16.5" customHeight="1" x14ac:dyDescent="0.15">
      <c r="D175" s="536"/>
      <c r="E175" s="537"/>
      <c r="F175" s="423">
        <f t="shared" si="37"/>
        <v>145</v>
      </c>
      <c r="G175" s="423"/>
      <c r="H175" s="423">
        <f t="shared" si="39"/>
        <v>145</v>
      </c>
      <c r="I175" s="423"/>
      <c r="J175" s="423">
        <f t="shared" si="40"/>
        <v>146</v>
      </c>
      <c r="K175" s="423"/>
      <c r="L175" s="116">
        <f t="shared" si="43"/>
        <v>121</v>
      </c>
      <c r="M175" s="123">
        <f t="shared" si="41"/>
        <v>10</v>
      </c>
      <c r="N175" s="510" t="s">
        <v>263</v>
      </c>
      <c r="O175" s="510"/>
      <c r="P175" s="510"/>
      <c r="Q175" s="511" t="s">
        <v>264</v>
      </c>
      <c r="R175" s="512"/>
      <c r="S175" s="512"/>
      <c r="T175" s="513" t="s">
        <v>264</v>
      </c>
      <c r="U175" s="514"/>
      <c r="V175" s="514"/>
      <c r="W175" s="482">
        <f t="shared" si="38"/>
        <v>2.2400000000000002</v>
      </c>
      <c r="X175" s="449"/>
      <c r="Y175" s="115" t="s">
        <v>14</v>
      </c>
      <c r="Z175" s="445" t="s">
        <v>262</v>
      </c>
      <c r="AA175" s="446"/>
      <c r="AB175" s="442"/>
      <c r="AC175" s="442"/>
      <c r="AD175" s="442"/>
      <c r="AE175" s="442"/>
    </row>
    <row r="176" spans="4:31" ht="16.5" customHeight="1" thickBot="1" x14ac:dyDescent="0.2">
      <c r="D176" s="542"/>
      <c r="E176" s="543"/>
      <c r="F176" s="424">
        <f t="shared" si="37"/>
        <v>146</v>
      </c>
      <c r="G176" s="424"/>
      <c r="H176" s="424">
        <f t="shared" si="39"/>
        <v>146</v>
      </c>
      <c r="I176" s="424"/>
      <c r="J176" s="424">
        <f t="shared" si="40"/>
        <v>147</v>
      </c>
      <c r="K176" s="424"/>
      <c r="L176" s="117">
        <f t="shared" si="43"/>
        <v>122</v>
      </c>
      <c r="M176" s="138">
        <f t="shared" si="41"/>
        <v>10</v>
      </c>
      <c r="N176" s="520" t="s">
        <v>263</v>
      </c>
      <c r="O176" s="520"/>
      <c r="P176" s="520"/>
      <c r="Q176" s="455" t="s">
        <v>264</v>
      </c>
      <c r="R176" s="456"/>
      <c r="S176" s="456"/>
      <c r="T176" s="457" t="s">
        <v>264</v>
      </c>
      <c r="U176" s="458"/>
      <c r="V176" s="458"/>
      <c r="W176" s="508">
        <f t="shared" si="38"/>
        <v>2.2400000000000002</v>
      </c>
      <c r="X176" s="509"/>
      <c r="Y176" s="124" t="s">
        <v>14</v>
      </c>
      <c r="Z176" s="461" t="s">
        <v>262</v>
      </c>
      <c r="AA176" s="460"/>
      <c r="AB176" s="451"/>
      <c r="AC176" s="451"/>
      <c r="AD176" s="451"/>
      <c r="AE176" s="451"/>
    </row>
    <row r="177" spans="4:31" ht="16.5" customHeight="1" thickTop="1" x14ac:dyDescent="0.15">
      <c r="D177" s="536" t="s">
        <v>286</v>
      </c>
      <c r="E177" s="537"/>
      <c r="F177" s="483">
        <f>+F176+1</f>
        <v>147</v>
      </c>
      <c r="G177" s="483"/>
      <c r="H177" s="519">
        <v>96</v>
      </c>
      <c r="I177" s="519"/>
      <c r="J177" s="519">
        <v>148</v>
      </c>
      <c r="K177" s="519"/>
      <c r="L177" s="111"/>
      <c r="M177" s="112"/>
      <c r="N177" s="432" t="s">
        <v>261</v>
      </c>
      <c r="O177" s="432"/>
      <c r="P177" s="432"/>
      <c r="Q177" s="433">
        <v>1000</v>
      </c>
      <c r="R177" s="433"/>
      <c r="S177" s="433"/>
      <c r="T177" s="434">
        <v>1000</v>
      </c>
      <c r="U177" s="434"/>
      <c r="V177" s="434"/>
      <c r="W177" s="478">
        <f>+W152</f>
        <v>2.35</v>
      </c>
      <c r="X177" s="479"/>
      <c r="Y177" s="113" t="s">
        <v>14</v>
      </c>
      <c r="Z177" s="480" t="s">
        <v>262</v>
      </c>
      <c r="AA177" s="516"/>
      <c r="AB177" s="481"/>
      <c r="AC177" s="481"/>
      <c r="AD177" s="481"/>
      <c r="AE177" s="481"/>
    </row>
    <row r="178" spans="4:31" ht="16.5" customHeight="1" x14ac:dyDescent="0.15">
      <c r="D178" s="536"/>
      <c r="E178" s="537"/>
      <c r="F178" s="423">
        <f t="shared" si="37"/>
        <v>148</v>
      </c>
      <c r="G178" s="423"/>
      <c r="H178" s="423">
        <f>+J177</f>
        <v>148</v>
      </c>
      <c r="I178" s="423"/>
      <c r="J178" s="423">
        <f>+J177+1</f>
        <v>149</v>
      </c>
      <c r="K178" s="423"/>
      <c r="L178" s="116">
        <f>+L176+1</f>
        <v>123</v>
      </c>
      <c r="M178" s="123">
        <f>+M153</f>
        <v>7</v>
      </c>
      <c r="N178" s="510" t="s">
        <v>263</v>
      </c>
      <c r="O178" s="510"/>
      <c r="P178" s="510"/>
      <c r="Q178" s="511" t="s">
        <v>264</v>
      </c>
      <c r="R178" s="512"/>
      <c r="S178" s="512"/>
      <c r="T178" s="513" t="s">
        <v>264</v>
      </c>
      <c r="U178" s="514"/>
      <c r="V178" s="514"/>
      <c r="W178" s="482">
        <f t="shared" ref="W178:W201" si="44">+W153</f>
        <v>2.2400000000000002</v>
      </c>
      <c r="X178" s="449"/>
      <c r="Y178" s="115" t="s">
        <v>14</v>
      </c>
      <c r="Z178" s="445" t="s">
        <v>262</v>
      </c>
      <c r="AA178" s="446"/>
      <c r="AB178" s="442" t="s">
        <v>265</v>
      </c>
      <c r="AC178" s="442"/>
      <c r="AD178" s="442"/>
      <c r="AE178" s="442"/>
    </row>
    <row r="179" spans="4:31" ht="16.5" customHeight="1" x14ac:dyDescent="0.15">
      <c r="D179" s="536"/>
      <c r="E179" s="537"/>
      <c r="F179" s="423">
        <f t="shared" si="37"/>
        <v>149</v>
      </c>
      <c r="G179" s="423"/>
      <c r="H179" s="423">
        <f t="shared" ref="H179:H201" si="45">+H178+1</f>
        <v>149</v>
      </c>
      <c r="I179" s="423"/>
      <c r="J179" s="423">
        <f t="shared" ref="J179:J201" si="46">+J178+1</f>
        <v>150</v>
      </c>
      <c r="K179" s="423"/>
      <c r="L179" s="116">
        <f>+L178+1</f>
        <v>124</v>
      </c>
      <c r="M179" s="123">
        <f t="shared" ref="M179:M201" si="47">+M154</f>
        <v>7</v>
      </c>
      <c r="N179" s="510" t="s">
        <v>263</v>
      </c>
      <c r="O179" s="510"/>
      <c r="P179" s="510"/>
      <c r="Q179" s="511" t="s">
        <v>264</v>
      </c>
      <c r="R179" s="512"/>
      <c r="S179" s="512"/>
      <c r="T179" s="513" t="s">
        <v>264</v>
      </c>
      <c r="U179" s="514"/>
      <c r="V179" s="514"/>
      <c r="W179" s="482">
        <f t="shared" si="44"/>
        <v>2.2400000000000002</v>
      </c>
      <c r="X179" s="449"/>
      <c r="Y179" s="115" t="s">
        <v>14</v>
      </c>
      <c r="Z179" s="445" t="s">
        <v>262</v>
      </c>
      <c r="AA179" s="446"/>
      <c r="AB179" s="442"/>
      <c r="AC179" s="442"/>
      <c r="AD179" s="442"/>
      <c r="AE179" s="442"/>
    </row>
    <row r="180" spans="4:31" ht="16.5" customHeight="1" x14ac:dyDescent="0.15">
      <c r="D180" s="536"/>
      <c r="E180" s="537"/>
      <c r="F180" s="423">
        <f t="shared" si="37"/>
        <v>150</v>
      </c>
      <c r="G180" s="423"/>
      <c r="H180" s="423">
        <f t="shared" si="45"/>
        <v>150</v>
      </c>
      <c r="I180" s="423"/>
      <c r="J180" s="423">
        <f t="shared" si="46"/>
        <v>151</v>
      </c>
      <c r="K180" s="423"/>
      <c r="L180" s="116">
        <f t="shared" ref="L180:L195" si="48">+L179+1</f>
        <v>125</v>
      </c>
      <c r="M180" s="123">
        <f t="shared" si="47"/>
        <v>8</v>
      </c>
      <c r="N180" s="510" t="s">
        <v>263</v>
      </c>
      <c r="O180" s="510"/>
      <c r="P180" s="510"/>
      <c r="Q180" s="511" t="s">
        <v>264</v>
      </c>
      <c r="R180" s="512"/>
      <c r="S180" s="512"/>
      <c r="T180" s="513" t="s">
        <v>264</v>
      </c>
      <c r="U180" s="514"/>
      <c r="V180" s="514"/>
      <c r="W180" s="482">
        <f t="shared" si="44"/>
        <v>2.2400000000000002</v>
      </c>
      <c r="X180" s="449"/>
      <c r="Y180" s="115" t="s">
        <v>14</v>
      </c>
      <c r="Z180" s="445" t="s">
        <v>262</v>
      </c>
      <c r="AA180" s="446"/>
      <c r="AB180" s="442"/>
      <c r="AC180" s="442"/>
      <c r="AD180" s="442"/>
      <c r="AE180" s="442"/>
    </row>
    <row r="181" spans="4:31" ht="16.5" customHeight="1" x14ac:dyDescent="0.15">
      <c r="D181" s="536"/>
      <c r="E181" s="537"/>
      <c r="F181" s="423">
        <f t="shared" si="37"/>
        <v>151</v>
      </c>
      <c r="G181" s="423"/>
      <c r="H181" s="423">
        <f t="shared" si="45"/>
        <v>151</v>
      </c>
      <c r="I181" s="423"/>
      <c r="J181" s="423">
        <f t="shared" si="46"/>
        <v>152</v>
      </c>
      <c r="K181" s="423"/>
      <c r="L181" s="116">
        <f t="shared" si="48"/>
        <v>126</v>
      </c>
      <c r="M181" s="123">
        <f t="shared" si="47"/>
        <v>8</v>
      </c>
      <c r="N181" s="510" t="s">
        <v>263</v>
      </c>
      <c r="O181" s="510"/>
      <c r="P181" s="510"/>
      <c r="Q181" s="511" t="s">
        <v>264</v>
      </c>
      <c r="R181" s="512"/>
      <c r="S181" s="512"/>
      <c r="T181" s="513" t="s">
        <v>264</v>
      </c>
      <c r="U181" s="514"/>
      <c r="V181" s="514"/>
      <c r="W181" s="482">
        <f t="shared" si="44"/>
        <v>2.2400000000000002</v>
      </c>
      <c r="X181" s="449"/>
      <c r="Y181" s="115" t="s">
        <v>14</v>
      </c>
      <c r="Z181" s="445" t="s">
        <v>262</v>
      </c>
      <c r="AA181" s="446"/>
      <c r="AB181" s="442"/>
      <c r="AC181" s="442"/>
      <c r="AD181" s="442"/>
      <c r="AE181" s="442"/>
    </row>
    <row r="182" spans="4:31" ht="16.5" customHeight="1" x14ac:dyDescent="0.15">
      <c r="D182" s="536"/>
      <c r="E182" s="537"/>
      <c r="F182" s="423">
        <f t="shared" si="37"/>
        <v>152</v>
      </c>
      <c r="G182" s="423"/>
      <c r="H182" s="423">
        <f t="shared" si="45"/>
        <v>152</v>
      </c>
      <c r="I182" s="423"/>
      <c r="J182" s="423">
        <f t="shared" si="46"/>
        <v>153</v>
      </c>
      <c r="K182" s="423"/>
      <c r="L182" s="116">
        <f t="shared" si="48"/>
        <v>127</v>
      </c>
      <c r="M182" s="123">
        <f t="shared" si="47"/>
        <v>8</v>
      </c>
      <c r="N182" s="510" t="s">
        <v>263</v>
      </c>
      <c r="O182" s="510"/>
      <c r="P182" s="510"/>
      <c r="Q182" s="511" t="s">
        <v>264</v>
      </c>
      <c r="R182" s="512"/>
      <c r="S182" s="512"/>
      <c r="T182" s="513" t="s">
        <v>264</v>
      </c>
      <c r="U182" s="514"/>
      <c r="V182" s="514"/>
      <c r="W182" s="482">
        <f t="shared" si="44"/>
        <v>2.2400000000000002</v>
      </c>
      <c r="X182" s="449"/>
      <c r="Y182" s="115" t="s">
        <v>14</v>
      </c>
      <c r="Z182" s="445" t="s">
        <v>262</v>
      </c>
      <c r="AA182" s="446"/>
      <c r="AB182" s="442"/>
      <c r="AC182" s="442"/>
      <c r="AD182" s="442"/>
      <c r="AE182" s="442"/>
    </row>
    <row r="183" spans="4:31" ht="16.5" customHeight="1" x14ac:dyDescent="0.15">
      <c r="D183" s="536"/>
      <c r="E183" s="537"/>
      <c r="F183" s="423">
        <f t="shared" si="37"/>
        <v>153</v>
      </c>
      <c r="G183" s="423"/>
      <c r="H183" s="423">
        <f t="shared" si="45"/>
        <v>153</v>
      </c>
      <c r="I183" s="423"/>
      <c r="J183" s="423">
        <f t="shared" si="46"/>
        <v>154</v>
      </c>
      <c r="K183" s="423"/>
      <c r="L183" s="116">
        <f t="shared" si="48"/>
        <v>128</v>
      </c>
      <c r="M183" s="123">
        <f t="shared" si="47"/>
        <v>8</v>
      </c>
      <c r="N183" s="510" t="s">
        <v>263</v>
      </c>
      <c r="O183" s="510"/>
      <c r="P183" s="510"/>
      <c r="Q183" s="511" t="s">
        <v>264</v>
      </c>
      <c r="R183" s="512"/>
      <c r="S183" s="512"/>
      <c r="T183" s="513" t="s">
        <v>264</v>
      </c>
      <c r="U183" s="514"/>
      <c r="V183" s="514"/>
      <c r="W183" s="482">
        <f t="shared" si="44"/>
        <v>2.2400000000000002</v>
      </c>
      <c r="X183" s="449"/>
      <c r="Y183" s="115" t="s">
        <v>14</v>
      </c>
      <c r="Z183" s="445" t="s">
        <v>262</v>
      </c>
      <c r="AA183" s="446"/>
      <c r="AB183" s="442"/>
      <c r="AC183" s="442"/>
      <c r="AD183" s="442"/>
      <c r="AE183" s="442"/>
    </row>
    <row r="184" spans="4:31" ht="16.5" customHeight="1" x14ac:dyDescent="0.15">
      <c r="D184" s="536"/>
      <c r="E184" s="537"/>
      <c r="F184" s="423">
        <f t="shared" si="37"/>
        <v>154</v>
      </c>
      <c r="G184" s="423"/>
      <c r="H184" s="423">
        <f t="shared" si="45"/>
        <v>154</v>
      </c>
      <c r="I184" s="423"/>
      <c r="J184" s="423">
        <f t="shared" si="46"/>
        <v>155</v>
      </c>
      <c r="K184" s="423"/>
      <c r="L184" s="116">
        <f t="shared" si="48"/>
        <v>129</v>
      </c>
      <c r="M184" s="123">
        <f t="shared" si="47"/>
        <v>8</v>
      </c>
      <c r="N184" s="510" t="s">
        <v>263</v>
      </c>
      <c r="O184" s="510"/>
      <c r="P184" s="510"/>
      <c r="Q184" s="511" t="s">
        <v>264</v>
      </c>
      <c r="R184" s="512"/>
      <c r="S184" s="512"/>
      <c r="T184" s="513" t="s">
        <v>264</v>
      </c>
      <c r="U184" s="514"/>
      <c r="V184" s="514"/>
      <c r="W184" s="482">
        <f t="shared" si="44"/>
        <v>2.2400000000000002</v>
      </c>
      <c r="X184" s="449"/>
      <c r="Y184" s="115" t="s">
        <v>14</v>
      </c>
      <c r="Z184" s="445" t="s">
        <v>262</v>
      </c>
      <c r="AA184" s="446"/>
      <c r="AB184" s="442"/>
      <c r="AC184" s="442"/>
      <c r="AD184" s="442"/>
      <c r="AE184" s="442"/>
    </row>
    <row r="185" spans="4:31" ht="16.5" customHeight="1" x14ac:dyDescent="0.15">
      <c r="D185" s="536"/>
      <c r="E185" s="537"/>
      <c r="F185" s="423">
        <f t="shared" si="37"/>
        <v>155</v>
      </c>
      <c r="G185" s="423"/>
      <c r="H185" s="423">
        <f t="shared" si="45"/>
        <v>155</v>
      </c>
      <c r="I185" s="423"/>
      <c r="J185" s="423">
        <f t="shared" si="46"/>
        <v>156</v>
      </c>
      <c r="K185" s="423"/>
      <c r="L185" s="116">
        <f t="shared" si="48"/>
        <v>130</v>
      </c>
      <c r="M185" s="123">
        <f t="shared" si="47"/>
        <v>9</v>
      </c>
      <c r="N185" s="510" t="s">
        <v>263</v>
      </c>
      <c r="O185" s="510"/>
      <c r="P185" s="510"/>
      <c r="Q185" s="511" t="s">
        <v>264</v>
      </c>
      <c r="R185" s="512"/>
      <c r="S185" s="512"/>
      <c r="T185" s="513" t="s">
        <v>264</v>
      </c>
      <c r="U185" s="514"/>
      <c r="V185" s="514"/>
      <c r="W185" s="482">
        <f t="shared" si="44"/>
        <v>2.2400000000000002</v>
      </c>
      <c r="X185" s="449"/>
      <c r="Y185" s="115" t="s">
        <v>14</v>
      </c>
      <c r="Z185" s="445" t="s">
        <v>262</v>
      </c>
      <c r="AA185" s="446"/>
      <c r="AB185" s="442"/>
      <c r="AC185" s="442"/>
      <c r="AD185" s="442"/>
      <c r="AE185" s="442"/>
    </row>
    <row r="186" spans="4:31" ht="16.5" customHeight="1" x14ac:dyDescent="0.15">
      <c r="D186" s="536"/>
      <c r="E186" s="537"/>
      <c r="F186" s="423">
        <f t="shared" si="37"/>
        <v>156</v>
      </c>
      <c r="G186" s="423"/>
      <c r="H186" s="423">
        <f t="shared" si="45"/>
        <v>156</v>
      </c>
      <c r="I186" s="423"/>
      <c r="J186" s="423">
        <f t="shared" si="46"/>
        <v>157</v>
      </c>
      <c r="K186" s="423"/>
      <c r="L186" s="116">
        <f t="shared" si="48"/>
        <v>131</v>
      </c>
      <c r="M186" s="123">
        <f t="shared" si="47"/>
        <v>9</v>
      </c>
      <c r="N186" s="510" t="s">
        <v>263</v>
      </c>
      <c r="O186" s="510"/>
      <c r="P186" s="510"/>
      <c r="Q186" s="511" t="s">
        <v>264</v>
      </c>
      <c r="R186" s="512"/>
      <c r="S186" s="512"/>
      <c r="T186" s="513" t="s">
        <v>264</v>
      </c>
      <c r="U186" s="514"/>
      <c r="V186" s="514"/>
      <c r="W186" s="482">
        <f t="shared" si="44"/>
        <v>2.2400000000000002</v>
      </c>
      <c r="X186" s="449"/>
      <c r="Y186" s="115" t="s">
        <v>14</v>
      </c>
      <c r="Z186" s="445" t="s">
        <v>262</v>
      </c>
      <c r="AA186" s="446"/>
      <c r="AB186" s="442"/>
      <c r="AC186" s="442"/>
      <c r="AD186" s="442"/>
      <c r="AE186" s="442"/>
    </row>
    <row r="187" spans="4:31" ht="16.5" customHeight="1" x14ac:dyDescent="0.15">
      <c r="D187" s="536"/>
      <c r="E187" s="537"/>
      <c r="F187" s="423">
        <f t="shared" si="37"/>
        <v>157</v>
      </c>
      <c r="G187" s="423"/>
      <c r="H187" s="423">
        <f t="shared" si="45"/>
        <v>157</v>
      </c>
      <c r="I187" s="423"/>
      <c r="J187" s="423">
        <f t="shared" si="46"/>
        <v>158</v>
      </c>
      <c r="K187" s="423"/>
      <c r="L187" s="116">
        <f t="shared" si="48"/>
        <v>132</v>
      </c>
      <c r="M187" s="123">
        <f t="shared" si="47"/>
        <v>9</v>
      </c>
      <c r="N187" s="510" t="s">
        <v>263</v>
      </c>
      <c r="O187" s="510"/>
      <c r="P187" s="510"/>
      <c r="Q187" s="511" t="s">
        <v>264</v>
      </c>
      <c r="R187" s="512"/>
      <c r="S187" s="512"/>
      <c r="T187" s="513" t="s">
        <v>264</v>
      </c>
      <c r="U187" s="514"/>
      <c r="V187" s="514"/>
      <c r="W187" s="482">
        <f t="shared" si="44"/>
        <v>2.2400000000000002</v>
      </c>
      <c r="X187" s="449"/>
      <c r="Y187" s="115" t="s">
        <v>14</v>
      </c>
      <c r="Z187" s="445" t="s">
        <v>262</v>
      </c>
      <c r="AA187" s="446"/>
      <c r="AB187" s="442"/>
      <c r="AC187" s="442"/>
      <c r="AD187" s="442"/>
      <c r="AE187" s="442"/>
    </row>
    <row r="188" spans="4:31" ht="16.5" customHeight="1" x14ac:dyDescent="0.15">
      <c r="D188" s="536"/>
      <c r="E188" s="537"/>
      <c r="F188" s="423">
        <f t="shared" si="37"/>
        <v>158</v>
      </c>
      <c r="G188" s="423"/>
      <c r="H188" s="423">
        <f t="shared" si="45"/>
        <v>158</v>
      </c>
      <c r="I188" s="423"/>
      <c r="J188" s="423">
        <f t="shared" si="46"/>
        <v>159</v>
      </c>
      <c r="K188" s="423"/>
      <c r="L188" s="116">
        <f t="shared" si="48"/>
        <v>133</v>
      </c>
      <c r="M188" s="123">
        <f t="shared" si="47"/>
        <v>9</v>
      </c>
      <c r="N188" s="510" t="s">
        <v>263</v>
      </c>
      <c r="O188" s="510"/>
      <c r="P188" s="510"/>
      <c r="Q188" s="511" t="s">
        <v>264</v>
      </c>
      <c r="R188" s="512"/>
      <c r="S188" s="512"/>
      <c r="T188" s="513" t="s">
        <v>264</v>
      </c>
      <c r="U188" s="514"/>
      <c r="V188" s="514"/>
      <c r="W188" s="482">
        <f t="shared" si="44"/>
        <v>2.2400000000000002</v>
      </c>
      <c r="X188" s="449"/>
      <c r="Y188" s="115" t="s">
        <v>14</v>
      </c>
      <c r="Z188" s="445" t="s">
        <v>262</v>
      </c>
      <c r="AA188" s="446"/>
      <c r="AB188" s="442"/>
      <c r="AC188" s="442"/>
      <c r="AD188" s="442"/>
      <c r="AE188" s="442"/>
    </row>
    <row r="189" spans="4:31" ht="16.5" customHeight="1" x14ac:dyDescent="0.15">
      <c r="D189" s="536"/>
      <c r="E189" s="537"/>
      <c r="F189" s="423">
        <f t="shared" si="37"/>
        <v>159</v>
      </c>
      <c r="G189" s="423"/>
      <c r="H189" s="423">
        <f t="shared" si="45"/>
        <v>159</v>
      </c>
      <c r="I189" s="423"/>
      <c r="J189" s="423">
        <f t="shared" si="46"/>
        <v>160</v>
      </c>
      <c r="K189" s="423"/>
      <c r="L189" s="116">
        <f t="shared" si="48"/>
        <v>134</v>
      </c>
      <c r="M189" s="123">
        <f t="shared" si="47"/>
        <v>9</v>
      </c>
      <c r="N189" s="510" t="s">
        <v>263</v>
      </c>
      <c r="O189" s="510"/>
      <c r="P189" s="510"/>
      <c r="Q189" s="511" t="s">
        <v>264</v>
      </c>
      <c r="R189" s="512"/>
      <c r="S189" s="512"/>
      <c r="T189" s="513" t="s">
        <v>264</v>
      </c>
      <c r="U189" s="514"/>
      <c r="V189" s="514"/>
      <c r="W189" s="482">
        <f t="shared" si="44"/>
        <v>2.2400000000000002</v>
      </c>
      <c r="X189" s="449"/>
      <c r="Y189" s="115" t="s">
        <v>14</v>
      </c>
      <c r="Z189" s="445" t="s">
        <v>262</v>
      </c>
      <c r="AA189" s="446"/>
      <c r="AB189" s="442"/>
      <c r="AC189" s="442"/>
      <c r="AD189" s="442"/>
      <c r="AE189" s="442"/>
    </row>
    <row r="190" spans="4:31" ht="16.5" customHeight="1" x14ac:dyDescent="0.15">
      <c r="D190" s="536"/>
      <c r="E190" s="537"/>
      <c r="F190" s="423">
        <f t="shared" si="37"/>
        <v>160</v>
      </c>
      <c r="G190" s="423"/>
      <c r="H190" s="423">
        <f t="shared" si="45"/>
        <v>160</v>
      </c>
      <c r="I190" s="423"/>
      <c r="J190" s="423">
        <f t="shared" si="46"/>
        <v>161</v>
      </c>
      <c r="K190" s="423"/>
      <c r="L190" s="116">
        <f t="shared" si="48"/>
        <v>135</v>
      </c>
      <c r="M190" s="123">
        <f t="shared" si="47"/>
        <v>9</v>
      </c>
      <c r="N190" s="510" t="s">
        <v>263</v>
      </c>
      <c r="O190" s="510"/>
      <c r="P190" s="510"/>
      <c r="Q190" s="511" t="s">
        <v>264</v>
      </c>
      <c r="R190" s="512"/>
      <c r="S190" s="512"/>
      <c r="T190" s="513" t="s">
        <v>264</v>
      </c>
      <c r="U190" s="514"/>
      <c r="V190" s="514"/>
      <c r="W190" s="482">
        <f t="shared" si="44"/>
        <v>2.2400000000000002</v>
      </c>
      <c r="X190" s="449"/>
      <c r="Y190" s="115" t="s">
        <v>14</v>
      </c>
      <c r="Z190" s="445" t="s">
        <v>262</v>
      </c>
      <c r="AA190" s="446"/>
      <c r="AB190" s="442"/>
      <c r="AC190" s="442"/>
      <c r="AD190" s="442"/>
      <c r="AE190" s="442"/>
    </row>
    <row r="191" spans="4:31" ht="16.5" customHeight="1" x14ac:dyDescent="0.15">
      <c r="D191" s="536"/>
      <c r="E191" s="537"/>
      <c r="F191" s="423">
        <f t="shared" si="37"/>
        <v>161</v>
      </c>
      <c r="G191" s="423"/>
      <c r="H191" s="423">
        <f t="shared" si="45"/>
        <v>161</v>
      </c>
      <c r="I191" s="423"/>
      <c r="J191" s="423">
        <f t="shared" si="46"/>
        <v>162</v>
      </c>
      <c r="K191" s="423"/>
      <c r="L191" s="116">
        <f t="shared" si="48"/>
        <v>136</v>
      </c>
      <c r="M191" s="123">
        <f t="shared" si="47"/>
        <v>10</v>
      </c>
      <c r="N191" s="510" t="s">
        <v>263</v>
      </c>
      <c r="O191" s="510"/>
      <c r="P191" s="510"/>
      <c r="Q191" s="511" t="s">
        <v>264</v>
      </c>
      <c r="R191" s="512"/>
      <c r="S191" s="512"/>
      <c r="T191" s="513" t="s">
        <v>264</v>
      </c>
      <c r="U191" s="514"/>
      <c r="V191" s="514"/>
      <c r="W191" s="482">
        <f t="shared" si="44"/>
        <v>2.2400000000000002</v>
      </c>
      <c r="X191" s="449"/>
      <c r="Y191" s="115" t="s">
        <v>14</v>
      </c>
      <c r="Z191" s="445" t="s">
        <v>262</v>
      </c>
      <c r="AA191" s="446"/>
      <c r="AB191" s="442"/>
      <c r="AC191" s="442"/>
      <c r="AD191" s="442"/>
      <c r="AE191" s="442"/>
    </row>
    <row r="192" spans="4:31" ht="16.5" customHeight="1" x14ac:dyDescent="0.15">
      <c r="D192" s="536"/>
      <c r="E192" s="537"/>
      <c r="F192" s="423">
        <f t="shared" si="37"/>
        <v>162</v>
      </c>
      <c r="G192" s="423"/>
      <c r="H192" s="423">
        <f t="shared" si="45"/>
        <v>162</v>
      </c>
      <c r="I192" s="423"/>
      <c r="J192" s="423">
        <f t="shared" si="46"/>
        <v>163</v>
      </c>
      <c r="K192" s="423"/>
      <c r="L192" s="116">
        <f t="shared" si="48"/>
        <v>137</v>
      </c>
      <c r="M192" s="123">
        <f t="shared" si="47"/>
        <v>10</v>
      </c>
      <c r="N192" s="510" t="s">
        <v>263</v>
      </c>
      <c r="O192" s="510"/>
      <c r="P192" s="510"/>
      <c r="Q192" s="511" t="s">
        <v>264</v>
      </c>
      <c r="R192" s="512"/>
      <c r="S192" s="512"/>
      <c r="T192" s="513" t="s">
        <v>264</v>
      </c>
      <c r="U192" s="514"/>
      <c r="V192" s="514"/>
      <c r="W192" s="482">
        <f t="shared" si="44"/>
        <v>2.2400000000000002</v>
      </c>
      <c r="X192" s="449"/>
      <c r="Y192" s="115" t="s">
        <v>14</v>
      </c>
      <c r="Z192" s="445" t="s">
        <v>262</v>
      </c>
      <c r="AA192" s="446"/>
      <c r="AB192" s="442"/>
      <c r="AC192" s="442"/>
      <c r="AD192" s="442"/>
      <c r="AE192" s="442"/>
    </row>
    <row r="193" spans="4:31" ht="16.5" customHeight="1" x14ac:dyDescent="0.15">
      <c r="D193" s="536"/>
      <c r="E193" s="537"/>
      <c r="F193" s="423">
        <f t="shared" si="37"/>
        <v>163</v>
      </c>
      <c r="G193" s="423"/>
      <c r="H193" s="423">
        <f t="shared" si="45"/>
        <v>163</v>
      </c>
      <c r="I193" s="423"/>
      <c r="J193" s="423">
        <f t="shared" si="46"/>
        <v>164</v>
      </c>
      <c r="K193" s="423"/>
      <c r="L193" s="116">
        <f t="shared" si="48"/>
        <v>138</v>
      </c>
      <c r="M193" s="123">
        <f t="shared" si="47"/>
        <v>10</v>
      </c>
      <c r="N193" s="510" t="s">
        <v>263</v>
      </c>
      <c r="O193" s="510"/>
      <c r="P193" s="510"/>
      <c r="Q193" s="511" t="s">
        <v>264</v>
      </c>
      <c r="R193" s="512"/>
      <c r="S193" s="512"/>
      <c r="T193" s="513" t="s">
        <v>264</v>
      </c>
      <c r="U193" s="514"/>
      <c r="V193" s="514"/>
      <c r="W193" s="482">
        <f t="shared" si="44"/>
        <v>2.2400000000000002</v>
      </c>
      <c r="X193" s="449"/>
      <c r="Y193" s="115" t="s">
        <v>14</v>
      </c>
      <c r="Z193" s="445" t="s">
        <v>262</v>
      </c>
      <c r="AA193" s="446"/>
      <c r="AB193" s="442"/>
      <c r="AC193" s="442"/>
      <c r="AD193" s="442"/>
      <c r="AE193" s="442"/>
    </row>
    <row r="194" spans="4:31" ht="16.5" customHeight="1" x14ac:dyDescent="0.15">
      <c r="D194" s="536"/>
      <c r="E194" s="537"/>
      <c r="F194" s="423">
        <f t="shared" si="37"/>
        <v>164</v>
      </c>
      <c r="G194" s="423"/>
      <c r="H194" s="423">
        <f t="shared" si="45"/>
        <v>164</v>
      </c>
      <c r="I194" s="423"/>
      <c r="J194" s="423">
        <f t="shared" si="46"/>
        <v>165</v>
      </c>
      <c r="K194" s="423"/>
      <c r="L194" s="116">
        <f t="shared" si="48"/>
        <v>139</v>
      </c>
      <c r="M194" s="123">
        <f t="shared" si="47"/>
        <v>10</v>
      </c>
      <c r="N194" s="510" t="s">
        <v>263</v>
      </c>
      <c r="O194" s="510"/>
      <c r="P194" s="510"/>
      <c r="Q194" s="511" t="s">
        <v>264</v>
      </c>
      <c r="R194" s="512"/>
      <c r="S194" s="512"/>
      <c r="T194" s="513" t="s">
        <v>264</v>
      </c>
      <c r="U194" s="514"/>
      <c r="V194" s="514"/>
      <c r="W194" s="482">
        <f t="shared" si="44"/>
        <v>2.2400000000000002</v>
      </c>
      <c r="X194" s="449"/>
      <c r="Y194" s="115" t="s">
        <v>14</v>
      </c>
      <c r="Z194" s="445" t="s">
        <v>262</v>
      </c>
      <c r="AA194" s="446"/>
      <c r="AB194" s="442"/>
      <c r="AC194" s="442"/>
      <c r="AD194" s="442"/>
      <c r="AE194" s="442"/>
    </row>
    <row r="195" spans="4:31" ht="16.5" customHeight="1" x14ac:dyDescent="0.15">
      <c r="D195" s="536"/>
      <c r="E195" s="537"/>
      <c r="F195" s="423">
        <f t="shared" si="37"/>
        <v>165</v>
      </c>
      <c r="G195" s="423"/>
      <c r="H195" s="423">
        <f t="shared" si="45"/>
        <v>165</v>
      </c>
      <c r="I195" s="423"/>
      <c r="J195" s="423">
        <f t="shared" si="46"/>
        <v>166</v>
      </c>
      <c r="K195" s="423"/>
      <c r="L195" s="116">
        <f t="shared" si="48"/>
        <v>140</v>
      </c>
      <c r="M195" s="123">
        <f t="shared" si="47"/>
        <v>10</v>
      </c>
      <c r="N195" s="510" t="s">
        <v>263</v>
      </c>
      <c r="O195" s="510"/>
      <c r="P195" s="510"/>
      <c r="Q195" s="511" t="s">
        <v>264</v>
      </c>
      <c r="R195" s="512"/>
      <c r="S195" s="512"/>
      <c r="T195" s="513" t="s">
        <v>264</v>
      </c>
      <c r="U195" s="514"/>
      <c r="V195" s="514"/>
      <c r="W195" s="482">
        <f t="shared" si="44"/>
        <v>2.2400000000000002</v>
      </c>
      <c r="X195" s="449"/>
      <c r="Y195" s="115" t="s">
        <v>14</v>
      </c>
      <c r="Z195" s="445" t="s">
        <v>262</v>
      </c>
      <c r="AA195" s="446"/>
      <c r="AB195" s="442"/>
      <c r="AC195" s="442"/>
      <c r="AD195" s="442"/>
      <c r="AE195" s="442"/>
    </row>
    <row r="196" spans="4:31" ht="16.5" customHeight="1" x14ac:dyDescent="0.15">
      <c r="D196" s="536"/>
      <c r="E196" s="537"/>
      <c r="F196" s="423">
        <f t="shared" si="37"/>
        <v>166</v>
      </c>
      <c r="G196" s="423"/>
      <c r="H196" s="423">
        <f t="shared" si="45"/>
        <v>166</v>
      </c>
      <c r="I196" s="423"/>
      <c r="J196" s="423">
        <f t="shared" si="46"/>
        <v>167</v>
      </c>
      <c r="K196" s="423"/>
      <c r="L196" s="116">
        <f>+L195+1</f>
        <v>141</v>
      </c>
      <c r="M196" s="123">
        <f t="shared" si="47"/>
        <v>10</v>
      </c>
      <c r="N196" s="510" t="s">
        <v>263</v>
      </c>
      <c r="O196" s="510"/>
      <c r="P196" s="510"/>
      <c r="Q196" s="511" t="s">
        <v>264</v>
      </c>
      <c r="R196" s="512"/>
      <c r="S196" s="512"/>
      <c r="T196" s="513" t="s">
        <v>264</v>
      </c>
      <c r="U196" s="514"/>
      <c r="V196" s="514"/>
      <c r="W196" s="482">
        <f t="shared" si="44"/>
        <v>2.2400000000000002</v>
      </c>
      <c r="X196" s="449"/>
      <c r="Y196" s="115" t="s">
        <v>14</v>
      </c>
      <c r="Z196" s="445" t="s">
        <v>262</v>
      </c>
      <c r="AA196" s="446"/>
      <c r="AB196" s="442"/>
      <c r="AC196" s="442"/>
      <c r="AD196" s="442"/>
      <c r="AE196" s="442"/>
    </row>
    <row r="197" spans="4:31" ht="16.5" customHeight="1" x14ac:dyDescent="0.15">
      <c r="D197" s="536"/>
      <c r="E197" s="537"/>
      <c r="F197" s="423">
        <f t="shared" si="37"/>
        <v>167</v>
      </c>
      <c r="G197" s="423"/>
      <c r="H197" s="423">
        <f t="shared" si="45"/>
        <v>167</v>
      </c>
      <c r="I197" s="423"/>
      <c r="J197" s="423">
        <f t="shared" si="46"/>
        <v>168</v>
      </c>
      <c r="K197" s="423"/>
      <c r="L197" s="116">
        <f t="shared" ref="L197:L201" si="49">+L196+1</f>
        <v>142</v>
      </c>
      <c r="M197" s="123">
        <f t="shared" si="47"/>
        <v>10</v>
      </c>
      <c r="N197" s="510" t="s">
        <v>263</v>
      </c>
      <c r="O197" s="510"/>
      <c r="P197" s="510"/>
      <c r="Q197" s="511" t="s">
        <v>264</v>
      </c>
      <c r="R197" s="512"/>
      <c r="S197" s="512"/>
      <c r="T197" s="513" t="s">
        <v>264</v>
      </c>
      <c r="U197" s="514"/>
      <c r="V197" s="514"/>
      <c r="W197" s="482">
        <f t="shared" si="44"/>
        <v>2.2400000000000002</v>
      </c>
      <c r="X197" s="449"/>
      <c r="Y197" s="115" t="s">
        <v>14</v>
      </c>
      <c r="Z197" s="445" t="s">
        <v>262</v>
      </c>
      <c r="AA197" s="446"/>
      <c r="AB197" s="442"/>
      <c r="AC197" s="442"/>
      <c r="AD197" s="442"/>
      <c r="AE197" s="442"/>
    </row>
    <row r="198" spans="4:31" ht="16.5" customHeight="1" x14ac:dyDescent="0.15">
      <c r="D198" s="536"/>
      <c r="E198" s="537"/>
      <c r="F198" s="423">
        <f t="shared" si="37"/>
        <v>168</v>
      </c>
      <c r="G198" s="423"/>
      <c r="H198" s="423">
        <f t="shared" si="45"/>
        <v>168</v>
      </c>
      <c r="I198" s="423"/>
      <c r="J198" s="423">
        <f t="shared" si="46"/>
        <v>169</v>
      </c>
      <c r="K198" s="423"/>
      <c r="L198" s="116">
        <f t="shared" si="49"/>
        <v>143</v>
      </c>
      <c r="M198" s="123">
        <f t="shared" si="47"/>
        <v>10</v>
      </c>
      <c r="N198" s="510" t="s">
        <v>263</v>
      </c>
      <c r="O198" s="510"/>
      <c r="P198" s="510"/>
      <c r="Q198" s="511" t="s">
        <v>264</v>
      </c>
      <c r="R198" s="512"/>
      <c r="S198" s="512"/>
      <c r="T198" s="513" t="s">
        <v>264</v>
      </c>
      <c r="U198" s="514"/>
      <c r="V198" s="514"/>
      <c r="W198" s="482">
        <f t="shared" si="44"/>
        <v>2.2400000000000002</v>
      </c>
      <c r="X198" s="449"/>
      <c r="Y198" s="115" t="s">
        <v>14</v>
      </c>
      <c r="Z198" s="445" t="s">
        <v>262</v>
      </c>
      <c r="AA198" s="446"/>
      <c r="AB198" s="442"/>
      <c r="AC198" s="442"/>
      <c r="AD198" s="442"/>
      <c r="AE198" s="442"/>
    </row>
    <row r="199" spans="4:31" ht="16.5" customHeight="1" x14ac:dyDescent="0.15">
      <c r="D199" s="536"/>
      <c r="E199" s="537"/>
      <c r="F199" s="423">
        <f t="shared" si="37"/>
        <v>169</v>
      </c>
      <c r="G199" s="423"/>
      <c r="H199" s="423">
        <f t="shared" si="45"/>
        <v>169</v>
      </c>
      <c r="I199" s="423"/>
      <c r="J199" s="423">
        <f t="shared" si="46"/>
        <v>170</v>
      </c>
      <c r="K199" s="423"/>
      <c r="L199" s="116">
        <f t="shared" si="49"/>
        <v>144</v>
      </c>
      <c r="M199" s="123">
        <f t="shared" si="47"/>
        <v>10</v>
      </c>
      <c r="N199" s="510" t="s">
        <v>263</v>
      </c>
      <c r="O199" s="510"/>
      <c r="P199" s="510"/>
      <c r="Q199" s="511" t="s">
        <v>264</v>
      </c>
      <c r="R199" s="512"/>
      <c r="S199" s="512"/>
      <c r="T199" s="513" t="s">
        <v>264</v>
      </c>
      <c r="U199" s="514"/>
      <c r="V199" s="514"/>
      <c r="W199" s="482">
        <f t="shared" si="44"/>
        <v>2.2400000000000002</v>
      </c>
      <c r="X199" s="449"/>
      <c r="Y199" s="115" t="s">
        <v>14</v>
      </c>
      <c r="Z199" s="445" t="s">
        <v>262</v>
      </c>
      <c r="AA199" s="446"/>
      <c r="AB199" s="442"/>
      <c r="AC199" s="442"/>
      <c r="AD199" s="442"/>
      <c r="AE199" s="442"/>
    </row>
    <row r="200" spans="4:31" ht="16.5" customHeight="1" x14ac:dyDescent="0.15">
      <c r="D200" s="536"/>
      <c r="E200" s="537"/>
      <c r="F200" s="423">
        <f t="shared" si="37"/>
        <v>170</v>
      </c>
      <c r="G200" s="423"/>
      <c r="H200" s="423">
        <f t="shared" si="45"/>
        <v>170</v>
      </c>
      <c r="I200" s="423"/>
      <c r="J200" s="423">
        <f t="shared" si="46"/>
        <v>171</v>
      </c>
      <c r="K200" s="423"/>
      <c r="L200" s="116">
        <f t="shared" si="49"/>
        <v>145</v>
      </c>
      <c r="M200" s="123">
        <f t="shared" si="47"/>
        <v>10</v>
      </c>
      <c r="N200" s="510" t="s">
        <v>263</v>
      </c>
      <c r="O200" s="510"/>
      <c r="P200" s="510"/>
      <c r="Q200" s="511" t="s">
        <v>264</v>
      </c>
      <c r="R200" s="512"/>
      <c r="S200" s="512"/>
      <c r="T200" s="513" t="s">
        <v>264</v>
      </c>
      <c r="U200" s="514"/>
      <c r="V200" s="514"/>
      <c r="W200" s="482">
        <f t="shared" si="44"/>
        <v>2.2400000000000002</v>
      </c>
      <c r="X200" s="449"/>
      <c r="Y200" s="115" t="s">
        <v>14</v>
      </c>
      <c r="Z200" s="445" t="s">
        <v>262</v>
      </c>
      <c r="AA200" s="446"/>
      <c r="AB200" s="442"/>
      <c r="AC200" s="442"/>
      <c r="AD200" s="442"/>
      <c r="AE200" s="442"/>
    </row>
    <row r="201" spans="4:31" ht="16.5" customHeight="1" x14ac:dyDescent="0.15">
      <c r="D201" s="538"/>
      <c r="E201" s="539"/>
      <c r="F201" s="423">
        <f t="shared" si="37"/>
        <v>171</v>
      </c>
      <c r="G201" s="423"/>
      <c r="H201" s="423">
        <f t="shared" si="45"/>
        <v>171</v>
      </c>
      <c r="I201" s="423"/>
      <c r="J201" s="423">
        <f t="shared" si="46"/>
        <v>172</v>
      </c>
      <c r="K201" s="423"/>
      <c r="L201" s="116">
        <f t="shared" si="49"/>
        <v>146</v>
      </c>
      <c r="M201" s="123">
        <f t="shared" si="47"/>
        <v>10</v>
      </c>
      <c r="N201" s="510" t="s">
        <v>263</v>
      </c>
      <c r="O201" s="510"/>
      <c r="P201" s="510"/>
      <c r="Q201" s="511" t="s">
        <v>264</v>
      </c>
      <c r="R201" s="512"/>
      <c r="S201" s="512"/>
      <c r="T201" s="513" t="s">
        <v>264</v>
      </c>
      <c r="U201" s="514"/>
      <c r="V201" s="514"/>
      <c r="W201" s="482">
        <f t="shared" si="44"/>
        <v>2.2400000000000002</v>
      </c>
      <c r="X201" s="449"/>
      <c r="Y201" s="113" t="s">
        <v>14</v>
      </c>
      <c r="Z201" s="480" t="s">
        <v>262</v>
      </c>
      <c r="AA201" s="479"/>
      <c r="AB201" s="442"/>
      <c r="AC201" s="442"/>
      <c r="AD201" s="442"/>
      <c r="AE201" s="442"/>
    </row>
  </sheetData>
  <mergeCells count="1586">
    <mergeCell ref="Z201:AA201"/>
    <mergeCell ref="AB201:AE201"/>
    <mergeCell ref="W200:X200"/>
    <mergeCell ref="Z200:AA200"/>
    <mergeCell ref="AB200:AE200"/>
    <mergeCell ref="F201:G201"/>
    <mergeCell ref="H201:I201"/>
    <mergeCell ref="J201:K201"/>
    <mergeCell ref="N201:P201"/>
    <mergeCell ref="Q201:S201"/>
    <mergeCell ref="T201:V201"/>
    <mergeCell ref="W201:X201"/>
    <mergeCell ref="F200:G200"/>
    <mergeCell ref="H200:I200"/>
    <mergeCell ref="J200:K200"/>
    <mergeCell ref="N200:P200"/>
    <mergeCell ref="Q200:S200"/>
    <mergeCell ref="T200:V200"/>
    <mergeCell ref="AB198:AE198"/>
    <mergeCell ref="F199:G199"/>
    <mergeCell ref="H199:I199"/>
    <mergeCell ref="J199:K199"/>
    <mergeCell ref="N199:P199"/>
    <mergeCell ref="Q199:S199"/>
    <mergeCell ref="T199:V199"/>
    <mergeCell ref="W199:X199"/>
    <mergeCell ref="Z199:AA199"/>
    <mergeCell ref="AB199:AE199"/>
    <mergeCell ref="Z197:AA197"/>
    <mergeCell ref="AB197:AE197"/>
    <mergeCell ref="F198:G198"/>
    <mergeCell ref="H198:I198"/>
    <mergeCell ref="J198:K198"/>
    <mergeCell ref="N198:P198"/>
    <mergeCell ref="Q198:S198"/>
    <mergeCell ref="T198:V198"/>
    <mergeCell ref="W198:X198"/>
    <mergeCell ref="Z198:AA198"/>
    <mergeCell ref="W196:X196"/>
    <mergeCell ref="Z196:AA196"/>
    <mergeCell ref="AB196:AE196"/>
    <mergeCell ref="F197:G197"/>
    <mergeCell ref="H197:I197"/>
    <mergeCell ref="J197:K197"/>
    <mergeCell ref="N197:P197"/>
    <mergeCell ref="Q197:S197"/>
    <mergeCell ref="T197:V197"/>
    <mergeCell ref="W197:X197"/>
    <mergeCell ref="F196:G196"/>
    <mergeCell ref="H196:I196"/>
    <mergeCell ref="J196:K196"/>
    <mergeCell ref="N196:P196"/>
    <mergeCell ref="Q196:S196"/>
    <mergeCell ref="T196:V196"/>
    <mergeCell ref="AB194:AE194"/>
    <mergeCell ref="F195:G195"/>
    <mergeCell ref="H195:I195"/>
    <mergeCell ref="J195:K195"/>
    <mergeCell ref="N195:P195"/>
    <mergeCell ref="Q195:S195"/>
    <mergeCell ref="T195:V195"/>
    <mergeCell ref="W195:X195"/>
    <mergeCell ref="Z195:AA195"/>
    <mergeCell ref="AB195:AE195"/>
    <mergeCell ref="Z193:AA193"/>
    <mergeCell ref="AB193:AE193"/>
    <mergeCell ref="F194:G194"/>
    <mergeCell ref="H194:I194"/>
    <mergeCell ref="J194:K194"/>
    <mergeCell ref="N194:P194"/>
    <mergeCell ref="Q194:S194"/>
    <mergeCell ref="T194:V194"/>
    <mergeCell ref="W194:X194"/>
    <mergeCell ref="Z194:AA194"/>
    <mergeCell ref="W192:X192"/>
    <mergeCell ref="Z192:AA192"/>
    <mergeCell ref="AB192:AE192"/>
    <mergeCell ref="F193:G193"/>
    <mergeCell ref="H193:I193"/>
    <mergeCell ref="J193:K193"/>
    <mergeCell ref="N193:P193"/>
    <mergeCell ref="Q193:S193"/>
    <mergeCell ref="T193:V193"/>
    <mergeCell ref="W193:X193"/>
    <mergeCell ref="F192:G192"/>
    <mergeCell ref="H192:I192"/>
    <mergeCell ref="J192:K192"/>
    <mergeCell ref="N192:P192"/>
    <mergeCell ref="Q192:S192"/>
    <mergeCell ref="T192:V192"/>
    <mergeCell ref="AB190:AE190"/>
    <mergeCell ref="F191:G191"/>
    <mergeCell ref="H191:I191"/>
    <mergeCell ref="J191:K191"/>
    <mergeCell ref="N191:P191"/>
    <mergeCell ref="Q191:S191"/>
    <mergeCell ref="T191:V191"/>
    <mergeCell ref="W191:X191"/>
    <mergeCell ref="Z191:AA191"/>
    <mergeCell ref="AB191:AE191"/>
    <mergeCell ref="Z189:AA189"/>
    <mergeCell ref="AB189:AE189"/>
    <mergeCell ref="F190:G190"/>
    <mergeCell ref="H190:I190"/>
    <mergeCell ref="J190:K190"/>
    <mergeCell ref="N190:P190"/>
    <mergeCell ref="Q190:S190"/>
    <mergeCell ref="T190:V190"/>
    <mergeCell ref="W190:X190"/>
    <mergeCell ref="Z190:AA190"/>
    <mergeCell ref="W188:X188"/>
    <mergeCell ref="Z188:AA188"/>
    <mergeCell ref="AB188:AE188"/>
    <mergeCell ref="F189:G189"/>
    <mergeCell ref="H189:I189"/>
    <mergeCell ref="J189:K189"/>
    <mergeCell ref="N189:P189"/>
    <mergeCell ref="Q189:S189"/>
    <mergeCell ref="T189:V189"/>
    <mergeCell ref="W189:X189"/>
    <mergeCell ref="F188:G188"/>
    <mergeCell ref="H188:I188"/>
    <mergeCell ref="J188:K188"/>
    <mergeCell ref="N188:P188"/>
    <mergeCell ref="Q188:S188"/>
    <mergeCell ref="T188:V188"/>
    <mergeCell ref="AB186:AE186"/>
    <mergeCell ref="F187:G187"/>
    <mergeCell ref="H187:I187"/>
    <mergeCell ref="J187:K187"/>
    <mergeCell ref="N187:P187"/>
    <mergeCell ref="Q187:S187"/>
    <mergeCell ref="T187:V187"/>
    <mergeCell ref="W187:X187"/>
    <mergeCell ref="Z187:AA187"/>
    <mergeCell ref="AB187:AE187"/>
    <mergeCell ref="W182:X182"/>
    <mergeCell ref="Z182:AA182"/>
    <mergeCell ref="Z185:AA185"/>
    <mergeCell ref="AB185:AE185"/>
    <mergeCell ref="F186:G186"/>
    <mergeCell ref="H186:I186"/>
    <mergeCell ref="J186:K186"/>
    <mergeCell ref="N186:P186"/>
    <mergeCell ref="Q186:S186"/>
    <mergeCell ref="T186:V186"/>
    <mergeCell ref="W186:X186"/>
    <mergeCell ref="Z186:AA186"/>
    <mergeCell ref="W184:X184"/>
    <mergeCell ref="Z184:AA184"/>
    <mergeCell ref="AB184:AE184"/>
    <mergeCell ref="F185:G185"/>
    <mergeCell ref="H185:I185"/>
    <mergeCell ref="J185:K185"/>
    <mergeCell ref="N185:P185"/>
    <mergeCell ref="Q185:S185"/>
    <mergeCell ref="T185:V185"/>
    <mergeCell ref="W185:X185"/>
    <mergeCell ref="F184:G184"/>
    <mergeCell ref="H184:I184"/>
    <mergeCell ref="J184:K184"/>
    <mergeCell ref="N184:P184"/>
    <mergeCell ref="Q184:S184"/>
    <mergeCell ref="T184:V184"/>
    <mergeCell ref="J180:K180"/>
    <mergeCell ref="N180:P180"/>
    <mergeCell ref="Q180:S180"/>
    <mergeCell ref="T180:V180"/>
    <mergeCell ref="AB178:AE178"/>
    <mergeCell ref="F179:G179"/>
    <mergeCell ref="H179:I179"/>
    <mergeCell ref="J179:K179"/>
    <mergeCell ref="N179:P179"/>
    <mergeCell ref="Q179:S179"/>
    <mergeCell ref="T179:V179"/>
    <mergeCell ref="W179:X179"/>
    <mergeCell ref="Z179:AA179"/>
    <mergeCell ref="AB179:AE179"/>
    <mergeCell ref="AB182:AE182"/>
    <mergeCell ref="F183:G183"/>
    <mergeCell ref="H183:I183"/>
    <mergeCell ref="J183:K183"/>
    <mergeCell ref="N183:P183"/>
    <mergeCell ref="Q183:S183"/>
    <mergeCell ref="T183:V183"/>
    <mergeCell ref="W183:X183"/>
    <mergeCell ref="Z183:AA183"/>
    <mergeCell ref="AB183:AE183"/>
    <mergeCell ref="Z181:AA181"/>
    <mergeCell ref="AB181:AE181"/>
    <mergeCell ref="F182:G182"/>
    <mergeCell ref="H182:I182"/>
    <mergeCell ref="J182:K182"/>
    <mergeCell ref="N182:P182"/>
    <mergeCell ref="Q182:S182"/>
    <mergeCell ref="T182:V182"/>
    <mergeCell ref="Z177:AA177"/>
    <mergeCell ref="AB177:AE177"/>
    <mergeCell ref="F178:G178"/>
    <mergeCell ref="H178:I178"/>
    <mergeCell ref="J178:K178"/>
    <mergeCell ref="N178:P178"/>
    <mergeCell ref="Q178:S178"/>
    <mergeCell ref="T178:V178"/>
    <mergeCell ref="W178:X178"/>
    <mergeCell ref="Z178:AA178"/>
    <mergeCell ref="Z176:AA176"/>
    <mergeCell ref="AB176:AE176"/>
    <mergeCell ref="D177:E201"/>
    <mergeCell ref="F177:G177"/>
    <mergeCell ref="H177:I177"/>
    <mergeCell ref="J177:K177"/>
    <mergeCell ref="N177:P177"/>
    <mergeCell ref="Q177:S177"/>
    <mergeCell ref="T177:V177"/>
    <mergeCell ref="W177:X177"/>
    <mergeCell ref="W180:X180"/>
    <mergeCell ref="Z180:AA180"/>
    <mergeCell ref="AB180:AE180"/>
    <mergeCell ref="F181:G181"/>
    <mergeCell ref="H181:I181"/>
    <mergeCell ref="J181:K181"/>
    <mergeCell ref="N181:P181"/>
    <mergeCell ref="Q181:S181"/>
    <mergeCell ref="T181:V181"/>
    <mergeCell ref="W181:X181"/>
    <mergeCell ref="F180:G180"/>
    <mergeCell ref="H180:I180"/>
    <mergeCell ref="W175:X175"/>
    <mergeCell ref="Z175:AA175"/>
    <mergeCell ref="AB175:AE175"/>
    <mergeCell ref="F176:G176"/>
    <mergeCell ref="H176:I176"/>
    <mergeCell ref="J176:K176"/>
    <mergeCell ref="N176:P176"/>
    <mergeCell ref="Q176:S176"/>
    <mergeCell ref="T176:V176"/>
    <mergeCell ref="W176:X176"/>
    <mergeCell ref="F175:G175"/>
    <mergeCell ref="H175:I175"/>
    <mergeCell ref="J175:K175"/>
    <mergeCell ref="N175:P175"/>
    <mergeCell ref="Q175:S175"/>
    <mergeCell ref="T175:V175"/>
    <mergeCell ref="AB173:AE173"/>
    <mergeCell ref="F174:G174"/>
    <mergeCell ref="H174:I174"/>
    <mergeCell ref="J174:K174"/>
    <mergeCell ref="N174:P174"/>
    <mergeCell ref="Q174:S174"/>
    <mergeCell ref="T174:V174"/>
    <mergeCell ref="W174:X174"/>
    <mergeCell ref="Z174:AA174"/>
    <mergeCell ref="AB174:AE174"/>
    <mergeCell ref="Z172:AA172"/>
    <mergeCell ref="AB172:AE172"/>
    <mergeCell ref="F173:G173"/>
    <mergeCell ref="H173:I173"/>
    <mergeCell ref="J173:K173"/>
    <mergeCell ref="N173:P173"/>
    <mergeCell ref="Q173:S173"/>
    <mergeCell ref="T173:V173"/>
    <mergeCell ref="W173:X173"/>
    <mergeCell ref="Z173:AA173"/>
    <mergeCell ref="W171:X171"/>
    <mergeCell ref="Z171:AA171"/>
    <mergeCell ref="AB171:AE171"/>
    <mergeCell ref="F172:G172"/>
    <mergeCell ref="H172:I172"/>
    <mergeCell ref="J172:K172"/>
    <mergeCell ref="N172:P172"/>
    <mergeCell ref="Q172:S172"/>
    <mergeCell ref="T172:V172"/>
    <mergeCell ref="W172:X172"/>
    <mergeCell ref="F171:G171"/>
    <mergeCell ref="H171:I171"/>
    <mergeCell ref="J171:K171"/>
    <mergeCell ref="N171:P171"/>
    <mergeCell ref="Q171:S171"/>
    <mergeCell ref="T171:V171"/>
    <mergeCell ref="AB169:AE169"/>
    <mergeCell ref="F170:G170"/>
    <mergeCell ref="H170:I170"/>
    <mergeCell ref="J170:K170"/>
    <mergeCell ref="N170:P170"/>
    <mergeCell ref="Q170:S170"/>
    <mergeCell ref="T170:V170"/>
    <mergeCell ref="W170:X170"/>
    <mergeCell ref="Z170:AA170"/>
    <mergeCell ref="AB170:AE170"/>
    <mergeCell ref="Z168:AA168"/>
    <mergeCell ref="AB168:AE168"/>
    <mergeCell ref="F169:G169"/>
    <mergeCell ref="H169:I169"/>
    <mergeCell ref="J169:K169"/>
    <mergeCell ref="N169:P169"/>
    <mergeCell ref="Q169:S169"/>
    <mergeCell ref="T169:V169"/>
    <mergeCell ref="W169:X169"/>
    <mergeCell ref="Z169:AA169"/>
    <mergeCell ref="W167:X167"/>
    <mergeCell ref="Z167:AA167"/>
    <mergeCell ref="AB167:AE167"/>
    <mergeCell ref="F168:G168"/>
    <mergeCell ref="H168:I168"/>
    <mergeCell ref="J168:K168"/>
    <mergeCell ref="N168:P168"/>
    <mergeCell ref="Q168:S168"/>
    <mergeCell ref="T168:V168"/>
    <mergeCell ref="W168:X168"/>
    <mergeCell ref="F167:G167"/>
    <mergeCell ref="H167:I167"/>
    <mergeCell ref="J167:K167"/>
    <mergeCell ref="N167:P167"/>
    <mergeCell ref="Q167:S167"/>
    <mergeCell ref="T167:V167"/>
    <mergeCell ref="AB165:AE165"/>
    <mergeCell ref="F166:G166"/>
    <mergeCell ref="H166:I166"/>
    <mergeCell ref="J166:K166"/>
    <mergeCell ref="N166:P166"/>
    <mergeCell ref="Q166:S166"/>
    <mergeCell ref="T166:V166"/>
    <mergeCell ref="W166:X166"/>
    <mergeCell ref="Z166:AA166"/>
    <mergeCell ref="AB166:AE166"/>
    <mergeCell ref="Z164:AA164"/>
    <mergeCell ref="AB164:AE164"/>
    <mergeCell ref="F165:G165"/>
    <mergeCell ref="H165:I165"/>
    <mergeCell ref="J165:K165"/>
    <mergeCell ref="N165:P165"/>
    <mergeCell ref="Q165:S165"/>
    <mergeCell ref="T165:V165"/>
    <mergeCell ref="W165:X165"/>
    <mergeCell ref="Z165:AA165"/>
    <mergeCell ref="W163:X163"/>
    <mergeCell ref="Z163:AA163"/>
    <mergeCell ref="AB163:AE163"/>
    <mergeCell ref="F164:G164"/>
    <mergeCell ref="H164:I164"/>
    <mergeCell ref="J164:K164"/>
    <mergeCell ref="N164:P164"/>
    <mergeCell ref="Q164:S164"/>
    <mergeCell ref="T164:V164"/>
    <mergeCell ref="W164:X164"/>
    <mergeCell ref="F163:G163"/>
    <mergeCell ref="H163:I163"/>
    <mergeCell ref="J163:K163"/>
    <mergeCell ref="N163:P163"/>
    <mergeCell ref="Q163:S163"/>
    <mergeCell ref="T163:V163"/>
    <mergeCell ref="AB161:AE161"/>
    <mergeCell ref="F162:G162"/>
    <mergeCell ref="H162:I162"/>
    <mergeCell ref="J162:K162"/>
    <mergeCell ref="N162:P162"/>
    <mergeCell ref="Q162:S162"/>
    <mergeCell ref="T162:V162"/>
    <mergeCell ref="W162:X162"/>
    <mergeCell ref="Z162:AA162"/>
    <mergeCell ref="AB162:AE162"/>
    <mergeCell ref="Z160:AA160"/>
    <mergeCell ref="AB160:AE160"/>
    <mergeCell ref="F161:G161"/>
    <mergeCell ref="H161:I161"/>
    <mergeCell ref="J161:K161"/>
    <mergeCell ref="N161:P161"/>
    <mergeCell ref="Q161:S161"/>
    <mergeCell ref="T161:V161"/>
    <mergeCell ref="W161:X161"/>
    <mergeCell ref="Z161:AA161"/>
    <mergeCell ref="W159:X159"/>
    <mergeCell ref="Z159:AA159"/>
    <mergeCell ref="AB159:AE159"/>
    <mergeCell ref="F160:G160"/>
    <mergeCell ref="H160:I160"/>
    <mergeCell ref="J160:K160"/>
    <mergeCell ref="N160:P160"/>
    <mergeCell ref="Q160:S160"/>
    <mergeCell ref="T160:V160"/>
    <mergeCell ref="W160:X160"/>
    <mergeCell ref="F159:G159"/>
    <mergeCell ref="H159:I159"/>
    <mergeCell ref="J159:K159"/>
    <mergeCell ref="N159:P159"/>
    <mergeCell ref="Q159:S159"/>
    <mergeCell ref="T159:V159"/>
    <mergeCell ref="AB157:AE157"/>
    <mergeCell ref="F158:G158"/>
    <mergeCell ref="H158:I158"/>
    <mergeCell ref="J158:K158"/>
    <mergeCell ref="N158:P158"/>
    <mergeCell ref="Q158:S158"/>
    <mergeCell ref="T158:V158"/>
    <mergeCell ref="W158:X158"/>
    <mergeCell ref="Z158:AA158"/>
    <mergeCell ref="AB158:AE158"/>
    <mergeCell ref="F157:G157"/>
    <mergeCell ref="H157:I157"/>
    <mergeCell ref="J157:K157"/>
    <mergeCell ref="N157:P157"/>
    <mergeCell ref="Q157:S157"/>
    <mergeCell ref="T157:V157"/>
    <mergeCell ref="W157:X157"/>
    <mergeCell ref="Z157:AA157"/>
    <mergeCell ref="W155:X155"/>
    <mergeCell ref="Z155:AA155"/>
    <mergeCell ref="AB155:AE155"/>
    <mergeCell ref="F156:G156"/>
    <mergeCell ref="H156:I156"/>
    <mergeCell ref="J156:K156"/>
    <mergeCell ref="N156:P156"/>
    <mergeCell ref="Q156:S156"/>
    <mergeCell ref="T156:V156"/>
    <mergeCell ref="W156:X156"/>
    <mergeCell ref="F155:G155"/>
    <mergeCell ref="H155:I155"/>
    <mergeCell ref="J155:K155"/>
    <mergeCell ref="N155:P155"/>
    <mergeCell ref="Q155:S155"/>
    <mergeCell ref="T155:V155"/>
    <mergeCell ref="Q154:S154"/>
    <mergeCell ref="T154:V154"/>
    <mergeCell ref="W154:X154"/>
    <mergeCell ref="Z154:AA154"/>
    <mergeCell ref="AB154:AE154"/>
    <mergeCell ref="Z152:AA152"/>
    <mergeCell ref="AB152:AE152"/>
    <mergeCell ref="F153:G153"/>
    <mergeCell ref="H153:I153"/>
    <mergeCell ref="J153:K153"/>
    <mergeCell ref="N153:P153"/>
    <mergeCell ref="Q153:S153"/>
    <mergeCell ref="T153:V153"/>
    <mergeCell ref="W153:X153"/>
    <mergeCell ref="Z153:AA153"/>
    <mergeCell ref="Z156:AA156"/>
    <mergeCell ref="AB156:AE156"/>
    <mergeCell ref="AB149:AE151"/>
    <mergeCell ref="F150:G151"/>
    <mergeCell ref="D152:E176"/>
    <mergeCell ref="F152:G152"/>
    <mergeCell ref="H152:I152"/>
    <mergeCell ref="J152:K152"/>
    <mergeCell ref="N152:P152"/>
    <mergeCell ref="Q152:S152"/>
    <mergeCell ref="T152:V152"/>
    <mergeCell ref="W152:X152"/>
    <mergeCell ref="W143:X143"/>
    <mergeCell ref="Z143:AA143"/>
    <mergeCell ref="AB143:AE143"/>
    <mergeCell ref="D149:E151"/>
    <mergeCell ref="L149:L151"/>
    <mergeCell ref="M149:M151"/>
    <mergeCell ref="N149:P151"/>
    <mergeCell ref="Q149:S151"/>
    <mergeCell ref="T149:V151"/>
    <mergeCell ref="W149:AA151"/>
    <mergeCell ref="F143:G143"/>
    <mergeCell ref="H143:I143"/>
    <mergeCell ref="J143:K143"/>
    <mergeCell ref="N143:P143"/>
    <mergeCell ref="Q143:S143"/>
    <mergeCell ref="T143:V143"/>
    <mergeCell ref="D119:E143"/>
    <mergeCell ref="AB153:AE153"/>
    <mergeCell ref="F154:G154"/>
    <mergeCell ref="H154:I154"/>
    <mergeCell ref="J154:K154"/>
    <mergeCell ref="N154:P154"/>
    <mergeCell ref="AB141:AE141"/>
    <mergeCell ref="F142:G142"/>
    <mergeCell ref="H142:I142"/>
    <mergeCell ref="J142:K142"/>
    <mergeCell ref="N142:P142"/>
    <mergeCell ref="Q142:S142"/>
    <mergeCell ref="T142:V142"/>
    <mergeCell ref="W142:X142"/>
    <mergeCell ref="Z142:AA142"/>
    <mergeCell ref="AB142:AE142"/>
    <mergeCell ref="Z140:AA140"/>
    <mergeCell ref="AB140:AE140"/>
    <mergeCell ref="F141:G141"/>
    <mergeCell ref="H141:I141"/>
    <mergeCell ref="J141:K141"/>
    <mergeCell ref="N141:P141"/>
    <mergeCell ref="Q141:S141"/>
    <mergeCell ref="T141:V141"/>
    <mergeCell ref="W141:X141"/>
    <mergeCell ref="Z141:AA141"/>
    <mergeCell ref="W139:X139"/>
    <mergeCell ref="Z139:AA139"/>
    <mergeCell ref="AB139:AE139"/>
    <mergeCell ref="F140:G140"/>
    <mergeCell ref="H140:I140"/>
    <mergeCell ref="J140:K140"/>
    <mergeCell ref="N140:P140"/>
    <mergeCell ref="Q140:S140"/>
    <mergeCell ref="T140:V140"/>
    <mergeCell ref="W140:X140"/>
    <mergeCell ref="F139:G139"/>
    <mergeCell ref="H139:I139"/>
    <mergeCell ref="J139:K139"/>
    <mergeCell ref="N139:P139"/>
    <mergeCell ref="Q139:S139"/>
    <mergeCell ref="T139:V139"/>
    <mergeCell ref="AB137:AE137"/>
    <mergeCell ref="F138:G138"/>
    <mergeCell ref="H138:I138"/>
    <mergeCell ref="J138:K138"/>
    <mergeCell ref="N138:P138"/>
    <mergeCell ref="Q138:S138"/>
    <mergeCell ref="T138:V138"/>
    <mergeCell ref="W138:X138"/>
    <mergeCell ref="Z138:AA138"/>
    <mergeCell ref="AB138:AE138"/>
    <mergeCell ref="Z136:AA136"/>
    <mergeCell ref="AB136:AE136"/>
    <mergeCell ref="F137:G137"/>
    <mergeCell ref="H137:I137"/>
    <mergeCell ref="J137:K137"/>
    <mergeCell ref="N137:P137"/>
    <mergeCell ref="Q137:S137"/>
    <mergeCell ref="T137:V137"/>
    <mergeCell ref="W137:X137"/>
    <mergeCell ref="Z137:AA137"/>
    <mergeCell ref="W135:X135"/>
    <mergeCell ref="Z135:AA135"/>
    <mergeCell ref="AB135:AE135"/>
    <mergeCell ref="F136:G136"/>
    <mergeCell ref="H136:I136"/>
    <mergeCell ref="J136:K136"/>
    <mergeCell ref="N136:P136"/>
    <mergeCell ref="Q136:S136"/>
    <mergeCell ref="T136:V136"/>
    <mergeCell ref="W136:X136"/>
    <mergeCell ref="F135:G135"/>
    <mergeCell ref="H135:I135"/>
    <mergeCell ref="J135:K135"/>
    <mergeCell ref="N135:P135"/>
    <mergeCell ref="Q135:S135"/>
    <mergeCell ref="T135:V135"/>
    <mergeCell ref="AB133:AE133"/>
    <mergeCell ref="F134:G134"/>
    <mergeCell ref="H134:I134"/>
    <mergeCell ref="J134:K134"/>
    <mergeCell ref="N134:P134"/>
    <mergeCell ref="Q134:S134"/>
    <mergeCell ref="T134:V134"/>
    <mergeCell ref="W134:X134"/>
    <mergeCell ref="Z134:AA134"/>
    <mergeCell ref="AB134:AE134"/>
    <mergeCell ref="Z132:AA132"/>
    <mergeCell ref="AB132:AE132"/>
    <mergeCell ref="F133:G133"/>
    <mergeCell ref="H133:I133"/>
    <mergeCell ref="J133:K133"/>
    <mergeCell ref="N133:P133"/>
    <mergeCell ref="Q133:S133"/>
    <mergeCell ref="T133:V133"/>
    <mergeCell ref="W133:X133"/>
    <mergeCell ref="Z133:AA133"/>
    <mergeCell ref="W131:X131"/>
    <mergeCell ref="Z131:AA131"/>
    <mergeCell ref="AB131:AE131"/>
    <mergeCell ref="F132:G132"/>
    <mergeCell ref="H132:I132"/>
    <mergeCell ref="J132:K132"/>
    <mergeCell ref="N132:P132"/>
    <mergeCell ref="Q132:S132"/>
    <mergeCell ref="T132:V132"/>
    <mergeCell ref="W132:X132"/>
    <mergeCell ref="F131:G131"/>
    <mergeCell ref="H131:I131"/>
    <mergeCell ref="J131:K131"/>
    <mergeCell ref="N131:P131"/>
    <mergeCell ref="Q131:S131"/>
    <mergeCell ref="T131:V131"/>
    <mergeCell ref="AB129:AE129"/>
    <mergeCell ref="F130:G130"/>
    <mergeCell ref="H130:I130"/>
    <mergeCell ref="J130:K130"/>
    <mergeCell ref="N130:P130"/>
    <mergeCell ref="Q130:S130"/>
    <mergeCell ref="T130:V130"/>
    <mergeCell ref="W130:X130"/>
    <mergeCell ref="Z130:AA130"/>
    <mergeCell ref="AB130:AE130"/>
    <mergeCell ref="Z128:AA128"/>
    <mergeCell ref="AB128:AE128"/>
    <mergeCell ref="F129:G129"/>
    <mergeCell ref="H129:I129"/>
    <mergeCell ref="J129:K129"/>
    <mergeCell ref="N129:P129"/>
    <mergeCell ref="Q129:S129"/>
    <mergeCell ref="T129:V129"/>
    <mergeCell ref="W129:X129"/>
    <mergeCell ref="Z129:AA129"/>
    <mergeCell ref="W127:X127"/>
    <mergeCell ref="Z127:AA127"/>
    <mergeCell ref="AB127:AE127"/>
    <mergeCell ref="F128:G128"/>
    <mergeCell ref="H128:I128"/>
    <mergeCell ref="J128:K128"/>
    <mergeCell ref="N128:P128"/>
    <mergeCell ref="Q128:S128"/>
    <mergeCell ref="T128:V128"/>
    <mergeCell ref="W128:X128"/>
    <mergeCell ref="T126:V126"/>
    <mergeCell ref="W126:X126"/>
    <mergeCell ref="Z126:AA126"/>
    <mergeCell ref="AB126:AE126"/>
    <mergeCell ref="F127:G127"/>
    <mergeCell ref="H127:I127"/>
    <mergeCell ref="J127:K127"/>
    <mergeCell ref="N127:P127"/>
    <mergeCell ref="Q127:S127"/>
    <mergeCell ref="T127:V127"/>
    <mergeCell ref="Q125:S125"/>
    <mergeCell ref="T125:V125"/>
    <mergeCell ref="W125:X125"/>
    <mergeCell ref="Z125:AA125"/>
    <mergeCell ref="AB125:AE125"/>
    <mergeCell ref="F126:G126"/>
    <mergeCell ref="H126:I126"/>
    <mergeCell ref="J126:K126"/>
    <mergeCell ref="N126:P126"/>
    <mergeCell ref="Q126:S126"/>
    <mergeCell ref="F125:G125"/>
    <mergeCell ref="H125:I125"/>
    <mergeCell ref="J125:K125"/>
    <mergeCell ref="N125:P125"/>
    <mergeCell ref="AB123:AE123"/>
    <mergeCell ref="F124:G124"/>
    <mergeCell ref="H124:I124"/>
    <mergeCell ref="J124:K124"/>
    <mergeCell ref="N124:P124"/>
    <mergeCell ref="Q124:S124"/>
    <mergeCell ref="T124:V124"/>
    <mergeCell ref="W124:X124"/>
    <mergeCell ref="Z124:AA124"/>
    <mergeCell ref="AB124:AE124"/>
    <mergeCell ref="Z122:AA122"/>
    <mergeCell ref="AB122:AE122"/>
    <mergeCell ref="F123:G123"/>
    <mergeCell ref="H123:I123"/>
    <mergeCell ref="J123:K123"/>
    <mergeCell ref="N123:P123"/>
    <mergeCell ref="Q123:S123"/>
    <mergeCell ref="T123:V123"/>
    <mergeCell ref="W123:X123"/>
    <mergeCell ref="Z123:AA123"/>
    <mergeCell ref="W118:X118"/>
    <mergeCell ref="Z118:AA118"/>
    <mergeCell ref="W121:X121"/>
    <mergeCell ref="Z121:AA121"/>
    <mergeCell ref="AB121:AE121"/>
    <mergeCell ref="F122:G122"/>
    <mergeCell ref="H122:I122"/>
    <mergeCell ref="J122:K122"/>
    <mergeCell ref="N122:P122"/>
    <mergeCell ref="Q122:S122"/>
    <mergeCell ref="T122:V122"/>
    <mergeCell ref="W122:X122"/>
    <mergeCell ref="T120:V120"/>
    <mergeCell ref="W120:X120"/>
    <mergeCell ref="Z120:AA120"/>
    <mergeCell ref="AB120:AE120"/>
    <mergeCell ref="F121:G121"/>
    <mergeCell ref="H121:I121"/>
    <mergeCell ref="J121:K121"/>
    <mergeCell ref="N121:P121"/>
    <mergeCell ref="Q121:S121"/>
    <mergeCell ref="T121:V121"/>
    <mergeCell ref="F120:G120"/>
    <mergeCell ref="H120:I120"/>
    <mergeCell ref="J120:K120"/>
    <mergeCell ref="N120:P120"/>
    <mergeCell ref="Q120:S120"/>
    <mergeCell ref="N117:P117"/>
    <mergeCell ref="Q117:S117"/>
    <mergeCell ref="T117:V117"/>
    <mergeCell ref="W117:X117"/>
    <mergeCell ref="T115:V115"/>
    <mergeCell ref="W115:X115"/>
    <mergeCell ref="Z115:AA115"/>
    <mergeCell ref="AB115:AE115"/>
    <mergeCell ref="F116:G116"/>
    <mergeCell ref="H116:I116"/>
    <mergeCell ref="J116:K116"/>
    <mergeCell ref="N116:P116"/>
    <mergeCell ref="Q116:S116"/>
    <mergeCell ref="T116:V116"/>
    <mergeCell ref="AB118:AE118"/>
    <mergeCell ref="F119:G119"/>
    <mergeCell ref="H119:I119"/>
    <mergeCell ref="J119:K119"/>
    <mergeCell ref="N119:P119"/>
    <mergeCell ref="Q119:S119"/>
    <mergeCell ref="T119:V119"/>
    <mergeCell ref="W119:X119"/>
    <mergeCell ref="Z119:AA119"/>
    <mergeCell ref="AB119:AE119"/>
    <mergeCell ref="Z117:AA117"/>
    <mergeCell ref="AB117:AE117"/>
    <mergeCell ref="F118:G118"/>
    <mergeCell ref="H118:I118"/>
    <mergeCell ref="J118:K118"/>
    <mergeCell ref="N118:P118"/>
    <mergeCell ref="Q118:S118"/>
    <mergeCell ref="T118:V118"/>
    <mergeCell ref="Q114:S114"/>
    <mergeCell ref="T114:V114"/>
    <mergeCell ref="W114:X114"/>
    <mergeCell ref="Z114:AA114"/>
    <mergeCell ref="AB114:AE114"/>
    <mergeCell ref="F115:G115"/>
    <mergeCell ref="H115:I115"/>
    <mergeCell ref="J115:K115"/>
    <mergeCell ref="N115:P115"/>
    <mergeCell ref="Q115:S115"/>
    <mergeCell ref="F112:G113"/>
    <mergeCell ref="D114:E118"/>
    <mergeCell ref="F114:G114"/>
    <mergeCell ref="H114:I114"/>
    <mergeCell ref="J114:K114"/>
    <mergeCell ref="N114:P114"/>
    <mergeCell ref="Z106:AA106"/>
    <mergeCell ref="AB106:AE106"/>
    <mergeCell ref="D111:E113"/>
    <mergeCell ref="L111:L113"/>
    <mergeCell ref="M111:M113"/>
    <mergeCell ref="N111:P113"/>
    <mergeCell ref="Q111:S113"/>
    <mergeCell ref="T111:V113"/>
    <mergeCell ref="W111:AA113"/>
    <mergeCell ref="AB111:AE113"/>
    <mergeCell ref="W116:X116"/>
    <mergeCell ref="Z116:AA116"/>
    <mergeCell ref="AB116:AE116"/>
    <mergeCell ref="F117:G117"/>
    <mergeCell ref="H117:I117"/>
    <mergeCell ref="J117:K117"/>
    <mergeCell ref="W105:X105"/>
    <mergeCell ref="Z105:AA105"/>
    <mergeCell ref="AB105:AE105"/>
    <mergeCell ref="F106:G106"/>
    <mergeCell ref="H106:I106"/>
    <mergeCell ref="J106:K106"/>
    <mergeCell ref="N106:P106"/>
    <mergeCell ref="Q106:S106"/>
    <mergeCell ref="T106:V106"/>
    <mergeCell ref="W106:X106"/>
    <mergeCell ref="F105:G105"/>
    <mergeCell ref="H105:I105"/>
    <mergeCell ref="J105:K105"/>
    <mergeCell ref="N105:P105"/>
    <mergeCell ref="Q105:S105"/>
    <mergeCell ref="T105:V105"/>
    <mergeCell ref="AB103:AE103"/>
    <mergeCell ref="F104:G104"/>
    <mergeCell ref="H104:I104"/>
    <mergeCell ref="J104:K104"/>
    <mergeCell ref="N104:P104"/>
    <mergeCell ref="Q104:S104"/>
    <mergeCell ref="T104:V104"/>
    <mergeCell ref="W104:X104"/>
    <mergeCell ref="Z104:AA104"/>
    <mergeCell ref="AB104:AE104"/>
    <mergeCell ref="Z102:AA102"/>
    <mergeCell ref="AB102:AE102"/>
    <mergeCell ref="F103:G103"/>
    <mergeCell ref="H103:I103"/>
    <mergeCell ref="J103:K103"/>
    <mergeCell ref="N103:P103"/>
    <mergeCell ref="Q103:S103"/>
    <mergeCell ref="T103:V103"/>
    <mergeCell ref="W103:X103"/>
    <mergeCell ref="Z103:AA103"/>
    <mergeCell ref="W101:X101"/>
    <mergeCell ref="Z101:AA101"/>
    <mergeCell ref="AB101:AE101"/>
    <mergeCell ref="F102:G102"/>
    <mergeCell ref="H102:I102"/>
    <mergeCell ref="J102:K102"/>
    <mergeCell ref="N102:P102"/>
    <mergeCell ref="Q102:S102"/>
    <mergeCell ref="T102:V102"/>
    <mergeCell ref="W102:X102"/>
    <mergeCell ref="T100:V100"/>
    <mergeCell ref="W100:X100"/>
    <mergeCell ref="Z100:AA100"/>
    <mergeCell ref="AB100:AE100"/>
    <mergeCell ref="F101:G101"/>
    <mergeCell ref="H101:I101"/>
    <mergeCell ref="J101:K101"/>
    <mergeCell ref="N101:P101"/>
    <mergeCell ref="Q101:S101"/>
    <mergeCell ref="T101:V101"/>
    <mergeCell ref="W54:AA56"/>
    <mergeCell ref="AB54:AE56"/>
    <mergeCell ref="F55:G56"/>
    <mergeCell ref="D57:E81"/>
    <mergeCell ref="D82:E106"/>
    <mergeCell ref="F100:G100"/>
    <mergeCell ref="H100:I100"/>
    <mergeCell ref="J100:K100"/>
    <mergeCell ref="N100:P100"/>
    <mergeCell ref="Q100:S100"/>
    <mergeCell ref="W96:X96"/>
    <mergeCell ref="Z96:AA96"/>
    <mergeCell ref="AB96:AE96"/>
    <mergeCell ref="F97:G97"/>
    <mergeCell ref="H97:I97"/>
    <mergeCell ref="J97:K97"/>
    <mergeCell ref="N97:P97"/>
    <mergeCell ref="Q97:S97"/>
    <mergeCell ref="T97:V97"/>
    <mergeCell ref="W97:X97"/>
    <mergeCell ref="F96:G96"/>
    <mergeCell ref="H96:I96"/>
    <mergeCell ref="AB44:AE44"/>
    <mergeCell ref="AB45:AE45"/>
    <mergeCell ref="AB46:AE46"/>
    <mergeCell ref="D6:E10"/>
    <mergeCell ref="D54:E56"/>
    <mergeCell ref="L54:L56"/>
    <mergeCell ref="M54:M56"/>
    <mergeCell ref="N54:P56"/>
    <mergeCell ref="Q54:S56"/>
    <mergeCell ref="T54:V56"/>
    <mergeCell ref="W44:X44"/>
    <mergeCell ref="W45:X45"/>
    <mergeCell ref="W46:X46"/>
    <mergeCell ref="Z44:AA44"/>
    <mergeCell ref="Z45:AA45"/>
    <mergeCell ref="Z46:AA46"/>
    <mergeCell ref="Q44:S44"/>
    <mergeCell ref="T44:V44"/>
    <mergeCell ref="Q45:S45"/>
    <mergeCell ref="T45:V45"/>
    <mergeCell ref="Q46:S46"/>
    <mergeCell ref="T46:V46"/>
    <mergeCell ref="J44:K44"/>
    <mergeCell ref="J45:K45"/>
    <mergeCell ref="J46:K46"/>
    <mergeCell ref="N44:P44"/>
    <mergeCell ref="N45:P45"/>
    <mergeCell ref="N46:P46"/>
    <mergeCell ref="F44:G44"/>
    <mergeCell ref="F45:G45"/>
    <mergeCell ref="F46:G46"/>
    <mergeCell ref="D22:E46"/>
    <mergeCell ref="H44:I44"/>
    <mergeCell ref="H45:I45"/>
    <mergeCell ref="H46:I46"/>
    <mergeCell ref="Q12:S12"/>
    <mergeCell ref="T12:V12"/>
    <mergeCell ref="W12:X12"/>
    <mergeCell ref="Z12:AA12"/>
    <mergeCell ref="AB12:AE12"/>
    <mergeCell ref="D11:E13"/>
    <mergeCell ref="N12:P12"/>
    <mergeCell ref="D14:E16"/>
    <mergeCell ref="D17:E21"/>
    <mergeCell ref="AB98:AE98"/>
    <mergeCell ref="F99:G99"/>
    <mergeCell ref="H99:I99"/>
    <mergeCell ref="J99:K99"/>
    <mergeCell ref="N99:P99"/>
    <mergeCell ref="Q99:S99"/>
    <mergeCell ref="T99:V99"/>
    <mergeCell ref="W99:X99"/>
    <mergeCell ref="Z99:AA99"/>
    <mergeCell ref="AB99:AE99"/>
    <mergeCell ref="Z97:AA97"/>
    <mergeCell ref="AB97:AE97"/>
    <mergeCell ref="F98:G98"/>
    <mergeCell ref="H98:I98"/>
    <mergeCell ref="J98:K98"/>
    <mergeCell ref="N98:P98"/>
    <mergeCell ref="Q98:S98"/>
    <mergeCell ref="T98:V98"/>
    <mergeCell ref="W98:X98"/>
    <mergeCell ref="Z98:AA98"/>
    <mergeCell ref="J96:K96"/>
    <mergeCell ref="N96:P96"/>
    <mergeCell ref="Q96:S96"/>
    <mergeCell ref="T96:V96"/>
    <mergeCell ref="AB94:AE94"/>
    <mergeCell ref="F95:G95"/>
    <mergeCell ref="H95:I95"/>
    <mergeCell ref="J95:K95"/>
    <mergeCell ref="N95:P95"/>
    <mergeCell ref="Q95:S95"/>
    <mergeCell ref="T95:V95"/>
    <mergeCell ref="W95:X95"/>
    <mergeCell ref="Z95:AA95"/>
    <mergeCell ref="AB95:AE95"/>
    <mergeCell ref="Z93:AA93"/>
    <mergeCell ref="AB93:AE93"/>
    <mergeCell ref="F94:G94"/>
    <mergeCell ref="H94:I94"/>
    <mergeCell ref="J94:K94"/>
    <mergeCell ref="N94:P94"/>
    <mergeCell ref="Q94:S94"/>
    <mergeCell ref="T94:V94"/>
    <mergeCell ref="W94:X94"/>
    <mergeCell ref="Z94:AA94"/>
    <mergeCell ref="W92:X92"/>
    <mergeCell ref="Z92:AA92"/>
    <mergeCell ref="AB92:AE92"/>
    <mergeCell ref="F93:G93"/>
    <mergeCell ref="H93:I93"/>
    <mergeCell ref="J93:K93"/>
    <mergeCell ref="N93:P93"/>
    <mergeCell ref="Q93:S93"/>
    <mergeCell ref="T93:V93"/>
    <mergeCell ref="W93:X93"/>
    <mergeCell ref="F92:G92"/>
    <mergeCell ref="H92:I92"/>
    <mergeCell ref="J92:K92"/>
    <mergeCell ref="N92:P92"/>
    <mergeCell ref="Q92:S92"/>
    <mergeCell ref="T92:V92"/>
    <mergeCell ref="AB90:AE90"/>
    <mergeCell ref="F91:G91"/>
    <mergeCell ref="H91:I91"/>
    <mergeCell ref="J91:K91"/>
    <mergeCell ref="N91:P91"/>
    <mergeCell ref="Q91:S91"/>
    <mergeCell ref="T91:V91"/>
    <mergeCell ref="W91:X91"/>
    <mergeCell ref="Z91:AA91"/>
    <mergeCell ref="AB91:AE91"/>
    <mergeCell ref="Z89:AA89"/>
    <mergeCell ref="AB89:AE89"/>
    <mergeCell ref="F90:G90"/>
    <mergeCell ref="H90:I90"/>
    <mergeCell ref="J90:K90"/>
    <mergeCell ref="N90:P90"/>
    <mergeCell ref="Q90:S90"/>
    <mergeCell ref="T90:V90"/>
    <mergeCell ref="W90:X90"/>
    <mergeCell ref="Z90:AA90"/>
    <mergeCell ref="W88:X88"/>
    <mergeCell ref="Z88:AA88"/>
    <mergeCell ref="AB88:AE88"/>
    <mergeCell ref="F89:G89"/>
    <mergeCell ref="H89:I89"/>
    <mergeCell ref="J89:K89"/>
    <mergeCell ref="N89:P89"/>
    <mergeCell ref="Q89:S89"/>
    <mergeCell ref="T89:V89"/>
    <mergeCell ref="W89:X89"/>
    <mergeCell ref="F88:G88"/>
    <mergeCell ref="H88:I88"/>
    <mergeCell ref="J88:K88"/>
    <mergeCell ref="N88:P88"/>
    <mergeCell ref="Q88:S88"/>
    <mergeCell ref="T88:V88"/>
    <mergeCell ref="AB86:AE86"/>
    <mergeCell ref="F87:G87"/>
    <mergeCell ref="H87:I87"/>
    <mergeCell ref="J87:K87"/>
    <mergeCell ref="N87:P87"/>
    <mergeCell ref="Q87:S87"/>
    <mergeCell ref="T87:V87"/>
    <mergeCell ref="W87:X87"/>
    <mergeCell ref="Z87:AA87"/>
    <mergeCell ref="AB87:AE87"/>
    <mergeCell ref="Z85:AA85"/>
    <mergeCell ref="AB85:AE85"/>
    <mergeCell ref="F86:G86"/>
    <mergeCell ref="H86:I86"/>
    <mergeCell ref="J86:K86"/>
    <mergeCell ref="N86:P86"/>
    <mergeCell ref="Q86:S86"/>
    <mergeCell ref="T86:V86"/>
    <mergeCell ref="W86:X86"/>
    <mergeCell ref="Z86:AA86"/>
    <mergeCell ref="W84:X84"/>
    <mergeCell ref="Z84:AA84"/>
    <mergeCell ref="AB84:AE84"/>
    <mergeCell ref="F85:G85"/>
    <mergeCell ref="H85:I85"/>
    <mergeCell ref="J85:K85"/>
    <mergeCell ref="N85:P85"/>
    <mergeCell ref="Q85:S85"/>
    <mergeCell ref="T85:V85"/>
    <mergeCell ref="W85:X85"/>
    <mergeCell ref="F84:G84"/>
    <mergeCell ref="H84:I84"/>
    <mergeCell ref="J84:K84"/>
    <mergeCell ref="N84:P84"/>
    <mergeCell ref="Q84:S84"/>
    <mergeCell ref="T84:V84"/>
    <mergeCell ref="AB82:AE82"/>
    <mergeCell ref="F83:G83"/>
    <mergeCell ref="H83:I83"/>
    <mergeCell ref="J83:K83"/>
    <mergeCell ref="N83:P83"/>
    <mergeCell ref="Q83:S83"/>
    <mergeCell ref="T83:V83"/>
    <mergeCell ref="W83:X83"/>
    <mergeCell ref="Z83:AA83"/>
    <mergeCell ref="AB83:AE83"/>
    <mergeCell ref="Z81:AA81"/>
    <mergeCell ref="AB81:AE81"/>
    <mergeCell ref="F82:G82"/>
    <mergeCell ref="H82:I82"/>
    <mergeCell ref="J82:K82"/>
    <mergeCell ref="N82:P82"/>
    <mergeCell ref="Q82:S82"/>
    <mergeCell ref="T82:V82"/>
    <mergeCell ref="W82:X82"/>
    <mergeCell ref="Z82:AA82"/>
    <mergeCell ref="W80:X80"/>
    <mergeCell ref="Z80:AA80"/>
    <mergeCell ref="AB80:AE80"/>
    <mergeCell ref="F81:G81"/>
    <mergeCell ref="H81:I81"/>
    <mergeCell ref="J81:K81"/>
    <mergeCell ref="N81:P81"/>
    <mergeCell ref="Q81:S81"/>
    <mergeCell ref="T81:V81"/>
    <mergeCell ref="W81:X81"/>
    <mergeCell ref="F80:G80"/>
    <mergeCell ref="H80:I80"/>
    <mergeCell ref="J80:K80"/>
    <mergeCell ref="N80:P80"/>
    <mergeCell ref="Q80:S80"/>
    <mergeCell ref="T80:V80"/>
    <mergeCell ref="AB72:AE72"/>
    <mergeCell ref="F73:G73"/>
    <mergeCell ref="H73:I73"/>
    <mergeCell ref="J73:K73"/>
    <mergeCell ref="N73:P73"/>
    <mergeCell ref="Q73:S73"/>
    <mergeCell ref="T73:V73"/>
    <mergeCell ref="W73:X73"/>
    <mergeCell ref="Z73:AA73"/>
    <mergeCell ref="AB73:AE73"/>
    <mergeCell ref="Z71:AA71"/>
    <mergeCell ref="AB71:AE71"/>
    <mergeCell ref="F72:G72"/>
    <mergeCell ref="H72:I72"/>
    <mergeCell ref="J72:K72"/>
    <mergeCell ref="N72:P72"/>
    <mergeCell ref="Q72:S72"/>
    <mergeCell ref="T72:V72"/>
    <mergeCell ref="W72:X72"/>
    <mergeCell ref="Z72:AA72"/>
    <mergeCell ref="W70:X70"/>
    <mergeCell ref="Z70:AA70"/>
    <mergeCell ref="AB70:AE70"/>
    <mergeCell ref="F71:G71"/>
    <mergeCell ref="H71:I71"/>
    <mergeCell ref="J71:K71"/>
    <mergeCell ref="N71:P71"/>
    <mergeCell ref="Q71:S71"/>
    <mergeCell ref="T71:V71"/>
    <mergeCell ref="W71:X71"/>
    <mergeCell ref="F70:G70"/>
    <mergeCell ref="H70:I70"/>
    <mergeCell ref="J70:K70"/>
    <mergeCell ref="N70:P70"/>
    <mergeCell ref="Q70:S70"/>
    <mergeCell ref="T70:V70"/>
    <mergeCell ref="AB68:AE68"/>
    <mergeCell ref="F69:G69"/>
    <mergeCell ref="H69:I69"/>
    <mergeCell ref="J69:K69"/>
    <mergeCell ref="N69:P69"/>
    <mergeCell ref="Q69:S69"/>
    <mergeCell ref="T69:V69"/>
    <mergeCell ref="W69:X69"/>
    <mergeCell ref="Z69:AA69"/>
    <mergeCell ref="AB69:AE69"/>
    <mergeCell ref="Z67:AA67"/>
    <mergeCell ref="AB67:AE67"/>
    <mergeCell ref="F68:G68"/>
    <mergeCell ref="H68:I68"/>
    <mergeCell ref="J68:K68"/>
    <mergeCell ref="N68:P68"/>
    <mergeCell ref="Q68:S68"/>
    <mergeCell ref="T68:V68"/>
    <mergeCell ref="W68:X68"/>
    <mergeCell ref="Z68:AA68"/>
    <mergeCell ref="W66:X66"/>
    <mergeCell ref="Z66:AA66"/>
    <mergeCell ref="AB66:AE66"/>
    <mergeCell ref="F67:G67"/>
    <mergeCell ref="H67:I67"/>
    <mergeCell ref="J67:K67"/>
    <mergeCell ref="N67:P67"/>
    <mergeCell ref="Q67:S67"/>
    <mergeCell ref="T67:V67"/>
    <mergeCell ref="W67:X67"/>
    <mergeCell ref="F66:G66"/>
    <mergeCell ref="H66:I66"/>
    <mergeCell ref="J66:K66"/>
    <mergeCell ref="N66:P66"/>
    <mergeCell ref="Q66:S66"/>
    <mergeCell ref="T66:V66"/>
    <mergeCell ref="AB64:AE64"/>
    <mergeCell ref="F65:G65"/>
    <mergeCell ref="H65:I65"/>
    <mergeCell ref="J65:K65"/>
    <mergeCell ref="N65:P65"/>
    <mergeCell ref="Q65:S65"/>
    <mergeCell ref="T65:V65"/>
    <mergeCell ref="W65:X65"/>
    <mergeCell ref="Z65:AA65"/>
    <mergeCell ref="AB65:AE65"/>
    <mergeCell ref="Z63:AA63"/>
    <mergeCell ref="AB63:AE63"/>
    <mergeCell ref="F64:G64"/>
    <mergeCell ref="H64:I64"/>
    <mergeCell ref="J64:K64"/>
    <mergeCell ref="N64:P64"/>
    <mergeCell ref="Q64:S64"/>
    <mergeCell ref="T64:V64"/>
    <mergeCell ref="W64:X64"/>
    <mergeCell ref="Z64:AA64"/>
    <mergeCell ref="W62:X62"/>
    <mergeCell ref="Z62:AA62"/>
    <mergeCell ref="AB62:AE62"/>
    <mergeCell ref="F63:G63"/>
    <mergeCell ref="H63:I63"/>
    <mergeCell ref="J63:K63"/>
    <mergeCell ref="N63:P63"/>
    <mergeCell ref="Q63:S63"/>
    <mergeCell ref="T63:V63"/>
    <mergeCell ref="W63:X63"/>
    <mergeCell ref="F62:G62"/>
    <mergeCell ref="H62:I62"/>
    <mergeCell ref="J62:K62"/>
    <mergeCell ref="N62:P62"/>
    <mergeCell ref="Q62:S62"/>
    <mergeCell ref="T62:V62"/>
    <mergeCell ref="AB60:AE60"/>
    <mergeCell ref="F61:G61"/>
    <mergeCell ref="H61:I61"/>
    <mergeCell ref="J61:K61"/>
    <mergeCell ref="N61:P61"/>
    <mergeCell ref="Q61:S61"/>
    <mergeCell ref="T61:V61"/>
    <mergeCell ref="W61:X61"/>
    <mergeCell ref="Z61:AA61"/>
    <mergeCell ref="AB61:AE61"/>
    <mergeCell ref="N60:P60"/>
    <mergeCell ref="Q60:S60"/>
    <mergeCell ref="T60:V60"/>
    <mergeCell ref="W60:X60"/>
    <mergeCell ref="Z60:AA60"/>
    <mergeCell ref="W58:X58"/>
    <mergeCell ref="Z58:AA58"/>
    <mergeCell ref="AB58:AE58"/>
    <mergeCell ref="F59:G59"/>
    <mergeCell ref="H59:I59"/>
    <mergeCell ref="J59:K59"/>
    <mergeCell ref="N59:P59"/>
    <mergeCell ref="Q59:S59"/>
    <mergeCell ref="T59:V59"/>
    <mergeCell ref="W59:X59"/>
    <mergeCell ref="F58:G58"/>
    <mergeCell ref="H58:I58"/>
    <mergeCell ref="J58:K58"/>
    <mergeCell ref="N58:P58"/>
    <mergeCell ref="Q58:S58"/>
    <mergeCell ref="T58:V58"/>
    <mergeCell ref="F41:G41"/>
    <mergeCell ref="H41:I41"/>
    <mergeCell ref="J41:K41"/>
    <mergeCell ref="N41:P41"/>
    <mergeCell ref="Q41:S41"/>
    <mergeCell ref="T41:V41"/>
    <mergeCell ref="W41:X41"/>
    <mergeCell ref="Z41:AA41"/>
    <mergeCell ref="AB41:AE41"/>
    <mergeCell ref="F42:G42"/>
    <mergeCell ref="H42:I42"/>
    <mergeCell ref="J42:K42"/>
    <mergeCell ref="N42:P42"/>
    <mergeCell ref="Q42:S42"/>
    <mergeCell ref="T42:V42"/>
    <mergeCell ref="W42:X42"/>
    <mergeCell ref="Z42:AA42"/>
    <mergeCell ref="AB42:AE42"/>
    <mergeCell ref="Z39:AA39"/>
    <mergeCell ref="AB39:AE39"/>
    <mergeCell ref="F40:G40"/>
    <mergeCell ref="H40:I40"/>
    <mergeCell ref="J40:K40"/>
    <mergeCell ref="N40:P40"/>
    <mergeCell ref="Q40:S40"/>
    <mergeCell ref="T40:V40"/>
    <mergeCell ref="W40:X40"/>
    <mergeCell ref="Z40:AA40"/>
    <mergeCell ref="W38:X38"/>
    <mergeCell ref="Z38:AA38"/>
    <mergeCell ref="AB38:AE38"/>
    <mergeCell ref="F39:G39"/>
    <mergeCell ref="H39:I39"/>
    <mergeCell ref="J39:K39"/>
    <mergeCell ref="N39:P39"/>
    <mergeCell ref="Q39:S39"/>
    <mergeCell ref="T39:V39"/>
    <mergeCell ref="W39:X39"/>
    <mergeCell ref="F38:G38"/>
    <mergeCell ref="H38:I38"/>
    <mergeCell ref="J38:K38"/>
    <mergeCell ref="N38:P38"/>
    <mergeCell ref="Q38:S38"/>
    <mergeCell ref="T38:V38"/>
    <mergeCell ref="AB40:AE40"/>
    <mergeCell ref="AB36:AE36"/>
    <mergeCell ref="F37:G37"/>
    <mergeCell ref="H37:I37"/>
    <mergeCell ref="J37:K37"/>
    <mergeCell ref="N37:P37"/>
    <mergeCell ref="Q37:S37"/>
    <mergeCell ref="T37:V37"/>
    <mergeCell ref="W37:X37"/>
    <mergeCell ref="Z37:AA37"/>
    <mergeCell ref="AB37:AE37"/>
    <mergeCell ref="Z35:AA35"/>
    <mergeCell ref="AB35:AE35"/>
    <mergeCell ref="F36:G36"/>
    <mergeCell ref="H36:I36"/>
    <mergeCell ref="J36:K36"/>
    <mergeCell ref="N36:P36"/>
    <mergeCell ref="Q36:S36"/>
    <mergeCell ref="T36:V36"/>
    <mergeCell ref="W36:X36"/>
    <mergeCell ref="Z36:AA36"/>
    <mergeCell ref="W34:X34"/>
    <mergeCell ref="Z34:AA34"/>
    <mergeCell ref="AB34:AE34"/>
    <mergeCell ref="F35:G35"/>
    <mergeCell ref="H35:I35"/>
    <mergeCell ref="J35:K35"/>
    <mergeCell ref="N35:P35"/>
    <mergeCell ref="Q35:S35"/>
    <mergeCell ref="T35:V35"/>
    <mergeCell ref="W35:X35"/>
    <mergeCell ref="F34:G34"/>
    <mergeCell ref="H34:I34"/>
    <mergeCell ref="J34:K34"/>
    <mergeCell ref="N34:P34"/>
    <mergeCell ref="Q34:S34"/>
    <mergeCell ref="T34:V34"/>
    <mergeCell ref="AB32:AE32"/>
    <mergeCell ref="F33:G33"/>
    <mergeCell ref="H33:I33"/>
    <mergeCell ref="J33:K33"/>
    <mergeCell ref="N33:P33"/>
    <mergeCell ref="Q33:S33"/>
    <mergeCell ref="T33:V33"/>
    <mergeCell ref="W33:X33"/>
    <mergeCell ref="Z33:AA33"/>
    <mergeCell ref="AB33:AE33"/>
    <mergeCell ref="Z31:AA31"/>
    <mergeCell ref="AB31:AE31"/>
    <mergeCell ref="F32:G32"/>
    <mergeCell ref="H32:I32"/>
    <mergeCell ref="J32:K32"/>
    <mergeCell ref="N32:P32"/>
    <mergeCell ref="Q32:S32"/>
    <mergeCell ref="T32:V32"/>
    <mergeCell ref="W32:X32"/>
    <mergeCell ref="Z32:AA32"/>
    <mergeCell ref="W30:X30"/>
    <mergeCell ref="Z30:AA30"/>
    <mergeCell ref="AB30:AE30"/>
    <mergeCell ref="F31:G31"/>
    <mergeCell ref="H31:I31"/>
    <mergeCell ref="J31:K31"/>
    <mergeCell ref="N31:P31"/>
    <mergeCell ref="Q31:S31"/>
    <mergeCell ref="T31:V31"/>
    <mergeCell ref="W31:X31"/>
    <mergeCell ref="F30:G30"/>
    <mergeCell ref="H30:I30"/>
    <mergeCell ref="J30:K30"/>
    <mergeCell ref="N30:P30"/>
    <mergeCell ref="Q30:S30"/>
    <mergeCell ref="T30:V30"/>
    <mergeCell ref="AB28:AE28"/>
    <mergeCell ref="F29:G29"/>
    <mergeCell ref="H29:I29"/>
    <mergeCell ref="J29:K29"/>
    <mergeCell ref="N29:P29"/>
    <mergeCell ref="Q29:S29"/>
    <mergeCell ref="T29:V29"/>
    <mergeCell ref="W29:X29"/>
    <mergeCell ref="Z29:AA29"/>
    <mergeCell ref="AB29:AE29"/>
    <mergeCell ref="Z27:AA27"/>
    <mergeCell ref="AB27:AE27"/>
    <mergeCell ref="F28:G28"/>
    <mergeCell ref="H28:I28"/>
    <mergeCell ref="J28:K28"/>
    <mergeCell ref="N28:P28"/>
    <mergeCell ref="Q28:S28"/>
    <mergeCell ref="T28:V28"/>
    <mergeCell ref="W28:X28"/>
    <mergeCell ref="Z28:AA28"/>
    <mergeCell ref="W26:X26"/>
    <mergeCell ref="Z26:AA26"/>
    <mergeCell ref="AB26:AE26"/>
    <mergeCell ref="F27:G27"/>
    <mergeCell ref="H27:I27"/>
    <mergeCell ref="J27:K27"/>
    <mergeCell ref="N27:P27"/>
    <mergeCell ref="Q27:S27"/>
    <mergeCell ref="T27:V27"/>
    <mergeCell ref="W27:X27"/>
    <mergeCell ref="F26:G26"/>
    <mergeCell ref="H26:I26"/>
    <mergeCell ref="J26:K26"/>
    <mergeCell ref="N26:P26"/>
    <mergeCell ref="Q26:S26"/>
    <mergeCell ref="T26:V26"/>
    <mergeCell ref="AB24:AE24"/>
    <mergeCell ref="F25:G25"/>
    <mergeCell ref="H25:I25"/>
    <mergeCell ref="J25:K25"/>
    <mergeCell ref="N25:P25"/>
    <mergeCell ref="Q25:S25"/>
    <mergeCell ref="T25:V25"/>
    <mergeCell ref="W25:X25"/>
    <mergeCell ref="Z25:AA25"/>
    <mergeCell ref="AB25:AE25"/>
    <mergeCell ref="Z23:AA23"/>
    <mergeCell ref="AB23:AE23"/>
    <mergeCell ref="F24:G24"/>
    <mergeCell ref="H24:I24"/>
    <mergeCell ref="J24:K24"/>
    <mergeCell ref="N24:P24"/>
    <mergeCell ref="Q24:S24"/>
    <mergeCell ref="T24:V24"/>
    <mergeCell ref="W24:X24"/>
    <mergeCell ref="Z24:AA24"/>
    <mergeCell ref="W22:X22"/>
    <mergeCell ref="Z22:AA22"/>
    <mergeCell ref="AB22:AE22"/>
    <mergeCell ref="F23:G23"/>
    <mergeCell ref="H23:I23"/>
    <mergeCell ref="J23:K23"/>
    <mergeCell ref="N23:P23"/>
    <mergeCell ref="Q23:S23"/>
    <mergeCell ref="T23:V23"/>
    <mergeCell ref="W23:X23"/>
    <mergeCell ref="F22:G22"/>
    <mergeCell ref="H22:I22"/>
    <mergeCell ref="J22:K22"/>
    <mergeCell ref="N22:P22"/>
    <mergeCell ref="Q22:S22"/>
    <mergeCell ref="T22:V22"/>
    <mergeCell ref="AB78:AE78"/>
    <mergeCell ref="F79:G79"/>
    <mergeCell ref="H79:I79"/>
    <mergeCell ref="J79:K79"/>
    <mergeCell ref="N79:P79"/>
    <mergeCell ref="Q79:S79"/>
    <mergeCell ref="T79:V79"/>
    <mergeCell ref="W79:X79"/>
    <mergeCell ref="Z79:AA79"/>
    <mergeCell ref="AB79:AE79"/>
    <mergeCell ref="AB77:AE77"/>
    <mergeCell ref="F78:G78"/>
    <mergeCell ref="H78:I78"/>
    <mergeCell ref="J78:K78"/>
    <mergeCell ref="N78:P78"/>
    <mergeCell ref="Q78:S78"/>
    <mergeCell ref="T78:V78"/>
    <mergeCell ref="W78:X78"/>
    <mergeCell ref="Z78:AA78"/>
    <mergeCell ref="Z76:AA76"/>
    <mergeCell ref="AB76:AE76"/>
    <mergeCell ref="F77:G77"/>
    <mergeCell ref="H77:I77"/>
    <mergeCell ref="J77:K77"/>
    <mergeCell ref="N77:P77"/>
    <mergeCell ref="Q77:S77"/>
    <mergeCell ref="T77:V77"/>
    <mergeCell ref="W77:X77"/>
    <mergeCell ref="Z77:AA77"/>
    <mergeCell ref="W75:X75"/>
    <mergeCell ref="Z75:AA75"/>
    <mergeCell ref="AB75:AE75"/>
    <mergeCell ref="F76:G76"/>
    <mergeCell ref="H76:I76"/>
    <mergeCell ref="J76:K76"/>
    <mergeCell ref="N76:P76"/>
    <mergeCell ref="Q76:S76"/>
    <mergeCell ref="T76:V76"/>
    <mergeCell ref="W76:X76"/>
    <mergeCell ref="F75:G75"/>
    <mergeCell ref="H75:I75"/>
    <mergeCell ref="J75:K75"/>
    <mergeCell ref="N75:P75"/>
    <mergeCell ref="Q75:S75"/>
    <mergeCell ref="T75:V75"/>
    <mergeCell ref="F74:G74"/>
    <mergeCell ref="H74:I74"/>
    <mergeCell ref="J74:K74"/>
    <mergeCell ref="N74:P74"/>
    <mergeCell ref="Q74:S74"/>
    <mergeCell ref="T74:V74"/>
    <mergeCell ref="W74:X74"/>
    <mergeCell ref="Z74:AA74"/>
    <mergeCell ref="AB74:AE74"/>
    <mergeCell ref="W43:X43"/>
    <mergeCell ref="Z43:AA43"/>
    <mergeCell ref="AB43:AE43"/>
    <mergeCell ref="F43:G43"/>
    <mergeCell ref="H43:I43"/>
    <mergeCell ref="J43:K43"/>
    <mergeCell ref="N43:P43"/>
    <mergeCell ref="Q43:S43"/>
    <mergeCell ref="T43:V43"/>
    <mergeCell ref="F57:G57"/>
    <mergeCell ref="H57:I57"/>
    <mergeCell ref="J57:K57"/>
    <mergeCell ref="N57:P57"/>
    <mergeCell ref="Q57:S57"/>
    <mergeCell ref="T57:V57"/>
    <mergeCell ref="W57:X57"/>
    <mergeCell ref="Z57:AA57"/>
    <mergeCell ref="AB57:AE57"/>
    <mergeCell ref="Z59:AA59"/>
    <mergeCell ref="AB59:AE59"/>
    <mergeCell ref="F60:G60"/>
    <mergeCell ref="H60:I60"/>
    <mergeCell ref="J60:K60"/>
    <mergeCell ref="AB20:AE20"/>
    <mergeCell ref="F21:G21"/>
    <mergeCell ref="H21:I21"/>
    <mergeCell ref="J21:K21"/>
    <mergeCell ref="N21:P21"/>
    <mergeCell ref="Q21:S21"/>
    <mergeCell ref="T21:V21"/>
    <mergeCell ref="W21:X21"/>
    <mergeCell ref="Z21:AA21"/>
    <mergeCell ref="AB21:AE21"/>
    <mergeCell ref="Z19:AA19"/>
    <mergeCell ref="AB19:AE19"/>
    <mergeCell ref="F20:G20"/>
    <mergeCell ref="H20:I20"/>
    <mergeCell ref="J20:K20"/>
    <mergeCell ref="N20:P20"/>
    <mergeCell ref="Q20:S20"/>
    <mergeCell ref="T20:V20"/>
    <mergeCell ref="W20:X20"/>
    <mergeCell ref="Z20:AA20"/>
    <mergeCell ref="W18:X18"/>
    <mergeCell ref="Z18:AA18"/>
    <mergeCell ref="AB18:AE18"/>
    <mergeCell ref="F19:G19"/>
    <mergeCell ref="H19:I19"/>
    <mergeCell ref="J19:K19"/>
    <mergeCell ref="N19:P19"/>
    <mergeCell ref="Q19:S19"/>
    <mergeCell ref="T19:V19"/>
    <mergeCell ref="W19:X19"/>
    <mergeCell ref="F18:G18"/>
    <mergeCell ref="H18:I18"/>
    <mergeCell ref="J18:K18"/>
    <mergeCell ref="N18:P18"/>
    <mergeCell ref="Q18:S18"/>
    <mergeCell ref="T18:V18"/>
    <mergeCell ref="AB16:AE16"/>
    <mergeCell ref="F17:G17"/>
    <mergeCell ref="H17:I17"/>
    <mergeCell ref="J17:K17"/>
    <mergeCell ref="N17:P17"/>
    <mergeCell ref="Q17:S17"/>
    <mergeCell ref="T17:V17"/>
    <mergeCell ref="W17:X17"/>
    <mergeCell ref="Z17:AA17"/>
    <mergeCell ref="AB17:AE17"/>
    <mergeCell ref="Z15:AA15"/>
    <mergeCell ref="AB15:AE15"/>
    <mergeCell ref="F16:G16"/>
    <mergeCell ref="H16:I16"/>
    <mergeCell ref="J16:K16"/>
    <mergeCell ref="N16:P16"/>
    <mergeCell ref="Q16:S16"/>
    <mergeCell ref="T16:V16"/>
    <mergeCell ref="W16:X16"/>
    <mergeCell ref="Z16:AA16"/>
    <mergeCell ref="W14:X14"/>
    <mergeCell ref="Z14:AA14"/>
    <mergeCell ref="AB14:AE14"/>
    <mergeCell ref="F15:G15"/>
    <mergeCell ref="H15:I15"/>
    <mergeCell ref="J15:K15"/>
    <mergeCell ref="N15:P15"/>
    <mergeCell ref="Q15:S15"/>
    <mergeCell ref="T15:V15"/>
    <mergeCell ref="W15:X15"/>
    <mergeCell ref="F14:G14"/>
    <mergeCell ref="H14:I14"/>
    <mergeCell ref="J14:K14"/>
    <mergeCell ref="N14:P14"/>
    <mergeCell ref="Q14:S14"/>
    <mergeCell ref="T14:V14"/>
    <mergeCell ref="AB13:AE13"/>
    <mergeCell ref="F13:G13"/>
    <mergeCell ref="H13:I13"/>
    <mergeCell ref="J13:K13"/>
    <mergeCell ref="Z11:AA11"/>
    <mergeCell ref="AB11:AE11"/>
    <mergeCell ref="F12:G12"/>
    <mergeCell ref="H12:I12"/>
    <mergeCell ref="J12:K12"/>
    <mergeCell ref="N13:P13"/>
    <mergeCell ref="Q13:S13"/>
    <mergeCell ref="T13:V13"/>
    <mergeCell ref="W13:X13"/>
    <mergeCell ref="Z13:AA13"/>
    <mergeCell ref="W10:X10"/>
    <mergeCell ref="Z10:AA10"/>
    <mergeCell ref="AB10:AE10"/>
    <mergeCell ref="F11:G11"/>
    <mergeCell ref="H11:I11"/>
    <mergeCell ref="J11:K11"/>
    <mergeCell ref="N11:P11"/>
    <mergeCell ref="Q11:S11"/>
    <mergeCell ref="T11:V11"/>
    <mergeCell ref="W11:X11"/>
    <mergeCell ref="F10:G10"/>
    <mergeCell ref="H10:I10"/>
    <mergeCell ref="J10:K10"/>
    <mergeCell ref="N10:P10"/>
    <mergeCell ref="Q10:S10"/>
    <mergeCell ref="T10:V10"/>
    <mergeCell ref="AB8:AE8"/>
    <mergeCell ref="F9:G9"/>
    <mergeCell ref="H9:I9"/>
    <mergeCell ref="J9:K9"/>
    <mergeCell ref="N9:P9"/>
    <mergeCell ref="Q9:S9"/>
    <mergeCell ref="T9:V9"/>
    <mergeCell ref="W9:X9"/>
    <mergeCell ref="Z9:AA9"/>
    <mergeCell ref="AB9:AE9"/>
    <mergeCell ref="Z7:AA7"/>
    <mergeCell ref="AB7:AE7"/>
    <mergeCell ref="F8:G8"/>
    <mergeCell ref="H8:I8"/>
    <mergeCell ref="J8:K8"/>
    <mergeCell ref="N8:P8"/>
    <mergeCell ref="Q8:S8"/>
    <mergeCell ref="T8:V8"/>
    <mergeCell ref="W8:X8"/>
    <mergeCell ref="Z8:AA8"/>
    <mergeCell ref="D3:E5"/>
    <mergeCell ref="L3:L5"/>
    <mergeCell ref="M3:M5"/>
    <mergeCell ref="N3:P5"/>
    <mergeCell ref="Q3:S5"/>
    <mergeCell ref="T3:V5"/>
    <mergeCell ref="W6:X6"/>
    <mergeCell ref="Z6:AA6"/>
    <mergeCell ref="AB6:AE6"/>
    <mergeCell ref="F7:G7"/>
    <mergeCell ref="H7:I7"/>
    <mergeCell ref="J7:K7"/>
    <mergeCell ref="N7:P7"/>
    <mergeCell ref="Q7:S7"/>
    <mergeCell ref="T7:V7"/>
    <mergeCell ref="W7:X7"/>
    <mergeCell ref="W3:AA5"/>
    <mergeCell ref="AB3:AE5"/>
    <mergeCell ref="F4:G5"/>
    <mergeCell ref="F6:G6"/>
    <mergeCell ref="H6:I6"/>
    <mergeCell ref="J6:K6"/>
    <mergeCell ref="N6:P6"/>
    <mergeCell ref="Q6:S6"/>
    <mergeCell ref="T6:V6"/>
  </mergeCells>
  <phoneticPr fontId="1"/>
  <pageMargins left="0.78740157480314965" right="0.27559055118110237" top="0.59055118110236227" bottom="0.15748031496062992" header="0.78740157480314965" footer="0.15748031496062992"/>
  <pageSetup paperSize="9" scale="92" orientation="portrait" r:id="rId1"/>
  <headerFooter alignWithMargins="0"/>
  <rowBreaks count="3" manualBreakCount="3">
    <brk id="51" max="31" man="1"/>
    <brk id="108" max="31" man="1"/>
    <brk id="146" max="31" man="1"/>
  </rowBreaks>
  <ignoredErrors>
    <ignoredError sqref="Z6:AA11 Z19:AA21 Z17:AA18 Z12:AA13 Z14:AA16 Z22 Z23:AA46 Z57:AA81 Z82:AA106 Z114:AA143 Z152:AA176 Z177:AA201" numberStoredAsText="1"/>
    <ignoredError sqref="H23:K46 H58 H83 H120 H153 H178" formula="1"/>
    <ignoredError sqref="M24 M26 M27:M29 M31:M35 M37:M46 M58:M81 M83:M106 M121:M143 M153:M176 M178:M201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1D99-4C98-4656-9600-372B105849EB}">
  <dimension ref="A2:AX22"/>
  <sheetViews>
    <sheetView view="pageBreakPreview" zoomScale="75" zoomScaleNormal="100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38" width="2.625" style="17"/>
    <col min="39" max="39" width="18.625" style="17" customWidth="1"/>
    <col min="40" max="50" width="8.625" style="17" customWidth="1"/>
    <col min="51" max="16384" width="2.625" style="17"/>
  </cols>
  <sheetData>
    <row r="2" spans="1:50" s="61" customFormat="1" ht="16.5" customHeight="1" x14ac:dyDescent="0.15">
      <c r="A2" s="62"/>
      <c r="B2" s="10" t="s">
        <v>426</v>
      </c>
      <c r="C2" s="9"/>
      <c r="E2" s="62"/>
      <c r="F2" s="62"/>
      <c r="G2" s="62"/>
      <c r="H2" s="62"/>
    </row>
    <row r="4" spans="1:50" ht="16.5" customHeight="1" x14ac:dyDescent="0.15">
      <c r="C4" s="21" t="s">
        <v>209</v>
      </c>
      <c r="D4" s="17" t="s">
        <v>210</v>
      </c>
    </row>
    <row r="8" spans="1:50" ht="16.5" customHeight="1" x14ac:dyDescent="0.15">
      <c r="C8" s="21" t="s">
        <v>211</v>
      </c>
      <c r="D8" s="17" t="s">
        <v>212</v>
      </c>
    </row>
    <row r="16" spans="1:50" ht="16.5" customHeight="1" x14ac:dyDescent="0.15">
      <c r="AN16" s="324" t="s">
        <v>563</v>
      </c>
      <c r="AO16" s="324"/>
      <c r="AP16" s="324"/>
      <c r="AQ16" s="324"/>
      <c r="AR16" s="324"/>
      <c r="AS16" s="324"/>
      <c r="AT16" s="324"/>
      <c r="AU16" s="324"/>
      <c r="AV16" s="324"/>
      <c r="AW16" s="324"/>
      <c r="AX16" s="324"/>
    </row>
    <row r="17" spans="39:50" ht="16.5" customHeight="1" x14ac:dyDescent="0.15">
      <c r="AM17" s="172" t="s">
        <v>567</v>
      </c>
      <c r="AN17" s="271">
        <v>0</v>
      </c>
      <c r="AO17" s="271">
        <v>0.1</v>
      </c>
      <c r="AP17" s="271">
        <v>0.2</v>
      </c>
      <c r="AQ17" s="271">
        <v>0.3</v>
      </c>
      <c r="AR17" s="271">
        <v>0.4</v>
      </c>
      <c r="AS17" s="271">
        <v>0.5</v>
      </c>
      <c r="AT17" s="271">
        <v>0.6</v>
      </c>
      <c r="AU17" s="271">
        <v>0.7</v>
      </c>
      <c r="AV17" s="271">
        <v>0.8</v>
      </c>
      <c r="AW17" s="271">
        <v>0.9</v>
      </c>
      <c r="AX17" s="271">
        <v>1</v>
      </c>
    </row>
    <row r="18" spans="39:50" ht="16.5" customHeight="1" x14ac:dyDescent="0.15">
      <c r="AM18" s="88" t="s">
        <v>564</v>
      </c>
      <c r="AN18" s="272">
        <v>0.55000000000000004</v>
      </c>
      <c r="AO18" s="272">
        <v>0.55000000000000004</v>
      </c>
      <c r="AP18" s="272">
        <v>0.55000000000000004</v>
      </c>
      <c r="AQ18" s="272">
        <v>0.55000000000000004</v>
      </c>
      <c r="AR18" s="272">
        <v>0.55000000000000004</v>
      </c>
      <c r="AS18" s="272">
        <v>0.55000000000000004</v>
      </c>
      <c r="AT18" s="272">
        <v>0.55000000000000004</v>
      </c>
      <c r="AU18" s="272">
        <v>0.48</v>
      </c>
      <c r="AV18" s="272">
        <v>0.4</v>
      </c>
      <c r="AW18" s="272">
        <v>0.33</v>
      </c>
      <c r="AX18" s="272">
        <v>0.25</v>
      </c>
    </row>
    <row r="19" spans="39:50" ht="16.5" customHeight="1" x14ac:dyDescent="0.15">
      <c r="AM19" s="88" t="s">
        <v>565</v>
      </c>
      <c r="AN19" s="272">
        <v>0.65</v>
      </c>
      <c r="AO19" s="272">
        <v>0.65</v>
      </c>
      <c r="AP19" s="272">
        <v>0.65</v>
      </c>
      <c r="AQ19" s="272">
        <v>0.65</v>
      </c>
      <c r="AR19" s="272">
        <v>0.65</v>
      </c>
      <c r="AS19" s="272">
        <v>0.65</v>
      </c>
      <c r="AT19" s="272">
        <v>0.65</v>
      </c>
      <c r="AU19" s="272">
        <v>0.59</v>
      </c>
      <c r="AV19" s="272">
        <v>0.53</v>
      </c>
      <c r="AW19" s="272">
        <v>0.46</v>
      </c>
      <c r="AX19" s="272">
        <v>0.4</v>
      </c>
    </row>
    <row r="20" spans="39:50" ht="16.5" customHeight="1" x14ac:dyDescent="0.15">
      <c r="AM20" s="88" t="s">
        <v>566</v>
      </c>
      <c r="AN20" s="272">
        <v>0.86</v>
      </c>
      <c r="AO20" s="272">
        <v>0.85</v>
      </c>
      <c r="AP20" s="272">
        <v>0.83</v>
      </c>
      <c r="AQ20" s="272">
        <v>0.81</v>
      </c>
      <c r="AR20" s="272">
        <v>0.79</v>
      </c>
      <c r="AS20" s="272">
        <v>0.77</v>
      </c>
      <c r="AT20" s="272">
        <v>0.74</v>
      </c>
      <c r="AU20" s="272">
        <v>0.7</v>
      </c>
      <c r="AV20" s="272">
        <v>0.65</v>
      </c>
      <c r="AW20" s="272">
        <v>0.6</v>
      </c>
      <c r="AX20" s="272">
        <v>0.55000000000000004</v>
      </c>
    </row>
    <row r="21" spans="39:50" ht="16.5" customHeight="1" x14ac:dyDescent="0.15">
      <c r="AM21" s="88" t="s">
        <v>568</v>
      </c>
      <c r="AN21" s="272">
        <v>0.92</v>
      </c>
      <c r="AO21" s="272">
        <v>0.9</v>
      </c>
      <c r="AP21" s="272">
        <v>0.88</v>
      </c>
      <c r="AQ21" s="272">
        <v>0.85</v>
      </c>
      <c r="AR21" s="272">
        <v>0.83</v>
      </c>
      <c r="AS21" s="272">
        <v>0.8</v>
      </c>
      <c r="AT21" s="272">
        <v>0.77</v>
      </c>
      <c r="AU21" s="272">
        <v>0.73</v>
      </c>
      <c r="AV21" s="272">
        <v>0.69</v>
      </c>
      <c r="AW21" s="272">
        <v>0.64</v>
      </c>
      <c r="AX21" s="272">
        <v>0.57999999999999996</v>
      </c>
    </row>
    <row r="22" spans="39:50" ht="16.5" customHeight="1" x14ac:dyDescent="0.15">
      <c r="AM22" s="88" t="s">
        <v>569</v>
      </c>
      <c r="AN22" s="272">
        <v>1.1499999999999999</v>
      </c>
      <c r="AO22" s="272">
        <v>1.1499999999999999</v>
      </c>
      <c r="AP22" s="272">
        <v>1.1499999999999999</v>
      </c>
      <c r="AQ22" s="272">
        <v>1.1499999999999999</v>
      </c>
      <c r="AR22" s="272">
        <v>1.1499999999999999</v>
      </c>
      <c r="AS22" s="272">
        <v>1.1499999999999999</v>
      </c>
      <c r="AT22" s="272">
        <v>1.1399999999999999</v>
      </c>
      <c r="AU22" s="272">
        <v>1.1299999999999999</v>
      </c>
      <c r="AV22" s="272">
        <v>1.1200000000000001</v>
      </c>
      <c r="AW22" s="272">
        <v>1.1100000000000001</v>
      </c>
      <c r="AX22" s="272">
        <v>1.1000000000000001</v>
      </c>
    </row>
  </sheetData>
  <mergeCells count="1">
    <mergeCell ref="AN16:AX16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1" manualBreakCount="1">
    <brk id="6" max="3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7629-2223-4351-90AE-AA2E4A2BCA77}">
  <dimension ref="C2:X87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4" width="6.625" style="17" customWidth="1"/>
    <col min="5" max="6" width="8.625" style="17" customWidth="1"/>
    <col min="7" max="8" width="6.625" style="17" customWidth="1"/>
    <col min="9" max="10" width="4.625" style="17" customWidth="1"/>
    <col min="11" max="11" width="8.625" style="17" customWidth="1"/>
    <col min="12" max="13" width="10.625" style="17" customWidth="1"/>
    <col min="14" max="15" width="2.625" style="17" customWidth="1"/>
    <col min="16" max="16" width="10.625" style="4" customWidth="1"/>
    <col min="17" max="17" width="10.625" style="142" customWidth="1"/>
    <col min="18" max="19" width="10.625" style="17" customWidth="1"/>
    <col min="20" max="20" width="2.625" style="17" customWidth="1"/>
    <col min="21" max="24" width="10.625" style="17" customWidth="1"/>
    <col min="25" max="16384" width="2.625" style="17"/>
  </cols>
  <sheetData>
    <row r="2" spans="3:24" ht="16.5" customHeight="1" x14ac:dyDescent="0.15">
      <c r="C2" s="21" t="s">
        <v>213</v>
      </c>
      <c r="D2" s="17" t="s">
        <v>214</v>
      </c>
    </row>
    <row r="3" spans="3:24" ht="16.5" customHeight="1" x14ac:dyDescent="0.15">
      <c r="C3" s="18" t="s">
        <v>125</v>
      </c>
      <c r="D3" s="17" t="s">
        <v>240</v>
      </c>
    </row>
    <row r="4" spans="3:24" ht="16.5" customHeight="1" x14ac:dyDescent="0.15">
      <c r="C4" s="18" t="s">
        <v>215</v>
      </c>
      <c r="D4" s="17" t="s">
        <v>216</v>
      </c>
    </row>
    <row r="5" spans="3:24" ht="16.5" customHeight="1" x14ac:dyDescent="0.15">
      <c r="D5" s="17" t="s">
        <v>202</v>
      </c>
      <c r="E5" s="73">
        <v>1.3</v>
      </c>
      <c r="F5" s="17" t="s">
        <v>29</v>
      </c>
    </row>
    <row r="6" spans="3:24" ht="16.5" customHeight="1" x14ac:dyDescent="0.15">
      <c r="D6" s="17" t="s">
        <v>207</v>
      </c>
      <c r="E6" s="73">
        <v>31</v>
      </c>
      <c r="F6" s="17" t="s">
        <v>29</v>
      </c>
    </row>
    <row r="7" spans="3:24" ht="16.5" customHeight="1" x14ac:dyDescent="0.15">
      <c r="D7" s="17" t="s">
        <v>200</v>
      </c>
      <c r="E7" s="77">
        <v>2</v>
      </c>
      <c r="F7" s="17" t="s">
        <v>206</v>
      </c>
    </row>
    <row r="8" spans="3:24" ht="16.5" customHeight="1" x14ac:dyDescent="0.15">
      <c r="D8" s="376" t="s">
        <v>199</v>
      </c>
      <c r="E8" s="549" t="s">
        <v>229</v>
      </c>
      <c r="F8" s="552" t="s">
        <v>236</v>
      </c>
      <c r="G8" s="362" t="s">
        <v>237</v>
      </c>
      <c r="H8" s="363"/>
      <c r="I8" s="368" t="s">
        <v>201</v>
      </c>
      <c r="J8" s="370"/>
      <c r="K8" s="549" t="s">
        <v>238</v>
      </c>
      <c r="L8" s="362" t="s">
        <v>239</v>
      </c>
      <c r="M8" s="363"/>
      <c r="P8" s="569" t="s">
        <v>353</v>
      </c>
      <c r="Q8" s="569"/>
      <c r="R8" s="569"/>
      <c r="S8" s="569"/>
      <c r="U8" s="569" t="s">
        <v>364</v>
      </c>
      <c r="V8" s="569"/>
      <c r="W8" s="569"/>
      <c r="X8" s="569"/>
    </row>
    <row r="9" spans="3:24" ht="16.5" customHeight="1" x14ac:dyDescent="0.15">
      <c r="D9" s="376"/>
      <c r="E9" s="550"/>
      <c r="F9" s="553"/>
      <c r="G9" s="364"/>
      <c r="H9" s="365"/>
      <c r="I9" s="371"/>
      <c r="J9" s="372"/>
      <c r="K9" s="550"/>
      <c r="L9" s="364"/>
      <c r="M9" s="365"/>
      <c r="P9" s="569"/>
      <c r="Q9" s="569"/>
      <c r="R9" s="569"/>
      <c r="S9" s="569"/>
      <c r="U9" s="569"/>
      <c r="V9" s="569"/>
      <c r="W9" s="569"/>
      <c r="X9" s="569"/>
    </row>
    <row r="10" spans="3:24" ht="16.5" customHeight="1" x14ac:dyDescent="0.15">
      <c r="D10" s="376"/>
      <c r="E10" s="550"/>
      <c r="F10" s="553"/>
      <c r="G10" s="364"/>
      <c r="H10" s="365"/>
      <c r="I10" s="371"/>
      <c r="J10" s="372"/>
      <c r="K10" s="550"/>
      <c r="L10" s="364"/>
      <c r="M10" s="365"/>
      <c r="P10" s="569"/>
      <c r="Q10" s="569"/>
      <c r="R10" s="569"/>
      <c r="S10" s="569"/>
      <c r="U10" s="569"/>
      <c r="V10" s="569"/>
      <c r="W10" s="569"/>
      <c r="X10" s="569"/>
    </row>
    <row r="11" spans="3:24" ht="16.5" customHeight="1" x14ac:dyDescent="0.15">
      <c r="D11" s="376"/>
      <c r="E11" s="550"/>
      <c r="F11" s="553"/>
      <c r="G11" s="364"/>
      <c r="H11" s="365"/>
      <c r="I11" s="371"/>
      <c r="J11" s="372"/>
      <c r="K11" s="550"/>
      <c r="L11" s="366"/>
      <c r="M11" s="367"/>
      <c r="P11" s="393" t="s">
        <v>365</v>
      </c>
      <c r="Q11" s="568" t="s">
        <v>352</v>
      </c>
      <c r="R11" s="376" t="s">
        <v>349</v>
      </c>
      <c r="S11" s="376"/>
      <c r="U11" s="393" t="s">
        <v>365</v>
      </c>
      <c r="V11" s="568" t="s">
        <v>352</v>
      </c>
      <c r="W11" s="376" t="s">
        <v>349</v>
      </c>
      <c r="X11" s="376"/>
    </row>
    <row r="12" spans="3:24" ht="16.5" customHeight="1" x14ac:dyDescent="0.15">
      <c r="D12" s="376"/>
      <c r="E12" s="551"/>
      <c r="F12" s="554"/>
      <c r="G12" s="366"/>
      <c r="H12" s="367"/>
      <c r="I12" s="356"/>
      <c r="J12" s="357"/>
      <c r="K12" s="551"/>
      <c r="L12" s="69" t="s">
        <v>208</v>
      </c>
      <c r="M12" s="96">
        <f>+E7</f>
        <v>2</v>
      </c>
      <c r="P12" s="393"/>
      <c r="Q12" s="568"/>
      <c r="R12" s="25" t="s">
        <v>350</v>
      </c>
      <c r="S12" s="25" t="s">
        <v>351</v>
      </c>
      <c r="U12" s="393"/>
      <c r="V12" s="568"/>
      <c r="W12" s="25" t="s">
        <v>350</v>
      </c>
      <c r="X12" s="25" t="s">
        <v>351</v>
      </c>
    </row>
    <row r="13" spans="3:24" ht="16.5" customHeight="1" x14ac:dyDescent="0.15">
      <c r="D13" s="559" t="s">
        <v>16</v>
      </c>
      <c r="E13" s="565">
        <v>3.3</v>
      </c>
      <c r="F13" s="562">
        <v>19476</v>
      </c>
      <c r="G13" s="79">
        <f>+E5</f>
        <v>1.3</v>
      </c>
      <c r="H13" s="78"/>
      <c r="I13" s="104">
        <v>18</v>
      </c>
      <c r="J13" s="104">
        <v>68</v>
      </c>
      <c r="K13" s="70">
        <f>+F13</f>
        <v>19476</v>
      </c>
      <c r="L13" s="80">
        <f>K13*E5</f>
        <v>25318.799999999999</v>
      </c>
      <c r="M13" s="97">
        <f>+E7*L13</f>
        <v>50637.599999999999</v>
      </c>
      <c r="P13" s="37">
        <f>+I13</f>
        <v>18</v>
      </c>
      <c r="Q13" s="165">
        <f>+M13</f>
        <v>50637.599999999999</v>
      </c>
      <c r="R13" s="167">
        <f>+'有効抵抗土圧(4P左)'!G202</f>
        <v>715.52</v>
      </c>
      <c r="S13" s="167">
        <f>+'有効抵抗土圧(4P左)'!G203</f>
        <v>849.12218181818196</v>
      </c>
      <c r="U13" s="37">
        <f>+P13</f>
        <v>18</v>
      </c>
      <c r="V13" s="165">
        <f>+Q13</f>
        <v>50637.599999999999</v>
      </c>
      <c r="W13" s="167">
        <f>+R63</f>
        <v>1788.8</v>
      </c>
      <c r="X13" s="167">
        <f>+S63</f>
        <v>2122.8054545454547</v>
      </c>
    </row>
    <row r="14" spans="3:24" ht="16.5" customHeight="1" x14ac:dyDescent="0.15">
      <c r="D14" s="560"/>
      <c r="E14" s="567"/>
      <c r="F14" s="563"/>
      <c r="G14" s="79">
        <f>+G13</f>
        <v>1.3</v>
      </c>
      <c r="H14" s="79"/>
      <c r="I14" s="37">
        <f>+I13+1</f>
        <v>19</v>
      </c>
      <c r="J14" s="37">
        <f>+J13+1</f>
        <v>69</v>
      </c>
      <c r="K14" s="70">
        <f>+F13</f>
        <v>19476</v>
      </c>
      <c r="L14" s="80">
        <f>K14*E5</f>
        <v>25318.799999999999</v>
      </c>
      <c r="M14" s="97">
        <f>+E7*L14</f>
        <v>50637.599999999999</v>
      </c>
      <c r="P14" s="37">
        <f>+P13+1</f>
        <v>19</v>
      </c>
      <c r="Q14" s="165">
        <f>+M14</f>
        <v>50637.599999999999</v>
      </c>
      <c r="R14" s="167">
        <f>+'有効抵抗土圧(4P左)'!G204</f>
        <v>849.12218181818196</v>
      </c>
      <c r="S14" s="167">
        <f>+'有効抵抗土圧(4P左)'!G205</f>
        <v>982.72436363636371</v>
      </c>
      <c r="U14" s="37">
        <f t="shared" ref="U14:U36" si="0">+P14</f>
        <v>19</v>
      </c>
      <c r="V14" s="165">
        <f t="shared" ref="V14:V36" si="1">+Q14</f>
        <v>50637.599999999999</v>
      </c>
      <c r="W14" s="167">
        <f t="shared" ref="W14:X14" si="2">+R64</f>
        <v>2122.8054545454547</v>
      </c>
      <c r="X14" s="167">
        <f t="shared" si="2"/>
        <v>2456.8109090909093</v>
      </c>
    </row>
    <row r="15" spans="3:24" ht="16.5" customHeight="1" x14ac:dyDescent="0.15">
      <c r="D15" s="561"/>
      <c r="E15" s="566"/>
      <c r="F15" s="564"/>
      <c r="G15" s="547">
        <f>+G14</f>
        <v>1.3</v>
      </c>
      <c r="H15" s="79">
        <f>+E13-G13-G14</f>
        <v>0.69999999999999973</v>
      </c>
      <c r="I15" s="393">
        <f>+I14+1</f>
        <v>20</v>
      </c>
      <c r="J15" s="393">
        <f>+J14+1</f>
        <v>70</v>
      </c>
      <c r="K15" s="545">
        <f>(F13*H15+F16*H16)/G15</f>
        <v>58000.615384615405</v>
      </c>
      <c r="L15" s="545">
        <f>+E5*K15</f>
        <v>75400.800000000032</v>
      </c>
      <c r="M15" s="557">
        <f>+E7*L15</f>
        <v>150801.60000000006</v>
      </c>
      <c r="P15" s="37">
        <f t="shared" ref="P15:P36" si="3">+P14+1</f>
        <v>20</v>
      </c>
      <c r="Q15" s="165">
        <f>+M15</f>
        <v>150801.60000000006</v>
      </c>
      <c r="R15" s="167">
        <f>+'有効抵抗土圧(4P左)'!G206</f>
        <v>1303.6340979020983</v>
      </c>
      <c r="S15" s="167">
        <f>+'有効抵抗土圧(4P左)'!G207</f>
        <v>1303.6340979020983</v>
      </c>
      <c r="U15" s="37">
        <f t="shared" si="0"/>
        <v>20</v>
      </c>
      <c r="V15" s="165">
        <f t="shared" si="1"/>
        <v>150801.60000000006</v>
      </c>
      <c r="W15" s="167">
        <f t="shared" ref="W15:X15" si="4">+R65</f>
        <v>3259.0852447552452</v>
      </c>
      <c r="X15" s="167">
        <f t="shared" si="4"/>
        <v>3259.0852447552452</v>
      </c>
    </row>
    <row r="16" spans="3:24" ht="16.5" customHeight="1" x14ac:dyDescent="0.15">
      <c r="D16" s="559" t="s">
        <v>17</v>
      </c>
      <c r="E16" s="565">
        <v>1.3</v>
      </c>
      <c r="F16" s="562">
        <v>102946</v>
      </c>
      <c r="G16" s="548"/>
      <c r="H16" s="79">
        <f>+G15-H15</f>
        <v>0.60000000000000031</v>
      </c>
      <c r="I16" s="393"/>
      <c r="J16" s="393"/>
      <c r="K16" s="546"/>
      <c r="L16" s="546"/>
      <c r="M16" s="558"/>
      <c r="P16" s="37">
        <f t="shared" si="3"/>
        <v>21</v>
      </c>
      <c r="Q16" s="165">
        <f>+M17</f>
        <v>188118.79999999996</v>
      </c>
      <c r="R16" s="167">
        <f>+'有効抵抗土圧(4P左)'!G208</f>
        <v>1138.2575384615379</v>
      </c>
      <c r="S16" s="167">
        <f>+'有効抵抗土圧(4P左)'!G209</f>
        <v>1138.2575384615379</v>
      </c>
      <c r="U16" s="37">
        <f t="shared" si="0"/>
        <v>21</v>
      </c>
      <c r="V16" s="165">
        <f t="shared" si="1"/>
        <v>188118.79999999996</v>
      </c>
      <c r="W16" s="167">
        <f t="shared" ref="W16:X16" si="5">+R66</f>
        <v>2845.6438461538446</v>
      </c>
      <c r="X16" s="167">
        <f t="shared" si="5"/>
        <v>2845.6438461538446</v>
      </c>
    </row>
    <row r="17" spans="4:24" ht="16.5" customHeight="1" x14ac:dyDescent="0.15">
      <c r="D17" s="561"/>
      <c r="E17" s="566"/>
      <c r="F17" s="564"/>
      <c r="G17" s="547">
        <f>+G15</f>
        <v>1.3</v>
      </c>
      <c r="H17" s="79">
        <f>+E16-H16</f>
        <v>0.69999999999999973</v>
      </c>
      <c r="I17" s="393">
        <f>+I15+1</f>
        <v>21</v>
      </c>
      <c r="J17" s="393">
        <f>+J15+1</f>
        <v>71</v>
      </c>
      <c r="K17" s="545">
        <f>(F16*H17+F18*H18)/G17</f>
        <v>72353.384615384595</v>
      </c>
      <c r="L17" s="545">
        <f>+E5*K17</f>
        <v>94059.39999999998</v>
      </c>
      <c r="M17" s="557">
        <f>+E7*L17</f>
        <v>188118.79999999996</v>
      </c>
      <c r="P17" s="37">
        <f t="shared" si="3"/>
        <v>22</v>
      </c>
      <c r="Q17" s="165">
        <f>+M19</f>
        <v>95321.2</v>
      </c>
      <c r="R17" s="167">
        <f>+'有効抵抗土圧(4P左)'!G210</f>
        <v>468</v>
      </c>
      <c r="S17" s="167">
        <f>+'有効抵抗土圧(4P左)'!G211</f>
        <v>468</v>
      </c>
      <c r="U17" s="37">
        <f t="shared" si="0"/>
        <v>22</v>
      </c>
      <c r="V17" s="165">
        <f t="shared" si="1"/>
        <v>95321.2</v>
      </c>
      <c r="W17" s="167">
        <f t="shared" ref="W17:X17" si="6">+R67</f>
        <v>1170</v>
      </c>
      <c r="X17" s="167">
        <f t="shared" si="6"/>
        <v>1170</v>
      </c>
    </row>
    <row r="18" spans="4:24" ht="16.5" customHeight="1" x14ac:dyDescent="0.15">
      <c r="D18" s="559" t="s">
        <v>18</v>
      </c>
      <c r="E18" s="565">
        <v>2.9</v>
      </c>
      <c r="F18" s="562">
        <v>36662</v>
      </c>
      <c r="G18" s="548"/>
      <c r="H18" s="79">
        <f>+G17-H17</f>
        <v>0.60000000000000031</v>
      </c>
      <c r="I18" s="393"/>
      <c r="J18" s="393"/>
      <c r="K18" s="546"/>
      <c r="L18" s="546"/>
      <c r="M18" s="558"/>
      <c r="P18" s="37">
        <f t="shared" si="3"/>
        <v>23</v>
      </c>
      <c r="Q18" s="165">
        <f>+M20</f>
        <v>53420.400000000045</v>
      </c>
      <c r="R18" s="167">
        <f>+'有効抵抗土圧(4P左)'!G212</f>
        <v>782.90399999999988</v>
      </c>
      <c r="S18" s="167">
        <f>+'有効抵抗土圧(4P左)'!G213</f>
        <v>782.90399999999988</v>
      </c>
      <c r="U18" s="37">
        <f t="shared" si="0"/>
        <v>23</v>
      </c>
      <c r="V18" s="165">
        <f t="shared" si="1"/>
        <v>53420.400000000045</v>
      </c>
      <c r="W18" s="167">
        <f t="shared" ref="W18:X18" si="7">+R68</f>
        <v>1957.2599999999995</v>
      </c>
      <c r="X18" s="167">
        <f t="shared" si="7"/>
        <v>1957.2599999999995</v>
      </c>
    </row>
    <row r="19" spans="4:24" ht="16.5" customHeight="1" x14ac:dyDescent="0.15">
      <c r="D19" s="560"/>
      <c r="E19" s="567"/>
      <c r="F19" s="563"/>
      <c r="G19" s="79">
        <f>+G17</f>
        <v>1.3</v>
      </c>
      <c r="H19" s="78"/>
      <c r="I19" s="37">
        <f>+I17+1</f>
        <v>22</v>
      </c>
      <c r="J19" s="37">
        <f>+J17+1</f>
        <v>72</v>
      </c>
      <c r="K19" s="80">
        <f>+F18</f>
        <v>36662</v>
      </c>
      <c r="L19" s="80">
        <f>+E5*K19</f>
        <v>47660.6</v>
      </c>
      <c r="M19" s="97">
        <f>+E7*L19</f>
        <v>95321.2</v>
      </c>
      <c r="P19" s="37">
        <f t="shared" si="3"/>
        <v>24</v>
      </c>
      <c r="Q19" s="165">
        <f>+M22</f>
        <v>231488.4</v>
      </c>
      <c r="R19" s="167">
        <f>+'有効抵抗土圧(4P左)'!G214</f>
        <v>1848.8080000000002</v>
      </c>
      <c r="S19" s="167">
        <f>+'有効抵抗土圧(4P左)'!G215</f>
        <v>1989.4160000000002</v>
      </c>
      <c r="U19" s="37">
        <f t="shared" si="0"/>
        <v>24</v>
      </c>
      <c r="V19" s="165">
        <f t="shared" si="1"/>
        <v>231488.4</v>
      </c>
      <c r="W19" s="167">
        <f t="shared" ref="W19:X19" si="8">+R69</f>
        <v>4622.0200000000004</v>
      </c>
      <c r="X19" s="167">
        <f t="shared" si="8"/>
        <v>4973.54</v>
      </c>
    </row>
    <row r="20" spans="4:24" ht="16.5" customHeight="1" x14ac:dyDescent="0.15">
      <c r="D20" s="561"/>
      <c r="E20" s="566"/>
      <c r="F20" s="564"/>
      <c r="G20" s="547">
        <f>+G19</f>
        <v>1.3</v>
      </c>
      <c r="H20" s="79">
        <f>+E18-H18-G19</f>
        <v>0.99999999999999978</v>
      </c>
      <c r="I20" s="393">
        <f>+I19+1</f>
        <v>23</v>
      </c>
      <c r="J20" s="393">
        <f>+J19+1</f>
        <v>73</v>
      </c>
      <c r="K20" s="545">
        <f>(F19*H20+F21*H21)/G20</f>
        <v>20546.30769230771</v>
      </c>
      <c r="L20" s="545">
        <f>+E5*K20</f>
        <v>26710.200000000023</v>
      </c>
      <c r="M20" s="557">
        <f>+E7*L20</f>
        <v>53420.400000000045</v>
      </c>
      <c r="P20" s="37">
        <f t="shared" si="3"/>
        <v>25</v>
      </c>
      <c r="Q20" s="165">
        <f>+M23</f>
        <v>85237.20000000007</v>
      </c>
      <c r="R20" s="167">
        <f>+'有効抵抗土圧(4P左)'!G216</f>
        <v>1990.9599999999998</v>
      </c>
      <c r="S20" s="167">
        <f>+'有効抵抗土圧(4P左)'!G217</f>
        <v>1990.9599999999998</v>
      </c>
      <c r="U20" s="37">
        <f t="shared" si="0"/>
        <v>25</v>
      </c>
      <c r="V20" s="165">
        <f t="shared" si="1"/>
        <v>85237.20000000007</v>
      </c>
      <c r="W20" s="167">
        <f t="shared" ref="W20:X20" si="9">+R70</f>
        <v>4977.3999999999996</v>
      </c>
      <c r="X20" s="167">
        <f t="shared" si="9"/>
        <v>4977.3999999999996</v>
      </c>
    </row>
    <row r="21" spans="4:24" ht="16.5" customHeight="1" x14ac:dyDescent="0.15">
      <c r="D21" s="559" t="s">
        <v>19</v>
      </c>
      <c r="E21" s="565">
        <v>2.6</v>
      </c>
      <c r="F21" s="562">
        <v>89034</v>
      </c>
      <c r="G21" s="548"/>
      <c r="H21" s="79">
        <f>+G20-H20</f>
        <v>0.30000000000000027</v>
      </c>
      <c r="I21" s="393"/>
      <c r="J21" s="393"/>
      <c r="K21" s="546"/>
      <c r="L21" s="546"/>
      <c r="M21" s="558"/>
      <c r="P21" s="37">
        <f t="shared" si="3"/>
        <v>26</v>
      </c>
      <c r="Q21" s="165">
        <f>+M25</f>
        <v>352339.20000000007</v>
      </c>
      <c r="R21" s="167">
        <f>+'有効抵抗土圧(4P左)'!G218</f>
        <v>2188.1642105263168</v>
      </c>
      <c r="S21" s="167">
        <f>+'有効抵抗土圧(4P左)'!G219</f>
        <v>2188.1642105263168</v>
      </c>
      <c r="U21" s="37">
        <f t="shared" si="0"/>
        <v>26</v>
      </c>
      <c r="V21" s="165">
        <f t="shared" si="1"/>
        <v>352339.20000000007</v>
      </c>
      <c r="W21" s="167">
        <f t="shared" ref="W21:X21" si="10">+R71</f>
        <v>5470.4105263157917</v>
      </c>
      <c r="X21" s="167">
        <f t="shared" si="10"/>
        <v>5470.4105263157917</v>
      </c>
    </row>
    <row r="22" spans="4:24" ht="16.5" customHeight="1" x14ac:dyDescent="0.15">
      <c r="D22" s="560"/>
      <c r="E22" s="567"/>
      <c r="F22" s="563"/>
      <c r="G22" s="79">
        <f>+G20</f>
        <v>1.3</v>
      </c>
      <c r="H22" s="78"/>
      <c r="I22" s="37">
        <f>+I20+1</f>
        <v>24</v>
      </c>
      <c r="J22" s="37">
        <f>+J20+1</f>
        <v>74</v>
      </c>
      <c r="K22" s="80">
        <f>+F21</f>
        <v>89034</v>
      </c>
      <c r="L22" s="80">
        <f>+E5*K22</f>
        <v>115744.2</v>
      </c>
      <c r="M22" s="97">
        <f>+E7*L22</f>
        <v>231488.4</v>
      </c>
      <c r="P22" s="37">
        <f t="shared" si="3"/>
        <v>27</v>
      </c>
      <c r="Q22" s="165">
        <f>+M27</f>
        <v>347232.60000000003</v>
      </c>
      <c r="R22" s="167">
        <f>+'有効抵抗土圧(4P左)'!G220</f>
        <v>2356.3389473684215</v>
      </c>
      <c r="S22" s="167">
        <f>+'有効抵抗土圧(4P左)'!G221</f>
        <v>2503.1803789473688</v>
      </c>
      <c r="U22" s="37">
        <f t="shared" si="0"/>
        <v>27</v>
      </c>
      <c r="V22" s="165">
        <f t="shared" si="1"/>
        <v>347232.60000000003</v>
      </c>
      <c r="W22" s="167">
        <f t="shared" ref="W22:X22" si="11">+R72</f>
        <v>5890.847368421053</v>
      </c>
      <c r="X22" s="167">
        <f t="shared" si="11"/>
        <v>6257.950947368422</v>
      </c>
    </row>
    <row r="23" spans="4:24" ht="16.5" customHeight="1" x14ac:dyDescent="0.15">
      <c r="D23" s="561"/>
      <c r="E23" s="566"/>
      <c r="F23" s="564"/>
      <c r="G23" s="547">
        <f>+G22</f>
        <v>1.3</v>
      </c>
      <c r="H23" s="79">
        <f>+E21-H21-G22</f>
        <v>0.99999999999999978</v>
      </c>
      <c r="I23" s="393">
        <f>+I22+1</f>
        <v>25</v>
      </c>
      <c r="J23" s="393">
        <f>+J22+1</f>
        <v>75</v>
      </c>
      <c r="K23" s="545">
        <f>(F22*H23+F24*H24)/G23</f>
        <v>32783.53846153849</v>
      </c>
      <c r="L23" s="545">
        <f>+E5*K23</f>
        <v>42618.600000000035</v>
      </c>
      <c r="M23" s="557">
        <f>+E7*L23</f>
        <v>85237.20000000007</v>
      </c>
      <c r="P23" s="37">
        <f t="shared" si="3"/>
        <v>28</v>
      </c>
      <c r="Q23" s="165">
        <f>+M28</f>
        <v>347232.60000000003</v>
      </c>
      <c r="R23" s="167">
        <f>+'有効抵抗土圧(4P左)'!G222</f>
        <v>2503.1803789473688</v>
      </c>
      <c r="S23" s="167">
        <f>+'有効抵抗土圧(4P左)'!G223</f>
        <v>2650.0218105263166</v>
      </c>
      <c r="U23" s="37">
        <f t="shared" si="0"/>
        <v>28</v>
      </c>
      <c r="V23" s="165">
        <f t="shared" si="1"/>
        <v>347232.60000000003</v>
      </c>
      <c r="W23" s="167">
        <f t="shared" ref="W23:X23" si="12">+R73</f>
        <v>6257.950947368422</v>
      </c>
      <c r="X23" s="167">
        <f t="shared" si="12"/>
        <v>6625.054526315791</v>
      </c>
    </row>
    <row r="24" spans="4:24" ht="16.5" customHeight="1" x14ac:dyDescent="0.15">
      <c r="D24" s="559" t="s">
        <v>203</v>
      </c>
      <c r="E24" s="565">
        <v>0.6</v>
      </c>
      <c r="F24" s="562">
        <v>142062</v>
      </c>
      <c r="G24" s="548"/>
      <c r="H24" s="79">
        <f>+G23-H23</f>
        <v>0.30000000000000027</v>
      </c>
      <c r="I24" s="393"/>
      <c r="J24" s="393"/>
      <c r="K24" s="546"/>
      <c r="L24" s="546"/>
      <c r="M24" s="558"/>
      <c r="P24" s="37">
        <f t="shared" si="3"/>
        <v>29</v>
      </c>
      <c r="Q24" s="165">
        <f t="shared" ref="Q24:Q27" si="13">+M29</f>
        <v>347232.60000000003</v>
      </c>
      <c r="R24" s="167">
        <f>+'有効抵抗土圧(4P左)'!G224</f>
        <v>2650.0218105263166</v>
      </c>
      <c r="S24" s="167">
        <f>+'有効抵抗土圧(4P左)'!G225</f>
        <v>2796.8632421052644</v>
      </c>
      <c r="U24" s="37">
        <f t="shared" si="0"/>
        <v>29</v>
      </c>
      <c r="V24" s="165">
        <f t="shared" si="1"/>
        <v>347232.60000000003</v>
      </c>
      <c r="W24" s="167">
        <f t="shared" ref="W24:X24" si="14">+R74</f>
        <v>6625.054526315791</v>
      </c>
      <c r="X24" s="167">
        <f t="shared" si="14"/>
        <v>6992.15810526316</v>
      </c>
    </row>
    <row r="25" spans="4:24" ht="16.5" customHeight="1" x14ac:dyDescent="0.15">
      <c r="D25" s="561"/>
      <c r="E25" s="566"/>
      <c r="F25" s="564"/>
      <c r="G25" s="547">
        <f>+G23</f>
        <v>1.3</v>
      </c>
      <c r="H25" s="79">
        <f>+E24-H24</f>
        <v>0.29999999999999971</v>
      </c>
      <c r="I25" s="393">
        <f>+I23+1</f>
        <v>26</v>
      </c>
      <c r="J25" s="393">
        <f>+J23+1</f>
        <v>76</v>
      </c>
      <c r="K25" s="545">
        <f>(F24*H25+F26*H26)/G25</f>
        <v>135515.07692307694</v>
      </c>
      <c r="L25" s="545">
        <f>+E5*K25</f>
        <v>176169.60000000003</v>
      </c>
      <c r="M25" s="557">
        <f>+E7*L25</f>
        <v>352339.20000000007</v>
      </c>
      <c r="P25" s="37">
        <f t="shared" si="3"/>
        <v>30</v>
      </c>
      <c r="Q25" s="165">
        <f t="shared" si="13"/>
        <v>347232.60000000003</v>
      </c>
      <c r="R25" s="167">
        <f>+'有効抵抗土圧(4P左)'!G226</f>
        <v>2796.8632421052644</v>
      </c>
      <c r="S25" s="167">
        <f>+'有効抵抗土圧(4P左)'!G227</f>
        <v>2943.7046736842108</v>
      </c>
      <c r="U25" s="37">
        <f t="shared" si="0"/>
        <v>30</v>
      </c>
      <c r="V25" s="165">
        <f t="shared" si="1"/>
        <v>347232.60000000003</v>
      </c>
      <c r="W25" s="167">
        <f t="shared" ref="W25:X25" si="15">+R75</f>
        <v>6992.15810526316</v>
      </c>
      <c r="X25" s="167">
        <f t="shared" si="15"/>
        <v>7359.2616842105272</v>
      </c>
    </row>
    <row r="26" spans="4:24" ht="16.5" customHeight="1" x14ac:dyDescent="0.15">
      <c r="D26" s="559" t="s">
        <v>204</v>
      </c>
      <c r="E26" s="565">
        <v>9.5</v>
      </c>
      <c r="F26" s="562">
        <v>133551</v>
      </c>
      <c r="G26" s="548"/>
      <c r="H26" s="79">
        <f>+G25-H25</f>
        <v>1.0000000000000004</v>
      </c>
      <c r="I26" s="393"/>
      <c r="J26" s="393"/>
      <c r="K26" s="546"/>
      <c r="L26" s="546"/>
      <c r="M26" s="558"/>
      <c r="P26" s="37">
        <f t="shared" si="3"/>
        <v>31</v>
      </c>
      <c r="Q26" s="165">
        <f t="shared" si="13"/>
        <v>347232.60000000003</v>
      </c>
      <c r="R26" s="167">
        <f>+'有効抵抗土圧(4P左)'!G228</f>
        <v>2943.7046736842108</v>
      </c>
      <c r="S26" s="167">
        <f>+'有効抵抗土圧(4P左)'!G229</f>
        <v>3090.546105263159</v>
      </c>
      <c r="U26" s="37">
        <f t="shared" si="0"/>
        <v>31</v>
      </c>
      <c r="V26" s="165">
        <f t="shared" si="1"/>
        <v>347232.60000000003</v>
      </c>
      <c r="W26" s="167">
        <f t="shared" ref="W26:X26" si="16">+R76</f>
        <v>7359.2616842105272</v>
      </c>
      <c r="X26" s="167">
        <f t="shared" si="16"/>
        <v>7726.3652631578962</v>
      </c>
    </row>
    <row r="27" spans="4:24" ht="16.5" customHeight="1" x14ac:dyDescent="0.15">
      <c r="D27" s="560"/>
      <c r="E27" s="567"/>
      <c r="F27" s="563"/>
      <c r="G27" s="79">
        <f>+G25</f>
        <v>1.3</v>
      </c>
      <c r="H27" s="78"/>
      <c r="I27" s="37">
        <f>+I25+1</f>
        <v>27</v>
      </c>
      <c r="J27" s="37">
        <f>+J25+1</f>
        <v>77</v>
      </c>
      <c r="K27" s="80">
        <f>+F26</f>
        <v>133551</v>
      </c>
      <c r="L27" s="80">
        <f>+E5*K27</f>
        <v>173616.30000000002</v>
      </c>
      <c r="M27" s="97">
        <f>+E7*L27</f>
        <v>347232.60000000003</v>
      </c>
      <c r="P27" s="37">
        <f t="shared" si="3"/>
        <v>32</v>
      </c>
      <c r="Q27" s="165">
        <f t="shared" si="13"/>
        <v>347232.60000000003</v>
      </c>
      <c r="R27" s="167">
        <f>+'有効抵抗土圧(4P左)'!G230</f>
        <v>3090.546105263159</v>
      </c>
      <c r="S27" s="167">
        <f>+'有効抵抗土圧(4P左)'!G231</f>
        <v>3237.3875368421063</v>
      </c>
      <c r="U27" s="37">
        <f t="shared" si="0"/>
        <v>32</v>
      </c>
      <c r="V27" s="165">
        <f t="shared" si="1"/>
        <v>347232.60000000003</v>
      </c>
      <c r="W27" s="167">
        <f t="shared" ref="W27:X27" si="17">+R77</f>
        <v>7726.3652631578962</v>
      </c>
      <c r="X27" s="167">
        <f t="shared" si="17"/>
        <v>8093.4688421052651</v>
      </c>
    </row>
    <row r="28" spans="4:24" ht="16.5" customHeight="1" x14ac:dyDescent="0.15">
      <c r="D28" s="560"/>
      <c r="E28" s="567"/>
      <c r="F28" s="563"/>
      <c r="G28" s="79">
        <f t="shared" ref="G28:G33" si="18">+G27</f>
        <v>1.3</v>
      </c>
      <c r="H28" s="79"/>
      <c r="I28" s="37">
        <f>+I27+1</f>
        <v>28</v>
      </c>
      <c r="J28" s="37">
        <f>+J27+1</f>
        <v>78</v>
      </c>
      <c r="K28" s="80">
        <f>+F26</f>
        <v>133551</v>
      </c>
      <c r="L28" s="80">
        <f>+E5*K28</f>
        <v>173616.30000000002</v>
      </c>
      <c r="M28" s="97">
        <f>+E7*L28</f>
        <v>347232.60000000003</v>
      </c>
      <c r="P28" s="37">
        <f t="shared" si="3"/>
        <v>33</v>
      </c>
      <c r="Q28" s="165">
        <f>+M33</f>
        <v>263959.8000000001</v>
      </c>
      <c r="R28" s="167">
        <f>+'有効抵抗土圧(4P左)'!G232</f>
        <v>2144.6563368420971</v>
      </c>
      <c r="S28" s="167">
        <f>+'有効抵抗土圧(4P左)'!G233</f>
        <v>2144.6563368420971</v>
      </c>
      <c r="U28" s="37">
        <f t="shared" si="0"/>
        <v>33</v>
      </c>
      <c r="V28" s="165">
        <f t="shared" si="1"/>
        <v>263959.8000000001</v>
      </c>
      <c r="W28" s="167">
        <f t="shared" ref="W28:X28" si="19">+R78</f>
        <v>5361.640842105242</v>
      </c>
      <c r="X28" s="167">
        <f t="shared" si="19"/>
        <v>5361.640842105242</v>
      </c>
    </row>
    <row r="29" spans="4:24" ht="16.5" customHeight="1" x14ac:dyDescent="0.15">
      <c r="D29" s="560"/>
      <c r="E29" s="567"/>
      <c r="F29" s="563"/>
      <c r="G29" s="79">
        <f t="shared" si="18"/>
        <v>1.3</v>
      </c>
      <c r="H29" s="79"/>
      <c r="I29" s="37">
        <f t="shared" ref="I29:J32" si="20">+I28+1</f>
        <v>29</v>
      </c>
      <c r="J29" s="37">
        <f t="shared" si="20"/>
        <v>79</v>
      </c>
      <c r="K29" s="80">
        <f>+F26</f>
        <v>133551</v>
      </c>
      <c r="L29" s="80">
        <f>+E5*K29</f>
        <v>173616.30000000002</v>
      </c>
      <c r="M29" s="97">
        <f>+E7*L29</f>
        <v>347232.60000000003</v>
      </c>
      <c r="P29" s="37">
        <f t="shared" si="3"/>
        <v>34</v>
      </c>
      <c r="Q29" s="165">
        <f>+M35</f>
        <v>166808.20000000001</v>
      </c>
      <c r="R29" s="167">
        <f>+'有効抵抗土圧(4P左)'!G234</f>
        <v>2059.2000000000003</v>
      </c>
      <c r="S29" s="167">
        <f>+'有効抵抗土圧(4P左)'!G235</f>
        <v>2059.2000000000003</v>
      </c>
      <c r="U29" s="37">
        <f t="shared" si="0"/>
        <v>34</v>
      </c>
      <c r="V29" s="165">
        <f t="shared" si="1"/>
        <v>166808.20000000001</v>
      </c>
      <c r="W29" s="167">
        <f t="shared" ref="W29:X29" si="21">+R79</f>
        <v>2059.2000000000003</v>
      </c>
      <c r="X29" s="167">
        <f t="shared" si="21"/>
        <v>2059.2000000000003</v>
      </c>
    </row>
    <row r="30" spans="4:24" ht="16.5" customHeight="1" x14ac:dyDescent="0.15">
      <c r="D30" s="560"/>
      <c r="E30" s="567"/>
      <c r="F30" s="563"/>
      <c r="G30" s="79">
        <f t="shared" si="18"/>
        <v>1.3</v>
      </c>
      <c r="H30" s="79"/>
      <c r="I30" s="37">
        <f t="shared" si="20"/>
        <v>30</v>
      </c>
      <c r="J30" s="37">
        <f t="shared" si="20"/>
        <v>80</v>
      </c>
      <c r="K30" s="80">
        <f>+F26</f>
        <v>133551</v>
      </c>
      <c r="L30" s="80">
        <f>+E5*K30</f>
        <v>173616.30000000002</v>
      </c>
      <c r="M30" s="97">
        <f>+E7*L30</f>
        <v>347232.60000000003</v>
      </c>
      <c r="P30" s="37">
        <f t="shared" si="3"/>
        <v>35</v>
      </c>
      <c r="Q30" s="165">
        <f t="shared" ref="Q30:Q36" si="22">+M36</f>
        <v>166808.20000000001</v>
      </c>
      <c r="R30" s="167">
        <f>+'有効抵抗土圧(4P左)'!G236</f>
        <v>2059.2000000000003</v>
      </c>
      <c r="S30" s="167">
        <f>+'有効抵抗土圧(4P左)'!G237</f>
        <v>2059.2000000000003</v>
      </c>
      <c r="U30" s="37">
        <f t="shared" si="0"/>
        <v>35</v>
      </c>
      <c r="V30" s="165">
        <f t="shared" si="1"/>
        <v>166808.20000000001</v>
      </c>
      <c r="W30" s="167">
        <f t="shared" ref="W30:X30" si="23">+R80</f>
        <v>2059.2000000000003</v>
      </c>
      <c r="X30" s="167">
        <f t="shared" si="23"/>
        <v>2059.2000000000003</v>
      </c>
    </row>
    <row r="31" spans="4:24" ht="16.5" customHeight="1" x14ac:dyDescent="0.15">
      <c r="D31" s="560"/>
      <c r="E31" s="567"/>
      <c r="F31" s="563"/>
      <c r="G31" s="79">
        <f t="shared" si="18"/>
        <v>1.3</v>
      </c>
      <c r="H31" s="79"/>
      <c r="I31" s="37">
        <f t="shared" si="20"/>
        <v>31</v>
      </c>
      <c r="J31" s="37">
        <f t="shared" si="20"/>
        <v>81</v>
      </c>
      <c r="K31" s="80">
        <f>+F26</f>
        <v>133551</v>
      </c>
      <c r="L31" s="80">
        <f>+E5*K31</f>
        <v>173616.30000000002</v>
      </c>
      <c r="M31" s="97">
        <f>+E7*L31</f>
        <v>347232.60000000003</v>
      </c>
      <c r="P31" s="37">
        <f t="shared" si="3"/>
        <v>36</v>
      </c>
      <c r="Q31" s="165">
        <f t="shared" si="22"/>
        <v>166808.20000000001</v>
      </c>
      <c r="R31" s="167">
        <f>+'有効抵抗土圧(4P左)'!G238</f>
        <v>2059.2000000000003</v>
      </c>
      <c r="S31" s="167">
        <f>+'有効抵抗土圧(4P左)'!G239</f>
        <v>2059.2000000000003</v>
      </c>
      <c r="U31" s="37">
        <f t="shared" si="0"/>
        <v>36</v>
      </c>
      <c r="V31" s="165">
        <f t="shared" si="1"/>
        <v>166808.20000000001</v>
      </c>
      <c r="W31" s="167">
        <f t="shared" ref="W31:X31" si="24">+R81</f>
        <v>2059.2000000000003</v>
      </c>
      <c r="X31" s="167">
        <f t="shared" si="24"/>
        <v>2059.2000000000003</v>
      </c>
    </row>
    <row r="32" spans="4:24" ht="16.5" customHeight="1" x14ac:dyDescent="0.15">
      <c r="D32" s="560"/>
      <c r="E32" s="567"/>
      <c r="F32" s="563"/>
      <c r="G32" s="79">
        <f t="shared" si="18"/>
        <v>1.3</v>
      </c>
      <c r="H32" s="79"/>
      <c r="I32" s="37">
        <f t="shared" si="20"/>
        <v>32</v>
      </c>
      <c r="J32" s="37">
        <f t="shared" si="20"/>
        <v>82</v>
      </c>
      <c r="K32" s="80">
        <f>+F26</f>
        <v>133551</v>
      </c>
      <c r="L32" s="80">
        <f>+E5*K32</f>
        <v>173616.30000000002</v>
      </c>
      <c r="M32" s="97">
        <f>+E7*L32</f>
        <v>347232.60000000003</v>
      </c>
      <c r="P32" s="37">
        <f t="shared" si="3"/>
        <v>37</v>
      </c>
      <c r="Q32" s="165">
        <f t="shared" si="22"/>
        <v>166808.20000000001</v>
      </c>
      <c r="R32" s="167">
        <f>+'有効抵抗土圧(4P左)'!G240</f>
        <v>2059.2000000000003</v>
      </c>
      <c r="S32" s="167">
        <f>+'有効抵抗土圧(4P左)'!G241</f>
        <v>2059.2000000000003</v>
      </c>
      <c r="U32" s="37">
        <f t="shared" si="0"/>
        <v>37</v>
      </c>
      <c r="V32" s="165">
        <f t="shared" si="1"/>
        <v>166808.20000000001</v>
      </c>
      <c r="W32" s="167">
        <f t="shared" ref="W32:X32" si="25">+R82</f>
        <v>2059.2000000000003</v>
      </c>
      <c r="X32" s="167">
        <f t="shared" si="25"/>
        <v>2059.2000000000003</v>
      </c>
    </row>
    <row r="33" spans="3:24" ht="16.5" customHeight="1" x14ac:dyDescent="0.15">
      <c r="D33" s="561"/>
      <c r="E33" s="566"/>
      <c r="F33" s="564"/>
      <c r="G33" s="547">
        <f t="shared" si="18"/>
        <v>1.3</v>
      </c>
      <c r="H33" s="79">
        <f>+E26-H26-G27-G28-G29-G30-G31-G32</f>
        <v>0.70000000000000084</v>
      </c>
      <c r="I33" s="393">
        <f>+I32+1</f>
        <v>33</v>
      </c>
      <c r="J33" s="393">
        <f>+J32+1</f>
        <v>83</v>
      </c>
      <c r="K33" s="545">
        <f>(F26*H33+F34*H34)/G33</f>
        <v>101523.00000000004</v>
      </c>
      <c r="L33" s="545">
        <f>+E5*K33</f>
        <v>131979.90000000005</v>
      </c>
      <c r="M33" s="557">
        <f>+E7*L33</f>
        <v>263959.8000000001</v>
      </c>
      <c r="P33" s="37">
        <f t="shared" si="3"/>
        <v>38</v>
      </c>
      <c r="Q33" s="165">
        <f t="shared" si="22"/>
        <v>166808.20000000001</v>
      </c>
      <c r="R33" s="167">
        <f>+'有効抵抗土圧(4P左)'!G242</f>
        <v>2059.2000000000003</v>
      </c>
      <c r="S33" s="167">
        <f>+'有効抵抗土圧(4P左)'!G243</f>
        <v>2059.2000000000003</v>
      </c>
      <c r="U33" s="37">
        <f t="shared" si="0"/>
        <v>38</v>
      </c>
      <c r="V33" s="165">
        <f t="shared" si="1"/>
        <v>166808.20000000001</v>
      </c>
      <c r="W33" s="167">
        <f t="shared" ref="W33:X33" si="26">+R83</f>
        <v>2059.2000000000003</v>
      </c>
      <c r="X33" s="167">
        <f t="shared" si="26"/>
        <v>2059.2000000000003</v>
      </c>
    </row>
    <row r="34" spans="3:24" ht="16.5" customHeight="1" x14ac:dyDescent="0.15">
      <c r="D34" s="559" t="s">
        <v>205</v>
      </c>
      <c r="E34" s="565">
        <v>10.8</v>
      </c>
      <c r="F34" s="562">
        <v>64157</v>
      </c>
      <c r="G34" s="548"/>
      <c r="H34" s="79">
        <f>+G33-H33</f>
        <v>0.5999999999999992</v>
      </c>
      <c r="I34" s="393"/>
      <c r="J34" s="393"/>
      <c r="K34" s="546"/>
      <c r="L34" s="546"/>
      <c r="M34" s="558"/>
      <c r="P34" s="37">
        <f t="shared" si="3"/>
        <v>39</v>
      </c>
      <c r="Q34" s="165">
        <f t="shared" si="22"/>
        <v>166808.20000000001</v>
      </c>
      <c r="R34" s="167">
        <f>+'有効抵抗土圧(4P左)'!G244</f>
        <v>2059.2000000000003</v>
      </c>
      <c r="S34" s="167">
        <f>+'有効抵抗土圧(4P左)'!G245</f>
        <v>2059.2000000000003</v>
      </c>
      <c r="U34" s="37">
        <f t="shared" si="0"/>
        <v>39</v>
      </c>
      <c r="V34" s="165">
        <f t="shared" si="1"/>
        <v>166808.20000000001</v>
      </c>
      <c r="W34" s="167">
        <f t="shared" ref="W34:X34" si="27">+R84</f>
        <v>2059.2000000000003</v>
      </c>
      <c r="X34" s="167">
        <f t="shared" si="27"/>
        <v>2059.2000000000003</v>
      </c>
    </row>
    <row r="35" spans="3:24" ht="16.5" customHeight="1" x14ac:dyDescent="0.15">
      <c r="D35" s="560"/>
      <c r="E35" s="567"/>
      <c r="F35" s="563"/>
      <c r="G35" s="79">
        <f>+G33</f>
        <v>1.3</v>
      </c>
      <c r="H35" s="78"/>
      <c r="I35" s="37">
        <f>+I33+1</f>
        <v>34</v>
      </c>
      <c r="J35" s="37">
        <f>+J33+1</f>
        <v>84</v>
      </c>
      <c r="K35" s="80">
        <f>+F34</f>
        <v>64157</v>
      </c>
      <c r="L35" s="80">
        <f>+E5*K35</f>
        <v>83404.100000000006</v>
      </c>
      <c r="M35" s="97">
        <f>+E7*L35</f>
        <v>166808.20000000001</v>
      </c>
      <c r="P35" s="37">
        <f t="shared" si="3"/>
        <v>40</v>
      </c>
      <c r="Q35" s="165">
        <f t="shared" si="22"/>
        <v>166808.20000000001</v>
      </c>
      <c r="R35" s="167">
        <f>+'有効抵抗土圧(4P左)'!G246</f>
        <v>2059.2000000000003</v>
      </c>
      <c r="S35" s="167">
        <f>+'有効抵抗土圧(4P左)'!G247</f>
        <v>2059.2000000000003</v>
      </c>
      <c r="U35" s="37">
        <f t="shared" si="0"/>
        <v>40</v>
      </c>
      <c r="V35" s="165">
        <f t="shared" si="1"/>
        <v>166808.20000000001</v>
      </c>
      <c r="W35" s="167">
        <f t="shared" ref="W35:X35" si="28">+R85</f>
        <v>2059.2000000000003</v>
      </c>
      <c r="X35" s="167">
        <f t="shared" si="28"/>
        <v>2059.2000000000003</v>
      </c>
    </row>
    <row r="36" spans="3:24" ht="16.5" customHeight="1" x14ac:dyDescent="0.15">
      <c r="D36" s="560"/>
      <c r="E36" s="567"/>
      <c r="F36" s="563"/>
      <c r="G36" s="79">
        <f t="shared" ref="G36:G41" si="29">+G35</f>
        <v>1.3</v>
      </c>
      <c r="H36" s="79"/>
      <c r="I36" s="37">
        <f>+I35+1</f>
        <v>35</v>
      </c>
      <c r="J36" s="37">
        <f>+J35+1</f>
        <v>85</v>
      </c>
      <c r="K36" s="80">
        <f>+F34</f>
        <v>64157</v>
      </c>
      <c r="L36" s="80">
        <f>+E5*K36</f>
        <v>83404.100000000006</v>
      </c>
      <c r="M36" s="97">
        <f>+E7*L36</f>
        <v>166808.20000000001</v>
      </c>
      <c r="P36" s="37">
        <f t="shared" si="3"/>
        <v>41</v>
      </c>
      <c r="Q36" s="165">
        <f t="shared" si="22"/>
        <v>166808.20000000001</v>
      </c>
      <c r="R36" s="167">
        <f>+'有効抵抗土圧(4P左)'!G248</f>
        <v>2059.2000000000003</v>
      </c>
      <c r="S36" s="167">
        <f>+'有効抵抗土圧(4P左)'!G249</f>
        <v>2059.2000000000003</v>
      </c>
      <c r="U36" s="37">
        <f t="shared" si="0"/>
        <v>41</v>
      </c>
      <c r="V36" s="165">
        <f t="shared" si="1"/>
        <v>166808.20000000001</v>
      </c>
      <c r="W36" s="167">
        <f t="shared" ref="W36:X36" si="30">+R86</f>
        <v>2059.2000000000003</v>
      </c>
      <c r="X36" s="167">
        <f t="shared" si="30"/>
        <v>2059.2000000000003</v>
      </c>
    </row>
    <row r="37" spans="3:24" ht="16.5" customHeight="1" x14ac:dyDescent="0.15">
      <c r="D37" s="560"/>
      <c r="E37" s="567"/>
      <c r="F37" s="563"/>
      <c r="G37" s="79">
        <f t="shared" si="29"/>
        <v>1.3</v>
      </c>
      <c r="H37" s="79"/>
      <c r="I37" s="37">
        <f t="shared" ref="I37:J42" si="31">+I36+1</f>
        <v>36</v>
      </c>
      <c r="J37" s="37">
        <f t="shared" si="31"/>
        <v>86</v>
      </c>
      <c r="K37" s="80">
        <f>+F34</f>
        <v>64157</v>
      </c>
      <c r="L37" s="80">
        <f>+E5*K37</f>
        <v>83404.100000000006</v>
      </c>
      <c r="M37" s="97">
        <f>+E7*L37</f>
        <v>166808.20000000001</v>
      </c>
      <c r="R37" s="166"/>
      <c r="S37" s="166"/>
      <c r="U37" s="4"/>
      <c r="V37" s="142"/>
      <c r="W37" s="166"/>
      <c r="X37" s="166"/>
    </row>
    <row r="38" spans="3:24" ht="16.5" customHeight="1" x14ac:dyDescent="0.15">
      <c r="D38" s="560"/>
      <c r="E38" s="567"/>
      <c r="F38" s="563"/>
      <c r="G38" s="79">
        <f t="shared" si="29"/>
        <v>1.3</v>
      </c>
      <c r="H38" s="79"/>
      <c r="I38" s="37">
        <f t="shared" si="31"/>
        <v>37</v>
      </c>
      <c r="J38" s="37">
        <f t="shared" si="31"/>
        <v>87</v>
      </c>
      <c r="K38" s="80">
        <f>+F34</f>
        <v>64157</v>
      </c>
      <c r="L38" s="80">
        <f>+E5*K38</f>
        <v>83404.100000000006</v>
      </c>
      <c r="M38" s="97">
        <f>+E7*L38</f>
        <v>166808.20000000001</v>
      </c>
      <c r="P38" s="37">
        <f>+I56</f>
        <v>43</v>
      </c>
      <c r="Q38" s="165">
        <f>+M56</f>
        <v>25318.799999999999</v>
      </c>
      <c r="R38" s="167">
        <f>+'有効抵抗土圧(4P左)'!H202</f>
        <v>447.2</v>
      </c>
      <c r="S38" s="167">
        <f>+'有効抵抗土圧(4P左)'!H203</f>
        <v>530.70136363636368</v>
      </c>
      <c r="U38" s="37">
        <f>+P38</f>
        <v>43</v>
      </c>
      <c r="V38" s="165">
        <f>+Q38</f>
        <v>25318.799999999999</v>
      </c>
      <c r="W38" s="167">
        <f>+R38</f>
        <v>447.2</v>
      </c>
      <c r="X38" s="167">
        <f>+S38</f>
        <v>530.70136363636368</v>
      </c>
    </row>
    <row r="39" spans="3:24" ht="16.5" customHeight="1" x14ac:dyDescent="0.15">
      <c r="D39" s="560"/>
      <c r="E39" s="567"/>
      <c r="F39" s="563"/>
      <c r="G39" s="79">
        <f t="shared" si="29"/>
        <v>1.3</v>
      </c>
      <c r="H39" s="79"/>
      <c r="I39" s="37">
        <f t="shared" si="31"/>
        <v>38</v>
      </c>
      <c r="J39" s="37">
        <f t="shared" si="31"/>
        <v>88</v>
      </c>
      <c r="K39" s="80">
        <f>+F34</f>
        <v>64157</v>
      </c>
      <c r="L39" s="80">
        <f>+E5*K39</f>
        <v>83404.100000000006</v>
      </c>
      <c r="M39" s="97">
        <f>+E7*L39</f>
        <v>166808.20000000001</v>
      </c>
      <c r="P39" s="37">
        <f>+P38+1</f>
        <v>44</v>
      </c>
      <c r="Q39" s="165">
        <f>+M57</f>
        <v>25318.799999999999</v>
      </c>
      <c r="R39" s="167">
        <f>+'有効抵抗土圧(4P左)'!H204</f>
        <v>530.70136363636368</v>
      </c>
      <c r="S39" s="167">
        <f>+'有効抵抗土圧(4P左)'!H205</f>
        <v>614.20272727272732</v>
      </c>
      <c r="U39" s="37">
        <f t="shared" ref="U39:V61" si="32">+P39</f>
        <v>44</v>
      </c>
      <c r="V39" s="165">
        <f t="shared" si="32"/>
        <v>25318.799999999999</v>
      </c>
      <c r="W39" s="167">
        <f t="shared" ref="W39:W61" si="33">+R39</f>
        <v>530.70136363636368</v>
      </c>
      <c r="X39" s="167">
        <f t="shared" ref="X39:X61" si="34">+S39</f>
        <v>614.20272727272732</v>
      </c>
    </row>
    <row r="40" spans="3:24" ht="16.5" customHeight="1" x14ac:dyDescent="0.15">
      <c r="D40" s="560"/>
      <c r="E40" s="567"/>
      <c r="F40" s="563"/>
      <c r="G40" s="79">
        <f t="shared" si="29"/>
        <v>1.3</v>
      </c>
      <c r="H40" s="79"/>
      <c r="I40" s="37">
        <f t="shared" si="31"/>
        <v>39</v>
      </c>
      <c r="J40" s="37">
        <f t="shared" si="31"/>
        <v>89</v>
      </c>
      <c r="K40" s="80">
        <f>+F34</f>
        <v>64157</v>
      </c>
      <c r="L40" s="80">
        <f>+E5*K40</f>
        <v>83404.100000000006</v>
      </c>
      <c r="M40" s="97">
        <f>+E7*L40</f>
        <v>166808.20000000001</v>
      </c>
      <c r="P40" s="37">
        <f t="shared" ref="P40:P61" si="35">+P39+1</f>
        <v>45</v>
      </c>
      <c r="Q40" s="165">
        <f>+M58</f>
        <v>75400.800000000032</v>
      </c>
      <c r="R40" s="167">
        <f>+'有効抵抗土圧(4P左)'!H206</f>
        <v>814.7713111888113</v>
      </c>
      <c r="S40" s="167">
        <f>+'有効抵抗土圧(4P左)'!H207</f>
        <v>814.7713111888113</v>
      </c>
      <c r="U40" s="37">
        <f t="shared" si="32"/>
        <v>45</v>
      </c>
      <c r="V40" s="165">
        <f t="shared" si="32"/>
        <v>75400.800000000032</v>
      </c>
      <c r="W40" s="167">
        <f t="shared" si="33"/>
        <v>814.7713111888113</v>
      </c>
      <c r="X40" s="167">
        <f t="shared" si="34"/>
        <v>814.7713111888113</v>
      </c>
    </row>
    <row r="41" spans="3:24" ht="16.5" customHeight="1" x14ac:dyDescent="0.15">
      <c r="D41" s="560"/>
      <c r="E41" s="567"/>
      <c r="F41" s="563"/>
      <c r="G41" s="79">
        <f t="shared" si="29"/>
        <v>1.3</v>
      </c>
      <c r="H41" s="79"/>
      <c r="I41" s="37">
        <f t="shared" si="31"/>
        <v>40</v>
      </c>
      <c r="J41" s="37">
        <f t="shared" si="31"/>
        <v>90</v>
      </c>
      <c r="K41" s="80">
        <f>+F34</f>
        <v>64157</v>
      </c>
      <c r="L41" s="80">
        <f>+E5*K41</f>
        <v>83404.100000000006</v>
      </c>
      <c r="M41" s="97">
        <f>+E7*L41</f>
        <v>166808.20000000001</v>
      </c>
      <c r="P41" s="37">
        <f t="shared" si="35"/>
        <v>46</v>
      </c>
      <c r="Q41" s="165">
        <f>+M60</f>
        <v>94059.39999999998</v>
      </c>
      <c r="R41" s="167">
        <f>+'有効抵抗土圧(4P左)'!H208</f>
        <v>711.41096153846115</v>
      </c>
      <c r="S41" s="167">
        <f>+'有効抵抗土圧(4P左)'!H209</f>
        <v>711.41096153846115</v>
      </c>
      <c r="U41" s="37">
        <f t="shared" si="32"/>
        <v>46</v>
      </c>
      <c r="V41" s="165">
        <f t="shared" si="32"/>
        <v>94059.39999999998</v>
      </c>
      <c r="W41" s="167">
        <f t="shared" si="33"/>
        <v>711.41096153846115</v>
      </c>
      <c r="X41" s="167">
        <f t="shared" si="34"/>
        <v>711.41096153846115</v>
      </c>
    </row>
    <row r="42" spans="3:24" ht="16.5" customHeight="1" x14ac:dyDescent="0.15">
      <c r="D42" s="561"/>
      <c r="E42" s="566"/>
      <c r="F42" s="564"/>
      <c r="G42" s="106">
        <v>1.1000000000000001</v>
      </c>
      <c r="H42" s="79"/>
      <c r="I42" s="37">
        <f t="shared" si="31"/>
        <v>41</v>
      </c>
      <c r="J42" s="37">
        <f t="shared" si="31"/>
        <v>91</v>
      </c>
      <c r="K42" s="80">
        <f>+F34</f>
        <v>64157</v>
      </c>
      <c r="L42" s="80">
        <f>+E5*K42</f>
        <v>83404.100000000006</v>
      </c>
      <c r="M42" s="97">
        <f>+E7*L42</f>
        <v>166808.20000000001</v>
      </c>
      <c r="P42" s="37">
        <f t="shared" si="35"/>
        <v>47</v>
      </c>
      <c r="Q42" s="165">
        <f>+M62</f>
        <v>47660.6</v>
      </c>
      <c r="R42" s="167">
        <f>+'有効抵抗土圧(4P左)'!H210</f>
        <v>292.5</v>
      </c>
      <c r="S42" s="167">
        <f>+'有効抵抗土圧(4P左)'!H211</f>
        <v>292.5</v>
      </c>
      <c r="U42" s="37">
        <f t="shared" si="32"/>
        <v>47</v>
      </c>
      <c r="V42" s="165">
        <f t="shared" si="32"/>
        <v>47660.6</v>
      </c>
      <c r="W42" s="167">
        <f t="shared" si="33"/>
        <v>292.5</v>
      </c>
      <c r="X42" s="167">
        <f t="shared" si="34"/>
        <v>292.5</v>
      </c>
    </row>
    <row r="43" spans="3:24" ht="16.5" customHeight="1" x14ac:dyDescent="0.15">
      <c r="D43" s="89" t="s">
        <v>228</v>
      </c>
      <c r="E43" s="86">
        <f>SUM(E13:E42)</f>
        <v>31</v>
      </c>
      <c r="F43" s="86"/>
      <c r="G43" s="86">
        <f>SUM(G13:G42)</f>
        <v>31.000000000000011</v>
      </c>
      <c r="H43" s="334"/>
      <c r="I43" s="327"/>
      <c r="J43" s="327"/>
      <c r="K43" s="327"/>
      <c r="L43" s="327"/>
      <c r="M43" s="328"/>
      <c r="P43" s="37">
        <f t="shared" si="35"/>
        <v>48</v>
      </c>
      <c r="Q43" s="165">
        <f>+M63</f>
        <v>26710.200000000023</v>
      </c>
      <c r="R43" s="167">
        <f>+'有効抵抗土圧(4P左)'!H212</f>
        <v>489.31499999999988</v>
      </c>
      <c r="S43" s="167">
        <f>+'有効抵抗土圧(4P左)'!H213</f>
        <v>489.31499999999988</v>
      </c>
      <c r="U43" s="37">
        <f t="shared" si="32"/>
        <v>48</v>
      </c>
      <c r="V43" s="165">
        <f t="shared" si="32"/>
        <v>26710.200000000023</v>
      </c>
      <c r="W43" s="167">
        <f t="shared" si="33"/>
        <v>489.31499999999988</v>
      </c>
      <c r="X43" s="167">
        <f t="shared" si="34"/>
        <v>489.31499999999988</v>
      </c>
    </row>
    <row r="44" spans="3:24" ht="16.5" customHeight="1" x14ac:dyDescent="0.15">
      <c r="E44" s="68"/>
      <c r="H44" s="68"/>
      <c r="P44" s="37">
        <f t="shared" si="35"/>
        <v>49</v>
      </c>
      <c r="Q44" s="165">
        <f>+M65</f>
        <v>115744.2</v>
      </c>
      <c r="R44" s="167">
        <f>+'有効抵抗土圧(4P左)'!H214</f>
        <v>1155.5050000000001</v>
      </c>
      <c r="S44" s="167">
        <f>+'有効抵抗土圧(4P左)'!H215</f>
        <v>1243.385</v>
      </c>
      <c r="U44" s="37">
        <f t="shared" si="32"/>
        <v>49</v>
      </c>
      <c r="V44" s="165">
        <f t="shared" si="32"/>
        <v>115744.2</v>
      </c>
      <c r="W44" s="167">
        <f t="shared" si="33"/>
        <v>1155.5050000000001</v>
      </c>
      <c r="X44" s="167">
        <f t="shared" si="34"/>
        <v>1243.385</v>
      </c>
    </row>
    <row r="45" spans="3:24" ht="16.5" customHeight="1" x14ac:dyDescent="0.15">
      <c r="E45" s="68"/>
      <c r="H45" s="68"/>
      <c r="P45" s="37">
        <f t="shared" si="35"/>
        <v>50</v>
      </c>
      <c r="Q45" s="165">
        <f>+M66</f>
        <v>42618.600000000035</v>
      </c>
      <c r="R45" s="167">
        <f>+'有効抵抗土圧(4P左)'!H216</f>
        <v>1244.3499999999999</v>
      </c>
      <c r="S45" s="167">
        <f>+'有効抵抗土圧(4P左)'!H217</f>
        <v>1244.3499999999999</v>
      </c>
      <c r="U45" s="37">
        <f t="shared" si="32"/>
        <v>50</v>
      </c>
      <c r="V45" s="165">
        <f t="shared" si="32"/>
        <v>42618.600000000035</v>
      </c>
      <c r="W45" s="167">
        <f t="shared" si="33"/>
        <v>1244.3499999999999</v>
      </c>
      <c r="X45" s="167">
        <f t="shared" si="34"/>
        <v>1244.3499999999999</v>
      </c>
    </row>
    <row r="46" spans="3:24" ht="16.5" customHeight="1" x14ac:dyDescent="0.15">
      <c r="P46" s="37">
        <f t="shared" si="35"/>
        <v>51</v>
      </c>
      <c r="Q46" s="165">
        <f>+M68</f>
        <v>176169.60000000003</v>
      </c>
      <c r="R46" s="167">
        <f>+'有効抵抗土圧(4P左)'!H218</f>
        <v>1367.6026315789479</v>
      </c>
      <c r="S46" s="167">
        <f>+'有効抵抗土圧(4P左)'!H219</f>
        <v>1367.6026315789479</v>
      </c>
      <c r="U46" s="37">
        <f t="shared" si="32"/>
        <v>51</v>
      </c>
      <c r="V46" s="165">
        <f t="shared" si="32"/>
        <v>176169.60000000003</v>
      </c>
      <c r="W46" s="167">
        <f t="shared" si="33"/>
        <v>1367.6026315789479</v>
      </c>
      <c r="X46" s="167">
        <f t="shared" si="34"/>
        <v>1367.6026315789479</v>
      </c>
    </row>
    <row r="47" spans="3:24" ht="16.5" customHeight="1" x14ac:dyDescent="0.15">
      <c r="C47" s="18" t="s">
        <v>217</v>
      </c>
      <c r="D47" s="17" t="s">
        <v>218</v>
      </c>
      <c r="P47" s="37">
        <f t="shared" si="35"/>
        <v>52</v>
      </c>
      <c r="Q47" s="165">
        <f t="shared" ref="Q47:Q53" si="36">+M70</f>
        <v>173616.30000000002</v>
      </c>
      <c r="R47" s="167">
        <f>+'有効抵抗土圧(4P左)'!H220</f>
        <v>1472.7118421052633</v>
      </c>
      <c r="S47" s="167">
        <f>+'有効抵抗土圧(4P左)'!H221</f>
        <v>1564.4877368421055</v>
      </c>
      <c r="U47" s="37">
        <f t="shared" si="32"/>
        <v>52</v>
      </c>
      <c r="V47" s="165">
        <f t="shared" si="32"/>
        <v>173616.30000000002</v>
      </c>
      <c r="W47" s="167">
        <f t="shared" si="33"/>
        <v>1472.7118421052633</v>
      </c>
      <c r="X47" s="167">
        <f t="shared" si="34"/>
        <v>1564.4877368421055</v>
      </c>
    </row>
    <row r="48" spans="3:24" ht="16.5" customHeight="1" x14ac:dyDescent="0.15">
      <c r="D48" s="17" t="s">
        <v>202</v>
      </c>
      <c r="E48" s="68">
        <f>+E5</f>
        <v>1.3</v>
      </c>
      <c r="F48" s="17" t="s">
        <v>29</v>
      </c>
      <c r="P48" s="37">
        <f t="shared" si="35"/>
        <v>53</v>
      </c>
      <c r="Q48" s="165">
        <f t="shared" si="36"/>
        <v>173616.30000000002</v>
      </c>
      <c r="R48" s="167">
        <f>+'有効抵抗土圧(4P左)'!H222</f>
        <v>1564.4877368421055</v>
      </c>
      <c r="S48" s="167">
        <f>+'有効抵抗土圧(4P左)'!H223</f>
        <v>1656.2636315789478</v>
      </c>
      <c r="U48" s="37">
        <f t="shared" si="32"/>
        <v>53</v>
      </c>
      <c r="V48" s="165">
        <f t="shared" si="32"/>
        <v>173616.30000000002</v>
      </c>
      <c r="W48" s="167">
        <f t="shared" si="33"/>
        <v>1564.4877368421055</v>
      </c>
      <c r="X48" s="167">
        <f t="shared" si="34"/>
        <v>1656.2636315789478</v>
      </c>
    </row>
    <row r="49" spans="4:24" ht="16.5" customHeight="1" x14ac:dyDescent="0.15">
      <c r="D49" s="17" t="s">
        <v>207</v>
      </c>
      <c r="E49" s="68">
        <f>+E6</f>
        <v>31</v>
      </c>
      <c r="F49" s="17" t="s">
        <v>29</v>
      </c>
      <c r="P49" s="37">
        <f t="shared" si="35"/>
        <v>54</v>
      </c>
      <c r="Q49" s="165">
        <f t="shared" si="36"/>
        <v>173616.30000000002</v>
      </c>
      <c r="R49" s="167">
        <f>+'有効抵抗土圧(4P左)'!H224</f>
        <v>1656.2636315789478</v>
      </c>
      <c r="S49" s="167">
        <f>+'有効抵抗土圧(4P左)'!H225</f>
        <v>1748.03952631579</v>
      </c>
      <c r="U49" s="37">
        <f t="shared" si="32"/>
        <v>54</v>
      </c>
      <c r="V49" s="165">
        <f t="shared" si="32"/>
        <v>173616.30000000002</v>
      </c>
      <c r="W49" s="167">
        <f t="shared" si="33"/>
        <v>1656.2636315789478</v>
      </c>
      <c r="X49" s="167">
        <f t="shared" si="34"/>
        <v>1748.03952631579</v>
      </c>
    </row>
    <row r="50" spans="4:24" ht="16.5" customHeight="1" x14ac:dyDescent="0.15">
      <c r="D50" s="17" t="s">
        <v>200</v>
      </c>
      <c r="E50" s="77">
        <v>1</v>
      </c>
      <c r="F50" s="17" t="s">
        <v>206</v>
      </c>
      <c r="P50" s="37">
        <f t="shared" si="35"/>
        <v>55</v>
      </c>
      <c r="Q50" s="165">
        <f t="shared" si="36"/>
        <v>173616.30000000002</v>
      </c>
      <c r="R50" s="167">
        <f>+'有効抵抗土圧(4P左)'!H226</f>
        <v>1748.03952631579</v>
      </c>
      <c r="S50" s="167">
        <f>+'有効抵抗土圧(4P左)'!H227</f>
        <v>1839.8154210526318</v>
      </c>
      <c r="U50" s="37">
        <f t="shared" si="32"/>
        <v>55</v>
      </c>
      <c r="V50" s="165">
        <f t="shared" si="32"/>
        <v>173616.30000000002</v>
      </c>
      <c r="W50" s="167">
        <f t="shared" si="33"/>
        <v>1748.03952631579</v>
      </c>
      <c r="X50" s="167">
        <f t="shared" si="34"/>
        <v>1839.8154210526318</v>
      </c>
    </row>
    <row r="51" spans="4:24" ht="16.5" customHeight="1" x14ac:dyDescent="0.15">
      <c r="D51" s="376" t="s">
        <v>199</v>
      </c>
      <c r="E51" s="549" t="s">
        <v>229</v>
      </c>
      <c r="F51" s="552" t="s">
        <v>236</v>
      </c>
      <c r="G51" s="362" t="s">
        <v>237</v>
      </c>
      <c r="H51" s="363"/>
      <c r="I51" s="368" t="s">
        <v>201</v>
      </c>
      <c r="J51" s="370"/>
      <c r="K51" s="549" t="s">
        <v>238</v>
      </c>
      <c r="L51" s="362" t="s">
        <v>239</v>
      </c>
      <c r="M51" s="363"/>
      <c r="P51" s="37">
        <f t="shared" si="35"/>
        <v>56</v>
      </c>
      <c r="Q51" s="165">
        <f t="shared" si="36"/>
        <v>173616.30000000002</v>
      </c>
      <c r="R51" s="167">
        <f>+'有効抵抗土圧(4P左)'!H228</f>
        <v>1839.8154210526318</v>
      </c>
      <c r="S51" s="167">
        <f>+'有効抵抗土圧(4P左)'!H229</f>
        <v>1931.591315789474</v>
      </c>
      <c r="U51" s="37">
        <f t="shared" si="32"/>
        <v>56</v>
      </c>
      <c r="V51" s="165">
        <f t="shared" si="32"/>
        <v>173616.30000000002</v>
      </c>
      <c r="W51" s="167">
        <f t="shared" si="33"/>
        <v>1839.8154210526318</v>
      </c>
      <c r="X51" s="167">
        <f t="shared" si="34"/>
        <v>1931.591315789474</v>
      </c>
    </row>
    <row r="52" spans="4:24" ht="16.5" customHeight="1" x14ac:dyDescent="0.15">
      <c r="D52" s="376"/>
      <c r="E52" s="550"/>
      <c r="F52" s="553"/>
      <c r="G52" s="364"/>
      <c r="H52" s="365"/>
      <c r="I52" s="371"/>
      <c r="J52" s="372"/>
      <c r="K52" s="550"/>
      <c r="L52" s="364"/>
      <c r="M52" s="365"/>
      <c r="P52" s="37">
        <f t="shared" si="35"/>
        <v>57</v>
      </c>
      <c r="Q52" s="165">
        <f t="shared" si="36"/>
        <v>173616.30000000002</v>
      </c>
      <c r="R52" s="167">
        <f>+'有効抵抗土圧(4P左)'!H230</f>
        <v>1931.591315789474</v>
      </c>
      <c r="S52" s="167">
        <f>+'有効抵抗土圧(4P左)'!H231</f>
        <v>2023.3672105263163</v>
      </c>
      <c r="U52" s="37">
        <f t="shared" si="32"/>
        <v>57</v>
      </c>
      <c r="V52" s="165">
        <f t="shared" si="32"/>
        <v>173616.30000000002</v>
      </c>
      <c r="W52" s="167">
        <f t="shared" si="33"/>
        <v>1931.591315789474</v>
      </c>
      <c r="X52" s="167">
        <f t="shared" si="34"/>
        <v>2023.3672105263163</v>
      </c>
    </row>
    <row r="53" spans="4:24" ht="16.5" customHeight="1" x14ac:dyDescent="0.15">
      <c r="D53" s="376"/>
      <c r="E53" s="550"/>
      <c r="F53" s="553"/>
      <c r="G53" s="364"/>
      <c r="H53" s="365"/>
      <c r="I53" s="371"/>
      <c r="J53" s="372"/>
      <c r="K53" s="550"/>
      <c r="L53" s="364"/>
      <c r="M53" s="365"/>
      <c r="P53" s="37">
        <f t="shared" si="35"/>
        <v>58</v>
      </c>
      <c r="Q53" s="165">
        <f t="shared" si="36"/>
        <v>131979.90000000005</v>
      </c>
      <c r="R53" s="167">
        <f>+'有効抵抗土圧(4P左)'!H232</f>
        <v>1340.4102105263105</v>
      </c>
      <c r="S53" s="167">
        <f>+'有効抵抗土圧(4P左)'!H233</f>
        <v>1340.4102105263105</v>
      </c>
      <c r="U53" s="37">
        <f t="shared" si="32"/>
        <v>58</v>
      </c>
      <c r="V53" s="165">
        <f t="shared" si="32"/>
        <v>131979.90000000005</v>
      </c>
      <c r="W53" s="167">
        <f t="shared" si="33"/>
        <v>1340.4102105263105</v>
      </c>
      <c r="X53" s="167">
        <f t="shared" si="34"/>
        <v>1340.4102105263105</v>
      </c>
    </row>
    <row r="54" spans="4:24" ht="16.5" customHeight="1" x14ac:dyDescent="0.15">
      <c r="D54" s="376"/>
      <c r="E54" s="550"/>
      <c r="F54" s="553"/>
      <c r="G54" s="364"/>
      <c r="H54" s="365"/>
      <c r="I54" s="371"/>
      <c r="J54" s="372"/>
      <c r="K54" s="550"/>
      <c r="L54" s="366"/>
      <c r="M54" s="367"/>
      <c r="P54" s="37">
        <f t="shared" si="35"/>
        <v>59</v>
      </c>
      <c r="Q54" s="165">
        <f t="shared" ref="Q54:Q61" si="37">+M78</f>
        <v>83404.100000000006</v>
      </c>
      <c r="R54" s="167">
        <f>+'有効抵抗土圧(4P左)'!H234</f>
        <v>1029.6000000000001</v>
      </c>
      <c r="S54" s="167">
        <f>+'有効抵抗土圧(4P左)'!H235</f>
        <v>1029.6000000000001</v>
      </c>
      <c r="U54" s="37">
        <f t="shared" si="32"/>
        <v>59</v>
      </c>
      <c r="V54" s="165">
        <f t="shared" si="32"/>
        <v>83404.100000000006</v>
      </c>
      <c r="W54" s="167">
        <f t="shared" si="33"/>
        <v>1029.6000000000001</v>
      </c>
      <c r="X54" s="167">
        <f t="shared" si="34"/>
        <v>1029.6000000000001</v>
      </c>
    </row>
    <row r="55" spans="4:24" ht="16.5" customHeight="1" x14ac:dyDescent="0.15">
      <c r="D55" s="376"/>
      <c r="E55" s="551"/>
      <c r="F55" s="554"/>
      <c r="G55" s="366"/>
      <c r="H55" s="367"/>
      <c r="I55" s="356"/>
      <c r="J55" s="357"/>
      <c r="K55" s="551"/>
      <c r="L55" s="69" t="s">
        <v>208</v>
      </c>
      <c r="M55" s="96">
        <f>+E50</f>
        <v>1</v>
      </c>
      <c r="P55" s="37">
        <f t="shared" si="35"/>
        <v>60</v>
      </c>
      <c r="Q55" s="165">
        <f t="shared" si="37"/>
        <v>83404.100000000006</v>
      </c>
      <c r="R55" s="167">
        <f>+'有効抵抗土圧(4P左)'!H236</f>
        <v>1029.6000000000001</v>
      </c>
      <c r="S55" s="167">
        <f>+'有効抵抗土圧(4P左)'!H237</f>
        <v>1029.6000000000001</v>
      </c>
      <c r="U55" s="37">
        <f t="shared" si="32"/>
        <v>60</v>
      </c>
      <c r="V55" s="165">
        <f t="shared" si="32"/>
        <v>83404.100000000006</v>
      </c>
      <c r="W55" s="167">
        <f t="shared" si="33"/>
        <v>1029.6000000000001</v>
      </c>
      <c r="X55" s="167">
        <f t="shared" si="34"/>
        <v>1029.6000000000001</v>
      </c>
    </row>
    <row r="56" spans="4:24" ht="16.5" customHeight="1" x14ac:dyDescent="0.15">
      <c r="D56" s="555" t="s">
        <v>16</v>
      </c>
      <c r="E56" s="556">
        <f>+E13</f>
        <v>3.3</v>
      </c>
      <c r="F56" s="544">
        <f>+F13</f>
        <v>19476</v>
      </c>
      <c r="G56" s="79">
        <f>+E48</f>
        <v>1.3</v>
      </c>
      <c r="H56" s="78"/>
      <c r="I56" s="104">
        <v>43</v>
      </c>
      <c r="J56" s="74"/>
      <c r="K56" s="70">
        <f>+F56</f>
        <v>19476</v>
      </c>
      <c r="L56" s="80">
        <f>K56*E48</f>
        <v>25318.799999999999</v>
      </c>
      <c r="M56" s="97">
        <f>+E50*L56</f>
        <v>25318.799999999999</v>
      </c>
      <c r="P56" s="37">
        <f t="shared" si="35"/>
        <v>61</v>
      </c>
      <c r="Q56" s="165">
        <f t="shared" si="37"/>
        <v>83404.100000000006</v>
      </c>
      <c r="R56" s="167">
        <f>+'有効抵抗土圧(4P左)'!H238</f>
        <v>1029.6000000000001</v>
      </c>
      <c r="S56" s="167">
        <f>+'有効抵抗土圧(4P左)'!H239</f>
        <v>1029.6000000000001</v>
      </c>
      <c r="U56" s="37">
        <f t="shared" si="32"/>
        <v>61</v>
      </c>
      <c r="V56" s="165">
        <f t="shared" si="32"/>
        <v>83404.100000000006</v>
      </c>
      <c r="W56" s="167">
        <f t="shared" si="33"/>
        <v>1029.6000000000001</v>
      </c>
      <c r="X56" s="167">
        <f t="shared" si="34"/>
        <v>1029.6000000000001</v>
      </c>
    </row>
    <row r="57" spans="4:24" ht="16.5" customHeight="1" x14ac:dyDescent="0.15">
      <c r="D57" s="555"/>
      <c r="E57" s="556"/>
      <c r="F57" s="544"/>
      <c r="G57" s="79">
        <f>+G56</f>
        <v>1.3</v>
      </c>
      <c r="H57" s="79"/>
      <c r="I57" s="37">
        <f>+I56+1</f>
        <v>44</v>
      </c>
      <c r="J57" s="37"/>
      <c r="K57" s="70">
        <f>+F56</f>
        <v>19476</v>
      </c>
      <c r="L57" s="80">
        <f>K57*E48</f>
        <v>25318.799999999999</v>
      </c>
      <c r="M57" s="97">
        <f>+E50*L57</f>
        <v>25318.799999999999</v>
      </c>
      <c r="P57" s="37">
        <f t="shared" si="35"/>
        <v>62</v>
      </c>
      <c r="Q57" s="165">
        <f t="shared" si="37"/>
        <v>83404.100000000006</v>
      </c>
      <c r="R57" s="167">
        <f>+'有効抵抗土圧(4P左)'!H240</f>
        <v>1029.6000000000001</v>
      </c>
      <c r="S57" s="167">
        <f>+'有効抵抗土圧(4P左)'!H241</f>
        <v>1029.6000000000001</v>
      </c>
      <c r="U57" s="37">
        <f t="shared" si="32"/>
        <v>62</v>
      </c>
      <c r="V57" s="165">
        <f t="shared" si="32"/>
        <v>83404.100000000006</v>
      </c>
      <c r="W57" s="167">
        <f t="shared" si="33"/>
        <v>1029.6000000000001</v>
      </c>
      <c r="X57" s="167">
        <f t="shared" si="34"/>
        <v>1029.6000000000001</v>
      </c>
    </row>
    <row r="58" spans="4:24" ht="16.5" customHeight="1" x14ac:dyDescent="0.15">
      <c r="D58" s="555"/>
      <c r="E58" s="556"/>
      <c r="F58" s="544"/>
      <c r="G58" s="547">
        <f>+G57</f>
        <v>1.3</v>
      </c>
      <c r="H58" s="79">
        <f>+E56-G56-G57</f>
        <v>0.69999999999999973</v>
      </c>
      <c r="I58" s="393">
        <f>+I57+1</f>
        <v>45</v>
      </c>
      <c r="J58" s="393"/>
      <c r="K58" s="545">
        <f>(F56*H58+F59*H59)/G58</f>
        <v>58000.615384615405</v>
      </c>
      <c r="L58" s="545">
        <f>+E48*K58</f>
        <v>75400.800000000032</v>
      </c>
      <c r="M58" s="557">
        <f>+E50*L58</f>
        <v>75400.800000000032</v>
      </c>
      <c r="P58" s="37">
        <f t="shared" si="35"/>
        <v>63</v>
      </c>
      <c r="Q58" s="165">
        <f t="shared" si="37"/>
        <v>83404.100000000006</v>
      </c>
      <c r="R58" s="167">
        <f>+'有効抵抗土圧(4P左)'!H242</f>
        <v>1029.6000000000001</v>
      </c>
      <c r="S58" s="167">
        <f>+'有効抵抗土圧(4P左)'!H243</f>
        <v>1029.6000000000001</v>
      </c>
      <c r="U58" s="37">
        <f t="shared" si="32"/>
        <v>63</v>
      </c>
      <c r="V58" s="165">
        <f t="shared" si="32"/>
        <v>83404.100000000006</v>
      </c>
      <c r="W58" s="167">
        <f t="shared" si="33"/>
        <v>1029.6000000000001</v>
      </c>
      <c r="X58" s="167">
        <f t="shared" si="34"/>
        <v>1029.6000000000001</v>
      </c>
    </row>
    <row r="59" spans="4:24" ht="16.5" customHeight="1" x14ac:dyDescent="0.15">
      <c r="D59" s="555" t="s">
        <v>17</v>
      </c>
      <c r="E59" s="556">
        <f>+E16</f>
        <v>1.3</v>
      </c>
      <c r="F59" s="544">
        <f>+F16</f>
        <v>102946</v>
      </c>
      <c r="G59" s="548"/>
      <c r="H59" s="79">
        <f>+G58-H58</f>
        <v>0.60000000000000031</v>
      </c>
      <c r="I59" s="393"/>
      <c r="J59" s="393"/>
      <c r="K59" s="546"/>
      <c r="L59" s="546"/>
      <c r="M59" s="558"/>
      <c r="P59" s="37">
        <f t="shared" si="35"/>
        <v>64</v>
      </c>
      <c r="Q59" s="165">
        <f t="shared" si="37"/>
        <v>83404.100000000006</v>
      </c>
      <c r="R59" s="167">
        <f>+'有効抵抗土圧(4P左)'!H244</f>
        <v>1029.6000000000001</v>
      </c>
      <c r="S59" s="167">
        <f>+'有効抵抗土圧(4P左)'!H245</f>
        <v>1029.6000000000001</v>
      </c>
      <c r="U59" s="37">
        <f t="shared" si="32"/>
        <v>64</v>
      </c>
      <c r="V59" s="165">
        <f t="shared" si="32"/>
        <v>83404.100000000006</v>
      </c>
      <c r="W59" s="167">
        <f t="shared" si="33"/>
        <v>1029.6000000000001</v>
      </c>
      <c r="X59" s="167">
        <f t="shared" si="34"/>
        <v>1029.6000000000001</v>
      </c>
    </row>
    <row r="60" spans="4:24" ht="16.5" customHeight="1" x14ac:dyDescent="0.15">
      <c r="D60" s="555"/>
      <c r="E60" s="556"/>
      <c r="F60" s="544"/>
      <c r="G60" s="547">
        <f>+G58</f>
        <v>1.3</v>
      </c>
      <c r="H60" s="79">
        <f>+E59-H59</f>
        <v>0.69999999999999973</v>
      </c>
      <c r="I60" s="393">
        <f>+I58+1</f>
        <v>46</v>
      </c>
      <c r="J60" s="393"/>
      <c r="K60" s="545">
        <f>(F59*H60+F61*H61)/G60</f>
        <v>72353.384615384595</v>
      </c>
      <c r="L60" s="545">
        <f>+E48*K60</f>
        <v>94059.39999999998</v>
      </c>
      <c r="M60" s="557">
        <f>+E50*L60</f>
        <v>94059.39999999998</v>
      </c>
      <c r="P60" s="37">
        <f t="shared" si="35"/>
        <v>65</v>
      </c>
      <c r="Q60" s="165">
        <f t="shared" si="37"/>
        <v>83404.100000000006</v>
      </c>
      <c r="R60" s="167">
        <f>+'有効抵抗土圧(4P左)'!H246</f>
        <v>1029.6000000000001</v>
      </c>
      <c r="S60" s="167">
        <f>+'有効抵抗土圧(4P左)'!H247</f>
        <v>1029.6000000000001</v>
      </c>
      <c r="U60" s="37">
        <f t="shared" si="32"/>
        <v>65</v>
      </c>
      <c r="V60" s="165">
        <f t="shared" si="32"/>
        <v>83404.100000000006</v>
      </c>
      <c r="W60" s="167">
        <f t="shared" si="33"/>
        <v>1029.6000000000001</v>
      </c>
      <c r="X60" s="167">
        <f t="shared" si="34"/>
        <v>1029.6000000000001</v>
      </c>
    </row>
    <row r="61" spans="4:24" ht="16.5" customHeight="1" x14ac:dyDescent="0.15">
      <c r="D61" s="555" t="s">
        <v>18</v>
      </c>
      <c r="E61" s="556">
        <f>+E18</f>
        <v>2.9</v>
      </c>
      <c r="F61" s="544">
        <f>+F18</f>
        <v>36662</v>
      </c>
      <c r="G61" s="548"/>
      <c r="H61" s="79">
        <f>+G60-H60</f>
        <v>0.60000000000000031</v>
      </c>
      <c r="I61" s="393"/>
      <c r="J61" s="393"/>
      <c r="K61" s="546"/>
      <c r="L61" s="546"/>
      <c r="M61" s="558"/>
      <c r="P61" s="37">
        <f t="shared" si="35"/>
        <v>66</v>
      </c>
      <c r="Q61" s="165">
        <f t="shared" si="37"/>
        <v>83404.100000000006</v>
      </c>
      <c r="R61" s="167">
        <f>+'有効抵抗土圧(4P左)'!H248</f>
        <v>1029.6000000000001</v>
      </c>
      <c r="S61" s="167">
        <f>+'有効抵抗土圧(4P左)'!H249</f>
        <v>1029.6000000000001</v>
      </c>
      <c r="U61" s="37">
        <f t="shared" si="32"/>
        <v>66</v>
      </c>
      <c r="V61" s="165">
        <f t="shared" si="32"/>
        <v>83404.100000000006</v>
      </c>
      <c r="W61" s="167">
        <f t="shared" si="33"/>
        <v>1029.6000000000001</v>
      </c>
      <c r="X61" s="167">
        <f t="shared" si="34"/>
        <v>1029.6000000000001</v>
      </c>
    </row>
    <row r="62" spans="4:24" ht="16.5" customHeight="1" x14ac:dyDescent="0.15">
      <c r="D62" s="555"/>
      <c r="E62" s="556"/>
      <c r="F62" s="544"/>
      <c r="G62" s="79">
        <f>+G60</f>
        <v>1.3</v>
      </c>
      <c r="H62" s="78"/>
      <c r="I62" s="37">
        <f>+I60+1</f>
        <v>47</v>
      </c>
      <c r="J62" s="37"/>
      <c r="K62" s="80">
        <f>+F61</f>
        <v>36662</v>
      </c>
      <c r="L62" s="80">
        <f>+E48*K62</f>
        <v>47660.6</v>
      </c>
      <c r="M62" s="97">
        <f>+E50*L62</f>
        <v>47660.6</v>
      </c>
      <c r="R62" s="166"/>
      <c r="S62" s="166"/>
      <c r="U62" s="4"/>
      <c r="V62" s="142"/>
      <c r="W62" s="166"/>
      <c r="X62" s="166"/>
    </row>
    <row r="63" spans="4:24" ht="16.5" customHeight="1" x14ac:dyDescent="0.15">
      <c r="D63" s="555"/>
      <c r="E63" s="556"/>
      <c r="F63" s="544"/>
      <c r="G63" s="547">
        <f>+G62</f>
        <v>1.3</v>
      </c>
      <c r="H63" s="79">
        <f>+E61-H61-G62</f>
        <v>0.99999999999999978</v>
      </c>
      <c r="I63" s="393">
        <f>+I62+1</f>
        <v>48</v>
      </c>
      <c r="J63" s="393"/>
      <c r="K63" s="545">
        <f>(F62*H63+F64*H64)/G63</f>
        <v>20546.30769230771</v>
      </c>
      <c r="L63" s="545">
        <f>+E48*K63</f>
        <v>26710.200000000023</v>
      </c>
      <c r="M63" s="557">
        <f>+E50*L63</f>
        <v>26710.200000000023</v>
      </c>
      <c r="P63" s="37">
        <f>+J13</f>
        <v>68</v>
      </c>
      <c r="Q63" s="165">
        <f t="shared" ref="Q63:Q86" si="38">+Q13</f>
        <v>50637.599999999999</v>
      </c>
      <c r="R63" s="167">
        <f>+'有効抵抗土圧(4P左)'!I202</f>
        <v>1788.8</v>
      </c>
      <c r="S63" s="167">
        <f>+'有効抵抗土圧(4P左)'!I203</f>
        <v>2122.8054545454547</v>
      </c>
      <c r="U63" s="37">
        <f>+P63</f>
        <v>68</v>
      </c>
      <c r="V63" s="165">
        <f>+Q63</f>
        <v>50637.599999999999</v>
      </c>
      <c r="W63" s="167">
        <f>+R13</f>
        <v>715.52</v>
      </c>
      <c r="X63" s="167">
        <f>+S13</f>
        <v>849.12218181818196</v>
      </c>
    </row>
    <row r="64" spans="4:24" ht="16.5" customHeight="1" x14ac:dyDescent="0.15">
      <c r="D64" s="555" t="s">
        <v>19</v>
      </c>
      <c r="E64" s="556">
        <f>+E21</f>
        <v>2.6</v>
      </c>
      <c r="F64" s="544">
        <f>+F21</f>
        <v>89034</v>
      </c>
      <c r="G64" s="548"/>
      <c r="H64" s="79">
        <f>+G63-H63</f>
        <v>0.30000000000000027</v>
      </c>
      <c r="I64" s="393"/>
      <c r="J64" s="393"/>
      <c r="K64" s="546"/>
      <c r="L64" s="546"/>
      <c r="M64" s="558"/>
      <c r="P64" s="37">
        <f>+P63+1</f>
        <v>69</v>
      </c>
      <c r="Q64" s="165">
        <f t="shared" si="38"/>
        <v>50637.599999999999</v>
      </c>
      <c r="R64" s="167">
        <f>+'有効抵抗土圧(4P左)'!I204</f>
        <v>2122.8054545454547</v>
      </c>
      <c r="S64" s="167">
        <f>+'有効抵抗土圧(4P左)'!I205</f>
        <v>2456.8109090909093</v>
      </c>
      <c r="U64" s="37">
        <f t="shared" ref="U64:V86" si="39">+P64</f>
        <v>69</v>
      </c>
      <c r="V64" s="165">
        <f t="shared" si="39"/>
        <v>50637.599999999999</v>
      </c>
      <c r="W64" s="167">
        <f t="shared" ref="W64:X64" si="40">+R14</f>
        <v>849.12218181818196</v>
      </c>
      <c r="X64" s="167">
        <f t="shared" si="40"/>
        <v>982.72436363636371</v>
      </c>
    </row>
    <row r="65" spans="4:24" ht="16.5" customHeight="1" x14ac:dyDescent="0.15">
      <c r="D65" s="555"/>
      <c r="E65" s="556"/>
      <c r="F65" s="544"/>
      <c r="G65" s="79">
        <f>+G63</f>
        <v>1.3</v>
      </c>
      <c r="H65" s="78"/>
      <c r="I65" s="37">
        <f>+I63+1</f>
        <v>49</v>
      </c>
      <c r="J65" s="37"/>
      <c r="K65" s="80">
        <f>+F64</f>
        <v>89034</v>
      </c>
      <c r="L65" s="80">
        <f>+E48*K65</f>
        <v>115744.2</v>
      </c>
      <c r="M65" s="97">
        <f>+E50*L65</f>
        <v>115744.2</v>
      </c>
      <c r="P65" s="37">
        <f t="shared" ref="P65:P86" si="41">+P64+1</f>
        <v>70</v>
      </c>
      <c r="Q65" s="165">
        <f t="shared" si="38"/>
        <v>150801.60000000006</v>
      </c>
      <c r="R65" s="167">
        <f>+'有効抵抗土圧(4P左)'!I206</f>
        <v>3259.0852447552452</v>
      </c>
      <c r="S65" s="167">
        <f>+'有効抵抗土圧(4P左)'!I207</f>
        <v>3259.0852447552452</v>
      </c>
      <c r="U65" s="37">
        <f t="shared" si="39"/>
        <v>70</v>
      </c>
      <c r="V65" s="165">
        <f t="shared" si="39"/>
        <v>150801.60000000006</v>
      </c>
      <c r="W65" s="167">
        <f t="shared" ref="W65:X65" si="42">+R15</f>
        <v>1303.6340979020983</v>
      </c>
      <c r="X65" s="167">
        <f t="shared" si="42"/>
        <v>1303.6340979020983</v>
      </c>
    </row>
    <row r="66" spans="4:24" ht="16.5" customHeight="1" x14ac:dyDescent="0.15">
      <c r="D66" s="555"/>
      <c r="E66" s="556"/>
      <c r="F66" s="544"/>
      <c r="G66" s="547">
        <f>+G65</f>
        <v>1.3</v>
      </c>
      <c r="H66" s="79">
        <f>+E64-H64-G65</f>
        <v>0.99999999999999978</v>
      </c>
      <c r="I66" s="393">
        <f>+I65+1</f>
        <v>50</v>
      </c>
      <c r="J66" s="393"/>
      <c r="K66" s="545">
        <f>(F65*H66+F67*H67)/G66</f>
        <v>32783.53846153849</v>
      </c>
      <c r="L66" s="545">
        <f>+E48*K66</f>
        <v>42618.600000000035</v>
      </c>
      <c r="M66" s="557">
        <f>+E50*L66</f>
        <v>42618.600000000035</v>
      </c>
      <c r="P66" s="37">
        <f t="shared" si="41"/>
        <v>71</v>
      </c>
      <c r="Q66" s="165">
        <f t="shared" si="38"/>
        <v>188118.79999999996</v>
      </c>
      <c r="R66" s="167">
        <f>+'有効抵抗土圧(4P左)'!I208</f>
        <v>2845.6438461538446</v>
      </c>
      <c r="S66" s="167">
        <f>+'有効抵抗土圧(4P左)'!I209</f>
        <v>2845.6438461538446</v>
      </c>
      <c r="U66" s="37">
        <f t="shared" si="39"/>
        <v>71</v>
      </c>
      <c r="V66" s="165">
        <f t="shared" si="39"/>
        <v>188118.79999999996</v>
      </c>
      <c r="W66" s="167">
        <f t="shared" ref="W66:X66" si="43">+R16</f>
        <v>1138.2575384615379</v>
      </c>
      <c r="X66" s="167">
        <f t="shared" si="43"/>
        <v>1138.2575384615379</v>
      </c>
    </row>
    <row r="67" spans="4:24" ht="16.5" customHeight="1" x14ac:dyDescent="0.15">
      <c r="D67" s="555" t="s">
        <v>203</v>
      </c>
      <c r="E67" s="556">
        <f>+E24</f>
        <v>0.6</v>
      </c>
      <c r="F67" s="544">
        <f>+F24</f>
        <v>142062</v>
      </c>
      <c r="G67" s="548"/>
      <c r="H67" s="79">
        <f>+G66-H66</f>
        <v>0.30000000000000027</v>
      </c>
      <c r="I67" s="393"/>
      <c r="J67" s="393"/>
      <c r="K67" s="546"/>
      <c r="L67" s="546"/>
      <c r="M67" s="558"/>
      <c r="P67" s="37">
        <f t="shared" si="41"/>
        <v>72</v>
      </c>
      <c r="Q67" s="165">
        <f t="shared" si="38"/>
        <v>95321.2</v>
      </c>
      <c r="R67" s="167">
        <f>+'有効抵抗土圧(4P左)'!I210</f>
        <v>1170</v>
      </c>
      <c r="S67" s="167">
        <f>+'有効抵抗土圧(4P左)'!I211</f>
        <v>1170</v>
      </c>
      <c r="U67" s="37">
        <f t="shared" si="39"/>
        <v>72</v>
      </c>
      <c r="V67" s="165">
        <f t="shared" si="39"/>
        <v>95321.2</v>
      </c>
      <c r="W67" s="167">
        <f t="shared" ref="W67:X67" si="44">+R17</f>
        <v>468</v>
      </c>
      <c r="X67" s="167">
        <f t="shared" si="44"/>
        <v>468</v>
      </c>
    </row>
    <row r="68" spans="4:24" ht="16.5" customHeight="1" x14ac:dyDescent="0.15">
      <c r="D68" s="555"/>
      <c r="E68" s="556"/>
      <c r="F68" s="544"/>
      <c r="G68" s="547">
        <f>+G66</f>
        <v>1.3</v>
      </c>
      <c r="H68" s="79">
        <f>+E67-H67</f>
        <v>0.29999999999999971</v>
      </c>
      <c r="I68" s="393">
        <f>+I66+1</f>
        <v>51</v>
      </c>
      <c r="J68" s="393"/>
      <c r="K68" s="545">
        <f>(F67*H68+F69*H69)/G68</f>
        <v>135515.07692307694</v>
      </c>
      <c r="L68" s="545">
        <f>+E48*K68</f>
        <v>176169.60000000003</v>
      </c>
      <c r="M68" s="557">
        <f>+E50*L68</f>
        <v>176169.60000000003</v>
      </c>
      <c r="P68" s="37">
        <f t="shared" si="41"/>
        <v>73</v>
      </c>
      <c r="Q68" s="165">
        <f t="shared" si="38"/>
        <v>53420.400000000045</v>
      </c>
      <c r="R68" s="167">
        <f>+'有効抵抗土圧(4P左)'!I212</f>
        <v>1957.2599999999995</v>
      </c>
      <c r="S68" s="167">
        <f>+'有効抵抗土圧(4P左)'!I213</f>
        <v>1957.2599999999995</v>
      </c>
      <c r="U68" s="37">
        <f t="shared" si="39"/>
        <v>73</v>
      </c>
      <c r="V68" s="165">
        <f t="shared" si="39"/>
        <v>53420.400000000045</v>
      </c>
      <c r="W68" s="167">
        <f t="shared" ref="W68:X68" si="45">+R18</f>
        <v>782.90399999999988</v>
      </c>
      <c r="X68" s="167">
        <f t="shared" si="45"/>
        <v>782.90399999999988</v>
      </c>
    </row>
    <row r="69" spans="4:24" ht="16.5" customHeight="1" x14ac:dyDescent="0.15">
      <c r="D69" s="555" t="s">
        <v>204</v>
      </c>
      <c r="E69" s="556">
        <f>+E26</f>
        <v>9.5</v>
      </c>
      <c r="F69" s="544">
        <f>+F26</f>
        <v>133551</v>
      </c>
      <c r="G69" s="548"/>
      <c r="H69" s="79">
        <f>+G68-H68</f>
        <v>1.0000000000000004</v>
      </c>
      <c r="I69" s="393"/>
      <c r="J69" s="393"/>
      <c r="K69" s="546"/>
      <c r="L69" s="546"/>
      <c r="M69" s="558"/>
      <c r="P69" s="37">
        <f t="shared" si="41"/>
        <v>74</v>
      </c>
      <c r="Q69" s="165">
        <f t="shared" si="38"/>
        <v>231488.4</v>
      </c>
      <c r="R69" s="167">
        <f>+'有効抵抗土圧(4P左)'!I214</f>
        <v>4622.0200000000004</v>
      </c>
      <c r="S69" s="167">
        <f>+'有効抵抗土圧(4P左)'!I215</f>
        <v>4973.54</v>
      </c>
      <c r="U69" s="37">
        <f t="shared" si="39"/>
        <v>74</v>
      </c>
      <c r="V69" s="165">
        <f t="shared" si="39"/>
        <v>231488.4</v>
      </c>
      <c r="W69" s="167">
        <f t="shared" ref="W69:X69" si="46">+R19</f>
        <v>1848.8080000000002</v>
      </c>
      <c r="X69" s="167">
        <f t="shared" si="46"/>
        <v>1989.4160000000002</v>
      </c>
    </row>
    <row r="70" spans="4:24" ht="16.5" customHeight="1" x14ac:dyDescent="0.15">
      <c r="D70" s="555"/>
      <c r="E70" s="556"/>
      <c r="F70" s="544"/>
      <c r="G70" s="79">
        <f>+G68</f>
        <v>1.3</v>
      </c>
      <c r="H70" s="78"/>
      <c r="I70" s="37">
        <f>+I68+1</f>
        <v>52</v>
      </c>
      <c r="J70" s="37"/>
      <c r="K70" s="80">
        <f>+F69</f>
        <v>133551</v>
      </c>
      <c r="L70" s="80">
        <f>+E48*K70</f>
        <v>173616.30000000002</v>
      </c>
      <c r="M70" s="97">
        <f>+E50*L70</f>
        <v>173616.30000000002</v>
      </c>
      <c r="P70" s="37">
        <f t="shared" si="41"/>
        <v>75</v>
      </c>
      <c r="Q70" s="165">
        <f t="shared" si="38"/>
        <v>85237.20000000007</v>
      </c>
      <c r="R70" s="167">
        <f>+'有効抵抗土圧(4P左)'!I216</f>
        <v>4977.3999999999996</v>
      </c>
      <c r="S70" s="167">
        <f>+'有効抵抗土圧(4P左)'!I217</f>
        <v>4977.3999999999996</v>
      </c>
      <c r="U70" s="37">
        <f t="shared" si="39"/>
        <v>75</v>
      </c>
      <c r="V70" s="165">
        <f t="shared" si="39"/>
        <v>85237.20000000007</v>
      </c>
      <c r="W70" s="167">
        <f t="shared" ref="W70:X70" si="47">+R20</f>
        <v>1990.9599999999998</v>
      </c>
      <c r="X70" s="167">
        <f t="shared" si="47"/>
        <v>1990.9599999999998</v>
      </c>
    </row>
    <row r="71" spans="4:24" ht="16.5" customHeight="1" x14ac:dyDescent="0.15">
      <c r="D71" s="555"/>
      <c r="E71" s="556"/>
      <c r="F71" s="544"/>
      <c r="G71" s="79">
        <f t="shared" ref="G71:G76" si="48">+G70</f>
        <v>1.3</v>
      </c>
      <c r="H71" s="79"/>
      <c r="I71" s="37">
        <f t="shared" ref="I71:I76" si="49">+I70+1</f>
        <v>53</v>
      </c>
      <c r="J71" s="37"/>
      <c r="K71" s="80">
        <f>+F69</f>
        <v>133551</v>
      </c>
      <c r="L71" s="80">
        <f>+E48*K71</f>
        <v>173616.30000000002</v>
      </c>
      <c r="M71" s="97">
        <f>+E50*L71</f>
        <v>173616.30000000002</v>
      </c>
      <c r="P71" s="37">
        <f t="shared" si="41"/>
        <v>76</v>
      </c>
      <c r="Q71" s="165">
        <f t="shared" si="38"/>
        <v>352339.20000000007</v>
      </c>
      <c r="R71" s="167">
        <f>+'有効抵抗土圧(4P左)'!I218</f>
        <v>5470.4105263157917</v>
      </c>
      <c r="S71" s="167">
        <f>+'有効抵抗土圧(4P左)'!I219</f>
        <v>5470.4105263157917</v>
      </c>
      <c r="U71" s="37">
        <f t="shared" si="39"/>
        <v>76</v>
      </c>
      <c r="V71" s="165">
        <f t="shared" si="39"/>
        <v>352339.20000000007</v>
      </c>
      <c r="W71" s="167">
        <f t="shared" ref="W71:X71" si="50">+R21</f>
        <v>2188.1642105263168</v>
      </c>
      <c r="X71" s="167">
        <f t="shared" si="50"/>
        <v>2188.1642105263168</v>
      </c>
    </row>
    <row r="72" spans="4:24" ht="16.5" customHeight="1" x14ac:dyDescent="0.15">
      <c r="D72" s="555"/>
      <c r="E72" s="556"/>
      <c r="F72" s="544"/>
      <c r="G72" s="79">
        <f t="shared" si="48"/>
        <v>1.3</v>
      </c>
      <c r="H72" s="79"/>
      <c r="I72" s="37">
        <f t="shared" si="49"/>
        <v>54</v>
      </c>
      <c r="J72" s="37"/>
      <c r="K72" s="80">
        <f>+F69</f>
        <v>133551</v>
      </c>
      <c r="L72" s="80">
        <f>+E48*K72</f>
        <v>173616.30000000002</v>
      </c>
      <c r="M72" s="97">
        <f>+E50*L72</f>
        <v>173616.30000000002</v>
      </c>
      <c r="P72" s="37">
        <f t="shared" si="41"/>
        <v>77</v>
      </c>
      <c r="Q72" s="165">
        <f t="shared" si="38"/>
        <v>347232.60000000003</v>
      </c>
      <c r="R72" s="167">
        <f>+'有効抵抗土圧(4P左)'!I220</f>
        <v>5890.847368421053</v>
      </c>
      <c r="S72" s="167">
        <f>+'有効抵抗土圧(4P左)'!I221</f>
        <v>6257.950947368422</v>
      </c>
      <c r="U72" s="37">
        <f t="shared" si="39"/>
        <v>77</v>
      </c>
      <c r="V72" s="165">
        <f t="shared" si="39"/>
        <v>347232.60000000003</v>
      </c>
      <c r="W72" s="167">
        <f t="shared" ref="W72:X72" si="51">+R22</f>
        <v>2356.3389473684215</v>
      </c>
      <c r="X72" s="167">
        <f t="shared" si="51"/>
        <v>2503.1803789473688</v>
      </c>
    </row>
    <row r="73" spans="4:24" ht="16.5" customHeight="1" x14ac:dyDescent="0.15">
      <c r="D73" s="555"/>
      <c r="E73" s="556"/>
      <c r="F73" s="544"/>
      <c r="G73" s="79">
        <f t="shared" si="48"/>
        <v>1.3</v>
      </c>
      <c r="H73" s="79"/>
      <c r="I73" s="37">
        <f t="shared" si="49"/>
        <v>55</v>
      </c>
      <c r="J73" s="37"/>
      <c r="K73" s="80">
        <f>+F69</f>
        <v>133551</v>
      </c>
      <c r="L73" s="80">
        <f>+E48*K73</f>
        <v>173616.30000000002</v>
      </c>
      <c r="M73" s="97">
        <f>+E50*L73</f>
        <v>173616.30000000002</v>
      </c>
      <c r="P73" s="37">
        <f t="shared" si="41"/>
        <v>78</v>
      </c>
      <c r="Q73" s="165">
        <f t="shared" si="38"/>
        <v>347232.60000000003</v>
      </c>
      <c r="R73" s="167">
        <f>+'有効抵抗土圧(4P左)'!I222</f>
        <v>6257.950947368422</v>
      </c>
      <c r="S73" s="167">
        <f>+'有効抵抗土圧(4P左)'!I223</f>
        <v>6625.054526315791</v>
      </c>
      <c r="U73" s="37">
        <f t="shared" si="39"/>
        <v>78</v>
      </c>
      <c r="V73" s="165">
        <f t="shared" si="39"/>
        <v>347232.60000000003</v>
      </c>
      <c r="W73" s="167">
        <f t="shared" ref="W73:X73" si="52">+R23</f>
        <v>2503.1803789473688</v>
      </c>
      <c r="X73" s="167">
        <f t="shared" si="52"/>
        <v>2650.0218105263166</v>
      </c>
    </row>
    <row r="74" spans="4:24" ht="16.5" customHeight="1" x14ac:dyDescent="0.15">
      <c r="D74" s="555"/>
      <c r="E74" s="556"/>
      <c r="F74" s="544"/>
      <c r="G74" s="79">
        <f t="shared" si="48"/>
        <v>1.3</v>
      </c>
      <c r="H74" s="79"/>
      <c r="I74" s="37">
        <f t="shared" si="49"/>
        <v>56</v>
      </c>
      <c r="J74" s="37"/>
      <c r="K74" s="80">
        <f>+F69</f>
        <v>133551</v>
      </c>
      <c r="L74" s="80">
        <f>+E48*K74</f>
        <v>173616.30000000002</v>
      </c>
      <c r="M74" s="97">
        <f>+E50*L74</f>
        <v>173616.30000000002</v>
      </c>
      <c r="P74" s="37">
        <f t="shared" si="41"/>
        <v>79</v>
      </c>
      <c r="Q74" s="165">
        <f t="shared" si="38"/>
        <v>347232.60000000003</v>
      </c>
      <c r="R74" s="167">
        <f>+'有効抵抗土圧(4P左)'!I224</f>
        <v>6625.054526315791</v>
      </c>
      <c r="S74" s="167">
        <f>+'有効抵抗土圧(4P左)'!I225</f>
        <v>6992.15810526316</v>
      </c>
      <c r="U74" s="37">
        <f t="shared" si="39"/>
        <v>79</v>
      </c>
      <c r="V74" s="165">
        <f t="shared" si="39"/>
        <v>347232.60000000003</v>
      </c>
      <c r="W74" s="167">
        <f t="shared" ref="W74:X74" si="53">+R24</f>
        <v>2650.0218105263166</v>
      </c>
      <c r="X74" s="167">
        <f t="shared" si="53"/>
        <v>2796.8632421052644</v>
      </c>
    </row>
    <row r="75" spans="4:24" ht="16.5" customHeight="1" x14ac:dyDescent="0.15">
      <c r="D75" s="555"/>
      <c r="E75" s="556"/>
      <c r="F75" s="544"/>
      <c r="G75" s="79">
        <f t="shared" si="48"/>
        <v>1.3</v>
      </c>
      <c r="H75" s="79"/>
      <c r="I75" s="37">
        <f t="shared" si="49"/>
        <v>57</v>
      </c>
      <c r="J75" s="37"/>
      <c r="K75" s="80">
        <f>+F69</f>
        <v>133551</v>
      </c>
      <c r="L75" s="80">
        <f>+E48*K75</f>
        <v>173616.30000000002</v>
      </c>
      <c r="M75" s="97">
        <f>+E50*L75</f>
        <v>173616.30000000002</v>
      </c>
      <c r="P75" s="37">
        <f t="shared" si="41"/>
        <v>80</v>
      </c>
      <c r="Q75" s="165">
        <f t="shared" si="38"/>
        <v>347232.60000000003</v>
      </c>
      <c r="R75" s="167">
        <f>+'有効抵抗土圧(4P左)'!I226</f>
        <v>6992.15810526316</v>
      </c>
      <c r="S75" s="167">
        <f>+'有効抵抗土圧(4P左)'!I227</f>
        <v>7359.2616842105272</v>
      </c>
      <c r="U75" s="37">
        <f t="shared" si="39"/>
        <v>80</v>
      </c>
      <c r="V75" s="165">
        <f t="shared" si="39"/>
        <v>347232.60000000003</v>
      </c>
      <c r="W75" s="167">
        <f t="shared" ref="W75:X75" si="54">+R25</f>
        <v>2796.8632421052644</v>
      </c>
      <c r="X75" s="167">
        <f t="shared" si="54"/>
        <v>2943.7046736842108</v>
      </c>
    </row>
    <row r="76" spans="4:24" ht="16.5" customHeight="1" x14ac:dyDescent="0.15">
      <c r="D76" s="555"/>
      <c r="E76" s="556"/>
      <c r="F76" s="544"/>
      <c r="G76" s="547">
        <f t="shared" si="48"/>
        <v>1.3</v>
      </c>
      <c r="H76" s="79">
        <f>+E69-H69-G70-G71-G72-G73-G74-G75</f>
        <v>0.70000000000000084</v>
      </c>
      <c r="I76" s="393">
        <f t="shared" si="49"/>
        <v>58</v>
      </c>
      <c r="J76" s="393"/>
      <c r="K76" s="545">
        <f>(F69*H76+F77*H77)/G76</f>
        <v>101523.00000000004</v>
      </c>
      <c r="L76" s="545">
        <f>+E48*K76</f>
        <v>131979.90000000005</v>
      </c>
      <c r="M76" s="557">
        <f>+E50*L76</f>
        <v>131979.90000000005</v>
      </c>
      <c r="P76" s="37">
        <f t="shared" si="41"/>
        <v>81</v>
      </c>
      <c r="Q76" s="165">
        <f t="shared" si="38"/>
        <v>347232.60000000003</v>
      </c>
      <c r="R76" s="167">
        <f>+'有効抵抗土圧(4P左)'!I228</f>
        <v>7359.2616842105272</v>
      </c>
      <c r="S76" s="167">
        <f>+'有効抵抗土圧(4P左)'!I229</f>
        <v>7726.3652631578962</v>
      </c>
      <c r="U76" s="37">
        <f t="shared" si="39"/>
        <v>81</v>
      </c>
      <c r="V76" s="165">
        <f t="shared" si="39"/>
        <v>347232.60000000003</v>
      </c>
      <c r="W76" s="167">
        <f t="shared" ref="W76:X76" si="55">+R26</f>
        <v>2943.7046736842108</v>
      </c>
      <c r="X76" s="167">
        <f t="shared" si="55"/>
        <v>3090.546105263159</v>
      </c>
    </row>
    <row r="77" spans="4:24" ht="16.5" customHeight="1" x14ac:dyDescent="0.15">
      <c r="D77" s="555" t="s">
        <v>205</v>
      </c>
      <c r="E77" s="556">
        <f>+E34</f>
        <v>10.8</v>
      </c>
      <c r="F77" s="544">
        <f>+F34</f>
        <v>64157</v>
      </c>
      <c r="G77" s="548"/>
      <c r="H77" s="79">
        <f>+G76-H76</f>
        <v>0.5999999999999992</v>
      </c>
      <c r="I77" s="393"/>
      <c r="J77" s="393"/>
      <c r="K77" s="546"/>
      <c r="L77" s="546"/>
      <c r="M77" s="558"/>
      <c r="P77" s="37">
        <f t="shared" si="41"/>
        <v>82</v>
      </c>
      <c r="Q77" s="165">
        <f t="shared" si="38"/>
        <v>347232.60000000003</v>
      </c>
      <c r="R77" s="167">
        <f>+'有効抵抗土圧(4P左)'!I230</f>
        <v>7726.3652631578962</v>
      </c>
      <c r="S77" s="167">
        <f>+'有効抵抗土圧(4P左)'!I231</f>
        <v>8093.4688421052651</v>
      </c>
      <c r="U77" s="37">
        <f t="shared" si="39"/>
        <v>82</v>
      </c>
      <c r="V77" s="165">
        <f t="shared" si="39"/>
        <v>347232.60000000003</v>
      </c>
      <c r="W77" s="167">
        <f t="shared" ref="W77:X77" si="56">+R27</f>
        <v>3090.546105263159</v>
      </c>
      <c r="X77" s="167">
        <f t="shared" si="56"/>
        <v>3237.3875368421063</v>
      </c>
    </row>
    <row r="78" spans="4:24" ht="16.5" customHeight="1" x14ac:dyDescent="0.15">
      <c r="D78" s="555"/>
      <c r="E78" s="556"/>
      <c r="F78" s="544"/>
      <c r="G78" s="79">
        <f>+G76</f>
        <v>1.3</v>
      </c>
      <c r="H78" s="78"/>
      <c r="I78" s="37">
        <f>+I76+1</f>
        <v>59</v>
      </c>
      <c r="J78" s="37"/>
      <c r="K78" s="80">
        <f>+F77</f>
        <v>64157</v>
      </c>
      <c r="L78" s="80">
        <f>+E48*K78</f>
        <v>83404.100000000006</v>
      </c>
      <c r="M78" s="97">
        <f>+E50*L78</f>
        <v>83404.100000000006</v>
      </c>
      <c r="P78" s="37">
        <f t="shared" si="41"/>
        <v>83</v>
      </c>
      <c r="Q78" s="165">
        <f t="shared" si="38"/>
        <v>263959.8000000001</v>
      </c>
      <c r="R78" s="167">
        <f>+'有効抵抗土圧(4P左)'!I232</f>
        <v>5361.640842105242</v>
      </c>
      <c r="S78" s="167">
        <f>+'有効抵抗土圧(4P左)'!I233</f>
        <v>5361.640842105242</v>
      </c>
      <c r="U78" s="37">
        <f t="shared" si="39"/>
        <v>83</v>
      </c>
      <c r="V78" s="165">
        <f t="shared" si="39"/>
        <v>263959.8000000001</v>
      </c>
      <c r="W78" s="167">
        <f t="shared" ref="W78:X78" si="57">+R28</f>
        <v>2144.6563368420971</v>
      </c>
      <c r="X78" s="167">
        <f t="shared" si="57"/>
        <v>2144.6563368420971</v>
      </c>
    </row>
    <row r="79" spans="4:24" ht="16.5" customHeight="1" x14ac:dyDescent="0.15">
      <c r="D79" s="555"/>
      <c r="E79" s="556"/>
      <c r="F79" s="544"/>
      <c r="G79" s="79">
        <f t="shared" ref="G79:G84" si="58">+G78</f>
        <v>1.3</v>
      </c>
      <c r="H79" s="79"/>
      <c r="I79" s="37">
        <f t="shared" ref="I79:I85" si="59">+I78+1</f>
        <v>60</v>
      </c>
      <c r="J79" s="37"/>
      <c r="K79" s="80">
        <f>+F77</f>
        <v>64157</v>
      </c>
      <c r="L79" s="80">
        <f>+E48*K79</f>
        <v>83404.100000000006</v>
      </c>
      <c r="M79" s="97">
        <f>+E50*L79</f>
        <v>83404.100000000006</v>
      </c>
      <c r="P79" s="37">
        <f t="shared" si="41"/>
        <v>84</v>
      </c>
      <c r="Q79" s="165">
        <f t="shared" si="38"/>
        <v>166808.20000000001</v>
      </c>
      <c r="R79" s="167">
        <f>+'有効抵抗土圧(4P左)'!I234</f>
        <v>2059.2000000000003</v>
      </c>
      <c r="S79" s="167">
        <f>+'有効抵抗土圧(4P左)'!I235</f>
        <v>2059.2000000000003</v>
      </c>
      <c r="U79" s="37">
        <f t="shared" si="39"/>
        <v>84</v>
      </c>
      <c r="V79" s="165">
        <f t="shared" si="39"/>
        <v>166808.20000000001</v>
      </c>
      <c r="W79" s="167">
        <f t="shared" ref="W79:X79" si="60">+R29</f>
        <v>2059.2000000000003</v>
      </c>
      <c r="X79" s="167">
        <f t="shared" si="60"/>
        <v>2059.2000000000003</v>
      </c>
    </row>
    <row r="80" spans="4:24" ht="16.5" customHeight="1" x14ac:dyDescent="0.15">
      <c r="D80" s="555"/>
      <c r="E80" s="556"/>
      <c r="F80" s="544"/>
      <c r="G80" s="79">
        <f t="shared" si="58"/>
        <v>1.3</v>
      </c>
      <c r="H80" s="79"/>
      <c r="I80" s="37">
        <f t="shared" si="59"/>
        <v>61</v>
      </c>
      <c r="J80" s="37"/>
      <c r="K80" s="80">
        <f>+F77</f>
        <v>64157</v>
      </c>
      <c r="L80" s="80">
        <f>+E48*K80</f>
        <v>83404.100000000006</v>
      </c>
      <c r="M80" s="97">
        <f>+E50*L80</f>
        <v>83404.100000000006</v>
      </c>
      <c r="P80" s="37">
        <f t="shared" si="41"/>
        <v>85</v>
      </c>
      <c r="Q80" s="165">
        <f t="shared" si="38"/>
        <v>166808.20000000001</v>
      </c>
      <c r="R80" s="167">
        <f>+'有効抵抗土圧(4P左)'!I236</f>
        <v>2059.2000000000003</v>
      </c>
      <c r="S80" s="167">
        <f>+'有効抵抗土圧(4P左)'!I237</f>
        <v>2059.2000000000003</v>
      </c>
      <c r="U80" s="37">
        <f t="shared" si="39"/>
        <v>85</v>
      </c>
      <c r="V80" s="165">
        <f t="shared" si="39"/>
        <v>166808.20000000001</v>
      </c>
      <c r="W80" s="167">
        <f t="shared" ref="W80:X80" si="61">+R30</f>
        <v>2059.2000000000003</v>
      </c>
      <c r="X80" s="167">
        <f t="shared" si="61"/>
        <v>2059.2000000000003</v>
      </c>
    </row>
    <row r="81" spans="4:24" ht="16.5" customHeight="1" x14ac:dyDescent="0.15">
      <c r="D81" s="555"/>
      <c r="E81" s="556"/>
      <c r="F81" s="544"/>
      <c r="G81" s="79">
        <f t="shared" si="58"/>
        <v>1.3</v>
      </c>
      <c r="H81" s="79"/>
      <c r="I81" s="37">
        <f t="shared" si="59"/>
        <v>62</v>
      </c>
      <c r="J81" s="37"/>
      <c r="K81" s="80">
        <f>+F77</f>
        <v>64157</v>
      </c>
      <c r="L81" s="80">
        <f>+E48*K81</f>
        <v>83404.100000000006</v>
      </c>
      <c r="M81" s="97">
        <f>+E50*L81</f>
        <v>83404.100000000006</v>
      </c>
      <c r="P81" s="37">
        <f t="shared" si="41"/>
        <v>86</v>
      </c>
      <c r="Q81" s="165">
        <f t="shared" si="38"/>
        <v>166808.20000000001</v>
      </c>
      <c r="R81" s="167">
        <f>+'有効抵抗土圧(4P左)'!I238</f>
        <v>2059.2000000000003</v>
      </c>
      <c r="S81" s="167">
        <f>+'有効抵抗土圧(4P左)'!I239</f>
        <v>2059.2000000000003</v>
      </c>
      <c r="U81" s="37">
        <f t="shared" si="39"/>
        <v>86</v>
      </c>
      <c r="V81" s="165">
        <f t="shared" si="39"/>
        <v>166808.20000000001</v>
      </c>
      <c r="W81" s="167">
        <f t="shared" ref="W81:X81" si="62">+R31</f>
        <v>2059.2000000000003</v>
      </c>
      <c r="X81" s="167">
        <f t="shared" si="62"/>
        <v>2059.2000000000003</v>
      </c>
    </row>
    <row r="82" spans="4:24" ht="16.5" customHeight="1" x14ac:dyDescent="0.15">
      <c r="D82" s="555"/>
      <c r="E82" s="556"/>
      <c r="F82" s="544"/>
      <c r="G82" s="79">
        <f t="shared" si="58"/>
        <v>1.3</v>
      </c>
      <c r="H82" s="79"/>
      <c r="I82" s="37">
        <f t="shared" si="59"/>
        <v>63</v>
      </c>
      <c r="J82" s="37"/>
      <c r="K82" s="80">
        <f>+F77</f>
        <v>64157</v>
      </c>
      <c r="L82" s="80">
        <f>+E48*K82</f>
        <v>83404.100000000006</v>
      </c>
      <c r="M82" s="97">
        <f>+E50*L82</f>
        <v>83404.100000000006</v>
      </c>
      <c r="P82" s="37">
        <f t="shared" si="41"/>
        <v>87</v>
      </c>
      <c r="Q82" s="165">
        <f t="shared" si="38"/>
        <v>166808.20000000001</v>
      </c>
      <c r="R82" s="167">
        <f>+'有効抵抗土圧(4P左)'!I240</f>
        <v>2059.2000000000003</v>
      </c>
      <c r="S82" s="167">
        <f>+'有効抵抗土圧(4P左)'!I241</f>
        <v>2059.2000000000003</v>
      </c>
      <c r="U82" s="37">
        <f t="shared" si="39"/>
        <v>87</v>
      </c>
      <c r="V82" s="165">
        <f t="shared" si="39"/>
        <v>166808.20000000001</v>
      </c>
      <c r="W82" s="167">
        <f t="shared" ref="W82:X82" si="63">+R32</f>
        <v>2059.2000000000003</v>
      </c>
      <c r="X82" s="167">
        <f t="shared" si="63"/>
        <v>2059.2000000000003</v>
      </c>
    </row>
    <row r="83" spans="4:24" ht="16.5" customHeight="1" x14ac:dyDescent="0.15">
      <c r="D83" s="555"/>
      <c r="E83" s="556"/>
      <c r="F83" s="544"/>
      <c r="G83" s="79">
        <f t="shared" si="58"/>
        <v>1.3</v>
      </c>
      <c r="H83" s="79"/>
      <c r="I83" s="37">
        <f t="shared" si="59"/>
        <v>64</v>
      </c>
      <c r="J83" s="37"/>
      <c r="K83" s="80">
        <f>+F77</f>
        <v>64157</v>
      </c>
      <c r="L83" s="80">
        <f>+E48*K83</f>
        <v>83404.100000000006</v>
      </c>
      <c r="M83" s="97">
        <f>+E50*L83</f>
        <v>83404.100000000006</v>
      </c>
      <c r="P83" s="37">
        <f t="shared" si="41"/>
        <v>88</v>
      </c>
      <c r="Q83" s="165">
        <f t="shared" si="38"/>
        <v>166808.20000000001</v>
      </c>
      <c r="R83" s="167">
        <f>+'有効抵抗土圧(4P左)'!I242</f>
        <v>2059.2000000000003</v>
      </c>
      <c r="S83" s="167">
        <f>+'有効抵抗土圧(4P左)'!I243</f>
        <v>2059.2000000000003</v>
      </c>
      <c r="U83" s="37">
        <f t="shared" si="39"/>
        <v>88</v>
      </c>
      <c r="V83" s="165">
        <f t="shared" si="39"/>
        <v>166808.20000000001</v>
      </c>
      <c r="W83" s="167">
        <f t="shared" ref="W83:X83" si="64">+R33</f>
        <v>2059.2000000000003</v>
      </c>
      <c r="X83" s="167">
        <f t="shared" si="64"/>
        <v>2059.2000000000003</v>
      </c>
    </row>
    <row r="84" spans="4:24" ht="16.5" customHeight="1" x14ac:dyDescent="0.15">
      <c r="D84" s="555"/>
      <c r="E84" s="556"/>
      <c r="F84" s="544"/>
      <c r="G84" s="79">
        <f t="shared" si="58"/>
        <v>1.3</v>
      </c>
      <c r="H84" s="79"/>
      <c r="I84" s="37">
        <f t="shared" si="59"/>
        <v>65</v>
      </c>
      <c r="J84" s="37"/>
      <c r="K84" s="80">
        <f>+F77</f>
        <v>64157</v>
      </c>
      <c r="L84" s="80">
        <f>+E48*K84</f>
        <v>83404.100000000006</v>
      </c>
      <c r="M84" s="97">
        <f>+E50*L84</f>
        <v>83404.100000000006</v>
      </c>
      <c r="P84" s="37">
        <f t="shared" si="41"/>
        <v>89</v>
      </c>
      <c r="Q84" s="165">
        <f t="shared" si="38"/>
        <v>166808.20000000001</v>
      </c>
      <c r="R84" s="167">
        <f>+'有効抵抗土圧(4P左)'!I244</f>
        <v>2059.2000000000003</v>
      </c>
      <c r="S84" s="167">
        <f>+'有効抵抗土圧(4P左)'!I245</f>
        <v>2059.2000000000003</v>
      </c>
      <c r="U84" s="37">
        <f t="shared" si="39"/>
        <v>89</v>
      </c>
      <c r="V84" s="165">
        <f t="shared" si="39"/>
        <v>166808.20000000001</v>
      </c>
      <c r="W84" s="167">
        <f t="shared" ref="W84:X84" si="65">+R34</f>
        <v>2059.2000000000003</v>
      </c>
      <c r="X84" s="167">
        <f t="shared" si="65"/>
        <v>2059.2000000000003</v>
      </c>
    </row>
    <row r="85" spans="4:24" ht="16.5" customHeight="1" x14ac:dyDescent="0.15">
      <c r="D85" s="555"/>
      <c r="E85" s="556"/>
      <c r="F85" s="544"/>
      <c r="G85" s="106">
        <v>1.1000000000000001</v>
      </c>
      <c r="H85" s="79"/>
      <c r="I85" s="37">
        <f t="shared" si="59"/>
        <v>66</v>
      </c>
      <c r="J85" s="37"/>
      <c r="K85" s="80">
        <f>+F77</f>
        <v>64157</v>
      </c>
      <c r="L85" s="80">
        <f>+E48*K85</f>
        <v>83404.100000000006</v>
      </c>
      <c r="M85" s="97">
        <f>+E50*L85</f>
        <v>83404.100000000006</v>
      </c>
      <c r="P85" s="37">
        <f t="shared" si="41"/>
        <v>90</v>
      </c>
      <c r="Q85" s="165">
        <f t="shared" si="38"/>
        <v>166808.20000000001</v>
      </c>
      <c r="R85" s="167">
        <f>+'有効抵抗土圧(4P左)'!I246</f>
        <v>2059.2000000000003</v>
      </c>
      <c r="S85" s="167">
        <f>+'有効抵抗土圧(4P左)'!I247</f>
        <v>2059.2000000000003</v>
      </c>
      <c r="U85" s="37">
        <f t="shared" si="39"/>
        <v>90</v>
      </c>
      <c r="V85" s="165">
        <f t="shared" si="39"/>
        <v>166808.20000000001</v>
      </c>
      <c r="W85" s="167">
        <f t="shared" ref="W85:X85" si="66">+R35</f>
        <v>2059.2000000000003</v>
      </c>
      <c r="X85" s="167">
        <f t="shared" si="66"/>
        <v>2059.2000000000003</v>
      </c>
    </row>
    <row r="86" spans="4:24" ht="16.5" customHeight="1" x14ac:dyDescent="0.15">
      <c r="D86" s="89" t="s">
        <v>228</v>
      </c>
      <c r="E86" s="86">
        <f>SUM(E56:E85)</f>
        <v>31</v>
      </c>
      <c r="F86" s="86"/>
      <c r="G86" s="86">
        <f>SUM(G56:G85)</f>
        <v>31.000000000000011</v>
      </c>
      <c r="H86" s="334"/>
      <c r="I86" s="327"/>
      <c r="J86" s="327"/>
      <c r="K86" s="327"/>
      <c r="L86" s="327"/>
      <c r="M86" s="328"/>
      <c r="P86" s="37">
        <f t="shared" si="41"/>
        <v>91</v>
      </c>
      <c r="Q86" s="165">
        <f t="shared" si="38"/>
        <v>166808.20000000001</v>
      </c>
      <c r="R86" s="167">
        <f>+'有効抵抗土圧(4P左)'!I248</f>
        <v>2059.2000000000003</v>
      </c>
      <c r="S86" s="167">
        <f>+'有効抵抗土圧(4P左)'!I249</f>
        <v>2059.2000000000003</v>
      </c>
      <c r="U86" s="37">
        <f t="shared" si="39"/>
        <v>91</v>
      </c>
      <c r="V86" s="165">
        <f t="shared" si="39"/>
        <v>166808.20000000001</v>
      </c>
      <c r="W86" s="167">
        <f t="shared" ref="W86:X86" si="67">+R36</f>
        <v>2059.2000000000003</v>
      </c>
      <c r="X86" s="167">
        <f t="shared" si="67"/>
        <v>2059.2000000000003</v>
      </c>
    </row>
    <row r="87" spans="4:24" ht="16.5" customHeight="1" x14ac:dyDescent="0.15">
      <c r="I87" s="3"/>
    </row>
  </sheetData>
  <mergeCells count="138">
    <mergeCell ref="R11:S11"/>
    <mergeCell ref="Q11:Q12"/>
    <mergeCell ref="P11:P12"/>
    <mergeCell ref="P8:S10"/>
    <mergeCell ref="U8:X10"/>
    <mergeCell ref="U11:U12"/>
    <mergeCell ref="V11:V12"/>
    <mergeCell ref="W11:X11"/>
    <mergeCell ref="E8:E12"/>
    <mergeCell ref="F8:F12"/>
    <mergeCell ref="G8:H12"/>
    <mergeCell ref="K8:K12"/>
    <mergeCell ref="L8:M11"/>
    <mergeCell ref="H86:M86"/>
    <mergeCell ref="J15:J16"/>
    <mergeCell ref="J17:J18"/>
    <mergeCell ref="J20:J21"/>
    <mergeCell ref="J23:J24"/>
    <mergeCell ref="J25:J26"/>
    <mergeCell ref="J33:J34"/>
    <mergeCell ref="I23:I24"/>
    <mergeCell ref="I25:I26"/>
    <mergeCell ref="K15:K16"/>
    <mergeCell ref="K17:K18"/>
    <mergeCell ref="K20:K21"/>
    <mergeCell ref="K23:K24"/>
    <mergeCell ref="K25:K26"/>
    <mergeCell ref="K33:K34"/>
    <mergeCell ref="L76:L77"/>
    <mergeCell ref="M76:M77"/>
    <mergeCell ref="I51:J55"/>
    <mergeCell ref="I33:I34"/>
    <mergeCell ref="I15:I16"/>
    <mergeCell ref="I17:I18"/>
    <mergeCell ref="I20:I21"/>
    <mergeCell ref="L68:L69"/>
    <mergeCell ref="M68:M69"/>
    <mergeCell ref="H43:M43"/>
    <mergeCell ref="E24:E25"/>
    <mergeCell ref="E26:E33"/>
    <mergeCell ref="E34:E42"/>
    <mergeCell ref="E13:E15"/>
    <mergeCell ref="E16:E17"/>
    <mergeCell ref="E18:E20"/>
    <mergeCell ref="D56:D58"/>
    <mergeCell ref="E56:E58"/>
    <mergeCell ref="E21:E23"/>
    <mergeCell ref="G20:G21"/>
    <mergeCell ref="G15:G16"/>
    <mergeCell ref="G17:G18"/>
    <mergeCell ref="G23:G24"/>
    <mergeCell ref="G25:G26"/>
    <mergeCell ref="G33:G34"/>
    <mergeCell ref="F13:F15"/>
    <mergeCell ref="F16:F17"/>
    <mergeCell ref="F18:F20"/>
    <mergeCell ref="F21:F23"/>
    <mergeCell ref="F24:F25"/>
    <mergeCell ref="F26:F33"/>
    <mergeCell ref="F34:F42"/>
    <mergeCell ref="D13:D15"/>
    <mergeCell ref="D16:D17"/>
    <mergeCell ref="D18:D20"/>
    <mergeCell ref="D21:D23"/>
    <mergeCell ref="D24:D25"/>
    <mergeCell ref="D26:D33"/>
    <mergeCell ref="K76:K77"/>
    <mergeCell ref="D8:D12"/>
    <mergeCell ref="I8:J12"/>
    <mergeCell ref="L66:L67"/>
    <mergeCell ref="M66:M67"/>
    <mergeCell ref="M25:M26"/>
    <mergeCell ref="M33:M34"/>
    <mergeCell ref="M15:M16"/>
    <mergeCell ref="M17:M18"/>
    <mergeCell ref="M20:M21"/>
    <mergeCell ref="M23:M24"/>
    <mergeCell ref="L15:L16"/>
    <mergeCell ref="L17:L18"/>
    <mergeCell ref="L20:L21"/>
    <mergeCell ref="L23:L24"/>
    <mergeCell ref="L25:L26"/>
    <mergeCell ref="L33:L34"/>
    <mergeCell ref="D67:D68"/>
    <mergeCell ref="E67:E68"/>
    <mergeCell ref="D59:D60"/>
    <mergeCell ref="E59:E60"/>
    <mergeCell ref="M58:M59"/>
    <mergeCell ref="M60:M61"/>
    <mergeCell ref="D34:D42"/>
    <mergeCell ref="K63:K64"/>
    <mergeCell ref="L63:L64"/>
    <mergeCell ref="M63:M64"/>
    <mergeCell ref="D64:D66"/>
    <mergeCell ref="E64:E66"/>
    <mergeCell ref="F64:F66"/>
    <mergeCell ref="D77:D85"/>
    <mergeCell ref="E77:E85"/>
    <mergeCell ref="F77:F85"/>
    <mergeCell ref="G66:G67"/>
    <mergeCell ref="I66:I67"/>
    <mergeCell ref="J66:J67"/>
    <mergeCell ref="K66:K67"/>
    <mergeCell ref="D69:D76"/>
    <mergeCell ref="E69:E76"/>
    <mergeCell ref="I68:I69"/>
    <mergeCell ref="J68:J69"/>
    <mergeCell ref="K68:K69"/>
    <mergeCell ref="G76:G77"/>
    <mergeCell ref="F69:F76"/>
    <mergeCell ref="F67:F68"/>
    <mergeCell ref="G68:G69"/>
    <mergeCell ref="I76:I77"/>
    <mergeCell ref="J76:J77"/>
    <mergeCell ref="F56:F58"/>
    <mergeCell ref="D51:D55"/>
    <mergeCell ref="I58:I59"/>
    <mergeCell ref="J58:J59"/>
    <mergeCell ref="K58:K59"/>
    <mergeCell ref="L58:L59"/>
    <mergeCell ref="F59:F60"/>
    <mergeCell ref="G60:G61"/>
    <mergeCell ref="I60:I61"/>
    <mergeCell ref="J60:J61"/>
    <mergeCell ref="K60:K61"/>
    <mergeCell ref="L60:L61"/>
    <mergeCell ref="G58:G59"/>
    <mergeCell ref="E51:E55"/>
    <mergeCell ref="F51:F55"/>
    <mergeCell ref="G51:H55"/>
    <mergeCell ref="K51:K55"/>
    <mergeCell ref="L51:M54"/>
    <mergeCell ref="D61:D63"/>
    <mergeCell ref="E61:E63"/>
    <mergeCell ref="F61:F63"/>
    <mergeCell ref="G63:G64"/>
    <mergeCell ref="I63:I64"/>
    <mergeCell ref="J63:J64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1" manualBreakCount="1">
    <brk id="45" max="13" man="1"/>
  </rowBreaks>
  <ignoredErrors>
    <ignoredError sqref="H17:H25 H60:H68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6495-FD23-477C-A8F9-4DBFA8D6BA09}">
  <dimension ref="C2:X85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4" width="6.625" style="17" customWidth="1"/>
    <col min="5" max="6" width="8.625" style="17" customWidth="1"/>
    <col min="7" max="8" width="6.625" style="17" customWidth="1"/>
    <col min="9" max="10" width="4.625" style="17" customWidth="1"/>
    <col min="11" max="11" width="8.625" style="17" customWidth="1"/>
    <col min="12" max="13" width="10.625" style="17" customWidth="1"/>
    <col min="14" max="15" width="2.625" style="17" customWidth="1"/>
    <col min="16" max="19" width="10.625" style="17" customWidth="1"/>
    <col min="20" max="20" width="2.625" style="17" customWidth="1"/>
    <col min="21" max="24" width="10.625" style="17" customWidth="1"/>
    <col min="25" max="16384" width="2.625" style="17"/>
  </cols>
  <sheetData>
    <row r="2" spans="3:24" ht="16.5" customHeight="1" x14ac:dyDescent="0.15">
      <c r="C2" s="18" t="s">
        <v>222</v>
      </c>
      <c r="D2" s="17" t="s">
        <v>225</v>
      </c>
    </row>
    <row r="3" spans="3:24" ht="16.5" customHeight="1" x14ac:dyDescent="0.15">
      <c r="D3" s="17" t="s">
        <v>202</v>
      </c>
      <c r="E3" s="73">
        <v>1.3</v>
      </c>
      <c r="F3" s="17" t="s">
        <v>29</v>
      </c>
    </row>
    <row r="4" spans="3:24" ht="16.5" customHeight="1" x14ac:dyDescent="0.15">
      <c r="D4" s="17" t="s">
        <v>207</v>
      </c>
      <c r="E4" s="73">
        <v>31</v>
      </c>
      <c r="F4" s="17" t="s">
        <v>29</v>
      </c>
    </row>
    <row r="5" spans="3:24" ht="16.5" customHeight="1" x14ac:dyDescent="0.15">
      <c r="D5" s="17" t="s">
        <v>200</v>
      </c>
      <c r="E5" s="77">
        <v>3</v>
      </c>
      <c r="F5" s="17" t="s">
        <v>206</v>
      </c>
    </row>
    <row r="6" spans="3:24" ht="16.5" customHeight="1" x14ac:dyDescent="0.15">
      <c r="D6" s="376" t="s">
        <v>199</v>
      </c>
      <c r="E6" s="549" t="s">
        <v>229</v>
      </c>
      <c r="F6" s="552" t="s">
        <v>236</v>
      </c>
      <c r="G6" s="362" t="s">
        <v>237</v>
      </c>
      <c r="H6" s="363"/>
      <c r="I6" s="368" t="s">
        <v>201</v>
      </c>
      <c r="J6" s="370"/>
      <c r="K6" s="549" t="s">
        <v>238</v>
      </c>
      <c r="L6" s="362" t="s">
        <v>239</v>
      </c>
      <c r="M6" s="363"/>
      <c r="P6" s="393" t="s">
        <v>353</v>
      </c>
      <c r="Q6" s="393"/>
      <c r="R6" s="393"/>
      <c r="S6" s="393"/>
      <c r="U6" s="569" t="s">
        <v>364</v>
      </c>
      <c r="V6" s="569"/>
      <c r="W6" s="569"/>
      <c r="X6" s="569"/>
    </row>
    <row r="7" spans="3:24" ht="16.5" customHeight="1" x14ac:dyDescent="0.15">
      <c r="D7" s="376"/>
      <c r="E7" s="550"/>
      <c r="F7" s="553"/>
      <c r="G7" s="364"/>
      <c r="H7" s="365"/>
      <c r="I7" s="371"/>
      <c r="J7" s="372"/>
      <c r="K7" s="550"/>
      <c r="L7" s="364"/>
      <c r="M7" s="365"/>
      <c r="P7" s="393"/>
      <c r="Q7" s="393"/>
      <c r="R7" s="393"/>
      <c r="S7" s="393"/>
      <c r="U7" s="569"/>
      <c r="V7" s="569"/>
      <c r="W7" s="569"/>
      <c r="X7" s="569"/>
    </row>
    <row r="8" spans="3:24" ht="16.5" customHeight="1" x14ac:dyDescent="0.15">
      <c r="D8" s="376"/>
      <c r="E8" s="550"/>
      <c r="F8" s="553"/>
      <c r="G8" s="364"/>
      <c r="H8" s="365"/>
      <c r="I8" s="371"/>
      <c r="J8" s="372"/>
      <c r="K8" s="550"/>
      <c r="L8" s="364"/>
      <c r="M8" s="365"/>
      <c r="P8" s="393"/>
      <c r="Q8" s="393"/>
      <c r="R8" s="393"/>
      <c r="S8" s="393"/>
      <c r="U8" s="569"/>
      <c r="V8" s="569"/>
      <c r="W8" s="569"/>
      <c r="X8" s="569"/>
    </row>
    <row r="9" spans="3:24" ht="16.5" customHeight="1" x14ac:dyDescent="0.15">
      <c r="D9" s="376"/>
      <c r="E9" s="550"/>
      <c r="F9" s="553"/>
      <c r="G9" s="364"/>
      <c r="H9" s="365"/>
      <c r="I9" s="371"/>
      <c r="J9" s="372"/>
      <c r="K9" s="550"/>
      <c r="L9" s="366"/>
      <c r="M9" s="367"/>
      <c r="P9" s="393" t="s">
        <v>365</v>
      </c>
      <c r="Q9" s="568" t="s">
        <v>352</v>
      </c>
      <c r="R9" s="376" t="s">
        <v>349</v>
      </c>
      <c r="S9" s="376"/>
      <c r="U9" s="393" t="s">
        <v>365</v>
      </c>
      <c r="V9" s="568" t="s">
        <v>352</v>
      </c>
      <c r="W9" s="376" t="s">
        <v>349</v>
      </c>
      <c r="X9" s="376"/>
    </row>
    <row r="10" spans="3:24" ht="16.5" customHeight="1" x14ac:dyDescent="0.15">
      <c r="D10" s="376"/>
      <c r="E10" s="551"/>
      <c r="F10" s="554"/>
      <c r="G10" s="366"/>
      <c r="H10" s="367"/>
      <c r="I10" s="356"/>
      <c r="J10" s="357"/>
      <c r="K10" s="551"/>
      <c r="L10" s="69" t="s">
        <v>208</v>
      </c>
      <c r="M10" s="96">
        <f>+E5</f>
        <v>3</v>
      </c>
      <c r="P10" s="393"/>
      <c r="Q10" s="568"/>
      <c r="R10" s="25" t="s">
        <v>350</v>
      </c>
      <c r="S10" s="25" t="s">
        <v>351</v>
      </c>
      <c r="U10" s="393"/>
      <c r="V10" s="568"/>
      <c r="W10" s="25" t="s">
        <v>350</v>
      </c>
      <c r="X10" s="25" t="s">
        <v>351</v>
      </c>
    </row>
    <row r="11" spans="3:24" ht="16.5" customHeight="1" x14ac:dyDescent="0.15">
      <c r="D11" s="555" t="s">
        <v>16</v>
      </c>
      <c r="E11" s="570">
        <v>1.5</v>
      </c>
      <c r="F11" s="571">
        <v>15080</v>
      </c>
      <c r="G11" s="79">
        <f>+E3</f>
        <v>1.3</v>
      </c>
      <c r="H11" s="79"/>
      <c r="I11" s="104">
        <v>98</v>
      </c>
      <c r="J11" s="104">
        <v>148</v>
      </c>
      <c r="K11" s="80">
        <f>+F11</f>
        <v>15080</v>
      </c>
      <c r="L11" s="80">
        <f>K11*E3</f>
        <v>19604</v>
      </c>
      <c r="M11" s="97">
        <f>L11*E5</f>
        <v>58812</v>
      </c>
      <c r="P11" s="37">
        <f>+I11</f>
        <v>98</v>
      </c>
      <c r="Q11" s="165">
        <f>+M11</f>
        <v>58812</v>
      </c>
      <c r="R11" s="167">
        <f>+'有効抵抗土圧(4P右)'!G200</f>
        <v>1163.0297639999999</v>
      </c>
      <c r="S11" s="167">
        <f>+'有効抵抗土圧(4P右)'!G201</f>
        <v>1307.4656815999999</v>
      </c>
      <c r="U11" s="37">
        <f>+P11</f>
        <v>98</v>
      </c>
      <c r="V11" s="165">
        <f>+Q11</f>
        <v>58812</v>
      </c>
      <c r="W11" s="167">
        <f>+R61</f>
        <v>2907.5744100000002</v>
      </c>
      <c r="X11" s="167">
        <f>+S61</f>
        <v>3268.6642039999997</v>
      </c>
    </row>
    <row r="12" spans="3:24" ht="16.5" customHeight="1" x14ac:dyDescent="0.15">
      <c r="D12" s="555"/>
      <c r="E12" s="570"/>
      <c r="F12" s="571"/>
      <c r="G12" s="547">
        <f>+G11</f>
        <v>1.3</v>
      </c>
      <c r="H12" s="79">
        <f>+E11-G11</f>
        <v>0.19999999999999996</v>
      </c>
      <c r="I12" s="393">
        <f>+I11+1</f>
        <v>99</v>
      </c>
      <c r="J12" s="393">
        <f>+J11+1</f>
        <v>149</v>
      </c>
      <c r="K12" s="572">
        <f>(F11*H12+F13*H13)/G12</f>
        <v>69765.230769230766</v>
      </c>
      <c r="L12" s="572">
        <f>K12*E3</f>
        <v>90694.8</v>
      </c>
      <c r="M12" s="573">
        <f>L12*E5</f>
        <v>272084.40000000002</v>
      </c>
      <c r="P12" s="37">
        <f>+P11+1</f>
        <v>99</v>
      </c>
      <c r="Q12" s="165">
        <f>+M12</f>
        <v>272084.40000000002</v>
      </c>
      <c r="R12" s="167">
        <f>+'有効抵抗土圧(4P右)'!G202</f>
        <v>1989.0401095076923</v>
      </c>
      <c r="S12" s="167">
        <f>+'有効抵抗土圧(4P右)'!G203</f>
        <v>1989.0401095076923</v>
      </c>
      <c r="U12" s="37">
        <f t="shared" ref="U12:V34" si="0">+P12</f>
        <v>99</v>
      </c>
      <c r="V12" s="165">
        <f t="shared" si="0"/>
        <v>272084.40000000002</v>
      </c>
      <c r="W12" s="167">
        <f t="shared" ref="W12:X27" si="1">+R62</f>
        <v>4972.6002737692306</v>
      </c>
      <c r="X12" s="167">
        <f t="shared" si="1"/>
        <v>4972.6002737692306</v>
      </c>
    </row>
    <row r="13" spans="3:24" ht="16.5" customHeight="1" x14ac:dyDescent="0.15">
      <c r="D13" s="555" t="s">
        <v>17</v>
      </c>
      <c r="E13" s="570">
        <v>1.3</v>
      </c>
      <c r="F13" s="571">
        <v>79708</v>
      </c>
      <c r="G13" s="548"/>
      <c r="H13" s="79">
        <f>+G12-H12</f>
        <v>1.1000000000000001</v>
      </c>
      <c r="I13" s="393"/>
      <c r="J13" s="393"/>
      <c r="K13" s="572"/>
      <c r="L13" s="572"/>
      <c r="M13" s="573"/>
      <c r="P13" s="37">
        <f t="shared" ref="P13:P34" si="2">+P12+1</f>
        <v>100</v>
      </c>
      <c r="Q13" s="165">
        <f>+M14</f>
        <v>141501.89999999997</v>
      </c>
      <c r="R13" s="167">
        <f>+'有効抵抗土圧(4P右)'!G204</f>
        <v>907.71050769230715</v>
      </c>
      <c r="S13" s="167">
        <f>+'有効抵抗土圧(4P右)'!G205</f>
        <v>907.71050769230715</v>
      </c>
      <c r="U13" s="37">
        <f t="shared" si="0"/>
        <v>100</v>
      </c>
      <c r="V13" s="165">
        <f t="shared" si="0"/>
        <v>141501.89999999997</v>
      </c>
      <c r="W13" s="167">
        <f t="shared" si="1"/>
        <v>2269.2762692307679</v>
      </c>
      <c r="X13" s="167">
        <f t="shared" si="1"/>
        <v>2269.2762692307679</v>
      </c>
    </row>
    <row r="14" spans="3:24" ht="16.5" customHeight="1" x14ac:dyDescent="0.15">
      <c r="D14" s="555"/>
      <c r="E14" s="570"/>
      <c r="F14" s="571"/>
      <c r="G14" s="547">
        <f>+G12</f>
        <v>1.3</v>
      </c>
      <c r="H14" s="79">
        <f>+E13-H13</f>
        <v>0.19999999999999996</v>
      </c>
      <c r="I14" s="393">
        <f>+I12+1</f>
        <v>100</v>
      </c>
      <c r="J14" s="393">
        <f>+J12+1</f>
        <v>150</v>
      </c>
      <c r="K14" s="572">
        <f>(F13*H14+F15*H15)/G14</f>
        <v>36282.538461538454</v>
      </c>
      <c r="L14" s="572">
        <f>K14*E3</f>
        <v>47167.299999999988</v>
      </c>
      <c r="M14" s="573">
        <f>L14*E5</f>
        <v>141501.89999999997</v>
      </c>
      <c r="P14" s="37">
        <f t="shared" si="2"/>
        <v>101</v>
      </c>
      <c r="Q14" s="165">
        <f>+M16</f>
        <v>110709.29999999999</v>
      </c>
      <c r="R14" s="167">
        <f>+'有効抵抗土圧(4P右)'!G206</f>
        <v>669.00600000000009</v>
      </c>
      <c r="S14" s="167">
        <f>+'有効抵抗土圧(4P右)'!G207</f>
        <v>669.00600000000009</v>
      </c>
      <c r="U14" s="37">
        <f t="shared" si="0"/>
        <v>101</v>
      </c>
      <c r="V14" s="165">
        <f t="shared" si="0"/>
        <v>110709.29999999999</v>
      </c>
      <c r="W14" s="167">
        <f t="shared" si="1"/>
        <v>1672.5149999999999</v>
      </c>
      <c r="X14" s="167">
        <f t="shared" si="1"/>
        <v>1672.5149999999999</v>
      </c>
    </row>
    <row r="15" spans="3:24" ht="16.5" customHeight="1" x14ac:dyDescent="0.15">
      <c r="D15" s="555" t="s">
        <v>18</v>
      </c>
      <c r="E15" s="570">
        <v>2.9</v>
      </c>
      <c r="F15" s="571">
        <v>28387</v>
      </c>
      <c r="G15" s="548"/>
      <c r="H15" s="79">
        <f>+G14-H14</f>
        <v>1.1000000000000001</v>
      </c>
      <c r="I15" s="393"/>
      <c r="J15" s="393"/>
      <c r="K15" s="572"/>
      <c r="L15" s="572"/>
      <c r="M15" s="573"/>
      <c r="P15" s="37">
        <f t="shared" si="2"/>
        <v>102</v>
      </c>
      <c r="Q15" s="165">
        <f>+M17</f>
        <v>165448.80000000005</v>
      </c>
      <c r="R15" s="167">
        <f>+'有効抵抗土圧(4P右)'!G208</f>
        <v>1740.9708960000009</v>
      </c>
      <c r="S15" s="167">
        <f>+'有効抵抗土圧(4P右)'!G209</f>
        <v>1740.9708960000009</v>
      </c>
      <c r="U15" s="37">
        <f t="shared" si="0"/>
        <v>102</v>
      </c>
      <c r="V15" s="165">
        <f t="shared" si="0"/>
        <v>165448.80000000005</v>
      </c>
      <c r="W15" s="167">
        <f t="shared" si="1"/>
        <v>4352.4272400000018</v>
      </c>
      <c r="X15" s="167">
        <f t="shared" si="1"/>
        <v>4352.4272400000018</v>
      </c>
    </row>
    <row r="16" spans="3:24" ht="16.5" customHeight="1" x14ac:dyDescent="0.15">
      <c r="D16" s="555"/>
      <c r="E16" s="570"/>
      <c r="F16" s="571"/>
      <c r="G16" s="79">
        <f>+G14</f>
        <v>1.3</v>
      </c>
      <c r="H16" s="79"/>
      <c r="I16" s="37">
        <f>+I14+1</f>
        <v>101</v>
      </c>
      <c r="J16" s="37">
        <f>+J14+1</f>
        <v>151</v>
      </c>
      <c r="K16" s="80">
        <f>+F15</f>
        <v>28387</v>
      </c>
      <c r="L16" s="80">
        <f>K16*E3</f>
        <v>36903.1</v>
      </c>
      <c r="M16" s="97">
        <f>L16*E5</f>
        <v>110709.29999999999</v>
      </c>
      <c r="P16" s="37">
        <f t="shared" si="2"/>
        <v>103</v>
      </c>
      <c r="Q16" s="165">
        <f>+M19</f>
        <v>268854.30000000005</v>
      </c>
      <c r="R16" s="167">
        <f>+'有効抵抗土圧(4P右)'!G210</f>
        <v>2472.794844</v>
      </c>
      <c r="S16" s="167">
        <f>+'有効抵抗土圧(4P右)'!G211</f>
        <v>2673.7939799999999</v>
      </c>
      <c r="U16" s="37">
        <f t="shared" si="0"/>
        <v>103</v>
      </c>
      <c r="V16" s="165">
        <f t="shared" si="0"/>
        <v>268854.30000000005</v>
      </c>
      <c r="W16" s="167">
        <f t="shared" si="1"/>
        <v>6181.98711</v>
      </c>
      <c r="X16" s="167">
        <f t="shared" si="1"/>
        <v>6684.48495</v>
      </c>
    </row>
    <row r="17" spans="4:24" ht="16.5" customHeight="1" x14ac:dyDescent="0.15">
      <c r="D17" s="555"/>
      <c r="E17" s="570"/>
      <c r="F17" s="571"/>
      <c r="G17" s="547">
        <f>+G16</f>
        <v>1.3</v>
      </c>
      <c r="H17" s="79">
        <f>+E15-H15-G16</f>
        <v>0.49999999999999978</v>
      </c>
      <c r="I17" s="393">
        <f>+I16+1</f>
        <v>102</v>
      </c>
      <c r="J17" s="393">
        <f>+J16+1</f>
        <v>152</v>
      </c>
      <c r="K17" s="572">
        <f>(F16*H17+F18*H18)/G17</f>
        <v>42422.769230769241</v>
      </c>
      <c r="L17" s="572">
        <f>K17*E3</f>
        <v>55149.600000000013</v>
      </c>
      <c r="M17" s="573">
        <f>L17*E5</f>
        <v>165448.80000000005</v>
      </c>
      <c r="P17" s="37">
        <f t="shared" si="2"/>
        <v>104</v>
      </c>
      <c r="Q17" s="165">
        <f>+M20</f>
        <v>363439.50000000006</v>
      </c>
      <c r="R17" s="167">
        <f>+'有効抵抗土圧(4P右)'!G212</f>
        <v>2640.6295799999998</v>
      </c>
      <c r="S17" s="167">
        <f>+'有効抵抗土圧(4P右)'!G213</f>
        <v>2640.6295799999998</v>
      </c>
      <c r="U17" s="37">
        <f t="shared" si="0"/>
        <v>104</v>
      </c>
      <c r="V17" s="165">
        <f t="shared" si="0"/>
        <v>363439.50000000006</v>
      </c>
      <c r="W17" s="167">
        <f t="shared" si="1"/>
        <v>6601.57395</v>
      </c>
      <c r="X17" s="167">
        <f t="shared" si="1"/>
        <v>6601.57395</v>
      </c>
    </row>
    <row r="18" spans="4:24" ht="16.5" customHeight="1" x14ac:dyDescent="0.15">
      <c r="D18" s="555" t="s">
        <v>19</v>
      </c>
      <c r="E18" s="570">
        <v>2.6</v>
      </c>
      <c r="F18" s="571">
        <v>68937</v>
      </c>
      <c r="G18" s="548"/>
      <c r="H18" s="79">
        <f>+G17-H17</f>
        <v>0.80000000000000027</v>
      </c>
      <c r="I18" s="393"/>
      <c r="J18" s="393"/>
      <c r="K18" s="572"/>
      <c r="L18" s="572"/>
      <c r="M18" s="573"/>
      <c r="P18" s="37">
        <f t="shared" si="2"/>
        <v>105</v>
      </c>
      <c r="Q18" s="165">
        <f>+M23</f>
        <v>403279.5</v>
      </c>
      <c r="R18" s="167">
        <f>+'有効抵抗土圧(4P右)'!G214</f>
        <v>3142.554115263159</v>
      </c>
      <c r="S18" s="167">
        <f>+'有効抵抗土圧(4P右)'!G215</f>
        <v>3142.554115263159</v>
      </c>
      <c r="U18" s="37">
        <f t="shared" si="0"/>
        <v>105</v>
      </c>
      <c r="V18" s="165">
        <f t="shared" si="0"/>
        <v>403279.5</v>
      </c>
      <c r="W18" s="167">
        <f t="shared" si="1"/>
        <v>7856.3852881578987</v>
      </c>
      <c r="X18" s="167">
        <f t="shared" si="1"/>
        <v>7856.3852881578987</v>
      </c>
    </row>
    <row r="19" spans="4:24" ht="16.5" customHeight="1" x14ac:dyDescent="0.15">
      <c r="D19" s="555"/>
      <c r="E19" s="570"/>
      <c r="F19" s="571"/>
      <c r="G19" s="79">
        <f>+G17</f>
        <v>1.3</v>
      </c>
      <c r="H19" s="79"/>
      <c r="I19" s="37">
        <f>+I17+1</f>
        <v>103</v>
      </c>
      <c r="J19" s="37">
        <f>+J17+1</f>
        <v>153</v>
      </c>
      <c r="K19" s="80">
        <f>+F18</f>
        <v>68937</v>
      </c>
      <c r="L19" s="80">
        <f>K19*E3</f>
        <v>89618.1</v>
      </c>
      <c r="M19" s="97">
        <f>L19*E5</f>
        <v>268854.30000000005</v>
      </c>
      <c r="P19" s="37">
        <f t="shared" si="2"/>
        <v>106</v>
      </c>
      <c r="Q19" s="165">
        <f t="shared" ref="Q19:Q24" si="3">+M24</f>
        <v>403279.5</v>
      </c>
      <c r="R19" s="167">
        <f>+'有効抵抗土圧(4P右)'!G216</f>
        <v>3190.7595637894738</v>
      </c>
      <c r="S19" s="167">
        <f>+'有効抵抗土圧(4P右)'!G217</f>
        <v>3400.6897342736852</v>
      </c>
      <c r="U19" s="37">
        <f t="shared" si="0"/>
        <v>106</v>
      </c>
      <c r="V19" s="165">
        <f t="shared" si="0"/>
        <v>403279.5</v>
      </c>
      <c r="W19" s="167">
        <f t="shared" si="1"/>
        <v>7976.8989094736862</v>
      </c>
      <c r="X19" s="167">
        <f t="shared" si="1"/>
        <v>8501.7243356842118</v>
      </c>
    </row>
    <row r="20" spans="4:24" ht="16.5" customHeight="1" x14ac:dyDescent="0.15">
      <c r="D20" s="555"/>
      <c r="E20" s="570"/>
      <c r="F20" s="571"/>
      <c r="G20" s="574">
        <f>+G19</f>
        <v>1.3</v>
      </c>
      <c r="H20" s="79">
        <f>+E18-H18-G19</f>
        <v>0.49999999999999978</v>
      </c>
      <c r="I20" s="577">
        <f>+I19+1</f>
        <v>104</v>
      </c>
      <c r="J20" s="577">
        <f>+J19+1</f>
        <v>154</v>
      </c>
      <c r="K20" s="545">
        <f>(F18*H20+F21*H21+F22*H22)/G20</f>
        <v>93189.61538461539</v>
      </c>
      <c r="L20" s="572">
        <f>K20*E3</f>
        <v>121146.50000000001</v>
      </c>
      <c r="M20" s="573">
        <f>L20*E5</f>
        <v>363439.50000000006</v>
      </c>
      <c r="P20" s="37">
        <f t="shared" si="2"/>
        <v>107</v>
      </c>
      <c r="Q20" s="165">
        <f t="shared" si="3"/>
        <v>403279.5</v>
      </c>
      <c r="R20" s="167">
        <f>+'有効抵抗土圧(4P右)'!G218</f>
        <v>3400.6897342736852</v>
      </c>
      <c r="S20" s="167">
        <f>+'有効抵抗土圧(4P右)'!G219</f>
        <v>3610.6199047578953</v>
      </c>
      <c r="U20" s="37">
        <f t="shared" si="0"/>
        <v>107</v>
      </c>
      <c r="V20" s="165">
        <f t="shared" si="0"/>
        <v>403279.5</v>
      </c>
      <c r="W20" s="167">
        <f t="shared" si="1"/>
        <v>8501.7243356842118</v>
      </c>
      <c r="X20" s="167">
        <f t="shared" si="1"/>
        <v>9026.5497618947393</v>
      </c>
    </row>
    <row r="21" spans="4:24" ht="16.5" customHeight="1" x14ac:dyDescent="0.15">
      <c r="D21" s="90" t="s">
        <v>203</v>
      </c>
      <c r="E21" s="91">
        <v>0.6</v>
      </c>
      <c r="F21" s="92">
        <v>109995</v>
      </c>
      <c r="G21" s="575"/>
      <c r="H21" s="79">
        <f>+E21</f>
        <v>0.6</v>
      </c>
      <c r="I21" s="578"/>
      <c r="J21" s="578"/>
      <c r="K21" s="580"/>
      <c r="L21" s="572"/>
      <c r="M21" s="573"/>
      <c r="P21" s="37">
        <f t="shared" si="2"/>
        <v>108</v>
      </c>
      <c r="Q21" s="165">
        <f t="shared" si="3"/>
        <v>403279.5</v>
      </c>
      <c r="R21" s="167">
        <f>+'有効抵抗土圧(4P右)'!G220</f>
        <v>3610.6199047578953</v>
      </c>
      <c r="S21" s="167">
        <f>+'有効抵抗土圧(4P右)'!G221</f>
        <v>3820.5500752421058</v>
      </c>
      <c r="U21" s="37">
        <f t="shared" si="0"/>
        <v>108</v>
      </c>
      <c r="V21" s="165">
        <f t="shared" si="0"/>
        <v>403279.5</v>
      </c>
      <c r="W21" s="167">
        <f t="shared" si="1"/>
        <v>9026.5497618947393</v>
      </c>
      <c r="X21" s="167">
        <f t="shared" si="1"/>
        <v>9551.3751881052649</v>
      </c>
    </row>
    <row r="22" spans="4:24" ht="16.5" customHeight="1" x14ac:dyDescent="0.15">
      <c r="D22" s="559" t="s">
        <v>204</v>
      </c>
      <c r="E22" s="565">
        <v>9.5</v>
      </c>
      <c r="F22" s="562">
        <v>103405</v>
      </c>
      <c r="G22" s="576"/>
      <c r="H22" s="79">
        <f>+G20-H20-H21</f>
        <v>0.20000000000000029</v>
      </c>
      <c r="I22" s="579"/>
      <c r="J22" s="579"/>
      <c r="K22" s="546"/>
      <c r="L22" s="572"/>
      <c r="M22" s="573"/>
      <c r="P22" s="37">
        <f t="shared" si="2"/>
        <v>109</v>
      </c>
      <c r="Q22" s="165">
        <f t="shared" si="3"/>
        <v>403279.5</v>
      </c>
      <c r="R22" s="167">
        <f>+'有効抵抗土圧(4P右)'!G222</f>
        <v>3820.5500752421058</v>
      </c>
      <c r="S22" s="167">
        <f>+'有効抵抗土圧(4P右)'!G223</f>
        <v>4030.4802457263168</v>
      </c>
      <c r="U22" s="37">
        <f t="shared" si="0"/>
        <v>109</v>
      </c>
      <c r="V22" s="165">
        <f t="shared" si="0"/>
        <v>403279.5</v>
      </c>
      <c r="W22" s="167">
        <f t="shared" si="1"/>
        <v>9551.3751881052649</v>
      </c>
      <c r="X22" s="167">
        <f t="shared" si="1"/>
        <v>10076.200614315792</v>
      </c>
    </row>
    <row r="23" spans="4:24" ht="16.5" customHeight="1" x14ac:dyDescent="0.15">
      <c r="D23" s="560"/>
      <c r="E23" s="567"/>
      <c r="F23" s="563"/>
      <c r="G23" s="79">
        <f>+G20</f>
        <v>1.3</v>
      </c>
      <c r="H23" s="79"/>
      <c r="I23" s="37">
        <f>+I20+1</f>
        <v>105</v>
      </c>
      <c r="J23" s="37">
        <f>+J20+1</f>
        <v>155</v>
      </c>
      <c r="K23" s="80">
        <f>+F22</f>
        <v>103405</v>
      </c>
      <c r="L23" s="80">
        <f>K23*E3</f>
        <v>134426.5</v>
      </c>
      <c r="M23" s="97">
        <f>L23*E5</f>
        <v>403279.5</v>
      </c>
      <c r="P23" s="37">
        <f t="shared" si="2"/>
        <v>110</v>
      </c>
      <c r="Q23" s="165">
        <f t="shared" si="3"/>
        <v>403279.5</v>
      </c>
      <c r="R23" s="167">
        <f>+'有効抵抗土圧(4P右)'!G224</f>
        <v>4030.4802457263168</v>
      </c>
      <c r="S23" s="167">
        <f>+'有効抵抗土圧(4P右)'!G225</f>
        <v>4240.4104162105268</v>
      </c>
      <c r="U23" s="37">
        <f t="shared" si="0"/>
        <v>110</v>
      </c>
      <c r="V23" s="165">
        <f t="shared" si="0"/>
        <v>403279.5</v>
      </c>
      <c r="W23" s="167">
        <f t="shared" si="1"/>
        <v>10076.200614315792</v>
      </c>
      <c r="X23" s="167">
        <f t="shared" si="1"/>
        <v>10601.026040526318</v>
      </c>
    </row>
    <row r="24" spans="4:24" ht="16.5" customHeight="1" x14ac:dyDescent="0.15">
      <c r="D24" s="560"/>
      <c r="E24" s="567"/>
      <c r="F24" s="563"/>
      <c r="G24" s="79">
        <f>+G23</f>
        <v>1.3</v>
      </c>
      <c r="H24" s="79"/>
      <c r="I24" s="37">
        <f t="shared" ref="I24:J30" si="4">+I23+1</f>
        <v>106</v>
      </c>
      <c r="J24" s="37">
        <f t="shared" si="4"/>
        <v>156</v>
      </c>
      <c r="K24" s="80">
        <f t="shared" ref="K24:K29" si="5">+K23</f>
        <v>103405</v>
      </c>
      <c r="L24" s="80">
        <f>K24*E3</f>
        <v>134426.5</v>
      </c>
      <c r="M24" s="97">
        <f>L24*E5</f>
        <v>403279.5</v>
      </c>
      <c r="P24" s="37">
        <f t="shared" si="2"/>
        <v>111</v>
      </c>
      <c r="Q24" s="165">
        <f t="shared" si="3"/>
        <v>403279.5</v>
      </c>
      <c r="R24" s="167">
        <f>+'有効抵抗土圧(4P右)'!G226</f>
        <v>4240.4104162105268</v>
      </c>
      <c r="S24" s="167">
        <f>+'有効抵抗土圧(4P右)'!G227</f>
        <v>4450.3405866947369</v>
      </c>
      <c r="U24" s="37">
        <f t="shared" si="0"/>
        <v>111</v>
      </c>
      <c r="V24" s="165">
        <f t="shared" si="0"/>
        <v>403279.5</v>
      </c>
      <c r="W24" s="167">
        <f t="shared" si="1"/>
        <v>10601.026040526318</v>
      </c>
      <c r="X24" s="167">
        <f t="shared" si="1"/>
        <v>11125.851466736844</v>
      </c>
    </row>
    <row r="25" spans="4:24" ht="16.5" customHeight="1" x14ac:dyDescent="0.15">
      <c r="D25" s="560"/>
      <c r="E25" s="567"/>
      <c r="F25" s="563"/>
      <c r="G25" s="79">
        <f t="shared" ref="G25:G29" si="6">+G24</f>
        <v>1.3</v>
      </c>
      <c r="H25" s="79"/>
      <c r="I25" s="37">
        <f t="shared" si="4"/>
        <v>107</v>
      </c>
      <c r="J25" s="37">
        <f t="shared" si="4"/>
        <v>157</v>
      </c>
      <c r="K25" s="80">
        <f t="shared" si="5"/>
        <v>103405</v>
      </c>
      <c r="L25" s="80">
        <f>K25*E3</f>
        <v>134426.5</v>
      </c>
      <c r="M25" s="97">
        <f>L25*E5</f>
        <v>403279.5</v>
      </c>
      <c r="P25" s="37">
        <f t="shared" si="2"/>
        <v>112</v>
      </c>
      <c r="Q25" s="165">
        <f>+M30</f>
        <v>225970.49999999994</v>
      </c>
      <c r="R25" s="167">
        <f>+'有効抵抗土圧(4P右)'!G228</f>
        <v>1683.4564832841995</v>
      </c>
      <c r="S25" s="167">
        <f>+'有効抵抗土圧(4P右)'!G229</f>
        <v>1683.4564832841995</v>
      </c>
      <c r="U25" s="37">
        <f t="shared" si="0"/>
        <v>112</v>
      </c>
      <c r="V25" s="165">
        <f t="shared" si="0"/>
        <v>225970.49999999994</v>
      </c>
      <c r="W25" s="167">
        <f t="shared" si="1"/>
        <v>4208.641208210498</v>
      </c>
      <c r="X25" s="167">
        <f t="shared" si="1"/>
        <v>4208.641208210498</v>
      </c>
    </row>
    <row r="26" spans="4:24" ht="16.5" customHeight="1" x14ac:dyDescent="0.15">
      <c r="D26" s="560"/>
      <c r="E26" s="567"/>
      <c r="F26" s="563"/>
      <c r="G26" s="79">
        <f t="shared" si="6"/>
        <v>1.3</v>
      </c>
      <c r="H26" s="79"/>
      <c r="I26" s="37">
        <f t="shared" si="4"/>
        <v>108</v>
      </c>
      <c r="J26" s="37">
        <f t="shared" si="4"/>
        <v>158</v>
      </c>
      <c r="K26" s="80">
        <f t="shared" si="5"/>
        <v>103405</v>
      </c>
      <c r="L26" s="80">
        <f>K26*E3</f>
        <v>134426.5</v>
      </c>
      <c r="M26" s="97">
        <f>L26*E5</f>
        <v>403279.5</v>
      </c>
      <c r="P26" s="37">
        <f t="shared" si="2"/>
        <v>113</v>
      </c>
      <c r="Q26" s="165">
        <f>+M32</f>
        <v>193732.5</v>
      </c>
      <c r="R26" s="167">
        <f>+'有効抵抗土圧(4P右)'!G230</f>
        <v>3088.8</v>
      </c>
      <c r="S26" s="167">
        <f>+'有効抵抗土圧(4P右)'!G231</f>
        <v>3088.8</v>
      </c>
      <c r="U26" s="37">
        <f t="shared" si="0"/>
        <v>113</v>
      </c>
      <c r="V26" s="165">
        <f t="shared" si="0"/>
        <v>193732.5</v>
      </c>
      <c r="W26" s="167">
        <f t="shared" si="1"/>
        <v>3088.8</v>
      </c>
      <c r="X26" s="167">
        <f t="shared" si="1"/>
        <v>3088.8</v>
      </c>
    </row>
    <row r="27" spans="4:24" ht="16.5" customHeight="1" x14ac:dyDescent="0.15">
      <c r="D27" s="560"/>
      <c r="E27" s="567"/>
      <c r="F27" s="563"/>
      <c r="G27" s="79">
        <f t="shared" si="6"/>
        <v>1.3</v>
      </c>
      <c r="H27" s="79"/>
      <c r="I27" s="37">
        <f t="shared" si="4"/>
        <v>109</v>
      </c>
      <c r="J27" s="37">
        <f t="shared" si="4"/>
        <v>159</v>
      </c>
      <c r="K27" s="80">
        <f t="shared" si="5"/>
        <v>103405</v>
      </c>
      <c r="L27" s="80">
        <f>K27*E3</f>
        <v>134426.5</v>
      </c>
      <c r="M27" s="97">
        <f>L27*E5</f>
        <v>403279.5</v>
      </c>
      <c r="P27" s="37">
        <f t="shared" si="2"/>
        <v>114</v>
      </c>
      <c r="Q27" s="165">
        <f t="shared" ref="Q27:Q34" si="7">+M33</f>
        <v>193732.5</v>
      </c>
      <c r="R27" s="167">
        <f>+'有効抵抗土圧(4P右)'!G232</f>
        <v>3088.8</v>
      </c>
      <c r="S27" s="167">
        <f>+'有効抵抗土圧(4P右)'!G233</f>
        <v>3088.8</v>
      </c>
      <c r="U27" s="37">
        <f t="shared" si="0"/>
        <v>114</v>
      </c>
      <c r="V27" s="165">
        <f t="shared" si="0"/>
        <v>193732.5</v>
      </c>
      <c r="W27" s="167">
        <f t="shared" si="1"/>
        <v>3088.8</v>
      </c>
      <c r="X27" s="167">
        <f t="shared" si="1"/>
        <v>3088.8</v>
      </c>
    </row>
    <row r="28" spans="4:24" ht="16.5" customHeight="1" x14ac:dyDescent="0.15">
      <c r="D28" s="560"/>
      <c r="E28" s="567"/>
      <c r="F28" s="563"/>
      <c r="G28" s="79">
        <f t="shared" si="6"/>
        <v>1.3</v>
      </c>
      <c r="H28" s="79"/>
      <c r="I28" s="37">
        <f t="shared" si="4"/>
        <v>110</v>
      </c>
      <c r="J28" s="37">
        <f t="shared" si="4"/>
        <v>160</v>
      </c>
      <c r="K28" s="80">
        <f t="shared" si="5"/>
        <v>103405</v>
      </c>
      <c r="L28" s="80">
        <f>K28*E3</f>
        <v>134426.5</v>
      </c>
      <c r="M28" s="97">
        <f>L28*E5</f>
        <v>403279.5</v>
      </c>
      <c r="P28" s="37">
        <f t="shared" si="2"/>
        <v>115</v>
      </c>
      <c r="Q28" s="165">
        <f t="shared" si="7"/>
        <v>193732.5</v>
      </c>
      <c r="R28" s="167">
        <f>+'有効抵抗土圧(4P右)'!G234</f>
        <v>3088.8</v>
      </c>
      <c r="S28" s="167">
        <f>+'有効抵抗土圧(4P右)'!G235</f>
        <v>3088.8</v>
      </c>
      <c r="U28" s="37">
        <f t="shared" si="0"/>
        <v>115</v>
      </c>
      <c r="V28" s="165">
        <f t="shared" si="0"/>
        <v>193732.5</v>
      </c>
      <c r="W28" s="167">
        <f t="shared" ref="W28:X34" si="8">+R78</f>
        <v>3088.8</v>
      </c>
      <c r="X28" s="167">
        <f t="shared" si="8"/>
        <v>3088.8</v>
      </c>
    </row>
    <row r="29" spans="4:24" ht="16.5" customHeight="1" x14ac:dyDescent="0.15">
      <c r="D29" s="560"/>
      <c r="E29" s="567"/>
      <c r="F29" s="563"/>
      <c r="G29" s="79">
        <f t="shared" si="6"/>
        <v>1.3</v>
      </c>
      <c r="H29" s="79"/>
      <c r="I29" s="37">
        <f t="shared" si="4"/>
        <v>111</v>
      </c>
      <c r="J29" s="37">
        <f t="shared" si="4"/>
        <v>161</v>
      </c>
      <c r="K29" s="80">
        <f t="shared" si="5"/>
        <v>103405</v>
      </c>
      <c r="L29" s="80">
        <f>K29*E3</f>
        <v>134426.5</v>
      </c>
      <c r="M29" s="97">
        <f>L29*E5</f>
        <v>403279.5</v>
      </c>
      <c r="P29" s="37">
        <f t="shared" si="2"/>
        <v>116</v>
      </c>
      <c r="Q29" s="165">
        <f t="shared" si="7"/>
        <v>193732.5</v>
      </c>
      <c r="R29" s="167">
        <f>+'有効抵抗土圧(4P右)'!G236</f>
        <v>3088.8</v>
      </c>
      <c r="S29" s="167">
        <f>+'有効抵抗土圧(4P右)'!G237</f>
        <v>3088.8</v>
      </c>
      <c r="U29" s="37">
        <f t="shared" si="0"/>
        <v>116</v>
      </c>
      <c r="V29" s="165">
        <f t="shared" si="0"/>
        <v>193732.5</v>
      </c>
      <c r="W29" s="167">
        <f t="shared" si="8"/>
        <v>3088.8</v>
      </c>
      <c r="X29" s="167">
        <f t="shared" si="8"/>
        <v>3088.8</v>
      </c>
    </row>
    <row r="30" spans="4:24" ht="16.5" customHeight="1" x14ac:dyDescent="0.15">
      <c r="D30" s="561"/>
      <c r="E30" s="566"/>
      <c r="F30" s="564"/>
      <c r="G30" s="547">
        <f>+G29</f>
        <v>1.3</v>
      </c>
      <c r="H30" s="79">
        <f>+E22-H22-G23-G24-G25-G26-G27-G28-G29</f>
        <v>0.19999999999999973</v>
      </c>
      <c r="I30" s="577">
        <f t="shared" si="4"/>
        <v>112</v>
      </c>
      <c r="J30" s="577">
        <f t="shared" si="4"/>
        <v>162</v>
      </c>
      <c r="K30" s="572">
        <f>(F22*H30+F31*H31)/G30</f>
        <v>57941.153846153829</v>
      </c>
      <c r="L30" s="572">
        <f>K30*E3</f>
        <v>75323.499999999985</v>
      </c>
      <c r="M30" s="573">
        <f>L30*E5</f>
        <v>225970.49999999994</v>
      </c>
      <c r="P30" s="37">
        <f t="shared" si="2"/>
        <v>117</v>
      </c>
      <c r="Q30" s="165">
        <f t="shared" si="7"/>
        <v>193732.5</v>
      </c>
      <c r="R30" s="167">
        <f>+'有効抵抗土圧(4P右)'!G238</f>
        <v>3088.8</v>
      </c>
      <c r="S30" s="167">
        <f>+'有効抵抗土圧(4P右)'!G239</f>
        <v>3088.8</v>
      </c>
      <c r="U30" s="37">
        <f t="shared" si="0"/>
        <v>117</v>
      </c>
      <c r="V30" s="165">
        <f t="shared" si="0"/>
        <v>193732.5</v>
      </c>
      <c r="W30" s="167">
        <f t="shared" si="8"/>
        <v>3088.8</v>
      </c>
      <c r="X30" s="167">
        <f t="shared" si="8"/>
        <v>3088.8</v>
      </c>
    </row>
    <row r="31" spans="4:24" ht="16.5" customHeight="1" x14ac:dyDescent="0.15">
      <c r="D31" s="555" t="s">
        <v>205</v>
      </c>
      <c r="E31" s="570">
        <v>12.6</v>
      </c>
      <c r="F31" s="571">
        <v>49675</v>
      </c>
      <c r="G31" s="548"/>
      <c r="H31" s="79">
        <f>+G30-H30</f>
        <v>1.1000000000000003</v>
      </c>
      <c r="I31" s="579"/>
      <c r="J31" s="579"/>
      <c r="K31" s="572"/>
      <c r="L31" s="572"/>
      <c r="M31" s="573"/>
      <c r="P31" s="37">
        <f t="shared" si="2"/>
        <v>118</v>
      </c>
      <c r="Q31" s="165">
        <f t="shared" si="7"/>
        <v>193732.5</v>
      </c>
      <c r="R31" s="167">
        <f>+'有効抵抗土圧(4P右)'!G240</f>
        <v>3088.8</v>
      </c>
      <c r="S31" s="167">
        <f>+'有効抵抗土圧(4P右)'!G241</f>
        <v>3088.8</v>
      </c>
      <c r="U31" s="37">
        <f t="shared" si="0"/>
        <v>118</v>
      </c>
      <c r="V31" s="165">
        <f t="shared" si="0"/>
        <v>193732.5</v>
      </c>
      <c r="W31" s="167">
        <f t="shared" si="8"/>
        <v>3088.8</v>
      </c>
      <c r="X31" s="167">
        <f t="shared" si="8"/>
        <v>3088.8</v>
      </c>
    </row>
    <row r="32" spans="4:24" ht="16.5" customHeight="1" x14ac:dyDescent="0.15">
      <c r="D32" s="555"/>
      <c r="E32" s="570"/>
      <c r="F32" s="571"/>
      <c r="G32" s="79">
        <f>+G30</f>
        <v>1.3</v>
      </c>
      <c r="H32" s="79"/>
      <c r="I32" s="87">
        <f>+I30+1</f>
        <v>113</v>
      </c>
      <c r="J32" s="87">
        <f>+J30+1</f>
        <v>163</v>
      </c>
      <c r="K32" s="80">
        <f>+F31</f>
        <v>49675</v>
      </c>
      <c r="L32" s="80">
        <f>K32*E3</f>
        <v>64577.5</v>
      </c>
      <c r="M32" s="97">
        <f>L32*E5</f>
        <v>193732.5</v>
      </c>
      <c r="P32" s="37">
        <f t="shared" si="2"/>
        <v>119</v>
      </c>
      <c r="Q32" s="165">
        <f t="shared" si="7"/>
        <v>193732.5</v>
      </c>
      <c r="R32" s="167">
        <f>+'有効抵抗土圧(4P右)'!G242</f>
        <v>3088.8</v>
      </c>
      <c r="S32" s="167">
        <f>+'有効抵抗土圧(4P右)'!G243</f>
        <v>3088.8</v>
      </c>
      <c r="U32" s="37">
        <f t="shared" si="0"/>
        <v>119</v>
      </c>
      <c r="V32" s="165">
        <f t="shared" si="0"/>
        <v>193732.5</v>
      </c>
      <c r="W32" s="167">
        <f t="shared" si="8"/>
        <v>3088.8</v>
      </c>
      <c r="X32" s="167">
        <f t="shared" si="8"/>
        <v>3088.8</v>
      </c>
    </row>
    <row r="33" spans="3:24" ht="16.5" customHeight="1" x14ac:dyDescent="0.15">
      <c r="D33" s="555"/>
      <c r="E33" s="570"/>
      <c r="F33" s="571"/>
      <c r="G33" s="79">
        <f>+G32</f>
        <v>1.3</v>
      </c>
      <c r="H33" s="79"/>
      <c r="I33" s="37">
        <f t="shared" ref="I33:J40" si="9">+I32+1</f>
        <v>114</v>
      </c>
      <c r="J33" s="37">
        <f t="shared" si="9"/>
        <v>164</v>
      </c>
      <c r="K33" s="80">
        <f t="shared" ref="K33:K40" si="10">+K32</f>
        <v>49675</v>
      </c>
      <c r="L33" s="80">
        <f>K33*E3</f>
        <v>64577.5</v>
      </c>
      <c r="M33" s="97">
        <f>L33*E5</f>
        <v>193732.5</v>
      </c>
      <c r="P33" s="37">
        <f t="shared" si="2"/>
        <v>120</v>
      </c>
      <c r="Q33" s="165">
        <f t="shared" si="7"/>
        <v>193732.5</v>
      </c>
      <c r="R33" s="167">
        <f>+'有効抵抗土圧(4P右)'!G244</f>
        <v>3088.8</v>
      </c>
      <c r="S33" s="167">
        <f>+'有効抵抗土圧(4P右)'!G245</f>
        <v>3088.8</v>
      </c>
      <c r="U33" s="37">
        <f t="shared" si="0"/>
        <v>120</v>
      </c>
      <c r="V33" s="165">
        <f t="shared" si="0"/>
        <v>193732.5</v>
      </c>
      <c r="W33" s="167">
        <f t="shared" si="8"/>
        <v>3088.8</v>
      </c>
      <c r="X33" s="167">
        <f t="shared" si="8"/>
        <v>3088.8</v>
      </c>
    </row>
    <row r="34" spans="3:24" ht="16.5" customHeight="1" x14ac:dyDescent="0.15">
      <c r="D34" s="555"/>
      <c r="E34" s="570"/>
      <c r="F34" s="571"/>
      <c r="G34" s="79">
        <f t="shared" ref="G34:G39" si="11">+G33</f>
        <v>1.3</v>
      </c>
      <c r="H34" s="79"/>
      <c r="I34" s="37">
        <f t="shared" si="9"/>
        <v>115</v>
      </c>
      <c r="J34" s="37">
        <f t="shared" si="9"/>
        <v>165</v>
      </c>
      <c r="K34" s="80">
        <f t="shared" si="10"/>
        <v>49675</v>
      </c>
      <c r="L34" s="80">
        <f>K34*E3</f>
        <v>64577.5</v>
      </c>
      <c r="M34" s="97">
        <f>L34*E5</f>
        <v>193732.5</v>
      </c>
      <c r="P34" s="37">
        <f t="shared" si="2"/>
        <v>121</v>
      </c>
      <c r="Q34" s="165">
        <f t="shared" si="7"/>
        <v>193732.5</v>
      </c>
      <c r="R34" s="167">
        <f>+'有効抵抗土圧(4P右)'!G246</f>
        <v>3088.8</v>
      </c>
      <c r="S34" s="167">
        <f>+'有効抵抗土圧(4P右)'!G247</f>
        <v>3088.8</v>
      </c>
      <c r="U34" s="37">
        <f t="shared" si="0"/>
        <v>121</v>
      </c>
      <c r="V34" s="165">
        <f t="shared" si="0"/>
        <v>193732.5</v>
      </c>
      <c r="W34" s="167">
        <f t="shared" si="8"/>
        <v>3088.8</v>
      </c>
      <c r="X34" s="167">
        <f t="shared" si="8"/>
        <v>3088.8</v>
      </c>
    </row>
    <row r="35" spans="3:24" ht="16.5" customHeight="1" x14ac:dyDescent="0.15">
      <c r="D35" s="555"/>
      <c r="E35" s="570"/>
      <c r="F35" s="571"/>
      <c r="G35" s="79">
        <f t="shared" si="11"/>
        <v>1.3</v>
      </c>
      <c r="H35" s="79"/>
      <c r="I35" s="37">
        <f t="shared" si="9"/>
        <v>116</v>
      </c>
      <c r="J35" s="37">
        <f t="shared" si="9"/>
        <v>166</v>
      </c>
      <c r="K35" s="80">
        <f t="shared" si="10"/>
        <v>49675</v>
      </c>
      <c r="L35" s="80">
        <f>K35*E3</f>
        <v>64577.5</v>
      </c>
      <c r="M35" s="97">
        <f>L35*E5</f>
        <v>193732.5</v>
      </c>
      <c r="R35" s="166"/>
      <c r="S35" s="166"/>
      <c r="U35" s="4"/>
      <c r="V35" s="142"/>
      <c r="W35" s="166"/>
      <c r="X35" s="166"/>
    </row>
    <row r="36" spans="3:24" ht="16.5" customHeight="1" x14ac:dyDescent="0.15">
      <c r="D36" s="555"/>
      <c r="E36" s="570"/>
      <c r="F36" s="571"/>
      <c r="G36" s="79">
        <f t="shared" si="11"/>
        <v>1.3</v>
      </c>
      <c r="H36" s="79"/>
      <c r="I36" s="37">
        <f t="shared" si="9"/>
        <v>117</v>
      </c>
      <c r="J36" s="37">
        <f t="shared" si="9"/>
        <v>167</v>
      </c>
      <c r="K36" s="80">
        <f t="shared" si="10"/>
        <v>49675</v>
      </c>
      <c r="L36" s="80">
        <f>K36*E3</f>
        <v>64577.5</v>
      </c>
      <c r="M36" s="97">
        <f>L36*E5</f>
        <v>193732.5</v>
      </c>
      <c r="P36" s="37">
        <f>+I54</f>
        <v>123</v>
      </c>
      <c r="Q36" s="165">
        <f>+M54</f>
        <v>39208</v>
      </c>
      <c r="R36" s="167">
        <f>+'有効抵抗土圧(4P右)'!H200</f>
        <v>1004.78612</v>
      </c>
      <c r="S36" s="167">
        <f>+'有効抵抗土圧(4P右)'!H201</f>
        <v>1129.5698613333332</v>
      </c>
      <c r="U36" s="37">
        <f>+P36</f>
        <v>123</v>
      </c>
      <c r="V36" s="165">
        <f>+Q36</f>
        <v>39208</v>
      </c>
      <c r="W36" s="167">
        <f>+R36</f>
        <v>1004.78612</v>
      </c>
      <c r="X36" s="167">
        <f>+S36</f>
        <v>1129.5698613333332</v>
      </c>
    </row>
    <row r="37" spans="3:24" ht="16.5" customHeight="1" x14ac:dyDescent="0.15">
      <c r="D37" s="555"/>
      <c r="E37" s="570"/>
      <c r="F37" s="571"/>
      <c r="G37" s="79">
        <f t="shared" si="11"/>
        <v>1.3</v>
      </c>
      <c r="H37" s="79"/>
      <c r="I37" s="37">
        <f t="shared" si="9"/>
        <v>118</v>
      </c>
      <c r="J37" s="37">
        <f t="shared" si="9"/>
        <v>168</v>
      </c>
      <c r="K37" s="80">
        <f t="shared" si="10"/>
        <v>49675</v>
      </c>
      <c r="L37" s="80">
        <f>K37*E3</f>
        <v>64577.5</v>
      </c>
      <c r="M37" s="97">
        <f>L37*E5</f>
        <v>193732.5</v>
      </c>
      <c r="P37" s="37">
        <f>+P36+1</f>
        <v>124</v>
      </c>
      <c r="Q37" s="165">
        <f>+M55</f>
        <v>181389.6</v>
      </c>
      <c r="R37" s="167">
        <f>+'有効抵抗土圧(4P右)'!H202</f>
        <v>1718.4082093333332</v>
      </c>
      <c r="S37" s="167">
        <f>+'有効抵抗土圧(4P右)'!H203</f>
        <v>1718.4082093333332</v>
      </c>
      <c r="U37" s="37">
        <f t="shared" ref="U37:X59" si="12">+P37</f>
        <v>124</v>
      </c>
      <c r="V37" s="165">
        <f t="shared" si="12"/>
        <v>181389.6</v>
      </c>
      <c r="W37" s="167">
        <f t="shared" si="12"/>
        <v>1718.4082093333332</v>
      </c>
      <c r="X37" s="167">
        <f t="shared" si="12"/>
        <v>1718.4082093333332</v>
      </c>
    </row>
    <row r="38" spans="3:24" ht="16.5" customHeight="1" x14ac:dyDescent="0.15">
      <c r="D38" s="555"/>
      <c r="E38" s="570"/>
      <c r="F38" s="571"/>
      <c r="G38" s="79">
        <f t="shared" si="11"/>
        <v>1.3</v>
      </c>
      <c r="H38" s="79"/>
      <c r="I38" s="37">
        <f t="shared" si="9"/>
        <v>119</v>
      </c>
      <c r="J38" s="37">
        <f t="shared" si="9"/>
        <v>169</v>
      </c>
      <c r="K38" s="80">
        <f t="shared" si="10"/>
        <v>49675</v>
      </c>
      <c r="L38" s="80">
        <f>K38*E3</f>
        <v>64577.5</v>
      </c>
      <c r="M38" s="97">
        <f>L38*E5</f>
        <v>193732.5</v>
      </c>
      <c r="P38" s="37">
        <f t="shared" ref="P38:P59" si="13">+P37+1</f>
        <v>125</v>
      </c>
      <c r="Q38" s="165">
        <f>+M57</f>
        <v>94334.599999999977</v>
      </c>
      <c r="R38" s="167">
        <f>+'有効抵抗土圧(4P右)'!H204</f>
        <v>784.20599999999968</v>
      </c>
      <c r="S38" s="167">
        <f>+'有効抵抗土圧(4P右)'!H205</f>
        <v>784.20599999999968</v>
      </c>
      <c r="U38" s="37">
        <f t="shared" si="12"/>
        <v>125</v>
      </c>
      <c r="V38" s="165">
        <f t="shared" si="12"/>
        <v>94334.599999999977</v>
      </c>
      <c r="W38" s="167">
        <f t="shared" si="12"/>
        <v>784.20599999999968</v>
      </c>
      <c r="X38" s="167">
        <f t="shared" si="12"/>
        <v>784.20599999999968</v>
      </c>
    </row>
    <row r="39" spans="3:24" ht="16.5" customHeight="1" x14ac:dyDescent="0.15">
      <c r="D39" s="555"/>
      <c r="E39" s="570"/>
      <c r="F39" s="571"/>
      <c r="G39" s="79">
        <f t="shared" si="11"/>
        <v>1.3</v>
      </c>
      <c r="H39" s="79"/>
      <c r="I39" s="37">
        <f t="shared" si="9"/>
        <v>120</v>
      </c>
      <c r="J39" s="37">
        <f t="shared" si="9"/>
        <v>170</v>
      </c>
      <c r="K39" s="80">
        <f t="shared" si="10"/>
        <v>49675</v>
      </c>
      <c r="L39" s="80">
        <f>K39*E3</f>
        <v>64577.5</v>
      </c>
      <c r="M39" s="97">
        <f>L39*E5</f>
        <v>193732.5</v>
      </c>
      <c r="P39" s="37">
        <f t="shared" si="13"/>
        <v>126</v>
      </c>
      <c r="Q39" s="165">
        <f>+M59</f>
        <v>73806.2</v>
      </c>
      <c r="R39" s="167">
        <f>+'有効抵抗土圧(4P右)'!H206</f>
        <v>577.98</v>
      </c>
      <c r="S39" s="167">
        <f>+'有効抵抗土圧(4P右)'!H207</f>
        <v>577.98</v>
      </c>
      <c r="U39" s="37">
        <f t="shared" si="12"/>
        <v>126</v>
      </c>
      <c r="V39" s="165">
        <f t="shared" si="12"/>
        <v>73806.2</v>
      </c>
      <c r="W39" s="167">
        <f t="shared" si="12"/>
        <v>577.98</v>
      </c>
      <c r="X39" s="167">
        <f t="shared" si="12"/>
        <v>577.98</v>
      </c>
    </row>
    <row r="40" spans="3:24" ht="16.5" customHeight="1" x14ac:dyDescent="0.15">
      <c r="D40" s="555"/>
      <c r="E40" s="570"/>
      <c r="F40" s="571"/>
      <c r="G40" s="140">
        <f>E31-H31-SUM(G32:H39)</f>
        <v>1.0999999999999996</v>
      </c>
      <c r="H40" s="79"/>
      <c r="I40" s="37">
        <f t="shared" si="9"/>
        <v>121</v>
      </c>
      <c r="J40" s="37">
        <f t="shared" si="9"/>
        <v>171</v>
      </c>
      <c r="K40" s="80">
        <f t="shared" si="10"/>
        <v>49675</v>
      </c>
      <c r="L40" s="80">
        <f>K40*E3</f>
        <v>64577.5</v>
      </c>
      <c r="M40" s="97">
        <f>L40*E5</f>
        <v>193732.5</v>
      </c>
      <c r="P40" s="37">
        <f t="shared" si="13"/>
        <v>127</v>
      </c>
      <c r="Q40" s="165">
        <f>+M60</f>
        <v>110299.20000000003</v>
      </c>
      <c r="R40" s="167">
        <f>+'有効抵抗土圧(4P右)'!H208</f>
        <v>1504.0916800000009</v>
      </c>
      <c r="S40" s="167">
        <f>+'有効抵抗土圧(4P右)'!H209</f>
        <v>1504.0916800000009</v>
      </c>
      <c r="U40" s="37">
        <f t="shared" si="12"/>
        <v>127</v>
      </c>
      <c r="V40" s="165">
        <f t="shared" si="12"/>
        <v>110299.20000000003</v>
      </c>
      <c r="W40" s="167">
        <f t="shared" si="12"/>
        <v>1504.0916800000009</v>
      </c>
      <c r="X40" s="167">
        <f t="shared" si="12"/>
        <v>1504.0916800000009</v>
      </c>
    </row>
    <row r="41" spans="3:24" ht="16.5" customHeight="1" x14ac:dyDescent="0.15">
      <c r="D41" s="89" t="s">
        <v>228</v>
      </c>
      <c r="E41" s="86">
        <f>SUM(E11:E40)</f>
        <v>31</v>
      </c>
      <c r="F41" s="86"/>
      <c r="G41" s="86">
        <f>SUM(G11:G40)</f>
        <v>31.000000000000007</v>
      </c>
      <c r="H41" s="334"/>
      <c r="I41" s="327"/>
      <c r="J41" s="327"/>
      <c r="K41" s="327"/>
      <c r="L41" s="327"/>
      <c r="M41" s="328"/>
      <c r="P41" s="37">
        <f t="shared" si="13"/>
        <v>128</v>
      </c>
      <c r="Q41" s="165">
        <f>+M62</f>
        <v>179236.2</v>
      </c>
      <c r="R41" s="167">
        <f>+'有効抵抗土圧(4P右)'!H210</f>
        <v>2136.3425200000001</v>
      </c>
      <c r="S41" s="167">
        <f>+'有効抵抗土圧(4P右)'!H211</f>
        <v>2309.9933999999998</v>
      </c>
      <c r="U41" s="37">
        <f t="shared" si="12"/>
        <v>128</v>
      </c>
      <c r="V41" s="165">
        <f t="shared" si="12"/>
        <v>179236.2</v>
      </c>
      <c r="W41" s="167">
        <f t="shared" si="12"/>
        <v>2136.3425200000001</v>
      </c>
      <c r="X41" s="167">
        <f t="shared" si="12"/>
        <v>2309.9933999999998</v>
      </c>
    </row>
    <row r="42" spans="3:24" ht="16.5" customHeight="1" x14ac:dyDescent="0.15">
      <c r="I42" s="3"/>
      <c r="P42" s="37">
        <f t="shared" si="13"/>
        <v>129</v>
      </c>
      <c r="Q42" s="165">
        <f>+M63</f>
        <v>242293.00000000003</v>
      </c>
      <c r="R42" s="167">
        <f>+'有効抵抗土圧(4P右)'!H212</f>
        <v>2281.3413999999998</v>
      </c>
      <c r="S42" s="167">
        <f>+'有効抵抗土圧(4P右)'!H213</f>
        <v>2281.3413999999998</v>
      </c>
      <c r="U42" s="37">
        <f t="shared" si="12"/>
        <v>129</v>
      </c>
      <c r="V42" s="165">
        <f t="shared" si="12"/>
        <v>242293.00000000003</v>
      </c>
      <c r="W42" s="167">
        <f t="shared" si="12"/>
        <v>2281.3413999999998</v>
      </c>
      <c r="X42" s="167">
        <f t="shared" si="12"/>
        <v>2281.3413999999998</v>
      </c>
    </row>
    <row r="43" spans="3:24" ht="16.5" customHeight="1" x14ac:dyDescent="0.15">
      <c r="P43" s="37">
        <f t="shared" si="13"/>
        <v>130</v>
      </c>
      <c r="Q43" s="165">
        <f t="shared" ref="Q43:Q50" si="14">+M66</f>
        <v>268853</v>
      </c>
      <c r="R43" s="167">
        <f>+'有効抵抗土圧(4P右)'!H214</f>
        <v>2714.9733000000015</v>
      </c>
      <c r="S43" s="167">
        <f>+'有効抵抗土圧(4P右)'!H215</f>
        <v>2714.9733000000015</v>
      </c>
      <c r="U43" s="37">
        <f t="shared" si="12"/>
        <v>130</v>
      </c>
      <c r="V43" s="165">
        <f t="shared" si="12"/>
        <v>268853</v>
      </c>
      <c r="W43" s="167">
        <f t="shared" si="12"/>
        <v>2714.9733000000015</v>
      </c>
      <c r="X43" s="167">
        <f t="shared" si="12"/>
        <v>2714.9733000000015</v>
      </c>
    </row>
    <row r="44" spans="3:24" ht="16.5" customHeight="1" x14ac:dyDescent="0.15">
      <c r="P44" s="37">
        <f t="shared" si="13"/>
        <v>131</v>
      </c>
      <c r="Q44" s="165">
        <f t="shared" si="14"/>
        <v>268853</v>
      </c>
      <c r="R44" s="167">
        <f>+'有効抵抗土圧(4P右)'!H216</f>
        <v>2756.6198400000007</v>
      </c>
      <c r="S44" s="167">
        <f>+'有効抵抗土圧(4P右)'!H217</f>
        <v>2937.9865840000002</v>
      </c>
      <c r="U44" s="37">
        <f t="shared" si="12"/>
        <v>131</v>
      </c>
      <c r="V44" s="165">
        <f t="shared" si="12"/>
        <v>268853</v>
      </c>
      <c r="W44" s="167">
        <f t="shared" si="12"/>
        <v>2756.6198400000007</v>
      </c>
      <c r="X44" s="167">
        <f t="shared" si="12"/>
        <v>2937.9865840000002</v>
      </c>
    </row>
    <row r="45" spans="3:24" ht="16.5" customHeight="1" x14ac:dyDescent="0.15">
      <c r="C45" s="18" t="s">
        <v>223</v>
      </c>
      <c r="D45" s="17" t="s">
        <v>224</v>
      </c>
      <c r="P45" s="37">
        <f t="shared" si="13"/>
        <v>132</v>
      </c>
      <c r="Q45" s="165">
        <f t="shared" si="14"/>
        <v>268853</v>
      </c>
      <c r="R45" s="167">
        <f>+'有効抵抗土圧(4P右)'!H218</f>
        <v>2937.9865840000002</v>
      </c>
      <c r="S45" s="167">
        <f>+'有効抵抗土圧(4P右)'!H219</f>
        <v>3119.3533280000006</v>
      </c>
      <c r="U45" s="37">
        <f t="shared" si="12"/>
        <v>132</v>
      </c>
      <c r="V45" s="165">
        <f t="shared" si="12"/>
        <v>268853</v>
      </c>
      <c r="W45" s="167">
        <f t="shared" si="12"/>
        <v>2937.9865840000002</v>
      </c>
      <c r="X45" s="167">
        <f t="shared" si="12"/>
        <v>3119.3533280000006</v>
      </c>
    </row>
    <row r="46" spans="3:24" ht="16.5" customHeight="1" x14ac:dyDescent="0.15">
      <c r="D46" s="17" t="s">
        <v>202</v>
      </c>
      <c r="E46" s="68">
        <f>+E3</f>
        <v>1.3</v>
      </c>
      <c r="F46" s="17" t="s">
        <v>29</v>
      </c>
      <c r="P46" s="37">
        <f t="shared" si="13"/>
        <v>133</v>
      </c>
      <c r="Q46" s="165">
        <f t="shared" si="14"/>
        <v>268853</v>
      </c>
      <c r="R46" s="167">
        <f>+'有効抵抗土圧(4P右)'!H220</f>
        <v>3119.3533280000006</v>
      </c>
      <c r="S46" s="167">
        <f>+'有効抵抗土圧(4P右)'!H221</f>
        <v>3300.720072000001</v>
      </c>
      <c r="U46" s="37">
        <f t="shared" si="12"/>
        <v>133</v>
      </c>
      <c r="V46" s="165">
        <f t="shared" si="12"/>
        <v>268853</v>
      </c>
      <c r="W46" s="167">
        <f t="shared" si="12"/>
        <v>3119.3533280000006</v>
      </c>
      <c r="X46" s="167">
        <f t="shared" si="12"/>
        <v>3300.720072000001</v>
      </c>
    </row>
    <row r="47" spans="3:24" ht="16.5" customHeight="1" x14ac:dyDescent="0.15">
      <c r="D47" s="17" t="s">
        <v>207</v>
      </c>
      <c r="E47" s="68">
        <f>+E4</f>
        <v>31</v>
      </c>
      <c r="F47" s="17" t="s">
        <v>29</v>
      </c>
      <c r="P47" s="37">
        <f t="shared" si="13"/>
        <v>134</v>
      </c>
      <c r="Q47" s="165">
        <f t="shared" si="14"/>
        <v>268853</v>
      </c>
      <c r="R47" s="167">
        <f>+'有効抵抗土圧(4P右)'!H222</f>
        <v>3300.720072000001</v>
      </c>
      <c r="S47" s="167">
        <f>+'有効抵抗土圧(4P右)'!H223</f>
        <v>3482.0868160000005</v>
      </c>
      <c r="U47" s="37">
        <f t="shared" si="12"/>
        <v>134</v>
      </c>
      <c r="V47" s="165">
        <f t="shared" si="12"/>
        <v>268853</v>
      </c>
      <c r="W47" s="167">
        <f t="shared" si="12"/>
        <v>3300.720072000001</v>
      </c>
      <c r="X47" s="167">
        <f t="shared" si="12"/>
        <v>3482.0868160000005</v>
      </c>
    </row>
    <row r="48" spans="3:24" ht="16.5" customHeight="1" x14ac:dyDescent="0.15">
      <c r="D48" s="17" t="s">
        <v>200</v>
      </c>
      <c r="E48" s="77">
        <v>2</v>
      </c>
      <c r="F48" s="17" t="s">
        <v>206</v>
      </c>
      <c r="P48" s="37">
        <f t="shared" si="13"/>
        <v>135</v>
      </c>
      <c r="Q48" s="165">
        <f t="shared" si="14"/>
        <v>268853</v>
      </c>
      <c r="R48" s="167">
        <f>+'有効抵抗土圧(4P右)'!H224</f>
        <v>3482.0868160000005</v>
      </c>
      <c r="S48" s="167">
        <f>+'有効抵抗土圧(4P右)'!H225</f>
        <v>3663.4535600000004</v>
      </c>
      <c r="U48" s="37">
        <f t="shared" si="12"/>
        <v>135</v>
      </c>
      <c r="V48" s="165">
        <f t="shared" si="12"/>
        <v>268853</v>
      </c>
      <c r="W48" s="167">
        <f t="shared" si="12"/>
        <v>3482.0868160000005</v>
      </c>
      <c r="X48" s="167">
        <f t="shared" si="12"/>
        <v>3663.4535600000004</v>
      </c>
    </row>
    <row r="49" spans="4:24" ht="16.5" customHeight="1" x14ac:dyDescent="0.15">
      <c r="D49" s="376" t="s">
        <v>199</v>
      </c>
      <c r="E49" s="549" t="s">
        <v>229</v>
      </c>
      <c r="F49" s="552" t="s">
        <v>236</v>
      </c>
      <c r="G49" s="362" t="s">
        <v>237</v>
      </c>
      <c r="H49" s="363"/>
      <c r="I49" s="368" t="s">
        <v>201</v>
      </c>
      <c r="J49" s="370"/>
      <c r="K49" s="549" t="s">
        <v>238</v>
      </c>
      <c r="L49" s="362" t="s">
        <v>239</v>
      </c>
      <c r="M49" s="363"/>
      <c r="P49" s="37">
        <f t="shared" si="13"/>
        <v>136</v>
      </c>
      <c r="Q49" s="165">
        <f t="shared" si="14"/>
        <v>268853</v>
      </c>
      <c r="R49" s="167">
        <f>+'有効抵抗土圧(4P右)'!H226</f>
        <v>3663.4535600000004</v>
      </c>
      <c r="S49" s="167">
        <f>+'有効抵抗土圧(4P右)'!H227</f>
        <v>3844.8203040000008</v>
      </c>
      <c r="U49" s="37">
        <f t="shared" si="12"/>
        <v>136</v>
      </c>
      <c r="V49" s="165">
        <f t="shared" si="12"/>
        <v>268853</v>
      </c>
      <c r="W49" s="167">
        <f t="shared" si="12"/>
        <v>3663.4535600000004</v>
      </c>
      <c r="X49" s="167">
        <f t="shared" si="12"/>
        <v>3844.8203040000008</v>
      </c>
    </row>
    <row r="50" spans="4:24" ht="16.5" customHeight="1" x14ac:dyDescent="0.15">
      <c r="D50" s="376"/>
      <c r="E50" s="550"/>
      <c r="F50" s="553"/>
      <c r="G50" s="364"/>
      <c r="H50" s="365"/>
      <c r="I50" s="371"/>
      <c r="J50" s="372"/>
      <c r="K50" s="550"/>
      <c r="L50" s="364"/>
      <c r="M50" s="365"/>
      <c r="P50" s="37">
        <f t="shared" si="13"/>
        <v>137</v>
      </c>
      <c r="Q50" s="165">
        <f t="shared" si="14"/>
        <v>150646.99999999997</v>
      </c>
      <c r="R50" s="167">
        <f>+'有効抵抗土圧(4P右)'!H228</f>
        <v>1454.4027679999906</v>
      </c>
      <c r="S50" s="167">
        <f>+'有効抵抗土圧(4P右)'!H229</f>
        <v>1454.4027679999906</v>
      </c>
      <c r="U50" s="37">
        <f t="shared" si="12"/>
        <v>137</v>
      </c>
      <c r="V50" s="165">
        <f t="shared" si="12"/>
        <v>150646.99999999997</v>
      </c>
      <c r="W50" s="167">
        <f t="shared" si="12"/>
        <v>1454.4027679999906</v>
      </c>
      <c r="X50" s="167">
        <f t="shared" si="12"/>
        <v>1454.4027679999906</v>
      </c>
    </row>
    <row r="51" spans="4:24" ht="16.5" customHeight="1" x14ac:dyDescent="0.15">
      <c r="D51" s="376"/>
      <c r="E51" s="550"/>
      <c r="F51" s="553"/>
      <c r="G51" s="364"/>
      <c r="H51" s="365"/>
      <c r="I51" s="371"/>
      <c r="J51" s="372"/>
      <c r="K51" s="550"/>
      <c r="L51" s="364"/>
      <c r="M51" s="365"/>
      <c r="P51" s="37">
        <f t="shared" si="13"/>
        <v>138</v>
      </c>
      <c r="Q51" s="165">
        <f t="shared" ref="Q51:Q59" si="15">+M75</f>
        <v>129155</v>
      </c>
      <c r="R51" s="167">
        <f>+'有効抵抗土圧(4P右)'!H230</f>
        <v>2059.2000000000003</v>
      </c>
      <c r="S51" s="167">
        <f>+'有効抵抗土圧(4P右)'!H231</f>
        <v>2059.2000000000003</v>
      </c>
      <c r="U51" s="37">
        <f t="shared" si="12"/>
        <v>138</v>
      </c>
      <c r="V51" s="165">
        <f t="shared" si="12"/>
        <v>129155</v>
      </c>
      <c r="W51" s="167">
        <f t="shared" si="12"/>
        <v>2059.2000000000003</v>
      </c>
      <c r="X51" s="167">
        <f t="shared" si="12"/>
        <v>2059.2000000000003</v>
      </c>
    </row>
    <row r="52" spans="4:24" ht="16.5" customHeight="1" x14ac:dyDescent="0.15">
      <c r="D52" s="376"/>
      <c r="E52" s="550"/>
      <c r="F52" s="553"/>
      <c r="G52" s="364"/>
      <c r="H52" s="365"/>
      <c r="I52" s="371"/>
      <c r="J52" s="372"/>
      <c r="K52" s="550"/>
      <c r="L52" s="366"/>
      <c r="M52" s="367"/>
      <c r="P52" s="37">
        <f t="shared" si="13"/>
        <v>139</v>
      </c>
      <c r="Q52" s="165">
        <f t="shared" si="15"/>
        <v>129155</v>
      </c>
      <c r="R52" s="167">
        <f>+'有効抵抗土圧(4P右)'!H232</f>
        <v>2059.2000000000003</v>
      </c>
      <c r="S52" s="167">
        <f>+'有効抵抗土圧(4P右)'!H233</f>
        <v>2059.2000000000003</v>
      </c>
      <c r="U52" s="37">
        <f t="shared" si="12"/>
        <v>139</v>
      </c>
      <c r="V52" s="165">
        <f t="shared" si="12"/>
        <v>129155</v>
      </c>
      <c r="W52" s="167">
        <f t="shared" si="12"/>
        <v>2059.2000000000003</v>
      </c>
      <c r="X52" s="167">
        <f t="shared" si="12"/>
        <v>2059.2000000000003</v>
      </c>
    </row>
    <row r="53" spans="4:24" ht="16.5" customHeight="1" x14ac:dyDescent="0.15">
      <c r="D53" s="376"/>
      <c r="E53" s="551"/>
      <c r="F53" s="554"/>
      <c r="G53" s="366"/>
      <c r="H53" s="367"/>
      <c r="I53" s="356"/>
      <c r="J53" s="357"/>
      <c r="K53" s="551"/>
      <c r="L53" s="69" t="s">
        <v>208</v>
      </c>
      <c r="M53" s="96">
        <f>+E48</f>
        <v>2</v>
      </c>
      <c r="P53" s="37">
        <f t="shared" si="13"/>
        <v>140</v>
      </c>
      <c r="Q53" s="165">
        <f t="shared" si="15"/>
        <v>129155</v>
      </c>
      <c r="R53" s="167">
        <f>+'有効抵抗土圧(4P右)'!H234</f>
        <v>2059.2000000000003</v>
      </c>
      <c r="S53" s="167">
        <f>+'有効抵抗土圧(4P右)'!H235</f>
        <v>2059.2000000000003</v>
      </c>
      <c r="U53" s="37">
        <f t="shared" si="12"/>
        <v>140</v>
      </c>
      <c r="V53" s="165">
        <f t="shared" si="12"/>
        <v>129155</v>
      </c>
      <c r="W53" s="167">
        <f t="shared" si="12"/>
        <v>2059.2000000000003</v>
      </c>
      <c r="X53" s="167">
        <f t="shared" si="12"/>
        <v>2059.2000000000003</v>
      </c>
    </row>
    <row r="54" spans="4:24" ht="16.5" customHeight="1" x14ac:dyDescent="0.15">
      <c r="D54" s="555" t="s">
        <v>16</v>
      </c>
      <c r="E54" s="556">
        <f>+E11</f>
        <v>1.5</v>
      </c>
      <c r="F54" s="544">
        <f>+F11</f>
        <v>15080</v>
      </c>
      <c r="G54" s="79">
        <f>+E46</f>
        <v>1.3</v>
      </c>
      <c r="H54" s="79"/>
      <c r="I54" s="104">
        <v>123</v>
      </c>
      <c r="J54" s="74"/>
      <c r="K54" s="80">
        <f>+F54</f>
        <v>15080</v>
      </c>
      <c r="L54" s="80">
        <f>K54*E46</f>
        <v>19604</v>
      </c>
      <c r="M54" s="97">
        <f>L54*E48</f>
        <v>39208</v>
      </c>
      <c r="P54" s="37">
        <f t="shared" si="13"/>
        <v>141</v>
      </c>
      <c r="Q54" s="165">
        <f t="shared" si="15"/>
        <v>129155</v>
      </c>
      <c r="R54" s="167">
        <f>+'有効抵抗土圧(4P右)'!H236</f>
        <v>2059.2000000000003</v>
      </c>
      <c r="S54" s="167">
        <f>+'有効抵抗土圧(4P右)'!H237</f>
        <v>2059.2000000000003</v>
      </c>
      <c r="U54" s="37">
        <f t="shared" si="12"/>
        <v>141</v>
      </c>
      <c r="V54" s="165">
        <f t="shared" si="12"/>
        <v>129155</v>
      </c>
      <c r="W54" s="167">
        <f t="shared" si="12"/>
        <v>2059.2000000000003</v>
      </c>
      <c r="X54" s="167">
        <f t="shared" si="12"/>
        <v>2059.2000000000003</v>
      </c>
    </row>
    <row r="55" spans="4:24" ht="16.5" customHeight="1" x14ac:dyDescent="0.15">
      <c r="D55" s="555"/>
      <c r="E55" s="556"/>
      <c r="F55" s="544"/>
      <c r="G55" s="547">
        <f>+G54</f>
        <v>1.3</v>
      </c>
      <c r="H55" s="79">
        <f>+E54-G54</f>
        <v>0.19999999999999996</v>
      </c>
      <c r="I55" s="393">
        <f>+I54+1</f>
        <v>124</v>
      </c>
      <c r="J55" s="393"/>
      <c r="K55" s="572">
        <f>(F54*H55+F56*H56)/G55</f>
        <v>69765.230769230766</v>
      </c>
      <c r="L55" s="572">
        <f>K55*E46</f>
        <v>90694.8</v>
      </c>
      <c r="M55" s="573">
        <f>L55*E48</f>
        <v>181389.6</v>
      </c>
      <c r="P55" s="37">
        <f t="shared" si="13"/>
        <v>142</v>
      </c>
      <c r="Q55" s="165">
        <f t="shared" si="15"/>
        <v>129155</v>
      </c>
      <c r="R55" s="167">
        <f>+'有効抵抗土圧(4P右)'!H238</f>
        <v>2059.2000000000003</v>
      </c>
      <c r="S55" s="167">
        <f>+'有効抵抗土圧(4P右)'!H239</f>
        <v>2059.2000000000003</v>
      </c>
      <c r="U55" s="37">
        <f t="shared" si="12"/>
        <v>142</v>
      </c>
      <c r="V55" s="165">
        <f t="shared" si="12"/>
        <v>129155</v>
      </c>
      <c r="W55" s="167">
        <f t="shared" si="12"/>
        <v>2059.2000000000003</v>
      </c>
      <c r="X55" s="167">
        <f t="shared" si="12"/>
        <v>2059.2000000000003</v>
      </c>
    </row>
    <row r="56" spans="4:24" ht="16.5" customHeight="1" x14ac:dyDescent="0.15">
      <c r="D56" s="555" t="s">
        <v>17</v>
      </c>
      <c r="E56" s="556">
        <f>+E13</f>
        <v>1.3</v>
      </c>
      <c r="F56" s="544">
        <f>+F13</f>
        <v>79708</v>
      </c>
      <c r="G56" s="548"/>
      <c r="H56" s="79">
        <f>+G55-H55</f>
        <v>1.1000000000000001</v>
      </c>
      <c r="I56" s="393"/>
      <c r="J56" s="393"/>
      <c r="K56" s="572"/>
      <c r="L56" s="572"/>
      <c r="M56" s="573"/>
      <c r="P56" s="37">
        <f t="shared" si="13"/>
        <v>143</v>
      </c>
      <c r="Q56" s="165">
        <f t="shared" si="15"/>
        <v>129155</v>
      </c>
      <c r="R56" s="167">
        <f>+'有効抵抗土圧(4P右)'!H240</f>
        <v>2059.2000000000003</v>
      </c>
      <c r="S56" s="167">
        <f>+'有効抵抗土圧(4P右)'!H241</f>
        <v>2059.2000000000003</v>
      </c>
      <c r="U56" s="37">
        <f t="shared" si="12"/>
        <v>143</v>
      </c>
      <c r="V56" s="165">
        <f t="shared" si="12"/>
        <v>129155</v>
      </c>
      <c r="W56" s="167">
        <f t="shared" si="12"/>
        <v>2059.2000000000003</v>
      </c>
      <c r="X56" s="167">
        <f t="shared" si="12"/>
        <v>2059.2000000000003</v>
      </c>
    </row>
    <row r="57" spans="4:24" ht="16.5" customHeight="1" x14ac:dyDescent="0.15">
      <c r="D57" s="555"/>
      <c r="E57" s="556"/>
      <c r="F57" s="544"/>
      <c r="G57" s="547">
        <f>+G55</f>
        <v>1.3</v>
      </c>
      <c r="H57" s="79">
        <f>+E56-H56</f>
        <v>0.19999999999999996</v>
      </c>
      <c r="I57" s="393">
        <f>+I55+1</f>
        <v>125</v>
      </c>
      <c r="J57" s="393"/>
      <c r="K57" s="572">
        <f>(F56*H57+F58*H58)/G57</f>
        <v>36282.538461538454</v>
      </c>
      <c r="L57" s="572">
        <f>K57*E46</f>
        <v>47167.299999999988</v>
      </c>
      <c r="M57" s="573">
        <f>L57*E48</f>
        <v>94334.599999999977</v>
      </c>
      <c r="P57" s="37">
        <f t="shared" si="13"/>
        <v>144</v>
      </c>
      <c r="Q57" s="165">
        <f t="shared" si="15"/>
        <v>129155</v>
      </c>
      <c r="R57" s="167">
        <f>+'有効抵抗土圧(4P右)'!H242</f>
        <v>2059.2000000000003</v>
      </c>
      <c r="S57" s="167">
        <f>+'有効抵抗土圧(4P右)'!H243</f>
        <v>2059.2000000000003</v>
      </c>
      <c r="U57" s="37">
        <f t="shared" si="12"/>
        <v>144</v>
      </c>
      <c r="V57" s="165">
        <f t="shared" si="12"/>
        <v>129155</v>
      </c>
      <c r="W57" s="167">
        <f t="shared" si="12"/>
        <v>2059.2000000000003</v>
      </c>
      <c r="X57" s="167">
        <f t="shared" si="12"/>
        <v>2059.2000000000003</v>
      </c>
    </row>
    <row r="58" spans="4:24" ht="16.5" customHeight="1" x14ac:dyDescent="0.15">
      <c r="D58" s="555" t="s">
        <v>18</v>
      </c>
      <c r="E58" s="556">
        <f>+E15</f>
        <v>2.9</v>
      </c>
      <c r="F58" s="544">
        <f>+F15</f>
        <v>28387</v>
      </c>
      <c r="G58" s="548"/>
      <c r="H58" s="79">
        <f>+G57-H57</f>
        <v>1.1000000000000001</v>
      </c>
      <c r="I58" s="393"/>
      <c r="J58" s="393"/>
      <c r="K58" s="572"/>
      <c r="L58" s="572"/>
      <c r="M58" s="573"/>
      <c r="P58" s="37">
        <f t="shared" si="13"/>
        <v>145</v>
      </c>
      <c r="Q58" s="165">
        <f t="shared" si="15"/>
        <v>129155</v>
      </c>
      <c r="R58" s="167">
        <f>+'有効抵抗土圧(4P右)'!H244</f>
        <v>2059.2000000000003</v>
      </c>
      <c r="S58" s="167">
        <f>+'有効抵抗土圧(4P右)'!H245</f>
        <v>2059.2000000000003</v>
      </c>
      <c r="U58" s="37">
        <f t="shared" si="12"/>
        <v>145</v>
      </c>
      <c r="V58" s="165">
        <f t="shared" si="12"/>
        <v>129155</v>
      </c>
      <c r="W58" s="167">
        <f t="shared" si="12"/>
        <v>2059.2000000000003</v>
      </c>
      <c r="X58" s="167">
        <f t="shared" si="12"/>
        <v>2059.2000000000003</v>
      </c>
    </row>
    <row r="59" spans="4:24" ht="16.5" customHeight="1" x14ac:dyDescent="0.15">
      <c r="D59" s="555"/>
      <c r="E59" s="556"/>
      <c r="F59" s="544"/>
      <c r="G59" s="79">
        <f>+G57</f>
        <v>1.3</v>
      </c>
      <c r="H59" s="79"/>
      <c r="I59" s="37">
        <f>+I57+1</f>
        <v>126</v>
      </c>
      <c r="J59" s="37"/>
      <c r="K59" s="80">
        <f>+F58</f>
        <v>28387</v>
      </c>
      <c r="L59" s="80">
        <f>K59*E46</f>
        <v>36903.1</v>
      </c>
      <c r="M59" s="97">
        <f>L59*E48</f>
        <v>73806.2</v>
      </c>
      <c r="P59" s="37">
        <f t="shared" si="13"/>
        <v>146</v>
      </c>
      <c r="Q59" s="165">
        <f t="shared" si="15"/>
        <v>129155</v>
      </c>
      <c r="R59" s="167">
        <f>+'有効抵抗土圧(4P右)'!H246</f>
        <v>2059.2000000000003</v>
      </c>
      <c r="S59" s="167">
        <f>+'有効抵抗土圧(4P右)'!H247</f>
        <v>2059.2000000000003</v>
      </c>
      <c r="U59" s="37">
        <f t="shared" si="12"/>
        <v>146</v>
      </c>
      <c r="V59" s="165">
        <f t="shared" si="12"/>
        <v>129155</v>
      </c>
      <c r="W59" s="167">
        <f t="shared" si="12"/>
        <v>2059.2000000000003</v>
      </c>
      <c r="X59" s="167">
        <f t="shared" si="12"/>
        <v>2059.2000000000003</v>
      </c>
    </row>
    <row r="60" spans="4:24" ht="16.5" customHeight="1" x14ac:dyDescent="0.15">
      <c r="D60" s="555"/>
      <c r="E60" s="556"/>
      <c r="F60" s="544"/>
      <c r="G60" s="547">
        <f>+G59</f>
        <v>1.3</v>
      </c>
      <c r="H60" s="79">
        <f>+E58-H58-G59</f>
        <v>0.49999999999999978</v>
      </c>
      <c r="I60" s="393">
        <f>+I59+1</f>
        <v>127</v>
      </c>
      <c r="J60" s="393"/>
      <c r="K60" s="572">
        <f>(F59*H60+F61*H61)/G60</f>
        <v>42422.769230769241</v>
      </c>
      <c r="L60" s="572">
        <f>K60*E46</f>
        <v>55149.600000000013</v>
      </c>
      <c r="M60" s="573">
        <f>L60*E48</f>
        <v>110299.20000000003</v>
      </c>
      <c r="R60" s="166"/>
      <c r="S60" s="166"/>
      <c r="U60" s="4"/>
      <c r="V60" s="142"/>
      <c r="W60" s="166"/>
      <c r="X60" s="166"/>
    </row>
    <row r="61" spans="4:24" ht="16.5" customHeight="1" x14ac:dyDescent="0.15">
      <c r="D61" s="555" t="s">
        <v>19</v>
      </c>
      <c r="E61" s="556">
        <f>+E18</f>
        <v>2.6</v>
      </c>
      <c r="F61" s="544">
        <f>+F18</f>
        <v>68937</v>
      </c>
      <c r="G61" s="548"/>
      <c r="H61" s="79">
        <f>+G60-H60</f>
        <v>0.80000000000000027</v>
      </c>
      <c r="I61" s="393"/>
      <c r="J61" s="393"/>
      <c r="K61" s="572"/>
      <c r="L61" s="572"/>
      <c r="M61" s="573"/>
      <c r="P61" s="37">
        <f>+J11</f>
        <v>148</v>
      </c>
      <c r="Q61" s="165">
        <f t="shared" ref="Q61:Q84" si="16">+Q11</f>
        <v>58812</v>
      </c>
      <c r="R61" s="167">
        <f>+'有効抵抗土圧(4P右)'!I200</f>
        <v>2907.5744100000002</v>
      </c>
      <c r="S61" s="167">
        <f>+'有効抵抗土圧(4P右)'!I201</f>
        <v>3268.6642039999997</v>
      </c>
      <c r="U61" s="37">
        <f>+P61</f>
        <v>148</v>
      </c>
      <c r="V61" s="165">
        <f>+Q61</f>
        <v>58812</v>
      </c>
      <c r="W61" s="167">
        <f>+R11</f>
        <v>1163.0297639999999</v>
      </c>
      <c r="X61" s="167">
        <f>+S11</f>
        <v>1307.4656815999999</v>
      </c>
    </row>
    <row r="62" spans="4:24" ht="16.5" customHeight="1" x14ac:dyDescent="0.15">
      <c r="D62" s="555"/>
      <c r="E62" s="556"/>
      <c r="F62" s="544"/>
      <c r="G62" s="79">
        <f>+G60</f>
        <v>1.3</v>
      </c>
      <c r="H62" s="79"/>
      <c r="I62" s="37">
        <f>+I60+1</f>
        <v>128</v>
      </c>
      <c r="J62" s="37"/>
      <c r="K62" s="80">
        <f>+F61</f>
        <v>68937</v>
      </c>
      <c r="L62" s="80">
        <f>K62*E46</f>
        <v>89618.1</v>
      </c>
      <c r="M62" s="97">
        <f>L62*E48</f>
        <v>179236.2</v>
      </c>
      <c r="P62" s="37">
        <f>+P61+1</f>
        <v>149</v>
      </c>
      <c r="Q62" s="165">
        <f t="shared" si="16"/>
        <v>272084.40000000002</v>
      </c>
      <c r="R62" s="167">
        <f>+'有効抵抗土圧(4P右)'!I202</f>
        <v>4972.6002737692306</v>
      </c>
      <c r="S62" s="167">
        <f>+'有効抵抗土圧(4P右)'!I203</f>
        <v>4972.6002737692306</v>
      </c>
      <c r="U62" s="37">
        <f t="shared" ref="U62:V84" si="17">+P62</f>
        <v>149</v>
      </c>
      <c r="V62" s="165">
        <f t="shared" si="17"/>
        <v>272084.40000000002</v>
      </c>
      <c r="W62" s="167">
        <f t="shared" ref="W62:X77" si="18">+R12</f>
        <v>1989.0401095076923</v>
      </c>
      <c r="X62" s="167">
        <f t="shared" si="18"/>
        <v>1989.0401095076923</v>
      </c>
    </row>
    <row r="63" spans="4:24" ht="16.5" customHeight="1" x14ac:dyDescent="0.15">
      <c r="D63" s="555"/>
      <c r="E63" s="556"/>
      <c r="F63" s="544"/>
      <c r="G63" s="574">
        <f>+G62</f>
        <v>1.3</v>
      </c>
      <c r="H63" s="79">
        <f>+E61-H61-G62</f>
        <v>0.49999999999999978</v>
      </c>
      <c r="I63" s="577">
        <f>+I62+1</f>
        <v>129</v>
      </c>
      <c r="J63" s="577"/>
      <c r="K63" s="545">
        <f>(F61*H63+F64*H64+F65*H65)/G63</f>
        <v>93189.61538461539</v>
      </c>
      <c r="L63" s="572">
        <f>K63*E46</f>
        <v>121146.50000000001</v>
      </c>
      <c r="M63" s="573">
        <f>L63*E48</f>
        <v>242293.00000000003</v>
      </c>
      <c r="P63" s="37">
        <f t="shared" ref="P63:P84" si="19">+P62+1</f>
        <v>150</v>
      </c>
      <c r="Q63" s="165">
        <f t="shared" si="16"/>
        <v>141501.89999999997</v>
      </c>
      <c r="R63" s="167">
        <f>+'有効抵抗土圧(4P右)'!I204</f>
        <v>2269.2762692307679</v>
      </c>
      <c r="S63" s="167">
        <f>+'有効抵抗土圧(4P右)'!I205</f>
        <v>2269.2762692307679</v>
      </c>
      <c r="U63" s="37">
        <f t="shared" si="17"/>
        <v>150</v>
      </c>
      <c r="V63" s="165">
        <f t="shared" si="17"/>
        <v>141501.89999999997</v>
      </c>
      <c r="W63" s="167">
        <f t="shared" si="18"/>
        <v>907.71050769230715</v>
      </c>
      <c r="X63" s="167">
        <f t="shared" si="18"/>
        <v>907.71050769230715</v>
      </c>
    </row>
    <row r="64" spans="4:24" ht="16.5" customHeight="1" x14ac:dyDescent="0.15">
      <c r="D64" s="90" t="s">
        <v>203</v>
      </c>
      <c r="E64" s="188">
        <f>+E21</f>
        <v>0.6</v>
      </c>
      <c r="F64" s="273">
        <f>+F21</f>
        <v>109995</v>
      </c>
      <c r="G64" s="575"/>
      <c r="H64" s="79">
        <f>+E64</f>
        <v>0.6</v>
      </c>
      <c r="I64" s="578"/>
      <c r="J64" s="578"/>
      <c r="K64" s="580"/>
      <c r="L64" s="572"/>
      <c r="M64" s="573"/>
      <c r="P64" s="37">
        <f t="shared" si="19"/>
        <v>151</v>
      </c>
      <c r="Q64" s="165">
        <f t="shared" si="16"/>
        <v>110709.29999999999</v>
      </c>
      <c r="R64" s="167">
        <f>+'有効抵抗土圧(4P右)'!I206</f>
        <v>1672.5149999999999</v>
      </c>
      <c r="S64" s="167">
        <f>+'有効抵抗土圧(4P右)'!I207</f>
        <v>1672.5149999999999</v>
      </c>
      <c r="U64" s="37">
        <f t="shared" si="17"/>
        <v>151</v>
      </c>
      <c r="V64" s="165">
        <f t="shared" si="17"/>
        <v>110709.29999999999</v>
      </c>
      <c r="W64" s="167">
        <f t="shared" si="18"/>
        <v>669.00600000000009</v>
      </c>
      <c r="X64" s="167">
        <f t="shared" si="18"/>
        <v>669.00600000000009</v>
      </c>
    </row>
    <row r="65" spans="4:24" ht="16.5" customHeight="1" x14ac:dyDescent="0.15">
      <c r="D65" s="559" t="s">
        <v>204</v>
      </c>
      <c r="E65" s="581">
        <f>+E22</f>
        <v>9.5</v>
      </c>
      <c r="F65" s="584">
        <f>+F22</f>
        <v>103405</v>
      </c>
      <c r="G65" s="576"/>
      <c r="H65" s="79">
        <f>+G63-H63-H64</f>
        <v>0.20000000000000029</v>
      </c>
      <c r="I65" s="579"/>
      <c r="J65" s="579"/>
      <c r="K65" s="546"/>
      <c r="L65" s="572"/>
      <c r="M65" s="573"/>
      <c r="P65" s="37">
        <f t="shared" si="19"/>
        <v>152</v>
      </c>
      <c r="Q65" s="165">
        <f t="shared" si="16"/>
        <v>165448.80000000005</v>
      </c>
      <c r="R65" s="167">
        <f>+'有効抵抗土圧(4P右)'!I208</f>
        <v>4352.4272400000018</v>
      </c>
      <c r="S65" s="167">
        <f>+'有効抵抗土圧(4P右)'!I209</f>
        <v>4352.4272400000018</v>
      </c>
      <c r="U65" s="37">
        <f t="shared" si="17"/>
        <v>152</v>
      </c>
      <c r="V65" s="165">
        <f t="shared" si="17"/>
        <v>165448.80000000005</v>
      </c>
      <c r="W65" s="167">
        <f t="shared" si="18"/>
        <v>1740.9708960000009</v>
      </c>
      <c r="X65" s="167">
        <f t="shared" si="18"/>
        <v>1740.9708960000009</v>
      </c>
    </row>
    <row r="66" spans="4:24" ht="16.5" customHeight="1" x14ac:dyDescent="0.15">
      <c r="D66" s="560"/>
      <c r="E66" s="582"/>
      <c r="F66" s="585"/>
      <c r="G66" s="79">
        <f>+G63</f>
        <v>1.3</v>
      </c>
      <c r="H66" s="79"/>
      <c r="I66" s="37">
        <f>+I63+1</f>
        <v>130</v>
      </c>
      <c r="J66" s="37"/>
      <c r="K66" s="80">
        <f>+F65</f>
        <v>103405</v>
      </c>
      <c r="L66" s="80">
        <f>K66*E46</f>
        <v>134426.5</v>
      </c>
      <c r="M66" s="97">
        <f>L66*E48</f>
        <v>268853</v>
      </c>
      <c r="P66" s="37">
        <f t="shared" si="19"/>
        <v>153</v>
      </c>
      <c r="Q66" s="165">
        <f t="shared" si="16"/>
        <v>268854.30000000005</v>
      </c>
      <c r="R66" s="167">
        <f>+'有効抵抗土圧(4P右)'!I210</f>
        <v>6181.98711</v>
      </c>
      <c r="S66" s="167">
        <f>+'有効抵抗土圧(4P右)'!I211</f>
        <v>6684.48495</v>
      </c>
      <c r="U66" s="37">
        <f t="shared" si="17"/>
        <v>153</v>
      </c>
      <c r="V66" s="165">
        <f t="shared" si="17"/>
        <v>268854.30000000005</v>
      </c>
      <c r="W66" s="167">
        <f t="shared" si="18"/>
        <v>2472.794844</v>
      </c>
      <c r="X66" s="167">
        <f t="shared" si="18"/>
        <v>2673.7939799999999</v>
      </c>
    </row>
    <row r="67" spans="4:24" ht="16.5" customHeight="1" x14ac:dyDescent="0.15">
      <c r="D67" s="560"/>
      <c r="E67" s="582"/>
      <c r="F67" s="585"/>
      <c r="G67" s="79">
        <f>+G66</f>
        <v>1.3</v>
      </c>
      <c r="H67" s="79"/>
      <c r="I67" s="37">
        <f t="shared" ref="I67:I73" si="20">+I66+1</f>
        <v>131</v>
      </c>
      <c r="J67" s="37"/>
      <c r="K67" s="80">
        <f t="shared" ref="K67:K72" si="21">+K66</f>
        <v>103405</v>
      </c>
      <c r="L67" s="80">
        <f>K67*E46</f>
        <v>134426.5</v>
      </c>
      <c r="M67" s="97">
        <f>L67*E48</f>
        <v>268853</v>
      </c>
      <c r="P67" s="37">
        <f t="shared" si="19"/>
        <v>154</v>
      </c>
      <c r="Q67" s="165">
        <f t="shared" si="16"/>
        <v>363439.50000000006</v>
      </c>
      <c r="R67" s="167">
        <f>+'有効抵抗土圧(4P右)'!I212</f>
        <v>6601.57395</v>
      </c>
      <c r="S67" s="167">
        <f>+'有効抵抗土圧(4P右)'!I213</f>
        <v>6601.57395</v>
      </c>
      <c r="U67" s="37">
        <f t="shared" si="17"/>
        <v>154</v>
      </c>
      <c r="V67" s="165">
        <f t="shared" si="17"/>
        <v>363439.50000000006</v>
      </c>
      <c r="W67" s="167">
        <f t="shared" si="18"/>
        <v>2640.6295799999998</v>
      </c>
      <c r="X67" s="167">
        <f t="shared" si="18"/>
        <v>2640.6295799999998</v>
      </c>
    </row>
    <row r="68" spans="4:24" ht="16.5" customHeight="1" x14ac:dyDescent="0.15">
      <c r="D68" s="560"/>
      <c r="E68" s="582"/>
      <c r="F68" s="585"/>
      <c r="G68" s="79">
        <f t="shared" ref="G68:G72" si="22">+G67</f>
        <v>1.3</v>
      </c>
      <c r="H68" s="79"/>
      <c r="I68" s="37">
        <f t="shared" si="20"/>
        <v>132</v>
      </c>
      <c r="J68" s="37"/>
      <c r="K68" s="80">
        <f t="shared" si="21"/>
        <v>103405</v>
      </c>
      <c r="L68" s="80">
        <f>K68*E46</f>
        <v>134426.5</v>
      </c>
      <c r="M68" s="97">
        <f>L68*E48</f>
        <v>268853</v>
      </c>
      <c r="P68" s="37">
        <f t="shared" si="19"/>
        <v>155</v>
      </c>
      <c r="Q68" s="165">
        <f t="shared" si="16"/>
        <v>403279.5</v>
      </c>
      <c r="R68" s="167">
        <f>+'有効抵抗土圧(4P右)'!I214</f>
        <v>7856.3852881578987</v>
      </c>
      <c r="S68" s="167">
        <f>+'有効抵抗土圧(4P右)'!I215</f>
        <v>7856.3852881578987</v>
      </c>
      <c r="U68" s="37">
        <f t="shared" si="17"/>
        <v>155</v>
      </c>
      <c r="V68" s="165">
        <f t="shared" si="17"/>
        <v>403279.5</v>
      </c>
      <c r="W68" s="167">
        <f t="shared" si="18"/>
        <v>3142.554115263159</v>
      </c>
      <c r="X68" s="167">
        <f t="shared" si="18"/>
        <v>3142.554115263159</v>
      </c>
    </row>
    <row r="69" spans="4:24" ht="16.5" customHeight="1" x14ac:dyDescent="0.15">
      <c r="D69" s="560"/>
      <c r="E69" s="582"/>
      <c r="F69" s="585"/>
      <c r="G69" s="79">
        <f t="shared" si="22"/>
        <v>1.3</v>
      </c>
      <c r="H69" s="79"/>
      <c r="I69" s="37">
        <f t="shared" si="20"/>
        <v>133</v>
      </c>
      <c r="J69" s="37"/>
      <c r="K69" s="80">
        <f t="shared" si="21"/>
        <v>103405</v>
      </c>
      <c r="L69" s="80">
        <f>K69*E46</f>
        <v>134426.5</v>
      </c>
      <c r="M69" s="97">
        <f>L69*E48</f>
        <v>268853</v>
      </c>
      <c r="P69" s="37">
        <f t="shared" si="19"/>
        <v>156</v>
      </c>
      <c r="Q69" s="165">
        <f t="shared" si="16"/>
        <v>403279.5</v>
      </c>
      <c r="R69" s="167">
        <f>+'有効抵抗土圧(4P右)'!I216</f>
        <v>7976.8989094736862</v>
      </c>
      <c r="S69" s="167">
        <f>+'有効抵抗土圧(4P右)'!I217</f>
        <v>8501.7243356842118</v>
      </c>
      <c r="U69" s="37">
        <f t="shared" si="17"/>
        <v>156</v>
      </c>
      <c r="V69" s="165">
        <f t="shared" si="17"/>
        <v>403279.5</v>
      </c>
      <c r="W69" s="167">
        <f t="shared" si="18"/>
        <v>3190.7595637894738</v>
      </c>
      <c r="X69" s="167">
        <f t="shared" si="18"/>
        <v>3400.6897342736852</v>
      </c>
    </row>
    <row r="70" spans="4:24" ht="16.5" customHeight="1" x14ac:dyDescent="0.15">
      <c r="D70" s="560"/>
      <c r="E70" s="582"/>
      <c r="F70" s="585"/>
      <c r="G70" s="79">
        <f t="shared" si="22"/>
        <v>1.3</v>
      </c>
      <c r="H70" s="79"/>
      <c r="I70" s="37">
        <f t="shared" si="20"/>
        <v>134</v>
      </c>
      <c r="J70" s="37"/>
      <c r="K70" s="80">
        <f t="shared" si="21"/>
        <v>103405</v>
      </c>
      <c r="L70" s="80">
        <f>K70*E46</f>
        <v>134426.5</v>
      </c>
      <c r="M70" s="97">
        <f>L70*E48</f>
        <v>268853</v>
      </c>
      <c r="P70" s="37">
        <f t="shared" si="19"/>
        <v>157</v>
      </c>
      <c r="Q70" s="165">
        <f t="shared" si="16"/>
        <v>403279.5</v>
      </c>
      <c r="R70" s="167">
        <f>+'有効抵抗土圧(4P右)'!I218</f>
        <v>8501.7243356842118</v>
      </c>
      <c r="S70" s="167">
        <f>+'有効抵抗土圧(4P右)'!I219</f>
        <v>9026.5497618947393</v>
      </c>
      <c r="U70" s="37">
        <f t="shared" si="17"/>
        <v>157</v>
      </c>
      <c r="V70" s="165">
        <f t="shared" si="17"/>
        <v>403279.5</v>
      </c>
      <c r="W70" s="167">
        <f t="shared" si="18"/>
        <v>3400.6897342736852</v>
      </c>
      <c r="X70" s="167">
        <f t="shared" si="18"/>
        <v>3610.6199047578953</v>
      </c>
    </row>
    <row r="71" spans="4:24" ht="16.5" customHeight="1" x14ac:dyDescent="0.15">
      <c r="D71" s="560"/>
      <c r="E71" s="582"/>
      <c r="F71" s="585"/>
      <c r="G71" s="79">
        <f t="shared" si="22"/>
        <v>1.3</v>
      </c>
      <c r="H71" s="79"/>
      <c r="I71" s="37">
        <f t="shared" si="20"/>
        <v>135</v>
      </c>
      <c r="J71" s="37"/>
      <c r="K71" s="80">
        <f t="shared" si="21"/>
        <v>103405</v>
      </c>
      <c r="L71" s="80">
        <f>K71*E46</f>
        <v>134426.5</v>
      </c>
      <c r="M71" s="97">
        <f>L71*E48</f>
        <v>268853</v>
      </c>
      <c r="P71" s="37">
        <f t="shared" si="19"/>
        <v>158</v>
      </c>
      <c r="Q71" s="165">
        <f t="shared" si="16"/>
        <v>403279.5</v>
      </c>
      <c r="R71" s="167">
        <f>+'有効抵抗土圧(4P右)'!I220</f>
        <v>9026.5497618947393</v>
      </c>
      <c r="S71" s="167">
        <f>+'有効抵抗土圧(4P右)'!I221</f>
        <v>9551.3751881052649</v>
      </c>
      <c r="U71" s="37">
        <f t="shared" si="17"/>
        <v>158</v>
      </c>
      <c r="V71" s="165">
        <f t="shared" si="17"/>
        <v>403279.5</v>
      </c>
      <c r="W71" s="167">
        <f t="shared" si="18"/>
        <v>3610.6199047578953</v>
      </c>
      <c r="X71" s="167">
        <f t="shared" si="18"/>
        <v>3820.5500752421058</v>
      </c>
    </row>
    <row r="72" spans="4:24" ht="16.5" customHeight="1" x14ac:dyDescent="0.15">
      <c r="D72" s="560"/>
      <c r="E72" s="582"/>
      <c r="F72" s="585"/>
      <c r="G72" s="79">
        <f t="shared" si="22"/>
        <v>1.3</v>
      </c>
      <c r="H72" s="79"/>
      <c r="I72" s="37">
        <f t="shared" si="20"/>
        <v>136</v>
      </c>
      <c r="J72" s="37"/>
      <c r="K72" s="80">
        <f t="shared" si="21"/>
        <v>103405</v>
      </c>
      <c r="L72" s="80">
        <f>K72*E46</f>
        <v>134426.5</v>
      </c>
      <c r="M72" s="97">
        <f>L72*E48</f>
        <v>268853</v>
      </c>
      <c r="P72" s="37">
        <f t="shared" si="19"/>
        <v>159</v>
      </c>
      <c r="Q72" s="165">
        <f t="shared" si="16"/>
        <v>403279.5</v>
      </c>
      <c r="R72" s="167">
        <f>+'有効抵抗土圧(4P右)'!I222</f>
        <v>9551.3751881052649</v>
      </c>
      <c r="S72" s="167">
        <f>+'有効抵抗土圧(4P右)'!I223</f>
        <v>10076.200614315792</v>
      </c>
      <c r="U72" s="37">
        <f t="shared" si="17"/>
        <v>159</v>
      </c>
      <c r="V72" s="165">
        <f t="shared" si="17"/>
        <v>403279.5</v>
      </c>
      <c r="W72" s="167">
        <f t="shared" si="18"/>
        <v>3820.5500752421058</v>
      </c>
      <c r="X72" s="167">
        <f t="shared" si="18"/>
        <v>4030.4802457263168</v>
      </c>
    </row>
    <row r="73" spans="4:24" ht="16.5" customHeight="1" x14ac:dyDescent="0.15">
      <c r="D73" s="561"/>
      <c r="E73" s="583"/>
      <c r="F73" s="586"/>
      <c r="G73" s="547">
        <f>+G72</f>
        <v>1.3</v>
      </c>
      <c r="H73" s="79">
        <f>+E65-H65-G66-G67-G68-G69-G70-G71-G72</f>
        <v>0.19999999999999973</v>
      </c>
      <c r="I73" s="577">
        <f t="shared" si="20"/>
        <v>137</v>
      </c>
      <c r="J73" s="577"/>
      <c r="K73" s="572">
        <f>(F65*H73+F74*H74)/G73</f>
        <v>57941.153846153829</v>
      </c>
      <c r="L73" s="572">
        <f>K73*E46</f>
        <v>75323.499999999985</v>
      </c>
      <c r="M73" s="573">
        <f>L73*E48</f>
        <v>150646.99999999997</v>
      </c>
      <c r="P73" s="37">
        <f t="shared" si="19"/>
        <v>160</v>
      </c>
      <c r="Q73" s="165">
        <f t="shared" si="16"/>
        <v>403279.5</v>
      </c>
      <c r="R73" s="167">
        <f>+'有効抵抗土圧(4P右)'!I224</f>
        <v>10076.200614315792</v>
      </c>
      <c r="S73" s="167">
        <f>+'有効抵抗土圧(4P右)'!I225</f>
        <v>10601.026040526318</v>
      </c>
      <c r="U73" s="37">
        <f t="shared" si="17"/>
        <v>160</v>
      </c>
      <c r="V73" s="165">
        <f t="shared" si="17"/>
        <v>403279.5</v>
      </c>
      <c r="W73" s="167">
        <f t="shared" si="18"/>
        <v>4030.4802457263168</v>
      </c>
      <c r="X73" s="167">
        <f t="shared" si="18"/>
        <v>4240.4104162105268</v>
      </c>
    </row>
    <row r="74" spans="4:24" ht="16.5" customHeight="1" x14ac:dyDescent="0.15">
      <c r="D74" s="555" t="s">
        <v>205</v>
      </c>
      <c r="E74" s="556">
        <f>+E31</f>
        <v>12.6</v>
      </c>
      <c r="F74" s="544">
        <f>+F31</f>
        <v>49675</v>
      </c>
      <c r="G74" s="548"/>
      <c r="H74" s="79">
        <f>+G73-H73</f>
        <v>1.1000000000000003</v>
      </c>
      <c r="I74" s="579"/>
      <c r="J74" s="579"/>
      <c r="K74" s="572"/>
      <c r="L74" s="572"/>
      <c r="M74" s="573"/>
      <c r="P74" s="37">
        <f t="shared" si="19"/>
        <v>161</v>
      </c>
      <c r="Q74" s="165">
        <f t="shared" si="16"/>
        <v>403279.5</v>
      </c>
      <c r="R74" s="167">
        <f>+'有効抵抗土圧(4P右)'!I226</f>
        <v>10601.026040526318</v>
      </c>
      <c r="S74" s="167">
        <f>+'有効抵抗土圧(4P右)'!I227</f>
        <v>11125.851466736844</v>
      </c>
      <c r="U74" s="37">
        <f t="shared" si="17"/>
        <v>161</v>
      </c>
      <c r="V74" s="165">
        <f t="shared" si="17"/>
        <v>403279.5</v>
      </c>
      <c r="W74" s="167">
        <f t="shared" si="18"/>
        <v>4240.4104162105268</v>
      </c>
      <c r="X74" s="167">
        <f t="shared" si="18"/>
        <v>4450.3405866947369</v>
      </c>
    </row>
    <row r="75" spans="4:24" ht="16.5" customHeight="1" x14ac:dyDescent="0.15">
      <c r="D75" s="555"/>
      <c r="E75" s="556"/>
      <c r="F75" s="544"/>
      <c r="G75" s="79">
        <f>+G73</f>
        <v>1.3</v>
      </c>
      <c r="H75" s="79"/>
      <c r="I75" s="87">
        <f>+I73+1</f>
        <v>138</v>
      </c>
      <c r="J75" s="87"/>
      <c r="K75" s="80">
        <f>+F74</f>
        <v>49675</v>
      </c>
      <c r="L75" s="80">
        <f>K75*E46</f>
        <v>64577.5</v>
      </c>
      <c r="M75" s="97">
        <f>L75*E48</f>
        <v>129155</v>
      </c>
      <c r="P75" s="37">
        <f t="shared" si="19"/>
        <v>162</v>
      </c>
      <c r="Q75" s="165">
        <f t="shared" si="16"/>
        <v>225970.49999999994</v>
      </c>
      <c r="R75" s="167">
        <f>+'有効抵抗土圧(4P右)'!I228</f>
        <v>4208.641208210498</v>
      </c>
      <c r="S75" s="167">
        <f>+'有効抵抗土圧(4P右)'!I229</f>
        <v>4208.641208210498</v>
      </c>
      <c r="U75" s="37">
        <f t="shared" si="17"/>
        <v>162</v>
      </c>
      <c r="V75" s="165">
        <f t="shared" si="17"/>
        <v>225970.49999999994</v>
      </c>
      <c r="W75" s="167">
        <f t="shared" si="18"/>
        <v>1683.4564832841995</v>
      </c>
      <c r="X75" s="167">
        <f t="shared" si="18"/>
        <v>1683.4564832841995</v>
      </c>
    </row>
    <row r="76" spans="4:24" ht="16.5" customHeight="1" x14ac:dyDescent="0.15">
      <c r="D76" s="555"/>
      <c r="E76" s="556"/>
      <c r="F76" s="544"/>
      <c r="G76" s="79">
        <f>+G75</f>
        <v>1.3</v>
      </c>
      <c r="H76" s="79"/>
      <c r="I76" s="37">
        <f t="shared" ref="I76:I83" si="23">+I75+1</f>
        <v>139</v>
      </c>
      <c r="J76" s="37"/>
      <c r="K76" s="80">
        <f t="shared" ref="K76:K83" si="24">+K75</f>
        <v>49675</v>
      </c>
      <c r="L76" s="80">
        <f>K76*E46</f>
        <v>64577.5</v>
      </c>
      <c r="M76" s="97">
        <f>L76*E48</f>
        <v>129155</v>
      </c>
      <c r="P76" s="37">
        <f t="shared" si="19"/>
        <v>163</v>
      </c>
      <c r="Q76" s="165">
        <f t="shared" si="16"/>
        <v>193732.5</v>
      </c>
      <c r="R76" s="167">
        <f>+'有効抵抗土圧(4P右)'!I230</f>
        <v>3088.8</v>
      </c>
      <c r="S76" s="167">
        <f>+'有効抵抗土圧(4P右)'!I231</f>
        <v>3088.8</v>
      </c>
      <c r="U76" s="37">
        <f t="shared" si="17"/>
        <v>163</v>
      </c>
      <c r="V76" s="165">
        <f t="shared" si="17"/>
        <v>193732.5</v>
      </c>
      <c r="W76" s="167">
        <f t="shared" si="18"/>
        <v>3088.8</v>
      </c>
      <c r="X76" s="167">
        <f t="shared" si="18"/>
        <v>3088.8</v>
      </c>
    </row>
    <row r="77" spans="4:24" ht="16.5" customHeight="1" x14ac:dyDescent="0.15">
      <c r="D77" s="555"/>
      <c r="E77" s="556"/>
      <c r="F77" s="544"/>
      <c r="G77" s="79">
        <f t="shared" ref="G77:G82" si="25">+G76</f>
        <v>1.3</v>
      </c>
      <c r="H77" s="79"/>
      <c r="I77" s="37">
        <f t="shared" si="23"/>
        <v>140</v>
      </c>
      <c r="J77" s="37"/>
      <c r="K77" s="80">
        <f t="shared" si="24"/>
        <v>49675</v>
      </c>
      <c r="L77" s="80">
        <f>K77*E46</f>
        <v>64577.5</v>
      </c>
      <c r="M77" s="97">
        <f>L77*E48</f>
        <v>129155</v>
      </c>
      <c r="P77" s="37">
        <f t="shared" si="19"/>
        <v>164</v>
      </c>
      <c r="Q77" s="165">
        <f t="shared" si="16"/>
        <v>193732.5</v>
      </c>
      <c r="R77" s="167">
        <f>+'有効抵抗土圧(4P右)'!I232</f>
        <v>3088.8</v>
      </c>
      <c r="S77" s="167">
        <f>+'有効抵抗土圧(4P右)'!I233</f>
        <v>3088.8</v>
      </c>
      <c r="U77" s="37">
        <f t="shared" si="17"/>
        <v>164</v>
      </c>
      <c r="V77" s="165">
        <f t="shared" si="17"/>
        <v>193732.5</v>
      </c>
      <c r="W77" s="167">
        <f t="shared" si="18"/>
        <v>3088.8</v>
      </c>
      <c r="X77" s="167">
        <f t="shared" si="18"/>
        <v>3088.8</v>
      </c>
    </row>
    <row r="78" spans="4:24" ht="16.5" customHeight="1" x14ac:dyDescent="0.15">
      <c r="D78" s="555"/>
      <c r="E78" s="556"/>
      <c r="F78" s="544"/>
      <c r="G78" s="79">
        <f t="shared" si="25"/>
        <v>1.3</v>
      </c>
      <c r="H78" s="79"/>
      <c r="I78" s="37">
        <f t="shared" si="23"/>
        <v>141</v>
      </c>
      <c r="J78" s="37"/>
      <c r="K78" s="80">
        <f t="shared" si="24"/>
        <v>49675</v>
      </c>
      <c r="L78" s="80">
        <f>K78*E46</f>
        <v>64577.5</v>
      </c>
      <c r="M78" s="97">
        <f>L78*E48</f>
        <v>129155</v>
      </c>
      <c r="P78" s="37">
        <f t="shared" si="19"/>
        <v>165</v>
      </c>
      <c r="Q78" s="165">
        <f t="shared" si="16"/>
        <v>193732.5</v>
      </c>
      <c r="R78" s="167">
        <f>+'有効抵抗土圧(4P右)'!I234</f>
        <v>3088.8</v>
      </c>
      <c r="S78" s="167">
        <f>+'有効抵抗土圧(4P右)'!I235</f>
        <v>3088.8</v>
      </c>
      <c r="U78" s="37">
        <f t="shared" si="17"/>
        <v>165</v>
      </c>
      <c r="V78" s="165">
        <f t="shared" si="17"/>
        <v>193732.5</v>
      </c>
      <c r="W78" s="167">
        <f t="shared" ref="W78:X84" si="26">+R28</f>
        <v>3088.8</v>
      </c>
      <c r="X78" s="167">
        <f t="shared" si="26"/>
        <v>3088.8</v>
      </c>
    </row>
    <row r="79" spans="4:24" ht="16.5" customHeight="1" x14ac:dyDescent="0.15">
      <c r="D79" s="555"/>
      <c r="E79" s="556"/>
      <c r="F79" s="544"/>
      <c r="G79" s="79">
        <f t="shared" si="25"/>
        <v>1.3</v>
      </c>
      <c r="H79" s="79"/>
      <c r="I79" s="37">
        <f t="shared" si="23"/>
        <v>142</v>
      </c>
      <c r="J79" s="37"/>
      <c r="K79" s="80">
        <f t="shared" si="24"/>
        <v>49675</v>
      </c>
      <c r="L79" s="80">
        <f>K79*E46</f>
        <v>64577.5</v>
      </c>
      <c r="M79" s="97">
        <f>L79*E48</f>
        <v>129155</v>
      </c>
      <c r="P79" s="37">
        <f t="shared" si="19"/>
        <v>166</v>
      </c>
      <c r="Q79" s="165">
        <f t="shared" si="16"/>
        <v>193732.5</v>
      </c>
      <c r="R79" s="167">
        <f>+'有効抵抗土圧(4P右)'!I236</f>
        <v>3088.8</v>
      </c>
      <c r="S79" s="167">
        <f>+'有効抵抗土圧(4P右)'!I237</f>
        <v>3088.8</v>
      </c>
      <c r="U79" s="37">
        <f t="shared" si="17"/>
        <v>166</v>
      </c>
      <c r="V79" s="165">
        <f t="shared" si="17"/>
        <v>193732.5</v>
      </c>
      <c r="W79" s="167">
        <f t="shared" si="26"/>
        <v>3088.8</v>
      </c>
      <c r="X79" s="167">
        <f t="shared" si="26"/>
        <v>3088.8</v>
      </c>
    </row>
    <row r="80" spans="4:24" ht="16.5" customHeight="1" x14ac:dyDescent="0.15">
      <c r="D80" s="555"/>
      <c r="E80" s="556"/>
      <c r="F80" s="544"/>
      <c r="G80" s="79">
        <f t="shared" si="25"/>
        <v>1.3</v>
      </c>
      <c r="H80" s="79"/>
      <c r="I80" s="37">
        <f t="shared" si="23"/>
        <v>143</v>
      </c>
      <c r="J80" s="37"/>
      <c r="K80" s="80">
        <f t="shared" si="24"/>
        <v>49675</v>
      </c>
      <c r="L80" s="80">
        <f>K80*E46</f>
        <v>64577.5</v>
      </c>
      <c r="M80" s="97">
        <f>L80*E48</f>
        <v>129155</v>
      </c>
      <c r="P80" s="37">
        <f t="shared" si="19"/>
        <v>167</v>
      </c>
      <c r="Q80" s="165">
        <f t="shared" si="16"/>
        <v>193732.5</v>
      </c>
      <c r="R80" s="167">
        <f>+'有効抵抗土圧(4P右)'!I238</f>
        <v>3088.8</v>
      </c>
      <c r="S80" s="167">
        <f>+'有効抵抗土圧(4P右)'!I239</f>
        <v>3088.8</v>
      </c>
      <c r="U80" s="37">
        <f t="shared" si="17"/>
        <v>167</v>
      </c>
      <c r="V80" s="165">
        <f t="shared" si="17"/>
        <v>193732.5</v>
      </c>
      <c r="W80" s="167">
        <f t="shared" si="26"/>
        <v>3088.8</v>
      </c>
      <c r="X80" s="167">
        <f t="shared" si="26"/>
        <v>3088.8</v>
      </c>
    </row>
    <row r="81" spans="4:24" ht="16.5" customHeight="1" x14ac:dyDescent="0.15">
      <c r="D81" s="555"/>
      <c r="E81" s="556"/>
      <c r="F81" s="544"/>
      <c r="G81" s="79">
        <f t="shared" si="25"/>
        <v>1.3</v>
      </c>
      <c r="H81" s="79"/>
      <c r="I81" s="37">
        <f t="shared" si="23"/>
        <v>144</v>
      </c>
      <c r="J81" s="37"/>
      <c r="K81" s="80">
        <f t="shared" si="24"/>
        <v>49675</v>
      </c>
      <c r="L81" s="80">
        <f>K81*E46</f>
        <v>64577.5</v>
      </c>
      <c r="M81" s="97">
        <f>L81*E48</f>
        <v>129155</v>
      </c>
      <c r="P81" s="37">
        <f t="shared" si="19"/>
        <v>168</v>
      </c>
      <c r="Q81" s="165">
        <f t="shared" si="16"/>
        <v>193732.5</v>
      </c>
      <c r="R81" s="167">
        <f>+'有効抵抗土圧(4P右)'!I240</f>
        <v>3088.8</v>
      </c>
      <c r="S81" s="167">
        <f>+'有効抵抗土圧(4P右)'!I241</f>
        <v>3088.8</v>
      </c>
      <c r="U81" s="37">
        <f t="shared" si="17"/>
        <v>168</v>
      </c>
      <c r="V81" s="165">
        <f t="shared" si="17"/>
        <v>193732.5</v>
      </c>
      <c r="W81" s="167">
        <f t="shared" si="26"/>
        <v>3088.8</v>
      </c>
      <c r="X81" s="167">
        <f t="shared" si="26"/>
        <v>3088.8</v>
      </c>
    </row>
    <row r="82" spans="4:24" ht="16.5" customHeight="1" x14ac:dyDescent="0.15">
      <c r="D82" s="555"/>
      <c r="E82" s="556"/>
      <c r="F82" s="544"/>
      <c r="G82" s="79">
        <f t="shared" si="25"/>
        <v>1.3</v>
      </c>
      <c r="H82" s="79"/>
      <c r="I82" s="37">
        <f t="shared" si="23"/>
        <v>145</v>
      </c>
      <c r="J82" s="37"/>
      <c r="K82" s="80">
        <f t="shared" si="24"/>
        <v>49675</v>
      </c>
      <c r="L82" s="80">
        <f>K82*E46</f>
        <v>64577.5</v>
      </c>
      <c r="M82" s="97">
        <f>L82*E48</f>
        <v>129155</v>
      </c>
      <c r="P82" s="37">
        <f t="shared" si="19"/>
        <v>169</v>
      </c>
      <c r="Q82" s="165">
        <f t="shared" si="16"/>
        <v>193732.5</v>
      </c>
      <c r="R82" s="167">
        <f>+'有効抵抗土圧(4P右)'!I242</f>
        <v>3088.8</v>
      </c>
      <c r="S82" s="167">
        <f>+'有効抵抗土圧(4P右)'!I243</f>
        <v>3088.8</v>
      </c>
      <c r="U82" s="37">
        <f t="shared" si="17"/>
        <v>169</v>
      </c>
      <c r="V82" s="165">
        <f t="shared" si="17"/>
        <v>193732.5</v>
      </c>
      <c r="W82" s="167">
        <f t="shared" si="26"/>
        <v>3088.8</v>
      </c>
      <c r="X82" s="167">
        <f t="shared" si="26"/>
        <v>3088.8</v>
      </c>
    </row>
    <row r="83" spans="4:24" ht="16.5" customHeight="1" x14ac:dyDescent="0.15">
      <c r="D83" s="555"/>
      <c r="E83" s="556"/>
      <c r="F83" s="544"/>
      <c r="G83" s="140">
        <f>E74-H74-SUM(G75:H82)</f>
        <v>1.0999999999999996</v>
      </c>
      <c r="H83" s="79"/>
      <c r="I83" s="37">
        <f t="shared" si="23"/>
        <v>146</v>
      </c>
      <c r="J83" s="37"/>
      <c r="K83" s="80">
        <f t="shared" si="24"/>
        <v>49675</v>
      </c>
      <c r="L83" s="80">
        <f>K83*E46</f>
        <v>64577.5</v>
      </c>
      <c r="M83" s="97">
        <f>L83*E48</f>
        <v>129155</v>
      </c>
      <c r="P83" s="37">
        <f t="shared" si="19"/>
        <v>170</v>
      </c>
      <c r="Q83" s="165">
        <f t="shared" si="16"/>
        <v>193732.5</v>
      </c>
      <c r="R83" s="167">
        <f>+'有効抵抗土圧(4P右)'!I244</f>
        <v>3088.8</v>
      </c>
      <c r="S83" s="167">
        <f>+'有効抵抗土圧(4P右)'!I245</f>
        <v>3088.8</v>
      </c>
      <c r="U83" s="37">
        <f t="shared" si="17"/>
        <v>170</v>
      </c>
      <c r="V83" s="165">
        <f t="shared" si="17"/>
        <v>193732.5</v>
      </c>
      <c r="W83" s="167">
        <f t="shared" si="26"/>
        <v>3088.8</v>
      </c>
      <c r="X83" s="167">
        <f t="shared" si="26"/>
        <v>3088.8</v>
      </c>
    </row>
    <row r="84" spans="4:24" ht="16.5" customHeight="1" x14ac:dyDescent="0.15">
      <c r="D84" s="89" t="s">
        <v>228</v>
      </c>
      <c r="E84" s="86">
        <f>SUM(E54:E83)</f>
        <v>31</v>
      </c>
      <c r="F84" s="86"/>
      <c r="G84" s="86">
        <f>SUM(G54:G83)</f>
        <v>31.000000000000007</v>
      </c>
      <c r="H84" s="334"/>
      <c r="I84" s="327"/>
      <c r="J84" s="327"/>
      <c r="K84" s="327"/>
      <c r="L84" s="327"/>
      <c r="M84" s="328"/>
      <c r="P84" s="37">
        <f t="shared" si="19"/>
        <v>171</v>
      </c>
      <c r="Q84" s="165">
        <f t="shared" si="16"/>
        <v>193732.5</v>
      </c>
      <c r="R84" s="167">
        <f>+'有効抵抗土圧(4P右)'!I246</f>
        <v>3088.8</v>
      </c>
      <c r="S84" s="167">
        <f>+'有効抵抗土圧(4P右)'!I247</f>
        <v>3088.8</v>
      </c>
      <c r="U84" s="37">
        <f t="shared" si="17"/>
        <v>171</v>
      </c>
      <c r="V84" s="165">
        <f t="shared" si="17"/>
        <v>193732.5</v>
      </c>
      <c r="W84" s="167">
        <f t="shared" si="26"/>
        <v>3088.8</v>
      </c>
      <c r="X84" s="167">
        <f t="shared" si="26"/>
        <v>3088.8</v>
      </c>
    </row>
    <row r="85" spans="4:24" ht="16.5" customHeight="1" x14ac:dyDescent="0.15">
      <c r="I85" s="3"/>
    </row>
  </sheetData>
  <mergeCells count="120">
    <mergeCell ref="P6:S8"/>
    <mergeCell ref="P9:P10"/>
    <mergeCell ref="Q9:Q10"/>
    <mergeCell ref="R9:S9"/>
    <mergeCell ref="U6:X8"/>
    <mergeCell ref="U9:U10"/>
    <mergeCell ref="V9:V10"/>
    <mergeCell ref="W9:X9"/>
    <mergeCell ref="D74:D83"/>
    <mergeCell ref="E74:E83"/>
    <mergeCell ref="F74:F83"/>
    <mergeCell ref="L60:L61"/>
    <mergeCell ref="M60:M61"/>
    <mergeCell ref="K57:K58"/>
    <mergeCell ref="L57:L58"/>
    <mergeCell ref="M57:M58"/>
    <mergeCell ref="D58:D60"/>
    <mergeCell ref="E58:E60"/>
    <mergeCell ref="F58:F60"/>
    <mergeCell ref="D56:D57"/>
    <mergeCell ref="E56:E57"/>
    <mergeCell ref="F56:F57"/>
    <mergeCell ref="G57:G58"/>
    <mergeCell ref="I57:I58"/>
    <mergeCell ref="H84:M84"/>
    <mergeCell ref="M63:M65"/>
    <mergeCell ref="D65:D73"/>
    <mergeCell ref="E65:E73"/>
    <mergeCell ref="F65:F73"/>
    <mergeCell ref="G73:G74"/>
    <mergeCell ref="I73:I74"/>
    <mergeCell ref="J73:J74"/>
    <mergeCell ref="K73:K74"/>
    <mergeCell ref="L73:L74"/>
    <mergeCell ref="M73:M74"/>
    <mergeCell ref="D61:D63"/>
    <mergeCell ref="E61:E63"/>
    <mergeCell ref="F61:F63"/>
    <mergeCell ref="G63:G65"/>
    <mergeCell ref="I63:I65"/>
    <mergeCell ref="J63:J65"/>
    <mergeCell ref="K63:K65"/>
    <mergeCell ref="L63:L65"/>
    <mergeCell ref="G60:G61"/>
    <mergeCell ref="I60:I61"/>
    <mergeCell ref="J60:J61"/>
    <mergeCell ref="K60:K61"/>
    <mergeCell ref="H41:M41"/>
    <mergeCell ref="D49:D53"/>
    <mergeCell ref="E49:E53"/>
    <mergeCell ref="F49:F53"/>
    <mergeCell ref="G49:H53"/>
    <mergeCell ref="I49:J53"/>
    <mergeCell ref="K49:K53"/>
    <mergeCell ref="J57:J58"/>
    <mergeCell ref="L49:M52"/>
    <mergeCell ref="D54:D55"/>
    <mergeCell ref="E54:E55"/>
    <mergeCell ref="F54:F55"/>
    <mergeCell ref="G55:G56"/>
    <mergeCell ref="I55:I56"/>
    <mergeCell ref="J55:J56"/>
    <mergeCell ref="K55:K56"/>
    <mergeCell ref="L55:L56"/>
    <mergeCell ref="M55:M56"/>
    <mergeCell ref="K20:K22"/>
    <mergeCell ref="L20:L22"/>
    <mergeCell ref="M20:M22"/>
    <mergeCell ref="D22:D30"/>
    <mergeCell ref="E22:E30"/>
    <mergeCell ref="F22:F30"/>
    <mergeCell ref="G30:G31"/>
    <mergeCell ref="I30:I31"/>
    <mergeCell ref="J30:J31"/>
    <mergeCell ref="K30:K31"/>
    <mergeCell ref="L30:L31"/>
    <mergeCell ref="M30:M31"/>
    <mergeCell ref="D31:D40"/>
    <mergeCell ref="E31:E40"/>
    <mergeCell ref="F31:F40"/>
    <mergeCell ref="K14:K15"/>
    <mergeCell ref="L14:L15"/>
    <mergeCell ref="M14:M15"/>
    <mergeCell ref="D15:D17"/>
    <mergeCell ref="E15:E17"/>
    <mergeCell ref="F15:F17"/>
    <mergeCell ref="G17:G18"/>
    <mergeCell ref="I17:I18"/>
    <mergeCell ref="J17:J18"/>
    <mergeCell ref="K17:K18"/>
    <mergeCell ref="D13:D14"/>
    <mergeCell ref="E13:E14"/>
    <mergeCell ref="F13:F14"/>
    <mergeCell ref="G14:G15"/>
    <mergeCell ref="I14:I15"/>
    <mergeCell ref="J14:J15"/>
    <mergeCell ref="L17:L18"/>
    <mergeCell ref="M17:M18"/>
    <mergeCell ref="D18:D20"/>
    <mergeCell ref="E18:E20"/>
    <mergeCell ref="F18:F20"/>
    <mergeCell ref="G20:G22"/>
    <mergeCell ref="I20:I22"/>
    <mergeCell ref="J20:J22"/>
    <mergeCell ref="L6:M9"/>
    <mergeCell ref="D11:D12"/>
    <mergeCell ref="E11:E12"/>
    <mergeCell ref="F11:F12"/>
    <mergeCell ref="G12:G13"/>
    <mergeCell ref="I12:I13"/>
    <mergeCell ref="J12:J13"/>
    <mergeCell ref="K12:K13"/>
    <mergeCell ref="L12:L13"/>
    <mergeCell ref="M12:M13"/>
    <mergeCell ref="D6:D10"/>
    <mergeCell ref="E6:E10"/>
    <mergeCell ref="F6:F10"/>
    <mergeCell ref="G6:H10"/>
    <mergeCell ref="I6:J10"/>
    <mergeCell ref="K6:K10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1" manualBreakCount="1">
    <brk id="43" max="13" man="1"/>
  </rowBreaks>
  <ignoredErrors>
    <ignoredError sqref="H14 H5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D03D-0C98-426E-BDDC-5046018ECBF5}">
  <dimension ref="C2:AD131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4" width="6.625" style="17" customWidth="1"/>
    <col min="5" max="7" width="8.625" style="17" customWidth="1"/>
    <col min="8" max="11" width="6.625" style="17" customWidth="1"/>
    <col min="12" max="13" width="4.625" style="17" customWidth="1"/>
    <col min="14" max="14" width="8.625" style="17" customWidth="1"/>
    <col min="15" max="16" width="10.625" style="17" customWidth="1"/>
    <col min="17" max="17" width="8.625" style="17" customWidth="1"/>
    <col min="18" max="18" width="2.625" style="17"/>
    <col min="19" max="20" width="10.625" style="4" customWidth="1"/>
    <col min="21" max="38" width="10.625" style="17" customWidth="1"/>
    <col min="39" max="16384" width="2.625" style="17"/>
  </cols>
  <sheetData>
    <row r="2" spans="3:30" ht="16.5" customHeight="1" x14ac:dyDescent="0.15">
      <c r="C2" s="18" t="s">
        <v>126</v>
      </c>
      <c r="D2" s="17" t="s">
        <v>241</v>
      </c>
    </row>
    <row r="3" spans="3:30" ht="16.5" customHeight="1" x14ac:dyDescent="0.15">
      <c r="C3" s="18" t="s">
        <v>30</v>
      </c>
      <c r="D3" s="17" t="s">
        <v>326</v>
      </c>
    </row>
    <row r="4" spans="3:30" ht="16.5" customHeight="1" x14ac:dyDescent="0.15">
      <c r="C4" s="18" t="s">
        <v>215</v>
      </c>
      <c r="D4" s="17" t="s">
        <v>216</v>
      </c>
    </row>
    <row r="5" spans="3:30" ht="16.5" customHeight="1" x14ac:dyDescent="0.15">
      <c r="D5" s="17" t="s">
        <v>202</v>
      </c>
      <c r="E5" s="73">
        <v>1.3</v>
      </c>
      <c r="F5" s="17" t="s">
        <v>29</v>
      </c>
    </row>
    <row r="6" spans="3:30" ht="16.5" customHeight="1" x14ac:dyDescent="0.15">
      <c r="D6" s="17" t="s">
        <v>327</v>
      </c>
      <c r="E6" s="68">
        <f>+PI()*E5</f>
        <v>4.0840704496667311</v>
      </c>
      <c r="F6" s="17" t="s">
        <v>29</v>
      </c>
    </row>
    <row r="7" spans="3:30" ht="16.5" customHeight="1" x14ac:dyDescent="0.15">
      <c r="D7" s="17" t="s">
        <v>207</v>
      </c>
      <c r="E7" s="73">
        <v>31</v>
      </c>
      <c r="F7" s="17" t="s">
        <v>29</v>
      </c>
    </row>
    <row r="8" spans="3:30" ht="16.5" customHeight="1" x14ac:dyDescent="0.15">
      <c r="D8" s="17" t="s">
        <v>227</v>
      </c>
      <c r="E8" s="73">
        <v>4.891</v>
      </c>
      <c r="F8" s="17" t="s">
        <v>29</v>
      </c>
    </row>
    <row r="9" spans="3:30" ht="16.5" customHeight="1" x14ac:dyDescent="0.15">
      <c r="D9" s="17" t="s">
        <v>200</v>
      </c>
      <c r="E9" s="77">
        <v>2</v>
      </c>
      <c r="F9" s="17" t="s">
        <v>206</v>
      </c>
    </row>
    <row r="10" spans="3:30" ht="16.5" customHeight="1" x14ac:dyDescent="0.15">
      <c r="D10" s="376" t="s">
        <v>199</v>
      </c>
      <c r="E10" s="549" t="s">
        <v>229</v>
      </c>
      <c r="F10" s="549" t="s">
        <v>230</v>
      </c>
      <c r="G10" s="552" t="s">
        <v>233</v>
      </c>
      <c r="H10" s="362" t="s">
        <v>231</v>
      </c>
      <c r="I10" s="363"/>
      <c r="J10" s="362" t="s">
        <v>232</v>
      </c>
      <c r="K10" s="363"/>
      <c r="L10" s="368" t="s">
        <v>226</v>
      </c>
      <c r="M10" s="370"/>
      <c r="N10" s="549" t="s">
        <v>234</v>
      </c>
      <c r="O10" s="362" t="s">
        <v>235</v>
      </c>
      <c r="P10" s="363"/>
      <c r="S10" s="393" t="s">
        <v>226</v>
      </c>
      <c r="T10" s="393" t="s">
        <v>355</v>
      </c>
      <c r="U10" s="376" t="s">
        <v>360</v>
      </c>
      <c r="V10" s="376"/>
      <c r="W10" s="376"/>
      <c r="X10" s="376" t="s">
        <v>361</v>
      </c>
      <c r="Y10" s="376"/>
      <c r="Z10" s="376"/>
      <c r="AA10" s="25" t="s">
        <v>362</v>
      </c>
      <c r="AB10" s="25" t="s">
        <v>360</v>
      </c>
      <c r="AC10" s="25" t="s">
        <v>361</v>
      </c>
      <c r="AD10" s="25" t="s">
        <v>362</v>
      </c>
    </row>
    <row r="11" spans="3:30" ht="16.5" customHeight="1" x14ac:dyDescent="0.15">
      <c r="D11" s="376"/>
      <c r="E11" s="550"/>
      <c r="F11" s="550"/>
      <c r="G11" s="553"/>
      <c r="H11" s="364"/>
      <c r="I11" s="365"/>
      <c r="J11" s="364"/>
      <c r="K11" s="365"/>
      <c r="L11" s="371"/>
      <c r="M11" s="372"/>
      <c r="N11" s="550"/>
      <c r="O11" s="364"/>
      <c r="P11" s="365"/>
      <c r="S11" s="393"/>
      <c r="T11" s="393"/>
      <c r="U11" s="94" t="s">
        <v>354</v>
      </c>
      <c r="V11" s="376" t="s">
        <v>357</v>
      </c>
      <c r="W11" s="376"/>
      <c r="X11" s="94" t="s">
        <v>354</v>
      </c>
      <c r="Y11" s="376" t="s">
        <v>357</v>
      </c>
      <c r="Z11" s="376"/>
      <c r="AA11" s="94" t="s">
        <v>354</v>
      </c>
      <c r="AB11" s="94" t="s">
        <v>354</v>
      </c>
      <c r="AC11" s="94" t="s">
        <v>354</v>
      </c>
      <c r="AD11" s="94" t="s">
        <v>354</v>
      </c>
    </row>
    <row r="12" spans="3:30" ht="16.5" customHeight="1" x14ac:dyDescent="0.15">
      <c r="D12" s="376"/>
      <c r="E12" s="550"/>
      <c r="F12" s="550"/>
      <c r="G12" s="553"/>
      <c r="H12" s="364"/>
      <c r="I12" s="365"/>
      <c r="J12" s="364"/>
      <c r="K12" s="365"/>
      <c r="L12" s="371"/>
      <c r="M12" s="372"/>
      <c r="N12" s="550"/>
      <c r="O12" s="364"/>
      <c r="P12" s="365"/>
      <c r="S12" s="393"/>
      <c r="T12" s="393"/>
      <c r="U12" s="171" t="s">
        <v>358</v>
      </c>
      <c r="V12" s="171" t="s">
        <v>358</v>
      </c>
      <c r="W12" s="171" t="s">
        <v>359</v>
      </c>
      <c r="X12" s="171" t="s">
        <v>358</v>
      </c>
      <c r="Y12" s="171" t="s">
        <v>358</v>
      </c>
      <c r="Z12" s="171" t="s">
        <v>359</v>
      </c>
      <c r="AA12" s="171" t="s">
        <v>358</v>
      </c>
      <c r="AB12" s="171" t="s">
        <v>359</v>
      </c>
      <c r="AC12" s="171" t="s">
        <v>359</v>
      </c>
      <c r="AD12" s="171" t="s">
        <v>359</v>
      </c>
    </row>
    <row r="13" spans="3:30" ht="16.5" customHeight="1" x14ac:dyDescent="0.15">
      <c r="D13" s="376"/>
      <c r="E13" s="550"/>
      <c r="F13" s="550"/>
      <c r="G13" s="553"/>
      <c r="H13" s="364"/>
      <c r="I13" s="365"/>
      <c r="J13" s="364"/>
      <c r="K13" s="365"/>
      <c r="L13" s="371"/>
      <c r="M13" s="372"/>
      <c r="N13" s="550"/>
      <c r="O13" s="366"/>
      <c r="P13" s="367"/>
      <c r="S13" s="37">
        <f>+L15</f>
        <v>17</v>
      </c>
      <c r="T13" s="37"/>
      <c r="U13" s="165"/>
      <c r="V13" s="172"/>
      <c r="W13" s="172"/>
      <c r="X13" s="165"/>
      <c r="Y13" s="172"/>
      <c r="Z13" s="172"/>
      <c r="AA13" s="172"/>
      <c r="AB13" s="172"/>
      <c r="AC13" s="172"/>
      <c r="AD13" s="172"/>
    </row>
    <row r="14" spans="3:30" ht="16.5" customHeight="1" x14ac:dyDescent="0.15">
      <c r="D14" s="376"/>
      <c r="E14" s="551"/>
      <c r="F14" s="551"/>
      <c r="G14" s="554"/>
      <c r="H14" s="366"/>
      <c r="I14" s="367"/>
      <c r="J14" s="366"/>
      <c r="K14" s="367"/>
      <c r="L14" s="356"/>
      <c r="M14" s="357"/>
      <c r="N14" s="551"/>
      <c r="O14" s="69" t="s">
        <v>208</v>
      </c>
      <c r="P14" s="96">
        <f>+E9</f>
        <v>2</v>
      </c>
      <c r="S14" s="37">
        <f>+S13+1</f>
        <v>18</v>
      </c>
      <c r="T14" s="37"/>
      <c r="U14" s="165"/>
      <c r="V14" s="172"/>
      <c r="W14" s="172"/>
      <c r="X14" s="165"/>
      <c r="Y14" s="172"/>
      <c r="Z14" s="172"/>
      <c r="AA14" s="172"/>
      <c r="AB14" s="172"/>
      <c r="AC14" s="172"/>
      <c r="AD14" s="172"/>
    </row>
    <row r="15" spans="3:30" ht="16.5" customHeight="1" x14ac:dyDescent="0.15">
      <c r="D15" s="555" t="s">
        <v>16</v>
      </c>
      <c r="E15" s="606">
        <v>3.3</v>
      </c>
      <c r="F15" s="595" t="s">
        <v>157</v>
      </c>
      <c r="G15" s="597">
        <v>2000</v>
      </c>
      <c r="H15" s="79">
        <f>+E5/2</f>
        <v>0.65</v>
      </c>
      <c r="I15" s="79"/>
      <c r="J15" s="99" t="s">
        <v>157</v>
      </c>
      <c r="K15" s="99" t="s">
        <v>157</v>
      </c>
      <c r="L15" s="105">
        <v>17</v>
      </c>
      <c r="M15" s="104">
        <v>67</v>
      </c>
      <c r="N15" s="95" t="s">
        <v>157</v>
      </c>
      <c r="O15" s="95" t="s">
        <v>157</v>
      </c>
      <c r="P15" s="95" t="s">
        <v>157</v>
      </c>
      <c r="S15" s="37">
        <f t="shared" ref="S15:S37" si="0">+S14+1</f>
        <v>19</v>
      </c>
      <c r="T15" s="37"/>
      <c r="U15" s="165"/>
      <c r="V15" s="172"/>
      <c r="W15" s="172"/>
      <c r="X15" s="165"/>
      <c r="Y15" s="172"/>
      <c r="Z15" s="172"/>
      <c r="AA15" s="172"/>
      <c r="AB15" s="172"/>
      <c r="AC15" s="172"/>
      <c r="AD15" s="172"/>
    </row>
    <row r="16" spans="3:30" ht="16.5" customHeight="1" x14ac:dyDescent="0.15">
      <c r="D16" s="555"/>
      <c r="E16" s="570"/>
      <c r="F16" s="596"/>
      <c r="G16" s="598"/>
      <c r="H16" s="547">
        <f>+E5</f>
        <v>1.3</v>
      </c>
      <c r="I16" s="574"/>
      <c r="J16" s="600" t="s">
        <v>157</v>
      </c>
      <c r="K16" s="600" t="s">
        <v>157</v>
      </c>
      <c r="L16" s="387">
        <f>+L15+1</f>
        <v>18</v>
      </c>
      <c r="M16" s="577">
        <f>+M15+1</f>
        <v>68</v>
      </c>
      <c r="N16" s="589" t="s">
        <v>157</v>
      </c>
      <c r="O16" s="589" t="s">
        <v>157</v>
      </c>
      <c r="P16" s="589" t="s">
        <v>157</v>
      </c>
      <c r="S16" s="37">
        <f t="shared" si="0"/>
        <v>20</v>
      </c>
      <c r="T16" s="37"/>
      <c r="U16" s="165"/>
      <c r="V16" s="172"/>
      <c r="W16" s="172"/>
      <c r="X16" s="165"/>
      <c r="Y16" s="172"/>
      <c r="Z16" s="172"/>
      <c r="AA16" s="172"/>
      <c r="AB16" s="172"/>
      <c r="AC16" s="172"/>
      <c r="AD16" s="172"/>
    </row>
    <row r="17" spans="4:30" ht="16.5" customHeight="1" x14ac:dyDescent="0.15">
      <c r="D17" s="555"/>
      <c r="E17" s="570"/>
      <c r="F17" s="596"/>
      <c r="G17" s="598"/>
      <c r="H17" s="547"/>
      <c r="I17" s="575"/>
      <c r="J17" s="591"/>
      <c r="K17" s="591"/>
      <c r="L17" s="419"/>
      <c r="M17" s="579"/>
      <c r="N17" s="568"/>
      <c r="O17" s="568"/>
      <c r="P17" s="568"/>
      <c r="S17" s="37">
        <f t="shared" si="0"/>
        <v>21</v>
      </c>
      <c r="T17" s="37" t="s">
        <v>356</v>
      </c>
      <c r="U17" s="165">
        <f>+P22</f>
        <v>29492.175416064885</v>
      </c>
      <c r="V17" s="167">
        <f>+'周面支持力(4P左)'!P22</f>
        <v>156.66494244921586</v>
      </c>
      <c r="W17" s="167">
        <f>+V17</f>
        <v>156.66494244921586</v>
      </c>
      <c r="X17" s="165">
        <f>+U17</f>
        <v>29492.175416064885</v>
      </c>
      <c r="Y17" s="167">
        <f>+V17</f>
        <v>156.66494244921586</v>
      </c>
      <c r="Z17" s="167">
        <f>+Y17</f>
        <v>156.66494244921586</v>
      </c>
      <c r="AA17" s="165">
        <f>+X17</f>
        <v>29492.175416064885</v>
      </c>
      <c r="AB17" s="165">
        <f>+AA17</f>
        <v>29492.175416064885</v>
      </c>
      <c r="AC17" s="165">
        <f t="shared" ref="AC17:AD17" si="1">+AB17</f>
        <v>29492.175416064885</v>
      </c>
      <c r="AD17" s="165">
        <f t="shared" si="1"/>
        <v>29492.175416064885</v>
      </c>
    </row>
    <row r="18" spans="4:30" ht="16.5" customHeight="1" x14ac:dyDescent="0.15">
      <c r="D18" s="555"/>
      <c r="E18" s="570"/>
      <c r="F18" s="596"/>
      <c r="G18" s="598"/>
      <c r="H18" s="547">
        <f>+H16</f>
        <v>1.3</v>
      </c>
      <c r="I18" s="547"/>
      <c r="J18" s="600" t="s">
        <v>157</v>
      </c>
      <c r="K18" s="600" t="s">
        <v>157</v>
      </c>
      <c r="L18" s="387">
        <f>+L16+1</f>
        <v>19</v>
      </c>
      <c r="M18" s="577">
        <f>+M16+1</f>
        <v>69</v>
      </c>
      <c r="N18" s="589" t="s">
        <v>157</v>
      </c>
      <c r="O18" s="589" t="s">
        <v>157</v>
      </c>
      <c r="P18" s="589" t="s">
        <v>157</v>
      </c>
      <c r="S18" s="37">
        <f t="shared" si="0"/>
        <v>22</v>
      </c>
      <c r="T18" s="37" t="s">
        <v>356</v>
      </c>
      <c r="U18" s="165">
        <f>+P24</f>
        <v>39978.965631787629</v>
      </c>
      <c r="V18" s="167">
        <f>+'周面支持力(4P左)'!P24</f>
        <v>212.37166338267002</v>
      </c>
      <c r="W18" s="167">
        <f t="shared" ref="W18:W36" si="2">+V18</f>
        <v>212.37166338267002</v>
      </c>
      <c r="X18" s="165">
        <f t="shared" ref="X18:X36" si="3">+U18</f>
        <v>39978.965631787629</v>
      </c>
      <c r="Y18" s="167">
        <f t="shared" ref="Y18:Y36" si="4">+V18</f>
        <v>212.37166338267002</v>
      </c>
      <c r="Z18" s="167">
        <f t="shared" ref="Z18:Z36" si="5">+Y18</f>
        <v>212.37166338267002</v>
      </c>
      <c r="AA18" s="165">
        <f t="shared" ref="AA18:AA36" si="6">+X18</f>
        <v>39978.965631787629</v>
      </c>
      <c r="AB18" s="165">
        <f t="shared" ref="AB18:AD36" si="7">+AA18</f>
        <v>39978.965631787629</v>
      </c>
      <c r="AC18" s="165">
        <f t="shared" si="7"/>
        <v>39978.965631787629</v>
      </c>
      <c r="AD18" s="165">
        <f t="shared" si="7"/>
        <v>39978.965631787629</v>
      </c>
    </row>
    <row r="19" spans="4:30" ht="16.5" customHeight="1" x14ac:dyDescent="0.15">
      <c r="D19" s="555"/>
      <c r="E19" s="570"/>
      <c r="F19" s="596"/>
      <c r="G19" s="598"/>
      <c r="H19" s="547"/>
      <c r="I19" s="574"/>
      <c r="J19" s="591"/>
      <c r="K19" s="591"/>
      <c r="L19" s="419"/>
      <c r="M19" s="579"/>
      <c r="N19" s="568"/>
      <c r="O19" s="568"/>
      <c r="P19" s="568"/>
      <c r="S19" s="37">
        <f t="shared" si="0"/>
        <v>23</v>
      </c>
      <c r="T19" s="37" t="s">
        <v>356</v>
      </c>
      <c r="U19" s="165">
        <f>+P26</f>
        <v>81710.814300572238</v>
      </c>
      <c r="V19" s="167">
        <f>+'周面支持力(4P左)'!P26</f>
        <v>802.11143631454638</v>
      </c>
      <c r="W19" s="167">
        <f t="shared" si="2"/>
        <v>802.11143631454638</v>
      </c>
      <c r="X19" s="165">
        <f t="shared" si="3"/>
        <v>81710.814300572238</v>
      </c>
      <c r="Y19" s="167">
        <f t="shared" si="4"/>
        <v>802.11143631454638</v>
      </c>
      <c r="Z19" s="167">
        <f t="shared" si="5"/>
        <v>802.11143631454638</v>
      </c>
      <c r="AA19" s="165">
        <f t="shared" si="6"/>
        <v>81710.814300572238</v>
      </c>
      <c r="AB19" s="165">
        <f t="shared" si="7"/>
        <v>81710.814300572238</v>
      </c>
      <c r="AC19" s="165">
        <f t="shared" si="7"/>
        <v>81710.814300572238</v>
      </c>
      <c r="AD19" s="165">
        <f t="shared" si="7"/>
        <v>81710.814300572238</v>
      </c>
    </row>
    <row r="20" spans="4:30" ht="16.5" customHeight="1" x14ac:dyDescent="0.15">
      <c r="D20" s="555"/>
      <c r="E20" s="570"/>
      <c r="F20" s="596"/>
      <c r="G20" s="598"/>
      <c r="H20" s="547">
        <f t="shared" ref="H20" si="8">+H18</f>
        <v>1.3</v>
      </c>
      <c r="I20" s="79">
        <f>+E15-H15-H16-H18</f>
        <v>4.9999999999999822E-2</v>
      </c>
      <c r="J20" s="600" t="s">
        <v>157</v>
      </c>
      <c r="K20" s="99" t="s">
        <v>157</v>
      </c>
      <c r="L20" s="387">
        <f t="shared" ref="L20:M20" si="9">+L18+1</f>
        <v>20</v>
      </c>
      <c r="M20" s="577">
        <f t="shared" si="9"/>
        <v>70</v>
      </c>
      <c r="N20" s="589" t="s">
        <v>157</v>
      </c>
      <c r="O20" s="589" t="s">
        <v>157</v>
      </c>
      <c r="P20" s="589" t="s">
        <v>157</v>
      </c>
      <c r="S20" s="37">
        <f t="shared" si="0"/>
        <v>24</v>
      </c>
      <c r="T20" s="37" t="s">
        <v>356</v>
      </c>
      <c r="U20" s="165">
        <f>+P28</f>
        <v>97085.705915387589</v>
      </c>
      <c r="V20" s="167">
        <f>+'周面支持力(4P左)'!P28</f>
        <v>1019.3839842368162</v>
      </c>
      <c r="W20" s="167">
        <f t="shared" si="2"/>
        <v>1019.3839842368162</v>
      </c>
      <c r="X20" s="165">
        <f t="shared" si="3"/>
        <v>97085.705915387589</v>
      </c>
      <c r="Y20" s="167">
        <f t="shared" si="4"/>
        <v>1019.3839842368162</v>
      </c>
      <c r="Z20" s="167">
        <f t="shared" si="5"/>
        <v>1019.3839842368162</v>
      </c>
      <c r="AA20" s="165">
        <f t="shared" si="6"/>
        <v>97085.705915387589</v>
      </c>
      <c r="AB20" s="165">
        <f t="shared" si="7"/>
        <v>97085.705915387589</v>
      </c>
      <c r="AC20" s="165">
        <f t="shared" si="7"/>
        <v>97085.705915387589</v>
      </c>
      <c r="AD20" s="165">
        <f t="shared" si="7"/>
        <v>97085.705915387589</v>
      </c>
    </row>
    <row r="21" spans="4:30" ht="16.5" customHeight="1" x14ac:dyDescent="0.15">
      <c r="D21" s="555" t="s">
        <v>17</v>
      </c>
      <c r="E21" s="606">
        <v>1.3</v>
      </c>
      <c r="F21" s="595" t="s">
        <v>157</v>
      </c>
      <c r="G21" s="597">
        <v>10571</v>
      </c>
      <c r="H21" s="547"/>
      <c r="I21" s="101">
        <f>+H20-I20</f>
        <v>1.2500000000000002</v>
      </c>
      <c r="J21" s="591"/>
      <c r="K21" s="99" t="s">
        <v>157</v>
      </c>
      <c r="L21" s="419"/>
      <c r="M21" s="579"/>
      <c r="N21" s="568"/>
      <c r="O21" s="568"/>
      <c r="P21" s="568"/>
      <c r="S21" s="37">
        <f t="shared" si="0"/>
        <v>25</v>
      </c>
      <c r="T21" s="37" t="s">
        <v>356</v>
      </c>
      <c r="U21" s="165">
        <f>+P30</f>
        <v>136838.82245130866</v>
      </c>
      <c r="V21" s="167">
        <f>+'周面支持力(4P左)'!P30</f>
        <v>1066.4324758169771</v>
      </c>
      <c r="W21" s="167">
        <f t="shared" si="2"/>
        <v>1066.4324758169771</v>
      </c>
      <c r="X21" s="165">
        <f t="shared" si="3"/>
        <v>136838.82245130866</v>
      </c>
      <c r="Y21" s="167">
        <f t="shared" si="4"/>
        <v>1066.4324758169771</v>
      </c>
      <c r="Z21" s="167">
        <f t="shared" si="5"/>
        <v>1066.4324758169771</v>
      </c>
      <c r="AA21" s="165">
        <f t="shared" si="6"/>
        <v>136838.82245130866</v>
      </c>
      <c r="AB21" s="165">
        <f t="shared" si="7"/>
        <v>136838.82245130866</v>
      </c>
      <c r="AC21" s="165">
        <f t="shared" si="7"/>
        <v>136838.82245130866</v>
      </c>
      <c r="AD21" s="165">
        <f t="shared" si="7"/>
        <v>136838.82245130866</v>
      </c>
    </row>
    <row r="22" spans="4:30" ht="16.5" customHeight="1" x14ac:dyDescent="0.15">
      <c r="D22" s="555"/>
      <c r="E22" s="570"/>
      <c r="F22" s="596"/>
      <c r="G22" s="598"/>
      <c r="H22" s="547">
        <f t="shared" ref="H22:H28" si="10">+H20</f>
        <v>1.3</v>
      </c>
      <c r="I22" s="79">
        <f>+E21-I21</f>
        <v>4.9999999999999822E-2</v>
      </c>
      <c r="J22" s="600" t="s">
        <v>157</v>
      </c>
      <c r="K22" s="99" t="s">
        <v>157</v>
      </c>
      <c r="L22" s="387">
        <f t="shared" ref="L22:M22" si="11">+L20+1</f>
        <v>21</v>
      </c>
      <c r="M22" s="577">
        <f t="shared" si="11"/>
        <v>71</v>
      </c>
      <c r="N22" s="587">
        <f>+G23*K23</f>
        <v>3610.6350000000011</v>
      </c>
      <c r="O22" s="587">
        <f>+E6*N22</f>
        <v>14746.087708032443</v>
      </c>
      <c r="P22" s="588">
        <f>+E9*O22</f>
        <v>29492.175416064885</v>
      </c>
      <c r="S22" s="37">
        <f t="shared" si="0"/>
        <v>26</v>
      </c>
      <c r="T22" s="37" t="s">
        <v>356</v>
      </c>
      <c r="U22" s="165">
        <f>+P33</f>
        <v>145623.24958149684</v>
      </c>
      <c r="V22" s="167">
        <f>+'周面支持力(4P左)'!P33</f>
        <v>1529.0759763552242</v>
      </c>
      <c r="W22" s="167">
        <f t="shared" si="2"/>
        <v>1529.0759763552242</v>
      </c>
      <c r="X22" s="165">
        <f t="shared" si="3"/>
        <v>145623.24958149684</v>
      </c>
      <c r="Y22" s="167">
        <f t="shared" si="4"/>
        <v>1529.0759763552242</v>
      </c>
      <c r="Z22" s="167">
        <f t="shared" si="5"/>
        <v>1529.0759763552242</v>
      </c>
      <c r="AA22" s="165">
        <f t="shared" si="6"/>
        <v>145623.24958149684</v>
      </c>
      <c r="AB22" s="165">
        <f t="shared" si="7"/>
        <v>145623.24958149684</v>
      </c>
      <c r="AC22" s="165">
        <f t="shared" si="7"/>
        <v>145623.24958149684</v>
      </c>
      <c r="AD22" s="165">
        <f t="shared" si="7"/>
        <v>145623.24958149684</v>
      </c>
    </row>
    <row r="23" spans="4:30" ht="16.5" customHeight="1" x14ac:dyDescent="0.15">
      <c r="D23" s="555" t="s">
        <v>18</v>
      </c>
      <c r="E23" s="570">
        <v>2.9</v>
      </c>
      <c r="F23" s="599">
        <f>+E15+E21+E23-E8</f>
        <v>2.609</v>
      </c>
      <c r="G23" s="571">
        <v>3765</v>
      </c>
      <c r="H23" s="547"/>
      <c r="I23" s="102">
        <f>+H22-I22</f>
        <v>1.2500000000000002</v>
      </c>
      <c r="J23" s="591"/>
      <c r="K23" s="98">
        <f>+F23-K26-J24</f>
        <v>0.9590000000000003</v>
      </c>
      <c r="L23" s="419"/>
      <c r="M23" s="579"/>
      <c r="N23" s="572"/>
      <c r="O23" s="572"/>
      <c r="P23" s="573"/>
      <c r="S23" s="37">
        <f t="shared" si="0"/>
        <v>27</v>
      </c>
      <c r="T23" s="37" t="s">
        <v>356</v>
      </c>
      <c r="U23" s="165">
        <f>+P35</f>
        <v>145623.24958149684</v>
      </c>
      <c r="V23" s="167">
        <f>+'周面支持力(4P左)'!P35</f>
        <v>1529.0759763552242</v>
      </c>
      <c r="W23" s="167">
        <f t="shared" si="2"/>
        <v>1529.0759763552242</v>
      </c>
      <c r="X23" s="165">
        <f t="shared" si="3"/>
        <v>145623.24958149684</v>
      </c>
      <c r="Y23" s="167">
        <f t="shared" si="4"/>
        <v>1529.0759763552242</v>
      </c>
      <c r="Z23" s="167">
        <f t="shared" si="5"/>
        <v>1529.0759763552242</v>
      </c>
      <c r="AA23" s="165">
        <f t="shared" si="6"/>
        <v>145623.24958149684</v>
      </c>
      <c r="AB23" s="165">
        <f t="shared" si="7"/>
        <v>145623.24958149684</v>
      </c>
      <c r="AC23" s="165">
        <f t="shared" si="7"/>
        <v>145623.24958149684</v>
      </c>
      <c r="AD23" s="165">
        <f t="shared" si="7"/>
        <v>145623.24958149684</v>
      </c>
    </row>
    <row r="24" spans="4:30" ht="16.5" customHeight="1" x14ac:dyDescent="0.15">
      <c r="D24" s="555"/>
      <c r="E24" s="570"/>
      <c r="F24" s="599"/>
      <c r="G24" s="571"/>
      <c r="H24" s="547">
        <f t="shared" si="10"/>
        <v>1.3</v>
      </c>
      <c r="I24" s="590"/>
      <c r="J24" s="601">
        <f>+H24</f>
        <v>1.3</v>
      </c>
      <c r="K24" s="600"/>
      <c r="L24" s="387">
        <f t="shared" ref="L24:M24" si="12">+L22+1</f>
        <v>22</v>
      </c>
      <c r="M24" s="577">
        <f t="shared" si="12"/>
        <v>72</v>
      </c>
      <c r="N24" s="587">
        <f>+G23*J24</f>
        <v>4894.5</v>
      </c>
      <c r="O24" s="587">
        <f>+E6*N24</f>
        <v>19989.482815893814</v>
      </c>
      <c r="P24" s="588">
        <f>+E9*O24</f>
        <v>39978.965631787629</v>
      </c>
      <c r="S24" s="37">
        <f t="shared" si="0"/>
        <v>28</v>
      </c>
      <c r="T24" s="37" t="s">
        <v>356</v>
      </c>
      <c r="U24" s="165">
        <f>+P37</f>
        <v>145623.24958149684</v>
      </c>
      <c r="V24" s="167">
        <f>+'周面支持力(4P左)'!P37</f>
        <v>1529.0759763552242</v>
      </c>
      <c r="W24" s="167">
        <f t="shared" si="2"/>
        <v>1529.0759763552242</v>
      </c>
      <c r="X24" s="165">
        <f t="shared" si="3"/>
        <v>145623.24958149684</v>
      </c>
      <c r="Y24" s="167">
        <f t="shared" si="4"/>
        <v>1529.0759763552242</v>
      </c>
      <c r="Z24" s="167">
        <f t="shared" si="5"/>
        <v>1529.0759763552242</v>
      </c>
      <c r="AA24" s="165">
        <f t="shared" si="6"/>
        <v>145623.24958149684</v>
      </c>
      <c r="AB24" s="165">
        <f t="shared" si="7"/>
        <v>145623.24958149684</v>
      </c>
      <c r="AC24" s="165">
        <f t="shared" si="7"/>
        <v>145623.24958149684</v>
      </c>
      <c r="AD24" s="165">
        <f t="shared" si="7"/>
        <v>145623.24958149684</v>
      </c>
    </row>
    <row r="25" spans="4:30" ht="16.5" customHeight="1" x14ac:dyDescent="0.15">
      <c r="D25" s="555"/>
      <c r="E25" s="570"/>
      <c r="F25" s="599"/>
      <c r="G25" s="571"/>
      <c r="H25" s="547"/>
      <c r="I25" s="590"/>
      <c r="J25" s="547"/>
      <c r="K25" s="591"/>
      <c r="L25" s="419"/>
      <c r="M25" s="579"/>
      <c r="N25" s="572"/>
      <c r="O25" s="572"/>
      <c r="P25" s="573"/>
      <c r="S25" s="37">
        <f t="shared" si="0"/>
        <v>29</v>
      </c>
      <c r="T25" s="37" t="s">
        <v>356</v>
      </c>
      <c r="U25" s="165">
        <f>+P39</f>
        <v>145623.24958149684</v>
      </c>
      <c r="V25" s="167">
        <f>+'周面支持力(4P左)'!P39</f>
        <v>1529.0759763552242</v>
      </c>
      <c r="W25" s="167">
        <f t="shared" si="2"/>
        <v>1529.0759763552242</v>
      </c>
      <c r="X25" s="165">
        <f t="shared" si="3"/>
        <v>145623.24958149684</v>
      </c>
      <c r="Y25" s="167">
        <f t="shared" si="4"/>
        <v>1529.0759763552242</v>
      </c>
      <c r="Z25" s="167">
        <f t="shared" si="5"/>
        <v>1529.0759763552242</v>
      </c>
      <c r="AA25" s="165">
        <f t="shared" si="6"/>
        <v>145623.24958149684</v>
      </c>
      <c r="AB25" s="165">
        <f t="shared" si="7"/>
        <v>145623.24958149684</v>
      </c>
      <c r="AC25" s="165">
        <f t="shared" si="7"/>
        <v>145623.24958149684</v>
      </c>
      <c r="AD25" s="165">
        <f t="shared" si="7"/>
        <v>145623.24958149684</v>
      </c>
    </row>
    <row r="26" spans="4:30" ht="16.5" customHeight="1" x14ac:dyDescent="0.15">
      <c r="D26" s="555"/>
      <c r="E26" s="570"/>
      <c r="F26" s="599"/>
      <c r="G26" s="571"/>
      <c r="H26" s="547">
        <f t="shared" si="10"/>
        <v>1.3</v>
      </c>
      <c r="I26" s="79">
        <f>+E23-I23-H24</f>
        <v>0.34999999999999964</v>
      </c>
      <c r="J26" s="547">
        <f>+K26+K27</f>
        <v>1.3</v>
      </c>
      <c r="K26" s="79">
        <f>+I26</f>
        <v>0.34999999999999964</v>
      </c>
      <c r="L26" s="577">
        <f t="shared" ref="L26:M26" si="13">+L24+1</f>
        <v>23</v>
      </c>
      <c r="M26" s="577">
        <f t="shared" si="13"/>
        <v>73</v>
      </c>
      <c r="N26" s="572">
        <f>+G23*K26+G27*K27</f>
        <v>10003.600000000002</v>
      </c>
      <c r="O26" s="572">
        <f>+E6*N26</f>
        <v>40855.407150286119</v>
      </c>
      <c r="P26" s="573">
        <f>+E9*O26</f>
        <v>81710.814300572238</v>
      </c>
      <c r="S26" s="37">
        <f t="shared" si="0"/>
        <v>30</v>
      </c>
      <c r="T26" s="37" t="s">
        <v>356</v>
      </c>
      <c r="U26" s="165">
        <f>+P41</f>
        <v>145623.24958149684</v>
      </c>
      <c r="V26" s="167">
        <f>+'周面支持力(4P左)'!P41</f>
        <v>1529.0759763552242</v>
      </c>
      <c r="W26" s="167">
        <f t="shared" si="2"/>
        <v>1529.0759763552242</v>
      </c>
      <c r="X26" s="165">
        <f t="shared" si="3"/>
        <v>145623.24958149684</v>
      </c>
      <c r="Y26" s="167">
        <f t="shared" si="4"/>
        <v>1529.0759763552242</v>
      </c>
      <c r="Z26" s="167">
        <f t="shared" si="5"/>
        <v>1529.0759763552242</v>
      </c>
      <c r="AA26" s="165">
        <f t="shared" si="6"/>
        <v>145623.24958149684</v>
      </c>
      <c r="AB26" s="165">
        <f t="shared" si="7"/>
        <v>145623.24958149684</v>
      </c>
      <c r="AC26" s="165">
        <f t="shared" si="7"/>
        <v>145623.24958149684</v>
      </c>
      <c r="AD26" s="165">
        <f t="shared" si="7"/>
        <v>145623.24958149684</v>
      </c>
    </row>
    <row r="27" spans="4:30" ht="16.5" customHeight="1" x14ac:dyDescent="0.15">
      <c r="D27" s="555" t="s">
        <v>19</v>
      </c>
      <c r="E27" s="570">
        <v>2.6</v>
      </c>
      <c r="F27" s="599">
        <f>+E27</f>
        <v>2.6</v>
      </c>
      <c r="G27" s="571">
        <v>9143</v>
      </c>
      <c r="H27" s="547"/>
      <c r="I27" s="101">
        <f>+H26-I26</f>
        <v>0.9500000000000004</v>
      </c>
      <c r="J27" s="547"/>
      <c r="K27" s="103">
        <f>+I27</f>
        <v>0.9500000000000004</v>
      </c>
      <c r="L27" s="579"/>
      <c r="M27" s="579"/>
      <c r="N27" s="572"/>
      <c r="O27" s="572"/>
      <c r="P27" s="573"/>
      <c r="S27" s="37">
        <f t="shared" si="0"/>
        <v>31</v>
      </c>
      <c r="T27" s="37" t="s">
        <v>356</v>
      </c>
      <c r="U27" s="165">
        <f>+P43</f>
        <v>145623.24958149684</v>
      </c>
      <c r="V27" s="167">
        <f>+'周面支持力(4P左)'!P43</f>
        <v>1529.0759763552242</v>
      </c>
      <c r="W27" s="167">
        <f t="shared" si="2"/>
        <v>1529.0759763552242</v>
      </c>
      <c r="X27" s="165">
        <f t="shared" si="3"/>
        <v>145623.24958149684</v>
      </c>
      <c r="Y27" s="167">
        <f t="shared" si="4"/>
        <v>1529.0759763552242</v>
      </c>
      <c r="Z27" s="167">
        <f t="shared" si="5"/>
        <v>1529.0759763552242</v>
      </c>
      <c r="AA27" s="165">
        <f t="shared" si="6"/>
        <v>145623.24958149684</v>
      </c>
      <c r="AB27" s="165">
        <f t="shared" si="7"/>
        <v>145623.24958149684</v>
      </c>
      <c r="AC27" s="165">
        <f t="shared" si="7"/>
        <v>145623.24958149684</v>
      </c>
      <c r="AD27" s="165">
        <f t="shared" si="7"/>
        <v>145623.24958149684</v>
      </c>
    </row>
    <row r="28" spans="4:30" ht="16.5" customHeight="1" x14ac:dyDescent="0.15">
      <c r="D28" s="555"/>
      <c r="E28" s="570"/>
      <c r="F28" s="599"/>
      <c r="G28" s="571"/>
      <c r="H28" s="547">
        <f t="shared" si="10"/>
        <v>1.3</v>
      </c>
      <c r="I28" s="591"/>
      <c r="J28" s="547">
        <f>+E5</f>
        <v>1.3</v>
      </c>
      <c r="K28" s="591"/>
      <c r="L28" s="577">
        <f t="shared" ref="L28:M28" si="14">+L26+1</f>
        <v>24</v>
      </c>
      <c r="M28" s="577">
        <f t="shared" si="14"/>
        <v>74</v>
      </c>
      <c r="N28" s="572">
        <f>+G27*J28</f>
        <v>11885.9</v>
      </c>
      <c r="O28" s="572">
        <f>+E6*N28</f>
        <v>48542.852957693794</v>
      </c>
      <c r="P28" s="573">
        <f>+E9*O28</f>
        <v>97085.705915387589</v>
      </c>
      <c r="S28" s="37">
        <f t="shared" si="0"/>
        <v>32</v>
      </c>
      <c r="T28" s="37" t="s">
        <v>356</v>
      </c>
      <c r="U28" s="165">
        <f>+P45</f>
        <v>145623.24958149684</v>
      </c>
      <c r="V28" s="167">
        <f>+'周面支持力(4P左)'!P45</f>
        <v>1529.0759763552242</v>
      </c>
      <c r="W28" s="167">
        <f t="shared" si="2"/>
        <v>1529.0759763552242</v>
      </c>
      <c r="X28" s="165">
        <f t="shared" si="3"/>
        <v>145623.24958149684</v>
      </c>
      <c r="Y28" s="167">
        <f t="shared" si="4"/>
        <v>1529.0759763552242</v>
      </c>
      <c r="Z28" s="167">
        <f t="shared" si="5"/>
        <v>1529.0759763552242</v>
      </c>
      <c r="AA28" s="165">
        <f t="shared" si="6"/>
        <v>145623.24958149684</v>
      </c>
      <c r="AB28" s="165">
        <f t="shared" si="7"/>
        <v>145623.24958149684</v>
      </c>
      <c r="AC28" s="165">
        <f t="shared" si="7"/>
        <v>145623.24958149684</v>
      </c>
      <c r="AD28" s="165">
        <f t="shared" si="7"/>
        <v>145623.24958149684</v>
      </c>
    </row>
    <row r="29" spans="4:30" ht="16.5" customHeight="1" x14ac:dyDescent="0.15">
      <c r="D29" s="555"/>
      <c r="E29" s="570"/>
      <c r="F29" s="599"/>
      <c r="G29" s="571"/>
      <c r="H29" s="547"/>
      <c r="I29" s="591"/>
      <c r="J29" s="547"/>
      <c r="K29" s="591"/>
      <c r="L29" s="579"/>
      <c r="M29" s="579"/>
      <c r="N29" s="572"/>
      <c r="O29" s="572"/>
      <c r="P29" s="573"/>
      <c r="S29" s="37">
        <f t="shared" si="0"/>
        <v>33</v>
      </c>
      <c r="T29" s="37" t="s">
        <v>356</v>
      </c>
      <c r="U29" s="165">
        <f>+P47</f>
        <v>72865.534520684087</v>
      </c>
      <c r="V29" s="167">
        <f>+'周面支持力(4P左)'!P47</f>
        <v>418.20881404587431</v>
      </c>
      <c r="W29" s="167">
        <f t="shared" si="2"/>
        <v>418.20881404587431</v>
      </c>
      <c r="X29" s="165">
        <f t="shared" si="3"/>
        <v>72865.534520684087</v>
      </c>
      <c r="Y29" s="167">
        <f t="shared" si="4"/>
        <v>418.20881404587431</v>
      </c>
      <c r="Z29" s="167">
        <f t="shared" si="5"/>
        <v>418.20881404587431</v>
      </c>
      <c r="AA29" s="165">
        <f t="shared" si="6"/>
        <v>72865.534520684087</v>
      </c>
      <c r="AB29" s="165">
        <f t="shared" si="7"/>
        <v>72865.534520684087</v>
      </c>
      <c r="AC29" s="165">
        <f t="shared" si="7"/>
        <v>72865.534520684087</v>
      </c>
      <c r="AD29" s="165">
        <f t="shared" si="7"/>
        <v>72865.534520684087</v>
      </c>
    </row>
    <row r="30" spans="4:30" ht="16.5" customHeight="1" x14ac:dyDescent="0.15">
      <c r="D30" s="555"/>
      <c r="E30" s="570"/>
      <c r="F30" s="599"/>
      <c r="G30" s="571"/>
      <c r="H30" s="547">
        <f t="shared" ref="H30:J30" si="15">+H28</f>
        <v>1.3</v>
      </c>
      <c r="I30" s="79">
        <f>+E27-I27-H28</f>
        <v>0.34999999999999964</v>
      </c>
      <c r="J30" s="547">
        <f t="shared" si="15"/>
        <v>1.3</v>
      </c>
      <c r="K30" s="79">
        <f>+F27-K27-J28</f>
        <v>0.34999999999999964</v>
      </c>
      <c r="L30" s="577">
        <f>+L28+1</f>
        <v>25</v>
      </c>
      <c r="M30" s="577">
        <f>+M28+1</f>
        <v>75</v>
      </c>
      <c r="N30" s="545">
        <f>+G27*K30+G31*K31+G32*K32</f>
        <v>16752.75</v>
      </c>
      <c r="O30" s="572">
        <f>+E6*N30</f>
        <v>68419.41122565433</v>
      </c>
      <c r="P30" s="573">
        <f>+E9*O30</f>
        <v>136838.82245130866</v>
      </c>
      <c r="S30" s="37">
        <f t="shared" si="0"/>
        <v>34</v>
      </c>
      <c r="T30" s="37" t="s">
        <v>356</v>
      </c>
      <c r="U30" s="165">
        <f>+P49</f>
        <v>69955.225918251497</v>
      </c>
      <c r="V30" s="167">
        <f>+'周面支持力(4P左)'!P49</f>
        <v>373.77412755349928</v>
      </c>
      <c r="W30" s="167">
        <f t="shared" si="2"/>
        <v>373.77412755349928</v>
      </c>
      <c r="X30" s="165">
        <f t="shared" si="3"/>
        <v>69955.225918251497</v>
      </c>
      <c r="Y30" s="167">
        <f t="shared" si="4"/>
        <v>373.77412755349928</v>
      </c>
      <c r="Z30" s="167">
        <f t="shared" si="5"/>
        <v>373.77412755349928</v>
      </c>
      <c r="AA30" s="165">
        <f t="shared" si="6"/>
        <v>69955.225918251497</v>
      </c>
      <c r="AB30" s="165">
        <f t="shared" si="7"/>
        <v>69955.225918251497</v>
      </c>
      <c r="AC30" s="165">
        <f t="shared" si="7"/>
        <v>69955.225918251497</v>
      </c>
      <c r="AD30" s="165">
        <f t="shared" si="7"/>
        <v>69955.225918251497</v>
      </c>
    </row>
    <row r="31" spans="4:30" ht="16.5" customHeight="1" x14ac:dyDescent="0.15">
      <c r="D31" s="90" t="s">
        <v>203</v>
      </c>
      <c r="E31" s="91">
        <v>0.6</v>
      </c>
      <c r="F31" s="100">
        <f>+E31</f>
        <v>0.6</v>
      </c>
      <c r="G31" s="92">
        <v>14588</v>
      </c>
      <c r="H31" s="547"/>
      <c r="I31" s="79">
        <f>+E31</f>
        <v>0.6</v>
      </c>
      <c r="J31" s="547"/>
      <c r="K31" s="79">
        <f>+F31</f>
        <v>0.6</v>
      </c>
      <c r="L31" s="578"/>
      <c r="M31" s="578"/>
      <c r="N31" s="580"/>
      <c r="O31" s="572"/>
      <c r="P31" s="573"/>
      <c r="S31" s="37">
        <f t="shared" si="0"/>
        <v>35</v>
      </c>
      <c r="T31" s="37" t="s">
        <v>356</v>
      </c>
      <c r="U31" s="165">
        <f>+P51</f>
        <v>69955.225918251497</v>
      </c>
      <c r="V31" s="167">
        <f>+'周面支持力(4P左)'!P51</f>
        <v>373.77412755349928</v>
      </c>
      <c r="W31" s="167">
        <f t="shared" si="2"/>
        <v>373.77412755349928</v>
      </c>
      <c r="X31" s="165">
        <f t="shared" si="3"/>
        <v>69955.225918251497</v>
      </c>
      <c r="Y31" s="167">
        <f t="shared" si="4"/>
        <v>373.77412755349928</v>
      </c>
      <c r="Z31" s="167">
        <f t="shared" si="5"/>
        <v>373.77412755349928</v>
      </c>
      <c r="AA31" s="165">
        <f t="shared" si="6"/>
        <v>69955.225918251497</v>
      </c>
      <c r="AB31" s="165">
        <f t="shared" si="7"/>
        <v>69955.225918251497</v>
      </c>
      <c r="AC31" s="165">
        <f t="shared" si="7"/>
        <v>69955.225918251497</v>
      </c>
      <c r="AD31" s="165">
        <f t="shared" si="7"/>
        <v>69955.225918251497</v>
      </c>
    </row>
    <row r="32" spans="4:30" ht="16.5" customHeight="1" x14ac:dyDescent="0.15">
      <c r="D32" s="555" t="s">
        <v>204</v>
      </c>
      <c r="E32" s="570">
        <v>9.5</v>
      </c>
      <c r="F32" s="599">
        <f>+E32</f>
        <v>9.5</v>
      </c>
      <c r="G32" s="571">
        <v>13714</v>
      </c>
      <c r="H32" s="547"/>
      <c r="I32" s="79">
        <f>+H30-I30-I31</f>
        <v>0.35000000000000042</v>
      </c>
      <c r="J32" s="547"/>
      <c r="K32" s="79">
        <f>+J30-K30-K31</f>
        <v>0.35000000000000042</v>
      </c>
      <c r="L32" s="579"/>
      <c r="M32" s="579"/>
      <c r="N32" s="546"/>
      <c r="O32" s="572"/>
      <c r="P32" s="573"/>
      <c r="S32" s="37">
        <f t="shared" si="0"/>
        <v>36</v>
      </c>
      <c r="T32" s="37" t="s">
        <v>356</v>
      </c>
      <c r="U32" s="165">
        <f>+P53</f>
        <v>69955.225918251497</v>
      </c>
      <c r="V32" s="167">
        <f>+'周面支持力(4P左)'!P53</f>
        <v>373.77412755349928</v>
      </c>
      <c r="W32" s="167">
        <f t="shared" si="2"/>
        <v>373.77412755349928</v>
      </c>
      <c r="X32" s="165">
        <f t="shared" si="3"/>
        <v>69955.225918251497</v>
      </c>
      <c r="Y32" s="167">
        <f t="shared" si="4"/>
        <v>373.77412755349928</v>
      </c>
      <c r="Z32" s="167">
        <f t="shared" si="5"/>
        <v>373.77412755349928</v>
      </c>
      <c r="AA32" s="165">
        <f t="shared" si="6"/>
        <v>69955.225918251497</v>
      </c>
      <c r="AB32" s="165">
        <f t="shared" si="7"/>
        <v>69955.225918251497</v>
      </c>
      <c r="AC32" s="165">
        <f t="shared" si="7"/>
        <v>69955.225918251497</v>
      </c>
      <c r="AD32" s="165">
        <f t="shared" si="7"/>
        <v>69955.225918251497</v>
      </c>
    </row>
    <row r="33" spans="4:30" ht="16.5" customHeight="1" x14ac:dyDescent="0.15">
      <c r="D33" s="555"/>
      <c r="E33" s="570"/>
      <c r="F33" s="599"/>
      <c r="G33" s="571"/>
      <c r="H33" s="547">
        <f t="shared" ref="H33:J33" si="16">+H30</f>
        <v>1.3</v>
      </c>
      <c r="I33" s="592"/>
      <c r="J33" s="547">
        <f t="shared" si="16"/>
        <v>1.3</v>
      </c>
      <c r="K33" s="592"/>
      <c r="L33" s="577">
        <f t="shared" ref="L33:M33" si="17">+L30+1</f>
        <v>26</v>
      </c>
      <c r="M33" s="577">
        <f t="shared" si="17"/>
        <v>76</v>
      </c>
      <c r="N33" s="545">
        <f>+G32*J33</f>
        <v>17828.2</v>
      </c>
      <c r="O33" s="572">
        <f>+E6*N33</f>
        <v>72811.624790748421</v>
      </c>
      <c r="P33" s="573">
        <f>+E9*O33</f>
        <v>145623.24958149684</v>
      </c>
      <c r="S33" s="37">
        <f t="shared" si="0"/>
        <v>37</v>
      </c>
      <c r="T33" s="37" t="s">
        <v>356</v>
      </c>
      <c r="U33" s="165">
        <f>+P55</f>
        <v>69955.225918251497</v>
      </c>
      <c r="V33" s="167">
        <f>+'周面支持力(4P左)'!P55</f>
        <v>373.77412755349928</v>
      </c>
      <c r="W33" s="167">
        <f t="shared" si="2"/>
        <v>373.77412755349928</v>
      </c>
      <c r="X33" s="165">
        <f t="shared" si="3"/>
        <v>69955.225918251497</v>
      </c>
      <c r="Y33" s="167">
        <f t="shared" si="4"/>
        <v>373.77412755349928</v>
      </c>
      <c r="Z33" s="167">
        <f t="shared" si="5"/>
        <v>373.77412755349928</v>
      </c>
      <c r="AA33" s="165">
        <f t="shared" si="6"/>
        <v>69955.225918251497</v>
      </c>
      <c r="AB33" s="165">
        <f t="shared" si="7"/>
        <v>69955.225918251497</v>
      </c>
      <c r="AC33" s="165">
        <f t="shared" si="7"/>
        <v>69955.225918251497</v>
      </c>
      <c r="AD33" s="165">
        <f t="shared" si="7"/>
        <v>69955.225918251497</v>
      </c>
    </row>
    <row r="34" spans="4:30" ht="16.5" customHeight="1" x14ac:dyDescent="0.15">
      <c r="D34" s="555"/>
      <c r="E34" s="570"/>
      <c r="F34" s="599"/>
      <c r="G34" s="571"/>
      <c r="H34" s="547"/>
      <c r="I34" s="593"/>
      <c r="J34" s="547"/>
      <c r="K34" s="593"/>
      <c r="L34" s="579"/>
      <c r="M34" s="579"/>
      <c r="N34" s="546"/>
      <c r="O34" s="572"/>
      <c r="P34" s="573"/>
      <c r="S34" s="37">
        <f t="shared" si="0"/>
        <v>38</v>
      </c>
      <c r="T34" s="37" t="s">
        <v>356</v>
      </c>
      <c r="U34" s="165">
        <f>+P57</f>
        <v>69955.225918251497</v>
      </c>
      <c r="V34" s="167">
        <f>+'周面支持力(4P左)'!P57</f>
        <v>373.77412755349928</v>
      </c>
      <c r="W34" s="167">
        <f t="shared" si="2"/>
        <v>373.77412755349928</v>
      </c>
      <c r="X34" s="165">
        <f t="shared" si="3"/>
        <v>69955.225918251497</v>
      </c>
      <c r="Y34" s="167">
        <f t="shared" si="4"/>
        <v>373.77412755349928</v>
      </c>
      <c r="Z34" s="167">
        <f t="shared" si="5"/>
        <v>373.77412755349928</v>
      </c>
      <c r="AA34" s="165">
        <f t="shared" si="6"/>
        <v>69955.225918251497</v>
      </c>
      <c r="AB34" s="165">
        <f t="shared" si="7"/>
        <v>69955.225918251497</v>
      </c>
      <c r="AC34" s="165">
        <f t="shared" si="7"/>
        <v>69955.225918251497</v>
      </c>
      <c r="AD34" s="165">
        <f t="shared" si="7"/>
        <v>69955.225918251497</v>
      </c>
    </row>
    <row r="35" spans="4:30" ht="16.5" customHeight="1" x14ac:dyDescent="0.15">
      <c r="D35" s="555"/>
      <c r="E35" s="570"/>
      <c r="F35" s="599"/>
      <c r="G35" s="571"/>
      <c r="H35" s="547">
        <f t="shared" ref="H35:J35" si="18">+H33</f>
        <v>1.3</v>
      </c>
      <c r="I35" s="592"/>
      <c r="J35" s="547">
        <f t="shared" si="18"/>
        <v>1.3</v>
      </c>
      <c r="K35" s="592"/>
      <c r="L35" s="577">
        <f t="shared" ref="L35:M35" si="19">+L33+1</f>
        <v>27</v>
      </c>
      <c r="M35" s="577">
        <f t="shared" si="19"/>
        <v>77</v>
      </c>
      <c r="N35" s="545">
        <f>+G32*J35</f>
        <v>17828.2</v>
      </c>
      <c r="O35" s="572">
        <f>+E6*N35</f>
        <v>72811.624790748421</v>
      </c>
      <c r="P35" s="573">
        <f>+E9*O35</f>
        <v>145623.24958149684</v>
      </c>
      <c r="S35" s="37">
        <f t="shared" si="0"/>
        <v>39</v>
      </c>
      <c r="T35" s="37" t="s">
        <v>356</v>
      </c>
      <c r="U35" s="165">
        <f>+P59</f>
        <v>69955.225918251497</v>
      </c>
      <c r="V35" s="167">
        <f>+'周面支持力(4P左)'!P59</f>
        <v>373.77412755349928</v>
      </c>
      <c r="W35" s="167">
        <f t="shared" si="2"/>
        <v>373.77412755349928</v>
      </c>
      <c r="X35" s="165">
        <f t="shared" si="3"/>
        <v>69955.225918251497</v>
      </c>
      <c r="Y35" s="167">
        <f t="shared" si="4"/>
        <v>373.77412755349928</v>
      </c>
      <c r="Z35" s="167">
        <f t="shared" si="5"/>
        <v>373.77412755349928</v>
      </c>
      <c r="AA35" s="165">
        <f t="shared" si="6"/>
        <v>69955.225918251497</v>
      </c>
      <c r="AB35" s="165">
        <f t="shared" si="7"/>
        <v>69955.225918251497</v>
      </c>
      <c r="AC35" s="165">
        <f t="shared" si="7"/>
        <v>69955.225918251497</v>
      </c>
      <c r="AD35" s="165">
        <f t="shared" si="7"/>
        <v>69955.225918251497</v>
      </c>
    </row>
    <row r="36" spans="4:30" ht="16.5" customHeight="1" x14ac:dyDescent="0.15">
      <c r="D36" s="555"/>
      <c r="E36" s="570"/>
      <c r="F36" s="599"/>
      <c r="G36" s="571"/>
      <c r="H36" s="547"/>
      <c r="I36" s="593"/>
      <c r="J36" s="547"/>
      <c r="K36" s="593"/>
      <c r="L36" s="579"/>
      <c r="M36" s="579"/>
      <c r="N36" s="546"/>
      <c r="O36" s="572"/>
      <c r="P36" s="573"/>
      <c r="S36" s="37">
        <f t="shared" si="0"/>
        <v>40</v>
      </c>
      <c r="T36" s="37" t="s">
        <v>356</v>
      </c>
      <c r="U36" s="165">
        <f>+P61</f>
        <v>24215.270510164111</v>
      </c>
      <c r="V36" s="167">
        <f>+'周面支持力(4P左)'!P61</f>
        <v>129.38335184544275</v>
      </c>
      <c r="W36" s="167">
        <f t="shared" si="2"/>
        <v>129.38335184544275</v>
      </c>
      <c r="X36" s="165">
        <f t="shared" si="3"/>
        <v>24215.270510164111</v>
      </c>
      <c r="Y36" s="167">
        <f t="shared" si="4"/>
        <v>129.38335184544275</v>
      </c>
      <c r="Z36" s="167">
        <f t="shared" si="5"/>
        <v>129.38335184544275</v>
      </c>
      <c r="AA36" s="165">
        <f t="shared" si="6"/>
        <v>24215.270510164111</v>
      </c>
      <c r="AB36" s="165">
        <f t="shared" si="7"/>
        <v>24215.270510164111</v>
      </c>
      <c r="AC36" s="165">
        <f t="shared" si="7"/>
        <v>24215.270510164111</v>
      </c>
      <c r="AD36" s="165">
        <f t="shared" si="7"/>
        <v>24215.270510164111</v>
      </c>
    </row>
    <row r="37" spans="4:30" ht="16.5" customHeight="1" x14ac:dyDescent="0.15">
      <c r="D37" s="555"/>
      <c r="E37" s="570"/>
      <c r="F37" s="599"/>
      <c r="G37" s="571"/>
      <c r="H37" s="547">
        <f t="shared" ref="H37:J53" si="20">+H35</f>
        <v>1.3</v>
      </c>
      <c r="I37" s="592"/>
      <c r="J37" s="547">
        <f t="shared" si="20"/>
        <v>1.3</v>
      </c>
      <c r="K37" s="592"/>
      <c r="L37" s="577">
        <f t="shared" ref="L37:M37" si="21">+L35+1</f>
        <v>28</v>
      </c>
      <c r="M37" s="577">
        <f t="shared" si="21"/>
        <v>78</v>
      </c>
      <c r="N37" s="545">
        <f>+G32*J37</f>
        <v>17828.2</v>
      </c>
      <c r="O37" s="572">
        <f>+E6*N37</f>
        <v>72811.624790748421</v>
      </c>
      <c r="P37" s="573">
        <f>+E9*O37</f>
        <v>145623.24958149684</v>
      </c>
      <c r="S37" s="37">
        <f t="shared" si="0"/>
        <v>41</v>
      </c>
      <c r="T37" s="37"/>
      <c r="U37" s="165"/>
      <c r="V37" s="172"/>
      <c r="W37" s="172"/>
      <c r="X37" s="165"/>
      <c r="Y37" s="172"/>
      <c r="Z37" s="172"/>
      <c r="AA37" s="165"/>
      <c r="AB37" s="165"/>
      <c r="AC37" s="165"/>
      <c r="AD37" s="165"/>
    </row>
    <row r="38" spans="4:30" ht="16.5" customHeight="1" x14ac:dyDescent="0.15">
      <c r="D38" s="555"/>
      <c r="E38" s="570"/>
      <c r="F38" s="599"/>
      <c r="G38" s="571"/>
      <c r="H38" s="547"/>
      <c r="I38" s="593"/>
      <c r="J38" s="547"/>
      <c r="K38" s="593"/>
      <c r="L38" s="579"/>
      <c r="M38" s="579"/>
      <c r="N38" s="546"/>
      <c r="O38" s="572"/>
      <c r="P38" s="573"/>
    </row>
    <row r="39" spans="4:30" ht="16.5" customHeight="1" x14ac:dyDescent="0.15">
      <c r="D39" s="555"/>
      <c r="E39" s="570"/>
      <c r="F39" s="599"/>
      <c r="G39" s="571"/>
      <c r="H39" s="547">
        <f t="shared" ref="H39:J39" si="22">+H37</f>
        <v>1.3</v>
      </c>
      <c r="I39" s="594"/>
      <c r="J39" s="547">
        <f t="shared" si="22"/>
        <v>1.3</v>
      </c>
      <c r="K39" s="594"/>
      <c r="L39" s="577">
        <f t="shared" ref="L39:M39" si="23">+L37+1</f>
        <v>29</v>
      </c>
      <c r="M39" s="577">
        <f t="shared" si="23"/>
        <v>79</v>
      </c>
      <c r="N39" s="545">
        <f>+G32*J39</f>
        <v>17828.2</v>
      </c>
      <c r="O39" s="572">
        <f>+E6*N39</f>
        <v>72811.624790748421</v>
      </c>
      <c r="P39" s="573">
        <f>+E9*O39</f>
        <v>145623.24958149684</v>
      </c>
    </row>
    <row r="40" spans="4:30" ht="16.5" customHeight="1" x14ac:dyDescent="0.15">
      <c r="D40" s="555"/>
      <c r="E40" s="570"/>
      <c r="F40" s="599"/>
      <c r="G40" s="571"/>
      <c r="H40" s="547"/>
      <c r="I40" s="594"/>
      <c r="J40" s="547"/>
      <c r="K40" s="594"/>
      <c r="L40" s="579"/>
      <c r="M40" s="579"/>
      <c r="N40" s="546"/>
      <c r="O40" s="572"/>
      <c r="P40" s="573"/>
    </row>
    <row r="41" spans="4:30" ht="16.5" customHeight="1" x14ac:dyDescent="0.15">
      <c r="D41" s="555"/>
      <c r="E41" s="570"/>
      <c r="F41" s="599"/>
      <c r="G41" s="571"/>
      <c r="H41" s="547">
        <f t="shared" ref="H41:J41" si="24">+H39</f>
        <v>1.3</v>
      </c>
      <c r="I41" s="594"/>
      <c r="J41" s="547">
        <f t="shared" si="24"/>
        <v>1.3</v>
      </c>
      <c r="K41" s="594"/>
      <c r="L41" s="577">
        <f t="shared" ref="L41:M41" si="25">+L39+1</f>
        <v>30</v>
      </c>
      <c r="M41" s="577">
        <f t="shared" si="25"/>
        <v>80</v>
      </c>
      <c r="N41" s="545">
        <f>+G32*J41</f>
        <v>17828.2</v>
      </c>
      <c r="O41" s="572">
        <f>+E6*N41</f>
        <v>72811.624790748421</v>
      </c>
      <c r="P41" s="573">
        <f>+E9*O41</f>
        <v>145623.24958149684</v>
      </c>
    </row>
    <row r="42" spans="4:30" ht="16.5" customHeight="1" x14ac:dyDescent="0.15">
      <c r="D42" s="555"/>
      <c r="E42" s="570"/>
      <c r="F42" s="599"/>
      <c r="G42" s="571"/>
      <c r="H42" s="547"/>
      <c r="I42" s="594"/>
      <c r="J42" s="547"/>
      <c r="K42" s="594"/>
      <c r="L42" s="579"/>
      <c r="M42" s="579"/>
      <c r="N42" s="546"/>
      <c r="O42" s="572"/>
      <c r="P42" s="573"/>
    </row>
    <row r="43" spans="4:30" ht="16.5" customHeight="1" x14ac:dyDescent="0.15">
      <c r="D43" s="555"/>
      <c r="E43" s="570"/>
      <c r="F43" s="599"/>
      <c r="G43" s="571"/>
      <c r="H43" s="547">
        <f t="shared" ref="H43:J43" si="26">+H41</f>
        <v>1.3</v>
      </c>
      <c r="I43" s="594"/>
      <c r="J43" s="547">
        <f t="shared" si="26"/>
        <v>1.3</v>
      </c>
      <c r="K43" s="594"/>
      <c r="L43" s="577">
        <f>+L41+1</f>
        <v>31</v>
      </c>
      <c r="M43" s="577">
        <f>+M41+1</f>
        <v>81</v>
      </c>
      <c r="N43" s="545">
        <f>+G32*J43</f>
        <v>17828.2</v>
      </c>
      <c r="O43" s="572">
        <f>+E6*N43</f>
        <v>72811.624790748421</v>
      </c>
      <c r="P43" s="573">
        <f>+E9*O43</f>
        <v>145623.24958149684</v>
      </c>
    </row>
    <row r="44" spans="4:30" ht="16.5" customHeight="1" x14ac:dyDescent="0.15">
      <c r="D44" s="555"/>
      <c r="E44" s="570"/>
      <c r="F44" s="599"/>
      <c r="G44" s="571"/>
      <c r="H44" s="547"/>
      <c r="I44" s="594"/>
      <c r="J44" s="547"/>
      <c r="K44" s="594"/>
      <c r="L44" s="579"/>
      <c r="M44" s="579"/>
      <c r="N44" s="546"/>
      <c r="O44" s="572"/>
      <c r="P44" s="573"/>
    </row>
    <row r="45" spans="4:30" ht="16.5" customHeight="1" x14ac:dyDescent="0.15">
      <c r="D45" s="555"/>
      <c r="E45" s="570"/>
      <c r="F45" s="599"/>
      <c r="G45" s="571"/>
      <c r="H45" s="547">
        <f t="shared" ref="H45:J45" si="27">+H43</f>
        <v>1.3</v>
      </c>
      <c r="I45" s="594"/>
      <c r="J45" s="547">
        <f t="shared" si="27"/>
        <v>1.3</v>
      </c>
      <c r="K45" s="594"/>
      <c r="L45" s="577">
        <f t="shared" ref="L45:M45" si="28">+L43+1</f>
        <v>32</v>
      </c>
      <c r="M45" s="577">
        <f t="shared" si="28"/>
        <v>82</v>
      </c>
      <c r="N45" s="545">
        <f>+G32*J45</f>
        <v>17828.2</v>
      </c>
      <c r="O45" s="572">
        <f>+E6*N45</f>
        <v>72811.624790748421</v>
      </c>
      <c r="P45" s="573">
        <f>+E9*O45</f>
        <v>145623.24958149684</v>
      </c>
    </row>
    <row r="46" spans="4:30" ht="16.5" customHeight="1" x14ac:dyDescent="0.15">
      <c r="D46" s="555"/>
      <c r="E46" s="570"/>
      <c r="F46" s="599"/>
      <c r="G46" s="571"/>
      <c r="H46" s="547"/>
      <c r="I46" s="594"/>
      <c r="J46" s="547"/>
      <c r="K46" s="594"/>
      <c r="L46" s="579"/>
      <c r="M46" s="579"/>
      <c r="N46" s="546"/>
      <c r="O46" s="572"/>
      <c r="P46" s="573"/>
    </row>
    <row r="47" spans="4:30" ht="16.5" customHeight="1" x14ac:dyDescent="0.15">
      <c r="D47" s="555"/>
      <c r="E47" s="570"/>
      <c r="F47" s="599"/>
      <c r="G47" s="571"/>
      <c r="H47" s="547">
        <f t="shared" ref="H47:J47" si="29">+H45</f>
        <v>1.3</v>
      </c>
      <c r="I47" s="79">
        <f>+E32-I32-H33-H35-H37-H39-H41-H43-H45</f>
        <v>5.0000000000001155E-2</v>
      </c>
      <c r="J47" s="547">
        <f t="shared" si="29"/>
        <v>1.3</v>
      </c>
      <c r="K47" s="79">
        <f>+F32-K32-J33-J35-J37-J39-J41-J43-J45</f>
        <v>5.0000000000001155E-2</v>
      </c>
      <c r="L47" s="577">
        <f t="shared" ref="L47:M47" si="30">+L45+1</f>
        <v>33</v>
      </c>
      <c r="M47" s="577">
        <f t="shared" si="30"/>
        <v>83</v>
      </c>
      <c r="N47" s="545">
        <f>+G32*K47+G48*K48</f>
        <v>8920.700000000008</v>
      </c>
      <c r="O47" s="572">
        <f>+E6*N47</f>
        <v>36432.767260342043</v>
      </c>
      <c r="P47" s="573">
        <f>+E9*O47</f>
        <v>72865.534520684087</v>
      </c>
    </row>
    <row r="48" spans="4:30" ht="16.5" customHeight="1" x14ac:dyDescent="0.15">
      <c r="D48" s="555" t="s">
        <v>205</v>
      </c>
      <c r="E48" s="570">
        <v>10.8</v>
      </c>
      <c r="F48" s="599">
        <f>+E48-E5</f>
        <v>9.5</v>
      </c>
      <c r="G48" s="571">
        <v>6588</v>
      </c>
      <c r="H48" s="547"/>
      <c r="I48" s="79">
        <f>+H47-I47</f>
        <v>1.2499999999999989</v>
      </c>
      <c r="J48" s="547"/>
      <c r="K48" s="79">
        <f>+J47-K47</f>
        <v>1.2499999999999989</v>
      </c>
      <c r="L48" s="579"/>
      <c r="M48" s="579"/>
      <c r="N48" s="546"/>
      <c r="O48" s="572"/>
      <c r="P48" s="573"/>
    </row>
    <row r="49" spans="4:16" ht="16.5" customHeight="1" x14ac:dyDescent="0.15">
      <c r="D49" s="555"/>
      <c r="E49" s="570"/>
      <c r="F49" s="599"/>
      <c r="G49" s="571"/>
      <c r="H49" s="547">
        <f t="shared" ref="H49:J49" si="31">+H47</f>
        <v>1.3</v>
      </c>
      <c r="I49" s="591"/>
      <c r="J49" s="547">
        <f t="shared" si="31"/>
        <v>1.3</v>
      </c>
      <c r="K49" s="591"/>
      <c r="L49" s="577">
        <f t="shared" ref="L49:M49" si="32">+L47+1</f>
        <v>34</v>
      </c>
      <c r="M49" s="577">
        <f t="shared" si="32"/>
        <v>84</v>
      </c>
      <c r="N49" s="545">
        <f>+G48*J49</f>
        <v>8564.4</v>
      </c>
      <c r="O49" s="572">
        <f>+E6*N49</f>
        <v>34977.612959125749</v>
      </c>
      <c r="P49" s="573">
        <f>+E9*O49</f>
        <v>69955.225918251497</v>
      </c>
    </row>
    <row r="50" spans="4:16" ht="16.5" customHeight="1" x14ac:dyDescent="0.15">
      <c r="D50" s="555"/>
      <c r="E50" s="570"/>
      <c r="F50" s="599"/>
      <c r="G50" s="571"/>
      <c r="H50" s="547"/>
      <c r="I50" s="591"/>
      <c r="J50" s="547"/>
      <c r="K50" s="591"/>
      <c r="L50" s="579"/>
      <c r="M50" s="579"/>
      <c r="N50" s="546"/>
      <c r="O50" s="572"/>
      <c r="P50" s="573"/>
    </row>
    <row r="51" spans="4:16" ht="16.5" customHeight="1" x14ac:dyDescent="0.15">
      <c r="D51" s="555"/>
      <c r="E51" s="570"/>
      <c r="F51" s="599"/>
      <c r="G51" s="571"/>
      <c r="H51" s="547">
        <f t="shared" ref="H51:J51" si="33">+H49</f>
        <v>1.3</v>
      </c>
      <c r="I51" s="591"/>
      <c r="J51" s="547">
        <f t="shared" si="33"/>
        <v>1.3</v>
      </c>
      <c r="K51" s="591"/>
      <c r="L51" s="577">
        <f t="shared" ref="L51:M51" si="34">+L49+1</f>
        <v>35</v>
      </c>
      <c r="M51" s="577">
        <f t="shared" si="34"/>
        <v>85</v>
      </c>
      <c r="N51" s="545">
        <f>+G48*J51</f>
        <v>8564.4</v>
      </c>
      <c r="O51" s="572">
        <f>+E6*N51</f>
        <v>34977.612959125749</v>
      </c>
      <c r="P51" s="573">
        <f>+E9*O51</f>
        <v>69955.225918251497</v>
      </c>
    </row>
    <row r="52" spans="4:16" ht="16.5" customHeight="1" x14ac:dyDescent="0.15">
      <c r="D52" s="555"/>
      <c r="E52" s="570"/>
      <c r="F52" s="599"/>
      <c r="G52" s="571"/>
      <c r="H52" s="547"/>
      <c r="I52" s="591"/>
      <c r="J52" s="547"/>
      <c r="K52" s="591"/>
      <c r="L52" s="579"/>
      <c r="M52" s="579"/>
      <c r="N52" s="546"/>
      <c r="O52" s="572"/>
      <c r="P52" s="573"/>
    </row>
    <row r="53" spans="4:16" ht="16.5" customHeight="1" x14ac:dyDescent="0.15">
      <c r="D53" s="555"/>
      <c r="E53" s="570"/>
      <c r="F53" s="599"/>
      <c r="G53" s="571"/>
      <c r="H53" s="547">
        <f t="shared" si="20"/>
        <v>1.3</v>
      </c>
      <c r="I53" s="591"/>
      <c r="J53" s="547">
        <f t="shared" si="20"/>
        <v>1.3</v>
      </c>
      <c r="K53" s="591"/>
      <c r="L53" s="577">
        <f t="shared" ref="L53:M53" si="35">+L51+1</f>
        <v>36</v>
      </c>
      <c r="M53" s="577">
        <f t="shared" si="35"/>
        <v>86</v>
      </c>
      <c r="N53" s="545">
        <f>+G48*J53</f>
        <v>8564.4</v>
      </c>
      <c r="O53" s="572">
        <f>+E6*N53</f>
        <v>34977.612959125749</v>
      </c>
      <c r="P53" s="573">
        <f>+E9*O53</f>
        <v>69955.225918251497</v>
      </c>
    </row>
    <row r="54" spans="4:16" ht="16.5" customHeight="1" x14ac:dyDescent="0.15">
      <c r="D54" s="555"/>
      <c r="E54" s="570"/>
      <c r="F54" s="599"/>
      <c r="G54" s="571"/>
      <c r="H54" s="547"/>
      <c r="I54" s="591"/>
      <c r="J54" s="547"/>
      <c r="K54" s="591"/>
      <c r="L54" s="579"/>
      <c r="M54" s="579"/>
      <c r="N54" s="546"/>
      <c r="O54" s="572"/>
      <c r="P54" s="573"/>
    </row>
    <row r="55" spans="4:16" ht="16.5" customHeight="1" x14ac:dyDescent="0.15">
      <c r="D55" s="555"/>
      <c r="E55" s="570"/>
      <c r="F55" s="599"/>
      <c r="G55" s="571"/>
      <c r="H55" s="547">
        <f>+H53</f>
        <v>1.3</v>
      </c>
      <c r="I55" s="591"/>
      <c r="J55" s="547">
        <f>+J53</f>
        <v>1.3</v>
      </c>
      <c r="K55" s="591"/>
      <c r="L55" s="577">
        <f>+L53+1</f>
        <v>37</v>
      </c>
      <c r="M55" s="577">
        <f>+M53+1</f>
        <v>87</v>
      </c>
      <c r="N55" s="545">
        <f>+G48*J55</f>
        <v>8564.4</v>
      </c>
      <c r="O55" s="572">
        <f>+E6*N55</f>
        <v>34977.612959125749</v>
      </c>
      <c r="P55" s="573">
        <f>+E9*O55</f>
        <v>69955.225918251497</v>
      </c>
    </row>
    <row r="56" spans="4:16" ht="16.5" customHeight="1" x14ac:dyDescent="0.15">
      <c r="D56" s="555"/>
      <c r="E56" s="570"/>
      <c r="F56" s="599"/>
      <c r="G56" s="571"/>
      <c r="H56" s="547"/>
      <c r="I56" s="591"/>
      <c r="J56" s="547"/>
      <c r="K56" s="591"/>
      <c r="L56" s="579"/>
      <c r="M56" s="579"/>
      <c r="N56" s="546"/>
      <c r="O56" s="572"/>
      <c r="P56" s="573"/>
    </row>
    <row r="57" spans="4:16" ht="16.5" customHeight="1" x14ac:dyDescent="0.15">
      <c r="D57" s="555"/>
      <c r="E57" s="570"/>
      <c r="F57" s="599"/>
      <c r="G57" s="571"/>
      <c r="H57" s="547">
        <f t="shared" ref="H57:J57" si="36">+H55</f>
        <v>1.3</v>
      </c>
      <c r="I57" s="591"/>
      <c r="J57" s="547">
        <f t="shared" si="36"/>
        <v>1.3</v>
      </c>
      <c r="K57" s="591"/>
      <c r="L57" s="577">
        <f t="shared" ref="L57:M57" si="37">+L55+1</f>
        <v>38</v>
      </c>
      <c r="M57" s="577">
        <f t="shared" si="37"/>
        <v>88</v>
      </c>
      <c r="N57" s="545">
        <f>+G48*J57</f>
        <v>8564.4</v>
      </c>
      <c r="O57" s="572">
        <f>+E6*N57</f>
        <v>34977.612959125749</v>
      </c>
      <c r="P57" s="573">
        <f>+E9*O57</f>
        <v>69955.225918251497</v>
      </c>
    </row>
    <row r="58" spans="4:16" ht="16.5" customHeight="1" x14ac:dyDescent="0.15">
      <c r="D58" s="555"/>
      <c r="E58" s="570"/>
      <c r="F58" s="599"/>
      <c r="G58" s="571"/>
      <c r="H58" s="547"/>
      <c r="I58" s="591"/>
      <c r="J58" s="547"/>
      <c r="K58" s="591"/>
      <c r="L58" s="579"/>
      <c r="M58" s="579"/>
      <c r="N58" s="546"/>
      <c r="O58" s="572"/>
      <c r="P58" s="573"/>
    </row>
    <row r="59" spans="4:16" ht="16.5" customHeight="1" x14ac:dyDescent="0.15">
      <c r="D59" s="555"/>
      <c r="E59" s="570"/>
      <c r="F59" s="599"/>
      <c r="G59" s="571"/>
      <c r="H59" s="547">
        <f t="shared" ref="H59:J59" si="38">+H57</f>
        <v>1.3</v>
      </c>
      <c r="I59" s="591"/>
      <c r="J59" s="547">
        <f t="shared" si="38"/>
        <v>1.3</v>
      </c>
      <c r="K59" s="591"/>
      <c r="L59" s="577">
        <f t="shared" ref="L59:M59" si="39">+L57+1</f>
        <v>39</v>
      </c>
      <c r="M59" s="577">
        <f t="shared" si="39"/>
        <v>89</v>
      </c>
      <c r="N59" s="545">
        <f>+G48*J59</f>
        <v>8564.4</v>
      </c>
      <c r="O59" s="572">
        <f>+E6*N59</f>
        <v>34977.612959125749</v>
      </c>
      <c r="P59" s="573">
        <f>+E9*O59</f>
        <v>69955.225918251497</v>
      </c>
    </row>
    <row r="60" spans="4:16" ht="16.5" customHeight="1" x14ac:dyDescent="0.15">
      <c r="D60" s="555"/>
      <c r="E60" s="570"/>
      <c r="F60" s="599"/>
      <c r="G60" s="571"/>
      <c r="H60" s="547"/>
      <c r="I60" s="591"/>
      <c r="J60" s="547"/>
      <c r="K60" s="591"/>
      <c r="L60" s="579"/>
      <c r="M60" s="579"/>
      <c r="N60" s="546"/>
      <c r="O60" s="572"/>
      <c r="P60" s="573"/>
    </row>
    <row r="61" spans="4:16" ht="16.5" customHeight="1" x14ac:dyDescent="0.15">
      <c r="D61" s="555"/>
      <c r="E61" s="570"/>
      <c r="F61" s="599"/>
      <c r="G61" s="571"/>
      <c r="H61" s="607">
        <v>1.2</v>
      </c>
      <c r="I61" s="591"/>
      <c r="J61" s="547">
        <f>+F48-K48-J49-J51-J53-J55-J57-J59</f>
        <v>0.4500000000000024</v>
      </c>
      <c r="K61" s="591"/>
      <c r="L61" s="577">
        <f t="shared" ref="L61:M61" si="40">+L59+1</f>
        <v>40</v>
      </c>
      <c r="M61" s="577">
        <f t="shared" si="40"/>
        <v>90</v>
      </c>
      <c r="N61" s="545">
        <f>+G48*J61</f>
        <v>2964.6000000000158</v>
      </c>
      <c r="O61" s="572">
        <f>+E6*N61</f>
        <v>12107.635255082056</v>
      </c>
      <c r="P61" s="573">
        <f>+E9*O61</f>
        <v>24215.270510164111</v>
      </c>
    </row>
    <row r="62" spans="4:16" ht="16.5" customHeight="1" x14ac:dyDescent="0.15">
      <c r="D62" s="555"/>
      <c r="E62" s="570"/>
      <c r="F62" s="599"/>
      <c r="G62" s="571"/>
      <c r="H62" s="607"/>
      <c r="I62" s="591"/>
      <c r="J62" s="547"/>
      <c r="K62" s="591"/>
      <c r="L62" s="579"/>
      <c r="M62" s="579"/>
      <c r="N62" s="546"/>
      <c r="O62" s="572"/>
      <c r="P62" s="573"/>
    </row>
    <row r="63" spans="4:16" ht="16.5" customHeight="1" x14ac:dyDescent="0.15">
      <c r="D63" s="555"/>
      <c r="E63" s="570"/>
      <c r="F63" s="599"/>
      <c r="G63" s="571"/>
      <c r="H63" s="98">
        <f>+E48-I48-H49-H51-H53-H55-H57-H59-H61</f>
        <v>0.55000000000000249</v>
      </c>
      <c r="I63" s="99"/>
      <c r="J63" s="99" t="s">
        <v>157</v>
      </c>
      <c r="K63" s="99"/>
      <c r="L63" s="37">
        <f>+L61+1</f>
        <v>41</v>
      </c>
      <c r="M63" s="37">
        <f>+M61+1</f>
        <v>91</v>
      </c>
      <c r="N63" s="95" t="s">
        <v>157</v>
      </c>
      <c r="O63" s="95" t="s">
        <v>157</v>
      </c>
      <c r="P63" s="95" t="s">
        <v>157</v>
      </c>
    </row>
    <row r="64" spans="4:16" ht="16.5" customHeight="1" x14ac:dyDescent="0.15">
      <c r="D64" s="89" t="s">
        <v>228</v>
      </c>
      <c r="E64" s="79">
        <f>SUM(E15:E63)</f>
        <v>31</v>
      </c>
      <c r="F64" s="79">
        <f>SUM(F15:F63)</f>
        <v>24.808999999999997</v>
      </c>
      <c r="G64" s="88"/>
      <c r="H64" s="79">
        <f>SUM(H15:H63)</f>
        <v>31.000000000000014</v>
      </c>
      <c r="I64" s="88"/>
      <c r="J64" s="79">
        <f>SUM(J15:J63)</f>
        <v>23.850000000000009</v>
      </c>
      <c r="K64" s="334"/>
      <c r="L64" s="327"/>
      <c r="M64" s="327"/>
      <c r="N64" s="327"/>
      <c r="O64" s="327"/>
      <c r="P64" s="328"/>
    </row>
    <row r="68" spans="3:30" ht="16.5" customHeight="1" x14ac:dyDescent="0.15">
      <c r="C68" s="18" t="s">
        <v>217</v>
      </c>
      <c r="D68" s="17" t="s">
        <v>218</v>
      </c>
    </row>
    <row r="69" spans="3:30" ht="16.5" customHeight="1" x14ac:dyDescent="0.15">
      <c r="D69" s="17" t="s">
        <v>202</v>
      </c>
      <c r="E69" s="68">
        <f>+E5</f>
        <v>1.3</v>
      </c>
      <c r="F69" s="17" t="s">
        <v>29</v>
      </c>
    </row>
    <row r="70" spans="3:30" ht="16.5" customHeight="1" x14ac:dyDescent="0.15">
      <c r="D70" s="17" t="s">
        <v>327</v>
      </c>
      <c r="E70" s="68">
        <f>+PI()*E69</f>
        <v>4.0840704496667311</v>
      </c>
      <c r="F70" s="17" t="s">
        <v>29</v>
      </c>
    </row>
    <row r="71" spans="3:30" ht="16.5" customHeight="1" x14ac:dyDescent="0.15">
      <c r="D71" s="17" t="s">
        <v>207</v>
      </c>
      <c r="E71" s="68">
        <f>+E7</f>
        <v>31</v>
      </c>
      <c r="F71" s="17" t="s">
        <v>29</v>
      </c>
    </row>
    <row r="72" spans="3:30" ht="16.5" customHeight="1" x14ac:dyDescent="0.15">
      <c r="D72" s="17" t="s">
        <v>227</v>
      </c>
      <c r="E72" s="68">
        <f>+E8</f>
        <v>4.891</v>
      </c>
      <c r="F72" s="17" t="s">
        <v>29</v>
      </c>
    </row>
    <row r="73" spans="3:30" ht="16.5" customHeight="1" x14ac:dyDescent="0.15">
      <c r="D73" s="17" t="s">
        <v>200</v>
      </c>
      <c r="E73" s="77">
        <v>1</v>
      </c>
      <c r="F73" s="17" t="s">
        <v>206</v>
      </c>
    </row>
    <row r="74" spans="3:30" ht="16.5" customHeight="1" x14ac:dyDescent="0.15">
      <c r="D74" s="376" t="s">
        <v>199</v>
      </c>
      <c r="E74" s="549" t="s">
        <v>229</v>
      </c>
      <c r="F74" s="549" t="s">
        <v>230</v>
      </c>
      <c r="G74" s="552" t="s">
        <v>233</v>
      </c>
      <c r="H74" s="362" t="s">
        <v>231</v>
      </c>
      <c r="I74" s="363"/>
      <c r="J74" s="362" t="s">
        <v>232</v>
      </c>
      <c r="K74" s="363"/>
      <c r="L74" s="368" t="s">
        <v>226</v>
      </c>
      <c r="M74" s="370"/>
      <c r="N74" s="549" t="s">
        <v>234</v>
      </c>
      <c r="O74" s="362" t="s">
        <v>235</v>
      </c>
      <c r="P74" s="363"/>
      <c r="S74" s="393" t="s">
        <v>226</v>
      </c>
      <c r="T74" s="393" t="s">
        <v>355</v>
      </c>
      <c r="U74" s="376" t="s">
        <v>360</v>
      </c>
      <c r="V74" s="376"/>
      <c r="W74" s="376"/>
      <c r="X74" s="376" t="s">
        <v>361</v>
      </c>
      <c r="Y74" s="376"/>
      <c r="Z74" s="376"/>
      <c r="AA74" s="25" t="s">
        <v>362</v>
      </c>
      <c r="AB74" s="25" t="s">
        <v>360</v>
      </c>
      <c r="AC74" s="25" t="s">
        <v>361</v>
      </c>
      <c r="AD74" s="25" t="s">
        <v>362</v>
      </c>
    </row>
    <row r="75" spans="3:30" ht="16.5" customHeight="1" x14ac:dyDescent="0.15">
      <c r="D75" s="376"/>
      <c r="E75" s="550"/>
      <c r="F75" s="550"/>
      <c r="G75" s="553"/>
      <c r="H75" s="364"/>
      <c r="I75" s="365"/>
      <c r="J75" s="364"/>
      <c r="K75" s="365"/>
      <c r="L75" s="371"/>
      <c r="M75" s="372"/>
      <c r="N75" s="550"/>
      <c r="O75" s="364"/>
      <c r="P75" s="365"/>
      <c r="S75" s="393"/>
      <c r="T75" s="393"/>
      <c r="U75" s="94" t="s">
        <v>354</v>
      </c>
      <c r="V75" s="376" t="s">
        <v>357</v>
      </c>
      <c r="W75" s="376"/>
      <c r="X75" s="94" t="s">
        <v>354</v>
      </c>
      <c r="Y75" s="376" t="s">
        <v>357</v>
      </c>
      <c r="Z75" s="376"/>
      <c r="AA75" s="94" t="s">
        <v>354</v>
      </c>
      <c r="AB75" s="94" t="s">
        <v>354</v>
      </c>
      <c r="AC75" s="94" t="s">
        <v>354</v>
      </c>
      <c r="AD75" s="94" t="s">
        <v>354</v>
      </c>
    </row>
    <row r="76" spans="3:30" ht="16.5" customHeight="1" x14ac:dyDescent="0.15">
      <c r="D76" s="376"/>
      <c r="E76" s="550"/>
      <c r="F76" s="550"/>
      <c r="G76" s="553"/>
      <c r="H76" s="364"/>
      <c r="I76" s="365"/>
      <c r="J76" s="364"/>
      <c r="K76" s="365"/>
      <c r="L76" s="371"/>
      <c r="M76" s="372"/>
      <c r="N76" s="550"/>
      <c r="O76" s="364"/>
      <c r="P76" s="365"/>
      <c r="S76" s="393"/>
      <c r="T76" s="393"/>
      <c r="U76" s="171" t="s">
        <v>358</v>
      </c>
      <c r="V76" s="171" t="s">
        <v>358</v>
      </c>
      <c r="W76" s="171" t="s">
        <v>359</v>
      </c>
      <c r="X76" s="171" t="s">
        <v>358</v>
      </c>
      <c r="Y76" s="171" t="s">
        <v>358</v>
      </c>
      <c r="Z76" s="171" t="s">
        <v>359</v>
      </c>
      <c r="AA76" s="171" t="s">
        <v>358</v>
      </c>
      <c r="AB76" s="171" t="s">
        <v>359</v>
      </c>
      <c r="AC76" s="171" t="s">
        <v>359</v>
      </c>
      <c r="AD76" s="171" t="s">
        <v>359</v>
      </c>
    </row>
    <row r="77" spans="3:30" ht="16.5" customHeight="1" x14ac:dyDescent="0.15">
      <c r="D77" s="376"/>
      <c r="E77" s="550"/>
      <c r="F77" s="550"/>
      <c r="G77" s="553"/>
      <c r="H77" s="364"/>
      <c r="I77" s="365"/>
      <c r="J77" s="364"/>
      <c r="K77" s="365"/>
      <c r="L77" s="371"/>
      <c r="M77" s="372"/>
      <c r="N77" s="550"/>
      <c r="O77" s="366"/>
      <c r="P77" s="367"/>
      <c r="S77" s="37">
        <f>+L79</f>
        <v>42</v>
      </c>
      <c r="T77" s="37"/>
      <c r="U77" s="165"/>
      <c r="V77" s="172"/>
      <c r="W77" s="172"/>
      <c r="X77" s="165"/>
      <c r="Y77" s="172"/>
      <c r="Z77" s="172"/>
      <c r="AA77" s="172"/>
      <c r="AB77" s="172"/>
      <c r="AC77" s="172"/>
      <c r="AD77" s="172"/>
    </row>
    <row r="78" spans="3:30" ht="16.5" customHeight="1" x14ac:dyDescent="0.15">
      <c r="D78" s="376"/>
      <c r="E78" s="551"/>
      <c r="F78" s="551"/>
      <c r="G78" s="554"/>
      <c r="H78" s="366"/>
      <c r="I78" s="367"/>
      <c r="J78" s="366"/>
      <c r="K78" s="367"/>
      <c r="L78" s="356"/>
      <c r="M78" s="357"/>
      <c r="N78" s="551"/>
      <c r="O78" s="69" t="s">
        <v>208</v>
      </c>
      <c r="P78" s="96">
        <f>+E73</f>
        <v>1</v>
      </c>
      <c r="S78" s="37">
        <f>+S77+1</f>
        <v>43</v>
      </c>
      <c r="T78" s="37"/>
      <c r="U78" s="165"/>
      <c r="V78" s="172"/>
      <c r="W78" s="172"/>
      <c r="X78" s="165"/>
      <c r="Y78" s="172"/>
      <c r="Z78" s="172"/>
      <c r="AA78" s="172"/>
      <c r="AB78" s="172"/>
      <c r="AC78" s="172"/>
      <c r="AD78" s="172"/>
    </row>
    <row r="79" spans="3:30" ht="16.5" customHeight="1" x14ac:dyDescent="0.15">
      <c r="D79" s="555" t="s">
        <v>16</v>
      </c>
      <c r="E79" s="605">
        <f>+E15</f>
        <v>3.3</v>
      </c>
      <c r="F79" s="602" t="s">
        <v>157</v>
      </c>
      <c r="G79" s="604">
        <f>+G15</f>
        <v>2000</v>
      </c>
      <c r="H79" s="79">
        <f>+E69/2</f>
        <v>0.65</v>
      </c>
      <c r="I79" s="79"/>
      <c r="J79" s="99" t="s">
        <v>157</v>
      </c>
      <c r="K79" s="99" t="s">
        <v>157</v>
      </c>
      <c r="L79" s="104">
        <v>42</v>
      </c>
      <c r="M79" s="74"/>
      <c r="N79" s="95" t="s">
        <v>157</v>
      </c>
      <c r="O79" s="95" t="s">
        <v>157</v>
      </c>
      <c r="P79" s="95" t="s">
        <v>157</v>
      </c>
      <c r="S79" s="37">
        <f t="shared" ref="S79:S101" si="41">+S78+1</f>
        <v>44</v>
      </c>
      <c r="T79" s="37"/>
      <c r="U79" s="165"/>
      <c r="V79" s="172"/>
      <c r="W79" s="172"/>
      <c r="X79" s="165"/>
      <c r="Y79" s="172"/>
      <c r="Z79" s="172"/>
      <c r="AA79" s="172"/>
      <c r="AB79" s="172"/>
      <c r="AC79" s="172"/>
      <c r="AD79" s="172"/>
    </row>
    <row r="80" spans="3:30" ht="16.5" customHeight="1" x14ac:dyDescent="0.15">
      <c r="D80" s="555"/>
      <c r="E80" s="556"/>
      <c r="F80" s="603"/>
      <c r="G80" s="544"/>
      <c r="H80" s="547">
        <f>+E69</f>
        <v>1.3</v>
      </c>
      <c r="I80" s="574"/>
      <c r="J80" s="600" t="s">
        <v>157</v>
      </c>
      <c r="K80" s="600" t="s">
        <v>157</v>
      </c>
      <c r="L80" s="577">
        <f>+L79+1</f>
        <v>43</v>
      </c>
      <c r="M80" s="577"/>
      <c r="N80" s="589" t="s">
        <v>157</v>
      </c>
      <c r="O80" s="589" t="s">
        <v>157</v>
      </c>
      <c r="P80" s="589" t="s">
        <v>157</v>
      </c>
      <c r="S80" s="37">
        <f t="shared" si="41"/>
        <v>45</v>
      </c>
      <c r="T80" s="37"/>
      <c r="U80" s="165"/>
      <c r="V80" s="172"/>
      <c r="W80" s="172"/>
      <c r="X80" s="165"/>
      <c r="Y80" s="172"/>
      <c r="Z80" s="172"/>
      <c r="AA80" s="172"/>
      <c r="AB80" s="172"/>
      <c r="AC80" s="172"/>
      <c r="AD80" s="172"/>
    </row>
    <row r="81" spans="4:30" ht="16.5" customHeight="1" x14ac:dyDescent="0.15">
      <c r="D81" s="555"/>
      <c r="E81" s="556"/>
      <c r="F81" s="603"/>
      <c r="G81" s="544"/>
      <c r="H81" s="547"/>
      <c r="I81" s="575"/>
      <c r="J81" s="591"/>
      <c r="K81" s="591"/>
      <c r="L81" s="579"/>
      <c r="M81" s="579"/>
      <c r="N81" s="568"/>
      <c r="O81" s="568"/>
      <c r="P81" s="568"/>
      <c r="S81" s="37">
        <f t="shared" si="41"/>
        <v>46</v>
      </c>
      <c r="T81" s="37" t="s">
        <v>356</v>
      </c>
      <c r="U81" s="165">
        <f>+P86</f>
        <v>14746.087708032443</v>
      </c>
      <c r="V81" s="167">
        <f>+'周面支持力(4P左)'!P86</f>
        <v>78.332471224607929</v>
      </c>
      <c r="W81" s="167">
        <f>+V81</f>
        <v>78.332471224607929</v>
      </c>
      <c r="X81" s="165">
        <f>+U81</f>
        <v>14746.087708032443</v>
      </c>
      <c r="Y81" s="167">
        <f>+V81</f>
        <v>78.332471224607929</v>
      </c>
      <c r="Z81" s="167">
        <f>+Y81</f>
        <v>78.332471224607929</v>
      </c>
      <c r="AA81" s="165">
        <f>+X81</f>
        <v>14746.087708032443</v>
      </c>
      <c r="AB81" s="165">
        <f>+AA81</f>
        <v>14746.087708032443</v>
      </c>
      <c r="AC81" s="165">
        <f t="shared" ref="AC81:AD81" si="42">+AB81</f>
        <v>14746.087708032443</v>
      </c>
      <c r="AD81" s="165">
        <f t="shared" si="42"/>
        <v>14746.087708032443</v>
      </c>
    </row>
    <row r="82" spans="4:30" ht="16.5" customHeight="1" x14ac:dyDescent="0.15">
      <c r="D82" s="555"/>
      <c r="E82" s="556"/>
      <c r="F82" s="603"/>
      <c r="G82" s="544"/>
      <c r="H82" s="547">
        <f>+H80</f>
        <v>1.3</v>
      </c>
      <c r="I82" s="547"/>
      <c r="J82" s="600" t="s">
        <v>157</v>
      </c>
      <c r="K82" s="600" t="s">
        <v>157</v>
      </c>
      <c r="L82" s="577">
        <f>+L80+1</f>
        <v>44</v>
      </c>
      <c r="M82" s="577"/>
      <c r="N82" s="589" t="s">
        <v>157</v>
      </c>
      <c r="O82" s="589" t="s">
        <v>157</v>
      </c>
      <c r="P82" s="589" t="s">
        <v>157</v>
      </c>
      <c r="S82" s="37">
        <f t="shared" si="41"/>
        <v>47</v>
      </c>
      <c r="T82" s="37" t="s">
        <v>356</v>
      </c>
      <c r="U82" s="165">
        <f>+P88</f>
        <v>19989.482815893814</v>
      </c>
      <c r="V82" s="167">
        <f>+'周面支持力(4P左)'!P88</f>
        <v>106.18583169133501</v>
      </c>
      <c r="W82" s="167">
        <f t="shared" ref="W82:W100" si="43">+V82</f>
        <v>106.18583169133501</v>
      </c>
      <c r="X82" s="165">
        <f t="shared" ref="X82:X100" si="44">+U82</f>
        <v>19989.482815893814</v>
      </c>
      <c r="Y82" s="167">
        <f t="shared" ref="Y82:Y100" si="45">+V82</f>
        <v>106.18583169133501</v>
      </c>
      <c r="Z82" s="167">
        <f t="shared" ref="Z82:Z100" si="46">+Y82</f>
        <v>106.18583169133501</v>
      </c>
      <c r="AA82" s="165">
        <f t="shared" ref="AA82:AA100" si="47">+X82</f>
        <v>19989.482815893814</v>
      </c>
      <c r="AB82" s="165">
        <f t="shared" ref="AB82:AD82" si="48">+AA82</f>
        <v>19989.482815893814</v>
      </c>
      <c r="AC82" s="165">
        <f t="shared" si="48"/>
        <v>19989.482815893814</v>
      </c>
      <c r="AD82" s="165">
        <f t="shared" si="48"/>
        <v>19989.482815893814</v>
      </c>
    </row>
    <row r="83" spans="4:30" ht="16.5" customHeight="1" x14ac:dyDescent="0.15">
      <c r="D83" s="555"/>
      <c r="E83" s="556"/>
      <c r="F83" s="603"/>
      <c r="G83" s="544"/>
      <c r="H83" s="547"/>
      <c r="I83" s="574"/>
      <c r="J83" s="591"/>
      <c r="K83" s="591"/>
      <c r="L83" s="579"/>
      <c r="M83" s="579"/>
      <c r="N83" s="568"/>
      <c r="O83" s="568"/>
      <c r="P83" s="568"/>
      <c r="S83" s="37">
        <f t="shared" si="41"/>
        <v>48</v>
      </c>
      <c r="T83" s="37" t="s">
        <v>356</v>
      </c>
      <c r="U83" s="165">
        <f>+P90</f>
        <v>40855.407150286119</v>
      </c>
      <c r="V83" s="167">
        <f>+'周面支持力(4P左)'!P90</f>
        <v>401.05571815727319</v>
      </c>
      <c r="W83" s="167">
        <f t="shared" si="43"/>
        <v>401.05571815727319</v>
      </c>
      <c r="X83" s="165">
        <f t="shared" si="44"/>
        <v>40855.407150286119</v>
      </c>
      <c r="Y83" s="167">
        <f t="shared" si="45"/>
        <v>401.05571815727319</v>
      </c>
      <c r="Z83" s="167">
        <f t="shared" si="46"/>
        <v>401.05571815727319</v>
      </c>
      <c r="AA83" s="165">
        <f t="shared" si="47"/>
        <v>40855.407150286119</v>
      </c>
      <c r="AB83" s="165">
        <f t="shared" ref="AB83:AD83" si="49">+AA83</f>
        <v>40855.407150286119</v>
      </c>
      <c r="AC83" s="165">
        <f t="shared" si="49"/>
        <v>40855.407150286119</v>
      </c>
      <c r="AD83" s="165">
        <f t="shared" si="49"/>
        <v>40855.407150286119</v>
      </c>
    </row>
    <row r="84" spans="4:30" ht="16.5" customHeight="1" x14ac:dyDescent="0.15">
      <c r="D84" s="555"/>
      <c r="E84" s="556"/>
      <c r="F84" s="603"/>
      <c r="G84" s="544"/>
      <c r="H84" s="547">
        <f t="shared" ref="H84" si="50">+H82</f>
        <v>1.3</v>
      </c>
      <c r="I84" s="79">
        <f>+E79-H79-H80-H82</f>
        <v>4.9999999999999822E-2</v>
      </c>
      <c r="J84" s="600" t="s">
        <v>157</v>
      </c>
      <c r="K84" s="99" t="s">
        <v>157</v>
      </c>
      <c r="L84" s="387">
        <f t="shared" ref="L84" si="51">+L82+1</f>
        <v>45</v>
      </c>
      <c r="M84" s="577"/>
      <c r="N84" s="589" t="s">
        <v>157</v>
      </c>
      <c r="O84" s="589" t="s">
        <v>157</v>
      </c>
      <c r="P84" s="589" t="s">
        <v>157</v>
      </c>
      <c r="S84" s="37">
        <f t="shared" si="41"/>
        <v>49</v>
      </c>
      <c r="T84" s="37" t="s">
        <v>356</v>
      </c>
      <c r="U84" s="165">
        <f>+P92</f>
        <v>48542.852957693794</v>
      </c>
      <c r="V84" s="167">
        <f>+'周面支持力(4P左)'!P92</f>
        <v>509.69199211840811</v>
      </c>
      <c r="W84" s="167">
        <f t="shared" si="43"/>
        <v>509.69199211840811</v>
      </c>
      <c r="X84" s="165">
        <f t="shared" si="44"/>
        <v>48542.852957693794</v>
      </c>
      <c r="Y84" s="167">
        <f t="shared" si="45"/>
        <v>509.69199211840811</v>
      </c>
      <c r="Z84" s="167">
        <f t="shared" si="46"/>
        <v>509.69199211840811</v>
      </c>
      <c r="AA84" s="165">
        <f t="shared" si="47"/>
        <v>48542.852957693794</v>
      </c>
      <c r="AB84" s="165">
        <f t="shared" ref="AB84:AD84" si="52">+AA84</f>
        <v>48542.852957693794</v>
      </c>
      <c r="AC84" s="165">
        <f t="shared" si="52"/>
        <v>48542.852957693794</v>
      </c>
      <c r="AD84" s="165">
        <f t="shared" si="52"/>
        <v>48542.852957693794</v>
      </c>
    </row>
    <row r="85" spans="4:30" ht="16.5" customHeight="1" x14ac:dyDescent="0.15">
      <c r="D85" s="555" t="s">
        <v>17</v>
      </c>
      <c r="E85" s="605">
        <f>+E21</f>
        <v>1.3</v>
      </c>
      <c r="F85" s="602" t="s">
        <v>157</v>
      </c>
      <c r="G85" s="604">
        <f>+G21</f>
        <v>10571</v>
      </c>
      <c r="H85" s="547"/>
      <c r="I85" s="101">
        <f>+H84-I84</f>
        <v>1.2500000000000002</v>
      </c>
      <c r="J85" s="591"/>
      <c r="K85" s="99" t="s">
        <v>157</v>
      </c>
      <c r="L85" s="419"/>
      <c r="M85" s="579"/>
      <c r="N85" s="568"/>
      <c r="O85" s="568"/>
      <c r="P85" s="568"/>
      <c r="S85" s="37">
        <f t="shared" si="41"/>
        <v>50</v>
      </c>
      <c r="T85" s="37" t="s">
        <v>356</v>
      </c>
      <c r="U85" s="165">
        <f>+P94</f>
        <v>68419.41122565433</v>
      </c>
      <c r="V85" s="167">
        <f>+'周面支持力(4P左)'!P94</f>
        <v>533.21623790848855</v>
      </c>
      <c r="W85" s="167">
        <f t="shared" si="43"/>
        <v>533.21623790848855</v>
      </c>
      <c r="X85" s="165">
        <f t="shared" si="44"/>
        <v>68419.41122565433</v>
      </c>
      <c r="Y85" s="167">
        <f t="shared" si="45"/>
        <v>533.21623790848855</v>
      </c>
      <c r="Z85" s="167">
        <f t="shared" si="46"/>
        <v>533.21623790848855</v>
      </c>
      <c r="AA85" s="165">
        <f t="shared" si="47"/>
        <v>68419.41122565433</v>
      </c>
      <c r="AB85" s="165">
        <f t="shared" ref="AB85:AD85" si="53">+AA85</f>
        <v>68419.41122565433</v>
      </c>
      <c r="AC85" s="165">
        <f t="shared" si="53"/>
        <v>68419.41122565433</v>
      </c>
      <c r="AD85" s="165">
        <f t="shared" si="53"/>
        <v>68419.41122565433</v>
      </c>
    </row>
    <row r="86" spans="4:30" ht="16.5" customHeight="1" x14ac:dyDescent="0.15">
      <c r="D86" s="555"/>
      <c r="E86" s="556"/>
      <c r="F86" s="603"/>
      <c r="G86" s="544"/>
      <c r="H86" s="547">
        <f t="shared" ref="H86:H92" si="54">+H84</f>
        <v>1.3</v>
      </c>
      <c r="I86" s="79">
        <f>+E85-I85</f>
        <v>4.9999999999999822E-2</v>
      </c>
      <c r="J86" s="600" t="s">
        <v>157</v>
      </c>
      <c r="K86" s="99" t="s">
        <v>157</v>
      </c>
      <c r="L86" s="387">
        <f t="shared" ref="L86" si="55">+L84+1</f>
        <v>46</v>
      </c>
      <c r="M86" s="577"/>
      <c r="N86" s="587">
        <f>+G87*K87</f>
        <v>3610.6350000000011</v>
      </c>
      <c r="O86" s="587">
        <f>+E70*N86</f>
        <v>14746.087708032443</v>
      </c>
      <c r="P86" s="588">
        <f>+E73*O86</f>
        <v>14746.087708032443</v>
      </c>
      <c r="S86" s="37">
        <f t="shared" si="41"/>
        <v>51</v>
      </c>
      <c r="T86" s="37" t="s">
        <v>356</v>
      </c>
      <c r="U86" s="165">
        <f>+P97</f>
        <v>72811.624790748421</v>
      </c>
      <c r="V86" s="167">
        <f>+'周面支持力(4P左)'!P97</f>
        <v>764.53798817761208</v>
      </c>
      <c r="W86" s="167">
        <f t="shared" si="43"/>
        <v>764.53798817761208</v>
      </c>
      <c r="X86" s="165">
        <f t="shared" si="44"/>
        <v>72811.624790748421</v>
      </c>
      <c r="Y86" s="167">
        <f t="shared" si="45"/>
        <v>764.53798817761208</v>
      </c>
      <c r="Z86" s="167">
        <f t="shared" si="46"/>
        <v>764.53798817761208</v>
      </c>
      <c r="AA86" s="165">
        <f t="shared" si="47"/>
        <v>72811.624790748421</v>
      </c>
      <c r="AB86" s="165">
        <f t="shared" ref="AB86:AD86" si="56">+AA86</f>
        <v>72811.624790748421</v>
      </c>
      <c r="AC86" s="165">
        <f t="shared" si="56"/>
        <v>72811.624790748421</v>
      </c>
      <c r="AD86" s="165">
        <f t="shared" si="56"/>
        <v>72811.624790748421</v>
      </c>
    </row>
    <row r="87" spans="4:30" ht="16.5" customHeight="1" x14ac:dyDescent="0.15">
      <c r="D87" s="555" t="s">
        <v>18</v>
      </c>
      <c r="E87" s="556">
        <f>+E23</f>
        <v>2.9</v>
      </c>
      <c r="F87" s="556">
        <f>+E79+E85+E87-E72</f>
        <v>2.609</v>
      </c>
      <c r="G87" s="544">
        <f>+G23</f>
        <v>3765</v>
      </c>
      <c r="H87" s="547"/>
      <c r="I87" s="102">
        <f>+H86-I86</f>
        <v>1.2500000000000002</v>
      </c>
      <c r="J87" s="591"/>
      <c r="K87" s="98">
        <f>+F87-K90-J88</f>
        <v>0.9590000000000003</v>
      </c>
      <c r="L87" s="419"/>
      <c r="M87" s="579"/>
      <c r="N87" s="572"/>
      <c r="O87" s="572"/>
      <c r="P87" s="573"/>
      <c r="S87" s="37">
        <f t="shared" si="41"/>
        <v>52</v>
      </c>
      <c r="T87" s="37" t="s">
        <v>356</v>
      </c>
      <c r="U87" s="165">
        <f>+P99</f>
        <v>72811.624790748421</v>
      </c>
      <c r="V87" s="167">
        <f>+'周面支持力(4P左)'!P99</f>
        <v>764.53798817761208</v>
      </c>
      <c r="W87" s="167">
        <f t="shared" si="43"/>
        <v>764.53798817761208</v>
      </c>
      <c r="X87" s="165">
        <f t="shared" si="44"/>
        <v>72811.624790748421</v>
      </c>
      <c r="Y87" s="167">
        <f t="shared" si="45"/>
        <v>764.53798817761208</v>
      </c>
      <c r="Z87" s="167">
        <f t="shared" si="46"/>
        <v>764.53798817761208</v>
      </c>
      <c r="AA87" s="165">
        <f t="shared" si="47"/>
        <v>72811.624790748421</v>
      </c>
      <c r="AB87" s="165">
        <f t="shared" ref="AB87:AD87" si="57">+AA87</f>
        <v>72811.624790748421</v>
      </c>
      <c r="AC87" s="165">
        <f t="shared" si="57"/>
        <v>72811.624790748421</v>
      </c>
      <c r="AD87" s="165">
        <f t="shared" si="57"/>
        <v>72811.624790748421</v>
      </c>
    </row>
    <row r="88" spans="4:30" ht="16.5" customHeight="1" x14ac:dyDescent="0.15">
      <c r="D88" s="555"/>
      <c r="E88" s="556"/>
      <c r="F88" s="556"/>
      <c r="G88" s="544"/>
      <c r="H88" s="547">
        <f t="shared" si="54"/>
        <v>1.3</v>
      </c>
      <c r="I88" s="590"/>
      <c r="J88" s="601">
        <f>+H88</f>
        <v>1.3</v>
      </c>
      <c r="K88" s="600"/>
      <c r="L88" s="577">
        <f t="shared" ref="L88" si="58">+L86+1</f>
        <v>47</v>
      </c>
      <c r="M88" s="577"/>
      <c r="N88" s="587">
        <f>+G87*J88</f>
        <v>4894.5</v>
      </c>
      <c r="O88" s="587">
        <f>+E70*N88</f>
        <v>19989.482815893814</v>
      </c>
      <c r="P88" s="588">
        <f>+E73*O88</f>
        <v>19989.482815893814</v>
      </c>
      <c r="S88" s="37">
        <f t="shared" si="41"/>
        <v>53</v>
      </c>
      <c r="T88" s="37" t="s">
        <v>356</v>
      </c>
      <c r="U88" s="165">
        <f>+P101</f>
        <v>72811.624790748421</v>
      </c>
      <c r="V88" s="167">
        <f>+'周面支持力(4P左)'!P101</f>
        <v>764.53798817761208</v>
      </c>
      <c r="W88" s="167">
        <f t="shared" si="43"/>
        <v>764.53798817761208</v>
      </c>
      <c r="X88" s="165">
        <f t="shared" si="44"/>
        <v>72811.624790748421</v>
      </c>
      <c r="Y88" s="167">
        <f t="shared" si="45"/>
        <v>764.53798817761208</v>
      </c>
      <c r="Z88" s="167">
        <f t="shared" si="46"/>
        <v>764.53798817761208</v>
      </c>
      <c r="AA88" s="165">
        <f t="shared" si="47"/>
        <v>72811.624790748421</v>
      </c>
      <c r="AB88" s="165">
        <f t="shared" ref="AB88:AD88" si="59">+AA88</f>
        <v>72811.624790748421</v>
      </c>
      <c r="AC88" s="165">
        <f t="shared" si="59"/>
        <v>72811.624790748421</v>
      </c>
      <c r="AD88" s="165">
        <f t="shared" si="59"/>
        <v>72811.624790748421</v>
      </c>
    </row>
    <row r="89" spans="4:30" ht="16.5" customHeight="1" x14ac:dyDescent="0.15">
      <c r="D89" s="555"/>
      <c r="E89" s="556"/>
      <c r="F89" s="556"/>
      <c r="G89" s="544"/>
      <c r="H89" s="547"/>
      <c r="I89" s="590"/>
      <c r="J89" s="547"/>
      <c r="K89" s="591"/>
      <c r="L89" s="579"/>
      <c r="M89" s="579"/>
      <c r="N89" s="572"/>
      <c r="O89" s="572"/>
      <c r="P89" s="573"/>
      <c r="S89" s="37">
        <f t="shared" si="41"/>
        <v>54</v>
      </c>
      <c r="T89" s="37" t="s">
        <v>356</v>
      </c>
      <c r="U89" s="165">
        <f>+P103</f>
        <v>72811.624790748421</v>
      </c>
      <c r="V89" s="167">
        <f>+'周面支持力(4P左)'!P103</f>
        <v>764.53798817761208</v>
      </c>
      <c r="W89" s="167">
        <f t="shared" si="43"/>
        <v>764.53798817761208</v>
      </c>
      <c r="X89" s="165">
        <f t="shared" si="44"/>
        <v>72811.624790748421</v>
      </c>
      <c r="Y89" s="167">
        <f t="shared" si="45"/>
        <v>764.53798817761208</v>
      </c>
      <c r="Z89" s="167">
        <f t="shared" si="46"/>
        <v>764.53798817761208</v>
      </c>
      <c r="AA89" s="165">
        <f t="shared" si="47"/>
        <v>72811.624790748421</v>
      </c>
      <c r="AB89" s="165">
        <f t="shared" ref="AB89:AD89" si="60">+AA89</f>
        <v>72811.624790748421</v>
      </c>
      <c r="AC89" s="165">
        <f t="shared" si="60"/>
        <v>72811.624790748421</v>
      </c>
      <c r="AD89" s="165">
        <f t="shared" si="60"/>
        <v>72811.624790748421</v>
      </c>
    </row>
    <row r="90" spans="4:30" ht="16.5" customHeight="1" x14ac:dyDescent="0.15">
      <c r="D90" s="555"/>
      <c r="E90" s="556"/>
      <c r="F90" s="556"/>
      <c r="G90" s="544"/>
      <c r="H90" s="547">
        <f t="shared" si="54"/>
        <v>1.3</v>
      </c>
      <c r="I90" s="79">
        <f>+E87-I87-H88</f>
        <v>0.34999999999999964</v>
      </c>
      <c r="J90" s="547">
        <f>+K90+K91</f>
        <v>1.3</v>
      </c>
      <c r="K90" s="79">
        <f>+I90</f>
        <v>0.34999999999999964</v>
      </c>
      <c r="L90" s="577">
        <f t="shared" ref="L90" si="61">+L88+1</f>
        <v>48</v>
      </c>
      <c r="M90" s="577"/>
      <c r="N90" s="572">
        <f>+G87*K90+G91*K91</f>
        <v>10003.600000000002</v>
      </c>
      <c r="O90" s="572">
        <f>+E70*N90</f>
        <v>40855.407150286119</v>
      </c>
      <c r="P90" s="573">
        <f>+E73*O90</f>
        <v>40855.407150286119</v>
      </c>
      <c r="S90" s="37">
        <f t="shared" si="41"/>
        <v>55</v>
      </c>
      <c r="T90" s="37" t="s">
        <v>356</v>
      </c>
      <c r="U90" s="165">
        <f>+P105</f>
        <v>72811.624790748421</v>
      </c>
      <c r="V90" s="167">
        <f>+'周面支持力(4P左)'!P105</f>
        <v>764.53798817761208</v>
      </c>
      <c r="W90" s="167">
        <f t="shared" si="43"/>
        <v>764.53798817761208</v>
      </c>
      <c r="X90" s="165">
        <f t="shared" si="44"/>
        <v>72811.624790748421</v>
      </c>
      <c r="Y90" s="167">
        <f t="shared" si="45"/>
        <v>764.53798817761208</v>
      </c>
      <c r="Z90" s="167">
        <f t="shared" si="46"/>
        <v>764.53798817761208</v>
      </c>
      <c r="AA90" s="165">
        <f t="shared" si="47"/>
        <v>72811.624790748421</v>
      </c>
      <c r="AB90" s="165">
        <f t="shared" ref="AB90:AD90" si="62">+AA90</f>
        <v>72811.624790748421</v>
      </c>
      <c r="AC90" s="165">
        <f t="shared" si="62"/>
        <v>72811.624790748421</v>
      </c>
      <c r="AD90" s="165">
        <f t="shared" si="62"/>
        <v>72811.624790748421</v>
      </c>
    </row>
    <row r="91" spans="4:30" ht="16.5" customHeight="1" x14ac:dyDescent="0.15">
      <c r="D91" s="555" t="s">
        <v>19</v>
      </c>
      <c r="E91" s="556">
        <f>+E27</f>
        <v>2.6</v>
      </c>
      <c r="F91" s="556">
        <f>+E91</f>
        <v>2.6</v>
      </c>
      <c r="G91" s="544">
        <f>+G27</f>
        <v>9143</v>
      </c>
      <c r="H91" s="547"/>
      <c r="I91" s="101">
        <f>+H90-I90</f>
        <v>0.9500000000000004</v>
      </c>
      <c r="J91" s="547"/>
      <c r="K91" s="103">
        <f>+I91</f>
        <v>0.9500000000000004</v>
      </c>
      <c r="L91" s="579"/>
      <c r="M91" s="579"/>
      <c r="N91" s="572"/>
      <c r="O91" s="572"/>
      <c r="P91" s="573"/>
      <c r="S91" s="37">
        <f t="shared" si="41"/>
        <v>56</v>
      </c>
      <c r="T91" s="37" t="s">
        <v>356</v>
      </c>
      <c r="U91" s="165">
        <f>+P107</f>
        <v>72811.624790748421</v>
      </c>
      <c r="V91" s="167">
        <f>+'周面支持力(4P左)'!P107</f>
        <v>764.53798817761208</v>
      </c>
      <c r="W91" s="167">
        <f t="shared" si="43"/>
        <v>764.53798817761208</v>
      </c>
      <c r="X91" s="165">
        <f t="shared" si="44"/>
        <v>72811.624790748421</v>
      </c>
      <c r="Y91" s="167">
        <f t="shared" si="45"/>
        <v>764.53798817761208</v>
      </c>
      <c r="Z91" s="167">
        <f t="shared" si="46"/>
        <v>764.53798817761208</v>
      </c>
      <c r="AA91" s="165">
        <f t="shared" si="47"/>
        <v>72811.624790748421</v>
      </c>
      <c r="AB91" s="165">
        <f t="shared" ref="AB91:AD91" si="63">+AA91</f>
        <v>72811.624790748421</v>
      </c>
      <c r="AC91" s="165">
        <f t="shared" si="63"/>
        <v>72811.624790748421</v>
      </c>
      <c r="AD91" s="165">
        <f t="shared" si="63"/>
        <v>72811.624790748421</v>
      </c>
    </row>
    <row r="92" spans="4:30" ht="16.5" customHeight="1" x14ac:dyDescent="0.15">
      <c r="D92" s="555"/>
      <c r="E92" s="556"/>
      <c r="F92" s="556"/>
      <c r="G92" s="544"/>
      <c r="H92" s="547">
        <f t="shared" si="54"/>
        <v>1.3</v>
      </c>
      <c r="I92" s="591"/>
      <c r="J92" s="547">
        <f>+E69</f>
        <v>1.3</v>
      </c>
      <c r="K92" s="591"/>
      <c r="L92" s="577">
        <f t="shared" ref="L92" si="64">+L90+1</f>
        <v>49</v>
      </c>
      <c r="M92" s="577"/>
      <c r="N92" s="572">
        <f>+G91*J92</f>
        <v>11885.9</v>
      </c>
      <c r="O92" s="572">
        <f>+E70*N92</f>
        <v>48542.852957693794</v>
      </c>
      <c r="P92" s="573">
        <f>+E73*O92</f>
        <v>48542.852957693794</v>
      </c>
      <c r="S92" s="37">
        <f t="shared" si="41"/>
        <v>57</v>
      </c>
      <c r="T92" s="37" t="s">
        <v>356</v>
      </c>
      <c r="U92" s="165">
        <f>+P109</f>
        <v>72811.624790748421</v>
      </c>
      <c r="V92" s="167">
        <f>+'周面支持力(4P左)'!P109</f>
        <v>764.53798817761208</v>
      </c>
      <c r="W92" s="167">
        <f t="shared" si="43"/>
        <v>764.53798817761208</v>
      </c>
      <c r="X92" s="165">
        <f t="shared" si="44"/>
        <v>72811.624790748421</v>
      </c>
      <c r="Y92" s="167">
        <f t="shared" si="45"/>
        <v>764.53798817761208</v>
      </c>
      <c r="Z92" s="167">
        <f t="shared" si="46"/>
        <v>764.53798817761208</v>
      </c>
      <c r="AA92" s="165">
        <f t="shared" si="47"/>
        <v>72811.624790748421</v>
      </c>
      <c r="AB92" s="165">
        <f t="shared" ref="AB92:AD92" si="65">+AA92</f>
        <v>72811.624790748421</v>
      </c>
      <c r="AC92" s="165">
        <f t="shared" si="65"/>
        <v>72811.624790748421</v>
      </c>
      <c r="AD92" s="165">
        <f t="shared" si="65"/>
        <v>72811.624790748421</v>
      </c>
    </row>
    <row r="93" spans="4:30" ht="16.5" customHeight="1" x14ac:dyDescent="0.15">
      <c r="D93" s="555"/>
      <c r="E93" s="556"/>
      <c r="F93" s="556"/>
      <c r="G93" s="544"/>
      <c r="H93" s="547"/>
      <c r="I93" s="591"/>
      <c r="J93" s="547"/>
      <c r="K93" s="591"/>
      <c r="L93" s="579"/>
      <c r="M93" s="579"/>
      <c r="N93" s="572"/>
      <c r="O93" s="572"/>
      <c r="P93" s="573"/>
      <c r="S93" s="37">
        <f t="shared" si="41"/>
        <v>58</v>
      </c>
      <c r="T93" s="37" t="s">
        <v>356</v>
      </c>
      <c r="U93" s="165">
        <f>+P111</f>
        <v>36432.767260342043</v>
      </c>
      <c r="V93" s="167">
        <f>+'周面支持力(4P左)'!P111</f>
        <v>209.10440702293715</v>
      </c>
      <c r="W93" s="167">
        <f t="shared" si="43"/>
        <v>209.10440702293715</v>
      </c>
      <c r="X93" s="165">
        <f t="shared" si="44"/>
        <v>36432.767260342043</v>
      </c>
      <c r="Y93" s="167">
        <f t="shared" si="45"/>
        <v>209.10440702293715</v>
      </c>
      <c r="Z93" s="167">
        <f t="shared" si="46"/>
        <v>209.10440702293715</v>
      </c>
      <c r="AA93" s="165">
        <f t="shared" si="47"/>
        <v>36432.767260342043</v>
      </c>
      <c r="AB93" s="165">
        <f t="shared" ref="AB93:AD93" si="66">+AA93</f>
        <v>36432.767260342043</v>
      </c>
      <c r="AC93" s="165">
        <f t="shared" si="66"/>
        <v>36432.767260342043</v>
      </c>
      <c r="AD93" s="165">
        <f t="shared" si="66"/>
        <v>36432.767260342043</v>
      </c>
    </row>
    <row r="94" spans="4:30" ht="16.5" customHeight="1" x14ac:dyDescent="0.15">
      <c r="D94" s="555"/>
      <c r="E94" s="556"/>
      <c r="F94" s="556"/>
      <c r="G94" s="544"/>
      <c r="H94" s="547">
        <f t="shared" ref="H94" si="67">+H92</f>
        <v>1.3</v>
      </c>
      <c r="I94" s="79">
        <f>+E91-I91-H92</f>
        <v>0.34999999999999964</v>
      </c>
      <c r="J94" s="547">
        <f t="shared" ref="J94" si="68">+J92</f>
        <v>1.3</v>
      </c>
      <c r="K94" s="79">
        <f>+F91-K91-J92</f>
        <v>0.34999999999999964</v>
      </c>
      <c r="L94" s="577">
        <f>+L92+1</f>
        <v>50</v>
      </c>
      <c r="M94" s="577"/>
      <c r="N94" s="545">
        <f>+G91*K94+G95*K95+G96*K96</f>
        <v>16752.75</v>
      </c>
      <c r="O94" s="572">
        <f>+E70*N94</f>
        <v>68419.41122565433</v>
      </c>
      <c r="P94" s="573">
        <f>+E73*O94</f>
        <v>68419.41122565433</v>
      </c>
      <c r="S94" s="37">
        <f t="shared" si="41"/>
        <v>59</v>
      </c>
      <c r="T94" s="37" t="s">
        <v>356</v>
      </c>
      <c r="U94" s="165">
        <f>+P113</f>
        <v>34977.612959125749</v>
      </c>
      <c r="V94" s="167">
        <f>+'周面支持力(4P左)'!P113</f>
        <v>186.88706377674964</v>
      </c>
      <c r="W94" s="167">
        <f t="shared" si="43"/>
        <v>186.88706377674964</v>
      </c>
      <c r="X94" s="165">
        <f t="shared" si="44"/>
        <v>34977.612959125749</v>
      </c>
      <c r="Y94" s="167">
        <f t="shared" si="45"/>
        <v>186.88706377674964</v>
      </c>
      <c r="Z94" s="167">
        <f t="shared" si="46"/>
        <v>186.88706377674964</v>
      </c>
      <c r="AA94" s="165">
        <f t="shared" si="47"/>
        <v>34977.612959125749</v>
      </c>
      <c r="AB94" s="165">
        <f t="shared" ref="AB94:AD94" si="69">+AA94</f>
        <v>34977.612959125749</v>
      </c>
      <c r="AC94" s="165">
        <f t="shared" si="69"/>
        <v>34977.612959125749</v>
      </c>
      <c r="AD94" s="165">
        <f t="shared" si="69"/>
        <v>34977.612959125749</v>
      </c>
    </row>
    <row r="95" spans="4:30" ht="16.5" customHeight="1" x14ac:dyDescent="0.15">
      <c r="D95" s="90" t="s">
        <v>203</v>
      </c>
      <c r="E95" s="188">
        <f>+E31</f>
        <v>0.6</v>
      </c>
      <c r="F95" s="188">
        <f>+E95</f>
        <v>0.6</v>
      </c>
      <c r="G95" s="273">
        <f>+G31</f>
        <v>14588</v>
      </c>
      <c r="H95" s="547"/>
      <c r="I95" s="79">
        <f>+E95</f>
        <v>0.6</v>
      </c>
      <c r="J95" s="547"/>
      <c r="K95" s="79">
        <f>+F95</f>
        <v>0.6</v>
      </c>
      <c r="L95" s="578"/>
      <c r="M95" s="578"/>
      <c r="N95" s="580"/>
      <c r="O95" s="572"/>
      <c r="P95" s="573"/>
      <c r="S95" s="37">
        <f t="shared" si="41"/>
        <v>60</v>
      </c>
      <c r="T95" s="37" t="s">
        <v>356</v>
      </c>
      <c r="U95" s="165">
        <f>+P115</f>
        <v>34977.612959125749</v>
      </c>
      <c r="V95" s="167">
        <f>+'周面支持力(4P左)'!P115</f>
        <v>186.88706377674964</v>
      </c>
      <c r="W95" s="167">
        <f t="shared" si="43"/>
        <v>186.88706377674964</v>
      </c>
      <c r="X95" s="165">
        <f t="shared" si="44"/>
        <v>34977.612959125749</v>
      </c>
      <c r="Y95" s="167">
        <f t="shared" si="45"/>
        <v>186.88706377674964</v>
      </c>
      <c r="Z95" s="167">
        <f t="shared" si="46"/>
        <v>186.88706377674964</v>
      </c>
      <c r="AA95" s="165">
        <f t="shared" si="47"/>
        <v>34977.612959125749</v>
      </c>
      <c r="AB95" s="165">
        <f t="shared" ref="AB95:AD95" si="70">+AA95</f>
        <v>34977.612959125749</v>
      </c>
      <c r="AC95" s="165">
        <f t="shared" si="70"/>
        <v>34977.612959125749</v>
      </c>
      <c r="AD95" s="165">
        <f t="shared" si="70"/>
        <v>34977.612959125749</v>
      </c>
    </row>
    <row r="96" spans="4:30" ht="16.5" customHeight="1" x14ac:dyDescent="0.15">
      <c r="D96" s="555" t="s">
        <v>204</v>
      </c>
      <c r="E96" s="556">
        <f>+E32</f>
        <v>9.5</v>
      </c>
      <c r="F96" s="556">
        <f>+E96</f>
        <v>9.5</v>
      </c>
      <c r="G96" s="544">
        <f>+G32</f>
        <v>13714</v>
      </c>
      <c r="H96" s="547"/>
      <c r="I96" s="79">
        <f>+H94-I94-I95</f>
        <v>0.35000000000000042</v>
      </c>
      <c r="J96" s="547"/>
      <c r="K96" s="79">
        <f>+J94-K94-K95</f>
        <v>0.35000000000000042</v>
      </c>
      <c r="L96" s="579"/>
      <c r="M96" s="579"/>
      <c r="N96" s="546"/>
      <c r="O96" s="572"/>
      <c r="P96" s="573"/>
      <c r="S96" s="37">
        <f t="shared" si="41"/>
        <v>61</v>
      </c>
      <c r="T96" s="37" t="s">
        <v>356</v>
      </c>
      <c r="U96" s="165">
        <f>+P117</f>
        <v>34977.612959125749</v>
      </c>
      <c r="V96" s="167">
        <f>+'周面支持力(4P左)'!P117</f>
        <v>186.88706377674964</v>
      </c>
      <c r="W96" s="167">
        <f t="shared" si="43"/>
        <v>186.88706377674964</v>
      </c>
      <c r="X96" s="165">
        <f t="shared" si="44"/>
        <v>34977.612959125749</v>
      </c>
      <c r="Y96" s="167">
        <f t="shared" si="45"/>
        <v>186.88706377674964</v>
      </c>
      <c r="Z96" s="167">
        <f t="shared" si="46"/>
        <v>186.88706377674964</v>
      </c>
      <c r="AA96" s="165">
        <f t="shared" si="47"/>
        <v>34977.612959125749</v>
      </c>
      <c r="AB96" s="165">
        <f t="shared" ref="AB96:AD96" si="71">+AA96</f>
        <v>34977.612959125749</v>
      </c>
      <c r="AC96" s="165">
        <f t="shared" si="71"/>
        <v>34977.612959125749</v>
      </c>
      <c r="AD96" s="165">
        <f t="shared" si="71"/>
        <v>34977.612959125749</v>
      </c>
    </row>
    <row r="97" spans="4:30" ht="16.5" customHeight="1" x14ac:dyDescent="0.15">
      <c r="D97" s="555"/>
      <c r="E97" s="556"/>
      <c r="F97" s="556"/>
      <c r="G97" s="544"/>
      <c r="H97" s="547">
        <f t="shared" ref="H97" si="72">+H94</f>
        <v>1.3</v>
      </c>
      <c r="I97" s="592"/>
      <c r="J97" s="547">
        <f t="shared" ref="J97" si="73">+J94</f>
        <v>1.3</v>
      </c>
      <c r="K97" s="592"/>
      <c r="L97" s="577">
        <f t="shared" ref="L97" si="74">+L94+1</f>
        <v>51</v>
      </c>
      <c r="M97" s="577"/>
      <c r="N97" s="545">
        <f>+G96*J97</f>
        <v>17828.2</v>
      </c>
      <c r="O97" s="572">
        <f>+E70*N97</f>
        <v>72811.624790748421</v>
      </c>
      <c r="P97" s="573">
        <f>+E73*O97</f>
        <v>72811.624790748421</v>
      </c>
      <c r="S97" s="37">
        <f t="shared" si="41"/>
        <v>62</v>
      </c>
      <c r="T97" s="37" t="s">
        <v>356</v>
      </c>
      <c r="U97" s="165">
        <f>+P119</f>
        <v>34977.612959125749</v>
      </c>
      <c r="V97" s="167">
        <f>+'周面支持力(4P左)'!P119</f>
        <v>186.88706377674964</v>
      </c>
      <c r="W97" s="167">
        <f t="shared" si="43"/>
        <v>186.88706377674964</v>
      </c>
      <c r="X97" s="165">
        <f t="shared" si="44"/>
        <v>34977.612959125749</v>
      </c>
      <c r="Y97" s="167">
        <f t="shared" si="45"/>
        <v>186.88706377674964</v>
      </c>
      <c r="Z97" s="167">
        <f t="shared" si="46"/>
        <v>186.88706377674964</v>
      </c>
      <c r="AA97" s="165">
        <f t="shared" si="47"/>
        <v>34977.612959125749</v>
      </c>
      <c r="AB97" s="165">
        <f t="shared" ref="AB97:AD97" si="75">+AA97</f>
        <v>34977.612959125749</v>
      </c>
      <c r="AC97" s="165">
        <f t="shared" si="75"/>
        <v>34977.612959125749</v>
      </c>
      <c r="AD97" s="165">
        <f t="shared" si="75"/>
        <v>34977.612959125749</v>
      </c>
    </row>
    <row r="98" spans="4:30" ht="16.5" customHeight="1" x14ac:dyDescent="0.15">
      <c r="D98" s="555"/>
      <c r="E98" s="556"/>
      <c r="F98" s="556"/>
      <c r="G98" s="544"/>
      <c r="H98" s="547"/>
      <c r="I98" s="593"/>
      <c r="J98" s="547"/>
      <c r="K98" s="593"/>
      <c r="L98" s="579"/>
      <c r="M98" s="579"/>
      <c r="N98" s="546"/>
      <c r="O98" s="572"/>
      <c r="P98" s="573"/>
      <c r="S98" s="37">
        <f t="shared" si="41"/>
        <v>63</v>
      </c>
      <c r="T98" s="37" t="s">
        <v>356</v>
      </c>
      <c r="U98" s="165">
        <f>+P121</f>
        <v>34977.612959125749</v>
      </c>
      <c r="V98" s="167">
        <f>+'周面支持力(4P左)'!P121</f>
        <v>186.88706377674964</v>
      </c>
      <c r="W98" s="167">
        <f t="shared" si="43"/>
        <v>186.88706377674964</v>
      </c>
      <c r="X98" s="165">
        <f t="shared" si="44"/>
        <v>34977.612959125749</v>
      </c>
      <c r="Y98" s="167">
        <f t="shared" si="45"/>
        <v>186.88706377674964</v>
      </c>
      <c r="Z98" s="167">
        <f t="shared" si="46"/>
        <v>186.88706377674964</v>
      </c>
      <c r="AA98" s="165">
        <f t="shared" si="47"/>
        <v>34977.612959125749</v>
      </c>
      <c r="AB98" s="165">
        <f t="shared" ref="AB98:AD98" si="76">+AA98</f>
        <v>34977.612959125749</v>
      </c>
      <c r="AC98" s="165">
        <f t="shared" si="76"/>
        <v>34977.612959125749</v>
      </c>
      <c r="AD98" s="165">
        <f t="shared" si="76"/>
        <v>34977.612959125749</v>
      </c>
    </row>
    <row r="99" spans="4:30" ht="16.5" customHeight="1" x14ac:dyDescent="0.15">
      <c r="D99" s="555"/>
      <c r="E99" s="556"/>
      <c r="F99" s="556"/>
      <c r="G99" s="544"/>
      <c r="H99" s="547">
        <f t="shared" ref="H99" si="77">+H97</f>
        <v>1.3</v>
      </c>
      <c r="I99" s="592"/>
      <c r="J99" s="547">
        <f t="shared" ref="J99" si="78">+J97</f>
        <v>1.3</v>
      </c>
      <c r="K99" s="592"/>
      <c r="L99" s="577">
        <f t="shared" ref="L99" si="79">+L97+1</f>
        <v>52</v>
      </c>
      <c r="M99" s="577"/>
      <c r="N99" s="545">
        <f>+G96*J99</f>
        <v>17828.2</v>
      </c>
      <c r="O99" s="572">
        <f>+E70*N99</f>
        <v>72811.624790748421</v>
      </c>
      <c r="P99" s="573">
        <f>+E73*O99</f>
        <v>72811.624790748421</v>
      </c>
      <c r="S99" s="37">
        <f t="shared" si="41"/>
        <v>64</v>
      </c>
      <c r="T99" s="37" t="s">
        <v>356</v>
      </c>
      <c r="U99" s="165">
        <f>+P123</f>
        <v>34977.612959125749</v>
      </c>
      <c r="V99" s="167">
        <f>+'周面支持力(4P左)'!P123</f>
        <v>186.88706377674964</v>
      </c>
      <c r="W99" s="167">
        <f t="shared" si="43"/>
        <v>186.88706377674964</v>
      </c>
      <c r="X99" s="165">
        <f t="shared" si="44"/>
        <v>34977.612959125749</v>
      </c>
      <c r="Y99" s="167">
        <f t="shared" si="45"/>
        <v>186.88706377674964</v>
      </c>
      <c r="Z99" s="167">
        <f t="shared" si="46"/>
        <v>186.88706377674964</v>
      </c>
      <c r="AA99" s="165">
        <f t="shared" si="47"/>
        <v>34977.612959125749</v>
      </c>
      <c r="AB99" s="165">
        <f t="shared" ref="AB99:AD99" si="80">+AA99</f>
        <v>34977.612959125749</v>
      </c>
      <c r="AC99" s="165">
        <f t="shared" si="80"/>
        <v>34977.612959125749</v>
      </c>
      <c r="AD99" s="165">
        <f t="shared" si="80"/>
        <v>34977.612959125749</v>
      </c>
    </row>
    <row r="100" spans="4:30" ht="16.5" customHeight="1" x14ac:dyDescent="0.15">
      <c r="D100" s="555"/>
      <c r="E100" s="556"/>
      <c r="F100" s="556"/>
      <c r="G100" s="544"/>
      <c r="H100" s="547"/>
      <c r="I100" s="593"/>
      <c r="J100" s="547"/>
      <c r="K100" s="593"/>
      <c r="L100" s="579"/>
      <c r="M100" s="579"/>
      <c r="N100" s="546"/>
      <c r="O100" s="572"/>
      <c r="P100" s="573"/>
      <c r="S100" s="37">
        <f t="shared" si="41"/>
        <v>65</v>
      </c>
      <c r="T100" s="37" t="s">
        <v>356</v>
      </c>
      <c r="U100" s="165">
        <f>+P125</f>
        <v>12107.635255082056</v>
      </c>
      <c r="V100" s="167">
        <f>+'周面支持力(4P左)'!P125</f>
        <v>64.691675922721373</v>
      </c>
      <c r="W100" s="167">
        <f t="shared" si="43"/>
        <v>64.691675922721373</v>
      </c>
      <c r="X100" s="165">
        <f t="shared" si="44"/>
        <v>12107.635255082056</v>
      </c>
      <c r="Y100" s="167">
        <f t="shared" si="45"/>
        <v>64.691675922721373</v>
      </c>
      <c r="Z100" s="167">
        <f t="shared" si="46"/>
        <v>64.691675922721373</v>
      </c>
      <c r="AA100" s="165">
        <f t="shared" si="47"/>
        <v>12107.635255082056</v>
      </c>
      <c r="AB100" s="165">
        <f t="shared" ref="AB100:AD100" si="81">+AA100</f>
        <v>12107.635255082056</v>
      </c>
      <c r="AC100" s="165">
        <f t="shared" si="81"/>
        <v>12107.635255082056</v>
      </c>
      <c r="AD100" s="165">
        <f t="shared" si="81"/>
        <v>12107.635255082056</v>
      </c>
    </row>
    <row r="101" spans="4:30" ht="16.5" customHeight="1" x14ac:dyDescent="0.15">
      <c r="D101" s="555"/>
      <c r="E101" s="556"/>
      <c r="F101" s="556"/>
      <c r="G101" s="544"/>
      <c r="H101" s="547">
        <f t="shared" ref="H101" si="82">+H99</f>
        <v>1.3</v>
      </c>
      <c r="I101" s="592"/>
      <c r="J101" s="547">
        <f t="shared" ref="J101" si="83">+J99</f>
        <v>1.3</v>
      </c>
      <c r="K101" s="592"/>
      <c r="L101" s="577">
        <f t="shared" ref="L101" si="84">+L99+1</f>
        <v>53</v>
      </c>
      <c r="M101" s="577"/>
      <c r="N101" s="545">
        <f>+G96*J101</f>
        <v>17828.2</v>
      </c>
      <c r="O101" s="572">
        <f>+E70*N101</f>
        <v>72811.624790748421</v>
      </c>
      <c r="P101" s="573">
        <f>+E73*O101</f>
        <v>72811.624790748421</v>
      </c>
      <c r="S101" s="37">
        <f t="shared" si="41"/>
        <v>66</v>
      </c>
      <c r="T101" s="37"/>
      <c r="U101" s="165"/>
      <c r="V101" s="172"/>
      <c r="W101" s="172"/>
      <c r="X101" s="165"/>
      <c r="Y101" s="172"/>
      <c r="Z101" s="172"/>
      <c r="AA101" s="165"/>
      <c r="AB101" s="165"/>
      <c r="AC101" s="165"/>
      <c r="AD101" s="165"/>
    </row>
    <row r="102" spans="4:30" ht="16.5" customHeight="1" x14ac:dyDescent="0.15">
      <c r="D102" s="555"/>
      <c r="E102" s="556"/>
      <c r="F102" s="556"/>
      <c r="G102" s="544"/>
      <c r="H102" s="547"/>
      <c r="I102" s="593"/>
      <c r="J102" s="547"/>
      <c r="K102" s="593"/>
      <c r="L102" s="579"/>
      <c r="M102" s="579"/>
      <c r="N102" s="546"/>
      <c r="O102" s="572"/>
      <c r="P102" s="573"/>
    </row>
    <row r="103" spans="4:30" ht="16.5" customHeight="1" x14ac:dyDescent="0.15">
      <c r="D103" s="555"/>
      <c r="E103" s="556"/>
      <c r="F103" s="556"/>
      <c r="G103" s="544"/>
      <c r="H103" s="547">
        <f t="shared" ref="H103" si="85">+H101</f>
        <v>1.3</v>
      </c>
      <c r="I103" s="594"/>
      <c r="J103" s="547">
        <f t="shared" ref="J103" si="86">+J101</f>
        <v>1.3</v>
      </c>
      <c r="K103" s="594"/>
      <c r="L103" s="577">
        <f t="shared" ref="L103" si="87">+L101+1</f>
        <v>54</v>
      </c>
      <c r="M103" s="577"/>
      <c r="N103" s="545">
        <f>+G96*J103</f>
        <v>17828.2</v>
      </c>
      <c r="O103" s="572">
        <f>+E70*N103</f>
        <v>72811.624790748421</v>
      </c>
      <c r="P103" s="573">
        <f>+E73*O103</f>
        <v>72811.624790748421</v>
      </c>
    </row>
    <row r="104" spans="4:30" ht="16.5" customHeight="1" x14ac:dyDescent="0.15">
      <c r="D104" s="555"/>
      <c r="E104" s="556"/>
      <c r="F104" s="556"/>
      <c r="G104" s="544"/>
      <c r="H104" s="547"/>
      <c r="I104" s="594"/>
      <c r="J104" s="547"/>
      <c r="K104" s="594"/>
      <c r="L104" s="579"/>
      <c r="M104" s="579"/>
      <c r="N104" s="546"/>
      <c r="O104" s="572"/>
      <c r="P104" s="573"/>
      <c r="S104" s="393" t="s">
        <v>226</v>
      </c>
      <c r="T104" s="393" t="s">
        <v>355</v>
      </c>
      <c r="U104" s="376" t="s">
        <v>360</v>
      </c>
      <c r="V104" s="376"/>
      <c r="W104" s="376"/>
      <c r="X104" s="376" t="s">
        <v>361</v>
      </c>
      <c r="Y104" s="376"/>
      <c r="Z104" s="376"/>
      <c r="AA104" s="25" t="s">
        <v>362</v>
      </c>
      <c r="AB104" s="25" t="s">
        <v>360</v>
      </c>
      <c r="AC104" s="25" t="s">
        <v>361</v>
      </c>
      <c r="AD104" s="25" t="s">
        <v>362</v>
      </c>
    </row>
    <row r="105" spans="4:30" ht="16.5" customHeight="1" x14ac:dyDescent="0.15">
      <c r="D105" s="555"/>
      <c r="E105" s="556"/>
      <c r="F105" s="556"/>
      <c r="G105" s="544"/>
      <c r="H105" s="547">
        <f t="shared" ref="H105" si="88">+H103</f>
        <v>1.3</v>
      </c>
      <c r="I105" s="594"/>
      <c r="J105" s="547">
        <f t="shared" ref="J105" si="89">+J103</f>
        <v>1.3</v>
      </c>
      <c r="K105" s="594"/>
      <c r="L105" s="577">
        <f t="shared" ref="L105" si="90">+L103+1</f>
        <v>55</v>
      </c>
      <c r="M105" s="577"/>
      <c r="N105" s="545">
        <f>+G96*J105</f>
        <v>17828.2</v>
      </c>
      <c r="O105" s="572">
        <f>+E70*N105</f>
        <v>72811.624790748421</v>
      </c>
      <c r="P105" s="573">
        <f>+E73*O105</f>
        <v>72811.624790748421</v>
      </c>
      <c r="S105" s="393"/>
      <c r="T105" s="393"/>
      <c r="U105" s="94" t="s">
        <v>354</v>
      </c>
      <c r="V105" s="376" t="s">
        <v>357</v>
      </c>
      <c r="W105" s="376"/>
      <c r="X105" s="94" t="s">
        <v>354</v>
      </c>
      <c r="Y105" s="376" t="s">
        <v>357</v>
      </c>
      <c r="Z105" s="376"/>
      <c r="AA105" s="94" t="s">
        <v>354</v>
      </c>
      <c r="AB105" s="94" t="s">
        <v>354</v>
      </c>
      <c r="AC105" s="94" t="s">
        <v>354</v>
      </c>
      <c r="AD105" s="94" t="s">
        <v>354</v>
      </c>
    </row>
    <row r="106" spans="4:30" ht="16.5" customHeight="1" x14ac:dyDescent="0.15">
      <c r="D106" s="555"/>
      <c r="E106" s="556"/>
      <c r="F106" s="556"/>
      <c r="G106" s="544"/>
      <c r="H106" s="547"/>
      <c r="I106" s="594"/>
      <c r="J106" s="547"/>
      <c r="K106" s="594"/>
      <c r="L106" s="579"/>
      <c r="M106" s="579"/>
      <c r="N106" s="546"/>
      <c r="O106" s="572"/>
      <c r="P106" s="573"/>
      <c r="S106" s="393"/>
      <c r="T106" s="393"/>
      <c r="U106" s="171" t="s">
        <v>358</v>
      </c>
      <c r="V106" s="171" t="s">
        <v>358</v>
      </c>
      <c r="W106" s="171" t="s">
        <v>359</v>
      </c>
      <c r="X106" s="171" t="s">
        <v>358</v>
      </c>
      <c r="Y106" s="171" t="s">
        <v>358</v>
      </c>
      <c r="Z106" s="171" t="s">
        <v>359</v>
      </c>
      <c r="AA106" s="171" t="s">
        <v>358</v>
      </c>
      <c r="AB106" s="171" t="s">
        <v>359</v>
      </c>
      <c r="AC106" s="171" t="s">
        <v>359</v>
      </c>
      <c r="AD106" s="171" t="s">
        <v>359</v>
      </c>
    </row>
    <row r="107" spans="4:30" ht="16.5" customHeight="1" x14ac:dyDescent="0.15">
      <c r="D107" s="555"/>
      <c r="E107" s="556"/>
      <c r="F107" s="556"/>
      <c r="G107" s="544"/>
      <c r="H107" s="547">
        <f t="shared" ref="H107" si="91">+H105</f>
        <v>1.3</v>
      </c>
      <c r="I107" s="594"/>
      <c r="J107" s="547">
        <f t="shared" ref="J107" si="92">+J105</f>
        <v>1.3</v>
      </c>
      <c r="K107" s="594"/>
      <c r="L107" s="577">
        <f>+L105+1</f>
        <v>56</v>
      </c>
      <c r="M107" s="577"/>
      <c r="N107" s="545">
        <f>+G96*J107</f>
        <v>17828.2</v>
      </c>
      <c r="O107" s="572">
        <f>+E70*N107</f>
        <v>72811.624790748421</v>
      </c>
      <c r="P107" s="573">
        <f>+E73*O107</f>
        <v>72811.624790748421</v>
      </c>
      <c r="S107" s="37">
        <f>+M15</f>
        <v>67</v>
      </c>
      <c r="T107" s="37"/>
      <c r="U107" s="165"/>
      <c r="V107" s="172"/>
      <c r="W107" s="172"/>
      <c r="X107" s="165"/>
      <c r="Y107" s="172"/>
      <c r="Z107" s="172"/>
      <c r="AA107" s="172"/>
      <c r="AB107" s="172"/>
      <c r="AC107" s="172"/>
      <c r="AD107" s="172"/>
    </row>
    <row r="108" spans="4:30" ht="16.5" customHeight="1" x14ac:dyDescent="0.15">
      <c r="D108" s="555"/>
      <c r="E108" s="556"/>
      <c r="F108" s="556"/>
      <c r="G108" s="544"/>
      <c r="H108" s="547"/>
      <c r="I108" s="594"/>
      <c r="J108" s="547"/>
      <c r="K108" s="594"/>
      <c r="L108" s="579"/>
      <c r="M108" s="579"/>
      <c r="N108" s="546"/>
      <c r="O108" s="572"/>
      <c r="P108" s="573"/>
      <c r="S108" s="37">
        <f>+S107+1</f>
        <v>68</v>
      </c>
      <c r="T108" s="37"/>
      <c r="U108" s="165"/>
      <c r="V108" s="172"/>
      <c r="W108" s="172"/>
      <c r="X108" s="165"/>
      <c r="Y108" s="172"/>
      <c r="Z108" s="172"/>
      <c r="AA108" s="172"/>
      <c r="AB108" s="172"/>
      <c r="AC108" s="172"/>
      <c r="AD108" s="172"/>
    </row>
    <row r="109" spans="4:30" ht="16.5" customHeight="1" x14ac:dyDescent="0.15">
      <c r="D109" s="555"/>
      <c r="E109" s="556"/>
      <c r="F109" s="556"/>
      <c r="G109" s="544"/>
      <c r="H109" s="547">
        <f t="shared" ref="H109" si="93">+H107</f>
        <v>1.3</v>
      </c>
      <c r="I109" s="594"/>
      <c r="J109" s="547">
        <f t="shared" ref="J109" si="94">+J107</f>
        <v>1.3</v>
      </c>
      <c r="K109" s="594"/>
      <c r="L109" s="577">
        <f t="shared" ref="L109" si="95">+L107+1</f>
        <v>57</v>
      </c>
      <c r="M109" s="577"/>
      <c r="N109" s="545">
        <f>+G96*J109</f>
        <v>17828.2</v>
      </c>
      <c r="O109" s="572">
        <f>+E70*N109</f>
        <v>72811.624790748421</v>
      </c>
      <c r="P109" s="573">
        <f>+E73*O109</f>
        <v>72811.624790748421</v>
      </c>
      <c r="S109" s="37">
        <f t="shared" ref="S109:S131" si="96">+S108+1</f>
        <v>69</v>
      </c>
      <c r="T109" s="37"/>
      <c r="U109" s="165"/>
      <c r="V109" s="172"/>
      <c r="W109" s="172"/>
      <c r="X109" s="165"/>
      <c r="Y109" s="172"/>
      <c r="Z109" s="172"/>
      <c r="AA109" s="172"/>
      <c r="AB109" s="172"/>
      <c r="AC109" s="172"/>
      <c r="AD109" s="172"/>
    </row>
    <row r="110" spans="4:30" ht="16.5" customHeight="1" x14ac:dyDescent="0.15">
      <c r="D110" s="555"/>
      <c r="E110" s="556"/>
      <c r="F110" s="556"/>
      <c r="G110" s="544"/>
      <c r="H110" s="547"/>
      <c r="I110" s="594"/>
      <c r="J110" s="547"/>
      <c r="K110" s="594"/>
      <c r="L110" s="579"/>
      <c r="M110" s="579"/>
      <c r="N110" s="546"/>
      <c r="O110" s="572"/>
      <c r="P110" s="573"/>
      <c r="S110" s="37">
        <f t="shared" si="96"/>
        <v>70</v>
      </c>
      <c r="T110" s="37"/>
      <c r="U110" s="165"/>
      <c r="V110" s="172"/>
      <c r="W110" s="172"/>
      <c r="X110" s="165"/>
      <c r="Y110" s="172"/>
      <c r="Z110" s="172"/>
      <c r="AA110" s="172"/>
      <c r="AB110" s="172"/>
      <c r="AC110" s="172"/>
      <c r="AD110" s="172"/>
    </row>
    <row r="111" spans="4:30" ht="16.5" customHeight="1" x14ac:dyDescent="0.15">
      <c r="D111" s="555"/>
      <c r="E111" s="556"/>
      <c r="F111" s="556"/>
      <c r="G111" s="544"/>
      <c r="H111" s="547">
        <f t="shared" ref="H111" si="97">+H109</f>
        <v>1.3</v>
      </c>
      <c r="I111" s="79">
        <f>+E96-I96-H97-H99-H101-H103-H105-H107-H109</f>
        <v>5.0000000000001155E-2</v>
      </c>
      <c r="J111" s="547">
        <f t="shared" ref="J111" si="98">+J109</f>
        <v>1.3</v>
      </c>
      <c r="K111" s="79">
        <f>+F96-K96-J97-J99-J101-J103-J105-J107-J109</f>
        <v>5.0000000000001155E-2</v>
      </c>
      <c r="L111" s="577">
        <f t="shared" ref="L111" si="99">+L109+1</f>
        <v>58</v>
      </c>
      <c r="M111" s="577"/>
      <c r="N111" s="545">
        <f>+G96*K111+G112*K112</f>
        <v>8920.700000000008</v>
      </c>
      <c r="O111" s="572">
        <f>+E70*N111</f>
        <v>36432.767260342043</v>
      </c>
      <c r="P111" s="573">
        <f>+E73*O111</f>
        <v>36432.767260342043</v>
      </c>
      <c r="S111" s="37">
        <f t="shared" si="96"/>
        <v>71</v>
      </c>
      <c r="T111" s="37" t="s">
        <v>356</v>
      </c>
      <c r="U111" s="165">
        <f t="shared" ref="U111:V130" si="100">+U17</f>
        <v>29492.175416064885</v>
      </c>
      <c r="V111" s="167">
        <f t="shared" si="100"/>
        <v>156.66494244921586</v>
      </c>
      <c r="W111" s="167">
        <f>+V111</f>
        <v>156.66494244921586</v>
      </c>
      <c r="X111" s="165">
        <f>+U111</f>
        <v>29492.175416064885</v>
      </c>
      <c r="Y111" s="167">
        <f>+V111</f>
        <v>156.66494244921586</v>
      </c>
      <c r="Z111" s="167">
        <f>+Y111</f>
        <v>156.66494244921586</v>
      </c>
      <c r="AA111" s="165">
        <f>+X111</f>
        <v>29492.175416064885</v>
      </c>
      <c r="AB111" s="165">
        <f>+AA111</f>
        <v>29492.175416064885</v>
      </c>
      <c r="AC111" s="165">
        <f t="shared" ref="AC111:AD111" si="101">+AB111</f>
        <v>29492.175416064885</v>
      </c>
      <c r="AD111" s="165">
        <f t="shared" si="101"/>
        <v>29492.175416064885</v>
      </c>
    </row>
    <row r="112" spans="4:30" ht="16.5" customHeight="1" x14ac:dyDescent="0.15">
      <c r="D112" s="555" t="s">
        <v>205</v>
      </c>
      <c r="E112" s="556">
        <f>+E48</f>
        <v>10.8</v>
      </c>
      <c r="F112" s="556">
        <f>+E112-E69</f>
        <v>9.5</v>
      </c>
      <c r="G112" s="544">
        <f>+G48</f>
        <v>6588</v>
      </c>
      <c r="H112" s="547"/>
      <c r="I112" s="79">
        <f>+H111-I111</f>
        <v>1.2499999999999989</v>
      </c>
      <c r="J112" s="547"/>
      <c r="K112" s="79">
        <f>+J111-K111</f>
        <v>1.2499999999999989</v>
      </c>
      <c r="L112" s="579"/>
      <c r="M112" s="579"/>
      <c r="N112" s="546"/>
      <c r="O112" s="572"/>
      <c r="P112" s="573"/>
      <c r="S112" s="37">
        <f t="shared" si="96"/>
        <v>72</v>
      </c>
      <c r="T112" s="37" t="s">
        <v>356</v>
      </c>
      <c r="U112" s="165">
        <f t="shared" si="100"/>
        <v>39978.965631787629</v>
      </c>
      <c r="V112" s="167">
        <f t="shared" si="100"/>
        <v>212.37166338267002</v>
      </c>
      <c r="W112" s="167">
        <f t="shared" ref="W112:W130" si="102">+V112</f>
        <v>212.37166338267002</v>
      </c>
      <c r="X112" s="165">
        <f t="shared" ref="X112:X130" si="103">+U112</f>
        <v>39978.965631787629</v>
      </c>
      <c r="Y112" s="167">
        <f t="shared" ref="Y112:Y130" si="104">+V112</f>
        <v>212.37166338267002</v>
      </c>
      <c r="Z112" s="167">
        <f t="shared" ref="Z112:Z130" si="105">+Y112</f>
        <v>212.37166338267002</v>
      </c>
      <c r="AA112" s="165">
        <f t="shared" ref="AA112:AA130" si="106">+X112</f>
        <v>39978.965631787629</v>
      </c>
      <c r="AB112" s="165">
        <f t="shared" ref="AB112:AD112" si="107">+AA112</f>
        <v>39978.965631787629</v>
      </c>
      <c r="AC112" s="165">
        <f t="shared" si="107"/>
        <v>39978.965631787629</v>
      </c>
      <c r="AD112" s="165">
        <f t="shared" si="107"/>
        <v>39978.965631787629</v>
      </c>
    </row>
    <row r="113" spans="4:30" ht="16.5" customHeight="1" x14ac:dyDescent="0.15">
      <c r="D113" s="555"/>
      <c r="E113" s="556"/>
      <c r="F113" s="556"/>
      <c r="G113" s="544"/>
      <c r="H113" s="547">
        <f t="shared" ref="H113" si="108">+H111</f>
        <v>1.3</v>
      </c>
      <c r="I113" s="591"/>
      <c r="J113" s="547">
        <f t="shared" ref="J113" si="109">+J111</f>
        <v>1.3</v>
      </c>
      <c r="K113" s="591"/>
      <c r="L113" s="577">
        <f t="shared" ref="L113" si="110">+L111+1</f>
        <v>59</v>
      </c>
      <c r="M113" s="577"/>
      <c r="N113" s="545">
        <f>+G112*J113</f>
        <v>8564.4</v>
      </c>
      <c r="O113" s="572">
        <f>+E70*N113</f>
        <v>34977.612959125749</v>
      </c>
      <c r="P113" s="573">
        <f>+E73*O113</f>
        <v>34977.612959125749</v>
      </c>
      <c r="S113" s="37">
        <f t="shared" si="96"/>
        <v>73</v>
      </c>
      <c r="T113" s="37" t="s">
        <v>356</v>
      </c>
      <c r="U113" s="165">
        <f t="shared" si="100"/>
        <v>81710.814300572238</v>
      </c>
      <c r="V113" s="167">
        <f t="shared" si="100"/>
        <v>802.11143631454638</v>
      </c>
      <c r="W113" s="167">
        <f t="shared" si="102"/>
        <v>802.11143631454638</v>
      </c>
      <c r="X113" s="165">
        <f t="shared" si="103"/>
        <v>81710.814300572238</v>
      </c>
      <c r="Y113" s="167">
        <f t="shared" si="104"/>
        <v>802.11143631454638</v>
      </c>
      <c r="Z113" s="167">
        <f t="shared" si="105"/>
        <v>802.11143631454638</v>
      </c>
      <c r="AA113" s="165">
        <f t="shared" si="106"/>
        <v>81710.814300572238</v>
      </c>
      <c r="AB113" s="165">
        <f t="shared" ref="AB113:AD113" si="111">+AA113</f>
        <v>81710.814300572238</v>
      </c>
      <c r="AC113" s="165">
        <f t="shared" si="111"/>
        <v>81710.814300572238</v>
      </c>
      <c r="AD113" s="165">
        <f t="shared" si="111"/>
        <v>81710.814300572238</v>
      </c>
    </row>
    <row r="114" spans="4:30" ht="16.5" customHeight="1" x14ac:dyDescent="0.15">
      <c r="D114" s="555"/>
      <c r="E114" s="556"/>
      <c r="F114" s="556"/>
      <c r="G114" s="544"/>
      <c r="H114" s="547"/>
      <c r="I114" s="591"/>
      <c r="J114" s="547"/>
      <c r="K114" s="591"/>
      <c r="L114" s="579"/>
      <c r="M114" s="579"/>
      <c r="N114" s="546"/>
      <c r="O114" s="572"/>
      <c r="P114" s="573"/>
      <c r="S114" s="37">
        <f t="shared" si="96"/>
        <v>74</v>
      </c>
      <c r="T114" s="37" t="s">
        <v>356</v>
      </c>
      <c r="U114" s="165">
        <f t="shared" si="100"/>
        <v>97085.705915387589</v>
      </c>
      <c r="V114" s="167">
        <f t="shared" si="100"/>
        <v>1019.3839842368162</v>
      </c>
      <c r="W114" s="167">
        <f t="shared" si="102"/>
        <v>1019.3839842368162</v>
      </c>
      <c r="X114" s="165">
        <f t="shared" si="103"/>
        <v>97085.705915387589</v>
      </c>
      <c r="Y114" s="167">
        <f t="shared" si="104"/>
        <v>1019.3839842368162</v>
      </c>
      <c r="Z114" s="167">
        <f t="shared" si="105"/>
        <v>1019.3839842368162</v>
      </c>
      <c r="AA114" s="165">
        <f t="shared" si="106"/>
        <v>97085.705915387589</v>
      </c>
      <c r="AB114" s="165">
        <f t="shared" ref="AB114:AD114" si="112">+AA114</f>
        <v>97085.705915387589</v>
      </c>
      <c r="AC114" s="165">
        <f t="shared" si="112"/>
        <v>97085.705915387589</v>
      </c>
      <c r="AD114" s="165">
        <f t="shared" si="112"/>
        <v>97085.705915387589</v>
      </c>
    </row>
    <row r="115" spans="4:30" ht="16.5" customHeight="1" x14ac:dyDescent="0.15">
      <c r="D115" s="555"/>
      <c r="E115" s="556"/>
      <c r="F115" s="556"/>
      <c r="G115" s="544"/>
      <c r="H115" s="547">
        <f t="shared" ref="H115" si="113">+H113</f>
        <v>1.3</v>
      </c>
      <c r="I115" s="591"/>
      <c r="J115" s="547">
        <f t="shared" ref="J115" si="114">+J113</f>
        <v>1.3</v>
      </c>
      <c r="K115" s="591"/>
      <c r="L115" s="577">
        <f t="shared" ref="L115" si="115">+L113+1</f>
        <v>60</v>
      </c>
      <c r="M115" s="577"/>
      <c r="N115" s="545">
        <f>+G112*J115</f>
        <v>8564.4</v>
      </c>
      <c r="O115" s="572">
        <f>+E70*N115</f>
        <v>34977.612959125749</v>
      </c>
      <c r="P115" s="573">
        <f>+E73*O115</f>
        <v>34977.612959125749</v>
      </c>
      <c r="S115" s="37">
        <f t="shared" si="96"/>
        <v>75</v>
      </c>
      <c r="T115" s="37" t="s">
        <v>356</v>
      </c>
      <c r="U115" s="165">
        <f t="shared" si="100"/>
        <v>136838.82245130866</v>
      </c>
      <c r="V115" s="167">
        <f t="shared" si="100"/>
        <v>1066.4324758169771</v>
      </c>
      <c r="W115" s="167">
        <f t="shared" si="102"/>
        <v>1066.4324758169771</v>
      </c>
      <c r="X115" s="165">
        <f t="shared" si="103"/>
        <v>136838.82245130866</v>
      </c>
      <c r="Y115" s="167">
        <f t="shared" si="104"/>
        <v>1066.4324758169771</v>
      </c>
      <c r="Z115" s="167">
        <f t="shared" si="105"/>
        <v>1066.4324758169771</v>
      </c>
      <c r="AA115" s="165">
        <f t="shared" si="106"/>
        <v>136838.82245130866</v>
      </c>
      <c r="AB115" s="165">
        <f t="shared" ref="AB115:AD115" si="116">+AA115</f>
        <v>136838.82245130866</v>
      </c>
      <c r="AC115" s="165">
        <f t="shared" si="116"/>
        <v>136838.82245130866</v>
      </c>
      <c r="AD115" s="165">
        <f t="shared" si="116"/>
        <v>136838.82245130866</v>
      </c>
    </row>
    <row r="116" spans="4:30" ht="16.5" customHeight="1" x14ac:dyDescent="0.15">
      <c r="D116" s="555"/>
      <c r="E116" s="556"/>
      <c r="F116" s="556"/>
      <c r="G116" s="544"/>
      <c r="H116" s="547"/>
      <c r="I116" s="591"/>
      <c r="J116" s="547"/>
      <c r="K116" s="591"/>
      <c r="L116" s="579"/>
      <c r="M116" s="579"/>
      <c r="N116" s="546"/>
      <c r="O116" s="572"/>
      <c r="P116" s="573"/>
      <c r="S116" s="37">
        <f t="shared" si="96"/>
        <v>76</v>
      </c>
      <c r="T116" s="37" t="s">
        <v>356</v>
      </c>
      <c r="U116" s="165">
        <f t="shared" si="100"/>
        <v>145623.24958149684</v>
      </c>
      <c r="V116" s="167">
        <f t="shared" si="100"/>
        <v>1529.0759763552242</v>
      </c>
      <c r="W116" s="167">
        <f t="shared" si="102"/>
        <v>1529.0759763552242</v>
      </c>
      <c r="X116" s="165">
        <f t="shared" si="103"/>
        <v>145623.24958149684</v>
      </c>
      <c r="Y116" s="167">
        <f t="shared" si="104"/>
        <v>1529.0759763552242</v>
      </c>
      <c r="Z116" s="167">
        <f t="shared" si="105"/>
        <v>1529.0759763552242</v>
      </c>
      <c r="AA116" s="165">
        <f t="shared" si="106"/>
        <v>145623.24958149684</v>
      </c>
      <c r="AB116" s="165">
        <f t="shared" ref="AB116:AD116" si="117">+AA116</f>
        <v>145623.24958149684</v>
      </c>
      <c r="AC116" s="165">
        <f t="shared" si="117"/>
        <v>145623.24958149684</v>
      </c>
      <c r="AD116" s="165">
        <f t="shared" si="117"/>
        <v>145623.24958149684</v>
      </c>
    </row>
    <row r="117" spans="4:30" ht="16.5" customHeight="1" x14ac:dyDescent="0.15">
      <c r="D117" s="555"/>
      <c r="E117" s="556"/>
      <c r="F117" s="556"/>
      <c r="G117" s="544"/>
      <c r="H117" s="547">
        <f t="shared" ref="H117" si="118">+H115</f>
        <v>1.3</v>
      </c>
      <c r="I117" s="591"/>
      <c r="J117" s="547">
        <f t="shared" ref="J117" si="119">+J115</f>
        <v>1.3</v>
      </c>
      <c r="K117" s="591"/>
      <c r="L117" s="577">
        <f t="shared" ref="L117" si="120">+L115+1</f>
        <v>61</v>
      </c>
      <c r="M117" s="577"/>
      <c r="N117" s="545">
        <f>+G112*J117</f>
        <v>8564.4</v>
      </c>
      <c r="O117" s="572">
        <f>+E70*N117</f>
        <v>34977.612959125749</v>
      </c>
      <c r="P117" s="573">
        <f>+E73*O117</f>
        <v>34977.612959125749</v>
      </c>
      <c r="S117" s="37">
        <f t="shared" si="96"/>
        <v>77</v>
      </c>
      <c r="T117" s="37" t="s">
        <v>356</v>
      </c>
      <c r="U117" s="165">
        <f t="shared" si="100"/>
        <v>145623.24958149684</v>
      </c>
      <c r="V117" s="167">
        <f t="shared" si="100"/>
        <v>1529.0759763552242</v>
      </c>
      <c r="W117" s="167">
        <f t="shared" si="102"/>
        <v>1529.0759763552242</v>
      </c>
      <c r="X117" s="165">
        <f t="shared" si="103"/>
        <v>145623.24958149684</v>
      </c>
      <c r="Y117" s="167">
        <f t="shared" si="104"/>
        <v>1529.0759763552242</v>
      </c>
      <c r="Z117" s="167">
        <f t="shared" si="105"/>
        <v>1529.0759763552242</v>
      </c>
      <c r="AA117" s="165">
        <f t="shared" si="106"/>
        <v>145623.24958149684</v>
      </c>
      <c r="AB117" s="165">
        <f t="shared" ref="AB117:AD117" si="121">+AA117</f>
        <v>145623.24958149684</v>
      </c>
      <c r="AC117" s="165">
        <f t="shared" si="121"/>
        <v>145623.24958149684</v>
      </c>
      <c r="AD117" s="165">
        <f t="shared" si="121"/>
        <v>145623.24958149684</v>
      </c>
    </row>
    <row r="118" spans="4:30" ht="16.5" customHeight="1" x14ac:dyDescent="0.15">
      <c r="D118" s="555"/>
      <c r="E118" s="556"/>
      <c r="F118" s="556"/>
      <c r="G118" s="544"/>
      <c r="H118" s="547"/>
      <c r="I118" s="591"/>
      <c r="J118" s="547"/>
      <c r="K118" s="591"/>
      <c r="L118" s="579"/>
      <c r="M118" s="579"/>
      <c r="N118" s="546"/>
      <c r="O118" s="572"/>
      <c r="P118" s="573"/>
      <c r="S118" s="37">
        <f t="shared" si="96"/>
        <v>78</v>
      </c>
      <c r="T118" s="37" t="s">
        <v>356</v>
      </c>
      <c r="U118" s="165">
        <f t="shared" si="100"/>
        <v>145623.24958149684</v>
      </c>
      <c r="V118" s="167">
        <f t="shared" si="100"/>
        <v>1529.0759763552242</v>
      </c>
      <c r="W118" s="167">
        <f t="shared" si="102"/>
        <v>1529.0759763552242</v>
      </c>
      <c r="X118" s="165">
        <f t="shared" si="103"/>
        <v>145623.24958149684</v>
      </c>
      <c r="Y118" s="167">
        <f t="shared" si="104"/>
        <v>1529.0759763552242</v>
      </c>
      <c r="Z118" s="167">
        <f t="shared" si="105"/>
        <v>1529.0759763552242</v>
      </c>
      <c r="AA118" s="165">
        <f t="shared" si="106"/>
        <v>145623.24958149684</v>
      </c>
      <c r="AB118" s="165">
        <f t="shared" ref="AB118:AD118" si="122">+AA118</f>
        <v>145623.24958149684</v>
      </c>
      <c r="AC118" s="165">
        <f t="shared" si="122"/>
        <v>145623.24958149684</v>
      </c>
      <c r="AD118" s="165">
        <f t="shared" si="122"/>
        <v>145623.24958149684</v>
      </c>
    </row>
    <row r="119" spans="4:30" ht="16.5" customHeight="1" x14ac:dyDescent="0.15">
      <c r="D119" s="555"/>
      <c r="E119" s="556"/>
      <c r="F119" s="556"/>
      <c r="G119" s="544"/>
      <c r="H119" s="547">
        <f>+H117</f>
        <v>1.3</v>
      </c>
      <c r="I119" s="591"/>
      <c r="J119" s="547">
        <f>+J117</f>
        <v>1.3</v>
      </c>
      <c r="K119" s="591"/>
      <c r="L119" s="577">
        <f>+L117+1</f>
        <v>62</v>
      </c>
      <c r="M119" s="577"/>
      <c r="N119" s="545">
        <f>+G112*J119</f>
        <v>8564.4</v>
      </c>
      <c r="O119" s="572">
        <f>+E70*N119</f>
        <v>34977.612959125749</v>
      </c>
      <c r="P119" s="573">
        <f>+E73*O119</f>
        <v>34977.612959125749</v>
      </c>
      <c r="S119" s="37">
        <f t="shared" si="96"/>
        <v>79</v>
      </c>
      <c r="T119" s="37" t="s">
        <v>356</v>
      </c>
      <c r="U119" s="165">
        <f t="shared" si="100"/>
        <v>145623.24958149684</v>
      </c>
      <c r="V119" s="167">
        <f t="shared" si="100"/>
        <v>1529.0759763552242</v>
      </c>
      <c r="W119" s="167">
        <f t="shared" si="102"/>
        <v>1529.0759763552242</v>
      </c>
      <c r="X119" s="165">
        <f t="shared" si="103"/>
        <v>145623.24958149684</v>
      </c>
      <c r="Y119" s="167">
        <f t="shared" si="104"/>
        <v>1529.0759763552242</v>
      </c>
      <c r="Z119" s="167">
        <f t="shared" si="105"/>
        <v>1529.0759763552242</v>
      </c>
      <c r="AA119" s="165">
        <f t="shared" si="106"/>
        <v>145623.24958149684</v>
      </c>
      <c r="AB119" s="165">
        <f t="shared" ref="AB119:AD119" si="123">+AA119</f>
        <v>145623.24958149684</v>
      </c>
      <c r="AC119" s="165">
        <f t="shared" si="123"/>
        <v>145623.24958149684</v>
      </c>
      <c r="AD119" s="165">
        <f t="shared" si="123"/>
        <v>145623.24958149684</v>
      </c>
    </row>
    <row r="120" spans="4:30" ht="16.5" customHeight="1" x14ac:dyDescent="0.15">
      <c r="D120" s="555"/>
      <c r="E120" s="556"/>
      <c r="F120" s="556"/>
      <c r="G120" s="544"/>
      <c r="H120" s="547"/>
      <c r="I120" s="591"/>
      <c r="J120" s="547"/>
      <c r="K120" s="591"/>
      <c r="L120" s="579"/>
      <c r="M120" s="579"/>
      <c r="N120" s="546"/>
      <c r="O120" s="572"/>
      <c r="P120" s="573"/>
      <c r="S120" s="37">
        <f t="shared" si="96"/>
        <v>80</v>
      </c>
      <c r="T120" s="37" t="s">
        <v>356</v>
      </c>
      <c r="U120" s="165">
        <f t="shared" si="100"/>
        <v>145623.24958149684</v>
      </c>
      <c r="V120" s="167">
        <f t="shared" si="100"/>
        <v>1529.0759763552242</v>
      </c>
      <c r="W120" s="167">
        <f t="shared" si="102"/>
        <v>1529.0759763552242</v>
      </c>
      <c r="X120" s="165">
        <f t="shared" si="103"/>
        <v>145623.24958149684</v>
      </c>
      <c r="Y120" s="167">
        <f t="shared" si="104"/>
        <v>1529.0759763552242</v>
      </c>
      <c r="Z120" s="167">
        <f t="shared" si="105"/>
        <v>1529.0759763552242</v>
      </c>
      <c r="AA120" s="165">
        <f t="shared" si="106"/>
        <v>145623.24958149684</v>
      </c>
      <c r="AB120" s="165">
        <f t="shared" ref="AB120:AD120" si="124">+AA120</f>
        <v>145623.24958149684</v>
      </c>
      <c r="AC120" s="165">
        <f t="shared" si="124"/>
        <v>145623.24958149684</v>
      </c>
      <c r="AD120" s="165">
        <f t="shared" si="124"/>
        <v>145623.24958149684</v>
      </c>
    </row>
    <row r="121" spans="4:30" ht="16.5" customHeight="1" x14ac:dyDescent="0.15">
      <c r="D121" s="555"/>
      <c r="E121" s="556"/>
      <c r="F121" s="556"/>
      <c r="G121" s="544"/>
      <c r="H121" s="547">
        <f t="shared" ref="H121" si="125">+H119</f>
        <v>1.3</v>
      </c>
      <c r="I121" s="591"/>
      <c r="J121" s="547">
        <f t="shared" ref="J121" si="126">+J119</f>
        <v>1.3</v>
      </c>
      <c r="K121" s="591"/>
      <c r="L121" s="577">
        <f t="shared" ref="L121" si="127">+L119+1</f>
        <v>63</v>
      </c>
      <c r="M121" s="577"/>
      <c r="N121" s="545">
        <f>+G112*J121</f>
        <v>8564.4</v>
      </c>
      <c r="O121" s="572">
        <f>+E70*N121</f>
        <v>34977.612959125749</v>
      </c>
      <c r="P121" s="573">
        <f>+E73*O121</f>
        <v>34977.612959125749</v>
      </c>
      <c r="S121" s="37">
        <f t="shared" si="96"/>
        <v>81</v>
      </c>
      <c r="T121" s="37" t="s">
        <v>356</v>
      </c>
      <c r="U121" s="165">
        <f t="shared" si="100"/>
        <v>145623.24958149684</v>
      </c>
      <c r="V121" s="167">
        <f t="shared" si="100"/>
        <v>1529.0759763552242</v>
      </c>
      <c r="W121" s="167">
        <f t="shared" si="102"/>
        <v>1529.0759763552242</v>
      </c>
      <c r="X121" s="165">
        <f t="shared" si="103"/>
        <v>145623.24958149684</v>
      </c>
      <c r="Y121" s="167">
        <f t="shared" si="104"/>
        <v>1529.0759763552242</v>
      </c>
      <c r="Z121" s="167">
        <f t="shared" si="105"/>
        <v>1529.0759763552242</v>
      </c>
      <c r="AA121" s="165">
        <f t="shared" si="106"/>
        <v>145623.24958149684</v>
      </c>
      <c r="AB121" s="165">
        <f t="shared" ref="AB121:AD121" si="128">+AA121</f>
        <v>145623.24958149684</v>
      </c>
      <c r="AC121" s="165">
        <f t="shared" si="128"/>
        <v>145623.24958149684</v>
      </c>
      <c r="AD121" s="165">
        <f t="shared" si="128"/>
        <v>145623.24958149684</v>
      </c>
    </row>
    <row r="122" spans="4:30" ht="16.5" customHeight="1" x14ac:dyDescent="0.15">
      <c r="D122" s="555"/>
      <c r="E122" s="556"/>
      <c r="F122" s="556"/>
      <c r="G122" s="544"/>
      <c r="H122" s="547"/>
      <c r="I122" s="591"/>
      <c r="J122" s="547"/>
      <c r="K122" s="591"/>
      <c r="L122" s="579"/>
      <c r="M122" s="579"/>
      <c r="N122" s="546"/>
      <c r="O122" s="572"/>
      <c r="P122" s="573"/>
      <c r="S122" s="37">
        <f t="shared" si="96"/>
        <v>82</v>
      </c>
      <c r="T122" s="37" t="s">
        <v>356</v>
      </c>
      <c r="U122" s="165">
        <f t="shared" si="100"/>
        <v>145623.24958149684</v>
      </c>
      <c r="V122" s="167">
        <f t="shared" si="100"/>
        <v>1529.0759763552242</v>
      </c>
      <c r="W122" s="167">
        <f t="shared" si="102"/>
        <v>1529.0759763552242</v>
      </c>
      <c r="X122" s="165">
        <f t="shared" si="103"/>
        <v>145623.24958149684</v>
      </c>
      <c r="Y122" s="167">
        <f t="shared" si="104"/>
        <v>1529.0759763552242</v>
      </c>
      <c r="Z122" s="167">
        <f t="shared" si="105"/>
        <v>1529.0759763552242</v>
      </c>
      <c r="AA122" s="165">
        <f t="shared" si="106"/>
        <v>145623.24958149684</v>
      </c>
      <c r="AB122" s="165">
        <f t="shared" ref="AB122:AD122" si="129">+AA122</f>
        <v>145623.24958149684</v>
      </c>
      <c r="AC122" s="165">
        <f t="shared" si="129"/>
        <v>145623.24958149684</v>
      </c>
      <c r="AD122" s="165">
        <f t="shared" si="129"/>
        <v>145623.24958149684</v>
      </c>
    </row>
    <row r="123" spans="4:30" ht="16.5" customHeight="1" x14ac:dyDescent="0.15">
      <c r="D123" s="555"/>
      <c r="E123" s="556"/>
      <c r="F123" s="556"/>
      <c r="G123" s="544"/>
      <c r="H123" s="547">
        <f t="shared" ref="H123" si="130">+H121</f>
        <v>1.3</v>
      </c>
      <c r="I123" s="591"/>
      <c r="J123" s="547">
        <f t="shared" ref="J123" si="131">+J121</f>
        <v>1.3</v>
      </c>
      <c r="K123" s="591"/>
      <c r="L123" s="577">
        <f t="shared" ref="L123" si="132">+L121+1</f>
        <v>64</v>
      </c>
      <c r="M123" s="577"/>
      <c r="N123" s="545">
        <f>+G112*J123</f>
        <v>8564.4</v>
      </c>
      <c r="O123" s="572">
        <f>+E70*N123</f>
        <v>34977.612959125749</v>
      </c>
      <c r="P123" s="573">
        <f>+E73*O123</f>
        <v>34977.612959125749</v>
      </c>
      <c r="S123" s="37">
        <f t="shared" si="96"/>
        <v>83</v>
      </c>
      <c r="T123" s="37" t="s">
        <v>356</v>
      </c>
      <c r="U123" s="165">
        <f t="shared" si="100"/>
        <v>72865.534520684087</v>
      </c>
      <c r="V123" s="167">
        <f t="shared" si="100"/>
        <v>418.20881404587431</v>
      </c>
      <c r="W123" s="167">
        <f t="shared" si="102"/>
        <v>418.20881404587431</v>
      </c>
      <c r="X123" s="165">
        <f t="shared" si="103"/>
        <v>72865.534520684087</v>
      </c>
      <c r="Y123" s="167">
        <f t="shared" si="104"/>
        <v>418.20881404587431</v>
      </c>
      <c r="Z123" s="167">
        <f t="shared" si="105"/>
        <v>418.20881404587431</v>
      </c>
      <c r="AA123" s="165">
        <f t="shared" si="106"/>
        <v>72865.534520684087</v>
      </c>
      <c r="AB123" s="165">
        <f t="shared" ref="AB123:AD123" si="133">+AA123</f>
        <v>72865.534520684087</v>
      </c>
      <c r="AC123" s="165">
        <f t="shared" si="133"/>
        <v>72865.534520684087</v>
      </c>
      <c r="AD123" s="165">
        <f t="shared" si="133"/>
        <v>72865.534520684087</v>
      </c>
    </row>
    <row r="124" spans="4:30" ht="16.5" customHeight="1" x14ac:dyDescent="0.15">
      <c r="D124" s="555"/>
      <c r="E124" s="556"/>
      <c r="F124" s="556"/>
      <c r="G124" s="544"/>
      <c r="H124" s="547"/>
      <c r="I124" s="591"/>
      <c r="J124" s="547"/>
      <c r="K124" s="591"/>
      <c r="L124" s="579"/>
      <c r="M124" s="579"/>
      <c r="N124" s="546"/>
      <c r="O124" s="572"/>
      <c r="P124" s="573"/>
      <c r="S124" s="37">
        <f t="shared" si="96"/>
        <v>84</v>
      </c>
      <c r="T124" s="37" t="s">
        <v>356</v>
      </c>
      <c r="U124" s="165">
        <f t="shared" si="100"/>
        <v>69955.225918251497</v>
      </c>
      <c r="V124" s="167">
        <f t="shared" si="100"/>
        <v>373.77412755349928</v>
      </c>
      <c r="W124" s="167">
        <f t="shared" si="102"/>
        <v>373.77412755349928</v>
      </c>
      <c r="X124" s="165">
        <f t="shared" si="103"/>
        <v>69955.225918251497</v>
      </c>
      <c r="Y124" s="167">
        <f t="shared" si="104"/>
        <v>373.77412755349928</v>
      </c>
      <c r="Z124" s="167">
        <f t="shared" si="105"/>
        <v>373.77412755349928</v>
      </c>
      <c r="AA124" s="165">
        <f t="shared" si="106"/>
        <v>69955.225918251497</v>
      </c>
      <c r="AB124" s="165">
        <f t="shared" ref="AB124:AD124" si="134">+AA124</f>
        <v>69955.225918251497</v>
      </c>
      <c r="AC124" s="165">
        <f t="shared" si="134"/>
        <v>69955.225918251497</v>
      </c>
      <c r="AD124" s="165">
        <f t="shared" si="134"/>
        <v>69955.225918251497</v>
      </c>
    </row>
    <row r="125" spans="4:30" ht="16.5" customHeight="1" x14ac:dyDescent="0.15">
      <c r="D125" s="555"/>
      <c r="E125" s="556"/>
      <c r="F125" s="556"/>
      <c r="G125" s="544"/>
      <c r="H125" s="547">
        <f>+H61</f>
        <v>1.2</v>
      </c>
      <c r="I125" s="591"/>
      <c r="J125" s="547">
        <f>+F112-K112-J113-J115-J117-J119-J121-J123</f>
        <v>0.4500000000000024</v>
      </c>
      <c r="K125" s="591"/>
      <c r="L125" s="577">
        <f t="shared" ref="L125" si="135">+L123+1</f>
        <v>65</v>
      </c>
      <c r="M125" s="577"/>
      <c r="N125" s="545">
        <f>+G112*J125</f>
        <v>2964.6000000000158</v>
      </c>
      <c r="O125" s="572">
        <f>+E70*N125</f>
        <v>12107.635255082056</v>
      </c>
      <c r="P125" s="573">
        <f>+E73*O125</f>
        <v>12107.635255082056</v>
      </c>
      <c r="S125" s="37">
        <f t="shared" si="96"/>
        <v>85</v>
      </c>
      <c r="T125" s="37" t="s">
        <v>356</v>
      </c>
      <c r="U125" s="165">
        <f t="shared" si="100"/>
        <v>69955.225918251497</v>
      </c>
      <c r="V125" s="167">
        <f t="shared" si="100"/>
        <v>373.77412755349928</v>
      </c>
      <c r="W125" s="167">
        <f t="shared" si="102"/>
        <v>373.77412755349928</v>
      </c>
      <c r="X125" s="165">
        <f t="shared" si="103"/>
        <v>69955.225918251497</v>
      </c>
      <c r="Y125" s="167">
        <f t="shared" si="104"/>
        <v>373.77412755349928</v>
      </c>
      <c r="Z125" s="167">
        <f t="shared" si="105"/>
        <v>373.77412755349928</v>
      </c>
      <c r="AA125" s="165">
        <f t="shared" si="106"/>
        <v>69955.225918251497</v>
      </c>
      <c r="AB125" s="165">
        <f t="shared" ref="AB125:AD125" si="136">+AA125</f>
        <v>69955.225918251497</v>
      </c>
      <c r="AC125" s="165">
        <f t="shared" si="136"/>
        <v>69955.225918251497</v>
      </c>
      <c r="AD125" s="165">
        <f t="shared" si="136"/>
        <v>69955.225918251497</v>
      </c>
    </row>
    <row r="126" spans="4:30" ht="16.5" customHeight="1" x14ac:dyDescent="0.15">
      <c r="D126" s="555"/>
      <c r="E126" s="556"/>
      <c r="F126" s="556"/>
      <c r="G126" s="544"/>
      <c r="H126" s="547"/>
      <c r="I126" s="591"/>
      <c r="J126" s="547"/>
      <c r="K126" s="591"/>
      <c r="L126" s="579"/>
      <c r="M126" s="579"/>
      <c r="N126" s="546"/>
      <c r="O126" s="572"/>
      <c r="P126" s="573"/>
      <c r="S126" s="37">
        <f t="shared" si="96"/>
        <v>86</v>
      </c>
      <c r="T126" s="37" t="s">
        <v>356</v>
      </c>
      <c r="U126" s="165">
        <f t="shared" si="100"/>
        <v>69955.225918251497</v>
      </c>
      <c r="V126" s="167">
        <f t="shared" si="100"/>
        <v>373.77412755349928</v>
      </c>
      <c r="W126" s="167">
        <f t="shared" si="102"/>
        <v>373.77412755349928</v>
      </c>
      <c r="X126" s="165">
        <f t="shared" si="103"/>
        <v>69955.225918251497</v>
      </c>
      <c r="Y126" s="167">
        <f t="shared" si="104"/>
        <v>373.77412755349928</v>
      </c>
      <c r="Z126" s="167">
        <f t="shared" si="105"/>
        <v>373.77412755349928</v>
      </c>
      <c r="AA126" s="165">
        <f t="shared" si="106"/>
        <v>69955.225918251497</v>
      </c>
      <c r="AB126" s="165">
        <f t="shared" ref="AB126:AD126" si="137">+AA126</f>
        <v>69955.225918251497</v>
      </c>
      <c r="AC126" s="165">
        <f t="shared" si="137"/>
        <v>69955.225918251497</v>
      </c>
      <c r="AD126" s="165">
        <f t="shared" si="137"/>
        <v>69955.225918251497</v>
      </c>
    </row>
    <row r="127" spans="4:30" ht="16.5" customHeight="1" x14ac:dyDescent="0.15">
      <c r="D127" s="555"/>
      <c r="E127" s="556"/>
      <c r="F127" s="556"/>
      <c r="G127" s="544"/>
      <c r="H127" s="98">
        <f>+E112-I112-H113-H115-H117-H119-H121-H123-H125</f>
        <v>0.55000000000000249</v>
      </c>
      <c r="I127" s="99"/>
      <c r="J127" s="99" t="s">
        <v>157</v>
      </c>
      <c r="K127" s="99"/>
      <c r="L127" s="37">
        <f>+L125+1</f>
        <v>66</v>
      </c>
      <c r="M127" s="37"/>
      <c r="N127" s="95" t="s">
        <v>157</v>
      </c>
      <c r="O127" s="95" t="s">
        <v>157</v>
      </c>
      <c r="P127" s="95" t="s">
        <v>157</v>
      </c>
      <c r="S127" s="37">
        <f t="shared" si="96"/>
        <v>87</v>
      </c>
      <c r="T127" s="37" t="s">
        <v>356</v>
      </c>
      <c r="U127" s="165">
        <f t="shared" si="100"/>
        <v>69955.225918251497</v>
      </c>
      <c r="V127" s="167">
        <f t="shared" si="100"/>
        <v>373.77412755349928</v>
      </c>
      <c r="W127" s="167">
        <f t="shared" si="102"/>
        <v>373.77412755349928</v>
      </c>
      <c r="X127" s="165">
        <f t="shared" si="103"/>
        <v>69955.225918251497</v>
      </c>
      <c r="Y127" s="167">
        <f t="shared" si="104"/>
        <v>373.77412755349928</v>
      </c>
      <c r="Z127" s="167">
        <f t="shared" si="105"/>
        <v>373.77412755349928</v>
      </c>
      <c r="AA127" s="165">
        <f t="shared" si="106"/>
        <v>69955.225918251497</v>
      </c>
      <c r="AB127" s="165">
        <f t="shared" ref="AB127:AD127" si="138">+AA127</f>
        <v>69955.225918251497</v>
      </c>
      <c r="AC127" s="165">
        <f t="shared" si="138"/>
        <v>69955.225918251497</v>
      </c>
      <c r="AD127" s="165">
        <f t="shared" si="138"/>
        <v>69955.225918251497</v>
      </c>
    </row>
    <row r="128" spans="4:30" ht="16.5" customHeight="1" x14ac:dyDescent="0.15">
      <c r="D128" s="89" t="s">
        <v>228</v>
      </c>
      <c r="E128" s="79">
        <f>SUM(E79:E127)</f>
        <v>31</v>
      </c>
      <c r="F128" s="79">
        <f>SUM(F79:F127)</f>
        <v>24.808999999999997</v>
      </c>
      <c r="G128" s="88"/>
      <c r="H128" s="79">
        <f>SUM(H79:H127)</f>
        <v>31.000000000000014</v>
      </c>
      <c r="I128" s="88"/>
      <c r="J128" s="79">
        <f>SUM(J79:J127)</f>
        <v>23.850000000000009</v>
      </c>
      <c r="K128" s="334"/>
      <c r="L128" s="327"/>
      <c r="M128" s="327"/>
      <c r="N128" s="327"/>
      <c r="O128" s="327"/>
      <c r="P128" s="328"/>
      <c r="S128" s="37">
        <f t="shared" si="96"/>
        <v>88</v>
      </c>
      <c r="T128" s="37" t="s">
        <v>356</v>
      </c>
      <c r="U128" s="165">
        <f t="shared" si="100"/>
        <v>69955.225918251497</v>
      </c>
      <c r="V128" s="167">
        <f t="shared" si="100"/>
        <v>373.77412755349928</v>
      </c>
      <c r="W128" s="167">
        <f t="shared" si="102"/>
        <v>373.77412755349928</v>
      </c>
      <c r="X128" s="165">
        <f t="shared" si="103"/>
        <v>69955.225918251497</v>
      </c>
      <c r="Y128" s="167">
        <f t="shared" si="104"/>
        <v>373.77412755349928</v>
      </c>
      <c r="Z128" s="167">
        <f t="shared" si="105"/>
        <v>373.77412755349928</v>
      </c>
      <c r="AA128" s="165">
        <f t="shared" si="106"/>
        <v>69955.225918251497</v>
      </c>
      <c r="AB128" s="165">
        <f t="shared" ref="AB128:AD128" si="139">+AA128</f>
        <v>69955.225918251497</v>
      </c>
      <c r="AC128" s="165">
        <f t="shared" si="139"/>
        <v>69955.225918251497</v>
      </c>
      <c r="AD128" s="165">
        <f t="shared" si="139"/>
        <v>69955.225918251497</v>
      </c>
    </row>
    <row r="129" spans="19:30" ht="16.5" customHeight="1" x14ac:dyDescent="0.15">
      <c r="S129" s="37">
        <f t="shared" si="96"/>
        <v>89</v>
      </c>
      <c r="T129" s="37" t="s">
        <v>356</v>
      </c>
      <c r="U129" s="165">
        <f t="shared" si="100"/>
        <v>69955.225918251497</v>
      </c>
      <c r="V129" s="167">
        <f t="shared" si="100"/>
        <v>373.77412755349928</v>
      </c>
      <c r="W129" s="167">
        <f t="shared" si="102"/>
        <v>373.77412755349928</v>
      </c>
      <c r="X129" s="165">
        <f t="shared" si="103"/>
        <v>69955.225918251497</v>
      </c>
      <c r="Y129" s="167">
        <f t="shared" si="104"/>
        <v>373.77412755349928</v>
      </c>
      <c r="Z129" s="167">
        <f t="shared" si="105"/>
        <v>373.77412755349928</v>
      </c>
      <c r="AA129" s="165">
        <f t="shared" si="106"/>
        <v>69955.225918251497</v>
      </c>
      <c r="AB129" s="165">
        <f t="shared" ref="AB129:AD129" si="140">+AA129</f>
        <v>69955.225918251497</v>
      </c>
      <c r="AC129" s="165">
        <f t="shared" si="140"/>
        <v>69955.225918251497</v>
      </c>
      <c r="AD129" s="165">
        <f t="shared" si="140"/>
        <v>69955.225918251497</v>
      </c>
    </row>
    <row r="130" spans="19:30" ht="16.5" customHeight="1" x14ac:dyDescent="0.15">
      <c r="S130" s="37">
        <f t="shared" si="96"/>
        <v>90</v>
      </c>
      <c r="T130" s="37" t="s">
        <v>356</v>
      </c>
      <c r="U130" s="165">
        <f t="shared" si="100"/>
        <v>24215.270510164111</v>
      </c>
      <c r="V130" s="167">
        <f t="shared" si="100"/>
        <v>129.38335184544275</v>
      </c>
      <c r="W130" s="167">
        <f t="shared" si="102"/>
        <v>129.38335184544275</v>
      </c>
      <c r="X130" s="165">
        <f t="shared" si="103"/>
        <v>24215.270510164111</v>
      </c>
      <c r="Y130" s="167">
        <f t="shared" si="104"/>
        <v>129.38335184544275</v>
      </c>
      <c r="Z130" s="167">
        <f t="shared" si="105"/>
        <v>129.38335184544275</v>
      </c>
      <c r="AA130" s="165">
        <f t="shared" si="106"/>
        <v>24215.270510164111</v>
      </c>
      <c r="AB130" s="165">
        <f t="shared" ref="AB130:AD130" si="141">+AA130</f>
        <v>24215.270510164111</v>
      </c>
      <c r="AC130" s="165">
        <f t="shared" si="141"/>
        <v>24215.270510164111</v>
      </c>
      <c r="AD130" s="165">
        <f t="shared" si="141"/>
        <v>24215.270510164111</v>
      </c>
    </row>
    <row r="131" spans="19:30" ht="16.5" customHeight="1" x14ac:dyDescent="0.15">
      <c r="S131" s="37">
        <f t="shared" si="96"/>
        <v>91</v>
      </c>
      <c r="T131" s="37"/>
      <c r="U131" s="165"/>
      <c r="V131" s="172"/>
      <c r="W131" s="172"/>
      <c r="X131" s="165"/>
      <c r="Y131" s="172"/>
      <c r="Z131" s="172"/>
      <c r="AA131" s="165"/>
      <c r="AB131" s="165"/>
      <c r="AC131" s="165"/>
      <c r="AD131" s="165"/>
    </row>
  </sheetData>
  <mergeCells count="480">
    <mergeCell ref="S104:S106"/>
    <mergeCell ref="T104:T106"/>
    <mergeCell ref="U104:W104"/>
    <mergeCell ref="X104:Z104"/>
    <mergeCell ref="V105:W105"/>
    <mergeCell ref="Y105:Z105"/>
    <mergeCell ref="S74:S76"/>
    <mergeCell ref="T74:T76"/>
    <mergeCell ref="U74:W74"/>
    <mergeCell ref="X74:Z74"/>
    <mergeCell ref="V75:W75"/>
    <mergeCell ref="Y75:Z75"/>
    <mergeCell ref="V11:W11"/>
    <mergeCell ref="U10:W10"/>
    <mergeCell ref="X10:Z10"/>
    <mergeCell ref="T10:T12"/>
    <mergeCell ref="S10:S12"/>
    <mergeCell ref="Y11:Z11"/>
    <mergeCell ref="N10:N14"/>
    <mergeCell ref="O10:P13"/>
    <mergeCell ref="G74:G78"/>
    <mergeCell ref="N74:N78"/>
    <mergeCell ref="O74:P77"/>
    <mergeCell ref="P43:P44"/>
    <mergeCell ref="O45:O46"/>
    <mergeCell ref="P45:P46"/>
    <mergeCell ref="O49:O50"/>
    <mergeCell ref="P49:P50"/>
    <mergeCell ref="O51:O52"/>
    <mergeCell ref="P51:P52"/>
    <mergeCell ref="P26:P27"/>
    <mergeCell ref="O33:O34"/>
    <mergeCell ref="P33:P34"/>
    <mergeCell ref="O35:O36"/>
    <mergeCell ref="P35:P36"/>
    <mergeCell ref="O41:O42"/>
    <mergeCell ref="E10:E14"/>
    <mergeCell ref="F10:F14"/>
    <mergeCell ref="H10:I14"/>
    <mergeCell ref="J10:K14"/>
    <mergeCell ref="E74:E78"/>
    <mergeCell ref="F74:F78"/>
    <mergeCell ref="H74:I78"/>
    <mergeCell ref="J74:K78"/>
    <mergeCell ref="G10:G14"/>
    <mergeCell ref="H26:H27"/>
    <mergeCell ref="H28:H29"/>
    <mergeCell ref="H30:H32"/>
    <mergeCell ref="H33:H34"/>
    <mergeCell ref="I33:I34"/>
    <mergeCell ref="H35:H36"/>
    <mergeCell ref="H16:H17"/>
    <mergeCell ref="I16:I17"/>
    <mergeCell ref="H18:H19"/>
    <mergeCell ref="I18:I19"/>
    <mergeCell ref="G32:G47"/>
    <mergeCell ref="F32:F47"/>
    <mergeCell ref="G15:G20"/>
    <mergeCell ref="F15:F20"/>
    <mergeCell ref="F48:F63"/>
    <mergeCell ref="K128:P128"/>
    <mergeCell ref="K64:P64"/>
    <mergeCell ref="J119:J120"/>
    <mergeCell ref="K119:K120"/>
    <mergeCell ref="J121:J122"/>
    <mergeCell ref="K121:K122"/>
    <mergeCell ref="J123:J124"/>
    <mergeCell ref="K123:K124"/>
    <mergeCell ref="J107:J108"/>
    <mergeCell ref="K107:K108"/>
    <mergeCell ref="J109:J110"/>
    <mergeCell ref="K109:K110"/>
    <mergeCell ref="J111:J112"/>
    <mergeCell ref="J113:J114"/>
    <mergeCell ref="K113:K114"/>
    <mergeCell ref="J97:J98"/>
    <mergeCell ref="K97:K98"/>
    <mergeCell ref="J99:J100"/>
    <mergeCell ref="K99:K100"/>
    <mergeCell ref="J101:J102"/>
    <mergeCell ref="K101:K102"/>
    <mergeCell ref="J80:J81"/>
    <mergeCell ref="K80:K81"/>
    <mergeCell ref="J82:J83"/>
    <mergeCell ref="I82:I83"/>
    <mergeCell ref="J59:J60"/>
    <mergeCell ref="J61:J62"/>
    <mergeCell ref="J55:J56"/>
    <mergeCell ref="K53:K54"/>
    <mergeCell ref="J49:J50"/>
    <mergeCell ref="K41:K42"/>
    <mergeCell ref="K43:K44"/>
    <mergeCell ref="K55:K56"/>
    <mergeCell ref="K57:K58"/>
    <mergeCell ref="J57:J58"/>
    <mergeCell ref="J51:J52"/>
    <mergeCell ref="J53:J54"/>
    <mergeCell ref="I51:I52"/>
    <mergeCell ref="I53:I54"/>
    <mergeCell ref="I55:I56"/>
    <mergeCell ref="I57:I58"/>
    <mergeCell ref="H51:H52"/>
    <mergeCell ref="H53:H54"/>
    <mergeCell ref="H55:H56"/>
    <mergeCell ref="H57:H58"/>
    <mergeCell ref="H59:H60"/>
    <mergeCell ref="H61:H62"/>
    <mergeCell ref="H39:H40"/>
    <mergeCell ref="H41:H42"/>
    <mergeCell ref="H43:H44"/>
    <mergeCell ref="H45:H46"/>
    <mergeCell ref="H47:H48"/>
    <mergeCell ref="H49:H50"/>
    <mergeCell ref="E87:E90"/>
    <mergeCell ref="E91:E94"/>
    <mergeCell ref="E96:E111"/>
    <mergeCell ref="E112:E127"/>
    <mergeCell ref="E15:E20"/>
    <mergeCell ref="E21:E22"/>
    <mergeCell ref="E23:E26"/>
    <mergeCell ref="E27:E30"/>
    <mergeCell ref="E32:E47"/>
    <mergeCell ref="E48:E63"/>
    <mergeCell ref="O121:O122"/>
    <mergeCell ref="P125:P126"/>
    <mergeCell ref="H125:H126"/>
    <mergeCell ref="I125:I126"/>
    <mergeCell ref="L125:L126"/>
    <mergeCell ref="M125:M126"/>
    <mergeCell ref="N125:N126"/>
    <mergeCell ref="O125:O126"/>
    <mergeCell ref="J125:J126"/>
    <mergeCell ref="K125:K126"/>
    <mergeCell ref="H115:H116"/>
    <mergeCell ref="I115:I116"/>
    <mergeCell ref="L115:L116"/>
    <mergeCell ref="M115:M116"/>
    <mergeCell ref="N115:N116"/>
    <mergeCell ref="O115:O116"/>
    <mergeCell ref="P115:P116"/>
    <mergeCell ref="P121:P122"/>
    <mergeCell ref="H123:H124"/>
    <mergeCell ref="I123:I124"/>
    <mergeCell ref="L123:L124"/>
    <mergeCell ref="M123:M124"/>
    <mergeCell ref="N123:N124"/>
    <mergeCell ref="O123:O124"/>
    <mergeCell ref="P123:P124"/>
    <mergeCell ref="N117:N118"/>
    <mergeCell ref="O117:O118"/>
    <mergeCell ref="P117:P118"/>
    <mergeCell ref="I119:I120"/>
    <mergeCell ref="H121:H122"/>
    <mergeCell ref="I121:I122"/>
    <mergeCell ref="L121:L122"/>
    <mergeCell ref="M121:M122"/>
    <mergeCell ref="N121:N122"/>
    <mergeCell ref="P109:P110"/>
    <mergeCell ref="H111:H112"/>
    <mergeCell ref="L111:L112"/>
    <mergeCell ref="M111:M112"/>
    <mergeCell ref="N111:N112"/>
    <mergeCell ref="O111:O112"/>
    <mergeCell ref="P111:P112"/>
    <mergeCell ref="H109:H110"/>
    <mergeCell ref="I109:I110"/>
    <mergeCell ref="L109:L110"/>
    <mergeCell ref="M109:M110"/>
    <mergeCell ref="N109:N110"/>
    <mergeCell ref="O109:O110"/>
    <mergeCell ref="M105:M106"/>
    <mergeCell ref="J103:J104"/>
    <mergeCell ref="K103:K104"/>
    <mergeCell ref="J105:J106"/>
    <mergeCell ref="K105:K106"/>
    <mergeCell ref="N105:N106"/>
    <mergeCell ref="O105:O106"/>
    <mergeCell ref="P105:P106"/>
    <mergeCell ref="H107:H108"/>
    <mergeCell ref="I107:I108"/>
    <mergeCell ref="L107:L108"/>
    <mergeCell ref="M107:M108"/>
    <mergeCell ref="N107:N108"/>
    <mergeCell ref="O107:O108"/>
    <mergeCell ref="P107:P108"/>
    <mergeCell ref="N103:N104"/>
    <mergeCell ref="O103:O104"/>
    <mergeCell ref="P103:P104"/>
    <mergeCell ref="H105:H106"/>
    <mergeCell ref="I105:I106"/>
    <mergeCell ref="L105:L106"/>
    <mergeCell ref="M92:M93"/>
    <mergeCell ref="N92:N93"/>
    <mergeCell ref="O92:O93"/>
    <mergeCell ref="P92:P93"/>
    <mergeCell ref="H94:H96"/>
    <mergeCell ref="L94:L96"/>
    <mergeCell ref="M94:M96"/>
    <mergeCell ref="N94:N96"/>
    <mergeCell ref="O94:O96"/>
    <mergeCell ref="P94:P96"/>
    <mergeCell ref="N97:N98"/>
    <mergeCell ref="O97:O98"/>
    <mergeCell ref="P97:P98"/>
    <mergeCell ref="H99:H100"/>
    <mergeCell ref="I99:I100"/>
    <mergeCell ref="L99:L100"/>
    <mergeCell ref="M99:M100"/>
    <mergeCell ref="N99:N100"/>
    <mergeCell ref="O99:O100"/>
    <mergeCell ref="P99:P100"/>
    <mergeCell ref="M97:M98"/>
    <mergeCell ref="M90:M91"/>
    <mergeCell ref="N90:N91"/>
    <mergeCell ref="O90:O91"/>
    <mergeCell ref="P90:P91"/>
    <mergeCell ref="J88:J89"/>
    <mergeCell ref="K88:K89"/>
    <mergeCell ref="D91:D94"/>
    <mergeCell ref="F91:F94"/>
    <mergeCell ref="G91:G94"/>
    <mergeCell ref="H92:H93"/>
    <mergeCell ref="I92:I93"/>
    <mergeCell ref="L92:L93"/>
    <mergeCell ref="J90:J91"/>
    <mergeCell ref="J92:J93"/>
    <mergeCell ref="K92:K93"/>
    <mergeCell ref="J94:J96"/>
    <mergeCell ref="D96:D111"/>
    <mergeCell ref="F96:F111"/>
    <mergeCell ref="G96:G111"/>
    <mergeCell ref="H97:H98"/>
    <mergeCell ref="I97:I98"/>
    <mergeCell ref="L97:L98"/>
    <mergeCell ref="I101:I102"/>
    <mergeCell ref="I103:I104"/>
    <mergeCell ref="P86:P87"/>
    <mergeCell ref="D87:D90"/>
    <mergeCell ref="F87:F90"/>
    <mergeCell ref="G87:G90"/>
    <mergeCell ref="H88:H89"/>
    <mergeCell ref="I88:I89"/>
    <mergeCell ref="L88:L89"/>
    <mergeCell ref="M88:M89"/>
    <mergeCell ref="N88:N89"/>
    <mergeCell ref="O88:O89"/>
    <mergeCell ref="H86:H87"/>
    <mergeCell ref="L86:L87"/>
    <mergeCell ref="M86:M87"/>
    <mergeCell ref="N86:N87"/>
    <mergeCell ref="O86:O87"/>
    <mergeCell ref="J86:J87"/>
    <mergeCell ref="D85:D86"/>
    <mergeCell ref="F85:F86"/>
    <mergeCell ref="G85:G86"/>
    <mergeCell ref="L84:L85"/>
    <mergeCell ref="M84:M85"/>
    <mergeCell ref="P88:P89"/>
    <mergeCell ref="H90:H91"/>
    <mergeCell ref="L90:L91"/>
    <mergeCell ref="N84:N85"/>
    <mergeCell ref="O84:O85"/>
    <mergeCell ref="P84:P85"/>
    <mergeCell ref="L80:L81"/>
    <mergeCell ref="M80:M81"/>
    <mergeCell ref="N80:N81"/>
    <mergeCell ref="O80:O81"/>
    <mergeCell ref="P80:P81"/>
    <mergeCell ref="D79:D84"/>
    <mergeCell ref="F79:F84"/>
    <mergeCell ref="G79:G84"/>
    <mergeCell ref="H80:H81"/>
    <mergeCell ref="I80:I81"/>
    <mergeCell ref="O82:O83"/>
    <mergeCell ref="P82:P83"/>
    <mergeCell ref="H84:H85"/>
    <mergeCell ref="L82:L83"/>
    <mergeCell ref="M82:M83"/>
    <mergeCell ref="N82:N83"/>
    <mergeCell ref="E79:E84"/>
    <mergeCell ref="E85:E86"/>
    <mergeCell ref="K82:K83"/>
    <mergeCell ref="J84:J85"/>
    <mergeCell ref="H82:H83"/>
    <mergeCell ref="D74:D78"/>
    <mergeCell ref="O55:O56"/>
    <mergeCell ref="P55:P56"/>
    <mergeCell ref="O57:O58"/>
    <mergeCell ref="P57:P58"/>
    <mergeCell ref="O61:O62"/>
    <mergeCell ref="P61:P62"/>
    <mergeCell ref="M61:M62"/>
    <mergeCell ref="D48:D63"/>
    <mergeCell ref="L74:M78"/>
    <mergeCell ref="O59:O60"/>
    <mergeCell ref="P59:P60"/>
    <mergeCell ref="O53:O54"/>
    <mergeCell ref="P53:P54"/>
    <mergeCell ref="P47:P48"/>
    <mergeCell ref="O47:O48"/>
    <mergeCell ref="M49:M50"/>
    <mergeCell ref="M51:M52"/>
    <mergeCell ref="M53:M54"/>
    <mergeCell ref="M55:M56"/>
    <mergeCell ref="M57:M58"/>
    <mergeCell ref="M59:M60"/>
    <mergeCell ref="K61:K62"/>
    <mergeCell ref="G48:G63"/>
    <mergeCell ref="P41:P42"/>
    <mergeCell ref="N59:N60"/>
    <mergeCell ref="N61:N62"/>
    <mergeCell ref="O16:O17"/>
    <mergeCell ref="P16:P17"/>
    <mergeCell ref="O18:O19"/>
    <mergeCell ref="P18:P19"/>
    <mergeCell ref="O20:O21"/>
    <mergeCell ref="P20:P21"/>
    <mergeCell ref="O22:O23"/>
    <mergeCell ref="P22:P23"/>
    <mergeCell ref="N45:N46"/>
    <mergeCell ref="N49:N50"/>
    <mergeCell ref="N51:N52"/>
    <mergeCell ref="N53:N54"/>
    <mergeCell ref="N55:N56"/>
    <mergeCell ref="N57:N58"/>
    <mergeCell ref="N33:N34"/>
    <mergeCell ref="N35:N36"/>
    <mergeCell ref="N41:N42"/>
    <mergeCell ref="N43:N44"/>
    <mergeCell ref="O43:O44"/>
    <mergeCell ref="N16:N17"/>
    <mergeCell ref="N18:N19"/>
    <mergeCell ref="L53:L54"/>
    <mergeCell ref="L55:L56"/>
    <mergeCell ref="L57:L58"/>
    <mergeCell ref="L59:L60"/>
    <mergeCell ref="L61:L62"/>
    <mergeCell ref="K59:K60"/>
    <mergeCell ref="I59:I60"/>
    <mergeCell ref="I61:I62"/>
    <mergeCell ref="M16:M17"/>
    <mergeCell ref="M18:M19"/>
    <mergeCell ref="M20:M21"/>
    <mergeCell ref="M22:M23"/>
    <mergeCell ref="M24:M25"/>
    <mergeCell ref="M26:M27"/>
    <mergeCell ref="K49:K50"/>
    <mergeCell ref="K51:K52"/>
    <mergeCell ref="K45:K46"/>
    <mergeCell ref="K16:K17"/>
    <mergeCell ref="K18:K19"/>
    <mergeCell ref="M33:M34"/>
    <mergeCell ref="M35:M36"/>
    <mergeCell ref="L51:L52"/>
    <mergeCell ref="L16:L17"/>
    <mergeCell ref="L18:L19"/>
    <mergeCell ref="L33:L34"/>
    <mergeCell ref="L35:L36"/>
    <mergeCell ref="M37:M38"/>
    <mergeCell ref="M39:M40"/>
    <mergeCell ref="K28:K29"/>
    <mergeCell ref="K39:K40"/>
    <mergeCell ref="K37:K38"/>
    <mergeCell ref="K24:K25"/>
    <mergeCell ref="K33:K34"/>
    <mergeCell ref="K35:K36"/>
    <mergeCell ref="J28:J29"/>
    <mergeCell ref="J30:J32"/>
    <mergeCell ref="J16:J17"/>
    <mergeCell ref="J18:J19"/>
    <mergeCell ref="J20:J21"/>
    <mergeCell ref="L20:L21"/>
    <mergeCell ref="L22:L23"/>
    <mergeCell ref="L24:L25"/>
    <mergeCell ref="L26:L27"/>
    <mergeCell ref="D21:D22"/>
    <mergeCell ref="F21:F22"/>
    <mergeCell ref="G21:G22"/>
    <mergeCell ref="D32:D47"/>
    <mergeCell ref="D23:D26"/>
    <mergeCell ref="F23:F26"/>
    <mergeCell ref="G23:G26"/>
    <mergeCell ref="J41:J42"/>
    <mergeCell ref="J47:J48"/>
    <mergeCell ref="J43:J44"/>
    <mergeCell ref="J45:J46"/>
    <mergeCell ref="J37:J38"/>
    <mergeCell ref="J39:J40"/>
    <mergeCell ref="D27:D30"/>
    <mergeCell ref="F27:F30"/>
    <mergeCell ref="G27:G30"/>
    <mergeCell ref="H22:H23"/>
    <mergeCell ref="H24:H25"/>
    <mergeCell ref="I45:I46"/>
    <mergeCell ref="J22:J23"/>
    <mergeCell ref="J24:J25"/>
    <mergeCell ref="J26:J27"/>
    <mergeCell ref="J33:J34"/>
    <mergeCell ref="J35:J36"/>
    <mergeCell ref="M45:M46"/>
    <mergeCell ref="N47:N48"/>
    <mergeCell ref="L45:L46"/>
    <mergeCell ref="L49:L50"/>
    <mergeCell ref="I28:I29"/>
    <mergeCell ref="L41:L42"/>
    <mergeCell ref="M41:M42"/>
    <mergeCell ref="M28:M29"/>
    <mergeCell ref="N28:N29"/>
    <mergeCell ref="M30:M32"/>
    <mergeCell ref="L47:L48"/>
    <mergeCell ref="M47:M48"/>
    <mergeCell ref="L37:L38"/>
    <mergeCell ref="L39:L40"/>
    <mergeCell ref="L43:L44"/>
    <mergeCell ref="M43:M44"/>
    <mergeCell ref="L28:L29"/>
    <mergeCell ref="L30:L32"/>
    <mergeCell ref="I49:I50"/>
    <mergeCell ref="I35:I36"/>
    <mergeCell ref="I37:I38"/>
    <mergeCell ref="I39:I40"/>
    <mergeCell ref="I41:I42"/>
    <mergeCell ref="I43:I44"/>
    <mergeCell ref="D112:D127"/>
    <mergeCell ref="N119:N120"/>
    <mergeCell ref="O119:O120"/>
    <mergeCell ref="P119:P120"/>
    <mergeCell ref="H119:H120"/>
    <mergeCell ref="L119:L120"/>
    <mergeCell ref="M119:M120"/>
    <mergeCell ref="J115:J116"/>
    <mergeCell ref="K115:K116"/>
    <mergeCell ref="J117:J118"/>
    <mergeCell ref="K117:K118"/>
    <mergeCell ref="F112:F127"/>
    <mergeCell ref="G112:G127"/>
    <mergeCell ref="H113:H114"/>
    <mergeCell ref="I113:I114"/>
    <mergeCell ref="L113:L114"/>
    <mergeCell ref="M113:M114"/>
    <mergeCell ref="H117:H118"/>
    <mergeCell ref="I117:I118"/>
    <mergeCell ref="L117:L118"/>
    <mergeCell ref="M117:M118"/>
    <mergeCell ref="N113:N114"/>
    <mergeCell ref="O113:O114"/>
    <mergeCell ref="P113:P114"/>
    <mergeCell ref="M101:M102"/>
    <mergeCell ref="N101:N102"/>
    <mergeCell ref="O101:O102"/>
    <mergeCell ref="P101:P102"/>
    <mergeCell ref="H103:H104"/>
    <mergeCell ref="L103:L104"/>
    <mergeCell ref="M103:M104"/>
    <mergeCell ref="H101:H102"/>
    <mergeCell ref="L101:L102"/>
    <mergeCell ref="O28:O29"/>
    <mergeCell ref="P28:P29"/>
    <mergeCell ref="O24:O25"/>
    <mergeCell ref="P24:P25"/>
    <mergeCell ref="O26:O27"/>
    <mergeCell ref="D10:D14"/>
    <mergeCell ref="L10:M14"/>
    <mergeCell ref="O39:O40"/>
    <mergeCell ref="P39:P40"/>
    <mergeCell ref="N37:N38"/>
    <mergeCell ref="O37:O38"/>
    <mergeCell ref="P37:P38"/>
    <mergeCell ref="N39:N40"/>
    <mergeCell ref="N30:N32"/>
    <mergeCell ref="O30:O32"/>
    <mergeCell ref="P30:P32"/>
    <mergeCell ref="N20:N21"/>
    <mergeCell ref="I24:I25"/>
    <mergeCell ref="N22:N23"/>
    <mergeCell ref="N24:N25"/>
    <mergeCell ref="N26:N27"/>
    <mergeCell ref="D15:D20"/>
    <mergeCell ref="H20:H21"/>
    <mergeCell ref="H37:H38"/>
  </mergeCells>
  <phoneticPr fontId="1"/>
  <pageMargins left="0.78740157480314965" right="0.27559055118110237" top="0.59055118110236227" bottom="0.15748031496062992" header="0.78740157480314965" footer="0.15748031496062992"/>
  <pageSetup paperSize="9" scale="80" orientation="portrait" r:id="rId1"/>
  <headerFooter alignWithMargins="0"/>
  <rowBreaks count="1" manualBreakCount="1">
    <brk id="66" max="16" man="1"/>
  </rowBreaks>
  <ignoredErrors>
    <ignoredError sqref="N26 I20 I22 I30 I47 I111 I86 N90 I94 Z17:Z36 AA17:AA36 Z81:Z100 E70:F94 F95:F127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022-6C65-4172-BECD-CA2C1BF84134}">
  <dimension ref="C2:AD128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4" width="6.625" style="17" customWidth="1"/>
    <col min="5" max="7" width="8.625" style="17" customWidth="1"/>
    <col min="8" max="11" width="6.625" style="17" customWidth="1"/>
    <col min="12" max="13" width="4.625" style="17" customWidth="1"/>
    <col min="14" max="14" width="8.625" style="17" customWidth="1"/>
    <col min="15" max="16" width="10.625" style="17" customWidth="1"/>
    <col min="17" max="17" width="8.625" style="17" customWidth="1"/>
    <col min="18" max="18" width="2.625" style="17"/>
    <col min="19" max="30" width="10.625" style="17" customWidth="1"/>
    <col min="31" max="16384" width="2.625" style="17"/>
  </cols>
  <sheetData>
    <row r="2" spans="3:30" ht="16.5" customHeight="1" x14ac:dyDescent="0.15">
      <c r="C2" s="18" t="s">
        <v>222</v>
      </c>
      <c r="D2" s="17" t="s">
        <v>225</v>
      </c>
    </row>
    <row r="3" spans="3:30" ht="16.5" customHeight="1" x14ac:dyDescent="0.15">
      <c r="D3" s="17" t="s">
        <v>202</v>
      </c>
      <c r="E3" s="73">
        <v>1.3</v>
      </c>
      <c r="F3" s="17" t="s">
        <v>29</v>
      </c>
    </row>
    <row r="4" spans="3:30" ht="16.5" customHeight="1" x14ac:dyDescent="0.15">
      <c r="D4" s="17" t="s">
        <v>327</v>
      </c>
      <c r="E4" s="68">
        <f>+PI()*E3</f>
        <v>4.0840704496667311</v>
      </c>
      <c r="F4" s="17" t="s">
        <v>29</v>
      </c>
    </row>
    <row r="5" spans="3:30" ht="16.5" customHeight="1" x14ac:dyDescent="0.15">
      <c r="D5" s="17" t="s">
        <v>207</v>
      </c>
      <c r="E5" s="73">
        <v>31</v>
      </c>
      <c r="F5" s="17" t="s">
        <v>29</v>
      </c>
    </row>
    <row r="6" spans="3:30" ht="16.5" customHeight="1" x14ac:dyDescent="0.15">
      <c r="D6" s="17" t="s">
        <v>227</v>
      </c>
      <c r="E6" s="73">
        <v>4.9450000000000003</v>
      </c>
      <c r="F6" s="17" t="s">
        <v>29</v>
      </c>
    </row>
    <row r="7" spans="3:30" ht="16.5" customHeight="1" x14ac:dyDescent="0.15">
      <c r="D7" s="17" t="s">
        <v>200</v>
      </c>
      <c r="E7" s="77">
        <v>3</v>
      </c>
      <c r="F7" s="17" t="s">
        <v>206</v>
      </c>
    </row>
    <row r="8" spans="3:30" ht="16.5" customHeight="1" x14ac:dyDescent="0.15">
      <c r="D8" s="376" t="s">
        <v>199</v>
      </c>
      <c r="E8" s="549" t="s">
        <v>229</v>
      </c>
      <c r="F8" s="549" t="s">
        <v>230</v>
      </c>
      <c r="G8" s="552" t="s">
        <v>233</v>
      </c>
      <c r="H8" s="362" t="s">
        <v>231</v>
      </c>
      <c r="I8" s="363"/>
      <c r="J8" s="362" t="s">
        <v>232</v>
      </c>
      <c r="K8" s="363"/>
      <c r="L8" s="368" t="s">
        <v>226</v>
      </c>
      <c r="M8" s="370"/>
      <c r="N8" s="549" t="s">
        <v>234</v>
      </c>
      <c r="O8" s="362" t="s">
        <v>235</v>
      </c>
      <c r="P8" s="363"/>
      <c r="S8" s="393" t="s">
        <v>226</v>
      </c>
      <c r="T8" s="393" t="s">
        <v>355</v>
      </c>
      <c r="U8" s="376" t="s">
        <v>360</v>
      </c>
      <c r="V8" s="376"/>
      <c r="W8" s="376"/>
      <c r="X8" s="376" t="s">
        <v>361</v>
      </c>
      <c r="Y8" s="376"/>
      <c r="Z8" s="376"/>
      <c r="AA8" s="25" t="s">
        <v>362</v>
      </c>
      <c r="AB8" s="25" t="s">
        <v>360</v>
      </c>
      <c r="AC8" s="25" t="s">
        <v>361</v>
      </c>
      <c r="AD8" s="25" t="s">
        <v>362</v>
      </c>
    </row>
    <row r="9" spans="3:30" ht="16.5" customHeight="1" x14ac:dyDescent="0.15">
      <c r="D9" s="376"/>
      <c r="E9" s="550"/>
      <c r="F9" s="550"/>
      <c r="G9" s="553"/>
      <c r="H9" s="364"/>
      <c r="I9" s="365"/>
      <c r="J9" s="364"/>
      <c r="K9" s="365"/>
      <c r="L9" s="371"/>
      <c r="M9" s="372"/>
      <c r="N9" s="550"/>
      <c r="O9" s="364"/>
      <c r="P9" s="365"/>
      <c r="S9" s="393"/>
      <c r="T9" s="393"/>
      <c r="U9" s="94" t="s">
        <v>354</v>
      </c>
      <c r="V9" s="376" t="s">
        <v>357</v>
      </c>
      <c r="W9" s="376"/>
      <c r="X9" s="94" t="s">
        <v>354</v>
      </c>
      <c r="Y9" s="376" t="s">
        <v>357</v>
      </c>
      <c r="Z9" s="376"/>
      <c r="AA9" s="94" t="s">
        <v>354</v>
      </c>
      <c r="AB9" s="94" t="s">
        <v>354</v>
      </c>
      <c r="AC9" s="94" t="s">
        <v>354</v>
      </c>
      <c r="AD9" s="94" t="s">
        <v>354</v>
      </c>
    </row>
    <row r="10" spans="3:30" ht="16.5" customHeight="1" x14ac:dyDescent="0.15">
      <c r="D10" s="376"/>
      <c r="E10" s="550"/>
      <c r="F10" s="550"/>
      <c r="G10" s="553"/>
      <c r="H10" s="364"/>
      <c r="I10" s="365"/>
      <c r="J10" s="364"/>
      <c r="K10" s="365"/>
      <c r="L10" s="371"/>
      <c r="M10" s="372"/>
      <c r="N10" s="550"/>
      <c r="O10" s="364"/>
      <c r="P10" s="365"/>
      <c r="S10" s="393"/>
      <c r="T10" s="393"/>
      <c r="U10" s="171" t="s">
        <v>358</v>
      </c>
      <c r="V10" s="171" t="s">
        <v>358</v>
      </c>
      <c r="W10" s="171" t="s">
        <v>359</v>
      </c>
      <c r="X10" s="171" t="s">
        <v>358</v>
      </c>
      <c r="Y10" s="171" t="s">
        <v>358</v>
      </c>
      <c r="Z10" s="171" t="s">
        <v>359</v>
      </c>
      <c r="AA10" s="171" t="s">
        <v>358</v>
      </c>
      <c r="AB10" s="171" t="s">
        <v>359</v>
      </c>
      <c r="AC10" s="171" t="s">
        <v>359</v>
      </c>
      <c r="AD10" s="171" t="s">
        <v>359</v>
      </c>
    </row>
    <row r="11" spans="3:30" ht="16.5" customHeight="1" x14ac:dyDescent="0.15">
      <c r="D11" s="376"/>
      <c r="E11" s="550"/>
      <c r="F11" s="550"/>
      <c r="G11" s="553"/>
      <c r="H11" s="364"/>
      <c r="I11" s="365"/>
      <c r="J11" s="364"/>
      <c r="K11" s="365"/>
      <c r="L11" s="371"/>
      <c r="M11" s="372"/>
      <c r="N11" s="550"/>
      <c r="O11" s="366"/>
      <c r="P11" s="367"/>
      <c r="S11" s="37">
        <f>+L13</f>
        <v>98</v>
      </c>
      <c r="T11" s="37"/>
      <c r="U11" s="165"/>
      <c r="V11" s="172"/>
      <c r="W11" s="172"/>
      <c r="X11" s="165"/>
      <c r="Y11" s="172"/>
      <c r="Z11" s="172"/>
      <c r="AA11" s="172"/>
      <c r="AB11" s="172"/>
      <c r="AC11" s="172"/>
      <c r="AD11" s="172"/>
    </row>
    <row r="12" spans="3:30" ht="16.5" customHeight="1" x14ac:dyDescent="0.15">
      <c r="D12" s="376"/>
      <c r="E12" s="551"/>
      <c r="F12" s="551"/>
      <c r="G12" s="554"/>
      <c r="H12" s="366"/>
      <c r="I12" s="367"/>
      <c r="J12" s="366"/>
      <c r="K12" s="367"/>
      <c r="L12" s="356"/>
      <c r="M12" s="357"/>
      <c r="N12" s="551"/>
      <c r="O12" s="69" t="s">
        <v>208</v>
      </c>
      <c r="P12" s="96">
        <f>+E7</f>
        <v>3</v>
      </c>
      <c r="S12" s="37">
        <f>+S11+1</f>
        <v>99</v>
      </c>
      <c r="T12" s="37"/>
      <c r="U12" s="165"/>
      <c r="V12" s="172"/>
      <c r="W12" s="172"/>
      <c r="X12" s="165"/>
      <c r="Y12" s="172"/>
      <c r="Z12" s="172"/>
      <c r="AA12" s="172"/>
      <c r="AB12" s="172"/>
      <c r="AC12" s="172"/>
      <c r="AD12" s="172"/>
    </row>
    <row r="13" spans="3:30" ht="16.5" customHeight="1" x14ac:dyDescent="0.15">
      <c r="D13" s="559" t="s">
        <v>16</v>
      </c>
      <c r="E13" s="608">
        <v>1.5</v>
      </c>
      <c r="F13" s="610" t="s">
        <v>157</v>
      </c>
      <c r="G13" s="612">
        <v>2000</v>
      </c>
      <c r="H13" s="98">
        <f>+E3/2</f>
        <v>0.65</v>
      </c>
      <c r="I13" s="79"/>
      <c r="J13" s="99" t="s">
        <v>157</v>
      </c>
      <c r="K13" s="99" t="s">
        <v>157</v>
      </c>
      <c r="L13" s="104">
        <v>98</v>
      </c>
      <c r="M13" s="104">
        <v>148</v>
      </c>
      <c r="N13" s="95" t="s">
        <v>157</v>
      </c>
      <c r="O13" s="95" t="s">
        <v>157</v>
      </c>
      <c r="P13" s="95" t="s">
        <v>157</v>
      </c>
      <c r="S13" s="37">
        <f t="shared" ref="S13:S35" si="0">+S12+1</f>
        <v>100</v>
      </c>
      <c r="T13" s="37"/>
      <c r="U13" s="165"/>
      <c r="V13" s="172"/>
      <c r="W13" s="172"/>
      <c r="X13" s="165"/>
      <c r="Y13" s="172"/>
      <c r="Z13" s="172"/>
      <c r="AA13" s="172"/>
      <c r="AB13" s="172"/>
      <c r="AC13" s="172"/>
      <c r="AD13" s="172"/>
    </row>
    <row r="14" spans="3:30" ht="16.5" customHeight="1" x14ac:dyDescent="0.15">
      <c r="D14" s="561"/>
      <c r="E14" s="609"/>
      <c r="F14" s="611"/>
      <c r="G14" s="613"/>
      <c r="H14" s="547">
        <f>+E3</f>
        <v>1.3</v>
      </c>
      <c r="I14" s="79">
        <f>+E13-H13</f>
        <v>0.85</v>
      </c>
      <c r="J14" s="600" t="s">
        <v>157</v>
      </c>
      <c r="K14" s="99" t="s">
        <v>157</v>
      </c>
      <c r="L14" s="577">
        <f>+L13+1</f>
        <v>99</v>
      </c>
      <c r="M14" s="577">
        <f>+M13+1</f>
        <v>149</v>
      </c>
      <c r="N14" s="589" t="s">
        <v>157</v>
      </c>
      <c r="O14" s="589" t="s">
        <v>157</v>
      </c>
      <c r="P14" s="589" t="s">
        <v>157</v>
      </c>
      <c r="S14" s="37">
        <f t="shared" si="0"/>
        <v>101</v>
      </c>
      <c r="T14" s="37"/>
      <c r="U14" s="165"/>
      <c r="V14" s="172"/>
      <c r="W14" s="172"/>
      <c r="X14" s="165"/>
      <c r="Y14" s="172"/>
      <c r="Z14" s="172"/>
      <c r="AA14" s="172"/>
      <c r="AB14" s="172"/>
      <c r="AC14" s="172"/>
      <c r="AD14" s="172"/>
    </row>
    <row r="15" spans="3:30" ht="16.5" customHeight="1" x14ac:dyDescent="0.15">
      <c r="D15" s="555" t="s">
        <v>17</v>
      </c>
      <c r="E15" s="606">
        <v>1.3</v>
      </c>
      <c r="F15" s="602" t="s">
        <v>157</v>
      </c>
      <c r="G15" s="597">
        <v>10571</v>
      </c>
      <c r="H15" s="547"/>
      <c r="I15" s="79">
        <f>+H14-I14</f>
        <v>0.45000000000000007</v>
      </c>
      <c r="J15" s="591"/>
      <c r="K15" s="99" t="s">
        <v>157</v>
      </c>
      <c r="L15" s="579"/>
      <c r="M15" s="579"/>
      <c r="N15" s="568"/>
      <c r="O15" s="568"/>
      <c r="P15" s="568"/>
      <c r="S15" s="37">
        <f t="shared" si="0"/>
        <v>102</v>
      </c>
      <c r="T15" s="37" t="s">
        <v>356</v>
      </c>
      <c r="U15" s="165">
        <f>+P20</f>
        <v>51631.124929970531</v>
      </c>
      <c r="V15" s="167">
        <f>+'周面支持力(4P右)'!P20</f>
        <v>361.44023479550589</v>
      </c>
      <c r="W15" s="167">
        <f>+V15</f>
        <v>361.44023479550589</v>
      </c>
      <c r="X15" s="165">
        <f>+U15</f>
        <v>51631.124929970531</v>
      </c>
      <c r="Y15" s="167">
        <f>+V15</f>
        <v>361.44023479550589</v>
      </c>
      <c r="Z15" s="167">
        <f>+Y15</f>
        <v>361.44023479550589</v>
      </c>
      <c r="AA15" s="165">
        <f>+X15</f>
        <v>51631.124929970531</v>
      </c>
      <c r="AB15" s="165">
        <f>+AA15</f>
        <v>51631.124929970531</v>
      </c>
      <c r="AC15" s="165">
        <f t="shared" ref="AC15:AD15" si="1">+AB15</f>
        <v>51631.124929970531</v>
      </c>
      <c r="AD15" s="165">
        <f t="shared" si="1"/>
        <v>51631.124929970531</v>
      </c>
    </row>
    <row r="16" spans="3:30" ht="16.5" customHeight="1" x14ac:dyDescent="0.15">
      <c r="D16" s="555"/>
      <c r="E16" s="570"/>
      <c r="F16" s="603"/>
      <c r="G16" s="598"/>
      <c r="H16" s="547">
        <f>+H14</f>
        <v>1.3</v>
      </c>
      <c r="I16" s="79">
        <f>+E15-I15</f>
        <v>0.85</v>
      </c>
      <c r="J16" s="600" t="s">
        <v>157</v>
      </c>
      <c r="K16" s="99" t="s">
        <v>157</v>
      </c>
      <c r="L16" s="577">
        <f>+L14+1</f>
        <v>100</v>
      </c>
      <c r="M16" s="577">
        <f>+M14+1</f>
        <v>150</v>
      </c>
      <c r="N16" s="589" t="s">
        <v>157</v>
      </c>
      <c r="O16" s="589" t="s">
        <v>157</v>
      </c>
      <c r="P16" s="589" t="s">
        <v>157</v>
      </c>
      <c r="S16" s="37">
        <f t="shared" si="0"/>
        <v>103</v>
      </c>
      <c r="T16" s="37" t="s">
        <v>356</v>
      </c>
      <c r="U16" s="165">
        <f>+P22</f>
        <v>145628.55887308138</v>
      </c>
      <c r="V16" s="167">
        <f>+'周面支持力(4P右)'!P22</f>
        <v>1529.0759763552244</v>
      </c>
      <c r="W16" s="167">
        <f t="shared" ref="W16:W34" si="2">+V16</f>
        <v>1529.0759763552244</v>
      </c>
      <c r="X16" s="165">
        <f t="shared" ref="X16:Y34" si="3">+U16</f>
        <v>145628.55887308138</v>
      </c>
      <c r="Y16" s="167">
        <f t="shared" si="3"/>
        <v>1529.0759763552244</v>
      </c>
      <c r="Z16" s="167">
        <f t="shared" ref="Z16:Z34" si="4">+Y16</f>
        <v>1529.0759763552244</v>
      </c>
      <c r="AA16" s="165">
        <f t="shared" ref="AA16:AA34" si="5">+X16</f>
        <v>145628.55887308138</v>
      </c>
      <c r="AB16" s="165">
        <f t="shared" ref="AB16:AD31" si="6">+AA16</f>
        <v>145628.55887308138</v>
      </c>
      <c r="AC16" s="165">
        <f t="shared" si="6"/>
        <v>145628.55887308138</v>
      </c>
      <c r="AD16" s="165">
        <f t="shared" si="6"/>
        <v>145628.55887308138</v>
      </c>
    </row>
    <row r="17" spans="4:30" ht="16.5" customHeight="1" x14ac:dyDescent="0.15">
      <c r="D17" s="555" t="s">
        <v>18</v>
      </c>
      <c r="E17" s="570">
        <v>2.9</v>
      </c>
      <c r="F17" s="556">
        <f>+E13+E15+E17-E6</f>
        <v>0.75499999999999901</v>
      </c>
      <c r="G17" s="571">
        <v>3765</v>
      </c>
      <c r="H17" s="547"/>
      <c r="I17" s="79">
        <f>+H16-I16</f>
        <v>0.45000000000000007</v>
      </c>
      <c r="J17" s="591"/>
      <c r="K17" s="99" t="s">
        <v>157</v>
      </c>
      <c r="L17" s="579"/>
      <c r="M17" s="579"/>
      <c r="N17" s="568"/>
      <c r="O17" s="568"/>
      <c r="P17" s="568"/>
      <c r="S17" s="37">
        <f t="shared" si="0"/>
        <v>104</v>
      </c>
      <c r="T17" s="37" t="s">
        <v>356</v>
      </c>
      <c r="U17" s="165">
        <f>+P24</f>
        <v>155635.55249237732</v>
      </c>
      <c r="V17" s="167">
        <f>+'周面支持力(4P右)'!P24</f>
        <v>1495.2598730319837</v>
      </c>
      <c r="W17" s="167">
        <f t="shared" si="2"/>
        <v>1495.2598730319837</v>
      </c>
      <c r="X17" s="165">
        <f t="shared" si="3"/>
        <v>155635.55249237732</v>
      </c>
      <c r="Y17" s="167">
        <f t="shared" si="3"/>
        <v>1495.2598730319837</v>
      </c>
      <c r="Z17" s="167">
        <f t="shared" si="4"/>
        <v>1495.2598730319837</v>
      </c>
      <c r="AA17" s="165">
        <f t="shared" si="5"/>
        <v>155635.55249237732</v>
      </c>
      <c r="AB17" s="165">
        <f t="shared" si="6"/>
        <v>155635.55249237732</v>
      </c>
      <c r="AC17" s="165">
        <f t="shared" si="6"/>
        <v>155635.55249237732</v>
      </c>
      <c r="AD17" s="165">
        <f t="shared" si="6"/>
        <v>155635.55249237732</v>
      </c>
    </row>
    <row r="18" spans="4:30" ht="16.5" customHeight="1" x14ac:dyDescent="0.15">
      <c r="D18" s="555"/>
      <c r="E18" s="570"/>
      <c r="F18" s="556"/>
      <c r="G18" s="571"/>
      <c r="H18" s="547">
        <f t="shared" ref="H18" si="7">+H16</f>
        <v>1.3</v>
      </c>
      <c r="I18" s="547"/>
      <c r="J18" s="600" t="s">
        <v>157</v>
      </c>
      <c r="K18" s="600"/>
      <c r="L18" s="387">
        <f t="shared" ref="L18:M18" si="8">+L16+1</f>
        <v>101</v>
      </c>
      <c r="M18" s="577">
        <f t="shared" si="8"/>
        <v>151</v>
      </c>
      <c r="N18" s="589" t="s">
        <v>157</v>
      </c>
      <c r="O18" s="589" t="s">
        <v>157</v>
      </c>
      <c r="P18" s="589" t="s">
        <v>157</v>
      </c>
      <c r="S18" s="37">
        <f t="shared" si="0"/>
        <v>105</v>
      </c>
      <c r="T18" s="37" t="s">
        <v>356</v>
      </c>
      <c r="U18" s="165">
        <f>+P26</f>
        <v>223253.66909580704</v>
      </c>
      <c r="V18" s="167">
        <f>+'周面支持力(4P右)'!P26</f>
        <v>1927.5178894247106</v>
      </c>
      <c r="W18" s="167">
        <f t="shared" si="2"/>
        <v>1927.5178894247106</v>
      </c>
      <c r="X18" s="165">
        <f t="shared" si="3"/>
        <v>223253.66909580704</v>
      </c>
      <c r="Y18" s="167">
        <f t="shared" si="3"/>
        <v>1927.5178894247106</v>
      </c>
      <c r="Z18" s="167">
        <f t="shared" si="4"/>
        <v>1927.5178894247106</v>
      </c>
      <c r="AA18" s="165">
        <f t="shared" si="5"/>
        <v>223253.66909580704</v>
      </c>
      <c r="AB18" s="165">
        <f t="shared" si="6"/>
        <v>223253.66909580704</v>
      </c>
      <c r="AC18" s="165">
        <f t="shared" si="6"/>
        <v>223253.66909580704</v>
      </c>
      <c r="AD18" s="165">
        <f t="shared" si="6"/>
        <v>223253.66909580704</v>
      </c>
    </row>
    <row r="19" spans="4:30" ht="16.5" customHeight="1" x14ac:dyDescent="0.15">
      <c r="D19" s="555"/>
      <c r="E19" s="570"/>
      <c r="F19" s="556"/>
      <c r="G19" s="571"/>
      <c r="H19" s="547"/>
      <c r="I19" s="547"/>
      <c r="J19" s="591"/>
      <c r="K19" s="591"/>
      <c r="L19" s="419"/>
      <c r="M19" s="579"/>
      <c r="N19" s="568"/>
      <c r="O19" s="568"/>
      <c r="P19" s="568"/>
      <c r="S19" s="37">
        <f t="shared" si="0"/>
        <v>106</v>
      </c>
      <c r="T19" s="37" t="s">
        <v>356</v>
      </c>
      <c r="U19" s="165">
        <f>+P28</f>
        <v>218434.87437224528</v>
      </c>
      <c r="V19" s="167">
        <f>+'周面支持力(4P右)'!P28</f>
        <v>2293.6139645328362</v>
      </c>
      <c r="W19" s="167">
        <f t="shared" si="2"/>
        <v>2293.6139645328362</v>
      </c>
      <c r="X19" s="165">
        <f t="shared" si="3"/>
        <v>218434.87437224528</v>
      </c>
      <c r="Y19" s="167">
        <f t="shared" si="3"/>
        <v>2293.6139645328362</v>
      </c>
      <c r="Z19" s="167">
        <f t="shared" si="4"/>
        <v>2293.6139645328362</v>
      </c>
      <c r="AA19" s="165">
        <f t="shared" si="5"/>
        <v>218434.87437224528</v>
      </c>
      <c r="AB19" s="165">
        <f t="shared" si="6"/>
        <v>218434.87437224528</v>
      </c>
      <c r="AC19" s="165">
        <f t="shared" si="6"/>
        <v>218434.87437224528</v>
      </c>
      <c r="AD19" s="165">
        <f t="shared" si="6"/>
        <v>218434.87437224528</v>
      </c>
    </row>
    <row r="20" spans="4:30" ht="16.5" customHeight="1" x14ac:dyDescent="0.15">
      <c r="D20" s="555"/>
      <c r="E20" s="570"/>
      <c r="F20" s="556"/>
      <c r="G20" s="571"/>
      <c r="H20" s="547">
        <f t="shared" ref="H20" si="9">+H18</f>
        <v>1.3</v>
      </c>
      <c r="I20" s="79">
        <f>+E17-I17-H18</f>
        <v>1.1499999999999997</v>
      </c>
      <c r="J20" s="547">
        <f>+E3</f>
        <v>1.3</v>
      </c>
      <c r="K20" s="79">
        <f>+F17</f>
        <v>0.75499999999999901</v>
      </c>
      <c r="L20" s="387">
        <f t="shared" ref="L20:M20" si="10">+L18+1</f>
        <v>102</v>
      </c>
      <c r="M20" s="577">
        <f t="shared" si="10"/>
        <v>152</v>
      </c>
      <c r="N20" s="587">
        <f>+G17*K20+G21*K21</f>
        <v>4214.0249999999996</v>
      </c>
      <c r="O20" s="587">
        <f>+E4*N20</f>
        <v>17210.374976656844</v>
      </c>
      <c r="P20" s="588">
        <f>+E7*O20</f>
        <v>51631.124929970531</v>
      </c>
      <c r="S20" s="37">
        <f t="shared" si="0"/>
        <v>107</v>
      </c>
      <c r="T20" s="37" t="s">
        <v>356</v>
      </c>
      <c r="U20" s="165">
        <f>+P30</f>
        <v>218434.87437224528</v>
      </c>
      <c r="V20" s="167">
        <f>+'周面支持力(4P右)'!P30</f>
        <v>2293.6139645328362</v>
      </c>
      <c r="W20" s="167">
        <f t="shared" si="2"/>
        <v>2293.6139645328362</v>
      </c>
      <c r="X20" s="165">
        <f t="shared" si="3"/>
        <v>218434.87437224528</v>
      </c>
      <c r="Y20" s="167">
        <f t="shared" si="3"/>
        <v>2293.6139645328362</v>
      </c>
      <c r="Z20" s="167">
        <f t="shared" si="4"/>
        <v>2293.6139645328362</v>
      </c>
      <c r="AA20" s="165">
        <f t="shared" si="5"/>
        <v>218434.87437224528</v>
      </c>
      <c r="AB20" s="165">
        <f t="shared" si="6"/>
        <v>218434.87437224528</v>
      </c>
      <c r="AC20" s="165">
        <f t="shared" si="6"/>
        <v>218434.87437224528</v>
      </c>
      <c r="AD20" s="165">
        <f t="shared" si="6"/>
        <v>218434.87437224528</v>
      </c>
    </row>
    <row r="21" spans="4:30" ht="16.5" customHeight="1" x14ac:dyDescent="0.15">
      <c r="D21" s="555" t="s">
        <v>19</v>
      </c>
      <c r="E21" s="570">
        <v>2.6</v>
      </c>
      <c r="F21" s="556">
        <f>+E21</f>
        <v>2.6</v>
      </c>
      <c r="G21" s="571">
        <v>9143</v>
      </c>
      <c r="H21" s="547"/>
      <c r="I21" s="79">
        <f>+H20-I20</f>
        <v>0.15000000000000036</v>
      </c>
      <c r="J21" s="547"/>
      <c r="K21" s="79">
        <f>+I21</f>
        <v>0.15000000000000036</v>
      </c>
      <c r="L21" s="419"/>
      <c r="M21" s="579"/>
      <c r="N21" s="572"/>
      <c r="O21" s="572"/>
      <c r="P21" s="573"/>
      <c r="S21" s="37">
        <f t="shared" si="0"/>
        <v>108</v>
      </c>
      <c r="T21" s="37" t="s">
        <v>356</v>
      </c>
      <c r="U21" s="165">
        <f>+P32</f>
        <v>218434.87437224528</v>
      </c>
      <c r="V21" s="167">
        <f>+'周面支持力(4P右)'!P32</f>
        <v>2293.6139645328362</v>
      </c>
      <c r="W21" s="167">
        <f t="shared" si="2"/>
        <v>2293.6139645328362</v>
      </c>
      <c r="X21" s="165">
        <f t="shared" si="3"/>
        <v>218434.87437224528</v>
      </c>
      <c r="Y21" s="167">
        <f t="shared" si="3"/>
        <v>2293.6139645328362</v>
      </c>
      <c r="Z21" s="167">
        <f t="shared" si="4"/>
        <v>2293.6139645328362</v>
      </c>
      <c r="AA21" s="165">
        <f t="shared" si="5"/>
        <v>218434.87437224528</v>
      </c>
      <c r="AB21" s="165">
        <f t="shared" si="6"/>
        <v>218434.87437224528</v>
      </c>
      <c r="AC21" s="165">
        <f t="shared" si="6"/>
        <v>218434.87437224528</v>
      </c>
      <c r="AD21" s="165">
        <f t="shared" si="6"/>
        <v>218434.87437224528</v>
      </c>
    </row>
    <row r="22" spans="4:30" ht="16.5" customHeight="1" x14ac:dyDescent="0.15">
      <c r="D22" s="555"/>
      <c r="E22" s="570"/>
      <c r="F22" s="556"/>
      <c r="G22" s="571"/>
      <c r="H22" s="547">
        <f t="shared" ref="H22:J22" si="11">+H20</f>
        <v>1.3</v>
      </c>
      <c r="I22" s="591"/>
      <c r="J22" s="547">
        <f t="shared" si="11"/>
        <v>1.3</v>
      </c>
      <c r="K22" s="591"/>
      <c r="L22" s="577">
        <f t="shared" ref="L22:M22" si="12">+L20+1</f>
        <v>103</v>
      </c>
      <c r="M22" s="577">
        <f t="shared" si="12"/>
        <v>153</v>
      </c>
      <c r="N22" s="587">
        <f>+G21*J22</f>
        <v>11885.9</v>
      </c>
      <c r="O22" s="587">
        <f>+E4*N22</f>
        <v>48542.852957693794</v>
      </c>
      <c r="P22" s="588">
        <f>+E7*O22</f>
        <v>145628.55887308138</v>
      </c>
      <c r="S22" s="37">
        <f t="shared" si="0"/>
        <v>109</v>
      </c>
      <c r="T22" s="37" t="s">
        <v>356</v>
      </c>
      <c r="U22" s="165">
        <f>+P34</f>
        <v>218434.87437224528</v>
      </c>
      <c r="V22" s="167">
        <f>+'周面支持力(4P右)'!P34</f>
        <v>2293.6139645328362</v>
      </c>
      <c r="W22" s="167">
        <f t="shared" si="2"/>
        <v>2293.6139645328362</v>
      </c>
      <c r="X22" s="165">
        <f t="shared" si="3"/>
        <v>218434.87437224528</v>
      </c>
      <c r="Y22" s="167">
        <f t="shared" si="3"/>
        <v>2293.6139645328362</v>
      </c>
      <c r="Z22" s="167">
        <f t="shared" si="4"/>
        <v>2293.6139645328362</v>
      </c>
      <c r="AA22" s="165">
        <f t="shared" si="5"/>
        <v>218434.87437224528</v>
      </c>
      <c r="AB22" s="165">
        <f t="shared" si="6"/>
        <v>218434.87437224528</v>
      </c>
      <c r="AC22" s="165">
        <f t="shared" si="6"/>
        <v>218434.87437224528</v>
      </c>
      <c r="AD22" s="165">
        <f t="shared" si="6"/>
        <v>218434.87437224528</v>
      </c>
    </row>
    <row r="23" spans="4:30" ht="16.5" customHeight="1" x14ac:dyDescent="0.15">
      <c r="D23" s="555"/>
      <c r="E23" s="570"/>
      <c r="F23" s="556"/>
      <c r="G23" s="571"/>
      <c r="H23" s="547"/>
      <c r="I23" s="591"/>
      <c r="J23" s="547"/>
      <c r="K23" s="591"/>
      <c r="L23" s="579"/>
      <c r="M23" s="579"/>
      <c r="N23" s="572"/>
      <c r="O23" s="572"/>
      <c r="P23" s="573"/>
      <c r="S23" s="37">
        <f t="shared" si="0"/>
        <v>110</v>
      </c>
      <c r="T23" s="37" t="s">
        <v>356</v>
      </c>
      <c r="U23" s="165">
        <f>+P36</f>
        <v>218434.87437224528</v>
      </c>
      <c r="V23" s="167">
        <f>+'周面支持力(4P右)'!P36</f>
        <v>2293.6139645328362</v>
      </c>
      <c r="W23" s="167">
        <f t="shared" si="2"/>
        <v>2293.6139645328362</v>
      </c>
      <c r="X23" s="165">
        <f t="shared" si="3"/>
        <v>218434.87437224528</v>
      </c>
      <c r="Y23" s="167">
        <f t="shared" si="3"/>
        <v>2293.6139645328362</v>
      </c>
      <c r="Z23" s="167">
        <f t="shared" si="4"/>
        <v>2293.6139645328362</v>
      </c>
      <c r="AA23" s="165">
        <f t="shared" si="5"/>
        <v>218434.87437224528</v>
      </c>
      <c r="AB23" s="165">
        <f t="shared" si="6"/>
        <v>218434.87437224528</v>
      </c>
      <c r="AC23" s="165">
        <f t="shared" si="6"/>
        <v>218434.87437224528</v>
      </c>
      <c r="AD23" s="165">
        <f t="shared" si="6"/>
        <v>218434.87437224528</v>
      </c>
    </row>
    <row r="24" spans="4:30" ht="16.5" customHeight="1" x14ac:dyDescent="0.15">
      <c r="D24" s="555"/>
      <c r="E24" s="570"/>
      <c r="F24" s="556"/>
      <c r="G24" s="571"/>
      <c r="H24" s="547">
        <f t="shared" ref="H24:J24" si="13">+H22</f>
        <v>1.3</v>
      </c>
      <c r="I24" s="79">
        <f>+E21-I21-H22</f>
        <v>1.1499999999999997</v>
      </c>
      <c r="J24" s="547">
        <f t="shared" si="13"/>
        <v>1.3</v>
      </c>
      <c r="K24" s="79">
        <f>+I24</f>
        <v>1.1499999999999997</v>
      </c>
      <c r="L24" s="577">
        <f t="shared" ref="L24:M24" si="14">+L22+1</f>
        <v>104</v>
      </c>
      <c r="M24" s="577">
        <f t="shared" si="14"/>
        <v>154</v>
      </c>
      <c r="N24" s="572">
        <f>+G21*K24+G25*K25</f>
        <v>12702.650000000001</v>
      </c>
      <c r="O24" s="587">
        <f>+E4*N24</f>
        <v>51878.517497459106</v>
      </c>
      <c r="P24" s="588">
        <f>+E7*O24</f>
        <v>155635.55249237732</v>
      </c>
      <c r="S24" s="37">
        <f t="shared" si="0"/>
        <v>111</v>
      </c>
      <c r="T24" s="37" t="s">
        <v>356</v>
      </c>
      <c r="U24" s="165">
        <f>+P38</f>
        <v>218434.87437224528</v>
      </c>
      <c r="V24" s="167">
        <f>+'周面支持力(4P右)'!P38</f>
        <v>2293.6139645328362</v>
      </c>
      <c r="W24" s="167">
        <f t="shared" si="2"/>
        <v>2293.6139645328362</v>
      </c>
      <c r="X24" s="165">
        <f t="shared" si="3"/>
        <v>218434.87437224528</v>
      </c>
      <c r="Y24" s="167">
        <f t="shared" si="3"/>
        <v>2293.6139645328362</v>
      </c>
      <c r="Z24" s="167">
        <f t="shared" si="4"/>
        <v>2293.6139645328362</v>
      </c>
      <c r="AA24" s="165">
        <f t="shared" si="5"/>
        <v>218434.87437224528</v>
      </c>
      <c r="AB24" s="165">
        <f t="shared" si="6"/>
        <v>218434.87437224528</v>
      </c>
      <c r="AC24" s="165">
        <f t="shared" si="6"/>
        <v>218434.87437224528</v>
      </c>
      <c r="AD24" s="165">
        <f t="shared" si="6"/>
        <v>218434.87437224528</v>
      </c>
    </row>
    <row r="25" spans="4:30" ht="16.5" customHeight="1" x14ac:dyDescent="0.15">
      <c r="D25" s="555" t="s">
        <v>203</v>
      </c>
      <c r="E25" s="570">
        <v>0.6</v>
      </c>
      <c r="F25" s="556">
        <f>+E25</f>
        <v>0.6</v>
      </c>
      <c r="G25" s="571">
        <v>14588</v>
      </c>
      <c r="H25" s="547"/>
      <c r="I25" s="79">
        <f>+H24-I24</f>
        <v>0.15000000000000036</v>
      </c>
      <c r="J25" s="547"/>
      <c r="K25" s="79">
        <f t="shared" ref="K25:K27" si="15">+I25</f>
        <v>0.15000000000000036</v>
      </c>
      <c r="L25" s="579"/>
      <c r="M25" s="579"/>
      <c r="N25" s="572"/>
      <c r="O25" s="572"/>
      <c r="P25" s="573"/>
      <c r="S25" s="37">
        <f t="shared" si="0"/>
        <v>112</v>
      </c>
      <c r="T25" s="37" t="s">
        <v>356</v>
      </c>
      <c r="U25" s="165">
        <f>+P40</f>
        <v>179145.70823940641</v>
      </c>
      <c r="V25" s="167">
        <f>+'周面支持力(4P右)'!P40</f>
        <v>1693.7456968857882</v>
      </c>
      <c r="W25" s="167">
        <f t="shared" si="2"/>
        <v>1693.7456968857882</v>
      </c>
      <c r="X25" s="165">
        <f t="shared" si="3"/>
        <v>179145.70823940641</v>
      </c>
      <c r="Y25" s="167">
        <f t="shared" si="3"/>
        <v>1693.7456968857882</v>
      </c>
      <c r="Z25" s="167">
        <f t="shared" si="4"/>
        <v>1693.7456968857882</v>
      </c>
      <c r="AA25" s="165">
        <f t="shared" si="5"/>
        <v>179145.70823940641</v>
      </c>
      <c r="AB25" s="165">
        <f t="shared" si="6"/>
        <v>179145.70823940641</v>
      </c>
      <c r="AC25" s="165">
        <f t="shared" si="6"/>
        <v>179145.70823940641</v>
      </c>
      <c r="AD25" s="165">
        <f t="shared" si="6"/>
        <v>179145.70823940641</v>
      </c>
    </row>
    <row r="26" spans="4:30" ht="16.5" customHeight="1" x14ac:dyDescent="0.15">
      <c r="D26" s="555"/>
      <c r="E26" s="570"/>
      <c r="F26" s="556"/>
      <c r="G26" s="571"/>
      <c r="H26" s="547">
        <f t="shared" ref="H26:J40" si="16">+H24</f>
        <v>1.3</v>
      </c>
      <c r="I26" s="79">
        <f>+E25-I25</f>
        <v>0.44999999999999962</v>
      </c>
      <c r="J26" s="547">
        <f t="shared" si="16"/>
        <v>1.3</v>
      </c>
      <c r="K26" s="79">
        <f t="shared" si="15"/>
        <v>0.44999999999999962</v>
      </c>
      <c r="L26" s="577">
        <f t="shared" ref="L26:M26" si="17">+L24+1</f>
        <v>105</v>
      </c>
      <c r="M26" s="577">
        <f t="shared" si="17"/>
        <v>155</v>
      </c>
      <c r="N26" s="572">
        <f>+G25*K26+G27*K27</f>
        <v>18221.5</v>
      </c>
      <c r="O26" s="587">
        <f>+E4*N26</f>
        <v>74417.889698602346</v>
      </c>
      <c r="P26" s="588">
        <f>+E7*O26</f>
        <v>223253.66909580704</v>
      </c>
      <c r="S26" s="37">
        <f t="shared" si="0"/>
        <v>113</v>
      </c>
      <c r="T26" s="37" t="s">
        <v>356</v>
      </c>
      <c r="U26" s="165">
        <f>+P42</f>
        <v>104932.83887737725</v>
      </c>
      <c r="V26" s="167">
        <f>+'周面支持力(4P右)'!P42</f>
        <v>560.66119133024893</v>
      </c>
      <c r="W26" s="167">
        <f t="shared" si="2"/>
        <v>560.66119133024893</v>
      </c>
      <c r="X26" s="165">
        <f t="shared" si="3"/>
        <v>104932.83887737725</v>
      </c>
      <c r="Y26" s="167">
        <f t="shared" si="3"/>
        <v>560.66119133024893</v>
      </c>
      <c r="Z26" s="167">
        <f t="shared" si="4"/>
        <v>560.66119133024893</v>
      </c>
      <c r="AA26" s="165">
        <f t="shared" si="5"/>
        <v>104932.83887737725</v>
      </c>
      <c r="AB26" s="165">
        <f t="shared" si="6"/>
        <v>104932.83887737725</v>
      </c>
      <c r="AC26" s="165">
        <f t="shared" si="6"/>
        <v>104932.83887737725</v>
      </c>
      <c r="AD26" s="165">
        <f t="shared" si="6"/>
        <v>104932.83887737725</v>
      </c>
    </row>
    <row r="27" spans="4:30" ht="16.5" customHeight="1" x14ac:dyDescent="0.15">
      <c r="D27" s="559" t="s">
        <v>204</v>
      </c>
      <c r="E27" s="565">
        <v>9.5</v>
      </c>
      <c r="F27" s="581">
        <f>+E27</f>
        <v>9.5</v>
      </c>
      <c r="G27" s="562">
        <v>13714</v>
      </c>
      <c r="H27" s="547"/>
      <c r="I27" s="79">
        <f>+H26-I26</f>
        <v>0.85000000000000042</v>
      </c>
      <c r="J27" s="547"/>
      <c r="K27" s="79">
        <f t="shared" si="15"/>
        <v>0.85000000000000042</v>
      </c>
      <c r="L27" s="579"/>
      <c r="M27" s="579"/>
      <c r="N27" s="572"/>
      <c r="O27" s="572"/>
      <c r="P27" s="573"/>
      <c r="S27" s="37">
        <f t="shared" si="0"/>
        <v>114</v>
      </c>
      <c r="T27" s="37" t="s">
        <v>356</v>
      </c>
      <c r="U27" s="165">
        <f>+P44</f>
        <v>104932.83887737725</v>
      </c>
      <c r="V27" s="167">
        <f>+'周面支持力(4P右)'!P44</f>
        <v>560.66119133024893</v>
      </c>
      <c r="W27" s="167">
        <f t="shared" si="2"/>
        <v>560.66119133024893</v>
      </c>
      <c r="X27" s="165">
        <f t="shared" si="3"/>
        <v>104932.83887737725</v>
      </c>
      <c r="Y27" s="167">
        <f t="shared" si="3"/>
        <v>560.66119133024893</v>
      </c>
      <c r="Z27" s="167">
        <f t="shared" si="4"/>
        <v>560.66119133024893</v>
      </c>
      <c r="AA27" s="165">
        <f t="shared" si="5"/>
        <v>104932.83887737725</v>
      </c>
      <c r="AB27" s="165">
        <f t="shared" si="6"/>
        <v>104932.83887737725</v>
      </c>
      <c r="AC27" s="165">
        <f t="shared" si="6"/>
        <v>104932.83887737725</v>
      </c>
      <c r="AD27" s="165">
        <f t="shared" si="6"/>
        <v>104932.83887737725</v>
      </c>
    </row>
    <row r="28" spans="4:30" ht="16.5" customHeight="1" x14ac:dyDescent="0.15">
      <c r="D28" s="560"/>
      <c r="E28" s="567"/>
      <c r="F28" s="582"/>
      <c r="G28" s="563"/>
      <c r="H28" s="547">
        <f t="shared" si="16"/>
        <v>1.3</v>
      </c>
      <c r="I28" s="592"/>
      <c r="J28" s="547">
        <f t="shared" si="16"/>
        <v>1.3</v>
      </c>
      <c r="K28" s="592"/>
      <c r="L28" s="577">
        <f>+L26+1</f>
        <v>106</v>
      </c>
      <c r="M28" s="577">
        <f>+M26+1</f>
        <v>156</v>
      </c>
      <c r="N28" s="545">
        <f>+G27*J28</f>
        <v>17828.2</v>
      </c>
      <c r="O28" s="587">
        <f>+E4*N28</f>
        <v>72811.624790748421</v>
      </c>
      <c r="P28" s="588">
        <f>+E7*O28</f>
        <v>218434.87437224528</v>
      </c>
      <c r="S28" s="37">
        <f t="shared" si="0"/>
        <v>115</v>
      </c>
      <c r="T28" s="37" t="s">
        <v>356</v>
      </c>
      <c r="U28" s="165">
        <f>+P46</f>
        <v>104932.83887737725</v>
      </c>
      <c r="V28" s="167">
        <f>+'周面支持力(4P右)'!P46</f>
        <v>560.66119133024893</v>
      </c>
      <c r="W28" s="167">
        <f t="shared" si="2"/>
        <v>560.66119133024893</v>
      </c>
      <c r="X28" s="165">
        <f t="shared" si="3"/>
        <v>104932.83887737725</v>
      </c>
      <c r="Y28" s="167">
        <f t="shared" si="3"/>
        <v>560.66119133024893</v>
      </c>
      <c r="Z28" s="167">
        <f t="shared" si="4"/>
        <v>560.66119133024893</v>
      </c>
      <c r="AA28" s="165">
        <f t="shared" si="5"/>
        <v>104932.83887737725</v>
      </c>
      <c r="AB28" s="165">
        <f t="shared" si="6"/>
        <v>104932.83887737725</v>
      </c>
      <c r="AC28" s="165">
        <f t="shared" si="6"/>
        <v>104932.83887737725</v>
      </c>
      <c r="AD28" s="165">
        <f t="shared" si="6"/>
        <v>104932.83887737725</v>
      </c>
    </row>
    <row r="29" spans="4:30" ht="16.5" customHeight="1" x14ac:dyDescent="0.15">
      <c r="D29" s="560"/>
      <c r="E29" s="567"/>
      <c r="F29" s="582"/>
      <c r="G29" s="563"/>
      <c r="H29" s="547"/>
      <c r="I29" s="593"/>
      <c r="J29" s="547"/>
      <c r="K29" s="593"/>
      <c r="L29" s="579"/>
      <c r="M29" s="579"/>
      <c r="N29" s="546"/>
      <c r="O29" s="572"/>
      <c r="P29" s="573"/>
      <c r="S29" s="37">
        <f t="shared" si="0"/>
        <v>116</v>
      </c>
      <c r="T29" s="37" t="s">
        <v>356</v>
      </c>
      <c r="U29" s="165">
        <f>+P48</f>
        <v>104932.83887737725</v>
      </c>
      <c r="V29" s="167">
        <f>+'周面支持力(4P右)'!P48</f>
        <v>560.66119133024893</v>
      </c>
      <c r="W29" s="167">
        <f t="shared" si="2"/>
        <v>560.66119133024893</v>
      </c>
      <c r="X29" s="165">
        <f t="shared" si="3"/>
        <v>104932.83887737725</v>
      </c>
      <c r="Y29" s="167">
        <f t="shared" si="3"/>
        <v>560.66119133024893</v>
      </c>
      <c r="Z29" s="167">
        <f t="shared" si="4"/>
        <v>560.66119133024893</v>
      </c>
      <c r="AA29" s="165">
        <f t="shared" si="5"/>
        <v>104932.83887737725</v>
      </c>
      <c r="AB29" s="165">
        <f t="shared" si="6"/>
        <v>104932.83887737725</v>
      </c>
      <c r="AC29" s="165">
        <f t="shared" si="6"/>
        <v>104932.83887737725</v>
      </c>
      <c r="AD29" s="165">
        <f t="shared" si="6"/>
        <v>104932.83887737725</v>
      </c>
    </row>
    <row r="30" spans="4:30" ht="16.5" customHeight="1" x14ac:dyDescent="0.15">
      <c r="D30" s="560"/>
      <c r="E30" s="567"/>
      <c r="F30" s="582"/>
      <c r="G30" s="563"/>
      <c r="H30" s="547">
        <f t="shared" si="16"/>
        <v>1.3</v>
      </c>
      <c r="I30" s="592"/>
      <c r="J30" s="547">
        <f t="shared" si="16"/>
        <v>1.3</v>
      </c>
      <c r="K30" s="592"/>
      <c r="L30" s="577">
        <f t="shared" ref="L30:M30" si="18">+L28+1</f>
        <v>107</v>
      </c>
      <c r="M30" s="577">
        <f t="shared" si="18"/>
        <v>157</v>
      </c>
      <c r="N30" s="545">
        <f>+G27*J30</f>
        <v>17828.2</v>
      </c>
      <c r="O30" s="587">
        <f>+E4*N30</f>
        <v>72811.624790748421</v>
      </c>
      <c r="P30" s="588">
        <f>+E7*O30</f>
        <v>218434.87437224528</v>
      </c>
      <c r="S30" s="37">
        <f t="shared" si="0"/>
        <v>117</v>
      </c>
      <c r="T30" s="37" t="s">
        <v>356</v>
      </c>
      <c r="U30" s="165">
        <f>+P50</f>
        <v>104932.83887737725</v>
      </c>
      <c r="V30" s="167">
        <f>+'周面支持力(4P右)'!P50</f>
        <v>560.66119133024893</v>
      </c>
      <c r="W30" s="167">
        <f t="shared" si="2"/>
        <v>560.66119133024893</v>
      </c>
      <c r="X30" s="165">
        <f t="shared" si="3"/>
        <v>104932.83887737725</v>
      </c>
      <c r="Y30" s="167">
        <f t="shared" si="3"/>
        <v>560.66119133024893</v>
      </c>
      <c r="Z30" s="167">
        <f t="shared" si="4"/>
        <v>560.66119133024893</v>
      </c>
      <c r="AA30" s="165">
        <f t="shared" si="5"/>
        <v>104932.83887737725</v>
      </c>
      <c r="AB30" s="165">
        <f t="shared" si="6"/>
        <v>104932.83887737725</v>
      </c>
      <c r="AC30" s="165">
        <f t="shared" si="6"/>
        <v>104932.83887737725</v>
      </c>
      <c r="AD30" s="165">
        <f t="shared" si="6"/>
        <v>104932.83887737725</v>
      </c>
    </row>
    <row r="31" spans="4:30" ht="16.5" customHeight="1" x14ac:dyDescent="0.15">
      <c r="D31" s="560"/>
      <c r="E31" s="567"/>
      <c r="F31" s="582"/>
      <c r="G31" s="563"/>
      <c r="H31" s="547"/>
      <c r="I31" s="593"/>
      <c r="J31" s="547"/>
      <c r="K31" s="593"/>
      <c r="L31" s="579"/>
      <c r="M31" s="579"/>
      <c r="N31" s="546"/>
      <c r="O31" s="572"/>
      <c r="P31" s="573"/>
      <c r="S31" s="37">
        <f t="shared" si="0"/>
        <v>118</v>
      </c>
      <c r="T31" s="37" t="s">
        <v>356</v>
      </c>
      <c r="U31" s="165">
        <f>+P52</f>
        <v>104932.83887737725</v>
      </c>
      <c r="V31" s="167">
        <f>+'周面支持力(4P右)'!P52</f>
        <v>560.66119133024893</v>
      </c>
      <c r="W31" s="167">
        <f t="shared" si="2"/>
        <v>560.66119133024893</v>
      </c>
      <c r="X31" s="165">
        <f t="shared" si="3"/>
        <v>104932.83887737725</v>
      </c>
      <c r="Y31" s="167">
        <f t="shared" si="3"/>
        <v>560.66119133024893</v>
      </c>
      <c r="Z31" s="167">
        <f t="shared" si="4"/>
        <v>560.66119133024893</v>
      </c>
      <c r="AA31" s="165">
        <f t="shared" si="5"/>
        <v>104932.83887737725</v>
      </c>
      <c r="AB31" s="165">
        <f t="shared" si="6"/>
        <v>104932.83887737725</v>
      </c>
      <c r="AC31" s="165">
        <f t="shared" si="6"/>
        <v>104932.83887737725</v>
      </c>
      <c r="AD31" s="165">
        <f t="shared" si="6"/>
        <v>104932.83887737725</v>
      </c>
    </row>
    <row r="32" spans="4:30" ht="16.5" customHeight="1" x14ac:dyDescent="0.15">
      <c r="D32" s="560"/>
      <c r="E32" s="567"/>
      <c r="F32" s="582"/>
      <c r="G32" s="563"/>
      <c r="H32" s="547">
        <f t="shared" si="16"/>
        <v>1.3</v>
      </c>
      <c r="I32" s="592"/>
      <c r="J32" s="547">
        <f t="shared" si="16"/>
        <v>1.3</v>
      </c>
      <c r="K32" s="592"/>
      <c r="L32" s="577">
        <f t="shared" ref="L32:M32" si="19">+L30+1</f>
        <v>108</v>
      </c>
      <c r="M32" s="577">
        <f t="shared" si="19"/>
        <v>158</v>
      </c>
      <c r="N32" s="545">
        <f>+G27*J32</f>
        <v>17828.2</v>
      </c>
      <c r="O32" s="587">
        <f>+E4*N32</f>
        <v>72811.624790748421</v>
      </c>
      <c r="P32" s="588">
        <f>+E7*O32</f>
        <v>218434.87437224528</v>
      </c>
      <c r="S32" s="37">
        <f t="shared" si="0"/>
        <v>119</v>
      </c>
      <c r="T32" s="37" t="s">
        <v>356</v>
      </c>
      <c r="U32" s="165">
        <f>+P54</f>
        <v>104932.83887737725</v>
      </c>
      <c r="V32" s="167">
        <f>+'周面支持力(4P右)'!P54</f>
        <v>560.66119133024893</v>
      </c>
      <c r="W32" s="167">
        <f t="shared" si="2"/>
        <v>560.66119133024893</v>
      </c>
      <c r="X32" s="165">
        <f t="shared" si="3"/>
        <v>104932.83887737725</v>
      </c>
      <c r="Y32" s="167">
        <f t="shared" si="3"/>
        <v>560.66119133024893</v>
      </c>
      <c r="Z32" s="167">
        <f t="shared" si="4"/>
        <v>560.66119133024893</v>
      </c>
      <c r="AA32" s="165">
        <f t="shared" si="5"/>
        <v>104932.83887737725</v>
      </c>
      <c r="AB32" s="165">
        <f t="shared" ref="AB32:AD34" si="20">+AA32</f>
        <v>104932.83887737725</v>
      </c>
      <c r="AC32" s="165">
        <f t="shared" si="20"/>
        <v>104932.83887737725</v>
      </c>
      <c r="AD32" s="165">
        <f t="shared" si="20"/>
        <v>104932.83887737725</v>
      </c>
    </row>
    <row r="33" spans="4:30" ht="16.5" customHeight="1" x14ac:dyDescent="0.15">
      <c r="D33" s="560"/>
      <c r="E33" s="567"/>
      <c r="F33" s="582"/>
      <c r="G33" s="563"/>
      <c r="H33" s="547"/>
      <c r="I33" s="593"/>
      <c r="J33" s="547"/>
      <c r="K33" s="593"/>
      <c r="L33" s="579"/>
      <c r="M33" s="579"/>
      <c r="N33" s="546"/>
      <c r="O33" s="572"/>
      <c r="P33" s="573"/>
      <c r="S33" s="37">
        <f t="shared" si="0"/>
        <v>120</v>
      </c>
      <c r="T33" s="37" t="s">
        <v>356</v>
      </c>
      <c r="U33" s="165">
        <f>+P56</f>
        <v>104932.83887737725</v>
      </c>
      <c r="V33" s="167">
        <f>+'周面支持力(4P右)'!P56</f>
        <v>560.66119133024893</v>
      </c>
      <c r="W33" s="167">
        <f t="shared" si="2"/>
        <v>560.66119133024893</v>
      </c>
      <c r="X33" s="165">
        <f t="shared" si="3"/>
        <v>104932.83887737725</v>
      </c>
      <c r="Y33" s="167">
        <f t="shared" si="3"/>
        <v>560.66119133024893</v>
      </c>
      <c r="Z33" s="167">
        <f t="shared" si="4"/>
        <v>560.66119133024893</v>
      </c>
      <c r="AA33" s="165">
        <f t="shared" si="5"/>
        <v>104932.83887737725</v>
      </c>
      <c r="AB33" s="165">
        <f t="shared" si="20"/>
        <v>104932.83887737725</v>
      </c>
      <c r="AC33" s="165">
        <f t="shared" si="20"/>
        <v>104932.83887737725</v>
      </c>
      <c r="AD33" s="165">
        <f t="shared" si="20"/>
        <v>104932.83887737725</v>
      </c>
    </row>
    <row r="34" spans="4:30" ht="16.5" customHeight="1" x14ac:dyDescent="0.15">
      <c r="D34" s="560"/>
      <c r="E34" s="567"/>
      <c r="F34" s="582"/>
      <c r="G34" s="563"/>
      <c r="H34" s="547">
        <f t="shared" si="16"/>
        <v>1.3</v>
      </c>
      <c r="I34" s="594"/>
      <c r="J34" s="547">
        <f t="shared" si="16"/>
        <v>1.3</v>
      </c>
      <c r="K34" s="594"/>
      <c r="L34" s="577">
        <f t="shared" ref="L34:M34" si="21">+L32+1</f>
        <v>109</v>
      </c>
      <c r="M34" s="577">
        <f t="shared" si="21"/>
        <v>159</v>
      </c>
      <c r="N34" s="545">
        <f>+G27*J34</f>
        <v>17828.2</v>
      </c>
      <c r="O34" s="587">
        <f>+E4*N34</f>
        <v>72811.624790748421</v>
      </c>
      <c r="P34" s="588">
        <f>+E7*O34</f>
        <v>218434.87437224528</v>
      </c>
      <c r="S34" s="37">
        <f t="shared" si="0"/>
        <v>121</v>
      </c>
      <c r="T34" s="37" t="s">
        <v>356</v>
      </c>
      <c r="U34" s="165">
        <f>+P58</f>
        <v>36322.90576524588</v>
      </c>
      <c r="V34" s="167">
        <f>+'周面支持力(4P右)'!P58</f>
        <v>194.07502776816258</v>
      </c>
      <c r="W34" s="167">
        <f t="shared" si="2"/>
        <v>194.07502776816258</v>
      </c>
      <c r="X34" s="165">
        <f t="shared" si="3"/>
        <v>36322.90576524588</v>
      </c>
      <c r="Y34" s="167">
        <f t="shared" si="3"/>
        <v>194.07502776816258</v>
      </c>
      <c r="Z34" s="167">
        <f t="shared" si="4"/>
        <v>194.07502776816258</v>
      </c>
      <c r="AA34" s="165">
        <f t="shared" si="5"/>
        <v>36322.90576524588</v>
      </c>
      <c r="AB34" s="165">
        <f t="shared" si="20"/>
        <v>36322.90576524588</v>
      </c>
      <c r="AC34" s="165">
        <f t="shared" si="20"/>
        <v>36322.90576524588</v>
      </c>
      <c r="AD34" s="165">
        <f t="shared" si="20"/>
        <v>36322.90576524588</v>
      </c>
    </row>
    <row r="35" spans="4:30" ht="16.5" customHeight="1" x14ac:dyDescent="0.15">
      <c r="D35" s="560"/>
      <c r="E35" s="567"/>
      <c r="F35" s="582"/>
      <c r="G35" s="563"/>
      <c r="H35" s="547"/>
      <c r="I35" s="594"/>
      <c r="J35" s="547"/>
      <c r="K35" s="594"/>
      <c r="L35" s="579"/>
      <c r="M35" s="579"/>
      <c r="N35" s="546"/>
      <c r="O35" s="572"/>
      <c r="P35" s="573"/>
      <c r="S35" s="37">
        <f t="shared" si="0"/>
        <v>122</v>
      </c>
      <c r="T35" s="37"/>
      <c r="U35" s="165"/>
      <c r="V35" s="172"/>
      <c r="W35" s="172"/>
      <c r="X35" s="165"/>
      <c r="Y35" s="172"/>
      <c r="Z35" s="172"/>
      <c r="AA35" s="165"/>
      <c r="AB35" s="165"/>
      <c r="AC35" s="165"/>
      <c r="AD35" s="165"/>
    </row>
    <row r="36" spans="4:30" ht="16.5" customHeight="1" x14ac:dyDescent="0.15">
      <c r="D36" s="560"/>
      <c r="E36" s="567"/>
      <c r="F36" s="582"/>
      <c r="G36" s="563"/>
      <c r="H36" s="547">
        <f t="shared" si="16"/>
        <v>1.3</v>
      </c>
      <c r="I36" s="594"/>
      <c r="J36" s="547">
        <f t="shared" si="16"/>
        <v>1.3</v>
      </c>
      <c r="K36" s="594"/>
      <c r="L36" s="577">
        <f t="shared" ref="L36:M36" si="22">+L34+1</f>
        <v>110</v>
      </c>
      <c r="M36" s="577">
        <f t="shared" si="22"/>
        <v>160</v>
      </c>
      <c r="N36" s="545">
        <f>+G27*J36</f>
        <v>17828.2</v>
      </c>
      <c r="O36" s="587">
        <f>+E4*N36</f>
        <v>72811.624790748421</v>
      </c>
      <c r="P36" s="588">
        <f>+E7*O36</f>
        <v>218434.87437224528</v>
      </c>
    </row>
    <row r="37" spans="4:30" ht="16.5" customHeight="1" x14ac:dyDescent="0.15">
      <c r="D37" s="560"/>
      <c r="E37" s="567"/>
      <c r="F37" s="582"/>
      <c r="G37" s="563"/>
      <c r="H37" s="547"/>
      <c r="I37" s="594"/>
      <c r="J37" s="547"/>
      <c r="K37" s="594"/>
      <c r="L37" s="579"/>
      <c r="M37" s="579"/>
      <c r="N37" s="546"/>
      <c r="O37" s="572"/>
      <c r="P37" s="573"/>
    </row>
    <row r="38" spans="4:30" ht="16.5" customHeight="1" x14ac:dyDescent="0.15">
      <c r="D38" s="560"/>
      <c r="E38" s="567"/>
      <c r="F38" s="582"/>
      <c r="G38" s="563"/>
      <c r="H38" s="547">
        <f t="shared" si="16"/>
        <v>1.3</v>
      </c>
      <c r="I38" s="594"/>
      <c r="J38" s="547">
        <f t="shared" si="16"/>
        <v>1.3</v>
      </c>
      <c r="K38" s="594"/>
      <c r="L38" s="577">
        <f>+L36+1</f>
        <v>111</v>
      </c>
      <c r="M38" s="577">
        <f>+M36+1</f>
        <v>161</v>
      </c>
      <c r="N38" s="545">
        <f>+G27*J38</f>
        <v>17828.2</v>
      </c>
      <c r="O38" s="587">
        <f>+E4*N38</f>
        <v>72811.624790748421</v>
      </c>
      <c r="P38" s="588">
        <f>+E7*O38</f>
        <v>218434.87437224528</v>
      </c>
    </row>
    <row r="39" spans="4:30" ht="16.5" customHeight="1" x14ac:dyDescent="0.15">
      <c r="D39" s="560"/>
      <c r="E39" s="567"/>
      <c r="F39" s="582"/>
      <c r="G39" s="563"/>
      <c r="H39" s="547"/>
      <c r="I39" s="594"/>
      <c r="J39" s="547"/>
      <c r="K39" s="594"/>
      <c r="L39" s="579"/>
      <c r="M39" s="579"/>
      <c r="N39" s="546"/>
      <c r="O39" s="572"/>
      <c r="P39" s="573"/>
    </row>
    <row r="40" spans="4:30" ht="16.5" customHeight="1" x14ac:dyDescent="0.15">
      <c r="D40" s="561"/>
      <c r="E40" s="566"/>
      <c r="F40" s="583"/>
      <c r="G40" s="564"/>
      <c r="H40" s="547">
        <f t="shared" si="16"/>
        <v>1.3</v>
      </c>
      <c r="I40" s="79">
        <f>+E27-I27-H28-H30-H32-H34-H36-H38</f>
        <v>0.8500000000000012</v>
      </c>
      <c r="J40" s="547">
        <f t="shared" si="16"/>
        <v>1.3</v>
      </c>
      <c r="K40" s="79">
        <f t="shared" ref="K40:K41" si="23">+I40</f>
        <v>0.8500000000000012</v>
      </c>
      <c r="L40" s="577">
        <f t="shared" ref="L40:M40" si="24">+L38+1</f>
        <v>112</v>
      </c>
      <c r="M40" s="577">
        <f t="shared" si="24"/>
        <v>162</v>
      </c>
      <c r="N40" s="545">
        <f>+G27*K40+G41*K41</f>
        <v>14621.500000000007</v>
      </c>
      <c r="O40" s="587">
        <f>+E4*N40</f>
        <v>59715.23607980214</v>
      </c>
      <c r="P40" s="588">
        <f>+E7*O40</f>
        <v>179145.70823940641</v>
      </c>
    </row>
    <row r="41" spans="4:30" ht="16.5" customHeight="1" x14ac:dyDescent="0.15">
      <c r="D41" s="555" t="s">
        <v>205</v>
      </c>
      <c r="E41" s="570">
        <v>12.6</v>
      </c>
      <c r="F41" s="556">
        <f>+E41-E3</f>
        <v>11.299999999999999</v>
      </c>
      <c r="G41" s="571">
        <v>6588</v>
      </c>
      <c r="H41" s="547"/>
      <c r="I41" s="79">
        <f>+H42-I40</f>
        <v>0.44999999999999885</v>
      </c>
      <c r="J41" s="547"/>
      <c r="K41" s="79">
        <f t="shared" si="23"/>
        <v>0.44999999999999885</v>
      </c>
      <c r="L41" s="579"/>
      <c r="M41" s="579"/>
      <c r="N41" s="546"/>
      <c r="O41" s="572"/>
      <c r="P41" s="573"/>
    </row>
    <row r="42" spans="4:30" ht="16.5" customHeight="1" x14ac:dyDescent="0.15">
      <c r="D42" s="555"/>
      <c r="E42" s="570"/>
      <c r="F42" s="556"/>
      <c r="G42" s="571"/>
      <c r="H42" s="547">
        <f t="shared" ref="H42:J56" si="25">+H40</f>
        <v>1.3</v>
      </c>
      <c r="I42" s="614"/>
      <c r="J42" s="547">
        <f t="shared" si="25"/>
        <v>1.3</v>
      </c>
      <c r="K42" s="614"/>
      <c r="L42" s="577">
        <f t="shared" ref="L42:M42" si="26">+L40+1</f>
        <v>113</v>
      </c>
      <c r="M42" s="577">
        <f t="shared" si="26"/>
        <v>163</v>
      </c>
      <c r="N42" s="545">
        <f>+G41*J42</f>
        <v>8564.4</v>
      </c>
      <c r="O42" s="587">
        <f>+E4*N42</f>
        <v>34977.612959125749</v>
      </c>
      <c r="P42" s="588">
        <f>+E7*O42</f>
        <v>104932.83887737725</v>
      </c>
    </row>
    <row r="43" spans="4:30" ht="16.5" customHeight="1" x14ac:dyDescent="0.15">
      <c r="D43" s="555"/>
      <c r="E43" s="570"/>
      <c r="F43" s="556"/>
      <c r="G43" s="571"/>
      <c r="H43" s="547"/>
      <c r="I43" s="615"/>
      <c r="J43" s="547"/>
      <c r="K43" s="615"/>
      <c r="L43" s="579"/>
      <c r="M43" s="579"/>
      <c r="N43" s="546"/>
      <c r="O43" s="572"/>
      <c r="P43" s="573"/>
    </row>
    <row r="44" spans="4:30" ht="16.5" customHeight="1" x14ac:dyDescent="0.15">
      <c r="D44" s="555"/>
      <c r="E44" s="570"/>
      <c r="F44" s="556"/>
      <c r="G44" s="571"/>
      <c r="H44" s="547">
        <f t="shared" si="25"/>
        <v>1.3</v>
      </c>
      <c r="I44" s="547"/>
      <c r="J44" s="547">
        <f t="shared" si="25"/>
        <v>1.3</v>
      </c>
      <c r="K44" s="547"/>
      <c r="L44" s="577">
        <f t="shared" ref="L44:M44" si="27">+L42+1</f>
        <v>114</v>
      </c>
      <c r="M44" s="577">
        <f t="shared" si="27"/>
        <v>164</v>
      </c>
      <c r="N44" s="545">
        <f>+G41*J44</f>
        <v>8564.4</v>
      </c>
      <c r="O44" s="587">
        <f>+E4*N44</f>
        <v>34977.612959125749</v>
      </c>
      <c r="P44" s="588">
        <f>+E7*O44</f>
        <v>104932.83887737725</v>
      </c>
    </row>
    <row r="45" spans="4:30" ht="16.5" customHeight="1" x14ac:dyDescent="0.15">
      <c r="D45" s="555"/>
      <c r="E45" s="570"/>
      <c r="F45" s="556"/>
      <c r="G45" s="571"/>
      <c r="H45" s="547"/>
      <c r="I45" s="547"/>
      <c r="J45" s="547"/>
      <c r="K45" s="547"/>
      <c r="L45" s="579"/>
      <c r="M45" s="579"/>
      <c r="N45" s="546"/>
      <c r="O45" s="572"/>
      <c r="P45" s="573"/>
    </row>
    <row r="46" spans="4:30" ht="16.5" customHeight="1" x14ac:dyDescent="0.15">
      <c r="D46" s="555"/>
      <c r="E46" s="570"/>
      <c r="F46" s="556"/>
      <c r="G46" s="571"/>
      <c r="H46" s="547">
        <f t="shared" si="25"/>
        <v>1.3</v>
      </c>
      <c r="I46" s="547"/>
      <c r="J46" s="547">
        <f t="shared" si="25"/>
        <v>1.3</v>
      </c>
      <c r="K46" s="547"/>
      <c r="L46" s="577">
        <f t="shared" ref="L46:M46" si="28">+L44+1</f>
        <v>115</v>
      </c>
      <c r="M46" s="577">
        <f t="shared" si="28"/>
        <v>165</v>
      </c>
      <c r="N46" s="545">
        <f>+G41*J46</f>
        <v>8564.4</v>
      </c>
      <c r="O46" s="587">
        <f>+E4*N46</f>
        <v>34977.612959125749</v>
      </c>
      <c r="P46" s="588">
        <f>+E7*O46</f>
        <v>104932.83887737725</v>
      </c>
    </row>
    <row r="47" spans="4:30" ht="16.5" customHeight="1" x14ac:dyDescent="0.15">
      <c r="D47" s="555"/>
      <c r="E47" s="570"/>
      <c r="F47" s="556"/>
      <c r="G47" s="571"/>
      <c r="H47" s="547"/>
      <c r="I47" s="547"/>
      <c r="J47" s="547"/>
      <c r="K47" s="547"/>
      <c r="L47" s="579"/>
      <c r="M47" s="579"/>
      <c r="N47" s="546"/>
      <c r="O47" s="572"/>
      <c r="P47" s="573"/>
    </row>
    <row r="48" spans="4:30" ht="16.5" customHeight="1" x14ac:dyDescent="0.15">
      <c r="D48" s="555"/>
      <c r="E48" s="570"/>
      <c r="F48" s="556"/>
      <c r="G48" s="571"/>
      <c r="H48" s="547">
        <f t="shared" si="25"/>
        <v>1.3</v>
      </c>
      <c r="I48" s="547"/>
      <c r="J48" s="547">
        <f t="shared" si="25"/>
        <v>1.3</v>
      </c>
      <c r="K48" s="547"/>
      <c r="L48" s="577">
        <f t="shared" ref="L48:M48" si="29">+L46+1</f>
        <v>116</v>
      </c>
      <c r="M48" s="577">
        <f t="shared" si="29"/>
        <v>166</v>
      </c>
      <c r="N48" s="545">
        <f>+G41*J48</f>
        <v>8564.4</v>
      </c>
      <c r="O48" s="587">
        <f>+E4*N48</f>
        <v>34977.612959125749</v>
      </c>
      <c r="P48" s="588">
        <f>+E7*O48</f>
        <v>104932.83887737725</v>
      </c>
    </row>
    <row r="49" spans="4:16" ht="16.5" customHeight="1" x14ac:dyDescent="0.15">
      <c r="D49" s="555"/>
      <c r="E49" s="570"/>
      <c r="F49" s="556"/>
      <c r="G49" s="571"/>
      <c r="H49" s="547"/>
      <c r="I49" s="547"/>
      <c r="J49" s="547"/>
      <c r="K49" s="547"/>
      <c r="L49" s="579"/>
      <c r="M49" s="579"/>
      <c r="N49" s="546"/>
      <c r="O49" s="572"/>
      <c r="P49" s="573"/>
    </row>
    <row r="50" spans="4:16" ht="16.5" customHeight="1" x14ac:dyDescent="0.15">
      <c r="D50" s="555"/>
      <c r="E50" s="570"/>
      <c r="F50" s="556"/>
      <c r="G50" s="571"/>
      <c r="H50" s="547">
        <f t="shared" si="25"/>
        <v>1.3</v>
      </c>
      <c r="I50" s="547"/>
      <c r="J50" s="547">
        <f t="shared" si="25"/>
        <v>1.3</v>
      </c>
      <c r="K50" s="547"/>
      <c r="L50" s="577">
        <f>+L48+1</f>
        <v>117</v>
      </c>
      <c r="M50" s="577">
        <f>+M48+1</f>
        <v>167</v>
      </c>
      <c r="N50" s="545">
        <f>+G41*J50</f>
        <v>8564.4</v>
      </c>
      <c r="O50" s="587">
        <f>+E4*N50</f>
        <v>34977.612959125749</v>
      </c>
      <c r="P50" s="588">
        <f>+E7*O50</f>
        <v>104932.83887737725</v>
      </c>
    </row>
    <row r="51" spans="4:16" ht="16.5" customHeight="1" x14ac:dyDescent="0.15">
      <c r="D51" s="555"/>
      <c r="E51" s="570"/>
      <c r="F51" s="556"/>
      <c r="G51" s="571"/>
      <c r="H51" s="547"/>
      <c r="I51" s="547"/>
      <c r="J51" s="547"/>
      <c r="K51" s="547"/>
      <c r="L51" s="579"/>
      <c r="M51" s="579"/>
      <c r="N51" s="546"/>
      <c r="O51" s="572"/>
      <c r="P51" s="573"/>
    </row>
    <row r="52" spans="4:16" ht="16.5" customHeight="1" x14ac:dyDescent="0.15">
      <c r="D52" s="555"/>
      <c r="E52" s="570"/>
      <c r="F52" s="556"/>
      <c r="G52" s="571"/>
      <c r="H52" s="547">
        <f t="shared" si="25"/>
        <v>1.3</v>
      </c>
      <c r="I52" s="547"/>
      <c r="J52" s="547">
        <f t="shared" si="25"/>
        <v>1.3</v>
      </c>
      <c r="K52" s="547"/>
      <c r="L52" s="577">
        <f t="shared" ref="L52:M52" si="30">+L50+1</f>
        <v>118</v>
      </c>
      <c r="M52" s="577">
        <f t="shared" si="30"/>
        <v>168</v>
      </c>
      <c r="N52" s="545">
        <f>+G41*J52</f>
        <v>8564.4</v>
      </c>
      <c r="O52" s="587">
        <f>+E4*N52</f>
        <v>34977.612959125749</v>
      </c>
      <c r="P52" s="588">
        <f>+E7*O52</f>
        <v>104932.83887737725</v>
      </c>
    </row>
    <row r="53" spans="4:16" ht="16.5" customHeight="1" x14ac:dyDescent="0.15">
      <c r="D53" s="555"/>
      <c r="E53" s="570"/>
      <c r="F53" s="556"/>
      <c r="G53" s="571"/>
      <c r="H53" s="547"/>
      <c r="I53" s="547"/>
      <c r="J53" s="547"/>
      <c r="K53" s="547"/>
      <c r="L53" s="579"/>
      <c r="M53" s="579"/>
      <c r="N53" s="546"/>
      <c r="O53" s="572"/>
      <c r="P53" s="573"/>
    </row>
    <row r="54" spans="4:16" ht="16.5" customHeight="1" x14ac:dyDescent="0.15">
      <c r="D54" s="555"/>
      <c r="E54" s="570"/>
      <c r="F54" s="556"/>
      <c r="G54" s="571"/>
      <c r="H54" s="547">
        <f t="shared" si="25"/>
        <v>1.3</v>
      </c>
      <c r="I54" s="547"/>
      <c r="J54" s="547">
        <f t="shared" si="25"/>
        <v>1.3</v>
      </c>
      <c r="K54" s="547"/>
      <c r="L54" s="577">
        <f t="shared" ref="L54:M54" si="31">+L52+1</f>
        <v>119</v>
      </c>
      <c r="M54" s="577">
        <f t="shared" si="31"/>
        <v>169</v>
      </c>
      <c r="N54" s="545">
        <f>+G41*J54</f>
        <v>8564.4</v>
      </c>
      <c r="O54" s="587">
        <f>+E4*N54</f>
        <v>34977.612959125749</v>
      </c>
      <c r="P54" s="588">
        <f>+E7*O54</f>
        <v>104932.83887737725</v>
      </c>
    </row>
    <row r="55" spans="4:16" ht="16.5" customHeight="1" x14ac:dyDescent="0.15">
      <c r="D55" s="555"/>
      <c r="E55" s="570"/>
      <c r="F55" s="556"/>
      <c r="G55" s="571"/>
      <c r="H55" s="547"/>
      <c r="I55" s="547"/>
      <c r="J55" s="547"/>
      <c r="K55" s="547"/>
      <c r="L55" s="579"/>
      <c r="M55" s="579"/>
      <c r="N55" s="546"/>
      <c r="O55" s="572"/>
      <c r="P55" s="573"/>
    </row>
    <row r="56" spans="4:16" ht="16.5" customHeight="1" x14ac:dyDescent="0.15">
      <c r="D56" s="555"/>
      <c r="E56" s="570"/>
      <c r="F56" s="556"/>
      <c r="G56" s="571"/>
      <c r="H56" s="547">
        <f t="shared" si="25"/>
        <v>1.3</v>
      </c>
      <c r="I56" s="547"/>
      <c r="J56" s="547">
        <f t="shared" si="25"/>
        <v>1.3</v>
      </c>
      <c r="K56" s="547"/>
      <c r="L56" s="577">
        <f t="shared" ref="L56:M56" si="32">+L54+1</f>
        <v>120</v>
      </c>
      <c r="M56" s="577">
        <f t="shared" si="32"/>
        <v>170</v>
      </c>
      <c r="N56" s="545">
        <f>+G41*J56</f>
        <v>8564.4</v>
      </c>
      <c r="O56" s="587">
        <f>+E4*N56</f>
        <v>34977.612959125749</v>
      </c>
      <c r="P56" s="588">
        <f>+E7*O56</f>
        <v>104932.83887737725</v>
      </c>
    </row>
    <row r="57" spans="4:16" ht="16.5" customHeight="1" x14ac:dyDescent="0.15">
      <c r="D57" s="555"/>
      <c r="E57" s="570"/>
      <c r="F57" s="556"/>
      <c r="G57" s="571"/>
      <c r="H57" s="547"/>
      <c r="I57" s="547"/>
      <c r="J57" s="547"/>
      <c r="K57" s="547"/>
      <c r="L57" s="579"/>
      <c r="M57" s="579"/>
      <c r="N57" s="546"/>
      <c r="O57" s="572"/>
      <c r="P57" s="573"/>
    </row>
    <row r="58" spans="4:16" ht="16.5" customHeight="1" x14ac:dyDescent="0.15">
      <c r="D58" s="555"/>
      <c r="E58" s="570"/>
      <c r="F58" s="556"/>
      <c r="G58" s="571"/>
      <c r="H58" s="607">
        <v>1.2</v>
      </c>
      <c r="I58" s="547"/>
      <c r="J58" s="547">
        <f>+F41-K41-J42-J44-J46-J48-J50-J52-J54-J56</f>
        <v>0.44999999999999885</v>
      </c>
      <c r="K58" s="547"/>
      <c r="L58" s="577">
        <f t="shared" ref="L58:M58" si="33">+L56+1</f>
        <v>121</v>
      </c>
      <c r="M58" s="577">
        <f t="shared" si="33"/>
        <v>171</v>
      </c>
      <c r="N58" s="545">
        <f>+G41*J58</f>
        <v>2964.5999999999922</v>
      </c>
      <c r="O58" s="587">
        <f>+E4*N58</f>
        <v>12107.635255081959</v>
      </c>
      <c r="P58" s="588">
        <f>+E7*O58</f>
        <v>36322.90576524588</v>
      </c>
    </row>
    <row r="59" spans="4:16" ht="16.5" customHeight="1" x14ac:dyDescent="0.15">
      <c r="D59" s="555"/>
      <c r="E59" s="570"/>
      <c r="F59" s="556"/>
      <c r="G59" s="571"/>
      <c r="H59" s="607"/>
      <c r="I59" s="547"/>
      <c r="J59" s="547"/>
      <c r="K59" s="547"/>
      <c r="L59" s="579"/>
      <c r="M59" s="579"/>
      <c r="N59" s="546"/>
      <c r="O59" s="572"/>
      <c r="P59" s="573"/>
    </row>
    <row r="60" spans="4:16" ht="16.5" customHeight="1" x14ac:dyDescent="0.15">
      <c r="D60" s="555"/>
      <c r="E60" s="570"/>
      <c r="F60" s="556"/>
      <c r="G60" s="571"/>
      <c r="H60" s="79">
        <f>+E41-I41-H42-H44-H46-H48-H50-H52-H54-H56-H58</f>
        <v>0.54999999999999893</v>
      </c>
      <c r="I60" s="88"/>
      <c r="J60" s="99" t="s">
        <v>157</v>
      </c>
      <c r="K60" s="88"/>
      <c r="L60" s="37">
        <f>+L58+1</f>
        <v>122</v>
      </c>
      <c r="M60" s="37">
        <f>+M58+1</f>
        <v>172</v>
      </c>
      <c r="N60" s="95" t="s">
        <v>157</v>
      </c>
      <c r="O60" s="95" t="s">
        <v>157</v>
      </c>
      <c r="P60" s="95" t="s">
        <v>157</v>
      </c>
    </row>
    <row r="61" spans="4:16" ht="16.5" customHeight="1" x14ac:dyDescent="0.15">
      <c r="D61" s="89" t="s">
        <v>228</v>
      </c>
      <c r="E61" s="79">
        <f>SUM(E13:E60)</f>
        <v>31</v>
      </c>
      <c r="F61" s="79">
        <f>SUM(F13:F60)</f>
        <v>24.754999999999995</v>
      </c>
      <c r="G61" s="88"/>
      <c r="H61" s="79">
        <f>SUM(H12:H60)</f>
        <v>31.000000000000007</v>
      </c>
      <c r="I61" s="88"/>
      <c r="J61" s="79">
        <f>SUM(J18:J59)</f>
        <v>25.150000000000006</v>
      </c>
      <c r="K61" s="334"/>
      <c r="L61" s="327"/>
      <c r="M61" s="327"/>
      <c r="N61" s="327"/>
      <c r="O61" s="327"/>
      <c r="P61" s="328"/>
    </row>
    <row r="65" spans="3:30" ht="16.5" customHeight="1" x14ac:dyDescent="0.15">
      <c r="C65" s="18" t="s">
        <v>223</v>
      </c>
      <c r="D65" s="17" t="s">
        <v>224</v>
      </c>
    </row>
    <row r="66" spans="3:30" ht="16.5" customHeight="1" x14ac:dyDescent="0.15">
      <c r="D66" s="17" t="s">
        <v>202</v>
      </c>
      <c r="E66" s="68">
        <f>+E3</f>
        <v>1.3</v>
      </c>
      <c r="F66" s="17" t="s">
        <v>29</v>
      </c>
    </row>
    <row r="67" spans="3:30" ht="16.5" customHeight="1" x14ac:dyDescent="0.15">
      <c r="D67" s="17" t="s">
        <v>327</v>
      </c>
      <c r="E67" s="68">
        <f>+PI()*E66</f>
        <v>4.0840704496667311</v>
      </c>
      <c r="F67" s="17" t="s">
        <v>29</v>
      </c>
    </row>
    <row r="68" spans="3:30" ht="16.5" customHeight="1" x14ac:dyDescent="0.15">
      <c r="D68" s="17" t="s">
        <v>207</v>
      </c>
      <c r="E68" s="68">
        <f>+E5</f>
        <v>31</v>
      </c>
      <c r="F68" s="17" t="s">
        <v>29</v>
      </c>
    </row>
    <row r="69" spans="3:30" ht="16.5" customHeight="1" x14ac:dyDescent="0.15">
      <c r="D69" s="17" t="s">
        <v>227</v>
      </c>
      <c r="E69" s="68">
        <f>+E6</f>
        <v>4.9450000000000003</v>
      </c>
      <c r="F69" s="17" t="s">
        <v>29</v>
      </c>
    </row>
    <row r="70" spans="3:30" ht="16.5" customHeight="1" x14ac:dyDescent="0.15">
      <c r="D70" s="17" t="s">
        <v>200</v>
      </c>
      <c r="E70" s="77">
        <v>2</v>
      </c>
      <c r="F70" s="17" t="s">
        <v>206</v>
      </c>
    </row>
    <row r="71" spans="3:30" ht="16.5" customHeight="1" x14ac:dyDescent="0.15">
      <c r="D71" s="376" t="s">
        <v>199</v>
      </c>
      <c r="E71" s="549" t="s">
        <v>229</v>
      </c>
      <c r="F71" s="549" t="s">
        <v>230</v>
      </c>
      <c r="G71" s="552" t="s">
        <v>233</v>
      </c>
      <c r="H71" s="362" t="s">
        <v>231</v>
      </c>
      <c r="I71" s="363"/>
      <c r="J71" s="362" t="s">
        <v>232</v>
      </c>
      <c r="K71" s="363"/>
      <c r="L71" s="368" t="s">
        <v>226</v>
      </c>
      <c r="M71" s="370"/>
      <c r="N71" s="549" t="s">
        <v>234</v>
      </c>
      <c r="O71" s="362" t="s">
        <v>235</v>
      </c>
      <c r="P71" s="363"/>
      <c r="S71" s="393" t="s">
        <v>226</v>
      </c>
      <c r="T71" s="393" t="s">
        <v>355</v>
      </c>
      <c r="U71" s="376" t="s">
        <v>360</v>
      </c>
      <c r="V71" s="376"/>
      <c r="W71" s="376"/>
      <c r="X71" s="376" t="s">
        <v>361</v>
      </c>
      <c r="Y71" s="376"/>
      <c r="Z71" s="376"/>
      <c r="AA71" s="25" t="s">
        <v>362</v>
      </c>
      <c r="AB71" s="25" t="s">
        <v>360</v>
      </c>
      <c r="AC71" s="25" t="s">
        <v>361</v>
      </c>
      <c r="AD71" s="25" t="s">
        <v>362</v>
      </c>
    </row>
    <row r="72" spans="3:30" ht="16.5" customHeight="1" x14ac:dyDescent="0.15">
      <c r="D72" s="376"/>
      <c r="E72" s="550"/>
      <c r="F72" s="550"/>
      <c r="G72" s="553"/>
      <c r="H72" s="364"/>
      <c r="I72" s="365"/>
      <c r="J72" s="364"/>
      <c r="K72" s="365"/>
      <c r="L72" s="371"/>
      <c r="M72" s="372"/>
      <c r="N72" s="550"/>
      <c r="O72" s="364"/>
      <c r="P72" s="365"/>
      <c r="S72" s="393"/>
      <c r="T72" s="393"/>
      <c r="U72" s="94" t="s">
        <v>354</v>
      </c>
      <c r="V72" s="376" t="s">
        <v>357</v>
      </c>
      <c r="W72" s="376"/>
      <c r="X72" s="94" t="s">
        <v>354</v>
      </c>
      <c r="Y72" s="376" t="s">
        <v>357</v>
      </c>
      <c r="Z72" s="376"/>
      <c r="AA72" s="94" t="s">
        <v>354</v>
      </c>
      <c r="AB72" s="94" t="s">
        <v>354</v>
      </c>
      <c r="AC72" s="94" t="s">
        <v>354</v>
      </c>
      <c r="AD72" s="94" t="s">
        <v>354</v>
      </c>
    </row>
    <row r="73" spans="3:30" ht="16.5" customHeight="1" x14ac:dyDescent="0.15">
      <c r="D73" s="376"/>
      <c r="E73" s="550"/>
      <c r="F73" s="550"/>
      <c r="G73" s="553"/>
      <c r="H73" s="364"/>
      <c r="I73" s="365"/>
      <c r="J73" s="364"/>
      <c r="K73" s="365"/>
      <c r="L73" s="371"/>
      <c r="M73" s="372"/>
      <c r="N73" s="550"/>
      <c r="O73" s="364"/>
      <c r="P73" s="365"/>
      <c r="S73" s="393"/>
      <c r="T73" s="393"/>
      <c r="U73" s="171" t="s">
        <v>358</v>
      </c>
      <c r="V73" s="171" t="s">
        <v>358</v>
      </c>
      <c r="W73" s="171" t="s">
        <v>359</v>
      </c>
      <c r="X73" s="171" t="s">
        <v>358</v>
      </c>
      <c r="Y73" s="171" t="s">
        <v>358</v>
      </c>
      <c r="Z73" s="171" t="s">
        <v>359</v>
      </c>
      <c r="AA73" s="171" t="s">
        <v>358</v>
      </c>
      <c r="AB73" s="171" t="s">
        <v>359</v>
      </c>
      <c r="AC73" s="171" t="s">
        <v>359</v>
      </c>
      <c r="AD73" s="171" t="s">
        <v>359</v>
      </c>
    </row>
    <row r="74" spans="3:30" ht="16.5" customHeight="1" x14ac:dyDescent="0.15">
      <c r="D74" s="376"/>
      <c r="E74" s="550"/>
      <c r="F74" s="550"/>
      <c r="G74" s="553"/>
      <c r="H74" s="364"/>
      <c r="I74" s="365"/>
      <c r="J74" s="364"/>
      <c r="K74" s="365"/>
      <c r="L74" s="371"/>
      <c r="M74" s="372"/>
      <c r="N74" s="550"/>
      <c r="O74" s="366"/>
      <c r="P74" s="367"/>
      <c r="S74" s="37">
        <f>+L76</f>
        <v>123</v>
      </c>
      <c r="T74" s="37"/>
      <c r="U74" s="165"/>
      <c r="V74" s="172"/>
      <c r="W74" s="172"/>
      <c r="X74" s="165"/>
      <c r="Y74" s="172"/>
      <c r="Z74" s="172"/>
      <c r="AA74" s="172"/>
      <c r="AB74" s="172"/>
      <c r="AC74" s="172"/>
      <c r="AD74" s="172"/>
    </row>
    <row r="75" spans="3:30" ht="16.5" customHeight="1" x14ac:dyDescent="0.15">
      <c r="D75" s="376"/>
      <c r="E75" s="551"/>
      <c r="F75" s="551"/>
      <c r="G75" s="554"/>
      <c r="H75" s="366"/>
      <c r="I75" s="367"/>
      <c r="J75" s="366"/>
      <c r="K75" s="367"/>
      <c r="L75" s="356"/>
      <c r="M75" s="357"/>
      <c r="N75" s="551"/>
      <c r="O75" s="69" t="s">
        <v>208</v>
      </c>
      <c r="P75" s="96">
        <f>+E70</f>
        <v>2</v>
      </c>
      <c r="S75" s="37">
        <f>+S74+1</f>
        <v>124</v>
      </c>
      <c r="T75" s="37"/>
      <c r="U75" s="165"/>
      <c r="V75" s="172"/>
      <c r="W75" s="172"/>
      <c r="X75" s="165"/>
      <c r="Y75" s="172"/>
      <c r="Z75" s="172"/>
      <c r="AA75" s="172"/>
      <c r="AB75" s="172"/>
      <c r="AC75" s="172"/>
      <c r="AD75" s="172"/>
    </row>
    <row r="76" spans="3:30" ht="16.5" customHeight="1" x14ac:dyDescent="0.15">
      <c r="D76" s="559" t="s">
        <v>16</v>
      </c>
      <c r="E76" s="616">
        <f>+E13</f>
        <v>1.5</v>
      </c>
      <c r="F76" s="610" t="s">
        <v>157</v>
      </c>
      <c r="G76" s="618">
        <f>+G13</f>
        <v>2000</v>
      </c>
      <c r="H76" s="98">
        <f>+E66/2</f>
        <v>0.65</v>
      </c>
      <c r="I76" s="79"/>
      <c r="J76" s="99" t="s">
        <v>157</v>
      </c>
      <c r="K76" s="99" t="s">
        <v>157</v>
      </c>
      <c r="L76" s="104">
        <v>123</v>
      </c>
      <c r="M76" s="74"/>
      <c r="N76" s="95" t="s">
        <v>157</v>
      </c>
      <c r="O76" s="95" t="s">
        <v>157</v>
      </c>
      <c r="P76" s="95" t="s">
        <v>157</v>
      </c>
      <c r="S76" s="37">
        <f t="shared" ref="S76:S98" si="34">+S75+1</f>
        <v>125</v>
      </c>
      <c r="T76" s="37"/>
      <c r="U76" s="165"/>
      <c r="V76" s="172"/>
      <c r="W76" s="172"/>
      <c r="X76" s="165"/>
      <c r="Y76" s="172"/>
      <c r="Z76" s="172"/>
      <c r="AA76" s="172"/>
      <c r="AB76" s="172"/>
      <c r="AC76" s="172"/>
      <c r="AD76" s="172"/>
    </row>
    <row r="77" spans="3:30" ht="16.5" customHeight="1" x14ac:dyDescent="0.15">
      <c r="D77" s="561"/>
      <c r="E77" s="617"/>
      <c r="F77" s="611"/>
      <c r="G77" s="619"/>
      <c r="H77" s="547">
        <f>+E66</f>
        <v>1.3</v>
      </c>
      <c r="I77" s="79">
        <f>+E76-H76</f>
        <v>0.85</v>
      </c>
      <c r="J77" s="600" t="s">
        <v>157</v>
      </c>
      <c r="K77" s="99" t="s">
        <v>157</v>
      </c>
      <c r="L77" s="577">
        <f>+L76+1</f>
        <v>124</v>
      </c>
      <c r="M77" s="577"/>
      <c r="N77" s="589" t="s">
        <v>157</v>
      </c>
      <c r="O77" s="589" t="s">
        <v>157</v>
      </c>
      <c r="P77" s="589" t="s">
        <v>157</v>
      </c>
      <c r="S77" s="37">
        <f t="shared" si="34"/>
        <v>126</v>
      </c>
      <c r="T77" s="37"/>
      <c r="U77" s="165"/>
      <c r="V77" s="172"/>
      <c r="W77" s="172"/>
      <c r="X77" s="165"/>
      <c r="Y77" s="172"/>
      <c r="Z77" s="172"/>
      <c r="AA77" s="172"/>
      <c r="AB77" s="172"/>
      <c r="AC77" s="172"/>
      <c r="AD77" s="172"/>
    </row>
    <row r="78" spans="3:30" ht="16.5" customHeight="1" x14ac:dyDescent="0.15">
      <c r="D78" s="555" t="s">
        <v>17</v>
      </c>
      <c r="E78" s="605">
        <f>+E15</f>
        <v>1.3</v>
      </c>
      <c r="F78" s="602" t="s">
        <v>157</v>
      </c>
      <c r="G78" s="604">
        <f>+G15</f>
        <v>10571</v>
      </c>
      <c r="H78" s="547"/>
      <c r="I78" s="79">
        <f>+H77-I77</f>
        <v>0.45000000000000007</v>
      </c>
      <c r="J78" s="591"/>
      <c r="K78" s="99" t="s">
        <v>157</v>
      </c>
      <c r="L78" s="579"/>
      <c r="M78" s="579"/>
      <c r="N78" s="568"/>
      <c r="O78" s="568"/>
      <c r="P78" s="568"/>
      <c r="S78" s="37">
        <f t="shared" si="34"/>
        <v>127</v>
      </c>
      <c r="T78" s="37" t="s">
        <v>356</v>
      </c>
      <c r="U78" s="165">
        <f>+P83</f>
        <v>34420.749953313687</v>
      </c>
      <c r="V78" s="167">
        <f>+'周面支持力(4P右)'!P83</f>
        <v>240.96015653033726</v>
      </c>
      <c r="W78" s="167">
        <f>+V78</f>
        <v>240.96015653033726</v>
      </c>
      <c r="X78" s="165">
        <f>+U78</f>
        <v>34420.749953313687</v>
      </c>
      <c r="Y78" s="167">
        <f>+V78</f>
        <v>240.96015653033726</v>
      </c>
      <c r="Z78" s="167">
        <f>+Y78</f>
        <v>240.96015653033726</v>
      </c>
      <c r="AA78" s="165">
        <f>+X78</f>
        <v>34420.749953313687</v>
      </c>
      <c r="AB78" s="165">
        <f>+AA78</f>
        <v>34420.749953313687</v>
      </c>
      <c r="AC78" s="165">
        <f t="shared" ref="AC78:AD78" si="35">+AB78</f>
        <v>34420.749953313687</v>
      </c>
      <c r="AD78" s="165">
        <f t="shared" si="35"/>
        <v>34420.749953313687</v>
      </c>
    </row>
    <row r="79" spans="3:30" ht="16.5" customHeight="1" x14ac:dyDescent="0.15">
      <c r="D79" s="555"/>
      <c r="E79" s="556"/>
      <c r="F79" s="603"/>
      <c r="G79" s="544"/>
      <c r="H79" s="547">
        <f>+H77</f>
        <v>1.3</v>
      </c>
      <c r="I79" s="79">
        <f>+E78-I78</f>
        <v>0.85</v>
      </c>
      <c r="J79" s="600" t="s">
        <v>157</v>
      </c>
      <c r="K79" s="99" t="s">
        <v>157</v>
      </c>
      <c r="L79" s="577">
        <f>+L77+1</f>
        <v>125</v>
      </c>
      <c r="M79" s="577"/>
      <c r="N79" s="589" t="s">
        <v>157</v>
      </c>
      <c r="O79" s="589" t="s">
        <v>157</v>
      </c>
      <c r="P79" s="589" t="s">
        <v>157</v>
      </c>
      <c r="S79" s="37">
        <f t="shared" si="34"/>
        <v>128</v>
      </c>
      <c r="T79" s="37" t="s">
        <v>356</v>
      </c>
      <c r="U79" s="165">
        <f>+P85</f>
        <v>97085.705915387589</v>
      </c>
      <c r="V79" s="167">
        <f>+'周面支持力(4P右)'!P85</f>
        <v>1019.3839842368162</v>
      </c>
      <c r="W79" s="167">
        <f t="shared" ref="W79:W97" si="36">+V79</f>
        <v>1019.3839842368162</v>
      </c>
      <c r="X79" s="165">
        <f t="shared" ref="X79:X97" si="37">+U79</f>
        <v>97085.705915387589</v>
      </c>
      <c r="Y79" s="167">
        <f t="shared" ref="Y79:Y97" si="38">+V79</f>
        <v>1019.3839842368162</v>
      </c>
      <c r="Z79" s="167">
        <f t="shared" ref="Z79:Z97" si="39">+Y79</f>
        <v>1019.3839842368162</v>
      </c>
      <c r="AA79" s="165">
        <f t="shared" ref="AA79:AA97" si="40">+X79</f>
        <v>97085.705915387589</v>
      </c>
      <c r="AB79" s="165">
        <f t="shared" ref="AB79:AD79" si="41">+AA79</f>
        <v>97085.705915387589</v>
      </c>
      <c r="AC79" s="165">
        <f t="shared" si="41"/>
        <v>97085.705915387589</v>
      </c>
      <c r="AD79" s="165">
        <f t="shared" si="41"/>
        <v>97085.705915387589</v>
      </c>
    </row>
    <row r="80" spans="3:30" ht="16.5" customHeight="1" x14ac:dyDescent="0.15">
      <c r="D80" s="555" t="s">
        <v>18</v>
      </c>
      <c r="E80" s="556">
        <f>+E17</f>
        <v>2.9</v>
      </c>
      <c r="F80" s="556">
        <f>+E76+E78+E80-E69</f>
        <v>0.75499999999999901</v>
      </c>
      <c r="G80" s="544">
        <f>+G17</f>
        <v>3765</v>
      </c>
      <c r="H80" s="547"/>
      <c r="I80" s="79">
        <f>+H79-I79</f>
        <v>0.45000000000000007</v>
      </c>
      <c r="J80" s="591"/>
      <c r="K80" s="99" t="s">
        <v>157</v>
      </c>
      <c r="L80" s="579"/>
      <c r="M80" s="579"/>
      <c r="N80" s="568"/>
      <c r="O80" s="568"/>
      <c r="P80" s="568"/>
      <c r="S80" s="37">
        <f t="shared" si="34"/>
        <v>129</v>
      </c>
      <c r="T80" s="37" t="s">
        <v>356</v>
      </c>
      <c r="U80" s="165">
        <f>+P87</f>
        <v>103757.03499491821</v>
      </c>
      <c r="V80" s="167">
        <f>+'周面支持力(4P右)'!P87</f>
        <v>996.83991535465577</v>
      </c>
      <c r="W80" s="167">
        <f t="shared" si="36"/>
        <v>996.83991535465577</v>
      </c>
      <c r="X80" s="165">
        <f t="shared" si="37"/>
        <v>103757.03499491821</v>
      </c>
      <c r="Y80" s="167">
        <f t="shared" si="38"/>
        <v>996.83991535465577</v>
      </c>
      <c r="Z80" s="167">
        <f t="shared" si="39"/>
        <v>996.83991535465577</v>
      </c>
      <c r="AA80" s="165">
        <f t="shared" si="40"/>
        <v>103757.03499491821</v>
      </c>
      <c r="AB80" s="165">
        <f t="shared" ref="AB80:AD80" si="42">+AA80</f>
        <v>103757.03499491821</v>
      </c>
      <c r="AC80" s="165">
        <f t="shared" si="42"/>
        <v>103757.03499491821</v>
      </c>
      <c r="AD80" s="165">
        <f t="shared" si="42"/>
        <v>103757.03499491821</v>
      </c>
    </row>
    <row r="81" spans="4:30" ht="16.5" customHeight="1" x14ac:dyDescent="0.15">
      <c r="D81" s="555"/>
      <c r="E81" s="556"/>
      <c r="F81" s="556"/>
      <c r="G81" s="544"/>
      <c r="H81" s="547">
        <f t="shared" ref="H81" si="43">+H79</f>
        <v>1.3</v>
      </c>
      <c r="I81" s="547"/>
      <c r="J81" s="600" t="s">
        <v>157</v>
      </c>
      <c r="K81" s="600"/>
      <c r="L81" s="387">
        <f t="shared" ref="L81" si="44">+L79+1</f>
        <v>126</v>
      </c>
      <c r="M81" s="577"/>
      <c r="N81" s="589" t="s">
        <v>157</v>
      </c>
      <c r="O81" s="589" t="s">
        <v>157</v>
      </c>
      <c r="P81" s="589" t="s">
        <v>157</v>
      </c>
      <c r="S81" s="37">
        <f t="shared" si="34"/>
        <v>130</v>
      </c>
      <c r="T81" s="37" t="s">
        <v>356</v>
      </c>
      <c r="U81" s="165">
        <f>+P89</f>
        <v>148835.77939720469</v>
      </c>
      <c r="V81" s="167">
        <f>+'周面支持力(4P右)'!P89</f>
        <v>1285.0119262831404</v>
      </c>
      <c r="W81" s="167">
        <f t="shared" si="36"/>
        <v>1285.0119262831404</v>
      </c>
      <c r="X81" s="165">
        <f t="shared" si="37"/>
        <v>148835.77939720469</v>
      </c>
      <c r="Y81" s="167">
        <f t="shared" si="38"/>
        <v>1285.0119262831404</v>
      </c>
      <c r="Z81" s="167">
        <f t="shared" si="39"/>
        <v>1285.0119262831404</v>
      </c>
      <c r="AA81" s="165">
        <f t="shared" si="40"/>
        <v>148835.77939720469</v>
      </c>
      <c r="AB81" s="165">
        <f t="shared" ref="AB81:AD81" si="45">+AA81</f>
        <v>148835.77939720469</v>
      </c>
      <c r="AC81" s="165">
        <f t="shared" si="45"/>
        <v>148835.77939720469</v>
      </c>
      <c r="AD81" s="165">
        <f t="shared" si="45"/>
        <v>148835.77939720469</v>
      </c>
    </row>
    <row r="82" spans="4:30" ht="16.5" customHeight="1" x14ac:dyDescent="0.15">
      <c r="D82" s="555"/>
      <c r="E82" s="556"/>
      <c r="F82" s="556"/>
      <c r="G82" s="544"/>
      <c r="H82" s="547"/>
      <c r="I82" s="547"/>
      <c r="J82" s="591"/>
      <c r="K82" s="591"/>
      <c r="L82" s="419"/>
      <c r="M82" s="579"/>
      <c r="N82" s="568"/>
      <c r="O82" s="568"/>
      <c r="P82" s="568"/>
      <c r="S82" s="37">
        <f t="shared" si="34"/>
        <v>131</v>
      </c>
      <c r="T82" s="37" t="s">
        <v>356</v>
      </c>
      <c r="U82" s="165">
        <f>+P91</f>
        <v>145623.24958149684</v>
      </c>
      <c r="V82" s="167">
        <f>+'周面支持力(4P右)'!P91</f>
        <v>1529.0759763552242</v>
      </c>
      <c r="W82" s="167">
        <f t="shared" si="36"/>
        <v>1529.0759763552242</v>
      </c>
      <c r="X82" s="165">
        <f t="shared" si="37"/>
        <v>145623.24958149684</v>
      </c>
      <c r="Y82" s="167">
        <f t="shared" si="38"/>
        <v>1529.0759763552242</v>
      </c>
      <c r="Z82" s="167">
        <f t="shared" si="39"/>
        <v>1529.0759763552242</v>
      </c>
      <c r="AA82" s="165">
        <f t="shared" si="40"/>
        <v>145623.24958149684</v>
      </c>
      <c r="AB82" s="165">
        <f t="shared" ref="AB82:AD82" si="46">+AA82</f>
        <v>145623.24958149684</v>
      </c>
      <c r="AC82" s="165">
        <f t="shared" si="46"/>
        <v>145623.24958149684</v>
      </c>
      <c r="AD82" s="165">
        <f t="shared" si="46"/>
        <v>145623.24958149684</v>
      </c>
    </row>
    <row r="83" spans="4:30" ht="16.5" customHeight="1" x14ac:dyDescent="0.15">
      <c r="D83" s="555"/>
      <c r="E83" s="556"/>
      <c r="F83" s="556"/>
      <c r="G83" s="544"/>
      <c r="H83" s="547">
        <f t="shared" ref="H83" si="47">+H81</f>
        <v>1.3</v>
      </c>
      <c r="I83" s="79">
        <f>+E80-I80-H81</f>
        <v>1.1499999999999997</v>
      </c>
      <c r="J83" s="547">
        <f>+E66</f>
        <v>1.3</v>
      </c>
      <c r="K83" s="79">
        <f>+F80</f>
        <v>0.75499999999999901</v>
      </c>
      <c r="L83" s="387">
        <f t="shared" ref="L83" si="48">+L81+1</f>
        <v>127</v>
      </c>
      <c r="M83" s="577"/>
      <c r="N83" s="587">
        <f>+G80*K83+G84*K84</f>
        <v>4214.0249999999996</v>
      </c>
      <c r="O83" s="587">
        <f>+E67*N83</f>
        <v>17210.374976656844</v>
      </c>
      <c r="P83" s="588">
        <f>+E70*O83</f>
        <v>34420.749953313687</v>
      </c>
      <c r="S83" s="37">
        <f t="shared" si="34"/>
        <v>132</v>
      </c>
      <c r="T83" s="37" t="s">
        <v>356</v>
      </c>
      <c r="U83" s="165">
        <f>+P93</f>
        <v>145623.24958149684</v>
      </c>
      <c r="V83" s="167">
        <f>+'周面支持力(4P右)'!P93</f>
        <v>1529.0759763552242</v>
      </c>
      <c r="W83" s="167">
        <f t="shared" si="36"/>
        <v>1529.0759763552242</v>
      </c>
      <c r="X83" s="165">
        <f t="shared" si="37"/>
        <v>145623.24958149684</v>
      </c>
      <c r="Y83" s="167">
        <f t="shared" si="38"/>
        <v>1529.0759763552242</v>
      </c>
      <c r="Z83" s="167">
        <f t="shared" si="39"/>
        <v>1529.0759763552242</v>
      </c>
      <c r="AA83" s="165">
        <f t="shared" si="40"/>
        <v>145623.24958149684</v>
      </c>
      <c r="AB83" s="165">
        <f t="shared" ref="AB83:AD83" si="49">+AA83</f>
        <v>145623.24958149684</v>
      </c>
      <c r="AC83" s="165">
        <f t="shared" si="49"/>
        <v>145623.24958149684</v>
      </c>
      <c r="AD83" s="165">
        <f t="shared" si="49"/>
        <v>145623.24958149684</v>
      </c>
    </row>
    <row r="84" spans="4:30" ht="16.5" customHeight="1" x14ac:dyDescent="0.15">
      <c r="D84" s="555" t="s">
        <v>19</v>
      </c>
      <c r="E84" s="556">
        <f>+E21</f>
        <v>2.6</v>
      </c>
      <c r="F84" s="556">
        <f>+E84</f>
        <v>2.6</v>
      </c>
      <c r="G84" s="544">
        <f>+G21</f>
        <v>9143</v>
      </c>
      <c r="H84" s="547"/>
      <c r="I84" s="79">
        <f>+H83-I83</f>
        <v>0.15000000000000036</v>
      </c>
      <c r="J84" s="547"/>
      <c r="K84" s="79">
        <f>+I84</f>
        <v>0.15000000000000036</v>
      </c>
      <c r="L84" s="419"/>
      <c r="M84" s="579"/>
      <c r="N84" s="572"/>
      <c r="O84" s="572"/>
      <c r="P84" s="573"/>
      <c r="S84" s="37">
        <f t="shared" si="34"/>
        <v>133</v>
      </c>
      <c r="T84" s="37" t="s">
        <v>356</v>
      </c>
      <c r="U84" s="165">
        <f>+P95</f>
        <v>145623.24958149684</v>
      </c>
      <c r="V84" s="167">
        <f>+'周面支持力(4P右)'!P95</f>
        <v>1529.0759763552242</v>
      </c>
      <c r="W84" s="167">
        <f t="shared" si="36"/>
        <v>1529.0759763552242</v>
      </c>
      <c r="X84" s="165">
        <f t="shared" si="37"/>
        <v>145623.24958149684</v>
      </c>
      <c r="Y84" s="167">
        <f t="shared" si="38"/>
        <v>1529.0759763552242</v>
      </c>
      <c r="Z84" s="167">
        <f t="shared" si="39"/>
        <v>1529.0759763552242</v>
      </c>
      <c r="AA84" s="165">
        <f t="shared" si="40"/>
        <v>145623.24958149684</v>
      </c>
      <c r="AB84" s="165">
        <f t="shared" ref="AB84:AD84" si="50">+AA84</f>
        <v>145623.24958149684</v>
      </c>
      <c r="AC84" s="165">
        <f t="shared" si="50"/>
        <v>145623.24958149684</v>
      </c>
      <c r="AD84" s="165">
        <f t="shared" si="50"/>
        <v>145623.24958149684</v>
      </c>
    </row>
    <row r="85" spans="4:30" ht="16.5" customHeight="1" x14ac:dyDescent="0.15">
      <c r="D85" s="555"/>
      <c r="E85" s="556"/>
      <c r="F85" s="556"/>
      <c r="G85" s="544"/>
      <c r="H85" s="547">
        <f t="shared" ref="H85" si="51">+H83</f>
        <v>1.3</v>
      </c>
      <c r="I85" s="591"/>
      <c r="J85" s="547">
        <f t="shared" ref="J85" si="52">+J83</f>
        <v>1.3</v>
      </c>
      <c r="K85" s="591"/>
      <c r="L85" s="577">
        <f t="shared" ref="L85" si="53">+L83+1</f>
        <v>128</v>
      </c>
      <c r="M85" s="577"/>
      <c r="N85" s="587">
        <f>+G84*J85</f>
        <v>11885.9</v>
      </c>
      <c r="O85" s="587">
        <f>+E67*N85</f>
        <v>48542.852957693794</v>
      </c>
      <c r="P85" s="588">
        <f>+E70*O85</f>
        <v>97085.705915387589</v>
      </c>
      <c r="S85" s="37">
        <f t="shared" si="34"/>
        <v>134</v>
      </c>
      <c r="T85" s="37" t="s">
        <v>356</v>
      </c>
      <c r="U85" s="165">
        <f>+P97</f>
        <v>145623.24958149684</v>
      </c>
      <c r="V85" s="167">
        <f>+'周面支持力(4P右)'!P97</f>
        <v>1529.0759763552242</v>
      </c>
      <c r="W85" s="167">
        <f t="shared" si="36"/>
        <v>1529.0759763552242</v>
      </c>
      <c r="X85" s="165">
        <f t="shared" si="37"/>
        <v>145623.24958149684</v>
      </c>
      <c r="Y85" s="167">
        <f t="shared" si="38"/>
        <v>1529.0759763552242</v>
      </c>
      <c r="Z85" s="167">
        <f t="shared" si="39"/>
        <v>1529.0759763552242</v>
      </c>
      <c r="AA85" s="165">
        <f t="shared" si="40"/>
        <v>145623.24958149684</v>
      </c>
      <c r="AB85" s="165">
        <f t="shared" ref="AB85:AD85" si="54">+AA85</f>
        <v>145623.24958149684</v>
      </c>
      <c r="AC85" s="165">
        <f t="shared" si="54"/>
        <v>145623.24958149684</v>
      </c>
      <c r="AD85" s="165">
        <f t="shared" si="54"/>
        <v>145623.24958149684</v>
      </c>
    </row>
    <row r="86" spans="4:30" ht="16.5" customHeight="1" x14ac:dyDescent="0.15">
      <c r="D86" s="555"/>
      <c r="E86" s="556"/>
      <c r="F86" s="556"/>
      <c r="G86" s="544"/>
      <c r="H86" s="547"/>
      <c r="I86" s="591"/>
      <c r="J86" s="547"/>
      <c r="K86" s="591"/>
      <c r="L86" s="579"/>
      <c r="M86" s="579"/>
      <c r="N86" s="572"/>
      <c r="O86" s="572"/>
      <c r="P86" s="573"/>
      <c r="S86" s="37">
        <f t="shared" si="34"/>
        <v>135</v>
      </c>
      <c r="T86" s="37" t="s">
        <v>356</v>
      </c>
      <c r="U86" s="165">
        <f>+P99</f>
        <v>145623.24958149684</v>
      </c>
      <c r="V86" s="167">
        <f>+'周面支持力(4P右)'!P99</f>
        <v>1529.0759763552242</v>
      </c>
      <c r="W86" s="167">
        <f t="shared" si="36"/>
        <v>1529.0759763552242</v>
      </c>
      <c r="X86" s="165">
        <f t="shared" si="37"/>
        <v>145623.24958149684</v>
      </c>
      <c r="Y86" s="167">
        <f t="shared" si="38"/>
        <v>1529.0759763552242</v>
      </c>
      <c r="Z86" s="167">
        <f t="shared" si="39"/>
        <v>1529.0759763552242</v>
      </c>
      <c r="AA86" s="165">
        <f t="shared" si="40"/>
        <v>145623.24958149684</v>
      </c>
      <c r="AB86" s="165">
        <f t="shared" ref="AB86:AD86" si="55">+AA86</f>
        <v>145623.24958149684</v>
      </c>
      <c r="AC86" s="165">
        <f t="shared" si="55"/>
        <v>145623.24958149684</v>
      </c>
      <c r="AD86" s="165">
        <f t="shared" si="55"/>
        <v>145623.24958149684</v>
      </c>
    </row>
    <row r="87" spans="4:30" ht="16.5" customHeight="1" x14ac:dyDescent="0.15">
      <c r="D87" s="555"/>
      <c r="E87" s="556"/>
      <c r="F87" s="556"/>
      <c r="G87" s="544"/>
      <c r="H87" s="547">
        <f t="shared" ref="H87" si="56">+H85</f>
        <v>1.3</v>
      </c>
      <c r="I87" s="79">
        <f>+E84-I84-H85</f>
        <v>1.1499999999999997</v>
      </c>
      <c r="J87" s="547">
        <f t="shared" ref="J87" si="57">+J85</f>
        <v>1.3</v>
      </c>
      <c r="K87" s="79">
        <f>+I87</f>
        <v>1.1499999999999997</v>
      </c>
      <c r="L87" s="577">
        <f t="shared" ref="L87" si="58">+L85+1</f>
        <v>129</v>
      </c>
      <c r="M87" s="577"/>
      <c r="N87" s="572">
        <f>+G84*K87+G88*K88</f>
        <v>12702.650000000001</v>
      </c>
      <c r="O87" s="587">
        <f>+E67*N87</f>
        <v>51878.517497459106</v>
      </c>
      <c r="P87" s="588">
        <f>+E70*O87</f>
        <v>103757.03499491821</v>
      </c>
      <c r="S87" s="37">
        <f t="shared" si="34"/>
        <v>136</v>
      </c>
      <c r="T87" s="37" t="s">
        <v>356</v>
      </c>
      <c r="U87" s="165">
        <f>+P101</f>
        <v>145623.24958149684</v>
      </c>
      <c r="V87" s="167">
        <f>+'周面支持力(4P右)'!P101</f>
        <v>1529.0759763552242</v>
      </c>
      <c r="W87" s="167">
        <f t="shared" si="36"/>
        <v>1529.0759763552242</v>
      </c>
      <c r="X87" s="165">
        <f t="shared" si="37"/>
        <v>145623.24958149684</v>
      </c>
      <c r="Y87" s="167">
        <f t="shared" si="38"/>
        <v>1529.0759763552242</v>
      </c>
      <c r="Z87" s="167">
        <f t="shared" si="39"/>
        <v>1529.0759763552242</v>
      </c>
      <c r="AA87" s="165">
        <f t="shared" si="40"/>
        <v>145623.24958149684</v>
      </c>
      <c r="AB87" s="165">
        <f t="shared" ref="AB87:AD87" si="59">+AA87</f>
        <v>145623.24958149684</v>
      </c>
      <c r="AC87" s="165">
        <f t="shared" si="59"/>
        <v>145623.24958149684</v>
      </c>
      <c r="AD87" s="165">
        <f t="shared" si="59"/>
        <v>145623.24958149684</v>
      </c>
    </row>
    <row r="88" spans="4:30" ht="16.5" customHeight="1" x14ac:dyDescent="0.15">
      <c r="D88" s="555" t="s">
        <v>203</v>
      </c>
      <c r="E88" s="556">
        <f>+E25</f>
        <v>0.6</v>
      </c>
      <c r="F88" s="556">
        <f>+E88</f>
        <v>0.6</v>
      </c>
      <c r="G88" s="544">
        <f>+G25</f>
        <v>14588</v>
      </c>
      <c r="H88" s="547"/>
      <c r="I88" s="79">
        <f>+H87-I87</f>
        <v>0.15000000000000036</v>
      </c>
      <c r="J88" s="547"/>
      <c r="K88" s="79">
        <f t="shared" ref="K88:K90" si="60">+I88</f>
        <v>0.15000000000000036</v>
      </c>
      <c r="L88" s="579"/>
      <c r="M88" s="579"/>
      <c r="N88" s="572"/>
      <c r="O88" s="572"/>
      <c r="P88" s="573"/>
      <c r="S88" s="37">
        <f t="shared" si="34"/>
        <v>137</v>
      </c>
      <c r="T88" s="37" t="s">
        <v>356</v>
      </c>
      <c r="U88" s="165">
        <f>+P103</f>
        <v>119430.47215960428</v>
      </c>
      <c r="V88" s="167">
        <f>+'周面支持力(4P右)'!P103</f>
        <v>1129.1637979238587</v>
      </c>
      <c r="W88" s="167">
        <f t="shared" si="36"/>
        <v>1129.1637979238587</v>
      </c>
      <c r="X88" s="165">
        <f t="shared" si="37"/>
        <v>119430.47215960428</v>
      </c>
      <c r="Y88" s="167">
        <f t="shared" si="38"/>
        <v>1129.1637979238587</v>
      </c>
      <c r="Z88" s="167">
        <f t="shared" si="39"/>
        <v>1129.1637979238587</v>
      </c>
      <c r="AA88" s="165">
        <f t="shared" si="40"/>
        <v>119430.47215960428</v>
      </c>
      <c r="AB88" s="165">
        <f t="shared" ref="AB88:AD88" si="61">+AA88</f>
        <v>119430.47215960428</v>
      </c>
      <c r="AC88" s="165">
        <f t="shared" si="61"/>
        <v>119430.47215960428</v>
      </c>
      <c r="AD88" s="165">
        <f t="shared" si="61"/>
        <v>119430.47215960428</v>
      </c>
    </row>
    <row r="89" spans="4:30" ht="16.5" customHeight="1" x14ac:dyDescent="0.15">
      <c r="D89" s="555"/>
      <c r="E89" s="556"/>
      <c r="F89" s="556"/>
      <c r="G89" s="544"/>
      <c r="H89" s="547">
        <f t="shared" ref="H89" si="62">+H87</f>
        <v>1.3</v>
      </c>
      <c r="I89" s="79">
        <f>+E88-I88</f>
        <v>0.44999999999999962</v>
      </c>
      <c r="J89" s="547">
        <f t="shared" ref="J89" si="63">+J87</f>
        <v>1.3</v>
      </c>
      <c r="K89" s="79">
        <f t="shared" si="60"/>
        <v>0.44999999999999962</v>
      </c>
      <c r="L89" s="577">
        <f t="shared" ref="L89" si="64">+L87+1</f>
        <v>130</v>
      </c>
      <c r="M89" s="577"/>
      <c r="N89" s="572">
        <f>+G88*K89+G90*K90</f>
        <v>18221.5</v>
      </c>
      <c r="O89" s="587">
        <f>+E67*N89</f>
        <v>74417.889698602346</v>
      </c>
      <c r="P89" s="588">
        <f>+E70*O89</f>
        <v>148835.77939720469</v>
      </c>
      <c r="S89" s="37">
        <f t="shared" si="34"/>
        <v>138</v>
      </c>
      <c r="T89" s="37" t="s">
        <v>356</v>
      </c>
      <c r="U89" s="165">
        <f>+P105</f>
        <v>69955.225918251497</v>
      </c>
      <c r="V89" s="167">
        <f>+'周面支持力(4P右)'!P105</f>
        <v>373.77412755349928</v>
      </c>
      <c r="W89" s="167">
        <f t="shared" si="36"/>
        <v>373.77412755349928</v>
      </c>
      <c r="X89" s="165">
        <f t="shared" si="37"/>
        <v>69955.225918251497</v>
      </c>
      <c r="Y89" s="167">
        <f t="shared" si="38"/>
        <v>373.77412755349928</v>
      </c>
      <c r="Z89" s="167">
        <f t="shared" si="39"/>
        <v>373.77412755349928</v>
      </c>
      <c r="AA89" s="165">
        <f t="shared" si="40"/>
        <v>69955.225918251497</v>
      </c>
      <c r="AB89" s="165">
        <f t="shared" ref="AB89:AD89" si="65">+AA89</f>
        <v>69955.225918251497</v>
      </c>
      <c r="AC89" s="165">
        <f t="shared" si="65"/>
        <v>69955.225918251497</v>
      </c>
      <c r="AD89" s="165">
        <f t="shared" si="65"/>
        <v>69955.225918251497</v>
      </c>
    </row>
    <row r="90" spans="4:30" ht="16.5" customHeight="1" x14ac:dyDescent="0.15">
      <c r="D90" s="559" t="s">
        <v>204</v>
      </c>
      <c r="E90" s="581">
        <f>+E27</f>
        <v>9.5</v>
      </c>
      <c r="F90" s="581">
        <f>+E90</f>
        <v>9.5</v>
      </c>
      <c r="G90" s="584">
        <f>+G27</f>
        <v>13714</v>
      </c>
      <c r="H90" s="547"/>
      <c r="I90" s="79">
        <f>+H89-I89</f>
        <v>0.85000000000000042</v>
      </c>
      <c r="J90" s="547"/>
      <c r="K90" s="79">
        <f t="shared" si="60"/>
        <v>0.85000000000000042</v>
      </c>
      <c r="L90" s="579"/>
      <c r="M90" s="579"/>
      <c r="N90" s="572"/>
      <c r="O90" s="572"/>
      <c r="P90" s="573"/>
      <c r="S90" s="37">
        <f t="shared" si="34"/>
        <v>139</v>
      </c>
      <c r="T90" s="37" t="s">
        <v>356</v>
      </c>
      <c r="U90" s="165">
        <f>+P107</f>
        <v>69955.225918251497</v>
      </c>
      <c r="V90" s="167">
        <f>+'周面支持力(4P右)'!P107</f>
        <v>373.77412755349928</v>
      </c>
      <c r="W90" s="167">
        <f t="shared" si="36"/>
        <v>373.77412755349928</v>
      </c>
      <c r="X90" s="165">
        <f t="shared" si="37"/>
        <v>69955.225918251497</v>
      </c>
      <c r="Y90" s="167">
        <f t="shared" si="38"/>
        <v>373.77412755349928</v>
      </c>
      <c r="Z90" s="167">
        <f t="shared" si="39"/>
        <v>373.77412755349928</v>
      </c>
      <c r="AA90" s="165">
        <f t="shared" si="40"/>
        <v>69955.225918251497</v>
      </c>
      <c r="AB90" s="165">
        <f t="shared" ref="AB90:AD90" si="66">+AA90</f>
        <v>69955.225918251497</v>
      </c>
      <c r="AC90" s="165">
        <f t="shared" si="66"/>
        <v>69955.225918251497</v>
      </c>
      <c r="AD90" s="165">
        <f t="shared" si="66"/>
        <v>69955.225918251497</v>
      </c>
    </row>
    <row r="91" spans="4:30" ht="16.5" customHeight="1" x14ac:dyDescent="0.15">
      <c r="D91" s="560"/>
      <c r="E91" s="582"/>
      <c r="F91" s="582"/>
      <c r="G91" s="585"/>
      <c r="H91" s="547">
        <f t="shared" ref="H91" si="67">+H89</f>
        <v>1.3</v>
      </c>
      <c r="I91" s="592"/>
      <c r="J91" s="547">
        <f t="shared" ref="J91" si="68">+J89</f>
        <v>1.3</v>
      </c>
      <c r="K91" s="592"/>
      <c r="L91" s="577">
        <f>+L89+1</f>
        <v>131</v>
      </c>
      <c r="M91" s="577"/>
      <c r="N91" s="545">
        <f>+G90*J91</f>
        <v>17828.2</v>
      </c>
      <c r="O91" s="587">
        <f>+E67*N91</f>
        <v>72811.624790748421</v>
      </c>
      <c r="P91" s="588">
        <f>+E70*O91</f>
        <v>145623.24958149684</v>
      </c>
      <c r="S91" s="37">
        <f t="shared" si="34"/>
        <v>140</v>
      </c>
      <c r="T91" s="37" t="s">
        <v>356</v>
      </c>
      <c r="U91" s="165">
        <f>+P109</f>
        <v>69955.225918251497</v>
      </c>
      <c r="V91" s="167">
        <f>+'周面支持力(4P右)'!P109</f>
        <v>373.77412755349928</v>
      </c>
      <c r="W91" s="167">
        <f t="shared" si="36"/>
        <v>373.77412755349928</v>
      </c>
      <c r="X91" s="165">
        <f t="shared" si="37"/>
        <v>69955.225918251497</v>
      </c>
      <c r="Y91" s="167">
        <f t="shared" si="38"/>
        <v>373.77412755349928</v>
      </c>
      <c r="Z91" s="167">
        <f t="shared" si="39"/>
        <v>373.77412755349928</v>
      </c>
      <c r="AA91" s="165">
        <f t="shared" si="40"/>
        <v>69955.225918251497</v>
      </c>
      <c r="AB91" s="165">
        <f t="shared" ref="AB91:AD91" si="69">+AA91</f>
        <v>69955.225918251497</v>
      </c>
      <c r="AC91" s="165">
        <f t="shared" si="69"/>
        <v>69955.225918251497</v>
      </c>
      <c r="AD91" s="165">
        <f t="shared" si="69"/>
        <v>69955.225918251497</v>
      </c>
    </row>
    <row r="92" spans="4:30" ht="16.5" customHeight="1" x14ac:dyDescent="0.15">
      <c r="D92" s="560"/>
      <c r="E92" s="582"/>
      <c r="F92" s="582"/>
      <c r="G92" s="585"/>
      <c r="H92" s="547"/>
      <c r="I92" s="593"/>
      <c r="J92" s="547"/>
      <c r="K92" s="593"/>
      <c r="L92" s="579"/>
      <c r="M92" s="579"/>
      <c r="N92" s="546"/>
      <c r="O92" s="572"/>
      <c r="P92" s="573"/>
      <c r="S92" s="37">
        <f t="shared" si="34"/>
        <v>141</v>
      </c>
      <c r="T92" s="37" t="s">
        <v>356</v>
      </c>
      <c r="U92" s="165">
        <f>+P111</f>
        <v>69955.225918251497</v>
      </c>
      <c r="V92" s="167">
        <f>+'周面支持力(4P右)'!P111</f>
        <v>373.77412755349928</v>
      </c>
      <c r="W92" s="167">
        <f t="shared" si="36"/>
        <v>373.77412755349928</v>
      </c>
      <c r="X92" s="165">
        <f t="shared" si="37"/>
        <v>69955.225918251497</v>
      </c>
      <c r="Y92" s="167">
        <f t="shared" si="38"/>
        <v>373.77412755349928</v>
      </c>
      <c r="Z92" s="167">
        <f t="shared" si="39"/>
        <v>373.77412755349928</v>
      </c>
      <c r="AA92" s="165">
        <f t="shared" si="40"/>
        <v>69955.225918251497</v>
      </c>
      <c r="AB92" s="165">
        <f t="shared" ref="AB92:AD92" si="70">+AA92</f>
        <v>69955.225918251497</v>
      </c>
      <c r="AC92" s="165">
        <f t="shared" si="70"/>
        <v>69955.225918251497</v>
      </c>
      <c r="AD92" s="165">
        <f t="shared" si="70"/>
        <v>69955.225918251497</v>
      </c>
    </row>
    <row r="93" spans="4:30" ht="16.5" customHeight="1" x14ac:dyDescent="0.15">
      <c r="D93" s="560"/>
      <c r="E93" s="582"/>
      <c r="F93" s="582"/>
      <c r="G93" s="585"/>
      <c r="H93" s="547">
        <f t="shared" ref="H93" si="71">+H91</f>
        <v>1.3</v>
      </c>
      <c r="I93" s="592"/>
      <c r="J93" s="547">
        <f t="shared" ref="J93" si="72">+J91</f>
        <v>1.3</v>
      </c>
      <c r="K93" s="592"/>
      <c r="L93" s="577">
        <f t="shared" ref="L93" si="73">+L91+1</f>
        <v>132</v>
      </c>
      <c r="M93" s="577"/>
      <c r="N93" s="545">
        <f>+G90*J93</f>
        <v>17828.2</v>
      </c>
      <c r="O93" s="587">
        <f>+E67*N93</f>
        <v>72811.624790748421</v>
      </c>
      <c r="P93" s="588">
        <f>+E70*O93</f>
        <v>145623.24958149684</v>
      </c>
      <c r="S93" s="37">
        <f t="shared" si="34"/>
        <v>142</v>
      </c>
      <c r="T93" s="37" t="s">
        <v>356</v>
      </c>
      <c r="U93" s="165">
        <f>+P113</f>
        <v>69955.225918251497</v>
      </c>
      <c r="V93" s="167">
        <f>+'周面支持力(4P右)'!P113</f>
        <v>373.77412755349928</v>
      </c>
      <c r="W93" s="167">
        <f t="shared" si="36"/>
        <v>373.77412755349928</v>
      </c>
      <c r="X93" s="165">
        <f t="shared" si="37"/>
        <v>69955.225918251497</v>
      </c>
      <c r="Y93" s="167">
        <f t="shared" si="38"/>
        <v>373.77412755349928</v>
      </c>
      <c r="Z93" s="167">
        <f t="shared" si="39"/>
        <v>373.77412755349928</v>
      </c>
      <c r="AA93" s="165">
        <f t="shared" si="40"/>
        <v>69955.225918251497</v>
      </c>
      <c r="AB93" s="165">
        <f t="shared" ref="AB93:AD93" si="74">+AA93</f>
        <v>69955.225918251497</v>
      </c>
      <c r="AC93" s="165">
        <f t="shared" si="74"/>
        <v>69955.225918251497</v>
      </c>
      <c r="AD93" s="165">
        <f t="shared" si="74"/>
        <v>69955.225918251497</v>
      </c>
    </row>
    <row r="94" spans="4:30" ht="16.5" customHeight="1" x14ac:dyDescent="0.15">
      <c r="D94" s="560"/>
      <c r="E94" s="582"/>
      <c r="F94" s="582"/>
      <c r="G94" s="585"/>
      <c r="H94" s="547"/>
      <c r="I94" s="593"/>
      <c r="J94" s="547"/>
      <c r="K94" s="593"/>
      <c r="L94" s="579"/>
      <c r="M94" s="579"/>
      <c r="N94" s="546"/>
      <c r="O94" s="572"/>
      <c r="P94" s="573"/>
      <c r="S94" s="37">
        <f t="shared" si="34"/>
        <v>143</v>
      </c>
      <c r="T94" s="37" t="s">
        <v>356</v>
      </c>
      <c r="U94" s="165">
        <f>+P115</f>
        <v>69955.225918251497</v>
      </c>
      <c r="V94" s="167">
        <f>+'周面支持力(4P右)'!P115</f>
        <v>373.77412755349928</v>
      </c>
      <c r="W94" s="167">
        <f t="shared" si="36"/>
        <v>373.77412755349928</v>
      </c>
      <c r="X94" s="165">
        <f t="shared" si="37"/>
        <v>69955.225918251497</v>
      </c>
      <c r="Y94" s="167">
        <f t="shared" si="38"/>
        <v>373.77412755349928</v>
      </c>
      <c r="Z94" s="167">
        <f t="shared" si="39"/>
        <v>373.77412755349928</v>
      </c>
      <c r="AA94" s="165">
        <f t="shared" si="40"/>
        <v>69955.225918251497</v>
      </c>
      <c r="AB94" s="165">
        <f t="shared" ref="AB94:AD94" si="75">+AA94</f>
        <v>69955.225918251497</v>
      </c>
      <c r="AC94" s="165">
        <f t="shared" si="75"/>
        <v>69955.225918251497</v>
      </c>
      <c r="AD94" s="165">
        <f t="shared" si="75"/>
        <v>69955.225918251497</v>
      </c>
    </row>
    <row r="95" spans="4:30" ht="16.5" customHeight="1" x14ac:dyDescent="0.15">
      <c r="D95" s="560"/>
      <c r="E95" s="582"/>
      <c r="F95" s="582"/>
      <c r="G95" s="585"/>
      <c r="H95" s="547">
        <f t="shared" ref="H95" si="76">+H93</f>
        <v>1.3</v>
      </c>
      <c r="I95" s="592"/>
      <c r="J95" s="547">
        <f t="shared" ref="J95" si="77">+J93</f>
        <v>1.3</v>
      </c>
      <c r="K95" s="592"/>
      <c r="L95" s="577">
        <f t="shared" ref="L95" si="78">+L93+1</f>
        <v>133</v>
      </c>
      <c r="M95" s="577"/>
      <c r="N95" s="545">
        <f>+G90*J95</f>
        <v>17828.2</v>
      </c>
      <c r="O95" s="587">
        <f>+E67*N95</f>
        <v>72811.624790748421</v>
      </c>
      <c r="P95" s="588">
        <f>+E70*O95</f>
        <v>145623.24958149684</v>
      </c>
      <c r="S95" s="37">
        <f t="shared" si="34"/>
        <v>144</v>
      </c>
      <c r="T95" s="37" t="s">
        <v>356</v>
      </c>
      <c r="U95" s="165">
        <f>+P117</f>
        <v>69955.225918251497</v>
      </c>
      <c r="V95" s="167">
        <f>+'周面支持力(4P右)'!P117</f>
        <v>373.77412755349928</v>
      </c>
      <c r="W95" s="167">
        <f t="shared" si="36"/>
        <v>373.77412755349928</v>
      </c>
      <c r="X95" s="165">
        <f t="shared" si="37"/>
        <v>69955.225918251497</v>
      </c>
      <c r="Y95" s="167">
        <f t="shared" si="38"/>
        <v>373.77412755349928</v>
      </c>
      <c r="Z95" s="167">
        <f t="shared" si="39"/>
        <v>373.77412755349928</v>
      </c>
      <c r="AA95" s="165">
        <f t="shared" si="40"/>
        <v>69955.225918251497</v>
      </c>
      <c r="AB95" s="165">
        <f t="shared" ref="AB95:AD95" si="79">+AA95</f>
        <v>69955.225918251497</v>
      </c>
      <c r="AC95" s="165">
        <f t="shared" si="79"/>
        <v>69955.225918251497</v>
      </c>
      <c r="AD95" s="165">
        <f t="shared" si="79"/>
        <v>69955.225918251497</v>
      </c>
    </row>
    <row r="96" spans="4:30" ht="16.5" customHeight="1" x14ac:dyDescent="0.15">
      <c r="D96" s="560"/>
      <c r="E96" s="582"/>
      <c r="F96" s="582"/>
      <c r="G96" s="585"/>
      <c r="H96" s="547"/>
      <c r="I96" s="593"/>
      <c r="J96" s="547"/>
      <c r="K96" s="593"/>
      <c r="L96" s="579"/>
      <c r="M96" s="579"/>
      <c r="N96" s="546"/>
      <c r="O96" s="572"/>
      <c r="P96" s="573"/>
      <c r="S96" s="37">
        <f t="shared" si="34"/>
        <v>145</v>
      </c>
      <c r="T96" s="37" t="s">
        <v>356</v>
      </c>
      <c r="U96" s="165">
        <f>+P119</f>
        <v>69955.225918251497</v>
      </c>
      <c r="V96" s="167">
        <f>+'周面支持力(4P右)'!P119</f>
        <v>373.77412755349928</v>
      </c>
      <c r="W96" s="167">
        <f t="shared" si="36"/>
        <v>373.77412755349928</v>
      </c>
      <c r="X96" s="165">
        <f t="shared" si="37"/>
        <v>69955.225918251497</v>
      </c>
      <c r="Y96" s="167">
        <f t="shared" si="38"/>
        <v>373.77412755349928</v>
      </c>
      <c r="Z96" s="167">
        <f t="shared" si="39"/>
        <v>373.77412755349928</v>
      </c>
      <c r="AA96" s="165">
        <f t="shared" si="40"/>
        <v>69955.225918251497</v>
      </c>
      <c r="AB96" s="165">
        <f t="shared" ref="AB96:AD96" si="80">+AA96</f>
        <v>69955.225918251497</v>
      </c>
      <c r="AC96" s="165">
        <f t="shared" si="80"/>
        <v>69955.225918251497</v>
      </c>
      <c r="AD96" s="165">
        <f t="shared" si="80"/>
        <v>69955.225918251497</v>
      </c>
    </row>
    <row r="97" spans="4:30" ht="16.5" customHeight="1" x14ac:dyDescent="0.15">
      <c r="D97" s="560"/>
      <c r="E97" s="582"/>
      <c r="F97" s="582"/>
      <c r="G97" s="585"/>
      <c r="H97" s="547">
        <f t="shared" ref="H97" si="81">+H95</f>
        <v>1.3</v>
      </c>
      <c r="I97" s="594"/>
      <c r="J97" s="547">
        <f t="shared" ref="J97" si="82">+J95</f>
        <v>1.3</v>
      </c>
      <c r="K97" s="594"/>
      <c r="L97" s="577">
        <f t="shared" ref="L97" si="83">+L95+1</f>
        <v>134</v>
      </c>
      <c r="M97" s="577"/>
      <c r="N97" s="545">
        <f>+G90*J97</f>
        <v>17828.2</v>
      </c>
      <c r="O97" s="587">
        <f>+E67*N97</f>
        <v>72811.624790748421</v>
      </c>
      <c r="P97" s="588">
        <f>+E70*O97</f>
        <v>145623.24958149684</v>
      </c>
      <c r="S97" s="37">
        <f t="shared" si="34"/>
        <v>146</v>
      </c>
      <c r="T97" s="37" t="s">
        <v>356</v>
      </c>
      <c r="U97" s="165">
        <f>+P121</f>
        <v>24215.270510163919</v>
      </c>
      <c r="V97" s="167">
        <f>+'周面支持力(4P右)'!P121</f>
        <v>129.38335184544172</v>
      </c>
      <c r="W97" s="167">
        <f t="shared" si="36"/>
        <v>129.38335184544172</v>
      </c>
      <c r="X97" s="165">
        <f t="shared" si="37"/>
        <v>24215.270510163919</v>
      </c>
      <c r="Y97" s="167">
        <f t="shared" si="38"/>
        <v>129.38335184544172</v>
      </c>
      <c r="Z97" s="167">
        <f t="shared" si="39"/>
        <v>129.38335184544172</v>
      </c>
      <c r="AA97" s="165">
        <f t="shared" si="40"/>
        <v>24215.270510163919</v>
      </c>
      <c r="AB97" s="165">
        <f t="shared" ref="AB97:AD97" si="84">+AA97</f>
        <v>24215.270510163919</v>
      </c>
      <c r="AC97" s="165">
        <f t="shared" si="84"/>
        <v>24215.270510163919</v>
      </c>
      <c r="AD97" s="165">
        <f t="shared" si="84"/>
        <v>24215.270510163919</v>
      </c>
    </row>
    <row r="98" spans="4:30" ht="16.5" customHeight="1" x14ac:dyDescent="0.15">
      <c r="D98" s="560"/>
      <c r="E98" s="582"/>
      <c r="F98" s="582"/>
      <c r="G98" s="585"/>
      <c r="H98" s="547"/>
      <c r="I98" s="594"/>
      <c r="J98" s="547"/>
      <c r="K98" s="594"/>
      <c r="L98" s="579"/>
      <c r="M98" s="579"/>
      <c r="N98" s="546"/>
      <c r="O98" s="572"/>
      <c r="P98" s="573"/>
      <c r="S98" s="37">
        <f t="shared" si="34"/>
        <v>147</v>
      </c>
      <c r="T98" s="37"/>
      <c r="U98" s="165"/>
      <c r="V98" s="172"/>
      <c r="W98" s="172"/>
      <c r="X98" s="165"/>
      <c r="Y98" s="172"/>
      <c r="Z98" s="172"/>
      <c r="AA98" s="165"/>
      <c r="AB98" s="165"/>
      <c r="AC98" s="165"/>
      <c r="AD98" s="165"/>
    </row>
    <row r="99" spans="4:30" ht="16.5" customHeight="1" x14ac:dyDescent="0.15">
      <c r="D99" s="560"/>
      <c r="E99" s="582"/>
      <c r="F99" s="582"/>
      <c r="G99" s="585"/>
      <c r="H99" s="547">
        <f t="shared" ref="H99" si="85">+H97</f>
        <v>1.3</v>
      </c>
      <c r="I99" s="594"/>
      <c r="J99" s="547">
        <f t="shared" ref="J99" si="86">+J97</f>
        <v>1.3</v>
      </c>
      <c r="K99" s="594"/>
      <c r="L99" s="577">
        <f t="shared" ref="L99" si="87">+L97+1</f>
        <v>135</v>
      </c>
      <c r="M99" s="577"/>
      <c r="N99" s="545">
        <f>+G90*J99</f>
        <v>17828.2</v>
      </c>
      <c r="O99" s="587">
        <f>+E67*N99</f>
        <v>72811.624790748421</v>
      </c>
      <c r="P99" s="588">
        <f>+E70*O99</f>
        <v>145623.24958149684</v>
      </c>
    </row>
    <row r="100" spans="4:30" ht="16.5" customHeight="1" x14ac:dyDescent="0.15">
      <c r="D100" s="560"/>
      <c r="E100" s="582"/>
      <c r="F100" s="582"/>
      <c r="G100" s="585"/>
      <c r="H100" s="547"/>
      <c r="I100" s="594"/>
      <c r="J100" s="547"/>
      <c r="K100" s="594"/>
      <c r="L100" s="579"/>
      <c r="M100" s="579"/>
      <c r="N100" s="546"/>
      <c r="O100" s="572"/>
      <c r="P100" s="573"/>
    </row>
    <row r="101" spans="4:30" ht="16.5" customHeight="1" x14ac:dyDescent="0.15">
      <c r="D101" s="560"/>
      <c r="E101" s="582"/>
      <c r="F101" s="582"/>
      <c r="G101" s="585"/>
      <c r="H101" s="547">
        <f t="shared" ref="H101" si="88">+H99</f>
        <v>1.3</v>
      </c>
      <c r="I101" s="594"/>
      <c r="J101" s="547">
        <f t="shared" ref="J101" si="89">+J99</f>
        <v>1.3</v>
      </c>
      <c r="K101" s="594"/>
      <c r="L101" s="577">
        <f>+L99+1</f>
        <v>136</v>
      </c>
      <c r="M101" s="577"/>
      <c r="N101" s="545">
        <f>+G90*J101</f>
        <v>17828.2</v>
      </c>
      <c r="O101" s="587">
        <f>+E67*N101</f>
        <v>72811.624790748421</v>
      </c>
      <c r="P101" s="588">
        <f>+E70*O101</f>
        <v>145623.24958149684</v>
      </c>
      <c r="S101" s="393" t="s">
        <v>226</v>
      </c>
      <c r="T101" s="393" t="s">
        <v>355</v>
      </c>
      <c r="U101" s="376" t="s">
        <v>360</v>
      </c>
      <c r="V101" s="376"/>
      <c r="W101" s="376"/>
      <c r="X101" s="376" t="s">
        <v>361</v>
      </c>
      <c r="Y101" s="376"/>
      <c r="Z101" s="376"/>
      <c r="AA101" s="25" t="s">
        <v>362</v>
      </c>
      <c r="AB101" s="25" t="s">
        <v>360</v>
      </c>
      <c r="AC101" s="25" t="s">
        <v>361</v>
      </c>
      <c r="AD101" s="25" t="s">
        <v>362</v>
      </c>
    </row>
    <row r="102" spans="4:30" ht="16.5" customHeight="1" x14ac:dyDescent="0.15">
      <c r="D102" s="560"/>
      <c r="E102" s="582"/>
      <c r="F102" s="582"/>
      <c r="G102" s="585"/>
      <c r="H102" s="547"/>
      <c r="I102" s="594"/>
      <c r="J102" s="547"/>
      <c r="K102" s="594"/>
      <c r="L102" s="579"/>
      <c r="M102" s="579"/>
      <c r="N102" s="546"/>
      <c r="O102" s="572"/>
      <c r="P102" s="573"/>
      <c r="S102" s="393"/>
      <c r="T102" s="393"/>
      <c r="U102" s="94" t="s">
        <v>354</v>
      </c>
      <c r="V102" s="376" t="s">
        <v>357</v>
      </c>
      <c r="W102" s="376"/>
      <c r="X102" s="94" t="s">
        <v>354</v>
      </c>
      <c r="Y102" s="376" t="s">
        <v>357</v>
      </c>
      <c r="Z102" s="376"/>
      <c r="AA102" s="94" t="s">
        <v>354</v>
      </c>
      <c r="AB102" s="94" t="s">
        <v>354</v>
      </c>
      <c r="AC102" s="94" t="s">
        <v>354</v>
      </c>
      <c r="AD102" s="94" t="s">
        <v>354</v>
      </c>
    </row>
    <row r="103" spans="4:30" ht="16.5" customHeight="1" x14ac:dyDescent="0.15">
      <c r="D103" s="561"/>
      <c r="E103" s="583"/>
      <c r="F103" s="583"/>
      <c r="G103" s="586"/>
      <c r="H103" s="547">
        <f t="shared" ref="H103" si="90">+H101</f>
        <v>1.3</v>
      </c>
      <c r="I103" s="79">
        <f>+E90-I90-H91-H93-H95-H97-H99-H101</f>
        <v>0.8500000000000012</v>
      </c>
      <c r="J103" s="547">
        <f t="shared" ref="J103" si="91">+J101</f>
        <v>1.3</v>
      </c>
      <c r="K103" s="79">
        <f t="shared" ref="K103:K104" si="92">+I103</f>
        <v>0.8500000000000012</v>
      </c>
      <c r="L103" s="577">
        <f t="shared" ref="L103" si="93">+L101+1</f>
        <v>137</v>
      </c>
      <c r="M103" s="577"/>
      <c r="N103" s="545">
        <f>+G90*K103+G104*K104</f>
        <v>14621.500000000007</v>
      </c>
      <c r="O103" s="587">
        <f>+E67*N103</f>
        <v>59715.23607980214</v>
      </c>
      <c r="P103" s="588">
        <f>+E70*O103</f>
        <v>119430.47215960428</v>
      </c>
      <c r="S103" s="393"/>
      <c r="T103" s="393"/>
      <c r="U103" s="171" t="s">
        <v>358</v>
      </c>
      <c r="V103" s="171" t="s">
        <v>358</v>
      </c>
      <c r="W103" s="171" t="s">
        <v>359</v>
      </c>
      <c r="X103" s="171" t="s">
        <v>358</v>
      </c>
      <c r="Y103" s="171" t="s">
        <v>358</v>
      </c>
      <c r="Z103" s="171" t="s">
        <v>359</v>
      </c>
      <c r="AA103" s="171" t="s">
        <v>358</v>
      </c>
      <c r="AB103" s="171" t="s">
        <v>359</v>
      </c>
      <c r="AC103" s="171" t="s">
        <v>359</v>
      </c>
      <c r="AD103" s="171" t="s">
        <v>359</v>
      </c>
    </row>
    <row r="104" spans="4:30" ht="16.5" customHeight="1" x14ac:dyDescent="0.15">
      <c r="D104" s="555" t="s">
        <v>205</v>
      </c>
      <c r="E104" s="556">
        <f>+E41</f>
        <v>12.6</v>
      </c>
      <c r="F104" s="556">
        <f>+E104-E66</f>
        <v>11.299999999999999</v>
      </c>
      <c r="G104" s="544">
        <f>+G41</f>
        <v>6588</v>
      </c>
      <c r="H104" s="547"/>
      <c r="I104" s="79">
        <f>+H105-I103</f>
        <v>0.44999999999999885</v>
      </c>
      <c r="J104" s="547"/>
      <c r="K104" s="79">
        <f t="shared" si="92"/>
        <v>0.44999999999999885</v>
      </c>
      <c r="L104" s="579"/>
      <c r="M104" s="579"/>
      <c r="N104" s="546"/>
      <c r="O104" s="572"/>
      <c r="P104" s="573"/>
      <c r="S104" s="37">
        <f>+M13</f>
        <v>148</v>
      </c>
      <c r="T104" s="37"/>
      <c r="U104" s="165"/>
      <c r="V104" s="172"/>
      <c r="W104" s="172"/>
      <c r="X104" s="165"/>
      <c r="Y104" s="172"/>
      <c r="Z104" s="172"/>
      <c r="AA104" s="172"/>
      <c r="AB104" s="172"/>
      <c r="AC104" s="172"/>
      <c r="AD104" s="172"/>
    </row>
    <row r="105" spans="4:30" ht="16.5" customHeight="1" x14ac:dyDescent="0.15">
      <c r="D105" s="555"/>
      <c r="E105" s="556"/>
      <c r="F105" s="556"/>
      <c r="G105" s="544"/>
      <c r="H105" s="547">
        <f t="shared" ref="H105" si="94">+H103</f>
        <v>1.3</v>
      </c>
      <c r="I105" s="614"/>
      <c r="J105" s="547">
        <f t="shared" ref="J105" si="95">+J103</f>
        <v>1.3</v>
      </c>
      <c r="K105" s="614"/>
      <c r="L105" s="577">
        <f t="shared" ref="L105" si="96">+L103+1</f>
        <v>138</v>
      </c>
      <c r="M105" s="577"/>
      <c r="N105" s="545">
        <f>+G104*J105</f>
        <v>8564.4</v>
      </c>
      <c r="O105" s="587">
        <f>+E67*N105</f>
        <v>34977.612959125749</v>
      </c>
      <c r="P105" s="588">
        <f>+E70*O105</f>
        <v>69955.225918251497</v>
      </c>
      <c r="S105" s="37">
        <f>+S104+1</f>
        <v>149</v>
      </c>
      <c r="T105" s="37"/>
      <c r="U105" s="165"/>
      <c r="V105" s="172"/>
      <c r="W105" s="172"/>
      <c r="X105" s="165"/>
      <c r="Y105" s="172"/>
      <c r="Z105" s="172"/>
      <c r="AA105" s="172"/>
      <c r="AB105" s="172"/>
      <c r="AC105" s="172"/>
      <c r="AD105" s="172"/>
    </row>
    <row r="106" spans="4:30" ht="16.5" customHeight="1" x14ac:dyDescent="0.15">
      <c r="D106" s="555"/>
      <c r="E106" s="556"/>
      <c r="F106" s="556"/>
      <c r="G106" s="544"/>
      <c r="H106" s="547"/>
      <c r="I106" s="615"/>
      <c r="J106" s="547"/>
      <c r="K106" s="615"/>
      <c r="L106" s="579"/>
      <c r="M106" s="579"/>
      <c r="N106" s="546"/>
      <c r="O106" s="572"/>
      <c r="P106" s="573"/>
      <c r="S106" s="37">
        <f t="shared" ref="S106:S128" si="97">+S105+1</f>
        <v>150</v>
      </c>
      <c r="T106" s="37"/>
      <c r="U106" s="165"/>
      <c r="V106" s="172"/>
      <c r="W106" s="172"/>
      <c r="X106" s="165"/>
      <c r="Y106" s="172"/>
      <c r="Z106" s="172"/>
      <c r="AA106" s="172"/>
      <c r="AB106" s="172"/>
      <c r="AC106" s="172"/>
      <c r="AD106" s="172"/>
    </row>
    <row r="107" spans="4:30" ht="16.5" customHeight="1" x14ac:dyDescent="0.15">
      <c r="D107" s="555"/>
      <c r="E107" s="556"/>
      <c r="F107" s="556"/>
      <c r="G107" s="544"/>
      <c r="H107" s="547">
        <f t="shared" ref="H107" si="98">+H105</f>
        <v>1.3</v>
      </c>
      <c r="I107" s="547"/>
      <c r="J107" s="547">
        <f t="shared" ref="J107" si="99">+J105</f>
        <v>1.3</v>
      </c>
      <c r="K107" s="547"/>
      <c r="L107" s="577">
        <f t="shared" ref="L107" si="100">+L105+1</f>
        <v>139</v>
      </c>
      <c r="M107" s="577"/>
      <c r="N107" s="545">
        <f>+G104*J107</f>
        <v>8564.4</v>
      </c>
      <c r="O107" s="587">
        <f>+E67*N107</f>
        <v>34977.612959125749</v>
      </c>
      <c r="P107" s="588">
        <f>+E70*O107</f>
        <v>69955.225918251497</v>
      </c>
      <c r="S107" s="37">
        <f t="shared" si="97"/>
        <v>151</v>
      </c>
      <c r="T107" s="37"/>
      <c r="U107" s="165"/>
      <c r="V107" s="172"/>
      <c r="W107" s="172"/>
      <c r="X107" s="165"/>
      <c r="Y107" s="172"/>
      <c r="Z107" s="172"/>
      <c r="AA107" s="172"/>
      <c r="AB107" s="172"/>
      <c r="AC107" s="172"/>
      <c r="AD107" s="172"/>
    </row>
    <row r="108" spans="4:30" ht="16.5" customHeight="1" x14ac:dyDescent="0.15">
      <c r="D108" s="555"/>
      <c r="E108" s="556"/>
      <c r="F108" s="556"/>
      <c r="G108" s="544"/>
      <c r="H108" s="547"/>
      <c r="I108" s="547"/>
      <c r="J108" s="547"/>
      <c r="K108" s="547"/>
      <c r="L108" s="579"/>
      <c r="M108" s="579"/>
      <c r="N108" s="546"/>
      <c r="O108" s="572"/>
      <c r="P108" s="573"/>
      <c r="S108" s="37">
        <f t="shared" si="97"/>
        <v>152</v>
      </c>
      <c r="T108" s="37" t="s">
        <v>356</v>
      </c>
      <c r="U108" s="165">
        <f>+U15</f>
        <v>51631.124929970531</v>
      </c>
      <c r="V108" s="167">
        <f>+V15</f>
        <v>361.44023479550589</v>
      </c>
      <c r="W108" s="167">
        <f>+V108</f>
        <v>361.44023479550589</v>
      </c>
      <c r="X108" s="165">
        <f>+U108</f>
        <v>51631.124929970531</v>
      </c>
      <c r="Y108" s="167">
        <f>+V108</f>
        <v>361.44023479550589</v>
      </c>
      <c r="Z108" s="167">
        <f>+Y108</f>
        <v>361.44023479550589</v>
      </c>
      <c r="AA108" s="165">
        <f>+X108</f>
        <v>51631.124929970531</v>
      </c>
      <c r="AB108" s="165">
        <f>+AA108</f>
        <v>51631.124929970531</v>
      </c>
      <c r="AC108" s="165">
        <f t="shared" ref="AC108:AD108" si="101">+AB108</f>
        <v>51631.124929970531</v>
      </c>
      <c r="AD108" s="165">
        <f t="shared" si="101"/>
        <v>51631.124929970531</v>
      </c>
    </row>
    <row r="109" spans="4:30" ht="16.5" customHeight="1" x14ac:dyDescent="0.15">
      <c r="D109" s="555"/>
      <c r="E109" s="556"/>
      <c r="F109" s="556"/>
      <c r="G109" s="544"/>
      <c r="H109" s="547">
        <f t="shared" ref="H109" si="102">+H107</f>
        <v>1.3</v>
      </c>
      <c r="I109" s="547"/>
      <c r="J109" s="547">
        <f t="shared" ref="J109" si="103">+J107</f>
        <v>1.3</v>
      </c>
      <c r="K109" s="547"/>
      <c r="L109" s="577">
        <f t="shared" ref="L109" si="104">+L107+1</f>
        <v>140</v>
      </c>
      <c r="M109" s="577"/>
      <c r="N109" s="545">
        <f>+G104*J109</f>
        <v>8564.4</v>
      </c>
      <c r="O109" s="587">
        <f>+E67*N109</f>
        <v>34977.612959125749</v>
      </c>
      <c r="P109" s="588">
        <f>+E70*O109</f>
        <v>69955.225918251497</v>
      </c>
      <c r="S109" s="37">
        <f t="shared" si="97"/>
        <v>153</v>
      </c>
      <c r="T109" s="37" t="s">
        <v>356</v>
      </c>
      <c r="U109" s="165">
        <f t="shared" ref="U109:V127" si="105">+U16</f>
        <v>145628.55887308138</v>
      </c>
      <c r="V109" s="167">
        <f t="shared" si="105"/>
        <v>1529.0759763552244</v>
      </c>
      <c r="W109" s="167">
        <f t="shared" ref="W109:W127" si="106">+V109</f>
        <v>1529.0759763552244</v>
      </c>
      <c r="X109" s="165">
        <f t="shared" ref="X109:X127" si="107">+U109</f>
        <v>145628.55887308138</v>
      </c>
      <c r="Y109" s="167">
        <f t="shared" ref="Y109:Y127" si="108">+V109</f>
        <v>1529.0759763552244</v>
      </c>
      <c r="Z109" s="167">
        <f t="shared" ref="Z109:Z127" si="109">+Y109</f>
        <v>1529.0759763552244</v>
      </c>
      <c r="AA109" s="165">
        <f t="shared" ref="AA109:AA127" si="110">+X109</f>
        <v>145628.55887308138</v>
      </c>
      <c r="AB109" s="165">
        <f t="shared" ref="AB109:AD109" si="111">+AA109</f>
        <v>145628.55887308138</v>
      </c>
      <c r="AC109" s="165">
        <f t="shared" si="111"/>
        <v>145628.55887308138</v>
      </c>
      <c r="AD109" s="165">
        <f t="shared" si="111"/>
        <v>145628.55887308138</v>
      </c>
    </row>
    <row r="110" spans="4:30" ht="16.5" customHeight="1" x14ac:dyDescent="0.15">
      <c r="D110" s="555"/>
      <c r="E110" s="556"/>
      <c r="F110" s="556"/>
      <c r="G110" s="544"/>
      <c r="H110" s="547"/>
      <c r="I110" s="547"/>
      <c r="J110" s="547"/>
      <c r="K110" s="547"/>
      <c r="L110" s="579"/>
      <c r="M110" s="579"/>
      <c r="N110" s="546"/>
      <c r="O110" s="572"/>
      <c r="P110" s="573"/>
      <c r="S110" s="37">
        <f t="shared" si="97"/>
        <v>154</v>
      </c>
      <c r="T110" s="37" t="s">
        <v>356</v>
      </c>
      <c r="U110" s="165">
        <f t="shared" si="105"/>
        <v>155635.55249237732</v>
      </c>
      <c r="V110" s="167">
        <f t="shared" si="105"/>
        <v>1495.2598730319837</v>
      </c>
      <c r="W110" s="167">
        <f t="shared" si="106"/>
        <v>1495.2598730319837</v>
      </c>
      <c r="X110" s="165">
        <f t="shared" si="107"/>
        <v>155635.55249237732</v>
      </c>
      <c r="Y110" s="167">
        <f t="shared" si="108"/>
        <v>1495.2598730319837</v>
      </c>
      <c r="Z110" s="167">
        <f t="shared" si="109"/>
        <v>1495.2598730319837</v>
      </c>
      <c r="AA110" s="165">
        <f t="shared" si="110"/>
        <v>155635.55249237732</v>
      </c>
      <c r="AB110" s="165">
        <f t="shared" ref="AB110:AD110" si="112">+AA110</f>
        <v>155635.55249237732</v>
      </c>
      <c r="AC110" s="165">
        <f t="shared" si="112"/>
        <v>155635.55249237732</v>
      </c>
      <c r="AD110" s="165">
        <f t="shared" si="112"/>
        <v>155635.55249237732</v>
      </c>
    </row>
    <row r="111" spans="4:30" ht="16.5" customHeight="1" x14ac:dyDescent="0.15">
      <c r="D111" s="555"/>
      <c r="E111" s="556"/>
      <c r="F111" s="556"/>
      <c r="G111" s="544"/>
      <c r="H111" s="547">
        <f t="shared" ref="H111" si="113">+H109</f>
        <v>1.3</v>
      </c>
      <c r="I111" s="547"/>
      <c r="J111" s="547">
        <f t="shared" ref="J111" si="114">+J109</f>
        <v>1.3</v>
      </c>
      <c r="K111" s="547"/>
      <c r="L111" s="577">
        <f t="shared" ref="L111" si="115">+L109+1</f>
        <v>141</v>
      </c>
      <c r="M111" s="577"/>
      <c r="N111" s="545">
        <f>+G104*J111</f>
        <v>8564.4</v>
      </c>
      <c r="O111" s="587">
        <f>+E67*N111</f>
        <v>34977.612959125749</v>
      </c>
      <c r="P111" s="588">
        <f>+E70*O111</f>
        <v>69955.225918251497</v>
      </c>
      <c r="S111" s="37">
        <f t="shared" si="97"/>
        <v>155</v>
      </c>
      <c r="T111" s="37" t="s">
        <v>356</v>
      </c>
      <c r="U111" s="165">
        <f t="shared" si="105"/>
        <v>223253.66909580704</v>
      </c>
      <c r="V111" s="167">
        <f t="shared" si="105"/>
        <v>1927.5178894247106</v>
      </c>
      <c r="W111" s="167">
        <f t="shared" si="106"/>
        <v>1927.5178894247106</v>
      </c>
      <c r="X111" s="165">
        <f t="shared" si="107"/>
        <v>223253.66909580704</v>
      </c>
      <c r="Y111" s="167">
        <f t="shared" si="108"/>
        <v>1927.5178894247106</v>
      </c>
      <c r="Z111" s="167">
        <f t="shared" si="109"/>
        <v>1927.5178894247106</v>
      </c>
      <c r="AA111" s="165">
        <f t="shared" si="110"/>
        <v>223253.66909580704</v>
      </c>
      <c r="AB111" s="165">
        <f t="shared" ref="AB111:AD111" si="116">+AA111</f>
        <v>223253.66909580704</v>
      </c>
      <c r="AC111" s="165">
        <f t="shared" si="116"/>
        <v>223253.66909580704</v>
      </c>
      <c r="AD111" s="165">
        <f t="shared" si="116"/>
        <v>223253.66909580704</v>
      </c>
    </row>
    <row r="112" spans="4:30" ht="16.5" customHeight="1" x14ac:dyDescent="0.15">
      <c r="D112" s="555"/>
      <c r="E112" s="556"/>
      <c r="F112" s="556"/>
      <c r="G112" s="544"/>
      <c r="H112" s="547"/>
      <c r="I112" s="547"/>
      <c r="J112" s="547"/>
      <c r="K112" s="547"/>
      <c r="L112" s="579"/>
      <c r="M112" s="579"/>
      <c r="N112" s="546"/>
      <c r="O112" s="572"/>
      <c r="P112" s="573"/>
      <c r="S112" s="37">
        <f t="shared" si="97"/>
        <v>156</v>
      </c>
      <c r="T112" s="37" t="s">
        <v>356</v>
      </c>
      <c r="U112" s="165">
        <f t="shared" si="105"/>
        <v>218434.87437224528</v>
      </c>
      <c r="V112" s="167">
        <f t="shared" si="105"/>
        <v>2293.6139645328362</v>
      </c>
      <c r="W112" s="167">
        <f t="shared" si="106"/>
        <v>2293.6139645328362</v>
      </c>
      <c r="X112" s="165">
        <f t="shared" si="107"/>
        <v>218434.87437224528</v>
      </c>
      <c r="Y112" s="167">
        <f t="shared" si="108"/>
        <v>2293.6139645328362</v>
      </c>
      <c r="Z112" s="167">
        <f t="shared" si="109"/>
        <v>2293.6139645328362</v>
      </c>
      <c r="AA112" s="165">
        <f t="shared" si="110"/>
        <v>218434.87437224528</v>
      </c>
      <c r="AB112" s="165">
        <f t="shared" ref="AB112:AD112" si="117">+AA112</f>
        <v>218434.87437224528</v>
      </c>
      <c r="AC112" s="165">
        <f t="shared" si="117"/>
        <v>218434.87437224528</v>
      </c>
      <c r="AD112" s="165">
        <f t="shared" si="117"/>
        <v>218434.87437224528</v>
      </c>
    </row>
    <row r="113" spans="4:30" ht="16.5" customHeight="1" x14ac:dyDescent="0.15">
      <c r="D113" s="555"/>
      <c r="E113" s="556"/>
      <c r="F113" s="556"/>
      <c r="G113" s="544"/>
      <c r="H113" s="547">
        <f t="shared" ref="H113" si="118">+H111</f>
        <v>1.3</v>
      </c>
      <c r="I113" s="547"/>
      <c r="J113" s="547">
        <f t="shared" ref="J113" si="119">+J111</f>
        <v>1.3</v>
      </c>
      <c r="K113" s="547"/>
      <c r="L113" s="577">
        <f>+L111+1</f>
        <v>142</v>
      </c>
      <c r="M113" s="577"/>
      <c r="N113" s="545">
        <f>+G104*J113</f>
        <v>8564.4</v>
      </c>
      <c r="O113" s="587">
        <f>+E67*N113</f>
        <v>34977.612959125749</v>
      </c>
      <c r="P113" s="588">
        <f>+E70*O113</f>
        <v>69955.225918251497</v>
      </c>
      <c r="S113" s="37">
        <f t="shared" si="97"/>
        <v>157</v>
      </c>
      <c r="T113" s="37" t="s">
        <v>356</v>
      </c>
      <c r="U113" s="165">
        <f t="shared" si="105"/>
        <v>218434.87437224528</v>
      </c>
      <c r="V113" s="167">
        <f t="shared" si="105"/>
        <v>2293.6139645328362</v>
      </c>
      <c r="W113" s="167">
        <f t="shared" si="106"/>
        <v>2293.6139645328362</v>
      </c>
      <c r="X113" s="165">
        <f t="shared" si="107"/>
        <v>218434.87437224528</v>
      </c>
      <c r="Y113" s="167">
        <f t="shared" si="108"/>
        <v>2293.6139645328362</v>
      </c>
      <c r="Z113" s="167">
        <f t="shared" si="109"/>
        <v>2293.6139645328362</v>
      </c>
      <c r="AA113" s="165">
        <f t="shared" si="110"/>
        <v>218434.87437224528</v>
      </c>
      <c r="AB113" s="165">
        <f t="shared" ref="AB113:AD113" si="120">+AA113</f>
        <v>218434.87437224528</v>
      </c>
      <c r="AC113" s="165">
        <f t="shared" si="120"/>
        <v>218434.87437224528</v>
      </c>
      <c r="AD113" s="165">
        <f t="shared" si="120"/>
        <v>218434.87437224528</v>
      </c>
    </row>
    <row r="114" spans="4:30" ht="16.5" customHeight="1" x14ac:dyDescent="0.15">
      <c r="D114" s="555"/>
      <c r="E114" s="556"/>
      <c r="F114" s="556"/>
      <c r="G114" s="544"/>
      <c r="H114" s="547"/>
      <c r="I114" s="547"/>
      <c r="J114" s="547"/>
      <c r="K114" s="547"/>
      <c r="L114" s="579"/>
      <c r="M114" s="579"/>
      <c r="N114" s="546"/>
      <c r="O114" s="572"/>
      <c r="P114" s="573"/>
      <c r="S114" s="37">
        <f t="shared" si="97"/>
        <v>158</v>
      </c>
      <c r="T114" s="37" t="s">
        <v>356</v>
      </c>
      <c r="U114" s="165">
        <f t="shared" si="105"/>
        <v>218434.87437224528</v>
      </c>
      <c r="V114" s="167">
        <f t="shared" si="105"/>
        <v>2293.6139645328362</v>
      </c>
      <c r="W114" s="167">
        <f t="shared" si="106"/>
        <v>2293.6139645328362</v>
      </c>
      <c r="X114" s="165">
        <f t="shared" si="107"/>
        <v>218434.87437224528</v>
      </c>
      <c r="Y114" s="167">
        <f t="shared" si="108"/>
        <v>2293.6139645328362</v>
      </c>
      <c r="Z114" s="167">
        <f t="shared" si="109"/>
        <v>2293.6139645328362</v>
      </c>
      <c r="AA114" s="165">
        <f t="shared" si="110"/>
        <v>218434.87437224528</v>
      </c>
      <c r="AB114" s="165">
        <f t="shared" ref="AB114:AD114" si="121">+AA114</f>
        <v>218434.87437224528</v>
      </c>
      <c r="AC114" s="165">
        <f t="shared" si="121"/>
        <v>218434.87437224528</v>
      </c>
      <c r="AD114" s="165">
        <f t="shared" si="121"/>
        <v>218434.87437224528</v>
      </c>
    </row>
    <row r="115" spans="4:30" ht="16.5" customHeight="1" x14ac:dyDescent="0.15">
      <c r="D115" s="555"/>
      <c r="E115" s="556"/>
      <c r="F115" s="556"/>
      <c r="G115" s="544"/>
      <c r="H115" s="547">
        <f t="shared" ref="H115" si="122">+H113</f>
        <v>1.3</v>
      </c>
      <c r="I115" s="547"/>
      <c r="J115" s="547">
        <f t="shared" ref="J115" si="123">+J113</f>
        <v>1.3</v>
      </c>
      <c r="K115" s="547"/>
      <c r="L115" s="577">
        <f t="shared" ref="L115" si="124">+L113+1</f>
        <v>143</v>
      </c>
      <c r="M115" s="577"/>
      <c r="N115" s="545">
        <f>+G104*J115</f>
        <v>8564.4</v>
      </c>
      <c r="O115" s="587">
        <f>+E67*N115</f>
        <v>34977.612959125749</v>
      </c>
      <c r="P115" s="588">
        <f>+E70*O115</f>
        <v>69955.225918251497</v>
      </c>
      <c r="S115" s="37">
        <f t="shared" si="97"/>
        <v>159</v>
      </c>
      <c r="T115" s="37" t="s">
        <v>356</v>
      </c>
      <c r="U115" s="165">
        <f t="shared" si="105"/>
        <v>218434.87437224528</v>
      </c>
      <c r="V115" s="167">
        <f t="shared" si="105"/>
        <v>2293.6139645328362</v>
      </c>
      <c r="W115" s="167">
        <f t="shared" si="106"/>
        <v>2293.6139645328362</v>
      </c>
      <c r="X115" s="165">
        <f t="shared" si="107"/>
        <v>218434.87437224528</v>
      </c>
      <c r="Y115" s="167">
        <f t="shared" si="108"/>
        <v>2293.6139645328362</v>
      </c>
      <c r="Z115" s="167">
        <f t="shared" si="109"/>
        <v>2293.6139645328362</v>
      </c>
      <c r="AA115" s="165">
        <f t="shared" si="110"/>
        <v>218434.87437224528</v>
      </c>
      <c r="AB115" s="165">
        <f t="shared" ref="AB115:AD115" si="125">+AA115</f>
        <v>218434.87437224528</v>
      </c>
      <c r="AC115" s="165">
        <f t="shared" si="125"/>
        <v>218434.87437224528</v>
      </c>
      <c r="AD115" s="165">
        <f t="shared" si="125"/>
        <v>218434.87437224528</v>
      </c>
    </row>
    <row r="116" spans="4:30" ht="16.5" customHeight="1" x14ac:dyDescent="0.15">
      <c r="D116" s="555"/>
      <c r="E116" s="556"/>
      <c r="F116" s="556"/>
      <c r="G116" s="544"/>
      <c r="H116" s="547"/>
      <c r="I116" s="547"/>
      <c r="J116" s="547"/>
      <c r="K116" s="547"/>
      <c r="L116" s="579"/>
      <c r="M116" s="579"/>
      <c r="N116" s="546"/>
      <c r="O116" s="572"/>
      <c r="P116" s="573"/>
      <c r="S116" s="37">
        <f t="shared" si="97"/>
        <v>160</v>
      </c>
      <c r="T116" s="37" t="s">
        <v>356</v>
      </c>
      <c r="U116" s="165">
        <f t="shared" si="105"/>
        <v>218434.87437224528</v>
      </c>
      <c r="V116" s="167">
        <f t="shared" si="105"/>
        <v>2293.6139645328362</v>
      </c>
      <c r="W116" s="167">
        <f t="shared" si="106"/>
        <v>2293.6139645328362</v>
      </c>
      <c r="X116" s="165">
        <f t="shared" si="107"/>
        <v>218434.87437224528</v>
      </c>
      <c r="Y116" s="167">
        <f t="shared" si="108"/>
        <v>2293.6139645328362</v>
      </c>
      <c r="Z116" s="167">
        <f t="shared" si="109"/>
        <v>2293.6139645328362</v>
      </c>
      <c r="AA116" s="165">
        <f t="shared" si="110"/>
        <v>218434.87437224528</v>
      </c>
      <c r="AB116" s="165">
        <f t="shared" ref="AB116:AD116" si="126">+AA116</f>
        <v>218434.87437224528</v>
      </c>
      <c r="AC116" s="165">
        <f t="shared" si="126"/>
        <v>218434.87437224528</v>
      </c>
      <c r="AD116" s="165">
        <f t="shared" si="126"/>
        <v>218434.87437224528</v>
      </c>
    </row>
    <row r="117" spans="4:30" ht="16.5" customHeight="1" x14ac:dyDescent="0.15">
      <c r="D117" s="555"/>
      <c r="E117" s="556"/>
      <c r="F117" s="556"/>
      <c r="G117" s="544"/>
      <c r="H117" s="547">
        <f t="shared" ref="H117" si="127">+H115</f>
        <v>1.3</v>
      </c>
      <c r="I117" s="547"/>
      <c r="J117" s="547">
        <f t="shared" ref="J117" si="128">+J115</f>
        <v>1.3</v>
      </c>
      <c r="K117" s="547"/>
      <c r="L117" s="577">
        <f t="shared" ref="L117" si="129">+L115+1</f>
        <v>144</v>
      </c>
      <c r="M117" s="577"/>
      <c r="N117" s="545">
        <f>+G104*J117</f>
        <v>8564.4</v>
      </c>
      <c r="O117" s="587">
        <f>+E67*N117</f>
        <v>34977.612959125749</v>
      </c>
      <c r="P117" s="588">
        <f>+E70*O117</f>
        <v>69955.225918251497</v>
      </c>
      <c r="S117" s="37">
        <f t="shared" si="97"/>
        <v>161</v>
      </c>
      <c r="T117" s="37" t="s">
        <v>356</v>
      </c>
      <c r="U117" s="165">
        <f t="shared" si="105"/>
        <v>218434.87437224528</v>
      </c>
      <c r="V117" s="167">
        <f t="shared" si="105"/>
        <v>2293.6139645328362</v>
      </c>
      <c r="W117" s="167">
        <f t="shared" si="106"/>
        <v>2293.6139645328362</v>
      </c>
      <c r="X117" s="165">
        <f t="shared" si="107"/>
        <v>218434.87437224528</v>
      </c>
      <c r="Y117" s="167">
        <f t="shared" si="108"/>
        <v>2293.6139645328362</v>
      </c>
      <c r="Z117" s="167">
        <f t="shared" si="109"/>
        <v>2293.6139645328362</v>
      </c>
      <c r="AA117" s="165">
        <f t="shared" si="110"/>
        <v>218434.87437224528</v>
      </c>
      <c r="AB117" s="165">
        <f t="shared" ref="AB117:AD117" si="130">+AA117</f>
        <v>218434.87437224528</v>
      </c>
      <c r="AC117" s="165">
        <f t="shared" si="130"/>
        <v>218434.87437224528</v>
      </c>
      <c r="AD117" s="165">
        <f t="shared" si="130"/>
        <v>218434.87437224528</v>
      </c>
    </row>
    <row r="118" spans="4:30" ht="16.5" customHeight="1" x14ac:dyDescent="0.15">
      <c r="D118" s="555"/>
      <c r="E118" s="556"/>
      <c r="F118" s="556"/>
      <c r="G118" s="544"/>
      <c r="H118" s="547"/>
      <c r="I118" s="547"/>
      <c r="J118" s="547"/>
      <c r="K118" s="547"/>
      <c r="L118" s="579"/>
      <c r="M118" s="579"/>
      <c r="N118" s="546"/>
      <c r="O118" s="572"/>
      <c r="P118" s="573"/>
      <c r="S118" s="37">
        <f t="shared" si="97"/>
        <v>162</v>
      </c>
      <c r="T118" s="37" t="s">
        <v>356</v>
      </c>
      <c r="U118" s="165">
        <f t="shared" si="105"/>
        <v>179145.70823940641</v>
      </c>
      <c r="V118" s="167">
        <f t="shared" si="105"/>
        <v>1693.7456968857882</v>
      </c>
      <c r="W118" s="167">
        <f t="shared" si="106"/>
        <v>1693.7456968857882</v>
      </c>
      <c r="X118" s="165">
        <f t="shared" si="107"/>
        <v>179145.70823940641</v>
      </c>
      <c r="Y118" s="167">
        <f t="shared" si="108"/>
        <v>1693.7456968857882</v>
      </c>
      <c r="Z118" s="167">
        <f t="shared" si="109"/>
        <v>1693.7456968857882</v>
      </c>
      <c r="AA118" s="165">
        <f t="shared" si="110"/>
        <v>179145.70823940641</v>
      </c>
      <c r="AB118" s="165">
        <f t="shared" ref="AB118:AD118" si="131">+AA118</f>
        <v>179145.70823940641</v>
      </c>
      <c r="AC118" s="165">
        <f t="shared" si="131"/>
        <v>179145.70823940641</v>
      </c>
      <c r="AD118" s="165">
        <f t="shared" si="131"/>
        <v>179145.70823940641</v>
      </c>
    </row>
    <row r="119" spans="4:30" ht="16.5" customHeight="1" x14ac:dyDescent="0.15">
      <c r="D119" s="555"/>
      <c r="E119" s="556"/>
      <c r="F119" s="556"/>
      <c r="G119" s="544"/>
      <c r="H119" s="547">
        <f t="shared" ref="H119" si="132">+H117</f>
        <v>1.3</v>
      </c>
      <c r="I119" s="547"/>
      <c r="J119" s="547">
        <f t="shared" ref="J119" si="133">+J117</f>
        <v>1.3</v>
      </c>
      <c r="K119" s="547"/>
      <c r="L119" s="577">
        <f t="shared" ref="L119" si="134">+L117+1</f>
        <v>145</v>
      </c>
      <c r="M119" s="577"/>
      <c r="N119" s="545">
        <f>+G104*J119</f>
        <v>8564.4</v>
      </c>
      <c r="O119" s="587">
        <f>+E67*N119</f>
        <v>34977.612959125749</v>
      </c>
      <c r="P119" s="588">
        <f>+E70*O119</f>
        <v>69955.225918251497</v>
      </c>
      <c r="S119" s="37">
        <f t="shared" si="97"/>
        <v>163</v>
      </c>
      <c r="T119" s="37" t="s">
        <v>356</v>
      </c>
      <c r="U119" s="165">
        <f t="shared" si="105"/>
        <v>104932.83887737725</v>
      </c>
      <c r="V119" s="167">
        <f t="shared" si="105"/>
        <v>560.66119133024893</v>
      </c>
      <c r="W119" s="167">
        <f t="shared" si="106"/>
        <v>560.66119133024893</v>
      </c>
      <c r="X119" s="165">
        <f t="shared" si="107"/>
        <v>104932.83887737725</v>
      </c>
      <c r="Y119" s="167">
        <f t="shared" si="108"/>
        <v>560.66119133024893</v>
      </c>
      <c r="Z119" s="167">
        <f t="shared" si="109"/>
        <v>560.66119133024893</v>
      </c>
      <c r="AA119" s="165">
        <f t="shared" si="110"/>
        <v>104932.83887737725</v>
      </c>
      <c r="AB119" s="165">
        <f t="shared" ref="AB119:AD119" si="135">+AA119</f>
        <v>104932.83887737725</v>
      </c>
      <c r="AC119" s="165">
        <f t="shared" si="135"/>
        <v>104932.83887737725</v>
      </c>
      <c r="AD119" s="165">
        <f t="shared" si="135"/>
        <v>104932.83887737725</v>
      </c>
    </row>
    <row r="120" spans="4:30" ht="16.5" customHeight="1" x14ac:dyDescent="0.15">
      <c r="D120" s="555"/>
      <c r="E120" s="556"/>
      <c r="F120" s="556"/>
      <c r="G120" s="544"/>
      <c r="H120" s="547"/>
      <c r="I120" s="547"/>
      <c r="J120" s="547"/>
      <c r="K120" s="547"/>
      <c r="L120" s="579"/>
      <c r="M120" s="579"/>
      <c r="N120" s="546"/>
      <c r="O120" s="572"/>
      <c r="P120" s="573"/>
      <c r="S120" s="37">
        <f t="shared" si="97"/>
        <v>164</v>
      </c>
      <c r="T120" s="37" t="s">
        <v>356</v>
      </c>
      <c r="U120" s="165">
        <f t="shared" si="105"/>
        <v>104932.83887737725</v>
      </c>
      <c r="V120" s="167">
        <f t="shared" si="105"/>
        <v>560.66119133024893</v>
      </c>
      <c r="W120" s="167">
        <f t="shared" si="106"/>
        <v>560.66119133024893</v>
      </c>
      <c r="X120" s="165">
        <f t="shared" si="107"/>
        <v>104932.83887737725</v>
      </c>
      <c r="Y120" s="167">
        <f t="shared" si="108"/>
        <v>560.66119133024893</v>
      </c>
      <c r="Z120" s="167">
        <f t="shared" si="109"/>
        <v>560.66119133024893</v>
      </c>
      <c r="AA120" s="165">
        <f t="shared" si="110"/>
        <v>104932.83887737725</v>
      </c>
      <c r="AB120" s="165">
        <f t="shared" ref="AB120:AD120" si="136">+AA120</f>
        <v>104932.83887737725</v>
      </c>
      <c r="AC120" s="165">
        <f t="shared" si="136"/>
        <v>104932.83887737725</v>
      </c>
      <c r="AD120" s="165">
        <f t="shared" si="136"/>
        <v>104932.83887737725</v>
      </c>
    </row>
    <row r="121" spans="4:30" ht="16.5" customHeight="1" x14ac:dyDescent="0.15">
      <c r="D121" s="555"/>
      <c r="E121" s="556"/>
      <c r="F121" s="556"/>
      <c r="G121" s="544"/>
      <c r="H121" s="547">
        <f>+H58</f>
        <v>1.2</v>
      </c>
      <c r="I121" s="547"/>
      <c r="J121" s="547">
        <f>+F104-K104-J105-J107-J109-J111-J113-J115-J117-J119</f>
        <v>0.44999999999999885</v>
      </c>
      <c r="K121" s="547"/>
      <c r="L121" s="577">
        <f t="shared" ref="L121" si="137">+L119+1</f>
        <v>146</v>
      </c>
      <c r="M121" s="577"/>
      <c r="N121" s="545">
        <f>+G104*J121</f>
        <v>2964.5999999999922</v>
      </c>
      <c r="O121" s="587">
        <f>+E67*N121</f>
        <v>12107.635255081959</v>
      </c>
      <c r="P121" s="588">
        <f>+E70*O121</f>
        <v>24215.270510163919</v>
      </c>
      <c r="S121" s="37">
        <f t="shared" si="97"/>
        <v>165</v>
      </c>
      <c r="T121" s="37" t="s">
        <v>356</v>
      </c>
      <c r="U121" s="165">
        <f t="shared" si="105"/>
        <v>104932.83887737725</v>
      </c>
      <c r="V121" s="167">
        <f t="shared" si="105"/>
        <v>560.66119133024893</v>
      </c>
      <c r="W121" s="167">
        <f t="shared" si="106"/>
        <v>560.66119133024893</v>
      </c>
      <c r="X121" s="165">
        <f t="shared" si="107"/>
        <v>104932.83887737725</v>
      </c>
      <c r="Y121" s="167">
        <f t="shared" si="108"/>
        <v>560.66119133024893</v>
      </c>
      <c r="Z121" s="167">
        <f t="shared" si="109"/>
        <v>560.66119133024893</v>
      </c>
      <c r="AA121" s="165">
        <f t="shared" si="110"/>
        <v>104932.83887737725</v>
      </c>
      <c r="AB121" s="165">
        <f t="shared" ref="AB121:AD121" si="138">+AA121</f>
        <v>104932.83887737725</v>
      </c>
      <c r="AC121" s="165">
        <f t="shared" si="138"/>
        <v>104932.83887737725</v>
      </c>
      <c r="AD121" s="165">
        <f t="shared" si="138"/>
        <v>104932.83887737725</v>
      </c>
    </row>
    <row r="122" spans="4:30" ht="16.5" customHeight="1" x14ac:dyDescent="0.15">
      <c r="D122" s="555"/>
      <c r="E122" s="556"/>
      <c r="F122" s="556"/>
      <c r="G122" s="544"/>
      <c r="H122" s="547"/>
      <c r="I122" s="547"/>
      <c r="J122" s="547"/>
      <c r="K122" s="547"/>
      <c r="L122" s="579"/>
      <c r="M122" s="579"/>
      <c r="N122" s="546"/>
      <c r="O122" s="572"/>
      <c r="P122" s="573"/>
      <c r="S122" s="37">
        <f t="shared" si="97"/>
        <v>166</v>
      </c>
      <c r="T122" s="37" t="s">
        <v>356</v>
      </c>
      <c r="U122" s="165">
        <f t="shared" si="105"/>
        <v>104932.83887737725</v>
      </c>
      <c r="V122" s="167">
        <f t="shared" si="105"/>
        <v>560.66119133024893</v>
      </c>
      <c r="W122" s="167">
        <f t="shared" si="106"/>
        <v>560.66119133024893</v>
      </c>
      <c r="X122" s="165">
        <f t="shared" si="107"/>
        <v>104932.83887737725</v>
      </c>
      <c r="Y122" s="167">
        <f t="shared" si="108"/>
        <v>560.66119133024893</v>
      </c>
      <c r="Z122" s="167">
        <f t="shared" si="109"/>
        <v>560.66119133024893</v>
      </c>
      <c r="AA122" s="165">
        <f t="shared" si="110"/>
        <v>104932.83887737725</v>
      </c>
      <c r="AB122" s="165">
        <f t="shared" ref="AB122:AD122" si="139">+AA122</f>
        <v>104932.83887737725</v>
      </c>
      <c r="AC122" s="165">
        <f t="shared" si="139"/>
        <v>104932.83887737725</v>
      </c>
      <c r="AD122" s="165">
        <f t="shared" si="139"/>
        <v>104932.83887737725</v>
      </c>
    </row>
    <row r="123" spans="4:30" ht="16.5" customHeight="1" x14ac:dyDescent="0.15">
      <c r="D123" s="555"/>
      <c r="E123" s="556"/>
      <c r="F123" s="556"/>
      <c r="G123" s="544"/>
      <c r="H123" s="79">
        <f>+E104-I104-H105-H107-H109-H111-H113-H115-H117-H119-H121</f>
        <v>0.54999999999999893</v>
      </c>
      <c r="I123" s="88"/>
      <c r="J123" s="99" t="s">
        <v>157</v>
      </c>
      <c r="K123" s="88"/>
      <c r="L123" s="37">
        <f>+L121+1</f>
        <v>147</v>
      </c>
      <c r="M123" s="37"/>
      <c r="N123" s="95" t="s">
        <v>157</v>
      </c>
      <c r="O123" s="95" t="s">
        <v>157</v>
      </c>
      <c r="P123" s="95" t="s">
        <v>157</v>
      </c>
      <c r="S123" s="37">
        <f t="shared" si="97"/>
        <v>167</v>
      </c>
      <c r="T123" s="37" t="s">
        <v>356</v>
      </c>
      <c r="U123" s="165">
        <f t="shared" si="105"/>
        <v>104932.83887737725</v>
      </c>
      <c r="V123" s="167">
        <f t="shared" si="105"/>
        <v>560.66119133024893</v>
      </c>
      <c r="W123" s="167">
        <f t="shared" si="106"/>
        <v>560.66119133024893</v>
      </c>
      <c r="X123" s="165">
        <f t="shared" si="107"/>
        <v>104932.83887737725</v>
      </c>
      <c r="Y123" s="167">
        <f t="shared" si="108"/>
        <v>560.66119133024893</v>
      </c>
      <c r="Z123" s="167">
        <f t="shared" si="109"/>
        <v>560.66119133024893</v>
      </c>
      <c r="AA123" s="165">
        <f t="shared" si="110"/>
        <v>104932.83887737725</v>
      </c>
      <c r="AB123" s="165">
        <f t="shared" ref="AB123:AD123" si="140">+AA123</f>
        <v>104932.83887737725</v>
      </c>
      <c r="AC123" s="165">
        <f t="shared" si="140"/>
        <v>104932.83887737725</v>
      </c>
      <c r="AD123" s="165">
        <f t="shared" si="140"/>
        <v>104932.83887737725</v>
      </c>
    </row>
    <row r="124" spans="4:30" ht="16.5" customHeight="1" x14ac:dyDescent="0.15">
      <c r="D124" s="89" t="s">
        <v>228</v>
      </c>
      <c r="E124" s="79">
        <f>SUM(E76:E123)</f>
        <v>31</v>
      </c>
      <c r="F124" s="79">
        <f>SUM(F76:F123)</f>
        <v>24.754999999999995</v>
      </c>
      <c r="G124" s="88"/>
      <c r="H124" s="79">
        <f>SUM(H75:H123)</f>
        <v>31.000000000000007</v>
      </c>
      <c r="I124" s="88"/>
      <c r="J124" s="79">
        <f>SUM(J81:J122)</f>
        <v>25.150000000000006</v>
      </c>
      <c r="K124" s="334"/>
      <c r="L124" s="327"/>
      <c r="M124" s="327"/>
      <c r="N124" s="327"/>
      <c r="O124" s="327"/>
      <c r="P124" s="328"/>
      <c r="S124" s="37">
        <f t="shared" si="97"/>
        <v>168</v>
      </c>
      <c r="T124" s="37" t="s">
        <v>356</v>
      </c>
      <c r="U124" s="165">
        <f t="shared" si="105"/>
        <v>104932.83887737725</v>
      </c>
      <c r="V124" s="167">
        <f t="shared" si="105"/>
        <v>560.66119133024893</v>
      </c>
      <c r="W124" s="167">
        <f t="shared" si="106"/>
        <v>560.66119133024893</v>
      </c>
      <c r="X124" s="165">
        <f t="shared" si="107"/>
        <v>104932.83887737725</v>
      </c>
      <c r="Y124" s="167">
        <f t="shared" si="108"/>
        <v>560.66119133024893</v>
      </c>
      <c r="Z124" s="167">
        <f t="shared" si="109"/>
        <v>560.66119133024893</v>
      </c>
      <c r="AA124" s="165">
        <f t="shared" si="110"/>
        <v>104932.83887737725</v>
      </c>
      <c r="AB124" s="165">
        <f t="shared" ref="AB124:AD124" si="141">+AA124</f>
        <v>104932.83887737725</v>
      </c>
      <c r="AC124" s="165">
        <f t="shared" si="141"/>
        <v>104932.83887737725</v>
      </c>
      <c r="AD124" s="165">
        <f t="shared" si="141"/>
        <v>104932.83887737725</v>
      </c>
    </row>
    <row r="125" spans="4:30" ht="16.5" customHeight="1" x14ac:dyDescent="0.15">
      <c r="S125" s="37">
        <f t="shared" si="97"/>
        <v>169</v>
      </c>
      <c r="T125" s="37" t="s">
        <v>356</v>
      </c>
      <c r="U125" s="165">
        <f t="shared" si="105"/>
        <v>104932.83887737725</v>
      </c>
      <c r="V125" s="167">
        <f t="shared" si="105"/>
        <v>560.66119133024893</v>
      </c>
      <c r="W125" s="167">
        <f t="shared" si="106"/>
        <v>560.66119133024893</v>
      </c>
      <c r="X125" s="165">
        <f t="shared" si="107"/>
        <v>104932.83887737725</v>
      </c>
      <c r="Y125" s="167">
        <f t="shared" si="108"/>
        <v>560.66119133024893</v>
      </c>
      <c r="Z125" s="167">
        <f t="shared" si="109"/>
        <v>560.66119133024893</v>
      </c>
      <c r="AA125" s="165">
        <f t="shared" si="110"/>
        <v>104932.83887737725</v>
      </c>
      <c r="AB125" s="165">
        <f t="shared" ref="AB125:AD125" si="142">+AA125</f>
        <v>104932.83887737725</v>
      </c>
      <c r="AC125" s="165">
        <f t="shared" si="142"/>
        <v>104932.83887737725</v>
      </c>
      <c r="AD125" s="165">
        <f t="shared" si="142"/>
        <v>104932.83887737725</v>
      </c>
    </row>
    <row r="126" spans="4:30" ht="16.5" customHeight="1" x14ac:dyDescent="0.15">
      <c r="S126" s="37">
        <f t="shared" si="97"/>
        <v>170</v>
      </c>
      <c r="T126" s="37" t="s">
        <v>356</v>
      </c>
      <c r="U126" s="165">
        <f t="shared" si="105"/>
        <v>104932.83887737725</v>
      </c>
      <c r="V126" s="167">
        <f t="shared" si="105"/>
        <v>560.66119133024893</v>
      </c>
      <c r="W126" s="167">
        <f t="shared" si="106"/>
        <v>560.66119133024893</v>
      </c>
      <c r="X126" s="165">
        <f t="shared" si="107"/>
        <v>104932.83887737725</v>
      </c>
      <c r="Y126" s="167">
        <f t="shared" si="108"/>
        <v>560.66119133024893</v>
      </c>
      <c r="Z126" s="167">
        <f t="shared" si="109"/>
        <v>560.66119133024893</v>
      </c>
      <c r="AA126" s="165">
        <f t="shared" si="110"/>
        <v>104932.83887737725</v>
      </c>
      <c r="AB126" s="165">
        <f t="shared" ref="AB126:AD126" si="143">+AA126</f>
        <v>104932.83887737725</v>
      </c>
      <c r="AC126" s="165">
        <f t="shared" si="143"/>
        <v>104932.83887737725</v>
      </c>
      <c r="AD126" s="165">
        <f t="shared" si="143"/>
        <v>104932.83887737725</v>
      </c>
    </row>
    <row r="127" spans="4:30" ht="16.5" customHeight="1" x14ac:dyDescent="0.15">
      <c r="S127" s="37">
        <f t="shared" si="97"/>
        <v>171</v>
      </c>
      <c r="T127" s="37" t="s">
        <v>356</v>
      </c>
      <c r="U127" s="165">
        <f t="shared" si="105"/>
        <v>36322.90576524588</v>
      </c>
      <c r="V127" s="167">
        <f t="shared" si="105"/>
        <v>194.07502776816258</v>
      </c>
      <c r="W127" s="167">
        <f t="shared" si="106"/>
        <v>194.07502776816258</v>
      </c>
      <c r="X127" s="165">
        <f t="shared" si="107"/>
        <v>36322.90576524588</v>
      </c>
      <c r="Y127" s="167">
        <f t="shared" si="108"/>
        <v>194.07502776816258</v>
      </c>
      <c r="Z127" s="167">
        <f t="shared" si="109"/>
        <v>194.07502776816258</v>
      </c>
      <c r="AA127" s="165">
        <f t="shared" si="110"/>
        <v>36322.90576524588</v>
      </c>
      <c r="AB127" s="165">
        <f t="shared" ref="AB127:AD127" si="144">+AA127</f>
        <v>36322.90576524588</v>
      </c>
      <c r="AC127" s="165">
        <f t="shared" si="144"/>
        <v>36322.90576524588</v>
      </c>
      <c r="AD127" s="165">
        <f t="shared" si="144"/>
        <v>36322.90576524588</v>
      </c>
    </row>
    <row r="128" spans="4:30" ht="16.5" customHeight="1" x14ac:dyDescent="0.15">
      <c r="S128" s="37">
        <f t="shared" si="97"/>
        <v>172</v>
      </c>
      <c r="T128" s="37"/>
      <c r="U128" s="165"/>
      <c r="V128" s="172"/>
      <c r="W128" s="172"/>
      <c r="X128" s="165"/>
      <c r="Y128" s="172"/>
      <c r="Z128" s="172"/>
      <c r="AA128" s="165"/>
      <c r="AB128" s="165"/>
      <c r="AC128" s="165"/>
      <c r="AD128" s="165"/>
    </row>
  </sheetData>
  <mergeCells count="484">
    <mergeCell ref="X71:Z71"/>
    <mergeCell ref="V72:W72"/>
    <mergeCell ref="Y72:Z72"/>
    <mergeCell ref="S101:S103"/>
    <mergeCell ref="T101:T103"/>
    <mergeCell ref="U101:W101"/>
    <mergeCell ref="X101:Z101"/>
    <mergeCell ref="V102:W102"/>
    <mergeCell ref="Y102:Z102"/>
    <mergeCell ref="P121:P122"/>
    <mergeCell ref="K124:P124"/>
    <mergeCell ref="S8:S10"/>
    <mergeCell ref="T8:T10"/>
    <mergeCell ref="U8:W8"/>
    <mergeCell ref="X8:Z8"/>
    <mergeCell ref="V9:W9"/>
    <mergeCell ref="Y9:Z9"/>
    <mergeCell ref="S71:S73"/>
    <mergeCell ref="T71:T73"/>
    <mergeCell ref="U71:W71"/>
    <mergeCell ref="P119:P120"/>
    <mergeCell ref="O117:O118"/>
    <mergeCell ref="P117:P118"/>
    <mergeCell ref="P115:P116"/>
    <mergeCell ref="P111:P112"/>
    <mergeCell ref="O109:O110"/>
    <mergeCell ref="P109:P110"/>
    <mergeCell ref="P107:P108"/>
    <mergeCell ref="M105:M106"/>
    <mergeCell ref="N105:N106"/>
    <mergeCell ref="O105:O106"/>
    <mergeCell ref="P105:P106"/>
    <mergeCell ref="P103:P104"/>
    <mergeCell ref="M115:M116"/>
    <mergeCell ref="H121:H122"/>
    <mergeCell ref="I121:I122"/>
    <mergeCell ref="J121:J122"/>
    <mergeCell ref="K121:K122"/>
    <mergeCell ref="L121:L122"/>
    <mergeCell ref="M121:M122"/>
    <mergeCell ref="N121:N122"/>
    <mergeCell ref="O121:O122"/>
    <mergeCell ref="M113:M114"/>
    <mergeCell ref="N113:N114"/>
    <mergeCell ref="O113:O114"/>
    <mergeCell ref="P113:P114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N115:N116"/>
    <mergeCell ref="O115:O116"/>
    <mergeCell ref="H117:H118"/>
    <mergeCell ref="I117:I118"/>
    <mergeCell ref="J117:J118"/>
    <mergeCell ref="K117:K118"/>
    <mergeCell ref="L117:L118"/>
    <mergeCell ref="M117:M118"/>
    <mergeCell ref="N117:N118"/>
    <mergeCell ref="H115:H116"/>
    <mergeCell ref="I115:I116"/>
    <mergeCell ref="J115:J116"/>
    <mergeCell ref="M111:M112"/>
    <mergeCell ref="N111:N112"/>
    <mergeCell ref="O111:O112"/>
    <mergeCell ref="N107:N108"/>
    <mergeCell ref="O107:O108"/>
    <mergeCell ref="H109:H110"/>
    <mergeCell ref="I109:I110"/>
    <mergeCell ref="J109:J110"/>
    <mergeCell ref="K109:K110"/>
    <mergeCell ref="L109:L110"/>
    <mergeCell ref="M109:M110"/>
    <mergeCell ref="N109:N110"/>
    <mergeCell ref="H107:H108"/>
    <mergeCell ref="I107:I108"/>
    <mergeCell ref="J107:J108"/>
    <mergeCell ref="K107:K108"/>
    <mergeCell ref="L107:L108"/>
    <mergeCell ref="M107:M108"/>
    <mergeCell ref="D104:D123"/>
    <mergeCell ref="E104:E123"/>
    <mergeCell ref="F104:F123"/>
    <mergeCell ref="G104:G123"/>
    <mergeCell ref="H105:H106"/>
    <mergeCell ref="I105:I106"/>
    <mergeCell ref="J105:J106"/>
    <mergeCell ref="K105:K106"/>
    <mergeCell ref="L105:L106"/>
    <mergeCell ref="H103:H104"/>
    <mergeCell ref="J103:J104"/>
    <mergeCell ref="L103:L104"/>
    <mergeCell ref="H111:H112"/>
    <mergeCell ref="I111:I112"/>
    <mergeCell ref="J111:J112"/>
    <mergeCell ref="K111:K112"/>
    <mergeCell ref="L111:L112"/>
    <mergeCell ref="H113:H114"/>
    <mergeCell ref="I113:I114"/>
    <mergeCell ref="J113:J114"/>
    <mergeCell ref="K113:K114"/>
    <mergeCell ref="L113:L114"/>
    <mergeCell ref="K115:K116"/>
    <mergeCell ref="L115:L116"/>
    <mergeCell ref="P99:P100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N103:N104"/>
    <mergeCell ref="O103:O104"/>
    <mergeCell ref="M103:M104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O89:O90"/>
    <mergeCell ref="P89:P90"/>
    <mergeCell ref="D90:D103"/>
    <mergeCell ref="E90:E103"/>
    <mergeCell ref="F90:F103"/>
    <mergeCell ref="G90:G103"/>
    <mergeCell ref="H91:H92"/>
    <mergeCell ref="I91:I92"/>
    <mergeCell ref="J91:J92"/>
    <mergeCell ref="K91:K92"/>
    <mergeCell ref="L91:L92"/>
    <mergeCell ref="M91:M92"/>
    <mergeCell ref="N91:N92"/>
    <mergeCell ref="O91:O92"/>
    <mergeCell ref="P91:P92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D88:D89"/>
    <mergeCell ref="E88:E89"/>
    <mergeCell ref="F88:F89"/>
    <mergeCell ref="G88:G89"/>
    <mergeCell ref="H89:H90"/>
    <mergeCell ref="J89:J90"/>
    <mergeCell ref="L89:L90"/>
    <mergeCell ref="M89:M90"/>
    <mergeCell ref="N89:N90"/>
    <mergeCell ref="N85:N86"/>
    <mergeCell ref="O85:O86"/>
    <mergeCell ref="P85:P86"/>
    <mergeCell ref="H87:H88"/>
    <mergeCell ref="J87:J88"/>
    <mergeCell ref="L87:L88"/>
    <mergeCell ref="M87:M88"/>
    <mergeCell ref="N87:N88"/>
    <mergeCell ref="O87:O88"/>
    <mergeCell ref="P87:P88"/>
    <mergeCell ref="P83:P84"/>
    <mergeCell ref="D84:D87"/>
    <mergeCell ref="E84:E87"/>
    <mergeCell ref="F84:F87"/>
    <mergeCell ref="G84:G87"/>
    <mergeCell ref="H85:H86"/>
    <mergeCell ref="I85:I86"/>
    <mergeCell ref="J85:J86"/>
    <mergeCell ref="K85:K86"/>
    <mergeCell ref="L85:L86"/>
    <mergeCell ref="H83:H84"/>
    <mergeCell ref="J83:J84"/>
    <mergeCell ref="L83:L84"/>
    <mergeCell ref="M83:M84"/>
    <mergeCell ref="N83:N84"/>
    <mergeCell ref="O83:O84"/>
    <mergeCell ref="D80:D83"/>
    <mergeCell ref="E80:E83"/>
    <mergeCell ref="F80:F83"/>
    <mergeCell ref="G80:G83"/>
    <mergeCell ref="H81:H82"/>
    <mergeCell ref="I81:I82"/>
    <mergeCell ref="J81:J82"/>
    <mergeCell ref="M85:M86"/>
    <mergeCell ref="K81:K82"/>
    <mergeCell ref="L81:L82"/>
    <mergeCell ref="M81:M82"/>
    <mergeCell ref="N81:N82"/>
    <mergeCell ref="O81:O82"/>
    <mergeCell ref="P81:P82"/>
    <mergeCell ref="N79:N80"/>
    <mergeCell ref="O79:O80"/>
    <mergeCell ref="P79:P80"/>
    <mergeCell ref="D41:D60"/>
    <mergeCell ref="E41:E60"/>
    <mergeCell ref="F41:F60"/>
    <mergeCell ref="G41:G60"/>
    <mergeCell ref="O71:P74"/>
    <mergeCell ref="D76:D77"/>
    <mergeCell ref="E76:E77"/>
    <mergeCell ref="F76:F77"/>
    <mergeCell ref="G76:G77"/>
    <mergeCell ref="H77:H78"/>
    <mergeCell ref="J77:J78"/>
    <mergeCell ref="L77:L78"/>
    <mergeCell ref="M77:M78"/>
    <mergeCell ref="N77:N78"/>
    <mergeCell ref="O77:O78"/>
    <mergeCell ref="P77:P78"/>
    <mergeCell ref="D78:D79"/>
    <mergeCell ref="E78:E79"/>
    <mergeCell ref="F78:F79"/>
    <mergeCell ref="G78:G79"/>
    <mergeCell ref="H79:H80"/>
    <mergeCell ref="J79:J80"/>
    <mergeCell ref="L79:L80"/>
    <mergeCell ref="M79:M80"/>
    <mergeCell ref="K61:P61"/>
    <mergeCell ref="D71:D75"/>
    <mergeCell ref="E71:E75"/>
    <mergeCell ref="F71:F75"/>
    <mergeCell ref="G71:G75"/>
    <mergeCell ref="H71:I75"/>
    <mergeCell ref="J71:K75"/>
    <mergeCell ref="L71:M75"/>
    <mergeCell ref="N71:N75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N54:N55"/>
    <mergeCell ref="O54:O55"/>
    <mergeCell ref="P54:P55"/>
    <mergeCell ref="H56:H57"/>
    <mergeCell ref="I56:I57"/>
    <mergeCell ref="J56:J57"/>
    <mergeCell ref="K56:K57"/>
    <mergeCell ref="L56:L57"/>
    <mergeCell ref="M56:M57"/>
    <mergeCell ref="N56:N57"/>
    <mergeCell ref="H54:H55"/>
    <mergeCell ref="I54:I55"/>
    <mergeCell ref="J54:J55"/>
    <mergeCell ref="K54:K55"/>
    <mergeCell ref="L54:L55"/>
    <mergeCell ref="M54:M55"/>
    <mergeCell ref="O56:O57"/>
    <mergeCell ref="P56:P57"/>
    <mergeCell ref="P50:P51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J50:J51"/>
    <mergeCell ref="K50:K51"/>
    <mergeCell ref="L50:L51"/>
    <mergeCell ref="M50:M51"/>
    <mergeCell ref="N50:N51"/>
    <mergeCell ref="O50:O51"/>
    <mergeCell ref="H50:H51"/>
    <mergeCell ref="I50:I51"/>
    <mergeCell ref="P46:P47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J46:J47"/>
    <mergeCell ref="K46:K47"/>
    <mergeCell ref="L46:L47"/>
    <mergeCell ref="M46:M47"/>
    <mergeCell ref="N46:N47"/>
    <mergeCell ref="O46:O47"/>
    <mergeCell ref="H46:H47"/>
    <mergeCell ref="I46:I47"/>
    <mergeCell ref="P42:P43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J42:J43"/>
    <mergeCell ref="K42:K43"/>
    <mergeCell ref="L42:L43"/>
    <mergeCell ref="M42:M43"/>
    <mergeCell ref="N42:N43"/>
    <mergeCell ref="O42:O43"/>
    <mergeCell ref="H42:H43"/>
    <mergeCell ref="I42:I43"/>
    <mergeCell ref="P38:P39"/>
    <mergeCell ref="H40:H41"/>
    <mergeCell ref="J40:J41"/>
    <mergeCell ref="L40:L41"/>
    <mergeCell ref="M40:M41"/>
    <mergeCell ref="N40:N41"/>
    <mergeCell ref="O40:O41"/>
    <mergeCell ref="P40:P41"/>
    <mergeCell ref="O36:O37"/>
    <mergeCell ref="P36:P37"/>
    <mergeCell ref="H38:H39"/>
    <mergeCell ref="I38:I39"/>
    <mergeCell ref="J38:J39"/>
    <mergeCell ref="K38:K39"/>
    <mergeCell ref="L38:L39"/>
    <mergeCell ref="M38:M39"/>
    <mergeCell ref="N38:N39"/>
    <mergeCell ref="O38:O39"/>
    <mergeCell ref="N34:N35"/>
    <mergeCell ref="O34:O35"/>
    <mergeCell ref="P34:P35"/>
    <mergeCell ref="H36:H37"/>
    <mergeCell ref="I36:I37"/>
    <mergeCell ref="J36:J37"/>
    <mergeCell ref="K36:K37"/>
    <mergeCell ref="L36:L37"/>
    <mergeCell ref="M36:M37"/>
    <mergeCell ref="N36:N37"/>
    <mergeCell ref="H34:H35"/>
    <mergeCell ref="I34:I35"/>
    <mergeCell ref="J34:J35"/>
    <mergeCell ref="K34:K35"/>
    <mergeCell ref="L34:L35"/>
    <mergeCell ref="M34:M35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N30:N31"/>
    <mergeCell ref="O30:O31"/>
    <mergeCell ref="I28:I29"/>
    <mergeCell ref="J28:J29"/>
    <mergeCell ref="K28:K29"/>
    <mergeCell ref="L28:L29"/>
    <mergeCell ref="M28:M29"/>
    <mergeCell ref="N28:N29"/>
    <mergeCell ref="P30:P31"/>
    <mergeCell ref="L26:L27"/>
    <mergeCell ref="M26:M27"/>
    <mergeCell ref="N26:N27"/>
    <mergeCell ref="O26:O27"/>
    <mergeCell ref="P26:P27"/>
    <mergeCell ref="D27:D40"/>
    <mergeCell ref="E27:E40"/>
    <mergeCell ref="F27:F40"/>
    <mergeCell ref="G27:G40"/>
    <mergeCell ref="H28:H29"/>
    <mergeCell ref="D25:D26"/>
    <mergeCell ref="E25:E26"/>
    <mergeCell ref="F25:F26"/>
    <mergeCell ref="G25:G26"/>
    <mergeCell ref="H26:H27"/>
    <mergeCell ref="J26:J27"/>
    <mergeCell ref="O28:O29"/>
    <mergeCell ref="P28:P29"/>
    <mergeCell ref="H30:H31"/>
    <mergeCell ref="I30:I31"/>
    <mergeCell ref="J30:J31"/>
    <mergeCell ref="K30:K31"/>
    <mergeCell ref="L30:L31"/>
    <mergeCell ref="M30:M31"/>
    <mergeCell ref="L24:L25"/>
    <mergeCell ref="M24:M25"/>
    <mergeCell ref="N24:N25"/>
    <mergeCell ref="O24:O25"/>
    <mergeCell ref="P24:P25"/>
    <mergeCell ref="J22:J23"/>
    <mergeCell ref="K22:K23"/>
    <mergeCell ref="L22:L23"/>
    <mergeCell ref="M22:M23"/>
    <mergeCell ref="N22:N23"/>
    <mergeCell ref="O22:O23"/>
    <mergeCell ref="D21:D24"/>
    <mergeCell ref="E21:E24"/>
    <mergeCell ref="F21:F24"/>
    <mergeCell ref="G21:G24"/>
    <mergeCell ref="H22:H23"/>
    <mergeCell ref="I22:I23"/>
    <mergeCell ref="O18:O19"/>
    <mergeCell ref="P18:P19"/>
    <mergeCell ref="H20:H21"/>
    <mergeCell ref="J20:J21"/>
    <mergeCell ref="L20:L21"/>
    <mergeCell ref="M20:M21"/>
    <mergeCell ref="N20:N21"/>
    <mergeCell ref="O20:O21"/>
    <mergeCell ref="P20:P21"/>
    <mergeCell ref="I18:I19"/>
    <mergeCell ref="J18:J19"/>
    <mergeCell ref="K18:K19"/>
    <mergeCell ref="L18:L19"/>
    <mergeCell ref="M18:M19"/>
    <mergeCell ref="N18:N19"/>
    <mergeCell ref="P22:P23"/>
    <mergeCell ref="H24:H25"/>
    <mergeCell ref="J24:J25"/>
    <mergeCell ref="H16:H17"/>
    <mergeCell ref="J16:J17"/>
    <mergeCell ref="L16:L17"/>
    <mergeCell ref="M16:M17"/>
    <mergeCell ref="N16:N17"/>
    <mergeCell ref="O16:O17"/>
    <mergeCell ref="P16:P17"/>
    <mergeCell ref="D17:D20"/>
    <mergeCell ref="E17:E20"/>
    <mergeCell ref="F17:F20"/>
    <mergeCell ref="G17:G20"/>
    <mergeCell ref="H18:H19"/>
    <mergeCell ref="L8:M12"/>
    <mergeCell ref="N8:N12"/>
    <mergeCell ref="O8:P11"/>
    <mergeCell ref="D13:D14"/>
    <mergeCell ref="E13:E14"/>
    <mergeCell ref="F13:F14"/>
    <mergeCell ref="G13:G14"/>
    <mergeCell ref="H14:H15"/>
    <mergeCell ref="J14:J15"/>
    <mergeCell ref="L14:L15"/>
    <mergeCell ref="D8:D12"/>
    <mergeCell ref="E8:E12"/>
    <mergeCell ref="F8:F12"/>
    <mergeCell ref="G8:G12"/>
    <mergeCell ref="H8:I12"/>
    <mergeCell ref="J8:K12"/>
    <mergeCell ref="M14:M15"/>
    <mergeCell ref="N14:N15"/>
    <mergeCell ref="O14:O15"/>
    <mergeCell ref="P14:P15"/>
    <mergeCell ref="D15:D16"/>
    <mergeCell ref="E15:E16"/>
    <mergeCell ref="F15:F16"/>
    <mergeCell ref="G15:G16"/>
  </mergeCells>
  <phoneticPr fontId="1"/>
  <pageMargins left="0.78740157480314965" right="0.27559055118110237" top="0.59055118110236227" bottom="0.15748031496062992" header="0.78740157480314965" footer="0.15748031496062992"/>
  <pageSetup paperSize="9" scale="81" orientation="portrait" r:id="rId1"/>
  <headerFooter alignWithMargins="0"/>
  <rowBreaks count="1" manualBreakCount="1">
    <brk id="63" max="16" man="1"/>
  </rowBreaks>
  <ignoredErrors>
    <ignoredError sqref="I16:N17 I40 L79:N80 I103 I21:N27 I20:J20 L20:N20 I18:I19 K18:M19 I79:I89 L83:N90 L81:M82 Z15:Z34 Z78:Z97 Z108:Z127 AA15:AA34 AA78:AA97 AA108:AA127 F80:F123 E6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0F0D-2761-4851-9BAB-9B73C1A0628B}">
  <dimension ref="C2:AD11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3" customWidth="1"/>
    <col min="3" max="3" width="2.625" style="22" customWidth="1"/>
    <col min="4" max="5" width="8.625" style="3" customWidth="1"/>
    <col min="6" max="7" width="15.625" style="3" customWidth="1"/>
    <col min="8" max="9" width="2.625" style="3" customWidth="1"/>
    <col min="10" max="18" width="2.625" style="3"/>
    <col min="19" max="30" width="10.625" style="3" customWidth="1"/>
    <col min="31" max="16384" width="2.625" style="3"/>
  </cols>
  <sheetData>
    <row r="2" spans="3:30" ht="16.5" customHeight="1" x14ac:dyDescent="0.15">
      <c r="C2" s="22" t="s">
        <v>118</v>
      </c>
      <c r="D2" s="3" t="s">
        <v>242</v>
      </c>
    </row>
    <row r="3" spans="3:30" ht="16.5" customHeight="1" x14ac:dyDescent="0.15">
      <c r="D3" s="393"/>
      <c r="E3" s="393" t="s">
        <v>226</v>
      </c>
      <c r="F3" s="620" t="s">
        <v>243</v>
      </c>
      <c r="G3" s="621"/>
      <c r="S3" s="393" t="s">
        <v>226</v>
      </c>
      <c r="T3" s="393" t="s">
        <v>355</v>
      </c>
      <c r="U3" s="376" t="s">
        <v>360</v>
      </c>
      <c r="V3" s="376"/>
      <c r="W3" s="376"/>
      <c r="X3" s="376" t="s">
        <v>361</v>
      </c>
      <c r="Y3" s="376"/>
      <c r="Z3" s="376"/>
      <c r="AA3" s="25" t="s">
        <v>362</v>
      </c>
      <c r="AB3" s="25" t="s">
        <v>360</v>
      </c>
      <c r="AC3" s="25" t="s">
        <v>361</v>
      </c>
      <c r="AD3" s="25" t="s">
        <v>362</v>
      </c>
    </row>
    <row r="4" spans="3:30" ht="16.5" customHeight="1" x14ac:dyDescent="0.15">
      <c r="D4" s="393"/>
      <c r="E4" s="393"/>
      <c r="F4" s="622" t="s">
        <v>246</v>
      </c>
      <c r="G4" s="623"/>
      <c r="S4" s="393"/>
      <c r="T4" s="393"/>
      <c r="U4" s="94" t="s">
        <v>354</v>
      </c>
      <c r="V4" s="376" t="s">
        <v>357</v>
      </c>
      <c r="W4" s="376"/>
      <c r="X4" s="94" t="s">
        <v>354</v>
      </c>
      <c r="Y4" s="376" t="s">
        <v>357</v>
      </c>
      <c r="Z4" s="376"/>
      <c r="AA4" s="94" t="s">
        <v>354</v>
      </c>
      <c r="AB4" s="94" t="s">
        <v>354</v>
      </c>
      <c r="AC4" s="94" t="s">
        <v>354</v>
      </c>
      <c r="AD4" s="94" t="s">
        <v>354</v>
      </c>
    </row>
    <row r="5" spans="3:30" ht="16.5" customHeight="1" x14ac:dyDescent="0.15">
      <c r="D5" s="393"/>
      <c r="E5" s="393"/>
      <c r="F5" s="154" t="s">
        <v>244</v>
      </c>
      <c r="G5" s="154" t="s">
        <v>245</v>
      </c>
      <c r="S5" s="393"/>
      <c r="T5" s="393"/>
      <c r="U5" s="171" t="s">
        <v>358</v>
      </c>
      <c r="V5" s="171" t="s">
        <v>358</v>
      </c>
      <c r="W5" s="171" t="s">
        <v>359</v>
      </c>
      <c r="X5" s="171" t="s">
        <v>358</v>
      </c>
      <c r="Y5" s="171" t="s">
        <v>358</v>
      </c>
      <c r="Z5" s="171" t="s">
        <v>359</v>
      </c>
      <c r="AA5" s="171" t="s">
        <v>358</v>
      </c>
      <c r="AB5" s="171" t="s">
        <v>359</v>
      </c>
      <c r="AC5" s="171" t="s">
        <v>359</v>
      </c>
      <c r="AD5" s="171" t="s">
        <v>359</v>
      </c>
    </row>
    <row r="6" spans="3:30" ht="16.5" customHeight="1" x14ac:dyDescent="0.15">
      <c r="D6" s="393" t="s">
        <v>247</v>
      </c>
      <c r="E6" s="37">
        <v>41</v>
      </c>
      <c r="F6" s="155">
        <v>218048</v>
      </c>
      <c r="G6" s="155">
        <v>58945</v>
      </c>
      <c r="S6" s="37">
        <f>+E6</f>
        <v>41</v>
      </c>
      <c r="T6" s="37" t="s">
        <v>356</v>
      </c>
      <c r="U6" s="70">
        <f>+F6</f>
        <v>218048</v>
      </c>
      <c r="V6" s="70">
        <f>+先端支持力!F6</f>
        <v>4778.3999999999996</v>
      </c>
      <c r="W6" s="70"/>
      <c r="X6" s="70">
        <f>+G6</f>
        <v>58945</v>
      </c>
      <c r="Y6" s="70">
        <f>+先端支持力!G6</f>
        <v>11149.5</v>
      </c>
      <c r="Z6" s="70"/>
      <c r="AA6" s="70">
        <f>+X6</f>
        <v>58945</v>
      </c>
      <c r="AB6" s="70">
        <f>+U6</f>
        <v>218048</v>
      </c>
      <c r="AC6" s="70">
        <f>+X6</f>
        <v>58945</v>
      </c>
      <c r="AD6" s="70">
        <f>+AA6</f>
        <v>58945</v>
      </c>
    </row>
    <row r="7" spans="3:30" ht="16.5" customHeight="1" x14ac:dyDescent="0.15">
      <c r="D7" s="393"/>
      <c r="E7" s="37">
        <v>66</v>
      </c>
      <c r="F7" s="155">
        <v>109024</v>
      </c>
      <c r="G7" s="155">
        <v>29473</v>
      </c>
      <c r="S7" s="37">
        <f t="shared" ref="S7:S11" si="0">+E7</f>
        <v>66</v>
      </c>
      <c r="T7" s="37" t="s">
        <v>356</v>
      </c>
      <c r="U7" s="70">
        <f t="shared" ref="U7:U11" si="1">+F7</f>
        <v>109024</v>
      </c>
      <c r="V7" s="70">
        <f>+先端支持力!F7</f>
        <v>2389.1999999999998</v>
      </c>
      <c r="W7" s="70"/>
      <c r="X7" s="70">
        <f t="shared" ref="X7:X11" si="2">+G7</f>
        <v>29473</v>
      </c>
      <c r="Y7" s="70">
        <f>+先端支持力!G7</f>
        <v>5574.8</v>
      </c>
      <c r="Z7" s="70"/>
      <c r="AA7" s="70">
        <f t="shared" ref="AA7:AA11" si="3">+X7</f>
        <v>29473</v>
      </c>
      <c r="AB7" s="70">
        <f t="shared" ref="AB7:AB11" si="4">+U7</f>
        <v>109024</v>
      </c>
      <c r="AC7" s="70">
        <f t="shared" ref="AC7:AC11" si="5">+X7</f>
        <v>29473</v>
      </c>
      <c r="AD7" s="70">
        <f t="shared" ref="AD7:AD11" si="6">+AA7</f>
        <v>29473</v>
      </c>
    </row>
    <row r="8" spans="3:30" ht="16.5" customHeight="1" x14ac:dyDescent="0.15">
      <c r="D8" s="393"/>
      <c r="E8" s="37">
        <v>91</v>
      </c>
      <c r="F8" s="156">
        <f>+F6</f>
        <v>218048</v>
      </c>
      <c r="G8" s="156">
        <f>+G6</f>
        <v>58945</v>
      </c>
      <c r="S8" s="37">
        <f t="shared" si="0"/>
        <v>91</v>
      </c>
      <c r="T8" s="37" t="s">
        <v>356</v>
      </c>
      <c r="U8" s="70">
        <f t="shared" si="1"/>
        <v>218048</v>
      </c>
      <c r="V8" s="70">
        <f>+先端支持力!F8</f>
        <v>4778.3999999999996</v>
      </c>
      <c r="W8" s="70"/>
      <c r="X8" s="70">
        <f t="shared" si="2"/>
        <v>58945</v>
      </c>
      <c r="Y8" s="70">
        <f>+先端支持力!G8</f>
        <v>11149.5</v>
      </c>
      <c r="Z8" s="70"/>
      <c r="AA8" s="70">
        <f t="shared" si="3"/>
        <v>58945</v>
      </c>
      <c r="AB8" s="70">
        <f t="shared" si="4"/>
        <v>218048</v>
      </c>
      <c r="AC8" s="70">
        <f t="shared" si="5"/>
        <v>58945</v>
      </c>
      <c r="AD8" s="70">
        <f t="shared" si="6"/>
        <v>58945</v>
      </c>
    </row>
    <row r="9" spans="3:30" ht="16.5" customHeight="1" x14ac:dyDescent="0.15">
      <c r="D9" s="393" t="s">
        <v>248</v>
      </c>
      <c r="E9" s="37">
        <v>122</v>
      </c>
      <c r="F9" s="155">
        <v>327072</v>
      </c>
      <c r="G9" s="155">
        <v>88418</v>
      </c>
      <c r="S9" s="37">
        <f t="shared" si="0"/>
        <v>122</v>
      </c>
      <c r="T9" s="37" t="s">
        <v>356</v>
      </c>
      <c r="U9" s="70">
        <f t="shared" si="1"/>
        <v>327072</v>
      </c>
      <c r="V9" s="70">
        <f>+先端支持力!F9</f>
        <v>7167.5</v>
      </c>
      <c r="W9" s="70"/>
      <c r="X9" s="70">
        <f t="shared" si="2"/>
        <v>88418</v>
      </c>
      <c r="Y9" s="70">
        <f>+先端支持力!G9</f>
        <v>16724.3</v>
      </c>
      <c r="Z9" s="70"/>
      <c r="AA9" s="70">
        <f t="shared" si="3"/>
        <v>88418</v>
      </c>
      <c r="AB9" s="70">
        <f t="shared" si="4"/>
        <v>327072</v>
      </c>
      <c r="AC9" s="70">
        <f t="shared" si="5"/>
        <v>88418</v>
      </c>
      <c r="AD9" s="70">
        <f t="shared" si="6"/>
        <v>88418</v>
      </c>
    </row>
    <row r="10" spans="3:30" ht="16.5" customHeight="1" x14ac:dyDescent="0.15">
      <c r="D10" s="393"/>
      <c r="E10" s="37">
        <v>147</v>
      </c>
      <c r="F10" s="155">
        <v>218048</v>
      </c>
      <c r="G10" s="155">
        <v>58945</v>
      </c>
      <c r="S10" s="37">
        <f t="shared" si="0"/>
        <v>147</v>
      </c>
      <c r="T10" s="37" t="s">
        <v>356</v>
      </c>
      <c r="U10" s="70">
        <f t="shared" si="1"/>
        <v>218048</v>
      </c>
      <c r="V10" s="70">
        <f>+先端支持力!F10</f>
        <v>4778.3999999999996</v>
      </c>
      <c r="W10" s="70"/>
      <c r="X10" s="70">
        <f t="shared" si="2"/>
        <v>58945</v>
      </c>
      <c r="Y10" s="70">
        <f>+先端支持力!G10</f>
        <v>11149.5</v>
      </c>
      <c r="Z10" s="70"/>
      <c r="AA10" s="70">
        <f t="shared" si="3"/>
        <v>58945</v>
      </c>
      <c r="AB10" s="70">
        <f t="shared" si="4"/>
        <v>218048</v>
      </c>
      <c r="AC10" s="70">
        <f t="shared" si="5"/>
        <v>58945</v>
      </c>
      <c r="AD10" s="70">
        <f t="shared" si="6"/>
        <v>58945</v>
      </c>
    </row>
    <row r="11" spans="3:30" ht="16.5" customHeight="1" x14ac:dyDescent="0.15">
      <c r="D11" s="393"/>
      <c r="E11" s="37">
        <v>172</v>
      </c>
      <c r="F11" s="156">
        <f>+F9</f>
        <v>327072</v>
      </c>
      <c r="G11" s="156">
        <f>+G9</f>
        <v>88418</v>
      </c>
      <c r="S11" s="37">
        <f t="shared" si="0"/>
        <v>172</v>
      </c>
      <c r="T11" s="37" t="s">
        <v>356</v>
      </c>
      <c r="U11" s="70">
        <f t="shared" si="1"/>
        <v>327072</v>
      </c>
      <c r="V11" s="70">
        <f>+先端支持力!F11</f>
        <v>7167.5</v>
      </c>
      <c r="W11" s="70"/>
      <c r="X11" s="70">
        <f t="shared" si="2"/>
        <v>88418</v>
      </c>
      <c r="Y11" s="70">
        <f>+先端支持力!G11</f>
        <v>16724.3</v>
      </c>
      <c r="Z11" s="70"/>
      <c r="AA11" s="70">
        <f t="shared" si="3"/>
        <v>88418</v>
      </c>
      <c r="AB11" s="70">
        <f t="shared" si="4"/>
        <v>327072</v>
      </c>
      <c r="AC11" s="70">
        <f t="shared" si="5"/>
        <v>88418</v>
      </c>
      <c r="AD11" s="70">
        <f t="shared" si="6"/>
        <v>88418</v>
      </c>
    </row>
  </sheetData>
  <mergeCells count="12">
    <mergeCell ref="S3:S5"/>
    <mergeCell ref="T3:T5"/>
    <mergeCell ref="U3:W3"/>
    <mergeCell ref="X3:Z3"/>
    <mergeCell ref="V4:W4"/>
    <mergeCell ref="Y4:Z4"/>
    <mergeCell ref="D9:D11"/>
    <mergeCell ref="F3:G3"/>
    <mergeCell ref="E3:E5"/>
    <mergeCell ref="F4:G4"/>
    <mergeCell ref="D6:D8"/>
    <mergeCell ref="D3:D5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05CF-5D51-4A27-9785-8265E3DC9C99}">
  <dimension ref="B2:O251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3" width="2.625" style="13" customWidth="1"/>
    <col min="4" max="16" width="8.625" style="13" customWidth="1"/>
    <col min="17" max="17" width="2.625" style="13" customWidth="1"/>
    <col min="18" max="20" width="8.625" style="13" customWidth="1"/>
    <col min="21" max="21" width="2.625" style="13" customWidth="1"/>
    <col min="22" max="23" width="8.625" style="13" customWidth="1"/>
    <col min="24" max="16384" width="2.625" style="13"/>
  </cols>
  <sheetData>
    <row r="2" spans="3:14" ht="16.5" customHeight="1" x14ac:dyDescent="0.15">
      <c r="C2" s="21" t="s">
        <v>287</v>
      </c>
      <c r="D2" s="17" t="s">
        <v>323</v>
      </c>
    </row>
    <row r="3" spans="3:14" ht="16.5" customHeight="1" x14ac:dyDescent="0.15">
      <c r="C3" s="21" t="s">
        <v>30</v>
      </c>
      <c r="D3" s="17" t="s">
        <v>303</v>
      </c>
    </row>
    <row r="4" spans="3:14" ht="16.5" customHeight="1" x14ac:dyDescent="0.15">
      <c r="C4" s="21" t="s">
        <v>125</v>
      </c>
      <c r="D4" s="17" t="s">
        <v>210</v>
      </c>
    </row>
    <row r="5" spans="3:14" ht="16.5" customHeight="1" x14ac:dyDescent="0.15">
      <c r="C5" s="21"/>
      <c r="D5" s="17"/>
    </row>
    <row r="6" spans="3:14" ht="16.5" customHeight="1" x14ac:dyDescent="0.15">
      <c r="C6" s="38"/>
      <c r="D6" s="645" t="s">
        <v>325</v>
      </c>
      <c r="E6" s="645"/>
      <c r="F6" s="645"/>
      <c r="G6" s="645"/>
      <c r="H6" s="645"/>
      <c r="I6" s="645"/>
      <c r="J6" s="645"/>
      <c r="K6" s="645"/>
      <c r="L6" s="645"/>
      <c r="M6" s="645"/>
      <c r="N6" s="645"/>
    </row>
    <row r="7" spans="3:14" ht="16.5" customHeight="1" x14ac:dyDescent="0.15">
      <c r="C7" s="21"/>
      <c r="D7" s="17"/>
    </row>
    <row r="8" spans="3:14" ht="16.5" customHeight="1" x14ac:dyDescent="0.15">
      <c r="C8" s="21"/>
      <c r="D8" s="17"/>
    </row>
    <row r="9" spans="3:14" ht="16.5" customHeight="1" x14ac:dyDescent="0.15">
      <c r="C9" s="21"/>
      <c r="D9" s="17"/>
    </row>
    <row r="10" spans="3:14" ht="16.5" customHeight="1" x14ac:dyDescent="0.15">
      <c r="C10" s="21"/>
      <c r="D10" s="17"/>
    </row>
    <row r="11" spans="3:14" ht="16.5" customHeight="1" x14ac:dyDescent="0.15">
      <c r="C11" s="21"/>
      <c r="D11" s="17"/>
    </row>
    <row r="12" spans="3:14" ht="16.5" customHeight="1" x14ac:dyDescent="0.15">
      <c r="C12" s="21"/>
      <c r="D12" s="17"/>
    </row>
    <row r="13" spans="3:14" ht="16.5" customHeight="1" x14ac:dyDescent="0.15">
      <c r="C13" s="21"/>
      <c r="D13" s="17"/>
    </row>
    <row r="14" spans="3:14" ht="16.5" customHeight="1" x14ac:dyDescent="0.15">
      <c r="C14" s="21"/>
      <c r="D14" s="17"/>
    </row>
    <row r="15" spans="3:14" ht="16.5" customHeight="1" x14ac:dyDescent="0.15">
      <c r="C15" s="21"/>
      <c r="D15" s="17"/>
    </row>
    <row r="16" spans="3:14" ht="16.5" customHeight="1" x14ac:dyDescent="0.15">
      <c r="C16" s="21"/>
      <c r="D16" s="17"/>
    </row>
    <row r="17" spans="3:4" ht="16.5" customHeight="1" x14ac:dyDescent="0.15">
      <c r="C17" s="21"/>
      <c r="D17" s="17"/>
    </row>
    <row r="18" spans="3:4" ht="16.5" customHeight="1" x14ac:dyDescent="0.15">
      <c r="C18" s="21"/>
      <c r="D18" s="17"/>
    </row>
    <row r="19" spans="3:4" ht="16.5" customHeight="1" x14ac:dyDescent="0.15">
      <c r="C19" s="21"/>
      <c r="D19" s="17"/>
    </row>
    <row r="20" spans="3:4" ht="16.5" customHeight="1" x14ac:dyDescent="0.15">
      <c r="C20" s="21"/>
      <c r="D20" s="17"/>
    </row>
    <row r="21" spans="3:4" ht="16.5" customHeight="1" x14ac:dyDescent="0.15">
      <c r="C21" s="21"/>
      <c r="D21" s="17"/>
    </row>
    <row r="22" spans="3:4" ht="16.5" customHeight="1" x14ac:dyDescent="0.15">
      <c r="C22" s="21"/>
      <c r="D22" s="17"/>
    </row>
    <row r="23" spans="3:4" ht="16.5" customHeight="1" x14ac:dyDescent="0.15">
      <c r="C23" s="21"/>
      <c r="D23" s="17"/>
    </row>
    <row r="24" spans="3:4" ht="16.5" customHeight="1" x14ac:dyDescent="0.15">
      <c r="C24" s="21"/>
      <c r="D24" s="17"/>
    </row>
    <row r="25" spans="3:4" ht="16.5" customHeight="1" x14ac:dyDescent="0.15">
      <c r="C25" s="21"/>
      <c r="D25" s="17"/>
    </row>
    <row r="26" spans="3:4" ht="16.5" customHeight="1" x14ac:dyDescent="0.15">
      <c r="C26" s="21"/>
      <c r="D26" s="17"/>
    </row>
    <row r="27" spans="3:4" ht="16.5" customHeight="1" x14ac:dyDescent="0.15">
      <c r="C27" s="21"/>
      <c r="D27" s="17"/>
    </row>
    <row r="28" spans="3:4" ht="16.5" customHeight="1" x14ac:dyDescent="0.15">
      <c r="C28" s="21"/>
      <c r="D28" s="17"/>
    </row>
    <row r="29" spans="3:4" ht="16.5" customHeight="1" x14ac:dyDescent="0.15">
      <c r="C29" s="21"/>
      <c r="D29" s="17"/>
    </row>
    <row r="30" spans="3:4" ht="16.5" customHeight="1" x14ac:dyDescent="0.15">
      <c r="C30" s="21"/>
      <c r="D30" s="17"/>
    </row>
    <row r="31" spans="3:4" ht="16.5" customHeight="1" x14ac:dyDescent="0.15">
      <c r="C31" s="21"/>
      <c r="D31" s="17"/>
    </row>
    <row r="32" spans="3:4" ht="16.5" customHeight="1" x14ac:dyDescent="0.15">
      <c r="C32" s="21"/>
      <c r="D32" s="17"/>
    </row>
    <row r="33" spans="3:4" ht="16.5" customHeight="1" x14ac:dyDescent="0.15">
      <c r="C33" s="21"/>
      <c r="D33" s="17"/>
    </row>
    <row r="34" spans="3:4" ht="16.5" customHeight="1" x14ac:dyDescent="0.15">
      <c r="C34" s="21"/>
      <c r="D34" s="17"/>
    </row>
    <row r="35" spans="3:4" ht="16.5" customHeight="1" x14ac:dyDescent="0.15">
      <c r="C35" s="21"/>
      <c r="D35" s="17"/>
    </row>
    <row r="36" spans="3:4" ht="16.5" customHeight="1" x14ac:dyDescent="0.15">
      <c r="C36" s="21"/>
      <c r="D36" s="17"/>
    </row>
    <row r="37" spans="3:4" ht="16.5" customHeight="1" x14ac:dyDescent="0.15">
      <c r="C37" s="21"/>
      <c r="D37" s="17"/>
    </row>
    <row r="38" spans="3:4" ht="16.5" customHeight="1" x14ac:dyDescent="0.15">
      <c r="C38" s="21"/>
      <c r="D38" s="17"/>
    </row>
    <row r="39" spans="3:4" ht="16.5" customHeight="1" x14ac:dyDescent="0.15">
      <c r="C39" s="21"/>
      <c r="D39" s="17"/>
    </row>
    <row r="40" spans="3:4" ht="16.5" customHeight="1" x14ac:dyDescent="0.15">
      <c r="C40" s="21"/>
      <c r="D40" s="17"/>
    </row>
    <row r="41" spans="3:4" ht="16.5" customHeight="1" x14ac:dyDescent="0.15">
      <c r="C41" s="21"/>
      <c r="D41" s="17"/>
    </row>
    <row r="42" spans="3:4" ht="16.5" customHeight="1" x14ac:dyDescent="0.15">
      <c r="C42" s="21"/>
      <c r="D42" s="17"/>
    </row>
    <row r="43" spans="3:4" ht="16.5" customHeight="1" x14ac:dyDescent="0.15">
      <c r="C43" s="21"/>
      <c r="D43" s="17"/>
    </row>
    <row r="44" spans="3:4" ht="16.5" customHeight="1" x14ac:dyDescent="0.15">
      <c r="C44" s="21"/>
      <c r="D44" s="17"/>
    </row>
    <row r="45" spans="3:4" ht="16.5" customHeight="1" x14ac:dyDescent="0.15">
      <c r="C45" s="21"/>
      <c r="D45" s="17"/>
    </row>
    <row r="46" spans="3:4" ht="16.5" customHeight="1" x14ac:dyDescent="0.15">
      <c r="C46" s="21"/>
      <c r="D46" s="17"/>
    </row>
    <row r="47" spans="3:4" ht="16.5" customHeight="1" x14ac:dyDescent="0.15">
      <c r="C47" s="21"/>
      <c r="D47" s="17"/>
    </row>
    <row r="48" spans="3:4" ht="16.5" customHeight="1" x14ac:dyDescent="0.15">
      <c r="C48" s="21"/>
      <c r="D48" s="17"/>
    </row>
    <row r="49" spans="3:6" ht="16.5" customHeight="1" x14ac:dyDescent="0.15">
      <c r="C49" s="21"/>
      <c r="D49" s="17"/>
    </row>
    <row r="50" spans="3:6" ht="16.5" customHeight="1" x14ac:dyDescent="0.15">
      <c r="C50" s="21"/>
      <c r="D50" s="17"/>
    </row>
    <row r="51" spans="3:6" ht="16.5" customHeight="1" x14ac:dyDescent="0.15">
      <c r="C51" s="21"/>
      <c r="D51" s="17"/>
    </row>
    <row r="52" spans="3:6" ht="16.5" customHeight="1" x14ac:dyDescent="0.15">
      <c r="C52" s="21"/>
      <c r="D52" s="17"/>
    </row>
    <row r="53" spans="3:6" ht="16.5" customHeight="1" x14ac:dyDescent="0.15">
      <c r="C53" s="21"/>
      <c r="D53" s="17"/>
    </row>
    <row r="54" spans="3:6" ht="16.5" customHeight="1" x14ac:dyDescent="0.15">
      <c r="C54" s="21"/>
      <c r="D54" s="17"/>
    </row>
    <row r="55" spans="3:6" ht="16.5" customHeight="1" x14ac:dyDescent="0.15">
      <c r="C55" s="21"/>
      <c r="D55" s="17"/>
    </row>
    <row r="56" spans="3:6" ht="16.5" customHeight="1" x14ac:dyDescent="0.15">
      <c r="C56" s="21"/>
      <c r="D56" s="17"/>
    </row>
    <row r="57" spans="3:6" ht="16.5" customHeight="1" x14ac:dyDescent="0.15">
      <c r="C57" s="21"/>
      <c r="D57" s="17"/>
    </row>
    <row r="58" spans="3:6" ht="16.5" customHeight="1" x14ac:dyDescent="0.15">
      <c r="C58" s="21"/>
      <c r="D58" s="17"/>
    </row>
    <row r="59" spans="3:6" ht="16.5" customHeight="1" x14ac:dyDescent="0.15">
      <c r="C59" s="21"/>
      <c r="D59" s="17"/>
    </row>
    <row r="60" spans="3:6" ht="16.5" customHeight="1" x14ac:dyDescent="0.15">
      <c r="C60" s="21"/>
      <c r="D60" s="17"/>
    </row>
    <row r="61" spans="3:6" ht="16.5" customHeight="1" x14ac:dyDescent="0.15">
      <c r="C61" s="21"/>
      <c r="D61" s="17"/>
    </row>
    <row r="62" spans="3:6" ht="16.5" customHeight="1" x14ac:dyDescent="0.15">
      <c r="C62" s="21"/>
      <c r="D62" s="17"/>
    </row>
    <row r="63" spans="3:6" ht="16.5" customHeight="1" x14ac:dyDescent="0.15">
      <c r="C63" s="21" t="s">
        <v>215</v>
      </c>
      <c r="D63" s="17" t="s">
        <v>324</v>
      </c>
    </row>
    <row r="64" spans="3:6" s="17" customFormat="1" ht="16.5" customHeight="1" x14ac:dyDescent="0.15">
      <c r="C64" s="18"/>
      <c r="D64" s="17" t="s">
        <v>202</v>
      </c>
      <c r="E64" s="73">
        <v>1.3</v>
      </c>
      <c r="F64" s="17" t="s">
        <v>29</v>
      </c>
    </row>
    <row r="65" spans="3:13" s="17" customFormat="1" ht="16.5" customHeight="1" x14ac:dyDescent="0.15">
      <c r="C65" s="18"/>
      <c r="D65" s="17" t="s">
        <v>207</v>
      </c>
      <c r="E65" s="73">
        <v>31</v>
      </c>
      <c r="F65" s="17" t="s">
        <v>29</v>
      </c>
    </row>
    <row r="66" spans="3:13" ht="16.5" customHeight="1" x14ac:dyDescent="0.15">
      <c r="D66" s="376" t="s">
        <v>199</v>
      </c>
      <c r="E66" s="628" t="s">
        <v>302</v>
      </c>
      <c r="F66" s="631" t="s">
        <v>229</v>
      </c>
      <c r="G66" s="385" t="s">
        <v>201</v>
      </c>
      <c r="H66" s="386"/>
      <c r="I66" s="387"/>
      <c r="J66" s="549" t="s">
        <v>306</v>
      </c>
      <c r="K66" s="549" t="s">
        <v>304</v>
      </c>
      <c r="L66" s="624" t="s">
        <v>288</v>
      </c>
      <c r="M66" s="552" t="s">
        <v>305</v>
      </c>
    </row>
    <row r="67" spans="3:13" ht="16.5" customHeight="1" x14ac:dyDescent="0.15">
      <c r="D67" s="376"/>
      <c r="E67" s="629"/>
      <c r="F67" s="631"/>
      <c r="G67" s="388"/>
      <c r="H67" s="289"/>
      <c r="I67" s="389"/>
      <c r="J67" s="550"/>
      <c r="K67" s="550"/>
      <c r="L67" s="624"/>
      <c r="M67" s="553"/>
    </row>
    <row r="68" spans="3:13" ht="16.5" customHeight="1" x14ac:dyDescent="0.15">
      <c r="D68" s="376"/>
      <c r="E68" s="629"/>
      <c r="F68" s="631"/>
      <c r="G68" s="388"/>
      <c r="H68" s="289"/>
      <c r="I68" s="389"/>
      <c r="J68" s="550"/>
      <c r="K68" s="550"/>
      <c r="L68" s="624"/>
      <c r="M68" s="553"/>
    </row>
    <row r="69" spans="3:13" ht="16.5" customHeight="1" x14ac:dyDescent="0.15">
      <c r="D69" s="376"/>
      <c r="E69" s="629"/>
      <c r="F69" s="631"/>
      <c r="G69" s="388"/>
      <c r="H69" s="289"/>
      <c r="I69" s="389"/>
      <c r="J69" s="550"/>
      <c r="K69" s="550"/>
      <c r="L69" s="624"/>
      <c r="M69" s="553"/>
    </row>
    <row r="70" spans="3:13" ht="16.5" customHeight="1" x14ac:dyDescent="0.15">
      <c r="D70" s="376"/>
      <c r="E70" s="432"/>
      <c r="F70" s="631"/>
      <c r="G70" s="417"/>
      <c r="H70" s="418"/>
      <c r="I70" s="419"/>
      <c r="J70" s="551"/>
      <c r="K70" s="551"/>
      <c r="L70" s="624"/>
      <c r="M70" s="554"/>
    </row>
    <row r="71" spans="3:13" ht="16.5" customHeight="1" x14ac:dyDescent="0.15">
      <c r="D71" s="376" t="s">
        <v>16</v>
      </c>
      <c r="E71" s="510" t="s">
        <v>292</v>
      </c>
      <c r="F71" s="625">
        <v>3.3</v>
      </c>
      <c r="G71" s="636">
        <v>18</v>
      </c>
      <c r="H71" s="636">
        <v>43</v>
      </c>
      <c r="I71" s="636">
        <v>68</v>
      </c>
      <c r="J71" s="144">
        <v>0</v>
      </c>
      <c r="K71" s="145"/>
      <c r="L71" s="146">
        <v>688</v>
      </c>
      <c r="M71" s="141"/>
    </row>
    <row r="72" spans="3:13" ht="16.5" customHeight="1" x14ac:dyDescent="0.15">
      <c r="D72" s="376"/>
      <c r="E72" s="510"/>
      <c r="F72" s="625"/>
      <c r="G72" s="637"/>
      <c r="H72" s="637"/>
      <c r="I72" s="637"/>
      <c r="J72" s="632">
        <f>+E64</f>
        <v>1.3</v>
      </c>
      <c r="K72" s="147"/>
      <c r="L72" s="626">
        <f>+L71+(L76-L71)/F71*(J72-J71)</f>
        <v>816.4636363636364</v>
      </c>
      <c r="M72" s="141"/>
    </row>
    <row r="73" spans="3:13" ht="16.5" customHeight="1" x14ac:dyDescent="0.15">
      <c r="D73" s="376"/>
      <c r="E73" s="510"/>
      <c r="F73" s="625"/>
      <c r="G73" s="577">
        <f>+G71+1</f>
        <v>19</v>
      </c>
      <c r="H73" s="577">
        <f>+H71+1</f>
        <v>44</v>
      </c>
      <c r="I73" s="577">
        <f>+I71+1</f>
        <v>69</v>
      </c>
      <c r="J73" s="633"/>
      <c r="K73" s="147"/>
      <c r="L73" s="627"/>
      <c r="M73" s="141"/>
    </row>
    <row r="74" spans="3:13" ht="16.5" customHeight="1" x14ac:dyDescent="0.15">
      <c r="D74" s="376"/>
      <c r="E74" s="510"/>
      <c r="F74" s="625"/>
      <c r="G74" s="579"/>
      <c r="H74" s="579"/>
      <c r="I74" s="579"/>
      <c r="J74" s="634">
        <f>+J72+E64</f>
        <v>2.6</v>
      </c>
      <c r="K74" s="148"/>
      <c r="L74" s="626">
        <f>+L71+(L76-L71)/F71*(J74-J71)</f>
        <v>944.92727272727279</v>
      </c>
      <c r="M74" s="141"/>
    </row>
    <row r="75" spans="3:13" ht="16.5" customHeight="1" x14ac:dyDescent="0.15">
      <c r="D75" s="376"/>
      <c r="E75" s="510"/>
      <c r="F75" s="625"/>
      <c r="G75" s="577">
        <f>+G73+1</f>
        <v>20</v>
      </c>
      <c r="H75" s="577">
        <f>+H73+1</f>
        <v>45</v>
      </c>
      <c r="I75" s="577">
        <f>+I73+1</f>
        <v>70</v>
      </c>
      <c r="J75" s="635"/>
      <c r="K75" s="574">
        <f>+J76-J74</f>
        <v>0.69999999999999973</v>
      </c>
      <c r="L75" s="627"/>
      <c r="M75" s="72">
        <f>0.5*((L74+L76)*K75+(L77+L78)*K77)/(K75+K77)</f>
        <v>1253.4943249058636</v>
      </c>
    </row>
    <row r="76" spans="3:13" ht="16.5" customHeight="1" x14ac:dyDescent="0.15">
      <c r="D76" s="376"/>
      <c r="E76" s="510"/>
      <c r="F76" s="625"/>
      <c r="G76" s="578"/>
      <c r="H76" s="578"/>
      <c r="I76" s="578"/>
      <c r="J76" s="79">
        <f>+F71</f>
        <v>3.3</v>
      </c>
      <c r="K76" s="576"/>
      <c r="L76" s="146">
        <v>1014.1</v>
      </c>
      <c r="M76" s="93"/>
    </row>
    <row r="77" spans="3:13" ht="16.5" customHeight="1" x14ac:dyDescent="0.15">
      <c r="D77" s="376" t="s">
        <v>17</v>
      </c>
      <c r="E77" s="510" t="s">
        <v>292</v>
      </c>
      <c r="F77" s="625">
        <v>1.3</v>
      </c>
      <c r="G77" s="578"/>
      <c r="H77" s="578"/>
      <c r="I77" s="578"/>
      <c r="J77" s="144">
        <f>+J76</f>
        <v>3.3</v>
      </c>
      <c r="K77" s="574">
        <f>+J78-J77</f>
        <v>0.60000000000000053</v>
      </c>
      <c r="L77" s="146">
        <v>1539.1</v>
      </c>
      <c r="M77" s="93"/>
    </row>
    <row r="78" spans="3:13" ht="16.5" customHeight="1" x14ac:dyDescent="0.15">
      <c r="D78" s="376"/>
      <c r="E78" s="510"/>
      <c r="F78" s="625"/>
      <c r="G78" s="579"/>
      <c r="H78" s="579"/>
      <c r="I78" s="579"/>
      <c r="J78" s="632">
        <f>+J74+E64</f>
        <v>3.9000000000000004</v>
      </c>
      <c r="K78" s="576"/>
      <c r="L78" s="626">
        <f>+L77+(L80-L77)/F77*(J78-J77)</f>
        <v>1607.176923076923</v>
      </c>
      <c r="M78" s="72">
        <f>+M75</f>
        <v>1253.4943249058636</v>
      </c>
    </row>
    <row r="79" spans="3:13" ht="16.5" customHeight="1" x14ac:dyDescent="0.15">
      <c r="D79" s="376"/>
      <c r="E79" s="510"/>
      <c r="F79" s="625"/>
      <c r="G79" s="393">
        <f>+G75+1</f>
        <v>21</v>
      </c>
      <c r="H79" s="393">
        <f>+H75+1</f>
        <v>46</v>
      </c>
      <c r="I79" s="393">
        <f>+I75+1</f>
        <v>71</v>
      </c>
      <c r="J79" s="633"/>
      <c r="K79" s="574">
        <f>+J80-J78</f>
        <v>0.69999999999999929</v>
      </c>
      <c r="L79" s="627"/>
      <c r="M79" s="72">
        <f>0.5*((L78+L80)*K79+(L81+L82)*K81)/(K79+K81)</f>
        <v>1094.4784023668633</v>
      </c>
    </row>
    <row r="80" spans="3:13" ht="16.5" customHeight="1" x14ac:dyDescent="0.15">
      <c r="D80" s="376"/>
      <c r="E80" s="510"/>
      <c r="F80" s="625"/>
      <c r="G80" s="393"/>
      <c r="H80" s="393"/>
      <c r="I80" s="393"/>
      <c r="J80" s="79">
        <f>+J77+F77</f>
        <v>4.5999999999999996</v>
      </c>
      <c r="K80" s="576"/>
      <c r="L80" s="146">
        <v>1686.6</v>
      </c>
      <c r="M80" s="141"/>
    </row>
    <row r="81" spans="4:13" ht="16.5" customHeight="1" x14ac:dyDescent="0.15">
      <c r="D81" s="376" t="s">
        <v>18</v>
      </c>
      <c r="E81" s="630" t="s">
        <v>300</v>
      </c>
      <c r="F81" s="625">
        <v>2.9</v>
      </c>
      <c r="G81" s="393"/>
      <c r="H81" s="393"/>
      <c r="I81" s="393"/>
      <c r="J81" s="144">
        <f>+J80</f>
        <v>4.5999999999999996</v>
      </c>
      <c r="K81" s="574">
        <f>+J82-J81</f>
        <v>0.60000000000000053</v>
      </c>
      <c r="L81" s="146">
        <v>450</v>
      </c>
      <c r="M81" s="141"/>
    </row>
    <row r="82" spans="4:13" ht="16.5" customHeight="1" x14ac:dyDescent="0.15">
      <c r="D82" s="376"/>
      <c r="E82" s="630"/>
      <c r="F82" s="625"/>
      <c r="G82" s="393"/>
      <c r="H82" s="393"/>
      <c r="I82" s="393"/>
      <c r="J82" s="632">
        <f>+J78+E64</f>
        <v>5.2</v>
      </c>
      <c r="K82" s="576"/>
      <c r="L82" s="626">
        <f>+L81+(L86-L81)/F81*(J82-J81)</f>
        <v>450</v>
      </c>
      <c r="M82" s="72">
        <f>+M79</f>
        <v>1094.4784023668633</v>
      </c>
    </row>
    <row r="83" spans="4:13" ht="16.5" customHeight="1" x14ac:dyDescent="0.15">
      <c r="D83" s="376"/>
      <c r="E83" s="630"/>
      <c r="F83" s="625"/>
      <c r="G83" s="577">
        <f>+G79+1</f>
        <v>22</v>
      </c>
      <c r="H83" s="577">
        <f t="shared" ref="H83:I83" si="0">+H79+1</f>
        <v>47</v>
      </c>
      <c r="I83" s="577">
        <f t="shared" si="0"/>
        <v>72</v>
      </c>
      <c r="J83" s="633"/>
      <c r="K83" s="147"/>
      <c r="L83" s="627"/>
      <c r="M83" s="141"/>
    </row>
    <row r="84" spans="4:13" ht="16.5" customHeight="1" x14ac:dyDescent="0.15">
      <c r="D84" s="376"/>
      <c r="E84" s="630"/>
      <c r="F84" s="625"/>
      <c r="G84" s="579"/>
      <c r="H84" s="579"/>
      <c r="I84" s="579"/>
      <c r="J84" s="632">
        <f>+J82+E64</f>
        <v>6.5</v>
      </c>
      <c r="K84" s="147"/>
      <c r="L84" s="626">
        <f>+L81+(L86-L81)/F81*(J84-J81)</f>
        <v>450</v>
      </c>
      <c r="M84" s="141"/>
    </row>
    <row r="85" spans="4:13" ht="16.5" customHeight="1" x14ac:dyDescent="0.15">
      <c r="D85" s="376"/>
      <c r="E85" s="630"/>
      <c r="F85" s="625"/>
      <c r="G85" s="577">
        <f>+G83+1</f>
        <v>23</v>
      </c>
      <c r="H85" s="577">
        <f>+H83+1</f>
        <v>48</v>
      </c>
      <c r="I85" s="577">
        <f>+I83+1</f>
        <v>73</v>
      </c>
      <c r="J85" s="633"/>
      <c r="K85" s="574">
        <f>+J86-J84</f>
        <v>1</v>
      </c>
      <c r="L85" s="627"/>
      <c r="M85" s="72">
        <f>0.5*((L84+L86)*K85+(L87+L88)*K87)/(K85+K87)</f>
        <v>752.79230769230753</v>
      </c>
    </row>
    <row r="86" spans="4:13" ht="16.5" customHeight="1" x14ac:dyDescent="0.15">
      <c r="D86" s="376"/>
      <c r="E86" s="630"/>
      <c r="F86" s="625"/>
      <c r="G86" s="578"/>
      <c r="H86" s="578"/>
      <c r="I86" s="578"/>
      <c r="J86" s="79">
        <f>+J81+F81</f>
        <v>7.5</v>
      </c>
      <c r="K86" s="576"/>
      <c r="L86" s="146">
        <v>450</v>
      </c>
      <c r="M86" s="141"/>
    </row>
    <row r="87" spans="4:13" ht="16.5" customHeight="1" x14ac:dyDescent="0.15">
      <c r="D87" s="376" t="s">
        <v>19</v>
      </c>
      <c r="E87" s="510" t="s">
        <v>292</v>
      </c>
      <c r="F87" s="625">
        <v>2.6</v>
      </c>
      <c r="G87" s="578"/>
      <c r="H87" s="578"/>
      <c r="I87" s="578"/>
      <c r="J87" s="144">
        <f>+J86</f>
        <v>7.5</v>
      </c>
      <c r="K87" s="574">
        <f>+J88-J87</f>
        <v>0.29999999999999982</v>
      </c>
      <c r="L87" s="146">
        <v>1746.5</v>
      </c>
      <c r="M87" s="141"/>
    </row>
    <row r="88" spans="4:13" ht="16.5" customHeight="1" x14ac:dyDescent="0.15">
      <c r="D88" s="376"/>
      <c r="E88" s="510"/>
      <c r="F88" s="625"/>
      <c r="G88" s="579"/>
      <c r="H88" s="579"/>
      <c r="I88" s="579"/>
      <c r="J88" s="632">
        <f>+J84+E64</f>
        <v>7.8</v>
      </c>
      <c r="K88" s="576"/>
      <c r="L88" s="626">
        <f>+L87+(L92-L87)/F87*(J88-J87)</f>
        <v>1777.7</v>
      </c>
      <c r="M88" s="72">
        <f>+M85</f>
        <v>752.79230769230753</v>
      </c>
    </row>
    <row r="89" spans="4:13" ht="16.5" customHeight="1" x14ac:dyDescent="0.15">
      <c r="D89" s="376"/>
      <c r="E89" s="510"/>
      <c r="F89" s="625"/>
      <c r="G89" s="393">
        <f>+G85+1</f>
        <v>24</v>
      </c>
      <c r="H89" s="393">
        <f>+H85+1</f>
        <v>49</v>
      </c>
      <c r="I89" s="393">
        <f>+I85+1</f>
        <v>74</v>
      </c>
      <c r="J89" s="633"/>
      <c r="K89" s="147"/>
      <c r="L89" s="627"/>
      <c r="M89" s="141"/>
    </row>
    <row r="90" spans="4:13" ht="16.5" customHeight="1" x14ac:dyDescent="0.15">
      <c r="D90" s="376"/>
      <c r="E90" s="510"/>
      <c r="F90" s="625"/>
      <c r="G90" s="393"/>
      <c r="H90" s="393"/>
      <c r="I90" s="393"/>
      <c r="J90" s="632">
        <f>+J88+E64</f>
        <v>9.1</v>
      </c>
      <c r="K90" s="147"/>
      <c r="L90" s="626">
        <f>+L87+(L92-L87)/F87*(J90-J87)</f>
        <v>1912.9</v>
      </c>
      <c r="M90" s="141"/>
    </row>
    <row r="91" spans="4:13" ht="16.5" customHeight="1" x14ac:dyDescent="0.15">
      <c r="D91" s="376"/>
      <c r="E91" s="510"/>
      <c r="F91" s="625"/>
      <c r="G91" s="577">
        <f>+G89+1</f>
        <v>25</v>
      </c>
      <c r="H91" s="577">
        <f t="shared" ref="H91:I91" si="1">+H89+1</f>
        <v>50</v>
      </c>
      <c r="I91" s="577">
        <f t="shared" si="1"/>
        <v>75</v>
      </c>
      <c r="J91" s="633"/>
      <c r="K91" s="574">
        <f>+J92-J90</f>
        <v>1</v>
      </c>
      <c r="L91" s="627"/>
      <c r="M91" s="72">
        <f>0.5*((L90+L92)*K91+(L93+L94)*K93)/(K91+K93)</f>
        <v>1914.3846153846152</v>
      </c>
    </row>
    <row r="92" spans="4:13" ht="16.5" customHeight="1" x14ac:dyDescent="0.15">
      <c r="D92" s="376"/>
      <c r="E92" s="510"/>
      <c r="F92" s="625"/>
      <c r="G92" s="578"/>
      <c r="H92" s="578"/>
      <c r="I92" s="578"/>
      <c r="J92" s="79">
        <f>+J87+F87</f>
        <v>10.1</v>
      </c>
      <c r="K92" s="576"/>
      <c r="L92" s="146">
        <v>2016.9</v>
      </c>
      <c r="M92" s="141"/>
    </row>
    <row r="93" spans="4:13" ht="16.5" customHeight="1" x14ac:dyDescent="0.15">
      <c r="D93" s="376" t="s">
        <v>203</v>
      </c>
      <c r="E93" s="630" t="s">
        <v>300</v>
      </c>
      <c r="F93" s="625">
        <v>0.6</v>
      </c>
      <c r="G93" s="578"/>
      <c r="H93" s="578"/>
      <c r="I93" s="578"/>
      <c r="J93" s="144">
        <f>+J92</f>
        <v>10.1</v>
      </c>
      <c r="K93" s="574">
        <f>+J94-J93</f>
        <v>0.30000000000000071</v>
      </c>
      <c r="L93" s="146">
        <v>1746</v>
      </c>
      <c r="M93" s="141"/>
    </row>
    <row r="94" spans="4:13" ht="16.5" customHeight="1" x14ac:dyDescent="0.15">
      <c r="D94" s="376"/>
      <c r="E94" s="630"/>
      <c r="F94" s="625"/>
      <c r="G94" s="579"/>
      <c r="H94" s="579"/>
      <c r="I94" s="579"/>
      <c r="J94" s="632">
        <f>+J90+E64</f>
        <v>10.4</v>
      </c>
      <c r="K94" s="576"/>
      <c r="L94" s="626">
        <f>+L93+(L96-L93)/F93*(J94-J93)</f>
        <v>1746</v>
      </c>
      <c r="M94" s="72">
        <f>+M91</f>
        <v>1914.3846153846152</v>
      </c>
    </row>
    <row r="95" spans="4:13" ht="16.5" customHeight="1" x14ac:dyDescent="0.15">
      <c r="D95" s="376"/>
      <c r="E95" s="630"/>
      <c r="F95" s="625"/>
      <c r="G95" s="577">
        <f>+G91+1</f>
        <v>26</v>
      </c>
      <c r="H95" s="577">
        <f t="shared" ref="H95:I95" si="2">+H91+1</f>
        <v>51</v>
      </c>
      <c r="I95" s="577">
        <f t="shared" si="2"/>
        <v>76</v>
      </c>
      <c r="J95" s="633"/>
      <c r="K95" s="574">
        <f>+J96-J94</f>
        <v>0.29999999999999893</v>
      </c>
      <c r="L95" s="627"/>
      <c r="M95" s="72">
        <f>0.5*((L94+L96)*K95+(L97+L98)*K97)/(K95+K97)</f>
        <v>2104.0040485829968</v>
      </c>
    </row>
    <row r="96" spans="4:13" ht="16.5" customHeight="1" x14ac:dyDescent="0.15">
      <c r="D96" s="376"/>
      <c r="E96" s="630"/>
      <c r="F96" s="625"/>
      <c r="G96" s="578"/>
      <c r="H96" s="578"/>
      <c r="I96" s="578"/>
      <c r="J96" s="79">
        <f>+J93+F93</f>
        <v>10.7</v>
      </c>
      <c r="K96" s="576"/>
      <c r="L96" s="146">
        <v>1746</v>
      </c>
      <c r="M96" s="141"/>
    </row>
    <row r="97" spans="4:13" ht="16.5" customHeight="1" x14ac:dyDescent="0.15">
      <c r="D97" s="376" t="s">
        <v>204</v>
      </c>
      <c r="E97" s="510" t="s">
        <v>292</v>
      </c>
      <c r="F97" s="625">
        <v>9.5</v>
      </c>
      <c r="G97" s="578"/>
      <c r="H97" s="578"/>
      <c r="I97" s="578"/>
      <c r="J97" s="144">
        <f>+J96</f>
        <v>10.7</v>
      </c>
      <c r="K97" s="574">
        <f>+J98-J97</f>
        <v>1.0000000000000018</v>
      </c>
      <c r="L97" s="146">
        <v>2157.1</v>
      </c>
      <c r="M97" s="141"/>
    </row>
    <row r="98" spans="4:13" ht="16.5" customHeight="1" x14ac:dyDescent="0.15">
      <c r="D98" s="376"/>
      <c r="E98" s="510"/>
      <c r="F98" s="625"/>
      <c r="G98" s="579"/>
      <c r="H98" s="579"/>
      <c r="I98" s="579"/>
      <c r="J98" s="632">
        <f>+J94+E64</f>
        <v>11.700000000000001</v>
      </c>
      <c r="K98" s="576"/>
      <c r="L98" s="626">
        <f>+L97+(L112-L97)/F97*(J98-J97)</f>
        <v>2265.7105263157896</v>
      </c>
      <c r="M98" s="72">
        <f>+M95</f>
        <v>2104.0040485829968</v>
      </c>
    </row>
    <row r="99" spans="4:13" ht="16.5" customHeight="1" x14ac:dyDescent="0.15">
      <c r="D99" s="376"/>
      <c r="E99" s="510"/>
      <c r="F99" s="625"/>
      <c r="G99" s="577">
        <f>+G95+1</f>
        <v>27</v>
      </c>
      <c r="H99" s="577">
        <f t="shared" ref="H99:I99" si="3">+H95+1</f>
        <v>52</v>
      </c>
      <c r="I99" s="577">
        <f t="shared" si="3"/>
        <v>77</v>
      </c>
      <c r="J99" s="633"/>
      <c r="K99" s="147"/>
      <c r="L99" s="627"/>
      <c r="M99" s="141"/>
    </row>
    <row r="100" spans="4:13" ht="16.5" customHeight="1" x14ac:dyDescent="0.15">
      <c r="D100" s="376"/>
      <c r="E100" s="510"/>
      <c r="F100" s="625"/>
      <c r="G100" s="579"/>
      <c r="H100" s="579"/>
      <c r="I100" s="579"/>
      <c r="J100" s="632">
        <f>+J98+E64</f>
        <v>13.000000000000002</v>
      </c>
      <c r="K100" s="147"/>
      <c r="L100" s="626">
        <f>+L97+(L112-L97)/F97*(J100-J97)</f>
        <v>2406.9042105263161</v>
      </c>
      <c r="M100" s="141"/>
    </row>
    <row r="101" spans="4:13" ht="16.5" customHeight="1" x14ac:dyDescent="0.15">
      <c r="D101" s="376"/>
      <c r="E101" s="510"/>
      <c r="F101" s="625"/>
      <c r="G101" s="577">
        <f>+G99+1</f>
        <v>28</v>
      </c>
      <c r="H101" s="577">
        <f t="shared" ref="H101:I101" si="4">+H99+1</f>
        <v>53</v>
      </c>
      <c r="I101" s="577">
        <f t="shared" si="4"/>
        <v>78</v>
      </c>
      <c r="J101" s="633"/>
      <c r="K101" s="147"/>
      <c r="L101" s="627"/>
      <c r="M101" s="141"/>
    </row>
    <row r="102" spans="4:13" ht="16.5" customHeight="1" x14ac:dyDescent="0.15">
      <c r="D102" s="376"/>
      <c r="E102" s="510"/>
      <c r="F102" s="625"/>
      <c r="G102" s="579"/>
      <c r="H102" s="579"/>
      <c r="I102" s="579"/>
      <c r="J102" s="632">
        <f>+J100+E64</f>
        <v>14.300000000000002</v>
      </c>
      <c r="K102" s="147"/>
      <c r="L102" s="626">
        <f>+L97+(L112-L97)/F97*(J102-J97)</f>
        <v>2548.0978947368426</v>
      </c>
      <c r="M102" s="141"/>
    </row>
    <row r="103" spans="4:13" ht="16.5" customHeight="1" x14ac:dyDescent="0.15">
      <c r="D103" s="376"/>
      <c r="E103" s="510"/>
      <c r="F103" s="625"/>
      <c r="G103" s="577">
        <f>+G101+1</f>
        <v>29</v>
      </c>
      <c r="H103" s="577">
        <f t="shared" ref="H103:I103" si="5">+H101+1</f>
        <v>54</v>
      </c>
      <c r="I103" s="577">
        <f t="shared" si="5"/>
        <v>79</v>
      </c>
      <c r="J103" s="633"/>
      <c r="K103" s="147"/>
      <c r="L103" s="627"/>
      <c r="M103" s="141"/>
    </row>
    <row r="104" spans="4:13" ht="16.5" customHeight="1" x14ac:dyDescent="0.15">
      <c r="D104" s="376"/>
      <c r="E104" s="510"/>
      <c r="F104" s="625"/>
      <c r="G104" s="579"/>
      <c r="H104" s="579"/>
      <c r="I104" s="579"/>
      <c r="J104" s="632">
        <f>+J102+E64</f>
        <v>15.600000000000003</v>
      </c>
      <c r="K104" s="147"/>
      <c r="L104" s="626">
        <f>+L97+(L112-L97)/F97*(J104-J97)</f>
        <v>2689.2915789473691</v>
      </c>
      <c r="M104" s="141"/>
    </row>
    <row r="105" spans="4:13" ht="16.5" customHeight="1" x14ac:dyDescent="0.15">
      <c r="D105" s="376"/>
      <c r="E105" s="510"/>
      <c r="F105" s="625"/>
      <c r="G105" s="577">
        <f>+G103+1</f>
        <v>30</v>
      </c>
      <c r="H105" s="577">
        <f t="shared" ref="H105:I105" si="6">+H103+1</f>
        <v>55</v>
      </c>
      <c r="I105" s="577">
        <f t="shared" si="6"/>
        <v>80</v>
      </c>
      <c r="J105" s="633"/>
      <c r="K105" s="147"/>
      <c r="L105" s="627"/>
      <c r="M105" s="141"/>
    </row>
    <row r="106" spans="4:13" ht="16.5" customHeight="1" x14ac:dyDescent="0.15">
      <c r="D106" s="376"/>
      <c r="E106" s="510"/>
      <c r="F106" s="625"/>
      <c r="G106" s="579"/>
      <c r="H106" s="579"/>
      <c r="I106" s="579"/>
      <c r="J106" s="632">
        <f>+J104+E64</f>
        <v>16.900000000000002</v>
      </c>
      <c r="K106" s="147"/>
      <c r="L106" s="626">
        <f>+L97+(L112-L97)/F97*(J106-J97)</f>
        <v>2830.4852631578951</v>
      </c>
      <c r="M106" s="141"/>
    </row>
    <row r="107" spans="4:13" ht="16.5" customHeight="1" x14ac:dyDescent="0.15">
      <c r="D107" s="376"/>
      <c r="E107" s="510"/>
      <c r="F107" s="625"/>
      <c r="G107" s="577">
        <f>+G105+1</f>
        <v>31</v>
      </c>
      <c r="H107" s="577">
        <f t="shared" ref="H107:I107" si="7">+H105+1</f>
        <v>56</v>
      </c>
      <c r="I107" s="577">
        <f t="shared" si="7"/>
        <v>81</v>
      </c>
      <c r="J107" s="633"/>
      <c r="K107" s="147"/>
      <c r="L107" s="627"/>
      <c r="M107" s="141"/>
    </row>
    <row r="108" spans="4:13" ht="16.5" customHeight="1" x14ac:dyDescent="0.15">
      <c r="D108" s="376"/>
      <c r="E108" s="510"/>
      <c r="F108" s="625"/>
      <c r="G108" s="579"/>
      <c r="H108" s="579"/>
      <c r="I108" s="579"/>
      <c r="J108" s="632">
        <f>+J106+E64</f>
        <v>18.200000000000003</v>
      </c>
      <c r="K108" s="147"/>
      <c r="L108" s="626">
        <f>+L97+(L112-L97)/F97*(J108-J97)</f>
        <v>2971.6789473684216</v>
      </c>
      <c r="M108" s="141"/>
    </row>
    <row r="109" spans="4:13" ht="16.5" customHeight="1" x14ac:dyDescent="0.15">
      <c r="D109" s="376"/>
      <c r="E109" s="510"/>
      <c r="F109" s="625"/>
      <c r="G109" s="577">
        <f>+G107+1</f>
        <v>32</v>
      </c>
      <c r="H109" s="577">
        <f t="shared" ref="H109:I109" si="8">+H107+1</f>
        <v>57</v>
      </c>
      <c r="I109" s="577">
        <f t="shared" si="8"/>
        <v>82</v>
      </c>
      <c r="J109" s="633"/>
      <c r="K109" s="147"/>
      <c r="L109" s="627"/>
      <c r="M109" s="141"/>
    </row>
    <row r="110" spans="4:13" ht="16.5" customHeight="1" x14ac:dyDescent="0.15">
      <c r="D110" s="376"/>
      <c r="E110" s="510"/>
      <c r="F110" s="625"/>
      <c r="G110" s="579"/>
      <c r="H110" s="579"/>
      <c r="I110" s="579"/>
      <c r="J110" s="632">
        <f>+J108+E64</f>
        <v>19.500000000000004</v>
      </c>
      <c r="K110" s="147"/>
      <c r="L110" s="626">
        <f>+L97+(L112-L97)/F97*(J110-J97)</f>
        <v>3112.8726315789481</v>
      </c>
      <c r="M110" s="141"/>
    </row>
    <row r="111" spans="4:13" ht="16.5" customHeight="1" x14ac:dyDescent="0.15">
      <c r="D111" s="376"/>
      <c r="E111" s="510"/>
      <c r="F111" s="625"/>
      <c r="G111" s="577">
        <f>+G109+1</f>
        <v>33</v>
      </c>
      <c r="H111" s="577">
        <f t="shared" ref="H111:I111" si="9">+H109+1</f>
        <v>58</v>
      </c>
      <c r="I111" s="577">
        <f t="shared" si="9"/>
        <v>83</v>
      </c>
      <c r="J111" s="633"/>
      <c r="K111" s="574">
        <f>+J112-J110</f>
        <v>0.69999999999999574</v>
      </c>
      <c r="L111" s="627"/>
      <c r="M111" s="72">
        <f>0.5*((L110+L112)*K111+(L113+L114)*K113)/(K111+K113)</f>
        <v>2062.1695546558622</v>
      </c>
    </row>
    <row r="112" spans="4:13" ht="16.5" customHeight="1" x14ac:dyDescent="0.15">
      <c r="D112" s="376"/>
      <c r="E112" s="510"/>
      <c r="F112" s="625"/>
      <c r="G112" s="578"/>
      <c r="H112" s="578"/>
      <c r="I112" s="578"/>
      <c r="J112" s="79">
        <f>+J97+F97</f>
        <v>20.2</v>
      </c>
      <c r="K112" s="576"/>
      <c r="L112" s="146">
        <v>3188.9</v>
      </c>
      <c r="M112" s="141"/>
    </row>
    <row r="113" spans="4:13" ht="16.5" customHeight="1" x14ac:dyDescent="0.15">
      <c r="D113" s="376" t="s">
        <v>205</v>
      </c>
      <c r="E113" s="630" t="s">
        <v>300</v>
      </c>
      <c r="F113" s="625">
        <v>10.8</v>
      </c>
      <c r="G113" s="578"/>
      <c r="H113" s="578"/>
      <c r="I113" s="578"/>
      <c r="J113" s="144">
        <f>+J112</f>
        <v>20.2</v>
      </c>
      <c r="K113" s="574">
        <f>+J114-J113</f>
        <v>0.60000000000000497</v>
      </c>
      <c r="L113" s="146">
        <v>792</v>
      </c>
      <c r="M113" s="141"/>
    </row>
    <row r="114" spans="4:13" ht="16.5" customHeight="1" x14ac:dyDescent="0.15">
      <c r="D114" s="376"/>
      <c r="E114" s="630"/>
      <c r="F114" s="625"/>
      <c r="G114" s="579"/>
      <c r="H114" s="579"/>
      <c r="I114" s="579"/>
      <c r="J114" s="632">
        <f>+J110+E64</f>
        <v>20.800000000000004</v>
      </c>
      <c r="K114" s="576"/>
      <c r="L114" s="626">
        <f>+L113+(L130-L113)/F113*(J114-J113)</f>
        <v>792</v>
      </c>
      <c r="M114" s="72">
        <f>+M111</f>
        <v>2062.1695546558622</v>
      </c>
    </row>
    <row r="115" spans="4:13" ht="16.5" customHeight="1" x14ac:dyDescent="0.15">
      <c r="D115" s="376"/>
      <c r="E115" s="630"/>
      <c r="F115" s="625"/>
      <c r="G115" s="577">
        <f>+G111+1</f>
        <v>34</v>
      </c>
      <c r="H115" s="577">
        <f t="shared" ref="H115:I115" si="10">+H111+1</f>
        <v>59</v>
      </c>
      <c r="I115" s="577">
        <f t="shared" si="10"/>
        <v>84</v>
      </c>
      <c r="J115" s="633"/>
      <c r="K115" s="147"/>
      <c r="L115" s="627"/>
      <c r="M115" s="141"/>
    </row>
    <row r="116" spans="4:13" ht="16.5" customHeight="1" x14ac:dyDescent="0.15">
      <c r="D116" s="376"/>
      <c r="E116" s="630"/>
      <c r="F116" s="625"/>
      <c r="G116" s="579"/>
      <c r="H116" s="579"/>
      <c r="I116" s="579"/>
      <c r="J116" s="632">
        <f>+J114+$E$64</f>
        <v>22.100000000000005</v>
      </c>
      <c r="K116" s="147"/>
      <c r="L116" s="626">
        <f>+L113+(L130-L113)/F113*(J116-J113)</f>
        <v>792</v>
      </c>
      <c r="M116" s="141"/>
    </row>
    <row r="117" spans="4:13" ht="16.5" customHeight="1" x14ac:dyDescent="0.15">
      <c r="D117" s="376"/>
      <c r="E117" s="630"/>
      <c r="F117" s="625"/>
      <c r="G117" s="577">
        <f>+G115+1</f>
        <v>35</v>
      </c>
      <c r="H117" s="577">
        <f t="shared" ref="H117:I117" si="11">+H115+1</f>
        <v>60</v>
      </c>
      <c r="I117" s="577">
        <f t="shared" si="11"/>
        <v>85</v>
      </c>
      <c r="J117" s="633"/>
      <c r="K117" s="147"/>
      <c r="L117" s="627"/>
      <c r="M117" s="141"/>
    </row>
    <row r="118" spans="4:13" ht="16.5" customHeight="1" x14ac:dyDescent="0.15">
      <c r="D118" s="376"/>
      <c r="E118" s="630"/>
      <c r="F118" s="625"/>
      <c r="G118" s="579"/>
      <c r="H118" s="579"/>
      <c r="I118" s="579"/>
      <c r="J118" s="632">
        <f>+J116+$E$64</f>
        <v>23.400000000000006</v>
      </c>
      <c r="K118" s="147"/>
      <c r="L118" s="626">
        <f>+L113+(L130-L113)/F113*(J118-J113)</f>
        <v>792</v>
      </c>
      <c r="M118" s="141"/>
    </row>
    <row r="119" spans="4:13" ht="16.5" customHeight="1" x14ac:dyDescent="0.15">
      <c r="D119" s="376"/>
      <c r="E119" s="630"/>
      <c r="F119" s="625"/>
      <c r="G119" s="577">
        <f>+G117+1</f>
        <v>36</v>
      </c>
      <c r="H119" s="577">
        <f t="shared" ref="H119:I119" si="12">+H117+1</f>
        <v>61</v>
      </c>
      <c r="I119" s="577">
        <f t="shared" si="12"/>
        <v>86</v>
      </c>
      <c r="J119" s="633"/>
      <c r="K119" s="147"/>
      <c r="L119" s="627"/>
      <c r="M119" s="141"/>
    </row>
    <row r="120" spans="4:13" ht="16.5" customHeight="1" x14ac:dyDescent="0.15">
      <c r="D120" s="376"/>
      <c r="E120" s="630"/>
      <c r="F120" s="625"/>
      <c r="G120" s="579"/>
      <c r="H120" s="579"/>
      <c r="I120" s="579"/>
      <c r="J120" s="632">
        <f>+J118+$E$64</f>
        <v>24.700000000000006</v>
      </c>
      <c r="K120" s="147"/>
      <c r="L120" s="626">
        <f>+L113+(L130-L113)/F113*(J120-J113)</f>
        <v>792</v>
      </c>
      <c r="M120" s="141"/>
    </row>
    <row r="121" spans="4:13" ht="16.5" customHeight="1" x14ac:dyDescent="0.15">
      <c r="D121" s="376"/>
      <c r="E121" s="630"/>
      <c r="F121" s="625"/>
      <c r="G121" s="577">
        <f>+G119+1</f>
        <v>37</v>
      </c>
      <c r="H121" s="577">
        <f t="shared" ref="H121:I121" si="13">+H119+1</f>
        <v>62</v>
      </c>
      <c r="I121" s="577">
        <f t="shared" si="13"/>
        <v>87</v>
      </c>
      <c r="J121" s="633"/>
      <c r="K121" s="147"/>
      <c r="L121" s="627"/>
      <c r="M121" s="141"/>
    </row>
    <row r="122" spans="4:13" ht="16.5" customHeight="1" x14ac:dyDescent="0.15">
      <c r="D122" s="376"/>
      <c r="E122" s="630"/>
      <c r="F122" s="625"/>
      <c r="G122" s="579"/>
      <c r="H122" s="579"/>
      <c r="I122" s="579"/>
      <c r="J122" s="632">
        <f>+J120+$E$64</f>
        <v>26.000000000000007</v>
      </c>
      <c r="K122" s="147"/>
      <c r="L122" s="626">
        <f>+L113+(L130-L113)/F113*(J122-J113)</f>
        <v>792</v>
      </c>
      <c r="M122" s="141"/>
    </row>
    <row r="123" spans="4:13" ht="16.5" customHeight="1" x14ac:dyDescent="0.15">
      <c r="D123" s="376"/>
      <c r="E123" s="630"/>
      <c r="F123" s="625"/>
      <c r="G123" s="577">
        <f>+G121+1</f>
        <v>38</v>
      </c>
      <c r="H123" s="577">
        <f t="shared" ref="H123:I123" si="14">+H121+1</f>
        <v>63</v>
      </c>
      <c r="I123" s="577">
        <f t="shared" si="14"/>
        <v>88</v>
      </c>
      <c r="J123" s="633"/>
      <c r="K123" s="147"/>
      <c r="L123" s="627"/>
      <c r="M123" s="141"/>
    </row>
    <row r="124" spans="4:13" ht="16.5" customHeight="1" x14ac:dyDescent="0.15">
      <c r="D124" s="376"/>
      <c r="E124" s="630"/>
      <c r="F124" s="625"/>
      <c r="G124" s="579"/>
      <c r="H124" s="579"/>
      <c r="I124" s="579"/>
      <c r="J124" s="632">
        <f>+J122+$E$64</f>
        <v>27.300000000000008</v>
      </c>
      <c r="K124" s="147"/>
      <c r="L124" s="626">
        <f>+L113+(L130-L113)/F113*(J124-J113)</f>
        <v>792</v>
      </c>
      <c r="M124" s="141"/>
    </row>
    <row r="125" spans="4:13" ht="16.5" customHeight="1" x14ac:dyDescent="0.15">
      <c r="D125" s="376"/>
      <c r="E125" s="630"/>
      <c r="F125" s="625"/>
      <c r="G125" s="577">
        <f>+G123+1</f>
        <v>39</v>
      </c>
      <c r="H125" s="577">
        <f t="shared" ref="H125:I125" si="15">+H123+1</f>
        <v>64</v>
      </c>
      <c r="I125" s="577">
        <f t="shared" si="15"/>
        <v>89</v>
      </c>
      <c r="J125" s="633"/>
      <c r="K125" s="147"/>
      <c r="L125" s="627"/>
      <c r="M125" s="141"/>
    </row>
    <row r="126" spans="4:13" ht="16.5" customHeight="1" x14ac:dyDescent="0.15">
      <c r="D126" s="376"/>
      <c r="E126" s="630"/>
      <c r="F126" s="625"/>
      <c r="G126" s="579"/>
      <c r="H126" s="579"/>
      <c r="I126" s="579"/>
      <c r="J126" s="632">
        <f>+J124+$E$64</f>
        <v>28.600000000000009</v>
      </c>
      <c r="K126" s="147"/>
      <c r="L126" s="626">
        <f>+L113+(L130-L113)/F113*(J126-J113)</f>
        <v>792</v>
      </c>
      <c r="M126" s="141"/>
    </row>
    <row r="127" spans="4:13" ht="16.5" customHeight="1" x14ac:dyDescent="0.15">
      <c r="D127" s="376"/>
      <c r="E127" s="630"/>
      <c r="F127" s="625"/>
      <c r="G127" s="577">
        <f>+G125+1</f>
        <v>40</v>
      </c>
      <c r="H127" s="577">
        <f t="shared" ref="H127:I127" si="16">+H125+1</f>
        <v>65</v>
      </c>
      <c r="I127" s="577">
        <f t="shared" si="16"/>
        <v>90</v>
      </c>
      <c r="J127" s="633"/>
      <c r="K127" s="147"/>
      <c r="L127" s="627"/>
      <c r="M127" s="141"/>
    </row>
    <row r="128" spans="4:13" ht="16.5" customHeight="1" x14ac:dyDescent="0.15">
      <c r="D128" s="376"/>
      <c r="E128" s="630"/>
      <c r="F128" s="625"/>
      <c r="G128" s="579"/>
      <c r="H128" s="579"/>
      <c r="I128" s="579"/>
      <c r="J128" s="632">
        <f>+J126+$E$64</f>
        <v>29.900000000000009</v>
      </c>
      <c r="K128" s="147"/>
      <c r="L128" s="626">
        <f>+L113+(L130-L113)/F113*(J128-J113)</f>
        <v>792</v>
      </c>
      <c r="M128" s="141"/>
    </row>
    <row r="129" spans="2:15" ht="16.5" customHeight="1" x14ac:dyDescent="0.15">
      <c r="D129" s="376"/>
      <c r="E129" s="630"/>
      <c r="F129" s="625"/>
      <c r="G129" s="577">
        <f>+G127+1</f>
        <v>41</v>
      </c>
      <c r="H129" s="577">
        <f t="shared" ref="H129:I129" si="17">+H127+1</f>
        <v>66</v>
      </c>
      <c r="I129" s="577">
        <f t="shared" si="17"/>
        <v>91</v>
      </c>
      <c r="J129" s="633"/>
      <c r="K129" s="147"/>
      <c r="L129" s="627"/>
      <c r="M129" s="141"/>
    </row>
    <row r="130" spans="2:15" ht="16.5" customHeight="1" x14ac:dyDescent="0.15">
      <c r="D130" s="376"/>
      <c r="E130" s="630"/>
      <c r="F130" s="625"/>
      <c r="G130" s="579"/>
      <c r="H130" s="579"/>
      <c r="I130" s="579"/>
      <c r="J130" s="79">
        <f>+J113+F113</f>
        <v>31</v>
      </c>
      <c r="K130" s="86"/>
      <c r="L130" s="146">
        <v>792</v>
      </c>
      <c r="M130" s="89"/>
    </row>
    <row r="134" spans="2:15" ht="16.5" customHeight="1" x14ac:dyDescent="0.15">
      <c r="C134" s="18" t="s">
        <v>217</v>
      </c>
      <c r="D134" s="17" t="s">
        <v>316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2:15" ht="16.5" customHeight="1" x14ac:dyDescent="0.15">
      <c r="C135" s="18" t="s">
        <v>30</v>
      </c>
      <c r="D135" s="17" t="s">
        <v>315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2:15" ht="16.5" customHeight="1" x14ac:dyDescent="0.15">
      <c r="D136" s="13" t="s">
        <v>289</v>
      </c>
      <c r="E136" s="17" t="s">
        <v>290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</row>
    <row r="137" spans="2:15" ht="16.5" customHeight="1" x14ac:dyDescent="0.15">
      <c r="D137" s="17" t="s">
        <v>292</v>
      </c>
      <c r="E137" s="25" t="s">
        <v>293</v>
      </c>
      <c r="F137" s="25" t="s">
        <v>295</v>
      </c>
      <c r="G137" s="25" t="s">
        <v>296</v>
      </c>
      <c r="H137" s="25" t="s">
        <v>297</v>
      </c>
      <c r="I137" s="25" t="s">
        <v>298</v>
      </c>
      <c r="J137" s="17"/>
      <c r="K137" s="17"/>
      <c r="L137" s="17"/>
      <c r="M137" s="17"/>
      <c r="N137" s="17"/>
      <c r="O137" s="17"/>
    </row>
    <row r="138" spans="2:15" ht="16.5" customHeight="1" x14ac:dyDescent="0.15">
      <c r="D138" s="17"/>
      <c r="E138" s="25" t="s">
        <v>294</v>
      </c>
      <c r="F138" s="78">
        <v>2.077</v>
      </c>
      <c r="G138" s="78">
        <v>1</v>
      </c>
      <c r="H138" s="78">
        <v>0.5</v>
      </c>
      <c r="I138" s="78">
        <v>0.4</v>
      </c>
      <c r="J138" s="17"/>
      <c r="K138" s="17"/>
      <c r="L138" s="17"/>
      <c r="M138" s="17"/>
      <c r="N138" s="17"/>
      <c r="O138" s="17"/>
    </row>
    <row r="139" spans="2:15" ht="16.5" customHeight="1" x14ac:dyDescent="0.15">
      <c r="D139" s="17" t="s">
        <v>300</v>
      </c>
      <c r="E139" s="13" t="s">
        <v>301</v>
      </c>
      <c r="F139" s="40">
        <v>1</v>
      </c>
      <c r="G139" s="17"/>
      <c r="H139" s="17"/>
      <c r="I139" s="17"/>
      <c r="J139" s="17"/>
      <c r="K139" s="17"/>
      <c r="L139" s="17"/>
      <c r="M139" s="17"/>
      <c r="N139" s="17"/>
      <c r="O139" s="17"/>
    </row>
    <row r="140" spans="2:15" s="17" customFormat="1" ht="16.5" customHeight="1" x14ac:dyDescent="0.15">
      <c r="C140" s="18"/>
      <c r="D140" s="17" t="s">
        <v>202</v>
      </c>
      <c r="E140" s="68">
        <f>+E64</f>
        <v>1.3</v>
      </c>
      <c r="F140" s="17" t="s">
        <v>29</v>
      </c>
    </row>
    <row r="141" spans="2:15" ht="16.5" customHeight="1" x14ac:dyDescent="0.15">
      <c r="B141" s="638" t="s">
        <v>199</v>
      </c>
      <c r="C141" s="638"/>
      <c r="D141" s="359" t="s">
        <v>302</v>
      </c>
      <c r="E141" s="368" t="s">
        <v>201</v>
      </c>
      <c r="F141" s="369"/>
      <c r="G141" s="370"/>
      <c r="H141" s="334" t="s">
        <v>310</v>
      </c>
      <c r="I141" s="631" t="s">
        <v>307</v>
      </c>
      <c r="J141" s="369" t="s">
        <v>311</v>
      </c>
      <c r="K141" s="369"/>
      <c r="L141" s="369"/>
      <c r="M141" s="368" t="s">
        <v>313</v>
      </c>
      <c r="N141" s="369"/>
      <c r="O141" s="370"/>
    </row>
    <row r="142" spans="2:15" ht="16.5" customHeight="1" x14ac:dyDescent="0.15">
      <c r="B142" s="638"/>
      <c r="C142" s="638"/>
      <c r="D142" s="359"/>
      <c r="E142" s="371"/>
      <c r="F142" s="286"/>
      <c r="G142" s="372"/>
      <c r="H142" s="334"/>
      <c r="I142" s="631"/>
      <c r="J142" s="286" t="s">
        <v>312</v>
      </c>
      <c r="K142" s="286"/>
      <c r="L142" s="286"/>
      <c r="M142" s="371" t="s">
        <v>314</v>
      </c>
      <c r="N142" s="286"/>
      <c r="O142" s="372"/>
    </row>
    <row r="143" spans="2:15" ht="16.5" customHeight="1" x14ac:dyDescent="0.15">
      <c r="B143" s="638"/>
      <c r="C143" s="638"/>
      <c r="D143" s="359"/>
      <c r="E143" s="356"/>
      <c r="F143" s="324"/>
      <c r="G143" s="357"/>
      <c r="H143" s="334"/>
      <c r="I143" s="631"/>
      <c r="J143" s="81" t="s">
        <v>296</v>
      </c>
      <c r="K143" s="25" t="s">
        <v>297</v>
      </c>
      <c r="L143" s="82" t="s">
        <v>298</v>
      </c>
      <c r="M143" s="25" t="s">
        <v>296</v>
      </c>
      <c r="N143" s="25" t="s">
        <v>297</v>
      </c>
      <c r="O143" s="25" t="s">
        <v>298</v>
      </c>
    </row>
    <row r="144" spans="2:15" ht="16.5" customHeight="1" x14ac:dyDescent="0.15">
      <c r="B144" s="376" t="s">
        <v>16</v>
      </c>
      <c r="C144" s="376"/>
      <c r="D144" s="643" t="s">
        <v>292</v>
      </c>
      <c r="E144" s="360">
        <v>18</v>
      </c>
      <c r="F144" s="360">
        <v>43</v>
      </c>
      <c r="G144" s="360">
        <v>68</v>
      </c>
      <c r="H144" s="82" t="s">
        <v>308</v>
      </c>
      <c r="I144" s="72">
        <f>+L71</f>
        <v>688</v>
      </c>
      <c r="J144" s="149">
        <f t="shared" ref="J144:J175" si="18">+$G$138*I144</f>
        <v>688</v>
      </c>
      <c r="K144" s="72">
        <f t="shared" ref="K144:K175" si="19">+$H$138*I144</f>
        <v>344</v>
      </c>
      <c r="L144" s="150">
        <f t="shared" ref="L144:L175" si="20">+$I$138*I144</f>
        <v>275.2</v>
      </c>
      <c r="M144" s="72">
        <f>+$E$140*J144</f>
        <v>894.4</v>
      </c>
      <c r="N144" s="72">
        <f t="shared" ref="N144:O144" si="21">+$E$140*K144</f>
        <v>447.2</v>
      </c>
      <c r="O144" s="72">
        <f t="shared" si="21"/>
        <v>357.76</v>
      </c>
    </row>
    <row r="145" spans="2:15" ht="16.5" customHeight="1" x14ac:dyDescent="0.15">
      <c r="B145" s="376"/>
      <c r="C145" s="376"/>
      <c r="D145" s="643"/>
      <c r="E145" s="360"/>
      <c r="F145" s="360"/>
      <c r="G145" s="360"/>
      <c r="H145" s="82" t="s">
        <v>309</v>
      </c>
      <c r="I145" s="72">
        <f>+L72</f>
        <v>816.4636363636364</v>
      </c>
      <c r="J145" s="149">
        <f t="shared" si="18"/>
        <v>816.4636363636364</v>
      </c>
      <c r="K145" s="72">
        <f t="shared" si="19"/>
        <v>408.2318181818182</v>
      </c>
      <c r="L145" s="150">
        <f t="shared" si="20"/>
        <v>326.58545454545458</v>
      </c>
      <c r="M145" s="72">
        <f t="shared" ref="M145:M171" si="22">+$E$140*J145</f>
        <v>1061.4027272727274</v>
      </c>
      <c r="N145" s="72">
        <f t="shared" ref="N145:N172" si="23">+$E$140*K145</f>
        <v>530.70136363636368</v>
      </c>
      <c r="O145" s="72">
        <f t="shared" ref="O145:O172" si="24">+$E$140*L145</f>
        <v>424.56109090909098</v>
      </c>
    </row>
    <row r="146" spans="2:15" ht="16.5" customHeight="1" x14ac:dyDescent="0.15">
      <c r="B146" s="376"/>
      <c r="C146" s="376"/>
      <c r="D146" s="643"/>
      <c r="E146" s="393">
        <f>+E144+1</f>
        <v>19</v>
      </c>
      <c r="F146" s="393">
        <f t="shared" ref="F146:G146" si="25">+F144+1</f>
        <v>44</v>
      </c>
      <c r="G146" s="393">
        <f t="shared" si="25"/>
        <v>69</v>
      </c>
      <c r="H146" s="82" t="s">
        <v>308</v>
      </c>
      <c r="I146" s="72">
        <f>+L72</f>
        <v>816.4636363636364</v>
      </c>
      <c r="J146" s="149">
        <f t="shared" si="18"/>
        <v>816.4636363636364</v>
      </c>
      <c r="K146" s="72">
        <f t="shared" si="19"/>
        <v>408.2318181818182</v>
      </c>
      <c r="L146" s="150">
        <f t="shared" si="20"/>
        <v>326.58545454545458</v>
      </c>
      <c r="M146" s="72">
        <f t="shared" si="22"/>
        <v>1061.4027272727274</v>
      </c>
      <c r="N146" s="72">
        <f t="shared" si="23"/>
        <v>530.70136363636368</v>
      </c>
      <c r="O146" s="72">
        <f t="shared" si="24"/>
        <v>424.56109090909098</v>
      </c>
    </row>
    <row r="147" spans="2:15" ht="16.5" customHeight="1" x14ac:dyDescent="0.15">
      <c r="B147" s="376"/>
      <c r="C147" s="376"/>
      <c r="D147" s="643"/>
      <c r="E147" s="393"/>
      <c r="F147" s="393"/>
      <c r="G147" s="393"/>
      <c r="H147" s="82" t="s">
        <v>309</v>
      </c>
      <c r="I147" s="72">
        <f>+L74</f>
        <v>944.92727272727279</v>
      </c>
      <c r="J147" s="149">
        <f t="shared" si="18"/>
        <v>944.92727272727279</v>
      </c>
      <c r="K147" s="72">
        <f t="shared" si="19"/>
        <v>472.4636363636364</v>
      </c>
      <c r="L147" s="150">
        <f t="shared" si="20"/>
        <v>377.97090909090912</v>
      </c>
      <c r="M147" s="72">
        <f t="shared" si="22"/>
        <v>1228.4054545454546</v>
      </c>
      <c r="N147" s="72">
        <f t="shared" si="23"/>
        <v>614.20272727272732</v>
      </c>
      <c r="O147" s="72">
        <f t="shared" si="24"/>
        <v>491.36218181818185</v>
      </c>
    </row>
    <row r="148" spans="2:15" ht="16.5" customHeight="1" x14ac:dyDescent="0.15">
      <c r="B148" s="376"/>
      <c r="C148" s="376"/>
      <c r="D148" s="643"/>
      <c r="E148" s="393">
        <f t="shared" ref="E148" si="26">+E146+1</f>
        <v>20</v>
      </c>
      <c r="F148" s="393">
        <f t="shared" ref="F148" si="27">+F146+1</f>
        <v>45</v>
      </c>
      <c r="G148" s="393">
        <f t="shared" ref="G148" si="28">+G146+1</f>
        <v>70</v>
      </c>
      <c r="H148" s="82" t="s">
        <v>308</v>
      </c>
      <c r="I148" s="72">
        <f>+M75</f>
        <v>1253.4943249058636</v>
      </c>
      <c r="J148" s="149">
        <f t="shared" si="18"/>
        <v>1253.4943249058636</v>
      </c>
      <c r="K148" s="72">
        <f t="shared" si="19"/>
        <v>626.74716245293178</v>
      </c>
      <c r="L148" s="150">
        <f t="shared" si="20"/>
        <v>501.39772996234547</v>
      </c>
      <c r="M148" s="72">
        <f t="shared" si="22"/>
        <v>1629.5426223776226</v>
      </c>
      <c r="N148" s="72">
        <f t="shared" si="23"/>
        <v>814.7713111888113</v>
      </c>
      <c r="O148" s="72">
        <f t="shared" si="24"/>
        <v>651.81704895104917</v>
      </c>
    </row>
    <row r="149" spans="2:15" ht="16.5" customHeight="1" x14ac:dyDescent="0.15">
      <c r="B149" s="376" t="s">
        <v>17</v>
      </c>
      <c r="C149" s="376"/>
      <c r="D149" s="643" t="s">
        <v>292</v>
      </c>
      <c r="E149" s="393"/>
      <c r="F149" s="393"/>
      <c r="G149" s="393"/>
      <c r="H149" s="82" t="s">
        <v>309</v>
      </c>
      <c r="I149" s="72">
        <f>+M78</f>
        <v>1253.4943249058636</v>
      </c>
      <c r="J149" s="149">
        <f t="shared" si="18"/>
        <v>1253.4943249058636</v>
      </c>
      <c r="K149" s="72">
        <f t="shared" si="19"/>
        <v>626.74716245293178</v>
      </c>
      <c r="L149" s="150">
        <f t="shared" si="20"/>
        <v>501.39772996234547</v>
      </c>
      <c r="M149" s="72">
        <f t="shared" si="22"/>
        <v>1629.5426223776226</v>
      </c>
      <c r="N149" s="72">
        <f t="shared" si="23"/>
        <v>814.7713111888113</v>
      </c>
      <c r="O149" s="72">
        <f t="shared" si="24"/>
        <v>651.81704895104917</v>
      </c>
    </row>
    <row r="150" spans="2:15" ht="16.5" customHeight="1" x14ac:dyDescent="0.15">
      <c r="B150" s="376"/>
      <c r="C150" s="376"/>
      <c r="D150" s="643"/>
      <c r="E150" s="393">
        <f t="shared" ref="E150" si="29">+E148+1</f>
        <v>21</v>
      </c>
      <c r="F150" s="393">
        <f t="shared" ref="F150" si="30">+F148+1</f>
        <v>46</v>
      </c>
      <c r="G150" s="393">
        <f t="shared" ref="G150" si="31">+G148+1</f>
        <v>71</v>
      </c>
      <c r="H150" s="82" t="s">
        <v>308</v>
      </c>
      <c r="I150" s="72">
        <f>+M79</f>
        <v>1094.4784023668633</v>
      </c>
      <c r="J150" s="149">
        <f t="shared" si="18"/>
        <v>1094.4784023668633</v>
      </c>
      <c r="K150" s="72">
        <f t="shared" si="19"/>
        <v>547.23920118343165</v>
      </c>
      <c r="L150" s="150">
        <f t="shared" si="20"/>
        <v>437.79136094674533</v>
      </c>
      <c r="M150" s="72">
        <f t="shared" si="22"/>
        <v>1422.8219230769223</v>
      </c>
      <c r="N150" s="72">
        <f t="shared" si="23"/>
        <v>711.41096153846115</v>
      </c>
      <c r="O150" s="72">
        <f t="shared" si="24"/>
        <v>569.12876923076897</v>
      </c>
    </row>
    <row r="151" spans="2:15" ht="16.5" customHeight="1" x14ac:dyDescent="0.15">
      <c r="B151" s="376"/>
      <c r="C151" s="376"/>
      <c r="D151" s="643"/>
      <c r="E151" s="393"/>
      <c r="F151" s="393"/>
      <c r="G151" s="393"/>
      <c r="H151" s="82" t="s">
        <v>309</v>
      </c>
      <c r="I151" s="72">
        <f>+M82</f>
        <v>1094.4784023668633</v>
      </c>
      <c r="J151" s="149">
        <f t="shared" si="18"/>
        <v>1094.4784023668633</v>
      </c>
      <c r="K151" s="72">
        <f t="shared" si="19"/>
        <v>547.23920118343165</v>
      </c>
      <c r="L151" s="150">
        <f t="shared" si="20"/>
        <v>437.79136094674533</v>
      </c>
      <c r="M151" s="72">
        <f t="shared" si="22"/>
        <v>1422.8219230769223</v>
      </c>
      <c r="N151" s="72">
        <f t="shared" si="23"/>
        <v>711.41096153846115</v>
      </c>
      <c r="O151" s="72">
        <f t="shared" si="24"/>
        <v>569.12876923076897</v>
      </c>
    </row>
    <row r="152" spans="2:15" ht="16.5" customHeight="1" x14ac:dyDescent="0.15">
      <c r="B152" s="376"/>
      <c r="C152" s="376"/>
      <c r="D152" s="643"/>
      <c r="E152" s="393">
        <f t="shared" ref="E152" si="32">+E150+1</f>
        <v>22</v>
      </c>
      <c r="F152" s="393">
        <f t="shared" ref="F152" si="33">+F150+1</f>
        <v>47</v>
      </c>
      <c r="G152" s="393">
        <f t="shared" ref="G152" si="34">+G150+1</f>
        <v>72</v>
      </c>
      <c r="H152" s="82" t="s">
        <v>308</v>
      </c>
      <c r="I152" s="72">
        <f>+L82</f>
        <v>450</v>
      </c>
      <c r="J152" s="149">
        <f t="shared" si="18"/>
        <v>450</v>
      </c>
      <c r="K152" s="72">
        <f t="shared" si="19"/>
        <v>225</v>
      </c>
      <c r="L152" s="150">
        <f t="shared" si="20"/>
        <v>180</v>
      </c>
      <c r="M152" s="72">
        <f t="shared" si="22"/>
        <v>585</v>
      </c>
      <c r="N152" s="72">
        <f t="shared" si="23"/>
        <v>292.5</v>
      </c>
      <c r="O152" s="72">
        <f t="shared" si="24"/>
        <v>234</v>
      </c>
    </row>
    <row r="153" spans="2:15" ht="16.5" customHeight="1" x14ac:dyDescent="0.15">
      <c r="B153" s="376" t="s">
        <v>18</v>
      </c>
      <c r="C153" s="376"/>
      <c r="D153" s="639" t="s">
        <v>300</v>
      </c>
      <c r="E153" s="393"/>
      <c r="F153" s="393"/>
      <c r="G153" s="393"/>
      <c r="H153" s="82" t="s">
        <v>309</v>
      </c>
      <c r="I153" s="72">
        <f>+L84</f>
        <v>450</v>
      </c>
      <c r="J153" s="149">
        <f t="shared" si="18"/>
        <v>450</v>
      </c>
      <c r="K153" s="72">
        <f t="shared" si="19"/>
        <v>225</v>
      </c>
      <c r="L153" s="150">
        <f t="shared" si="20"/>
        <v>180</v>
      </c>
      <c r="M153" s="72">
        <f t="shared" si="22"/>
        <v>585</v>
      </c>
      <c r="N153" s="72">
        <f t="shared" si="23"/>
        <v>292.5</v>
      </c>
      <c r="O153" s="72">
        <f t="shared" si="24"/>
        <v>234</v>
      </c>
    </row>
    <row r="154" spans="2:15" ht="16.5" customHeight="1" x14ac:dyDescent="0.15">
      <c r="B154" s="376"/>
      <c r="C154" s="376"/>
      <c r="D154" s="639"/>
      <c r="E154" s="393">
        <f t="shared" ref="E154" si="35">+E152+1</f>
        <v>23</v>
      </c>
      <c r="F154" s="393">
        <f t="shared" ref="F154" si="36">+F152+1</f>
        <v>48</v>
      </c>
      <c r="G154" s="393">
        <f t="shared" ref="G154" si="37">+G152+1</f>
        <v>73</v>
      </c>
      <c r="H154" s="82" t="s">
        <v>308</v>
      </c>
      <c r="I154" s="72">
        <f>+M85</f>
        <v>752.79230769230753</v>
      </c>
      <c r="J154" s="149">
        <f t="shared" si="18"/>
        <v>752.79230769230753</v>
      </c>
      <c r="K154" s="72">
        <f t="shared" si="19"/>
        <v>376.39615384615377</v>
      </c>
      <c r="L154" s="150">
        <f t="shared" si="20"/>
        <v>301.116923076923</v>
      </c>
      <c r="M154" s="72">
        <f t="shared" si="22"/>
        <v>978.62999999999977</v>
      </c>
      <c r="N154" s="72">
        <f t="shared" si="23"/>
        <v>489.31499999999988</v>
      </c>
      <c r="O154" s="72">
        <f t="shared" si="24"/>
        <v>391.45199999999994</v>
      </c>
    </row>
    <row r="155" spans="2:15" ht="16.5" customHeight="1" x14ac:dyDescent="0.15">
      <c r="B155" s="376" t="s">
        <v>19</v>
      </c>
      <c r="C155" s="376"/>
      <c r="D155" s="643" t="s">
        <v>292</v>
      </c>
      <c r="E155" s="393"/>
      <c r="F155" s="393"/>
      <c r="G155" s="393"/>
      <c r="H155" s="82" t="s">
        <v>309</v>
      </c>
      <c r="I155" s="72">
        <f>+M88</f>
        <v>752.79230769230753</v>
      </c>
      <c r="J155" s="149">
        <f t="shared" si="18"/>
        <v>752.79230769230753</v>
      </c>
      <c r="K155" s="72">
        <f t="shared" si="19"/>
        <v>376.39615384615377</v>
      </c>
      <c r="L155" s="150">
        <f t="shared" si="20"/>
        <v>301.116923076923</v>
      </c>
      <c r="M155" s="72">
        <f t="shared" si="22"/>
        <v>978.62999999999977</v>
      </c>
      <c r="N155" s="72">
        <f t="shared" si="23"/>
        <v>489.31499999999988</v>
      </c>
      <c r="O155" s="72">
        <f t="shared" si="24"/>
        <v>391.45199999999994</v>
      </c>
    </row>
    <row r="156" spans="2:15" ht="16.5" customHeight="1" x14ac:dyDescent="0.15">
      <c r="B156" s="376"/>
      <c r="C156" s="376"/>
      <c r="D156" s="643"/>
      <c r="E156" s="393">
        <f t="shared" ref="E156" si="38">+E154+1</f>
        <v>24</v>
      </c>
      <c r="F156" s="393">
        <f t="shared" ref="F156" si="39">+F154+1</f>
        <v>49</v>
      </c>
      <c r="G156" s="393">
        <f t="shared" ref="G156" si="40">+G154+1</f>
        <v>74</v>
      </c>
      <c r="H156" s="82" t="s">
        <v>308</v>
      </c>
      <c r="I156" s="72">
        <f>+L88</f>
        <v>1777.7</v>
      </c>
      <c r="J156" s="149">
        <f t="shared" si="18"/>
        <v>1777.7</v>
      </c>
      <c r="K156" s="72">
        <f t="shared" si="19"/>
        <v>888.85</v>
      </c>
      <c r="L156" s="150">
        <f t="shared" si="20"/>
        <v>711.08</v>
      </c>
      <c r="M156" s="72">
        <f t="shared" si="22"/>
        <v>2311.0100000000002</v>
      </c>
      <c r="N156" s="72">
        <f t="shared" si="23"/>
        <v>1155.5050000000001</v>
      </c>
      <c r="O156" s="72">
        <f t="shared" si="24"/>
        <v>924.40400000000011</v>
      </c>
    </row>
    <row r="157" spans="2:15" ht="16.5" customHeight="1" x14ac:dyDescent="0.15">
      <c r="B157" s="376"/>
      <c r="C157" s="376"/>
      <c r="D157" s="643"/>
      <c r="E157" s="393"/>
      <c r="F157" s="393"/>
      <c r="G157" s="393"/>
      <c r="H157" s="82" t="s">
        <v>309</v>
      </c>
      <c r="I157" s="72">
        <f>+L90</f>
        <v>1912.9</v>
      </c>
      <c r="J157" s="149">
        <f t="shared" si="18"/>
        <v>1912.9</v>
      </c>
      <c r="K157" s="72">
        <f t="shared" si="19"/>
        <v>956.45</v>
      </c>
      <c r="L157" s="150">
        <f t="shared" si="20"/>
        <v>765.16000000000008</v>
      </c>
      <c r="M157" s="72">
        <f t="shared" si="22"/>
        <v>2486.77</v>
      </c>
      <c r="N157" s="72">
        <f t="shared" si="23"/>
        <v>1243.385</v>
      </c>
      <c r="O157" s="72">
        <f t="shared" si="24"/>
        <v>994.70800000000008</v>
      </c>
    </row>
    <row r="158" spans="2:15" ht="16.5" customHeight="1" x14ac:dyDescent="0.15">
      <c r="B158" s="376"/>
      <c r="C158" s="376"/>
      <c r="D158" s="643"/>
      <c r="E158" s="393">
        <f t="shared" ref="E158" si="41">+E156+1</f>
        <v>25</v>
      </c>
      <c r="F158" s="393">
        <f t="shared" ref="F158" si="42">+F156+1</f>
        <v>50</v>
      </c>
      <c r="G158" s="393">
        <f t="shared" ref="G158" si="43">+G156+1</f>
        <v>75</v>
      </c>
      <c r="H158" s="82" t="s">
        <v>308</v>
      </c>
      <c r="I158" s="72">
        <f>+M91</f>
        <v>1914.3846153846152</v>
      </c>
      <c r="J158" s="149">
        <f t="shared" si="18"/>
        <v>1914.3846153846152</v>
      </c>
      <c r="K158" s="72">
        <f t="shared" si="19"/>
        <v>957.19230769230762</v>
      </c>
      <c r="L158" s="150">
        <f t="shared" si="20"/>
        <v>765.7538461538461</v>
      </c>
      <c r="M158" s="72">
        <f t="shared" si="22"/>
        <v>2488.6999999999998</v>
      </c>
      <c r="N158" s="72">
        <f t="shared" si="23"/>
        <v>1244.3499999999999</v>
      </c>
      <c r="O158" s="72">
        <f t="shared" si="24"/>
        <v>995.4799999999999</v>
      </c>
    </row>
    <row r="159" spans="2:15" ht="16.5" customHeight="1" x14ac:dyDescent="0.15">
      <c r="B159" s="376" t="s">
        <v>203</v>
      </c>
      <c r="C159" s="376"/>
      <c r="D159" s="639" t="s">
        <v>300</v>
      </c>
      <c r="E159" s="393"/>
      <c r="F159" s="393"/>
      <c r="G159" s="393"/>
      <c r="H159" s="82" t="s">
        <v>309</v>
      </c>
      <c r="I159" s="72">
        <f>+M94</f>
        <v>1914.3846153846152</v>
      </c>
      <c r="J159" s="149">
        <f t="shared" si="18"/>
        <v>1914.3846153846152</v>
      </c>
      <c r="K159" s="72">
        <f t="shared" si="19"/>
        <v>957.19230769230762</v>
      </c>
      <c r="L159" s="150">
        <f t="shared" si="20"/>
        <v>765.7538461538461</v>
      </c>
      <c r="M159" s="72">
        <f t="shared" si="22"/>
        <v>2488.6999999999998</v>
      </c>
      <c r="N159" s="72">
        <f t="shared" si="23"/>
        <v>1244.3499999999999</v>
      </c>
      <c r="O159" s="72">
        <f t="shared" si="24"/>
        <v>995.4799999999999</v>
      </c>
    </row>
    <row r="160" spans="2:15" ht="16.5" customHeight="1" x14ac:dyDescent="0.15">
      <c r="B160" s="376"/>
      <c r="C160" s="376"/>
      <c r="D160" s="639"/>
      <c r="E160" s="393">
        <f t="shared" ref="E160" si="44">+E158+1</f>
        <v>26</v>
      </c>
      <c r="F160" s="393">
        <f t="shared" ref="F160" si="45">+F158+1</f>
        <v>51</v>
      </c>
      <c r="G160" s="393">
        <f t="shared" ref="G160" si="46">+G158+1</f>
        <v>76</v>
      </c>
      <c r="H160" s="82" t="s">
        <v>308</v>
      </c>
      <c r="I160" s="72">
        <f>+M95</f>
        <v>2104.0040485829968</v>
      </c>
      <c r="J160" s="149">
        <f t="shared" si="18"/>
        <v>2104.0040485829968</v>
      </c>
      <c r="K160" s="72">
        <f t="shared" si="19"/>
        <v>1052.0020242914984</v>
      </c>
      <c r="L160" s="150">
        <f t="shared" si="20"/>
        <v>841.60161943319872</v>
      </c>
      <c r="M160" s="72">
        <f t="shared" si="22"/>
        <v>2735.2052631578958</v>
      </c>
      <c r="N160" s="72">
        <f t="shared" si="23"/>
        <v>1367.6026315789479</v>
      </c>
      <c r="O160" s="72">
        <f t="shared" si="24"/>
        <v>1094.0821052631584</v>
      </c>
    </row>
    <row r="161" spans="2:15" ht="16.5" customHeight="1" x14ac:dyDescent="0.15">
      <c r="B161" s="376" t="s">
        <v>204</v>
      </c>
      <c r="C161" s="376"/>
      <c r="D161" s="643" t="s">
        <v>292</v>
      </c>
      <c r="E161" s="393"/>
      <c r="F161" s="393"/>
      <c r="G161" s="393"/>
      <c r="H161" s="82" t="s">
        <v>309</v>
      </c>
      <c r="I161" s="72">
        <f>+M98</f>
        <v>2104.0040485829968</v>
      </c>
      <c r="J161" s="149">
        <f t="shared" si="18"/>
        <v>2104.0040485829968</v>
      </c>
      <c r="K161" s="72">
        <f t="shared" si="19"/>
        <v>1052.0020242914984</v>
      </c>
      <c r="L161" s="150">
        <f t="shared" si="20"/>
        <v>841.60161943319872</v>
      </c>
      <c r="M161" s="72">
        <f t="shared" si="22"/>
        <v>2735.2052631578958</v>
      </c>
      <c r="N161" s="72">
        <f t="shared" si="23"/>
        <v>1367.6026315789479</v>
      </c>
      <c r="O161" s="72">
        <f t="shared" si="24"/>
        <v>1094.0821052631584</v>
      </c>
    </row>
    <row r="162" spans="2:15" ht="16.5" customHeight="1" x14ac:dyDescent="0.15">
      <c r="B162" s="376"/>
      <c r="C162" s="376"/>
      <c r="D162" s="643"/>
      <c r="E162" s="393">
        <f t="shared" ref="E162" si="47">+E160+1</f>
        <v>27</v>
      </c>
      <c r="F162" s="393">
        <f t="shared" ref="F162" si="48">+F160+1</f>
        <v>52</v>
      </c>
      <c r="G162" s="393">
        <f t="shared" ref="G162" si="49">+G160+1</f>
        <v>77</v>
      </c>
      <c r="H162" s="82" t="s">
        <v>308</v>
      </c>
      <c r="I162" s="72">
        <f>+L98</f>
        <v>2265.7105263157896</v>
      </c>
      <c r="J162" s="149">
        <f t="shared" si="18"/>
        <v>2265.7105263157896</v>
      </c>
      <c r="K162" s="72">
        <f t="shared" si="19"/>
        <v>1132.8552631578948</v>
      </c>
      <c r="L162" s="150">
        <f t="shared" si="20"/>
        <v>906.28421052631586</v>
      </c>
      <c r="M162" s="72">
        <f t="shared" si="22"/>
        <v>2945.4236842105265</v>
      </c>
      <c r="N162" s="72">
        <f t="shared" si="23"/>
        <v>1472.7118421052633</v>
      </c>
      <c r="O162" s="72">
        <f t="shared" si="24"/>
        <v>1178.1694736842107</v>
      </c>
    </row>
    <row r="163" spans="2:15" ht="16.5" customHeight="1" x14ac:dyDescent="0.15">
      <c r="B163" s="376"/>
      <c r="C163" s="376"/>
      <c r="D163" s="643"/>
      <c r="E163" s="393"/>
      <c r="F163" s="393"/>
      <c r="G163" s="393"/>
      <c r="H163" s="82" t="s">
        <v>309</v>
      </c>
      <c r="I163" s="72">
        <f>+L100</f>
        <v>2406.9042105263161</v>
      </c>
      <c r="J163" s="149">
        <f t="shared" si="18"/>
        <v>2406.9042105263161</v>
      </c>
      <c r="K163" s="72">
        <f t="shared" si="19"/>
        <v>1203.452105263158</v>
      </c>
      <c r="L163" s="150">
        <f t="shared" si="20"/>
        <v>962.76168421052648</v>
      </c>
      <c r="M163" s="72">
        <f t="shared" si="22"/>
        <v>3128.975473684211</v>
      </c>
      <c r="N163" s="72">
        <f t="shared" si="23"/>
        <v>1564.4877368421055</v>
      </c>
      <c r="O163" s="72">
        <f t="shared" si="24"/>
        <v>1251.5901894736844</v>
      </c>
    </row>
    <row r="164" spans="2:15" ht="16.5" customHeight="1" x14ac:dyDescent="0.15">
      <c r="B164" s="376"/>
      <c r="C164" s="376"/>
      <c r="D164" s="643"/>
      <c r="E164" s="393">
        <f>+E162+1</f>
        <v>28</v>
      </c>
      <c r="F164" s="393">
        <f t="shared" ref="F164" si="50">+F162+1</f>
        <v>53</v>
      </c>
      <c r="G164" s="393">
        <f t="shared" ref="G164" si="51">+G162+1</f>
        <v>78</v>
      </c>
      <c r="H164" s="82" t="s">
        <v>308</v>
      </c>
      <c r="I164" s="72">
        <f>+L100</f>
        <v>2406.9042105263161</v>
      </c>
      <c r="J164" s="149">
        <f t="shared" si="18"/>
        <v>2406.9042105263161</v>
      </c>
      <c r="K164" s="72">
        <f t="shared" si="19"/>
        <v>1203.452105263158</v>
      </c>
      <c r="L164" s="150">
        <f t="shared" si="20"/>
        <v>962.76168421052648</v>
      </c>
      <c r="M164" s="72">
        <f t="shared" si="22"/>
        <v>3128.975473684211</v>
      </c>
      <c r="N164" s="72">
        <f t="shared" si="23"/>
        <v>1564.4877368421055</v>
      </c>
      <c r="O164" s="72">
        <f t="shared" si="24"/>
        <v>1251.5901894736844</v>
      </c>
    </row>
    <row r="165" spans="2:15" ht="16.5" customHeight="1" x14ac:dyDescent="0.15">
      <c r="B165" s="376"/>
      <c r="C165" s="376"/>
      <c r="D165" s="643"/>
      <c r="E165" s="393"/>
      <c r="F165" s="393"/>
      <c r="G165" s="393"/>
      <c r="H165" s="82" t="s">
        <v>309</v>
      </c>
      <c r="I165" s="72">
        <f>+L102</f>
        <v>2548.0978947368426</v>
      </c>
      <c r="J165" s="149">
        <f t="shared" si="18"/>
        <v>2548.0978947368426</v>
      </c>
      <c r="K165" s="72">
        <f t="shared" si="19"/>
        <v>1274.0489473684213</v>
      </c>
      <c r="L165" s="150">
        <f t="shared" si="20"/>
        <v>1019.2391578947371</v>
      </c>
      <c r="M165" s="72">
        <f t="shared" si="22"/>
        <v>3312.5272631578955</v>
      </c>
      <c r="N165" s="72">
        <f t="shared" si="23"/>
        <v>1656.2636315789478</v>
      </c>
      <c r="O165" s="72">
        <f t="shared" si="24"/>
        <v>1325.0109052631583</v>
      </c>
    </row>
    <row r="166" spans="2:15" ht="16.5" customHeight="1" x14ac:dyDescent="0.15">
      <c r="B166" s="376"/>
      <c r="C166" s="376"/>
      <c r="D166" s="643"/>
      <c r="E166" s="393">
        <f t="shared" ref="E166" si="52">+E164+1</f>
        <v>29</v>
      </c>
      <c r="F166" s="393">
        <f t="shared" ref="F166" si="53">+F164+1</f>
        <v>54</v>
      </c>
      <c r="G166" s="393">
        <f t="shared" ref="G166" si="54">+G164+1</f>
        <v>79</v>
      </c>
      <c r="H166" s="82" t="s">
        <v>308</v>
      </c>
      <c r="I166" s="72">
        <f>+L102</f>
        <v>2548.0978947368426</v>
      </c>
      <c r="J166" s="149">
        <f t="shared" si="18"/>
        <v>2548.0978947368426</v>
      </c>
      <c r="K166" s="72">
        <f t="shared" si="19"/>
        <v>1274.0489473684213</v>
      </c>
      <c r="L166" s="150">
        <f t="shared" si="20"/>
        <v>1019.2391578947371</v>
      </c>
      <c r="M166" s="72">
        <f t="shared" si="22"/>
        <v>3312.5272631578955</v>
      </c>
      <c r="N166" s="72">
        <f t="shared" si="23"/>
        <v>1656.2636315789478</v>
      </c>
      <c r="O166" s="72">
        <f t="shared" si="24"/>
        <v>1325.0109052631583</v>
      </c>
    </row>
    <row r="167" spans="2:15" ht="16.5" customHeight="1" x14ac:dyDescent="0.15">
      <c r="B167" s="376"/>
      <c r="C167" s="376"/>
      <c r="D167" s="643"/>
      <c r="E167" s="393"/>
      <c r="F167" s="393"/>
      <c r="G167" s="393"/>
      <c r="H167" s="82" t="s">
        <v>309</v>
      </c>
      <c r="I167" s="72">
        <f>+L104</f>
        <v>2689.2915789473691</v>
      </c>
      <c r="J167" s="149">
        <f t="shared" si="18"/>
        <v>2689.2915789473691</v>
      </c>
      <c r="K167" s="72">
        <f t="shared" si="19"/>
        <v>1344.6457894736845</v>
      </c>
      <c r="L167" s="150">
        <f t="shared" si="20"/>
        <v>1075.7166315789477</v>
      </c>
      <c r="M167" s="72">
        <f t="shared" si="22"/>
        <v>3496.07905263158</v>
      </c>
      <c r="N167" s="72">
        <f t="shared" si="23"/>
        <v>1748.03952631579</v>
      </c>
      <c r="O167" s="72">
        <f t="shared" si="24"/>
        <v>1398.4316210526322</v>
      </c>
    </row>
    <row r="168" spans="2:15" ht="16.5" customHeight="1" x14ac:dyDescent="0.15">
      <c r="B168" s="376"/>
      <c r="C168" s="376"/>
      <c r="D168" s="643"/>
      <c r="E168" s="393">
        <f t="shared" ref="E168" si="55">+E166+1</f>
        <v>30</v>
      </c>
      <c r="F168" s="393">
        <f t="shared" ref="F168" si="56">+F166+1</f>
        <v>55</v>
      </c>
      <c r="G168" s="393">
        <f t="shared" ref="G168" si="57">+G166+1</f>
        <v>80</v>
      </c>
      <c r="H168" s="82" t="s">
        <v>308</v>
      </c>
      <c r="I168" s="72">
        <f>+L104</f>
        <v>2689.2915789473691</v>
      </c>
      <c r="J168" s="149">
        <f t="shared" si="18"/>
        <v>2689.2915789473691</v>
      </c>
      <c r="K168" s="72">
        <f t="shared" si="19"/>
        <v>1344.6457894736845</v>
      </c>
      <c r="L168" s="150">
        <f t="shared" si="20"/>
        <v>1075.7166315789477</v>
      </c>
      <c r="M168" s="72">
        <f t="shared" si="22"/>
        <v>3496.07905263158</v>
      </c>
      <c r="N168" s="72">
        <f t="shared" si="23"/>
        <v>1748.03952631579</v>
      </c>
      <c r="O168" s="72">
        <f t="shared" si="24"/>
        <v>1398.4316210526322</v>
      </c>
    </row>
    <row r="169" spans="2:15" ht="16.5" customHeight="1" x14ac:dyDescent="0.15">
      <c r="B169" s="376"/>
      <c r="C169" s="376"/>
      <c r="D169" s="643"/>
      <c r="E169" s="393"/>
      <c r="F169" s="393"/>
      <c r="G169" s="393"/>
      <c r="H169" s="82" t="s">
        <v>309</v>
      </c>
      <c r="I169" s="72">
        <f>+L106</f>
        <v>2830.4852631578951</v>
      </c>
      <c r="J169" s="149">
        <f t="shared" si="18"/>
        <v>2830.4852631578951</v>
      </c>
      <c r="K169" s="72">
        <f t="shared" si="19"/>
        <v>1415.2426315789476</v>
      </c>
      <c r="L169" s="150">
        <f t="shared" si="20"/>
        <v>1132.194105263158</v>
      </c>
      <c r="M169" s="72">
        <f t="shared" si="22"/>
        <v>3679.6308421052636</v>
      </c>
      <c r="N169" s="72">
        <f t="shared" si="23"/>
        <v>1839.8154210526318</v>
      </c>
      <c r="O169" s="72">
        <f t="shared" si="24"/>
        <v>1471.8523368421054</v>
      </c>
    </row>
    <row r="170" spans="2:15" ht="16.5" customHeight="1" x14ac:dyDescent="0.15">
      <c r="B170" s="376"/>
      <c r="C170" s="376"/>
      <c r="D170" s="643"/>
      <c r="E170" s="393">
        <f t="shared" ref="E170:E190" si="58">+E168+1</f>
        <v>31</v>
      </c>
      <c r="F170" s="393">
        <f t="shared" ref="F170" si="59">+F168+1</f>
        <v>56</v>
      </c>
      <c r="G170" s="393">
        <f t="shared" ref="G170" si="60">+G168+1</f>
        <v>81</v>
      </c>
      <c r="H170" s="82" t="s">
        <v>308</v>
      </c>
      <c r="I170" s="72">
        <f>+L106</f>
        <v>2830.4852631578951</v>
      </c>
      <c r="J170" s="149">
        <f t="shared" si="18"/>
        <v>2830.4852631578951</v>
      </c>
      <c r="K170" s="72">
        <f t="shared" si="19"/>
        <v>1415.2426315789476</v>
      </c>
      <c r="L170" s="150">
        <f t="shared" si="20"/>
        <v>1132.194105263158</v>
      </c>
      <c r="M170" s="72">
        <f t="shared" si="22"/>
        <v>3679.6308421052636</v>
      </c>
      <c r="N170" s="72">
        <f t="shared" si="23"/>
        <v>1839.8154210526318</v>
      </c>
      <c r="O170" s="72">
        <f t="shared" si="24"/>
        <v>1471.8523368421054</v>
      </c>
    </row>
    <row r="171" spans="2:15" ht="16.5" customHeight="1" x14ac:dyDescent="0.15">
      <c r="B171" s="376"/>
      <c r="C171" s="376"/>
      <c r="D171" s="643"/>
      <c r="E171" s="393"/>
      <c r="F171" s="393"/>
      <c r="G171" s="393"/>
      <c r="H171" s="82" t="s">
        <v>309</v>
      </c>
      <c r="I171" s="72">
        <f>+L108</f>
        <v>2971.6789473684216</v>
      </c>
      <c r="J171" s="149">
        <f t="shared" si="18"/>
        <v>2971.6789473684216</v>
      </c>
      <c r="K171" s="72">
        <f t="shared" si="19"/>
        <v>1485.8394736842108</v>
      </c>
      <c r="L171" s="150">
        <f t="shared" si="20"/>
        <v>1188.6715789473687</v>
      </c>
      <c r="M171" s="72">
        <f t="shared" si="22"/>
        <v>3863.1826315789481</v>
      </c>
      <c r="N171" s="72">
        <f t="shared" si="23"/>
        <v>1931.591315789474</v>
      </c>
      <c r="O171" s="72">
        <f t="shared" si="24"/>
        <v>1545.2730526315795</v>
      </c>
    </row>
    <row r="172" spans="2:15" ht="16.5" customHeight="1" x14ac:dyDescent="0.15">
      <c r="B172" s="376"/>
      <c r="C172" s="376"/>
      <c r="D172" s="643"/>
      <c r="E172" s="393">
        <f t="shared" si="58"/>
        <v>32</v>
      </c>
      <c r="F172" s="393">
        <f t="shared" ref="F172" si="61">+F170+1</f>
        <v>57</v>
      </c>
      <c r="G172" s="393">
        <f t="shared" ref="G172" si="62">+G170+1</f>
        <v>82</v>
      </c>
      <c r="H172" s="82" t="s">
        <v>308</v>
      </c>
      <c r="I172" s="72">
        <f>+L108</f>
        <v>2971.6789473684216</v>
      </c>
      <c r="J172" s="149">
        <f t="shared" si="18"/>
        <v>2971.6789473684216</v>
      </c>
      <c r="K172" s="72">
        <f t="shared" si="19"/>
        <v>1485.8394736842108</v>
      </c>
      <c r="L172" s="150">
        <f t="shared" si="20"/>
        <v>1188.6715789473687</v>
      </c>
      <c r="M172" s="72">
        <f>+$E$140*J172</f>
        <v>3863.1826315789481</v>
      </c>
      <c r="N172" s="72">
        <f t="shared" si="23"/>
        <v>1931.591315789474</v>
      </c>
      <c r="O172" s="72">
        <f t="shared" si="24"/>
        <v>1545.2730526315795</v>
      </c>
    </row>
    <row r="173" spans="2:15" ht="16.5" customHeight="1" x14ac:dyDescent="0.15">
      <c r="B173" s="376"/>
      <c r="C173" s="376"/>
      <c r="D173" s="643"/>
      <c r="E173" s="393"/>
      <c r="F173" s="393"/>
      <c r="G173" s="393"/>
      <c r="H173" s="82" t="s">
        <v>309</v>
      </c>
      <c r="I173" s="72">
        <f>+L110</f>
        <v>3112.8726315789481</v>
      </c>
      <c r="J173" s="149">
        <f t="shared" si="18"/>
        <v>3112.8726315789481</v>
      </c>
      <c r="K173" s="72">
        <f t="shared" si="19"/>
        <v>1556.4363157894741</v>
      </c>
      <c r="L173" s="150">
        <f t="shared" si="20"/>
        <v>1245.1490526315793</v>
      </c>
      <c r="M173" s="72">
        <f t="shared" ref="M173:M191" si="63">+$E$140*J173</f>
        <v>4046.7344210526326</v>
      </c>
      <c r="N173" s="72">
        <f t="shared" ref="N173:N191" si="64">+$E$140*K173</f>
        <v>2023.3672105263163</v>
      </c>
      <c r="O173" s="72">
        <f t="shared" ref="O173:O191" si="65">+$E$140*L173</f>
        <v>1618.6937684210532</v>
      </c>
    </row>
    <row r="174" spans="2:15" ht="16.5" customHeight="1" x14ac:dyDescent="0.15">
      <c r="B174" s="376"/>
      <c r="C174" s="376"/>
      <c r="D174" s="643"/>
      <c r="E174" s="393">
        <f t="shared" si="58"/>
        <v>33</v>
      </c>
      <c r="F174" s="393">
        <f t="shared" ref="F174" si="66">+F172+1</f>
        <v>58</v>
      </c>
      <c r="G174" s="393">
        <f t="shared" ref="G174" si="67">+G172+1</f>
        <v>83</v>
      </c>
      <c r="H174" s="82" t="s">
        <v>308</v>
      </c>
      <c r="I174" s="72">
        <f>+M111</f>
        <v>2062.1695546558622</v>
      </c>
      <c r="J174" s="149">
        <f t="shared" si="18"/>
        <v>2062.1695546558622</v>
      </c>
      <c r="K174" s="72">
        <f t="shared" si="19"/>
        <v>1031.0847773279311</v>
      </c>
      <c r="L174" s="150">
        <f t="shared" si="20"/>
        <v>824.86782186234495</v>
      </c>
      <c r="M174" s="72">
        <f t="shared" si="63"/>
        <v>2680.820421052621</v>
      </c>
      <c r="N174" s="72">
        <f t="shared" si="64"/>
        <v>1340.4102105263105</v>
      </c>
      <c r="O174" s="72">
        <f t="shared" si="65"/>
        <v>1072.3281684210485</v>
      </c>
    </row>
    <row r="175" spans="2:15" ht="16.5" customHeight="1" x14ac:dyDescent="0.15">
      <c r="B175" s="376" t="s">
        <v>205</v>
      </c>
      <c r="C175" s="376"/>
      <c r="D175" s="639" t="s">
        <v>300</v>
      </c>
      <c r="E175" s="393"/>
      <c r="F175" s="393"/>
      <c r="G175" s="393"/>
      <c r="H175" s="82" t="s">
        <v>309</v>
      </c>
      <c r="I175" s="72">
        <f>+M114</f>
        <v>2062.1695546558622</v>
      </c>
      <c r="J175" s="149">
        <f t="shared" si="18"/>
        <v>2062.1695546558622</v>
      </c>
      <c r="K175" s="72">
        <f t="shared" si="19"/>
        <v>1031.0847773279311</v>
      </c>
      <c r="L175" s="150">
        <f t="shared" si="20"/>
        <v>824.86782186234495</v>
      </c>
      <c r="M175" s="72">
        <f t="shared" si="63"/>
        <v>2680.820421052621</v>
      </c>
      <c r="N175" s="72">
        <f t="shared" si="64"/>
        <v>1340.4102105263105</v>
      </c>
      <c r="O175" s="72">
        <f t="shared" si="65"/>
        <v>1072.3281684210485</v>
      </c>
    </row>
    <row r="176" spans="2:15" ht="16.5" customHeight="1" x14ac:dyDescent="0.15">
      <c r="B176" s="376"/>
      <c r="C176" s="376"/>
      <c r="D176" s="639"/>
      <c r="E176" s="393">
        <f t="shared" si="58"/>
        <v>34</v>
      </c>
      <c r="F176" s="393">
        <f t="shared" ref="F176" si="68">+F174+1</f>
        <v>59</v>
      </c>
      <c r="G176" s="393">
        <f t="shared" ref="G176" si="69">+G174+1</f>
        <v>84</v>
      </c>
      <c r="H176" s="82" t="s">
        <v>308</v>
      </c>
      <c r="I176" s="72">
        <f>+L114</f>
        <v>792</v>
      </c>
      <c r="J176" s="149">
        <f>+I176</f>
        <v>792</v>
      </c>
      <c r="K176" s="72">
        <f t="shared" ref="K176:L176" si="70">+J176</f>
        <v>792</v>
      </c>
      <c r="L176" s="150">
        <f t="shared" si="70"/>
        <v>792</v>
      </c>
      <c r="M176" s="72">
        <f t="shared" si="63"/>
        <v>1029.6000000000001</v>
      </c>
      <c r="N176" s="72">
        <f t="shared" si="64"/>
        <v>1029.6000000000001</v>
      </c>
      <c r="O176" s="72">
        <f t="shared" si="65"/>
        <v>1029.6000000000001</v>
      </c>
    </row>
    <row r="177" spans="2:15" ht="16.5" customHeight="1" x14ac:dyDescent="0.15">
      <c r="B177" s="376"/>
      <c r="C177" s="376"/>
      <c r="D177" s="639"/>
      <c r="E177" s="393"/>
      <c r="F177" s="393"/>
      <c r="G177" s="393"/>
      <c r="H177" s="82" t="s">
        <v>309</v>
      </c>
      <c r="I177" s="72">
        <f>+L116</f>
        <v>792</v>
      </c>
      <c r="J177" s="149">
        <f t="shared" ref="J177:L177" si="71">+I177</f>
        <v>792</v>
      </c>
      <c r="K177" s="72">
        <f t="shared" si="71"/>
        <v>792</v>
      </c>
      <c r="L177" s="150">
        <f t="shared" si="71"/>
        <v>792</v>
      </c>
      <c r="M177" s="72">
        <f t="shared" si="63"/>
        <v>1029.6000000000001</v>
      </c>
      <c r="N177" s="72">
        <f t="shared" si="64"/>
        <v>1029.6000000000001</v>
      </c>
      <c r="O177" s="72">
        <f t="shared" si="65"/>
        <v>1029.6000000000001</v>
      </c>
    </row>
    <row r="178" spans="2:15" ht="16.5" customHeight="1" x14ac:dyDescent="0.15">
      <c r="B178" s="376"/>
      <c r="C178" s="376"/>
      <c r="D178" s="639"/>
      <c r="E178" s="393">
        <f t="shared" si="58"/>
        <v>35</v>
      </c>
      <c r="F178" s="393">
        <f t="shared" ref="F178" si="72">+F176+1</f>
        <v>60</v>
      </c>
      <c r="G178" s="393">
        <f t="shared" ref="G178" si="73">+G176+1</f>
        <v>85</v>
      </c>
      <c r="H178" s="82" t="s">
        <v>308</v>
      </c>
      <c r="I178" s="72">
        <f>+L116</f>
        <v>792</v>
      </c>
      <c r="J178" s="149">
        <f t="shared" ref="J178:L178" si="74">+I178</f>
        <v>792</v>
      </c>
      <c r="K178" s="72">
        <f t="shared" si="74"/>
        <v>792</v>
      </c>
      <c r="L178" s="150">
        <f t="shared" si="74"/>
        <v>792</v>
      </c>
      <c r="M178" s="72">
        <f t="shared" si="63"/>
        <v>1029.6000000000001</v>
      </c>
      <c r="N178" s="72">
        <f t="shared" si="64"/>
        <v>1029.6000000000001</v>
      </c>
      <c r="O178" s="72">
        <f t="shared" si="65"/>
        <v>1029.6000000000001</v>
      </c>
    </row>
    <row r="179" spans="2:15" ht="16.5" customHeight="1" x14ac:dyDescent="0.15">
      <c r="B179" s="376"/>
      <c r="C179" s="376"/>
      <c r="D179" s="639"/>
      <c r="E179" s="393"/>
      <c r="F179" s="393"/>
      <c r="G179" s="393"/>
      <c r="H179" s="82" t="s">
        <v>309</v>
      </c>
      <c r="I179" s="72">
        <f>+L118</f>
        <v>792</v>
      </c>
      <c r="J179" s="149">
        <f t="shared" ref="J179:L179" si="75">+I179</f>
        <v>792</v>
      </c>
      <c r="K179" s="72">
        <f t="shared" si="75"/>
        <v>792</v>
      </c>
      <c r="L179" s="150">
        <f t="shared" si="75"/>
        <v>792</v>
      </c>
      <c r="M179" s="72">
        <f t="shared" si="63"/>
        <v>1029.6000000000001</v>
      </c>
      <c r="N179" s="72">
        <f t="shared" si="64"/>
        <v>1029.6000000000001</v>
      </c>
      <c r="O179" s="72">
        <f t="shared" si="65"/>
        <v>1029.6000000000001</v>
      </c>
    </row>
    <row r="180" spans="2:15" ht="16.5" customHeight="1" x14ac:dyDescent="0.15">
      <c r="B180" s="376"/>
      <c r="C180" s="376"/>
      <c r="D180" s="639"/>
      <c r="E180" s="393">
        <f t="shared" si="58"/>
        <v>36</v>
      </c>
      <c r="F180" s="393">
        <f t="shared" ref="F180" si="76">+F178+1</f>
        <v>61</v>
      </c>
      <c r="G180" s="393">
        <f t="shared" ref="G180" si="77">+G178+1</f>
        <v>86</v>
      </c>
      <c r="H180" s="82" t="s">
        <v>308</v>
      </c>
      <c r="I180" s="72">
        <f>+L118</f>
        <v>792</v>
      </c>
      <c r="J180" s="149">
        <f t="shared" ref="J180:L180" si="78">+I180</f>
        <v>792</v>
      </c>
      <c r="K180" s="72">
        <f t="shared" si="78"/>
        <v>792</v>
      </c>
      <c r="L180" s="150">
        <f t="shared" si="78"/>
        <v>792</v>
      </c>
      <c r="M180" s="72">
        <f t="shared" si="63"/>
        <v>1029.6000000000001</v>
      </c>
      <c r="N180" s="72">
        <f t="shared" si="64"/>
        <v>1029.6000000000001</v>
      </c>
      <c r="O180" s="72">
        <f t="shared" si="65"/>
        <v>1029.6000000000001</v>
      </c>
    </row>
    <row r="181" spans="2:15" ht="16.5" customHeight="1" x14ac:dyDescent="0.15">
      <c r="B181" s="376"/>
      <c r="C181" s="376"/>
      <c r="D181" s="639"/>
      <c r="E181" s="393"/>
      <c r="F181" s="393"/>
      <c r="G181" s="393"/>
      <c r="H181" s="82" t="s">
        <v>309</v>
      </c>
      <c r="I181" s="72">
        <f>+L120</f>
        <v>792</v>
      </c>
      <c r="J181" s="149">
        <f t="shared" ref="J181:L181" si="79">+I181</f>
        <v>792</v>
      </c>
      <c r="K181" s="72">
        <f t="shared" si="79"/>
        <v>792</v>
      </c>
      <c r="L181" s="150">
        <f t="shared" si="79"/>
        <v>792</v>
      </c>
      <c r="M181" s="72">
        <f t="shared" si="63"/>
        <v>1029.6000000000001</v>
      </c>
      <c r="N181" s="72">
        <f t="shared" si="64"/>
        <v>1029.6000000000001</v>
      </c>
      <c r="O181" s="72">
        <f t="shared" si="65"/>
        <v>1029.6000000000001</v>
      </c>
    </row>
    <row r="182" spans="2:15" ht="16.5" customHeight="1" x14ac:dyDescent="0.15">
      <c r="B182" s="376"/>
      <c r="C182" s="376"/>
      <c r="D182" s="639"/>
      <c r="E182" s="393">
        <f t="shared" si="58"/>
        <v>37</v>
      </c>
      <c r="F182" s="393">
        <f t="shared" ref="F182" si="80">+F180+1</f>
        <v>62</v>
      </c>
      <c r="G182" s="393">
        <f t="shared" ref="G182" si="81">+G180+1</f>
        <v>87</v>
      </c>
      <c r="H182" s="82" t="s">
        <v>308</v>
      </c>
      <c r="I182" s="72">
        <f>+L120</f>
        <v>792</v>
      </c>
      <c r="J182" s="149">
        <f t="shared" ref="J182:L182" si="82">+I182</f>
        <v>792</v>
      </c>
      <c r="K182" s="72">
        <f t="shared" si="82"/>
        <v>792</v>
      </c>
      <c r="L182" s="150">
        <f t="shared" si="82"/>
        <v>792</v>
      </c>
      <c r="M182" s="72">
        <f t="shared" si="63"/>
        <v>1029.6000000000001</v>
      </c>
      <c r="N182" s="72">
        <f t="shared" si="64"/>
        <v>1029.6000000000001</v>
      </c>
      <c r="O182" s="72">
        <f t="shared" si="65"/>
        <v>1029.6000000000001</v>
      </c>
    </row>
    <row r="183" spans="2:15" ht="16.5" customHeight="1" x14ac:dyDescent="0.15">
      <c r="B183" s="376"/>
      <c r="C183" s="376"/>
      <c r="D183" s="639"/>
      <c r="E183" s="393"/>
      <c r="F183" s="393"/>
      <c r="G183" s="393"/>
      <c r="H183" s="82" t="s">
        <v>309</v>
      </c>
      <c r="I183" s="72">
        <f>+L122</f>
        <v>792</v>
      </c>
      <c r="J183" s="149">
        <f t="shared" ref="J183:L183" si="83">+I183</f>
        <v>792</v>
      </c>
      <c r="K183" s="72">
        <f t="shared" si="83"/>
        <v>792</v>
      </c>
      <c r="L183" s="150">
        <f t="shared" si="83"/>
        <v>792</v>
      </c>
      <c r="M183" s="72">
        <f t="shared" si="63"/>
        <v>1029.6000000000001</v>
      </c>
      <c r="N183" s="72">
        <f t="shared" si="64"/>
        <v>1029.6000000000001</v>
      </c>
      <c r="O183" s="72">
        <f t="shared" si="65"/>
        <v>1029.6000000000001</v>
      </c>
    </row>
    <row r="184" spans="2:15" ht="16.5" customHeight="1" x14ac:dyDescent="0.15">
      <c r="B184" s="376"/>
      <c r="C184" s="376"/>
      <c r="D184" s="639"/>
      <c r="E184" s="393">
        <f t="shared" si="58"/>
        <v>38</v>
      </c>
      <c r="F184" s="393">
        <f t="shared" ref="F184" si="84">+F182+1</f>
        <v>63</v>
      </c>
      <c r="G184" s="393">
        <f t="shared" ref="G184" si="85">+G182+1</f>
        <v>88</v>
      </c>
      <c r="H184" s="82" t="s">
        <v>308</v>
      </c>
      <c r="I184" s="72">
        <f>+L122</f>
        <v>792</v>
      </c>
      <c r="J184" s="149">
        <f t="shared" ref="J184:L184" si="86">+I184</f>
        <v>792</v>
      </c>
      <c r="K184" s="72">
        <f t="shared" si="86"/>
        <v>792</v>
      </c>
      <c r="L184" s="150">
        <f t="shared" si="86"/>
        <v>792</v>
      </c>
      <c r="M184" s="72">
        <f t="shared" si="63"/>
        <v>1029.6000000000001</v>
      </c>
      <c r="N184" s="72">
        <f t="shared" si="64"/>
        <v>1029.6000000000001</v>
      </c>
      <c r="O184" s="72">
        <f t="shared" si="65"/>
        <v>1029.6000000000001</v>
      </c>
    </row>
    <row r="185" spans="2:15" ht="16.5" customHeight="1" x14ac:dyDescent="0.15">
      <c r="B185" s="376"/>
      <c r="C185" s="376"/>
      <c r="D185" s="639"/>
      <c r="E185" s="393"/>
      <c r="F185" s="393"/>
      <c r="G185" s="393"/>
      <c r="H185" s="82" t="s">
        <v>309</v>
      </c>
      <c r="I185" s="72">
        <f>+L124</f>
        <v>792</v>
      </c>
      <c r="J185" s="149">
        <f t="shared" ref="J185:L185" si="87">+I185</f>
        <v>792</v>
      </c>
      <c r="K185" s="72">
        <f t="shared" si="87"/>
        <v>792</v>
      </c>
      <c r="L185" s="150">
        <f t="shared" si="87"/>
        <v>792</v>
      </c>
      <c r="M185" s="72">
        <f t="shared" si="63"/>
        <v>1029.6000000000001</v>
      </c>
      <c r="N185" s="72">
        <f t="shared" si="64"/>
        <v>1029.6000000000001</v>
      </c>
      <c r="O185" s="72">
        <f t="shared" si="65"/>
        <v>1029.6000000000001</v>
      </c>
    </row>
    <row r="186" spans="2:15" ht="16.5" customHeight="1" x14ac:dyDescent="0.15">
      <c r="B186" s="376"/>
      <c r="C186" s="376"/>
      <c r="D186" s="639"/>
      <c r="E186" s="393">
        <f t="shared" si="58"/>
        <v>39</v>
      </c>
      <c r="F186" s="393">
        <f t="shared" ref="F186" si="88">+F184+1</f>
        <v>64</v>
      </c>
      <c r="G186" s="393">
        <f t="shared" ref="G186" si="89">+G184+1</f>
        <v>89</v>
      </c>
      <c r="H186" s="82" t="s">
        <v>308</v>
      </c>
      <c r="I186" s="72">
        <f>+L124</f>
        <v>792</v>
      </c>
      <c r="J186" s="149">
        <f t="shared" ref="J186:L186" si="90">+I186</f>
        <v>792</v>
      </c>
      <c r="K186" s="72">
        <f t="shared" si="90"/>
        <v>792</v>
      </c>
      <c r="L186" s="150">
        <f t="shared" si="90"/>
        <v>792</v>
      </c>
      <c r="M186" s="72">
        <f t="shared" si="63"/>
        <v>1029.6000000000001</v>
      </c>
      <c r="N186" s="72">
        <f t="shared" si="64"/>
        <v>1029.6000000000001</v>
      </c>
      <c r="O186" s="72">
        <f t="shared" si="65"/>
        <v>1029.6000000000001</v>
      </c>
    </row>
    <row r="187" spans="2:15" ht="16.5" customHeight="1" x14ac:dyDescent="0.15">
      <c r="B187" s="376"/>
      <c r="C187" s="376"/>
      <c r="D187" s="639"/>
      <c r="E187" s="393"/>
      <c r="F187" s="393"/>
      <c r="G187" s="393"/>
      <c r="H187" s="82" t="s">
        <v>309</v>
      </c>
      <c r="I187" s="72">
        <f>+L126</f>
        <v>792</v>
      </c>
      <c r="J187" s="149">
        <f t="shared" ref="J187:L187" si="91">+I187</f>
        <v>792</v>
      </c>
      <c r="K187" s="72">
        <f t="shared" si="91"/>
        <v>792</v>
      </c>
      <c r="L187" s="150">
        <f t="shared" si="91"/>
        <v>792</v>
      </c>
      <c r="M187" s="72">
        <f t="shared" si="63"/>
        <v>1029.6000000000001</v>
      </c>
      <c r="N187" s="72">
        <f t="shared" si="64"/>
        <v>1029.6000000000001</v>
      </c>
      <c r="O187" s="72">
        <f t="shared" si="65"/>
        <v>1029.6000000000001</v>
      </c>
    </row>
    <row r="188" spans="2:15" ht="16.5" customHeight="1" x14ac:dyDescent="0.15">
      <c r="B188" s="376"/>
      <c r="C188" s="376"/>
      <c r="D188" s="639"/>
      <c r="E188" s="393">
        <f t="shared" si="58"/>
        <v>40</v>
      </c>
      <c r="F188" s="393">
        <f t="shared" ref="F188" si="92">+F186+1</f>
        <v>65</v>
      </c>
      <c r="G188" s="393">
        <f t="shared" ref="G188" si="93">+G186+1</f>
        <v>90</v>
      </c>
      <c r="H188" s="82" t="s">
        <v>308</v>
      </c>
      <c r="I188" s="72">
        <f>+L126</f>
        <v>792</v>
      </c>
      <c r="J188" s="149">
        <f t="shared" ref="J188:L188" si="94">+I188</f>
        <v>792</v>
      </c>
      <c r="K188" s="72">
        <f t="shared" si="94"/>
        <v>792</v>
      </c>
      <c r="L188" s="150">
        <f t="shared" si="94"/>
        <v>792</v>
      </c>
      <c r="M188" s="72">
        <f t="shared" si="63"/>
        <v>1029.6000000000001</v>
      </c>
      <c r="N188" s="72">
        <f t="shared" si="64"/>
        <v>1029.6000000000001</v>
      </c>
      <c r="O188" s="72">
        <f t="shared" si="65"/>
        <v>1029.6000000000001</v>
      </c>
    </row>
    <row r="189" spans="2:15" ht="16.5" customHeight="1" x14ac:dyDescent="0.15">
      <c r="B189" s="376"/>
      <c r="C189" s="376"/>
      <c r="D189" s="639"/>
      <c r="E189" s="393"/>
      <c r="F189" s="393"/>
      <c r="G189" s="393"/>
      <c r="H189" s="82" t="s">
        <v>309</v>
      </c>
      <c r="I189" s="72">
        <f>+L128</f>
        <v>792</v>
      </c>
      <c r="J189" s="149">
        <f t="shared" ref="J189:L189" si="95">+I189</f>
        <v>792</v>
      </c>
      <c r="K189" s="72">
        <f t="shared" si="95"/>
        <v>792</v>
      </c>
      <c r="L189" s="150">
        <f t="shared" si="95"/>
        <v>792</v>
      </c>
      <c r="M189" s="72">
        <f t="shared" si="63"/>
        <v>1029.6000000000001</v>
      </c>
      <c r="N189" s="72">
        <f t="shared" si="64"/>
        <v>1029.6000000000001</v>
      </c>
      <c r="O189" s="72">
        <f t="shared" si="65"/>
        <v>1029.6000000000001</v>
      </c>
    </row>
    <row r="190" spans="2:15" ht="16.5" customHeight="1" x14ac:dyDescent="0.15">
      <c r="B190" s="376"/>
      <c r="C190" s="376"/>
      <c r="D190" s="639"/>
      <c r="E190" s="393">
        <f t="shared" si="58"/>
        <v>41</v>
      </c>
      <c r="F190" s="393">
        <f t="shared" ref="F190" si="96">+F188+1</f>
        <v>66</v>
      </c>
      <c r="G190" s="393">
        <f t="shared" ref="G190" si="97">+G188+1</f>
        <v>91</v>
      </c>
      <c r="H190" s="82" t="s">
        <v>308</v>
      </c>
      <c r="I190" s="72">
        <f>+L128</f>
        <v>792</v>
      </c>
      <c r="J190" s="149">
        <f t="shared" ref="J190:L190" si="98">+I190</f>
        <v>792</v>
      </c>
      <c r="K190" s="72">
        <f t="shared" si="98"/>
        <v>792</v>
      </c>
      <c r="L190" s="150">
        <f t="shared" si="98"/>
        <v>792</v>
      </c>
      <c r="M190" s="72">
        <f t="shared" si="63"/>
        <v>1029.6000000000001</v>
      </c>
      <c r="N190" s="72">
        <f t="shared" si="64"/>
        <v>1029.6000000000001</v>
      </c>
      <c r="O190" s="72">
        <f t="shared" si="65"/>
        <v>1029.6000000000001</v>
      </c>
    </row>
    <row r="191" spans="2:15" ht="16.5" customHeight="1" x14ac:dyDescent="0.15">
      <c r="B191" s="376"/>
      <c r="C191" s="376"/>
      <c r="D191" s="639"/>
      <c r="E191" s="393"/>
      <c r="F191" s="393"/>
      <c r="G191" s="393"/>
      <c r="H191" s="82" t="s">
        <v>309</v>
      </c>
      <c r="I191" s="72">
        <f>+L130</f>
        <v>792</v>
      </c>
      <c r="J191" s="149">
        <f t="shared" ref="J191:L191" si="99">+I191</f>
        <v>792</v>
      </c>
      <c r="K191" s="72">
        <f t="shared" si="99"/>
        <v>792</v>
      </c>
      <c r="L191" s="150">
        <f t="shared" si="99"/>
        <v>792</v>
      </c>
      <c r="M191" s="72">
        <f t="shared" si="63"/>
        <v>1029.6000000000001</v>
      </c>
      <c r="N191" s="72">
        <f t="shared" si="64"/>
        <v>1029.6000000000001</v>
      </c>
      <c r="O191" s="72">
        <f t="shared" si="65"/>
        <v>1029.6000000000001</v>
      </c>
    </row>
    <row r="194" spans="3:15" ht="16.5" customHeight="1" x14ac:dyDescent="0.15">
      <c r="C194" s="18"/>
    </row>
    <row r="195" spans="3:15" ht="16.5" customHeight="1" x14ac:dyDescent="0.15">
      <c r="C195" s="21" t="s">
        <v>222</v>
      </c>
      <c r="D195" s="17" t="s">
        <v>319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</row>
    <row r="196" spans="3:15" ht="16.5" customHeight="1" x14ac:dyDescent="0.15">
      <c r="C196" s="21"/>
      <c r="D196" s="17" t="s">
        <v>202</v>
      </c>
      <c r="E196" s="68">
        <f>+E140</f>
        <v>1.3</v>
      </c>
      <c r="F196" s="17" t="s">
        <v>29</v>
      </c>
      <c r="G196" s="17"/>
      <c r="H196" s="17"/>
      <c r="I196" s="17"/>
      <c r="J196" s="17"/>
      <c r="K196" s="17"/>
      <c r="L196" s="17"/>
      <c r="M196" s="17"/>
      <c r="N196" s="17"/>
      <c r="O196" s="17"/>
    </row>
    <row r="197" spans="3:15" ht="16.5" customHeight="1" x14ac:dyDescent="0.15">
      <c r="C197" s="21"/>
      <c r="D197" s="17" t="s">
        <v>200</v>
      </c>
      <c r="E197" s="77">
        <v>2</v>
      </c>
      <c r="F197" s="17" t="s">
        <v>206</v>
      </c>
      <c r="G197" s="20" t="s">
        <v>317</v>
      </c>
      <c r="H197" s="17"/>
      <c r="I197" s="17"/>
      <c r="J197" s="17"/>
      <c r="K197" s="17"/>
      <c r="L197" s="17"/>
      <c r="M197" s="17"/>
      <c r="N197" s="17"/>
      <c r="O197" s="17"/>
    </row>
    <row r="198" spans="3:15" ht="16.5" customHeight="1" x14ac:dyDescent="0.15">
      <c r="C198" s="21"/>
      <c r="D198" s="17"/>
      <c r="E198" s="77">
        <v>1</v>
      </c>
      <c r="F198" s="17" t="s">
        <v>206</v>
      </c>
      <c r="G198" s="17" t="s">
        <v>318</v>
      </c>
      <c r="H198" s="17"/>
      <c r="I198" s="17"/>
      <c r="J198" s="17"/>
      <c r="K198" s="17"/>
      <c r="L198" s="17"/>
      <c r="M198" s="17"/>
      <c r="N198" s="17"/>
      <c r="O198" s="17"/>
    </row>
    <row r="199" spans="3:15" ht="16.5" customHeight="1" x14ac:dyDescent="0.15">
      <c r="C199" s="21"/>
      <c r="D199" s="368" t="s">
        <v>201</v>
      </c>
      <c r="E199" s="369"/>
      <c r="F199" s="369"/>
      <c r="G199" s="647" t="s">
        <v>322</v>
      </c>
      <c r="H199" s="647"/>
      <c r="I199" s="647"/>
      <c r="J199" s="647"/>
      <c r="K199" s="647"/>
      <c r="L199" s="647"/>
      <c r="M199" s="17"/>
    </row>
    <row r="200" spans="3:15" ht="16.5" customHeight="1" x14ac:dyDescent="0.15">
      <c r="C200" s="21"/>
      <c r="D200" s="371"/>
      <c r="E200" s="286"/>
      <c r="F200" s="286"/>
      <c r="G200" s="647"/>
      <c r="H200" s="647"/>
      <c r="I200" s="647"/>
      <c r="J200" s="647"/>
      <c r="K200" s="647"/>
      <c r="L200" s="647"/>
      <c r="M200" s="17"/>
    </row>
    <row r="201" spans="3:15" ht="16.5" customHeight="1" x14ac:dyDescent="0.15">
      <c r="C201" s="21"/>
      <c r="D201" s="356"/>
      <c r="E201" s="324"/>
      <c r="F201" s="324"/>
      <c r="G201" s="640" t="s">
        <v>320</v>
      </c>
      <c r="H201" s="640"/>
      <c r="I201" s="641"/>
      <c r="J201" s="646" t="s">
        <v>321</v>
      </c>
      <c r="K201" s="640"/>
      <c r="L201" s="640"/>
      <c r="M201" s="17"/>
    </row>
    <row r="202" spans="3:15" ht="16.5" customHeight="1" x14ac:dyDescent="0.15">
      <c r="C202" s="21"/>
      <c r="D202" s="360">
        <v>18</v>
      </c>
      <c r="E202" s="360">
        <v>43</v>
      </c>
      <c r="F202" s="642">
        <v>68</v>
      </c>
      <c r="G202" s="151">
        <f t="shared" ref="G202:G249" si="100">+$E$197*O144</f>
        <v>715.52</v>
      </c>
      <c r="H202" s="151">
        <f t="shared" ref="H202:H249" si="101">+$E$198*N144</f>
        <v>447.2</v>
      </c>
      <c r="I202" s="152">
        <f t="shared" ref="I202:I249" si="102">+$E$197*M144</f>
        <v>1788.8</v>
      </c>
      <c r="J202" s="153">
        <f>+I202</f>
        <v>1788.8</v>
      </c>
      <c r="K202" s="151">
        <f>+H202</f>
        <v>447.2</v>
      </c>
      <c r="L202" s="151">
        <f>+G202</f>
        <v>715.52</v>
      </c>
      <c r="M202" s="17"/>
    </row>
    <row r="203" spans="3:15" ht="16.5" customHeight="1" x14ac:dyDescent="0.15">
      <c r="C203" s="21"/>
      <c r="D203" s="360"/>
      <c r="E203" s="360"/>
      <c r="F203" s="642"/>
      <c r="G203" s="168">
        <f t="shared" si="100"/>
        <v>849.12218181818196</v>
      </c>
      <c r="H203" s="168">
        <f t="shared" si="101"/>
        <v>530.70136363636368</v>
      </c>
      <c r="I203" s="169">
        <f t="shared" si="102"/>
        <v>2122.8054545454547</v>
      </c>
      <c r="J203" s="170">
        <f t="shared" ref="J203:J249" si="103">+I203</f>
        <v>2122.8054545454547</v>
      </c>
      <c r="K203" s="168">
        <f t="shared" ref="K203:K222" si="104">+H203</f>
        <v>530.70136363636368</v>
      </c>
      <c r="L203" s="168">
        <f t="shared" ref="L203:L222" si="105">+G203</f>
        <v>849.12218181818196</v>
      </c>
      <c r="M203" s="17"/>
    </row>
    <row r="204" spans="3:15" ht="16.5" customHeight="1" x14ac:dyDescent="0.15">
      <c r="C204" s="21"/>
      <c r="D204" s="393">
        <f>+D202+1</f>
        <v>19</v>
      </c>
      <c r="E204" s="393">
        <f t="shared" ref="E204" si="106">+E202+1</f>
        <v>44</v>
      </c>
      <c r="F204" s="644">
        <f t="shared" ref="F204" si="107">+F202+1</f>
        <v>69</v>
      </c>
      <c r="G204" s="151">
        <f t="shared" si="100"/>
        <v>849.12218181818196</v>
      </c>
      <c r="H204" s="151">
        <f t="shared" si="101"/>
        <v>530.70136363636368</v>
      </c>
      <c r="I204" s="152">
        <f t="shared" si="102"/>
        <v>2122.8054545454547</v>
      </c>
      <c r="J204" s="153">
        <f t="shared" si="103"/>
        <v>2122.8054545454547</v>
      </c>
      <c r="K204" s="151">
        <f t="shared" si="104"/>
        <v>530.70136363636368</v>
      </c>
      <c r="L204" s="151">
        <f t="shared" si="105"/>
        <v>849.12218181818196</v>
      </c>
      <c r="M204" s="17"/>
    </row>
    <row r="205" spans="3:15" ht="16.5" customHeight="1" x14ac:dyDescent="0.15">
      <c r="C205" s="21"/>
      <c r="D205" s="393"/>
      <c r="E205" s="393"/>
      <c r="F205" s="644"/>
      <c r="G205" s="168">
        <f t="shared" si="100"/>
        <v>982.72436363636371</v>
      </c>
      <c r="H205" s="168">
        <f t="shared" si="101"/>
        <v>614.20272727272732</v>
      </c>
      <c r="I205" s="169">
        <f t="shared" si="102"/>
        <v>2456.8109090909093</v>
      </c>
      <c r="J205" s="170">
        <f t="shared" si="103"/>
        <v>2456.8109090909093</v>
      </c>
      <c r="K205" s="168">
        <f t="shared" si="104"/>
        <v>614.20272727272732</v>
      </c>
      <c r="L205" s="168">
        <f t="shared" si="105"/>
        <v>982.72436363636371</v>
      </c>
      <c r="M205" s="17"/>
    </row>
    <row r="206" spans="3:15" ht="16.5" customHeight="1" x14ac:dyDescent="0.15">
      <c r="C206" s="21"/>
      <c r="D206" s="393">
        <f t="shared" ref="D206" si="108">+D204+1</f>
        <v>20</v>
      </c>
      <c r="E206" s="393">
        <f t="shared" ref="E206" si="109">+E204+1</f>
        <v>45</v>
      </c>
      <c r="F206" s="644">
        <f t="shared" ref="F206" si="110">+F204+1</f>
        <v>70</v>
      </c>
      <c r="G206" s="151">
        <f t="shared" si="100"/>
        <v>1303.6340979020983</v>
      </c>
      <c r="H206" s="151">
        <f t="shared" si="101"/>
        <v>814.7713111888113</v>
      </c>
      <c r="I206" s="152">
        <f t="shared" si="102"/>
        <v>3259.0852447552452</v>
      </c>
      <c r="J206" s="153">
        <f t="shared" si="103"/>
        <v>3259.0852447552452</v>
      </c>
      <c r="K206" s="151">
        <f t="shared" si="104"/>
        <v>814.7713111888113</v>
      </c>
      <c r="L206" s="151">
        <f t="shared" si="105"/>
        <v>1303.6340979020983</v>
      </c>
      <c r="M206" s="17"/>
    </row>
    <row r="207" spans="3:15" ht="16.5" customHeight="1" x14ac:dyDescent="0.15">
      <c r="C207" s="21"/>
      <c r="D207" s="393"/>
      <c r="E207" s="393"/>
      <c r="F207" s="644"/>
      <c r="G207" s="168">
        <f t="shared" si="100"/>
        <v>1303.6340979020983</v>
      </c>
      <c r="H207" s="168">
        <f t="shared" si="101"/>
        <v>814.7713111888113</v>
      </c>
      <c r="I207" s="169">
        <f t="shared" si="102"/>
        <v>3259.0852447552452</v>
      </c>
      <c r="J207" s="170">
        <f t="shared" si="103"/>
        <v>3259.0852447552452</v>
      </c>
      <c r="K207" s="168">
        <f t="shared" si="104"/>
        <v>814.7713111888113</v>
      </c>
      <c r="L207" s="168">
        <f t="shared" si="105"/>
        <v>1303.6340979020983</v>
      </c>
      <c r="M207" s="17"/>
    </row>
    <row r="208" spans="3:15" ht="16.5" customHeight="1" x14ac:dyDescent="0.15">
      <c r="C208" s="21"/>
      <c r="D208" s="393">
        <f t="shared" ref="D208" si="111">+D206+1</f>
        <v>21</v>
      </c>
      <c r="E208" s="393">
        <f t="shared" ref="E208" si="112">+E206+1</f>
        <v>46</v>
      </c>
      <c r="F208" s="644">
        <f t="shared" ref="F208" si="113">+F206+1</f>
        <v>71</v>
      </c>
      <c r="G208" s="151">
        <f t="shared" si="100"/>
        <v>1138.2575384615379</v>
      </c>
      <c r="H208" s="151">
        <f t="shared" si="101"/>
        <v>711.41096153846115</v>
      </c>
      <c r="I208" s="152">
        <f t="shared" si="102"/>
        <v>2845.6438461538446</v>
      </c>
      <c r="J208" s="153">
        <f t="shared" si="103"/>
        <v>2845.6438461538446</v>
      </c>
      <c r="K208" s="151">
        <f t="shared" si="104"/>
        <v>711.41096153846115</v>
      </c>
      <c r="L208" s="151">
        <f t="shared" si="105"/>
        <v>1138.2575384615379</v>
      </c>
      <c r="M208" s="17"/>
    </row>
    <row r="209" spans="3:13" ht="16.5" customHeight="1" x14ac:dyDescent="0.15">
      <c r="C209" s="21"/>
      <c r="D209" s="393"/>
      <c r="E209" s="393"/>
      <c r="F209" s="644"/>
      <c r="G209" s="168">
        <f t="shared" si="100"/>
        <v>1138.2575384615379</v>
      </c>
      <c r="H209" s="168">
        <f t="shared" si="101"/>
        <v>711.41096153846115</v>
      </c>
      <c r="I209" s="169">
        <f t="shared" si="102"/>
        <v>2845.6438461538446</v>
      </c>
      <c r="J209" s="170">
        <f t="shared" si="103"/>
        <v>2845.6438461538446</v>
      </c>
      <c r="K209" s="168">
        <f t="shared" si="104"/>
        <v>711.41096153846115</v>
      </c>
      <c r="L209" s="168">
        <f t="shared" si="105"/>
        <v>1138.2575384615379</v>
      </c>
      <c r="M209" s="17"/>
    </row>
    <row r="210" spans="3:13" ht="16.5" customHeight="1" x14ac:dyDescent="0.15">
      <c r="C210" s="21"/>
      <c r="D210" s="393">
        <f t="shared" ref="D210" si="114">+D208+1</f>
        <v>22</v>
      </c>
      <c r="E210" s="393">
        <f t="shared" ref="E210" si="115">+E208+1</f>
        <v>47</v>
      </c>
      <c r="F210" s="644">
        <f t="shared" ref="F210" si="116">+F208+1</f>
        <v>72</v>
      </c>
      <c r="G210" s="151">
        <f t="shared" si="100"/>
        <v>468</v>
      </c>
      <c r="H210" s="151">
        <f t="shared" si="101"/>
        <v>292.5</v>
      </c>
      <c r="I210" s="152">
        <f t="shared" si="102"/>
        <v>1170</v>
      </c>
      <c r="J210" s="153">
        <f t="shared" si="103"/>
        <v>1170</v>
      </c>
      <c r="K210" s="151">
        <f t="shared" si="104"/>
        <v>292.5</v>
      </c>
      <c r="L210" s="151">
        <f t="shared" si="105"/>
        <v>468</v>
      </c>
      <c r="M210" s="17"/>
    </row>
    <row r="211" spans="3:13" ht="16.5" customHeight="1" x14ac:dyDescent="0.15">
      <c r="C211" s="21"/>
      <c r="D211" s="393"/>
      <c r="E211" s="393"/>
      <c r="F211" s="644"/>
      <c r="G211" s="168">
        <f t="shared" si="100"/>
        <v>468</v>
      </c>
      <c r="H211" s="168">
        <f t="shared" si="101"/>
        <v>292.5</v>
      </c>
      <c r="I211" s="169">
        <f t="shared" si="102"/>
        <v>1170</v>
      </c>
      <c r="J211" s="170">
        <f t="shared" si="103"/>
        <v>1170</v>
      </c>
      <c r="K211" s="168">
        <f t="shared" si="104"/>
        <v>292.5</v>
      </c>
      <c r="L211" s="168">
        <f t="shared" si="105"/>
        <v>468</v>
      </c>
      <c r="M211" s="17"/>
    </row>
    <row r="212" spans="3:13" ht="16.5" customHeight="1" x14ac:dyDescent="0.15">
      <c r="C212" s="21"/>
      <c r="D212" s="393">
        <f t="shared" ref="D212" si="117">+D210+1</f>
        <v>23</v>
      </c>
      <c r="E212" s="393">
        <f t="shared" ref="E212" si="118">+E210+1</f>
        <v>48</v>
      </c>
      <c r="F212" s="644">
        <f t="shared" ref="F212" si="119">+F210+1</f>
        <v>73</v>
      </c>
      <c r="G212" s="151">
        <f t="shared" si="100"/>
        <v>782.90399999999988</v>
      </c>
      <c r="H212" s="151">
        <f t="shared" si="101"/>
        <v>489.31499999999988</v>
      </c>
      <c r="I212" s="152">
        <f t="shared" si="102"/>
        <v>1957.2599999999995</v>
      </c>
      <c r="J212" s="153">
        <f t="shared" si="103"/>
        <v>1957.2599999999995</v>
      </c>
      <c r="K212" s="151">
        <f t="shared" si="104"/>
        <v>489.31499999999988</v>
      </c>
      <c r="L212" s="151">
        <f t="shared" si="105"/>
        <v>782.90399999999988</v>
      </c>
      <c r="M212" s="17"/>
    </row>
    <row r="213" spans="3:13" ht="16.5" customHeight="1" x14ac:dyDescent="0.15">
      <c r="C213" s="21"/>
      <c r="D213" s="393"/>
      <c r="E213" s="393"/>
      <c r="F213" s="644"/>
      <c r="G213" s="168">
        <f t="shared" si="100"/>
        <v>782.90399999999988</v>
      </c>
      <c r="H213" s="168">
        <f t="shared" si="101"/>
        <v>489.31499999999988</v>
      </c>
      <c r="I213" s="169">
        <f t="shared" si="102"/>
        <v>1957.2599999999995</v>
      </c>
      <c r="J213" s="170">
        <f t="shared" si="103"/>
        <v>1957.2599999999995</v>
      </c>
      <c r="K213" s="168">
        <f t="shared" si="104"/>
        <v>489.31499999999988</v>
      </c>
      <c r="L213" s="168">
        <f t="shared" si="105"/>
        <v>782.90399999999988</v>
      </c>
      <c r="M213" s="17"/>
    </row>
    <row r="214" spans="3:13" ht="16.5" customHeight="1" x14ac:dyDescent="0.15">
      <c r="C214" s="21"/>
      <c r="D214" s="393">
        <f t="shared" ref="D214" si="120">+D212+1</f>
        <v>24</v>
      </c>
      <c r="E214" s="393">
        <f t="shared" ref="E214" si="121">+E212+1</f>
        <v>49</v>
      </c>
      <c r="F214" s="644">
        <f t="shared" ref="F214" si="122">+F212+1</f>
        <v>74</v>
      </c>
      <c r="G214" s="151">
        <f t="shared" si="100"/>
        <v>1848.8080000000002</v>
      </c>
      <c r="H214" s="151">
        <f t="shared" si="101"/>
        <v>1155.5050000000001</v>
      </c>
      <c r="I214" s="152">
        <f t="shared" si="102"/>
        <v>4622.0200000000004</v>
      </c>
      <c r="J214" s="153">
        <f t="shared" si="103"/>
        <v>4622.0200000000004</v>
      </c>
      <c r="K214" s="151">
        <f t="shared" si="104"/>
        <v>1155.5050000000001</v>
      </c>
      <c r="L214" s="151">
        <f t="shared" si="105"/>
        <v>1848.8080000000002</v>
      </c>
      <c r="M214" s="17"/>
    </row>
    <row r="215" spans="3:13" ht="16.5" customHeight="1" x14ac:dyDescent="0.15">
      <c r="C215" s="21"/>
      <c r="D215" s="393"/>
      <c r="E215" s="393"/>
      <c r="F215" s="644"/>
      <c r="G215" s="168">
        <f t="shared" si="100"/>
        <v>1989.4160000000002</v>
      </c>
      <c r="H215" s="168">
        <f t="shared" si="101"/>
        <v>1243.385</v>
      </c>
      <c r="I215" s="169">
        <f t="shared" si="102"/>
        <v>4973.54</v>
      </c>
      <c r="J215" s="170">
        <f t="shared" si="103"/>
        <v>4973.54</v>
      </c>
      <c r="K215" s="168">
        <f t="shared" si="104"/>
        <v>1243.385</v>
      </c>
      <c r="L215" s="168">
        <f t="shared" si="105"/>
        <v>1989.4160000000002</v>
      </c>
      <c r="M215" s="17"/>
    </row>
    <row r="216" spans="3:13" ht="16.5" customHeight="1" x14ac:dyDescent="0.15">
      <c r="C216" s="21"/>
      <c r="D216" s="393">
        <f t="shared" ref="D216" si="123">+D214+1</f>
        <v>25</v>
      </c>
      <c r="E216" s="393">
        <f t="shared" ref="E216" si="124">+E214+1</f>
        <v>50</v>
      </c>
      <c r="F216" s="644">
        <f t="shared" ref="F216" si="125">+F214+1</f>
        <v>75</v>
      </c>
      <c r="G216" s="151">
        <f t="shared" si="100"/>
        <v>1990.9599999999998</v>
      </c>
      <c r="H216" s="151">
        <f t="shared" si="101"/>
        <v>1244.3499999999999</v>
      </c>
      <c r="I216" s="152">
        <f t="shared" si="102"/>
        <v>4977.3999999999996</v>
      </c>
      <c r="J216" s="153">
        <f t="shared" si="103"/>
        <v>4977.3999999999996</v>
      </c>
      <c r="K216" s="151">
        <f t="shared" si="104"/>
        <v>1244.3499999999999</v>
      </c>
      <c r="L216" s="151">
        <f t="shared" si="105"/>
        <v>1990.9599999999998</v>
      </c>
      <c r="M216" s="17"/>
    </row>
    <row r="217" spans="3:13" ht="16.5" customHeight="1" x14ac:dyDescent="0.15">
      <c r="C217" s="21"/>
      <c r="D217" s="393"/>
      <c r="E217" s="393"/>
      <c r="F217" s="644"/>
      <c r="G217" s="168">
        <f t="shared" si="100"/>
        <v>1990.9599999999998</v>
      </c>
      <c r="H217" s="168">
        <f t="shared" si="101"/>
        <v>1244.3499999999999</v>
      </c>
      <c r="I217" s="169">
        <f t="shared" si="102"/>
        <v>4977.3999999999996</v>
      </c>
      <c r="J217" s="170">
        <f t="shared" si="103"/>
        <v>4977.3999999999996</v>
      </c>
      <c r="K217" s="168">
        <f t="shared" si="104"/>
        <v>1244.3499999999999</v>
      </c>
      <c r="L217" s="168">
        <f t="shared" si="105"/>
        <v>1990.9599999999998</v>
      </c>
      <c r="M217" s="17"/>
    </row>
    <row r="218" spans="3:13" ht="16.5" customHeight="1" x14ac:dyDescent="0.15">
      <c r="C218" s="21"/>
      <c r="D218" s="393">
        <f t="shared" ref="D218" si="126">+D216+1</f>
        <v>26</v>
      </c>
      <c r="E218" s="393">
        <f t="shared" ref="E218" si="127">+E216+1</f>
        <v>51</v>
      </c>
      <c r="F218" s="644">
        <f t="shared" ref="F218" si="128">+F216+1</f>
        <v>76</v>
      </c>
      <c r="G218" s="151">
        <f t="shared" si="100"/>
        <v>2188.1642105263168</v>
      </c>
      <c r="H218" s="151">
        <f t="shared" si="101"/>
        <v>1367.6026315789479</v>
      </c>
      <c r="I218" s="152">
        <f t="shared" si="102"/>
        <v>5470.4105263157917</v>
      </c>
      <c r="J218" s="153">
        <f t="shared" si="103"/>
        <v>5470.4105263157917</v>
      </c>
      <c r="K218" s="151">
        <f t="shared" si="104"/>
        <v>1367.6026315789479</v>
      </c>
      <c r="L218" s="151">
        <f t="shared" si="105"/>
        <v>2188.1642105263168</v>
      </c>
      <c r="M218" s="17"/>
    </row>
    <row r="219" spans="3:13" ht="16.5" customHeight="1" x14ac:dyDescent="0.15">
      <c r="C219" s="21"/>
      <c r="D219" s="393"/>
      <c r="E219" s="393"/>
      <c r="F219" s="644"/>
      <c r="G219" s="168">
        <f t="shared" si="100"/>
        <v>2188.1642105263168</v>
      </c>
      <c r="H219" s="168">
        <f t="shared" si="101"/>
        <v>1367.6026315789479</v>
      </c>
      <c r="I219" s="169">
        <f t="shared" si="102"/>
        <v>5470.4105263157917</v>
      </c>
      <c r="J219" s="170">
        <f t="shared" si="103"/>
        <v>5470.4105263157917</v>
      </c>
      <c r="K219" s="168">
        <f t="shared" si="104"/>
        <v>1367.6026315789479</v>
      </c>
      <c r="L219" s="168">
        <f t="shared" si="105"/>
        <v>2188.1642105263168</v>
      </c>
      <c r="M219" s="17"/>
    </row>
    <row r="220" spans="3:13" ht="16.5" customHeight="1" x14ac:dyDescent="0.15">
      <c r="C220" s="21"/>
      <c r="D220" s="393">
        <f t="shared" ref="D220" si="129">+D218+1</f>
        <v>27</v>
      </c>
      <c r="E220" s="393">
        <f t="shared" ref="E220" si="130">+E218+1</f>
        <v>52</v>
      </c>
      <c r="F220" s="644">
        <f t="shared" ref="F220" si="131">+F218+1</f>
        <v>77</v>
      </c>
      <c r="G220" s="151">
        <f t="shared" si="100"/>
        <v>2356.3389473684215</v>
      </c>
      <c r="H220" s="151">
        <f t="shared" si="101"/>
        <v>1472.7118421052633</v>
      </c>
      <c r="I220" s="152">
        <f t="shared" si="102"/>
        <v>5890.847368421053</v>
      </c>
      <c r="J220" s="153">
        <f t="shared" si="103"/>
        <v>5890.847368421053</v>
      </c>
      <c r="K220" s="151">
        <f t="shared" si="104"/>
        <v>1472.7118421052633</v>
      </c>
      <c r="L220" s="151">
        <f t="shared" si="105"/>
        <v>2356.3389473684215</v>
      </c>
      <c r="M220" s="17"/>
    </row>
    <row r="221" spans="3:13" ht="16.5" customHeight="1" x14ac:dyDescent="0.15">
      <c r="C221" s="21"/>
      <c r="D221" s="393"/>
      <c r="E221" s="393"/>
      <c r="F221" s="644"/>
      <c r="G221" s="168">
        <f t="shared" si="100"/>
        <v>2503.1803789473688</v>
      </c>
      <c r="H221" s="168">
        <f t="shared" si="101"/>
        <v>1564.4877368421055</v>
      </c>
      <c r="I221" s="169">
        <f t="shared" si="102"/>
        <v>6257.950947368422</v>
      </c>
      <c r="J221" s="170">
        <f t="shared" si="103"/>
        <v>6257.950947368422</v>
      </c>
      <c r="K221" s="168">
        <f t="shared" si="104"/>
        <v>1564.4877368421055</v>
      </c>
      <c r="L221" s="168">
        <f t="shared" si="105"/>
        <v>2503.1803789473688</v>
      </c>
      <c r="M221" s="17"/>
    </row>
    <row r="222" spans="3:13" ht="16.5" customHeight="1" x14ac:dyDescent="0.15">
      <c r="C222" s="21"/>
      <c r="D222" s="393">
        <f>+D220+1</f>
        <v>28</v>
      </c>
      <c r="E222" s="393">
        <f t="shared" ref="E222" si="132">+E220+1</f>
        <v>53</v>
      </c>
      <c r="F222" s="644">
        <f t="shared" ref="F222" si="133">+F220+1</f>
        <v>78</v>
      </c>
      <c r="G222" s="151">
        <f t="shared" si="100"/>
        <v>2503.1803789473688</v>
      </c>
      <c r="H222" s="151">
        <f t="shared" si="101"/>
        <v>1564.4877368421055</v>
      </c>
      <c r="I222" s="152">
        <f t="shared" si="102"/>
        <v>6257.950947368422</v>
      </c>
      <c r="J222" s="153">
        <f>+I222</f>
        <v>6257.950947368422</v>
      </c>
      <c r="K222" s="151">
        <f t="shared" si="104"/>
        <v>1564.4877368421055</v>
      </c>
      <c r="L222" s="151">
        <f t="shared" si="105"/>
        <v>2503.1803789473688</v>
      </c>
      <c r="M222" s="17"/>
    </row>
    <row r="223" spans="3:13" ht="16.5" customHeight="1" x14ac:dyDescent="0.15">
      <c r="C223" s="21"/>
      <c r="D223" s="393"/>
      <c r="E223" s="393"/>
      <c r="F223" s="644"/>
      <c r="G223" s="168">
        <f t="shared" si="100"/>
        <v>2650.0218105263166</v>
      </c>
      <c r="H223" s="168">
        <f t="shared" si="101"/>
        <v>1656.2636315789478</v>
      </c>
      <c r="I223" s="169">
        <f t="shared" si="102"/>
        <v>6625.054526315791</v>
      </c>
      <c r="J223" s="170">
        <f t="shared" si="103"/>
        <v>6625.054526315791</v>
      </c>
      <c r="K223" s="168">
        <f t="shared" ref="K223:K249" si="134">+H223</f>
        <v>1656.2636315789478</v>
      </c>
      <c r="L223" s="168">
        <f t="shared" ref="L223:L249" si="135">+G223</f>
        <v>2650.0218105263166</v>
      </c>
      <c r="M223" s="17"/>
    </row>
    <row r="224" spans="3:13" ht="16.5" customHeight="1" x14ac:dyDescent="0.15">
      <c r="C224" s="21"/>
      <c r="D224" s="393">
        <f t="shared" ref="D224" si="136">+D222+1</f>
        <v>29</v>
      </c>
      <c r="E224" s="393">
        <f t="shared" ref="E224" si="137">+E222+1</f>
        <v>54</v>
      </c>
      <c r="F224" s="644">
        <f t="shared" ref="F224" si="138">+F222+1</f>
        <v>79</v>
      </c>
      <c r="G224" s="151">
        <f t="shared" si="100"/>
        <v>2650.0218105263166</v>
      </c>
      <c r="H224" s="151">
        <f t="shared" si="101"/>
        <v>1656.2636315789478</v>
      </c>
      <c r="I224" s="152">
        <f t="shared" si="102"/>
        <v>6625.054526315791</v>
      </c>
      <c r="J224" s="153">
        <f t="shared" si="103"/>
        <v>6625.054526315791</v>
      </c>
      <c r="K224" s="151">
        <f t="shared" si="134"/>
        <v>1656.2636315789478</v>
      </c>
      <c r="L224" s="151">
        <f t="shared" si="135"/>
        <v>2650.0218105263166</v>
      </c>
      <c r="M224" s="17"/>
    </row>
    <row r="225" spans="3:13" ht="16.5" customHeight="1" x14ac:dyDescent="0.15">
      <c r="C225" s="21"/>
      <c r="D225" s="393"/>
      <c r="E225" s="393"/>
      <c r="F225" s="644"/>
      <c r="G225" s="168">
        <f t="shared" si="100"/>
        <v>2796.8632421052644</v>
      </c>
      <c r="H225" s="168">
        <f t="shared" si="101"/>
        <v>1748.03952631579</v>
      </c>
      <c r="I225" s="169">
        <f t="shared" si="102"/>
        <v>6992.15810526316</v>
      </c>
      <c r="J225" s="170">
        <f t="shared" si="103"/>
        <v>6992.15810526316</v>
      </c>
      <c r="K225" s="168">
        <f t="shared" si="134"/>
        <v>1748.03952631579</v>
      </c>
      <c r="L225" s="168">
        <f t="shared" si="135"/>
        <v>2796.8632421052644</v>
      </c>
      <c r="M225" s="17"/>
    </row>
    <row r="226" spans="3:13" ht="16.5" customHeight="1" x14ac:dyDescent="0.15">
      <c r="C226" s="21"/>
      <c r="D226" s="393">
        <f t="shared" ref="D226" si="139">+D224+1</f>
        <v>30</v>
      </c>
      <c r="E226" s="393">
        <f t="shared" ref="E226" si="140">+E224+1</f>
        <v>55</v>
      </c>
      <c r="F226" s="644">
        <f t="shared" ref="F226" si="141">+F224+1</f>
        <v>80</v>
      </c>
      <c r="G226" s="151">
        <f t="shared" si="100"/>
        <v>2796.8632421052644</v>
      </c>
      <c r="H226" s="151">
        <f t="shared" si="101"/>
        <v>1748.03952631579</v>
      </c>
      <c r="I226" s="152">
        <f t="shared" si="102"/>
        <v>6992.15810526316</v>
      </c>
      <c r="J226" s="153">
        <f t="shared" si="103"/>
        <v>6992.15810526316</v>
      </c>
      <c r="K226" s="151">
        <f t="shared" si="134"/>
        <v>1748.03952631579</v>
      </c>
      <c r="L226" s="151">
        <f t="shared" si="135"/>
        <v>2796.8632421052644</v>
      </c>
      <c r="M226" s="17"/>
    </row>
    <row r="227" spans="3:13" ht="16.5" customHeight="1" x14ac:dyDescent="0.15">
      <c r="C227" s="21"/>
      <c r="D227" s="393"/>
      <c r="E227" s="393"/>
      <c r="F227" s="644"/>
      <c r="G227" s="168">
        <f t="shared" si="100"/>
        <v>2943.7046736842108</v>
      </c>
      <c r="H227" s="168">
        <f t="shared" si="101"/>
        <v>1839.8154210526318</v>
      </c>
      <c r="I227" s="169">
        <f t="shared" si="102"/>
        <v>7359.2616842105272</v>
      </c>
      <c r="J227" s="170">
        <f t="shared" si="103"/>
        <v>7359.2616842105272</v>
      </c>
      <c r="K227" s="168">
        <f t="shared" si="134"/>
        <v>1839.8154210526318</v>
      </c>
      <c r="L227" s="168">
        <f t="shared" si="135"/>
        <v>2943.7046736842108</v>
      </c>
      <c r="M227" s="17"/>
    </row>
    <row r="228" spans="3:13" ht="16.5" customHeight="1" x14ac:dyDescent="0.15">
      <c r="C228" s="21"/>
      <c r="D228" s="393">
        <f t="shared" ref="D228:D248" si="142">+D226+1</f>
        <v>31</v>
      </c>
      <c r="E228" s="393">
        <f t="shared" ref="E228" si="143">+E226+1</f>
        <v>56</v>
      </c>
      <c r="F228" s="644">
        <f t="shared" ref="F228" si="144">+F226+1</f>
        <v>81</v>
      </c>
      <c r="G228" s="151">
        <f t="shared" si="100"/>
        <v>2943.7046736842108</v>
      </c>
      <c r="H228" s="151">
        <f t="shared" si="101"/>
        <v>1839.8154210526318</v>
      </c>
      <c r="I228" s="152">
        <f t="shared" si="102"/>
        <v>7359.2616842105272</v>
      </c>
      <c r="J228" s="153">
        <f t="shared" si="103"/>
        <v>7359.2616842105272</v>
      </c>
      <c r="K228" s="151">
        <f t="shared" si="134"/>
        <v>1839.8154210526318</v>
      </c>
      <c r="L228" s="151">
        <f t="shared" si="135"/>
        <v>2943.7046736842108</v>
      </c>
      <c r="M228" s="17"/>
    </row>
    <row r="229" spans="3:13" ht="16.5" customHeight="1" x14ac:dyDescent="0.15">
      <c r="C229" s="21"/>
      <c r="D229" s="393"/>
      <c r="E229" s="393"/>
      <c r="F229" s="644"/>
      <c r="G229" s="168">
        <f t="shared" si="100"/>
        <v>3090.546105263159</v>
      </c>
      <c r="H229" s="168">
        <f t="shared" si="101"/>
        <v>1931.591315789474</v>
      </c>
      <c r="I229" s="169">
        <f t="shared" si="102"/>
        <v>7726.3652631578962</v>
      </c>
      <c r="J229" s="170">
        <f t="shared" si="103"/>
        <v>7726.3652631578962</v>
      </c>
      <c r="K229" s="168">
        <f t="shared" si="134"/>
        <v>1931.591315789474</v>
      </c>
      <c r="L229" s="168">
        <f t="shared" si="135"/>
        <v>3090.546105263159</v>
      </c>
      <c r="M229" s="17"/>
    </row>
    <row r="230" spans="3:13" ht="16.5" customHeight="1" x14ac:dyDescent="0.15">
      <c r="C230" s="21"/>
      <c r="D230" s="393">
        <f t="shared" si="142"/>
        <v>32</v>
      </c>
      <c r="E230" s="393">
        <f t="shared" ref="E230" si="145">+E228+1</f>
        <v>57</v>
      </c>
      <c r="F230" s="644">
        <f t="shared" ref="F230" si="146">+F228+1</f>
        <v>82</v>
      </c>
      <c r="G230" s="151">
        <f t="shared" si="100"/>
        <v>3090.546105263159</v>
      </c>
      <c r="H230" s="151">
        <f t="shared" si="101"/>
        <v>1931.591315789474</v>
      </c>
      <c r="I230" s="152">
        <f t="shared" si="102"/>
        <v>7726.3652631578962</v>
      </c>
      <c r="J230" s="153">
        <f t="shared" si="103"/>
        <v>7726.3652631578962</v>
      </c>
      <c r="K230" s="151">
        <f t="shared" si="134"/>
        <v>1931.591315789474</v>
      </c>
      <c r="L230" s="151">
        <f t="shared" si="135"/>
        <v>3090.546105263159</v>
      </c>
      <c r="M230" s="17"/>
    </row>
    <row r="231" spans="3:13" ht="16.5" customHeight="1" x14ac:dyDescent="0.15">
      <c r="C231" s="21"/>
      <c r="D231" s="393"/>
      <c r="E231" s="393"/>
      <c r="F231" s="644"/>
      <c r="G231" s="168">
        <f t="shared" si="100"/>
        <v>3237.3875368421063</v>
      </c>
      <c r="H231" s="168">
        <f t="shared" si="101"/>
        <v>2023.3672105263163</v>
      </c>
      <c r="I231" s="169">
        <f t="shared" si="102"/>
        <v>8093.4688421052651</v>
      </c>
      <c r="J231" s="170">
        <f t="shared" si="103"/>
        <v>8093.4688421052651</v>
      </c>
      <c r="K231" s="168">
        <f t="shared" si="134"/>
        <v>2023.3672105263163</v>
      </c>
      <c r="L231" s="168">
        <f t="shared" si="135"/>
        <v>3237.3875368421063</v>
      </c>
      <c r="M231" s="17"/>
    </row>
    <row r="232" spans="3:13" ht="16.5" customHeight="1" x14ac:dyDescent="0.15">
      <c r="C232" s="21"/>
      <c r="D232" s="393">
        <f t="shared" si="142"/>
        <v>33</v>
      </c>
      <c r="E232" s="393">
        <f t="shared" ref="E232" si="147">+E230+1</f>
        <v>58</v>
      </c>
      <c r="F232" s="644">
        <f t="shared" ref="F232" si="148">+F230+1</f>
        <v>83</v>
      </c>
      <c r="G232" s="151">
        <f t="shared" si="100"/>
        <v>2144.6563368420971</v>
      </c>
      <c r="H232" s="151">
        <f t="shared" si="101"/>
        <v>1340.4102105263105</v>
      </c>
      <c r="I232" s="152">
        <f t="shared" si="102"/>
        <v>5361.640842105242</v>
      </c>
      <c r="J232" s="153">
        <f t="shared" si="103"/>
        <v>5361.640842105242</v>
      </c>
      <c r="K232" s="151">
        <f t="shared" si="134"/>
        <v>1340.4102105263105</v>
      </c>
      <c r="L232" s="151">
        <f t="shared" si="135"/>
        <v>2144.6563368420971</v>
      </c>
      <c r="M232" s="17"/>
    </row>
    <row r="233" spans="3:13" ht="16.5" customHeight="1" x14ac:dyDescent="0.15">
      <c r="C233" s="21"/>
      <c r="D233" s="393"/>
      <c r="E233" s="393"/>
      <c r="F233" s="644"/>
      <c r="G233" s="168">
        <f t="shared" si="100"/>
        <v>2144.6563368420971</v>
      </c>
      <c r="H233" s="168">
        <f t="shared" si="101"/>
        <v>1340.4102105263105</v>
      </c>
      <c r="I233" s="169">
        <f t="shared" si="102"/>
        <v>5361.640842105242</v>
      </c>
      <c r="J233" s="170">
        <f t="shared" si="103"/>
        <v>5361.640842105242</v>
      </c>
      <c r="K233" s="168">
        <f t="shared" si="134"/>
        <v>1340.4102105263105</v>
      </c>
      <c r="L233" s="168">
        <f t="shared" si="135"/>
        <v>2144.6563368420971</v>
      </c>
      <c r="M233" s="17"/>
    </row>
    <row r="234" spans="3:13" ht="16.5" customHeight="1" x14ac:dyDescent="0.15">
      <c r="C234" s="21"/>
      <c r="D234" s="393">
        <f t="shared" si="142"/>
        <v>34</v>
      </c>
      <c r="E234" s="393">
        <f t="shared" ref="E234" si="149">+E232+1</f>
        <v>59</v>
      </c>
      <c r="F234" s="644">
        <f t="shared" ref="F234" si="150">+F232+1</f>
        <v>84</v>
      </c>
      <c r="G234" s="151">
        <f t="shared" si="100"/>
        <v>2059.2000000000003</v>
      </c>
      <c r="H234" s="151">
        <f t="shared" si="101"/>
        <v>1029.6000000000001</v>
      </c>
      <c r="I234" s="152">
        <f t="shared" si="102"/>
        <v>2059.2000000000003</v>
      </c>
      <c r="J234" s="153">
        <f t="shared" si="103"/>
        <v>2059.2000000000003</v>
      </c>
      <c r="K234" s="151">
        <f t="shared" si="134"/>
        <v>1029.6000000000001</v>
      </c>
      <c r="L234" s="151">
        <f t="shared" si="135"/>
        <v>2059.2000000000003</v>
      </c>
      <c r="M234" s="17"/>
    </row>
    <row r="235" spans="3:13" ht="16.5" customHeight="1" x14ac:dyDescent="0.15">
      <c r="C235" s="21"/>
      <c r="D235" s="393"/>
      <c r="E235" s="393"/>
      <c r="F235" s="644"/>
      <c r="G235" s="168">
        <f t="shared" si="100"/>
        <v>2059.2000000000003</v>
      </c>
      <c r="H235" s="168">
        <f t="shared" si="101"/>
        <v>1029.6000000000001</v>
      </c>
      <c r="I235" s="169">
        <f t="shared" si="102"/>
        <v>2059.2000000000003</v>
      </c>
      <c r="J235" s="170">
        <f t="shared" si="103"/>
        <v>2059.2000000000003</v>
      </c>
      <c r="K235" s="168">
        <f t="shared" si="134"/>
        <v>1029.6000000000001</v>
      </c>
      <c r="L235" s="168">
        <f t="shared" si="135"/>
        <v>2059.2000000000003</v>
      </c>
      <c r="M235" s="17"/>
    </row>
    <row r="236" spans="3:13" ht="16.5" customHeight="1" x14ac:dyDescent="0.15">
      <c r="C236" s="21"/>
      <c r="D236" s="393">
        <f t="shared" si="142"/>
        <v>35</v>
      </c>
      <c r="E236" s="393">
        <f t="shared" ref="E236" si="151">+E234+1</f>
        <v>60</v>
      </c>
      <c r="F236" s="644">
        <f t="shared" ref="F236" si="152">+F234+1</f>
        <v>85</v>
      </c>
      <c r="G236" s="151">
        <f t="shared" si="100"/>
        <v>2059.2000000000003</v>
      </c>
      <c r="H236" s="151">
        <f t="shared" si="101"/>
        <v>1029.6000000000001</v>
      </c>
      <c r="I236" s="152">
        <f t="shared" si="102"/>
        <v>2059.2000000000003</v>
      </c>
      <c r="J236" s="153">
        <f t="shared" si="103"/>
        <v>2059.2000000000003</v>
      </c>
      <c r="K236" s="151">
        <f t="shared" si="134"/>
        <v>1029.6000000000001</v>
      </c>
      <c r="L236" s="151">
        <f t="shared" si="135"/>
        <v>2059.2000000000003</v>
      </c>
      <c r="M236" s="17"/>
    </row>
    <row r="237" spans="3:13" ht="16.5" customHeight="1" x14ac:dyDescent="0.15">
      <c r="C237" s="21"/>
      <c r="D237" s="393"/>
      <c r="E237" s="393"/>
      <c r="F237" s="644"/>
      <c r="G237" s="168">
        <f t="shared" si="100"/>
        <v>2059.2000000000003</v>
      </c>
      <c r="H237" s="168">
        <f t="shared" si="101"/>
        <v>1029.6000000000001</v>
      </c>
      <c r="I237" s="169">
        <f t="shared" si="102"/>
        <v>2059.2000000000003</v>
      </c>
      <c r="J237" s="170">
        <f t="shared" si="103"/>
        <v>2059.2000000000003</v>
      </c>
      <c r="K237" s="168">
        <f t="shared" si="134"/>
        <v>1029.6000000000001</v>
      </c>
      <c r="L237" s="168">
        <f t="shared" si="135"/>
        <v>2059.2000000000003</v>
      </c>
      <c r="M237" s="17"/>
    </row>
    <row r="238" spans="3:13" ht="16.5" customHeight="1" x14ac:dyDescent="0.15">
      <c r="C238" s="21"/>
      <c r="D238" s="393">
        <f t="shared" si="142"/>
        <v>36</v>
      </c>
      <c r="E238" s="393">
        <f t="shared" ref="E238" si="153">+E236+1</f>
        <v>61</v>
      </c>
      <c r="F238" s="644">
        <f t="shared" ref="F238" si="154">+F236+1</f>
        <v>86</v>
      </c>
      <c r="G238" s="151">
        <f t="shared" si="100"/>
        <v>2059.2000000000003</v>
      </c>
      <c r="H238" s="151">
        <f t="shared" si="101"/>
        <v>1029.6000000000001</v>
      </c>
      <c r="I238" s="152">
        <f t="shared" si="102"/>
        <v>2059.2000000000003</v>
      </c>
      <c r="J238" s="153">
        <f t="shared" si="103"/>
        <v>2059.2000000000003</v>
      </c>
      <c r="K238" s="151">
        <f t="shared" si="134"/>
        <v>1029.6000000000001</v>
      </c>
      <c r="L238" s="151">
        <f t="shared" si="135"/>
        <v>2059.2000000000003</v>
      </c>
      <c r="M238" s="17"/>
    </row>
    <row r="239" spans="3:13" ht="16.5" customHeight="1" x14ac:dyDescent="0.15">
      <c r="C239" s="21"/>
      <c r="D239" s="393"/>
      <c r="E239" s="393"/>
      <c r="F239" s="644"/>
      <c r="G239" s="168">
        <f t="shared" si="100"/>
        <v>2059.2000000000003</v>
      </c>
      <c r="H239" s="168">
        <f t="shared" si="101"/>
        <v>1029.6000000000001</v>
      </c>
      <c r="I239" s="169">
        <f t="shared" si="102"/>
        <v>2059.2000000000003</v>
      </c>
      <c r="J239" s="170">
        <f t="shared" si="103"/>
        <v>2059.2000000000003</v>
      </c>
      <c r="K239" s="168">
        <f t="shared" si="134"/>
        <v>1029.6000000000001</v>
      </c>
      <c r="L239" s="168">
        <f t="shared" si="135"/>
        <v>2059.2000000000003</v>
      </c>
      <c r="M239" s="17"/>
    </row>
    <row r="240" spans="3:13" ht="16.5" customHeight="1" x14ac:dyDescent="0.15">
      <c r="C240" s="21"/>
      <c r="D240" s="393">
        <f t="shared" si="142"/>
        <v>37</v>
      </c>
      <c r="E240" s="393">
        <f t="shared" ref="E240" si="155">+E238+1</f>
        <v>62</v>
      </c>
      <c r="F240" s="644">
        <f t="shared" ref="F240" si="156">+F238+1</f>
        <v>87</v>
      </c>
      <c r="G240" s="151">
        <f t="shared" si="100"/>
        <v>2059.2000000000003</v>
      </c>
      <c r="H240" s="151">
        <f t="shared" si="101"/>
        <v>1029.6000000000001</v>
      </c>
      <c r="I240" s="152">
        <f t="shared" si="102"/>
        <v>2059.2000000000003</v>
      </c>
      <c r="J240" s="153">
        <f>+I240</f>
        <v>2059.2000000000003</v>
      </c>
      <c r="K240" s="151">
        <f t="shared" si="134"/>
        <v>1029.6000000000001</v>
      </c>
      <c r="L240" s="151">
        <f t="shared" si="135"/>
        <v>2059.2000000000003</v>
      </c>
      <c r="M240" s="17"/>
    </row>
    <row r="241" spans="3:15" ht="16.5" customHeight="1" x14ac:dyDescent="0.15">
      <c r="C241" s="21"/>
      <c r="D241" s="393"/>
      <c r="E241" s="393"/>
      <c r="F241" s="644"/>
      <c r="G241" s="168">
        <f t="shared" si="100"/>
        <v>2059.2000000000003</v>
      </c>
      <c r="H241" s="168">
        <f t="shared" si="101"/>
        <v>1029.6000000000001</v>
      </c>
      <c r="I241" s="169">
        <f t="shared" si="102"/>
        <v>2059.2000000000003</v>
      </c>
      <c r="J241" s="170">
        <f t="shared" si="103"/>
        <v>2059.2000000000003</v>
      </c>
      <c r="K241" s="168">
        <f t="shared" si="134"/>
        <v>1029.6000000000001</v>
      </c>
      <c r="L241" s="168">
        <f t="shared" si="135"/>
        <v>2059.2000000000003</v>
      </c>
      <c r="M241" s="17"/>
    </row>
    <row r="242" spans="3:15" ht="16.5" customHeight="1" x14ac:dyDescent="0.15">
      <c r="C242" s="21"/>
      <c r="D242" s="393">
        <f t="shared" si="142"/>
        <v>38</v>
      </c>
      <c r="E242" s="393">
        <f t="shared" ref="E242" si="157">+E240+1</f>
        <v>63</v>
      </c>
      <c r="F242" s="644">
        <f t="shared" ref="F242" si="158">+F240+1</f>
        <v>88</v>
      </c>
      <c r="G242" s="151">
        <f t="shared" si="100"/>
        <v>2059.2000000000003</v>
      </c>
      <c r="H242" s="151">
        <f t="shared" si="101"/>
        <v>1029.6000000000001</v>
      </c>
      <c r="I242" s="152">
        <f t="shared" si="102"/>
        <v>2059.2000000000003</v>
      </c>
      <c r="J242" s="153">
        <f t="shared" si="103"/>
        <v>2059.2000000000003</v>
      </c>
      <c r="K242" s="151">
        <f t="shared" si="134"/>
        <v>1029.6000000000001</v>
      </c>
      <c r="L242" s="151">
        <f t="shared" si="135"/>
        <v>2059.2000000000003</v>
      </c>
      <c r="M242" s="17"/>
    </row>
    <row r="243" spans="3:15" ht="16.5" customHeight="1" x14ac:dyDescent="0.15">
      <c r="C243" s="21"/>
      <c r="D243" s="393"/>
      <c r="E243" s="393"/>
      <c r="F243" s="644"/>
      <c r="G243" s="168">
        <f t="shared" si="100"/>
        <v>2059.2000000000003</v>
      </c>
      <c r="H243" s="168">
        <f t="shared" si="101"/>
        <v>1029.6000000000001</v>
      </c>
      <c r="I243" s="169">
        <f t="shared" si="102"/>
        <v>2059.2000000000003</v>
      </c>
      <c r="J243" s="170">
        <f t="shared" si="103"/>
        <v>2059.2000000000003</v>
      </c>
      <c r="K243" s="168">
        <f t="shared" si="134"/>
        <v>1029.6000000000001</v>
      </c>
      <c r="L243" s="168">
        <f t="shared" si="135"/>
        <v>2059.2000000000003</v>
      </c>
      <c r="M243" s="17"/>
    </row>
    <row r="244" spans="3:15" ht="16.5" customHeight="1" x14ac:dyDescent="0.15">
      <c r="C244" s="21"/>
      <c r="D244" s="393">
        <f t="shared" si="142"/>
        <v>39</v>
      </c>
      <c r="E244" s="393">
        <f t="shared" ref="E244" si="159">+E242+1</f>
        <v>64</v>
      </c>
      <c r="F244" s="644">
        <f t="shared" ref="F244" si="160">+F242+1</f>
        <v>89</v>
      </c>
      <c r="G244" s="151">
        <f t="shared" si="100"/>
        <v>2059.2000000000003</v>
      </c>
      <c r="H244" s="151">
        <f t="shared" si="101"/>
        <v>1029.6000000000001</v>
      </c>
      <c r="I244" s="152">
        <f t="shared" si="102"/>
        <v>2059.2000000000003</v>
      </c>
      <c r="J244" s="153">
        <f t="shared" si="103"/>
        <v>2059.2000000000003</v>
      </c>
      <c r="K244" s="151">
        <f t="shared" si="134"/>
        <v>1029.6000000000001</v>
      </c>
      <c r="L244" s="151">
        <f t="shared" si="135"/>
        <v>2059.2000000000003</v>
      </c>
      <c r="M244" s="17"/>
    </row>
    <row r="245" spans="3:15" ht="16.5" customHeight="1" x14ac:dyDescent="0.15">
      <c r="C245" s="21"/>
      <c r="D245" s="393"/>
      <c r="E245" s="393"/>
      <c r="F245" s="644"/>
      <c r="G245" s="168">
        <f t="shared" si="100"/>
        <v>2059.2000000000003</v>
      </c>
      <c r="H245" s="168">
        <f t="shared" si="101"/>
        <v>1029.6000000000001</v>
      </c>
      <c r="I245" s="169">
        <f t="shared" si="102"/>
        <v>2059.2000000000003</v>
      </c>
      <c r="J245" s="170">
        <f t="shared" si="103"/>
        <v>2059.2000000000003</v>
      </c>
      <c r="K245" s="168">
        <f t="shared" si="134"/>
        <v>1029.6000000000001</v>
      </c>
      <c r="L245" s="168">
        <f t="shared" si="135"/>
        <v>2059.2000000000003</v>
      </c>
      <c r="M245" s="17"/>
    </row>
    <row r="246" spans="3:15" ht="16.5" customHeight="1" x14ac:dyDescent="0.15">
      <c r="C246" s="21"/>
      <c r="D246" s="393">
        <f t="shared" si="142"/>
        <v>40</v>
      </c>
      <c r="E246" s="393">
        <f t="shared" ref="E246" si="161">+E244+1</f>
        <v>65</v>
      </c>
      <c r="F246" s="644">
        <f t="shared" ref="F246" si="162">+F244+1</f>
        <v>90</v>
      </c>
      <c r="G246" s="151">
        <f t="shared" si="100"/>
        <v>2059.2000000000003</v>
      </c>
      <c r="H246" s="151">
        <f t="shared" si="101"/>
        <v>1029.6000000000001</v>
      </c>
      <c r="I246" s="152">
        <f t="shared" si="102"/>
        <v>2059.2000000000003</v>
      </c>
      <c r="J246" s="153">
        <f t="shared" si="103"/>
        <v>2059.2000000000003</v>
      </c>
      <c r="K246" s="151">
        <f t="shared" si="134"/>
        <v>1029.6000000000001</v>
      </c>
      <c r="L246" s="151">
        <f t="shared" si="135"/>
        <v>2059.2000000000003</v>
      </c>
      <c r="M246" s="17"/>
    </row>
    <row r="247" spans="3:15" ht="16.5" customHeight="1" x14ac:dyDescent="0.15">
      <c r="C247" s="21"/>
      <c r="D247" s="393"/>
      <c r="E247" s="393"/>
      <c r="F247" s="644"/>
      <c r="G247" s="168">
        <f t="shared" si="100"/>
        <v>2059.2000000000003</v>
      </c>
      <c r="H247" s="168">
        <f t="shared" si="101"/>
        <v>1029.6000000000001</v>
      </c>
      <c r="I247" s="169">
        <f t="shared" si="102"/>
        <v>2059.2000000000003</v>
      </c>
      <c r="J247" s="170">
        <f t="shared" si="103"/>
        <v>2059.2000000000003</v>
      </c>
      <c r="K247" s="168">
        <f t="shared" si="134"/>
        <v>1029.6000000000001</v>
      </c>
      <c r="L247" s="168">
        <f t="shared" si="135"/>
        <v>2059.2000000000003</v>
      </c>
      <c r="M247" s="17"/>
    </row>
    <row r="248" spans="3:15" ht="16.5" customHeight="1" x14ac:dyDescent="0.15">
      <c r="C248" s="21"/>
      <c r="D248" s="393">
        <f t="shared" si="142"/>
        <v>41</v>
      </c>
      <c r="E248" s="393">
        <f t="shared" ref="E248" si="163">+E246+1</f>
        <v>66</v>
      </c>
      <c r="F248" s="644">
        <f t="shared" ref="F248" si="164">+F246+1</f>
        <v>91</v>
      </c>
      <c r="G248" s="151">
        <f t="shared" si="100"/>
        <v>2059.2000000000003</v>
      </c>
      <c r="H248" s="151">
        <f t="shared" si="101"/>
        <v>1029.6000000000001</v>
      </c>
      <c r="I248" s="152">
        <f t="shared" si="102"/>
        <v>2059.2000000000003</v>
      </c>
      <c r="J248" s="153">
        <f t="shared" si="103"/>
        <v>2059.2000000000003</v>
      </c>
      <c r="K248" s="151">
        <f t="shared" si="134"/>
        <v>1029.6000000000001</v>
      </c>
      <c r="L248" s="151">
        <f t="shared" si="135"/>
        <v>2059.2000000000003</v>
      </c>
      <c r="M248" s="17"/>
    </row>
    <row r="249" spans="3:15" ht="16.5" customHeight="1" x14ac:dyDescent="0.15">
      <c r="C249" s="21"/>
      <c r="D249" s="393"/>
      <c r="E249" s="393"/>
      <c r="F249" s="644"/>
      <c r="G249" s="168">
        <f t="shared" si="100"/>
        <v>2059.2000000000003</v>
      </c>
      <c r="H249" s="168">
        <f t="shared" si="101"/>
        <v>1029.6000000000001</v>
      </c>
      <c r="I249" s="169">
        <f t="shared" si="102"/>
        <v>2059.2000000000003</v>
      </c>
      <c r="J249" s="170">
        <f t="shared" si="103"/>
        <v>2059.2000000000003</v>
      </c>
      <c r="K249" s="168">
        <f t="shared" si="134"/>
        <v>1029.6000000000001</v>
      </c>
      <c r="L249" s="168">
        <f t="shared" si="135"/>
        <v>2059.2000000000003</v>
      </c>
      <c r="M249" s="17"/>
    </row>
    <row r="250" spans="3:15" ht="16.5" customHeight="1" x14ac:dyDescent="0.15">
      <c r="C250" s="21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 spans="3:15" ht="16.5" customHeight="1" x14ac:dyDescent="0.15">
      <c r="C251" s="21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</row>
  </sheetData>
  <mergeCells count="331">
    <mergeCell ref="D6:N6"/>
    <mergeCell ref="J201:L201"/>
    <mergeCell ref="G199:L200"/>
    <mergeCell ref="D246:D247"/>
    <mergeCell ref="E246:E247"/>
    <mergeCell ref="F246:F247"/>
    <mergeCell ref="D248:D249"/>
    <mergeCell ref="E248:E249"/>
    <mergeCell ref="F248:F249"/>
    <mergeCell ref="D242:D243"/>
    <mergeCell ref="E242:E243"/>
    <mergeCell ref="F242:F243"/>
    <mergeCell ref="D244:D245"/>
    <mergeCell ref="E244:E245"/>
    <mergeCell ref="F244:F245"/>
    <mergeCell ref="D238:D239"/>
    <mergeCell ref="E238:E239"/>
    <mergeCell ref="F238:F239"/>
    <mergeCell ref="D240:D241"/>
    <mergeCell ref="E240:E241"/>
    <mergeCell ref="F240:F241"/>
    <mergeCell ref="D234:D235"/>
    <mergeCell ref="E234:E235"/>
    <mergeCell ref="F234:F235"/>
    <mergeCell ref="D236:D237"/>
    <mergeCell ref="E236:E237"/>
    <mergeCell ref="F236:F237"/>
    <mergeCell ref="D230:D231"/>
    <mergeCell ref="E230:E231"/>
    <mergeCell ref="F230:F231"/>
    <mergeCell ref="D232:D233"/>
    <mergeCell ref="E232:E233"/>
    <mergeCell ref="F232:F233"/>
    <mergeCell ref="D226:D227"/>
    <mergeCell ref="E226:E227"/>
    <mergeCell ref="F226:F227"/>
    <mergeCell ref="D228:D229"/>
    <mergeCell ref="E228:E229"/>
    <mergeCell ref="F228:F229"/>
    <mergeCell ref="D222:D223"/>
    <mergeCell ref="E222:E223"/>
    <mergeCell ref="F222:F223"/>
    <mergeCell ref="D224:D225"/>
    <mergeCell ref="E224:E225"/>
    <mergeCell ref="F224:F225"/>
    <mergeCell ref="D218:D219"/>
    <mergeCell ref="E218:E219"/>
    <mergeCell ref="F218:F219"/>
    <mergeCell ref="D220:D221"/>
    <mergeCell ref="E220:E221"/>
    <mergeCell ref="F220:F221"/>
    <mergeCell ref="D214:D215"/>
    <mergeCell ref="E214:E215"/>
    <mergeCell ref="F214:F215"/>
    <mergeCell ref="D216:D217"/>
    <mergeCell ref="E216:E217"/>
    <mergeCell ref="F216:F217"/>
    <mergeCell ref="D210:D211"/>
    <mergeCell ref="E210:E211"/>
    <mergeCell ref="F210:F211"/>
    <mergeCell ref="D212:D213"/>
    <mergeCell ref="E212:E213"/>
    <mergeCell ref="F212:F213"/>
    <mergeCell ref="D204:D205"/>
    <mergeCell ref="F204:F205"/>
    <mergeCell ref="D206:D207"/>
    <mergeCell ref="E206:E207"/>
    <mergeCell ref="F206:F207"/>
    <mergeCell ref="D208:D209"/>
    <mergeCell ref="E208:E209"/>
    <mergeCell ref="F208:F209"/>
    <mergeCell ref="E204:E205"/>
    <mergeCell ref="G201:I201"/>
    <mergeCell ref="D199:F201"/>
    <mergeCell ref="D202:D203"/>
    <mergeCell ref="E202:E203"/>
    <mergeCell ref="F202:F203"/>
    <mergeCell ref="D144:D148"/>
    <mergeCell ref="D149:D152"/>
    <mergeCell ref="D153:D154"/>
    <mergeCell ref="D155:D158"/>
    <mergeCell ref="D161:D174"/>
    <mergeCell ref="D175:D191"/>
    <mergeCell ref="F174:F175"/>
    <mergeCell ref="G174:G175"/>
    <mergeCell ref="F166:F167"/>
    <mergeCell ref="G166:G167"/>
    <mergeCell ref="F168:F169"/>
    <mergeCell ref="G168:G169"/>
    <mergeCell ref="F170:F171"/>
    <mergeCell ref="G170:G171"/>
    <mergeCell ref="F158:F159"/>
    <mergeCell ref="G158:G159"/>
    <mergeCell ref="F160:F161"/>
    <mergeCell ref="F162:F163"/>
    <mergeCell ref="G162:G163"/>
    <mergeCell ref="B153:C154"/>
    <mergeCell ref="B155:C158"/>
    <mergeCell ref="B159:C160"/>
    <mergeCell ref="B161:C174"/>
    <mergeCell ref="B175:C191"/>
    <mergeCell ref="D141:D143"/>
    <mergeCell ref="E87:E92"/>
    <mergeCell ref="E93:E96"/>
    <mergeCell ref="E97:E112"/>
    <mergeCell ref="E113:E130"/>
    <mergeCell ref="B141:C143"/>
    <mergeCell ref="B144:C148"/>
    <mergeCell ref="B149:C152"/>
    <mergeCell ref="E174:E175"/>
    <mergeCell ref="E168:E169"/>
    <mergeCell ref="E170:E171"/>
    <mergeCell ref="E158:E159"/>
    <mergeCell ref="E160:E161"/>
    <mergeCell ref="E162:E163"/>
    <mergeCell ref="E154:E155"/>
    <mergeCell ref="E141:G143"/>
    <mergeCell ref="E144:E145"/>
    <mergeCell ref="F144:F145"/>
    <mergeCell ref="D159:D160"/>
    <mergeCell ref="M66:M70"/>
    <mergeCell ref="K66:K70"/>
    <mergeCell ref="I141:I143"/>
    <mergeCell ref="H141:H143"/>
    <mergeCell ref="J142:L142"/>
    <mergeCell ref="J141:L141"/>
    <mergeCell ref="M141:O141"/>
    <mergeCell ref="M142:O142"/>
    <mergeCell ref="K79:K80"/>
    <mergeCell ref="K81:K82"/>
    <mergeCell ref="K85:K86"/>
    <mergeCell ref="K87:K88"/>
    <mergeCell ref="K91:K92"/>
    <mergeCell ref="K93:K94"/>
    <mergeCell ref="H121:H122"/>
    <mergeCell ref="I121:I122"/>
    <mergeCell ref="H123:H124"/>
    <mergeCell ref="I123:I124"/>
    <mergeCell ref="H129:H130"/>
    <mergeCell ref="I129:I130"/>
    <mergeCell ref="H109:H110"/>
    <mergeCell ref="I109:I110"/>
    <mergeCell ref="H111:H114"/>
    <mergeCell ref="I111:I114"/>
    <mergeCell ref="H115:H116"/>
    <mergeCell ref="I115:I116"/>
    <mergeCell ref="H103:H104"/>
    <mergeCell ref="I103:I104"/>
    <mergeCell ref="H105:H106"/>
    <mergeCell ref="I105:I106"/>
    <mergeCell ref="H107:H108"/>
    <mergeCell ref="I107:I108"/>
    <mergeCell ref="G125:G126"/>
    <mergeCell ref="I117:I118"/>
    <mergeCell ref="G127:G128"/>
    <mergeCell ref="G129:G130"/>
    <mergeCell ref="H91:H94"/>
    <mergeCell ref="I91:I94"/>
    <mergeCell ref="H95:H98"/>
    <mergeCell ref="I95:I98"/>
    <mergeCell ref="H99:H100"/>
    <mergeCell ref="I99:I100"/>
    <mergeCell ref="H101:H102"/>
    <mergeCell ref="G111:G114"/>
    <mergeCell ref="G115:G116"/>
    <mergeCell ref="G117:G118"/>
    <mergeCell ref="G119:G120"/>
    <mergeCell ref="G121:G122"/>
    <mergeCell ref="G123:G124"/>
    <mergeCell ref="G99:G100"/>
    <mergeCell ref="G101:G102"/>
    <mergeCell ref="G103:G104"/>
    <mergeCell ref="G105:G106"/>
    <mergeCell ref="G107:G108"/>
    <mergeCell ref="G109:G110"/>
    <mergeCell ref="H119:H120"/>
    <mergeCell ref="I119:I120"/>
    <mergeCell ref="H117:H118"/>
    <mergeCell ref="J122:J123"/>
    <mergeCell ref="J124:J125"/>
    <mergeCell ref="J128:J129"/>
    <mergeCell ref="L114:L115"/>
    <mergeCell ref="L116:L117"/>
    <mergeCell ref="L118:L119"/>
    <mergeCell ref="L120:L121"/>
    <mergeCell ref="L124:L125"/>
    <mergeCell ref="L126:L127"/>
    <mergeCell ref="L128:L129"/>
    <mergeCell ref="L122:L123"/>
    <mergeCell ref="L106:L107"/>
    <mergeCell ref="L108:L109"/>
    <mergeCell ref="L110:L111"/>
    <mergeCell ref="J114:J115"/>
    <mergeCell ref="J116:J117"/>
    <mergeCell ref="J120:J121"/>
    <mergeCell ref="K111:K112"/>
    <mergeCell ref="K113:K114"/>
    <mergeCell ref="J102:J103"/>
    <mergeCell ref="J104:J105"/>
    <mergeCell ref="J106:J107"/>
    <mergeCell ref="J108:J109"/>
    <mergeCell ref="J110:J111"/>
    <mergeCell ref="J118:J119"/>
    <mergeCell ref="L94:L95"/>
    <mergeCell ref="L98:L99"/>
    <mergeCell ref="L100:L101"/>
    <mergeCell ref="L102:L103"/>
    <mergeCell ref="L104:L105"/>
    <mergeCell ref="J90:J91"/>
    <mergeCell ref="L90:L91"/>
    <mergeCell ref="G89:G90"/>
    <mergeCell ref="H89:H90"/>
    <mergeCell ref="I89:I90"/>
    <mergeCell ref="J94:J95"/>
    <mergeCell ref="G91:G94"/>
    <mergeCell ref="G95:G98"/>
    <mergeCell ref="K95:K96"/>
    <mergeCell ref="K97:K98"/>
    <mergeCell ref="J98:J99"/>
    <mergeCell ref="J100:J101"/>
    <mergeCell ref="I101:I102"/>
    <mergeCell ref="G83:G84"/>
    <mergeCell ref="H83:H84"/>
    <mergeCell ref="I83:I84"/>
    <mergeCell ref="J88:J89"/>
    <mergeCell ref="L88:L89"/>
    <mergeCell ref="G85:G88"/>
    <mergeCell ref="H85:H88"/>
    <mergeCell ref="I85:I88"/>
    <mergeCell ref="J78:J79"/>
    <mergeCell ref="L78:L79"/>
    <mergeCell ref="G75:G78"/>
    <mergeCell ref="H75:H78"/>
    <mergeCell ref="I75:I78"/>
    <mergeCell ref="G79:G82"/>
    <mergeCell ref="H79:H82"/>
    <mergeCell ref="I79:I82"/>
    <mergeCell ref="K75:K76"/>
    <mergeCell ref="K77:K78"/>
    <mergeCell ref="J72:J73"/>
    <mergeCell ref="J74:J75"/>
    <mergeCell ref="G71:G72"/>
    <mergeCell ref="H71:H72"/>
    <mergeCell ref="I71:I72"/>
    <mergeCell ref="G73:G74"/>
    <mergeCell ref="H73:H74"/>
    <mergeCell ref="I73:I74"/>
    <mergeCell ref="L72:L73"/>
    <mergeCell ref="L74:L75"/>
    <mergeCell ref="G66:I70"/>
    <mergeCell ref="J82:J83"/>
    <mergeCell ref="J84:J85"/>
    <mergeCell ref="E188:E189"/>
    <mergeCell ref="F188:F189"/>
    <mergeCell ref="G188:G189"/>
    <mergeCell ref="E190:E191"/>
    <mergeCell ref="F190:F191"/>
    <mergeCell ref="G190:G191"/>
    <mergeCell ref="F182:F183"/>
    <mergeCell ref="G182:G183"/>
    <mergeCell ref="E184:E185"/>
    <mergeCell ref="F184:F185"/>
    <mergeCell ref="E186:E187"/>
    <mergeCell ref="F186:F187"/>
    <mergeCell ref="E176:E177"/>
    <mergeCell ref="F176:F177"/>
    <mergeCell ref="G176:G177"/>
    <mergeCell ref="E178:E179"/>
    <mergeCell ref="F178:F179"/>
    <mergeCell ref="G178:G179"/>
    <mergeCell ref="E172:E173"/>
    <mergeCell ref="F172:F173"/>
    <mergeCell ref="G172:G173"/>
    <mergeCell ref="G186:G187"/>
    <mergeCell ref="G184:G185"/>
    <mergeCell ref="E180:E181"/>
    <mergeCell ref="F180:F181"/>
    <mergeCell ref="G180:G181"/>
    <mergeCell ref="E182:E183"/>
    <mergeCell ref="E164:E165"/>
    <mergeCell ref="F164:F165"/>
    <mergeCell ref="G164:G165"/>
    <mergeCell ref="E166:E167"/>
    <mergeCell ref="G160:G161"/>
    <mergeCell ref="J126:J127"/>
    <mergeCell ref="G152:G153"/>
    <mergeCell ref="H127:H128"/>
    <mergeCell ref="I127:I128"/>
    <mergeCell ref="E150:E151"/>
    <mergeCell ref="F150:F151"/>
    <mergeCell ref="E152:E153"/>
    <mergeCell ref="F152:F153"/>
    <mergeCell ref="G150:G151"/>
    <mergeCell ref="H125:H126"/>
    <mergeCell ref="I125:I126"/>
    <mergeCell ref="G144:G145"/>
    <mergeCell ref="F154:F155"/>
    <mergeCell ref="G154:G155"/>
    <mergeCell ref="E156:E157"/>
    <mergeCell ref="F156:F157"/>
    <mergeCell ref="G156:G157"/>
    <mergeCell ref="E146:E147"/>
    <mergeCell ref="F146:F147"/>
    <mergeCell ref="G146:G147"/>
    <mergeCell ref="E148:E149"/>
    <mergeCell ref="F148:F149"/>
    <mergeCell ref="G148:G149"/>
    <mergeCell ref="L66:L70"/>
    <mergeCell ref="D97:D112"/>
    <mergeCell ref="F97:F112"/>
    <mergeCell ref="D113:D130"/>
    <mergeCell ref="F113:F130"/>
    <mergeCell ref="D87:D92"/>
    <mergeCell ref="F87:F92"/>
    <mergeCell ref="D93:D96"/>
    <mergeCell ref="F93:F96"/>
    <mergeCell ref="L84:L85"/>
    <mergeCell ref="D81:D86"/>
    <mergeCell ref="F81:F86"/>
    <mergeCell ref="L82:L83"/>
    <mergeCell ref="E66:E70"/>
    <mergeCell ref="E71:E76"/>
    <mergeCell ref="E77:E80"/>
    <mergeCell ref="E81:E86"/>
    <mergeCell ref="J66:J70"/>
    <mergeCell ref="D71:D76"/>
    <mergeCell ref="F71:F76"/>
    <mergeCell ref="D77:D80"/>
    <mergeCell ref="F77:F80"/>
    <mergeCell ref="D66:D70"/>
    <mergeCell ref="F66:F70"/>
  </mergeCells>
  <phoneticPr fontId="1"/>
  <pageMargins left="0.78740157480314965" right="0.27559055118110237" top="0.59055118110236227" bottom="0.15748031496062992" header="0.78740157480314965" footer="0.15748031496062992"/>
  <pageSetup paperSize="9" scale="70" orientation="portrait" r:id="rId1"/>
  <headerFooter alignWithMargins="0"/>
  <rowBreaks count="3" manualBreakCount="3">
    <brk id="61" max="15" man="1"/>
    <brk id="132" max="15" man="1"/>
    <brk id="193" max="15" man="1"/>
  </rowBreaks>
  <ignoredErrors>
    <ignoredError sqref="I146 I163:I190 J176:L17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A32B-BEE5-4CFD-9C19-CC14BD5E1058}">
  <dimension ref="B1:O249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3" width="2.625" style="13" customWidth="1"/>
    <col min="4" max="21" width="8.625" style="13" customWidth="1"/>
    <col min="22" max="16384" width="2.625" style="13"/>
  </cols>
  <sheetData>
    <row r="1" spans="3:14" ht="16.5" customHeight="1" x14ac:dyDescent="0.15">
      <c r="C1" s="21"/>
      <c r="D1" s="17"/>
    </row>
    <row r="2" spans="3:14" ht="16.5" customHeight="1" x14ac:dyDescent="0.15">
      <c r="C2" s="21" t="s">
        <v>126</v>
      </c>
      <c r="D2" s="17" t="s">
        <v>212</v>
      </c>
    </row>
    <row r="3" spans="3:14" ht="16.5" customHeight="1" x14ac:dyDescent="0.15">
      <c r="C3" s="21"/>
      <c r="D3" s="17"/>
    </row>
    <row r="4" spans="3:14" ht="16.5" customHeight="1" x14ac:dyDescent="0.15">
      <c r="C4" s="21"/>
      <c r="D4" s="645" t="s">
        <v>325</v>
      </c>
      <c r="E4" s="645"/>
      <c r="F4" s="645"/>
      <c r="G4" s="645"/>
      <c r="H4" s="645"/>
      <c r="I4" s="645"/>
      <c r="J4" s="645"/>
      <c r="K4" s="645"/>
      <c r="L4" s="645"/>
      <c r="M4" s="645"/>
      <c r="N4" s="645"/>
    </row>
    <row r="5" spans="3:14" ht="16.5" customHeight="1" x14ac:dyDescent="0.15">
      <c r="C5" s="21"/>
      <c r="D5" s="17"/>
    </row>
    <row r="7" spans="3:14" ht="16.5" customHeight="1" x14ac:dyDescent="0.15">
      <c r="C7" s="21"/>
      <c r="D7" s="17"/>
    </row>
    <row r="8" spans="3:14" ht="16.5" customHeight="1" x14ac:dyDescent="0.15">
      <c r="C8" s="21"/>
      <c r="D8" s="17"/>
    </row>
    <row r="9" spans="3:14" ht="16.5" customHeight="1" x14ac:dyDescent="0.15">
      <c r="C9" s="21"/>
      <c r="D9" s="17"/>
    </row>
    <row r="10" spans="3:14" ht="16.5" customHeight="1" x14ac:dyDescent="0.15">
      <c r="C10" s="21"/>
      <c r="D10" s="17"/>
    </row>
    <row r="11" spans="3:14" ht="16.5" customHeight="1" x14ac:dyDescent="0.15">
      <c r="C11" s="21"/>
      <c r="D11" s="17"/>
    </row>
    <row r="12" spans="3:14" ht="16.5" customHeight="1" x14ac:dyDescent="0.15">
      <c r="C12" s="21"/>
      <c r="D12" s="17"/>
    </row>
    <row r="13" spans="3:14" ht="16.5" customHeight="1" x14ac:dyDescent="0.15">
      <c r="C13" s="21"/>
      <c r="D13" s="17"/>
    </row>
    <row r="14" spans="3:14" ht="16.5" customHeight="1" x14ac:dyDescent="0.15">
      <c r="C14" s="21"/>
      <c r="D14" s="17"/>
    </row>
    <row r="15" spans="3:14" ht="16.5" customHeight="1" x14ac:dyDescent="0.15">
      <c r="C15" s="21"/>
      <c r="D15" s="17"/>
    </row>
    <row r="16" spans="3:14" ht="16.5" customHeight="1" x14ac:dyDescent="0.15">
      <c r="C16" s="21"/>
      <c r="D16" s="17"/>
    </row>
    <row r="17" spans="3:4" ht="16.5" customHeight="1" x14ac:dyDescent="0.15">
      <c r="C17" s="21"/>
      <c r="D17" s="17"/>
    </row>
    <row r="18" spans="3:4" ht="16.5" customHeight="1" x14ac:dyDescent="0.15">
      <c r="C18" s="21"/>
      <c r="D18" s="17"/>
    </row>
    <row r="19" spans="3:4" ht="16.5" customHeight="1" x14ac:dyDescent="0.15">
      <c r="C19" s="21"/>
      <c r="D19" s="17"/>
    </row>
    <row r="20" spans="3:4" ht="16.5" customHeight="1" x14ac:dyDescent="0.15">
      <c r="C20" s="21"/>
      <c r="D20" s="17"/>
    </row>
    <row r="21" spans="3:4" ht="16.5" customHeight="1" x14ac:dyDescent="0.15">
      <c r="C21" s="21"/>
      <c r="D21" s="17"/>
    </row>
    <row r="22" spans="3:4" ht="16.5" customHeight="1" x14ac:dyDescent="0.15">
      <c r="C22" s="21"/>
      <c r="D22" s="17"/>
    </row>
    <row r="23" spans="3:4" ht="16.5" customHeight="1" x14ac:dyDescent="0.15">
      <c r="C23" s="21"/>
      <c r="D23" s="17"/>
    </row>
    <row r="24" spans="3:4" ht="16.5" customHeight="1" x14ac:dyDescent="0.15">
      <c r="C24" s="21"/>
      <c r="D24" s="17"/>
    </row>
    <row r="25" spans="3:4" ht="16.5" customHeight="1" x14ac:dyDescent="0.15">
      <c r="C25" s="21"/>
      <c r="D25" s="17"/>
    </row>
    <row r="26" spans="3:4" ht="16.5" customHeight="1" x14ac:dyDescent="0.15">
      <c r="C26" s="21"/>
      <c r="D26" s="17"/>
    </row>
    <row r="27" spans="3:4" ht="16.5" customHeight="1" x14ac:dyDescent="0.15">
      <c r="C27" s="21"/>
      <c r="D27" s="17"/>
    </row>
    <row r="28" spans="3:4" ht="16.5" customHeight="1" x14ac:dyDescent="0.15">
      <c r="C28" s="21"/>
      <c r="D28" s="17"/>
    </row>
    <row r="29" spans="3:4" ht="16.5" customHeight="1" x14ac:dyDescent="0.15">
      <c r="C29" s="21"/>
      <c r="D29" s="17"/>
    </row>
    <row r="30" spans="3:4" ht="16.5" customHeight="1" x14ac:dyDescent="0.15">
      <c r="C30" s="21"/>
      <c r="D30" s="17"/>
    </row>
    <row r="31" spans="3:4" ht="16.5" customHeight="1" x14ac:dyDescent="0.15">
      <c r="C31" s="21"/>
      <c r="D31" s="17"/>
    </row>
    <row r="32" spans="3:4" ht="16.5" customHeight="1" x14ac:dyDescent="0.15">
      <c r="C32" s="21"/>
      <c r="D32" s="17"/>
    </row>
    <row r="33" spans="3:4" ht="16.5" customHeight="1" x14ac:dyDescent="0.15">
      <c r="C33" s="21"/>
      <c r="D33" s="17"/>
    </row>
    <row r="34" spans="3:4" ht="16.5" customHeight="1" x14ac:dyDescent="0.15">
      <c r="C34" s="21"/>
      <c r="D34" s="17"/>
    </row>
    <row r="35" spans="3:4" ht="16.5" customHeight="1" x14ac:dyDescent="0.15">
      <c r="C35" s="21"/>
      <c r="D35" s="17"/>
    </row>
    <row r="36" spans="3:4" ht="16.5" customHeight="1" x14ac:dyDescent="0.15">
      <c r="C36" s="21"/>
      <c r="D36" s="17"/>
    </row>
    <row r="37" spans="3:4" ht="16.5" customHeight="1" x14ac:dyDescent="0.15">
      <c r="C37" s="21"/>
      <c r="D37" s="17"/>
    </row>
    <row r="38" spans="3:4" ht="16.5" customHeight="1" x14ac:dyDescent="0.15">
      <c r="C38" s="21"/>
      <c r="D38" s="17"/>
    </row>
    <row r="39" spans="3:4" ht="16.5" customHeight="1" x14ac:dyDescent="0.15">
      <c r="C39" s="21"/>
      <c r="D39" s="17"/>
    </row>
    <row r="40" spans="3:4" ht="16.5" customHeight="1" x14ac:dyDescent="0.15">
      <c r="C40" s="21"/>
      <c r="D40" s="17"/>
    </row>
    <row r="41" spans="3:4" ht="16.5" customHeight="1" x14ac:dyDescent="0.15">
      <c r="C41" s="21"/>
      <c r="D41" s="17"/>
    </row>
    <row r="42" spans="3:4" ht="16.5" customHeight="1" x14ac:dyDescent="0.15">
      <c r="C42" s="21"/>
      <c r="D42" s="17"/>
    </row>
    <row r="43" spans="3:4" ht="16.5" customHeight="1" x14ac:dyDescent="0.15">
      <c r="C43" s="21"/>
      <c r="D43" s="17"/>
    </row>
    <row r="44" spans="3:4" ht="16.5" customHeight="1" x14ac:dyDescent="0.15">
      <c r="C44" s="21"/>
      <c r="D44" s="17"/>
    </row>
    <row r="45" spans="3:4" ht="16.5" customHeight="1" x14ac:dyDescent="0.15">
      <c r="C45" s="21"/>
      <c r="D45" s="17"/>
    </row>
    <row r="46" spans="3:4" ht="16.5" customHeight="1" x14ac:dyDescent="0.15">
      <c r="C46" s="21"/>
      <c r="D46" s="17"/>
    </row>
    <row r="47" spans="3:4" ht="16.5" customHeight="1" x14ac:dyDescent="0.15">
      <c r="C47" s="21"/>
      <c r="D47" s="17"/>
    </row>
    <row r="48" spans="3:4" ht="16.5" customHeight="1" x14ac:dyDescent="0.15">
      <c r="C48" s="21"/>
      <c r="D48" s="17"/>
    </row>
    <row r="49" spans="3:13" ht="16.5" customHeight="1" x14ac:dyDescent="0.15">
      <c r="C49" s="21"/>
      <c r="D49" s="17"/>
    </row>
    <row r="50" spans="3:13" ht="16.5" customHeight="1" x14ac:dyDescent="0.15">
      <c r="C50" s="21"/>
      <c r="D50" s="17"/>
    </row>
    <row r="51" spans="3:13" ht="16.5" customHeight="1" x14ac:dyDescent="0.15">
      <c r="C51" s="21"/>
      <c r="D51" s="17"/>
    </row>
    <row r="52" spans="3:13" ht="16.5" customHeight="1" x14ac:dyDescent="0.15">
      <c r="C52" s="21"/>
      <c r="D52" s="17"/>
    </row>
    <row r="53" spans="3:13" ht="16.5" customHeight="1" x14ac:dyDescent="0.15">
      <c r="C53" s="21"/>
      <c r="D53" s="17"/>
    </row>
    <row r="54" spans="3:13" ht="16.5" customHeight="1" x14ac:dyDescent="0.15">
      <c r="C54" s="21"/>
      <c r="D54" s="17"/>
    </row>
    <row r="55" spans="3:13" ht="16.5" customHeight="1" x14ac:dyDescent="0.15">
      <c r="C55" s="21"/>
      <c r="D55" s="17"/>
    </row>
    <row r="56" spans="3:13" ht="16.5" customHeight="1" x14ac:dyDescent="0.15">
      <c r="C56" s="21"/>
      <c r="D56" s="17"/>
    </row>
    <row r="57" spans="3:13" ht="16.5" customHeight="1" x14ac:dyDescent="0.15">
      <c r="C57" s="21"/>
      <c r="D57" s="17"/>
    </row>
    <row r="58" spans="3:13" ht="16.5" customHeight="1" x14ac:dyDescent="0.15">
      <c r="C58" s="21"/>
      <c r="D58" s="17"/>
    </row>
    <row r="59" spans="3:13" ht="16.5" customHeight="1" x14ac:dyDescent="0.15">
      <c r="C59" s="21"/>
      <c r="D59" s="17"/>
    </row>
    <row r="61" spans="3:13" ht="16.5" customHeight="1" x14ac:dyDescent="0.15">
      <c r="C61" s="21" t="s">
        <v>215</v>
      </c>
      <c r="D61" s="17" t="s">
        <v>324</v>
      </c>
    </row>
    <row r="62" spans="3:13" s="17" customFormat="1" ht="16.5" customHeight="1" x14ac:dyDescent="0.15">
      <c r="C62" s="18"/>
      <c r="D62" s="17" t="s">
        <v>202</v>
      </c>
      <c r="E62" s="73">
        <v>1.3</v>
      </c>
      <c r="F62" s="17" t="s">
        <v>29</v>
      </c>
    </row>
    <row r="63" spans="3:13" s="17" customFormat="1" ht="16.5" customHeight="1" x14ac:dyDescent="0.15">
      <c r="C63" s="18"/>
      <c r="D63" s="17" t="s">
        <v>207</v>
      </c>
      <c r="E63" s="73">
        <v>31</v>
      </c>
      <c r="F63" s="17" t="s">
        <v>29</v>
      </c>
    </row>
    <row r="64" spans="3:13" ht="16.5" customHeight="1" x14ac:dyDescent="0.15">
      <c r="D64" s="376" t="s">
        <v>199</v>
      </c>
      <c r="E64" s="628" t="s">
        <v>302</v>
      </c>
      <c r="F64" s="631" t="s">
        <v>229</v>
      </c>
      <c r="G64" s="385" t="s">
        <v>201</v>
      </c>
      <c r="H64" s="386"/>
      <c r="I64" s="387"/>
      <c r="J64" s="549" t="s">
        <v>306</v>
      </c>
      <c r="K64" s="549" t="s">
        <v>304</v>
      </c>
      <c r="L64" s="624" t="s">
        <v>288</v>
      </c>
      <c r="M64" s="552" t="s">
        <v>305</v>
      </c>
    </row>
    <row r="65" spans="4:13" ht="16.5" customHeight="1" x14ac:dyDescent="0.15">
      <c r="D65" s="376"/>
      <c r="E65" s="629"/>
      <c r="F65" s="631"/>
      <c r="G65" s="388"/>
      <c r="H65" s="289"/>
      <c r="I65" s="389"/>
      <c r="J65" s="550"/>
      <c r="K65" s="550"/>
      <c r="L65" s="624"/>
      <c r="M65" s="553"/>
    </row>
    <row r="66" spans="4:13" ht="16.5" customHeight="1" x14ac:dyDescent="0.15">
      <c r="D66" s="376"/>
      <c r="E66" s="629"/>
      <c r="F66" s="631"/>
      <c r="G66" s="388"/>
      <c r="H66" s="289"/>
      <c r="I66" s="389"/>
      <c r="J66" s="550"/>
      <c r="K66" s="550"/>
      <c r="L66" s="624"/>
      <c r="M66" s="553"/>
    </row>
    <row r="67" spans="4:13" ht="16.5" customHeight="1" x14ac:dyDescent="0.15">
      <c r="D67" s="376"/>
      <c r="E67" s="629"/>
      <c r="F67" s="631"/>
      <c r="G67" s="388"/>
      <c r="H67" s="289"/>
      <c r="I67" s="389"/>
      <c r="J67" s="550"/>
      <c r="K67" s="550"/>
      <c r="L67" s="624"/>
      <c r="M67" s="553"/>
    </row>
    <row r="68" spans="4:13" ht="16.5" customHeight="1" x14ac:dyDescent="0.15">
      <c r="D68" s="376"/>
      <c r="E68" s="432"/>
      <c r="F68" s="631"/>
      <c r="G68" s="417"/>
      <c r="H68" s="418"/>
      <c r="I68" s="419"/>
      <c r="J68" s="551"/>
      <c r="K68" s="551"/>
      <c r="L68" s="624"/>
      <c r="M68" s="554"/>
    </row>
    <row r="69" spans="4:13" ht="16.5" customHeight="1" x14ac:dyDescent="0.15">
      <c r="D69" s="376" t="s">
        <v>16</v>
      </c>
      <c r="E69" s="510" t="s">
        <v>292</v>
      </c>
      <c r="F69" s="625">
        <v>1.5</v>
      </c>
      <c r="G69" s="636">
        <v>98</v>
      </c>
      <c r="H69" s="636">
        <v>123</v>
      </c>
      <c r="I69" s="636">
        <v>148</v>
      </c>
      <c r="J69" s="144">
        <v>0</v>
      </c>
      <c r="K69" s="145"/>
      <c r="L69" s="146">
        <v>782.3</v>
      </c>
      <c r="M69" s="141"/>
    </row>
    <row r="70" spans="4:13" ht="16.5" customHeight="1" x14ac:dyDescent="0.15">
      <c r="D70" s="376"/>
      <c r="E70" s="510"/>
      <c r="F70" s="625"/>
      <c r="G70" s="637"/>
      <c r="H70" s="637"/>
      <c r="I70" s="637"/>
      <c r="J70" s="634">
        <v>1.3</v>
      </c>
      <c r="K70" s="148"/>
      <c r="L70" s="626">
        <f>+L69+(L72-L69)/F69*(J70-J69)</f>
        <v>879.45333333333326</v>
      </c>
      <c r="M70" s="141"/>
    </row>
    <row r="71" spans="4:13" ht="16.5" customHeight="1" x14ac:dyDescent="0.15">
      <c r="D71" s="376"/>
      <c r="E71" s="510"/>
      <c r="F71" s="625"/>
      <c r="G71" s="577">
        <f>+G69+1</f>
        <v>99</v>
      </c>
      <c r="H71" s="577">
        <f>+H69+1</f>
        <v>124</v>
      </c>
      <c r="I71" s="577">
        <f>+I69+1</f>
        <v>149</v>
      </c>
      <c r="J71" s="635"/>
      <c r="K71" s="574">
        <f>+J72-J70</f>
        <v>0.19999999999999996</v>
      </c>
      <c r="L71" s="627"/>
      <c r="M71" s="72">
        <f>0.5*((L70+L72)*K71+(L73+L74)*K73)/(K71+K73)</f>
        <v>1337.9073570019723</v>
      </c>
    </row>
    <row r="72" spans="4:13" ht="16.5" customHeight="1" x14ac:dyDescent="0.15">
      <c r="D72" s="376"/>
      <c r="E72" s="510"/>
      <c r="F72" s="625"/>
      <c r="G72" s="578"/>
      <c r="H72" s="578"/>
      <c r="I72" s="578"/>
      <c r="J72" s="79">
        <f>+F69</f>
        <v>1.5</v>
      </c>
      <c r="K72" s="576"/>
      <c r="L72" s="146">
        <v>894.4</v>
      </c>
      <c r="M72" s="93"/>
    </row>
    <row r="73" spans="4:13" ht="16.5" customHeight="1" x14ac:dyDescent="0.15">
      <c r="D73" s="376" t="s">
        <v>17</v>
      </c>
      <c r="E73" s="510" t="s">
        <v>292</v>
      </c>
      <c r="F73" s="625">
        <v>1.3</v>
      </c>
      <c r="G73" s="578"/>
      <c r="H73" s="578"/>
      <c r="I73" s="578"/>
      <c r="J73" s="144">
        <f>+J72</f>
        <v>1.5</v>
      </c>
      <c r="K73" s="574">
        <f>+J74-J73</f>
        <v>1.1000000000000001</v>
      </c>
      <c r="L73" s="146">
        <v>1357.5</v>
      </c>
      <c r="M73" s="93"/>
    </row>
    <row r="74" spans="4:13" ht="16.5" customHeight="1" x14ac:dyDescent="0.15">
      <c r="D74" s="376"/>
      <c r="E74" s="510"/>
      <c r="F74" s="625"/>
      <c r="G74" s="579"/>
      <c r="H74" s="579"/>
      <c r="I74" s="579"/>
      <c r="J74" s="632">
        <f>+J70+E62</f>
        <v>2.6</v>
      </c>
      <c r="K74" s="576"/>
      <c r="L74" s="626">
        <f>+L73+(L76-L73)/F73*(J74-J73)</f>
        <v>1482.3076923076924</v>
      </c>
      <c r="M74" s="72">
        <f>+M71</f>
        <v>1337.9073570019723</v>
      </c>
    </row>
    <row r="75" spans="4:13" ht="16.5" customHeight="1" x14ac:dyDescent="0.15">
      <c r="D75" s="376"/>
      <c r="E75" s="510"/>
      <c r="F75" s="625"/>
      <c r="G75" s="393">
        <f>+G71+1</f>
        <v>100</v>
      </c>
      <c r="H75" s="393">
        <f>+H71+1</f>
        <v>125</v>
      </c>
      <c r="I75" s="393">
        <f>+I71+1</f>
        <v>150</v>
      </c>
      <c r="J75" s="633"/>
      <c r="K75" s="574">
        <f>+J76-J74</f>
        <v>0.19999999999999973</v>
      </c>
      <c r="L75" s="627"/>
      <c r="M75" s="72">
        <f>0.5*((L74+L76)*K75+(L77+L78)*K77)/(K75+K77)</f>
        <v>610.56213017751452</v>
      </c>
    </row>
    <row r="76" spans="4:13" ht="16.5" customHeight="1" x14ac:dyDescent="0.15">
      <c r="D76" s="376"/>
      <c r="E76" s="510"/>
      <c r="F76" s="625"/>
      <c r="G76" s="393"/>
      <c r="H76" s="393"/>
      <c r="I76" s="393"/>
      <c r="J76" s="79">
        <f>+J73+F73</f>
        <v>2.8</v>
      </c>
      <c r="K76" s="576"/>
      <c r="L76" s="146">
        <v>1505</v>
      </c>
      <c r="M76" s="141"/>
    </row>
    <row r="77" spans="4:13" ht="16.5" customHeight="1" x14ac:dyDescent="0.15">
      <c r="D77" s="376" t="s">
        <v>18</v>
      </c>
      <c r="E77" s="630" t="s">
        <v>300</v>
      </c>
      <c r="F77" s="625">
        <v>2.9</v>
      </c>
      <c r="G77" s="393"/>
      <c r="H77" s="393"/>
      <c r="I77" s="393"/>
      <c r="J77" s="144">
        <f>+J76</f>
        <v>2.8</v>
      </c>
      <c r="K77" s="574">
        <f>+J78-J77</f>
        <v>1.1000000000000005</v>
      </c>
      <c r="L77" s="146">
        <v>450</v>
      </c>
      <c r="M77" s="141"/>
    </row>
    <row r="78" spans="4:13" ht="16.5" customHeight="1" x14ac:dyDescent="0.15">
      <c r="D78" s="376"/>
      <c r="E78" s="630"/>
      <c r="F78" s="625"/>
      <c r="G78" s="393"/>
      <c r="H78" s="393"/>
      <c r="I78" s="393"/>
      <c r="J78" s="632">
        <f>+J74+E62</f>
        <v>3.9000000000000004</v>
      </c>
      <c r="K78" s="576"/>
      <c r="L78" s="626">
        <f>+L77+(L82-L77)/F77*(J78-J77)</f>
        <v>450</v>
      </c>
      <c r="M78" s="72">
        <f>+M75</f>
        <v>610.56213017751452</v>
      </c>
    </row>
    <row r="79" spans="4:13" ht="16.5" customHeight="1" x14ac:dyDescent="0.15">
      <c r="D79" s="376"/>
      <c r="E79" s="630"/>
      <c r="F79" s="625"/>
      <c r="G79" s="577">
        <f>+G75+1</f>
        <v>101</v>
      </c>
      <c r="H79" s="577">
        <f>+H75+1</f>
        <v>126</v>
      </c>
      <c r="I79" s="577">
        <f>+I75+1</f>
        <v>151</v>
      </c>
      <c r="J79" s="633"/>
      <c r="K79" s="147"/>
      <c r="L79" s="627"/>
      <c r="M79" s="141"/>
    </row>
    <row r="80" spans="4:13" ht="16.5" customHeight="1" x14ac:dyDescent="0.15">
      <c r="D80" s="376"/>
      <c r="E80" s="630"/>
      <c r="F80" s="625"/>
      <c r="G80" s="579"/>
      <c r="H80" s="579"/>
      <c r="I80" s="579"/>
      <c r="J80" s="632">
        <f>+J78+E62</f>
        <v>5.2</v>
      </c>
      <c r="K80" s="147"/>
      <c r="L80" s="626">
        <f>+L77+(L82-L77)/F77*(J80-J77)</f>
        <v>450</v>
      </c>
      <c r="M80" s="141"/>
    </row>
    <row r="81" spans="4:13" ht="16.5" customHeight="1" x14ac:dyDescent="0.15">
      <c r="D81" s="376"/>
      <c r="E81" s="630"/>
      <c r="F81" s="625"/>
      <c r="G81" s="577">
        <f>+G79+1</f>
        <v>102</v>
      </c>
      <c r="H81" s="577">
        <f>+H79+1</f>
        <v>127</v>
      </c>
      <c r="I81" s="577">
        <f>+I79+1</f>
        <v>152</v>
      </c>
      <c r="J81" s="633"/>
      <c r="K81" s="574">
        <f>+J82-J80</f>
        <v>0.49999999999999911</v>
      </c>
      <c r="L81" s="627"/>
      <c r="M81" s="72">
        <f>0.5*((L80+L82)*K81+(L83+L84)*K83)/(K81+K83)</f>
        <v>1171.0461538461545</v>
      </c>
    </row>
    <row r="82" spans="4:13" ht="16.5" customHeight="1" x14ac:dyDescent="0.15">
      <c r="D82" s="376"/>
      <c r="E82" s="630"/>
      <c r="F82" s="625"/>
      <c r="G82" s="578"/>
      <c r="H82" s="578"/>
      <c r="I82" s="578"/>
      <c r="J82" s="79">
        <f>+J77+F77</f>
        <v>5.6999999999999993</v>
      </c>
      <c r="K82" s="576"/>
      <c r="L82" s="146">
        <v>450</v>
      </c>
      <c r="M82" s="141"/>
    </row>
    <row r="83" spans="4:13" ht="16.5" customHeight="1" x14ac:dyDescent="0.15">
      <c r="D83" s="376" t="s">
        <v>19</v>
      </c>
      <c r="E83" s="510" t="s">
        <v>292</v>
      </c>
      <c r="F83" s="625">
        <v>2.6</v>
      </c>
      <c r="G83" s="578"/>
      <c r="H83" s="578"/>
      <c r="I83" s="578"/>
      <c r="J83" s="144">
        <f>+J82</f>
        <v>5.6999999999999993</v>
      </c>
      <c r="K83" s="574">
        <f>+J84-J83</f>
        <v>0.80000000000000071</v>
      </c>
      <c r="L83" s="146">
        <v>1580.1</v>
      </c>
      <c r="M83" s="141"/>
    </row>
    <row r="84" spans="4:13" ht="16.5" customHeight="1" x14ac:dyDescent="0.15">
      <c r="D84" s="376"/>
      <c r="E84" s="510"/>
      <c r="F84" s="625"/>
      <c r="G84" s="579"/>
      <c r="H84" s="579"/>
      <c r="I84" s="579"/>
      <c r="J84" s="632">
        <f>+J80+E62</f>
        <v>6.5</v>
      </c>
      <c r="K84" s="576"/>
      <c r="L84" s="626">
        <f>+L83+(L88-L83)/F83*(J84-J83)</f>
        <v>1663.3</v>
      </c>
      <c r="M84" s="72">
        <f>+M81</f>
        <v>1171.0461538461545</v>
      </c>
    </row>
    <row r="85" spans="4:13" ht="16.5" customHeight="1" x14ac:dyDescent="0.15">
      <c r="D85" s="376"/>
      <c r="E85" s="510"/>
      <c r="F85" s="625"/>
      <c r="G85" s="393">
        <f>+G81+1</f>
        <v>103</v>
      </c>
      <c r="H85" s="393">
        <f>+H81+1</f>
        <v>128</v>
      </c>
      <c r="I85" s="393">
        <f>+I81+1</f>
        <v>153</v>
      </c>
      <c r="J85" s="633"/>
      <c r="K85" s="147"/>
      <c r="L85" s="627"/>
      <c r="M85" s="141"/>
    </row>
    <row r="86" spans="4:13" ht="16.5" customHeight="1" x14ac:dyDescent="0.15">
      <c r="D86" s="376"/>
      <c r="E86" s="510"/>
      <c r="F86" s="625"/>
      <c r="G86" s="393"/>
      <c r="H86" s="393"/>
      <c r="I86" s="393"/>
      <c r="J86" s="632">
        <f>+J84+E62</f>
        <v>7.8</v>
      </c>
      <c r="K86" s="147"/>
      <c r="L86" s="626">
        <f>+L83+(L88-L83)/F83*(J86-J83)</f>
        <v>1798.5</v>
      </c>
      <c r="M86" s="141"/>
    </row>
    <row r="87" spans="4:13" ht="16.5" customHeight="1" x14ac:dyDescent="0.15">
      <c r="D87" s="376"/>
      <c r="E87" s="510"/>
      <c r="F87" s="625"/>
      <c r="G87" s="577">
        <f>+G85+1</f>
        <v>104</v>
      </c>
      <c r="H87" s="577">
        <f>+H85+1</f>
        <v>129</v>
      </c>
      <c r="I87" s="577">
        <f>+I85+1</f>
        <v>154</v>
      </c>
      <c r="J87" s="633"/>
      <c r="K87" s="574">
        <f>+J88-J86</f>
        <v>0.49999999999999911</v>
      </c>
      <c r="L87" s="627"/>
      <c r="M87" s="72">
        <f>0.5*((L86+L88)*K87+(L89+L90)*K89)/(K87+K89)</f>
        <v>1776.1923076923076</v>
      </c>
    </row>
    <row r="88" spans="4:13" ht="16.5" customHeight="1" x14ac:dyDescent="0.15">
      <c r="D88" s="376"/>
      <c r="E88" s="510"/>
      <c r="F88" s="625"/>
      <c r="G88" s="578"/>
      <c r="H88" s="578"/>
      <c r="I88" s="578"/>
      <c r="J88" s="79">
        <f>+J83+F83</f>
        <v>8.2999999999999989</v>
      </c>
      <c r="K88" s="576"/>
      <c r="L88" s="146">
        <v>1850.5</v>
      </c>
      <c r="M88" s="141"/>
    </row>
    <row r="89" spans="4:13" ht="16.5" customHeight="1" x14ac:dyDescent="0.15">
      <c r="D89" s="376" t="s">
        <v>203</v>
      </c>
      <c r="E89" s="630" t="s">
        <v>300</v>
      </c>
      <c r="F89" s="625">
        <v>0.6</v>
      </c>
      <c r="G89" s="578"/>
      <c r="H89" s="578"/>
      <c r="I89" s="578"/>
      <c r="J89" s="144">
        <f>+J88</f>
        <v>8.2999999999999989</v>
      </c>
      <c r="K89" s="574">
        <f>+J90-J89</f>
        <v>0.80000000000000071</v>
      </c>
      <c r="L89" s="146">
        <v>1746</v>
      </c>
      <c r="M89" s="141"/>
    </row>
    <row r="90" spans="4:13" ht="16.5" customHeight="1" x14ac:dyDescent="0.15">
      <c r="D90" s="376"/>
      <c r="E90" s="630"/>
      <c r="F90" s="625"/>
      <c r="G90" s="579"/>
      <c r="H90" s="579"/>
      <c r="I90" s="579"/>
      <c r="J90" s="632">
        <f>+J86+E62</f>
        <v>9.1</v>
      </c>
      <c r="K90" s="576"/>
      <c r="L90" s="626">
        <f>+L89+(L92-L89)/F89*(J90-J89)</f>
        <v>1746</v>
      </c>
      <c r="M90" s="72">
        <f>+M87</f>
        <v>1776.1923076923076</v>
      </c>
    </row>
    <row r="91" spans="4:13" ht="16.5" customHeight="1" x14ac:dyDescent="0.15">
      <c r="D91" s="376"/>
      <c r="E91" s="630"/>
      <c r="F91" s="625"/>
      <c r="G91" s="577">
        <f>+G87+1</f>
        <v>105</v>
      </c>
      <c r="H91" s="577">
        <f>+H87+1</f>
        <v>130</v>
      </c>
      <c r="I91" s="577">
        <f>+I87+1</f>
        <v>155</v>
      </c>
      <c r="J91" s="633"/>
      <c r="K91" s="574">
        <f>+J92-J90</f>
        <v>-0.20000000000000107</v>
      </c>
      <c r="L91" s="627"/>
      <c r="M91" s="72">
        <f>0.5*((L90+L92)*K91+(L93+L94)*K93)/(K91+K93)</f>
        <v>2113.8066801619443</v>
      </c>
    </row>
    <row r="92" spans="4:13" ht="16.5" customHeight="1" x14ac:dyDescent="0.15">
      <c r="D92" s="376"/>
      <c r="E92" s="630"/>
      <c r="F92" s="625"/>
      <c r="G92" s="578"/>
      <c r="H92" s="578"/>
      <c r="I92" s="578"/>
      <c r="J92" s="79">
        <f>+J89+F89</f>
        <v>8.8999999999999986</v>
      </c>
      <c r="K92" s="576"/>
      <c r="L92" s="146">
        <v>1746</v>
      </c>
      <c r="M92" s="141"/>
    </row>
    <row r="93" spans="4:13" ht="16.5" customHeight="1" x14ac:dyDescent="0.15">
      <c r="D93" s="376" t="s">
        <v>204</v>
      </c>
      <c r="E93" s="510" t="s">
        <v>292</v>
      </c>
      <c r="F93" s="625">
        <v>9.5</v>
      </c>
      <c r="G93" s="578"/>
      <c r="H93" s="578"/>
      <c r="I93" s="578"/>
      <c r="J93" s="144">
        <f>+J92</f>
        <v>8.8999999999999986</v>
      </c>
      <c r="K93" s="574">
        <f>+J94-J93</f>
        <v>1.5000000000000018</v>
      </c>
      <c r="L93" s="146">
        <v>1983.3</v>
      </c>
      <c r="M93" s="141"/>
    </row>
    <row r="94" spans="4:13" ht="16.5" customHeight="1" x14ac:dyDescent="0.15">
      <c r="D94" s="376"/>
      <c r="E94" s="510"/>
      <c r="F94" s="625"/>
      <c r="G94" s="579"/>
      <c r="H94" s="579"/>
      <c r="I94" s="579"/>
      <c r="J94" s="632">
        <f>+J90+E62</f>
        <v>10.4</v>
      </c>
      <c r="K94" s="576"/>
      <c r="L94" s="626">
        <f>+L93+(L108-L93)/F93*(J94-J93)</f>
        <v>2146.2315789473687</v>
      </c>
      <c r="M94" s="72">
        <f>+M91</f>
        <v>2113.8066801619443</v>
      </c>
    </row>
    <row r="95" spans="4:13" ht="16.5" customHeight="1" x14ac:dyDescent="0.15">
      <c r="D95" s="376"/>
      <c r="E95" s="510"/>
      <c r="F95" s="625"/>
      <c r="G95" s="577">
        <f>+G91+1</f>
        <v>106</v>
      </c>
      <c r="H95" s="577">
        <f>+H91+1</f>
        <v>131</v>
      </c>
      <c r="I95" s="577">
        <f>+I91+1</f>
        <v>156</v>
      </c>
      <c r="J95" s="633"/>
      <c r="K95" s="147"/>
      <c r="L95" s="627"/>
      <c r="M95" s="141"/>
    </row>
    <row r="96" spans="4:13" ht="16.5" customHeight="1" x14ac:dyDescent="0.15">
      <c r="D96" s="376"/>
      <c r="E96" s="510"/>
      <c r="F96" s="625"/>
      <c r="G96" s="579"/>
      <c r="H96" s="579"/>
      <c r="I96" s="579"/>
      <c r="J96" s="632">
        <f>+J94+E62</f>
        <v>11.700000000000001</v>
      </c>
      <c r="K96" s="147"/>
      <c r="L96" s="626">
        <f>+L93+(L108-L93)/F93*(J96-J93)</f>
        <v>2287.4389473684214</v>
      </c>
      <c r="M96" s="141"/>
    </row>
    <row r="97" spans="4:13" ht="16.5" customHeight="1" x14ac:dyDescent="0.15">
      <c r="D97" s="376"/>
      <c r="E97" s="510"/>
      <c r="F97" s="625"/>
      <c r="G97" s="577">
        <f>+G95+1</f>
        <v>107</v>
      </c>
      <c r="H97" s="577">
        <f>+H95+1</f>
        <v>132</v>
      </c>
      <c r="I97" s="577">
        <f>+I95+1</f>
        <v>157</v>
      </c>
      <c r="J97" s="633"/>
      <c r="K97" s="147"/>
      <c r="L97" s="627"/>
      <c r="M97" s="141"/>
    </row>
    <row r="98" spans="4:13" ht="16.5" customHeight="1" x14ac:dyDescent="0.15">
      <c r="D98" s="376"/>
      <c r="E98" s="510"/>
      <c r="F98" s="625"/>
      <c r="G98" s="579"/>
      <c r="H98" s="579"/>
      <c r="I98" s="579"/>
      <c r="J98" s="632">
        <f>+J96+E62</f>
        <v>13.000000000000002</v>
      </c>
      <c r="K98" s="147"/>
      <c r="L98" s="626">
        <f>+L93+(L108-L93)/F93*(J98-J93)</f>
        <v>2428.6463157894741</v>
      </c>
      <c r="M98" s="141"/>
    </row>
    <row r="99" spans="4:13" ht="16.5" customHeight="1" x14ac:dyDescent="0.15">
      <c r="D99" s="376"/>
      <c r="E99" s="510"/>
      <c r="F99" s="625"/>
      <c r="G99" s="577">
        <f>+G97+1</f>
        <v>108</v>
      </c>
      <c r="H99" s="577">
        <f>+H97+1</f>
        <v>133</v>
      </c>
      <c r="I99" s="577">
        <f>+I97+1</f>
        <v>158</v>
      </c>
      <c r="J99" s="633"/>
      <c r="K99" s="147"/>
      <c r="L99" s="627"/>
      <c r="M99" s="141"/>
    </row>
    <row r="100" spans="4:13" ht="16.5" customHeight="1" x14ac:dyDescent="0.15">
      <c r="D100" s="376"/>
      <c r="E100" s="510"/>
      <c r="F100" s="625"/>
      <c r="G100" s="579"/>
      <c r="H100" s="579"/>
      <c r="I100" s="579"/>
      <c r="J100" s="632">
        <f>+J98+E62</f>
        <v>14.300000000000002</v>
      </c>
      <c r="K100" s="147"/>
      <c r="L100" s="626">
        <f>+L93+(L108-L93)/F93*(J100-J93)</f>
        <v>2569.8536842105268</v>
      </c>
      <c r="M100" s="141"/>
    </row>
    <row r="101" spans="4:13" ht="16.5" customHeight="1" x14ac:dyDescent="0.15">
      <c r="D101" s="376"/>
      <c r="E101" s="510"/>
      <c r="F101" s="625"/>
      <c r="G101" s="577">
        <f>+G99+1</f>
        <v>109</v>
      </c>
      <c r="H101" s="577">
        <f>+H99+1</f>
        <v>134</v>
      </c>
      <c r="I101" s="577">
        <f>+I99+1</f>
        <v>159</v>
      </c>
      <c r="J101" s="633"/>
      <c r="K101" s="147"/>
      <c r="L101" s="627"/>
      <c r="M101" s="141"/>
    </row>
    <row r="102" spans="4:13" ht="16.5" customHeight="1" x14ac:dyDescent="0.15">
      <c r="D102" s="376"/>
      <c r="E102" s="510"/>
      <c r="F102" s="625"/>
      <c r="G102" s="579"/>
      <c r="H102" s="579"/>
      <c r="I102" s="579"/>
      <c r="J102" s="632">
        <f>+J100+E62</f>
        <v>15.600000000000003</v>
      </c>
      <c r="K102" s="147"/>
      <c r="L102" s="626">
        <f>+L93+(L108-L93)/F93*(J102-J93)</f>
        <v>2711.0610526315795</v>
      </c>
      <c r="M102" s="141"/>
    </row>
    <row r="103" spans="4:13" ht="16.5" customHeight="1" x14ac:dyDescent="0.15">
      <c r="D103" s="376"/>
      <c r="E103" s="510"/>
      <c r="F103" s="625"/>
      <c r="G103" s="577">
        <f>+G101+1</f>
        <v>110</v>
      </c>
      <c r="H103" s="577">
        <f>+H101+1</f>
        <v>135</v>
      </c>
      <c r="I103" s="577">
        <f>+I101+1</f>
        <v>160</v>
      </c>
      <c r="J103" s="633"/>
      <c r="K103" s="147"/>
      <c r="L103" s="627"/>
      <c r="M103" s="141"/>
    </row>
    <row r="104" spans="4:13" ht="16.5" customHeight="1" x14ac:dyDescent="0.15">
      <c r="D104" s="376"/>
      <c r="E104" s="510"/>
      <c r="F104" s="625"/>
      <c r="G104" s="579"/>
      <c r="H104" s="579"/>
      <c r="I104" s="579"/>
      <c r="J104" s="632">
        <f>+J102+E62</f>
        <v>16.900000000000002</v>
      </c>
      <c r="K104" s="147"/>
      <c r="L104" s="626">
        <f>+L93+(L108-L93)/F93*(J104-J93)</f>
        <v>2852.2684210526318</v>
      </c>
      <c r="M104" s="141"/>
    </row>
    <row r="105" spans="4:13" ht="16.5" customHeight="1" x14ac:dyDescent="0.15">
      <c r="D105" s="376"/>
      <c r="E105" s="510"/>
      <c r="F105" s="625"/>
      <c r="G105" s="577">
        <f>+G103+1</f>
        <v>111</v>
      </c>
      <c r="H105" s="577">
        <f>+H103+1</f>
        <v>136</v>
      </c>
      <c r="I105" s="577">
        <f>+I103+1</f>
        <v>161</v>
      </c>
      <c r="J105" s="633"/>
      <c r="K105" s="147"/>
      <c r="L105" s="627"/>
      <c r="M105" s="141"/>
    </row>
    <row r="106" spans="4:13" ht="16.5" customHeight="1" x14ac:dyDescent="0.15">
      <c r="D106" s="376"/>
      <c r="E106" s="510"/>
      <c r="F106" s="625"/>
      <c r="G106" s="579"/>
      <c r="H106" s="579"/>
      <c r="I106" s="579"/>
      <c r="J106" s="632">
        <f>+J104+E62</f>
        <v>18.200000000000003</v>
      </c>
      <c r="K106" s="147"/>
      <c r="L106" s="626">
        <f>+L93+(L108-L93)/F93*(J106-J93)</f>
        <v>2993.4757894736845</v>
      </c>
      <c r="M106" s="141"/>
    </row>
    <row r="107" spans="4:13" ht="16.5" customHeight="1" x14ac:dyDescent="0.15">
      <c r="D107" s="376"/>
      <c r="E107" s="510"/>
      <c r="F107" s="625"/>
      <c r="G107" s="577">
        <f>+G105+1</f>
        <v>112</v>
      </c>
      <c r="H107" s="577">
        <f>+H105+1</f>
        <v>137</v>
      </c>
      <c r="I107" s="577">
        <f>+I105+1</f>
        <v>162</v>
      </c>
      <c r="J107" s="633"/>
      <c r="K107" s="574">
        <f>+J108-J106</f>
        <v>0.19999999999999574</v>
      </c>
      <c r="L107" s="627"/>
      <c r="M107" s="72">
        <f>0.5*((L106+L108)*K107+(L109+L110)*K109)/(K107+K109)</f>
        <v>1132.3596761133529</v>
      </c>
    </row>
    <row r="108" spans="4:13" ht="16.5" customHeight="1" x14ac:dyDescent="0.15">
      <c r="D108" s="376"/>
      <c r="E108" s="510"/>
      <c r="F108" s="625"/>
      <c r="G108" s="578"/>
      <c r="H108" s="578"/>
      <c r="I108" s="578"/>
      <c r="J108" s="79">
        <f>+J93+F93</f>
        <v>18.399999999999999</v>
      </c>
      <c r="K108" s="576"/>
      <c r="L108" s="146">
        <v>3015.2</v>
      </c>
      <c r="M108" s="141"/>
    </row>
    <row r="109" spans="4:13" ht="16.5" customHeight="1" x14ac:dyDescent="0.15">
      <c r="D109" s="376" t="s">
        <v>205</v>
      </c>
      <c r="E109" s="630" t="s">
        <v>300</v>
      </c>
      <c r="F109" s="625">
        <v>12.6</v>
      </c>
      <c r="G109" s="578"/>
      <c r="H109" s="578"/>
      <c r="I109" s="578"/>
      <c r="J109" s="144">
        <f>+J108</f>
        <v>18.399999999999999</v>
      </c>
      <c r="K109" s="574">
        <f>+J110-J109</f>
        <v>1.100000000000005</v>
      </c>
      <c r="L109" s="146">
        <v>792</v>
      </c>
      <c r="M109" s="141"/>
    </row>
    <row r="110" spans="4:13" ht="16.5" customHeight="1" x14ac:dyDescent="0.15">
      <c r="D110" s="376"/>
      <c r="E110" s="630"/>
      <c r="F110" s="625"/>
      <c r="G110" s="579"/>
      <c r="H110" s="579"/>
      <c r="I110" s="579"/>
      <c r="J110" s="632">
        <f>+J106+E62</f>
        <v>19.500000000000004</v>
      </c>
      <c r="K110" s="576"/>
      <c r="L110" s="626">
        <f>+L109+(L128-L109)/F109*(J110-J109)</f>
        <v>792</v>
      </c>
      <c r="M110" s="72">
        <f>+M107</f>
        <v>1132.3596761133529</v>
      </c>
    </row>
    <row r="111" spans="4:13" ht="16.5" customHeight="1" x14ac:dyDescent="0.15">
      <c r="D111" s="376"/>
      <c r="E111" s="630"/>
      <c r="F111" s="625"/>
      <c r="G111" s="577">
        <f>+G107+1</f>
        <v>113</v>
      </c>
      <c r="H111" s="577">
        <f>+H107+1</f>
        <v>138</v>
      </c>
      <c r="I111" s="577">
        <f>+I107+1</f>
        <v>163</v>
      </c>
      <c r="J111" s="633"/>
      <c r="K111" s="147"/>
      <c r="L111" s="627"/>
      <c r="M111" s="141"/>
    </row>
    <row r="112" spans="4:13" ht="16.5" customHeight="1" x14ac:dyDescent="0.15">
      <c r="D112" s="376"/>
      <c r="E112" s="630"/>
      <c r="F112" s="625"/>
      <c r="G112" s="579"/>
      <c r="H112" s="579"/>
      <c r="I112" s="579"/>
      <c r="J112" s="632">
        <f>+J110+$E$62</f>
        <v>20.800000000000004</v>
      </c>
      <c r="K112" s="147"/>
      <c r="L112" s="626">
        <f>+L109+(L128-L109)/F109*(J112-J109)</f>
        <v>792</v>
      </c>
      <c r="M112" s="141"/>
    </row>
    <row r="113" spans="4:13" ht="16.5" customHeight="1" x14ac:dyDescent="0.15">
      <c r="D113" s="376"/>
      <c r="E113" s="630"/>
      <c r="F113" s="625"/>
      <c r="G113" s="577">
        <f>+G111+1</f>
        <v>114</v>
      </c>
      <c r="H113" s="577">
        <f>+H111+1</f>
        <v>139</v>
      </c>
      <c r="I113" s="577">
        <f>+I111+1</f>
        <v>164</v>
      </c>
      <c r="J113" s="633"/>
      <c r="K113" s="147"/>
      <c r="L113" s="627"/>
      <c r="M113" s="141"/>
    </row>
    <row r="114" spans="4:13" ht="16.5" customHeight="1" x14ac:dyDescent="0.15">
      <c r="D114" s="376"/>
      <c r="E114" s="630"/>
      <c r="F114" s="625"/>
      <c r="G114" s="579"/>
      <c r="H114" s="579"/>
      <c r="I114" s="579"/>
      <c r="J114" s="632">
        <f>+J112+$E$62</f>
        <v>22.100000000000005</v>
      </c>
      <c r="K114" s="147"/>
      <c r="L114" s="626">
        <f>+L109+(L128-L109)/F109*(J114-J109)</f>
        <v>792</v>
      </c>
      <c r="M114" s="141"/>
    </row>
    <row r="115" spans="4:13" ht="16.5" customHeight="1" x14ac:dyDescent="0.15">
      <c r="D115" s="376"/>
      <c r="E115" s="630"/>
      <c r="F115" s="625"/>
      <c r="G115" s="577">
        <f>+G113+1</f>
        <v>115</v>
      </c>
      <c r="H115" s="577">
        <f>+H113+1</f>
        <v>140</v>
      </c>
      <c r="I115" s="577">
        <f>+I113+1</f>
        <v>165</v>
      </c>
      <c r="J115" s="633"/>
      <c r="K115" s="147"/>
      <c r="L115" s="627"/>
      <c r="M115" s="141"/>
    </row>
    <row r="116" spans="4:13" ht="16.5" customHeight="1" x14ac:dyDescent="0.15">
      <c r="D116" s="376"/>
      <c r="E116" s="630"/>
      <c r="F116" s="625"/>
      <c r="G116" s="579"/>
      <c r="H116" s="579"/>
      <c r="I116" s="579"/>
      <c r="J116" s="632">
        <f>+J114+$E$62</f>
        <v>23.400000000000006</v>
      </c>
      <c r="K116" s="147"/>
      <c r="L116" s="626">
        <f>+L109+(L128-L109)/F109*(J116-J109)</f>
        <v>792</v>
      </c>
      <c r="M116" s="141"/>
    </row>
    <row r="117" spans="4:13" ht="16.5" customHeight="1" x14ac:dyDescent="0.15">
      <c r="D117" s="376"/>
      <c r="E117" s="630"/>
      <c r="F117" s="625"/>
      <c r="G117" s="577">
        <f>+G115+1</f>
        <v>116</v>
      </c>
      <c r="H117" s="577">
        <f>+H115+1</f>
        <v>141</v>
      </c>
      <c r="I117" s="577">
        <f>+I115+1</f>
        <v>166</v>
      </c>
      <c r="J117" s="633"/>
      <c r="K117" s="147"/>
      <c r="L117" s="627"/>
      <c r="M117" s="141"/>
    </row>
    <row r="118" spans="4:13" ht="16.5" customHeight="1" x14ac:dyDescent="0.15">
      <c r="D118" s="376"/>
      <c r="E118" s="630"/>
      <c r="F118" s="625"/>
      <c r="G118" s="579"/>
      <c r="H118" s="579"/>
      <c r="I118" s="579"/>
      <c r="J118" s="632">
        <f>+J116+$E$62</f>
        <v>24.700000000000006</v>
      </c>
      <c r="K118" s="147"/>
      <c r="L118" s="626">
        <f>+L109+(L128-L109)/F109*(J118-J109)</f>
        <v>792</v>
      </c>
      <c r="M118" s="141"/>
    </row>
    <row r="119" spans="4:13" ht="16.5" customHeight="1" x14ac:dyDescent="0.15">
      <c r="D119" s="376"/>
      <c r="E119" s="630"/>
      <c r="F119" s="625"/>
      <c r="G119" s="577">
        <f>+G117+1</f>
        <v>117</v>
      </c>
      <c r="H119" s="577">
        <f>+H117+1</f>
        <v>142</v>
      </c>
      <c r="I119" s="577">
        <f>+I117+1</f>
        <v>167</v>
      </c>
      <c r="J119" s="633"/>
      <c r="K119" s="147"/>
      <c r="L119" s="627"/>
      <c r="M119" s="141"/>
    </row>
    <row r="120" spans="4:13" ht="16.5" customHeight="1" x14ac:dyDescent="0.15">
      <c r="D120" s="376"/>
      <c r="E120" s="630"/>
      <c r="F120" s="625"/>
      <c r="G120" s="579"/>
      <c r="H120" s="579"/>
      <c r="I120" s="579"/>
      <c r="J120" s="632">
        <f>+J118+$E$62</f>
        <v>26.000000000000007</v>
      </c>
      <c r="K120" s="147"/>
      <c r="L120" s="626">
        <f>+L109+(L128-L109)/F109*(J120-J109)</f>
        <v>792</v>
      </c>
      <c r="M120" s="141"/>
    </row>
    <row r="121" spans="4:13" ht="16.5" customHeight="1" x14ac:dyDescent="0.15">
      <c r="D121" s="376"/>
      <c r="E121" s="630"/>
      <c r="F121" s="625"/>
      <c r="G121" s="577">
        <f>+G119+1</f>
        <v>118</v>
      </c>
      <c r="H121" s="577">
        <f>+H119+1</f>
        <v>143</v>
      </c>
      <c r="I121" s="577">
        <f>+I119+1</f>
        <v>168</v>
      </c>
      <c r="J121" s="633"/>
      <c r="K121" s="147"/>
      <c r="L121" s="627"/>
      <c r="M121" s="141"/>
    </row>
    <row r="122" spans="4:13" ht="16.5" customHeight="1" x14ac:dyDescent="0.15">
      <c r="D122" s="376"/>
      <c r="E122" s="630"/>
      <c r="F122" s="625"/>
      <c r="G122" s="579"/>
      <c r="H122" s="579"/>
      <c r="I122" s="579"/>
      <c r="J122" s="632">
        <f>+J120+$E$62</f>
        <v>27.300000000000008</v>
      </c>
      <c r="K122" s="147"/>
      <c r="L122" s="626">
        <f>+L109+(L128-L109)/F109*(J122-J109)</f>
        <v>792</v>
      </c>
      <c r="M122" s="141"/>
    </row>
    <row r="123" spans="4:13" ht="16.5" customHeight="1" x14ac:dyDescent="0.15">
      <c r="D123" s="376"/>
      <c r="E123" s="630"/>
      <c r="F123" s="625"/>
      <c r="G123" s="577">
        <f>+G121+1</f>
        <v>119</v>
      </c>
      <c r="H123" s="577">
        <f>+H121+1</f>
        <v>144</v>
      </c>
      <c r="I123" s="577">
        <f>+I121+1</f>
        <v>169</v>
      </c>
      <c r="J123" s="633"/>
      <c r="K123" s="147"/>
      <c r="L123" s="627"/>
      <c r="M123" s="141"/>
    </row>
    <row r="124" spans="4:13" ht="16.5" customHeight="1" x14ac:dyDescent="0.15">
      <c r="D124" s="376"/>
      <c r="E124" s="630"/>
      <c r="F124" s="625"/>
      <c r="G124" s="579"/>
      <c r="H124" s="579"/>
      <c r="I124" s="579"/>
      <c r="J124" s="632">
        <f>+J122+$E$62</f>
        <v>28.600000000000009</v>
      </c>
      <c r="K124" s="147"/>
      <c r="L124" s="626">
        <f>+L109+(L128-L109)/F109*(J124-J109)</f>
        <v>792</v>
      </c>
      <c r="M124" s="141"/>
    </row>
    <row r="125" spans="4:13" ht="16.5" customHeight="1" x14ac:dyDescent="0.15">
      <c r="D125" s="376"/>
      <c r="E125" s="630"/>
      <c r="F125" s="625"/>
      <c r="G125" s="577">
        <f>+G123+1</f>
        <v>120</v>
      </c>
      <c r="H125" s="577">
        <f>+H123+1</f>
        <v>145</v>
      </c>
      <c r="I125" s="577">
        <f>+I123+1</f>
        <v>170</v>
      </c>
      <c r="J125" s="633"/>
      <c r="K125" s="147"/>
      <c r="L125" s="627"/>
      <c r="M125" s="141"/>
    </row>
    <row r="126" spans="4:13" ht="16.5" customHeight="1" x14ac:dyDescent="0.15">
      <c r="D126" s="376"/>
      <c r="E126" s="630"/>
      <c r="F126" s="625"/>
      <c r="G126" s="579"/>
      <c r="H126" s="579"/>
      <c r="I126" s="579"/>
      <c r="J126" s="632">
        <f>+J124+$E$62</f>
        <v>29.900000000000009</v>
      </c>
      <c r="K126" s="147"/>
      <c r="L126" s="626">
        <f>+L109+(L128-L109)/F109*(J126-J109)</f>
        <v>792</v>
      </c>
      <c r="M126" s="141"/>
    </row>
    <row r="127" spans="4:13" ht="16.5" customHeight="1" x14ac:dyDescent="0.15">
      <c r="D127" s="376"/>
      <c r="E127" s="630"/>
      <c r="F127" s="625"/>
      <c r="G127" s="577">
        <f>+G125+1</f>
        <v>121</v>
      </c>
      <c r="H127" s="577">
        <f>+H125+1</f>
        <v>146</v>
      </c>
      <c r="I127" s="577">
        <f>+I125+1</f>
        <v>171</v>
      </c>
      <c r="J127" s="633"/>
      <c r="K127" s="147"/>
      <c r="L127" s="627"/>
      <c r="M127" s="141"/>
    </row>
    <row r="128" spans="4:13" ht="16.5" customHeight="1" x14ac:dyDescent="0.15">
      <c r="D128" s="376"/>
      <c r="E128" s="630"/>
      <c r="F128" s="625"/>
      <c r="G128" s="579"/>
      <c r="H128" s="579"/>
      <c r="I128" s="579"/>
      <c r="J128" s="79">
        <f>+J109+F109</f>
        <v>31</v>
      </c>
      <c r="K128" s="86"/>
      <c r="L128" s="146">
        <v>792</v>
      </c>
      <c r="M128" s="89"/>
    </row>
    <row r="132" spans="2:15" ht="16.5" customHeight="1" x14ac:dyDescent="0.15">
      <c r="C132" s="18" t="s">
        <v>217</v>
      </c>
      <c r="D132" s="17" t="s">
        <v>316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2:15" ht="16.5" customHeight="1" x14ac:dyDescent="0.15">
      <c r="C133" s="18" t="s">
        <v>30</v>
      </c>
      <c r="D133" s="17" t="s">
        <v>315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2:15" ht="16.5" customHeight="1" x14ac:dyDescent="0.15">
      <c r="D134" s="13" t="s">
        <v>289</v>
      </c>
      <c r="E134" s="17" t="s">
        <v>290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2:15" ht="16.5" customHeight="1" x14ac:dyDescent="0.15">
      <c r="D135" s="17" t="s">
        <v>292</v>
      </c>
      <c r="E135" s="25" t="s">
        <v>293</v>
      </c>
      <c r="F135" s="25" t="s">
        <v>295</v>
      </c>
      <c r="G135" s="25" t="s">
        <v>296</v>
      </c>
      <c r="H135" s="25" t="s">
        <v>297</v>
      </c>
      <c r="I135" s="25" t="s">
        <v>298</v>
      </c>
      <c r="J135" s="17"/>
      <c r="K135" s="17"/>
      <c r="L135" s="17"/>
      <c r="M135" s="17"/>
      <c r="N135" s="17"/>
      <c r="O135" s="17"/>
    </row>
    <row r="136" spans="2:15" ht="16.5" customHeight="1" x14ac:dyDescent="0.15">
      <c r="D136" s="17"/>
      <c r="E136" s="25" t="s">
        <v>294</v>
      </c>
      <c r="F136" s="78">
        <v>2.8460000000000001</v>
      </c>
      <c r="G136" s="78">
        <v>0.95299999999999996</v>
      </c>
      <c r="H136" s="78">
        <v>0.49399999999999999</v>
      </c>
      <c r="I136" s="78">
        <v>0.38119999999999998</v>
      </c>
      <c r="J136" s="17"/>
      <c r="K136" s="17"/>
      <c r="L136" s="17"/>
      <c r="M136" s="17"/>
      <c r="N136" s="17"/>
      <c r="O136" s="17"/>
    </row>
    <row r="137" spans="2:15" ht="16.5" customHeight="1" x14ac:dyDescent="0.15">
      <c r="D137" s="17" t="s">
        <v>300</v>
      </c>
      <c r="E137" s="13" t="s">
        <v>301</v>
      </c>
      <c r="F137" s="40">
        <v>1</v>
      </c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2:15" s="17" customFormat="1" ht="16.5" customHeight="1" x14ac:dyDescent="0.15">
      <c r="C138" s="18"/>
      <c r="D138" s="17" t="s">
        <v>202</v>
      </c>
      <c r="E138" s="68">
        <f>+E62</f>
        <v>1.3</v>
      </c>
      <c r="F138" s="17" t="s">
        <v>29</v>
      </c>
    </row>
    <row r="139" spans="2:15" ht="16.5" customHeight="1" x14ac:dyDescent="0.15">
      <c r="B139" s="638" t="s">
        <v>199</v>
      </c>
      <c r="C139" s="638"/>
      <c r="D139" s="359" t="s">
        <v>302</v>
      </c>
      <c r="E139" s="368" t="s">
        <v>201</v>
      </c>
      <c r="F139" s="369"/>
      <c r="G139" s="370"/>
      <c r="H139" s="334" t="s">
        <v>310</v>
      </c>
      <c r="I139" s="631" t="s">
        <v>307</v>
      </c>
      <c r="J139" s="369" t="s">
        <v>311</v>
      </c>
      <c r="K139" s="369"/>
      <c r="L139" s="369"/>
      <c r="M139" s="368" t="s">
        <v>313</v>
      </c>
      <c r="N139" s="369"/>
      <c r="O139" s="370"/>
    </row>
    <row r="140" spans="2:15" ht="16.5" customHeight="1" x14ac:dyDescent="0.15">
      <c r="B140" s="638"/>
      <c r="C140" s="638"/>
      <c r="D140" s="359"/>
      <c r="E140" s="371"/>
      <c r="F140" s="286"/>
      <c r="G140" s="372"/>
      <c r="H140" s="334"/>
      <c r="I140" s="631"/>
      <c r="J140" s="286" t="s">
        <v>312</v>
      </c>
      <c r="K140" s="286"/>
      <c r="L140" s="286"/>
      <c r="M140" s="371" t="s">
        <v>314</v>
      </c>
      <c r="N140" s="286"/>
      <c r="O140" s="372"/>
    </row>
    <row r="141" spans="2:15" ht="16.5" customHeight="1" x14ac:dyDescent="0.15">
      <c r="B141" s="638"/>
      <c r="C141" s="638"/>
      <c r="D141" s="359"/>
      <c r="E141" s="356"/>
      <c r="F141" s="324"/>
      <c r="G141" s="357"/>
      <c r="H141" s="334"/>
      <c r="I141" s="631"/>
      <c r="J141" s="81" t="s">
        <v>296</v>
      </c>
      <c r="K141" s="25" t="s">
        <v>297</v>
      </c>
      <c r="L141" s="82" t="s">
        <v>298</v>
      </c>
      <c r="M141" s="25" t="s">
        <v>296</v>
      </c>
      <c r="N141" s="25" t="s">
        <v>297</v>
      </c>
      <c r="O141" s="25" t="s">
        <v>298</v>
      </c>
    </row>
    <row r="142" spans="2:15" ht="16.5" customHeight="1" x14ac:dyDescent="0.15">
      <c r="B142" s="376" t="s">
        <v>16</v>
      </c>
      <c r="C142" s="376"/>
      <c r="D142" s="643" t="s">
        <v>292</v>
      </c>
      <c r="E142" s="636">
        <v>98</v>
      </c>
      <c r="F142" s="636">
        <v>123</v>
      </c>
      <c r="G142" s="636">
        <v>148</v>
      </c>
      <c r="H142" s="82" t="s">
        <v>308</v>
      </c>
      <c r="I142" s="72">
        <f>+L69</f>
        <v>782.3</v>
      </c>
      <c r="J142" s="149">
        <f t="shared" ref="J142:J171" si="0">+$G$136*I142</f>
        <v>745.53189999999995</v>
      </c>
      <c r="K142" s="72">
        <f t="shared" ref="K142:K171" si="1">+$H$136*I142</f>
        <v>386.45619999999997</v>
      </c>
      <c r="L142" s="150">
        <f t="shared" ref="L142:L171" si="2">+$I$136*I142</f>
        <v>298.21275999999995</v>
      </c>
      <c r="M142" s="72">
        <f t="shared" ref="M142:M189" si="3">+$E$138*J142</f>
        <v>969.19146999999998</v>
      </c>
      <c r="N142" s="72">
        <f t="shared" ref="N142:N189" si="4">+$E$138*K142</f>
        <v>502.39305999999999</v>
      </c>
      <c r="O142" s="72">
        <f t="shared" ref="O142:O189" si="5">+$E$138*L142</f>
        <v>387.67658799999992</v>
      </c>
    </row>
    <row r="143" spans="2:15" ht="16.5" customHeight="1" x14ac:dyDescent="0.15">
      <c r="B143" s="376"/>
      <c r="C143" s="376"/>
      <c r="D143" s="643"/>
      <c r="E143" s="637"/>
      <c r="F143" s="637"/>
      <c r="G143" s="637"/>
      <c r="H143" s="82" t="s">
        <v>309</v>
      </c>
      <c r="I143" s="72">
        <f>+L70</f>
        <v>879.45333333333326</v>
      </c>
      <c r="J143" s="149">
        <f t="shared" si="0"/>
        <v>838.11902666666651</v>
      </c>
      <c r="K143" s="72">
        <f t="shared" si="1"/>
        <v>434.44994666666662</v>
      </c>
      <c r="L143" s="150">
        <f t="shared" si="2"/>
        <v>335.24761066666662</v>
      </c>
      <c r="M143" s="72">
        <f t="shared" si="3"/>
        <v>1089.5547346666665</v>
      </c>
      <c r="N143" s="72">
        <f t="shared" si="4"/>
        <v>564.78493066666658</v>
      </c>
      <c r="O143" s="72">
        <f t="shared" si="5"/>
        <v>435.82189386666664</v>
      </c>
    </row>
    <row r="144" spans="2:15" ht="16.5" customHeight="1" x14ac:dyDescent="0.15">
      <c r="B144" s="376"/>
      <c r="C144" s="376"/>
      <c r="D144" s="643"/>
      <c r="E144" s="393">
        <f>+E142+1</f>
        <v>99</v>
      </c>
      <c r="F144" s="393">
        <f>+F142+1</f>
        <v>124</v>
      </c>
      <c r="G144" s="393">
        <f>+G142+1</f>
        <v>149</v>
      </c>
      <c r="H144" s="82" t="s">
        <v>308</v>
      </c>
      <c r="I144" s="72">
        <f>+M71</f>
        <v>1337.9073570019723</v>
      </c>
      <c r="J144" s="149">
        <f t="shared" si="0"/>
        <v>1275.0257112228796</v>
      </c>
      <c r="K144" s="72">
        <f t="shared" si="1"/>
        <v>660.92623435897428</v>
      </c>
      <c r="L144" s="150">
        <f t="shared" si="2"/>
        <v>510.01028448915179</v>
      </c>
      <c r="M144" s="72">
        <f t="shared" si="3"/>
        <v>1657.5334245897436</v>
      </c>
      <c r="N144" s="72">
        <f t="shared" si="4"/>
        <v>859.20410466666658</v>
      </c>
      <c r="O144" s="72">
        <f t="shared" si="5"/>
        <v>663.01336983589738</v>
      </c>
    </row>
    <row r="145" spans="2:15" ht="16.5" customHeight="1" x14ac:dyDescent="0.15">
      <c r="B145" s="376" t="s">
        <v>17</v>
      </c>
      <c r="C145" s="376"/>
      <c r="D145" s="643" t="s">
        <v>292</v>
      </c>
      <c r="E145" s="393"/>
      <c r="F145" s="393"/>
      <c r="G145" s="393"/>
      <c r="H145" s="82" t="s">
        <v>309</v>
      </c>
      <c r="I145" s="72">
        <f>+M74</f>
        <v>1337.9073570019723</v>
      </c>
      <c r="J145" s="149">
        <f t="shared" si="0"/>
        <v>1275.0257112228796</v>
      </c>
      <c r="K145" s="72">
        <f t="shared" si="1"/>
        <v>660.92623435897428</v>
      </c>
      <c r="L145" s="150">
        <f t="shared" si="2"/>
        <v>510.01028448915179</v>
      </c>
      <c r="M145" s="72">
        <f t="shared" si="3"/>
        <v>1657.5334245897436</v>
      </c>
      <c r="N145" s="72">
        <f t="shared" si="4"/>
        <v>859.20410466666658</v>
      </c>
      <c r="O145" s="72">
        <f t="shared" si="5"/>
        <v>663.01336983589738</v>
      </c>
    </row>
    <row r="146" spans="2:15" ht="16.5" customHeight="1" x14ac:dyDescent="0.15">
      <c r="B146" s="376"/>
      <c r="C146" s="376"/>
      <c r="D146" s="643"/>
      <c r="E146" s="393">
        <f>+E144+1</f>
        <v>100</v>
      </c>
      <c r="F146" s="393">
        <f>+F144+1</f>
        <v>125</v>
      </c>
      <c r="G146" s="393">
        <f>+G144+1</f>
        <v>150</v>
      </c>
      <c r="H146" s="82" t="s">
        <v>308</v>
      </c>
      <c r="I146" s="72">
        <f>+M75</f>
        <v>610.56213017751452</v>
      </c>
      <c r="J146" s="149">
        <f t="shared" si="0"/>
        <v>581.86571005917131</v>
      </c>
      <c r="K146" s="72">
        <f t="shared" si="1"/>
        <v>301.61769230769215</v>
      </c>
      <c r="L146" s="150">
        <f t="shared" si="2"/>
        <v>232.74628402366852</v>
      </c>
      <c r="M146" s="72">
        <f t="shared" si="3"/>
        <v>756.4254230769227</v>
      </c>
      <c r="N146" s="72">
        <f t="shared" si="4"/>
        <v>392.10299999999984</v>
      </c>
      <c r="O146" s="72">
        <f t="shared" si="5"/>
        <v>302.57016923076907</v>
      </c>
    </row>
    <row r="147" spans="2:15" ht="16.5" customHeight="1" x14ac:dyDescent="0.15">
      <c r="B147" s="376"/>
      <c r="C147" s="376"/>
      <c r="D147" s="643"/>
      <c r="E147" s="393"/>
      <c r="F147" s="393"/>
      <c r="G147" s="393"/>
      <c r="H147" s="82" t="s">
        <v>309</v>
      </c>
      <c r="I147" s="72">
        <f>+M78</f>
        <v>610.56213017751452</v>
      </c>
      <c r="J147" s="149">
        <f t="shared" si="0"/>
        <v>581.86571005917131</v>
      </c>
      <c r="K147" s="72">
        <f t="shared" si="1"/>
        <v>301.61769230769215</v>
      </c>
      <c r="L147" s="150">
        <f t="shared" si="2"/>
        <v>232.74628402366852</v>
      </c>
      <c r="M147" s="72">
        <f t="shared" si="3"/>
        <v>756.4254230769227</v>
      </c>
      <c r="N147" s="72">
        <f t="shared" si="4"/>
        <v>392.10299999999984</v>
      </c>
      <c r="O147" s="72">
        <f t="shared" si="5"/>
        <v>302.57016923076907</v>
      </c>
    </row>
    <row r="148" spans="2:15" ht="16.5" customHeight="1" x14ac:dyDescent="0.15">
      <c r="B148" s="376"/>
      <c r="C148" s="376"/>
      <c r="D148" s="643"/>
      <c r="E148" s="393">
        <f>+E146+1</f>
        <v>101</v>
      </c>
      <c r="F148" s="393">
        <f>+F146+1</f>
        <v>126</v>
      </c>
      <c r="G148" s="393">
        <f>+G146+1</f>
        <v>151</v>
      </c>
      <c r="H148" s="82" t="s">
        <v>308</v>
      </c>
      <c r="I148" s="72">
        <f>+L78</f>
        <v>450</v>
      </c>
      <c r="J148" s="149">
        <f t="shared" si="0"/>
        <v>428.84999999999997</v>
      </c>
      <c r="K148" s="72">
        <f t="shared" si="1"/>
        <v>222.3</v>
      </c>
      <c r="L148" s="150">
        <f t="shared" si="2"/>
        <v>171.54</v>
      </c>
      <c r="M148" s="72">
        <f t="shared" si="3"/>
        <v>557.505</v>
      </c>
      <c r="N148" s="72">
        <f t="shared" si="4"/>
        <v>288.99</v>
      </c>
      <c r="O148" s="72">
        <f t="shared" si="5"/>
        <v>223.00200000000001</v>
      </c>
    </row>
    <row r="149" spans="2:15" ht="16.5" customHeight="1" x14ac:dyDescent="0.15">
      <c r="B149" s="376" t="s">
        <v>18</v>
      </c>
      <c r="C149" s="376"/>
      <c r="D149" s="639" t="s">
        <v>300</v>
      </c>
      <c r="E149" s="393"/>
      <c r="F149" s="393"/>
      <c r="G149" s="393"/>
      <c r="H149" s="82" t="s">
        <v>309</v>
      </c>
      <c r="I149" s="72">
        <f>+L80</f>
        <v>450</v>
      </c>
      <c r="J149" s="149">
        <f t="shared" si="0"/>
        <v>428.84999999999997</v>
      </c>
      <c r="K149" s="72">
        <f t="shared" si="1"/>
        <v>222.3</v>
      </c>
      <c r="L149" s="150">
        <f t="shared" si="2"/>
        <v>171.54</v>
      </c>
      <c r="M149" s="72">
        <f t="shared" si="3"/>
        <v>557.505</v>
      </c>
      <c r="N149" s="72">
        <f t="shared" si="4"/>
        <v>288.99</v>
      </c>
      <c r="O149" s="72">
        <f t="shared" si="5"/>
        <v>223.00200000000001</v>
      </c>
    </row>
    <row r="150" spans="2:15" ht="16.5" customHeight="1" x14ac:dyDescent="0.15">
      <c r="B150" s="376"/>
      <c r="C150" s="376"/>
      <c r="D150" s="639"/>
      <c r="E150" s="393">
        <f>+E148+1</f>
        <v>102</v>
      </c>
      <c r="F150" s="393">
        <f>+F148+1</f>
        <v>127</v>
      </c>
      <c r="G150" s="393">
        <f>+G148+1</f>
        <v>152</v>
      </c>
      <c r="H150" s="82" t="s">
        <v>308</v>
      </c>
      <c r="I150" s="72">
        <f>+M81</f>
        <v>1171.0461538461545</v>
      </c>
      <c r="J150" s="149">
        <f t="shared" si="0"/>
        <v>1116.0069846153851</v>
      </c>
      <c r="K150" s="72">
        <f t="shared" si="1"/>
        <v>578.49680000000035</v>
      </c>
      <c r="L150" s="150">
        <f t="shared" si="2"/>
        <v>446.40279384615411</v>
      </c>
      <c r="M150" s="72">
        <f t="shared" si="3"/>
        <v>1450.8090800000007</v>
      </c>
      <c r="N150" s="72">
        <f t="shared" si="4"/>
        <v>752.04584000000045</v>
      </c>
      <c r="O150" s="72">
        <f t="shared" si="5"/>
        <v>580.32363200000032</v>
      </c>
    </row>
    <row r="151" spans="2:15" ht="16.5" customHeight="1" x14ac:dyDescent="0.15">
      <c r="B151" s="376" t="s">
        <v>19</v>
      </c>
      <c r="C151" s="376"/>
      <c r="D151" s="643" t="s">
        <v>292</v>
      </c>
      <c r="E151" s="393"/>
      <c r="F151" s="393"/>
      <c r="G151" s="393"/>
      <c r="H151" s="82" t="s">
        <v>309</v>
      </c>
      <c r="I151" s="72">
        <f>+M84</f>
        <v>1171.0461538461545</v>
      </c>
      <c r="J151" s="149">
        <f t="shared" si="0"/>
        <v>1116.0069846153851</v>
      </c>
      <c r="K151" s="72">
        <f t="shared" si="1"/>
        <v>578.49680000000035</v>
      </c>
      <c r="L151" s="150">
        <f t="shared" si="2"/>
        <v>446.40279384615411</v>
      </c>
      <c r="M151" s="72">
        <f t="shared" si="3"/>
        <v>1450.8090800000007</v>
      </c>
      <c r="N151" s="72">
        <f t="shared" si="4"/>
        <v>752.04584000000045</v>
      </c>
      <c r="O151" s="72">
        <f t="shared" si="5"/>
        <v>580.32363200000032</v>
      </c>
    </row>
    <row r="152" spans="2:15" ht="16.5" customHeight="1" x14ac:dyDescent="0.15">
      <c r="B152" s="376"/>
      <c r="C152" s="376"/>
      <c r="D152" s="643"/>
      <c r="E152" s="393">
        <f>+E150+1</f>
        <v>103</v>
      </c>
      <c r="F152" s="393">
        <f>+F150+1</f>
        <v>128</v>
      </c>
      <c r="G152" s="393">
        <f>+G150+1</f>
        <v>153</v>
      </c>
      <c r="H152" s="82" t="s">
        <v>308</v>
      </c>
      <c r="I152" s="72">
        <f>+L84</f>
        <v>1663.3</v>
      </c>
      <c r="J152" s="149">
        <f t="shared" si="0"/>
        <v>1585.1248999999998</v>
      </c>
      <c r="K152" s="72">
        <f t="shared" si="1"/>
        <v>821.67020000000002</v>
      </c>
      <c r="L152" s="150">
        <f t="shared" si="2"/>
        <v>634.04995999999994</v>
      </c>
      <c r="M152" s="72">
        <f t="shared" si="3"/>
        <v>2060.66237</v>
      </c>
      <c r="N152" s="72">
        <f t="shared" si="4"/>
        <v>1068.1712600000001</v>
      </c>
      <c r="O152" s="72">
        <f t="shared" si="5"/>
        <v>824.264948</v>
      </c>
    </row>
    <row r="153" spans="2:15" ht="16.5" customHeight="1" x14ac:dyDescent="0.15">
      <c r="B153" s="376"/>
      <c r="C153" s="376"/>
      <c r="D153" s="643"/>
      <c r="E153" s="393"/>
      <c r="F153" s="393"/>
      <c r="G153" s="393"/>
      <c r="H153" s="82" t="s">
        <v>309</v>
      </c>
      <c r="I153" s="72">
        <f>+L86</f>
        <v>1798.5</v>
      </c>
      <c r="J153" s="149">
        <f t="shared" si="0"/>
        <v>1713.9704999999999</v>
      </c>
      <c r="K153" s="72">
        <f t="shared" si="1"/>
        <v>888.45899999999995</v>
      </c>
      <c r="L153" s="150">
        <f t="shared" si="2"/>
        <v>685.58819999999992</v>
      </c>
      <c r="M153" s="72">
        <f t="shared" si="3"/>
        <v>2228.16165</v>
      </c>
      <c r="N153" s="72">
        <f t="shared" si="4"/>
        <v>1154.9966999999999</v>
      </c>
      <c r="O153" s="72">
        <f t="shared" si="5"/>
        <v>891.26465999999994</v>
      </c>
    </row>
    <row r="154" spans="2:15" ht="16.5" customHeight="1" x14ac:dyDescent="0.15">
      <c r="B154" s="376"/>
      <c r="C154" s="376"/>
      <c r="D154" s="643"/>
      <c r="E154" s="393">
        <f>+E152+1</f>
        <v>104</v>
      </c>
      <c r="F154" s="393">
        <f>+F152+1</f>
        <v>129</v>
      </c>
      <c r="G154" s="393">
        <f>+G152+1</f>
        <v>154</v>
      </c>
      <c r="H154" s="82" t="s">
        <v>308</v>
      </c>
      <c r="I154" s="72">
        <f>+M87</f>
        <v>1776.1923076923076</v>
      </c>
      <c r="J154" s="149">
        <f t="shared" si="0"/>
        <v>1692.7112692307692</v>
      </c>
      <c r="K154" s="72">
        <f t="shared" si="1"/>
        <v>877.43899999999996</v>
      </c>
      <c r="L154" s="150">
        <f t="shared" si="2"/>
        <v>677.08450769230762</v>
      </c>
      <c r="M154" s="72">
        <f t="shared" si="3"/>
        <v>2200.5246499999998</v>
      </c>
      <c r="N154" s="72">
        <f t="shared" si="4"/>
        <v>1140.6706999999999</v>
      </c>
      <c r="O154" s="72">
        <f t="shared" si="5"/>
        <v>880.20985999999994</v>
      </c>
    </row>
    <row r="155" spans="2:15" ht="16.5" customHeight="1" x14ac:dyDescent="0.15">
      <c r="B155" s="376" t="s">
        <v>203</v>
      </c>
      <c r="C155" s="376"/>
      <c r="D155" s="639" t="s">
        <v>300</v>
      </c>
      <c r="E155" s="393"/>
      <c r="F155" s="393"/>
      <c r="G155" s="393"/>
      <c r="H155" s="82" t="s">
        <v>309</v>
      </c>
      <c r="I155" s="72">
        <f>+M90</f>
        <v>1776.1923076923076</v>
      </c>
      <c r="J155" s="149">
        <f t="shared" si="0"/>
        <v>1692.7112692307692</v>
      </c>
      <c r="K155" s="72">
        <f t="shared" si="1"/>
        <v>877.43899999999996</v>
      </c>
      <c r="L155" s="150">
        <f t="shared" si="2"/>
        <v>677.08450769230762</v>
      </c>
      <c r="M155" s="72">
        <f t="shared" si="3"/>
        <v>2200.5246499999998</v>
      </c>
      <c r="N155" s="72">
        <f t="shared" si="4"/>
        <v>1140.6706999999999</v>
      </c>
      <c r="O155" s="72">
        <f t="shared" si="5"/>
        <v>880.20985999999994</v>
      </c>
    </row>
    <row r="156" spans="2:15" ht="16.5" customHeight="1" x14ac:dyDescent="0.15">
      <c r="B156" s="376"/>
      <c r="C156" s="376"/>
      <c r="D156" s="639"/>
      <c r="E156" s="393">
        <f>+E154+1</f>
        <v>105</v>
      </c>
      <c r="F156" s="393">
        <f>+F154+1</f>
        <v>130</v>
      </c>
      <c r="G156" s="393">
        <f>+G154+1</f>
        <v>155</v>
      </c>
      <c r="H156" s="82" t="s">
        <v>308</v>
      </c>
      <c r="I156" s="72">
        <f>+M91</f>
        <v>2113.8066801619443</v>
      </c>
      <c r="J156" s="149">
        <f t="shared" si="0"/>
        <v>2014.4577661943329</v>
      </c>
      <c r="K156" s="72">
        <f t="shared" si="1"/>
        <v>1044.2205000000006</v>
      </c>
      <c r="L156" s="150">
        <f t="shared" si="2"/>
        <v>805.7831064777331</v>
      </c>
      <c r="M156" s="72">
        <f t="shared" si="3"/>
        <v>2618.7950960526327</v>
      </c>
      <c r="N156" s="72">
        <f t="shared" si="4"/>
        <v>1357.4866500000007</v>
      </c>
      <c r="O156" s="72">
        <f t="shared" si="5"/>
        <v>1047.518038421053</v>
      </c>
    </row>
    <row r="157" spans="2:15" ht="16.5" customHeight="1" x14ac:dyDescent="0.15">
      <c r="B157" s="376" t="s">
        <v>204</v>
      </c>
      <c r="C157" s="376"/>
      <c r="D157" s="643" t="s">
        <v>292</v>
      </c>
      <c r="E157" s="393"/>
      <c r="F157" s="393"/>
      <c r="G157" s="393"/>
      <c r="H157" s="82" t="s">
        <v>309</v>
      </c>
      <c r="I157" s="72">
        <f>+M94</f>
        <v>2113.8066801619443</v>
      </c>
      <c r="J157" s="149">
        <f t="shared" si="0"/>
        <v>2014.4577661943329</v>
      </c>
      <c r="K157" s="72">
        <f t="shared" si="1"/>
        <v>1044.2205000000006</v>
      </c>
      <c r="L157" s="150">
        <f t="shared" si="2"/>
        <v>805.7831064777331</v>
      </c>
      <c r="M157" s="72">
        <f t="shared" si="3"/>
        <v>2618.7950960526327</v>
      </c>
      <c r="N157" s="72">
        <f t="shared" si="4"/>
        <v>1357.4866500000007</v>
      </c>
      <c r="O157" s="72">
        <f t="shared" si="5"/>
        <v>1047.518038421053</v>
      </c>
    </row>
    <row r="158" spans="2:15" ht="16.5" customHeight="1" x14ac:dyDescent="0.15">
      <c r="B158" s="376"/>
      <c r="C158" s="376"/>
      <c r="D158" s="643"/>
      <c r="E158" s="393">
        <f>+E156+1</f>
        <v>106</v>
      </c>
      <c r="F158" s="393">
        <f>+F156+1</f>
        <v>131</v>
      </c>
      <c r="G158" s="393">
        <f>+G156+1</f>
        <v>156</v>
      </c>
      <c r="H158" s="82" t="s">
        <v>308</v>
      </c>
      <c r="I158" s="72">
        <f>+L94</f>
        <v>2146.2315789473687</v>
      </c>
      <c r="J158" s="149">
        <f t="shared" si="0"/>
        <v>2045.3586947368424</v>
      </c>
      <c r="K158" s="72">
        <f t="shared" si="1"/>
        <v>1060.2384000000002</v>
      </c>
      <c r="L158" s="150">
        <f t="shared" si="2"/>
        <v>818.14347789473686</v>
      </c>
      <c r="M158" s="72">
        <f t="shared" si="3"/>
        <v>2658.9663031578953</v>
      </c>
      <c r="N158" s="72">
        <f t="shared" si="4"/>
        <v>1378.3099200000004</v>
      </c>
      <c r="O158" s="72">
        <f t="shared" si="5"/>
        <v>1063.5865212631579</v>
      </c>
    </row>
    <row r="159" spans="2:15" ht="16.5" customHeight="1" x14ac:dyDescent="0.15">
      <c r="B159" s="376"/>
      <c r="C159" s="376"/>
      <c r="D159" s="643"/>
      <c r="E159" s="393"/>
      <c r="F159" s="393"/>
      <c r="G159" s="393"/>
      <c r="H159" s="82" t="s">
        <v>309</v>
      </c>
      <c r="I159" s="72">
        <f>+L96</f>
        <v>2287.4389473684214</v>
      </c>
      <c r="J159" s="149">
        <f t="shared" si="0"/>
        <v>2179.9293168421054</v>
      </c>
      <c r="K159" s="72">
        <f t="shared" si="1"/>
        <v>1129.9948400000001</v>
      </c>
      <c r="L159" s="150">
        <f t="shared" si="2"/>
        <v>871.97172673684224</v>
      </c>
      <c r="M159" s="72">
        <f t="shared" si="3"/>
        <v>2833.908111894737</v>
      </c>
      <c r="N159" s="72">
        <f t="shared" si="4"/>
        <v>1468.9932920000001</v>
      </c>
      <c r="O159" s="72">
        <f t="shared" si="5"/>
        <v>1133.5632447578951</v>
      </c>
    </row>
    <row r="160" spans="2:15" ht="16.5" customHeight="1" x14ac:dyDescent="0.15">
      <c r="B160" s="376"/>
      <c r="C160" s="376"/>
      <c r="D160" s="643"/>
      <c r="E160" s="393">
        <f>+E158+1</f>
        <v>107</v>
      </c>
      <c r="F160" s="393">
        <f>+F158+1</f>
        <v>132</v>
      </c>
      <c r="G160" s="393">
        <f>+G158+1</f>
        <v>157</v>
      </c>
      <c r="H160" s="82" t="s">
        <v>308</v>
      </c>
      <c r="I160" s="72">
        <f>+L96</f>
        <v>2287.4389473684214</v>
      </c>
      <c r="J160" s="149">
        <f t="shared" si="0"/>
        <v>2179.9293168421054</v>
      </c>
      <c r="K160" s="72">
        <f t="shared" si="1"/>
        <v>1129.9948400000001</v>
      </c>
      <c r="L160" s="150">
        <f t="shared" si="2"/>
        <v>871.97172673684224</v>
      </c>
      <c r="M160" s="72">
        <f t="shared" si="3"/>
        <v>2833.908111894737</v>
      </c>
      <c r="N160" s="72">
        <f t="shared" si="4"/>
        <v>1468.9932920000001</v>
      </c>
      <c r="O160" s="72">
        <f t="shared" si="5"/>
        <v>1133.5632447578951</v>
      </c>
    </row>
    <row r="161" spans="2:15" ht="16.5" customHeight="1" x14ac:dyDescent="0.15">
      <c r="B161" s="376"/>
      <c r="C161" s="376"/>
      <c r="D161" s="643"/>
      <c r="E161" s="393"/>
      <c r="F161" s="393"/>
      <c r="G161" s="393"/>
      <c r="H161" s="82" t="s">
        <v>309</v>
      </c>
      <c r="I161" s="72">
        <f>+L98</f>
        <v>2428.6463157894741</v>
      </c>
      <c r="J161" s="149">
        <f t="shared" si="0"/>
        <v>2314.4999389473687</v>
      </c>
      <c r="K161" s="72">
        <f t="shared" si="1"/>
        <v>1199.7512800000002</v>
      </c>
      <c r="L161" s="150">
        <f t="shared" si="2"/>
        <v>925.79997557894751</v>
      </c>
      <c r="M161" s="72">
        <f t="shared" si="3"/>
        <v>3008.8499206315796</v>
      </c>
      <c r="N161" s="72">
        <f t="shared" si="4"/>
        <v>1559.6766640000003</v>
      </c>
      <c r="O161" s="72">
        <f t="shared" si="5"/>
        <v>1203.5399682526318</v>
      </c>
    </row>
    <row r="162" spans="2:15" ht="16.5" customHeight="1" x14ac:dyDescent="0.15">
      <c r="B162" s="376"/>
      <c r="C162" s="376"/>
      <c r="D162" s="643"/>
      <c r="E162" s="393">
        <f>+E160+1</f>
        <v>108</v>
      </c>
      <c r="F162" s="393">
        <f>+F160+1</f>
        <v>133</v>
      </c>
      <c r="G162" s="393">
        <f>+G160+1</f>
        <v>158</v>
      </c>
      <c r="H162" s="82" t="s">
        <v>308</v>
      </c>
      <c r="I162" s="72">
        <f>+L98</f>
        <v>2428.6463157894741</v>
      </c>
      <c r="J162" s="149">
        <f t="shared" si="0"/>
        <v>2314.4999389473687</v>
      </c>
      <c r="K162" s="72">
        <f t="shared" si="1"/>
        <v>1199.7512800000002</v>
      </c>
      <c r="L162" s="150">
        <f t="shared" si="2"/>
        <v>925.79997557894751</v>
      </c>
      <c r="M162" s="72">
        <f t="shared" si="3"/>
        <v>3008.8499206315796</v>
      </c>
      <c r="N162" s="72">
        <f t="shared" si="4"/>
        <v>1559.6766640000003</v>
      </c>
      <c r="O162" s="72">
        <f t="shared" si="5"/>
        <v>1203.5399682526318</v>
      </c>
    </row>
    <row r="163" spans="2:15" ht="16.5" customHeight="1" x14ac:dyDescent="0.15">
      <c r="B163" s="376"/>
      <c r="C163" s="376"/>
      <c r="D163" s="643"/>
      <c r="E163" s="393"/>
      <c r="F163" s="393"/>
      <c r="G163" s="393"/>
      <c r="H163" s="82" t="s">
        <v>309</v>
      </c>
      <c r="I163" s="72">
        <f>+L100</f>
        <v>2569.8536842105268</v>
      </c>
      <c r="J163" s="149">
        <f t="shared" si="0"/>
        <v>2449.070561052632</v>
      </c>
      <c r="K163" s="72">
        <f t="shared" si="1"/>
        <v>1269.5077200000003</v>
      </c>
      <c r="L163" s="150">
        <f t="shared" si="2"/>
        <v>979.62822442105278</v>
      </c>
      <c r="M163" s="72">
        <f t="shared" si="3"/>
        <v>3183.7917293684218</v>
      </c>
      <c r="N163" s="72">
        <f t="shared" si="4"/>
        <v>1650.3600360000005</v>
      </c>
      <c r="O163" s="72">
        <f t="shared" si="5"/>
        <v>1273.5166917473687</v>
      </c>
    </row>
    <row r="164" spans="2:15" ht="16.5" customHeight="1" x14ac:dyDescent="0.15">
      <c r="B164" s="376"/>
      <c r="C164" s="376"/>
      <c r="D164" s="643"/>
      <c r="E164" s="393">
        <f>+E162+1</f>
        <v>109</v>
      </c>
      <c r="F164" s="393">
        <f>+F162+1</f>
        <v>134</v>
      </c>
      <c r="G164" s="393">
        <f>+G162+1</f>
        <v>159</v>
      </c>
      <c r="H164" s="82" t="s">
        <v>308</v>
      </c>
      <c r="I164" s="72">
        <f>+L100</f>
        <v>2569.8536842105268</v>
      </c>
      <c r="J164" s="149">
        <f t="shared" si="0"/>
        <v>2449.070561052632</v>
      </c>
      <c r="K164" s="72">
        <f t="shared" si="1"/>
        <v>1269.5077200000003</v>
      </c>
      <c r="L164" s="150">
        <f t="shared" si="2"/>
        <v>979.62822442105278</v>
      </c>
      <c r="M164" s="72">
        <f t="shared" si="3"/>
        <v>3183.7917293684218</v>
      </c>
      <c r="N164" s="72">
        <f t="shared" si="4"/>
        <v>1650.3600360000005</v>
      </c>
      <c r="O164" s="72">
        <f t="shared" si="5"/>
        <v>1273.5166917473687</v>
      </c>
    </row>
    <row r="165" spans="2:15" ht="16.5" customHeight="1" x14ac:dyDescent="0.15">
      <c r="B165" s="376"/>
      <c r="C165" s="376"/>
      <c r="D165" s="643"/>
      <c r="E165" s="393"/>
      <c r="F165" s="393"/>
      <c r="G165" s="393"/>
      <c r="H165" s="82" t="s">
        <v>309</v>
      </c>
      <c r="I165" s="72">
        <f>+L102</f>
        <v>2711.0610526315795</v>
      </c>
      <c r="J165" s="149">
        <f t="shared" si="0"/>
        <v>2583.6411831578953</v>
      </c>
      <c r="K165" s="72">
        <f t="shared" si="1"/>
        <v>1339.2641600000002</v>
      </c>
      <c r="L165" s="150">
        <f t="shared" si="2"/>
        <v>1033.4564732631582</v>
      </c>
      <c r="M165" s="72">
        <f t="shared" si="3"/>
        <v>3358.733538105264</v>
      </c>
      <c r="N165" s="72">
        <f t="shared" si="4"/>
        <v>1741.0434080000002</v>
      </c>
      <c r="O165" s="72">
        <f t="shared" si="5"/>
        <v>1343.4934152421056</v>
      </c>
    </row>
    <row r="166" spans="2:15" ht="16.5" customHeight="1" x14ac:dyDescent="0.15">
      <c r="B166" s="376"/>
      <c r="C166" s="376"/>
      <c r="D166" s="643"/>
      <c r="E166" s="393">
        <f>+E164+1</f>
        <v>110</v>
      </c>
      <c r="F166" s="393">
        <f>+F164+1</f>
        <v>135</v>
      </c>
      <c r="G166" s="393">
        <f>+G164+1</f>
        <v>160</v>
      </c>
      <c r="H166" s="82" t="s">
        <v>308</v>
      </c>
      <c r="I166" s="72">
        <f>+L102</f>
        <v>2711.0610526315795</v>
      </c>
      <c r="J166" s="149">
        <f t="shared" si="0"/>
        <v>2583.6411831578953</v>
      </c>
      <c r="K166" s="72">
        <f t="shared" si="1"/>
        <v>1339.2641600000002</v>
      </c>
      <c r="L166" s="150">
        <f t="shared" si="2"/>
        <v>1033.4564732631582</v>
      </c>
      <c r="M166" s="72">
        <f t="shared" si="3"/>
        <v>3358.733538105264</v>
      </c>
      <c r="N166" s="72">
        <f t="shared" si="4"/>
        <v>1741.0434080000002</v>
      </c>
      <c r="O166" s="72">
        <f t="shared" si="5"/>
        <v>1343.4934152421056</v>
      </c>
    </row>
    <row r="167" spans="2:15" ht="16.5" customHeight="1" x14ac:dyDescent="0.15">
      <c r="B167" s="376"/>
      <c r="C167" s="376"/>
      <c r="D167" s="643"/>
      <c r="E167" s="393"/>
      <c r="F167" s="393"/>
      <c r="G167" s="393"/>
      <c r="H167" s="82" t="s">
        <v>309</v>
      </c>
      <c r="I167" s="72">
        <f>+L104</f>
        <v>2852.2684210526318</v>
      </c>
      <c r="J167" s="149">
        <f t="shared" si="0"/>
        <v>2718.2118052631581</v>
      </c>
      <c r="K167" s="72">
        <f t="shared" si="1"/>
        <v>1409.0206000000001</v>
      </c>
      <c r="L167" s="150">
        <f t="shared" si="2"/>
        <v>1087.2847221052632</v>
      </c>
      <c r="M167" s="72">
        <f t="shared" si="3"/>
        <v>3533.6753468421057</v>
      </c>
      <c r="N167" s="72">
        <f t="shared" si="4"/>
        <v>1831.7267800000002</v>
      </c>
      <c r="O167" s="72">
        <f t="shared" si="5"/>
        <v>1413.4701387368423</v>
      </c>
    </row>
    <row r="168" spans="2:15" ht="16.5" customHeight="1" x14ac:dyDescent="0.15">
      <c r="B168" s="376"/>
      <c r="C168" s="376"/>
      <c r="D168" s="643"/>
      <c r="E168" s="393">
        <f>+E166+1</f>
        <v>111</v>
      </c>
      <c r="F168" s="393">
        <f>+F166+1</f>
        <v>136</v>
      </c>
      <c r="G168" s="393">
        <f>+G166+1</f>
        <v>161</v>
      </c>
      <c r="H168" s="82" t="s">
        <v>308</v>
      </c>
      <c r="I168" s="72">
        <f>+L104</f>
        <v>2852.2684210526318</v>
      </c>
      <c r="J168" s="149">
        <f t="shared" si="0"/>
        <v>2718.2118052631581</v>
      </c>
      <c r="K168" s="72">
        <f t="shared" si="1"/>
        <v>1409.0206000000001</v>
      </c>
      <c r="L168" s="150">
        <f t="shared" si="2"/>
        <v>1087.2847221052632</v>
      </c>
      <c r="M168" s="72">
        <f t="shared" si="3"/>
        <v>3533.6753468421057</v>
      </c>
      <c r="N168" s="72">
        <f t="shared" si="4"/>
        <v>1831.7267800000002</v>
      </c>
      <c r="O168" s="72">
        <f t="shared" si="5"/>
        <v>1413.4701387368423</v>
      </c>
    </row>
    <row r="169" spans="2:15" ht="16.5" customHeight="1" x14ac:dyDescent="0.15">
      <c r="B169" s="376"/>
      <c r="C169" s="376"/>
      <c r="D169" s="643"/>
      <c r="E169" s="393"/>
      <c r="F169" s="393"/>
      <c r="G169" s="393"/>
      <c r="H169" s="82" t="s">
        <v>309</v>
      </c>
      <c r="I169" s="72">
        <f>+L106</f>
        <v>2993.4757894736845</v>
      </c>
      <c r="J169" s="149">
        <f t="shared" si="0"/>
        <v>2852.7824273684214</v>
      </c>
      <c r="K169" s="72">
        <f t="shared" si="1"/>
        <v>1478.7770400000002</v>
      </c>
      <c r="L169" s="150">
        <f t="shared" si="2"/>
        <v>1141.1129709473685</v>
      </c>
      <c r="M169" s="72">
        <f t="shared" si="3"/>
        <v>3708.6171555789479</v>
      </c>
      <c r="N169" s="72">
        <f t="shared" si="4"/>
        <v>1922.4101520000004</v>
      </c>
      <c r="O169" s="72">
        <f t="shared" si="5"/>
        <v>1483.446862231579</v>
      </c>
    </row>
    <row r="170" spans="2:15" ht="16.5" customHeight="1" x14ac:dyDescent="0.15">
      <c r="B170" s="376"/>
      <c r="C170" s="376"/>
      <c r="D170" s="643"/>
      <c r="E170" s="393">
        <f>+E168+1</f>
        <v>112</v>
      </c>
      <c r="F170" s="393">
        <f>+F168+1</f>
        <v>137</v>
      </c>
      <c r="G170" s="393">
        <f>+G168+1</f>
        <v>162</v>
      </c>
      <c r="H170" s="82" t="s">
        <v>308</v>
      </c>
      <c r="I170" s="72">
        <f>+M107</f>
        <v>1132.3596761133529</v>
      </c>
      <c r="J170" s="149">
        <f t="shared" si="0"/>
        <v>1079.1387713360252</v>
      </c>
      <c r="K170" s="72">
        <f t="shared" si="1"/>
        <v>559.38567999999634</v>
      </c>
      <c r="L170" s="150">
        <f t="shared" si="2"/>
        <v>431.6555085344101</v>
      </c>
      <c r="M170" s="72">
        <f t="shared" si="3"/>
        <v>1402.8804027368328</v>
      </c>
      <c r="N170" s="72">
        <f t="shared" si="4"/>
        <v>727.2013839999953</v>
      </c>
      <c r="O170" s="72">
        <f t="shared" si="5"/>
        <v>561.15216109473317</v>
      </c>
    </row>
    <row r="171" spans="2:15" ht="16.5" customHeight="1" x14ac:dyDescent="0.15">
      <c r="B171" s="376" t="s">
        <v>205</v>
      </c>
      <c r="C171" s="376"/>
      <c r="D171" s="639" t="s">
        <v>300</v>
      </c>
      <c r="E171" s="393"/>
      <c r="F171" s="393"/>
      <c r="G171" s="393"/>
      <c r="H171" s="82" t="s">
        <v>309</v>
      </c>
      <c r="I171" s="72">
        <f>+M110</f>
        <v>1132.3596761133529</v>
      </c>
      <c r="J171" s="149">
        <f t="shared" si="0"/>
        <v>1079.1387713360252</v>
      </c>
      <c r="K171" s="72">
        <f t="shared" si="1"/>
        <v>559.38567999999634</v>
      </c>
      <c r="L171" s="150">
        <f t="shared" si="2"/>
        <v>431.6555085344101</v>
      </c>
      <c r="M171" s="72">
        <f t="shared" si="3"/>
        <v>1402.8804027368328</v>
      </c>
      <c r="N171" s="72">
        <f t="shared" si="4"/>
        <v>727.2013839999953</v>
      </c>
      <c r="O171" s="72">
        <f t="shared" si="5"/>
        <v>561.15216109473317</v>
      </c>
    </row>
    <row r="172" spans="2:15" ht="16.5" customHeight="1" x14ac:dyDescent="0.15">
      <c r="B172" s="376"/>
      <c r="C172" s="376"/>
      <c r="D172" s="639"/>
      <c r="E172" s="393">
        <f>+E170+1</f>
        <v>113</v>
      </c>
      <c r="F172" s="393">
        <f>+F170+1</f>
        <v>138</v>
      </c>
      <c r="G172" s="393">
        <f>+G170+1</f>
        <v>163</v>
      </c>
      <c r="H172" s="82" t="s">
        <v>308</v>
      </c>
      <c r="I172" s="72">
        <f>+L110</f>
        <v>792</v>
      </c>
      <c r="J172" s="149">
        <f t="shared" ref="J172:L189" si="6">+I172</f>
        <v>792</v>
      </c>
      <c r="K172" s="72">
        <f t="shared" si="6"/>
        <v>792</v>
      </c>
      <c r="L172" s="150">
        <f t="shared" si="6"/>
        <v>792</v>
      </c>
      <c r="M172" s="72">
        <f t="shared" si="3"/>
        <v>1029.6000000000001</v>
      </c>
      <c r="N172" s="72">
        <f t="shared" si="4"/>
        <v>1029.6000000000001</v>
      </c>
      <c r="O172" s="72">
        <f t="shared" si="5"/>
        <v>1029.6000000000001</v>
      </c>
    </row>
    <row r="173" spans="2:15" ht="16.5" customHeight="1" x14ac:dyDescent="0.15">
      <c r="B173" s="376"/>
      <c r="C173" s="376"/>
      <c r="D173" s="639"/>
      <c r="E173" s="393"/>
      <c r="F173" s="393"/>
      <c r="G173" s="393"/>
      <c r="H173" s="82" t="s">
        <v>309</v>
      </c>
      <c r="I173" s="72">
        <f>+L112</f>
        <v>792</v>
      </c>
      <c r="J173" s="149">
        <f t="shared" si="6"/>
        <v>792</v>
      </c>
      <c r="K173" s="72">
        <f t="shared" si="6"/>
        <v>792</v>
      </c>
      <c r="L173" s="150">
        <f t="shared" si="6"/>
        <v>792</v>
      </c>
      <c r="M173" s="72">
        <f t="shared" si="3"/>
        <v>1029.6000000000001</v>
      </c>
      <c r="N173" s="72">
        <f t="shared" si="4"/>
        <v>1029.6000000000001</v>
      </c>
      <c r="O173" s="72">
        <f t="shared" si="5"/>
        <v>1029.6000000000001</v>
      </c>
    </row>
    <row r="174" spans="2:15" ht="16.5" customHeight="1" x14ac:dyDescent="0.15">
      <c r="B174" s="376"/>
      <c r="C174" s="376"/>
      <c r="D174" s="639"/>
      <c r="E174" s="393">
        <f>+E172+1</f>
        <v>114</v>
      </c>
      <c r="F174" s="393">
        <f>+F172+1</f>
        <v>139</v>
      </c>
      <c r="G174" s="393">
        <f>+G172+1</f>
        <v>164</v>
      </c>
      <c r="H174" s="82" t="s">
        <v>308</v>
      </c>
      <c r="I174" s="72">
        <f>+L112</f>
        <v>792</v>
      </c>
      <c r="J174" s="149">
        <f t="shared" si="6"/>
        <v>792</v>
      </c>
      <c r="K174" s="72">
        <f t="shared" si="6"/>
        <v>792</v>
      </c>
      <c r="L174" s="150">
        <f t="shared" si="6"/>
        <v>792</v>
      </c>
      <c r="M174" s="72">
        <f t="shared" si="3"/>
        <v>1029.6000000000001</v>
      </c>
      <c r="N174" s="72">
        <f t="shared" si="4"/>
        <v>1029.6000000000001</v>
      </c>
      <c r="O174" s="72">
        <f t="shared" si="5"/>
        <v>1029.6000000000001</v>
      </c>
    </row>
    <row r="175" spans="2:15" ht="16.5" customHeight="1" x14ac:dyDescent="0.15">
      <c r="B175" s="376"/>
      <c r="C175" s="376"/>
      <c r="D175" s="639"/>
      <c r="E175" s="393"/>
      <c r="F175" s="393"/>
      <c r="G175" s="393"/>
      <c r="H175" s="82" t="s">
        <v>309</v>
      </c>
      <c r="I175" s="72">
        <f>+L114</f>
        <v>792</v>
      </c>
      <c r="J175" s="149">
        <f t="shared" si="6"/>
        <v>792</v>
      </c>
      <c r="K175" s="72">
        <f t="shared" si="6"/>
        <v>792</v>
      </c>
      <c r="L175" s="150">
        <f t="shared" si="6"/>
        <v>792</v>
      </c>
      <c r="M175" s="72">
        <f t="shared" si="3"/>
        <v>1029.6000000000001</v>
      </c>
      <c r="N175" s="72">
        <f t="shared" si="4"/>
        <v>1029.6000000000001</v>
      </c>
      <c r="O175" s="72">
        <f t="shared" si="5"/>
        <v>1029.6000000000001</v>
      </c>
    </row>
    <row r="176" spans="2:15" ht="16.5" customHeight="1" x14ac:dyDescent="0.15">
      <c r="B176" s="376"/>
      <c r="C176" s="376"/>
      <c r="D176" s="639"/>
      <c r="E176" s="393">
        <f>+E174+1</f>
        <v>115</v>
      </c>
      <c r="F176" s="393">
        <f>+F174+1</f>
        <v>140</v>
      </c>
      <c r="G176" s="393">
        <f>+G174+1</f>
        <v>165</v>
      </c>
      <c r="H176" s="82" t="s">
        <v>308</v>
      </c>
      <c r="I176" s="72">
        <f>+L114</f>
        <v>792</v>
      </c>
      <c r="J176" s="149">
        <f t="shared" si="6"/>
        <v>792</v>
      </c>
      <c r="K176" s="72">
        <f t="shared" si="6"/>
        <v>792</v>
      </c>
      <c r="L176" s="150">
        <f t="shared" si="6"/>
        <v>792</v>
      </c>
      <c r="M176" s="72">
        <f t="shared" si="3"/>
        <v>1029.6000000000001</v>
      </c>
      <c r="N176" s="72">
        <f t="shared" si="4"/>
        <v>1029.6000000000001</v>
      </c>
      <c r="O176" s="72">
        <f t="shared" si="5"/>
        <v>1029.6000000000001</v>
      </c>
    </row>
    <row r="177" spans="2:15" ht="16.5" customHeight="1" x14ac:dyDescent="0.15">
      <c r="B177" s="376"/>
      <c r="C177" s="376"/>
      <c r="D177" s="639"/>
      <c r="E177" s="393"/>
      <c r="F177" s="393"/>
      <c r="G177" s="393"/>
      <c r="H177" s="82" t="s">
        <v>309</v>
      </c>
      <c r="I177" s="72">
        <f>+L116</f>
        <v>792</v>
      </c>
      <c r="J177" s="149">
        <f t="shared" si="6"/>
        <v>792</v>
      </c>
      <c r="K177" s="72">
        <f t="shared" si="6"/>
        <v>792</v>
      </c>
      <c r="L177" s="150">
        <f t="shared" si="6"/>
        <v>792</v>
      </c>
      <c r="M177" s="72">
        <f t="shared" si="3"/>
        <v>1029.6000000000001</v>
      </c>
      <c r="N177" s="72">
        <f t="shared" si="4"/>
        <v>1029.6000000000001</v>
      </c>
      <c r="O177" s="72">
        <f t="shared" si="5"/>
        <v>1029.6000000000001</v>
      </c>
    </row>
    <row r="178" spans="2:15" ht="16.5" customHeight="1" x14ac:dyDescent="0.15">
      <c r="B178" s="376"/>
      <c r="C178" s="376"/>
      <c r="D178" s="639"/>
      <c r="E178" s="393">
        <f>+E176+1</f>
        <v>116</v>
      </c>
      <c r="F178" s="393">
        <f>+F176+1</f>
        <v>141</v>
      </c>
      <c r="G178" s="393">
        <f>+G176+1</f>
        <v>166</v>
      </c>
      <c r="H178" s="82" t="s">
        <v>308</v>
      </c>
      <c r="I178" s="72">
        <f>+L116</f>
        <v>792</v>
      </c>
      <c r="J178" s="149">
        <f t="shared" si="6"/>
        <v>792</v>
      </c>
      <c r="K178" s="72">
        <f t="shared" si="6"/>
        <v>792</v>
      </c>
      <c r="L178" s="150">
        <f t="shared" si="6"/>
        <v>792</v>
      </c>
      <c r="M178" s="72">
        <f t="shared" si="3"/>
        <v>1029.6000000000001</v>
      </c>
      <c r="N178" s="72">
        <f t="shared" si="4"/>
        <v>1029.6000000000001</v>
      </c>
      <c r="O178" s="72">
        <f t="shared" si="5"/>
        <v>1029.6000000000001</v>
      </c>
    </row>
    <row r="179" spans="2:15" ht="16.5" customHeight="1" x14ac:dyDescent="0.15">
      <c r="B179" s="376"/>
      <c r="C179" s="376"/>
      <c r="D179" s="639"/>
      <c r="E179" s="393"/>
      <c r="F179" s="393"/>
      <c r="G179" s="393"/>
      <c r="H179" s="82" t="s">
        <v>309</v>
      </c>
      <c r="I179" s="72">
        <f>+L118</f>
        <v>792</v>
      </c>
      <c r="J179" s="149">
        <f t="shared" si="6"/>
        <v>792</v>
      </c>
      <c r="K179" s="72">
        <f t="shared" si="6"/>
        <v>792</v>
      </c>
      <c r="L179" s="150">
        <f t="shared" si="6"/>
        <v>792</v>
      </c>
      <c r="M179" s="72">
        <f t="shared" si="3"/>
        <v>1029.6000000000001</v>
      </c>
      <c r="N179" s="72">
        <f t="shared" si="4"/>
        <v>1029.6000000000001</v>
      </c>
      <c r="O179" s="72">
        <f t="shared" si="5"/>
        <v>1029.6000000000001</v>
      </c>
    </row>
    <row r="180" spans="2:15" ht="16.5" customHeight="1" x14ac:dyDescent="0.15">
      <c r="B180" s="376"/>
      <c r="C180" s="376"/>
      <c r="D180" s="639"/>
      <c r="E180" s="393">
        <f>+E178+1</f>
        <v>117</v>
      </c>
      <c r="F180" s="393">
        <f>+F178+1</f>
        <v>142</v>
      </c>
      <c r="G180" s="393">
        <f>+G178+1</f>
        <v>167</v>
      </c>
      <c r="H180" s="82" t="s">
        <v>308</v>
      </c>
      <c r="I180" s="72">
        <f>+L118</f>
        <v>792</v>
      </c>
      <c r="J180" s="149">
        <f t="shared" si="6"/>
        <v>792</v>
      </c>
      <c r="K180" s="72">
        <f t="shared" si="6"/>
        <v>792</v>
      </c>
      <c r="L180" s="150">
        <f t="shared" si="6"/>
        <v>792</v>
      </c>
      <c r="M180" s="72">
        <f t="shared" si="3"/>
        <v>1029.6000000000001</v>
      </c>
      <c r="N180" s="72">
        <f t="shared" si="4"/>
        <v>1029.6000000000001</v>
      </c>
      <c r="O180" s="72">
        <f t="shared" si="5"/>
        <v>1029.6000000000001</v>
      </c>
    </row>
    <row r="181" spans="2:15" ht="16.5" customHeight="1" x14ac:dyDescent="0.15">
      <c r="B181" s="376"/>
      <c r="C181" s="376"/>
      <c r="D181" s="639"/>
      <c r="E181" s="393"/>
      <c r="F181" s="393"/>
      <c r="G181" s="393"/>
      <c r="H181" s="82" t="s">
        <v>309</v>
      </c>
      <c r="I181" s="72">
        <f>+L120</f>
        <v>792</v>
      </c>
      <c r="J181" s="149">
        <f t="shared" si="6"/>
        <v>792</v>
      </c>
      <c r="K181" s="72">
        <f t="shared" si="6"/>
        <v>792</v>
      </c>
      <c r="L181" s="150">
        <f t="shared" si="6"/>
        <v>792</v>
      </c>
      <c r="M181" s="72">
        <f t="shared" si="3"/>
        <v>1029.6000000000001</v>
      </c>
      <c r="N181" s="72">
        <f t="shared" si="4"/>
        <v>1029.6000000000001</v>
      </c>
      <c r="O181" s="72">
        <f t="shared" si="5"/>
        <v>1029.6000000000001</v>
      </c>
    </row>
    <row r="182" spans="2:15" ht="16.5" customHeight="1" x14ac:dyDescent="0.15">
      <c r="B182" s="376"/>
      <c r="C182" s="376"/>
      <c r="D182" s="639"/>
      <c r="E182" s="393">
        <f>+E180+1</f>
        <v>118</v>
      </c>
      <c r="F182" s="393">
        <f>+F180+1</f>
        <v>143</v>
      </c>
      <c r="G182" s="393">
        <f>+G180+1</f>
        <v>168</v>
      </c>
      <c r="H182" s="82" t="s">
        <v>308</v>
      </c>
      <c r="I182" s="72">
        <f>+L120</f>
        <v>792</v>
      </c>
      <c r="J182" s="149">
        <f t="shared" si="6"/>
        <v>792</v>
      </c>
      <c r="K182" s="72">
        <f t="shared" si="6"/>
        <v>792</v>
      </c>
      <c r="L182" s="150">
        <f t="shared" si="6"/>
        <v>792</v>
      </c>
      <c r="M182" s="72">
        <f t="shared" si="3"/>
        <v>1029.6000000000001</v>
      </c>
      <c r="N182" s="72">
        <f t="shared" si="4"/>
        <v>1029.6000000000001</v>
      </c>
      <c r="O182" s="72">
        <f t="shared" si="5"/>
        <v>1029.6000000000001</v>
      </c>
    </row>
    <row r="183" spans="2:15" ht="16.5" customHeight="1" x14ac:dyDescent="0.15">
      <c r="B183" s="376"/>
      <c r="C183" s="376"/>
      <c r="D183" s="639"/>
      <c r="E183" s="393"/>
      <c r="F183" s="393"/>
      <c r="G183" s="393"/>
      <c r="H183" s="82" t="s">
        <v>309</v>
      </c>
      <c r="I183" s="72">
        <f>+L122</f>
        <v>792</v>
      </c>
      <c r="J183" s="149">
        <f t="shared" si="6"/>
        <v>792</v>
      </c>
      <c r="K183" s="72">
        <f t="shared" si="6"/>
        <v>792</v>
      </c>
      <c r="L183" s="150">
        <f t="shared" si="6"/>
        <v>792</v>
      </c>
      <c r="M183" s="72">
        <f t="shared" si="3"/>
        <v>1029.6000000000001</v>
      </c>
      <c r="N183" s="72">
        <f t="shared" si="4"/>
        <v>1029.6000000000001</v>
      </c>
      <c r="O183" s="72">
        <f t="shared" si="5"/>
        <v>1029.6000000000001</v>
      </c>
    </row>
    <row r="184" spans="2:15" ht="16.5" customHeight="1" x14ac:dyDescent="0.15">
      <c r="B184" s="376"/>
      <c r="C184" s="376"/>
      <c r="D184" s="639"/>
      <c r="E184" s="393">
        <f>+E182+1</f>
        <v>119</v>
      </c>
      <c r="F184" s="393">
        <f>+F182+1</f>
        <v>144</v>
      </c>
      <c r="G184" s="393">
        <f>+G182+1</f>
        <v>169</v>
      </c>
      <c r="H184" s="82" t="s">
        <v>308</v>
      </c>
      <c r="I184" s="72">
        <f>+L122</f>
        <v>792</v>
      </c>
      <c r="J184" s="149">
        <f t="shared" si="6"/>
        <v>792</v>
      </c>
      <c r="K184" s="72">
        <f t="shared" si="6"/>
        <v>792</v>
      </c>
      <c r="L184" s="150">
        <f t="shared" si="6"/>
        <v>792</v>
      </c>
      <c r="M184" s="72">
        <f t="shared" si="3"/>
        <v>1029.6000000000001</v>
      </c>
      <c r="N184" s="72">
        <f t="shared" si="4"/>
        <v>1029.6000000000001</v>
      </c>
      <c r="O184" s="72">
        <f t="shared" si="5"/>
        <v>1029.6000000000001</v>
      </c>
    </row>
    <row r="185" spans="2:15" ht="16.5" customHeight="1" x14ac:dyDescent="0.15">
      <c r="B185" s="376"/>
      <c r="C185" s="376"/>
      <c r="D185" s="639"/>
      <c r="E185" s="393"/>
      <c r="F185" s="393"/>
      <c r="G185" s="393"/>
      <c r="H185" s="82" t="s">
        <v>309</v>
      </c>
      <c r="I185" s="72">
        <f>+L124</f>
        <v>792</v>
      </c>
      <c r="J185" s="149">
        <f t="shared" si="6"/>
        <v>792</v>
      </c>
      <c r="K185" s="72">
        <f t="shared" si="6"/>
        <v>792</v>
      </c>
      <c r="L185" s="150">
        <f t="shared" si="6"/>
        <v>792</v>
      </c>
      <c r="M185" s="72">
        <f t="shared" si="3"/>
        <v>1029.6000000000001</v>
      </c>
      <c r="N185" s="72">
        <f t="shared" si="4"/>
        <v>1029.6000000000001</v>
      </c>
      <c r="O185" s="72">
        <f t="shared" si="5"/>
        <v>1029.6000000000001</v>
      </c>
    </row>
    <row r="186" spans="2:15" ht="16.5" customHeight="1" x14ac:dyDescent="0.15">
      <c r="B186" s="376"/>
      <c r="C186" s="376"/>
      <c r="D186" s="639"/>
      <c r="E186" s="393">
        <f>+E184+1</f>
        <v>120</v>
      </c>
      <c r="F186" s="393">
        <f>+F184+1</f>
        <v>145</v>
      </c>
      <c r="G186" s="393">
        <f>+G184+1</f>
        <v>170</v>
      </c>
      <c r="H186" s="82" t="s">
        <v>308</v>
      </c>
      <c r="I186" s="72">
        <f>+L124</f>
        <v>792</v>
      </c>
      <c r="J186" s="149">
        <f t="shared" si="6"/>
        <v>792</v>
      </c>
      <c r="K186" s="72">
        <f t="shared" si="6"/>
        <v>792</v>
      </c>
      <c r="L186" s="150">
        <f t="shared" si="6"/>
        <v>792</v>
      </c>
      <c r="M186" s="72">
        <f t="shared" si="3"/>
        <v>1029.6000000000001</v>
      </c>
      <c r="N186" s="72">
        <f t="shared" si="4"/>
        <v>1029.6000000000001</v>
      </c>
      <c r="O186" s="72">
        <f t="shared" si="5"/>
        <v>1029.6000000000001</v>
      </c>
    </row>
    <row r="187" spans="2:15" ht="16.5" customHeight="1" x14ac:dyDescent="0.15">
      <c r="B187" s="376"/>
      <c r="C187" s="376"/>
      <c r="D187" s="639"/>
      <c r="E187" s="393"/>
      <c r="F187" s="393"/>
      <c r="G187" s="393"/>
      <c r="H187" s="82" t="s">
        <v>309</v>
      </c>
      <c r="I187" s="72">
        <f>+L126</f>
        <v>792</v>
      </c>
      <c r="J187" s="149">
        <f t="shared" si="6"/>
        <v>792</v>
      </c>
      <c r="K187" s="72">
        <f t="shared" si="6"/>
        <v>792</v>
      </c>
      <c r="L187" s="150">
        <f t="shared" si="6"/>
        <v>792</v>
      </c>
      <c r="M187" s="72">
        <f t="shared" si="3"/>
        <v>1029.6000000000001</v>
      </c>
      <c r="N187" s="72">
        <f t="shared" si="4"/>
        <v>1029.6000000000001</v>
      </c>
      <c r="O187" s="72">
        <f t="shared" si="5"/>
        <v>1029.6000000000001</v>
      </c>
    </row>
    <row r="188" spans="2:15" ht="16.5" customHeight="1" x14ac:dyDescent="0.15">
      <c r="B188" s="376"/>
      <c r="C188" s="376"/>
      <c r="D188" s="639"/>
      <c r="E188" s="393">
        <f>+E186+1</f>
        <v>121</v>
      </c>
      <c r="F188" s="393">
        <f>+F186+1</f>
        <v>146</v>
      </c>
      <c r="G188" s="393">
        <f>+G186+1</f>
        <v>171</v>
      </c>
      <c r="H188" s="82" t="s">
        <v>308</v>
      </c>
      <c r="I188" s="72">
        <f>+L126</f>
        <v>792</v>
      </c>
      <c r="J188" s="149">
        <f t="shared" si="6"/>
        <v>792</v>
      </c>
      <c r="K188" s="72">
        <f t="shared" si="6"/>
        <v>792</v>
      </c>
      <c r="L188" s="150">
        <f t="shared" si="6"/>
        <v>792</v>
      </c>
      <c r="M188" s="72">
        <f t="shared" si="3"/>
        <v>1029.6000000000001</v>
      </c>
      <c r="N188" s="72">
        <f t="shared" si="4"/>
        <v>1029.6000000000001</v>
      </c>
      <c r="O188" s="72">
        <f t="shared" si="5"/>
        <v>1029.6000000000001</v>
      </c>
    </row>
    <row r="189" spans="2:15" ht="16.5" customHeight="1" x14ac:dyDescent="0.15">
      <c r="B189" s="376"/>
      <c r="C189" s="376"/>
      <c r="D189" s="639"/>
      <c r="E189" s="393"/>
      <c r="F189" s="393"/>
      <c r="G189" s="393"/>
      <c r="H189" s="82" t="s">
        <v>309</v>
      </c>
      <c r="I189" s="72">
        <f>+L128</f>
        <v>792</v>
      </c>
      <c r="J189" s="149">
        <f t="shared" si="6"/>
        <v>792</v>
      </c>
      <c r="K189" s="72">
        <f t="shared" si="6"/>
        <v>792</v>
      </c>
      <c r="L189" s="150">
        <f t="shared" si="6"/>
        <v>792</v>
      </c>
      <c r="M189" s="72">
        <f t="shared" si="3"/>
        <v>1029.6000000000001</v>
      </c>
      <c r="N189" s="72">
        <f t="shared" si="4"/>
        <v>1029.6000000000001</v>
      </c>
      <c r="O189" s="72">
        <f t="shared" si="5"/>
        <v>1029.6000000000001</v>
      </c>
    </row>
    <row r="192" spans="2:15" ht="16.5" customHeight="1" x14ac:dyDescent="0.15">
      <c r="C192" s="18"/>
    </row>
    <row r="193" spans="3:15" ht="16.5" customHeight="1" x14ac:dyDescent="0.15">
      <c r="C193" s="21" t="s">
        <v>222</v>
      </c>
      <c r="D193" s="17" t="s">
        <v>319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</row>
    <row r="194" spans="3:15" ht="16.5" customHeight="1" x14ac:dyDescent="0.15">
      <c r="C194" s="21"/>
      <c r="D194" s="17" t="s">
        <v>202</v>
      </c>
      <c r="E194" s="68">
        <f>+E138</f>
        <v>1.3</v>
      </c>
      <c r="F194" s="17" t="s">
        <v>29</v>
      </c>
      <c r="G194" s="17"/>
      <c r="H194" s="17"/>
      <c r="I194" s="17"/>
      <c r="J194" s="17"/>
      <c r="K194" s="17"/>
      <c r="L194" s="17"/>
      <c r="M194" s="17"/>
      <c r="N194" s="17"/>
      <c r="O194" s="17"/>
    </row>
    <row r="195" spans="3:15" ht="16.5" customHeight="1" x14ac:dyDescent="0.15">
      <c r="C195" s="21"/>
      <c r="D195" s="17" t="s">
        <v>200</v>
      </c>
      <c r="E195" s="77">
        <v>3</v>
      </c>
      <c r="F195" s="17" t="s">
        <v>206</v>
      </c>
      <c r="G195" s="20" t="s">
        <v>317</v>
      </c>
      <c r="H195" s="17"/>
      <c r="I195" s="17"/>
      <c r="J195" s="17"/>
      <c r="K195" s="17"/>
      <c r="L195" s="17"/>
      <c r="M195" s="17"/>
      <c r="N195" s="17"/>
      <c r="O195" s="17"/>
    </row>
    <row r="196" spans="3:15" ht="16.5" customHeight="1" x14ac:dyDescent="0.15">
      <c r="C196" s="21"/>
      <c r="D196" s="17"/>
      <c r="E196" s="77">
        <v>2</v>
      </c>
      <c r="F196" s="17" t="s">
        <v>206</v>
      </c>
      <c r="G196" s="17" t="s">
        <v>318</v>
      </c>
      <c r="H196" s="17"/>
      <c r="I196" s="17"/>
      <c r="J196" s="17"/>
      <c r="K196" s="17"/>
      <c r="L196" s="17"/>
      <c r="M196" s="17"/>
      <c r="N196" s="17"/>
      <c r="O196" s="17"/>
    </row>
    <row r="197" spans="3:15" ht="16.5" customHeight="1" x14ac:dyDescent="0.15">
      <c r="C197" s="21"/>
      <c r="D197" s="368" t="s">
        <v>201</v>
      </c>
      <c r="E197" s="369"/>
      <c r="F197" s="369"/>
      <c r="G197" s="647" t="s">
        <v>322</v>
      </c>
      <c r="H197" s="647"/>
      <c r="I197" s="647"/>
      <c r="J197" s="647"/>
      <c r="K197" s="647"/>
      <c r="L197" s="647"/>
      <c r="M197" s="17"/>
    </row>
    <row r="198" spans="3:15" ht="16.5" customHeight="1" x14ac:dyDescent="0.15">
      <c r="C198" s="21"/>
      <c r="D198" s="371"/>
      <c r="E198" s="286"/>
      <c r="F198" s="286"/>
      <c r="G198" s="647"/>
      <c r="H198" s="647"/>
      <c r="I198" s="647"/>
      <c r="J198" s="647"/>
      <c r="K198" s="647"/>
      <c r="L198" s="647"/>
      <c r="M198" s="17"/>
    </row>
    <row r="199" spans="3:15" ht="16.5" customHeight="1" x14ac:dyDescent="0.15">
      <c r="C199" s="21"/>
      <c r="D199" s="356"/>
      <c r="E199" s="324"/>
      <c r="F199" s="324"/>
      <c r="G199" s="640" t="s">
        <v>320</v>
      </c>
      <c r="H199" s="640"/>
      <c r="I199" s="641"/>
      <c r="J199" s="646" t="s">
        <v>321</v>
      </c>
      <c r="K199" s="640"/>
      <c r="L199" s="640"/>
      <c r="M199" s="17"/>
    </row>
    <row r="200" spans="3:15" ht="16.5" customHeight="1" x14ac:dyDescent="0.15">
      <c r="C200" s="21"/>
      <c r="D200" s="360">
        <v>98</v>
      </c>
      <c r="E200" s="360">
        <v>123</v>
      </c>
      <c r="F200" s="642">
        <v>148</v>
      </c>
      <c r="G200" s="151">
        <f t="shared" ref="G200:G247" si="7">+$E$195*O142</f>
        <v>1163.0297639999999</v>
      </c>
      <c r="H200" s="151">
        <f t="shared" ref="H200:H247" si="8">+$E$196*N142</f>
        <v>1004.78612</v>
      </c>
      <c r="I200" s="152">
        <f t="shared" ref="I200:I247" si="9">+$E$195*M142</f>
        <v>2907.5744100000002</v>
      </c>
      <c r="J200" s="153">
        <f t="shared" ref="J200:J247" si="10">+I200</f>
        <v>2907.5744100000002</v>
      </c>
      <c r="K200" s="151">
        <f t="shared" ref="K200:K247" si="11">+H200</f>
        <v>1004.78612</v>
      </c>
      <c r="L200" s="151">
        <f t="shared" ref="L200:L247" si="12">+G200</f>
        <v>1163.0297639999999</v>
      </c>
      <c r="M200" s="17"/>
    </row>
    <row r="201" spans="3:15" ht="16.5" customHeight="1" x14ac:dyDescent="0.15">
      <c r="C201" s="21"/>
      <c r="D201" s="360"/>
      <c r="E201" s="360"/>
      <c r="F201" s="642"/>
      <c r="G201" s="168">
        <f t="shared" si="7"/>
        <v>1307.4656815999999</v>
      </c>
      <c r="H201" s="168">
        <f t="shared" si="8"/>
        <v>1129.5698613333332</v>
      </c>
      <c r="I201" s="169">
        <f t="shared" si="9"/>
        <v>3268.6642039999997</v>
      </c>
      <c r="J201" s="170">
        <f t="shared" si="10"/>
        <v>3268.6642039999997</v>
      </c>
      <c r="K201" s="168">
        <f t="shared" si="11"/>
        <v>1129.5698613333332</v>
      </c>
      <c r="L201" s="168">
        <f t="shared" si="12"/>
        <v>1307.4656815999999</v>
      </c>
      <c r="M201" s="17"/>
    </row>
    <row r="202" spans="3:15" ht="16.5" customHeight="1" x14ac:dyDescent="0.15">
      <c r="C202" s="21"/>
      <c r="D202" s="393">
        <f>+D200+1</f>
        <v>99</v>
      </c>
      <c r="E202" s="393">
        <f>+E200+1</f>
        <v>124</v>
      </c>
      <c r="F202" s="644">
        <f>+F200+1</f>
        <v>149</v>
      </c>
      <c r="G202" s="151">
        <f t="shared" si="7"/>
        <v>1989.0401095076923</v>
      </c>
      <c r="H202" s="151">
        <f t="shared" si="8"/>
        <v>1718.4082093333332</v>
      </c>
      <c r="I202" s="152">
        <f t="shared" si="9"/>
        <v>4972.6002737692306</v>
      </c>
      <c r="J202" s="153">
        <f t="shared" si="10"/>
        <v>4972.6002737692306</v>
      </c>
      <c r="K202" s="151">
        <f t="shared" si="11"/>
        <v>1718.4082093333332</v>
      </c>
      <c r="L202" s="151">
        <f t="shared" si="12"/>
        <v>1989.0401095076923</v>
      </c>
      <c r="M202" s="17"/>
    </row>
    <row r="203" spans="3:15" ht="16.5" customHeight="1" x14ac:dyDescent="0.15">
      <c r="C203" s="21"/>
      <c r="D203" s="393"/>
      <c r="E203" s="393"/>
      <c r="F203" s="644"/>
      <c r="G203" s="168">
        <f t="shared" si="7"/>
        <v>1989.0401095076923</v>
      </c>
      <c r="H203" s="168">
        <f t="shared" si="8"/>
        <v>1718.4082093333332</v>
      </c>
      <c r="I203" s="169">
        <f t="shared" si="9"/>
        <v>4972.6002737692306</v>
      </c>
      <c r="J203" s="170">
        <f t="shared" si="10"/>
        <v>4972.6002737692306</v>
      </c>
      <c r="K203" s="168">
        <f t="shared" si="11"/>
        <v>1718.4082093333332</v>
      </c>
      <c r="L203" s="168">
        <f t="shared" si="12"/>
        <v>1989.0401095076923</v>
      </c>
      <c r="M203" s="17"/>
    </row>
    <row r="204" spans="3:15" ht="16.5" customHeight="1" x14ac:dyDescent="0.15">
      <c r="C204" s="21"/>
      <c r="D204" s="393">
        <f>+D202+1</f>
        <v>100</v>
      </c>
      <c r="E204" s="393">
        <f>+E202+1</f>
        <v>125</v>
      </c>
      <c r="F204" s="644">
        <f>+F202+1</f>
        <v>150</v>
      </c>
      <c r="G204" s="151">
        <f t="shared" si="7"/>
        <v>907.71050769230715</v>
      </c>
      <c r="H204" s="151">
        <f t="shared" si="8"/>
        <v>784.20599999999968</v>
      </c>
      <c r="I204" s="152">
        <f t="shared" si="9"/>
        <v>2269.2762692307679</v>
      </c>
      <c r="J204" s="153">
        <f t="shared" si="10"/>
        <v>2269.2762692307679</v>
      </c>
      <c r="K204" s="151">
        <f t="shared" si="11"/>
        <v>784.20599999999968</v>
      </c>
      <c r="L204" s="151">
        <f t="shared" si="12"/>
        <v>907.71050769230715</v>
      </c>
      <c r="M204" s="17"/>
    </row>
    <row r="205" spans="3:15" ht="16.5" customHeight="1" x14ac:dyDescent="0.15">
      <c r="C205" s="21"/>
      <c r="D205" s="393"/>
      <c r="E205" s="393"/>
      <c r="F205" s="644"/>
      <c r="G205" s="168">
        <f t="shared" si="7"/>
        <v>907.71050769230715</v>
      </c>
      <c r="H205" s="168">
        <f t="shared" si="8"/>
        <v>784.20599999999968</v>
      </c>
      <c r="I205" s="169">
        <f t="shared" si="9"/>
        <v>2269.2762692307679</v>
      </c>
      <c r="J205" s="170">
        <f t="shared" si="10"/>
        <v>2269.2762692307679</v>
      </c>
      <c r="K205" s="168">
        <f t="shared" si="11"/>
        <v>784.20599999999968</v>
      </c>
      <c r="L205" s="168">
        <f t="shared" si="12"/>
        <v>907.71050769230715</v>
      </c>
      <c r="M205" s="17"/>
    </row>
    <row r="206" spans="3:15" ht="16.5" customHeight="1" x14ac:dyDescent="0.15">
      <c r="C206" s="21"/>
      <c r="D206" s="393">
        <f>+D204+1</f>
        <v>101</v>
      </c>
      <c r="E206" s="393">
        <f>+E204+1</f>
        <v>126</v>
      </c>
      <c r="F206" s="644">
        <f>+F204+1</f>
        <v>151</v>
      </c>
      <c r="G206" s="151">
        <f t="shared" si="7"/>
        <v>669.00600000000009</v>
      </c>
      <c r="H206" s="151">
        <f t="shared" si="8"/>
        <v>577.98</v>
      </c>
      <c r="I206" s="152">
        <f t="shared" si="9"/>
        <v>1672.5149999999999</v>
      </c>
      <c r="J206" s="153">
        <f t="shared" si="10"/>
        <v>1672.5149999999999</v>
      </c>
      <c r="K206" s="151">
        <f t="shared" si="11"/>
        <v>577.98</v>
      </c>
      <c r="L206" s="151">
        <f t="shared" si="12"/>
        <v>669.00600000000009</v>
      </c>
      <c r="M206" s="17"/>
    </row>
    <row r="207" spans="3:15" ht="16.5" customHeight="1" x14ac:dyDescent="0.15">
      <c r="C207" s="21"/>
      <c r="D207" s="393"/>
      <c r="E207" s="393"/>
      <c r="F207" s="644"/>
      <c r="G207" s="168">
        <f t="shared" si="7"/>
        <v>669.00600000000009</v>
      </c>
      <c r="H207" s="168">
        <f t="shared" si="8"/>
        <v>577.98</v>
      </c>
      <c r="I207" s="169">
        <f t="shared" si="9"/>
        <v>1672.5149999999999</v>
      </c>
      <c r="J207" s="170">
        <f t="shared" si="10"/>
        <v>1672.5149999999999</v>
      </c>
      <c r="K207" s="168">
        <f t="shared" si="11"/>
        <v>577.98</v>
      </c>
      <c r="L207" s="168">
        <f t="shared" si="12"/>
        <v>669.00600000000009</v>
      </c>
      <c r="M207" s="17"/>
    </row>
    <row r="208" spans="3:15" ht="16.5" customHeight="1" x14ac:dyDescent="0.15">
      <c r="C208" s="21"/>
      <c r="D208" s="393">
        <f>+D206+1</f>
        <v>102</v>
      </c>
      <c r="E208" s="393">
        <f>+E206+1</f>
        <v>127</v>
      </c>
      <c r="F208" s="644">
        <f>+F206+1</f>
        <v>152</v>
      </c>
      <c r="G208" s="151">
        <f t="shared" si="7"/>
        <v>1740.9708960000009</v>
      </c>
      <c r="H208" s="151">
        <f t="shared" si="8"/>
        <v>1504.0916800000009</v>
      </c>
      <c r="I208" s="152">
        <f t="shared" si="9"/>
        <v>4352.4272400000018</v>
      </c>
      <c r="J208" s="153">
        <f t="shared" si="10"/>
        <v>4352.4272400000018</v>
      </c>
      <c r="K208" s="151">
        <f t="shared" si="11"/>
        <v>1504.0916800000009</v>
      </c>
      <c r="L208" s="151">
        <f t="shared" si="12"/>
        <v>1740.9708960000009</v>
      </c>
      <c r="M208" s="17"/>
    </row>
    <row r="209" spans="3:13" ht="16.5" customHeight="1" x14ac:dyDescent="0.15">
      <c r="C209" s="21"/>
      <c r="D209" s="393"/>
      <c r="E209" s="393"/>
      <c r="F209" s="644"/>
      <c r="G209" s="168">
        <f t="shared" si="7"/>
        <v>1740.9708960000009</v>
      </c>
      <c r="H209" s="168">
        <f t="shared" si="8"/>
        <v>1504.0916800000009</v>
      </c>
      <c r="I209" s="169">
        <f t="shared" si="9"/>
        <v>4352.4272400000018</v>
      </c>
      <c r="J209" s="170">
        <f t="shared" si="10"/>
        <v>4352.4272400000018</v>
      </c>
      <c r="K209" s="168">
        <f t="shared" si="11"/>
        <v>1504.0916800000009</v>
      </c>
      <c r="L209" s="168">
        <f t="shared" si="12"/>
        <v>1740.9708960000009</v>
      </c>
      <c r="M209" s="17"/>
    </row>
    <row r="210" spans="3:13" ht="16.5" customHeight="1" x14ac:dyDescent="0.15">
      <c r="C210" s="21"/>
      <c r="D210" s="393">
        <f>+D208+1</f>
        <v>103</v>
      </c>
      <c r="E210" s="393">
        <f>+E208+1</f>
        <v>128</v>
      </c>
      <c r="F210" s="644">
        <f>+F208+1</f>
        <v>153</v>
      </c>
      <c r="G210" s="151">
        <f t="shared" si="7"/>
        <v>2472.794844</v>
      </c>
      <c r="H210" s="151">
        <f t="shared" si="8"/>
        <v>2136.3425200000001</v>
      </c>
      <c r="I210" s="152">
        <f t="shared" si="9"/>
        <v>6181.98711</v>
      </c>
      <c r="J210" s="153">
        <f t="shared" si="10"/>
        <v>6181.98711</v>
      </c>
      <c r="K210" s="151">
        <f t="shared" si="11"/>
        <v>2136.3425200000001</v>
      </c>
      <c r="L210" s="151">
        <f t="shared" si="12"/>
        <v>2472.794844</v>
      </c>
      <c r="M210" s="17"/>
    </row>
    <row r="211" spans="3:13" ht="16.5" customHeight="1" x14ac:dyDescent="0.15">
      <c r="C211" s="21"/>
      <c r="D211" s="393"/>
      <c r="E211" s="393"/>
      <c r="F211" s="644"/>
      <c r="G211" s="168">
        <f t="shared" si="7"/>
        <v>2673.7939799999999</v>
      </c>
      <c r="H211" s="168">
        <f t="shared" si="8"/>
        <v>2309.9933999999998</v>
      </c>
      <c r="I211" s="169">
        <f t="shared" si="9"/>
        <v>6684.48495</v>
      </c>
      <c r="J211" s="170">
        <f t="shared" si="10"/>
        <v>6684.48495</v>
      </c>
      <c r="K211" s="168">
        <f t="shared" si="11"/>
        <v>2309.9933999999998</v>
      </c>
      <c r="L211" s="168">
        <f t="shared" si="12"/>
        <v>2673.7939799999999</v>
      </c>
      <c r="M211" s="17"/>
    </row>
    <row r="212" spans="3:13" ht="16.5" customHeight="1" x14ac:dyDescent="0.15">
      <c r="C212" s="21"/>
      <c r="D212" s="393">
        <f>+D210+1</f>
        <v>104</v>
      </c>
      <c r="E212" s="393">
        <f>+E210+1</f>
        <v>129</v>
      </c>
      <c r="F212" s="644">
        <f>+F210+1</f>
        <v>154</v>
      </c>
      <c r="G212" s="151">
        <f t="shared" si="7"/>
        <v>2640.6295799999998</v>
      </c>
      <c r="H212" s="151">
        <f t="shared" si="8"/>
        <v>2281.3413999999998</v>
      </c>
      <c r="I212" s="152">
        <f t="shared" si="9"/>
        <v>6601.57395</v>
      </c>
      <c r="J212" s="153">
        <f t="shared" si="10"/>
        <v>6601.57395</v>
      </c>
      <c r="K212" s="151">
        <f t="shared" si="11"/>
        <v>2281.3413999999998</v>
      </c>
      <c r="L212" s="151">
        <f t="shared" si="12"/>
        <v>2640.6295799999998</v>
      </c>
      <c r="M212" s="17"/>
    </row>
    <row r="213" spans="3:13" ht="16.5" customHeight="1" x14ac:dyDescent="0.15">
      <c r="C213" s="21"/>
      <c r="D213" s="393"/>
      <c r="E213" s="393"/>
      <c r="F213" s="644"/>
      <c r="G213" s="168">
        <f t="shared" si="7"/>
        <v>2640.6295799999998</v>
      </c>
      <c r="H213" s="168">
        <f t="shared" si="8"/>
        <v>2281.3413999999998</v>
      </c>
      <c r="I213" s="169">
        <f t="shared" si="9"/>
        <v>6601.57395</v>
      </c>
      <c r="J213" s="170">
        <f t="shared" si="10"/>
        <v>6601.57395</v>
      </c>
      <c r="K213" s="168">
        <f t="shared" si="11"/>
        <v>2281.3413999999998</v>
      </c>
      <c r="L213" s="168">
        <f t="shared" si="12"/>
        <v>2640.6295799999998</v>
      </c>
      <c r="M213" s="17"/>
    </row>
    <row r="214" spans="3:13" ht="16.5" customHeight="1" x14ac:dyDescent="0.15">
      <c r="C214" s="21"/>
      <c r="D214" s="393">
        <f>+D212+1</f>
        <v>105</v>
      </c>
      <c r="E214" s="393">
        <f>+E212+1</f>
        <v>130</v>
      </c>
      <c r="F214" s="644">
        <f>+F212+1</f>
        <v>155</v>
      </c>
      <c r="G214" s="151">
        <f t="shared" si="7"/>
        <v>3142.554115263159</v>
      </c>
      <c r="H214" s="151">
        <f t="shared" si="8"/>
        <v>2714.9733000000015</v>
      </c>
      <c r="I214" s="152">
        <f t="shared" si="9"/>
        <v>7856.3852881578987</v>
      </c>
      <c r="J214" s="153">
        <f t="shared" si="10"/>
        <v>7856.3852881578987</v>
      </c>
      <c r="K214" s="151">
        <f t="shared" si="11"/>
        <v>2714.9733000000015</v>
      </c>
      <c r="L214" s="151">
        <f t="shared" si="12"/>
        <v>3142.554115263159</v>
      </c>
      <c r="M214" s="17"/>
    </row>
    <row r="215" spans="3:13" ht="16.5" customHeight="1" x14ac:dyDescent="0.15">
      <c r="C215" s="21"/>
      <c r="D215" s="393"/>
      <c r="E215" s="393"/>
      <c r="F215" s="644"/>
      <c r="G215" s="168">
        <f t="shared" si="7"/>
        <v>3142.554115263159</v>
      </c>
      <c r="H215" s="168">
        <f t="shared" si="8"/>
        <v>2714.9733000000015</v>
      </c>
      <c r="I215" s="169">
        <f t="shared" si="9"/>
        <v>7856.3852881578987</v>
      </c>
      <c r="J215" s="170">
        <f t="shared" si="10"/>
        <v>7856.3852881578987</v>
      </c>
      <c r="K215" s="168">
        <f t="shared" si="11"/>
        <v>2714.9733000000015</v>
      </c>
      <c r="L215" s="168">
        <f t="shared" si="12"/>
        <v>3142.554115263159</v>
      </c>
      <c r="M215" s="17"/>
    </row>
    <row r="216" spans="3:13" ht="16.5" customHeight="1" x14ac:dyDescent="0.15">
      <c r="C216" s="21"/>
      <c r="D216" s="393">
        <f>+D214+1</f>
        <v>106</v>
      </c>
      <c r="E216" s="393">
        <f>+E214+1</f>
        <v>131</v>
      </c>
      <c r="F216" s="644">
        <f>+F214+1</f>
        <v>156</v>
      </c>
      <c r="G216" s="151">
        <f t="shared" si="7"/>
        <v>3190.7595637894738</v>
      </c>
      <c r="H216" s="151">
        <f t="shared" si="8"/>
        <v>2756.6198400000007</v>
      </c>
      <c r="I216" s="152">
        <f t="shared" si="9"/>
        <v>7976.8989094736862</v>
      </c>
      <c r="J216" s="153">
        <f t="shared" si="10"/>
        <v>7976.8989094736862</v>
      </c>
      <c r="K216" s="151">
        <f t="shared" si="11"/>
        <v>2756.6198400000007</v>
      </c>
      <c r="L216" s="151">
        <f t="shared" si="12"/>
        <v>3190.7595637894738</v>
      </c>
      <c r="M216" s="17"/>
    </row>
    <row r="217" spans="3:13" ht="16.5" customHeight="1" x14ac:dyDescent="0.15">
      <c r="C217" s="21"/>
      <c r="D217" s="393"/>
      <c r="E217" s="393"/>
      <c r="F217" s="644"/>
      <c r="G217" s="168">
        <f t="shared" si="7"/>
        <v>3400.6897342736852</v>
      </c>
      <c r="H217" s="168">
        <f t="shared" si="8"/>
        <v>2937.9865840000002</v>
      </c>
      <c r="I217" s="169">
        <f t="shared" si="9"/>
        <v>8501.7243356842118</v>
      </c>
      <c r="J217" s="170">
        <f t="shared" si="10"/>
        <v>8501.7243356842118</v>
      </c>
      <c r="K217" s="168">
        <f t="shared" si="11"/>
        <v>2937.9865840000002</v>
      </c>
      <c r="L217" s="168">
        <f t="shared" si="12"/>
        <v>3400.6897342736852</v>
      </c>
      <c r="M217" s="17"/>
    </row>
    <row r="218" spans="3:13" ht="16.5" customHeight="1" x14ac:dyDescent="0.15">
      <c r="C218" s="21"/>
      <c r="D218" s="393">
        <f>+D216+1</f>
        <v>107</v>
      </c>
      <c r="E218" s="393">
        <f>+E216+1</f>
        <v>132</v>
      </c>
      <c r="F218" s="644">
        <f>+F216+1</f>
        <v>157</v>
      </c>
      <c r="G218" s="151">
        <f t="shared" si="7"/>
        <v>3400.6897342736852</v>
      </c>
      <c r="H218" s="151">
        <f t="shared" si="8"/>
        <v>2937.9865840000002</v>
      </c>
      <c r="I218" s="152">
        <f t="shared" si="9"/>
        <v>8501.7243356842118</v>
      </c>
      <c r="J218" s="153">
        <f t="shared" si="10"/>
        <v>8501.7243356842118</v>
      </c>
      <c r="K218" s="151">
        <f t="shared" si="11"/>
        <v>2937.9865840000002</v>
      </c>
      <c r="L218" s="151">
        <f t="shared" si="12"/>
        <v>3400.6897342736852</v>
      </c>
      <c r="M218" s="17"/>
    </row>
    <row r="219" spans="3:13" ht="16.5" customHeight="1" x14ac:dyDescent="0.15">
      <c r="C219" s="21"/>
      <c r="D219" s="393"/>
      <c r="E219" s="393"/>
      <c r="F219" s="644"/>
      <c r="G219" s="168">
        <f t="shared" si="7"/>
        <v>3610.6199047578953</v>
      </c>
      <c r="H219" s="168">
        <f t="shared" si="8"/>
        <v>3119.3533280000006</v>
      </c>
      <c r="I219" s="169">
        <f t="shared" si="9"/>
        <v>9026.5497618947393</v>
      </c>
      <c r="J219" s="170">
        <f t="shared" si="10"/>
        <v>9026.5497618947393</v>
      </c>
      <c r="K219" s="168">
        <f t="shared" si="11"/>
        <v>3119.3533280000006</v>
      </c>
      <c r="L219" s="168">
        <f t="shared" si="12"/>
        <v>3610.6199047578953</v>
      </c>
      <c r="M219" s="17"/>
    </row>
    <row r="220" spans="3:13" ht="16.5" customHeight="1" x14ac:dyDescent="0.15">
      <c r="C220" s="21"/>
      <c r="D220" s="393">
        <f>+D218+1</f>
        <v>108</v>
      </c>
      <c r="E220" s="393">
        <f>+E218+1</f>
        <v>133</v>
      </c>
      <c r="F220" s="644">
        <f>+F218+1</f>
        <v>158</v>
      </c>
      <c r="G220" s="151">
        <f t="shared" si="7"/>
        <v>3610.6199047578953</v>
      </c>
      <c r="H220" s="151">
        <f t="shared" si="8"/>
        <v>3119.3533280000006</v>
      </c>
      <c r="I220" s="152">
        <f t="shared" si="9"/>
        <v>9026.5497618947393</v>
      </c>
      <c r="J220" s="153">
        <f t="shared" si="10"/>
        <v>9026.5497618947393</v>
      </c>
      <c r="K220" s="151">
        <f t="shared" si="11"/>
        <v>3119.3533280000006</v>
      </c>
      <c r="L220" s="151">
        <f t="shared" si="12"/>
        <v>3610.6199047578953</v>
      </c>
      <c r="M220" s="17"/>
    </row>
    <row r="221" spans="3:13" ht="16.5" customHeight="1" x14ac:dyDescent="0.15">
      <c r="C221" s="21"/>
      <c r="D221" s="393"/>
      <c r="E221" s="393"/>
      <c r="F221" s="644"/>
      <c r="G221" s="168">
        <f t="shared" si="7"/>
        <v>3820.5500752421058</v>
      </c>
      <c r="H221" s="168">
        <f t="shared" si="8"/>
        <v>3300.720072000001</v>
      </c>
      <c r="I221" s="169">
        <f t="shared" si="9"/>
        <v>9551.3751881052649</v>
      </c>
      <c r="J221" s="170">
        <f t="shared" si="10"/>
        <v>9551.3751881052649</v>
      </c>
      <c r="K221" s="168">
        <f t="shared" si="11"/>
        <v>3300.720072000001</v>
      </c>
      <c r="L221" s="168">
        <f t="shared" si="12"/>
        <v>3820.5500752421058</v>
      </c>
      <c r="M221" s="17"/>
    </row>
    <row r="222" spans="3:13" ht="16.5" customHeight="1" x14ac:dyDescent="0.15">
      <c r="C222" s="21"/>
      <c r="D222" s="393">
        <f>+D220+1</f>
        <v>109</v>
      </c>
      <c r="E222" s="393">
        <f>+E220+1</f>
        <v>134</v>
      </c>
      <c r="F222" s="644">
        <f>+F220+1</f>
        <v>159</v>
      </c>
      <c r="G222" s="151">
        <f t="shared" si="7"/>
        <v>3820.5500752421058</v>
      </c>
      <c r="H222" s="151">
        <f t="shared" si="8"/>
        <v>3300.720072000001</v>
      </c>
      <c r="I222" s="152">
        <f t="shared" si="9"/>
        <v>9551.3751881052649</v>
      </c>
      <c r="J222" s="153">
        <f t="shared" si="10"/>
        <v>9551.3751881052649</v>
      </c>
      <c r="K222" s="151">
        <f t="shared" si="11"/>
        <v>3300.720072000001</v>
      </c>
      <c r="L222" s="151">
        <f t="shared" si="12"/>
        <v>3820.5500752421058</v>
      </c>
      <c r="M222" s="17"/>
    </row>
    <row r="223" spans="3:13" ht="16.5" customHeight="1" x14ac:dyDescent="0.15">
      <c r="C223" s="21"/>
      <c r="D223" s="393"/>
      <c r="E223" s="393"/>
      <c r="F223" s="644"/>
      <c r="G223" s="168">
        <f t="shared" si="7"/>
        <v>4030.4802457263168</v>
      </c>
      <c r="H223" s="168">
        <f t="shared" si="8"/>
        <v>3482.0868160000005</v>
      </c>
      <c r="I223" s="169">
        <f t="shared" si="9"/>
        <v>10076.200614315792</v>
      </c>
      <c r="J223" s="170">
        <f t="shared" si="10"/>
        <v>10076.200614315792</v>
      </c>
      <c r="K223" s="168">
        <f t="shared" si="11"/>
        <v>3482.0868160000005</v>
      </c>
      <c r="L223" s="168">
        <f t="shared" si="12"/>
        <v>4030.4802457263168</v>
      </c>
      <c r="M223" s="17"/>
    </row>
    <row r="224" spans="3:13" ht="16.5" customHeight="1" x14ac:dyDescent="0.15">
      <c r="C224" s="21"/>
      <c r="D224" s="393">
        <f>+D222+1</f>
        <v>110</v>
      </c>
      <c r="E224" s="393">
        <f>+E222+1</f>
        <v>135</v>
      </c>
      <c r="F224" s="644">
        <f>+F222+1</f>
        <v>160</v>
      </c>
      <c r="G224" s="151">
        <f t="shared" si="7"/>
        <v>4030.4802457263168</v>
      </c>
      <c r="H224" s="151">
        <f t="shared" si="8"/>
        <v>3482.0868160000005</v>
      </c>
      <c r="I224" s="152">
        <f t="shared" si="9"/>
        <v>10076.200614315792</v>
      </c>
      <c r="J224" s="153">
        <f t="shared" si="10"/>
        <v>10076.200614315792</v>
      </c>
      <c r="K224" s="151">
        <f t="shared" si="11"/>
        <v>3482.0868160000005</v>
      </c>
      <c r="L224" s="151">
        <f t="shared" si="12"/>
        <v>4030.4802457263168</v>
      </c>
      <c r="M224" s="17"/>
    </row>
    <row r="225" spans="3:13" ht="16.5" customHeight="1" x14ac:dyDescent="0.15">
      <c r="C225" s="21"/>
      <c r="D225" s="393"/>
      <c r="E225" s="393"/>
      <c r="F225" s="644"/>
      <c r="G225" s="168">
        <f t="shared" si="7"/>
        <v>4240.4104162105268</v>
      </c>
      <c r="H225" s="168">
        <f t="shared" si="8"/>
        <v>3663.4535600000004</v>
      </c>
      <c r="I225" s="169">
        <f t="shared" si="9"/>
        <v>10601.026040526318</v>
      </c>
      <c r="J225" s="170">
        <f t="shared" si="10"/>
        <v>10601.026040526318</v>
      </c>
      <c r="K225" s="168">
        <f t="shared" si="11"/>
        <v>3663.4535600000004</v>
      </c>
      <c r="L225" s="168">
        <f t="shared" si="12"/>
        <v>4240.4104162105268</v>
      </c>
      <c r="M225" s="17"/>
    </row>
    <row r="226" spans="3:13" ht="16.5" customHeight="1" x14ac:dyDescent="0.15">
      <c r="C226" s="21"/>
      <c r="D226" s="393">
        <f>+D224+1</f>
        <v>111</v>
      </c>
      <c r="E226" s="393">
        <f>+E224+1</f>
        <v>136</v>
      </c>
      <c r="F226" s="644">
        <f>+F224+1</f>
        <v>161</v>
      </c>
      <c r="G226" s="151">
        <f t="shared" si="7"/>
        <v>4240.4104162105268</v>
      </c>
      <c r="H226" s="151">
        <f t="shared" si="8"/>
        <v>3663.4535600000004</v>
      </c>
      <c r="I226" s="152">
        <f t="shared" si="9"/>
        <v>10601.026040526318</v>
      </c>
      <c r="J226" s="153">
        <f t="shared" si="10"/>
        <v>10601.026040526318</v>
      </c>
      <c r="K226" s="151">
        <f t="shared" si="11"/>
        <v>3663.4535600000004</v>
      </c>
      <c r="L226" s="151">
        <f t="shared" si="12"/>
        <v>4240.4104162105268</v>
      </c>
      <c r="M226" s="17"/>
    </row>
    <row r="227" spans="3:13" ht="16.5" customHeight="1" x14ac:dyDescent="0.15">
      <c r="C227" s="21"/>
      <c r="D227" s="393"/>
      <c r="E227" s="393"/>
      <c r="F227" s="644"/>
      <c r="G227" s="168">
        <f t="shared" si="7"/>
        <v>4450.3405866947369</v>
      </c>
      <c r="H227" s="168">
        <f t="shared" si="8"/>
        <v>3844.8203040000008</v>
      </c>
      <c r="I227" s="169">
        <f t="shared" si="9"/>
        <v>11125.851466736844</v>
      </c>
      <c r="J227" s="170">
        <f t="shared" si="10"/>
        <v>11125.851466736844</v>
      </c>
      <c r="K227" s="168">
        <f t="shared" si="11"/>
        <v>3844.8203040000008</v>
      </c>
      <c r="L227" s="168">
        <f t="shared" si="12"/>
        <v>4450.3405866947369</v>
      </c>
      <c r="M227" s="17"/>
    </row>
    <row r="228" spans="3:13" ht="16.5" customHeight="1" x14ac:dyDescent="0.15">
      <c r="C228" s="21"/>
      <c r="D228" s="393">
        <f>+D226+1</f>
        <v>112</v>
      </c>
      <c r="E228" s="393">
        <f>+E226+1</f>
        <v>137</v>
      </c>
      <c r="F228" s="644">
        <f>+F226+1</f>
        <v>162</v>
      </c>
      <c r="G228" s="151">
        <f t="shared" si="7"/>
        <v>1683.4564832841995</v>
      </c>
      <c r="H228" s="151">
        <f t="shared" si="8"/>
        <v>1454.4027679999906</v>
      </c>
      <c r="I228" s="152">
        <f t="shared" si="9"/>
        <v>4208.641208210498</v>
      </c>
      <c r="J228" s="153">
        <f t="shared" si="10"/>
        <v>4208.641208210498</v>
      </c>
      <c r="K228" s="151">
        <f t="shared" si="11"/>
        <v>1454.4027679999906</v>
      </c>
      <c r="L228" s="151">
        <f t="shared" si="12"/>
        <v>1683.4564832841995</v>
      </c>
      <c r="M228" s="17"/>
    </row>
    <row r="229" spans="3:13" ht="16.5" customHeight="1" x14ac:dyDescent="0.15">
      <c r="C229" s="21"/>
      <c r="D229" s="393"/>
      <c r="E229" s="393"/>
      <c r="F229" s="644"/>
      <c r="G229" s="168">
        <f t="shared" si="7"/>
        <v>1683.4564832841995</v>
      </c>
      <c r="H229" s="168">
        <f t="shared" si="8"/>
        <v>1454.4027679999906</v>
      </c>
      <c r="I229" s="169">
        <f t="shared" si="9"/>
        <v>4208.641208210498</v>
      </c>
      <c r="J229" s="170">
        <f t="shared" si="10"/>
        <v>4208.641208210498</v>
      </c>
      <c r="K229" s="168">
        <f t="shared" si="11"/>
        <v>1454.4027679999906</v>
      </c>
      <c r="L229" s="168">
        <f t="shared" si="12"/>
        <v>1683.4564832841995</v>
      </c>
      <c r="M229" s="17"/>
    </row>
    <row r="230" spans="3:13" ht="16.5" customHeight="1" x14ac:dyDescent="0.15">
      <c r="C230" s="21"/>
      <c r="D230" s="393">
        <f>+D228+1</f>
        <v>113</v>
      </c>
      <c r="E230" s="393">
        <f>+E228+1</f>
        <v>138</v>
      </c>
      <c r="F230" s="644">
        <f>+F228+1</f>
        <v>163</v>
      </c>
      <c r="G230" s="151">
        <f t="shared" si="7"/>
        <v>3088.8</v>
      </c>
      <c r="H230" s="151">
        <f t="shared" si="8"/>
        <v>2059.2000000000003</v>
      </c>
      <c r="I230" s="152">
        <f t="shared" si="9"/>
        <v>3088.8</v>
      </c>
      <c r="J230" s="153">
        <f t="shared" si="10"/>
        <v>3088.8</v>
      </c>
      <c r="K230" s="151">
        <f t="shared" si="11"/>
        <v>2059.2000000000003</v>
      </c>
      <c r="L230" s="151">
        <f t="shared" si="12"/>
        <v>3088.8</v>
      </c>
      <c r="M230" s="17"/>
    </row>
    <row r="231" spans="3:13" ht="16.5" customHeight="1" x14ac:dyDescent="0.15">
      <c r="C231" s="21"/>
      <c r="D231" s="393"/>
      <c r="E231" s="393"/>
      <c r="F231" s="644"/>
      <c r="G231" s="168">
        <f t="shared" si="7"/>
        <v>3088.8</v>
      </c>
      <c r="H231" s="168">
        <f t="shared" si="8"/>
        <v>2059.2000000000003</v>
      </c>
      <c r="I231" s="169">
        <f t="shared" si="9"/>
        <v>3088.8</v>
      </c>
      <c r="J231" s="170">
        <f t="shared" si="10"/>
        <v>3088.8</v>
      </c>
      <c r="K231" s="168">
        <f t="shared" si="11"/>
        <v>2059.2000000000003</v>
      </c>
      <c r="L231" s="168">
        <f t="shared" si="12"/>
        <v>3088.8</v>
      </c>
      <c r="M231" s="17"/>
    </row>
    <row r="232" spans="3:13" ht="16.5" customHeight="1" x14ac:dyDescent="0.15">
      <c r="C232" s="21"/>
      <c r="D232" s="393">
        <f>+D230+1</f>
        <v>114</v>
      </c>
      <c r="E232" s="393">
        <f>+E230+1</f>
        <v>139</v>
      </c>
      <c r="F232" s="644">
        <f>+F230+1</f>
        <v>164</v>
      </c>
      <c r="G232" s="151">
        <f t="shared" si="7"/>
        <v>3088.8</v>
      </c>
      <c r="H232" s="151">
        <f t="shared" si="8"/>
        <v>2059.2000000000003</v>
      </c>
      <c r="I232" s="152">
        <f t="shared" si="9"/>
        <v>3088.8</v>
      </c>
      <c r="J232" s="153">
        <f t="shared" si="10"/>
        <v>3088.8</v>
      </c>
      <c r="K232" s="151">
        <f t="shared" si="11"/>
        <v>2059.2000000000003</v>
      </c>
      <c r="L232" s="151">
        <f t="shared" si="12"/>
        <v>3088.8</v>
      </c>
      <c r="M232" s="17"/>
    </row>
    <row r="233" spans="3:13" ht="16.5" customHeight="1" x14ac:dyDescent="0.15">
      <c r="C233" s="21"/>
      <c r="D233" s="393"/>
      <c r="E233" s="393"/>
      <c r="F233" s="644"/>
      <c r="G233" s="168">
        <f t="shared" si="7"/>
        <v>3088.8</v>
      </c>
      <c r="H233" s="168">
        <f t="shared" si="8"/>
        <v>2059.2000000000003</v>
      </c>
      <c r="I233" s="169">
        <f t="shared" si="9"/>
        <v>3088.8</v>
      </c>
      <c r="J233" s="170">
        <f t="shared" si="10"/>
        <v>3088.8</v>
      </c>
      <c r="K233" s="168">
        <f t="shared" si="11"/>
        <v>2059.2000000000003</v>
      </c>
      <c r="L233" s="168">
        <f t="shared" si="12"/>
        <v>3088.8</v>
      </c>
      <c r="M233" s="17"/>
    </row>
    <row r="234" spans="3:13" ht="16.5" customHeight="1" x14ac:dyDescent="0.15">
      <c r="C234" s="21"/>
      <c r="D234" s="393">
        <f>+D232+1</f>
        <v>115</v>
      </c>
      <c r="E234" s="393">
        <f>+E232+1</f>
        <v>140</v>
      </c>
      <c r="F234" s="644">
        <f>+F232+1</f>
        <v>165</v>
      </c>
      <c r="G234" s="151">
        <f t="shared" si="7"/>
        <v>3088.8</v>
      </c>
      <c r="H234" s="151">
        <f t="shared" si="8"/>
        <v>2059.2000000000003</v>
      </c>
      <c r="I234" s="152">
        <f t="shared" si="9"/>
        <v>3088.8</v>
      </c>
      <c r="J234" s="153">
        <f t="shared" si="10"/>
        <v>3088.8</v>
      </c>
      <c r="K234" s="151">
        <f t="shared" si="11"/>
        <v>2059.2000000000003</v>
      </c>
      <c r="L234" s="151">
        <f t="shared" si="12"/>
        <v>3088.8</v>
      </c>
      <c r="M234" s="17"/>
    </row>
    <row r="235" spans="3:13" ht="16.5" customHeight="1" x14ac:dyDescent="0.15">
      <c r="C235" s="21"/>
      <c r="D235" s="393"/>
      <c r="E235" s="393"/>
      <c r="F235" s="644"/>
      <c r="G235" s="168">
        <f t="shared" si="7"/>
        <v>3088.8</v>
      </c>
      <c r="H235" s="168">
        <f t="shared" si="8"/>
        <v>2059.2000000000003</v>
      </c>
      <c r="I235" s="169">
        <f t="shared" si="9"/>
        <v>3088.8</v>
      </c>
      <c r="J235" s="170">
        <f t="shared" si="10"/>
        <v>3088.8</v>
      </c>
      <c r="K235" s="168">
        <f t="shared" si="11"/>
        <v>2059.2000000000003</v>
      </c>
      <c r="L235" s="168">
        <f t="shared" si="12"/>
        <v>3088.8</v>
      </c>
      <c r="M235" s="17"/>
    </row>
    <row r="236" spans="3:13" ht="16.5" customHeight="1" x14ac:dyDescent="0.15">
      <c r="C236" s="21"/>
      <c r="D236" s="393">
        <f>+D234+1</f>
        <v>116</v>
      </c>
      <c r="E236" s="393">
        <f>+E234+1</f>
        <v>141</v>
      </c>
      <c r="F236" s="644">
        <f>+F234+1</f>
        <v>166</v>
      </c>
      <c r="G236" s="151">
        <f t="shared" si="7"/>
        <v>3088.8</v>
      </c>
      <c r="H236" s="151">
        <f t="shared" si="8"/>
        <v>2059.2000000000003</v>
      </c>
      <c r="I236" s="152">
        <f t="shared" si="9"/>
        <v>3088.8</v>
      </c>
      <c r="J236" s="153">
        <f t="shared" si="10"/>
        <v>3088.8</v>
      </c>
      <c r="K236" s="151">
        <f t="shared" si="11"/>
        <v>2059.2000000000003</v>
      </c>
      <c r="L236" s="151">
        <f t="shared" si="12"/>
        <v>3088.8</v>
      </c>
      <c r="M236" s="17"/>
    </row>
    <row r="237" spans="3:13" ht="16.5" customHeight="1" x14ac:dyDescent="0.15">
      <c r="C237" s="21"/>
      <c r="D237" s="393"/>
      <c r="E237" s="393"/>
      <c r="F237" s="644"/>
      <c r="G237" s="168">
        <f t="shared" si="7"/>
        <v>3088.8</v>
      </c>
      <c r="H237" s="168">
        <f t="shared" si="8"/>
        <v>2059.2000000000003</v>
      </c>
      <c r="I237" s="169">
        <f t="shared" si="9"/>
        <v>3088.8</v>
      </c>
      <c r="J237" s="170">
        <f t="shared" si="10"/>
        <v>3088.8</v>
      </c>
      <c r="K237" s="168">
        <f t="shared" si="11"/>
        <v>2059.2000000000003</v>
      </c>
      <c r="L237" s="168">
        <f t="shared" si="12"/>
        <v>3088.8</v>
      </c>
      <c r="M237" s="17"/>
    </row>
    <row r="238" spans="3:13" ht="16.5" customHeight="1" x14ac:dyDescent="0.15">
      <c r="C238" s="21"/>
      <c r="D238" s="393">
        <f>+D236+1</f>
        <v>117</v>
      </c>
      <c r="E238" s="393">
        <f>+E236+1</f>
        <v>142</v>
      </c>
      <c r="F238" s="644">
        <f>+F236+1</f>
        <v>167</v>
      </c>
      <c r="G238" s="151">
        <f t="shared" si="7"/>
        <v>3088.8</v>
      </c>
      <c r="H238" s="151">
        <f t="shared" si="8"/>
        <v>2059.2000000000003</v>
      </c>
      <c r="I238" s="152">
        <f t="shared" si="9"/>
        <v>3088.8</v>
      </c>
      <c r="J238" s="153">
        <f t="shared" si="10"/>
        <v>3088.8</v>
      </c>
      <c r="K238" s="151">
        <f t="shared" si="11"/>
        <v>2059.2000000000003</v>
      </c>
      <c r="L238" s="151">
        <f t="shared" si="12"/>
        <v>3088.8</v>
      </c>
      <c r="M238" s="17"/>
    </row>
    <row r="239" spans="3:13" ht="16.5" customHeight="1" x14ac:dyDescent="0.15">
      <c r="C239" s="21"/>
      <c r="D239" s="393"/>
      <c r="E239" s="393"/>
      <c r="F239" s="644"/>
      <c r="G239" s="168">
        <f t="shared" si="7"/>
        <v>3088.8</v>
      </c>
      <c r="H239" s="168">
        <f t="shared" si="8"/>
        <v>2059.2000000000003</v>
      </c>
      <c r="I239" s="169">
        <f t="shared" si="9"/>
        <v>3088.8</v>
      </c>
      <c r="J239" s="170">
        <f t="shared" si="10"/>
        <v>3088.8</v>
      </c>
      <c r="K239" s="168">
        <f t="shared" si="11"/>
        <v>2059.2000000000003</v>
      </c>
      <c r="L239" s="168">
        <f t="shared" si="12"/>
        <v>3088.8</v>
      </c>
      <c r="M239" s="17"/>
    </row>
    <row r="240" spans="3:13" ht="16.5" customHeight="1" x14ac:dyDescent="0.15">
      <c r="C240" s="21"/>
      <c r="D240" s="393">
        <f>+D238+1</f>
        <v>118</v>
      </c>
      <c r="E240" s="393">
        <f>+E238+1</f>
        <v>143</v>
      </c>
      <c r="F240" s="644">
        <f>+F238+1</f>
        <v>168</v>
      </c>
      <c r="G240" s="151">
        <f t="shared" si="7"/>
        <v>3088.8</v>
      </c>
      <c r="H240" s="151">
        <f t="shared" si="8"/>
        <v>2059.2000000000003</v>
      </c>
      <c r="I240" s="152">
        <f t="shared" si="9"/>
        <v>3088.8</v>
      </c>
      <c r="J240" s="153">
        <f t="shared" si="10"/>
        <v>3088.8</v>
      </c>
      <c r="K240" s="151">
        <f t="shared" si="11"/>
        <v>2059.2000000000003</v>
      </c>
      <c r="L240" s="151">
        <f t="shared" si="12"/>
        <v>3088.8</v>
      </c>
      <c r="M240" s="17"/>
    </row>
    <row r="241" spans="3:15" ht="16.5" customHeight="1" x14ac:dyDescent="0.15">
      <c r="C241" s="21"/>
      <c r="D241" s="393"/>
      <c r="E241" s="393"/>
      <c r="F241" s="644"/>
      <c r="G241" s="168">
        <f t="shared" si="7"/>
        <v>3088.8</v>
      </c>
      <c r="H241" s="168">
        <f t="shared" si="8"/>
        <v>2059.2000000000003</v>
      </c>
      <c r="I241" s="169">
        <f t="shared" si="9"/>
        <v>3088.8</v>
      </c>
      <c r="J241" s="170">
        <f t="shared" si="10"/>
        <v>3088.8</v>
      </c>
      <c r="K241" s="168">
        <f t="shared" si="11"/>
        <v>2059.2000000000003</v>
      </c>
      <c r="L241" s="168">
        <f t="shared" si="12"/>
        <v>3088.8</v>
      </c>
      <c r="M241" s="17"/>
    </row>
    <row r="242" spans="3:15" ht="16.5" customHeight="1" x14ac:dyDescent="0.15">
      <c r="C242" s="21"/>
      <c r="D242" s="393">
        <f>+D240+1</f>
        <v>119</v>
      </c>
      <c r="E242" s="393">
        <f>+E240+1</f>
        <v>144</v>
      </c>
      <c r="F242" s="644">
        <f>+F240+1</f>
        <v>169</v>
      </c>
      <c r="G242" s="151">
        <f t="shared" si="7"/>
        <v>3088.8</v>
      </c>
      <c r="H242" s="151">
        <f t="shared" si="8"/>
        <v>2059.2000000000003</v>
      </c>
      <c r="I242" s="152">
        <f t="shared" si="9"/>
        <v>3088.8</v>
      </c>
      <c r="J242" s="153">
        <f t="shared" si="10"/>
        <v>3088.8</v>
      </c>
      <c r="K242" s="151">
        <f t="shared" si="11"/>
        <v>2059.2000000000003</v>
      </c>
      <c r="L242" s="151">
        <f t="shared" si="12"/>
        <v>3088.8</v>
      </c>
      <c r="M242" s="17"/>
    </row>
    <row r="243" spans="3:15" ht="16.5" customHeight="1" x14ac:dyDescent="0.15">
      <c r="C243" s="21"/>
      <c r="D243" s="393"/>
      <c r="E243" s="393"/>
      <c r="F243" s="644"/>
      <c r="G243" s="168">
        <f t="shared" si="7"/>
        <v>3088.8</v>
      </c>
      <c r="H243" s="168">
        <f t="shared" si="8"/>
        <v>2059.2000000000003</v>
      </c>
      <c r="I243" s="169">
        <f t="shared" si="9"/>
        <v>3088.8</v>
      </c>
      <c r="J243" s="170">
        <f t="shared" si="10"/>
        <v>3088.8</v>
      </c>
      <c r="K243" s="168">
        <f t="shared" si="11"/>
        <v>2059.2000000000003</v>
      </c>
      <c r="L243" s="168">
        <f t="shared" si="12"/>
        <v>3088.8</v>
      </c>
      <c r="M243" s="17"/>
    </row>
    <row r="244" spans="3:15" ht="16.5" customHeight="1" x14ac:dyDescent="0.15">
      <c r="C244" s="21"/>
      <c r="D244" s="393">
        <f>+D242+1</f>
        <v>120</v>
      </c>
      <c r="E244" s="393">
        <f>+E242+1</f>
        <v>145</v>
      </c>
      <c r="F244" s="644">
        <f>+F242+1</f>
        <v>170</v>
      </c>
      <c r="G244" s="151">
        <f t="shared" si="7"/>
        <v>3088.8</v>
      </c>
      <c r="H244" s="151">
        <f t="shared" si="8"/>
        <v>2059.2000000000003</v>
      </c>
      <c r="I244" s="152">
        <f t="shared" si="9"/>
        <v>3088.8</v>
      </c>
      <c r="J244" s="153">
        <f t="shared" si="10"/>
        <v>3088.8</v>
      </c>
      <c r="K244" s="151">
        <f t="shared" si="11"/>
        <v>2059.2000000000003</v>
      </c>
      <c r="L244" s="151">
        <f t="shared" si="12"/>
        <v>3088.8</v>
      </c>
      <c r="M244" s="17"/>
    </row>
    <row r="245" spans="3:15" ht="16.5" customHeight="1" x14ac:dyDescent="0.15">
      <c r="C245" s="21"/>
      <c r="D245" s="393"/>
      <c r="E245" s="393"/>
      <c r="F245" s="644"/>
      <c r="G245" s="168">
        <f t="shared" si="7"/>
        <v>3088.8</v>
      </c>
      <c r="H245" s="168">
        <f t="shared" si="8"/>
        <v>2059.2000000000003</v>
      </c>
      <c r="I245" s="169">
        <f t="shared" si="9"/>
        <v>3088.8</v>
      </c>
      <c r="J245" s="170">
        <f t="shared" si="10"/>
        <v>3088.8</v>
      </c>
      <c r="K245" s="168">
        <f t="shared" si="11"/>
        <v>2059.2000000000003</v>
      </c>
      <c r="L245" s="168">
        <f t="shared" si="12"/>
        <v>3088.8</v>
      </c>
      <c r="M245" s="17"/>
    </row>
    <row r="246" spans="3:15" ht="16.5" customHeight="1" x14ac:dyDescent="0.15">
      <c r="C246" s="21"/>
      <c r="D246" s="393">
        <f>+D244+1</f>
        <v>121</v>
      </c>
      <c r="E246" s="393">
        <f>+E244+1</f>
        <v>146</v>
      </c>
      <c r="F246" s="644">
        <f>+F244+1</f>
        <v>171</v>
      </c>
      <c r="G246" s="151">
        <f t="shared" si="7"/>
        <v>3088.8</v>
      </c>
      <c r="H246" s="151">
        <f t="shared" si="8"/>
        <v>2059.2000000000003</v>
      </c>
      <c r="I246" s="152">
        <f t="shared" si="9"/>
        <v>3088.8</v>
      </c>
      <c r="J246" s="153">
        <f t="shared" si="10"/>
        <v>3088.8</v>
      </c>
      <c r="K246" s="151">
        <f t="shared" si="11"/>
        <v>2059.2000000000003</v>
      </c>
      <c r="L246" s="151">
        <f t="shared" si="12"/>
        <v>3088.8</v>
      </c>
      <c r="M246" s="17"/>
    </row>
    <row r="247" spans="3:15" ht="16.5" customHeight="1" x14ac:dyDescent="0.15">
      <c r="C247" s="21"/>
      <c r="D247" s="393"/>
      <c r="E247" s="393"/>
      <c r="F247" s="644"/>
      <c r="G247" s="168">
        <f t="shared" si="7"/>
        <v>3088.8</v>
      </c>
      <c r="H247" s="168">
        <f t="shared" si="8"/>
        <v>2059.2000000000003</v>
      </c>
      <c r="I247" s="169">
        <f t="shared" si="9"/>
        <v>3088.8</v>
      </c>
      <c r="J247" s="170">
        <f t="shared" si="10"/>
        <v>3088.8</v>
      </c>
      <c r="K247" s="168">
        <f t="shared" si="11"/>
        <v>2059.2000000000003</v>
      </c>
      <c r="L247" s="168">
        <f t="shared" si="12"/>
        <v>3088.8</v>
      </c>
      <c r="M247" s="17"/>
    </row>
    <row r="248" spans="3:15" ht="16.5" customHeight="1" x14ac:dyDescent="0.15">
      <c r="C248" s="21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</row>
    <row r="249" spans="3:15" ht="16.5" customHeight="1" x14ac:dyDescent="0.15">
      <c r="C249" s="21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</row>
  </sheetData>
  <mergeCells count="331">
    <mergeCell ref="D246:D247"/>
    <mergeCell ref="E246:E247"/>
    <mergeCell ref="F246:F247"/>
    <mergeCell ref="D4:N4"/>
    <mergeCell ref="D242:D243"/>
    <mergeCell ref="E242:E243"/>
    <mergeCell ref="F242:F243"/>
    <mergeCell ref="D244:D245"/>
    <mergeCell ref="E244:E245"/>
    <mergeCell ref="F244:F245"/>
    <mergeCell ref="D238:D239"/>
    <mergeCell ref="E238:E239"/>
    <mergeCell ref="F238:F239"/>
    <mergeCell ref="D240:D241"/>
    <mergeCell ref="E240:E241"/>
    <mergeCell ref="F240:F241"/>
    <mergeCell ref="D234:D235"/>
    <mergeCell ref="E234:E235"/>
    <mergeCell ref="F234:F235"/>
    <mergeCell ref="D236:D237"/>
    <mergeCell ref="E236:E237"/>
    <mergeCell ref="F236:F237"/>
    <mergeCell ref="D230:D231"/>
    <mergeCell ref="E230:E231"/>
    <mergeCell ref="F230:F231"/>
    <mergeCell ref="D232:D233"/>
    <mergeCell ref="E232:E233"/>
    <mergeCell ref="F232:F233"/>
    <mergeCell ref="D226:D227"/>
    <mergeCell ref="E226:E227"/>
    <mergeCell ref="F226:F227"/>
    <mergeCell ref="D228:D229"/>
    <mergeCell ref="E228:E229"/>
    <mergeCell ref="F228:F229"/>
    <mergeCell ref="D222:D223"/>
    <mergeCell ref="E222:E223"/>
    <mergeCell ref="F222:F223"/>
    <mergeCell ref="D224:D225"/>
    <mergeCell ref="E224:E225"/>
    <mergeCell ref="F224:F225"/>
    <mergeCell ref="D218:D219"/>
    <mergeCell ref="E218:E219"/>
    <mergeCell ref="F218:F219"/>
    <mergeCell ref="D220:D221"/>
    <mergeCell ref="E220:E221"/>
    <mergeCell ref="F220:F221"/>
    <mergeCell ref="D214:D215"/>
    <mergeCell ref="E214:E215"/>
    <mergeCell ref="F214:F215"/>
    <mergeCell ref="D216:D217"/>
    <mergeCell ref="E216:E217"/>
    <mergeCell ref="F216:F217"/>
    <mergeCell ref="D210:D211"/>
    <mergeCell ref="E210:E211"/>
    <mergeCell ref="F210:F211"/>
    <mergeCell ref="D212:D213"/>
    <mergeCell ref="E212:E213"/>
    <mergeCell ref="F212:F213"/>
    <mergeCell ref="D206:D207"/>
    <mergeCell ref="E206:E207"/>
    <mergeCell ref="F206:F207"/>
    <mergeCell ref="D208:D209"/>
    <mergeCell ref="E208:E209"/>
    <mergeCell ref="F208:F209"/>
    <mergeCell ref="D202:D203"/>
    <mergeCell ref="E202:E203"/>
    <mergeCell ref="F202:F203"/>
    <mergeCell ref="D204:D205"/>
    <mergeCell ref="E204:E205"/>
    <mergeCell ref="F204:F205"/>
    <mergeCell ref="D197:F199"/>
    <mergeCell ref="G197:L198"/>
    <mergeCell ref="G199:I199"/>
    <mergeCell ref="J199:L199"/>
    <mergeCell ref="D200:D201"/>
    <mergeCell ref="E200:E201"/>
    <mergeCell ref="F200:F201"/>
    <mergeCell ref="E186:E187"/>
    <mergeCell ref="F186:F187"/>
    <mergeCell ref="G186:G187"/>
    <mergeCell ref="E188:E189"/>
    <mergeCell ref="F188:F189"/>
    <mergeCell ref="G188:G189"/>
    <mergeCell ref="B171:C189"/>
    <mergeCell ref="D171:D189"/>
    <mergeCell ref="E172:E173"/>
    <mergeCell ref="F172:F173"/>
    <mergeCell ref="G172:G173"/>
    <mergeCell ref="E174:E175"/>
    <mergeCell ref="F174:F175"/>
    <mergeCell ref="G174:G175"/>
    <mergeCell ref="E176:E177"/>
    <mergeCell ref="F176:F177"/>
    <mergeCell ref="E182:E183"/>
    <mergeCell ref="F182:F183"/>
    <mergeCell ref="G182:G183"/>
    <mergeCell ref="E184:E185"/>
    <mergeCell ref="F184:F185"/>
    <mergeCell ref="G184:G185"/>
    <mergeCell ref="G176:G177"/>
    <mergeCell ref="E178:E179"/>
    <mergeCell ref="F178:F179"/>
    <mergeCell ref="G178:G179"/>
    <mergeCell ref="E180:E181"/>
    <mergeCell ref="F180:F181"/>
    <mergeCell ref="G180:G181"/>
    <mergeCell ref="F162:F163"/>
    <mergeCell ref="G162:G163"/>
    <mergeCell ref="F154:F155"/>
    <mergeCell ref="G154:G155"/>
    <mergeCell ref="E168:E169"/>
    <mergeCell ref="F168:F169"/>
    <mergeCell ref="G168:G169"/>
    <mergeCell ref="E170:E171"/>
    <mergeCell ref="F170:F171"/>
    <mergeCell ref="G170:G171"/>
    <mergeCell ref="E164:E165"/>
    <mergeCell ref="F164:F165"/>
    <mergeCell ref="G164:G165"/>
    <mergeCell ref="E166:E167"/>
    <mergeCell ref="F166:F167"/>
    <mergeCell ref="G166:G167"/>
    <mergeCell ref="B155:C156"/>
    <mergeCell ref="D155:D156"/>
    <mergeCell ref="E156:E157"/>
    <mergeCell ref="F156:F157"/>
    <mergeCell ref="G156:G157"/>
    <mergeCell ref="B157:C170"/>
    <mergeCell ref="D157:D170"/>
    <mergeCell ref="E158:E159"/>
    <mergeCell ref="D149:D150"/>
    <mergeCell ref="E150:E151"/>
    <mergeCell ref="F150:F151"/>
    <mergeCell ref="G150:G151"/>
    <mergeCell ref="B151:C154"/>
    <mergeCell ref="D151:D154"/>
    <mergeCell ref="E152:E153"/>
    <mergeCell ref="F152:F153"/>
    <mergeCell ref="G152:G153"/>
    <mergeCell ref="E154:E155"/>
    <mergeCell ref="F158:F159"/>
    <mergeCell ref="G158:G159"/>
    <mergeCell ref="E160:E161"/>
    <mergeCell ref="F160:F161"/>
    <mergeCell ref="G160:G161"/>
    <mergeCell ref="E162:E163"/>
    <mergeCell ref="B142:C144"/>
    <mergeCell ref="D142:D144"/>
    <mergeCell ref="E142:E143"/>
    <mergeCell ref="F142:F143"/>
    <mergeCell ref="G142:G143"/>
    <mergeCell ref="E144:E145"/>
    <mergeCell ref="F144:F145"/>
    <mergeCell ref="G144:G145"/>
    <mergeCell ref="B145:C148"/>
    <mergeCell ref="D145:D148"/>
    <mergeCell ref="E146:E147"/>
    <mergeCell ref="F146:F147"/>
    <mergeCell ref="G146:G147"/>
    <mergeCell ref="E148:E149"/>
    <mergeCell ref="F148:F149"/>
    <mergeCell ref="G148:G149"/>
    <mergeCell ref="B149:C150"/>
    <mergeCell ref="D109:D128"/>
    <mergeCell ref="E109:E128"/>
    <mergeCell ref="F109:F128"/>
    <mergeCell ref="K109:K110"/>
    <mergeCell ref="J110:J111"/>
    <mergeCell ref="L110:L111"/>
    <mergeCell ref="G111:G112"/>
    <mergeCell ref="H111:H112"/>
    <mergeCell ref="I111:I112"/>
    <mergeCell ref="J112:J113"/>
    <mergeCell ref="L112:L113"/>
    <mergeCell ref="G113:G114"/>
    <mergeCell ref="H113:H114"/>
    <mergeCell ref="I113:I114"/>
    <mergeCell ref="I123:I124"/>
    <mergeCell ref="J124:J125"/>
    <mergeCell ref="L124:L125"/>
    <mergeCell ref="G125:G126"/>
    <mergeCell ref="H125:H126"/>
    <mergeCell ref="I125:I126"/>
    <mergeCell ref="J126:J127"/>
    <mergeCell ref="L126:L127"/>
    <mergeCell ref="G127:G128"/>
    <mergeCell ref="H127:H128"/>
    <mergeCell ref="B139:C141"/>
    <mergeCell ref="D139:D141"/>
    <mergeCell ref="E139:G141"/>
    <mergeCell ref="H139:H141"/>
    <mergeCell ref="I139:I141"/>
    <mergeCell ref="J139:L139"/>
    <mergeCell ref="M139:O139"/>
    <mergeCell ref="J140:L140"/>
    <mergeCell ref="M140:O140"/>
    <mergeCell ref="I127:I128"/>
    <mergeCell ref="J114:J115"/>
    <mergeCell ref="L114:L115"/>
    <mergeCell ref="G115:G116"/>
    <mergeCell ref="H115:H116"/>
    <mergeCell ref="I115:I116"/>
    <mergeCell ref="J116:J117"/>
    <mergeCell ref="L116:L117"/>
    <mergeCell ref="G117:G118"/>
    <mergeCell ref="H117:H118"/>
    <mergeCell ref="I117:I118"/>
    <mergeCell ref="J118:J119"/>
    <mergeCell ref="L118:L119"/>
    <mergeCell ref="G119:G120"/>
    <mergeCell ref="H119:H120"/>
    <mergeCell ref="I119:I120"/>
    <mergeCell ref="J120:J121"/>
    <mergeCell ref="L120:L121"/>
    <mergeCell ref="G121:G122"/>
    <mergeCell ref="H121:H122"/>
    <mergeCell ref="I121:I122"/>
    <mergeCell ref="J122:J123"/>
    <mergeCell ref="L122:L123"/>
    <mergeCell ref="G123:G124"/>
    <mergeCell ref="H123:H124"/>
    <mergeCell ref="L104:L105"/>
    <mergeCell ref="G105:G106"/>
    <mergeCell ref="H105:H106"/>
    <mergeCell ref="I105:I106"/>
    <mergeCell ref="J106:J107"/>
    <mergeCell ref="L106:L107"/>
    <mergeCell ref="G107:G110"/>
    <mergeCell ref="H107:H110"/>
    <mergeCell ref="I107:I110"/>
    <mergeCell ref="K107:K108"/>
    <mergeCell ref="L94:L95"/>
    <mergeCell ref="G95:G96"/>
    <mergeCell ref="H95:H96"/>
    <mergeCell ref="I95:I96"/>
    <mergeCell ref="J96:J97"/>
    <mergeCell ref="L96:L97"/>
    <mergeCell ref="G97:G98"/>
    <mergeCell ref="H97:H98"/>
    <mergeCell ref="I97:I98"/>
    <mergeCell ref="J98:J99"/>
    <mergeCell ref="L98:L99"/>
    <mergeCell ref="G99:G100"/>
    <mergeCell ref="H99:H100"/>
    <mergeCell ref="I99:I100"/>
    <mergeCell ref="J100:J101"/>
    <mergeCell ref="L100:L101"/>
    <mergeCell ref="G101:G102"/>
    <mergeCell ref="H101:H102"/>
    <mergeCell ref="I101:I102"/>
    <mergeCell ref="J102:J103"/>
    <mergeCell ref="L102:L103"/>
    <mergeCell ref="G103:G104"/>
    <mergeCell ref="H103:H104"/>
    <mergeCell ref="I103:I104"/>
    <mergeCell ref="D89:D92"/>
    <mergeCell ref="E89:E92"/>
    <mergeCell ref="F89:F92"/>
    <mergeCell ref="K89:K90"/>
    <mergeCell ref="J90:J91"/>
    <mergeCell ref="D83:D88"/>
    <mergeCell ref="E83:E88"/>
    <mergeCell ref="F83:F88"/>
    <mergeCell ref="K83:K84"/>
    <mergeCell ref="J84:J85"/>
    <mergeCell ref="G85:G86"/>
    <mergeCell ref="H85:H86"/>
    <mergeCell ref="I85:I86"/>
    <mergeCell ref="J86:J87"/>
    <mergeCell ref="G91:G94"/>
    <mergeCell ref="H91:H94"/>
    <mergeCell ref="I91:I94"/>
    <mergeCell ref="K91:K92"/>
    <mergeCell ref="D93:D108"/>
    <mergeCell ref="E93:E108"/>
    <mergeCell ref="F93:F108"/>
    <mergeCell ref="K93:K94"/>
    <mergeCell ref="J94:J95"/>
    <mergeCell ref="J104:J105"/>
    <mergeCell ref="L80:L81"/>
    <mergeCell ref="G81:G84"/>
    <mergeCell ref="H81:H84"/>
    <mergeCell ref="I81:I84"/>
    <mergeCell ref="K81:K82"/>
    <mergeCell ref="L86:L87"/>
    <mergeCell ref="G87:G90"/>
    <mergeCell ref="H87:H90"/>
    <mergeCell ref="I87:I90"/>
    <mergeCell ref="K87:K88"/>
    <mergeCell ref="L84:L85"/>
    <mergeCell ref="L90:L91"/>
    <mergeCell ref="L74:L75"/>
    <mergeCell ref="G75:G78"/>
    <mergeCell ref="H75:H78"/>
    <mergeCell ref="I75:I78"/>
    <mergeCell ref="K75:K76"/>
    <mergeCell ref="D77:D82"/>
    <mergeCell ref="E77:E82"/>
    <mergeCell ref="F77:F82"/>
    <mergeCell ref="K77:K78"/>
    <mergeCell ref="J78:J79"/>
    <mergeCell ref="G71:G74"/>
    <mergeCell ref="H71:H74"/>
    <mergeCell ref="I71:I74"/>
    <mergeCell ref="K71:K72"/>
    <mergeCell ref="D73:D76"/>
    <mergeCell ref="E73:E76"/>
    <mergeCell ref="F73:F76"/>
    <mergeCell ref="K73:K74"/>
    <mergeCell ref="J74:J75"/>
    <mergeCell ref="L78:L79"/>
    <mergeCell ref="G79:G80"/>
    <mergeCell ref="H79:H80"/>
    <mergeCell ref="I79:I80"/>
    <mergeCell ref="J80:J81"/>
    <mergeCell ref="L64:L68"/>
    <mergeCell ref="M64:M68"/>
    <mergeCell ref="D69:D72"/>
    <mergeCell ref="E69:E72"/>
    <mergeCell ref="F69:F72"/>
    <mergeCell ref="G69:G70"/>
    <mergeCell ref="H69:H70"/>
    <mergeCell ref="I69:I70"/>
    <mergeCell ref="J70:J71"/>
    <mergeCell ref="L70:L71"/>
    <mergeCell ref="D64:D68"/>
    <mergeCell ref="E64:E68"/>
    <mergeCell ref="F64:F68"/>
    <mergeCell ref="G64:I68"/>
    <mergeCell ref="J64:J68"/>
    <mergeCell ref="K64:K68"/>
  </mergeCells>
  <phoneticPr fontId="1"/>
  <pageMargins left="0.78740157480314965" right="0.27559055118110237" top="0.59055118110236227" bottom="0.15748031496062992" header="0.78740157480314965" footer="0.15748031496062992"/>
  <pageSetup paperSize="9" scale="70" orientation="portrait" r:id="rId1"/>
  <headerFooter alignWithMargins="0"/>
  <rowBreaks count="3" manualBreakCount="3">
    <brk id="59" max="15" man="1"/>
    <brk id="130" max="15" man="1"/>
    <brk id="191" max="15" man="1"/>
  </rowBreaks>
  <ignoredErrors>
    <ignoredError sqref="I159:I188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8DBB-1399-42AE-ADEE-F1EAFDFA08B0}">
  <dimension ref="C2:P128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4" width="6.625" style="17" customWidth="1"/>
    <col min="5" max="7" width="8.625" style="17" customWidth="1"/>
    <col min="8" max="11" width="6.625" style="17" customWidth="1"/>
    <col min="12" max="13" width="4.625" style="17" customWidth="1"/>
    <col min="14" max="14" width="8.625" style="17" customWidth="1"/>
    <col min="15" max="16" width="10.625" style="17" customWidth="1"/>
    <col min="17" max="17" width="2.625" style="17" customWidth="1"/>
    <col min="18" max="16384" width="2.625" style="17"/>
  </cols>
  <sheetData>
    <row r="2" spans="3:16" ht="16.5" customHeight="1" x14ac:dyDescent="0.15">
      <c r="C2" s="21" t="s">
        <v>195</v>
      </c>
      <c r="D2" s="17" t="s">
        <v>328</v>
      </c>
    </row>
    <row r="3" spans="3:16" ht="16.5" customHeight="1" x14ac:dyDescent="0.15">
      <c r="C3" s="18" t="s">
        <v>30</v>
      </c>
      <c r="D3" s="17" t="s">
        <v>326</v>
      </c>
    </row>
    <row r="4" spans="3:16" ht="16.5" customHeight="1" x14ac:dyDescent="0.15">
      <c r="C4" s="18" t="s">
        <v>215</v>
      </c>
      <c r="D4" s="17" t="s">
        <v>216</v>
      </c>
    </row>
    <row r="5" spans="3:16" ht="16.5" customHeight="1" x14ac:dyDescent="0.15">
      <c r="D5" s="17" t="s">
        <v>202</v>
      </c>
      <c r="E5" s="73">
        <v>1.3</v>
      </c>
      <c r="F5" s="17" t="s">
        <v>29</v>
      </c>
    </row>
    <row r="6" spans="3:16" ht="16.5" customHeight="1" x14ac:dyDescent="0.15">
      <c r="D6" s="17" t="s">
        <v>327</v>
      </c>
      <c r="E6" s="68">
        <f>+PI()*E5</f>
        <v>4.0840704496667311</v>
      </c>
      <c r="F6" s="17" t="s">
        <v>29</v>
      </c>
    </row>
    <row r="7" spans="3:16" ht="16.5" customHeight="1" x14ac:dyDescent="0.15">
      <c r="D7" s="17" t="s">
        <v>207</v>
      </c>
      <c r="E7" s="73">
        <v>31</v>
      </c>
      <c r="F7" s="17" t="s">
        <v>29</v>
      </c>
    </row>
    <row r="8" spans="3:16" ht="16.5" customHeight="1" x14ac:dyDescent="0.15">
      <c r="D8" s="17" t="s">
        <v>227</v>
      </c>
      <c r="E8" s="73">
        <v>4.891</v>
      </c>
      <c r="F8" s="17" t="s">
        <v>29</v>
      </c>
    </row>
    <row r="9" spans="3:16" ht="16.5" customHeight="1" x14ac:dyDescent="0.15">
      <c r="D9" s="17" t="s">
        <v>200</v>
      </c>
      <c r="E9" s="77">
        <v>2</v>
      </c>
      <c r="F9" s="17" t="s">
        <v>206</v>
      </c>
    </row>
    <row r="10" spans="3:16" ht="16.5" customHeight="1" x14ac:dyDescent="0.15">
      <c r="D10" s="376" t="s">
        <v>199</v>
      </c>
      <c r="E10" s="549" t="s">
        <v>229</v>
      </c>
      <c r="F10" s="549" t="s">
        <v>329</v>
      </c>
      <c r="G10" s="552" t="s">
        <v>331</v>
      </c>
      <c r="H10" s="362" t="s">
        <v>231</v>
      </c>
      <c r="I10" s="363"/>
      <c r="J10" s="362" t="s">
        <v>232</v>
      </c>
      <c r="K10" s="363"/>
      <c r="L10" s="368" t="s">
        <v>226</v>
      </c>
      <c r="M10" s="370"/>
      <c r="N10" s="549" t="s">
        <v>330</v>
      </c>
      <c r="O10" s="362" t="s">
        <v>332</v>
      </c>
      <c r="P10" s="363"/>
    </row>
    <row r="11" spans="3:16" ht="16.5" customHeight="1" x14ac:dyDescent="0.15">
      <c r="D11" s="376"/>
      <c r="E11" s="550"/>
      <c r="F11" s="550"/>
      <c r="G11" s="553"/>
      <c r="H11" s="364"/>
      <c r="I11" s="365"/>
      <c r="J11" s="364"/>
      <c r="K11" s="365"/>
      <c r="L11" s="371"/>
      <c r="M11" s="372"/>
      <c r="N11" s="550"/>
      <c r="O11" s="364"/>
      <c r="P11" s="365"/>
    </row>
    <row r="12" spans="3:16" ht="16.5" customHeight="1" x14ac:dyDescent="0.15">
      <c r="D12" s="376"/>
      <c r="E12" s="550"/>
      <c r="F12" s="550"/>
      <c r="G12" s="553"/>
      <c r="H12" s="364"/>
      <c r="I12" s="365"/>
      <c r="J12" s="364"/>
      <c r="K12" s="365"/>
      <c r="L12" s="371"/>
      <c r="M12" s="372"/>
      <c r="N12" s="550"/>
      <c r="O12" s="364"/>
      <c r="P12" s="365"/>
    </row>
    <row r="13" spans="3:16" ht="16.5" customHeight="1" x14ac:dyDescent="0.15">
      <c r="D13" s="376"/>
      <c r="E13" s="550"/>
      <c r="F13" s="550"/>
      <c r="G13" s="553"/>
      <c r="H13" s="364"/>
      <c r="I13" s="365"/>
      <c r="J13" s="364"/>
      <c r="K13" s="365"/>
      <c r="L13" s="371"/>
      <c r="M13" s="372"/>
      <c r="N13" s="550"/>
      <c r="O13" s="366"/>
      <c r="P13" s="367"/>
    </row>
    <row r="14" spans="3:16" ht="16.5" customHeight="1" x14ac:dyDescent="0.15">
      <c r="D14" s="376"/>
      <c r="E14" s="551"/>
      <c r="F14" s="551"/>
      <c r="G14" s="554"/>
      <c r="H14" s="366"/>
      <c r="I14" s="367"/>
      <c r="J14" s="366"/>
      <c r="K14" s="367"/>
      <c r="L14" s="356"/>
      <c r="M14" s="357"/>
      <c r="N14" s="551"/>
      <c r="O14" s="69" t="s">
        <v>208</v>
      </c>
      <c r="P14" s="96">
        <f>+E9</f>
        <v>2</v>
      </c>
    </row>
    <row r="15" spans="3:16" ht="16.5" customHeight="1" x14ac:dyDescent="0.15">
      <c r="D15" s="555" t="s">
        <v>16</v>
      </c>
      <c r="E15" s="606">
        <v>3.3</v>
      </c>
      <c r="F15" s="595" t="s">
        <v>157</v>
      </c>
      <c r="G15" s="648">
        <v>21</v>
      </c>
      <c r="H15" s="79">
        <f>+E5/2</f>
        <v>0.65</v>
      </c>
      <c r="I15" s="79"/>
      <c r="J15" s="99" t="s">
        <v>157</v>
      </c>
      <c r="K15" s="99" t="s">
        <v>157</v>
      </c>
      <c r="L15" s="105">
        <v>17</v>
      </c>
      <c r="M15" s="104">
        <v>67</v>
      </c>
      <c r="N15" s="95" t="s">
        <v>157</v>
      </c>
      <c r="O15" s="95" t="s">
        <v>157</v>
      </c>
      <c r="P15" s="95" t="s">
        <v>157</v>
      </c>
    </row>
    <row r="16" spans="3:16" ht="16.5" customHeight="1" x14ac:dyDescent="0.15">
      <c r="D16" s="555"/>
      <c r="E16" s="570"/>
      <c r="F16" s="596"/>
      <c r="G16" s="649"/>
      <c r="H16" s="547">
        <f>+E5</f>
        <v>1.3</v>
      </c>
      <c r="I16" s="574"/>
      <c r="J16" s="600" t="s">
        <v>157</v>
      </c>
      <c r="K16" s="600" t="s">
        <v>157</v>
      </c>
      <c r="L16" s="387">
        <f>+L15+1</f>
        <v>18</v>
      </c>
      <c r="M16" s="577">
        <f>+M15+1</f>
        <v>68</v>
      </c>
      <c r="N16" s="589" t="s">
        <v>157</v>
      </c>
      <c r="O16" s="589" t="s">
        <v>157</v>
      </c>
      <c r="P16" s="589" t="s">
        <v>157</v>
      </c>
    </row>
    <row r="17" spans="4:16" ht="16.5" customHeight="1" x14ac:dyDescent="0.15">
      <c r="D17" s="555"/>
      <c r="E17" s="570"/>
      <c r="F17" s="596"/>
      <c r="G17" s="649"/>
      <c r="H17" s="547"/>
      <c r="I17" s="575"/>
      <c r="J17" s="591"/>
      <c r="K17" s="591"/>
      <c r="L17" s="419"/>
      <c r="M17" s="579"/>
      <c r="N17" s="568"/>
      <c r="O17" s="568"/>
      <c r="P17" s="568"/>
    </row>
    <row r="18" spans="4:16" ht="16.5" customHeight="1" x14ac:dyDescent="0.15">
      <c r="D18" s="555"/>
      <c r="E18" s="570"/>
      <c r="F18" s="596"/>
      <c r="G18" s="649"/>
      <c r="H18" s="547">
        <f>+H16</f>
        <v>1.3</v>
      </c>
      <c r="I18" s="547"/>
      <c r="J18" s="600" t="s">
        <v>157</v>
      </c>
      <c r="K18" s="600" t="s">
        <v>157</v>
      </c>
      <c r="L18" s="387">
        <f>+L16+1</f>
        <v>19</v>
      </c>
      <c r="M18" s="577">
        <f>+M16+1</f>
        <v>69</v>
      </c>
      <c r="N18" s="589" t="s">
        <v>157</v>
      </c>
      <c r="O18" s="589" t="s">
        <v>157</v>
      </c>
      <c r="P18" s="589" t="s">
        <v>157</v>
      </c>
    </row>
    <row r="19" spans="4:16" ht="16.5" customHeight="1" x14ac:dyDescent="0.15">
      <c r="D19" s="555"/>
      <c r="E19" s="570"/>
      <c r="F19" s="596"/>
      <c r="G19" s="649"/>
      <c r="H19" s="547"/>
      <c r="I19" s="574"/>
      <c r="J19" s="591"/>
      <c r="K19" s="591"/>
      <c r="L19" s="419"/>
      <c r="M19" s="579"/>
      <c r="N19" s="568"/>
      <c r="O19" s="568"/>
      <c r="P19" s="568"/>
    </row>
    <row r="20" spans="4:16" ht="16.5" customHeight="1" x14ac:dyDescent="0.15">
      <c r="D20" s="555"/>
      <c r="E20" s="570"/>
      <c r="F20" s="596"/>
      <c r="G20" s="649"/>
      <c r="H20" s="547">
        <f t="shared" ref="H20" si="0">+H18</f>
        <v>1.3</v>
      </c>
      <c r="I20" s="79">
        <f>+E15-H15-H16-H18</f>
        <v>4.9999999999999822E-2</v>
      </c>
      <c r="J20" s="600" t="s">
        <v>157</v>
      </c>
      <c r="K20" s="99" t="s">
        <v>157</v>
      </c>
      <c r="L20" s="387">
        <f t="shared" ref="L20:M20" si="1">+L18+1</f>
        <v>20</v>
      </c>
      <c r="M20" s="577">
        <f t="shared" si="1"/>
        <v>70</v>
      </c>
      <c r="N20" s="589" t="s">
        <v>157</v>
      </c>
      <c r="O20" s="589" t="s">
        <v>157</v>
      </c>
      <c r="P20" s="589" t="s">
        <v>157</v>
      </c>
    </row>
    <row r="21" spans="4:16" ht="16.5" customHeight="1" x14ac:dyDescent="0.15">
      <c r="D21" s="555" t="s">
        <v>17</v>
      </c>
      <c r="E21" s="606">
        <v>1.3</v>
      </c>
      <c r="F21" s="595" t="s">
        <v>157</v>
      </c>
      <c r="G21" s="648">
        <v>111</v>
      </c>
      <c r="H21" s="547"/>
      <c r="I21" s="101">
        <f>+H20-I20</f>
        <v>1.2500000000000002</v>
      </c>
      <c r="J21" s="591"/>
      <c r="K21" s="99" t="s">
        <v>157</v>
      </c>
      <c r="L21" s="419"/>
      <c r="M21" s="579"/>
      <c r="N21" s="568"/>
      <c r="O21" s="568"/>
      <c r="P21" s="568"/>
    </row>
    <row r="22" spans="4:16" ht="16.5" customHeight="1" x14ac:dyDescent="0.15">
      <c r="D22" s="555"/>
      <c r="E22" s="570"/>
      <c r="F22" s="596"/>
      <c r="G22" s="649"/>
      <c r="H22" s="547">
        <f t="shared" ref="H22:H28" si="2">+H20</f>
        <v>1.3</v>
      </c>
      <c r="I22" s="79">
        <f>+E21-I21</f>
        <v>4.9999999999999822E-2</v>
      </c>
      <c r="J22" s="600" t="s">
        <v>157</v>
      </c>
      <c r="K22" s="99" t="s">
        <v>157</v>
      </c>
      <c r="L22" s="387">
        <f t="shared" ref="L22:M22" si="3">+L20+1</f>
        <v>21</v>
      </c>
      <c r="M22" s="577">
        <f t="shared" si="3"/>
        <v>71</v>
      </c>
      <c r="N22" s="650">
        <f>+G23*K23</f>
        <v>19.180000000000007</v>
      </c>
      <c r="O22" s="650">
        <f>+E6*N22</f>
        <v>78.332471224607929</v>
      </c>
      <c r="P22" s="652">
        <f>+E9*O22</f>
        <v>156.66494244921586</v>
      </c>
    </row>
    <row r="23" spans="4:16" ht="16.5" customHeight="1" x14ac:dyDescent="0.15">
      <c r="D23" s="555" t="s">
        <v>18</v>
      </c>
      <c r="E23" s="570">
        <v>2.9</v>
      </c>
      <c r="F23" s="599">
        <f>+E15+E21+E23-E8</f>
        <v>2.609</v>
      </c>
      <c r="G23" s="654">
        <v>20</v>
      </c>
      <c r="H23" s="547"/>
      <c r="I23" s="102">
        <f>+H22-I22</f>
        <v>1.2500000000000002</v>
      </c>
      <c r="J23" s="591"/>
      <c r="K23" s="98">
        <f>+F23-K26-J24</f>
        <v>0.9590000000000003</v>
      </c>
      <c r="L23" s="419"/>
      <c r="M23" s="579"/>
      <c r="N23" s="651"/>
      <c r="O23" s="651"/>
      <c r="P23" s="653"/>
    </row>
    <row r="24" spans="4:16" ht="16.5" customHeight="1" x14ac:dyDescent="0.15">
      <c r="D24" s="555"/>
      <c r="E24" s="570"/>
      <c r="F24" s="599"/>
      <c r="G24" s="654"/>
      <c r="H24" s="547">
        <f t="shared" si="2"/>
        <v>1.3</v>
      </c>
      <c r="I24" s="590"/>
      <c r="J24" s="601">
        <f>+H24</f>
        <v>1.3</v>
      </c>
      <c r="K24" s="600"/>
      <c r="L24" s="387">
        <f t="shared" ref="L24:M24" si="4">+L22+1</f>
        <v>22</v>
      </c>
      <c r="M24" s="577">
        <f t="shared" si="4"/>
        <v>72</v>
      </c>
      <c r="N24" s="650">
        <f>+G23*J24</f>
        <v>26</v>
      </c>
      <c r="O24" s="650">
        <f>+E6*N24</f>
        <v>106.18583169133501</v>
      </c>
      <c r="P24" s="652">
        <f>+E9*O24</f>
        <v>212.37166338267002</v>
      </c>
    </row>
    <row r="25" spans="4:16" ht="16.5" customHeight="1" x14ac:dyDescent="0.15">
      <c r="D25" s="555"/>
      <c r="E25" s="570"/>
      <c r="F25" s="599"/>
      <c r="G25" s="654"/>
      <c r="H25" s="547"/>
      <c r="I25" s="590"/>
      <c r="J25" s="547"/>
      <c r="K25" s="591"/>
      <c r="L25" s="419"/>
      <c r="M25" s="579"/>
      <c r="N25" s="651"/>
      <c r="O25" s="651"/>
      <c r="P25" s="653"/>
    </row>
    <row r="26" spans="4:16" ht="16.5" customHeight="1" x14ac:dyDescent="0.15">
      <c r="D26" s="555"/>
      <c r="E26" s="570"/>
      <c r="F26" s="599"/>
      <c r="G26" s="654"/>
      <c r="H26" s="547">
        <f t="shared" si="2"/>
        <v>1.3</v>
      </c>
      <c r="I26" s="79">
        <f>+E23-I23-H24</f>
        <v>0.34999999999999964</v>
      </c>
      <c r="J26" s="547">
        <f>+K26+K27</f>
        <v>1.3</v>
      </c>
      <c r="K26" s="79">
        <f>+I26</f>
        <v>0.34999999999999964</v>
      </c>
      <c r="L26" s="577">
        <f t="shared" ref="L26:M26" si="5">+L24+1</f>
        <v>23</v>
      </c>
      <c r="M26" s="577">
        <f t="shared" si="5"/>
        <v>73</v>
      </c>
      <c r="N26" s="651">
        <f>+G23*K26+G27*K27</f>
        <v>98.200000000000045</v>
      </c>
      <c r="O26" s="651">
        <f>+E6*N26</f>
        <v>401.05571815727319</v>
      </c>
      <c r="P26" s="653">
        <f>+E9*O26</f>
        <v>802.11143631454638</v>
      </c>
    </row>
    <row r="27" spans="4:16" ht="16.5" customHeight="1" x14ac:dyDescent="0.15">
      <c r="D27" s="555" t="s">
        <v>19</v>
      </c>
      <c r="E27" s="570">
        <v>2.6</v>
      </c>
      <c r="F27" s="599">
        <f>+E27</f>
        <v>2.6</v>
      </c>
      <c r="G27" s="654">
        <v>96</v>
      </c>
      <c r="H27" s="547"/>
      <c r="I27" s="101">
        <f>+H26-I26</f>
        <v>0.9500000000000004</v>
      </c>
      <c r="J27" s="547"/>
      <c r="K27" s="103">
        <f>+I27</f>
        <v>0.9500000000000004</v>
      </c>
      <c r="L27" s="579"/>
      <c r="M27" s="579"/>
      <c r="N27" s="651"/>
      <c r="O27" s="651"/>
      <c r="P27" s="653"/>
    </row>
    <row r="28" spans="4:16" ht="16.5" customHeight="1" x14ac:dyDescent="0.15">
      <c r="D28" s="555"/>
      <c r="E28" s="570"/>
      <c r="F28" s="599"/>
      <c r="G28" s="654"/>
      <c r="H28" s="547">
        <f t="shared" si="2"/>
        <v>1.3</v>
      </c>
      <c r="I28" s="591"/>
      <c r="J28" s="547">
        <f>+E5</f>
        <v>1.3</v>
      </c>
      <c r="K28" s="591"/>
      <c r="L28" s="577">
        <f t="shared" ref="L28:M28" si="6">+L26+1</f>
        <v>24</v>
      </c>
      <c r="M28" s="577">
        <f t="shared" si="6"/>
        <v>74</v>
      </c>
      <c r="N28" s="651">
        <f>+G27*J28</f>
        <v>124.80000000000001</v>
      </c>
      <c r="O28" s="651">
        <f>+E6*N28</f>
        <v>509.69199211840811</v>
      </c>
      <c r="P28" s="653">
        <f>+E9*O28</f>
        <v>1019.3839842368162</v>
      </c>
    </row>
    <row r="29" spans="4:16" ht="16.5" customHeight="1" x14ac:dyDescent="0.15">
      <c r="D29" s="555"/>
      <c r="E29" s="570"/>
      <c r="F29" s="599"/>
      <c r="G29" s="654"/>
      <c r="H29" s="547"/>
      <c r="I29" s="591"/>
      <c r="J29" s="547"/>
      <c r="K29" s="591"/>
      <c r="L29" s="579"/>
      <c r="M29" s="579"/>
      <c r="N29" s="651"/>
      <c r="O29" s="651"/>
      <c r="P29" s="653"/>
    </row>
    <row r="30" spans="4:16" ht="16.5" customHeight="1" x14ac:dyDescent="0.15">
      <c r="D30" s="555"/>
      <c r="E30" s="570"/>
      <c r="F30" s="599"/>
      <c r="G30" s="654"/>
      <c r="H30" s="547">
        <f t="shared" ref="H30:J30" si="7">+H28</f>
        <v>1.3</v>
      </c>
      <c r="I30" s="79">
        <f>+E27-I27-H28</f>
        <v>0.34999999999999964</v>
      </c>
      <c r="J30" s="547">
        <f t="shared" si="7"/>
        <v>1.3</v>
      </c>
      <c r="K30" s="79">
        <f>+F27-K27-J28</f>
        <v>0.34999999999999964</v>
      </c>
      <c r="L30" s="577">
        <f>+L28+1</f>
        <v>25</v>
      </c>
      <c r="M30" s="577">
        <f>+M28+1</f>
        <v>75</v>
      </c>
      <c r="N30" s="626">
        <f>+G27*K30+G31*K31+G32*K32</f>
        <v>130.56000000000003</v>
      </c>
      <c r="O30" s="651">
        <f>+E6*N30</f>
        <v>533.21623790848855</v>
      </c>
      <c r="P30" s="653">
        <f>+E9*O30</f>
        <v>1066.4324758169771</v>
      </c>
    </row>
    <row r="31" spans="4:16" ht="16.5" customHeight="1" x14ac:dyDescent="0.15">
      <c r="D31" s="90" t="s">
        <v>203</v>
      </c>
      <c r="E31" s="91">
        <v>0.6</v>
      </c>
      <c r="F31" s="100">
        <f>+E31</f>
        <v>0.6</v>
      </c>
      <c r="G31" s="157">
        <v>77.599999999999994</v>
      </c>
      <c r="H31" s="547"/>
      <c r="I31" s="79">
        <f>+E31</f>
        <v>0.6</v>
      </c>
      <c r="J31" s="547"/>
      <c r="K31" s="79">
        <f>+F31</f>
        <v>0.6</v>
      </c>
      <c r="L31" s="578"/>
      <c r="M31" s="578"/>
      <c r="N31" s="655"/>
      <c r="O31" s="651"/>
      <c r="P31" s="653"/>
    </row>
    <row r="32" spans="4:16" ht="16.5" customHeight="1" x14ac:dyDescent="0.15">
      <c r="D32" s="555" t="s">
        <v>204</v>
      </c>
      <c r="E32" s="570">
        <v>9.5</v>
      </c>
      <c r="F32" s="599">
        <f>+E32</f>
        <v>9.5</v>
      </c>
      <c r="G32" s="654">
        <v>144</v>
      </c>
      <c r="H32" s="547"/>
      <c r="I32" s="79">
        <f>+H30-I30-I31</f>
        <v>0.35000000000000042</v>
      </c>
      <c r="J32" s="547"/>
      <c r="K32" s="79">
        <f>+J30-K30-K31</f>
        <v>0.35000000000000042</v>
      </c>
      <c r="L32" s="579"/>
      <c r="M32" s="579"/>
      <c r="N32" s="627"/>
      <c r="O32" s="651"/>
      <c r="P32" s="653"/>
    </row>
    <row r="33" spans="4:16" ht="16.5" customHeight="1" x14ac:dyDescent="0.15">
      <c r="D33" s="555"/>
      <c r="E33" s="570"/>
      <c r="F33" s="599"/>
      <c r="G33" s="654"/>
      <c r="H33" s="547">
        <f t="shared" ref="H33:J33" si="8">+H30</f>
        <v>1.3</v>
      </c>
      <c r="I33" s="592"/>
      <c r="J33" s="547">
        <f t="shared" si="8"/>
        <v>1.3</v>
      </c>
      <c r="K33" s="592"/>
      <c r="L33" s="577">
        <f t="shared" ref="L33:M33" si="9">+L30+1</f>
        <v>26</v>
      </c>
      <c r="M33" s="577">
        <f t="shared" si="9"/>
        <v>76</v>
      </c>
      <c r="N33" s="626">
        <f>+G32*J33</f>
        <v>187.20000000000002</v>
      </c>
      <c r="O33" s="651">
        <f>+E6*N33</f>
        <v>764.53798817761208</v>
      </c>
      <c r="P33" s="653">
        <f>+E9*O33</f>
        <v>1529.0759763552242</v>
      </c>
    </row>
    <row r="34" spans="4:16" ht="16.5" customHeight="1" x14ac:dyDescent="0.15">
      <c r="D34" s="555"/>
      <c r="E34" s="570"/>
      <c r="F34" s="599"/>
      <c r="G34" s="654"/>
      <c r="H34" s="547"/>
      <c r="I34" s="593"/>
      <c r="J34" s="547"/>
      <c r="K34" s="593"/>
      <c r="L34" s="579"/>
      <c r="M34" s="579"/>
      <c r="N34" s="627"/>
      <c r="O34" s="651"/>
      <c r="P34" s="653"/>
    </row>
    <row r="35" spans="4:16" ht="16.5" customHeight="1" x14ac:dyDescent="0.15">
      <c r="D35" s="555"/>
      <c r="E35" s="570"/>
      <c r="F35" s="599"/>
      <c r="G35" s="654"/>
      <c r="H35" s="547">
        <f t="shared" ref="H35:J35" si="10">+H33</f>
        <v>1.3</v>
      </c>
      <c r="I35" s="592"/>
      <c r="J35" s="547">
        <f t="shared" si="10"/>
        <v>1.3</v>
      </c>
      <c r="K35" s="592"/>
      <c r="L35" s="577">
        <f t="shared" ref="L35:M35" si="11">+L33+1</f>
        <v>27</v>
      </c>
      <c r="M35" s="577">
        <f t="shared" si="11"/>
        <v>77</v>
      </c>
      <c r="N35" s="626">
        <f>+G32*J35</f>
        <v>187.20000000000002</v>
      </c>
      <c r="O35" s="651">
        <f>+E6*N35</f>
        <v>764.53798817761208</v>
      </c>
      <c r="P35" s="653">
        <f>+E9*O35</f>
        <v>1529.0759763552242</v>
      </c>
    </row>
    <row r="36" spans="4:16" ht="16.5" customHeight="1" x14ac:dyDescent="0.15">
      <c r="D36" s="555"/>
      <c r="E36" s="570"/>
      <c r="F36" s="599"/>
      <c r="G36" s="654"/>
      <c r="H36" s="547"/>
      <c r="I36" s="593"/>
      <c r="J36" s="547"/>
      <c r="K36" s="593"/>
      <c r="L36" s="579"/>
      <c r="M36" s="579"/>
      <c r="N36" s="627"/>
      <c r="O36" s="651"/>
      <c r="P36" s="653"/>
    </row>
    <row r="37" spans="4:16" ht="16.5" customHeight="1" x14ac:dyDescent="0.15">
      <c r="D37" s="555"/>
      <c r="E37" s="570"/>
      <c r="F37" s="599"/>
      <c r="G37" s="654"/>
      <c r="H37" s="547">
        <f t="shared" ref="H37:J53" si="12">+H35</f>
        <v>1.3</v>
      </c>
      <c r="I37" s="592"/>
      <c r="J37" s="547">
        <f t="shared" si="12"/>
        <v>1.3</v>
      </c>
      <c r="K37" s="592"/>
      <c r="L37" s="577">
        <f t="shared" ref="L37:M37" si="13">+L35+1</f>
        <v>28</v>
      </c>
      <c r="M37" s="577">
        <f t="shared" si="13"/>
        <v>78</v>
      </c>
      <c r="N37" s="626">
        <f>+G32*J37</f>
        <v>187.20000000000002</v>
      </c>
      <c r="O37" s="651">
        <f>+E6*N37</f>
        <v>764.53798817761208</v>
      </c>
      <c r="P37" s="653">
        <f>+E9*O37</f>
        <v>1529.0759763552242</v>
      </c>
    </row>
    <row r="38" spans="4:16" ht="16.5" customHeight="1" x14ac:dyDescent="0.15">
      <c r="D38" s="555"/>
      <c r="E38" s="570"/>
      <c r="F38" s="599"/>
      <c r="G38" s="654"/>
      <c r="H38" s="547"/>
      <c r="I38" s="593"/>
      <c r="J38" s="547"/>
      <c r="K38" s="593"/>
      <c r="L38" s="579"/>
      <c r="M38" s="579"/>
      <c r="N38" s="627"/>
      <c r="O38" s="651"/>
      <c r="P38" s="653"/>
    </row>
    <row r="39" spans="4:16" ht="16.5" customHeight="1" x14ac:dyDescent="0.15">
      <c r="D39" s="555"/>
      <c r="E39" s="570"/>
      <c r="F39" s="599"/>
      <c r="G39" s="654"/>
      <c r="H39" s="547">
        <f t="shared" ref="H39:J39" si="14">+H37</f>
        <v>1.3</v>
      </c>
      <c r="I39" s="594"/>
      <c r="J39" s="547">
        <f t="shared" si="14"/>
        <v>1.3</v>
      </c>
      <c r="K39" s="594"/>
      <c r="L39" s="577">
        <f t="shared" ref="L39:M39" si="15">+L37+1</f>
        <v>29</v>
      </c>
      <c r="M39" s="577">
        <f t="shared" si="15"/>
        <v>79</v>
      </c>
      <c r="N39" s="626">
        <f>+G32*J39</f>
        <v>187.20000000000002</v>
      </c>
      <c r="O39" s="651">
        <f>+E6*N39</f>
        <v>764.53798817761208</v>
      </c>
      <c r="P39" s="653">
        <f>+E9*O39</f>
        <v>1529.0759763552242</v>
      </c>
    </row>
    <row r="40" spans="4:16" ht="16.5" customHeight="1" x14ac:dyDescent="0.15">
      <c r="D40" s="555"/>
      <c r="E40" s="570"/>
      <c r="F40" s="599"/>
      <c r="G40" s="654"/>
      <c r="H40" s="547"/>
      <c r="I40" s="594"/>
      <c r="J40" s="547"/>
      <c r="K40" s="594"/>
      <c r="L40" s="579"/>
      <c r="M40" s="579"/>
      <c r="N40" s="627"/>
      <c r="O40" s="651"/>
      <c r="P40" s="653"/>
    </row>
    <row r="41" spans="4:16" ht="16.5" customHeight="1" x14ac:dyDescent="0.15">
      <c r="D41" s="555"/>
      <c r="E41" s="570"/>
      <c r="F41" s="599"/>
      <c r="G41" s="654"/>
      <c r="H41" s="547">
        <f t="shared" ref="H41:J41" si="16">+H39</f>
        <v>1.3</v>
      </c>
      <c r="I41" s="594"/>
      <c r="J41" s="547">
        <f t="shared" si="16"/>
        <v>1.3</v>
      </c>
      <c r="K41" s="594"/>
      <c r="L41" s="577">
        <f t="shared" ref="L41:M41" si="17">+L39+1</f>
        <v>30</v>
      </c>
      <c r="M41" s="577">
        <f t="shared" si="17"/>
        <v>80</v>
      </c>
      <c r="N41" s="626">
        <f>+G32*J41</f>
        <v>187.20000000000002</v>
      </c>
      <c r="O41" s="651">
        <f>+E6*N41</f>
        <v>764.53798817761208</v>
      </c>
      <c r="P41" s="653">
        <f>+E9*O41</f>
        <v>1529.0759763552242</v>
      </c>
    </row>
    <row r="42" spans="4:16" ht="16.5" customHeight="1" x14ac:dyDescent="0.15">
      <c r="D42" s="555"/>
      <c r="E42" s="570"/>
      <c r="F42" s="599"/>
      <c r="G42" s="654"/>
      <c r="H42" s="547"/>
      <c r="I42" s="594"/>
      <c r="J42" s="547"/>
      <c r="K42" s="594"/>
      <c r="L42" s="579"/>
      <c r="M42" s="579"/>
      <c r="N42" s="627"/>
      <c r="O42" s="651"/>
      <c r="P42" s="653"/>
    </row>
    <row r="43" spans="4:16" ht="16.5" customHeight="1" x14ac:dyDescent="0.15">
      <c r="D43" s="555"/>
      <c r="E43" s="570"/>
      <c r="F43" s="599"/>
      <c r="G43" s="654"/>
      <c r="H43" s="547">
        <f t="shared" ref="H43:J43" si="18">+H41</f>
        <v>1.3</v>
      </c>
      <c r="I43" s="594"/>
      <c r="J43" s="547">
        <f t="shared" si="18"/>
        <v>1.3</v>
      </c>
      <c r="K43" s="594"/>
      <c r="L43" s="577">
        <f>+L41+1</f>
        <v>31</v>
      </c>
      <c r="M43" s="577">
        <f>+M41+1</f>
        <v>81</v>
      </c>
      <c r="N43" s="626">
        <f>+G32*J43</f>
        <v>187.20000000000002</v>
      </c>
      <c r="O43" s="651">
        <f>+E6*N43</f>
        <v>764.53798817761208</v>
      </c>
      <c r="P43" s="653">
        <f>+E9*O43</f>
        <v>1529.0759763552242</v>
      </c>
    </row>
    <row r="44" spans="4:16" ht="16.5" customHeight="1" x14ac:dyDescent="0.15">
      <c r="D44" s="555"/>
      <c r="E44" s="570"/>
      <c r="F44" s="599"/>
      <c r="G44" s="654"/>
      <c r="H44" s="547"/>
      <c r="I44" s="594"/>
      <c r="J44" s="547"/>
      <c r="K44" s="594"/>
      <c r="L44" s="579"/>
      <c r="M44" s="579"/>
      <c r="N44" s="627"/>
      <c r="O44" s="651"/>
      <c r="P44" s="653"/>
    </row>
    <row r="45" spans="4:16" ht="16.5" customHeight="1" x14ac:dyDescent="0.15">
      <c r="D45" s="555"/>
      <c r="E45" s="570"/>
      <c r="F45" s="599"/>
      <c r="G45" s="654"/>
      <c r="H45" s="547">
        <f t="shared" ref="H45:J45" si="19">+H43</f>
        <v>1.3</v>
      </c>
      <c r="I45" s="594"/>
      <c r="J45" s="547">
        <f t="shared" si="19"/>
        <v>1.3</v>
      </c>
      <c r="K45" s="594"/>
      <c r="L45" s="577">
        <f t="shared" ref="L45:M45" si="20">+L43+1</f>
        <v>32</v>
      </c>
      <c r="M45" s="577">
        <f t="shared" si="20"/>
        <v>82</v>
      </c>
      <c r="N45" s="626">
        <f>+G32*J45</f>
        <v>187.20000000000002</v>
      </c>
      <c r="O45" s="651">
        <f>+E6*N45</f>
        <v>764.53798817761208</v>
      </c>
      <c r="P45" s="653">
        <f>+E9*O45</f>
        <v>1529.0759763552242</v>
      </c>
    </row>
    <row r="46" spans="4:16" ht="16.5" customHeight="1" x14ac:dyDescent="0.15">
      <c r="D46" s="555"/>
      <c r="E46" s="570"/>
      <c r="F46" s="599"/>
      <c r="G46" s="654"/>
      <c r="H46" s="547"/>
      <c r="I46" s="594"/>
      <c r="J46" s="547"/>
      <c r="K46" s="594"/>
      <c r="L46" s="579"/>
      <c r="M46" s="579"/>
      <c r="N46" s="627"/>
      <c r="O46" s="651"/>
      <c r="P46" s="653"/>
    </row>
    <row r="47" spans="4:16" ht="16.5" customHeight="1" x14ac:dyDescent="0.15">
      <c r="D47" s="555"/>
      <c r="E47" s="570"/>
      <c r="F47" s="599"/>
      <c r="G47" s="654"/>
      <c r="H47" s="547">
        <f t="shared" ref="H47:J47" si="21">+H45</f>
        <v>1.3</v>
      </c>
      <c r="I47" s="79">
        <f>+E32-I32-H33-H35-H37-H39-H41-H43-H45</f>
        <v>5.0000000000001155E-2</v>
      </c>
      <c r="J47" s="547">
        <f t="shared" si="21"/>
        <v>1.3</v>
      </c>
      <c r="K47" s="79">
        <f>+F32-K32-J33-J35-J37-J39-J41-J43-J45</f>
        <v>5.0000000000001155E-2</v>
      </c>
      <c r="L47" s="577">
        <f t="shared" ref="L47:M47" si="22">+L45+1</f>
        <v>33</v>
      </c>
      <c r="M47" s="577">
        <f t="shared" si="22"/>
        <v>83</v>
      </c>
      <c r="N47" s="626">
        <f>+G32*K47+G48*K48</f>
        <v>51.200000000000131</v>
      </c>
      <c r="O47" s="651">
        <f>+E6*N47</f>
        <v>209.10440702293715</v>
      </c>
      <c r="P47" s="653">
        <f>+E9*O47</f>
        <v>418.20881404587431</v>
      </c>
    </row>
    <row r="48" spans="4:16" ht="16.5" customHeight="1" x14ac:dyDescent="0.15">
      <c r="D48" s="555" t="s">
        <v>205</v>
      </c>
      <c r="E48" s="570">
        <v>10.8</v>
      </c>
      <c r="F48" s="599">
        <f>+E48-E5</f>
        <v>9.5</v>
      </c>
      <c r="G48" s="654">
        <v>35.200000000000003</v>
      </c>
      <c r="H48" s="547"/>
      <c r="I48" s="79">
        <f>+H47-I47</f>
        <v>1.2499999999999989</v>
      </c>
      <c r="J48" s="547"/>
      <c r="K48" s="79">
        <f>+J47-K47</f>
        <v>1.2499999999999989</v>
      </c>
      <c r="L48" s="579"/>
      <c r="M48" s="579"/>
      <c r="N48" s="627"/>
      <c r="O48" s="651"/>
      <c r="P48" s="653"/>
    </row>
    <row r="49" spans="4:16" ht="16.5" customHeight="1" x14ac:dyDescent="0.15">
      <c r="D49" s="555"/>
      <c r="E49" s="570"/>
      <c r="F49" s="599"/>
      <c r="G49" s="654"/>
      <c r="H49" s="547">
        <f t="shared" ref="H49:J49" si="23">+H47</f>
        <v>1.3</v>
      </c>
      <c r="I49" s="591"/>
      <c r="J49" s="547">
        <f t="shared" si="23"/>
        <v>1.3</v>
      </c>
      <c r="K49" s="591"/>
      <c r="L49" s="577">
        <f t="shared" ref="L49:M49" si="24">+L47+1</f>
        <v>34</v>
      </c>
      <c r="M49" s="577">
        <f t="shared" si="24"/>
        <v>84</v>
      </c>
      <c r="N49" s="626">
        <f>+G48*J49</f>
        <v>45.760000000000005</v>
      </c>
      <c r="O49" s="651">
        <f>+E6*N49</f>
        <v>186.88706377674964</v>
      </c>
      <c r="P49" s="653">
        <f>+E9*O49</f>
        <v>373.77412755349928</v>
      </c>
    </row>
    <row r="50" spans="4:16" ht="16.5" customHeight="1" x14ac:dyDescent="0.15">
      <c r="D50" s="555"/>
      <c r="E50" s="570"/>
      <c r="F50" s="599"/>
      <c r="G50" s="654"/>
      <c r="H50" s="547"/>
      <c r="I50" s="591"/>
      <c r="J50" s="547"/>
      <c r="K50" s="591"/>
      <c r="L50" s="579"/>
      <c r="M50" s="579"/>
      <c r="N50" s="627"/>
      <c r="O50" s="651"/>
      <c r="P50" s="653"/>
    </row>
    <row r="51" spans="4:16" ht="16.5" customHeight="1" x14ac:dyDescent="0.15">
      <c r="D51" s="555"/>
      <c r="E51" s="570"/>
      <c r="F51" s="599"/>
      <c r="G51" s="654"/>
      <c r="H51" s="547">
        <f t="shared" ref="H51:J51" si="25">+H49</f>
        <v>1.3</v>
      </c>
      <c r="I51" s="591"/>
      <c r="J51" s="547">
        <f t="shared" si="25"/>
        <v>1.3</v>
      </c>
      <c r="K51" s="591"/>
      <c r="L51" s="577">
        <f t="shared" ref="L51:M51" si="26">+L49+1</f>
        <v>35</v>
      </c>
      <c r="M51" s="577">
        <f t="shared" si="26"/>
        <v>85</v>
      </c>
      <c r="N51" s="626">
        <f>+G48*J51</f>
        <v>45.760000000000005</v>
      </c>
      <c r="O51" s="651">
        <f>+E6*N51</f>
        <v>186.88706377674964</v>
      </c>
      <c r="P51" s="653">
        <f>+E9*O51</f>
        <v>373.77412755349928</v>
      </c>
    </row>
    <row r="52" spans="4:16" ht="16.5" customHeight="1" x14ac:dyDescent="0.15">
      <c r="D52" s="555"/>
      <c r="E52" s="570"/>
      <c r="F52" s="599"/>
      <c r="G52" s="654"/>
      <c r="H52" s="547"/>
      <c r="I52" s="591"/>
      <c r="J52" s="547"/>
      <c r="K52" s="591"/>
      <c r="L52" s="579"/>
      <c r="M52" s="579"/>
      <c r="N52" s="627"/>
      <c r="O52" s="651"/>
      <c r="P52" s="653"/>
    </row>
    <row r="53" spans="4:16" ht="16.5" customHeight="1" x14ac:dyDescent="0.15">
      <c r="D53" s="555"/>
      <c r="E53" s="570"/>
      <c r="F53" s="599"/>
      <c r="G53" s="654"/>
      <c r="H53" s="547">
        <f t="shared" si="12"/>
        <v>1.3</v>
      </c>
      <c r="I53" s="591"/>
      <c r="J53" s="547">
        <f t="shared" si="12"/>
        <v>1.3</v>
      </c>
      <c r="K53" s="591"/>
      <c r="L53" s="577">
        <f t="shared" ref="L53:M53" si="27">+L51+1</f>
        <v>36</v>
      </c>
      <c r="M53" s="577">
        <f t="shared" si="27"/>
        <v>86</v>
      </c>
      <c r="N53" s="626">
        <f>+G48*J53</f>
        <v>45.760000000000005</v>
      </c>
      <c r="O53" s="651">
        <f>+E6*N53</f>
        <v>186.88706377674964</v>
      </c>
      <c r="P53" s="653">
        <f>+E9*O53</f>
        <v>373.77412755349928</v>
      </c>
    </row>
    <row r="54" spans="4:16" ht="16.5" customHeight="1" x14ac:dyDescent="0.15">
      <c r="D54" s="555"/>
      <c r="E54" s="570"/>
      <c r="F54" s="599"/>
      <c r="G54" s="654"/>
      <c r="H54" s="547"/>
      <c r="I54" s="591"/>
      <c r="J54" s="547"/>
      <c r="K54" s="591"/>
      <c r="L54" s="579"/>
      <c r="M54" s="579"/>
      <c r="N54" s="627"/>
      <c r="O54" s="651"/>
      <c r="P54" s="653"/>
    </row>
    <row r="55" spans="4:16" ht="16.5" customHeight="1" x14ac:dyDescent="0.15">
      <c r="D55" s="555"/>
      <c r="E55" s="570"/>
      <c r="F55" s="599"/>
      <c r="G55" s="654"/>
      <c r="H55" s="547">
        <f>+H53</f>
        <v>1.3</v>
      </c>
      <c r="I55" s="591"/>
      <c r="J55" s="547">
        <f>+J53</f>
        <v>1.3</v>
      </c>
      <c r="K55" s="591"/>
      <c r="L55" s="577">
        <f>+L53+1</f>
        <v>37</v>
      </c>
      <c r="M55" s="577">
        <f>+M53+1</f>
        <v>87</v>
      </c>
      <c r="N55" s="626">
        <f>+G48*J55</f>
        <v>45.760000000000005</v>
      </c>
      <c r="O55" s="651">
        <f>+E6*N55</f>
        <v>186.88706377674964</v>
      </c>
      <c r="P55" s="653">
        <f>+E9*O55</f>
        <v>373.77412755349928</v>
      </c>
    </row>
    <row r="56" spans="4:16" ht="16.5" customHeight="1" x14ac:dyDescent="0.15">
      <c r="D56" s="555"/>
      <c r="E56" s="570"/>
      <c r="F56" s="599"/>
      <c r="G56" s="654"/>
      <c r="H56" s="547"/>
      <c r="I56" s="591"/>
      <c r="J56" s="547"/>
      <c r="K56" s="591"/>
      <c r="L56" s="579"/>
      <c r="M56" s="579"/>
      <c r="N56" s="627"/>
      <c r="O56" s="651"/>
      <c r="P56" s="653"/>
    </row>
    <row r="57" spans="4:16" ht="16.5" customHeight="1" x14ac:dyDescent="0.15">
      <c r="D57" s="555"/>
      <c r="E57" s="570"/>
      <c r="F57" s="599"/>
      <c r="G57" s="654"/>
      <c r="H57" s="547">
        <f t="shared" ref="H57:J57" si="28">+H55</f>
        <v>1.3</v>
      </c>
      <c r="I57" s="591"/>
      <c r="J57" s="547">
        <f t="shared" si="28"/>
        <v>1.3</v>
      </c>
      <c r="K57" s="591"/>
      <c r="L57" s="577">
        <f t="shared" ref="L57:M57" si="29">+L55+1</f>
        <v>38</v>
      </c>
      <c r="M57" s="577">
        <f t="shared" si="29"/>
        <v>88</v>
      </c>
      <c r="N57" s="626">
        <f>+G48*J57</f>
        <v>45.760000000000005</v>
      </c>
      <c r="O57" s="651">
        <f>+E6*N57</f>
        <v>186.88706377674964</v>
      </c>
      <c r="P57" s="653">
        <f>+E9*O57</f>
        <v>373.77412755349928</v>
      </c>
    </row>
    <row r="58" spans="4:16" ht="16.5" customHeight="1" x14ac:dyDescent="0.15">
      <c r="D58" s="555"/>
      <c r="E58" s="570"/>
      <c r="F58" s="599"/>
      <c r="G58" s="654"/>
      <c r="H58" s="547"/>
      <c r="I58" s="591"/>
      <c r="J58" s="547"/>
      <c r="K58" s="591"/>
      <c r="L58" s="579"/>
      <c r="M58" s="579"/>
      <c r="N58" s="627"/>
      <c r="O58" s="651"/>
      <c r="P58" s="653"/>
    </row>
    <row r="59" spans="4:16" ht="16.5" customHeight="1" x14ac:dyDescent="0.15">
      <c r="D59" s="555"/>
      <c r="E59" s="570"/>
      <c r="F59" s="599"/>
      <c r="G59" s="654"/>
      <c r="H59" s="547">
        <f t="shared" ref="H59:J59" si="30">+H57</f>
        <v>1.3</v>
      </c>
      <c r="I59" s="591"/>
      <c r="J59" s="547">
        <f t="shared" si="30"/>
        <v>1.3</v>
      </c>
      <c r="K59" s="591"/>
      <c r="L59" s="577">
        <f t="shared" ref="L59:M59" si="31">+L57+1</f>
        <v>39</v>
      </c>
      <c r="M59" s="577">
        <f t="shared" si="31"/>
        <v>89</v>
      </c>
      <c r="N59" s="626">
        <f>+G48*J59</f>
        <v>45.760000000000005</v>
      </c>
      <c r="O59" s="651">
        <f>+E6*N59</f>
        <v>186.88706377674964</v>
      </c>
      <c r="P59" s="653">
        <f>+E9*O59</f>
        <v>373.77412755349928</v>
      </c>
    </row>
    <row r="60" spans="4:16" ht="16.5" customHeight="1" x14ac:dyDescent="0.15">
      <c r="D60" s="555"/>
      <c r="E60" s="570"/>
      <c r="F60" s="599"/>
      <c r="G60" s="654"/>
      <c r="H60" s="547"/>
      <c r="I60" s="591"/>
      <c r="J60" s="547"/>
      <c r="K60" s="591"/>
      <c r="L60" s="579"/>
      <c r="M60" s="579"/>
      <c r="N60" s="627"/>
      <c r="O60" s="651"/>
      <c r="P60" s="653"/>
    </row>
    <row r="61" spans="4:16" ht="16.5" customHeight="1" x14ac:dyDescent="0.15">
      <c r="D61" s="555"/>
      <c r="E61" s="570"/>
      <c r="F61" s="599"/>
      <c r="G61" s="654"/>
      <c r="H61" s="607">
        <v>1.2</v>
      </c>
      <c r="I61" s="591"/>
      <c r="J61" s="547">
        <f>+F48-K48-J49-J51-J53-J55-J57-J59</f>
        <v>0.4500000000000024</v>
      </c>
      <c r="K61" s="591"/>
      <c r="L61" s="577">
        <f t="shared" ref="L61:M61" si="32">+L59+1</f>
        <v>40</v>
      </c>
      <c r="M61" s="577">
        <f t="shared" si="32"/>
        <v>90</v>
      </c>
      <c r="N61" s="626">
        <f>+G48*J61</f>
        <v>15.840000000000085</v>
      </c>
      <c r="O61" s="651">
        <f>+E6*N61</f>
        <v>64.691675922721373</v>
      </c>
      <c r="P61" s="653">
        <f>+E9*O61</f>
        <v>129.38335184544275</v>
      </c>
    </row>
    <row r="62" spans="4:16" ht="16.5" customHeight="1" x14ac:dyDescent="0.15">
      <c r="D62" s="555"/>
      <c r="E62" s="570"/>
      <c r="F62" s="599"/>
      <c r="G62" s="654"/>
      <c r="H62" s="607"/>
      <c r="I62" s="591"/>
      <c r="J62" s="547"/>
      <c r="K62" s="591"/>
      <c r="L62" s="579"/>
      <c r="M62" s="579"/>
      <c r="N62" s="627"/>
      <c r="O62" s="651"/>
      <c r="P62" s="653"/>
    </row>
    <row r="63" spans="4:16" ht="16.5" customHeight="1" x14ac:dyDescent="0.15">
      <c r="D63" s="555"/>
      <c r="E63" s="570"/>
      <c r="F63" s="599"/>
      <c r="G63" s="654"/>
      <c r="H63" s="98">
        <f>+E48-I48-H49-H51-H53-H55-H57-H59-H61</f>
        <v>0.55000000000000249</v>
      </c>
      <c r="I63" s="99"/>
      <c r="J63" s="99" t="s">
        <v>157</v>
      </c>
      <c r="K63" s="99"/>
      <c r="L63" s="37">
        <f>+L61+1</f>
        <v>41</v>
      </c>
      <c r="M63" s="37">
        <f>+M61+1</f>
        <v>91</v>
      </c>
      <c r="N63" s="95" t="s">
        <v>157</v>
      </c>
      <c r="O63" s="95" t="s">
        <v>157</v>
      </c>
      <c r="P63" s="95" t="s">
        <v>157</v>
      </c>
    </row>
    <row r="64" spans="4:16" ht="16.5" customHeight="1" x14ac:dyDescent="0.15">
      <c r="D64" s="89" t="s">
        <v>228</v>
      </c>
      <c r="E64" s="79">
        <f>SUM(E15:E63)</f>
        <v>31</v>
      </c>
      <c r="F64" s="79">
        <f>SUM(F15:F63)</f>
        <v>24.808999999999997</v>
      </c>
      <c r="G64" s="88"/>
      <c r="H64" s="79">
        <f>SUM(H15:H63)</f>
        <v>31.000000000000014</v>
      </c>
      <c r="I64" s="88"/>
      <c r="J64" s="79">
        <f>SUM(J15:J63)</f>
        <v>23.850000000000009</v>
      </c>
      <c r="K64" s="334"/>
      <c r="L64" s="327"/>
      <c r="M64" s="327"/>
      <c r="N64" s="327"/>
      <c r="O64" s="327"/>
      <c r="P64" s="328"/>
    </row>
    <row r="68" spans="3:16" ht="16.5" customHeight="1" x14ac:dyDescent="0.15">
      <c r="C68" s="18" t="s">
        <v>217</v>
      </c>
      <c r="D68" s="17" t="s">
        <v>218</v>
      </c>
    </row>
    <row r="69" spans="3:16" ht="16.5" customHeight="1" x14ac:dyDescent="0.15">
      <c r="D69" s="17" t="s">
        <v>202</v>
      </c>
      <c r="E69" s="68">
        <f>+E5</f>
        <v>1.3</v>
      </c>
      <c r="F69" s="17" t="s">
        <v>29</v>
      </c>
    </row>
    <row r="70" spans="3:16" ht="16.5" customHeight="1" x14ac:dyDescent="0.15">
      <c r="D70" s="17" t="s">
        <v>327</v>
      </c>
      <c r="E70" s="68">
        <f>+PI()*E69</f>
        <v>4.0840704496667311</v>
      </c>
      <c r="F70" s="17" t="s">
        <v>29</v>
      </c>
    </row>
    <row r="71" spans="3:16" ht="16.5" customHeight="1" x14ac:dyDescent="0.15">
      <c r="D71" s="17" t="s">
        <v>207</v>
      </c>
      <c r="E71" s="68">
        <f>+E7</f>
        <v>31</v>
      </c>
      <c r="F71" s="17" t="s">
        <v>29</v>
      </c>
    </row>
    <row r="72" spans="3:16" ht="16.5" customHeight="1" x14ac:dyDescent="0.15">
      <c r="D72" s="17" t="s">
        <v>227</v>
      </c>
      <c r="E72" s="68">
        <f>+E8</f>
        <v>4.891</v>
      </c>
      <c r="F72" s="17" t="s">
        <v>29</v>
      </c>
    </row>
    <row r="73" spans="3:16" ht="16.5" customHeight="1" x14ac:dyDescent="0.15">
      <c r="D73" s="17" t="s">
        <v>200</v>
      </c>
      <c r="E73" s="77">
        <v>1</v>
      </c>
      <c r="F73" s="17" t="s">
        <v>206</v>
      </c>
    </row>
    <row r="74" spans="3:16" ht="16.5" customHeight="1" x14ac:dyDescent="0.15">
      <c r="D74" s="376" t="s">
        <v>199</v>
      </c>
      <c r="E74" s="549" t="s">
        <v>229</v>
      </c>
      <c r="F74" s="549" t="s">
        <v>329</v>
      </c>
      <c r="G74" s="552" t="s">
        <v>331</v>
      </c>
      <c r="H74" s="362" t="s">
        <v>231</v>
      </c>
      <c r="I74" s="363"/>
      <c r="J74" s="362" t="s">
        <v>232</v>
      </c>
      <c r="K74" s="363"/>
      <c r="L74" s="368" t="s">
        <v>226</v>
      </c>
      <c r="M74" s="370"/>
      <c r="N74" s="549" t="s">
        <v>330</v>
      </c>
      <c r="O74" s="362" t="s">
        <v>332</v>
      </c>
      <c r="P74" s="363"/>
    </row>
    <row r="75" spans="3:16" ht="16.5" customHeight="1" x14ac:dyDescent="0.15">
      <c r="D75" s="376"/>
      <c r="E75" s="550"/>
      <c r="F75" s="550"/>
      <c r="G75" s="553"/>
      <c r="H75" s="364"/>
      <c r="I75" s="365"/>
      <c r="J75" s="364"/>
      <c r="K75" s="365"/>
      <c r="L75" s="371"/>
      <c r="M75" s="372"/>
      <c r="N75" s="550"/>
      <c r="O75" s="364"/>
      <c r="P75" s="365"/>
    </row>
    <row r="76" spans="3:16" ht="16.5" customHeight="1" x14ac:dyDescent="0.15">
      <c r="D76" s="376"/>
      <c r="E76" s="550"/>
      <c r="F76" s="550"/>
      <c r="G76" s="553"/>
      <c r="H76" s="364"/>
      <c r="I76" s="365"/>
      <c r="J76" s="364"/>
      <c r="K76" s="365"/>
      <c r="L76" s="371"/>
      <c r="M76" s="372"/>
      <c r="N76" s="550"/>
      <c r="O76" s="364"/>
      <c r="P76" s="365"/>
    </row>
    <row r="77" spans="3:16" ht="16.5" customHeight="1" x14ac:dyDescent="0.15">
      <c r="D77" s="376"/>
      <c r="E77" s="550"/>
      <c r="F77" s="550"/>
      <c r="G77" s="553"/>
      <c r="H77" s="364"/>
      <c r="I77" s="365"/>
      <c r="J77" s="364"/>
      <c r="K77" s="365"/>
      <c r="L77" s="371"/>
      <c r="M77" s="372"/>
      <c r="N77" s="550"/>
      <c r="O77" s="366"/>
      <c r="P77" s="367"/>
    </row>
    <row r="78" spans="3:16" ht="16.5" customHeight="1" x14ac:dyDescent="0.15">
      <c r="D78" s="376"/>
      <c r="E78" s="551"/>
      <c r="F78" s="551"/>
      <c r="G78" s="554"/>
      <c r="H78" s="366"/>
      <c r="I78" s="367"/>
      <c r="J78" s="366"/>
      <c r="K78" s="367"/>
      <c r="L78" s="356"/>
      <c r="M78" s="357"/>
      <c r="N78" s="551"/>
      <c r="O78" s="69" t="s">
        <v>208</v>
      </c>
      <c r="P78" s="96">
        <f>+E73</f>
        <v>1</v>
      </c>
    </row>
    <row r="79" spans="3:16" ht="16.5" customHeight="1" x14ac:dyDescent="0.15">
      <c r="D79" s="555" t="s">
        <v>16</v>
      </c>
      <c r="E79" s="605">
        <f>+E15</f>
        <v>3.3</v>
      </c>
      <c r="F79" s="602" t="s">
        <v>157</v>
      </c>
      <c r="G79" s="656">
        <f>+G15</f>
        <v>21</v>
      </c>
      <c r="H79" s="79">
        <f>+E69/2</f>
        <v>0.65</v>
      </c>
      <c r="I79" s="79"/>
      <c r="J79" s="99" t="s">
        <v>157</v>
      </c>
      <c r="K79" s="99" t="s">
        <v>157</v>
      </c>
      <c r="L79" s="104">
        <v>42</v>
      </c>
      <c r="M79" s="74"/>
      <c r="N79" s="95" t="s">
        <v>157</v>
      </c>
      <c r="O79" s="95" t="s">
        <v>157</v>
      </c>
      <c r="P79" s="95" t="s">
        <v>157</v>
      </c>
    </row>
    <row r="80" spans="3:16" ht="16.5" customHeight="1" x14ac:dyDescent="0.15">
      <c r="D80" s="555"/>
      <c r="E80" s="556"/>
      <c r="F80" s="603"/>
      <c r="G80" s="657"/>
      <c r="H80" s="547">
        <f>+E69</f>
        <v>1.3</v>
      </c>
      <c r="I80" s="574"/>
      <c r="J80" s="600" t="s">
        <v>157</v>
      </c>
      <c r="K80" s="600" t="s">
        <v>157</v>
      </c>
      <c r="L80" s="577">
        <f>+L79+1</f>
        <v>43</v>
      </c>
      <c r="M80" s="577"/>
      <c r="N80" s="589" t="s">
        <v>157</v>
      </c>
      <c r="O80" s="589" t="s">
        <v>157</v>
      </c>
      <c r="P80" s="589" t="s">
        <v>157</v>
      </c>
    </row>
    <row r="81" spans="4:16" ht="16.5" customHeight="1" x14ac:dyDescent="0.15">
      <c r="D81" s="555"/>
      <c r="E81" s="556"/>
      <c r="F81" s="603"/>
      <c r="G81" s="657"/>
      <c r="H81" s="547"/>
      <c r="I81" s="575"/>
      <c r="J81" s="591"/>
      <c r="K81" s="591"/>
      <c r="L81" s="579"/>
      <c r="M81" s="579"/>
      <c r="N81" s="568"/>
      <c r="O81" s="568"/>
      <c r="P81" s="568"/>
    </row>
    <row r="82" spans="4:16" ht="16.5" customHeight="1" x14ac:dyDescent="0.15">
      <c r="D82" s="555"/>
      <c r="E82" s="556"/>
      <c r="F82" s="603"/>
      <c r="G82" s="657"/>
      <c r="H82" s="547">
        <f>+H80</f>
        <v>1.3</v>
      </c>
      <c r="I82" s="547"/>
      <c r="J82" s="600" t="s">
        <v>157</v>
      </c>
      <c r="K82" s="600" t="s">
        <v>157</v>
      </c>
      <c r="L82" s="577">
        <f>+L80+1</f>
        <v>44</v>
      </c>
      <c r="M82" s="577"/>
      <c r="N82" s="589" t="s">
        <v>157</v>
      </c>
      <c r="O82" s="589" t="s">
        <v>157</v>
      </c>
      <c r="P82" s="589" t="s">
        <v>157</v>
      </c>
    </row>
    <row r="83" spans="4:16" ht="16.5" customHeight="1" x14ac:dyDescent="0.15">
      <c r="D83" s="555"/>
      <c r="E83" s="556"/>
      <c r="F83" s="603"/>
      <c r="G83" s="657"/>
      <c r="H83" s="547"/>
      <c r="I83" s="574"/>
      <c r="J83" s="591"/>
      <c r="K83" s="591"/>
      <c r="L83" s="579"/>
      <c r="M83" s="579"/>
      <c r="N83" s="568"/>
      <c r="O83" s="568"/>
      <c r="P83" s="568"/>
    </row>
    <row r="84" spans="4:16" ht="16.5" customHeight="1" x14ac:dyDescent="0.15">
      <c r="D84" s="555"/>
      <c r="E84" s="556"/>
      <c r="F84" s="603"/>
      <c r="G84" s="657"/>
      <c r="H84" s="547">
        <f t="shared" ref="H84" si="33">+H82</f>
        <v>1.3</v>
      </c>
      <c r="I84" s="79">
        <f>+E79-H79-H80-H82</f>
        <v>4.9999999999999822E-2</v>
      </c>
      <c r="J84" s="600" t="s">
        <v>157</v>
      </c>
      <c r="K84" s="99" t="s">
        <v>157</v>
      </c>
      <c r="L84" s="387">
        <f t="shared" ref="L84" si="34">+L82+1</f>
        <v>45</v>
      </c>
      <c r="M84" s="577"/>
      <c r="N84" s="589" t="s">
        <v>157</v>
      </c>
      <c r="O84" s="589" t="s">
        <v>157</v>
      </c>
      <c r="P84" s="589" t="s">
        <v>157</v>
      </c>
    </row>
    <row r="85" spans="4:16" ht="16.5" customHeight="1" x14ac:dyDescent="0.15">
      <c r="D85" s="555" t="s">
        <v>17</v>
      </c>
      <c r="E85" s="605">
        <f>+E21</f>
        <v>1.3</v>
      </c>
      <c r="F85" s="602" t="s">
        <v>157</v>
      </c>
      <c r="G85" s="656">
        <f>+G21</f>
        <v>111</v>
      </c>
      <c r="H85" s="547"/>
      <c r="I85" s="101">
        <f>+H84-I84</f>
        <v>1.2500000000000002</v>
      </c>
      <c r="J85" s="591"/>
      <c r="K85" s="99" t="s">
        <v>157</v>
      </c>
      <c r="L85" s="419"/>
      <c r="M85" s="579"/>
      <c r="N85" s="568"/>
      <c r="O85" s="568"/>
      <c r="P85" s="568"/>
    </row>
    <row r="86" spans="4:16" ht="16.5" customHeight="1" x14ac:dyDescent="0.15">
      <c r="D86" s="555"/>
      <c r="E86" s="556"/>
      <c r="F86" s="603"/>
      <c r="G86" s="657"/>
      <c r="H86" s="547">
        <f t="shared" ref="H86:H92" si="35">+H84</f>
        <v>1.3</v>
      </c>
      <c r="I86" s="79">
        <f>+E85-I85</f>
        <v>4.9999999999999822E-2</v>
      </c>
      <c r="J86" s="600" t="s">
        <v>157</v>
      </c>
      <c r="K86" s="99" t="s">
        <v>157</v>
      </c>
      <c r="L86" s="387">
        <f t="shared" ref="L86" si="36">+L84+1</f>
        <v>46</v>
      </c>
      <c r="M86" s="577"/>
      <c r="N86" s="650">
        <f>+G87*K87</f>
        <v>19.180000000000007</v>
      </c>
      <c r="O86" s="650">
        <f>+E70*N86</f>
        <v>78.332471224607929</v>
      </c>
      <c r="P86" s="652">
        <f>+E73*O86</f>
        <v>78.332471224607929</v>
      </c>
    </row>
    <row r="87" spans="4:16" ht="16.5" customHeight="1" x14ac:dyDescent="0.15">
      <c r="D87" s="555" t="s">
        <v>18</v>
      </c>
      <c r="E87" s="556">
        <f>+E23</f>
        <v>2.9</v>
      </c>
      <c r="F87" s="556">
        <f>+E79+E85+E87-E72</f>
        <v>2.609</v>
      </c>
      <c r="G87" s="657">
        <f>+G23</f>
        <v>20</v>
      </c>
      <c r="H87" s="547"/>
      <c r="I87" s="102">
        <f>+H86-I86</f>
        <v>1.2500000000000002</v>
      </c>
      <c r="J87" s="591"/>
      <c r="K87" s="98">
        <f>+F87-K90-J88</f>
        <v>0.9590000000000003</v>
      </c>
      <c r="L87" s="419"/>
      <c r="M87" s="579"/>
      <c r="N87" s="651"/>
      <c r="O87" s="651"/>
      <c r="P87" s="653"/>
    </row>
    <row r="88" spans="4:16" ht="16.5" customHeight="1" x14ac:dyDescent="0.15">
      <c r="D88" s="555"/>
      <c r="E88" s="556"/>
      <c r="F88" s="556"/>
      <c r="G88" s="657"/>
      <c r="H88" s="547">
        <f t="shared" si="35"/>
        <v>1.3</v>
      </c>
      <c r="I88" s="590"/>
      <c r="J88" s="601">
        <f>+H88</f>
        <v>1.3</v>
      </c>
      <c r="K88" s="600"/>
      <c r="L88" s="577">
        <f t="shared" ref="L88" si="37">+L86+1</f>
        <v>47</v>
      </c>
      <c r="M88" s="577"/>
      <c r="N88" s="650">
        <f>+G87*J88</f>
        <v>26</v>
      </c>
      <c r="O88" s="650">
        <f>+E70*N88</f>
        <v>106.18583169133501</v>
      </c>
      <c r="P88" s="652">
        <f>+E73*O88</f>
        <v>106.18583169133501</v>
      </c>
    </row>
    <row r="89" spans="4:16" ht="16.5" customHeight="1" x14ac:dyDescent="0.15">
      <c r="D89" s="555"/>
      <c r="E89" s="556"/>
      <c r="F89" s="556"/>
      <c r="G89" s="657"/>
      <c r="H89" s="547"/>
      <c r="I89" s="590"/>
      <c r="J89" s="547"/>
      <c r="K89" s="591"/>
      <c r="L89" s="579"/>
      <c r="M89" s="579"/>
      <c r="N89" s="651"/>
      <c r="O89" s="651"/>
      <c r="P89" s="653"/>
    </row>
    <row r="90" spans="4:16" ht="16.5" customHeight="1" x14ac:dyDescent="0.15">
      <c r="D90" s="555"/>
      <c r="E90" s="556"/>
      <c r="F90" s="556"/>
      <c r="G90" s="657"/>
      <c r="H90" s="547">
        <f t="shared" si="35"/>
        <v>1.3</v>
      </c>
      <c r="I90" s="79">
        <f>+E87-I87-H88</f>
        <v>0.34999999999999964</v>
      </c>
      <c r="J90" s="547">
        <f>+K90+K91</f>
        <v>1.3</v>
      </c>
      <c r="K90" s="79">
        <f>+I90</f>
        <v>0.34999999999999964</v>
      </c>
      <c r="L90" s="577">
        <f t="shared" ref="L90" si="38">+L88+1</f>
        <v>48</v>
      </c>
      <c r="M90" s="577"/>
      <c r="N90" s="651">
        <f>+G87*K90+G91*K91</f>
        <v>98.200000000000045</v>
      </c>
      <c r="O90" s="651">
        <f>+E70*N90</f>
        <v>401.05571815727319</v>
      </c>
      <c r="P90" s="653">
        <f>+E73*O90</f>
        <v>401.05571815727319</v>
      </c>
    </row>
    <row r="91" spans="4:16" ht="16.5" customHeight="1" x14ac:dyDescent="0.15">
      <c r="D91" s="555" t="s">
        <v>19</v>
      </c>
      <c r="E91" s="556">
        <f>+E27</f>
        <v>2.6</v>
      </c>
      <c r="F91" s="556">
        <f>+E91</f>
        <v>2.6</v>
      </c>
      <c r="G91" s="657">
        <f>+G27</f>
        <v>96</v>
      </c>
      <c r="H91" s="547"/>
      <c r="I91" s="101">
        <f>+H90-I90</f>
        <v>0.9500000000000004</v>
      </c>
      <c r="J91" s="547"/>
      <c r="K91" s="103">
        <f>+I91</f>
        <v>0.9500000000000004</v>
      </c>
      <c r="L91" s="579"/>
      <c r="M91" s="579"/>
      <c r="N91" s="651"/>
      <c r="O91" s="651"/>
      <c r="P91" s="653"/>
    </row>
    <row r="92" spans="4:16" ht="16.5" customHeight="1" x14ac:dyDescent="0.15">
      <c r="D92" s="555"/>
      <c r="E92" s="556"/>
      <c r="F92" s="556"/>
      <c r="G92" s="657"/>
      <c r="H92" s="547">
        <f t="shared" si="35"/>
        <v>1.3</v>
      </c>
      <c r="I92" s="591"/>
      <c r="J92" s="547">
        <f>+E69</f>
        <v>1.3</v>
      </c>
      <c r="K92" s="591"/>
      <c r="L92" s="577">
        <f t="shared" ref="L92" si="39">+L90+1</f>
        <v>49</v>
      </c>
      <c r="M92" s="577"/>
      <c r="N92" s="651">
        <f>+G91*J92</f>
        <v>124.80000000000001</v>
      </c>
      <c r="O92" s="651">
        <f>+E70*N92</f>
        <v>509.69199211840811</v>
      </c>
      <c r="P92" s="653">
        <f>+E73*O92</f>
        <v>509.69199211840811</v>
      </c>
    </row>
    <row r="93" spans="4:16" ht="16.5" customHeight="1" x14ac:dyDescent="0.15">
      <c r="D93" s="555"/>
      <c r="E93" s="556"/>
      <c r="F93" s="556"/>
      <c r="G93" s="657"/>
      <c r="H93" s="547"/>
      <c r="I93" s="591"/>
      <c r="J93" s="547"/>
      <c r="K93" s="591"/>
      <c r="L93" s="579"/>
      <c r="M93" s="579"/>
      <c r="N93" s="651"/>
      <c r="O93" s="651"/>
      <c r="P93" s="653"/>
    </row>
    <row r="94" spans="4:16" ht="16.5" customHeight="1" x14ac:dyDescent="0.15">
      <c r="D94" s="555"/>
      <c r="E94" s="556"/>
      <c r="F94" s="556"/>
      <c r="G94" s="657"/>
      <c r="H94" s="547">
        <f t="shared" ref="H94" si="40">+H92</f>
        <v>1.3</v>
      </c>
      <c r="I94" s="79">
        <f>+E91-I91-H92</f>
        <v>0.34999999999999964</v>
      </c>
      <c r="J94" s="547">
        <f t="shared" ref="J94" si="41">+J92</f>
        <v>1.3</v>
      </c>
      <c r="K94" s="79">
        <f>+F91-K91-J92</f>
        <v>0.34999999999999964</v>
      </c>
      <c r="L94" s="577">
        <f>+L92+1</f>
        <v>50</v>
      </c>
      <c r="M94" s="577"/>
      <c r="N94" s="626">
        <f>+G91*K94+G95*K95+G96*K96</f>
        <v>130.56000000000003</v>
      </c>
      <c r="O94" s="651">
        <f>+E70*N94</f>
        <v>533.21623790848855</v>
      </c>
      <c r="P94" s="653">
        <f>+E73*O94</f>
        <v>533.21623790848855</v>
      </c>
    </row>
    <row r="95" spans="4:16" ht="16.5" customHeight="1" x14ac:dyDescent="0.15">
      <c r="D95" s="90" t="s">
        <v>203</v>
      </c>
      <c r="E95" s="188">
        <f>+E31</f>
        <v>0.6</v>
      </c>
      <c r="F95" s="188">
        <f>+E95</f>
        <v>0.6</v>
      </c>
      <c r="G95" s="274">
        <f>+G31</f>
        <v>77.599999999999994</v>
      </c>
      <c r="H95" s="547"/>
      <c r="I95" s="79">
        <f>+E95</f>
        <v>0.6</v>
      </c>
      <c r="J95" s="547"/>
      <c r="K95" s="79">
        <f>+F95</f>
        <v>0.6</v>
      </c>
      <c r="L95" s="578"/>
      <c r="M95" s="578"/>
      <c r="N95" s="655"/>
      <c r="O95" s="651"/>
      <c r="P95" s="653"/>
    </row>
    <row r="96" spans="4:16" ht="16.5" customHeight="1" x14ac:dyDescent="0.15">
      <c r="D96" s="555" t="s">
        <v>204</v>
      </c>
      <c r="E96" s="556">
        <f>+E32</f>
        <v>9.5</v>
      </c>
      <c r="F96" s="556">
        <f>+E96</f>
        <v>9.5</v>
      </c>
      <c r="G96" s="657">
        <f>+G32</f>
        <v>144</v>
      </c>
      <c r="H96" s="547"/>
      <c r="I96" s="79">
        <f>+H94-I94-I95</f>
        <v>0.35000000000000042</v>
      </c>
      <c r="J96" s="547"/>
      <c r="K96" s="79">
        <f>+J94-K94-K95</f>
        <v>0.35000000000000042</v>
      </c>
      <c r="L96" s="579"/>
      <c r="M96" s="579"/>
      <c r="N96" s="627"/>
      <c r="O96" s="651"/>
      <c r="P96" s="653"/>
    </row>
    <row r="97" spans="4:16" ht="16.5" customHeight="1" x14ac:dyDescent="0.15">
      <c r="D97" s="555"/>
      <c r="E97" s="556"/>
      <c r="F97" s="556"/>
      <c r="G97" s="657"/>
      <c r="H97" s="547">
        <f t="shared" ref="H97" si="42">+H94</f>
        <v>1.3</v>
      </c>
      <c r="I97" s="592"/>
      <c r="J97" s="547">
        <f t="shared" ref="J97" si="43">+J94</f>
        <v>1.3</v>
      </c>
      <c r="K97" s="592"/>
      <c r="L97" s="577">
        <f t="shared" ref="L97" si="44">+L94+1</f>
        <v>51</v>
      </c>
      <c r="M97" s="577"/>
      <c r="N97" s="626">
        <f>+G96*J97</f>
        <v>187.20000000000002</v>
      </c>
      <c r="O97" s="651">
        <f>+E70*N97</f>
        <v>764.53798817761208</v>
      </c>
      <c r="P97" s="653">
        <f>+E73*O97</f>
        <v>764.53798817761208</v>
      </c>
    </row>
    <row r="98" spans="4:16" ht="16.5" customHeight="1" x14ac:dyDescent="0.15">
      <c r="D98" s="555"/>
      <c r="E98" s="556"/>
      <c r="F98" s="556"/>
      <c r="G98" s="657"/>
      <c r="H98" s="547"/>
      <c r="I98" s="593"/>
      <c r="J98" s="547"/>
      <c r="K98" s="593"/>
      <c r="L98" s="579"/>
      <c r="M98" s="579"/>
      <c r="N98" s="627"/>
      <c r="O98" s="651"/>
      <c r="P98" s="653"/>
    </row>
    <row r="99" spans="4:16" ht="16.5" customHeight="1" x14ac:dyDescent="0.15">
      <c r="D99" s="555"/>
      <c r="E99" s="556"/>
      <c r="F99" s="556"/>
      <c r="G99" s="657"/>
      <c r="H99" s="547">
        <f t="shared" ref="H99" si="45">+H97</f>
        <v>1.3</v>
      </c>
      <c r="I99" s="592"/>
      <c r="J99" s="547">
        <f t="shared" ref="J99" si="46">+J97</f>
        <v>1.3</v>
      </c>
      <c r="K99" s="592"/>
      <c r="L99" s="577">
        <f t="shared" ref="L99" si="47">+L97+1</f>
        <v>52</v>
      </c>
      <c r="M99" s="577"/>
      <c r="N99" s="626">
        <f>+G96*J99</f>
        <v>187.20000000000002</v>
      </c>
      <c r="O99" s="651">
        <f>+E70*N99</f>
        <v>764.53798817761208</v>
      </c>
      <c r="P99" s="653">
        <f>+E73*O99</f>
        <v>764.53798817761208</v>
      </c>
    </row>
    <row r="100" spans="4:16" ht="16.5" customHeight="1" x14ac:dyDescent="0.15">
      <c r="D100" s="555"/>
      <c r="E100" s="556"/>
      <c r="F100" s="556"/>
      <c r="G100" s="657"/>
      <c r="H100" s="547"/>
      <c r="I100" s="593"/>
      <c r="J100" s="547"/>
      <c r="K100" s="593"/>
      <c r="L100" s="579"/>
      <c r="M100" s="579"/>
      <c r="N100" s="627"/>
      <c r="O100" s="651"/>
      <c r="P100" s="653"/>
    </row>
    <row r="101" spans="4:16" ht="16.5" customHeight="1" x14ac:dyDescent="0.15">
      <c r="D101" s="555"/>
      <c r="E101" s="556"/>
      <c r="F101" s="556"/>
      <c r="G101" s="657"/>
      <c r="H101" s="547">
        <f t="shared" ref="H101" si="48">+H99</f>
        <v>1.3</v>
      </c>
      <c r="I101" s="592"/>
      <c r="J101" s="547">
        <f t="shared" ref="J101" si="49">+J99</f>
        <v>1.3</v>
      </c>
      <c r="K101" s="592"/>
      <c r="L101" s="577">
        <f t="shared" ref="L101" si="50">+L99+1</f>
        <v>53</v>
      </c>
      <c r="M101" s="577"/>
      <c r="N101" s="626">
        <f>+G96*J101</f>
        <v>187.20000000000002</v>
      </c>
      <c r="O101" s="651">
        <f>+E70*N101</f>
        <v>764.53798817761208</v>
      </c>
      <c r="P101" s="653">
        <f>+E73*O101</f>
        <v>764.53798817761208</v>
      </c>
    </row>
    <row r="102" spans="4:16" ht="16.5" customHeight="1" x14ac:dyDescent="0.15">
      <c r="D102" s="555"/>
      <c r="E102" s="556"/>
      <c r="F102" s="556"/>
      <c r="G102" s="657"/>
      <c r="H102" s="547"/>
      <c r="I102" s="593"/>
      <c r="J102" s="547"/>
      <c r="K102" s="593"/>
      <c r="L102" s="579"/>
      <c r="M102" s="579"/>
      <c r="N102" s="627"/>
      <c r="O102" s="651"/>
      <c r="P102" s="653"/>
    </row>
    <row r="103" spans="4:16" ht="16.5" customHeight="1" x14ac:dyDescent="0.15">
      <c r="D103" s="555"/>
      <c r="E103" s="556"/>
      <c r="F103" s="556"/>
      <c r="G103" s="657"/>
      <c r="H103" s="547">
        <f t="shared" ref="H103" si="51">+H101</f>
        <v>1.3</v>
      </c>
      <c r="I103" s="594"/>
      <c r="J103" s="547">
        <f t="shared" ref="J103" si="52">+J101</f>
        <v>1.3</v>
      </c>
      <c r="K103" s="594"/>
      <c r="L103" s="577">
        <f t="shared" ref="L103" si="53">+L101+1</f>
        <v>54</v>
      </c>
      <c r="M103" s="577"/>
      <c r="N103" s="626">
        <f>+G96*J103</f>
        <v>187.20000000000002</v>
      </c>
      <c r="O103" s="651">
        <f>+E70*N103</f>
        <v>764.53798817761208</v>
      </c>
      <c r="P103" s="653">
        <f>+E73*O103</f>
        <v>764.53798817761208</v>
      </c>
    </row>
    <row r="104" spans="4:16" ht="16.5" customHeight="1" x14ac:dyDescent="0.15">
      <c r="D104" s="555"/>
      <c r="E104" s="556"/>
      <c r="F104" s="556"/>
      <c r="G104" s="657"/>
      <c r="H104" s="547"/>
      <c r="I104" s="594"/>
      <c r="J104" s="547"/>
      <c r="K104" s="594"/>
      <c r="L104" s="579"/>
      <c r="M104" s="579"/>
      <c r="N104" s="627"/>
      <c r="O104" s="651"/>
      <c r="P104" s="653"/>
    </row>
    <row r="105" spans="4:16" ht="16.5" customHeight="1" x14ac:dyDescent="0.15">
      <c r="D105" s="555"/>
      <c r="E105" s="556"/>
      <c r="F105" s="556"/>
      <c r="G105" s="657"/>
      <c r="H105" s="547">
        <f t="shared" ref="H105" si="54">+H103</f>
        <v>1.3</v>
      </c>
      <c r="I105" s="594"/>
      <c r="J105" s="547">
        <f t="shared" ref="J105" si="55">+J103</f>
        <v>1.3</v>
      </c>
      <c r="K105" s="594"/>
      <c r="L105" s="577">
        <f t="shared" ref="L105" si="56">+L103+1</f>
        <v>55</v>
      </c>
      <c r="M105" s="577"/>
      <c r="N105" s="626">
        <f>+G96*J105</f>
        <v>187.20000000000002</v>
      </c>
      <c r="O105" s="651">
        <f>+E70*N105</f>
        <v>764.53798817761208</v>
      </c>
      <c r="P105" s="653">
        <f>+E73*O105</f>
        <v>764.53798817761208</v>
      </c>
    </row>
    <row r="106" spans="4:16" ht="16.5" customHeight="1" x14ac:dyDescent="0.15">
      <c r="D106" s="555"/>
      <c r="E106" s="556"/>
      <c r="F106" s="556"/>
      <c r="G106" s="657"/>
      <c r="H106" s="547"/>
      <c r="I106" s="594"/>
      <c r="J106" s="547"/>
      <c r="K106" s="594"/>
      <c r="L106" s="579"/>
      <c r="M106" s="579"/>
      <c r="N106" s="627"/>
      <c r="O106" s="651"/>
      <c r="P106" s="653"/>
    </row>
    <row r="107" spans="4:16" ht="16.5" customHeight="1" x14ac:dyDescent="0.15">
      <c r="D107" s="555"/>
      <c r="E107" s="556"/>
      <c r="F107" s="556"/>
      <c r="G107" s="657"/>
      <c r="H107" s="547">
        <f t="shared" ref="H107" si="57">+H105</f>
        <v>1.3</v>
      </c>
      <c r="I107" s="594"/>
      <c r="J107" s="547">
        <f t="shared" ref="J107" si="58">+J105</f>
        <v>1.3</v>
      </c>
      <c r="K107" s="594"/>
      <c r="L107" s="577">
        <f>+L105+1</f>
        <v>56</v>
      </c>
      <c r="M107" s="577"/>
      <c r="N107" s="626">
        <f>+G96*J107</f>
        <v>187.20000000000002</v>
      </c>
      <c r="O107" s="651">
        <f>+E70*N107</f>
        <v>764.53798817761208</v>
      </c>
      <c r="P107" s="653">
        <f>+E73*O107</f>
        <v>764.53798817761208</v>
      </c>
    </row>
    <row r="108" spans="4:16" ht="16.5" customHeight="1" x14ac:dyDescent="0.15">
      <c r="D108" s="555"/>
      <c r="E108" s="556"/>
      <c r="F108" s="556"/>
      <c r="G108" s="657"/>
      <c r="H108" s="547"/>
      <c r="I108" s="594"/>
      <c r="J108" s="547"/>
      <c r="K108" s="594"/>
      <c r="L108" s="579"/>
      <c r="M108" s="579"/>
      <c r="N108" s="627"/>
      <c r="O108" s="651"/>
      <c r="P108" s="653"/>
    </row>
    <row r="109" spans="4:16" ht="16.5" customHeight="1" x14ac:dyDescent="0.15">
      <c r="D109" s="555"/>
      <c r="E109" s="556"/>
      <c r="F109" s="556"/>
      <c r="G109" s="657"/>
      <c r="H109" s="547">
        <f t="shared" ref="H109" si="59">+H107</f>
        <v>1.3</v>
      </c>
      <c r="I109" s="594"/>
      <c r="J109" s="547">
        <f t="shared" ref="J109" si="60">+J107</f>
        <v>1.3</v>
      </c>
      <c r="K109" s="594"/>
      <c r="L109" s="577">
        <f t="shared" ref="L109" si="61">+L107+1</f>
        <v>57</v>
      </c>
      <c r="M109" s="577"/>
      <c r="N109" s="626">
        <f>+G96*J109</f>
        <v>187.20000000000002</v>
      </c>
      <c r="O109" s="651">
        <f>+E70*N109</f>
        <v>764.53798817761208</v>
      </c>
      <c r="P109" s="653">
        <f>+E73*O109</f>
        <v>764.53798817761208</v>
      </c>
    </row>
    <row r="110" spans="4:16" ht="16.5" customHeight="1" x14ac:dyDescent="0.15">
      <c r="D110" s="555"/>
      <c r="E110" s="556"/>
      <c r="F110" s="556"/>
      <c r="G110" s="657"/>
      <c r="H110" s="547"/>
      <c r="I110" s="594"/>
      <c r="J110" s="547"/>
      <c r="K110" s="594"/>
      <c r="L110" s="579"/>
      <c r="M110" s="579"/>
      <c r="N110" s="627"/>
      <c r="O110" s="651"/>
      <c r="P110" s="653"/>
    </row>
    <row r="111" spans="4:16" ht="16.5" customHeight="1" x14ac:dyDescent="0.15">
      <c r="D111" s="555"/>
      <c r="E111" s="556"/>
      <c r="F111" s="556"/>
      <c r="G111" s="657"/>
      <c r="H111" s="547">
        <f t="shared" ref="H111" si="62">+H109</f>
        <v>1.3</v>
      </c>
      <c r="I111" s="79">
        <f>+E96-I96-H97-H99-H101-H103-H105-H107-H109</f>
        <v>5.0000000000001155E-2</v>
      </c>
      <c r="J111" s="547">
        <f t="shared" ref="J111" si="63">+J109</f>
        <v>1.3</v>
      </c>
      <c r="K111" s="79">
        <f>+F96-K96-J97-J99-J101-J103-J105-J107-J109</f>
        <v>5.0000000000001155E-2</v>
      </c>
      <c r="L111" s="577">
        <f t="shared" ref="L111" si="64">+L109+1</f>
        <v>58</v>
      </c>
      <c r="M111" s="577"/>
      <c r="N111" s="626">
        <f>+G96*K111+G112*K112</f>
        <v>51.200000000000131</v>
      </c>
      <c r="O111" s="651">
        <f>+E70*N111</f>
        <v>209.10440702293715</v>
      </c>
      <c r="P111" s="653">
        <f>+E73*O111</f>
        <v>209.10440702293715</v>
      </c>
    </row>
    <row r="112" spans="4:16" ht="16.5" customHeight="1" x14ac:dyDescent="0.15">
      <c r="D112" s="555" t="s">
        <v>205</v>
      </c>
      <c r="E112" s="556">
        <f>+E48</f>
        <v>10.8</v>
      </c>
      <c r="F112" s="556">
        <f>+E112-E69</f>
        <v>9.5</v>
      </c>
      <c r="G112" s="657">
        <f>+G48</f>
        <v>35.200000000000003</v>
      </c>
      <c r="H112" s="547"/>
      <c r="I112" s="79">
        <f>+H111-I111</f>
        <v>1.2499999999999989</v>
      </c>
      <c r="J112" s="547"/>
      <c r="K112" s="79">
        <f>+J111-K111</f>
        <v>1.2499999999999989</v>
      </c>
      <c r="L112" s="579"/>
      <c r="M112" s="579"/>
      <c r="N112" s="627"/>
      <c r="O112" s="651"/>
      <c r="P112" s="653"/>
    </row>
    <row r="113" spans="4:16" ht="16.5" customHeight="1" x14ac:dyDescent="0.15">
      <c r="D113" s="555"/>
      <c r="E113" s="556"/>
      <c r="F113" s="556"/>
      <c r="G113" s="657"/>
      <c r="H113" s="547">
        <f t="shared" ref="H113" si="65">+H111</f>
        <v>1.3</v>
      </c>
      <c r="I113" s="591"/>
      <c r="J113" s="547">
        <f t="shared" ref="J113" si="66">+J111</f>
        <v>1.3</v>
      </c>
      <c r="K113" s="591"/>
      <c r="L113" s="577">
        <f t="shared" ref="L113" si="67">+L111+1</f>
        <v>59</v>
      </c>
      <c r="M113" s="577"/>
      <c r="N113" s="626">
        <f>+G112*J113</f>
        <v>45.760000000000005</v>
      </c>
      <c r="O113" s="651">
        <f>+E70*N113</f>
        <v>186.88706377674964</v>
      </c>
      <c r="P113" s="653">
        <f>+E73*O113</f>
        <v>186.88706377674964</v>
      </c>
    </row>
    <row r="114" spans="4:16" ht="16.5" customHeight="1" x14ac:dyDescent="0.15">
      <c r="D114" s="555"/>
      <c r="E114" s="556"/>
      <c r="F114" s="556"/>
      <c r="G114" s="657"/>
      <c r="H114" s="547"/>
      <c r="I114" s="591"/>
      <c r="J114" s="547"/>
      <c r="K114" s="591"/>
      <c r="L114" s="579"/>
      <c r="M114" s="579"/>
      <c r="N114" s="627"/>
      <c r="O114" s="651"/>
      <c r="P114" s="653"/>
    </row>
    <row r="115" spans="4:16" ht="16.5" customHeight="1" x14ac:dyDescent="0.15">
      <c r="D115" s="555"/>
      <c r="E115" s="556"/>
      <c r="F115" s="556"/>
      <c r="G115" s="657"/>
      <c r="H115" s="547">
        <f t="shared" ref="H115" si="68">+H113</f>
        <v>1.3</v>
      </c>
      <c r="I115" s="591"/>
      <c r="J115" s="547">
        <f t="shared" ref="J115" si="69">+J113</f>
        <v>1.3</v>
      </c>
      <c r="K115" s="591"/>
      <c r="L115" s="577">
        <f t="shared" ref="L115" si="70">+L113+1</f>
        <v>60</v>
      </c>
      <c r="M115" s="577"/>
      <c r="N115" s="626">
        <f>+G112*J115</f>
        <v>45.760000000000005</v>
      </c>
      <c r="O115" s="651">
        <f>+E70*N115</f>
        <v>186.88706377674964</v>
      </c>
      <c r="P115" s="653">
        <f>+E73*O115</f>
        <v>186.88706377674964</v>
      </c>
    </row>
    <row r="116" spans="4:16" ht="16.5" customHeight="1" x14ac:dyDescent="0.15">
      <c r="D116" s="555"/>
      <c r="E116" s="556"/>
      <c r="F116" s="556"/>
      <c r="G116" s="657"/>
      <c r="H116" s="547"/>
      <c r="I116" s="591"/>
      <c r="J116" s="547"/>
      <c r="K116" s="591"/>
      <c r="L116" s="579"/>
      <c r="M116" s="579"/>
      <c r="N116" s="627"/>
      <c r="O116" s="651"/>
      <c r="P116" s="653"/>
    </row>
    <row r="117" spans="4:16" ht="16.5" customHeight="1" x14ac:dyDescent="0.15">
      <c r="D117" s="555"/>
      <c r="E117" s="556"/>
      <c r="F117" s="556"/>
      <c r="G117" s="657"/>
      <c r="H117" s="547">
        <f t="shared" ref="H117" si="71">+H115</f>
        <v>1.3</v>
      </c>
      <c r="I117" s="591"/>
      <c r="J117" s="547">
        <f t="shared" ref="J117" si="72">+J115</f>
        <v>1.3</v>
      </c>
      <c r="K117" s="591"/>
      <c r="L117" s="577">
        <f t="shared" ref="L117" si="73">+L115+1</f>
        <v>61</v>
      </c>
      <c r="M117" s="577"/>
      <c r="N117" s="626">
        <f>+G112*J117</f>
        <v>45.760000000000005</v>
      </c>
      <c r="O117" s="651">
        <f>+E70*N117</f>
        <v>186.88706377674964</v>
      </c>
      <c r="P117" s="653">
        <f>+E73*O117</f>
        <v>186.88706377674964</v>
      </c>
    </row>
    <row r="118" spans="4:16" ht="16.5" customHeight="1" x14ac:dyDescent="0.15">
      <c r="D118" s="555"/>
      <c r="E118" s="556"/>
      <c r="F118" s="556"/>
      <c r="G118" s="657"/>
      <c r="H118" s="547"/>
      <c r="I118" s="591"/>
      <c r="J118" s="547"/>
      <c r="K118" s="591"/>
      <c r="L118" s="579"/>
      <c r="M118" s="579"/>
      <c r="N118" s="627"/>
      <c r="O118" s="651"/>
      <c r="P118" s="653"/>
    </row>
    <row r="119" spans="4:16" ht="16.5" customHeight="1" x14ac:dyDescent="0.15">
      <c r="D119" s="555"/>
      <c r="E119" s="556"/>
      <c r="F119" s="556"/>
      <c r="G119" s="657"/>
      <c r="H119" s="547">
        <f>+H117</f>
        <v>1.3</v>
      </c>
      <c r="I119" s="591"/>
      <c r="J119" s="547">
        <f>+J117</f>
        <v>1.3</v>
      </c>
      <c r="K119" s="591"/>
      <c r="L119" s="577">
        <f>+L117+1</f>
        <v>62</v>
      </c>
      <c r="M119" s="577"/>
      <c r="N119" s="626">
        <f>+G112*J119</f>
        <v>45.760000000000005</v>
      </c>
      <c r="O119" s="651">
        <f>+E70*N119</f>
        <v>186.88706377674964</v>
      </c>
      <c r="P119" s="653">
        <f>+E73*O119</f>
        <v>186.88706377674964</v>
      </c>
    </row>
    <row r="120" spans="4:16" ht="16.5" customHeight="1" x14ac:dyDescent="0.15">
      <c r="D120" s="555"/>
      <c r="E120" s="556"/>
      <c r="F120" s="556"/>
      <c r="G120" s="657"/>
      <c r="H120" s="547"/>
      <c r="I120" s="591"/>
      <c r="J120" s="547"/>
      <c r="K120" s="591"/>
      <c r="L120" s="579"/>
      <c r="M120" s="579"/>
      <c r="N120" s="627"/>
      <c r="O120" s="651"/>
      <c r="P120" s="653"/>
    </row>
    <row r="121" spans="4:16" ht="16.5" customHeight="1" x14ac:dyDescent="0.15">
      <c r="D121" s="555"/>
      <c r="E121" s="556"/>
      <c r="F121" s="556"/>
      <c r="G121" s="657"/>
      <c r="H121" s="547">
        <f t="shared" ref="H121" si="74">+H119</f>
        <v>1.3</v>
      </c>
      <c r="I121" s="591"/>
      <c r="J121" s="547">
        <f t="shared" ref="J121" si="75">+J119</f>
        <v>1.3</v>
      </c>
      <c r="K121" s="591"/>
      <c r="L121" s="577">
        <f t="shared" ref="L121" si="76">+L119+1</f>
        <v>63</v>
      </c>
      <c r="M121" s="577"/>
      <c r="N121" s="626">
        <f>+G112*J121</f>
        <v>45.760000000000005</v>
      </c>
      <c r="O121" s="651">
        <f>+E70*N121</f>
        <v>186.88706377674964</v>
      </c>
      <c r="P121" s="653">
        <f>+E73*O121</f>
        <v>186.88706377674964</v>
      </c>
    </row>
    <row r="122" spans="4:16" ht="16.5" customHeight="1" x14ac:dyDescent="0.15">
      <c r="D122" s="555"/>
      <c r="E122" s="556"/>
      <c r="F122" s="556"/>
      <c r="G122" s="657"/>
      <c r="H122" s="547"/>
      <c r="I122" s="591"/>
      <c r="J122" s="547"/>
      <c r="K122" s="591"/>
      <c r="L122" s="579"/>
      <c r="M122" s="579"/>
      <c r="N122" s="627"/>
      <c r="O122" s="651"/>
      <c r="P122" s="653"/>
    </row>
    <row r="123" spans="4:16" ht="16.5" customHeight="1" x14ac:dyDescent="0.15">
      <c r="D123" s="555"/>
      <c r="E123" s="556"/>
      <c r="F123" s="556"/>
      <c r="G123" s="657"/>
      <c r="H123" s="547">
        <f t="shared" ref="H123" si="77">+H121</f>
        <v>1.3</v>
      </c>
      <c r="I123" s="591"/>
      <c r="J123" s="547">
        <f t="shared" ref="J123" si="78">+J121</f>
        <v>1.3</v>
      </c>
      <c r="K123" s="591"/>
      <c r="L123" s="577">
        <f t="shared" ref="L123" si="79">+L121+1</f>
        <v>64</v>
      </c>
      <c r="M123" s="577"/>
      <c r="N123" s="626">
        <f>+G112*J123</f>
        <v>45.760000000000005</v>
      </c>
      <c r="O123" s="651">
        <f>+E70*N123</f>
        <v>186.88706377674964</v>
      </c>
      <c r="P123" s="653">
        <f>+E73*O123</f>
        <v>186.88706377674964</v>
      </c>
    </row>
    <row r="124" spans="4:16" ht="16.5" customHeight="1" x14ac:dyDescent="0.15">
      <c r="D124" s="555"/>
      <c r="E124" s="556"/>
      <c r="F124" s="556"/>
      <c r="G124" s="657"/>
      <c r="H124" s="547"/>
      <c r="I124" s="591"/>
      <c r="J124" s="547"/>
      <c r="K124" s="591"/>
      <c r="L124" s="579"/>
      <c r="M124" s="579"/>
      <c r="N124" s="627"/>
      <c r="O124" s="651"/>
      <c r="P124" s="653"/>
    </row>
    <row r="125" spans="4:16" ht="16.5" customHeight="1" x14ac:dyDescent="0.15">
      <c r="D125" s="555"/>
      <c r="E125" s="556"/>
      <c r="F125" s="556"/>
      <c r="G125" s="657"/>
      <c r="H125" s="547">
        <f>+H61</f>
        <v>1.2</v>
      </c>
      <c r="I125" s="591"/>
      <c r="J125" s="547">
        <f>+F112-K112-J113-J115-J117-J119-J121-J123</f>
        <v>0.4500000000000024</v>
      </c>
      <c r="K125" s="591"/>
      <c r="L125" s="577">
        <f t="shared" ref="L125" si="80">+L123+1</f>
        <v>65</v>
      </c>
      <c r="M125" s="577"/>
      <c r="N125" s="626">
        <f>+G112*J125</f>
        <v>15.840000000000085</v>
      </c>
      <c r="O125" s="651">
        <f>+E70*N125</f>
        <v>64.691675922721373</v>
      </c>
      <c r="P125" s="653">
        <f>+E73*O125</f>
        <v>64.691675922721373</v>
      </c>
    </row>
    <row r="126" spans="4:16" ht="16.5" customHeight="1" x14ac:dyDescent="0.15">
      <c r="D126" s="555"/>
      <c r="E126" s="556"/>
      <c r="F126" s="556"/>
      <c r="G126" s="657"/>
      <c r="H126" s="547"/>
      <c r="I126" s="591"/>
      <c r="J126" s="547"/>
      <c r="K126" s="591"/>
      <c r="L126" s="579"/>
      <c r="M126" s="579"/>
      <c r="N126" s="627"/>
      <c r="O126" s="651"/>
      <c r="P126" s="653"/>
    </row>
    <row r="127" spans="4:16" ht="16.5" customHeight="1" x14ac:dyDescent="0.15">
      <c r="D127" s="555"/>
      <c r="E127" s="556"/>
      <c r="F127" s="556"/>
      <c r="G127" s="657"/>
      <c r="H127" s="98">
        <f>+E112-I112-H113-H115-H117-H119-H121-H123-H125</f>
        <v>0.55000000000000249</v>
      </c>
      <c r="I127" s="99"/>
      <c r="J127" s="99" t="s">
        <v>157</v>
      </c>
      <c r="K127" s="99"/>
      <c r="L127" s="37">
        <f>+L125+1</f>
        <v>66</v>
      </c>
      <c r="M127" s="37"/>
      <c r="N127" s="95" t="s">
        <v>157</v>
      </c>
      <c r="O127" s="95" t="s">
        <v>157</v>
      </c>
      <c r="P127" s="95" t="s">
        <v>157</v>
      </c>
    </row>
    <row r="128" spans="4:16" ht="16.5" customHeight="1" x14ac:dyDescent="0.15">
      <c r="D128" s="89" t="s">
        <v>228</v>
      </c>
      <c r="E128" s="79">
        <f>SUM(E79:E127)</f>
        <v>31</v>
      </c>
      <c r="F128" s="79">
        <f>SUM(F79:F127)</f>
        <v>24.808999999999997</v>
      </c>
      <c r="G128" s="88"/>
      <c r="H128" s="79">
        <f>SUM(H79:H127)</f>
        <v>31.000000000000014</v>
      </c>
      <c r="I128" s="88"/>
      <c r="J128" s="79">
        <f>SUM(J79:J127)</f>
        <v>23.850000000000009</v>
      </c>
      <c r="K128" s="334"/>
      <c r="L128" s="327"/>
      <c r="M128" s="327"/>
      <c r="N128" s="327"/>
      <c r="O128" s="327"/>
      <c r="P128" s="328"/>
    </row>
  </sheetData>
  <mergeCells count="462">
    <mergeCell ref="N125:N126"/>
    <mergeCell ref="O125:O126"/>
    <mergeCell ref="P125:P126"/>
    <mergeCell ref="K128:P128"/>
    <mergeCell ref="H125:H126"/>
    <mergeCell ref="I125:I126"/>
    <mergeCell ref="J125:J126"/>
    <mergeCell ref="K125:K126"/>
    <mergeCell ref="L125:L126"/>
    <mergeCell ref="M125:M126"/>
    <mergeCell ref="P121:P122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P123:P124"/>
    <mergeCell ref="J121:J122"/>
    <mergeCell ref="K121:K122"/>
    <mergeCell ref="L121:L122"/>
    <mergeCell ref="M121:M122"/>
    <mergeCell ref="N121:N122"/>
    <mergeCell ref="O121:O122"/>
    <mergeCell ref="P117:P118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P119:P120"/>
    <mergeCell ref="J117:J118"/>
    <mergeCell ref="K117:K118"/>
    <mergeCell ref="L117:L118"/>
    <mergeCell ref="M117:M118"/>
    <mergeCell ref="N117:N118"/>
    <mergeCell ref="O117:O118"/>
    <mergeCell ref="P113:P114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J113:J114"/>
    <mergeCell ref="K113:K114"/>
    <mergeCell ref="L113:L114"/>
    <mergeCell ref="M113:M114"/>
    <mergeCell ref="N113:N114"/>
    <mergeCell ref="O113:O114"/>
    <mergeCell ref="D112:D127"/>
    <mergeCell ref="E112:E127"/>
    <mergeCell ref="F112:F127"/>
    <mergeCell ref="G112:G127"/>
    <mergeCell ref="H113:H114"/>
    <mergeCell ref="I113:I114"/>
    <mergeCell ref="H117:H118"/>
    <mergeCell ref="I117:I118"/>
    <mergeCell ref="H121:H122"/>
    <mergeCell ref="I121:I122"/>
    <mergeCell ref="N109:N110"/>
    <mergeCell ref="O109:O110"/>
    <mergeCell ref="P109:P110"/>
    <mergeCell ref="H111:H112"/>
    <mergeCell ref="J111:J112"/>
    <mergeCell ref="L111:L112"/>
    <mergeCell ref="M111:M112"/>
    <mergeCell ref="N111:N112"/>
    <mergeCell ref="O111:O112"/>
    <mergeCell ref="P111:P112"/>
    <mergeCell ref="H109:H110"/>
    <mergeCell ref="I109:I110"/>
    <mergeCell ref="J109:J110"/>
    <mergeCell ref="K109:K110"/>
    <mergeCell ref="L109:L110"/>
    <mergeCell ref="M109:M110"/>
    <mergeCell ref="P105:P106"/>
    <mergeCell ref="H107:H108"/>
    <mergeCell ref="I107:I108"/>
    <mergeCell ref="J107:J108"/>
    <mergeCell ref="K107:K108"/>
    <mergeCell ref="L107:L108"/>
    <mergeCell ref="M107:M108"/>
    <mergeCell ref="N107:N108"/>
    <mergeCell ref="O107:O108"/>
    <mergeCell ref="P107:P108"/>
    <mergeCell ref="J105:J106"/>
    <mergeCell ref="K105:K106"/>
    <mergeCell ref="L105:L106"/>
    <mergeCell ref="M105:M106"/>
    <mergeCell ref="N105:N106"/>
    <mergeCell ref="O105:O106"/>
    <mergeCell ref="P101:P102"/>
    <mergeCell ref="H103:H104"/>
    <mergeCell ref="I103:I104"/>
    <mergeCell ref="J103:J104"/>
    <mergeCell ref="K103:K104"/>
    <mergeCell ref="L103:L104"/>
    <mergeCell ref="M103:M104"/>
    <mergeCell ref="N103:N104"/>
    <mergeCell ref="O103:O104"/>
    <mergeCell ref="P103:P104"/>
    <mergeCell ref="J101:J102"/>
    <mergeCell ref="K101:K102"/>
    <mergeCell ref="L101:L102"/>
    <mergeCell ref="M101:M102"/>
    <mergeCell ref="N101:N102"/>
    <mergeCell ref="O101:O102"/>
    <mergeCell ref="P97:P98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J97:J98"/>
    <mergeCell ref="K97:K98"/>
    <mergeCell ref="L97:L98"/>
    <mergeCell ref="M97:M98"/>
    <mergeCell ref="N97:N98"/>
    <mergeCell ref="O97:O98"/>
    <mergeCell ref="D96:D111"/>
    <mergeCell ref="E96:E111"/>
    <mergeCell ref="F96:F111"/>
    <mergeCell ref="G96:G111"/>
    <mergeCell ref="H97:H98"/>
    <mergeCell ref="I97:I98"/>
    <mergeCell ref="H101:H102"/>
    <mergeCell ref="I101:I102"/>
    <mergeCell ref="H105:H106"/>
    <mergeCell ref="I105:I106"/>
    <mergeCell ref="L94:L96"/>
    <mergeCell ref="M94:M96"/>
    <mergeCell ref="N94:N96"/>
    <mergeCell ref="O94:O96"/>
    <mergeCell ref="P94:P96"/>
    <mergeCell ref="J92:J93"/>
    <mergeCell ref="K92:K93"/>
    <mergeCell ref="L92:L93"/>
    <mergeCell ref="M92:M93"/>
    <mergeCell ref="N92:N93"/>
    <mergeCell ref="O92:O93"/>
    <mergeCell ref="D91:D94"/>
    <mergeCell ref="E91:E94"/>
    <mergeCell ref="F91:F94"/>
    <mergeCell ref="G91:G94"/>
    <mergeCell ref="H92:H93"/>
    <mergeCell ref="I92:I93"/>
    <mergeCell ref="O88:O89"/>
    <mergeCell ref="P88:P89"/>
    <mergeCell ref="H90:H91"/>
    <mergeCell ref="J90:J91"/>
    <mergeCell ref="L90:L91"/>
    <mergeCell ref="M90:M91"/>
    <mergeCell ref="N90:N91"/>
    <mergeCell ref="O90:O91"/>
    <mergeCell ref="P90:P91"/>
    <mergeCell ref="I88:I89"/>
    <mergeCell ref="J88:J89"/>
    <mergeCell ref="K88:K89"/>
    <mergeCell ref="L88:L89"/>
    <mergeCell ref="M88:M89"/>
    <mergeCell ref="N88:N89"/>
    <mergeCell ref="P92:P93"/>
    <mergeCell ref="H94:H96"/>
    <mergeCell ref="J94:J96"/>
    <mergeCell ref="L86:L87"/>
    <mergeCell ref="M86:M87"/>
    <mergeCell ref="N86:N87"/>
    <mergeCell ref="O86:O87"/>
    <mergeCell ref="P86:P87"/>
    <mergeCell ref="D87:D90"/>
    <mergeCell ref="E87:E90"/>
    <mergeCell ref="F87:F90"/>
    <mergeCell ref="G87:G90"/>
    <mergeCell ref="H88:H89"/>
    <mergeCell ref="D85:D86"/>
    <mergeCell ref="E85:E86"/>
    <mergeCell ref="F85:F86"/>
    <mergeCell ref="G85:G86"/>
    <mergeCell ref="H86:H87"/>
    <mergeCell ref="J86:J87"/>
    <mergeCell ref="P80:P81"/>
    <mergeCell ref="L74:M78"/>
    <mergeCell ref="N74:N78"/>
    <mergeCell ref="O74:P77"/>
    <mergeCell ref="N82:N83"/>
    <mergeCell ref="O82:O83"/>
    <mergeCell ref="P82:P83"/>
    <mergeCell ref="H84:H85"/>
    <mergeCell ref="J84:J85"/>
    <mergeCell ref="L84:L85"/>
    <mergeCell ref="M84:M85"/>
    <mergeCell ref="N84:N85"/>
    <mergeCell ref="O84:O85"/>
    <mergeCell ref="P84:P85"/>
    <mergeCell ref="H82:H83"/>
    <mergeCell ref="I82:I83"/>
    <mergeCell ref="J82:J83"/>
    <mergeCell ref="K82:K83"/>
    <mergeCell ref="L82:L83"/>
    <mergeCell ref="M82:M83"/>
    <mergeCell ref="D79:D84"/>
    <mergeCell ref="E79:E84"/>
    <mergeCell ref="F79:F84"/>
    <mergeCell ref="G79:G84"/>
    <mergeCell ref="H80:H81"/>
    <mergeCell ref="I80:I81"/>
    <mergeCell ref="J80:J81"/>
    <mergeCell ref="N61:N62"/>
    <mergeCell ref="O61:O62"/>
    <mergeCell ref="K80:K81"/>
    <mergeCell ref="L80:L81"/>
    <mergeCell ref="M80:M81"/>
    <mergeCell ref="N80:N81"/>
    <mergeCell ref="O80:O81"/>
    <mergeCell ref="P61:P62"/>
    <mergeCell ref="K64:P64"/>
    <mergeCell ref="D74:D78"/>
    <mergeCell ref="E74:E78"/>
    <mergeCell ref="F74:F78"/>
    <mergeCell ref="G74:G78"/>
    <mergeCell ref="H74:I78"/>
    <mergeCell ref="J74:K78"/>
    <mergeCell ref="H61:H62"/>
    <mergeCell ref="I61:I62"/>
    <mergeCell ref="J61:J62"/>
    <mergeCell ref="K61:K62"/>
    <mergeCell ref="L61:L62"/>
    <mergeCell ref="M61:M62"/>
    <mergeCell ref="D48:D63"/>
    <mergeCell ref="E48:E63"/>
    <mergeCell ref="F48:F63"/>
    <mergeCell ref="G48:G63"/>
    <mergeCell ref="P57:P58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J57:J58"/>
    <mergeCell ref="K57:K58"/>
    <mergeCell ref="L57:L58"/>
    <mergeCell ref="M57:M58"/>
    <mergeCell ref="N57:N58"/>
    <mergeCell ref="O57:O58"/>
    <mergeCell ref="H57:H58"/>
    <mergeCell ref="I57:I58"/>
    <mergeCell ref="P53:P54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J53:J54"/>
    <mergeCell ref="K53:K54"/>
    <mergeCell ref="L53:L54"/>
    <mergeCell ref="M53:M54"/>
    <mergeCell ref="N53:N54"/>
    <mergeCell ref="O53:O54"/>
    <mergeCell ref="H53:H54"/>
    <mergeCell ref="I53:I54"/>
    <mergeCell ref="P49:P50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J49:J50"/>
    <mergeCell ref="K49:K50"/>
    <mergeCell ref="L49:L50"/>
    <mergeCell ref="M49:M50"/>
    <mergeCell ref="N49:N50"/>
    <mergeCell ref="O49:O50"/>
    <mergeCell ref="H49:H50"/>
    <mergeCell ref="I49:I50"/>
    <mergeCell ref="N45:N46"/>
    <mergeCell ref="O45:O46"/>
    <mergeCell ref="P45:P46"/>
    <mergeCell ref="H47:H48"/>
    <mergeCell ref="J47:J48"/>
    <mergeCell ref="L47:L48"/>
    <mergeCell ref="M47:M48"/>
    <mergeCell ref="N47:N48"/>
    <mergeCell ref="O47:O48"/>
    <mergeCell ref="P47:P48"/>
    <mergeCell ref="H45:H46"/>
    <mergeCell ref="I45:I46"/>
    <mergeCell ref="J45:J46"/>
    <mergeCell ref="K45:K46"/>
    <mergeCell ref="L45:L46"/>
    <mergeCell ref="M45:M46"/>
    <mergeCell ref="P41:P42"/>
    <mergeCell ref="H43:H44"/>
    <mergeCell ref="I43:I44"/>
    <mergeCell ref="J43:J44"/>
    <mergeCell ref="K43:K44"/>
    <mergeCell ref="L43:L44"/>
    <mergeCell ref="M43:M44"/>
    <mergeCell ref="N43:N44"/>
    <mergeCell ref="O43:O44"/>
    <mergeCell ref="P43:P44"/>
    <mergeCell ref="J41:J42"/>
    <mergeCell ref="K41:K42"/>
    <mergeCell ref="L41:L42"/>
    <mergeCell ref="M41:M42"/>
    <mergeCell ref="N41:N42"/>
    <mergeCell ref="O41:O42"/>
    <mergeCell ref="P37:P38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J37:J38"/>
    <mergeCell ref="K37:K38"/>
    <mergeCell ref="L37:L38"/>
    <mergeCell ref="M37:M38"/>
    <mergeCell ref="N37:N38"/>
    <mergeCell ref="O37:O38"/>
    <mergeCell ref="P33:P34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J33:J34"/>
    <mergeCell ref="K33:K34"/>
    <mergeCell ref="L33:L34"/>
    <mergeCell ref="M33:M34"/>
    <mergeCell ref="N33:N34"/>
    <mergeCell ref="O33:O34"/>
    <mergeCell ref="D32:D47"/>
    <mergeCell ref="E32:E47"/>
    <mergeCell ref="F32:F47"/>
    <mergeCell ref="G32:G47"/>
    <mergeCell ref="H33:H34"/>
    <mergeCell ref="I33:I34"/>
    <mergeCell ref="H37:H38"/>
    <mergeCell ref="I37:I38"/>
    <mergeCell ref="H41:H42"/>
    <mergeCell ref="I41:I42"/>
    <mergeCell ref="L30:L32"/>
    <mergeCell ref="M30:M32"/>
    <mergeCell ref="N30:N32"/>
    <mergeCell ref="O30:O32"/>
    <mergeCell ref="P30:P32"/>
    <mergeCell ref="J28:J29"/>
    <mergeCell ref="K28:K29"/>
    <mergeCell ref="L28:L29"/>
    <mergeCell ref="M28:M29"/>
    <mergeCell ref="N28:N29"/>
    <mergeCell ref="O28:O29"/>
    <mergeCell ref="D27:D30"/>
    <mergeCell ref="E27:E30"/>
    <mergeCell ref="F27:F30"/>
    <mergeCell ref="G27:G30"/>
    <mergeCell ref="H28:H29"/>
    <mergeCell ref="I28:I29"/>
    <mergeCell ref="O24:O25"/>
    <mergeCell ref="P24:P25"/>
    <mergeCell ref="H26:H27"/>
    <mergeCell ref="J26:J27"/>
    <mergeCell ref="L26:L27"/>
    <mergeCell ref="M26:M27"/>
    <mergeCell ref="N26:N27"/>
    <mergeCell ref="O26:O27"/>
    <mergeCell ref="P26:P27"/>
    <mergeCell ref="I24:I25"/>
    <mergeCell ref="J24:J25"/>
    <mergeCell ref="K24:K25"/>
    <mergeCell ref="L24:L25"/>
    <mergeCell ref="M24:M25"/>
    <mergeCell ref="N24:N25"/>
    <mergeCell ref="P28:P29"/>
    <mergeCell ref="H30:H32"/>
    <mergeCell ref="J30:J32"/>
    <mergeCell ref="L22:L23"/>
    <mergeCell ref="M22:M23"/>
    <mergeCell ref="N22:N23"/>
    <mergeCell ref="O22:O23"/>
    <mergeCell ref="P22:P23"/>
    <mergeCell ref="D23:D26"/>
    <mergeCell ref="E23:E26"/>
    <mergeCell ref="F23:F26"/>
    <mergeCell ref="G23:G26"/>
    <mergeCell ref="H24:H25"/>
    <mergeCell ref="D21:D22"/>
    <mergeCell ref="E21:E22"/>
    <mergeCell ref="F21:F22"/>
    <mergeCell ref="G21:G22"/>
    <mergeCell ref="H22:H23"/>
    <mergeCell ref="J22:J23"/>
    <mergeCell ref="L20:L21"/>
    <mergeCell ref="M20:M21"/>
    <mergeCell ref="N20:N21"/>
    <mergeCell ref="O20:O21"/>
    <mergeCell ref="P20:P21"/>
    <mergeCell ref="H18:H19"/>
    <mergeCell ref="I18:I19"/>
    <mergeCell ref="J18:J19"/>
    <mergeCell ref="K18:K19"/>
    <mergeCell ref="L18:L19"/>
    <mergeCell ref="M18:M19"/>
    <mergeCell ref="L16:L17"/>
    <mergeCell ref="M16:M17"/>
    <mergeCell ref="N16:N17"/>
    <mergeCell ref="O16:O17"/>
    <mergeCell ref="P16:P17"/>
    <mergeCell ref="L10:M14"/>
    <mergeCell ref="N10:N14"/>
    <mergeCell ref="O10:P13"/>
    <mergeCell ref="N18:N19"/>
    <mergeCell ref="O18:O19"/>
    <mergeCell ref="P18:P19"/>
    <mergeCell ref="D15:D20"/>
    <mergeCell ref="E15:E20"/>
    <mergeCell ref="F15:F20"/>
    <mergeCell ref="G15:G20"/>
    <mergeCell ref="H16:H17"/>
    <mergeCell ref="I16:I17"/>
    <mergeCell ref="J16:J17"/>
    <mergeCell ref="D10:D14"/>
    <mergeCell ref="E10:E14"/>
    <mergeCell ref="F10:F14"/>
    <mergeCell ref="G10:G14"/>
    <mergeCell ref="H10:I14"/>
    <mergeCell ref="J10:K14"/>
    <mergeCell ref="K16:K17"/>
    <mergeCell ref="H20:H21"/>
    <mergeCell ref="J20:J21"/>
  </mergeCells>
  <phoneticPr fontId="1"/>
  <pageMargins left="0.78740157480314965" right="0.27559055118110237" top="0.59055118110236227" bottom="0.15748031496062992" header="0.78740157480314965" footer="0.15748031496062992"/>
  <pageSetup paperSize="9" scale="80" orientation="portrait" r:id="rId1"/>
  <headerFooter alignWithMargins="0"/>
  <rowBreaks count="1" manualBreakCount="1">
    <brk id="66" max="17" man="1"/>
  </rowBreaks>
  <ignoredErrors>
    <ignoredError sqref="I22:I30 I47 N26 I86:I94 N90 I111 F112 F87:F111 E70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645B-CAE8-472D-B857-43283D9D7E9C}">
  <dimension ref="C2:P124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4" width="6.625" style="17" customWidth="1"/>
    <col min="5" max="7" width="8.625" style="17" customWidth="1"/>
    <col min="8" max="11" width="6.625" style="17" customWidth="1"/>
    <col min="12" max="13" width="4.625" style="17" customWidth="1"/>
    <col min="14" max="14" width="8.625" style="17" customWidth="1"/>
    <col min="15" max="16" width="10.625" style="17" customWidth="1"/>
    <col min="17" max="17" width="2.625" style="17" customWidth="1"/>
    <col min="18" max="16384" width="2.625" style="17"/>
  </cols>
  <sheetData>
    <row r="2" spans="3:16" ht="16.5" customHeight="1" x14ac:dyDescent="0.15">
      <c r="C2" s="18" t="s">
        <v>222</v>
      </c>
      <c r="D2" s="17" t="s">
        <v>225</v>
      </c>
    </row>
    <row r="3" spans="3:16" ht="16.5" customHeight="1" x14ac:dyDescent="0.15">
      <c r="D3" s="17" t="s">
        <v>202</v>
      </c>
      <c r="E3" s="73">
        <v>1.3</v>
      </c>
      <c r="F3" s="17" t="s">
        <v>29</v>
      </c>
    </row>
    <row r="4" spans="3:16" ht="16.5" customHeight="1" x14ac:dyDescent="0.15">
      <c r="D4" s="17" t="s">
        <v>327</v>
      </c>
      <c r="E4" s="68">
        <f>+PI()*E3</f>
        <v>4.0840704496667311</v>
      </c>
      <c r="F4" s="17" t="s">
        <v>29</v>
      </c>
    </row>
    <row r="5" spans="3:16" ht="16.5" customHeight="1" x14ac:dyDescent="0.15">
      <c r="D5" s="17" t="s">
        <v>207</v>
      </c>
      <c r="E5" s="73">
        <v>31</v>
      </c>
      <c r="F5" s="17" t="s">
        <v>29</v>
      </c>
    </row>
    <row r="6" spans="3:16" ht="16.5" customHeight="1" x14ac:dyDescent="0.15">
      <c r="D6" s="17" t="s">
        <v>227</v>
      </c>
      <c r="E6" s="73">
        <v>4.9450000000000003</v>
      </c>
      <c r="F6" s="17" t="s">
        <v>29</v>
      </c>
    </row>
    <row r="7" spans="3:16" ht="16.5" customHeight="1" x14ac:dyDescent="0.15">
      <c r="D7" s="17" t="s">
        <v>200</v>
      </c>
      <c r="E7" s="77">
        <v>3</v>
      </c>
      <c r="F7" s="17" t="s">
        <v>206</v>
      </c>
    </row>
    <row r="8" spans="3:16" ht="16.5" customHeight="1" x14ac:dyDescent="0.15">
      <c r="D8" s="376" t="s">
        <v>199</v>
      </c>
      <c r="E8" s="549" t="s">
        <v>229</v>
      </c>
      <c r="F8" s="549" t="s">
        <v>329</v>
      </c>
      <c r="G8" s="552" t="s">
        <v>331</v>
      </c>
      <c r="H8" s="362" t="s">
        <v>231</v>
      </c>
      <c r="I8" s="363"/>
      <c r="J8" s="362" t="s">
        <v>232</v>
      </c>
      <c r="K8" s="363"/>
      <c r="L8" s="368" t="s">
        <v>226</v>
      </c>
      <c r="M8" s="370"/>
      <c r="N8" s="549" t="s">
        <v>330</v>
      </c>
      <c r="O8" s="362" t="s">
        <v>332</v>
      </c>
      <c r="P8" s="363"/>
    </row>
    <row r="9" spans="3:16" ht="16.5" customHeight="1" x14ac:dyDescent="0.15">
      <c r="D9" s="376"/>
      <c r="E9" s="550"/>
      <c r="F9" s="550"/>
      <c r="G9" s="553"/>
      <c r="H9" s="364"/>
      <c r="I9" s="365"/>
      <c r="J9" s="364"/>
      <c r="K9" s="365"/>
      <c r="L9" s="371"/>
      <c r="M9" s="372"/>
      <c r="N9" s="550"/>
      <c r="O9" s="364"/>
      <c r="P9" s="365"/>
    </row>
    <row r="10" spans="3:16" ht="16.5" customHeight="1" x14ac:dyDescent="0.15">
      <c r="D10" s="376"/>
      <c r="E10" s="550"/>
      <c r="F10" s="550"/>
      <c r="G10" s="553"/>
      <c r="H10" s="364"/>
      <c r="I10" s="365"/>
      <c r="J10" s="364"/>
      <c r="K10" s="365"/>
      <c r="L10" s="371"/>
      <c r="M10" s="372"/>
      <c r="N10" s="550"/>
      <c r="O10" s="364"/>
      <c r="P10" s="365"/>
    </row>
    <row r="11" spans="3:16" ht="16.5" customHeight="1" x14ac:dyDescent="0.15">
      <c r="D11" s="376"/>
      <c r="E11" s="550"/>
      <c r="F11" s="550"/>
      <c r="G11" s="553"/>
      <c r="H11" s="364"/>
      <c r="I11" s="365"/>
      <c r="J11" s="364"/>
      <c r="K11" s="365"/>
      <c r="L11" s="371"/>
      <c r="M11" s="372"/>
      <c r="N11" s="550"/>
      <c r="O11" s="366"/>
      <c r="P11" s="367"/>
    </row>
    <row r="12" spans="3:16" ht="16.5" customHeight="1" x14ac:dyDescent="0.15">
      <c r="D12" s="376"/>
      <c r="E12" s="551"/>
      <c r="F12" s="551"/>
      <c r="G12" s="554"/>
      <c r="H12" s="366"/>
      <c r="I12" s="367"/>
      <c r="J12" s="366"/>
      <c r="K12" s="367"/>
      <c r="L12" s="356"/>
      <c r="M12" s="357"/>
      <c r="N12" s="551"/>
      <c r="O12" s="69" t="s">
        <v>208</v>
      </c>
      <c r="P12" s="96">
        <f>+E7</f>
        <v>3</v>
      </c>
    </row>
    <row r="13" spans="3:16" ht="16.5" customHeight="1" x14ac:dyDescent="0.15">
      <c r="D13" s="559" t="s">
        <v>16</v>
      </c>
      <c r="E13" s="608">
        <v>1.5</v>
      </c>
      <c r="F13" s="610" t="s">
        <v>157</v>
      </c>
      <c r="G13" s="658">
        <v>21</v>
      </c>
      <c r="H13" s="98">
        <f>+E3/2</f>
        <v>0.65</v>
      </c>
      <c r="I13" s="79"/>
      <c r="J13" s="99" t="s">
        <v>157</v>
      </c>
      <c r="K13" s="99" t="s">
        <v>157</v>
      </c>
      <c r="L13" s="104">
        <v>98</v>
      </c>
      <c r="M13" s="104">
        <v>148</v>
      </c>
      <c r="N13" s="95" t="s">
        <v>157</v>
      </c>
      <c r="O13" s="95" t="s">
        <v>157</v>
      </c>
      <c r="P13" s="95" t="s">
        <v>157</v>
      </c>
    </row>
    <row r="14" spans="3:16" ht="16.5" customHeight="1" x14ac:dyDescent="0.15">
      <c r="D14" s="561"/>
      <c r="E14" s="609"/>
      <c r="F14" s="611"/>
      <c r="G14" s="659"/>
      <c r="H14" s="547">
        <f>+E3</f>
        <v>1.3</v>
      </c>
      <c r="I14" s="79">
        <f>+E13-H13</f>
        <v>0.85</v>
      </c>
      <c r="J14" s="600" t="s">
        <v>157</v>
      </c>
      <c r="K14" s="99" t="s">
        <v>157</v>
      </c>
      <c r="L14" s="577">
        <f>+L13+1</f>
        <v>99</v>
      </c>
      <c r="M14" s="577">
        <f>+M13+1</f>
        <v>149</v>
      </c>
      <c r="N14" s="589" t="s">
        <v>157</v>
      </c>
      <c r="O14" s="589" t="s">
        <v>157</v>
      </c>
      <c r="P14" s="589" t="s">
        <v>157</v>
      </c>
    </row>
    <row r="15" spans="3:16" ht="16.5" customHeight="1" x14ac:dyDescent="0.15">
      <c r="D15" s="555" t="s">
        <v>17</v>
      </c>
      <c r="E15" s="606">
        <v>1.3</v>
      </c>
      <c r="F15" s="602" t="s">
        <v>157</v>
      </c>
      <c r="G15" s="648">
        <v>111</v>
      </c>
      <c r="H15" s="547"/>
      <c r="I15" s="79">
        <f>+H14-I14</f>
        <v>0.45000000000000007</v>
      </c>
      <c r="J15" s="591"/>
      <c r="K15" s="99" t="s">
        <v>157</v>
      </c>
      <c r="L15" s="579"/>
      <c r="M15" s="579"/>
      <c r="N15" s="568"/>
      <c r="O15" s="568"/>
      <c r="P15" s="568"/>
    </row>
    <row r="16" spans="3:16" ht="16.5" customHeight="1" x14ac:dyDescent="0.15">
      <c r="D16" s="555"/>
      <c r="E16" s="570"/>
      <c r="F16" s="603"/>
      <c r="G16" s="649"/>
      <c r="H16" s="547">
        <f>+H14</f>
        <v>1.3</v>
      </c>
      <c r="I16" s="79">
        <f>+E15-I15</f>
        <v>0.85</v>
      </c>
      <c r="J16" s="600" t="s">
        <v>157</v>
      </c>
      <c r="K16" s="99" t="s">
        <v>157</v>
      </c>
      <c r="L16" s="577">
        <f>+L14+1</f>
        <v>100</v>
      </c>
      <c r="M16" s="577">
        <f>+M14+1</f>
        <v>150</v>
      </c>
      <c r="N16" s="589" t="s">
        <v>157</v>
      </c>
      <c r="O16" s="589" t="s">
        <v>157</v>
      </c>
      <c r="P16" s="589" t="s">
        <v>157</v>
      </c>
    </row>
    <row r="17" spans="4:16" ht="16.5" customHeight="1" x14ac:dyDescent="0.15">
      <c r="D17" s="555" t="s">
        <v>18</v>
      </c>
      <c r="E17" s="570">
        <v>2.9</v>
      </c>
      <c r="F17" s="556">
        <f>+E13+E15+E17-E6</f>
        <v>0.75499999999999901</v>
      </c>
      <c r="G17" s="654">
        <v>20</v>
      </c>
      <c r="H17" s="547"/>
      <c r="I17" s="79">
        <f>+H16-I16</f>
        <v>0.45000000000000007</v>
      </c>
      <c r="J17" s="591"/>
      <c r="K17" s="99" t="s">
        <v>157</v>
      </c>
      <c r="L17" s="579"/>
      <c r="M17" s="579"/>
      <c r="N17" s="568"/>
      <c r="O17" s="568"/>
      <c r="P17" s="568"/>
    </row>
    <row r="18" spans="4:16" ht="16.5" customHeight="1" x14ac:dyDescent="0.15">
      <c r="D18" s="555"/>
      <c r="E18" s="570"/>
      <c r="F18" s="556"/>
      <c r="G18" s="654"/>
      <c r="H18" s="547">
        <f t="shared" ref="H18" si="0">+H16</f>
        <v>1.3</v>
      </c>
      <c r="I18" s="547"/>
      <c r="J18" s="600" t="s">
        <v>157</v>
      </c>
      <c r="K18" s="600"/>
      <c r="L18" s="387">
        <f t="shared" ref="L18:M18" si="1">+L16+1</f>
        <v>101</v>
      </c>
      <c r="M18" s="577">
        <f t="shared" si="1"/>
        <v>151</v>
      </c>
      <c r="N18" s="589" t="s">
        <v>157</v>
      </c>
      <c r="O18" s="589" t="s">
        <v>157</v>
      </c>
      <c r="P18" s="589" t="s">
        <v>157</v>
      </c>
    </row>
    <row r="19" spans="4:16" ht="16.5" customHeight="1" x14ac:dyDescent="0.15">
      <c r="D19" s="555"/>
      <c r="E19" s="570"/>
      <c r="F19" s="556"/>
      <c r="G19" s="654"/>
      <c r="H19" s="547"/>
      <c r="I19" s="547"/>
      <c r="J19" s="591"/>
      <c r="K19" s="591"/>
      <c r="L19" s="419"/>
      <c r="M19" s="579"/>
      <c r="N19" s="568"/>
      <c r="O19" s="568"/>
      <c r="P19" s="568"/>
    </row>
    <row r="20" spans="4:16" ht="16.5" customHeight="1" x14ac:dyDescent="0.15">
      <c r="D20" s="555"/>
      <c r="E20" s="570"/>
      <c r="F20" s="556"/>
      <c r="G20" s="654"/>
      <c r="H20" s="547">
        <f t="shared" ref="H20" si="2">+H18</f>
        <v>1.3</v>
      </c>
      <c r="I20" s="79">
        <f>+E17-I17-H18</f>
        <v>1.1499999999999997</v>
      </c>
      <c r="J20" s="547">
        <f>+E3</f>
        <v>1.3</v>
      </c>
      <c r="K20" s="79">
        <f>+F17</f>
        <v>0.75499999999999901</v>
      </c>
      <c r="L20" s="387">
        <f t="shared" ref="L20:M20" si="3">+L18+1</f>
        <v>102</v>
      </c>
      <c r="M20" s="577">
        <f t="shared" si="3"/>
        <v>152</v>
      </c>
      <c r="N20" s="650">
        <f>+G17*K20+G21*K21</f>
        <v>29.500000000000014</v>
      </c>
      <c r="O20" s="650">
        <f>+E4*N20</f>
        <v>120.48007826516863</v>
      </c>
      <c r="P20" s="652">
        <f>+E7*O20</f>
        <v>361.44023479550589</v>
      </c>
    </row>
    <row r="21" spans="4:16" ht="16.5" customHeight="1" x14ac:dyDescent="0.15">
      <c r="D21" s="555" t="s">
        <v>19</v>
      </c>
      <c r="E21" s="570">
        <v>2.6</v>
      </c>
      <c r="F21" s="556">
        <f>+E21</f>
        <v>2.6</v>
      </c>
      <c r="G21" s="654">
        <v>96</v>
      </c>
      <c r="H21" s="547"/>
      <c r="I21" s="79">
        <f>+H20-I20</f>
        <v>0.15000000000000036</v>
      </c>
      <c r="J21" s="547"/>
      <c r="K21" s="79">
        <f>+I21</f>
        <v>0.15000000000000036</v>
      </c>
      <c r="L21" s="419"/>
      <c r="M21" s="579"/>
      <c r="N21" s="651"/>
      <c r="O21" s="651"/>
      <c r="P21" s="653"/>
    </row>
    <row r="22" spans="4:16" ht="16.5" customHeight="1" x14ac:dyDescent="0.15">
      <c r="D22" s="555"/>
      <c r="E22" s="570"/>
      <c r="F22" s="556"/>
      <c r="G22" s="654"/>
      <c r="H22" s="547">
        <f t="shared" ref="H22:J22" si="4">+H20</f>
        <v>1.3</v>
      </c>
      <c r="I22" s="591"/>
      <c r="J22" s="547">
        <f t="shared" si="4"/>
        <v>1.3</v>
      </c>
      <c r="K22" s="591"/>
      <c r="L22" s="577">
        <f t="shared" ref="L22:M22" si="5">+L20+1</f>
        <v>103</v>
      </c>
      <c r="M22" s="577">
        <f t="shared" si="5"/>
        <v>153</v>
      </c>
      <c r="N22" s="650">
        <f>+G21*J22</f>
        <v>124.80000000000001</v>
      </c>
      <c r="O22" s="650">
        <f>+E4*N22</f>
        <v>509.69199211840811</v>
      </c>
      <c r="P22" s="652">
        <f>+E7*O22</f>
        <v>1529.0759763552244</v>
      </c>
    </row>
    <row r="23" spans="4:16" ht="16.5" customHeight="1" x14ac:dyDescent="0.15">
      <c r="D23" s="555"/>
      <c r="E23" s="570"/>
      <c r="F23" s="556"/>
      <c r="G23" s="654"/>
      <c r="H23" s="547"/>
      <c r="I23" s="591"/>
      <c r="J23" s="547"/>
      <c r="K23" s="591"/>
      <c r="L23" s="579"/>
      <c r="M23" s="579"/>
      <c r="N23" s="651"/>
      <c r="O23" s="651"/>
      <c r="P23" s="653"/>
    </row>
    <row r="24" spans="4:16" ht="16.5" customHeight="1" x14ac:dyDescent="0.15">
      <c r="D24" s="555"/>
      <c r="E24" s="570"/>
      <c r="F24" s="556"/>
      <c r="G24" s="654"/>
      <c r="H24" s="547">
        <f t="shared" ref="H24:J24" si="6">+H22</f>
        <v>1.3</v>
      </c>
      <c r="I24" s="79">
        <f>+E21-I21-H22</f>
        <v>1.1499999999999997</v>
      </c>
      <c r="J24" s="547">
        <f t="shared" si="6"/>
        <v>1.3</v>
      </c>
      <c r="K24" s="79">
        <f>+I24</f>
        <v>1.1499999999999997</v>
      </c>
      <c r="L24" s="577">
        <f t="shared" ref="L24:M24" si="7">+L22+1</f>
        <v>104</v>
      </c>
      <c r="M24" s="577">
        <f t="shared" si="7"/>
        <v>154</v>
      </c>
      <c r="N24" s="651">
        <f>+G21*K24+G25*K25</f>
        <v>122.04</v>
      </c>
      <c r="O24" s="650">
        <f>+E4*N24</f>
        <v>498.41995767732789</v>
      </c>
      <c r="P24" s="652">
        <f>+E7*O24</f>
        <v>1495.2598730319837</v>
      </c>
    </row>
    <row r="25" spans="4:16" ht="16.5" customHeight="1" x14ac:dyDescent="0.15">
      <c r="D25" s="555" t="s">
        <v>203</v>
      </c>
      <c r="E25" s="570">
        <v>0.6</v>
      </c>
      <c r="F25" s="556">
        <f>+E25</f>
        <v>0.6</v>
      </c>
      <c r="G25" s="654">
        <v>77.599999999999994</v>
      </c>
      <c r="H25" s="547"/>
      <c r="I25" s="79">
        <f>+H24-I24</f>
        <v>0.15000000000000036</v>
      </c>
      <c r="J25" s="547"/>
      <c r="K25" s="79">
        <f t="shared" ref="K25:K27" si="8">+I25</f>
        <v>0.15000000000000036</v>
      </c>
      <c r="L25" s="579"/>
      <c r="M25" s="579"/>
      <c r="N25" s="651"/>
      <c r="O25" s="651"/>
      <c r="P25" s="653"/>
    </row>
    <row r="26" spans="4:16" ht="16.5" customHeight="1" x14ac:dyDescent="0.15">
      <c r="D26" s="555"/>
      <c r="E26" s="570"/>
      <c r="F26" s="556"/>
      <c r="G26" s="654"/>
      <c r="H26" s="547">
        <f t="shared" ref="H26:J40" si="9">+H24</f>
        <v>1.3</v>
      </c>
      <c r="I26" s="79">
        <f>+E25-I25</f>
        <v>0.44999999999999962</v>
      </c>
      <c r="J26" s="547">
        <f t="shared" si="9"/>
        <v>1.3</v>
      </c>
      <c r="K26" s="79">
        <f t="shared" si="8"/>
        <v>0.44999999999999962</v>
      </c>
      <c r="L26" s="577">
        <f t="shared" ref="L26:M26" si="10">+L24+1</f>
        <v>105</v>
      </c>
      <c r="M26" s="577">
        <f t="shared" si="10"/>
        <v>155</v>
      </c>
      <c r="N26" s="651">
        <f>+G25*K26+G27*K27</f>
        <v>157.32000000000002</v>
      </c>
      <c r="O26" s="650">
        <f>+E4*N26</f>
        <v>642.50596314157019</v>
      </c>
      <c r="P26" s="652">
        <f>+E7*O26</f>
        <v>1927.5178894247106</v>
      </c>
    </row>
    <row r="27" spans="4:16" ht="16.5" customHeight="1" x14ac:dyDescent="0.15">
      <c r="D27" s="559" t="s">
        <v>204</v>
      </c>
      <c r="E27" s="565">
        <v>9.5</v>
      </c>
      <c r="F27" s="581">
        <f>+E27</f>
        <v>9.5</v>
      </c>
      <c r="G27" s="660">
        <v>144</v>
      </c>
      <c r="H27" s="547"/>
      <c r="I27" s="79">
        <f>+H26-I26</f>
        <v>0.85000000000000042</v>
      </c>
      <c r="J27" s="547"/>
      <c r="K27" s="79">
        <f t="shared" si="8"/>
        <v>0.85000000000000042</v>
      </c>
      <c r="L27" s="579"/>
      <c r="M27" s="579"/>
      <c r="N27" s="651"/>
      <c r="O27" s="651"/>
      <c r="P27" s="653"/>
    </row>
    <row r="28" spans="4:16" ht="16.5" customHeight="1" x14ac:dyDescent="0.15">
      <c r="D28" s="560"/>
      <c r="E28" s="567"/>
      <c r="F28" s="582"/>
      <c r="G28" s="661"/>
      <c r="H28" s="547">
        <f t="shared" si="9"/>
        <v>1.3</v>
      </c>
      <c r="I28" s="592"/>
      <c r="J28" s="547">
        <f t="shared" si="9"/>
        <v>1.3</v>
      </c>
      <c r="K28" s="592"/>
      <c r="L28" s="577">
        <f>+L26+1</f>
        <v>106</v>
      </c>
      <c r="M28" s="577">
        <f>+M26+1</f>
        <v>156</v>
      </c>
      <c r="N28" s="626">
        <f>+G27*J28</f>
        <v>187.20000000000002</v>
      </c>
      <c r="O28" s="650">
        <f>+E4*N28</f>
        <v>764.53798817761208</v>
      </c>
      <c r="P28" s="652">
        <f>+E7*O28</f>
        <v>2293.6139645328362</v>
      </c>
    </row>
    <row r="29" spans="4:16" ht="16.5" customHeight="1" x14ac:dyDescent="0.15">
      <c r="D29" s="560"/>
      <c r="E29" s="567"/>
      <c r="F29" s="582"/>
      <c r="G29" s="661"/>
      <c r="H29" s="547"/>
      <c r="I29" s="593"/>
      <c r="J29" s="547"/>
      <c r="K29" s="593"/>
      <c r="L29" s="579"/>
      <c r="M29" s="579"/>
      <c r="N29" s="627"/>
      <c r="O29" s="651"/>
      <c r="P29" s="653"/>
    </row>
    <row r="30" spans="4:16" ht="16.5" customHeight="1" x14ac:dyDescent="0.15">
      <c r="D30" s="560"/>
      <c r="E30" s="567"/>
      <c r="F30" s="582"/>
      <c r="G30" s="661"/>
      <c r="H30" s="547">
        <f t="shared" si="9"/>
        <v>1.3</v>
      </c>
      <c r="I30" s="592"/>
      <c r="J30" s="547">
        <f t="shared" si="9"/>
        <v>1.3</v>
      </c>
      <c r="K30" s="592"/>
      <c r="L30" s="577">
        <f t="shared" ref="L30:M30" si="11">+L28+1</f>
        <v>107</v>
      </c>
      <c r="M30" s="577">
        <f t="shared" si="11"/>
        <v>157</v>
      </c>
      <c r="N30" s="626">
        <f>+G27*J30</f>
        <v>187.20000000000002</v>
      </c>
      <c r="O30" s="650">
        <f>+E4*N30</f>
        <v>764.53798817761208</v>
      </c>
      <c r="P30" s="652">
        <f>+E7*O30</f>
        <v>2293.6139645328362</v>
      </c>
    </row>
    <row r="31" spans="4:16" ht="16.5" customHeight="1" x14ac:dyDescent="0.15">
      <c r="D31" s="560"/>
      <c r="E31" s="567"/>
      <c r="F31" s="582"/>
      <c r="G31" s="661"/>
      <c r="H31" s="547"/>
      <c r="I31" s="593"/>
      <c r="J31" s="547"/>
      <c r="K31" s="593"/>
      <c r="L31" s="579"/>
      <c r="M31" s="579"/>
      <c r="N31" s="627"/>
      <c r="O31" s="651"/>
      <c r="P31" s="653"/>
    </row>
    <row r="32" spans="4:16" ht="16.5" customHeight="1" x14ac:dyDescent="0.15">
      <c r="D32" s="560"/>
      <c r="E32" s="567"/>
      <c r="F32" s="582"/>
      <c r="G32" s="661"/>
      <c r="H32" s="547">
        <f t="shared" si="9"/>
        <v>1.3</v>
      </c>
      <c r="I32" s="592"/>
      <c r="J32" s="547">
        <f t="shared" si="9"/>
        <v>1.3</v>
      </c>
      <c r="K32" s="592"/>
      <c r="L32" s="577">
        <f t="shared" ref="L32:M32" si="12">+L30+1</f>
        <v>108</v>
      </c>
      <c r="M32" s="577">
        <f t="shared" si="12"/>
        <v>158</v>
      </c>
      <c r="N32" s="626">
        <f>+G27*J32</f>
        <v>187.20000000000002</v>
      </c>
      <c r="O32" s="650">
        <f>+E4*N32</f>
        <v>764.53798817761208</v>
      </c>
      <c r="P32" s="652">
        <f>+E7*O32</f>
        <v>2293.6139645328362</v>
      </c>
    </row>
    <row r="33" spans="4:16" ht="16.5" customHeight="1" x14ac:dyDescent="0.15">
      <c r="D33" s="560"/>
      <c r="E33" s="567"/>
      <c r="F33" s="582"/>
      <c r="G33" s="661"/>
      <c r="H33" s="547"/>
      <c r="I33" s="593"/>
      <c r="J33" s="547"/>
      <c r="K33" s="593"/>
      <c r="L33" s="579"/>
      <c r="M33" s="579"/>
      <c r="N33" s="627"/>
      <c r="O33" s="651"/>
      <c r="P33" s="653"/>
    </row>
    <row r="34" spans="4:16" ht="16.5" customHeight="1" x14ac:dyDescent="0.15">
      <c r="D34" s="560"/>
      <c r="E34" s="567"/>
      <c r="F34" s="582"/>
      <c r="G34" s="661"/>
      <c r="H34" s="547">
        <f t="shared" si="9"/>
        <v>1.3</v>
      </c>
      <c r="I34" s="594"/>
      <c r="J34" s="547">
        <f t="shared" si="9"/>
        <v>1.3</v>
      </c>
      <c r="K34" s="594"/>
      <c r="L34" s="577">
        <f t="shared" ref="L34:M34" si="13">+L32+1</f>
        <v>109</v>
      </c>
      <c r="M34" s="577">
        <f t="shared" si="13"/>
        <v>159</v>
      </c>
      <c r="N34" s="626">
        <f>+G27*J34</f>
        <v>187.20000000000002</v>
      </c>
      <c r="O34" s="650">
        <f>+E4*N34</f>
        <v>764.53798817761208</v>
      </c>
      <c r="P34" s="652">
        <f>+E7*O34</f>
        <v>2293.6139645328362</v>
      </c>
    </row>
    <row r="35" spans="4:16" ht="16.5" customHeight="1" x14ac:dyDescent="0.15">
      <c r="D35" s="560"/>
      <c r="E35" s="567"/>
      <c r="F35" s="582"/>
      <c r="G35" s="661"/>
      <c r="H35" s="547"/>
      <c r="I35" s="594"/>
      <c r="J35" s="547"/>
      <c r="K35" s="594"/>
      <c r="L35" s="579"/>
      <c r="M35" s="579"/>
      <c r="N35" s="627"/>
      <c r="O35" s="651"/>
      <c r="P35" s="653"/>
    </row>
    <row r="36" spans="4:16" ht="16.5" customHeight="1" x14ac:dyDescent="0.15">
      <c r="D36" s="560"/>
      <c r="E36" s="567"/>
      <c r="F36" s="582"/>
      <c r="G36" s="661"/>
      <c r="H36" s="547">
        <f t="shared" si="9"/>
        <v>1.3</v>
      </c>
      <c r="I36" s="594"/>
      <c r="J36" s="547">
        <f t="shared" si="9"/>
        <v>1.3</v>
      </c>
      <c r="K36" s="594"/>
      <c r="L36" s="577">
        <f t="shared" ref="L36:M36" si="14">+L34+1</f>
        <v>110</v>
      </c>
      <c r="M36" s="577">
        <f t="shared" si="14"/>
        <v>160</v>
      </c>
      <c r="N36" s="626">
        <f>+G27*J36</f>
        <v>187.20000000000002</v>
      </c>
      <c r="O36" s="650">
        <f>+E4*N36</f>
        <v>764.53798817761208</v>
      </c>
      <c r="P36" s="652">
        <f>+E7*O36</f>
        <v>2293.6139645328362</v>
      </c>
    </row>
    <row r="37" spans="4:16" ht="16.5" customHeight="1" x14ac:dyDescent="0.15">
      <c r="D37" s="560"/>
      <c r="E37" s="567"/>
      <c r="F37" s="582"/>
      <c r="G37" s="661"/>
      <c r="H37" s="547"/>
      <c r="I37" s="594"/>
      <c r="J37" s="547"/>
      <c r="K37" s="594"/>
      <c r="L37" s="579"/>
      <c r="M37" s="579"/>
      <c r="N37" s="627"/>
      <c r="O37" s="651"/>
      <c r="P37" s="653"/>
    </row>
    <row r="38" spans="4:16" ht="16.5" customHeight="1" x14ac:dyDescent="0.15">
      <c r="D38" s="560"/>
      <c r="E38" s="567"/>
      <c r="F38" s="582"/>
      <c r="G38" s="661"/>
      <c r="H38" s="547">
        <f t="shared" si="9"/>
        <v>1.3</v>
      </c>
      <c r="I38" s="594"/>
      <c r="J38" s="547">
        <f t="shared" si="9"/>
        <v>1.3</v>
      </c>
      <c r="K38" s="594"/>
      <c r="L38" s="577">
        <f>+L36+1</f>
        <v>111</v>
      </c>
      <c r="M38" s="577">
        <f>+M36+1</f>
        <v>161</v>
      </c>
      <c r="N38" s="626">
        <f>+G27*J38</f>
        <v>187.20000000000002</v>
      </c>
      <c r="O38" s="650">
        <f>+E4*N38</f>
        <v>764.53798817761208</v>
      </c>
      <c r="P38" s="652">
        <f>+E7*O38</f>
        <v>2293.6139645328362</v>
      </c>
    </row>
    <row r="39" spans="4:16" ht="16.5" customHeight="1" x14ac:dyDescent="0.15">
      <c r="D39" s="560"/>
      <c r="E39" s="567"/>
      <c r="F39" s="582"/>
      <c r="G39" s="661"/>
      <c r="H39" s="547"/>
      <c r="I39" s="594"/>
      <c r="J39" s="547"/>
      <c r="K39" s="594"/>
      <c r="L39" s="579"/>
      <c r="M39" s="579"/>
      <c r="N39" s="627"/>
      <c r="O39" s="651"/>
      <c r="P39" s="653"/>
    </row>
    <row r="40" spans="4:16" ht="16.5" customHeight="1" x14ac:dyDescent="0.15">
      <c r="D40" s="561"/>
      <c r="E40" s="566"/>
      <c r="F40" s="583"/>
      <c r="G40" s="662"/>
      <c r="H40" s="547">
        <f t="shared" si="9"/>
        <v>1.3</v>
      </c>
      <c r="I40" s="79">
        <f>+E27-I27-H28-H30-H32-H34-H36-H38</f>
        <v>0.8500000000000012</v>
      </c>
      <c r="J40" s="547">
        <f t="shared" si="9"/>
        <v>1.3</v>
      </c>
      <c r="K40" s="79">
        <f t="shared" ref="K40:K41" si="15">+I40</f>
        <v>0.8500000000000012</v>
      </c>
      <c r="L40" s="577">
        <f t="shared" ref="L40:M40" si="16">+L38+1</f>
        <v>112</v>
      </c>
      <c r="M40" s="577">
        <f t="shared" si="16"/>
        <v>162</v>
      </c>
      <c r="N40" s="626">
        <f>+G27*K40+G41*K41</f>
        <v>138.24000000000012</v>
      </c>
      <c r="O40" s="650">
        <f>+E4*N40</f>
        <v>564.58189896192937</v>
      </c>
      <c r="P40" s="652">
        <f>+E7*O40</f>
        <v>1693.7456968857882</v>
      </c>
    </row>
    <row r="41" spans="4:16" ht="16.5" customHeight="1" x14ac:dyDescent="0.15">
      <c r="D41" s="555" t="s">
        <v>205</v>
      </c>
      <c r="E41" s="570">
        <v>12.6</v>
      </c>
      <c r="F41" s="556">
        <f>+E41-E3</f>
        <v>11.299999999999999</v>
      </c>
      <c r="G41" s="654">
        <v>35.200000000000003</v>
      </c>
      <c r="H41" s="547"/>
      <c r="I41" s="79">
        <f>+H42-I40</f>
        <v>0.44999999999999885</v>
      </c>
      <c r="J41" s="547"/>
      <c r="K41" s="79">
        <f t="shared" si="15"/>
        <v>0.44999999999999885</v>
      </c>
      <c r="L41" s="579"/>
      <c r="M41" s="579"/>
      <c r="N41" s="627"/>
      <c r="O41" s="651"/>
      <c r="P41" s="653"/>
    </row>
    <row r="42" spans="4:16" ht="16.5" customHeight="1" x14ac:dyDescent="0.15">
      <c r="D42" s="555"/>
      <c r="E42" s="570"/>
      <c r="F42" s="556"/>
      <c r="G42" s="654"/>
      <c r="H42" s="547">
        <f t="shared" ref="H42:J56" si="17">+H40</f>
        <v>1.3</v>
      </c>
      <c r="I42" s="614"/>
      <c r="J42" s="547">
        <f t="shared" si="17"/>
        <v>1.3</v>
      </c>
      <c r="K42" s="614"/>
      <c r="L42" s="577">
        <f t="shared" ref="L42:M42" si="18">+L40+1</f>
        <v>113</v>
      </c>
      <c r="M42" s="577">
        <f t="shared" si="18"/>
        <v>163</v>
      </c>
      <c r="N42" s="626">
        <f>+G41*J42</f>
        <v>45.760000000000005</v>
      </c>
      <c r="O42" s="650">
        <f>+E4*N42</f>
        <v>186.88706377674964</v>
      </c>
      <c r="P42" s="652">
        <f>+E7*O42</f>
        <v>560.66119133024893</v>
      </c>
    </row>
    <row r="43" spans="4:16" ht="16.5" customHeight="1" x14ac:dyDescent="0.15">
      <c r="D43" s="555"/>
      <c r="E43" s="570"/>
      <c r="F43" s="556"/>
      <c r="G43" s="654"/>
      <c r="H43" s="547"/>
      <c r="I43" s="615"/>
      <c r="J43" s="547"/>
      <c r="K43" s="615"/>
      <c r="L43" s="579"/>
      <c r="M43" s="579"/>
      <c r="N43" s="627"/>
      <c r="O43" s="651"/>
      <c r="P43" s="653"/>
    </row>
    <row r="44" spans="4:16" ht="16.5" customHeight="1" x14ac:dyDescent="0.15">
      <c r="D44" s="555"/>
      <c r="E44" s="570"/>
      <c r="F44" s="556"/>
      <c r="G44" s="654"/>
      <c r="H44" s="547">
        <f t="shared" si="17"/>
        <v>1.3</v>
      </c>
      <c r="I44" s="547"/>
      <c r="J44" s="547">
        <f t="shared" si="17"/>
        <v>1.3</v>
      </c>
      <c r="K44" s="547"/>
      <c r="L44" s="577">
        <f t="shared" ref="L44:M44" si="19">+L42+1</f>
        <v>114</v>
      </c>
      <c r="M44" s="577">
        <f t="shared" si="19"/>
        <v>164</v>
      </c>
      <c r="N44" s="626">
        <f>+G41*J44</f>
        <v>45.760000000000005</v>
      </c>
      <c r="O44" s="650">
        <f>+E4*N44</f>
        <v>186.88706377674964</v>
      </c>
      <c r="P44" s="652">
        <f>+E7*O44</f>
        <v>560.66119133024893</v>
      </c>
    </row>
    <row r="45" spans="4:16" ht="16.5" customHeight="1" x14ac:dyDescent="0.15">
      <c r="D45" s="555"/>
      <c r="E45" s="570"/>
      <c r="F45" s="556"/>
      <c r="G45" s="654"/>
      <c r="H45" s="547"/>
      <c r="I45" s="547"/>
      <c r="J45" s="547"/>
      <c r="K45" s="547"/>
      <c r="L45" s="579"/>
      <c r="M45" s="579"/>
      <c r="N45" s="627"/>
      <c r="O45" s="651"/>
      <c r="P45" s="653"/>
    </row>
    <row r="46" spans="4:16" ht="16.5" customHeight="1" x14ac:dyDescent="0.15">
      <c r="D46" s="555"/>
      <c r="E46" s="570"/>
      <c r="F46" s="556"/>
      <c r="G46" s="654"/>
      <c r="H46" s="547">
        <f t="shared" si="17"/>
        <v>1.3</v>
      </c>
      <c r="I46" s="547"/>
      <c r="J46" s="547">
        <f t="shared" si="17"/>
        <v>1.3</v>
      </c>
      <c r="K46" s="547"/>
      <c r="L46" s="577">
        <f t="shared" ref="L46:M46" si="20">+L44+1</f>
        <v>115</v>
      </c>
      <c r="M46" s="577">
        <f t="shared" si="20"/>
        <v>165</v>
      </c>
      <c r="N46" s="626">
        <f>+G41*J46</f>
        <v>45.760000000000005</v>
      </c>
      <c r="O46" s="650">
        <f>+E4*N46</f>
        <v>186.88706377674964</v>
      </c>
      <c r="P46" s="652">
        <f>+E7*O46</f>
        <v>560.66119133024893</v>
      </c>
    </row>
    <row r="47" spans="4:16" ht="16.5" customHeight="1" x14ac:dyDescent="0.15">
      <c r="D47" s="555"/>
      <c r="E47" s="570"/>
      <c r="F47" s="556"/>
      <c r="G47" s="654"/>
      <c r="H47" s="547"/>
      <c r="I47" s="547"/>
      <c r="J47" s="547"/>
      <c r="K47" s="547"/>
      <c r="L47" s="579"/>
      <c r="M47" s="579"/>
      <c r="N47" s="627"/>
      <c r="O47" s="651"/>
      <c r="P47" s="653"/>
    </row>
    <row r="48" spans="4:16" ht="16.5" customHeight="1" x14ac:dyDescent="0.15">
      <c r="D48" s="555"/>
      <c r="E48" s="570"/>
      <c r="F48" s="556"/>
      <c r="G48" s="654"/>
      <c r="H48" s="547">
        <f t="shared" si="17"/>
        <v>1.3</v>
      </c>
      <c r="I48" s="547"/>
      <c r="J48" s="547">
        <f t="shared" si="17"/>
        <v>1.3</v>
      </c>
      <c r="K48" s="547"/>
      <c r="L48" s="577">
        <f t="shared" ref="L48:M48" si="21">+L46+1</f>
        <v>116</v>
      </c>
      <c r="M48" s="577">
        <f t="shared" si="21"/>
        <v>166</v>
      </c>
      <c r="N48" s="626">
        <f>+G41*J48</f>
        <v>45.760000000000005</v>
      </c>
      <c r="O48" s="650">
        <f>+E4*N48</f>
        <v>186.88706377674964</v>
      </c>
      <c r="P48" s="652">
        <f>+E7*O48</f>
        <v>560.66119133024893</v>
      </c>
    </row>
    <row r="49" spans="4:16" ht="16.5" customHeight="1" x14ac:dyDescent="0.15">
      <c r="D49" s="555"/>
      <c r="E49" s="570"/>
      <c r="F49" s="556"/>
      <c r="G49" s="654"/>
      <c r="H49" s="547"/>
      <c r="I49" s="547"/>
      <c r="J49" s="547"/>
      <c r="K49" s="547"/>
      <c r="L49" s="579"/>
      <c r="M49" s="579"/>
      <c r="N49" s="627"/>
      <c r="O49" s="651"/>
      <c r="P49" s="653"/>
    </row>
    <row r="50" spans="4:16" ht="16.5" customHeight="1" x14ac:dyDescent="0.15">
      <c r="D50" s="555"/>
      <c r="E50" s="570"/>
      <c r="F50" s="556"/>
      <c r="G50" s="654"/>
      <c r="H50" s="547">
        <f t="shared" si="17"/>
        <v>1.3</v>
      </c>
      <c r="I50" s="547"/>
      <c r="J50" s="547">
        <f t="shared" si="17"/>
        <v>1.3</v>
      </c>
      <c r="K50" s="547"/>
      <c r="L50" s="577">
        <f>+L48+1</f>
        <v>117</v>
      </c>
      <c r="M50" s="577">
        <f>+M48+1</f>
        <v>167</v>
      </c>
      <c r="N50" s="626">
        <f>+G41*J50</f>
        <v>45.760000000000005</v>
      </c>
      <c r="O50" s="650">
        <f>+E4*N50</f>
        <v>186.88706377674964</v>
      </c>
      <c r="P50" s="652">
        <f>+E7*O50</f>
        <v>560.66119133024893</v>
      </c>
    </row>
    <row r="51" spans="4:16" ht="16.5" customHeight="1" x14ac:dyDescent="0.15">
      <c r="D51" s="555"/>
      <c r="E51" s="570"/>
      <c r="F51" s="556"/>
      <c r="G51" s="654"/>
      <c r="H51" s="547"/>
      <c r="I51" s="547"/>
      <c r="J51" s="547"/>
      <c r="K51" s="547"/>
      <c r="L51" s="579"/>
      <c r="M51" s="579"/>
      <c r="N51" s="627"/>
      <c r="O51" s="651"/>
      <c r="P51" s="653"/>
    </row>
    <row r="52" spans="4:16" ht="16.5" customHeight="1" x14ac:dyDescent="0.15">
      <c r="D52" s="555"/>
      <c r="E52" s="570"/>
      <c r="F52" s="556"/>
      <c r="G52" s="654"/>
      <c r="H52" s="547">
        <f t="shared" si="17"/>
        <v>1.3</v>
      </c>
      <c r="I52" s="547"/>
      <c r="J52" s="547">
        <f t="shared" si="17"/>
        <v>1.3</v>
      </c>
      <c r="K52" s="547"/>
      <c r="L52" s="577">
        <f t="shared" ref="L52:M52" si="22">+L50+1</f>
        <v>118</v>
      </c>
      <c r="M52" s="577">
        <f t="shared" si="22"/>
        <v>168</v>
      </c>
      <c r="N52" s="626">
        <f>+G41*J52</f>
        <v>45.760000000000005</v>
      </c>
      <c r="O52" s="650">
        <f>+E4*N52</f>
        <v>186.88706377674964</v>
      </c>
      <c r="P52" s="652">
        <f>+E7*O52</f>
        <v>560.66119133024893</v>
      </c>
    </row>
    <row r="53" spans="4:16" ht="16.5" customHeight="1" x14ac:dyDescent="0.15">
      <c r="D53" s="555"/>
      <c r="E53" s="570"/>
      <c r="F53" s="556"/>
      <c r="G53" s="654"/>
      <c r="H53" s="547"/>
      <c r="I53" s="547"/>
      <c r="J53" s="547"/>
      <c r="K53" s="547"/>
      <c r="L53" s="579"/>
      <c r="M53" s="579"/>
      <c r="N53" s="627"/>
      <c r="O53" s="651"/>
      <c r="P53" s="653"/>
    </row>
    <row r="54" spans="4:16" ht="16.5" customHeight="1" x14ac:dyDescent="0.15">
      <c r="D54" s="555"/>
      <c r="E54" s="570"/>
      <c r="F54" s="556"/>
      <c r="G54" s="654"/>
      <c r="H54" s="547">
        <f t="shared" si="17"/>
        <v>1.3</v>
      </c>
      <c r="I54" s="547"/>
      <c r="J54" s="547">
        <f t="shared" si="17"/>
        <v>1.3</v>
      </c>
      <c r="K54" s="547"/>
      <c r="L54" s="577">
        <f t="shared" ref="L54:M54" si="23">+L52+1</f>
        <v>119</v>
      </c>
      <c r="M54" s="577">
        <f t="shared" si="23"/>
        <v>169</v>
      </c>
      <c r="N54" s="626">
        <f>+G41*J54</f>
        <v>45.760000000000005</v>
      </c>
      <c r="O54" s="650">
        <f>+E4*N54</f>
        <v>186.88706377674964</v>
      </c>
      <c r="P54" s="652">
        <f>+E7*O54</f>
        <v>560.66119133024893</v>
      </c>
    </row>
    <row r="55" spans="4:16" ht="16.5" customHeight="1" x14ac:dyDescent="0.15">
      <c r="D55" s="555"/>
      <c r="E55" s="570"/>
      <c r="F55" s="556"/>
      <c r="G55" s="654"/>
      <c r="H55" s="547"/>
      <c r="I55" s="547"/>
      <c r="J55" s="547"/>
      <c r="K55" s="547"/>
      <c r="L55" s="579"/>
      <c r="M55" s="579"/>
      <c r="N55" s="627"/>
      <c r="O55" s="651"/>
      <c r="P55" s="653"/>
    </row>
    <row r="56" spans="4:16" ht="16.5" customHeight="1" x14ac:dyDescent="0.15">
      <c r="D56" s="555"/>
      <c r="E56" s="570"/>
      <c r="F56" s="556"/>
      <c r="G56" s="654"/>
      <c r="H56" s="547">
        <f t="shared" si="17"/>
        <v>1.3</v>
      </c>
      <c r="I56" s="547"/>
      <c r="J56" s="547">
        <f t="shared" si="17"/>
        <v>1.3</v>
      </c>
      <c r="K56" s="547"/>
      <c r="L56" s="577">
        <f t="shared" ref="L56:M56" si="24">+L54+1</f>
        <v>120</v>
      </c>
      <c r="M56" s="577">
        <f t="shared" si="24"/>
        <v>170</v>
      </c>
      <c r="N56" s="626">
        <f>+G41*J56</f>
        <v>45.760000000000005</v>
      </c>
      <c r="O56" s="650">
        <f>+E4*N56</f>
        <v>186.88706377674964</v>
      </c>
      <c r="P56" s="652">
        <f>+E7*O56</f>
        <v>560.66119133024893</v>
      </c>
    </row>
    <row r="57" spans="4:16" ht="16.5" customHeight="1" x14ac:dyDescent="0.15">
      <c r="D57" s="555"/>
      <c r="E57" s="570"/>
      <c r="F57" s="556"/>
      <c r="G57" s="654"/>
      <c r="H57" s="547"/>
      <c r="I57" s="547"/>
      <c r="J57" s="547"/>
      <c r="K57" s="547"/>
      <c r="L57" s="579"/>
      <c r="M57" s="579"/>
      <c r="N57" s="627"/>
      <c r="O57" s="651"/>
      <c r="P57" s="653"/>
    </row>
    <row r="58" spans="4:16" ht="16.5" customHeight="1" x14ac:dyDescent="0.15">
      <c r="D58" s="555"/>
      <c r="E58" s="570"/>
      <c r="F58" s="556"/>
      <c r="G58" s="654"/>
      <c r="H58" s="607">
        <v>1.2</v>
      </c>
      <c r="I58" s="547"/>
      <c r="J58" s="547">
        <f>+F41-K41-J42-J44-J46-J48-J50-J52-J54-J56</f>
        <v>0.44999999999999885</v>
      </c>
      <c r="K58" s="547"/>
      <c r="L58" s="577">
        <f t="shared" ref="L58:M58" si="25">+L56+1</f>
        <v>121</v>
      </c>
      <c r="M58" s="577">
        <f t="shared" si="25"/>
        <v>171</v>
      </c>
      <c r="N58" s="626">
        <f>+G41*J58</f>
        <v>15.839999999999961</v>
      </c>
      <c r="O58" s="650">
        <f>+E4*N58</f>
        <v>64.691675922720862</v>
      </c>
      <c r="P58" s="652">
        <f>+E7*O58</f>
        <v>194.07502776816258</v>
      </c>
    </row>
    <row r="59" spans="4:16" ht="16.5" customHeight="1" x14ac:dyDescent="0.15">
      <c r="D59" s="555"/>
      <c r="E59" s="570"/>
      <c r="F59" s="556"/>
      <c r="G59" s="654"/>
      <c r="H59" s="607"/>
      <c r="I59" s="547"/>
      <c r="J59" s="547"/>
      <c r="K59" s="547"/>
      <c r="L59" s="579"/>
      <c r="M59" s="579"/>
      <c r="N59" s="627"/>
      <c r="O59" s="651"/>
      <c r="P59" s="653"/>
    </row>
    <row r="60" spans="4:16" ht="16.5" customHeight="1" x14ac:dyDescent="0.15">
      <c r="D60" s="555"/>
      <c r="E60" s="570"/>
      <c r="F60" s="556"/>
      <c r="G60" s="654"/>
      <c r="H60" s="79">
        <f>+E41-I41-H42-H44-H46-H48-H50-H52-H54-H56-H58</f>
        <v>0.54999999999999893</v>
      </c>
      <c r="I60" s="88"/>
      <c r="J60" s="99" t="s">
        <v>157</v>
      </c>
      <c r="K60" s="88"/>
      <c r="L60" s="37">
        <f>+L58+1</f>
        <v>122</v>
      </c>
      <c r="M60" s="37">
        <f>+M58+1</f>
        <v>172</v>
      </c>
      <c r="N60" s="95" t="s">
        <v>157</v>
      </c>
      <c r="O60" s="95" t="s">
        <v>157</v>
      </c>
      <c r="P60" s="95" t="s">
        <v>157</v>
      </c>
    </row>
    <row r="61" spans="4:16" ht="16.5" customHeight="1" x14ac:dyDescent="0.15">
      <c r="D61" s="89" t="s">
        <v>228</v>
      </c>
      <c r="E61" s="79">
        <f>SUM(E13:E60)</f>
        <v>31</v>
      </c>
      <c r="F61" s="79">
        <f>SUM(F13:F60)</f>
        <v>24.754999999999995</v>
      </c>
      <c r="G61" s="72"/>
      <c r="H61" s="79">
        <f>SUM(H12:H60)</f>
        <v>31.000000000000007</v>
      </c>
      <c r="I61" s="88"/>
      <c r="J61" s="79">
        <f>SUM(J18:J59)</f>
        <v>25.150000000000006</v>
      </c>
      <c r="K61" s="334"/>
      <c r="L61" s="327"/>
      <c r="M61" s="327"/>
      <c r="N61" s="327"/>
      <c r="O61" s="327"/>
      <c r="P61" s="328"/>
    </row>
    <row r="65" spans="3:16" ht="16.5" customHeight="1" x14ac:dyDescent="0.15">
      <c r="C65" s="18" t="s">
        <v>223</v>
      </c>
      <c r="D65" s="17" t="s">
        <v>224</v>
      </c>
    </row>
    <row r="66" spans="3:16" ht="16.5" customHeight="1" x14ac:dyDescent="0.15">
      <c r="D66" s="17" t="s">
        <v>202</v>
      </c>
      <c r="E66" s="68">
        <f>+E3</f>
        <v>1.3</v>
      </c>
      <c r="F66" s="17" t="s">
        <v>29</v>
      </c>
    </row>
    <row r="67" spans="3:16" ht="16.5" customHeight="1" x14ac:dyDescent="0.15">
      <c r="D67" s="17" t="s">
        <v>327</v>
      </c>
      <c r="E67" s="68">
        <f>+PI()*E66</f>
        <v>4.0840704496667311</v>
      </c>
      <c r="F67" s="17" t="s">
        <v>29</v>
      </c>
    </row>
    <row r="68" spans="3:16" ht="16.5" customHeight="1" x14ac:dyDescent="0.15">
      <c r="D68" s="17" t="s">
        <v>207</v>
      </c>
      <c r="E68" s="68">
        <f>+E5</f>
        <v>31</v>
      </c>
      <c r="F68" s="17" t="s">
        <v>29</v>
      </c>
    </row>
    <row r="69" spans="3:16" ht="16.5" customHeight="1" x14ac:dyDescent="0.15">
      <c r="D69" s="17" t="s">
        <v>227</v>
      </c>
      <c r="E69" s="68">
        <f>+E6</f>
        <v>4.9450000000000003</v>
      </c>
      <c r="F69" s="17" t="s">
        <v>29</v>
      </c>
    </row>
    <row r="70" spans="3:16" ht="16.5" customHeight="1" x14ac:dyDescent="0.15">
      <c r="D70" s="17" t="s">
        <v>200</v>
      </c>
      <c r="E70" s="77">
        <v>2</v>
      </c>
      <c r="F70" s="17" t="s">
        <v>206</v>
      </c>
    </row>
    <row r="71" spans="3:16" ht="16.5" customHeight="1" x14ac:dyDescent="0.15">
      <c r="D71" s="376" t="s">
        <v>199</v>
      </c>
      <c r="E71" s="549" t="s">
        <v>229</v>
      </c>
      <c r="F71" s="549" t="s">
        <v>329</v>
      </c>
      <c r="G71" s="552" t="s">
        <v>331</v>
      </c>
      <c r="H71" s="362" t="s">
        <v>231</v>
      </c>
      <c r="I71" s="363"/>
      <c r="J71" s="362" t="s">
        <v>232</v>
      </c>
      <c r="K71" s="363"/>
      <c r="L71" s="368" t="s">
        <v>226</v>
      </c>
      <c r="M71" s="370"/>
      <c r="N71" s="549" t="s">
        <v>330</v>
      </c>
      <c r="O71" s="362" t="s">
        <v>332</v>
      </c>
      <c r="P71" s="363"/>
    </row>
    <row r="72" spans="3:16" ht="16.5" customHeight="1" x14ac:dyDescent="0.15">
      <c r="D72" s="376"/>
      <c r="E72" s="550"/>
      <c r="F72" s="550"/>
      <c r="G72" s="553"/>
      <c r="H72" s="364"/>
      <c r="I72" s="365"/>
      <c r="J72" s="364"/>
      <c r="K72" s="365"/>
      <c r="L72" s="371"/>
      <c r="M72" s="372"/>
      <c r="N72" s="550"/>
      <c r="O72" s="364"/>
      <c r="P72" s="365"/>
    </row>
    <row r="73" spans="3:16" ht="16.5" customHeight="1" x14ac:dyDescent="0.15">
      <c r="D73" s="376"/>
      <c r="E73" s="550"/>
      <c r="F73" s="550"/>
      <c r="G73" s="553"/>
      <c r="H73" s="364"/>
      <c r="I73" s="365"/>
      <c r="J73" s="364"/>
      <c r="K73" s="365"/>
      <c r="L73" s="371"/>
      <c r="M73" s="372"/>
      <c r="N73" s="550"/>
      <c r="O73" s="364"/>
      <c r="P73" s="365"/>
    </row>
    <row r="74" spans="3:16" ht="16.5" customHeight="1" x14ac:dyDescent="0.15">
      <c r="D74" s="376"/>
      <c r="E74" s="550"/>
      <c r="F74" s="550"/>
      <c r="G74" s="553"/>
      <c r="H74" s="364"/>
      <c r="I74" s="365"/>
      <c r="J74" s="364"/>
      <c r="K74" s="365"/>
      <c r="L74" s="371"/>
      <c r="M74" s="372"/>
      <c r="N74" s="550"/>
      <c r="O74" s="366"/>
      <c r="P74" s="367"/>
    </row>
    <row r="75" spans="3:16" ht="16.5" customHeight="1" x14ac:dyDescent="0.15">
      <c r="D75" s="376"/>
      <c r="E75" s="551"/>
      <c r="F75" s="551"/>
      <c r="G75" s="554"/>
      <c r="H75" s="366"/>
      <c r="I75" s="367"/>
      <c r="J75" s="366"/>
      <c r="K75" s="367"/>
      <c r="L75" s="356"/>
      <c r="M75" s="357"/>
      <c r="N75" s="551"/>
      <c r="O75" s="69" t="s">
        <v>208</v>
      </c>
      <c r="P75" s="96">
        <f>+E70</f>
        <v>2</v>
      </c>
    </row>
    <row r="76" spans="3:16" ht="16.5" customHeight="1" x14ac:dyDescent="0.15">
      <c r="D76" s="559" t="s">
        <v>16</v>
      </c>
      <c r="E76" s="616">
        <f>+E13</f>
        <v>1.5</v>
      </c>
      <c r="F76" s="610" t="s">
        <v>157</v>
      </c>
      <c r="G76" s="663">
        <f>+G13</f>
        <v>21</v>
      </c>
      <c r="H76" s="98">
        <f>+E66/2</f>
        <v>0.65</v>
      </c>
      <c r="I76" s="79"/>
      <c r="J76" s="99" t="s">
        <v>157</v>
      </c>
      <c r="K76" s="99" t="s">
        <v>157</v>
      </c>
      <c r="L76" s="104">
        <v>98</v>
      </c>
      <c r="M76" s="74"/>
      <c r="N76" s="95" t="s">
        <v>157</v>
      </c>
      <c r="O76" s="95" t="s">
        <v>157</v>
      </c>
      <c r="P76" s="95" t="s">
        <v>157</v>
      </c>
    </row>
    <row r="77" spans="3:16" ht="16.5" customHeight="1" x14ac:dyDescent="0.15">
      <c r="D77" s="561"/>
      <c r="E77" s="617"/>
      <c r="F77" s="611"/>
      <c r="G77" s="664"/>
      <c r="H77" s="547">
        <f>+E66</f>
        <v>1.3</v>
      </c>
      <c r="I77" s="79">
        <f>+E76-H76</f>
        <v>0.85</v>
      </c>
      <c r="J77" s="600" t="s">
        <v>157</v>
      </c>
      <c r="K77" s="99" t="s">
        <v>157</v>
      </c>
      <c r="L77" s="577">
        <f>+L76+1</f>
        <v>99</v>
      </c>
      <c r="M77" s="577"/>
      <c r="N77" s="589" t="s">
        <v>157</v>
      </c>
      <c r="O77" s="589" t="s">
        <v>157</v>
      </c>
      <c r="P77" s="589" t="s">
        <v>157</v>
      </c>
    </row>
    <row r="78" spans="3:16" ht="16.5" customHeight="1" x14ac:dyDescent="0.15">
      <c r="D78" s="555" t="s">
        <v>17</v>
      </c>
      <c r="E78" s="605">
        <f>+E15</f>
        <v>1.3</v>
      </c>
      <c r="F78" s="602" t="s">
        <v>157</v>
      </c>
      <c r="G78" s="656">
        <f>+G15</f>
        <v>111</v>
      </c>
      <c r="H78" s="547"/>
      <c r="I78" s="79">
        <f>+H77-I77</f>
        <v>0.45000000000000007</v>
      </c>
      <c r="J78" s="591"/>
      <c r="K78" s="99" t="s">
        <v>157</v>
      </c>
      <c r="L78" s="579"/>
      <c r="M78" s="579"/>
      <c r="N78" s="568"/>
      <c r="O78" s="568"/>
      <c r="P78" s="568"/>
    </row>
    <row r="79" spans="3:16" ht="16.5" customHeight="1" x14ac:dyDescent="0.15">
      <c r="D79" s="555"/>
      <c r="E79" s="556"/>
      <c r="F79" s="603"/>
      <c r="G79" s="657"/>
      <c r="H79" s="547">
        <f>+H77</f>
        <v>1.3</v>
      </c>
      <c r="I79" s="79">
        <f>+E78-I78</f>
        <v>0.85</v>
      </c>
      <c r="J79" s="600" t="s">
        <v>157</v>
      </c>
      <c r="K79" s="99" t="s">
        <v>157</v>
      </c>
      <c r="L79" s="577">
        <f>+L77+1</f>
        <v>100</v>
      </c>
      <c r="M79" s="577"/>
      <c r="N79" s="589" t="s">
        <v>157</v>
      </c>
      <c r="O79" s="589" t="s">
        <v>157</v>
      </c>
      <c r="P79" s="589" t="s">
        <v>157</v>
      </c>
    </row>
    <row r="80" spans="3:16" ht="16.5" customHeight="1" x14ac:dyDescent="0.15">
      <c r="D80" s="555" t="s">
        <v>18</v>
      </c>
      <c r="E80" s="556">
        <f>+E17</f>
        <v>2.9</v>
      </c>
      <c r="F80" s="556">
        <f>+E76+E78+E80-E69</f>
        <v>0.75499999999999901</v>
      </c>
      <c r="G80" s="657">
        <f>+G17</f>
        <v>20</v>
      </c>
      <c r="H80" s="547"/>
      <c r="I80" s="79">
        <f>+H79-I79</f>
        <v>0.45000000000000007</v>
      </c>
      <c r="J80" s="591"/>
      <c r="K80" s="99" t="s">
        <v>157</v>
      </c>
      <c r="L80" s="579"/>
      <c r="M80" s="579"/>
      <c r="N80" s="568"/>
      <c r="O80" s="568"/>
      <c r="P80" s="568"/>
    </row>
    <row r="81" spans="4:16" ht="16.5" customHeight="1" x14ac:dyDescent="0.15">
      <c r="D81" s="555"/>
      <c r="E81" s="556"/>
      <c r="F81" s="556"/>
      <c r="G81" s="657"/>
      <c r="H81" s="547">
        <f t="shared" ref="H81" si="26">+H79</f>
        <v>1.3</v>
      </c>
      <c r="I81" s="547"/>
      <c r="J81" s="600" t="s">
        <v>157</v>
      </c>
      <c r="K81" s="600"/>
      <c r="L81" s="387">
        <f t="shared" ref="L81" si="27">+L79+1</f>
        <v>101</v>
      </c>
      <c r="M81" s="577"/>
      <c r="N81" s="589" t="s">
        <v>157</v>
      </c>
      <c r="O81" s="589" t="s">
        <v>157</v>
      </c>
      <c r="P81" s="589" t="s">
        <v>157</v>
      </c>
    </row>
    <row r="82" spans="4:16" ht="16.5" customHeight="1" x14ac:dyDescent="0.15">
      <c r="D82" s="555"/>
      <c r="E82" s="556"/>
      <c r="F82" s="556"/>
      <c r="G82" s="657"/>
      <c r="H82" s="547"/>
      <c r="I82" s="547"/>
      <c r="J82" s="591"/>
      <c r="K82" s="591"/>
      <c r="L82" s="419"/>
      <c r="M82" s="579"/>
      <c r="N82" s="568"/>
      <c r="O82" s="568"/>
      <c r="P82" s="568"/>
    </row>
    <row r="83" spans="4:16" ht="16.5" customHeight="1" x14ac:dyDescent="0.15">
      <c r="D83" s="555"/>
      <c r="E83" s="556"/>
      <c r="F83" s="556"/>
      <c r="G83" s="657"/>
      <c r="H83" s="547">
        <f t="shared" ref="H83" si="28">+H81</f>
        <v>1.3</v>
      </c>
      <c r="I83" s="79">
        <f>+E80-I80-H81</f>
        <v>1.1499999999999997</v>
      </c>
      <c r="J83" s="547">
        <f>+E66</f>
        <v>1.3</v>
      </c>
      <c r="K83" s="79">
        <f>+F80</f>
        <v>0.75499999999999901</v>
      </c>
      <c r="L83" s="387">
        <f t="shared" ref="L83" si="29">+L81+1</f>
        <v>102</v>
      </c>
      <c r="M83" s="577"/>
      <c r="N83" s="650">
        <f>+G80*K83+G84*K84</f>
        <v>29.500000000000014</v>
      </c>
      <c r="O83" s="650">
        <f>+E67*N83</f>
        <v>120.48007826516863</v>
      </c>
      <c r="P83" s="652">
        <f>+E70*O83</f>
        <v>240.96015653033726</v>
      </c>
    </row>
    <row r="84" spans="4:16" ht="16.5" customHeight="1" x14ac:dyDescent="0.15">
      <c r="D84" s="555" t="s">
        <v>19</v>
      </c>
      <c r="E84" s="556">
        <f>+E21</f>
        <v>2.6</v>
      </c>
      <c r="F84" s="556">
        <f>+E84</f>
        <v>2.6</v>
      </c>
      <c r="G84" s="657">
        <f>+G21</f>
        <v>96</v>
      </c>
      <c r="H84" s="547"/>
      <c r="I84" s="79">
        <f>+H83-I83</f>
        <v>0.15000000000000036</v>
      </c>
      <c r="J84" s="547"/>
      <c r="K84" s="79">
        <f>+I84</f>
        <v>0.15000000000000036</v>
      </c>
      <c r="L84" s="419"/>
      <c r="M84" s="579"/>
      <c r="N84" s="651"/>
      <c r="O84" s="651"/>
      <c r="P84" s="653"/>
    </row>
    <row r="85" spans="4:16" ht="16.5" customHeight="1" x14ac:dyDescent="0.15">
      <c r="D85" s="555"/>
      <c r="E85" s="556"/>
      <c r="F85" s="556"/>
      <c r="G85" s="657"/>
      <c r="H85" s="547">
        <f t="shared" ref="H85" si="30">+H83</f>
        <v>1.3</v>
      </c>
      <c r="I85" s="591"/>
      <c r="J85" s="547">
        <f t="shared" ref="J85" si="31">+J83</f>
        <v>1.3</v>
      </c>
      <c r="K85" s="591"/>
      <c r="L85" s="577">
        <f t="shared" ref="L85" si="32">+L83+1</f>
        <v>103</v>
      </c>
      <c r="M85" s="577"/>
      <c r="N85" s="650">
        <f>+G84*J85</f>
        <v>124.80000000000001</v>
      </c>
      <c r="O85" s="650">
        <f>+E67*N85</f>
        <v>509.69199211840811</v>
      </c>
      <c r="P85" s="652">
        <f>+E70*O85</f>
        <v>1019.3839842368162</v>
      </c>
    </row>
    <row r="86" spans="4:16" ht="16.5" customHeight="1" x14ac:dyDescent="0.15">
      <c r="D86" s="555"/>
      <c r="E86" s="556"/>
      <c r="F86" s="556"/>
      <c r="G86" s="657"/>
      <c r="H86" s="547"/>
      <c r="I86" s="591"/>
      <c r="J86" s="547"/>
      <c r="K86" s="591"/>
      <c r="L86" s="579"/>
      <c r="M86" s="579"/>
      <c r="N86" s="651"/>
      <c r="O86" s="651"/>
      <c r="P86" s="653"/>
    </row>
    <row r="87" spans="4:16" ht="16.5" customHeight="1" x14ac:dyDescent="0.15">
      <c r="D87" s="555"/>
      <c r="E87" s="556"/>
      <c r="F87" s="556"/>
      <c r="G87" s="657"/>
      <c r="H87" s="547">
        <f t="shared" ref="H87" si="33">+H85</f>
        <v>1.3</v>
      </c>
      <c r="I87" s="79">
        <f>+E84-I84-H85</f>
        <v>1.1499999999999997</v>
      </c>
      <c r="J87" s="547">
        <f t="shared" ref="J87" si="34">+J85</f>
        <v>1.3</v>
      </c>
      <c r="K87" s="79">
        <f>+I87</f>
        <v>1.1499999999999997</v>
      </c>
      <c r="L87" s="577">
        <f t="shared" ref="L87" si="35">+L85+1</f>
        <v>104</v>
      </c>
      <c r="M87" s="577"/>
      <c r="N87" s="651">
        <f>+G84*K87+G88*K88</f>
        <v>122.04</v>
      </c>
      <c r="O87" s="650">
        <f>+E67*N87</f>
        <v>498.41995767732789</v>
      </c>
      <c r="P87" s="652">
        <f>+E70*O87</f>
        <v>996.83991535465577</v>
      </c>
    </row>
    <row r="88" spans="4:16" ht="16.5" customHeight="1" x14ac:dyDescent="0.15">
      <c r="D88" s="555" t="s">
        <v>203</v>
      </c>
      <c r="E88" s="556">
        <f>+E25</f>
        <v>0.6</v>
      </c>
      <c r="F88" s="556">
        <f>+E88</f>
        <v>0.6</v>
      </c>
      <c r="G88" s="657">
        <f>+G25</f>
        <v>77.599999999999994</v>
      </c>
      <c r="H88" s="547"/>
      <c r="I88" s="79">
        <f>+H87-I87</f>
        <v>0.15000000000000036</v>
      </c>
      <c r="J88" s="547"/>
      <c r="K88" s="79">
        <f t="shared" ref="K88:K90" si="36">+I88</f>
        <v>0.15000000000000036</v>
      </c>
      <c r="L88" s="579"/>
      <c r="M88" s="579"/>
      <c r="N88" s="651"/>
      <c r="O88" s="651"/>
      <c r="P88" s="653"/>
    </row>
    <row r="89" spans="4:16" ht="16.5" customHeight="1" x14ac:dyDescent="0.15">
      <c r="D89" s="555"/>
      <c r="E89" s="556"/>
      <c r="F89" s="556"/>
      <c r="G89" s="657"/>
      <c r="H89" s="547">
        <f t="shared" ref="H89" si="37">+H87</f>
        <v>1.3</v>
      </c>
      <c r="I89" s="79">
        <f>+E88-I88</f>
        <v>0.44999999999999962</v>
      </c>
      <c r="J89" s="547">
        <f t="shared" ref="J89" si="38">+J87</f>
        <v>1.3</v>
      </c>
      <c r="K89" s="79">
        <f t="shared" si="36"/>
        <v>0.44999999999999962</v>
      </c>
      <c r="L89" s="577">
        <f t="shared" ref="L89" si="39">+L87+1</f>
        <v>105</v>
      </c>
      <c r="M89" s="577"/>
      <c r="N89" s="651">
        <f>+G88*K89+G90*K90</f>
        <v>157.32000000000002</v>
      </c>
      <c r="O89" s="650">
        <f>+E67*N89</f>
        <v>642.50596314157019</v>
      </c>
      <c r="P89" s="652">
        <f>+E70*O89</f>
        <v>1285.0119262831404</v>
      </c>
    </row>
    <row r="90" spans="4:16" ht="16.5" customHeight="1" x14ac:dyDescent="0.15">
      <c r="D90" s="559" t="s">
        <v>204</v>
      </c>
      <c r="E90" s="581">
        <f>+E27</f>
        <v>9.5</v>
      </c>
      <c r="F90" s="581">
        <f>+E90</f>
        <v>9.5</v>
      </c>
      <c r="G90" s="665">
        <f>+G27</f>
        <v>144</v>
      </c>
      <c r="H90" s="547"/>
      <c r="I90" s="79">
        <f>+H89-I89</f>
        <v>0.85000000000000042</v>
      </c>
      <c r="J90" s="547"/>
      <c r="K90" s="79">
        <f t="shared" si="36"/>
        <v>0.85000000000000042</v>
      </c>
      <c r="L90" s="579"/>
      <c r="M90" s="579"/>
      <c r="N90" s="651"/>
      <c r="O90" s="651"/>
      <c r="P90" s="653"/>
    </row>
    <row r="91" spans="4:16" ht="16.5" customHeight="1" x14ac:dyDescent="0.15">
      <c r="D91" s="560"/>
      <c r="E91" s="582"/>
      <c r="F91" s="582"/>
      <c r="G91" s="666"/>
      <c r="H91" s="547">
        <f t="shared" ref="H91" si="40">+H89</f>
        <v>1.3</v>
      </c>
      <c r="I91" s="592"/>
      <c r="J91" s="547">
        <f t="shared" ref="J91" si="41">+J89</f>
        <v>1.3</v>
      </c>
      <c r="K91" s="592"/>
      <c r="L91" s="577">
        <f>+L89+1</f>
        <v>106</v>
      </c>
      <c r="M91" s="577"/>
      <c r="N91" s="626">
        <f>+G90*J91</f>
        <v>187.20000000000002</v>
      </c>
      <c r="O91" s="650">
        <f>+E67*N91</f>
        <v>764.53798817761208</v>
      </c>
      <c r="P91" s="652">
        <f>+E70*O91</f>
        <v>1529.0759763552242</v>
      </c>
    </row>
    <row r="92" spans="4:16" ht="16.5" customHeight="1" x14ac:dyDescent="0.15">
      <c r="D92" s="560"/>
      <c r="E92" s="582"/>
      <c r="F92" s="582"/>
      <c r="G92" s="666"/>
      <c r="H92" s="547"/>
      <c r="I92" s="593"/>
      <c r="J92" s="547"/>
      <c r="K92" s="593"/>
      <c r="L92" s="579"/>
      <c r="M92" s="579"/>
      <c r="N92" s="627"/>
      <c r="O92" s="651"/>
      <c r="P92" s="653"/>
    </row>
    <row r="93" spans="4:16" ht="16.5" customHeight="1" x14ac:dyDescent="0.15">
      <c r="D93" s="560"/>
      <c r="E93" s="582"/>
      <c r="F93" s="582"/>
      <c r="G93" s="666"/>
      <c r="H93" s="547">
        <f t="shared" ref="H93" si="42">+H91</f>
        <v>1.3</v>
      </c>
      <c r="I93" s="592"/>
      <c r="J93" s="547">
        <f t="shared" ref="J93" si="43">+J91</f>
        <v>1.3</v>
      </c>
      <c r="K93" s="592"/>
      <c r="L93" s="577">
        <f t="shared" ref="L93" si="44">+L91+1</f>
        <v>107</v>
      </c>
      <c r="M93" s="577"/>
      <c r="N93" s="626">
        <f>+G90*J93</f>
        <v>187.20000000000002</v>
      </c>
      <c r="O93" s="650">
        <f>+E67*N93</f>
        <v>764.53798817761208</v>
      </c>
      <c r="P93" s="652">
        <f>+E70*O93</f>
        <v>1529.0759763552242</v>
      </c>
    </row>
    <row r="94" spans="4:16" ht="16.5" customHeight="1" x14ac:dyDescent="0.15">
      <c r="D94" s="560"/>
      <c r="E94" s="582"/>
      <c r="F94" s="582"/>
      <c r="G94" s="666"/>
      <c r="H94" s="547"/>
      <c r="I94" s="593"/>
      <c r="J94" s="547"/>
      <c r="K94" s="593"/>
      <c r="L94" s="579"/>
      <c r="M94" s="579"/>
      <c r="N94" s="627"/>
      <c r="O94" s="651"/>
      <c r="P94" s="653"/>
    </row>
    <row r="95" spans="4:16" ht="16.5" customHeight="1" x14ac:dyDescent="0.15">
      <c r="D95" s="560"/>
      <c r="E95" s="582"/>
      <c r="F95" s="582"/>
      <c r="G95" s="666"/>
      <c r="H95" s="547">
        <f t="shared" ref="H95" si="45">+H93</f>
        <v>1.3</v>
      </c>
      <c r="I95" s="592"/>
      <c r="J95" s="547">
        <f t="shared" ref="J95" si="46">+J93</f>
        <v>1.3</v>
      </c>
      <c r="K95" s="592"/>
      <c r="L95" s="577">
        <f t="shared" ref="L95" si="47">+L93+1</f>
        <v>108</v>
      </c>
      <c r="M95" s="577"/>
      <c r="N95" s="626">
        <f>+G90*J95</f>
        <v>187.20000000000002</v>
      </c>
      <c r="O95" s="650">
        <f>+E67*N95</f>
        <v>764.53798817761208</v>
      </c>
      <c r="P95" s="652">
        <f>+E70*O95</f>
        <v>1529.0759763552242</v>
      </c>
    </row>
    <row r="96" spans="4:16" ht="16.5" customHeight="1" x14ac:dyDescent="0.15">
      <c r="D96" s="560"/>
      <c r="E96" s="582"/>
      <c r="F96" s="582"/>
      <c r="G96" s="666"/>
      <c r="H96" s="547"/>
      <c r="I96" s="593"/>
      <c r="J96" s="547"/>
      <c r="K96" s="593"/>
      <c r="L96" s="579"/>
      <c r="M96" s="579"/>
      <c r="N96" s="627"/>
      <c r="O96" s="651"/>
      <c r="P96" s="653"/>
    </row>
    <row r="97" spans="4:16" ht="16.5" customHeight="1" x14ac:dyDescent="0.15">
      <c r="D97" s="560"/>
      <c r="E97" s="582"/>
      <c r="F97" s="582"/>
      <c r="G97" s="666"/>
      <c r="H97" s="547">
        <f t="shared" ref="H97" si="48">+H95</f>
        <v>1.3</v>
      </c>
      <c r="I97" s="594"/>
      <c r="J97" s="547">
        <f t="shared" ref="J97" si="49">+J95</f>
        <v>1.3</v>
      </c>
      <c r="K97" s="594"/>
      <c r="L97" s="577">
        <f t="shared" ref="L97" si="50">+L95+1</f>
        <v>109</v>
      </c>
      <c r="M97" s="577"/>
      <c r="N97" s="626">
        <f>+G90*J97</f>
        <v>187.20000000000002</v>
      </c>
      <c r="O97" s="650">
        <f>+E67*N97</f>
        <v>764.53798817761208</v>
      </c>
      <c r="P97" s="652">
        <f>+E70*O97</f>
        <v>1529.0759763552242</v>
      </c>
    </row>
    <row r="98" spans="4:16" ht="16.5" customHeight="1" x14ac:dyDescent="0.15">
      <c r="D98" s="560"/>
      <c r="E98" s="582"/>
      <c r="F98" s="582"/>
      <c r="G98" s="666"/>
      <c r="H98" s="547"/>
      <c r="I98" s="594"/>
      <c r="J98" s="547"/>
      <c r="K98" s="594"/>
      <c r="L98" s="579"/>
      <c r="M98" s="579"/>
      <c r="N98" s="627"/>
      <c r="O98" s="651"/>
      <c r="P98" s="653"/>
    </row>
    <row r="99" spans="4:16" ht="16.5" customHeight="1" x14ac:dyDescent="0.15">
      <c r="D99" s="560"/>
      <c r="E99" s="582"/>
      <c r="F99" s="582"/>
      <c r="G99" s="666"/>
      <c r="H99" s="547">
        <f t="shared" ref="H99" si="51">+H97</f>
        <v>1.3</v>
      </c>
      <c r="I99" s="594"/>
      <c r="J99" s="547">
        <f t="shared" ref="J99" si="52">+J97</f>
        <v>1.3</v>
      </c>
      <c r="K99" s="594"/>
      <c r="L99" s="577">
        <f t="shared" ref="L99" si="53">+L97+1</f>
        <v>110</v>
      </c>
      <c r="M99" s="577"/>
      <c r="N99" s="626">
        <f>+G90*J99</f>
        <v>187.20000000000002</v>
      </c>
      <c r="O99" s="650">
        <f>+E67*N99</f>
        <v>764.53798817761208</v>
      </c>
      <c r="P99" s="652">
        <f>+E70*O99</f>
        <v>1529.0759763552242</v>
      </c>
    </row>
    <row r="100" spans="4:16" ht="16.5" customHeight="1" x14ac:dyDescent="0.15">
      <c r="D100" s="560"/>
      <c r="E100" s="582"/>
      <c r="F100" s="582"/>
      <c r="G100" s="666"/>
      <c r="H100" s="547"/>
      <c r="I100" s="594"/>
      <c r="J100" s="547"/>
      <c r="K100" s="594"/>
      <c r="L100" s="579"/>
      <c r="M100" s="579"/>
      <c r="N100" s="627"/>
      <c r="O100" s="651"/>
      <c r="P100" s="653"/>
    </row>
    <row r="101" spans="4:16" ht="16.5" customHeight="1" x14ac:dyDescent="0.15">
      <c r="D101" s="560"/>
      <c r="E101" s="582"/>
      <c r="F101" s="582"/>
      <c r="G101" s="666"/>
      <c r="H101" s="547">
        <f t="shared" ref="H101" si="54">+H99</f>
        <v>1.3</v>
      </c>
      <c r="I101" s="594"/>
      <c r="J101" s="547">
        <f t="shared" ref="J101" si="55">+J99</f>
        <v>1.3</v>
      </c>
      <c r="K101" s="594"/>
      <c r="L101" s="577">
        <f>+L99+1</f>
        <v>111</v>
      </c>
      <c r="M101" s="577"/>
      <c r="N101" s="626">
        <f>+G90*J101</f>
        <v>187.20000000000002</v>
      </c>
      <c r="O101" s="650">
        <f>+E67*N101</f>
        <v>764.53798817761208</v>
      </c>
      <c r="P101" s="652">
        <f>+E70*O101</f>
        <v>1529.0759763552242</v>
      </c>
    </row>
    <row r="102" spans="4:16" ht="16.5" customHeight="1" x14ac:dyDescent="0.15">
      <c r="D102" s="560"/>
      <c r="E102" s="582"/>
      <c r="F102" s="582"/>
      <c r="G102" s="666"/>
      <c r="H102" s="547"/>
      <c r="I102" s="594"/>
      <c r="J102" s="547"/>
      <c r="K102" s="594"/>
      <c r="L102" s="579"/>
      <c r="M102" s="579"/>
      <c r="N102" s="627"/>
      <c r="O102" s="651"/>
      <c r="P102" s="653"/>
    </row>
    <row r="103" spans="4:16" ht="16.5" customHeight="1" x14ac:dyDescent="0.15">
      <c r="D103" s="561"/>
      <c r="E103" s="583"/>
      <c r="F103" s="583"/>
      <c r="G103" s="667"/>
      <c r="H103" s="547">
        <f t="shared" ref="H103" si="56">+H101</f>
        <v>1.3</v>
      </c>
      <c r="I103" s="79">
        <f>+E90-I90-H91-H93-H95-H97-H99-H101</f>
        <v>0.8500000000000012</v>
      </c>
      <c r="J103" s="547">
        <f t="shared" ref="J103" si="57">+J101</f>
        <v>1.3</v>
      </c>
      <c r="K103" s="79">
        <f t="shared" ref="K103:K104" si="58">+I103</f>
        <v>0.8500000000000012</v>
      </c>
      <c r="L103" s="577">
        <f t="shared" ref="L103" si="59">+L101+1</f>
        <v>112</v>
      </c>
      <c r="M103" s="577"/>
      <c r="N103" s="626">
        <f>+G90*K103+G104*K104</f>
        <v>138.24000000000012</v>
      </c>
      <c r="O103" s="650">
        <f>+E67*N103</f>
        <v>564.58189896192937</v>
      </c>
      <c r="P103" s="652">
        <f>+E70*O103</f>
        <v>1129.1637979238587</v>
      </c>
    </row>
    <row r="104" spans="4:16" ht="16.5" customHeight="1" x14ac:dyDescent="0.15">
      <c r="D104" s="555" t="s">
        <v>205</v>
      </c>
      <c r="E104" s="556">
        <f>+E41</f>
        <v>12.6</v>
      </c>
      <c r="F104" s="556">
        <f>+E104-E66</f>
        <v>11.299999999999999</v>
      </c>
      <c r="G104" s="657">
        <f>+G41</f>
        <v>35.200000000000003</v>
      </c>
      <c r="H104" s="547"/>
      <c r="I104" s="79">
        <f>+H105-I103</f>
        <v>0.44999999999999885</v>
      </c>
      <c r="J104" s="547"/>
      <c r="K104" s="79">
        <f t="shared" si="58"/>
        <v>0.44999999999999885</v>
      </c>
      <c r="L104" s="579"/>
      <c r="M104" s="579"/>
      <c r="N104" s="627"/>
      <c r="O104" s="651"/>
      <c r="P104" s="653"/>
    </row>
    <row r="105" spans="4:16" ht="16.5" customHeight="1" x14ac:dyDescent="0.15">
      <c r="D105" s="555"/>
      <c r="E105" s="556"/>
      <c r="F105" s="556"/>
      <c r="G105" s="657"/>
      <c r="H105" s="547">
        <f t="shared" ref="H105" si="60">+H103</f>
        <v>1.3</v>
      </c>
      <c r="I105" s="614"/>
      <c r="J105" s="547">
        <f t="shared" ref="J105" si="61">+J103</f>
        <v>1.3</v>
      </c>
      <c r="K105" s="614"/>
      <c r="L105" s="577">
        <f t="shared" ref="L105" si="62">+L103+1</f>
        <v>113</v>
      </c>
      <c r="M105" s="577"/>
      <c r="N105" s="626">
        <f>+G104*J105</f>
        <v>45.760000000000005</v>
      </c>
      <c r="O105" s="650">
        <f>+E67*N105</f>
        <v>186.88706377674964</v>
      </c>
      <c r="P105" s="652">
        <f>+E70*O105</f>
        <v>373.77412755349928</v>
      </c>
    </row>
    <row r="106" spans="4:16" ht="16.5" customHeight="1" x14ac:dyDescent="0.15">
      <c r="D106" s="555"/>
      <c r="E106" s="556"/>
      <c r="F106" s="556"/>
      <c r="G106" s="657"/>
      <c r="H106" s="547"/>
      <c r="I106" s="615"/>
      <c r="J106" s="547"/>
      <c r="K106" s="615"/>
      <c r="L106" s="579"/>
      <c r="M106" s="579"/>
      <c r="N106" s="627"/>
      <c r="O106" s="651"/>
      <c r="P106" s="653"/>
    </row>
    <row r="107" spans="4:16" ht="16.5" customHeight="1" x14ac:dyDescent="0.15">
      <c r="D107" s="555"/>
      <c r="E107" s="556"/>
      <c r="F107" s="556"/>
      <c r="G107" s="657"/>
      <c r="H107" s="547">
        <f t="shared" ref="H107" si="63">+H105</f>
        <v>1.3</v>
      </c>
      <c r="I107" s="547"/>
      <c r="J107" s="547">
        <f t="shared" ref="J107" si="64">+J105</f>
        <v>1.3</v>
      </c>
      <c r="K107" s="547"/>
      <c r="L107" s="577">
        <f t="shared" ref="L107" si="65">+L105+1</f>
        <v>114</v>
      </c>
      <c r="M107" s="577"/>
      <c r="N107" s="626">
        <f>+G104*J107</f>
        <v>45.760000000000005</v>
      </c>
      <c r="O107" s="650">
        <f>+E67*N107</f>
        <v>186.88706377674964</v>
      </c>
      <c r="P107" s="652">
        <f>+E70*O107</f>
        <v>373.77412755349928</v>
      </c>
    </row>
    <row r="108" spans="4:16" ht="16.5" customHeight="1" x14ac:dyDescent="0.15">
      <c r="D108" s="555"/>
      <c r="E108" s="556"/>
      <c r="F108" s="556"/>
      <c r="G108" s="657"/>
      <c r="H108" s="547"/>
      <c r="I108" s="547"/>
      <c r="J108" s="547"/>
      <c r="K108" s="547"/>
      <c r="L108" s="579"/>
      <c r="M108" s="579"/>
      <c r="N108" s="627"/>
      <c r="O108" s="651"/>
      <c r="P108" s="653"/>
    </row>
    <row r="109" spans="4:16" ht="16.5" customHeight="1" x14ac:dyDescent="0.15">
      <c r="D109" s="555"/>
      <c r="E109" s="556"/>
      <c r="F109" s="556"/>
      <c r="G109" s="657"/>
      <c r="H109" s="547">
        <f t="shared" ref="H109" si="66">+H107</f>
        <v>1.3</v>
      </c>
      <c r="I109" s="547"/>
      <c r="J109" s="547">
        <f t="shared" ref="J109" si="67">+J107</f>
        <v>1.3</v>
      </c>
      <c r="K109" s="547"/>
      <c r="L109" s="577">
        <f t="shared" ref="L109" si="68">+L107+1</f>
        <v>115</v>
      </c>
      <c r="M109" s="577"/>
      <c r="N109" s="626">
        <f>+G104*J109</f>
        <v>45.760000000000005</v>
      </c>
      <c r="O109" s="650">
        <f>+E67*N109</f>
        <v>186.88706377674964</v>
      </c>
      <c r="P109" s="652">
        <f>+E70*O109</f>
        <v>373.77412755349928</v>
      </c>
    </row>
    <row r="110" spans="4:16" ht="16.5" customHeight="1" x14ac:dyDescent="0.15">
      <c r="D110" s="555"/>
      <c r="E110" s="556"/>
      <c r="F110" s="556"/>
      <c r="G110" s="657"/>
      <c r="H110" s="547"/>
      <c r="I110" s="547"/>
      <c r="J110" s="547"/>
      <c r="K110" s="547"/>
      <c r="L110" s="579"/>
      <c r="M110" s="579"/>
      <c r="N110" s="627"/>
      <c r="O110" s="651"/>
      <c r="P110" s="653"/>
    </row>
    <row r="111" spans="4:16" ht="16.5" customHeight="1" x14ac:dyDescent="0.15">
      <c r="D111" s="555"/>
      <c r="E111" s="556"/>
      <c r="F111" s="556"/>
      <c r="G111" s="657"/>
      <c r="H111" s="547">
        <f t="shared" ref="H111" si="69">+H109</f>
        <v>1.3</v>
      </c>
      <c r="I111" s="547"/>
      <c r="J111" s="547">
        <f t="shared" ref="J111" si="70">+J109</f>
        <v>1.3</v>
      </c>
      <c r="K111" s="547"/>
      <c r="L111" s="577">
        <f t="shared" ref="L111" si="71">+L109+1</f>
        <v>116</v>
      </c>
      <c r="M111" s="577"/>
      <c r="N111" s="626">
        <f>+G104*J111</f>
        <v>45.760000000000005</v>
      </c>
      <c r="O111" s="650">
        <f>+E67*N111</f>
        <v>186.88706377674964</v>
      </c>
      <c r="P111" s="652">
        <f>+E70*O111</f>
        <v>373.77412755349928</v>
      </c>
    </row>
    <row r="112" spans="4:16" ht="16.5" customHeight="1" x14ac:dyDescent="0.15">
      <c r="D112" s="555"/>
      <c r="E112" s="556"/>
      <c r="F112" s="556"/>
      <c r="G112" s="657"/>
      <c r="H112" s="547"/>
      <c r="I112" s="547"/>
      <c r="J112" s="547"/>
      <c r="K112" s="547"/>
      <c r="L112" s="579"/>
      <c r="M112" s="579"/>
      <c r="N112" s="627"/>
      <c r="O112" s="651"/>
      <c r="P112" s="653"/>
    </row>
    <row r="113" spans="4:16" ht="16.5" customHeight="1" x14ac:dyDescent="0.15">
      <c r="D113" s="555"/>
      <c r="E113" s="556"/>
      <c r="F113" s="556"/>
      <c r="G113" s="657"/>
      <c r="H113" s="547">
        <f t="shared" ref="H113" si="72">+H111</f>
        <v>1.3</v>
      </c>
      <c r="I113" s="547"/>
      <c r="J113" s="547">
        <f t="shared" ref="J113" si="73">+J111</f>
        <v>1.3</v>
      </c>
      <c r="K113" s="547"/>
      <c r="L113" s="577">
        <f>+L111+1</f>
        <v>117</v>
      </c>
      <c r="M113" s="577"/>
      <c r="N113" s="626">
        <f>+G104*J113</f>
        <v>45.760000000000005</v>
      </c>
      <c r="O113" s="650">
        <f>+E67*N113</f>
        <v>186.88706377674964</v>
      </c>
      <c r="P113" s="652">
        <f>+E70*O113</f>
        <v>373.77412755349928</v>
      </c>
    </row>
    <row r="114" spans="4:16" ht="16.5" customHeight="1" x14ac:dyDescent="0.15">
      <c r="D114" s="555"/>
      <c r="E114" s="556"/>
      <c r="F114" s="556"/>
      <c r="G114" s="657"/>
      <c r="H114" s="547"/>
      <c r="I114" s="547"/>
      <c r="J114" s="547"/>
      <c r="K114" s="547"/>
      <c r="L114" s="579"/>
      <c r="M114" s="579"/>
      <c r="N114" s="627"/>
      <c r="O114" s="651"/>
      <c r="P114" s="653"/>
    </row>
    <row r="115" spans="4:16" ht="16.5" customHeight="1" x14ac:dyDescent="0.15">
      <c r="D115" s="555"/>
      <c r="E115" s="556"/>
      <c r="F115" s="556"/>
      <c r="G115" s="657"/>
      <c r="H115" s="547">
        <f t="shared" ref="H115" si="74">+H113</f>
        <v>1.3</v>
      </c>
      <c r="I115" s="547"/>
      <c r="J115" s="547">
        <f t="shared" ref="J115" si="75">+J113</f>
        <v>1.3</v>
      </c>
      <c r="K115" s="547"/>
      <c r="L115" s="577">
        <f t="shared" ref="L115" si="76">+L113+1</f>
        <v>118</v>
      </c>
      <c r="M115" s="577"/>
      <c r="N115" s="626">
        <f>+G104*J115</f>
        <v>45.760000000000005</v>
      </c>
      <c r="O115" s="650">
        <f>+E67*N115</f>
        <v>186.88706377674964</v>
      </c>
      <c r="P115" s="652">
        <f>+E70*O115</f>
        <v>373.77412755349928</v>
      </c>
    </row>
    <row r="116" spans="4:16" ht="16.5" customHeight="1" x14ac:dyDescent="0.15">
      <c r="D116" s="555"/>
      <c r="E116" s="556"/>
      <c r="F116" s="556"/>
      <c r="G116" s="657"/>
      <c r="H116" s="547"/>
      <c r="I116" s="547"/>
      <c r="J116" s="547"/>
      <c r="K116" s="547"/>
      <c r="L116" s="579"/>
      <c r="M116" s="579"/>
      <c r="N116" s="627"/>
      <c r="O116" s="651"/>
      <c r="P116" s="653"/>
    </row>
    <row r="117" spans="4:16" ht="16.5" customHeight="1" x14ac:dyDescent="0.15">
      <c r="D117" s="555"/>
      <c r="E117" s="556"/>
      <c r="F117" s="556"/>
      <c r="G117" s="657"/>
      <c r="H117" s="547">
        <f t="shared" ref="H117" si="77">+H115</f>
        <v>1.3</v>
      </c>
      <c r="I117" s="547"/>
      <c r="J117" s="547">
        <f t="shared" ref="J117" si="78">+J115</f>
        <v>1.3</v>
      </c>
      <c r="K117" s="547"/>
      <c r="L117" s="577">
        <f t="shared" ref="L117" si="79">+L115+1</f>
        <v>119</v>
      </c>
      <c r="M117" s="577"/>
      <c r="N117" s="626">
        <f>+G104*J117</f>
        <v>45.760000000000005</v>
      </c>
      <c r="O117" s="650">
        <f>+E67*N117</f>
        <v>186.88706377674964</v>
      </c>
      <c r="P117" s="652">
        <f>+E70*O117</f>
        <v>373.77412755349928</v>
      </c>
    </row>
    <row r="118" spans="4:16" ht="16.5" customHeight="1" x14ac:dyDescent="0.15">
      <c r="D118" s="555"/>
      <c r="E118" s="556"/>
      <c r="F118" s="556"/>
      <c r="G118" s="657"/>
      <c r="H118" s="547"/>
      <c r="I118" s="547"/>
      <c r="J118" s="547"/>
      <c r="K118" s="547"/>
      <c r="L118" s="579"/>
      <c r="M118" s="579"/>
      <c r="N118" s="627"/>
      <c r="O118" s="651"/>
      <c r="P118" s="653"/>
    </row>
    <row r="119" spans="4:16" ht="16.5" customHeight="1" x14ac:dyDescent="0.15">
      <c r="D119" s="555"/>
      <c r="E119" s="556"/>
      <c r="F119" s="556"/>
      <c r="G119" s="657"/>
      <c r="H119" s="547">
        <f t="shared" ref="H119" si="80">+H117</f>
        <v>1.3</v>
      </c>
      <c r="I119" s="547"/>
      <c r="J119" s="547">
        <f t="shared" ref="J119" si="81">+J117</f>
        <v>1.3</v>
      </c>
      <c r="K119" s="547"/>
      <c r="L119" s="577">
        <f t="shared" ref="L119" si="82">+L117+1</f>
        <v>120</v>
      </c>
      <c r="M119" s="577"/>
      <c r="N119" s="626">
        <f>+G104*J119</f>
        <v>45.760000000000005</v>
      </c>
      <c r="O119" s="650">
        <f>+E67*N119</f>
        <v>186.88706377674964</v>
      </c>
      <c r="P119" s="652">
        <f>+E70*O119</f>
        <v>373.77412755349928</v>
      </c>
    </row>
    <row r="120" spans="4:16" ht="16.5" customHeight="1" x14ac:dyDescent="0.15">
      <c r="D120" s="555"/>
      <c r="E120" s="556"/>
      <c r="F120" s="556"/>
      <c r="G120" s="657"/>
      <c r="H120" s="547"/>
      <c r="I120" s="547"/>
      <c r="J120" s="547"/>
      <c r="K120" s="547"/>
      <c r="L120" s="579"/>
      <c r="M120" s="579"/>
      <c r="N120" s="627"/>
      <c r="O120" s="651"/>
      <c r="P120" s="653"/>
    </row>
    <row r="121" spans="4:16" ht="16.5" customHeight="1" x14ac:dyDescent="0.15">
      <c r="D121" s="555"/>
      <c r="E121" s="556"/>
      <c r="F121" s="556"/>
      <c r="G121" s="657"/>
      <c r="H121" s="547">
        <f>+H58</f>
        <v>1.2</v>
      </c>
      <c r="I121" s="547"/>
      <c r="J121" s="547">
        <f>+F104-K104-J105-J107-J109-J111-J113-J115-J117-J119</f>
        <v>0.44999999999999885</v>
      </c>
      <c r="K121" s="547"/>
      <c r="L121" s="577">
        <f t="shared" ref="L121" si="83">+L119+1</f>
        <v>121</v>
      </c>
      <c r="M121" s="577"/>
      <c r="N121" s="626">
        <f>+G104*J121</f>
        <v>15.839999999999961</v>
      </c>
      <c r="O121" s="650">
        <f>+E67*N121</f>
        <v>64.691675922720862</v>
      </c>
      <c r="P121" s="652">
        <f>+E70*O121</f>
        <v>129.38335184544172</v>
      </c>
    </row>
    <row r="122" spans="4:16" ht="16.5" customHeight="1" x14ac:dyDescent="0.15">
      <c r="D122" s="555"/>
      <c r="E122" s="556"/>
      <c r="F122" s="556"/>
      <c r="G122" s="657"/>
      <c r="H122" s="547"/>
      <c r="I122" s="547"/>
      <c r="J122" s="547"/>
      <c r="K122" s="547"/>
      <c r="L122" s="579"/>
      <c r="M122" s="579"/>
      <c r="N122" s="627"/>
      <c r="O122" s="651"/>
      <c r="P122" s="653"/>
    </row>
    <row r="123" spans="4:16" ht="16.5" customHeight="1" x14ac:dyDescent="0.15">
      <c r="D123" s="555"/>
      <c r="E123" s="556"/>
      <c r="F123" s="556"/>
      <c r="G123" s="657"/>
      <c r="H123" s="79">
        <f>+E104-I104-H105-H107-H109-H111-H113-H115-H117-H119-H121</f>
        <v>0.54999999999999893</v>
      </c>
      <c r="I123" s="88"/>
      <c r="J123" s="99" t="s">
        <v>157</v>
      </c>
      <c r="K123" s="88"/>
      <c r="L123" s="37">
        <f>+L121+1</f>
        <v>122</v>
      </c>
      <c r="M123" s="37"/>
      <c r="N123" s="95" t="s">
        <v>157</v>
      </c>
      <c r="O123" s="95" t="s">
        <v>157</v>
      </c>
      <c r="P123" s="95" t="s">
        <v>157</v>
      </c>
    </row>
    <row r="124" spans="4:16" ht="16.5" customHeight="1" x14ac:dyDescent="0.15">
      <c r="D124" s="89" t="s">
        <v>228</v>
      </c>
      <c r="E124" s="79">
        <f>SUM(E76:E123)</f>
        <v>31</v>
      </c>
      <c r="F124" s="79">
        <f>SUM(F76:F123)</f>
        <v>24.754999999999995</v>
      </c>
      <c r="G124" s="88"/>
      <c r="H124" s="79">
        <f>SUM(H75:H123)</f>
        <v>31.000000000000007</v>
      </c>
      <c r="I124" s="88"/>
      <c r="J124" s="79">
        <f>SUM(J81:J122)</f>
        <v>25.150000000000006</v>
      </c>
      <c r="K124" s="334"/>
      <c r="L124" s="327"/>
      <c r="M124" s="327"/>
      <c r="N124" s="327"/>
      <c r="O124" s="327"/>
      <c r="P124" s="328"/>
    </row>
  </sheetData>
  <mergeCells count="466"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K124:P124"/>
    <mergeCell ref="P119:P120"/>
    <mergeCell ref="H121:H122"/>
    <mergeCell ref="I121:I122"/>
    <mergeCell ref="J121:J122"/>
    <mergeCell ref="K121:K122"/>
    <mergeCell ref="L121:L122"/>
    <mergeCell ref="M121:M122"/>
    <mergeCell ref="N121:N122"/>
    <mergeCell ref="O121:O122"/>
    <mergeCell ref="P121:P122"/>
    <mergeCell ref="N115:N116"/>
    <mergeCell ref="O115:O116"/>
    <mergeCell ref="P115:P116"/>
    <mergeCell ref="H117:H118"/>
    <mergeCell ref="I117:I118"/>
    <mergeCell ref="J117:J118"/>
    <mergeCell ref="K117:K118"/>
    <mergeCell ref="L117:L118"/>
    <mergeCell ref="M117:M118"/>
    <mergeCell ref="N117:N118"/>
    <mergeCell ref="H115:H116"/>
    <mergeCell ref="I115:I116"/>
    <mergeCell ref="J115:J116"/>
    <mergeCell ref="K115:K116"/>
    <mergeCell ref="L115:L116"/>
    <mergeCell ref="M115:M116"/>
    <mergeCell ref="O117:O118"/>
    <mergeCell ref="P117:P118"/>
    <mergeCell ref="H113:H114"/>
    <mergeCell ref="I113:I114"/>
    <mergeCell ref="J113:J114"/>
    <mergeCell ref="K113:K114"/>
    <mergeCell ref="L113:L114"/>
    <mergeCell ref="M113:M114"/>
    <mergeCell ref="N113:N114"/>
    <mergeCell ref="O113:O114"/>
    <mergeCell ref="P113:P114"/>
    <mergeCell ref="H111:H112"/>
    <mergeCell ref="I111:I112"/>
    <mergeCell ref="J111:J112"/>
    <mergeCell ref="K111:K112"/>
    <mergeCell ref="L111:L112"/>
    <mergeCell ref="M111:M112"/>
    <mergeCell ref="N111:N112"/>
    <mergeCell ref="O111:O112"/>
    <mergeCell ref="P111:P112"/>
    <mergeCell ref="L107:L108"/>
    <mergeCell ref="M107:M108"/>
    <mergeCell ref="N107:N108"/>
    <mergeCell ref="O107:O108"/>
    <mergeCell ref="P107:P108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P103:P104"/>
    <mergeCell ref="D104:D123"/>
    <mergeCell ref="E104:E123"/>
    <mergeCell ref="F104:F123"/>
    <mergeCell ref="G104:G123"/>
    <mergeCell ref="H105:H106"/>
    <mergeCell ref="I105:I106"/>
    <mergeCell ref="J105:J106"/>
    <mergeCell ref="K105:K106"/>
    <mergeCell ref="L105:L106"/>
    <mergeCell ref="H103:H104"/>
    <mergeCell ref="J103:J104"/>
    <mergeCell ref="L103:L104"/>
    <mergeCell ref="M103:M104"/>
    <mergeCell ref="N103:N104"/>
    <mergeCell ref="O103:O104"/>
    <mergeCell ref="M105:M106"/>
    <mergeCell ref="N105:N106"/>
    <mergeCell ref="O105:O106"/>
    <mergeCell ref="P105:P106"/>
    <mergeCell ref="H107:H108"/>
    <mergeCell ref="I107:I108"/>
    <mergeCell ref="J107:J108"/>
    <mergeCell ref="K107:K108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O89:O90"/>
    <mergeCell ref="P89:P90"/>
    <mergeCell ref="D90:D103"/>
    <mergeCell ref="E90:E103"/>
    <mergeCell ref="F90:F103"/>
    <mergeCell ref="G90:G103"/>
    <mergeCell ref="H91:H92"/>
    <mergeCell ref="I91:I92"/>
    <mergeCell ref="J91:J92"/>
    <mergeCell ref="K91:K92"/>
    <mergeCell ref="L91:L92"/>
    <mergeCell ref="M91:M92"/>
    <mergeCell ref="N91:N92"/>
    <mergeCell ref="O91:O92"/>
    <mergeCell ref="P91:P92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D88:D89"/>
    <mergeCell ref="E88:E89"/>
    <mergeCell ref="F88:F89"/>
    <mergeCell ref="G88:G89"/>
    <mergeCell ref="H89:H90"/>
    <mergeCell ref="J89:J90"/>
    <mergeCell ref="L89:L90"/>
    <mergeCell ref="M89:M90"/>
    <mergeCell ref="N89:N90"/>
    <mergeCell ref="N85:N86"/>
    <mergeCell ref="O85:O86"/>
    <mergeCell ref="P85:P86"/>
    <mergeCell ref="H87:H88"/>
    <mergeCell ref="J87:J88"/>
    <mergeCell ref="L87:L88"/>
    <mergeCell ref="M87:M88"/>
    <mergeCell ref="N87:N88"/>
    <mergeCell ref="O87:O88"/>
    <mergeCell ref="P87:P88"/>
    <mergeCell ref="P83:P84"/>
    <mergeCell ref="D84:D87"/>
    <mergeCell ref="E84:E87"/>
    <mergeCell ref="F84:F87"/>
    <mergeCell ref="G84:G87"/>
    <mergeCell ref="H85:H86"/>
    <mergeCell ref="I85:I86"/>
    <mergeCell ref="J85:J86"/>
    <mergeCell ref="K85:K86"/>
    <mergeCell ref="L85:L86"/>
    <mergeCell ref="H83:H84"/>
    <mergeCell ref="J83:J84"/>
    <mergeCell ref="L83:L84"/>
    <mergeCell ref="M83:M84"/>
    <mergeCell ref="N83:N84"/>
    <mergeCell ref="O83:O84"/>
    <mergeCell ref="D80:D83"/>
    <mergeCell ref="E80:E83"/>
    <mergeCell ref="F80:F83"/>
    <mergeCell ref="G80:G83"/>
    <mergeCell ref="H81:H82"/>
    <mergeCell ref="I81:I82"/>
    <mergeCell ref="J81:J82"/>
    <mergeCell ref="M85:M86"/>
    <mergeCell ref="K81:K82"/>
    <mergeCell ref="L81:L82"/>
    <mergeCell ref="M81:M82"/>
    <mergeCell ref="N81:N82"/>
    <mergeCell ref="O81:O82"/>
    <mergeCell ref="P81:P82"/>
    <mergeCell ref="N79:N80"/>
    <mergeCell ref="O79:O80"/>
    <mergeCell ref="P79:P80"/>
    <mergeCell ref="D41:D60"/>
    <mergeCell ref="E41:E60"/>
    <mergeCell ref="F41:F60"/>
    <mergeCell ref="G41:G60"/>
    <mergeCell ref="O71:P74"/>
    <mergeCell ref="D76:D77"/>
    <mergeCell ref="E76:E77"/>
    <mergeCell ref="F76:F77"/>
    <mergeCell ref="G76:G77"/>
    <mergeCell ref="H77:H78"/>
    <mergeCell ref="J77:J78"/>
    <mergeCell ref="L77:L78"/>
    <mergeCell ref="M77:M78"/>
    <mergeCell ref="N77:N78"/>
    <mergeCell ref="O77:O78"/>
    <mergeCell ref="P77:P78"/>
    <mergeCell ref="D78:D79"/>
    <mergeCell ref="E78:E79"/>
    <mergeCell ref="F78:F79"/>
    <mergeCell ref="G78:G79"/>
    <mergeCell ref="H79:H80"/>
    <mergeCell ref="J79:J80"/>
    <mergeCell ref="L79:L80"/>
    <mergeCell ref="M79:M80"/>
    <mergeCell ref="K61:P61"/>
    <mergeCell ref="D71:D75"/>
    <mergeCell ref="E71:E75"/>
    <mergeCell ref="F71:F75"/>
    <mergeCell ref="G71:G75"/>
    <mergeCell ref="H71:I75"/>
    <mergeCell ref="J71:K75"/>
    <mergeCell ref="L71:M75"/>
    <mergeCell ref="N71:N75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N54:N55"/>
    <mergeCell ref="O54:O55"/>
    <mergeCell ref="P54:P55"/>
    <mergeCell ref="H56:H57"/>
    <mergeCell ref="I56:I57"/>
    <mergeCell ref="J56:J57"/>
    <mergeCell ref="K56:K57"/>
    <mergeCell ref="L56:L57"/>
    <mergeCell ref="M56:M57"/>
    <mergeCell ref="N56:N57"/>
    <mergeCell ref="H54:H55"/>
    <mergeCell ref="I54:I55"/>
    <mergeCell ref="J54:J55"/>
    <mergeCell ref="K54:K55"/>
    <mergeCell ref="L54:L55"/>
    <mergeCell ref="M54:M55"/>
    <mergeCell ref="O56:O57"/>
    <mergeCell ref="P56:P57"/>
    <mergeCell ref="P50:P51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J50:J51"/>
    <mergeCell ref="K50:K51"/>
    <mergeCell ref="L50:L51"/>
    <mergeCell ref="M50:M51"/>
    <mergeCell ref="N50:N51"/>
    <mergeCell ref="O50:O51"/>
    <mergeCell ref="H50:H51"/>
    <mergeCell ref="I50:I51"/>
    <mergeCell ref="P46:P47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J46:J47"/>
    <mergeCell ref="K46:K47"/>
    <mergeCell ref="L46:L47"/>
    <mergeCell ref="M46:M47"/>
    <mergeCell ref="N46:N47"/>
    <mergeCell ref="O46:O47"/>
    <mergeCell ref="H46:H47"/>
    <mergeCell ref="I46:I47"/>
    <mergeCell ref="P42:P43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J42:J43"/>
    <mergeCell ref="K42:K43"/>
    <mergeCell ref="L42:L43"/>
    <mergeCell ref="M42:M43"/>
    <mergeCell ref="N42:N43"/>
    <mergeCell ref="O42:O43"/>
    <mergeCell ref="H42:H43"/>
    <mergeCell ref="I42:I43"/>
    <mergeCell ref="P38:P39"/>
    <mergeCell ref="H40:H41"/>
    <mergeCell ref="J40:J41"/>
    <mergeCell ref="L40:L41"/>
    <mergeCell ref="M40:M41"/>
    <mergeCell ref="N40:N41"/>
    <mergeCell ref="O40:O41"/>
    <mergeCell ref="P40:P41"/>
    <mergeCell ref="O36:O37"/>
    <mergeCell ref="P36:P37"/>
    <mergeCell ref="H38:H39"/>
    <mergeCell ref="I38:I39"/>
    <mergeCell ref="J38:J39"/>
    <mergeCell ref="K38:K39"/>
    <mergeCell ref="L38:L39"/>
    <mergeCell ref="M38:M39"/>
    <mergeCell ref="N38:N39"/>
    <mergeCell ref="O38:O39"/>
    <mergeCell ref="N34:N35"/>
    <mergeCell ref="O34:O35"/>
    <mergeCell ref="P34:P35"/>
    <mergeCell ref="H36:H37"/>
    <mergeCell ref="I36:I37"/>
    <mergeCell ref="J36:J37"/>
    <mergeCell ref="K36:K37"/>
    <mergeCell ref="L36:L37"/>
    <mergeCell ref="M36:M37"/>
    <mergeCell ref="N36:N37"/>
    <mergeCell ref="H34:H35"/>
    <mergeCell ref="I34:I35"/>
    <mergeCell ref="J34:J35"/>
    <mergeCell ref="K34:K35"/>
    <mergeCell ref="L34:L35"/>
    <mergeCell ref="M34:M35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N30:N31"/>
    <mergeCell ref="O30:O31"/>
    <mergeCell ref="I28:I29"/>
    <mergeCell ref="J28:J29"/>
    <mergeCell ref="K28:K29"/>
    <mergeCell ref="L28:L29"/>
    <mergeCell ref="M28:M29"/>
    <mergeCell ref="N28:N29"/>
    <mergeCell ref="P30:P31"/>
    <mergeCell ref="L26:L27"/>
    <mergeCell ref="M26:M27"/>
    <mergeCell ref="N26:N27"/>
    <mergeCell ref="O26:O27"/>
    <mergeCell ref="P26:P27"/>
    <mergeCell ref="D27:D40"/>
    <mergeCell ref="E27:E40"/>
    <mergeCell ref="F27:F40"/>
    <mergeCell ref="G27:G40"/>
    <mergeCell ref="H28:H29"/>
    <mergeCell ref="D25:D26"/>
    <mergeCell ref="E25:E26"/>
    <mergeCell ref="F25:F26"/>
    <mergeCell ref="G25:G26"/>
    <mergeCell ref="H26:H27"/>
    <mergeCell ref="J26:J27"/>
    <mergeCell ref="O28:O29"/>
    <mergeCell ref="P28:P29"/>
    <mergeCell ref="H30:H31"/>
    <mergeCell ref="I30:I31"/>
    <mergeCell ref="J30:J31"/>
    <mergeCell ref="K30:K31"/>
    <mergeCell ref="L30:L31"/>
    <mergeCell ref="M30:M31"/>
    <mergeCell ref="L24:L25"/>
    <mergeCell ref="M24:M25"/>
    <mergeCell ref="N24:N25"/>
    <mergeCell ref="O24:O25"/>
    <mergeCell ref="P24:P25"/>
    <mergeCell ref="J22:J23"/>
    <mergeCell ref="K22:K23"/>
    <mergeCell ref="L22:L23"/>
    <mergeCell ref="M22:M23"/>
    <mergeCell ref="N22:N23"/>
    <mergeCell ref="O22:O23"/>
    <mergeCell ref="D21:D24"/>
    <mergeCell ref="E21:E24"/>
    <mergeCell ref="F21:F24"/>
    <mergeCell ref="G21:G24"/>
    <mergeCell ref="H22:H23"/>
    <mergeCell ref="I22:I23"/>
    <mergeCell ref="O18:O19"/>
    <mergeCell ref="P18:P19"/>
    <mergeCell ref="H20:H21"/>
    <mergeCell ref="J20:J21"/>
    <mergeCell ref="L20:L21"/>
    <mergeCell ref="M20:M21"/>
    <mergeCell ref="N20:N21"/>
    <mergeCell ref="O20:O21"/>
    <mergeCell ref="P20:P21"/>
    <mergeCell ref="I18:I19"/>
    <mergeCell ref="J18:J19"/>
    <mergeCell ref="K18:K19"/>
    <mergeCell ref="L18:L19"/>
    <mergeCell ref="M18:M19"/>
    <mergeCell ref="N18:N19"/>
    <mergeCell ref="P22:P23"/>
    <mergeCell ref="H24:H25"/>
    <mergeCell ref="J24:J25"/>
    <mergeCell ref="H16:H17"/>
    <mergeCell ref="J16:J17"/>
    <mergeCell ref="L16:L17"/>
    <mergeCell ref="M16:M17"/>
    <mergeCell ref="N16:N17"/>
    <mergeCell ref="O16:O17"/>
    <mergeCell ref="P16:P17"/>
    <mergeCell ref="D17:D20"/>
    <mergeCell ref="E17:E20"/>
    <mergeCell ref="F17:F20"/>
    <mergeCell ref="G17:G20"/>
    <mergeCell ref="H18:H19"/>
    <mergeCell ref="L8:M12"/>
    <mergeCell ref="N8:N12"/>
    <mergeCell ref="O8:P11"/>
    <mergeCell ref="D13:D14"/>
    <mergeCell ref="E13:E14"/>
    <mergeCell ref="F13:F14"/>
    <mergeCell ref="G13:G14"/>
    <mergeCell ref="H14:H15"/>
    <mergeCell ref="J14:J15"/>
    <mergeCell ref="L14:L15"/>
    <mergeCell ref="D8:D12"/>
    <mergeCell ref="E8:E12"/>
    <mergeCell ref="F8:F12"/>
    <mergeCell ref="G8:G12"/>
    <mergeCell ref="H8:I12"/>
    <mergeCell ref="J8:K12"/>
    <mergeCell ref="M14:M15"/>
    <mergeCell ref="N14:N15"/>
    <mergeCell ref="O14:O15"/>
    <mergeCell ref="P14:P15"/>
    <mergeCell ref="D15:D16"/>
    <mergeCell ref="E15:E16"/>
    <mergeCell ref="F15:F16"/>
    <mergeCell ref="G15:G16"/>
  </mergeCells>
  <phoneticPr fontId="1"/>
  <pageMargins left="0.78740157480314965" right="0.27559055118110237" top="0.59055118110236227" bottom="0.15748031496062992" header="0.78740157480314965" footer="0.15748031496062992"/>
  <pageSetup paperSize="9" scale="81" orientation="portrait" r:id="rId1"/>
  <headerFooter alignWithMargins="0"/>
  <rowBreaks count="1" manualBreakCount="1">
    <brk id="63" max="17" man="1"/>
  </rowBreaks>
  <ignoredErrors>
    <ignoredError sqref="I79:N90 I103 I16:M41 N22 E67 F88:F123 F80:F87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F908-6E9A-4037-B6BF-DE3545562D58}">
  <dimension ref="C2:G11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/>
    <col min="3" max="3" width="2.625" style="18"/>
    <col min="4" max="5" width="8.625" style="3" customWidth="1"/>
    <col min="6" max="7" width="15.625" style="3" customWidth="1"/>
    <col min="8" max="16384" width="2.625" style="17"/>
  </cols>
  <sheetData>
    <row r="2" spans="3:7" ht="16.5" customHeight="1" x14ac:dyDescent="0.15">
      <c r="C2" s="21" t="s">
        <v>333</v>
      </c>
      <c r="D2" s="3" t="s">
        <v>334</v>
      </c>
    </row>
    <row r="3" spans="3:7" ht="16.5" customHeight="1" x14ac:dyDescent="0.15">
      <c r="D3" s="393"/>
      <c r="E3" s="393" t="s">
        <v>226</v>
      </c>
      <c r="F3" s="620" t="s">
        <v>335</v>
      </c>
      <c r="G3" s="621"/>
    </row>
    <row r="4" spans="3:7" ht="16.5" customHeight="1" x14ac:dyDescent="0.15">
      <c r="D4" s="393"/>
      <c r="E4" s="393"/>
      <c r="F4" s="622" t="s">
        <v>336</v>
      </c>
      <c r="G4" s="623"/>
    </row>
    <row r="5" spans="3:7" ht="16.5" customHeight="1" x14ac:dyDescent="0.15">
      <c r="D5" s="393"/>
      <c r="E5" s="393"/>
      <c r="F5" s="154" t="s">
        <v>337</v>
      </c>
      <c r="G5" s="154" t="s">
        <v>338</v>
      </c>
    </row>
    <row r="6" spans="3:7" ht="16.5" customHeight="1" x14ac:dyDescent="0.15">
      <c r="D6" s="393" t="s">
        <v>247</v>
      </c>
      <c r="E6" s="37">
        <v>41</v>
      </c>
      <c r="F6" s="158">
        <v>4778.3999999999996</v>
      </c>
      <c r="G6" s="158">
        <v>11149.5</v>
      </c>
    </row>
    <row r="7" spans="3:7" ht="16.5" customHeight="1" x14ac:dyDescent="0.15">
      <c r="D7" s="393"/>
      <c r="E7" s="37">
        <v>66</v>
      </c>
      <c r="F7" s="158">
        <v>2389.1999999999998</v>
      </c>
      <c r="G7" s="158">
        <v>5574.8</v>
      </c>
    </row>
    <row r="8" spans="3:7" ht="16.5" customHeight="1" x14ac:dyDescent="0.15">
      <c r="D8" s="393"/>
      <c r="E8" s="37">
        <v>91</v>
      </c>
      <c r="F8" s="151">
        <f>+F6</f>
        <v>4778.3999999999996</v>
      </c>
      <c r="G8" s="151">
        <f>+G6</f>
        <v>11149.5</v>
      </c>
    </row>
    <row r="9" spans="3:7" ht="16.5" customHeight="1" x14ac:dyDescent="0.15">
      <c r="D9" s="393" t="s">
        <v>248</v>
      </c>
      <c r="E9" s="37">
        <v>122</v>
      </c>
      <c r="F9" s="158">
        <v>7167.5</v>
      </c>
      <c r="G9" s="158">
        <v>16724.3</v>
      </c>
    </row>
    <row r="10" spans="3:7" ht="16.5" customHeight="1" x14ac:dyDescent="0.15">
      <c r="D10" s="393"/>
      <c r="E10" s="37">
        <v>147</v>
      </c>
      <c r="F10" s="158">
        <v>4778.3999999999996</v>
      </c>
      <c r="G10" s="158">
        <v>11149.5</v>
      </c>
    </row>
    <row r="11" spans="3:7" ht="16.5" customHeight="1" x14ac:dyDescent="0.15">
      <c r="D11" s="393"/>
      <c r="E11" s="37">
        <v>172</v>
      </c>
      <c r="F11" s="151">
        <f>+F9</f>
        <v>7167.5</v>
      </c>
      <c r="G11" s="151">
        <f>+G9</f>
        <v>16724.3</v>
      </c>
    </row>
  </sheetData>
  <mergeCells count="6">
    <mergeCell ref="D9:D11"/>
    <mergeCell ref="F4:G4"/>
    <mergeCell ref="D3:D5"/>
    <mergeCell ref="E3:E5"/>
    <mergeCell ref="F3:G3"/>
    <mergeCell ref="D6:D8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4875-5914-4147-9691-D8F222EB7822}">
  <dimension ref="B2:AN132"/>
  <sheetViews>
    <sheetView view="pageBreakPreview" topLeftCell="A100" zoomScale="75" zoomScaleNormal="75" zoomScaleSheetLayoutView="75" workbookViewId="0">
      <selection activeCell="BE134" sqref="BE134"/>
    </sheetView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36" width="2.625" style="17"/>
    <col min="37" max="40" width="8.625" style="60" customWidth="1"/>
    <col min="41" max="16384" width="2.625" style="17"/>
  </cols>
  <sheetData>
    <row r="2" spans="2:40" s="61" customFormat="1" ht="16.5" customHeight="1" x14ac:dyDescent="0.15">
      <c r="B2" s="10" t="s">
        <v>424</v>
      </c>
      <c r="C2" s="9"/>
      <c r="AK2" s="71"/>
      <c r="AL2" s="71"/>
      <c r="AM2" s="71"/>
      <c r="AN2" s="71"/>
    </row>
    <row r="3" spans="2:40" ht="16.5" customHeight="1" x14ac:dyDescent="0.15">
      <c r="C3" s="17"/>
    </row>
    <row r="4" spans="2:40" ht="16.5" customHeight="1" x14ac:dyDescent="0.15">
      <c r="C4" s="5" t="s">
        <v>0</v>
      </c>
      <c r="D4" s="11" t="s">
        <v>115</v>
      </c>
      <c r="E4" s="4"/>
      <c r="F4" s="4"/>
      <c r="G4" s="3"/>
      <c r="H4" s="3"/>
      <c r="I4" s="3"/>
    </row>
    <row r="5" spans="2:40" ht="16.5" customHeight="1" x14ac:dyDescent="0.15">
      <c r="C5" s="22"/>
      <c r="D5" s="3"/>
      <c r="E5" s="3"/>
      <c r="F5" s="3"/>
      <c r="G5" s="3"/>
      <c r="H5" s="3"/>
      <c r="I5" s="3"/>
    </row>
    <row r="6" spans="2:40" ht="16.5" customHeight="1" x14ac:dyDescent="0.15">
      <c r="C6" s="22" t="s">
        <v>125</v>
      </c>
      <c r="D6" s="3" t="s">
        <v>175</v>
      </c>
      <c r="E6" s="3"/>
      <c r="F6" s="3"/>
      <c r="G6" s="3"/>
      <c r="H6" s="3"/>
      <c r="I6" s="3"/>
    </row>
    <row r="7" spans="2:40" ht="16.5" customHeight="1" x14ac:dyDescent="0.15">
      <c r="C7" s="22"/>
      <c r="D7" s="3"/>
      <c r="E7" s="3"/>
      <c r="F7" s="3"/>
      <c r="G7" s="3"/>
      <c r="H7" s="3"/>
      <c r="I7" s="3"/>
    </row>
    <row r="8" spans="2:40" ht="16.5" customHeight="1" x14ac:dyDescent="0.15">
      <c r="C8" s="5"/>
      <c r="D8" s="11" t="s">
        <v>164</v>
      </c>
      <c r="E8" s="11"/>
      <c r="F8" s="4"/>
      <c r="G8" s="4"/>
      <c r="H8" s="4"/>
      <c r="I8" s="3"/>
    </row>
    <row r="9" spans="2:40" ht="16.5" customHeight="1" x14ac:dyDescent="0.15">
      <c r="C9" s="22"/>
      <c r="D9" s="3"/>
      <c r="E9" s="3"/>
      <c r="F9" s="3"/>
      <c r="G9" s="3"/>
      <c r="H9" s="3"/>
      <c r="I9" s="3"/>
    </row>
    <row r="10" spans="2:40" ht="16.5" customHeight="1" x14ac:dyDescent="0.15">
      <c r="C10" s="22"/>
      <c r="D10" s="286" t="s">
        <v>129</v>
      </c>
      <c r="E10" s="286"/>
      <c r="F10" s="286"/>
      <c r="G10" s="20" t="s">
        <v>27</v>
      </c>
      <c r="H10" s="38" t="s">
        <v>160</v>
      </c>
      <c r="I10" s="343">
        <v>2.6</v>
      </c>
      <c r="J10" s="343"/>
      <c r="K10" s="343"/>
      <c r="L10" s="17" t="s">
        <v>10</v>
      </c>
      <c r="M10" s="343">
        <v>1.5</v>
      </c>
      <c r="N10" s="343"/>
      <c r="O10" s="343"/>
    </row>
    <row r="11" spans="2:40" ht="16.5" customHeight="1" x14ac:dyDescent="0.15">
      <c r="C11" s="22"/>
      <c r="D11" s="3"/>
      <c r="E11" s="3"/>
      <c r="F11" s="3"/>
      <c r="G11" s="3"/>
      <c r="H11" s="3"/>
      <c r="I11" s="3"/>
    </row>
    <row r="12" spans="2:40" ht="16.5" customHeight="1" x14ac:dyDescent="0.15">
      <c r="C12" s="22"/>
      <c r="D12" s="3"/>
      <c r="E12" s="3"/>
      <c r="F12" s="3"/>
      <c r="G12" s="38" t="s">
        <v>159</v>
      </c>
      <c r="H12" s="668">
        <v>0.5</v>
      </c>
      <c r="I12" s="668"/>
      <c r="J12" s="668"/>
      <c r="K12" s="13" t="s">
        <v>10</v>
      </c>
      <c r="L12" s="38" t="s">
        <v>155</v>
      </c>
      <c r="M12" s="343">
        <v>1.7</v>
      </c>
      <c r="N12" s="343"/>
      <c r="O12" s="343"/>
      <c r="P12" s="38" t="s">
        <v>159</v>
      </c>
      <c r="Q12" s="343">
        <v>2.6</v>
      </c>
      <c r="R12" s="343"/>
      <c r="S12" s="343"/>
      <c r="T12" s="38" t="s">
        <v>156</v>
      </c>
      <c r="U12" s="13" t="s">
        <v>10</v>
      </c>
      <c r="V12" s="343">
        <v>0.25</v>
      </c>
      <c r="W12" s="343"/>
      <c r="X12" s="343"/>
      <c r="Y12" s="13" t="s">
        <v>161</v>
      </c>
    </row>
    <row r="13" spans="2:40" ht="16.5" customHeight="1" x14ac:dyDescent="0.15">
      <c r="C13" s="22"/>
      <c r="D13" s="3"/>
      <c r="E13" s="3"/>
      <c r="F13" s="3"/>
      <c r="G13" s="3"/>
      <c r="H13" s="3"/>
      <c r="I13" s="3"/>
    </row>
    <row r="14" spans="2:40" ht="16.5" customHeight="1" x14ac:dyDescent="0.15">
      <c r="C14" s="22"/>
      <c r="D14" s="3"/>
      <c r="E14" s="3"/>
      <c r="F14" s="3"/>
      <c r="G14" s="13" t="s">
        <v>10</v>
      </c>
      <c r="H14" s="343">
        <v>8</v>
      </c>
      <c r="I14" s="343"/>
      <c r="J14" s="343"/>
      <c r="K14" s="13" t="s">
        <v>10</v>
      </c>
      <c r="L14" s="290">
        <v>24.5</v>
      </c>
      <c r="M14" s="290"/>
      <c r="N14" s="290"/>
      <c r="O14" s="17" t="s">
        <v>130</v>
      </c>
      <c r="Q14" s="34" t="s">
        <v>147</v>
      </c>
      <c r="R14" s="343">
        <v>1.75</v>
      </c>
      <c r="S14" s="343"/>
      <c r="T14" s="343"/>
      <c r="AD14" s="20" t="s">
        <v>27</v>
      </c>
      <c r="AE14" s="412">
        <f>+ROUND((I10*M10+H12*(M12+Q12)*V12)*H14*L14/R14,1)</f>
        <v>497</v>
      </c>
      <c r="AF14" s="412"/>
      <c r="AG14" s="412"/>
      <c r="AH14" s="17" t="s">
        <v>131</v>
      </c>
      <c r="AK14" s="72">
        <f>+AE14</f>
        <v>497</v>
      </c>
    </row>
    <row r="15" spans="2:40" ht="16.5" customHeight="1" x14ac:dyDescent="0.15">
      <c r="C15" s="22"/>
      <c r="D15" s="3"/>
      <c r="E15" s="3"/>
      <c r="F15" s="3"/>
      <c r="G15" s="3"/>
      <c r="H15" s="3"/>
      <c r="I15" s="3"/>
    </row>
    <row r="16" spans="2:40" ht="16.5" customHeight="1" x14ac:dyDescent="0.15">
      <c r="C16" s="22"/>
      <c r="D16" s="11" t="s">
        <v>165</v>
      </c>
      <c r="E16" s="3"/>
      <c r="F16" s="3"/>
      <c r="G16" s="3"/>
      <c r="H16" s="3"/>
      <c r="I16" s="3"/>
    </row>
    <row r="17" spans="3:37" ht="16.5" customHeight="1" x14ac:dyDescent="0.15">
      <c r="C17" s="3"/>
      <c r="D17" s="3"/>
      <c r="E17" s="3"/>
      <c r="F17" s="3"/>
      <c r="G17" s="3"/>
      <c r="H17" s="3"/>
      <c r="I17" s="3"/>
    </row>
    <row r="18" spans="3:37" ht="16.5" customHeight="1" x14ac:dyDescent="0.15">
      <c r="C18" s="22"/>
      <c r="D18" s="286" t="s">
        <v>166</v>
      </c>
      <c r="E18" s="286"/>
      <c r="F18" s="286"/>
      <c r="G18" s="20" t="s">
        <v>27</v>
      </c>
      <c r="H18" s="38" t="s">
        <v>160</v>
      </c>
      <c r="I18" s="343">
        <v>3.2</v>
      </c>
      <c r="J18" s="343"/>
      <c r="K18" s="343"/>
      <c r="L18" s="17" t="s">
        <v>10</v>
      </c>
      <c r="M18" s="343">
        <v>1.5</v>
      </c>
      <c r="N18" s="343"/>
      <c r="O18" s="343"/>
    </row>
    <row r="19" spans="3:37" ht="16.5" customHeight="1" x14ac:dyDescent="0.15">
      <c r="C19" s="22"/>
      <c r="D19" s="3"/>
      <c r="E19" s="3"/>
      <c r="F19" s="3"/>
      <c r="G19" s="3"/>
      <c r="H19" s="3"/>
      <c r="I19" s="3"/>
    </row>
    <row r="20" spans="3:37" ht="16.5" customHeight="1" x14ac:dyDescent="0.15">
      <c r="C20" s="22"/>
      <c r="D20" s="3"/>
      <c r="E20" s="3"/>
      <c r="F20" s="3"/>
      <c r="G20" s="38" t="s">
        <v>159</v>
      </c>
      <c r="H20" s="668">
        <v>0.5</v>
      </c>
      <c r="I20" s="668"/>
      <c r="J20" s="668"/>
      <c r="K20" s="13" t="s">
        <v>10</v>
      </c>
      <c r="L20" s="38" t="s">
        <v>155</v>
      </c>
      <c r="M20" s="343">
        <v>2</v>
      </c>
      <c r="N20" s="343"/>
      <c r="O20" s="343"/>
      <c r="P20" s="38" t="s">
        <v>159</v>
      </c>
      <c r="Q20" s="343">
        <v>3.2</v>
      </c>
      <c r="R20" s="343"/>
      <c r="S20" s="343"/>
      <c r="T20" s="38" t="s">
        <v>156</v>
      </c>
      <c r="U20" s="13" t="s">
        <v>10</v>
      </c>
      <c r="V20" s="343">
        <v>0.2</v>
      </c>
      <c r="W20" s="343"/>
      <c r="X20" s="343"/>
      <c r="Y20" s="13" t="s">
        <v>161</v>
      </c>
    </row>
    <row r="21" spans="3:37" ht="16.5" customHeight="1" x14ac:dyDescent="0.15">
      <c r="C21" s="22"/>
      <c r="D21" s="3"/>
      <c r="E21" s="3"/>
      <c r="F21" s="3"/>
      <c r="G21" s="3"/>
      <c r="H21" s="3"/>
      <c r="I21" s="3"/>
    </row>
    <row r="22" spans="3:37" ht="16.5" customHeight="1" x14ac:dyDescent="0.15">
      <c r="C22" s="22"/>
      <c r="D22" s="3"/>
      <c r="E22" s="3"/>
      <c r="F22" s="3"/>
      <c r="G22" s="13" t="s">
        <v>10</v>
      </c>
      <c r="H22" s="343">
        <v>8</v>
      </c>
      <c r="I22" s="343"/>
      <c r="J22" s="343"/>
      <c r="K22" s="13" t="s">
        <v>10</v>
      </c>
      <c r="L22" s="290">
        <v>24.5</v>
      </c>
      <c r="M22" s="290"/>
      <c r="N22" s="290"/>
      <c r="O22" s="17" t="s">
        <v>130</v>
      </c>
      <c r="Q22" s="34" t="s">
        <v>147</v>
      </c>
      <c r="R22" s="343">
        <v>1.7</v>
      </c>
      <c r="S22" s="343"/>
      <c r="T22" s="343"/>
      <c r="AD22" s="20" t="s">
        <v>27</v>
      </c>
      <c r="AE22" s="412">
        <f>+ROUND((I18*M18+H20*(M20+Q20)*V20)*H22*L22/R22,1)</f>
        <v>613.4</v>
      </c>
      <c r="AF22" s="412"/>
      <c r="AG22" s="412"/>
      <c r="AH22" s="17" t="s">
        <v>131</v>
      </c>
      <c r="AK22" s="72">
        <f>+AE22</f>
        <v>613.4</v>
      </c>
    </row>
    <row r="23" spans="3:37" ht="16.5" customHeight="1" x14ac:dyDescent="0.15">
      <c r="C23" s="3"/>
      <c r="D23" s="3"/>
      <c r="E23" s="3"/>
      <c r="F23" s="3"/>
      <c r="G23" s="3"/>
      <c r="H23" s="3"/>
      <c r="I23" s="3"/>
    </row>
    <row r="24" spans="3:37" ht="16.5" customHeight="1" x14ac:dyDescent="0.15">
      <c r="C24" s="5"/>
      <c r="D24" s="11" t="s">
        <v>162</v>
      </c>
      <c r="E24" s="11"/>
      <c r="F24" s="4"/>
      <c r="G24" s="4"/>
      <c r="H24" s="4"/>
      <c r="I24" s="4"/>
    </row>
    <row r="25" spans="3:37" ht="16.5" customHeight="1" x14ac:dyDescent="0.15">
      <c r="C25" s="17"/>
    </row>
    <row r="26" spans="3:37" ht="16.5" customHeight="1" x14ac:dyDescent="0.15">
      <c r="D26" s="286" t="s">
        <v>132</v>
      </c>
      <c r="E26" s="286"/>
      <c r="F26" s="286"/>
      <c r="G26" s="20" t="s">
        <v>27</v>
      </c>
      <c r="H26" s="343">
        <v>1.7</v>
      </c>
      <c r="I26" s="343"/>
      <c r="J26" s="343"/>
      <c r="K26" s="17" t="s">
        <v>10</v>
      </c>
      <c r="L26" s="343">
        <v>8</v>
      </c>
      <c r="M26" s="343"/>
      <c r="N26" s="343"/>
      <c r="O26" s="17" t="s">
        <v>10</v>
      </c>
      <c r="P26" s="290">
        <v>24.5</v>
      </c>
      <c r="Q26" s="290"/>
      <c r="R26" s="290"/>
      <c r="S26" s="17" t="s">
        <v>130</v>
      </c>
      <c r="AD26" s="20" t="s">
        <v>27</v>
      </c>
      <c r="AE26" s="412">
        <f>+ROUND(H26*L26*P26,1)</f>
        <v>333.2</v>
      </c>
      <c r="AF26" s="412"/>
      <c r="AG26" s="412"/>
      <c r="AH26" s="17" t="s">
        <v>131</v>
      </c>
      <c r="AK26" s="72">
        <f>+AE26</f>
        <v>333.2</v>
      </c>
    </row>
    <row r="27" spans="3:37" ht="16.5" customHeight="1" x14ac:dyDescent="0.15">
      <c r="AE27" s="60"/>
      <c r="AF27" s="60"/>
      <c r="AG27" s="60"/>
    </row>
    <row r="28" spans="3:37" ht="16.5" customHeight="1" x14ac:dyDescent="0.15">
      <c r="D28" s="11" t="s">
        <v>163</v>
      </c>
      <c r="AE28" s="60"/>
      <c r="AF28" s="60"/>
      <c r="AG28" s="60"/>
    </row>
    <row r="29" spans="3:37" ht="16.5" customHeight="1" x14ac:dyDescent="0.15">
      <c r="AE29" s="60"/>
      <c r="AF29" s="60"/>
      <c r="AG29" s="60"/>
    </row>
    <row r="30" spans="3:37" ht="16.5" customHeight="1" x14ac:dyDescent="0.15">
      <c r="D30" s="286" t="s">
        <v>133</v>
      </c>
      <c r="E30" s="286"/>
      <c r="F30" s="286"/>
      <c r="G30" s="20" t="s">
        <v>27</v>
      </c>
      <c r="H30" s="343">
        <v>2</v>
      </c>
      <c r="I30" s="343"/>
      <c r="J30" s="343"/>
      <c r="K30" s="17" t="s">
        <v>10</v>
      </c>
      <c r="L30" s="343">
        <v>8</v>
      </c>
      <c r="M30" s="343"/>
      <c r="N30" s="343"/>
      <c r="O30" s="17" t="s">
        <v>10</v>
      </c>
      <c r="P30" s="290">
        <v>24.5</v>
      </c>
      <c r="Q30" s="290"/>
      <c r="R30" s="290"/>
      <c r="S30" s="17" t="s">
        <v>130</v>
      </c>
      <c r="AD30" s="20" t="s">
        <v>27</v>
      </c>
      <c r="AE30" s="412">
        <f>+ROUND(H30*L30*P30,1)</f>
        <v>392</v>
      </c>
      <c r="AF30" s="412"/>
      <c r="AG30" s="412"/>
      <c r="AH30" s="17" t="s">
        <v>131</v>
      </c>
      <c r="AK30" s="72">
        <f>+AE30</f>
        <v>392</v>
      </c>
    </row>
    <row r="31" spans="3:37" ht="16.5" customHeight="1" x14ac:dyDescent="0.15">
      <c r="Z31" s="60"/>
      <c r="AA31" s="60"/>
      <c r="AB31" s="60"/>
    </row>
    <row r="32" spans="3:37" ht="16.5" customHeight="1" x14ac:dyDescent="0.15">
      <c r="D32" s="17" t="s">
        <v>134</v>
      </c>
      <c r="Z32" s="60"/>
      <c r="AA32" s="60"/>
      <c r="AB32" s="60"/>
    </row>
    <row r="33" spans="4:38" ht="16.5" customHeight="1" x14ac:dyDescent="0.15">
      <c r="Z33" s="60"/>
      <c r="AA33" s="60"/>
      <c r="AB33" s="60"/>
    </row>
    <row r="34" spans="4:38" ht="16.5" customHeight="1" x14ac:dyDescent="0.15">
      <c r="D34" s="286" t="s">
        <v>135</v>
      </c>
      <c r="E34" s="286"/>
      <c r="F34" s="286"/>
      <c r="G34" s="20" t="s">
        <v>27</v>
      </c>
      <c r="H34" s="38" t="s">
        <v>160</v>
      </c>
      <c r="I34" s="668">
        <v>0.5</v>
      </c>
      <c r="J34" s="668"/>
      <c r="K34" s="668"/>
      <c r="L34" s="13" t="s">
        <v>10</v>
      </c>
      <c r="M34" s="38" t="s">
        <v>155</v>
      </c>
      <c r="N34" s="343">
        <v>1.9</v>
      </c>
      <c r="O34" s="343"/>
      <c r="P34" s="343"/>
      <c r="Q34" s="38" t="s">
        <v>159</v>
      </c>
      <c r="R34" s="343">
        <v>8</v>
      </c>
      <c r="S34" s="343"/>
      <c r="T34" s="343"/>
      <c r="U34" s="38" t="s">
        <v>156</v>
      </c>
      <c r="V34" s="13" t="s">
        <v>10</v>
      </c>
      <c r="W34" s="343">
        <v>0.7</v>
      </c>
      <c r="X34" s="343"/>
      <c r="Y34" s="343"/>
    </row>
    <row r="35" spans="4:38" ht="16.5" customHeight="1" x14ac:dyDescent="0.15">
      <c r="D35" s="13"/>
      <c r="E35" s="13"/>
      <c r="F35" s="13"/>
      <c r="G35" s="20"/>
      <c r="H35" s="38"/>
      <c r="I35" s="19"/>
      <c r="J35" s="19"/>
      <c r="K35" s="19"/>
      <c r="L35" s="13"/>
      <c r="M35" s="38"/>
      <c r="N35" s="41"/>
      <c r="O35" s="41"/>
      <c r="P35" s="41"/>
      <c r="Q35" s="38"/>
      <c r="R35" s="41"/>
      <c r="S35" s="41"/>
      <c r="T35" s="41"/>
      <c r="U35" s="38"/>
      <c r="V35" s="13"/>
      <c r="W35" s="41"/>
      <c r="X35" s="41"/>
      <c r="Y35" s="41"/>
    </row>
    <row r="36" spans="4:38" ht="16.5" customHeight="1" x14ac:dyDescent="0.15">
      <c r="G36" s="38" t="s">
        <v>159</v>
      </c>
      <c r="H36" s="286">
        <f>+R34</f>
        <v>8</v>
      </c>
      <c r="I36" s="286"/>
      <c r="J36" s="286"/>
      <c r="K36" s="13" t="s">
        <v>10</v>
      </c>
      <c r="L36" s="343">
        <v>2.1</v>
      </c>
      <c r="M36" s="343"/>
      <c r="N36" s="343"/>
      <c r="O36" s="13" t="s">
        <v>161</v>
      </c>
      <c r="P36" s="13" t="s">
        <v>10</v>
      </c>
      <c r="Q36" s="343">
        <v>10.4</v>
      </c>
      <c r="R36" s="343"/>
      <c r="S36" s="343"/>
      <c r="T36" s="13" t="s">
        <v>10</v>
      </c>
      <c r="U36" s="290">
        <v>24.5</v>
      </c>
      <c r="V36" s="290"/>
      <c r="W36" s="290"/>
      <c r="X36" s="17" t="s">
        <v>130</v>
      </c>
      <c r="Z36" s="34" t="s">
        <v>147</v>
      </c>
      <c r="AA36" s="286">
        <f>+R34</f>
        <v>8</v>
      </c>
      <c r="AB36" s="286"/>
      <c r="AC36" s="286"/>
      <c r="AD36" s="20" t="s">
        <v>27</v>
      </c>
      <c r="AE36" s="412">
        <f>+ROUND((I34*(N34+R34)*W34+H36*L36)*Q36*U36/AA36,1)</f>
        <v>645.4</v>
      </c>
      <c r="AF36" s="412"/>
      <c r="AG36" s="412"/>
      <c r="AH36" s="17" t="s">
        <v>131</v>
      </c>
      <c r="AK36" s="72">
        <f>+AE36</f>
        <v>645.4</v>
      </c>
      <c r="AL36" s="72">
        <f>+AK36</f>
        <v>645.4</v>
      </c>
    </row>
    <row r="37" spans="4:38" ht="16.5" customHeight="1" x14ac:dyDescent="0.15">
      <c r="Z37" s="60"/>
      <c r="AA37" s="60"/>
      <c r="AB37" s="60"/>
    </row>
    <row r="38" spans="4:38" ht="16.5" customHeight="1" x14ac:dyDescent="0.15">
      <c r="D38" s="17" t="s">
        <v>363</v>
      </c>
      <c r="E38" s="13"/>
      <c r="F38" s="13"/>
      <c r="G38" s="20"/>
      <c r="H38" s="41"/>
      <c r="I38" s="41"/>
      <c r="J38" s="41"/>
      <c r="L38" s="41"/>
      <c r="M38" s="41"/>
      <c r="N38" s="41"/>
      <c r="P38" s="40"/>
      <c r="Q38" s="40"/>
      <c r="R38" s="40"/>
      <c r="U38" s="20"/>
      <c r="V38" s="13"/>
      <c r="W38" s="13"/>
      <c r="X38" s="13"/>
    </row>
    <row r="39" spans="4:38" ht="16.5" customHeight="1" x14ac:dyDescent="0.15">
      <c r="E39" s="13"/>
      <c r="F39" s="13"/>
      <c r="G39" s="20"/>
      <c r="H39" s="41"/>
      <c r="I39" s="41"/>
      <c r="J39" s="41"/>
      <c r="L39" s="41"/>
      <c r="M39" s="41"/>
      <c r="N39" s="41"/>
      <c r="P39" s="40"/>
      <c r="Q39" s="40"/>
      <c r="R39" s="40"/>
      <c r="U39" s="20"/>
      <c r="V39" s="13"/>
      <c r="W39" s="13"/>
      <c r="X39" s="13"/>
    </row>
    <row r="40" spans="4:38" ht="16.5" customHeight="1" x14ac:dyDescent="0.15">
      <c r="D40" s="286" t="s">
        <v>154</v>
      </c>
      <c r="E40" s="286"/>
      <c r="F40" s="286"/>
      <c r="G40" s="20" t="s">
        <v>27</v>
      </c>
      <c r="H40" s="290">
        <f>+AE36</f>
        <v>645.4</v>
      </c>
      <c r="I40" s="290"/>
      <c r="J40" s="290"/>
      <c r="K40" s="13" t="s">
        <v>10</v>
      </c>
      <c r="L40" s="34" t="s">
        <v>155</v>
      </c>
      <c r="M40" s="290">
        <v>24.5</v>
      </c>
      <c r="N40" s="290"/>
      <c r="O40" s="290"/>
      <c r="P40" s="38" t="s">
        <v>157</v>
      </c>
      <c r="Q40" s="670">
        <v>18</v>
      </c>
      <c r="R40" s="670"/>
      <c r="S40" s="670"/>
      <c r="T40" s="38" t="s">
        <v>156</v>
      </c>
      <c r="U40" s="38" t="s">
        <v>147</v>
      </c>
      <c r="V40" s="290">
        <v>24.5</v>
      </c>
      <c r="W40" s="290"/>
      <c r="X40" s="290"/>
      <c r="AD40" s="20" t="s">
        <v>27</v>
      </c>
      <c r="AE40" s="412">
        <f>+ROUND(H40*(M40-Q40)/V40,1)</f>
        <v>171.2</v>
      </c>
      <c r="AF40" s="412"/>
      <c r="AG40" s="412"/>
      <c r="AH40" s="17" t="s">
        <v>131</v>
      </c>
    </row>
    <row r="41" spans="4:38" ht="16.5" customHeight="1" x14ac:dyDescent="0.15">
      <c r="E41" s="13"/>
      <c r="F41" s="13"/>
      <c r="G41" s="20"/>
    </row>
    <row r="42" spans="4:38" ht="16.5" customHeight="1" x14ac:dyDescent="0.15">
      <c r="D42" s="17" t="s">
        <v>137</v>
      </c>
    </row>
    <row r="44" spans="4:38" ht="16.5" customHeight="1" x14ac:dyDescent="0.15">
      <c r="D44" s="286" t="s">
        <v>136</v>
      </c>
      <c r="E44" s="286"/>
      <c r="F44" s="286"/>
      <c r="G44" s="20" t="s">
        <v>27</v>
      </c>
      <c r="H44" s="38" t="s">
        <v>160</v>
      </c>
      <c r="I44" s="668">
        <v>0.5</v>
      </c>
      <c r="J44" s="668"/>
      <c r="K44" s="668"/>
      <c r="L44" s="13" t="s">
        <v>10</v>
      </c>
      <c r="M44" s="38" t="s">
        <v>155</v>
      </c>
      <c r="N44" s="343">
        <v>2.2000000000000002</v>
      </c>
      <c r="O44" s="343"/>
      <c r="P44" s="343"/>
      <c r="Q44" s="38" t="s">
        <v>159</v>
      </c>
      <c r="R44" s="343">
        <v>10</v>
      </c>
      <c r="S44" s="343"/>
      <c r="T44" s="343"/>
      <c r="U44" s="38" t="s">
        <v>156</v>
      </c>
      <c r="V44" s="13" t="s">
        <v>10</v>
      </c>
      <c r="W44" s="343">
        <v>0.7</v>
      </c>
      <c r="X44" s="343"/>
      <c r="Y44" s="343"/>
    </row>
    <row r="45" spans="4:38" ht="16.5" customHeight="1" x14ac:dyDescent="0.15">
      <c r="D45" s="13"/>
      <c r="E45" s="13"/>
      <c r="F45" s="13"/>
      <c r="G45" s="20"/>
      <c r="H45" s="38"/>
      <c r="I45" s="19"/>
      <c r="J45" s="19"/>
      <c r="K45" s="19"/>
      <c r="L45" s="13"/>
      <c r="M45" s="38"/>
      <c r="N45" s="41"/>
      <c r="O45" s="41"/>
      <c r="P45" s="41"/>
      <c r="Q45" s="38"/>
      <c r="R45" s="41"/>
      <c r="S45" s="41"/>
      <c r="T45" s="41"/>
      <c r="U45" s="38"/>
      <c r="V45" s="13"/>
      <c r="W45" s="41"/>
      <c r="X45" s="41"/>
      <c r="Y45" s="41"/>
    </row>
    <row r="46" spans="4:38" ht="16.5" customHeight="1" x14ac:dyDescent="0.15">
      <c r="G46" s="38" t="s">
        <v>159</v>
      </c>
      <c r="H46" s="286">
        <f>+R44</f>
        <v>10</v>
      </c>
      <c r="I46" s="286"/>
      <c r="J46" s="286"/>
      <c r="K46" s="13" t="s">
        <v>10</v>
      </c>
      <c r="L46" s="343">
        <v>2.1</v>
      </c>
      <c r="M46" s="343"/>
      <c r="N46" s="343"/>
      <c r="O46" s="13" t="s">
        <v>161</v>
      </c>
      <c r="P46" s="13" t="s">
        <v>10</v>
      </c>
      <c r="Q46" s="343">
        <v>11.4</v>
      </c>
      <c r="R46" s="343"/>
      <c r="S46" s="343"/>
      <c r="T46" s="13" t="s">
        <v>10</v>
      </c>
      <c r="U46" s="290">
        <v>24.5</v>
      </c>
      <c r="V46" s="290"/>
      <c r="W46" s="290"/>
      <c r="X46" s="17" t="s">
        <v>130</v>
      </c>
      <c r="Z46" s="34" t="s">
        <v>147</v>
      </c>
      <c r="AA46" s="286">
        <f>+R44</f>
        <v>10</v>
      </c>
      <c r="AB46" s="286"/>
      <c r="AC46" s="286"/>
      <c r="AD46" s="20" t="s">
        <v>27</v>
      </c>
      <c r="AE46" s="412">
        <f>+ROUND((I44*(N44+R44)*W44+H46*L46)*Q46*U46/AA46,1)</f>
        <v>705.8</v>
      </c>
      <c r="AF46" s="412"/>
      <c r="AG46" s="412"/>
      <c r="AH46" s="17" t="s">
        <v>131</v>
      </c>
      <c r="AK46" s="72">
        <f>+AE46</f>
        <v>705.8</v>
      </c>
      <c r="AL46" s="72">
        <f>+AK46</f>
        <v>705.8</v>
      </c>
    </row>
    <row r="47" spans="4:38" ht="16.5" customHeight="1" x14ac:dyDescent="0.15">
      <c r="Z47" s="60"/>
      <c r="AA47" s="60"/>
      <c r="AB47" s="60"/>
    </row>
    <row r="48" spans="4:38" ht="16.5" customHeight="1" x14ac:dyDescent="0.15">
      <c r="D48" s="17" t="s">
        <v>363</v>
      </c>
      <c r="E48" s="13"/>
      <c r="F48" s="13"/>
      <c r="G48" s="20"/>
      <c r="H48" s="41"/>
      <c r="I48" s="41"/>
      <c r="J48" s="41"/>
      <c r="L48" s="41"/>
      <c r="M48" s="41"/>
      <c r="N48" s="41"/>
      <c r="P48" s="40"/>
      <c r="Q48" s="40"/>
      <c r="R48" s="40"/>
      <c r="U48" s="20"/>
      <c r="V48" s="13"/>
      <c r="W48" s="13"/>
      <c r="X48" s="13"/>
    </row>
    <row r="49" spans="3:38" ht="16.5" customHeight="1" x14ac:dyDescent="0.15">
      <c r="E49" s="13"/>
      <c r="F49" s="13"/>
      <c r="G49" s="20"/>
      <c r="H49" s="41"/>
      <c r="I49" s="41"/>
      <c r="J49" s="41"/>
      <c r="L49" s="41"/>
      <c r="M49" s="41"/>
      <c r="N49" s="41"/>
      <c r="P49" s="40"/>
      <c r="Q49" s="40"/>
      <c r="R49" s="40"/>
      <c r="U49" s="20"/>
      <c r="V49" s="13"/>
      <c r="W49" s="13"/>
      <c r="X49" s="13"/>
    </row>
    <row r="50" spans="3:38" ht="16.5" customHeight="1" x14ac:dyDescent="0.15">
      <c r="D50" s="286" t="s">
        <v>158</v>
      </c>
      <c r="E50" s="286"/>
      <c r="F50" s="286"/>
      <c r="G50" s="20" t="s">
        <v>27</v>
      </c>
      <c r="H50" s="290">
        <f>+AE46</f>
        <v>705.8</v>
      </c>
      <c r="I50" s="290"/>
      <c r="J50" s="290"/>
      <c r="K50" s="13" t="s">
        <v>10</v>
      </c>
      <c r="L50" s="34" t="s">
        <v>155</v>
      </c>
      <c r="M50" s="290">
        <v>24.5</v>
      </c>
      <c r="N50" s="290"/>
      <c r="O50" s="290"/>
      <c r="P50" s="38" t="s">
        <v>157</v>
      </c>
      <c r="Q50" s="670">
        <v>18</v>
      </c>
      <c r="R50" s="670"/>
      <c r="S50" s="670"/>
      <c r="T50" s="38" t="s">
        <v>156</v>
      </c>
      <c r="U50" s="38" t="s">
        <v>147</v>
      </c>
      <c r="V50" s="290">
        <v>24.5</v>
      </c>
      <c r="W50" s="290"/>
      <c r="X50" s="290"/>
      <c r="AD50" s="20" t="s">
        <v>27</v>
      </c>
      <c r="AE50" s="412">
        <f>+ROUND(H50*(M50-Q50)/V50,1)</f>
        <v>187.3</v>
      </c>
      <c r="AF50" s="412"/>
      <c r="AG50" s="412"/>
      <c r="AH50" s="17" t="s">
        <v>131</v>
      </c>
    </row>
    <row r="54" spans="3:38" ht="16.5" customHeight="1" x14ac:dyDescent="0.15">
      <c r="C54" s="18" t="s">
        <v>126</v>
      </c>
      <c r="D54" s="17" t="s">
        <v>176</v>
      </c>
    </row>
    <row r="56" spans="3:38" ht="16.5" customHeight="1" x14ac:dyDescent="0.15">
      <c r="C56" s="17"/>
      <c r="D56" s="17" t="s">
        <v>140</v>
      </c>
    </row>
    <row r="58" spans="3:38" ht="16.5" customHeight="1" x14ac:dyDescent="0.15">
      <c r="D58" s="286" t="s">
        <v>138</v>
      </c>
      <c r="E58" s="286"/>
      <c r="F58" s="286"/>
      <c r="G58" s="20" t="s">
        <v>27</v>
      </c>
      <c r="H58" s="38" t="s">
        <v>155</v>
      </c>
      <c r="I58" s="343">
        <v>3.15</v>
      </c>
      <c r="J58" s="343"/>
      <c r="K58" s="343"/>
      <c r="L58" s="17" t="s">
        <v>10</v>
      </c>
      <c r="M58" s="343">
        <v>1.8</v>
      </c>
      <c r="N58" s="343"/>
      <c r="O58" s="343"/>
      <c r="P58" s="13" t="s">
        <v>10</v>
      </c>
      <c r="Q58" s="343">
        <v>10.4</v>
      </c>
      <c r="R58" s="343"/>
      <c r="S58" s="343"/>
      <c r="T58" s="17" t="s">
        <v>10</v>
      </c>
      <c r="U58" s="4">
        <v>2</v>
      </c>
      <c r="V58" s="13"/>
      <c r="W58" s="6"/>
      <c r="X58" s="6"/>
      <c r="Y58" s="6"/>
    </row>
    <row r="60" spans="3:38" ht="16.5" customHeight="1" x14ac:dyDescent="0.15">
      <c r="H60" s="38" t="s">
        <v>159</v>
      </c>
      <c r="I60" s="668">
        <v>0.5</v>
      </c>
      <c r="J60" s="668"/>
      <c r="K60" s="668"/>
      <c r="L60" s="13" t="s">
        <v>10</v>
      </c>
      <c r="M60" s="343">
        <v>3.05</v>
      </c>
      <c r="N60" s="343"/>
      <c r="O60" s="343"/>
      <c r="P60" s="13" t="s">
        <v>10</v>
      </c>
      <c r="Q60" s="343">
        <v>0.7</v>
      </c>
      <c r="R60" s="343"/>
      <c r="S60" s="343"/>
      <c r="T60" s="13" t="s">
        <v>10</v>
      </c>
      <c r="U60" s="286">
        <f>+Q58</f>
        <v>10.4</v>
      </c>
      <c r="V60" s="286"/>
      <c r="W60" s="286"/>
      <c r="X60" s="13" t="s">
        <v>10</v>
      </c>
      <c r="Y60" s="4">
        <v>2</v>
      </c>
    </row>
    <row r="62" spans="3:38" ht="16.5" customHeight="1" x14ac:dyDescent="0.15">
      <c r="H62" s="38" t="s">
        <v>159</v>
      </c>
      <c r="I62" s="343">
        <v>1.7</v>
      </c>
      <c r="J62" s="343"/>
      <c r="K62" s="343"/>
      <c r="L62" s="17" t="s">
        <v>10</v>
      </c>
      <c r="M62" s="343">
        <v>1.8</v>
      </c>
      <c r="N62" s="343"/>
      <c r="O62" s="343"/>
      <c r="P62" s="13" t="s">
        <v>10</v>
      </c>
      <c r="Q62" s="343">
        <v>1.2</v>
      </c>
      <c r="R62" s="343"/>
      <c r="S62" s="343"/>
      <c r="T62" s="17" t="s">
        <v>10</v>
      </c>
      <c r="U62" s="4">
        <v>2</v>
      </c>
      <c r="V62" s="20" t="s">
        <v>156</v>
      </c>
    </row>
    <row r="64" spans="3:38" ht="16.5" customHeight="1" x14ac:dyDescent="0.15">
      <c r="H64" s="17" t="s">
        <v>10</v>
      </c>
      <c r="I64" s="290">
        <v>18</v>
      </c>
      <c r="J64" s="290"/>
      <c r="K64" s="290"/>
      <c r="L64" s="17" t="s">
        <v>130</v>
      </c>
      <c r="N64" s="20" t="s">
        <v>147</v>
      </c>
      <c r="O64" s="343">
        <v>8</v>
      </c>
      <c r="P64" s="343"/>
      <c r="Q64" s="343"/>
      <c r="AD64" s="20" t="s">
        <v>27</v>
      </c>
      <c r="AE64" s="412">
        <f>+ROUND((I58*M58*Q58*U58+I60*M60*Q60*U60*Y60+I62*M62*Q62*U62)*I64/O64,1)</f>
        <v>331.8</v>
      </c>
      <c r="AF64" s="412"/>
      <c r="AG64" s="412"/>
      <c r="AH64" s="17" t="s">
        <v>131</v>
      </c>
      <c r="AK64" s="72">
        <f>+AE64</f>
        <v>331.8</v>
      </c>
      <c r="AL64" s="72">
        <f>+AK64</f>
        <v>331.8</v>
      </c>
    </row>
    <row r="66" spans="3:38" ht="16.5" customHeight="1" x14ac:dyDescent="0.15">
      <c r="D66" s="17" t="s">
        <v>141</v>
      </c>
    </row>
    <row r="68" spans="3:38" ht="16.5" customHeight="1" x14ac:dyDescent="0.15">
      <c r="D68" s="286" t="s">
        <v>139</v>
      </c>
      <c r="E68" s="286"/>
      <c r="F68" s="286"/>
      <c r="G68" s="20" t="s">
        <v>27</v>
      </c>
      <c r="H68" s="38" t="s">
        <v>155</v>
      </c>
      <c r="I68" s="343">
        <v>4</v>
      </c>
      <c r="J68" s="343"/>
      <c r="K68" s="343"/>
      <c r="L68" s="17" t="s">
        <v>10</v>
      </c>
      <c r="M68" s="343">
        <v>2.8</v>
      </c>
      <c r="N68" s="343"/>
      <c r="O68" s="343"/>
      <c r="P68" s="13" t="s">
        <v>10</v>
      </c>
      <c r="Q68" s="343">
        <v>11.4</v>
      </c>
      <c r="R68" s="343"/>
      <c r="S68" s="343"/>
      <c r="T68" s="17" t="s">
        <v>10</v>
      </c>
      <c r="U68" s="4">
        <v>2</v>
      </c>
      <c r="V68" s="13"/>
      <c r="W68" s="6"/>
      <c r="X68" s="6"/>
      <c r="Y68" s="6"/>
    </row>
    <row r="70" spans="3:38" ht="16.5" customHeight="1" x14ac:dyDescent="0.15">
      <c r="H70" s="38" t="s">
        <v>159</v>
      </c>
      <c r="I70" s="668">
        <v>0.5</v>
      </c>
      <c r="J70" s="668"/>
      <c r="K70" s="668"/>
      <c r="L70" s="13" t="s">
        <v>10</v>
      </c>
      <c r="M70" s="343">
        <v>3.9</v>
      </c>
      <c r="N70" s="343"/>
      <c r="O70" s="343"/>
      <c r="P70" s="13" t="s">
        <v>10</v>
      </c>
      <c r="Q70" s="343">
        <v>0.7</v>
      </c>
      <c r="R70" s="343"/>
      <c r="S70" s="343"/>
      <c r="T70" s="13" t="s">
        <v>10</v>
      </c>
      <c r="U70" s="286">
        <f>+Q68</f>
        <v>11.4</v>
      </c>
      <c r="V70" s="286"/>
      <c r="W70" s="286"/>
      <c r="X70" s="13" t="s">
        <v>10</v>
      </c>
      <c r="Y70" s="4">
        <v>2</v>
      </c>
    </row>
    <row r="72" spans="3:38" ht="16.5" customHeight="1" x14ac:dyDescent="0.15">
      <c r="H72" s="38" t="s">
        <v>159</v>
      </c>
      <c r="I72" s="343">
        <v>2</v>
      </c>
      <c r="J72" s="343"/>
      <c r="K72" s="343"/>
      <c r="L72" s="17" t="s">
        <v>10</v>
      </c>
      <c r="M72" s="343">
        <v>2.8</v>
      </c>
      <c r="N72" s="343"/>
      <c r="O72" s="343"/>
      <c r="P72" s="13" t="s">
        <v>10</v>
      </c>
      <c r="Q72" s="343">
        <v>1.7</v>
      </c>
      <c r="R72" s="343"/>
      <c r="S72" s="343"/>
      <c r="T72" s="17" t="s">
        <v>10</v>
      </c>
      <c r="U72" s="4">
        <v>2</v>
      </c>
      <c r="V72" s="20" t="s">
        <v>156</v>
      </c>
    </row>
    <row r="74" spans="3:38" ht="16.5" customHeight="1" x14ac:dyDescent="0.15">
      <c r="H74" s="17" t="s">
        <v>10</v>
      </c>
      <c r="I74" s="290">
        <v>18</v>
      </c>
      <c r="J74" s="290"/>
      <c r="K74" s="290"/>
      <c r="L74" s="17" t="s">
        <v>130</v>
      </c>
      <c r="N74" s="20" t="s">
        <v>147</v>
      </c>
      <c r="O74" s="343">
        <v>10</v>
      </c>
      <c r="P74" s="343"/>
      <c r="Q74" s="343"/>
      <c r="AD74" s="20" t="s">
        <v>27</v>
      </c>
      <c r="AE74" s="412">
        <f>+ROUND((I68*M68*Q68*U68+I70*M70*Q70*U70*Y70+I72*M72*Q72*U72)*I74/O74,1)</f>
        <v>549.9</v>
      </c>
      <c r="AF74" s="412"/>
      <c r="AG74" s="412"/>
      <c r="AH74" s="17" t="s">
        <v>131</v>
      </c>
      <c r="AK74" s="72">
        <f>+AE74</f>
        <v>549.9</v>
      </c>
      <c r="AL74" s="72">
        <f>+AK74</f>
        <v>549.9</v>
      </c>
    </row>
    <row r="77" spans="3:38" ht="16.5" customHeight="1" x14ac:dyDescent="0.15">
      <c r="C77" s="18" t="s">
        <v>118</v>
      </c>
      <c r="D77" s="17" t="s">
        <v>142</v>
      </c>
    </row>
    <row r="79" spans="3:38" ht="16.5" customHeight="1" x14ac:dyDescent="0.15">
      <c r="D79" s="3" t="s">
        <v>143</v>
      </c>
    </row>
    <row r="81" spans="3:38" ht="16.5" customHeight="1" x14ac:dyDescent="0.15">
      <c r="D81" s="17" t="s">
        <v>169</v>
      </c>
    </row>
    <row r="83" spans="3:38" ht="16.5" customHeight="1" x14ac:dyDescent="0.15">
      <c r="D83" s="286" t="s">
        <v>144</v>
      </c>
      <c r="E83" s="286"/>
      <c r="F83" s="286"/>
      <c r="G83" s="20" t="s">
        <v>27</v>
      </c>
      <c r="H83" s="670">
        <v>9800</v>
      </c>
      <c r="I83" s="670"/>
      <c r="J83" s="670"/>
      <c r="K83" s="17" t="s">
        <v>10</v>
      </c>
      <c r="L83" s="668">
        <v>0.5</v>
      </c>
      <c r="M83" s="668"/>
      <c r="N83" s="668"/>
      <c r="O83" s="17" t="s">
        <v>10</v>
      </c>
      <c r="P83" s="4">
        <v>2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20" t="s">
        <v>27</v>
      </c>
      <c r="AE83" s="412">
        <f>+ROUND(H83*L83*P83,2)</f>
        <v>9800</v>
      </c>
      <c r="AF83" s="412"/>
      <c r="AG83" s="412"/>
      <c r="AH83" s="17" t="s">
        <v>168</v>
      </c>
      <c r="AK83" s="72">
        <f>+AE83</f>
        <v>9800</v>
      </c>
    </row>
    <row r="85" spans="3:38" ht="16.5" customHeight="1" x14ac:dyDescent="0.15">
      <c r="D85" s="17" t="s">
        <v>145</v>
      </c>
    </row>
    <row r="87" spans="3:38" ht="16.5" customHeight="1" x14ac:dyDescent="0.15">
      <c r="D87" s="286" t="s">
        <v>146</v>
      </c>
      <c r="E87" s="286"/>
      <c r="F87" s="286"/>
      <c r="G87" s="20" t="s">
        <v>27</v>
      </c>
      <c r="H87" s="670">
        <v>4234.8999999999996</v>
      </c>
      <c r="I87" s="670"/>
      <c r="J87" s="670"/>
      <c r="K87" s="20" t="s">
        <v>147</v>
      </c>
      <c r="L87" s="343">
        <v>34.700000000000003</v>
      </c>
      <c r="M87" s="343"/>
      <c r="N87" s="343"/>
      <c r="AD87" s="20" t="s">
        <v>27</v>
      </c>
      <c r="AE87" s="412">
        <f>+ROUNDUP(H87/L87,1)</f>
        <v>122.1</v>
      </c>
      <c r="AF87" s="412"/>
      <c r="AG87" s="412"/>
      <c r="AH87" s="17" t="s">
        <v>131</v>
      </c>
      <c r="AK87" s="72">
        <f>+AE87</f>
        <v>122.1</v>
      </c>
      <c r="AL87" s="72">
        <f>+AK87</f>
        <v>122.1</v>
      </c>
    </row>
    <row r="91" spans="3:38" ht="16.5" customHeight="1" x14ac:dyDescent="0.15">
      <c r="C91" s="21" t="s">
        <v>148</v>
      </c>
      <c r="D91" s="27" t="s">
        <v>149</v>
      </c>
      <c r="J91" s="3" t="s">
        <v>150</v>
      </c>
    </row>
    <row r="93" spans="3:38" ht="16.5" customHeight="1" x14ac:dyDescent="0.15">
      <c r="D93" s="11" t="s">
        <v>151</v>
      </c>
      <c r="E93" s="3"/>
      <c r="F93" s="23"/>
      <c r="G93" s="23"/>
      <c r="H93" s="23"/>
      <c r="I93" s="23"/>
      <c r="J93" s="4" t="s">
        <v>152</v>
      </c>
      <c r="K93" s="15" t="s">
        <v>4</v>
      </c>
      <c r="L93" s="343">
        <v>1</v>
      </c>
      <c r="M93" s="343"/>
      <c r="N93" s="11" t="s">
        <v>153</v>
      </c>
      <c r="O93" s="58"/>
      <c r="P93" s="58"/>
      <c r="Q93" s="58"/>
      <c r="R93" s="59"/>
      <c r="S93" s="59"/>
      <c r="T93" s="59"/>
      <c r="U93" s="59"/>
    </row>
    <row r="95" spans="3:38" ht="16.5" customHeight="1" x14ac:dyDescent="0.15">
      <c r="C95" s="18" t="s">
        <v>125</v>
      </c>
      <c r="D95" s="17" t="s">
        <v>175</v>
      </c>
    </row>
    <row r="97" spans="3:38" ht="16.5" customHeight="1" x14ac:dyDescent="0.15">
      <c r="C97" s="5"/>
      <c r="D97" s="11" t="s">
        <v>164</v>
      </c>
      <c r="E97" s="11"/>
      <c r="F97" s="4"/>
      <c r="G97" s="4"/>
      <c r="H97" s="4"/>
      <c r="I97" s="3"/>
    </row>
    <row r="99" spans="3:38" ht="16.5" customHeight="1" x14ac:dyDescent="0.15">
      <c r="D99" s="286" t="s">
        <v>167</v>
      </c>
      <c r="E99" s="286"/>
      <c r="F99" s="286"/>
      <c r="G99" s="20" t="s">
        <v>27</v>
      </c>
      <c r="H99" s="290">
        <f>+AE14</f>
        <v>497</v>
      </c>
      <c r="I99" s="290"/>
      <c r="J99" s="290"/>
      <c r="K99" s="17" t="s">
        <v>10</v>
      </c>
      <c r="L99" s="286">
        <f>+$L$93</f>
        <v>1</v>
      </c>
      <c r="M99" s="286"/>
      <c r="N99" s="286"/>
      <c r="AD99" s="20" t="s">
        <v>27</v>
      </c>
      <c r="AE99" s="412">
        <f>+ROUNDUP(H99*L99,1)</f>
        <v>497</v>
      </c>
      <c r="AF99" s="412"/>
      <c r="AG99" s="412"/>
      <c r="AH99" s="17" t="s">
        <v>131</v>
      </c>
      <c r="AK99" s="72">
        <f>-AE99</f>
        <v>-497</v>
      </c>
      <c r="AL99" s="72">
        <f>+AK99</f>
        <v>-497</v>
      </c>
    </row>
    <row r="101" spans="3:38" ht="16.5" customHeight="1" x14ac:dyDescent="0.15">
      <c r="C101" s="22"/>
      <c r="D101" s="11" t="s">
        <v>165</v>
      </c>
      <c r="E101" s="3"/>
      <c r="F101" s="3"/>
      <c r="G101" s="3"/>
      <c r="H101" s="3"/>
      <c r="I101" s="3"/>
    </row>
    <row r="103" spans="3:38" ht="16.5" customHeight="1" x14ac:dyDescent="0.15">
      <c r="D103" s="286" t="s">
        <v>170</v>
      </c>
      <c r="E103" s="286"/>
      <c r="F103" s="286"/>
      <c r="G103" s="20" t="s">
        <v>27</v>
      </c>
      <c r="H103" s="290">
        <f>+AE22</f>
        <v>613.4</v>
      </c>
      <c r="I103" s="290"/>
      <c r="J103" s="290"/>
      <c r="K103" s="17" t="s">
        <v>10</v>
      </c>
      <c r="L103" s="286">
        <f>+$L$93</f>
        <v>1</v>
      </c>
      <c r="M103" s="286"/>
      <c r="N103" s="286"/>
      <c r="AD103" s="20" t="s">
        <v>27</v>
      </c>
      <c r="AE103" s="412">
        <f>+ROUNDUP(H103*L103,1)</f>
        <v>613.4</v>
      </c>
      <c r="AF103" s="412"/>
      <c r="AG103" s="412"/>
      <c r="AH103" s="17" t="s">
        <v>131</v>
      </c>
      <c r="AK103" s="72">
        <f>-AE103</f>
        <v>-613.4</v>
      </c>
      <c r="AL103" s="72">
        <f>+AK103</f>
        <v>-613.4</v>
      </c>
    </row>
    <row r="105" spans="3:38" ht="16.5" customHeight="1" x14ac:dyDescent="0.15">
      <c r="C105" s="5"/>
      <c r="D105" s="11" t="s">
        <v>162</v>
      </c>
      <c r="E105" s="11"/>
      <c r="F105" s="4"/>
      <c r="G105" s="4"/>
      <c r="H105" s="4"/>
      <c r="I105" s="4"/>
    </row>
    <row r="107" spans="3:38" ht="16.5" customHeight="1" x14ac:dyDescent="0.15">
      <c r="D107" s="286" t="s">
        <v>171</v>
      </c>
      <c r="E107" s="286"/>
      <c r="F107" s="286"/>
      <c r="G107" s="20" t="s">
        <v>27</v>
      </c>
      <c r="H107" s="290">
        <f>+AE26</f>
        <v>333.2</v>
      </c>
      <c r="I107" s="290"/>
      <c r="J107" s="290"/>
      <c r="K107" s="17" t="s">
        <v>10</v>
      </c>
      <c r="L107" s="286">
        <f>+$L$93</f>
        <v>1</v>
      </c>
      <c r="M107" s="286"/>
      <c r="N107" s="286"/>
      <c r="AD107" s="20" t="s">
        <v>27</v>
      </c>
      <c r="AE107" s="412">
        <f>+ROUNDUP(H107*L107,1)</f>
        <v>333.2</v>
      </c>
      <c r="AF107" s="412"/>
      <c r="AG107" s="412"/>
      <c r="AH107" s="17" t="s">
        <v>131</v>
      </c>
      <c r="AK107" s="72">
        <f>-AE107</f>
        <v>-333.2</v>
      </c>
      <c r="AL107" s="72">
        <f>+AK107</f>
        <v>-333.2</v>
      </c>
    </row>
    <row r="109" spans="3:38" ht="16.5" customHeight="1" x14ac:dyDescent="0.15">
      <c r="D109" s="11" t="s">
        <v>163</v>
      </c>
      <c r="AE109" s="60"/>
      <c r="AF109" s="60"/>
      <c r="AG109" s="60"/>
    </row>
    <row r="111" spans="3:38" ht="16.5" customHeight="1" x14ac:dyDescent="0.15">
      <c r="D111" s="286" t="s">
        <v>172</v>
      </c>
      <c r="E111" s="286"/>
      <c r="F111" s="286"/>
      <c r="G111" s="20" t="s">
        <v>27</v>
      </c>
      <c r="H111" s="290">
        <f>+AE30</f>
        <v>392</v>
      </c>
      <c r="I111" s="290"/>
      <c r="J111" s="290"/>
      <c r="K111" s="17" t="s">
        <v>10</v>
      </c>
      <c r="L111" s="286">
        <f>+$L$93</f>
        <v>1</v>
      </c>
      <c r="M111" s="286"/>
      <c r="N111" s="286"/>
      <c r="AD111" s="20" t="s">
        <v>27</v>
      </c>
      <c r="AE111" s="412">
        <f>+ROUNDUP(H111*L111,1)</f>
        <v>392</v>
      </c>
      <c r="AF111" s="412"/>
      <c r="AG111" s="412"/>
      <c r="AH111" s="17" t="s">
        <v>131</v>
      </c>
      <c r="AK111" s="72">
        <f>-AE111</f>
        <v>-392</v>
      </c>
      <c r="AL111" s="72">
        <f>+AK111</f>
        <v>-392</v>
      </c>
    </row>
    <row r="113" spans="3:37" ht="16.5" customHeight="1" x14ac:dyDescent="0.15">
      <c r="D113" s="17" t="s">
        <v>134</v>
      </c>
      <c r="Z113" s="60"/>
      <c r="AA113" s="60"/>
      <c r="AB113" s="60"/>
    </row>
    <row r="115" spans="3:37" ht="16.5" customHeight="1" x14ac:dyDescent="0.15">
      <c r="D115" s="286" t="s">
        <v>173</v>
      </c>
      <c r="E115" s="286"/>
      <c r="F115" s="286"/>
      <c r="G115" s="20" t="s">
        <v>27</v>
      </c>
      <c r="H115" s="290">
        <f>+AE40</f>
        <v>171.2</v>
      </c>
      <c r="I115" s="290"/>
      <c r="J115" s="290"/>
      <c r="K115" s="17" t="s">
        <v>10</v>
      </c>
      <c r="L115" s="286">
        <f>+$L$93</f>
        <v>1</v>
      </c>
      <c r="M115" s="286"/>
      <c r="N115" s="286"/>
      <c r="AD115" s="20" t="s">
        <v>27</v>
      </c>
      <c r="AE115" s="412">
        <f>+ROUNDUP(H115*L115,1)</f>
        <v>171.2</v>
      </c>
      <c r="AF115" s="412"/>
      <c r="AG115" s="412"/>
      <c r="AH115" s="17" t="s">
        <v>131</v>
      </c>
      <c r="AK115" s="72">
        <f>+AE115</f>
        <v>171.2</v>
      </c>
    </row>
    <row r="117" spans="3:37" ht="16.5" customHeight="1" x14ac:dyDescent="0.15">
      <c r="D117" s="17" t="s">
        <v>137</v>
      </c>
    </row>
    <row r="119" spans="3:37" ht="16.5" customHeight="1" x14ac:dyDescent="0.15">
      <c r="D119" s="286" t="s">
        <v>174</v>
      </c>
      <c r="E119" s="286"/>
      <c r="F119" s="286"/>
      <c r="G119" s="20" t="s">
        <v>27</v>
      </c>
      <c r="H119" s="290">
        <f>+AE50</f>
        <v>187.3</v>
      </c>
      <c r="I119" s="290"/>
      <c r="J119" s="290"/>
      <c r="K119" s="17" t="s">
        <v>10</v>
      </c>
      <c r="L119" s="286">
        <f>+$L$93</f>
        <v>1</v>
      </c>
      <c r="M119" s="286"/>
      <c r="N119" s="286"/>
      <c r="AD119" s="20" t="s">
        <v>27</v>
      </c>
      <c r="AE119" s="412">
        <f>+ROUNDUP(H119*L119,1)</f>
        <v>187.3</v>
      </c>
      <c r="AF119" s="412"/>
      <c r="AG119" s="412"/>
      <c r="AH119" s="17" t="s">
        <v>131</v>
      </c>
      <c r="AK119" s="72">
        <f>+AE119</f>
        <v>187.3</v>
      </c>
    </row>
    <row r="122" spans="3:37" ht="16.5" customHeight="1" x14ac:dyDescent="0.15">
      <c r="C122" s="18" t="s">
        <v>126</v>
      </c>
      <c r="D122" s="17" t="s">
        <v>142</v>
      </c>
    </row>
    <row r="124" spans="3:37" ht="16.5" customHeight="1" x14ac:dyDescent="0.15">
      <c r="D124" s="17" t="s">
        <v>169</v>
      </c>
    </row>
    <row r="126" spans="3:37" ht="16.5" customHeight="1" x14ac:dyDescent="0.15">
      <c r="D126" s="286" t="s">
        <v>177</v>
      </c>
      <c r="E126" s="286"/>
      <c r="F126" s="286"/>
      <c r="G126" s="20" t="s">
        <v>27</v>
      </c>
      <c r="H126" s="290">
        <f>+AE83</f>
        <v>9800</v>
      </c>
      <c r="I126" s="290"/>
      <c r="J126" s="290"/>
      <c r="K126" s="17" t="s">
        <v>10</v>
      </c>
      <c r="L126" s="668">
        <v>0.5</v>
      </c>
      <c r="M126" s="668"/>
      <c r="N126" s="668"/>
      <c r="O126" s="17" t="s">
        <v>10</v>
      </c>
      <c r="P126" s="4">
        <v>2</v>
      </c>
      <c r="Q126" s="17" t="s">
        <v>10</v>
      </c>
      <c r="R126" s="286">
        <f>+$L$93</f>
        <v>1</v>
      </c>
      <c r="S126" s="286"/>
      <c r="T126" s="286"/>
      <c r="AD126" s="20" t="s">
        <v>27</v>
      </c>
      <c r="AE126" s="412">
        <f>+ROUNDUP(H126*L126*P126*R126,1)</f>
        <v>9800</v>
      </c>
      <c r="AF126" s="412"/>
      <c r="AG126" s="412"/>
      <c r="AH126" s="17" t="s">
        <v>168</v>
      </c>
      <c r="AK126" s="72">
        <f>+AE126</f>
        <v>9800</v>
      </c>
    </row>
    <row r="128" spans="3:37" ht="16.5" customHeight="1" x14ac:dyDescent="0.15">
      <c r="D128" s="286" t="s">
        <v>197</v>
      </c>
      <c r="E128" s="286"/>
      <c r="F128" s="286"/>
      <c r="G128" s="20" t="s">
        <v>27</v>
      </c>
      <c r="H128" s="290">
        <f>+AE126</f>
        <v>9800</v>
      </c>
      <c r="I128" s="290"/>
      <c r="J128" s="290"/>
      <c r="K128" s="17" t="s">
        <v>10</v>
      </c>
      <c r="L128" s="669">
        <v>3.77</v>
      </c>
      <c r="M128" s="669"/>
      <c r="N128" s="669"/>
      <c r="AD128" s="20" t="s">
        <v>27</v>
      </c>
      <c r="AE128" s="412">
        <f>+ROUND(H128*L128,1)</f>
        <v>36946</v>
      </c>
      <c r="AF128" s="412"/>
      <c r="AG128" s="412"/>
      <c r="AH128" s="17" t="s">
        <v>198</v>
      </c>
      <c r="AK128" s="72">
        <f>+AE128</f>
        <v>36946</v>
      </c>
    </row>
    <row r="130" spans="4:37" ht="16.5" customHeight="1" x14ac:dyDescent="0.15">
      <c r="D130" s="17" t="s">
        <v>145</v>
      </c>
    </row>
    <row r="132" spans="4:37" ht="16.5" customHeight="1" x14ac:dyDescent="0.15">
      <c r="D132" s="286" t="s">
        <v>178</v>
      </c>
      <c r="E132" s="286"/>
      <c r="F132" s="286"/>
      <c r="G132" s="20" t="s">
        <v>27</v>
      </c>
      <c r="H132" s="290">
        <f>+AE87</f>
        <v>122.1</v>
      </c>
      <c r="I132" s="290"/>
      <c r="J132" s="290"/>
      <c r="K132" s="17" t="s">
        <v>10</v>
      </c>
      <c r="L132" s="286">
        <f>+$L$93</f>
        <v>1</v>
      </c>
      <c r="M132" s="286"/>
      <c r="N132" s="286"/>
      <c r="AD132" s="20" t="s">
        <v>27</v>
      </c>
      <c r="AE132" s="412">
        <f>+ROUNDUP(H132*L132,1)</f>
        <v>122.1</v>
      </c>
      <c r="AF132" s="412"/>
      <c r="AG132" s="412"/>
      <c r="AH132" s="17" t="s">
        <v>131</v>
      </c>
      <c r="AK132" s="72">
        <f>+AE132</f>
        <v>122.1</v>
      </c>
    </row>
  </sheetData>
  <mergeCells count="140">
    <mergeCell ref="D30:F30"/>
    <mergeCell ref="H30:J30"/>
    <mergeCell ref="L30:N30"/>
    <mergeCell ref="P30:R30"/>
    <mergeCell ref="AE30:AG30"/>
    <mergeCell ref="D26:F26"/>
    <mergeCell ref="H26:J26"/>
    <mergeCell ref="L26:N26"/>
    <mergeCell ref="P26:R26"/>
    <mergeCell ref="AE26:AG26"/>
    <mergeCell ref="L93:M93"/>
    <mergeCell ref="D40:F40"/>
    <mergeCell ref="D83:F83"/>
    <mergeCell ref="H83:J83"/>
    <mergeCell ref="L83:N83"/>
    <mergeCell ref="AE83:AG83"/>
    <mergeCell ref="D87:F87"/>
    <mergeCell ref="H87:J87"/>
    <mergeCell ref="L87:N87"/>
    <mergeCell ref="AE87:AG87"/>
    <mergeCell ref="D68:F68"/>
    <mergeCell ref="D44:F44"/>
    <mergeCell ref="I44:K44"/>
    <mergeCell ref="N44:P44"/>
    <mergeCell ref="R44:T44"/>
    <mergeCell ref="W44:Y44"/>
    <mergeCell ref="H46:J46"/>
    <mergeCell ref="L46:N46"/>
    <mergeCell ref="Q46:S46"/>
    <mergeCell ref="U46:W46"/>
    <mergeCell ref="D58:F58"/>
    <mergeCell ref="I58:K58"/>
    <mergeCell ref="M58:O58"/>
    <mergeCell ref="Q58:S58"/>
    <mergeCell ref="AA36:AC36"/>
    <mergeCell ref="AE36:AG36"/>
    <mergeCell ref="H40:J40"/>
    <mergeCell ref="M40:O40"/>
    <mergeCell ref="Q40:S40"/>
    <mergeCell ref="V40:X40"/>
    <mergeCell ref="AE40:AG40"/>
    <mergeCell ref="D34:F34"/>
    <mergeCell ref="I34:K34"/>
    <mergeCell ref="N34:P34"/>
    <mergeCell ref="R34:T34"/>
    <mergeCell ref="W34:Y34"/>
    <mergeCell ref="H36:J36"/>
    <mergeCell ref="L36:N36"/>
    <mergeCell ref="Q36:S36"/>
    <mergeCell ref="U36:W36"/>
    <mergeCell ref="AE46:AG46"/>
    <mergeCell ref="D50:F50"/>
    <mergeCell ref="H50:J50"/>
    <mergeCell ref="M50:O50"/>
    <mergeCell ref="Q50:S50"/>
    <mergeCell ref="V50:X50"/>
    <mergeCell ref="AE50:AG50"/>
    <mergeCell ref="AA46:AC46"/>
    <mergeCell ref="Q68:S68"/>
    <mergeCell ref="I70:K70"/>
    <mergeCell ref="M70:O70"/>
    <mergeCell ref="Q70:S70"/>
    <mergeCell ref="U70:W70"/>
    <mergeCell ref="Q60:S60"/>
    <mergeCell ref="I62:K62"/>
    <mergeCell ref="M62:O62"/>
    <mergeCell ref="Q62:S62"/>
    <mergeCell ref="I64:K64"/>
    <mergeCell ref="O64:Q64"/>
    <mergeCell ref="U60:W60"/>
    <mergeCell ref="I60:K60"/>
    <mergeCell ref="M60:O60"/>
    <mergeCell ref="I10:K10"/>
    <mergeCell ref="M10:O10"/>
    <mergeCell ref="H12:J12"/>
    <mergeCell ref="M12:O12"/>
    <mergeCell ref="Q12:S12"/>
    <mergeCell ref="V12:X12"/>
    <mergeCell ref="H14:J14"/>
    <mergeCell ref="L14:N14"/>
    <mergeCell ref="D10:F10"/>
    <mergeCell ref="R14:T14"/>
    <mergeCell ref="H22:J22"/>
    <mergeCell ref="L22:N22"/>
    <mergeCell ref="R22:T22"/>
    <mergeCell ref="D99:F99"/>
    <mergeCell ref="H99:J99"/>
    <mergeCell ref="L99:N99"/>
    <mergeCell ref="AE14:AG14"/>
    <mergeCell ref="D18:F18"/>
    <mergeCell ref="I18:K18"/>
    <mergeCell ref="M18:O18"/>
    <mergeCell ref="H20:J20"/>
    <mergeCell ref="M20:O20"/>
    <mergeCell ref="Q20:S20"/>
    <mergeCell ref="V20:X20"/>
    <mergeCell ref="AE22:AG22"/>
    <mergeCell ref="I72:K72"/>
    <mergeCell ref="M72:O72"/>
    <mergeCell ref="Q72:S72"/>
    <mergeCell ref="I74:K74"/>
    <mergeCell ref="O74:Q74"/>
    <mergeCell ref="AE74:AG74"/>
    <mergeCell ref="AE64:AG64"/>
    <mergeCell ref="I68:K68"/>
    <mergeCell ref="M68:O68"/>
    <mergeCell ref="D111:F111"/>
    <mergeCell ref="H111:J111"/>
    <mergeCell ref="L111:N111"/>
    <mergeCell ref="AE111:AG111"/>
    <mergeCell ref="D115:F115"/>
    <mergeCell ref="H115:J115"/>
    <mergeCell ref="L115:N115"/>
    <mergeCell ref="AE115:AG115"/>
    <mergeCell ref="AE99:AG99"/>
    <mergeCell ref="D103:F103"/>
    <mergeCell ref="H103:J103"/>
    <mergeCell ref="L103:N103"/>
    <mergeCell ref="AE103:AG103"/>
    <mergeCell ref="D107:F107"/>
    <mergeCell ref="H107:J107"/>
    <mergeCell ref="L107:N107"/>
    <mergeCell ref="AE107:AG107"/>
    <mergeCell ref="D132:F132"/>
    <mergeCell ref="H132:J132"/>
    <mergeCell ref="L132:N132"/>
    <mergeCell ref="AE132:AG132"/>
    <mergeCell ref="D119:F119"/>
    <mergeCell ref="H119:J119"/>
    <mergeCell ref="L119:N119"/>
    <mergeCell ref="AE119:AG119"/>
    <mergeCell ref="D126:F126"/>
    <mergeCell ref="H126:J126"/>
    <mergeCell ref="L126:N126"/>
    <mergeCell ref="AE126:AG126"/>
    <mergeCell ref="R126:T126"/>
    <mergeCell ref="D128:F128"/>
    <mergeCell ref="H128:J128"/>
    <mergeCell ref="L128:N128"/>
    <mergeCell ref="AE128:AG128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2" manualBreakCount="2">
    <brk id="52" max="34" man="1"/>
    <brk id="89" max="3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A245-96ED-44FB-8303-E6EEB55901AD}">
  <dimension ref="B2:G8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 customWidth="1"/>
    <col min="3" max="3" width="2.625" style="18" customWidth="1"/>
    <col min="4" max="16384" width="2.625" style="17"/>
  </cols>
  <sheetData>
    <row r="2" spans="2:7" s="61" customFormat="1" ht="16.5" customHeight="1" x14ac:dyDescent="0.15">
      <c r="B2" s="10" t="s">
        <v>423</v>
      </c>
    </row>
    <row r="4" spans="2:7" ht="16.5" customHeight="1" x14ac:dyDescent="0.15">
      <c r="C4" s="21"/>
      <c r="D4" s="17" t="s">
        <v>570</v>
      </c>
      <c r="G4" s="17" t="s">
        <v>575</v>
      </c>
    </row>
    <row r="5" spans="2:7" ht="16.5" customHeight="1" x14ac:dyDescent="0.15">
      <c r="C5" s="21"/>
    </row>
    <row r="8" spans="2:7" ht="16.5" customHeight="1" x14ac:dyDescent="0.15">
      <c r="C8" s="21"/>
      <c r="D8" s="17" t="s">
        <v>571</v>
      </c>
      <c r="G8" s="17" t="s">
        <v>574</v>
      </c>
    </row>
  </sheetData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1" manualBreakCount="1">
    <brk id="6" max="34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3F17-5EDC-44AE-B3E6-5E867A971335}">
  <dimension ref="B2:AB19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3" width="2.625" style="1" customWidth="1"/>
    <col min="4" max="16384" width="2.625" style="1"/>
  </cols>
  <sheetData>
    <row r="2" spans="2:28" s="61" customFormat="1" ht="16.5" customHeight="1" x14ac:dyDescent="0.15">
      <c r="B2" s="62" t="s">
        <v>422</v>
      </c>
    </row>
    <row r="4" spans="2:28" ht="16.5" customHeight="1" x14ac:dyDescent="0.15">
      <c r="C4" s="5" t="s">
        <v>0</v>
      </c>
      <c r="D4" s="27" t="s">
        <v>179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28" ht="16.5" customHeight="1" thickBot="1" x14ac:dyDescent="0.2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28" ht="16.5" customHeight="1" x14ac:dyDescent="0.15">
      <c r="C6" s="722" t="s">
        <v>180</v>
      </c>
      <c r="D6" s="723"/>
      <c r="E6" s="724"/>
      <c r="F6" s="722" t="s">
        <v>181</v>
      </c>
      <c r="G6" s="723"/>
      <c r="H6" s="723"/>
      <c r="I6" s="728" t="s">
        <v>182</v>
      </c>
      <c r="J6" s="729"/>
      <c r="K6" s="729"/>
      <c r="L6" s="729"/>
      <c r="M6" s="729"/>
      <c r="N6" s="729"/>
      <c r="O6" s="729"/>
      <c r="P6" s="729"/>
      <c r="Q6" s="728" t="s">
        <v>183</v>
      </c>
      <c r="R6" s="729"/>
      <c r="S6" s="729"/>
      <c r="T6" s="729"/>
      <c r="U6" s="729"/>
      <c r="V6" s="729"/>
      <c r="W6" s="729"/>
      <c r="X6" s="729"/>
      <c r="Y6" s="729"/>
      <c r="Z6" s="729"/>
      <c r="AA6" s="729"/>
      <c r="AB6" s="729"/>
    </row>
    <row r="7" spans="2:28" ht="16.5" customHeight="1" thickBot="1" x14ac:dyDescent="0.2">
      <c r="C7" s="725"/>
      <c r="D7" s="726"/>
      <c r="E7" s="727"/>
      <c r="F7" s="725"/>
      <c r="G7" s="726"/>
      <c r="H7" s="726"/>
      <c r="I7" s="730"/>
      <c r="J7" s="731"/>
      <c r="K7" s="731"/>
      <c r="L7" s="731"/>
      <c r="M7" s="731"/>
      <c r="N7" s="731"/>
      <c r="O7" s="731"/>
      <c r="P7" s="731"/>
      <c r="Q7" s="730"/>
      <c r="R7" s="731"/>
      <c r="S7" s="731"/>
      <c r="T7" s="731"/>
      <c r="U7" s="731"/>
      <c r="V7" s="731"/>
      <c r="W7" s="731"/>
      <c r="X7" s="731"/>
      <c r="Y7" s="731"/>
      <c r="Z7" s="731"/>
      <c r="AA7" s="731"/>
      <c r="AB7" s="731"/>
    </row>
    <row r="8" spans="2:28" ht="16.5" customHeight="1" thickTop="1" x14ac:dyDescent="0.15">
      <c r="C8" s="732">
        <v>1</v>
      </c>
      <c r="D8" s="732"/>
      <c r="E8" s="733"/>
      <c r="F8" s="736" t="s">
        <v>184</v>
      </c>
      <c r="G8" s="418"/>
      <c r="H8" s="419"/>
      <c r="I8" s="740" t="s">
        <v>185</v>
      </c>
      <c r="J8" s="741"/>
      <c r="K8" s="741"/>
      <c r="L8" s="741"/>
      <c r="M8" s="741"/>
      <c r="N8" s="741"/>
      <c r="O8" s="741"/>
      <c r="P8" s="741"/>
      <c r="Q8" s="417"/>
      <c r="R8" s="418"/>
      <c r="S8" s="418"/>
      <c r="T8" s="418"/>
      <c r="U8" s="744"/>
      <c r="V8" s="418"/>
      <c r="W8" s="418"/>
      <c r="X8" s="745"/>
      <c r="Y8" s="418"/>
      <c r="Z8" s="418"/>
      <c r="AA8" s="418"/>
      <c r="AB8" s="418"/>
    </row>
    <row r="9" spans="2:28" ht="16.5" customHeight="1" x14ac:dyDescent="0.15">
      <c r="C9" s="734"/>
      <c r="D9" s="734"/>
      <c r="E9" s="735"/>
      <c r="F9" s="737"/>
      <c r="G9" s="738"/>
      <c r="H9" s="739"/>
      <c r="I9" s="742"/>
      <c r="J9" s="743"/>
      <c r="K9" s="743"/>
      <c r="L9" s="743"/>
      <c r="M9" s="743"/>
      <c r="N9" s="743"/>
      <c r="O9" s="743"/>
      <c r="P9" s="743"/>
      <c r="Q9" s="644"/>
      <c r="R9" s="738"/>
      <c r="S9" s="738"/>
      <c r="T9" s="738"/>
      <c r="U9" s="746"/>
      <c r="V9" s="738"/>
      <c r="W9" s="738"/>
      <c r="X9" s="747"/>
      <c r="Y9" s="738"/>
      <c r="Z9" s="738"/>
      <c r="AA9" s="738"/>
      <c r="AB9" s="738"/>
    </row>
    <row r="10" spans="2:28" ht="16.5" customHeight="1" x14ac:dyDescent="0.15">
      <c r="C10" s="703">
        <f t="shared" ref="C10" si="0">C8+1</f>
        <v>2</v>
      </c>
      <c r="D10" s="703"/>
      <c r="E10" s="704"/>
      <c r="F10" s="707" t="s">
        <v>186</v>
      </c>
      <c r="G10" s="708"/>
      <c r="H10" s="709"/>
      <c r="I10" s="713" t="s">
        <v>187</v>
      </c>
      <c r="J10" s="687"/>
      <c r="K10" s="687"/>
      <c r="L10" s="687"/>
      <c r="M10" s="687"/>
      <c r="N10" s="687"/>
      <c r="O10" s="687"/>
      <c r="P10" s="687"/>
      <c r="Q10" s="715"/>
      <c r="R10" s="687"/>
      <c r="S10" s="687"/>
      <c r="T10" s="687"/>
      <c r="U10" s="716" t="s">
        <v>188</v>
      </c>
      <c r="V10" s="687"/>
      <c r="W10" s="687"/>
      <c r="X10" s="717"/>
      <c r="Y10" s="720" t="s">
        <v>189</v>
      </c>
      <c r="Z10" s="687" t="s">
        <v>4</v>
      </c>
      <c r="AA10" s="689">
        <v>1</v>
      </c>
      <c r="AB10" s="689"/>
    </row>
    <row r="11" spans="2:28" ht="16.5" customHeight="1" thickBot="1" x14ac:dyDescent="0.2">
      <c r="C11" s="705"/>
      <c r="D11" s="705"/>
      <c r="E11" s="706"/>
      <c r="F11" s="710"/>
      <c r="G11" s="711"/>
      <c r="H11" s="712"/>
      <c r="I11" s="714"/>
      <c r="J11" s="688"/>
      <c r="K11" s="688"/>
      <c r="L11" s="688"/>
      <c r="M11" s="688"/>
      <c r="N11" s="688"/>
      <c r="O11" s="688"/>
      <c r="P11" s="688"/>
      <c r="Q11" s="714"/>
      <c r="R11" s="688"/>
      <c r="S11" s="688"/>
      <c r="T11" s="688"/>
      <c r="U11" s="718"/>
      <c r="V11" s="688"/>
      <c r="W11" s="688"/>
      <c r="X11" s="719"/>
      <c r="Y11" s="721"/>
      <c r="Z11" s="688"/>
      <c r="AA11" s="690"/>
      <c r="AB11" s="690"/>
    </row>
    <row r="12" spans="2:28" ht="16.5" customHeight="1" x14ac:dyDescent="0.1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2:28" ht="16.5" customHeight="1" x14ac:dyDescent="0.1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2:28" ht="16.5" customHeight="1" x14ac:dyDescent="0.15">
      <c r="C14" s="5" t="s">
        <v>1</v>
      </c>
      <c r="D14" s="27" t="s">
        <v>190</v>
      </c>
      <c r="E14" s="3"/>
      <c r="F14" s="67"/>
      <c r="G14" s="67"/>
      <c r="H14" s="67"/>
      <c r="I14" s="3"/>
      <c r="J14" s="23"/>
      <c r="K14" s="23"/>
      <c r="L14" s="23"/>
      <c r="M14" s="2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2:28" ht="16.5" customHeight="1" thickBot="1" x14ac:dyDescent="0.2">
      <c r="C15" s="23"/>
      <c r="D15" s="23"/>
      <c r="E15" s="23"/>
      <c r="F15" s="67"/>
      <c r="G15" s="67"/>
      <c r="H15" s="67"/>
      <c r="I15" s="67"/>
      <c r="J15" s="23"/>
      <c r="K15" s="23"/>
      <c r="L15" s="23"/>
      <c r="M15" s="23"/>
      <c r="N15" s="23"/>
      <c r="O15" s="23"/>
      <c r="P15" s="23"/>
      <c r="Q15" s="23"/>
      <c r="R15" s="2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2:28" ht="16.5" customHeight="1" x14ac:dyDescent="0.15">
      <c r="C16" s="691" t="s">
        <v>191</v>
      </c>
      <c r="D16" s="691"/>
      <c r="E16" s="693" t="s">
        <v>192</v>
      </c>
      <c r="F16" s="691"/>
      <c r="G16" s="691"/>
      <c r="H16" s="691"/>
      <c r="I16" s="691"/>
      <c r="J16" s="691"/>
      <c r="K16" s="691"/>
      <c r="L16" s="691"/>
      <c r="M16" s="694"/>
      <c r="N16" s="696">
        <v>1</v>
      </c>
      <c r="O16" s="697"/>
      <c r="P16" s="698">
        <f>N16+1</f>
        <v>2</v>
      </c>
      <c r="Q16" s="698"/>
      <c r="R16" s="699" t="s">
        <v>193</v>
      </c>
      <c r="S16" s="691"/>
      <c r="T16" s="691"/>
      <c r="U16" s="691"/>
      <c r="V16" s="3"/>
      <c r="W16" s="3"/>
      <c r="X16" s="3"/>
      <c r="Y16" s="3"/>
      <c r="Z16" s="3"/>
      <c r="AA16" s="3"/>
      <c r="AB16" s="3"/>
    </row>
    <row r="17" spans="3:28" ht="16.5" customHeight="1" thickBot="1" x14ac:dyDescent="0.2">
      <c r="C17" s="692"/>
      <c r="D17" s="692"/>
      <c r="E17" s="695"/>
      <c r="F17" s="692"/>
      <c r="G17" s="692"/>
      <c r="H17" s="692"/>
      <c r="I17" s="692"/>
      <c r="J17" s="692"/>
      <c r="K17" s="692"/>
      <c r="L17" s="692"/>
      <c r="M17" s="526"/>
      <c r="N17" s="700" t="str">
        <f>F8</f>
        <v>D</v>
      </c>
      <c r="O17" s="701"/>
      <c r="P17" s="702" t="str">
        <f>F10</f>
        <v>EQ</v>
      </c>
      <c r="Q17" s="702"/>
      <c r="R17" s="525"/>
      <c r="S17" s="692"/>
      <c r="T17" s="692"/>
      <c r="U17" s="692"/>
      <c r="V17" s="3"/>
      <c r="W17" s="3"/>
      <c r="X17" s="3"/>
      <c r="Y17" s="3"/>
      <c r="Z17" s="3"/>
      <c r="AA17" s="3"/>
      <c r="AB17" s="3"/>
    </row>
    <row r="18" spans="3:28" ht="16.5" customHeight="1" thickTop="1" x14ac:dyDescent="0.15">
      <c r="C18" s="671">
        <v>1</v>
      </c>
      <c r="D18" s="671"/>
      <c r="E18" s="672" t="s">
        <v>194</v>
      </c>
      <c r="F18" s="673"/>
      <c r="G18" s="673"/>
      <c r="H18" s="673"/>
      <c r="I18" s="673"/>
      <c r="J18" s="673"/>
      <c r="K18" s="673"/>
      <c r="L18" s="673"/>
      <c r="M18" s="673"/>
      <c r="N18" s="674">
        <v>1</v>
      </c>
      <c r="O18" s="675"/>
      <c r="P18" s="676">
        <v>1</v>
      </c>
      <c r="Q18" s="676"/>
      <c r="R18" s="677" t="s">
        <v>429</v>
      </c>
      <c r="S18" s="678"/>
      <c r="T18" s="678"/>
      <c r="U18" s="678"/>
      <c r="V18" s="27"/>
      <c r="W18" s="27"/>
      <c r="X18" s="27"/>
      <c r="Y18" s="27"/>
      <c r="Z18" s="27"/>
      <c r="AA18" s="27"/>
      <c r="AB18" s="27"/>
    </row>
    <row r="19" spans="3:28" ht="16.5" customHeight="1" thickBot="1" x14ac:dyDescent="0.2">
      <c r="C19" s="679">
        <v>2</v>
      </c>
      <c r="D19" s="679"/>
      <c r="E19" s="680" t="s">
        <v>194</v>
      </c>
      <c r="F19" s="681"/>
      <c r="G19" s="681"/>
      <c r="H19" s="681"/>
      <c r="I19" s="681"/>
      <c r="J19" s="681"/>
      <c r="K19" s="681"/>
      <c r="L19" s="681"/>
      <c r="M19" s="681"/>
      <c r="N19" s="682">
        <v>1</v>
      </c>
      <c r="O19" s="683"/>
      <c r="P19" s="684">
        <v>1</v>
      </c>
      <c r="Q19" s="684"/>
      <c r="R19" s="685" t="s">
        <v>430</v>
      </c>
      <c r="S19" s="686"/>
      <c r="T19" s="686"/>
      <c r="U19" s="686"/>
      <c r="V19" s="3"/>
      <c r="W19" s="3"/>
      <c r="X19" s="3"/>
      <c r="Y19" s="3"/>
      <c r="Z19" s="3"/>
      <c r="AA19" s="3"/>
      <c r="AB19" s="3"/>
    </row>
  </sheetData>
  <mergeCells count="35">
    <mergeCell ref="C6:E7"/>
    <mergeCell ref="F6:H7"/>
    <mergeCell ref="I6:P7"/>
    <mergeCell ref="Q6:AB7"/>
    <mergeCell ref="C8:E9"/>
    <mergeCell ref="F8:H9"/>
    <mergeCell ref="I8:P9"/>
    <mergeCell ref="Q8:T9"/>
    <mergeCell ref="U8:X9"/>
    <mergeCell ref="Y8:AB9"/>
    <mergeCell ref="Z10:Z11"/>
    <mergeCell ref="AA10:AB11"/>
    <mergeCell ref="C16:D17"/>
    <mergeCell ref="E16:M17"/>
    <mergeCell ref="N16:O16"/>
    <mergeCell ref="P16:Q16"/>
    <mergeCell ref="R16:U17"/>
    <mergeCell ref="N17:O17"/>
    <mergeCell ref="P17:Q17"/>
    <mergeCell ref="C10:E11"/>
    <mergeCell ref="F10:H11"/>
    <mergeCell ref="I10:P11"/>
    <mergeCell ref="Q10:T11"/>
    <mergeCell ref="U10:X11"/>
    <mergeCell ref="Y10:Y11"/>
    <mergeCell ref="C19:D19"/>
    <mergeCell ref="E19:M19"/>
    <mergeCell ref="N19:O19"/>
    <mergeCell ref="P19:Q19"/>
    <mergeCell ref="R19:U19"/>
    <mergeCell ref="C18:D18"/>
    <mergeCell ref="E18:M18"/>
    <mergeCell ref="N18:O18"/>
    <mergeCell ref="P18:Q18"/>
    <mergeCell ref="R18:U18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D838-D2E5-4BAB-AA3A-A983E241FEE1}">
  <dimension ref="B2:Q10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/>
    <col min="3" max="3" width="2.625" style="18"/>
    <col min="4" max="16384" width="2.625" style="17"/>
  </cols>
  <sheetData>
    <row r="2" spans="2:17" s="61" customFormat="1" ht="16.5" customHeight="1" x14ac:dyDescent="0.15">
      <c r="B2" s="107" t="s">
        <v>415</v>
      </c>
      <c r="C2" s="108"/>
    </row>
    <row r="3" spans="2:17" ht="16.5" customHeight="1" x14ac:dyDescent="0.15">
      <c r="C3" s="17"/>
    </row>
    <row r="4" spans="2:17" ht="16.5" customHeight="1" x14ac:dyDescent="0.15">
      <c r="C4" s="17"/>
      <c r="D4" s="3" t="s">
        <v>416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16.5" customHeight="1" x14ac:dyDescent="0.15">
      <c r="C5" s="1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ht="16.5" customHeight="1" x14ac:dyDescent="0.15">
      <c r="C6" s="17"/>
      <c r="D6" s="3" t="s">
        <v>417</v>
      </c>
      <c r="E6" s="3"/>
      <c r="F6" s="3"/>
      <c r="G6" s="3"/>
      <c r="H6" s="3"/>
      <c r="I6" s="3" t="s">
        <v>418</v>
      </c>
      <c r="J6" s="3"/>
      <c r="K6" s="3"/>
      <c r="L6" s="3"/>
      <c r="M6" s="3"/>
      <c r="N6" s="3"/>
      <c r="O6" s="3"/>
      <c r="P6" s="3"/>
      <c r="Q6" s="3"/>
    </row>
    <row r="7" spans="2:17" ht="16.5" customHeight="1" x14ac:dyDescent="0.15">
      <c r="C7" s="1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ht="16.5" customHeight="1" x14ac:dyDescent="0.15">
      <c r="C8" s="17"/>
      <c r="D8" s="3" t="s">
        <v>419</v>
      </c>
      <c r="E8" s="3"/>
      <c r="F8" s="3"/>
      <c r="G8" s="3"/>
      <c r="H8" s="3"/>
      <c r="I8" s="3" t="s">
        <v>420</v>
      </c>
      <c r="J8" s="3"/>
      <c r="K8" s="3"/>
      <c r="L8" s="3"/>
      <c r="M8" s="3"/>
      <c r="N8" s="3"/>
      <c r="O8" s="3"/>
      <c r="P8" s="3"/>
      <c r="Q8" s="3"/>
    </row>
    <row r="9" spans="2:17" ht="16.5" customHeight="1" x14ac:dyDescent="0.15">
      <c r="C9" s="17"/>
      <c r="D9" s="3"/>
      <c r="E9" s="3"/>
      <c r="F9" s="3"/>
      <c r="G9" s="3"/>
      <c r="H9" s="3"/>
      <c r="I9" s="3" t="s">
        <v>421</v>
      </c>
      <c r="J9" s="3"/>
      <c r="K9" s="3"/>
      <c r="L9" s="3"/>
      <c r="M9" s="3"/>
      <c r="N9" s="3"/>
      <c r="O9" s="3"/>
      <c r="P9" s="3"/>
      <c r="Q9" s="3"/>
    </row>
    <row r="10" spans="2:17" ht="16.5" customHeight="1" x14ac:dyDescent="0.15">
      <c r="C10" s="17"/>
    </row>
  </sheetData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3734-E107-4AEC-AEA6-6E71EED0DF8F}">
  <dimension ref="B2:AK8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/>
    <col min="3" max="3" width="2.625" style="18"/>
    <col min="4" max="16384" width="2.625" style="17"/>
  </cols>
  <sheetData>
    <row r="2" spans="2:37" s="61" customFormat="1" ht="16.5" customHeight="1" x14ac:dyDescent="0.15">
      <c r="B2" s="107" t="s">
        <v>427</v>
      </c>
      <c r="C2" s="108"/>
    </row>
    <row r="3" spans="2:37" s="61" customFormat="1" ht="16.5" customHeight="1" x14ac:dyDescent="0.15">
      <c r="C3" s="108"/>
    </row>
    <row r="4" spans="2:37" ht="16.5" customHeight="1" x14ac:dyDescent="0.15">
      <c r="C4" s="21"/>
      <c r="D4" s="17" t="s">
        <v>570</v>
      </c>
      <c r="G4" s="17" t="s">
        <v>575</v>
      </c>
    </row>
    <row r="5" spans="2:37" ht="17.25" customHeight="1" x14ac:dyDescent="0.15">
      <c r="C5" s="21"/>
    </row>
    <row r="6" spans="2:37" ht="16.5" customHeight="1" x14ac:dyDescent="0.15">
      <c r="C6" s="21"/>
    </row>
    <row r="7" spans="2:37" ht="16.5" customHeight="1" x14ac:dyDescent="0.15">
      <c r="AK7" s="61"/>
    </row>
    <row r="8" spans="2:37" ht="16.5" customHeight="1" x14ac:dyDescent="0.15">
      <c r="C8" s="21"/>
      <c r="D8" s="17" t="s">
        <v>571</v>
      </c>
      <c r="G8" s="17" t="s">
        <v>574</v>
      </c>
      <c r="AK8" s="61"/>
    </row>
  </sheetData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1" manualBreakCount="1">
    <brk id="6" max="3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934F-A818-4F43-BECD-605DBA857FC5}">
  <dimension ref="B2:G6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7"/>
    <col min="3" max="3" width="2.625" style="18"/>
    <col min="4" max="16384" width="2.625" style="17"/>
  </cols>
  <sheetData>
    <row r="2" spans="2:7" s="61" customFormat="1" ht="16.5" customHeight="1" x14ac:dyDescent="0.15">
      <c r="B2" s="107" t="s">
        <v>576</v>
      </c>
      <c r="C2" s="108"/>
    </row>
    <row r="3" spans="2:7" s="61" customFormat="1" ht="16.5" customHeight="1" x14ac:dyDescent="0.15">
      <c r="C3" s="108"/>
    </row>
    <row r="4" spans="2:7" ht="16.5" customHeight="1" x14ac:dyDescent="0.15">
      <c r="C4" s="21"/>
      <c r="D4" s="17" t="s">
        <v>570</v>
      </c>
      <c r="G4" s="17" t="s">
        <v>575</v>
      </c>
    </row>
    <row r="5" spans="2:7" ht="16.5" customHeight="1" x14ac:dyDescent="0.15">
      <c r="C5" s="21"/>
    </row>
    <row r="6" spans="2:7" ht="16.5" customHeight="1" x14ac:dyDescent="0.15">
      <c r="D6" s="189" t="s">
        <v>577</v>
      </c>
    </row>
  </sheetData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6803-B43A-4B32-AEF1-AC7FFA085A78}">
  <dimension ref="A2:C2"/>
  <sheetViews>
    <sheetView view="pageBreakPreview" zoomScale="75" zoomScaleNormal="100" zoomScaleSheetLayoutView="75" workbookViewId="0"/>
  </sheetViews>
  <sheetFormatPr defaultColWidth="2.625" defaultRowHeight="16.5" customHeight="1" x14ac:dyDescent="0.15"/>
  <cols>
    <col min="1" max="2" width="2.625" style="17"/>
    <col min="3" max="3" width="2.625" style="18"/>
    <col min="4" max="16384" width="2.625" style="17"/>
  </cols>
  <sheetData>
    <row r="2" spans="1:1" ht="16.5" customHeight="1" x14ac:dyDescent="0.15">
      <c r="A2" s="190" t="s">
        <v>431</v>
      </c>
    </row>
  </sheetData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6453-5FFF-41C0-9C72-9672A4C4C769}">
  <dimension ref="B1:AJ31"/>
  <sheetViews>
    <sheetView topLeftCell="A13" zoomScaleNormal="75" zoomScaleSheetLayoutView="75" workbookViewId="0">
      <selection activeCell="AA24" sqref="AA24"/>
    </sheetView>
  </sheetViews>
  <sheetFormatPr defaultColWidth="2.625" defaultRowHeight="16.5" customHeight="1" x14ac:dyDescent="0.15"/>
  <cols>
    <col min="1" max="2" width="2.625" style="17"/>
    <col min="3" max="3" width="2.625" style="18"/>
    <col min="4" max="16384" width="2.625" style="17"/>
  </cols>
  <sheetData>
    <row r="1" spans="2:36" ht="16.5" customHeight="1" x14ac:dyDescent="0.15">
      <c r="C1" s="3"/>
      <c r="D1" s="3"/>
      <c r="E1" s="5"/>
      <c r="F1" s="3"/>
      <c r="G1" s="13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39"/>
      <c r="AG1" s="3"/>
      <c r="AH1" s="3"/>
      <c r="AI1" s="3"/>
    </row>
    <row r="2" spans="2:36" ht="16.5" customHeight="1" x14ac:dyDescent="0.15">
      <c r="B2" s="17" t="s">
        <v>428</v>
      </c>
      <c r="C2" s="20" t="s">
        <v>412</v>
      </c>
      <c r="E2" s="21"/>
      <c r="K2" s="17" t="s">
        <v>413</v>
      </c>
    </row>
    <row r="3" spans="2:36" ht="16.5" customHeight="1" x14ac:dyDescent="0.15">
      <c r="C3" s="3"/>
      <c r="D3" s="3"/>
      <c r="E3" s="173"/>
      <c r="F3" s="3"/>
      <c r="G3" s="174"/>
      <c r="H3" s="174"/>
      <c r="I3" s="174"/>
      <c r="J3" s="174" t="s">
        <v>291</v>
      </c>
      <c r="K3" s="174"/>
      <c r="L3" s="174"/>
      <c r="M3" s="4" t="s">
        <v>277</v>
      </c>
      <c r="N3" s="748" t="s">
        <v>366</v>
      </c>
      <c r="O3" s="748"/>
      <c r="P3" s="175" t="s">
        <v>220</v>
      </c>
      <c r="Q3" s="176" t="s">
        <v>367</v>
      </c>
      <c r="R3" s="174"/>
      <c r="S3" s="174"/>
      <c r="T3" s="174"/>
      <c r="U3" s="3" t="s">
        <v>368</v>
      </c>
      <c r="V3" s="174"/>
      <c r="W3" s="174"/>
      <c r="X3" s="3"/>
      <c r="Y3" s="3"/>
      <c r="Z3" s="3"/>
      <c r="AA3" s="3"/>
      <c r="AB3" s="3"/>
      <c r="AC3" s="3"/>
      <c r="AD3" s="3"/>
      <c r="AG3" s="177"/>
      <c r="AH3" s="177"/>
      <c r="AI3" s="177"/>
    </row>
    <row r="4" spans="2:36" ht="16.5" customHeight="1" x14ac:dyDescent="0.15">
      <c r="C4" s="3"/>
      <c r="D4" s="3"/>
      <c r="E4" s="173"/>
      <c r="F4" s="3"/>
      <c r="G4" s="174"/>
      <c r="H4" s="174"/>
      <c r="I4" s="174"/>
      <c r="J4" s="174" t="s">
        <v>299</v>
      </c>
      <c r="K4" s="174"/>
      <c r="L4" s="174"/>
      <c r="M4" s="4" t="s">
        <v>277</v>
      </c>
      <c r="N4" s="748" t="s">
        <v>366</v>
      </c>
      <c r="O4" s="748"/>
      <c r="P4" s="175" t="s">
        <v>220</v>
      </c>
      <c r="Q4" s="176" t="s">
        <v>369</v>
      </c>
      <c r="R4" s="174"/>
      <c r="S4" s="174"/>
      <c r="T4" s="174"/>
      <c r="U4" s="3" t="s">
        <v>370</v>
      </c>
      <c r="V4" s="174"/>
      <c r="W4" s="174"/>
      <c r="X4" s="3"/>
      <c r="Y4" s="3"/>
      <c r="Z4" s="3"/>
      <c r="AA4" s="3"/>
      <c r="AB4" s="3"/>
      <c r="AC4" s="3"/>
      <c r="AD4" s="3"/>
      <c r="AG4" s="177"/>
      <c r="AH4" s="177"/>
      <c r="AI4" s="177"/>
    </row>
    <row r="5" spans="2:36" ht="16.5" customHeight="1" x14ac:dyDescent="0.15">
      <c r="C5" s="3"/>
      <c r="D5" s="3"/>
      <c r="E5" s="173"/>
      <c r="F5" s="3"/>
      <c r="G5" s="3"/>
      <c r="H5" s="3"/>
      <c r="I5" s="3"/>
      <c r="J5" s="3"/>
      <c r="K5" s="3"/>
      <c r="L5" s="3"/>
      <c r="M5" s="3"/>
      <c r="N5" s="748" t="s">
        <v>366</v>
      </c>
      <c r="O5" s="748"/>
      <c r="P5" s="175" t="s">
        <v>220</v>
      </c>
      <c r="Q5" s="3" t="s">
        <v>371</v>
      </c>
      <c r="R5" s="3"/>
      <c r="S5" s="3"/>
      <c r="T5" s="3"/>
      <c r="U5" s="3" t="s">
        <v>372</v>
      </c>
      <c r="V5" s="3"/>
      <c r="W5" s="3"/>
      <c r="X5" s="3"/>
      <c r="Y5" s="3"/>
      <c r="Z5" s="3"/>
      <c r="AA5" s="3"/>
      <c r="AB5" s="3"/>
      <c r="AC5" s="3"/>
      <c r="AD5" s="3"/>
      <c r="AG5" s="177"/>
      <c r="AH5" s="177"/>
      <c r="AI5" s="177"/>
    </row>
    <row r="6" spans="2:36" ht="16.5" customHeight="1" x14ac:dyDescent="0.15">
      <c r="C6" s="3"/>
      <c r="D6" s="3"/>
      <c r="E6" s="173"/>
      <c r="F6" s="3"/>
      <c r="G6" s="3"/>
      <c r="H6" s="3"/>
      <c r="I6" s="3"/>
      <c r="J6" s="3"/>
      <c r="K6" s="3"/>
      <c r="L6" s="748" t="s">
        <v>366</v>
      </c>
      <c r="M6" s="748"/>
      <c r="N6" s="4" t="s">
        <v>277</v>
      </c>
      <c r="O6" s="174" t="s">
        <v>373</v>
      </c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3"/>
      <c r="AB6" s="3"/>
      <c r="AC6" s="3"/>
      <c r="AD6" s="3"/>
      <c r="AG6" s="177"/>
      <c r="AH6" s="177"/>
      <c r="AI6" s="177"/>
    </row>
    <row r="7" spans="2:36" ht="16.5" customHeight="1" x14ac:dyDescent="0.15">
      <c r="C7" s="3"/>
      <c r="D7" s="3"/>
      <c r="E7" s="173"/>
      <c r="F7" s="3"/>
      <c r="G7" s="3"/>
      <c r="H7" s="3"/>
      <c r="I7" s="3"/>
      <c r="J7" s="3"/>
      <c r="K7" s="3"/>
      <c r="L7" s="748" t="s">
        <v>374</v>
      </c>
      <c r="M7" s="289"/>
      <c r="N7" s="4" t="s">
        <v>277</v>
      </c>
      <c r="O7" s="174" t="s">
        <v>375</v>
      </c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3"/>
      <c r="AB7" s="3"/>
      <c r="AC7" s="3"/>
      <c r="AD7" s="3"/>
      <c r="AG7" s="177"/>
      <c r="AH7" s="177"/>
      <c r="AI7" s="177"/>
    </row>
    <row r="8" spans="2:36" ht="16.5" customHeight="1" x14ac:dyDescent="0.15">
      <c r="C8" s="3"/>
      <c r="D8" s="3"/>
      <c r="E8" s="173"/>
      <c r="F8" s="3"/>
      <c r="G8" s="3"/>
      <c r="H8" s="3"/>
      <c r="I8" s="3"/>
      <c r="J8" s="3"/>
      <c r="K8" s="3"/>
      <c r="L8" s="748" t="s">
        <v>376</v>
      </c>
      <c r="M8" s="289"/>
      <c r="N8" s="4" t="s">
        <v>277</v>
      </c>
      <c r="O8" s="174" t="s">
        <v>377</v>
      </c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3"/>
      <c r="AB8" s="3"/>
      <c r="AC8" s="3"/>
      <c r="AD8" s="3"/>
      <c r="AG8" s="177"/>
      <c r="AH8" s="177"/>
      <c r="AI8" s="177"/>
    </row>
    <row r="9" spans="2:36" ht="16.5" customHeight="1" x14ac:dyDescent="0.15">
      <c r="C9" s="17"/>
      <c r="AH9" s="177"/>
      <c r="AI9" s="177"/>
      <c r="AJ9" s="177"/>
    </row>
    <row r="10" spans="2:36" ht="16.5" customHeight="1" x14ac:dyDescent="0.15">
      <c r="C10" s="17"/>
      <c r="D10" s="752"/>
      <c r="E10" s="753"/>
      <c r="F10" s="754"/>
      <c r="G10" s="178" t="s">
        <v>378</v>
      </c>
      <c r="H10" s="179"/>
      <c r="I10" s="180"/>
      <c r="J10" s="178" t="s">
        <v>379</v>
      </c>
      <c r="K10" s="180"/>
      <c r="L10" s="758" t="s">
        <v>380</v>
      </c>
      <c r="M10" s="759"/>
      <c r="N10" s="178" t="s">
        <v>366</v>
      </c>
      <c r="O10" s="179"/>
      <c r="P10" s="179"/>
      <c r="Q10" s="179"/>
      <c r="R10" s="179"/>
      <c r="S10" s="179"/>
      <c r="T10" s="180"/>
      <c r="U10" s="3"/>
      <c r="V10" s="3"/>
    </row>
    <row r="11" spans="2:36" ht="16.5" customHeight="1" x14ac:dyDescent="0.15">
      <c r="C11" s="17"/>
      <c r="D11" s="755"/>
      <c r="E11" s="756"/>
      <c r="F11" s="757"/>
      <c r="G11" s="181" t="s">
        <v>381</v>
      </c>
      <c r="H11" s="182"/>
      <c r="I11" s="183"/>
      <c r="J11" s="184"/>
      <c r="K11" s="185"/>
      <c r="L11" s="184"/>
      <c r="M11" s="185"/>
      <c r="N11" s="181" t="s">
        <v>382</v>
      </c>
      <c r="O11" s="182"/>
      <c r="P11" s="182"/>
      <c r="Q11" s="182"/>
      <c r="R11" s="182"/>
      <c r="S11" s="182"/>
      <c r="T11" s="183"/>
      <c r="U11" s="3"/>
      <c r="V11" s="3"/>
    </row>
    <row r="12" spans="2:36" ht="16.5" customHeight="1" x14ac:dyDescent="0.15">
      <c r="C12" s="17"/>
      <c r="D12" s="749">
        <v>1</v>
      </c>
      <c r="E12" s="750"/>
      <c r="F12" s="751"/>
      <c r="G12" s="762" t="s">
        <v>292</v>
      </c>
      <c r="H12" s="763"/>
      <c r="I12" s="764"/>
      <c r="J12" s="765">
        <v>7</v>
      </c>
      <c r="K12" s="766"/>
      <c r="L12" s="767" t="s">
        <v>383</v>
      </c>
      <c r="M12" s="768"/>
      <c r="N12" s="769">
        <v>80</v>
      </c>
      <c r="O12" s="770"/>
      <c r="P12" s="186" t="s">
        <v>385</v>
      </c>
      <c r="Q12" s="187"/>
      <c r="R12" s="778">
        <f t="shared" ref="R12:R14" si="0">N12*J12^(1/3)</f>
        <v>153.03449462179111</v>
      </c>
      <c r="S12" s="779"/>
      <c r="T12" s="780"/>
      <c r="U12" s="3"/>
      <c r="V12" s="3"/>
    </row>
    <row r="13" spans="2:36" ht="16.5" customHeight="1" x14ac:dyDescent="0.15">
      <c r="C13" s="17"/>
      <c r="D13" s="749">
        <v>2</v>
      </c>
      <c r="E13" s="750"/>
      <c r="F13" s="751"/>
      <c r="G13" s="762" t="s">
        <v>292</v>
      </c>
      <c r="H13" s="763"/>
      <c r="I13" s="764"/>
      <c r="J13" s="765">
        <v>37</v>
      </c>
      <c r="K13" s="766"/>
      <c r="L13" s="767" t="s">
        <v>383</v>
      </c>
      <c r="M13" s="768"/>
      <c r="N13" s="769">
        <v>80</v>
      </c>
      <c r="O13" s="770"/>
      <c r="P13" s="186" t="s">
        <v>385</v>
      </c>
      <c r="Q13" s="187"/>
      <c r="R13" s="778">
        <f t="shared" si="0"/>
        <v>266.57774813167623</v>
      </c>
      <c r="S13" s="779"/>
      <c r="T13" s="780"/>
      <c r="U13" s="3"/>
      <c r="V13" s="3"/>
    </row>
    <row r="14" spans="2:36" ht="16.5" customHeight="1" x14ac:dyDescent="0.15">
      <c r="C14" s="17"/>
      <c r="D14" s="749">
        <v>3</v>
      </c>
      <c r="E14" s="750"/>
      <c r="F14" s="751"/>
      <c r="G14" s="771" t="s">
        <v>384</v>
      </c>
      <c r="H14" s="772"/>
      <c r="I14" s="773"/>
      <c r="J14" s="774">
        <v>8</v>
      </c>
      <c r="K14" s="775"/>
      <c r="L14" s="767" t="s">
        <v>383</v>
      </c>
      <c r="M14" s="768"/>
      <c r="N14" s="776">
        <v>100</v>
      </c>
      <c r="O14" s="777"/>
      <c r="P14" s="186" t="s">
        <v>385</v>
      </c>
      <c r="Q14" s="187"/>
      <c r="R14" s="778">
        <f t="shared" si="0"/>
        <v>199.99999999999997</v>
      </c>
      <c r="S14" s="779"/>
      <c r="T14" s="780"/>
      <c r="U14" s="3"/>
      <c r="V14" s="3"/>
    </row>
    <row r="15" spans="2:36" ht="16.5" customHeight="1" x14ac:dyDescent="0.15">
      <c r="C15" s="17"/>
      <c r="D15" s="749">
        <v>4</v>
      </c>
      <c r="E15" s="750"/>
      <c r="F15" s="751"/>
      <c r="G15" s="762" t="s">
        <v>292</v>
      </c>
      <c r="H15" s="763"/>
      <c r="I15" s="764"/>
      <c r="J15" s="765">
        <v>32</v>
      </c>
      <c r="K15" s="766"/>
      <c r="L15" s="767" t="s">
        <v>383</v>
      </c>
      <c r="M15" s="768"/>
      <c r="N15" s="769">
        <v>80</v>
      </c>
      <c r="O15" s="770"/>
      <c r="P15" s="186" t="s">
        <v>385</v>
      </c>
      <c r="Q15" s="187"/>
      <c r="R15" s="778">
        <f t="shared" ref="R15:R16" si="1">N15*J15^(1/3)</f>
        <v>253.9841683149119</v>
      </c>
      <c r="S15" s="779"/>
      <c r="T15" s="780"/>
    </row>
    <row r="16" spans="2:36" ht="16.5" customHeight="1" x14ac:dyDescent="0.15">
      <c r="C16" s="17"/>
      <c r="D16" s="749">
        <v>5</v>
      </c>
      <c r="E16" s="750"/>
      <c r="F16" s="751"/>
      <c r="G16" s="771" t="s">
        <v>384</v>
      </c>
      <c r="H16" s="772"/>
      <c r="I16" s="773"/>
      <c r="J16" s="774">
        <v>31</v>
      </c>
      <c r="K16" s="775"/>
      <c r="L16" s="767" t="s">
        <v>383</v>
      </c>
      <c r="M16" s="768"/>
      <c r="N16" s="776">
        <v>100</v>
      </c>
      <c r="O16" s="777"/>
      <c r="P16" s="186" t="s">
        <v>385</v>
      </c>
      <c r="Q16" s="187"/>
      <c r="R16" s="778">
        <f t="shared" si="1"/>
        <v>314.13806523913928</v>
      </c>
      <c r="S16" s="779"/>
      <c r="T16" s="780"/>
    </row>
    <row r="17" spans="3:20" ht="16.5" customHeight="1" x14ac:dyDescent="0.15">
      <c r="C17" s="17"/>
      <c r="D17" s="749">
        <v>6</v>
      </c>
      <c r="E17" s="750"/>
      <c r="F17" s="751"/>
      <c r="G17" s="762" t="s">
        <v>292</v>
      </c>
      <c r="H17" s="763"/>
      <c r="I17" s="764"/>
      <c r="J17" s="765">
        <v>48</v>
      </c>
      <c r="K17" s="766"/>
      <c r="L17" s="767" t="s">
        <v>383</v>
      </c>
      <c r="M17" s="768"/>
      <c r="N17" s="769">
        <v>80</v>
      </c>
      <c r="O17" s="770"/>
      <c r="P17" s="186" t="s">
        <v>385</v>
      </c>
      <c r="Q17" s="187"/>
      <c r="R17" s="778">
        <f t="shared" ref="R17:R18" si="2">N17*J17^(1/3)</f>
        <v>290.73929485314233</v>
      </c>
      <c r="S17" s="779"/>
      <c r="T17" s="780"/>
    </row>
    <row r="18" spans="3:20" ht="16.5" customHeight="1" x14ac:dyDescent="0.15">
      <c r="C18" s="17"/>
      <c r="D18" s="749">
        <v>7</v>
      </c>
      <c r="E18" s="750"/>
      <c r="F18" s="751"/>
      <c r="G18" s="771" t="s">
        <v>384</v>
      </c>
      <c r="H18" s="772"/>
      <c r="I18" s="773"/>
      <c r="J18" s="774">
        <v>14</v>
      </c>
      <c r="K18" s="775"/>
      <c r="L18" s="767" t="s">
        <v>383</v>
      </c>
      <c r="M18" s="768"/>
      <c r="N18" s="776">
        <v>100</v>
      </c>
      <c r="O18" s="777"/>
      <c r="P18" s="186" t="s">
        <v>385</v>
      </c>
      <c r="Q18" s="187"/>
      <c r="R18" s="778">
        <f t="shared" si="2"/>
        <v>241.01422641752296</v>
      </c>
      <c r="S18" s="779"/>
      <c r="T18" s="780"/>
    </row>
    <row r="19" spans="3:20" ht="16.5" customHeight="1" x14ac:dyDescent="0.15">
      <c r="C19" s="17"/>
    </row>
    <row r="20" spans="3:20" ht="16.5" customHeight="1" thickBot="1" x14ac:dyDescent="0.2">
      <c r="C20" s="17"/>
      <c r="D20" s="784" t="s">
        <v>386</v>
      </c>
      <c r="E20" s="784"/>
      <c r="F20" s="784"/>
      <c r="G20" s="784"/>
      <c r="H20" s="784"/>
      <c r="I20" s="784"/>
      <c r="J20" s="784"/>
      <c r="K20" s="784"/>
      <c r="L20" s="784"/>
      <c r="M20" s="784"/>
      <c r="N20" s="784"/>
      <c r="O20" s="784"/>
      <c r="P20" s="784"/>
      <c r="Q20" s="784"/>
      <c r="R20" s="784"/>
      <c r="S20" s="784"/>
      <c r="T20" s="784"/>
    </row>
    <row r="21" spans="3:20" ht="16.5" customHeight="1" x14ac:dyDescent="0.15">
      <c r="C21" s="17"/>
      <c r="D21" s="691" t="s">
        <v>387</v>
      </c>
      <c r="E21" s="691"/>
      <c r="F21" s="691"/>
      <c r="G21" s="691"/>
      <c r="H21" s="691"/>
      <c r="I21" s="691"/>
      <c r="J21" s="699" t="s">
        <v>388</v>
      </c>
      <c r="K21" s="691"/>
      <c r="L21" s="691"/>
      <c r="M21" s="691"/>
      <c r="N21" s="694"/>
      <c r="O21" s="691" t="s">
        <v>389</v>
      </c>
      <c r="P21" s="691"/>
      <c r="Q21" s="691"/>
      <c r="R21" s="691"/>
      <c r="S21" s="691"/>
      <c r="T21" s="691"/>
    </row>
    <row r="22" spans="3:20" ht="16.5" customHeight="1" x14ac:dyDescent="0.15">
      <c r="C22" s="17"/>
      <c r="D22" s="287" t="s">
        <v>390</v>
      </c>
      <c r="E22" s="287"/>
      <c r="F22" s="287"/>
      <c r="G22" s="287"/>
      <c r="H22" s="287"/>
      <c r="I22" s="287"/>
      <c r="J22" s="760"/>
      <c r="K22" s="287"/>
      <c r="L22" s="287"/>
      <c r="M22" s="287"/>
      <c r="N22" s="761"/>
      <c r="O22" s="287"/>
      <c r="P22" s="287"/>
      <c r="Q22" s="287"/>
      <c r="R22" s="287"/>
      <c r="S22" s="287"/>
      <c r="T22" s="287"/>
    </row>
    <row r="23" spans="3:20" ht="16.5" customHeight="1" x14ac:dyDescent="0.15">
      <c r="C23" s="17"/>
      <c r="D23" s="783" t="s">
        <v>157</v>
      </c>
      <c r="E23" s="528"/>
      <c r="F23" s="528"/>
      <c r="G23" s="528"/>
      <c r="H23" s="528"/>
      <c r="I23" s="782"/>
      <c r="J23" s="528" t="s">
        <v>391</v>
      </c>
      <c r="K23" s="528"/>
      <c r="L23" s="528"/>
      <c r="M23" s="528"/>
      <c r="N23" s="528"/>
      <c r="O23" s="528" t="s">
        <v>392</v>
      </c>
      <c r="P23" s="528"/>
      <c r="Q23" s="528"/>
      <c r="R23" s="528"/>
      <c r="S23" s="528"/>
      <c r="T23" s="782"/>
    </row>
    <row r="24" spans="3:20" ht="16.5" customHeight="1" x14ac:dyDescent="0.15">
      <c r="C24" s="17"/>
      <c r="D24" s="783" t="s">
        <v>157</v>
      </c>
      <c r="E24" s="528"/>
      <c r="F24" s="528"/>
      <c r="G24" s="528"/>
      <c r="H24" s="528"/>
      <c r="I24" s="782"/>
      <c r="J24" s="528" t="s">
        <v>393</v>
      </c>
      <c r="K24" s="528"/>
      <c r="L24" s="528"/>
      <c r="M24" s="528"/>
      <c r="N24" s="528"/>
      <c r="O24" s="528" t="s">
        <v>394</v>
      </c>
      <c r="P24" s="528"/>
      <c r="Q24" s="528"/>
      <c r="R24" s="528"/>
      <c r="S24" s="528"/>
      <c r="T24" s="782"/>
    </row>
    <row r="25" spans="3:20" ht="16.5" customHeight="1" x14ac:dyDescent="0.15">
      <c r="C25" s="17"/>
      <c r="D25" s="793" t="s">
        <v>395</v>
      </c>
      <c r="E25" s="794"/>
      <c r="F25" s="794"/>
      <c r="G25" s="794"/>
      <c r="H25" s="794"/>
      <c r="I25" s="795"/>
      <c r="J25" s="528" t="s">
        <v>396</v>
      </c>
      <c r="K25" s="528"/>
      <c r="L25" s="528"/>
      <c r="M25" s="528"/>
      <c r="N25" s="528"/>
      <c r="O25" s="528" t="s">
        <v>397</v>
      </c>
      <c r="P25" s="528"/>
      <c r="Q25" s="528"/>
      <c r="R25" s="528"/>
      <c r="S25" s="528"/>
      <c r="T25" s="782"/>
    </row>
    <row r="26" spans="3:20" ht="16.5" customHeight="1" x14ac:dyDescent="0.15">
      <c r="C26" s="17"/>
      <c r="D26" s="781" t="s">
        <v>398</v>
      </c>
      <c r="E26" s="781"/>
      <c r="F26" s="781"/>
      <c r="G26" s="781"/>
      <c r="H26" s="781"/>
      <c r="I26" s="781"/>
      <c r="J26" s="782" t="s">
        <v>399</v>
      </c>
      <c r="K26" s="781"/>
      <c r="L26" s="781"/>
      <c r="M26" s="781"/>
      <c r="N26" s="783"/>
      <c r="O26" s="782" t="s">
        <v>400</v>
      </c>
      <c r="P26" s="781"/>
      <c r="Q26" s="781"/>
      <c r="R26" s="781"/>
      <c r="S26" s="781"/>
      <c r="T26" s="781"/>
    </row>
    <row r="27" spans="3:20" ht="16.5" customHeight="1" x14ac:dyDescent="0.15">
      <c r="C27" s="17"/>
      <c r="D27" s="790" t="s">
        <v>401</v>
      </c>
      <c r="E27" s="791"/>
      <c r="F27" s="791"/>
      <c r="G27" s="791"/>
      <c r="H27" s="791"/>
      <c r="I27" s="792"/>
      <c r="J27" s="791" t="s">
        <v>402</v>
      </c>
      <c r="K27" s="791"/>
      <c r="L27" s="791"/>
      <c r="M27" s="791"/>
      <c r="N27" s="791"/>
      <c r="O27" s="791" t="s">
        <v>403</v>
      </c>
      <c r="P27" s="791"/>
      <c r="Q27" s="791"/>
      <c r="R27" s="791"/>
      <c r="S27" s="791"/>
      <c r="T27" s="792"/>
    </row>
    <row r="28" spans="3:20" ht="16.5" customHeight="1" x14ac:dyDescent="0.15">
      <c r="C28" s="17"/>
      <c r="D28" s="783" t="s">
        <v>404</v>
      </c>
      <c r="E28" s="528"/>
      <c r="F28" s="528"/>
      <c r="G28" s="528"/>
      <c r="H28" s="528"/>
      <c r="I28" s="782"/>
      <c r="J28" s="528" t="s">
        <v>405</v>
      </c>
      <c r="K28" s="528"/>
      <c r="L28" s="528"/>
      <c r="M28" s="528"/>
      <c r="N28" s="528"/>
      <c r="O28" s="528" t="s">
        <v>406</v>
      </c>
      <c r="P28" s="528"/>
      <c r="Q28" s="528"/>
      <c r="R28" s="528"/>
      <c r="S28" s="528"/>
      <c r="T28" s="782"/>
    </row>
    <row r="29" spans="3:20" ht="16.5" customHeight="1" x14ac:dyDescent="0.15">
      <c r="C29" s="17"/>
      <c r="D29" s="783" t="s">
        <v>407</v>
      </c>
      <c r="E29" s="528"/>
      <c r="F29" s="528"/>
      <c r="G29" s="528"/>
      <c r="H29" s="528"/>
      <c r="I29" s="782"/>
      <c r="J29" s="528" t="s">
        <v>408</v>
      </c>
      <c r="K29" s="528"/>
      <c r="L29" s="528"/>
      <c r="M29" s="528"/>
      <c r="N29" s="528"/>
      <c r="O29" s="528" t="s">
        <v>406</v>
      </c>
      <c r="P29" s="528"/>
      <c r="Q29" s="528"/>
      <c r="R29" s="528"/>
      <c r="S29" s="528"/>
      <c r="T29" s="782"/>
    </row>
    <row r="30" spans="3:20" ht="16.5" customHeight="1" thickBot="1" x14ac:dyDescent="0.2">
      <c r="C30" s="17"/>
      <c r="D30" s="785" t="s">
        <v>409</v>
      </c>
      <c r="E30" s="786"/>
      <c r="F30" s="786"/>
      <c r="G30" s="786"/>
      <c r="H30" s="786"/>
      <c r="I30" s="787"/>
      <c r="J30" s="788" t="s">
        <v>410</v>
      </c>
      <c r="K30" s="788"/>
      <c r="L30" s="788"/>
      <c r="M30" s="788"/>
      <c r="N30" s="788"/>
      <c r="O30" s="788" t="s">
        <v>411</v>
      </c>
      <c r="P30" s="788"/>
      <c r="Q30" s="788"/>
      <c r="R30" s="788"/>
      <c r="S30" s="788"/>
      <c r="T30" s="789"/>
    </row>
    <row r="31" spans="3:20" ht="16.5" customHeight="1" x14ac:dyDescent="0.15">
      <c r="C31" s="17"/>
      <c r="D31" s="18"/>
    </row>
  </sheetData>
  <mergeCells count="79">
    <mergeCell ref="D20:T20"/>
    <mergeCell ref="D29:I29"/>
    <mergeCell ref="J29:N29"/>
    <mergeCell ref="O29:T29"/>
    <mergeCell ref="D30:I30"/>
    <mergeCell ref="J30:N30"/>
    <mergeCell ref="O30:T30"/>
    <mergeCell ref="D27:I27"/>
    <mergeCell ref="J27:N27"/>
    <mergeCell ref="O27:T27"/>
    <mergeCell ref="D28:I28"/>
    <mergeCell ref="J28:N28"/>
    <mergeCell ref="O28:T28"/>
    <mergeCell ref="D25:I25"/>
    <mergeCell ref="J25:N25"/>
    <mergeCell ref="O25:T25"/>
    <mergeCell ref="D26:I26"/>
    <mergeCell ref="J26:N26"/>
    <mergeCell ref="O26:T26"/>
    <mergeCell ref="D22:I22"/>
    <mergeCell ref="D23:I23"/>
    <mergeCell ref="J23:N23"/>
    <mergeCell ref="O23:T23"/>
    <mergeCell ref="D24:I24"/>
    <mergeCell ref="J24:N24"/>
    <mergeCell ref="O24:T24"/>
    <mergeCell ref="O21:T22"/>
    <mergeCell ref="L18:M18"/>
    <mergeCell ref="N18:O18"/>
    <mergeCell ref="R18:T18"/>
    <mergeCell ref="G17:I17"/>
    <mergeCell ref="J17:K17"/>
    <mergeCell ref="L17:M17"/>
    <mergeCell ref="N17:O17"/>
    <mergeCell ref="R17:T17"/>
    <mergeCell ref="R16:T16"/>
    <mergeCell ref="G15:I15"/>
    <mergeCell ref="J15:K15"/>
    <mergeCell ref="L15:M15"/>
    <mergeCell ref="N15:O15"/>
    <mergeCell ref="R15:T15"/>
    <mergeCell ref="R12:T12"/>
    <mergeCell ref="D18:F18"/>
    <mergeCell ref="R13:T13"/>
    <mergeCell ref="G14:I14"/>
    <mergeCell ref="J14:K14"/>
    <mergeCell ref="L14:M14"/>
    <mergeCell ref="N14:O14"/>
    <mergeCell ref="R14:T14"/>
    <mergeCell ref="G13:I13"/>
    <mergeCell ref="J13:K13"/>
    <mergeCell ref="L13:M13"/>
    <mergeCell ref="N13:O13"/>
    <mergeCell ref="D13:F13"/>
    <mergeCell ref="D14:F14"/>
    <mergeCell ref="D15:F15"/>
    <mergeCell ref="D16:F16"/>
    <mergeCell ref="D12:F12"/>
    <mergeCell ref="D10:F11"/>
    <mergeCell ref="L10:M10"/>
    <mergeCell ref="D21:I21"/>
    <mergeCell ref="J21:N22"/>
    <mergeCell ref="G12:I12"/>
    <mergeCell ref="J12:K12"/>
    <mergeCell ref="L12:M12"/>
    <mergeCell ref="N12:O12"/>
    <mergeCell ref="D17:F17"/>
    <mergeCell ref="G16:I16"/>
    <mergeCell ref="J16:K16"/>
    <mergeCell ref="L16:M16"/>
    <mergeCell ref="N16:O16"/>
    <mergeCell ref="G18:I18"/>
    <mergeCell ref="J18:K18"/>
    <mergeCell ref="L8:M8"/>
    <mergeCell ref="N3:O3"/>
    <mergeCell ref="N4:O4"/>
    <mergeCell ref="N5:O5"/>
    <mergeCell ref="L6:M6"/>
    <mergeCell ref="L7:M7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"/>
  <sheetViews>
    <sheetView zoomScaleNormal="75" zoomScaleSheetLayoutView="75" workbookViewId="0"/>
  </sheetViews>
  <sheetFormatPr defaultColWidth="2.625" defaultRowHeight="16.5" customHeight="1" x14ac:dyDescent="0.15"/>
  <cols>
    <col min="1" max="2" width="2.625" style="17"/>
    <col min="3" max="3" width="2.625" style="18"/>
    <col min="4" max="16384" width="2.625" style="17"/>
  </cols>
  <sheetData/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29</vt:i4>
      </vt:variant>
      <vt:variant>
        <vt:lpstr>名前付き一覧</vt:lpstr>
      </vt:variant>
      <vt:variant>
        <vt:i4>28</vt:i4>
      </vt:variant>
    </vt:vector>
  </HeadingPairs>
  <TitlesOfParts>
    <vt:vector size="57" baseType="lpstr">
      <vt:lpstr>表紙</vt:lpstr>
      <vt:lpstr>目次</vt:lpstr>
      <vt:lpstr>§1.設計の目的及び一般条件</vt:lpstr>
      <vt:lpstr>§2.設計総括表</vt:lpstr>
      <vt:lpstr>§3.線路直角方向の計算</vt:lpstr>
      <vt:lpstr>断面積および断面二次モーメント</vt:lpstr>
      <vt:lpstr>コンクリートの弾性係数</vt:lpstr>
      <vt:lpstr>材料非線形特性</vt:lpstr>
      <vt:lpstr>要素の構成</vt:lpstr>
      <vt:lpstr>2.地盤のモデル化</vt:lpstr>
      <vt:lpstr>水平地盤ばね定数(4P左)</vt:lpstr>
      <vt:lpstr>水平地盤ばね定数(4P右)</vt:lpstr>
      <vt:lpstr>鉛直せん断地盤ばね定数(4P左)</vt:lpstr>
      <vt:lpstr>鉛直せん断地盤ばね定数(4P右)</vt:lpstr>
      <vt:lpstr>杭先端のばね定数（節点ばね）</vt:lpstr>
      <vt:lpstr>有効抵抗土圧(4P左)</vt:lpstr>
      <vt:lpstr>有効抵抗土圧(4P右)</vt:lpstr>
      <vt:lpstr>周面支持力(4P左)</vt:lpstr>
      <vt:lpstr>周面支持力(4P右)</vt:lpstr>
      <vt:lpstr>先端支持力</vt:lpstr>
      <vt:lpstr>3.荷重計算</vt:lpstr>
      <vt:lpstr>4.荷重図</vt:lpstr>
      <vt:lpstr>5.組合せ</vt:lpstr>
      <vt:lpstr>6.解析条件</vt:lpstr>
      <vt:lpstr>7.解析結果</vt:lpstr>
      <vt:lpstr>8.JRSNAP出力</vt:lpstr>
      <vt:lpstr>§4.財産図</vt:lpstr>
      <vt:lpstr>【印刷なし】初期せん断弾性波速度</vt:lpstr>
      <vt:lpstr>A4</vt:lpstr>
      <vt:lpstr>§1.設計の目的及び一般条件!Print_Area</vt:lpstr>
      <vt:lpstr>§2.設計総括表!Print_Area</vt:lpstr>
      <vt:lpstr>§3.線路直角方向の計算!Print_Area</vt:lpstr>
      <vt:lpstr>§4.財産図!Print_Area</vt:lpstr>
      <vt:lpstr>'2.地盤のモデル化'!Print_Area</vt:lpstr>
      <vt:lpstr>'3.荷重計算'!Print_Area</vt:lpstr>
      <vt:lpstr>'4.荷重図'!Print_Area</vt:lpstr>
      <vt:lpstr>'5.組合せ'!Print_Area</vt:lpstr>
      <vt:lpstr>'6.解析条件'!Print_Area</vt:lpstr>
      <vt:lpstr>'7.解析結果'!Print_Area</vt:lpstr>
      <vt:lpstr>'8.JRSNAP出力'!Print_Area</vt:lpstr>
      <vt:lpstr>コンクリートの弾性係数!Print_Area</vt:lpstr>
      <vt:lpstr>'鉛直せん断地盤ばね定数(4P右)'!Print_Area</vt:lpstr>
      <vt:lpstr>'鉛直せん断地盤ばね定数(4P左)'!Print_Area</vt:lpstr>
      <vt:lpstr>'杭先端のばね定数（節点ばね）'!Print_Area</vt:lpstr>
      <vt:lpstr>材料非線形特性!Print_Area</vt:lpstr>
      <vt:lpstr>'周面支持力(4P右)'!Print_Area</vt:lpstr>
      <vt:lpstr>'周面支持力(4P左)'!Print_Area</vt:lpstr>
      <vt:lpstr>'水平地盤ばね定数(4P右)'!Print_Area</vt:lpstr>
      <vt:lpstr>'水平地盤ばね定数(4P左)'!Print_Area</vt:lpstr>
      <vt:lpstr>先端支持力!Print_Area</vt:lpstr>
      <vt:lpstr>断面積および断面二次モーメント!Print_Area</vt:lpstr>
      <vt:lpstr>表紙!Print_Area</vt:lpstr>
      <vt:lpstr>目次!Print_Area</vt:lpstr>
      <vt:lpstr>'有効抵抗土圧(4P右)'!Print_Area</vt:lpstr>
      <vt:lpstr>'有効抵抗土圧(4P左)'!Print_Area</vt:lpstr>
      <vt:lpstr>要素の構成!Print_Area</vt:lpstr>
      <vt:lpstr>§2.設計総括表!Print_Titles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大槻浩宣</dc:creator>
  <cp:lastModifiedBy>浩宣 大槻</cp:lastModifiedBy>
  <cp:lastPrinted>2026-09-09T14:43:21Z</cp:lastPrinted>
  <dcterms:created xsi:type="dcterms:W3CDTF">1998-07-21T04:52:32Z</dcterms:created>
  <dcterms:modified xsi:type="dcterms:W3CDTF">2026-09-09T14:45:39Z</dcterms:modified>
</cp:coreProperties>
</file>