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変換結果" sheetId="1" r:id="rId1"/>
    <sheet name="水平地盤ばね" sheetId="2" r:id="rId2"/>
    <sheet name="有効抵抗土圧" sheetId="3" r:id="rId3"/>
    <sheet name="杭周面ばね" sheetId="4" r:id="rId4"/>
    <sheet name="杭周面の支持力" sheetId="5" r:id="rId5"/>
    <sheet name="杭先端ばね" sheetId="6" r:id="rId6"/>
    <sheet name="入力根拠" sheetId="7" r:id="rId7"/>
  </sheets>
  <definedNames>
    <definedName name="_xlnm.Print_Area" localSheetId="6">入力根拠!$A$1:$L$1804</definedName>
    <definedName name="_xlnm.Print_Area" localSheetId="0">変換結果!$A$1:$L$1201</definedName>
    <definedName name="_xlnm.Print_Area" localSheetId="2">有効抵抗土圧!$A$1:$AA$63</definedName>
    <definedName name="_xlnm.Print_Area" localSheetId="5">杭先端ばね!$A$1:$C$14</definedName>
    <definedName name="_xlnm.Print_Area" localSheetId="4">杭周面の支持力!$A$1:$U$37</definedName>
    <definedName name="_xlnm.Print_Area" localSheetId="3">杭周面ばね!$A$1:$U$37</definedName>
    <definedName name="_xlnm.Print_Area" localSheetId="1">水平地盤ばね!$A$1:$U$34</definedName>
    <definedName name="_xlnm.Print_Titles" localSheetId="6">入力根拠!$1:$4</definedName>
    <definedName name="_xlnm.Print_Titles" localSheetId="0">変換結果!$1:$4</definedName>
    <definedName name="_xlnm.Print_Titles" localSheetId="2">有効抵抗土圧!$1:$2</definedName>
    <definedName name="_xlnm.Print_Titles" localSheetId="4">杭周面の支持力!$1:$2</definedName>
    <definedName name="_xlnm.Print_Titles" localSheetId="3">杭周面ばね!$1:$2</definedName>
    <definedName name="_xlnm.Print_Titles" localSheetId="1">水平地盤ばね!$1:$2</definedName>
  </definedNames>
  <calcPr calcId="124519" fullCalcOnLoad="1"/>
</workbook>
</file>

<file path=xl/sharedStrings.xml><?xml version="1.0" encoding="utf-8"?>
<sst xmlns="http://schemas.openxmlformats.org/spreadsheetml/2006/main" count="8690" uniqueCount="1005">
  <si>
    <t>変換結果</t>
  </si>
  <si>
    <t>計算確認・モデル未保存　2026-09-18T00:52:32.060467+09:00</t>
  </si>
  <si>
    <t>青文字：原値　黄色：変換時の実入力（固定）　数式：再計算値。条件変更時はアプリから再実行してください。</t>
  </si>
  <si>
    <t>モデル: C:\Users\sasai\Documents\structural-design\test\今町橋りょう4P(C方向･右押し→).ndu</t>
  </si>
  <si>
    <t>計算対象 207件　変更 0件　追加 0件　同値 207件　保留 0件</t>
  </si>
  <si>
    <t>周面の抵抗0による除外: 12節点</t>
  </si>
  <si>
    <t>部材の実入力</t>
  </si>
  <si>
    <t>計算明細</t>
  </si>
  <si>
    <t>KG</t>
  </si>
  <si>
    <t>列</t>
  </si>
  <si>
    <t>部材</t>
  </si>
  <si>
    <t>上端節点</t>
  </si>
  <si>
    <t>下端節点</t>
  </si>
  <si>
    <t>水平ばね
(kN/m²)</t>
  </si>
  <si>
    <t>上端土圧
(kN/m)</t>
  </si>
  <si>
    <t>下端土圧
(kN/m)</t>
  </si>
  <si>
    <t>NDU行</t>
  </si>
  <si>
    <t>土圧明細</t>
  </si>
  <si>
    <t>部材98</t>
  </si>
  <si>
    <t>土圧98</t>
  </si>
  <si>
    <t>部材99</t>
  </si>
  <si>
    <t>土圧99</t>
  </si>
  <si>
    <t>部材100</t>
  </si>
  <si>
    <t>土圧100</t>
  </si>
  <si>
    <t>部材101</t>
  </si>
  <si>
    <t>土圧101</t>
  </si>
  <si>
    <t>部材102</t>
  </si>
  <si>
    <t>土圧102</t>
  </si>
  <si>
    <t>部材103</t>
  </si>
  <si>
    <t>土圧103</t>
  </si>
  <si>
    <t>部材104</t>
  </si>
  <si>
    <t>土圧104</t>
  </si>
  <si>
    <t>部材105</t>
  </si>
  <si>
    <t>土圧105</t>
  </si>
  <si>
    <t>部材106</t>
  </si>
  <si>
    <t>土圧106</t>
  </si>
  <si>
    <t>部材107</t>
  </si>
  <si>
    <t>土圧107</t>
  </si>
  <si>
    <t>部材108</t>
  </si>
  <si>
    <t>土圧108</t>
  </si>
  <si>
    <t>部材109</t>
  </si>
  <si>
    <t>土圧109</t>
  </si>
  <si>
    <t>部材110</t>
  </si>
  <si>
    <t>土圧110</t>
  </si>
  <si>
    <t>部材111</t>
  </si>
  <si>
    <t>土圧111</t>
  </si>
  <si>
    <t>部材112</t>
  </si>
  <si>
    <t>土圧112</t>
  </si>
  <si>
    <t>部材113</t>
  </si>
  <si>
    <t>土圧113</t>
  </si>
  <si>
    <t>部材114</t>
  </si>
  <si>
    <t>土圧114</t>
  </si>
  <si>
    <t>部材115</t>
  </si>
  <si>
    <t>土圧115</t>
  </si>
  <si>
    <t>部材116</t>
  </si>
  <si>
    <t>土圧116</t>
  </si>
  <si>
    <t>部材117</t>
  </si>
  <si>
    <t>土圧117</t>
  </si>
  <si>
    <t>部材118</t>
  </si>
  <si>
    <t>土圧118</t>
  </si>
  <si>
    <t>部材119</t>
  </si>
  <si>
    <t>土圧119</t>
  </si>
  <si>
    <t>部材120</t>
  </si>
  <si>
    <t>土圧120</t>
  </si>
  <si>
    <t>部材121</t>
  </si>
  <si>
    <t>土圧121</t>
  </si>
  <si>
    <t>部材123</t>
  </si>
  <si>
    <t>土圧123</t>
  </si>
  <si>
    <t>部材124</t>
  </si>
  <si>
    <t>土圧124</t>
  </si>
  <si>
    <t>部材125</t>
  </si>
  <si>
    <t>土圧125</t>
  </si>
  <si>
    <t>部材126</t>
  </si>
  <si>
    <t>土圧126</t>
  </si>
  <si>
    <t>部材127</t>
  </si>
  <si>
    <t>土圧127</t>
  </si>
  <si>
    <t>部材128</t>
  </si>
  <si>
    <t>土圧128</t>
  </si>
  <si>
    <t>部材129</t>
  </si>
  <si>
    <t>土圧129</t>
  </si>
  <si>
    <t>部材130</t>
  </si>
  <si>
    <t>土圧130</t>
  </si>
  <si>
    <t>部材131</t>
  </si>
  <si>
    <t>土圧131</t>
  </si>
  <si>
    <t>部材132</t>
  </si>
  <si>
    <t>土圧132</t>
  </si>
  <si>
    <t>部材133</t>
  </si>
  <si>
    <t>土圧133</t>
  </si>
  <si>
    <t>部材134</t>
  </si>
  <si>
    <t>土圧134</t>
  </si>
  <si>
    <t>部材135</t>
  </si>
  <si>
    <t>土圧135</t>
  </si>
  <si>
    <t>部材136</t>
  </si>
  <si>
    <t>土圧136</t>
  </si>
  <si>
    <t>部材137</t>
  </si>
  <si>
    <t>土圧137</t>
  </si>
  <si>
    <t>部材138</t>
  </si>
  <si>
    <t>土圧138</t>
  </si>
  <si>
    <t>部材139</t>
  </si>
  <si>
    <t>土圧139</t>
  </si>
  <si>
    <t>部材140</t>
  </si>
  <si>
    <t>土圧140</t>
  </si>
  <si>
    <t>部材141</t>
  </si>
  <si>
    <t>土圧141</t>
  </si>
  <si>
    <t>部材142</t>
  </si>
  <si>
    <t>土圧142</t>
  </si>
  <si>
    <t>部材143</t>
  </si>
  <si>
    <t>土圧143</t>
  </si>
  <si>
    <t>部材144</t>
  </si>
  <si>
    <t>土圧144</t>
  </si>
  <si>
    <t>部材145</t>
  </si>
  <si>
    <t>土圧145</t>
  </si>
  <si>
    <t>部材146</t>
  </si>
  <si>
    <t>土圧146</t>
  </si>
  <si>
    <t>部材148</t>
  </si>
  <si>
    <t>土圧148</t>
  </si>
  <si>
    <t>部材149</t>
  </si>
  <si>
    <t>土圧149</t>
  </si>
  <si>
    <t>部材150</t>
  </si>
  <si>
    <t>土圧150</t>
  </si>
  <si>
    <t>部材151</t>
  </si>
  <si>
    <t>土圧151</t>
  </si>
  <si>
    <t>部材152</t>
  </si>
  <si>
    <t>土圧152</t>
  </si>
  <si>
    <t>部材153</t>
  </si>
  <si>
    <t>土圧153</t>
  </si>
  <si>
    <t>部材154</t>
  </si>
  <si>
    <t>土圧154</t>
  </si>
  <si>
    <t>部材155</t>
  </si>
  <si>
    <t>土圧155</t>
  </si>
  <si>
    <t>部材156</t>
  </si>
  <si>
    <t>土圧156</t>
  </si>
  <si>
    <t>部材157</t>
  </si>
  <si>
    <t>土圧157</t>
  </si>
  <si>
    <t>部材158</t>
  </si>
  <si>
    <t>土圧158</t>
  </si>
  <si>
    <t>部材159</t>
  </si>
  <si>
    <t>土圧159</t>
  </si>
  <si>
    <t>部材160</t>
  </si>
  <si>
    <t>土圧160</t>
  </si>
  <si>
    <t>部材161</t>
  </si>
  <si>
    <t>土圧161</t>
  </si>
  <si>
    <t>部材162</t>
  </si>
  <si>
    <t>土圧162</t>
  </si>
  <si>
    <t>部材163</t>
  </si>
  <si>
    <t>土圧163</t>
  </si>
  <si>
    <t>部材164</t>
  </si>
  <si>
    <t>土圧164</t>
  </si>
  <si>
    <t>部材165</t>
  </si>
  <si>
    <t>土圧165</t>
  </si>
  <si>
    <t>部材166</t>
  </si>
  <si>
    <t>土圧166</t>
  </si>
  <si>
    <t>部材167</t>
  </si>
  <si>
    <t>土圧167</t>
  </si>
  <si>
    <t>部材168</t>
  </si>
  <si>
    <t>土圧168</t>
  </si>
  <si>
    <t>部材169</t>
  </si>
  <si>
    <t>土圧169</t>
  </si>
  <si>
    <t>部材170</t>
  </si>
  <si>
    <t>土圧170</t>
  </si>
  <si>
    <t>部材171</t>
  </si>
  <si>
    <t>土圧171</t>
  </si>
  <si>
    <t>節点ばねの実入力 (kN/m)</t>
  </si>
  <si>
    <t>節点</t>
  </si>
  <si>
    <t>支点項目</t>
  </si>
  <si>
    <t>方向</t>
  </si>
  <si>
    <t>K1+</t>
  </si>
  <si>
    <t>K2+</t>
  </si>
  <si>
    <t>K3+</t>
  </si>
  <si>
    <t>K1-</t>
  </si>
  <si>
    <t>K2-</t>
  </si>
  <si>
    <t>K3-</t>
  </si>
  <si>
    <t>杭周面ばね</t>
  </si>
  <si>
    <t>Y</t>
  </si>
  <si>
    <t>杭先端ばね</t>
  </si>
  <si>
    <t>節点制限値の実入力 (kN)</t>
  </si>
  <si>
    <t>F1+</t>
  </si>
  <si>
    <t>F1-</t>
  </si>
  <si>
    <t>F2+</t>
  </si>
  <si>
    <t>F2-</t>
  </si>
  <si>
    <t>杭周面の支持力</t>
  </si>
  <si>
    <t>変更前後（空欄と0を区別）</t>
  </si>
  <si>
    <t>処理</t>
  </si>
  <si>
    <t>対象</t>
  </si>
  <si>
    <t>番号</t>
  </si>
  <si>
    <t>入力欄</t>
  </si>
  <si>
    <t>変更前</t>
  </si>
  <si>
    <t>実入力</t>
  </si>
  <si>
    <t>差</t>
  </si>
  <si>
    <t>処理結果</t>
  </si>
  <si>
    <t>空欄の変更</t>
  </si>
  <si>
    <t>水平地盤ばね</t>
  </si>
  <si>
    <t>水平ばね</t>
  </si>
  <si>
    <t>同値</t>
  </si>
  <si>
    <t/>
  </si>
  <si>
    <t>有効抵抗土圧</t>
  </si>
  <si>
    <t>上端土圧</t>
  </si>
  <si>
    <t>下端土圧</t>
  </si>
  <si>
    <t>層番号</t>
  </si>
  <si>
    <t>層厚
(m)</t>
  </si>
  <si>
    <t>水平地盤反力係数
Kh
(kN/m²)</t>
  </si>
  <si>
    <t>部材長
(m)</t>
  </si>
  <si>
    <t>部材番号</t>
  </si>
  <si>
    <t>各部材の水平ばね定数
Kh
(kN/m²)</t>
  </si>
  <si>
    <t>Σ</t>
  </si>
  <si>
    <t>有効抵抗
土圧力
pe(z)
(kN/m)</t>
  </si>
  <si>
    <t>深さ
z
(m)</t>
  </si>
  <si>
    <t>部材
番号</t>
  </si>
  <si>
    <t>鉛直せん断地盤ばね定数</t>
  </si>
  <si>
    <t>鉛直せん断地盤ばね定数
Kv
(kN/m²)</t>
  </si>
  <si>
    <t>分布幅
(m)</t>
  </si>
  <si>
    <t>節点番号</t>
  </si>
  <si>
    <t>各節点の鉛直ばね定数
Kv
(kN/m)</t>
  </si>
  <si>
    <t>周面支持力度
rfk
(kN/m)</t>
  </si>
  <si>
    <t>各節点の周面支持力
Rfk
(kN)</t>
  </si>
  <si>
    <t>杭先端のばね定数</t>
  </si>
  <si>
    <t>杭先端の鉛直地盤ばね定数
Ktv(kN/m)</t>
  </si>
  <si>
    <t>短期（第１勾配）</t>
  </si>
  <si>
    <t>短期（第２勾配）</t>
  </si>
  <si>
    <t>先端支持力</t>
  </si>
  <si>
    <t>杭先端の鉛直地盤支持力
(kN)</t>
  </si>
  <si>
    <t>降伏点</t>
  </si>
  <si>
    <t>終局点</t>
  </si>
  <si>
    <t>入力根拠</t>
  </si>
  <si>
    <t>実行・ファイル情報</t>
  </si>
  <si>
    <t>項目</t>
  </si>
  <si>
    <t>値</t>
  </si>
  <si>
    <t>実行ID: d4dfda85a12b416abe77b212dedf7c8d</t>
  </si>
  <si>
    <t>アプリ: SDCConverter 1.1.0</t>
  </si>
  <si>
    <t>帳票スキーマ: 1</t>
  </si>
  <si>
    <t>対象モデル: C:\Users\sasai\Documents\structural-design\test\今町橋りょう4P(C方向･右押し→).ndu</t>
  </si>
  <si>
    <t>状態: 計算確認・モデル未保存</t>
  </si>
  <si>
    <t>モデル出力: 未保存</t>
  </si>
  <si>
    <t>出力予定SHA-256: 31e9e85971d07ae1a0b21273f500b0d8d039184ecf9febb6db642fbfabfbd22a</t>
  </si>
  <si>
    <t>JSON: 未保存</t>
  </si>
  <si>
    <t>Excel: 未保存</t>
  </si>
  <si>
    <t>バックアップ: なし</t>
  </si>
  <si>
    <t>杭対応: 4:1 5:2 6:3</t>
  </si>
  <si>
    <t>土圧方向: right</t>
  </si>
  <si>
    <t>周面方式: existing-screen</t>
  </si>
  <si>
    <t>水平境界: length-weighted</t>
  </si>
  <si>
    <t>土圧境界: integral-average</t>
  </si>
  <si>
    <t>土圧小数桁: 1</t>
  </si>
  <si>
    <t>周面K小数桁: 0</t>
  </si>
  <si>
    <t>周面F小数桁: 1</t>
  </si>
  <si>
    <t>丸め: ROUND_HALF_UP（先端・水平単一層は原値）</t>
  </si>
  <si>
    <t>入力: C:\Users\sasai\Documents\structural-design\test\今町橋りょう4P(右).sdc</t>
  </si>
  <si>
    <t>SHA-256: 9b9aed2461b87acb5193c8eac79cf07b6d9824bdbd80e096416e197f324f64a7</t>
  </si>
  <si>
    <t>入力: C:\Users\sasai\Documents\structural-design\test\今町橋りょう4P(C方向･右押し→).ndu</t>
  </si>
  <si>
    <t>SHA-256: 31e9e85971d07ae1a0b21273f500b0d8d039184ecf9febb6db642fbfabfbd22a</t>
  </si>
  <si>
    <t>採用したSDC原値</t>
  </si>
  <si>
    <t>SDC行</t>
  </si>
  <si>
    <t>CSV欄</t>
  </si>
  <si>
    <t>単位</t>
  </si>
  <si>
    <t>原値</t>
  </si>
  <si>
    <t>正確な十進文字列</t>
  </si>
  <si>
    <t>1列目 短期(非線形)</t>
  </si>
  <si>
    <t>kN/m²</t>
  </si>
  <si>
    <t>58812</t>
  </si>
  <si>
    <t>310863</t>
  </si>
  <si>
    <t>110708</t>
  </si>
  <si>
    <t>268854</t>
  </si>
  <si>
    <t>428981</t>
  </si>
  <si>
    <t>403280</t>
  </si>
  <si>
    <t>193733</t>
  </si>
  <si>
    <t>2列目 短期(非線形)</t>
  </si>
  <si>
    <t>39208</t>
  </si>
  <si>
    <t>207242</t>
  </si>
  <si>
    <t>73805</t>
  </si>
  <si>
    <t>179236</t>
  </si>
  <si>
    <t>285987</t>
  </si>
  <si>
    <t>129155</t>
  </si>
  <si>
    <t>3列目 短期(非線形)</t>
  </si>
  <si>
    <t>3列目 上側</t>
  </si>
  <si>
    <t>kN/m</t>
  </si>
  <si>
    <t>1162.9</t>
  </si>
  <si>
    <t>3列目 下側</t>
  </si>
  <si>
    <t>1329.7</t>
  </si>
  <si>
    <t>2018.1</t>
  </si>
  <si>
    <t>2237.4</t>
  </si>
  <si>
    <t>1755.0</t>
  </si>
  <si>
    <t>2349.1</t>
  </si>
  <si>
    <t>2751.0</t>
  </si>
  <si>
    <t>6809.4</t>
  </si>
  <si>
    <t>2948.5</t>
  </si>
  <si>
    <t>4482.5</t>
  </si>
  <si>
    <t>3088.8</t>
  </si>
  <si>
    <t>2列目 上側</t>
  </si>
  <si>
    <t>1005.1</t>
  </si>
  <si>
    <t>2列目 下側</t>
  </si>
  <si>
    <t>1149.3</t>
  </si>
  <si>
    <t>1744.2</t>
  </si>
  <si>
    <t>1933.8</t>
  </si>
  <si>
    <t>1170.0</t>
  </si>
  <si>
    <t>2030.3</t>
  </si>
  <si>
    <t>2377.7</t>
  </si>
  <si>
    <t>4539.6</t>
  </si>
  <si>
    <t>2548.4</t>
  </si>
  <si>
    <t>3874.2</t>
  </si>
  <si>
    <t>2059.2</t>
  </si>
  <si>
    <t>1列目 上側</t>
  </si>
  <si>
    <t>2907.3</t>
  </si>
  <si>
    <t>1列目 下側</t>
  </si>
  <si>
    <t>3324.3</t>
  </si>
  <si>
    <t>5045.2</t>
  </si>
  <si>
    <t>5593.6</t>
  </si>
  <si>
    <t>5872.6</t>
  </si>
  <si>
    <t>6877.6</t>
  </si>
  <si>
    <t>7371.2</t>
  </si>
  <si>
    <t>11206.2</t>
  </si>
  <si>
    <t>押込み 短期第1勾配 K1</t>
  </si>
  <si>
    <t>0</t>
  </si>
  <si>
    <t>押込み 降伏点 Fy</t>
  </si>
  <si>
    <t>46127</t>
  </si>
  <si>
    <t>294.1</t>
  </si>
  <si>
    <t>30751</t>
  </si>
  <si>
    <t>196.0</t>
  </si>
  <si>
    <t>112020</t>
  </si>
  <si>
    <t>1411.5</t>
  </si>
  <si>
    <t>74680</t>
  </si>
  <si>
    <t>941.0</t>
  </si>
  <si>
    <t>178738</t>
  </si>
  <si>
    <t>1140.9</t>
  </si>
  <si>
    <t>119158</t>
  </si>
  <si>
    <t>760.6</t>
  </si>
  <si>
    <t>168029</t>
  </si>
  <si>
    <t>2117.2</t>
  </si>
  <si>
    <t>80720</t>
  </si>
  <si>
    <t>517.5</t>
  </si>
  <si>
    <t>53813</t>
  </si>
  <si>
    <t>345.0</t>
  </si>
  <si>
    <t>短期K1</t>
  </si>
  <si>
    <t>327072</t>
  </si>
  <si>
    <t>短期K2</t>
  </si>
  <si>
    <t>88418</t>
  </si>
  <si>
    <t>押込みFy</t>
  </si>
  <si>
    <t>kN</t>
  </si>
  <si>
    <t>7167.5</t>
  </si>
  <si>
    <t>押込みFu</t>
  </si>
  <si>
    <t>16724.3</t>
  </si>
  <si>
    <t>218048</t>
  </si>
  <si>
    <t>58945</t>
  </si>
  <si>
    <t>4778.4</t>
  </si>
  <si>
    <t>11149.5</t>
  </si>
  <si>
    <t>座標演算の保持小数桁: 4（入力座標の最大精度＋中点の1桁）。積分・補間の結果は途中で丸めません。</t>
  </si>
  <si>
    <t>SDC見出しと原行（文字列保存）</t>
  </si>
  <si>
    <t>原行</t>
  </si>
  <si>
    <t>SDC 18行: 杭長,突出長,根入れ深さ,平水位,弾性係数Es,弾性係数Ec,D1,D2,t1,t2,腐食代,A,I</t>
  </si>
  <si>
    <t>SDC 19行: 31, 0, 1.3, 4.86, , 22.4, 1.3, , , , , 1.327323, 0.140198</t>
  </si>
  <si>
    <t>SDC 162行: 杭列数,奥行き本数,,1/β(m)</t>
  </si>
  <si>
    <t>SDC 163行: ,奇数列,偶数列</t>
  </si>
  <si>
    <t>SDC 164行: 3, 3, 2, 4.945</t>
  </si>
  <si>
    <t>SDC 171行: b）水平地盤ばね値</t>
  </si>
  <si>
    <t>SDC 172行: 層番,層厚(m),水平方向ばね値(kN/m2)</t>
  </si>
  <si>
    <t>SDC 173行: ,,長期-1列目,長期-2列目,長期-3列目,短期(線形)-1列目,短期(線形)-2列目,短期(線形)-3列目,短期(非線形)-1列目,短期(非線形)-2列目,短期(非線形)-3列目</t>
  </si>
  <si>
    <t>SDC 174行: 1, 1.500, 14703, 9802, 14703, 29406, 19604, 29406, 58812, 39208, 58812</t>
  </si>
  <si>
    <t>SDC 175行: 2, 1.300, 77716, 51811, 77716, 155432, 103621, 155432, 310863, 207242, 310863</t>
  </si>
  <si>
    <t>SDC 176行: 3, 2.900, 27677, 18451, 27677, 55354, 36903, 55354, 110708, 73805, 110708</t>
  </si>
  <si>
    <t>SDC 177行: 4, 2.600, 67213, 44809, 67213, 134427, 89618, 134427, 268854, 179236, 268854</t>
  </si>
  <si>
    <t>SDC 178行: 5, 0.600, 107245, 71497, 107245, 214491, 142994, 214491, 428981, 285987, 428981</t>
  </si>
  <si>
    <t>SDC 179行: 6, 9.500, 100820, 67213, 100820, 201640, 134427, 201640, 403280, 268854, 403280</t>
  </si>
  <si>
    <t>SDC 180行: 7, 12.600, 48433, 32289, 48433, 96866, 64578, 96866, 193733, 129155, 193733</t>
  </si>
  <si>
    <t>SDC 182行: c）有効抵抗土圧力</t>
  </si>
  <si>
    <t>SDC 183行: ・応答変位法以外の場合</t>
  </si>
  <si>
    <t>SDC 184行: 層番,層厚(m),地震時：有効抵抗土圧力(kN/m)</t>
  </si>
  <si>
    <t>SDC 185行: ,,1列目,,2列目,,3列目</t>
  </si>
  <si>
    <t>SDC 186行: ,,上側,下側,上側,下側,上側,下側</t>
  </si>
  <si>
    <t>SDC 187行: 1, 1.500, 2907.3, 3324.3, 1005.1, 1149.3, 1162.9, 1329.7</t>
  </si>
  <si>
    <t>SDC 188行: 2, 1.300, 5045.2, 5593.6, 1744.2, 1933.8, 2018.1, 2237.4</t>
  </si>
  <si>
    <t>SDC 189行: 3, 2.900, 1755.0, 1755.0, 1170.0, 1170.0, 1755.0, 1755.0</t>
  </si>
  <si>
    <t>SDC 190行: 4, 2.600, 5872.6, 6877.6, 2030.3, 2377.7, 2349.1, 2751.0</t>
  </si>
  <si>
    <t>SDC 191行: 5, 0.600, 6809.4, 6809.4, 4539.6, 4539.6, 6809.4, 6809.4</t>
  </si>
  <si>
    <t>SDC 192行: 6, 9.500, 7371.2, 11206.2, 2548.4, 3874.2, 2948.5, 4482.5</t>
  </si>
  <si>
    <t>SDC 193行: 7, 12.600, 3088.8, 3088.8, 2059.2, 2059.2, 3088.8, 3088.8</t>
  </si>
  <si>
    <t>SDC 207行: d）杭周面の鉛直せん断地盤ばね値</t>
  </si>
  <si>
    <t>SDC 208行: 【押込み側】</t>
  </si>
  <si>
    <t>SDC 209行: 層番,層厚(m),杭周面の鉛直せん断地盤ばね値(kN/m2)</t>
  </si>
  <si>
    <t>SDC 210行: ,,長期,,,短期(使用性・安全性),,,短期(復旧性・地震時-第1勾配),,,,短期(復旧性・地震時-第2勾配)</t>
  </si>
  <si>
    <t>SDC 211行: ,,1列目,2列目,3列目,1列目,2列目,3列目,⊿l(m),1列目,2列目,3列目,1列目,2列目,3列目</t>
  </si>
  <si>
    <t xml:space="preserve">SDC 212行: 1, 1.500, 12252, 8168, 12252, 24504, 16336, 24504, 0.000, 0, 0, 0, 0, 0,  0 </t>
  </si>
  <si>
    <t xml:space="preserve">SDC 213行: 2, 1.300, 64762, 43174, 64762, 129523, 86349, 129523, 0.000, 0, 0, 0, 0, 0,  0 </t>
  </si>
  <si>
    <t>SDC 214行: 3, 2.900, 23064, 15376, 23064, 46127, 30751, 46127, 0.755, 46127, 30751, 46127, 396, 264, 396</t>
  </si>
  <si>
    <t>SDC 215行: 4, 2.600, 56010, 37340, 56010, 112020, 74680, 112020, 2.600, 112020, 74680, 112020, 2004, 1336, 2004</t>
  </si>
  <si>
    <t>SDC 216行: 5, 0.600, 89369, 59579, 89369, 178738, 119158, 178738, 0.600, 178738, 119158, 178738, 1538, 1026, 1538</t>
  </si>
  <si>
    <t>SDC 217行: 6, 9.500, 84015, 56010, 84015, 168029, 112020, 168029, 9.500, 168029, 112020, 168029, 3006, 2004, 3006</t>
  </si>
  <si>
    <t>SDC 218行: 7, 11.300, 40360, 26907, 40360, 80720, 53813, 80720, 11.300, 80720, 53813, 80720, 698, 465, 698</t>
  </si>
  <si>
    <t>SDC 239行: e）杭周面の支持力</t>
  </si>
  <si>
    <t>SDC 240行: 【押込み側】</t>
  </si>
  <si>
    <t>SDC 241行: 層番,層厚,⊿l(m),地震時：杭周面支持力(kN/m)</t>
  </si>
  <si>
    <t>SDC 242行: ,,,降伏点(ρgfy考慮),,,終局点(ρgfu考慮)</t>
  </si>
  <si>
    <t>SDC 243行: ,,,1列目,2列目,3列目,1列目,2列目,3列目</t>
  </si>
  <si>
    <t xml:space="preserve">SDC 244行: 1, 1.500, 0.000, 0, 0, 0, 0, 0,  0 </t>
  </si>
  <si>
    <t xml:space="preserve">SDC 245行: 2, 1.300, 0.000, 0, 0, 0, 0, 0,  0 </t>
  </si>
  <si>
    <t>SDC 246行: 3, 2.900, 0.755, 294.1, 196.0, 294.1, 343.1, 228.7, 343.1</t>
  </si>
  <si>
    <t>SDC 247行: 4, 2.600, 2.600, 1411.5, 941.0, 1411.5, 1646.7, 1097.8, 1646.7</t>
  </si>
  <si>
    <t>SDC 248行: 5, 0.600, 0.600, 1140.9, 760.6, 1140.9, 1331.1, 887.4, 1331.1</t>
  </si>
  <si>
    <t>SDC 249行: 6, 9.500, 9.500, 2117.2, 1411.5, 2117.2, 2470.0, 1646.7, 2470.0</t>
  </si>
  <si>
    <t>SDC 250行: 7, 12.600, 11.300, 517.5, 345.0, 517.5, 603.8, 402.5, 603.8</t>
  </si>
  <si>
    <t>SDC 271行: f）杭先端の地盤ばね値</t>
  </si>
  <si>
    <t>SDC 272行: 杭先端の鉛直鉛直ばね値(kN/m)</t>
  </si>
  <si>
    <t>SDC 273行: 長期,,,短期(第1勾配),,,短期(第2勾配)</t>
  </si>
  <si>
    <t>SDC 274行: 1列目,2列目,3列目,1列目,2列目,3列目,1列目,2列目,3列目</t>
  </si>
  <si>
    <t>SDC 275行: 163536, 109024, 163536, 327072, 218048, 327072, 88418, 58945, 88418</t>
  </si>
  <si>
    <t>SDC 289行: g）杭先端の支持力</t>
  </si>
  <si>
    <t>SDC 290行: 地震時：杭先端の鉛直地盤支持力(kN)</t>
  </si>
  <si>
    <t>SDC 291行: 押し込み側(降伏点),,,押し込み側(終局点)</t>
  </si>
  <si>
    <t>SDC 292行: 1列目,2列目,3列目,1列目,2列目,3列目</t>
  </si>
  <si>
    <t>SDC 293行: 7167.5, 4778.4, 7167.5, 16724.3, 11149.5, 16724.3</t>
  </si>
  <si>
    <t>NDU幾何の出典</t>
  </si>
  <si>
    <t>NDU 125行: JointXY98=29.8,13.041,98</t>
  </si>
  <si>
    <t>NDU 126行: JointXY99=29.8,14.341,99</t>
  </si>
  <si>
    <t>NDU 127行: JointXY100=29.8,15.641,100</t>
  </si>
  <si>
    <t>NDU 128行: JointXY101=29.8,16.941,101</t>
  </si>
  <si>
    <t>NDU 129行: JointXY102=29.8,18.241,102</t>
  </si>
  <si>
    <t>NDU 130行: JointXY103=29.8,19.541,103</t>
  </si>
  <si>
    <t>NDU 131行: JointXY104=29.8,20.841,104</t>
  </si>
  <si>
    <t>NDU 132行: JointXY105=29.8,22.141,105</t>
  </si>
  <si>
    <t>NDU 133行: JointXY106=29.8,23.441,106</t>
  </si>
  <si>
    <t>NDU 134行: JointXY107=29.8,24.741,107</t>
  </si>
  <si>
    <t>NDU 135行: JointXY108=29.8,26.041,108</t>
  </si>
  <si>
    <t>NDU 136行: JointXY109=29.8,27.341,109</t>
  </si>
  <si>
    <t>NDU 137行: JointXY110=29.8,28.641,110</t>
  </si>
  <si>
    <t>NDU 138行: JointXY111=29.8,29.941,111</t>
  </si>
  <si>
    <t>NDU 139行: JointXY112=29.8,31.241,112</t>
  </si>
  <si>
    <t>NDU 140行: JointXY113=29.8,32.541,113</t>
  </si>
  <si>
    <t>NDU 141行: JointXY114=29.8,33.841,114</t>
  </si>
  <si>
    <t>NDU 142行: JointXY115=29.8,35.141,115</t>
  </si>
  <si>
    <t>NDU 143行: JointXY116=29.8,36.441,116</t>
  </si>
  <si>
    <t>NDU 144行: JointXY117=29.8,37.741,117</t>
  </si>
  <si>
    <t>NDU 145行: JointXY118=29.8,39.041,118</t>
  </si>
  <si>
    <t>NDU 146行: JointXY119=29.8,40.341,119</t>
  </si>
  <si>
    <t>NDU 147行: JointXY120=29.8,41.641,120</t>
  </si>
  <si>
    <t>NDU 148行: JointXY121=29.8,42.941,121</t>
  </si>
  <si>
    <t>NDU 149行: JointXY122=29.8,44.041,122</t>
  </si>
  <si>
    <t>NDU 150行: JointXY123=33.5,13.041,123</t>
  </si>
  <si>
    <t>NDU 151行: JointXY124=33.5,14.341,124</t>
  </si>
  <si>
    <t>NDU 152行: JointXY125=33.5,15.641,125</t>
  </si>
  <si>
    <t>NDU 153行: JointXY126=33.5,16.941,126</t>
  </si>
  <si>
    <t>NDU 154行: JointXY127=33.5,18.241,127</t>
  </si>
  <si>
    <t>NDU 155行: JointXY128=33.5,19.541,128</t>
  </si>
  <si>
    <t>NDU 156行: JointXY129=33.5,20.841,129</t>
  </si>
  <si>
    <t>NDU 157行: JointXY130=33.5,22.141,130</t>
  </si>
  <si>
    <t>NDU 158行: JointXY131=33.5,23.441,131</t>
  </si>
  <si>
    <t>NDU 159行: JointXY132=33.5,24.741,132</t>
  </si>
  <si>
    <t>NDU 160行: JointXY133=33.5,26.041,133</t>
  </si>
  <si>
    <t>NDU 161行: JointXY134=33.5,27.341,134</t>
  </si>
  <si>
    <t>NDU 162行: JointXY135=33.5,28.641,135</t>
  </si>
  <si>
    <t>NDU 163行: JointXY136=33.5,29.941,136</t>
  </si>
  <si>
    <t>NDU 164行: JointXY137=33.5,31.241,137</t>
  </si>
  <si>
    <t>NDU 165行: JointXY138=33.5,32.541,138</t>
  </si>
  <si>
    <t>NDU 166行: JointXY139=33.5,33.841,139</t>
  </si>
  <si>
    <t>NDU 167行: JointXY140=33.5,35.141,140</t>
  </si>
  <si>
    <t>NDU 168行: JointXY141=33.5,36.441,141</t>
  </si>
  <si>
    <t>NDU 169行: JointXY142=33.5,37.741,142</t>
  </si>
  <si>
    <t>NDU 170行: JointXY143=33.5,39.041,143</t>
  </si>
  <si>
    <t>NDU 171行: JointXY144=33.5,40.341,144</t>
  </si>
  <si>
    <t>NDU 172行: JointXY145=33.5,41.641,145</t>
  </si>
  <si>
    <t>NDU 173行: JointXY146=33.5,42.941,146</t>
  </si>
  <si>
    <t>NDU 174行: JointXY147=33.5,44.041,147</t>
  </si>
  <si>
    <t>NDU 175行: JointXY148=37.2,13.041,148</t>
  </si>
  <si>
    <t>NDU 176行: JointXY149=37.2,14.341,149</t>
  </si>
  <si>
    <t>NDU 177行: JointXY150=37.2,15.641,150</t>
  </si>
  <si>
    <t>NDU 178行: JointXY151=37.2,16.941,151</t>
  </si>
  <si>
    <t>NDU 179行: JointXY152=37.2,18.241,152</t>
  </si>
  <si>
    <t>NDU 180行: JointXY153=37.2,19.541,153</t>
  </si>
  <si>
    <t>NDU 181行: JointXY154=37.2,20.841,154</t>
  </si>
  <si>
    <t>NDU 182行: JointXY155=37.2,22.141,155</t>
  </si>
  <si>
    <t>NDU 183行: JointXY156=37.2,23.441,156</t>
  </si>
  <si>
    <t>NDU 184行: JointXY157=37.2,24.741,157</t>
  </si>
  <si>
    <t>NDU 185行: JointXY158=37.2,26.041,158</t>
  </si>
  <si>
    <t>NDU 186行: JointXY159=37.2,27.341,159</t>
  </si>
  <si>
    <t>NDU 187行: JointXY160=37.2,28.641,160</t>
  </si>
  <si>
    <t>NDU 188行: JointXY161=37.2,29.941,161</t>
  </si>
  <si>
    <t>NDU 189行: JointXY162=37.2,31.241,162</t>
  </si>
  <si>
    <t>NDU 190行: JointXY163=37.2,32.541,163</t>
  </si>
  <si>
    <t>NDU 191行: JointXY164=37.2,33.841,164</t>
  </si>
  <si>
    <t>NDU 192行: JointXY165=37.2,35.141,165</t>
  </si>
  <si>
    <t>NDU 193行: JointXY166=37.2,36.441,166</t>
  </si>
  <si>
    <t>NDU 194行: JointXY167=37.2,37.741,167</t>
  </si>
  <si>
    <t>NDU 195行: JointXY168=37.2,39.041,168</t>
  </si>
  <si>
    <t>NDU 196行: JointXY169=37.2,40.341,169</t>
  </si>
  <si>
    <t>NDU 197行: JointXY170=37.2,41.641,170</t>
  </si>
  <si>
    <t>NDU 198行: JointXY171=37.2,42.941,171</t>
  </si>
  <si>
    <t>NDU 199行: JointXY172=37.2,44.041,172</t>
  </si>
  <si>
    <t>NDU 382行: KGInfo4=21,98,121</t>
  </si>
  <si>
    <t>NDU 383行: KGInfo5=22,123,146</t>
  </si>
  <si>
    <t>NDU 384行: KGInfo6=23,148,171</t>
  </si>
  <si>
    <t>NDU 483行: ElementInfo98=3,0,0,0,98,99,75,0, , , ,0,0,98</t>
  </si>
  <si>
    <t>NDU 484行: ElementInfo99=3,0,0,0,99,100,76,0, , , ,0,0,99</t>
  </si>
  <si>
    <t>NDU 485行: ElementInfo100=3,0,0,0,100,101,77,0, , , ,0,0,100</t>
  </si>
  <si>
    <t>NDU 486行: ElementInfo101=3,0,0,0,101,102,78,0, , , ,0,0,101</t>
  </si>
  <si>
    <t>NDU 487行: ElementInfo102=3,0,0,0,102,103,79,0, , , ,0,0,102</t>
  </si>
  <si>
    <t>NDU 488行: ElementInfo103=3,0,0,0,103,104,80,0, , , ,0,0,103</t>
  </si>
  <si>
    <t>NDU 489行: ElementInfo104=3,0,0,0,104,105,81,0, , , ,0,0,104</t>
  </si>
  <si>
    <t>NDU 490行: ElementInfo105=3,0,0,0,105,106,82,0, , , ,0,0,105</t>
  </si>
  <si>
    <t>NDU 491行: ElementInfo106=3,0,0,0,106,107,83,0, , , ,0,0,106</t>
  </si>
  <si>
    <t>NDU 492行: ElementInfo107=3,0,0,0,107,108,84,0, , , ,0,0,107</t>
  </si>
  <si>
    <t>NDU 493行: ElementInfo108=3,0,0,0,108,109,85,0, , , ,0,0,108</t>
  </si>
  <si>
    <t>NDU 494行: ElementInfo109=3,0,0,0,109,110,86,0, , , ,0,0,109</t>
  </si>
  <si>
    <t>NDU 495行: ElementInfo110=3,0,0,0,110,111,87,0, , , ,0,0,110</t>
  </si>
  <si>
    <t>NDU 496行: ElementInfo111=3,0,0,0,111,112,88,0, , , ,0,0,111</t>
  </si>
  <si>
    <t>NDU 497行: ElementInfo112=3,0,0,0,112,113,89,0, , , ,0,0,112</t>
  </si>
  <si>
    <t>NDU 498行: ElementInfo113=3,0,0,0,113,114,90,0, , , ,0,0,113</t>
  </si>
  <si>
    <t>NDU 499行: ElementInfo114=3,0,0,0,114,115,91,0, , , ,0,0,114</t>
  </si>
  <si>
    <t>NDU 500行: ElementInfo115=3,0,0,0,115,116,92,0, , , ,0,0,115</t>
  </si>
  <si>
    <t>NDU 501行: ElementInfo116=3,0,0,0,116,117,93,0, , , ,0,0,116</t>
  </si>
  <si>
    <t>NDU 502行: ElementInfo117=3,0,0,0,117,118,94,0, , , ,0,0,117</t>
  </si>
  <si>
    <t>NDU 503行: ElementInfo118=3,0,0,0,118,119,95,0, , , ,0,0,118</t>
  </si>
  <si>
    <t>NDU 504行: ElementInfo119=3,0,0,0,119,120,96,0, , , ,0,0,119</t>
  </si>
  <si>
    <t>NDU 505行: ElementInfo120=3,0,0,0,120,121,97,0, , , ,0,0,120</t>
  </si>
  <si>
    <t>NDU 506行: ElementInfo121=3,0,0,0,121,122,98,0, , , ,0,0,121</t>
  </si>
  <si>
    <t>NDU 508行: ElementInfo123=3,0,0,0,123,124,99,0, , , ,0,0,123</t>
  </si>
  <si>
    <t>NDU 509行: ElementInfo124=3,0,0,0,124,125,100,0, , , ,0,0,124</t>
  </si>
  <si>
    <t>NDU 510行: ElementInfo125=3,0,0,0,125,126,101,0, , , ,0,0,125</t>
  </si>
  <si>
    <t>NDU 511行: ElementInfo126=3,0,0,0,126,127,102,0, , , ,0,0,126</t>
  </si>
  <si>
    <t>NDU 512行: ElementInfo127=3,0,0,0,127,128,103,0, , , ,0,0,127</t>
  </si>
  <si>
    <t>NDU 513行: ElementInfo128=3,0,0,0,128,129,104,0, , , ,0,0,128</t>
  </si>
  <si>
    <t>NDU 514行: ElementInfo129=3,0,0,0,129,130,105,0, , , ,0,0,129</t>
  </si>
  <si>
    <t>NDU 515行: ElementInfo130=3,0,0,0,130,131,106,0, , , ,0,0,130</t>
  </si>
  <si>
    <t>NDU 516行: ElementInfo131=3,0,0,0,131,132,107,0, , , ,0,0,131</t>
  </si>
  <si>
    <t>NDU 517行: ElementInfo132=3,0,0,0,132,133,108,0, , , ,0,0,132</t>
  </si>
  <si>
    <t>NDU 518行: ElementInfo133=3,0,0,0,133,134,109,0, , , ,0,0,133</t>
  </si>
  <si>
    <t>NDU 519行: ElementInfo134=3,0,0,0,134,135,110,0, , , ,0,0,134</t>
  </si>
  <si>
    <t>NDU 520行: ElementInfo135=3,0,0,0,135,136,111,0, , , ,0,0,135</t>
  </si>
  <si>
    <t>NDU 521行: ElementInfo136=3,0,0,0,136,137,112,0, , , ,0,0,136</t>
  </si>
  <si>
    <t>NDU 522行: ElementInfo137=3,0,0,0,137,138,113,0, , , ,0,0,137</t>
  </si>
  <si>
    <t>NDU 523行: ElementInfo138=3,0,0,0,138,139,114,0, , , ,0,0,138</t>
  </si>
  <si>
    <t>NDU 524行: ElementInfo139=3,0,0,0,139,140,115,0, , , ,0,0,139</t>
  </si>
  <si>
    <t>NDU 525行: ElementInfo140=3,0,0,0,140,141,116,0, , , ,0,0,140</t>
  </si>
  <si>
    <t>NDU 526行: ElementInfo141=3,0,0,0,141,142,117,0, , , ,0,0,141</t>
  </si>
  <si>
    <t>NDU 527行: ElementInfo142=3,0,0,0,142,143,118,0, , , ,0,0,142</t>
  </si>
  <si>
    <t>NDU 528行: ElementInfo143=3,0,0,0,143,144,119,0, , , ,0,0,143</t>
  </si>
  <si>
    <t>NDU 529行: ElementInfo144=3,0,0,0,144,145,120,0, , , ,0,0,144</t>
  </si>
  <si>
    <t>NDU 530行: ElementInfo145=3,0,0,0,145,146,121,0, , , ,0,0,145</t>
  </si>
  <si>
    <t>NDU 531行: ElementInfo146=3,0,0,0,146,147,122,0, , , ,0,0,146</t>
  </si>
  <si>
    <t>NDU 533行: ElementInfo148=3,0,0,0,148,149,123,0, , , ,0,0,148</t>
  </si>
  <si>
    <t>NDU 534行: ElementInfo149=3,0,0,0,149,150,124,0, , , ,0,0,149</t>
  </si>
  <si>
    <t>NDU 535行: ElementInfo150=3,0,0,0,150,151,125,0, , , ,0,0,150</t>
  </si>
  <si>
    <t>NDU 536行: ElementInfo151=3,0,0,0,151,152,126,0, , , ,0,0,151</t>
  </si>
  <si>
    <t>NDU 537行: ElementInfo152=3,0,0,0,152,153,127,0, , , ,0,0,152</t>
  </si>
  <si>
    <t>NDU 538行: ElementInfo153=3,0,0,0,153,154,128,0, , , ,0,0,153</t>
  </si>
  <si>
    <t>NDU 539行: ElementInfo154=3,0,0,0,154,155,129,0, , , ,0,0,154</t>
  </si>
  <si>
    <t>NDU 540行: ElementInfo155=3,0,0,0,155,156,130,0, , , ,0,0,155</t>
  </si>
  <si>
    <t>NDU 541行: ElementInfo156=3,0,0,0,156,157,131,0, , , ,0,0,156</t>
  </si>
  <si>
    <t>NDU 542行: ElementInfo157=3,0,0,0,157,158,132,0, , , ,0,0,157</t>
  </si>
  <si>
    <t>NDU 543行: ElementInfo158=3,0,0,0,158,159,133,0, , , ,0,0,158</t>
  </si>
  <si>
    <t>NDU 544行: ElementInfo159=3,0,0,0,159,160,134,0, , , ,0,0,159</t>
  </si>
  <si>
    <t>NDU 545行: ElementInfo160=3,0,0,0,160,161,135,0, , , ,0,0,160</t>
  </si>
  <si>
    <t>NDU 546行: ElementInfo161=3,0,0,0,161,162,136,0, , , ,0,0,161</t>
  </si>
  <si>
    <t>NDU 547行: ElementInfo162=3,0,0,0,162,163,137,0, , , ,0,0,162</t>
  </si>
  <si>
    <t>NDU 548行: ElementInfo163=3,0,0,0,163,164,138,0, , , ,0,0,163</t>
  </si>
  <si>
    <t>NDU 549行: ElementInfo164=3,0,0,0,164,165,139,0, , , ,0,0,164</t>
  </si>
  <si>
    <t>NDU 550行: ElementInfo165=3,0,0,0,165,166,140,0, , , ,0,0,165</t>
  </si>
  <si>
    <t>NDU 551行: ElementInfo166=3,0,0,0,166,167,141,0, , , ,0,0,166</t>
  </si>
  <si>
    <t>NDU 552行: ElementInfo167=3,0,0,0,167,168,142,0, , , ,0,0,167</t>
  </si>
  <si>
    <t>NDU 553行: ElementInfo168=3,0,0,0,168,169,143,0, , , ,0,0,168</t>
  </si>
  <si>
    <t>NDU 554行: ElementInfo169=3,0,0,0,169,170,144,0, , , ,0,0,169</t>
  </si>
  <si>
    <t>NDU 555行: ElementInfo170=3,0,0,0,170,171,145,0, , , ,0,0,170</t>
  </si>
  <si>
    <t>NDU 556行: ElementInfo171=3,0,0,0,171,172,146,0, , , ,0,0,171</t>
  </si>
  <si>
    <t>支点数・ケース行の構造変更</t>
  </si>
  <si>
    <t>構造変更なし</t>
  </si>
  <si>
    <t>水平ばねの地層</t>
  </si>
  <si>
    <t>層</t>
  </si>
  <si>
    <t>層上端
(m)</t>
  </si>
  <si>
    <t>層下端
(m)</t>
  </si>
  <si>
    <t>水平ばねの部材幾何</t>
  </si>
  <si>
    <t>上端深さ
(m)</t>
  </si>
  <si>
    <t>下端深さ
(m)</t>
  </si>
  <si>
    <t>水平ばねの照合</t>
  </si>
  <si>
    <t>方法</t>
  </si>
  <si>
    <t>主表の値
(kN/m²)</t>
  </si>
  <si>
    <t>採用再計算
(kN/m²)</t>
  </si>
  <si>
    <t>固定実入力
(kN/m²)</t>
  </si>
  <si>
    <t>98</t>
  </si>
  <si>
    <t>単一層転記</t>
  </si>
  <si>
    <t>99</t>
  </si>
  <si>
    <t>長さ加重平均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</si>
  <si>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</si>
  <si>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</si>
  <si>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</si>
  <si>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</si>
  <si>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</si>
  <si>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</si>
  <si>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</si>
  <si>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</si>
  <si>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</si>
  <si>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</si>
  <si>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</si>
  <si>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</si>
  <si>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</si>
  <si>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</si>
  <si>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</si>
  <si>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</si>
  <si>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</si>
  <si>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</si>
  <si>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</si>
  <si>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</si>
  <si>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</si>
  <si>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</si>
  <si>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</si>
  <si>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</si>
  <si>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</si>
  <si>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</si>
  <si>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</si>
  <si>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</si>
  <si>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</si>
  <si>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</si>
  <si>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</si>
  <si>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</si>
  <si>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</si>
  <si>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</si>
  <si>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</si>
  <si>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</si>
  <si>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</si>
  <si>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</si>
  <si>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</si>
  <si>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</si>
  <si>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</si>
  <si>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</si>
  <si>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</si>
  <si>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</si>
  <si>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</si>
  <si>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</si>
  <si>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</si>
  <si>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</si>
  <si>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</si>
  <si>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</si>
  <si>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</si>
  <si>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</si>
  <si>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</si>
  <si>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</si>
  <si>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</si>
  <si>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</si>
  <si>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</si>
  <si>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</si>
  <si>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</si>
  <si>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</si>
  <si>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</si>
  <si>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</si>
  <si>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</si>
  <si>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</si>
  <si>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</si>
  <si>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</si>
  <si>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</si>
  <si>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</si>
  <si>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</si>
  <si>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</si>
  <si>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水平ばねの正確な計算記録</t>
  </si>
  <si>
    <t>部材ごとの丸め前値・採用条件</t>
  </si>
  <si>
    <t>KG4 部材98 丸め前: 58812</t>
  </si>
  <si>
    <t>KG4 部材99 丸め前: 272085.9230769230769230769231</t>
  </si>
  <si>
    <t>KG4 部材100 丸め前: 141501.0769230769230769230769</t>
  </si>
  <si>
    <t>KG4 部材101 丸め前: 110708</t>
  </si>
  <si>
    <t>KG4 部材102 丸め前: 208028.6153846153846153846154</t>
  </si>
  <si>
    <t>KG4 部材103 丸め前: 268854</t>
  </si>
  <si>
    <t>KG4 部材104 丸め前: 363439.6923076923076923076923</t>
  </si>
  <si>
    <t>KG4 部材105 丸め前: 403280</t>
  </si>
  <si>
    <t>KG4 部材106 丸め前: 403280</t>
  </si>
  <si>
    <t>KG4 部材107 丸め前: 403280</t>
  </si>
  <si>
    <t>KG4 部材108 丸め前: 403280</t>
  </si>
  <si>
    <t>KG4 部材109 丸め前: 403280</t>
  </si>
  <si>
    <t>KG4 部材110 丸め前: 403280</t>
  </si>
  <si>
    <t>KG4 部材111 丸め前: 403280</t>
  </si>
  <si>
    <t>KG4 部材112 丸め前: 225971</t>
  </si>
  <si>
    <t>KG4 部材113 丸め前: 193733</t>
  </si>
  <si>
    <t>KG4 部材114 丸め前: 193733</t>
  </si>
  <si>
    <t>KG4 部材115 丸め前: 193733</t>
  </si>
  <si>
    <t>KG4 部材116 丸め前: 193733</t>
  </si>
  <si>
    <t>KG4 部材117 丸め前: 193733</t>
  </si>
  <si>
    <t>KG4 部材118 丸め前: 193733</t>
  </si>
  <si>
    <t>KG4 部材119 丸め前: 193733</t>
  </si>
  <si>
    <t>KG4 部材120 丸め前: 193733</t>
  </si>
  <si>
    <t>KG4 部材121 丸め前: 193733</t>
  </si>
  <si>
    <t>KG5 部材123 丸め前: 39208</t>
  </si>
  <si>
    <t>KG5 部材124 丸め前: 181390.6153846153846153846154</t>
  </si>
  <si>
    <t>KG5 部材125 丸め前: 94333.76923076923076923076923</t>
  </si>
  <si>
    <t>KG5 部材126 丸め前: 73805</t>
  </si>
  <si>
    <t>KG5 部材127 丸め前: 138685.6153846153846153846154</t>
  </si>
  <si>
    <t>KG5 部材128 丸め前: 179236</t>
  </si>
  <si>
    <t>KG5 部材129 丸め前: 242293.0769230769230769230769</t>
  </si>
  <si>
    <t>KG5 部材130 丸め前: 268854</t>
  </si>
  <si>
    <t>KG5 部材131 丸め前: 268854</t>
  </si>
  <si>
    <t>KG5 部材132 丸め前: 268854</t>
  </si>
  <si>
    <t>KG5 部材133 丸め前: 268854</t>
  </si>
  <si>
    <t>KG5 部材134 丸め前: 268854</t>
  </si>
  <si>
    <t>KG5 部材135 丸め前: 268854</t>
  </si>
  <si>
    <t>KG5 部材136 丸め前: 268854</t>
  </si>
  <si>
    <t>KG5 部材137 丸め前: 150647.1538461538461538461538</t>
  </si>
  <si>
    <t>KG5 部材138 丸め前: 129155</t>
  </si>
  <si>
    <t>KG5 部材139 丸め前: 129155</t>
  </si>
  <si>
    <t>KG5 部材140 丸め前: 129155</t>
  </si>
  <si>
    <t>KG5 部材141 丸め前: 129155</t>
  </si>
  <si>
    <t>KG5 部材142 丸め前: 129155</t>
  </si>
  <si>
    <t>KG5 部材143 丸め前: 129155</t>
  </si>
  <si>
    <t>KG5 部材144 丸め前: 129155</t>
  </si>
  <si>
    <t>KG5 部材145 丸め前: 129155</t>
  </si>
  <si>
    <t>KG5 部材146 丸め前: 129155</t>
  </si>
  <si>
    <t>KG6 部材148 丸め前: 58812</t>
  </si>
  <si>
    <t>KG6 部材149 丸め前: 272085.9230769230769230769231</t>
  </si>
  <si>
    <t>KG6 部材150 丸め前: 141501.0769230769230769230769</t>
  </si>
  <si>
    <t>KG6 部材151 丸め前: 110708</t>
  </si>
  <si>
    <t>KG6 部材152 丸め前: 208028.6153846153846153846154</t>
  </si>
  <si>
    <t>KG6 部材153 丸め前: 268854</t>
  </si>
  <si>
    <t>KG6 部材154 丸め前: 363439.6923076923076923076923</t>
  </si>
  <si>
    <t>KG6 部材155 丸め前: 403280</t>
  </si>
  <si>
    <t>KG6 部材156 丸め前: 403280</t>
  </si>
  <si>
    <t>KG6 部材157 丸め前: 403280</t>
  </si>
  <si>
    <t>KG6 部材158 丸め前: 403280</t>
  </si>
  <si>
    <t>KG6 部材159 丸め前: 403280</t>
  </si>
  <si>
    <t>KG6 部材160 丸め前: 403280</t>
  </si>
  <si>
    <t>KG6 部材161 丸め前: 403280</t>
  </si>
  <si>
    <t>KG6 部材162 丸め前: 225971</t>
  </si>
  <si>
    <t>KG6 部材163 丸め前: 193733</t>
  </si>
  <si>
    <t>KG6 部材164 丸め前: 193733</t>
  </si>
  <si>
    <t>KG6 部材165 丸め前: 193733</t>
  </si>
  <si>
    <t>KG6 部材166 丸め前: 193733</t>
  </si>
  <si>
    <t>KG6 部材167 丸め前: 193733</t>
  </si>
  <si>
    <t>KG6 部材168 丸め前: 193733</t>
  </si>
  <si>
    <t>KG6 部材169 丸め前: 193733</t>
  </si>
  <si>
    <t>KG6 部材170 丸め前: 193733</t>
  </si>
  <si>
    <t>KG6 部材171 丸め前: 193733</t>
  </si>
  <si>
    <t>土圧の地層</t>
  </si>
  <si>
    <t>モデル列</t>
  </si>
  <si>
    <t>土圧列</t>
  </si>
  <si>
    <t>原上側
(kN/m)</t>
  </si>
  <si>
    <t>原下側
(kN/m)</t>
  </si>
  <si>
    <t>原土圧は層全体の上下側の値です。杭が層途中で終わる場合も、補間は元の層上下端深さを用います。</t>
  </si>
  <si>
    <t>土圧の部材幾何</t>
  </si>
  <si>
    <t>土圧の区間計算</t>
  </si>
  <si>
    <t>区間上端
(m)</t>
  </si>
  <si>
    <t>区間下端
(m)</t>
  </si>
  <si>
    <t>区間長
(m)</t>
  </si>
  <si>
    <t>補間上端
(kN/m)</t>
  </si>
  <si>
    <t>補間下端
(kN/m)</t>
  </si>
  <si>
    <t>上端比率</t>
  </si>
  <si>
    <t>下端比率</t>
  </si>
  <si>
    <t>台形積分
(kN)</t>
  </si>
  <si>
    <t>土圧の採用照合</t>
  </si>
  <si>
    <t>部材明細</t>
  </si>
  <si>
    <t>端</t>
  </si>
  <si>
    <t>主表丸め前
(kN/m)</t>
  </si>
  <si>
    <t>採用再計算
(kN/m)</t>
  </si>
  <si>
    <t>固定実入力
(kN/m)</t>
  </si>
  <si>
    <t>差
(kN/m)</t>
  </si>
  <si>
    <t>Decimal丸め前文字列</t>
  </si>
  <si>
    <t>上端</t>
  </si>
  <si>
    <t>層内線形補間</t>
  </si>
  <si>
    <t>下端</t>
  </si>
  <si>
    <t>1307.46</t>
  </si>
  <si>
    <t>積分平均</t>
  </si>
  <si>
    <t>1988.988343195266272189349112</t>
  </si>
  <si>
    <t>1826.620118343195266272189349</t>
  </si>
  <si>
    <t>2158.649704142011834319526627</t>
  </si>
  <si>
    <t>2472.761538461538461538461538</t>
  </si>
  <si>
    <t>2673.711538461538461538461538</t>
  </si>
  <si>
    <t>4642.113352538150109000311429</t>
  </si>
  <si>
    <t>2980.794736842105263157894737</t>
  </si>
  <si>
    <t>3190.710526315789473684210526</t>
  </si>
  <si>
    <t>3400.626315789473684210526316</t>
  </si>
  <si>
    <t>3610.542105263157894736842105</t>
  </si>
  <si>
    <t>3820.457894736842105263157895</t>
  </si>
  <si>
    <t>4030.373684210526315789473684</t>
  </si>
  <si>
    <t>4240.289473684210526315789474</t>
  </si>
  <si>
    <t>4450.205263157894736842105263</t>
  </si>
  <si>
    <t>3300.731174089068825910931174</t>
  </si>
  <si>
    <t>1130.073333333333333333333333</t>
  </si>
  <si>
    <t>1719.072504930966469428007888</t>
  </si>
  <si>
    <t>1285.263905325443786982248521</t>
  </si>
  <si>
    <t>1732.30532544378698224852071</t>
  </si>
  <si>
    <t>2137.192307692307692307692308</t>
  </si>
  <si>
    <t>2310.892307692307692307692308</t>
  </si>
  <si>
    <t>3391.060949859856742447835565</t>
  </si>
  <si>
    <t>2576.311578947368421052631579</t>
  </si>
  <si>
    <t>2757.736842105263157894736842</t>
  </si>
  <si>
    <t>2939.162105263157894736842105</t>
  </si>
  <si>
    <t>3120.587368421052631578947368</t>
  </si>
  <si>
    <t>3302.012631578947368421052632</t>
  </si>
  <si>
    <t>3483.437894736842105263157895</t>
  </si>
  <si>
    <t>3664.863157894736842105263158</t>
  </si>
  <si>
    <t>3846.288421052631578947368421</t>
  </si>
  <si>
    <t>2336.283724696356275303643725</t>
  </si>
  <si>
    <t>3268.7</t>
  </si>
  <si>
    <t>4972.489940828402366863905326</t>
  </si>
  <si>
    <t>2339.063905325443786982248521</t>
  </si>
  <si>
    <t>4384.055621301775147928994083</t>
  </si>
  <si>
    <t>6181.830769230769230769230769</t>
  </si>
  <si>
    <t>6684.330769230769230769230769</t>
  </si>
  <si>
    <t>6891.104905014014325755216443</t>
  </si>
  <si>
    <t>7451.936842105263157894736842</t>
  </si>
  <si>
    <t>7976.726315789473684210526316</t>
  </si>
  <si>
    <t>8501.515789473684210526315789</t>
  </si>
  <si>
    <t>9026.305263157894736842105263</t>
  </si>
  <si>
    <t>9551.094736842105263157894737</t>
  </si>
  <si>
    <t>10075.88421052631578947368421</t>
  </si>
  <si>
    <t>10600.67368421052631578947368</t>
  </si>
  <si>
    <t>11125.46315789473684210526316</t>
  </si>
  <si>
    <t>4331.420242914979757085020243</t>
  </si>
  <si>
    <t>周面の抵抗範囲</t>
  </si>
  <si>
    <t>杭長 (m)</t>
  </si>
  <si>
    <t>1/β (m)</t>
  </si>
  <si>
    <t>根入れ (m)</t>
  </si>
  <si>
    <t>有効下端 (m)</t>
  </si>
  <si>
    <t>周面は押込みK1/Fyの長さ積分。平均除算・1.2補正・本数の追加乗算なし。先端行の0は周面抵抗です。</t>
  </si>
  <si>
    <t>周面の全地層</t>
  </si>
  <si>
    <t>KのSDC行</t>
  </si>
  <si>
    <t>FのSDC行</t>
  </si>
  <si>
    <t>層上端 (m)</t>
  </si>
  <si>
    <t>層下端 (m)</t>
  </si>
  <si>
    <t>全層厚 (m)</t>
  </si>
  <si>
    <t>d表層厚 (m)</t>
  </si>
  <si>
    <t>有効上端 (m)</t>
  </si>
  <si>
    <t>有効厚 (m)</t>
  </si>
  <si>
    <t>周面の表示区間</t>
  </si>
  <si>
    <t>抵抗区分</t>
  </si>
  <si>
    <t>区間上端 (m)</t>
  </si>
  <si>
    <t>区間下端 (m)</t>
  </si>
  <si>
    <t>区間厚 (m)</t>
  </si>
  <si>
    <t>K原値 (kN/m²)</t>
  </si>
  <si>
    <t>F原値 (kN/m)</t>
  </si>
  <si>
    <t>除外</t>
  </si>
  <si>
    <t>有効</t>
  </si>
  <si>
    <t>周面の全節点幾何</t>
  </si>
  <si>
    <t>前節点</t>
  </si>
  <si>
    <t>次節点</t>
  </si>
  <si>
    <t>前深さ (m)</t>
  </si>
  <si>
    <t>節点深さ (m)</t>
  </si>
  <si>
    <t>次深さ (m)</t>
  </si>
  <si>
    <t>負担上端 (m)</t>
  </si>
  <si>
    <t>負担下端 (m)</t>
  </si>
  <si>
    <t>負担全幅 (m)</t>
  </si>
  <si>
    <t>有効幅 (m)</t>
  </si>
  <si>
    <t>周面の節点区間内訳</t>
  </si>
  <si>
    <t>重なり上端 (m)</t>
  </si>
  <si>
    <t>重なり下端 (m)</t>
  </si>
  <si>
    <t>内訳幅 (m)</t>
  </si>
  <si>
    <t>周面の幅の照合</t>
  </si>
  <si>
    <t>内訳幅合計 (m)</t>
  </si>
  <si>
    <t>幅差 (m)</t>
  </si>
  <si>
    <t>有効内訳合計 (m)</t>
  </si>
  <si>
    <t>有効幅差 (m)</t>
  </si>
  <si>
    <t>周面の扱い</t>
  </si>
  <si>
    <t>上端・先端除外または抵抗0のため支点を作成しない</t>
  </si>
  <si>
    <t>周面支点に採用</t>
  </si>
  <si>
    <t>杭先端ばねを入力</t>
  </si>
  <si>
    <t>周面の採用照合</t>
  </si>
  <si>
    <t>節点（ばね明細）</t>
  </si>
  <si>
    <t>支点項目（支持力明細）</t>
  </si>
  <si>
    <t>K主表値 (kN/m)</t>
  </si>
  <si>
    <t>K採用再計算</t>
  </si>
  <si>
    <t>K固定実入力</t>
  </si>
  <si>
    <t>K差</t>
  </si>
  <si>
    <t>F主表値 (kN)</t>
  </si>
  <si>
    <t>F採用再計算</t>
  </si>
  <si>
    <t>F固定実入力</t>
  </si>
  <si>
    <t>F差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</si>
  <si>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</si>
  <si>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</si>
  <si>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</si>
  <si>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</si>
  <si>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</si>
  <si>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</si>
  <si>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</si>
  <si>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</si>
  <si>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</si>
  <si>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</si>
  <si>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</si>
  <si>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</si>
  <si>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</si>
  <si>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</si>
  <si>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</si>
  <si>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</si>
  <si>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</si>
  <si>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</si>
  <si>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</si>
  <si>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</si>
  <si>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</si>
  <si>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</si>
  <si>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</si>
  <si>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</si>
  <si>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</si>
  <si>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</si>
  <si>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</si>
  <si>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</si>
  <si>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</si>
  <si>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</si>
  <si>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</si>
  <si>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</si>
  <si>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</si>
  <si>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</si>
  <si>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</si>
  <si>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</si>
  <si>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</si>
  <si>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</si>
  <si>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</si>
  <si>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</si>
  <si>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</si>
  <si>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</si>
  <si>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</si>
  <si>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</si>
  <si>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</si>
  <si>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</si>
  <si>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</si>
  <si>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</si>
  <si>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</si>
  <si>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</si>
  <si>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</si>
  <si>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</si>
  <si>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</si>
  <si>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</si>
  <si>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</si>
  <si>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</si>
  <si>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</si>
  <si>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</si>
  <si>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</si>
  <si>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</si>
  <si>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周面ばね実入力 (kN/m)</t>
  </si>
  <si>
    <t>周面制限値実入力 (kN)</t>
  </si>
  <si>
    <t>周面の正確な計算記録</t>
  </si>
  <si>
    <t>節点ごとの丸め前値</t>
  </si>
  <si>
    <t>KG4 節点102 K: 51628.885 / F: 433.7705</t>
  </si>
  <si>
    <t>KG4 節点103 K: 145626.000 / F: 1834.9500</t>
  </si>
  <si>
    <t>KG4 節点104 K: 155633.700 / F: 1794.3600</t>
  </si>
  <si>
    <t>KG4 節点105 K: 223256.750 / F: 2313.0250</t>
  </si>
  <si>
    <t>KG4 節点106 K: 218437.700 / F: 2752.3600</t>
  </si>
  <si>
    <t>KG4 節点107 K: 218437.700 / F: 2752.3600</t>
  </si>
  <si>
    <t>KG4 節点108 K: 218437.700 / F: 2752.3600</t>
  </si>
  <si>
    <t>KG4 節点109 K: 218437.700 / F: 2752.3600</t>
  </si>
  <si>
    <t>KG4 節点110 K: 218437.700 / F: 2752.3600</t>
  </si>
  <si>
    <t>KG4 節点111 K: 218437.700 / F: 2752.3600</t>
  </si>
  <si>
    <t>KG4 節点112 K: 179148.650 / F: 2032.4950</t>
  </si>
  <si>
    <t>KG4 節点113 K: 104936.000 / F: 672.7500</t>
  </si>
  <si>
    <t>KG4 節点114 K: 104936.000 / F: 672.7500</t>
  </si>
  <si>
    <t>KG4 節点115 K: 104936.000 / F: 672.7500</t>
  </si>
  <si>
    <t>KG4 節点116 K: 104936.000 / F: 672.7500</t>
  </si>
  <si>
    <t>KG4 節点117 K: 104936.000 / F: 672.7500</t>
  </si>
  <si>
    <t>KG4 節点118 K: 104936.000 / F: 672.7500</t>
  </si>
  <si>
    <t>KG4 節点119 K: 104936.000 / F: 672.7500</t>
  </si>
  <si>
    <t>KG4 節点120 K: 104936.000 / F: 672.7500</t>
  </si>
  <si>
    <t>KG4 節点121 K: 36324.000 / F: 232.8750</t>
  </si>
  <si>
    <t>KG5 節点127 K: 34419.005 / F: 289.1300</t>
  </si>
  <si>
    <t>KG5 節点128 K: 97084.000 / F: 1223.3000</t>
  </si>
  <si>
    <t>KG5 節点129 K: 103755.700 / F: 1196.2400</t>
  </si>
  <si>
    <t>KG5 節点130 K: 148838.100 / F: 1542.0450</t>
  </si>
  <si>
    <t>KG5 節点131 K: 145626.000 / F: 1834.9500</t>
  </si>
  <si>
    <t>KG5 節点132 K: 145626.000 / F: 1834.9500</t>
  </si>
  <si>
    <t>KG5 節点133 K: 145626.000 / F: 1834.9500</t>
  </si>
  <si>
    <t>KG5 節点134 K: 145626.000 / F: 1834.9500</t>
  </si>
  <si>
    <t>KG5 節点135 K: 145626.000 / F: 1834.9500</t>
  </si>
  <si>
    <t>KG5 節点136 K: 145626.000 / F: 1834.9500</t>
  </si>
  <si>
    <t>KG5 節点137 K: 119432.850 / F: 1355.0250</t>
  </si>
  <si>
    <t>KG5 節点138 K: 69956.900 / F: 448.5000</t>
  </si>
  <si>
    <t>KG5 節点139 K: 69956.900 / F: 448.5000</t>
  </si>
  <si>
    <t>KG5 節点140 K: 69956.900 / F: 448.5000</t>
  </si>
  <si>
    <t>KG5 節点141 K: 69956.900 / F: 448.5000</t>
  </si>
  <si>
    <t>KG5 節点142 K: 69956.900 / F: 448.5000</t>
  </si>
  <si>
    <t>KG5 節点143 K: 69956.900 / F: 448.5000</t>
  </si>
  <si>
    <t>KG5 節点144 K: 69956.900 / F: 448.5000</t>
  </si>
  <si>
    <t>KG5 節点145 K: 69956.900 / F: 448.5000</t>
  </si>
  <si>
    <t>KG5 節点146 K: 24215.850 / F: 155.2500</t>
  </si>
  <si>
    <t>KG6 節点152 K: 51628.885 / F: 433.7705</t>
  </si>
  <si>
    <t>KG6 節点153 K: 145626.000 / F: 1834.9500</t>
  </si>
  <si>
    <t>KG6 節点154 K: 155633.700 / F: 1794.3600</t>
  </si>
  <si>
    <t>KG6 節点155 K: 223256.750 / F: 2313.0250</t>
  </si>
  <si>
    <t>KG6 節点156 K: 218437.700 / F: 2752.3600</t>
  </si>
  <si>
    <t>KG6 節点157 K: 218437.700 / F: 2752.3600</t>
  </si>
  <si>
    <t>KG6 節点158 K: 218437.700 / F: 2752.3600</t>
  </si>
  <si>
    <t>KG6 節点159 K: 218437.700 / F: 2752.3600</t>
  </si>
  <si>
    <t>KG6 節点160 K: 218437.700 / F: 2752.3600</t>
  </si>
  <si>
    <t>KG6 節点161 K: 218437.700 / F: 2752.3600</t>
  </si>
  <si>
    <t>KG6 節点162 K: 179148.650 / F: 2032.4950</t>
  </si>
  <si>
    <t>KG6 節点163 K: 104936.000 / F: 672.7500</t>
  </si>
  <si>
    <t>KG6 節点164 K: 104936.000 / F: 672.7500</t>
  </si>
  <si>
    <t>KG6 節点165 K: 104936.000 / F: 672.7500</t>
  </si>
  <si>
    <t>KG6 節点166 K: 104936.000 / F: 672.7500</t>
  </si>
  <si>
    <t>KG6 節点167 K: 104936.000 / F: 672.7500</t>
  </si>
  <si>
    <t>KG6 節点168 K: 104936.000 / F: 672.7500</t>
  </si>
  <si>
    <t>KG6 節点169 K: 104936.000 / F: 672.7500</t>
  </si>
  <si>
    <t>KG6 節点170 K: 104936.000 / F: 672.7500</t>
  </si>
  <si>
    <t>KG6 節点171 K: 36324.000 / F: 232.8750</t>
  </si>
  <si>
    <t>先端の杭頭・最深節点と杭長</t>
  </si>
  <si>
    <t>SDC列</t>
  </si>
  <si>
    <t>杭頭節点</t>
  </si>
  <si>
    <t>先端節点</t>
  </si>
  <si>
    <t>x (m)</t>
  </si>
  <si>
    <t>杭頭y (m)</t>
  </si>
  <si>
    <t>先端y (m)</t>
  </si>
  <si>
    <t>座標差 (m)</t>
  </si>
  <si>
    <t>SDC杭長 (m)</t>
  </si>
  <si>
    <t>杭長差 (m)</t>
  </si>
  <si>
    <t>先端の採用照合</t>
  </si>
  <si>
    <t>量（主表へ）</t>
  </si>
  <si>
    <t>主表値</t>
  </si>
  <si>
    <t>固定実入力</t>
  </si>
  <si>
    <t>NDU欄</t>
  </si>
  <si>
    <t>K1</t>
  </si>
  <si>
    <t>K2</t>
  </si>
  <si>
    <t>Fy</t>
  </si>
  <si>
    <t>Fu</t>
  </si>
  <si>
    <t>先端のばね実入力 (kN/m)</t>
  </si>
  <si>
    <t>先端の制限値実入力 (kN)</t>
  </si>
  <si>
    <t>先端の正確な十進記録</t>
  </si>
  <si>
    <t>量</t>
  </si>
  <si>
    <t>SDC原値の正確な文字列（追加丸めなし）</t>
  </si>
  <si>
    <t>先端はSDCの直角方向・短期K1/K2・地震時押込みFy/Fuをそのまま転記。杭長・本数の乗算、追加丸め、周面抵抗の加算は行いません。</t>
  </si>
  <si>
    <t>先端支点の第4～13欄は K1,Fy,空欄,K2,Fu,空欄,K2,K1,K2,K2。負側制限値F1−/F2−は空欄です。</t>
  </si>
</sst>
</file>

<file path=xl/styles.xml><?xml version="1.0" encoding="utf-8"?>
<styleSheet xmlns="http://schemas.openxmlformats.org/spreadsheetml/2006/main">
  <numFmts count="6">
    <numFmt numFmtId="164" formatCode="#,##0.000"/>
    <numFmt numFmtId="165" formatCode="#,##0"/>
    <numFmt numFmtId="166" formatCode="#,##0.0"/>
    <numFmt numFmtId="167" formatCode="0.0"/>
    <numFmt numFmtId="168" formatCode="0.000######"/>
    <numFmt numFmtId="169" formatCode="0.000000"/>
  </numFmts>
  <fonts count="9">
    <font>
      <sz val="11"/>
      <color theme="1"/>
      <name val="Calibri"/>
      <family val="2"/>
      <scheme val="none"/>
    </font>
    <font>
      <b/>
      <sz val="16"/>
      <color rgb="FF202B3C"/>
      <name val="Yu Gothic"/>
      <family val="2"/>
    </font>
    <font>
      <sz val="10"/>
      <color rgb="FF526174"/>
      <name val="Yu Gothic"/>
      <family val="2"/>
    </font>
    <font>
      <b/>
      <sz val="10"/>
      <color rgb="FF202B3C"/>
      <name val="Yu Gothic"/>
      <family val="2"/>
    </font>
    <font>
      <b/>
      <sz val="10"/>
      <color rgb="FFFFFFFF"/>
      <name val="Yu Gothic"/>
      <family val="2"/>
    </font>
    <font>
      <u/>
      <sz val="10"/>
      <color rgb="FF175CAD"/>
      <name val="Yu Gothic"/>
      <family val="2"/>
    </font>
    <font>
      <sz val="10"/>
      <color rgb="FF202B3C"/>
      <name val="Yu Gothic"/>
      <family val="2"/>
    </font>
    <font>
      <sz val="10"/>
      <color rgb="FF202B3C"/>
      <name val="ＭＳ 明朝"/>
      <family val="2"/>
    </font>
    <font>
      <sz val="10"/>
      <color rgb="FF175CAD"/>
      <name val="Yu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E6EDF5"/>
        <bgColor indexed="64"/>
      </patternFill>
    </fill>
    <fill>
      <patternFill patternType="solid">
        <fgColor rgb="FF243B53"/>
        <bgColor indexed="64"/>
      </patternFill>
    </fill>
    <fill>
      <patternFill patternType="solid">
        <fgColor rgb="FFFFF2C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164" fontId="1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4" fontId="3" fillId="2" borderId="0" xfId="0" applyNumberFormat="1" applyFont="1" applyFill="1" applyAlignment="1">
      <alignment vertical="center" wrapText="1"/>
    </xf>
    <xf numFmtId="164" fontId="4" fillId="3" borderId="0" xfId="0" applyNumberFormat="1" applyFont="1" applyFill="1" applyAlignment="1">
      <alignment horizontal="center" vertical="center" wrapText="1"/>
    </xf>
    <xf numFmtId="164" fontId="5" fillId="0" borderId="0" xfId="0" applyNumberFormat="1" applyFont="1" applyAlignment="1">
      <alignment vertical="center" wrapText="1"/>
    </xf>
    <xf numFmtId="165" fontId="6" fillId="0" borderId="0" xfId="0" applyNumberFormat="1" applyFont="1" applyAlignment="1">
      <alignment vertical="center" wrapText="1"/>
    </xf>
    <xf numFmtId="165" fontId="6" fillId="4" borderId="0" xfId="0" applyNumberFormat="1" applyFont="1" applyFill="1" applyAlignment="1">
      <alignment vertical="center" wrapText="1"/>
    </xf>
    <xf numFmtId="166" fontId="6" fillId="4" borderId="0" xfId="0" applyNumberFormat="1" applyFont="1" applyFill="1" applyAlignment="1">
      <alignment vertical="center" wrapText="1"/>
    </xf>
    <xf numFmtId="164" fontId="6" fillId="0" borderId="0" xfId="0" applyNumberFormat="1" applyFont="1" applyAlignment="1">
      <alignment vertical="center" wrapText="1"/>
    </xf>
    <xf numFmtId="164" fontId="6" fillId="4" borderId="0" xfId="0" applyNumberFormat="1" applyFont="1" applyFill="1" applyAlignment="1">
      <alignment vertical="center" wrapText="1"/>
    </xf>
    <xf numFmtId="166" fontId="6" fillId="0" borderId="0" xfId="0" applyNumberFormat="1" applyFont="1" applyAlignment="1">
      <alignment vertical="center" wrapText="1"/>
    </xf>
    <xf numFmtId="165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right" vertical="center" wrapText="1"/>
    </xf>
    <xf numFmtId="164" fontId="7" fillId="0" borderId="3" xfId="0" applyNumberFormat="1" applyFont="1" applyBorder="1" applyAlignment="1">
      <alignment horizontal="right" vertical="center" wrapText="1"/>
    </xf>
    <xf numFmtId="164" fontId="7" fillId="0" borderId="4" xfId="0" applyNumberFormat="1" applyFont="1" applyBorder="1" applyAlignment="1">
      <alignment horizontal="right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65" fontId="7" fillId="0" borderId="5" xfId="0" applyNumberFormat="1" applyFont="1" applyBorder="1" applyAlignment="1">
      <alignment horizontal="center" vertical="center" wrapText="1"/>
    </xf>
    <xf numFmtId="164" fontId="7" fillId="0" borderId="5" xfId="0" applyNumberFormat="1" applyFont="1" applyBorder="1" applyAlignment="1">
      <alignment horizontal="right" vertical="center" wrapText="1"/>
    </xf>
    <xf numFmtId="164" fontId="7" fillId="0" borderId="6" xfId="0" applyNumberFormat="1" applyFont="1" applyBorder="1" applyAlignment="1">
      <alignment horizontal="right" vertical="center" wrapText="1"/>
    </xf>
    <xf numFmtId="164" fontId="7" fillId="0" borderId="7" xfId="0" applyNumberFormat="1" applyFont="1" applyBorder="1" applyAlignment="1">
      <alignment horizontal="right" vertical="center" wrapText="1"/>
    </xf>
    <xf numFmtId="1" fontId="7" fillId="0" borderId="2" xfId="0" applyNumberFormat="1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right" vertical="center" wrapText="1"/>
    </xf>
    <xf numFmtId="164" fontId="7" fillId="0" borderId="9" xfId="0" applyNumberFormat="1" applyFont="1" applyBorder="1" applyAlignment="1">
      <alignment horizontal="right" vertical="center" wrapText="1"/>
    </xf>
    <xf numFmtId="1" fontId="7" fillId="0" borderId="10" xfId="0" applyNumberFormat="1" applyFont="1" applyBorder="1" applyAlignment="1">
      <alignment horizontal="center" vertical="center" wrapText="1"/>
    </xf>
    <xf numFmtId="165" fontId="7" fillId="0" borderId="10" xfId="0" applyNumberFormat="1" applyFont="1" applyBorder="1" applyAlignment="1">
      <alignment horizontal="center" vertical="center" wrapText="1"/>
    </xf>
    <xf numFmtId="164" fontId="7" fillId="0" borderId="11" xfId="0" applyNumberFormat="1" applyFont="1" applyBorder="1" applyAlignment="1">
      <alignment horizontal="right" vertical="center" wrapText="1"/>
    </xf>
    <xf numFmtId="164" fontId="7" fillId="0" borderId="12" xfId="0" applyNumberFormat="1" applyFont="1" applyBorder="1" applyAlignment="1">
      <alignment horizontal="right" vertical="center" wrapText="1"/>
    </xf>
    <xf numFmtId="1" fontId="7" fillId="0" borderId="5" xfId="0" applyNumberFormat="1" applyFont="1" applyBorder="1" applyAlignment="1">
      <alignment horizontal="center" vertical="center" wrapText="1"/>
    </xf>
    <xf numFmtId="164" fontId="7" fillId="0" borderId="10" xfId="0" applyNumberFormat="1" applyFont="1" applyBorder="1" applyAlignment="1">
      <alignment horizontal="right" vertical="center" wrapText="1"/>
    </xf>
    <xf numFmtId="164" fontId="7" fillId="0" borderId="1" xfId="0" applyNumberFormat="1" applyFont="1" applyBorder="1" applyAlignment="1">
      <alignment horizontal="right" vertical="center" wrapText="1"/>
    </xf>
    <xf numFmtId="165" fontId="7" fillId="0" borderId="4" xfId="0" applyNumberFormat="1" applyFont="1" applyBorder="1" applyAlignment="1">
      <alignment horizontal="center" vertical="center" wrapText="1"/>
    </xf>
    <xf numFmtId="167" fontId="7" fillId="0" borderId="0" xfId="0" applyNumberFormat="1" applyFont="1" applyAlignment="1">
      <alignment horizontal="left" vertical="center"/>
    </xf>
    <xf numFmtId="167" fontId="7" fillId="0" borderId="1" xfId="0" applyNumberFormat="1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top" wrapText="1"/>
    </xf>
    <xf numFmtId="164" fontId="7" fillId="0" borderId="2" xfId="0" applyNumberFormat="1" applyFont="1" applyBorder="1" applyAlignment="1">
      <alignment horizontal="right" vertical="top" wrapText="1"/>
    </xf>
    <xf numFmtId="167" fontId="7" fillId="0" borderId="2" xfId="0" applyNumberFormat="1" applyFont="1" applyBorder="1" applyAlignment="1">
      <alignment horizontal="center" vertical="top" wrapText="1"/>
    </xf>
    <xf numFmtId="164" fontId="7" fillId="0" borderId="7" xfId="0" applyNumberFormat="1" applyFont="1" applyBorder="1" applyAlignment="1">
      <alignment horizontal="center" vertical="center" wrapText="1"/>
    </xf>
    <xf numFmtId="1" fontId="7" fillId="0" borderId="5" xfId="0" applyNumberFormat="1" applyFont="1" applyBorder="1" applyAlignment="1">
      <alignment horizontal="center" vertical="top" wrapText="1"/>
    </xf>
    <xf numFmtId="164" fontId="7" fillId="0" borderId="5" xfId="0" applyNumberFormat="1" applyFont="1" applyBorder="1" applyAlignment="1">
      <alignment horizontal="right" vertical="top" wrapText="1"/>
    </xf>
    <xf numFmtId="167" fontId="7" fillId="0" borderId="5" xfId="0" applyNumberFormat="1" applyFont="1" applyBorder="1" applyAlignment="1">
      <alignment horizontal="center" wrapText="1"/>
    </xf>
    <xf numFmtId="164" fontId="7" fillId="0" borderId="9" xfId="0" applyNumberFormat="1" applyFont="1" applyBorder="1" applyAlignment="1">
      <alignment horizontal="center" vertical="center" wrapText="1"/>
    </xf>
    <xf numFmtId="164" fontId="7" fillId="0" borderId="10" xfId="0" applyNumberFormat="1" applyFont="1" applyBorder="1" applyAlignment="1">
      <alignment horizontal="right" wrapText="1"/>
    </xf>
    <xf numFmtId="167" fontId="7" fillId="0" borderId="10" xfId="0" applyNumberFormat="1" applyFont="1" applyBorder="1" applyAlignment="1">
      <alignment horizontal="center" wrapText="1"/>
    </xf>
    <xf numFmtId="1" fontId="7" fillId="0" borderId="10" xfId="0" applyNumberFormat="1" applyFont="1" applyBorder="1" applyAlignment="1">
      <alignment horizontal="center" vertical="top" wrapText="1"/>
    </xf>
    <xf numFmtId="164" fontId="7" fillId="0" borderId="10" xfId="0" applyNumberFormat="1" applyFont="1" applyBorder="1" applyAlignment="1">
      <alignment horizontal="right" vertical="top" wrapText="1"/>
    </xf>
    <xf numFmtId="167" fontId="7" fillId="0" borderId="4" xfId="0" applyNumberFormat="1" applyFont="1" applyBorder="1" applyAlignment="1">
      <alignment horizontal="center" vertical="center" wrapText="1"/>
    </xf>
    <xf numFmtId="1" fontId="7" fillId="0" borderId="0" xfId="0" applyNumberFormat="1" applyFont="1" applyAlignment="1">
      <alignment horizontal="left" vertical="center"/>
    </xf>
    <xf numFmtId="1" fontId="7" fillId="0" borderId="4" xfId="0" applyNumberFormat="1" applyFont="1" applyBorder="1" applyAlignment="1">
      <alignment horizontal="center" vertical="center" wrapText="1"/>
    </xf>
    <xf numFmtId="167" fontId="7" fillId="0" borderId="2" xfId="0" applyNumberFormat="1" applyFont="1" applyBorder="1" applyAlignment="1">
      <alignment horizontal="center" vertical="center" wrapText="1"/>
    </xf>
    <xf numFmtId="167" fontId="7" fillId="0" borderId="5" xfId="0" applyNumberFormat="1" applyFont="1" applyBorder="1" applyAlignment="1">
      <alignment horizontal="center" vertical="center" wrapText="1"/>
    </xf>
    <xf numFmtId="167" fontId="7" fillId="0" borderId="10" xfId="0" applyNumberFormat="1" applyFont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/>
    </xf>
    <xf numFmtId="1" fontId="7" fillId="0" borderId="1" xfId="0" applyNumberFormat="1" applyFont="1" applyBorder="1" applyAlignment="1">
      <alignment horizontal="right" vertical="center"/>
    </xf>
    <xf numFmtId="1" fontId="7" fillId="0" borderId="1" xfId="0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165" fontId="8" fillId="0" borderId="0" xfId="0" applyNumberFormat="1" applyFont="1" applyAlignment="1">
      <alignment vertical="center" wrapText="1"/>
    </xf>
    <xf numFmtId="166" fontId="8" fillId="0" borderId="0" xfId="0" applyNumberFormat="1" applyFont="1" applyAlignment="1">
      <alignment vertical="center" wrapText="1"/>
    </xf>
    <xf numFmtId="168" fontId="8" fillId="0" borderId="0" xfId="0" applyNumberFormat="1" applyFont="1" applyAlignment="1">
      <alignment vertical="center" wrapText="1"/>
    </xf>
    <xf numFmtId="168" fontId="6" fillId="0" borderId="0" xfId="0" applyNumberFormat="1" applyFont="1" applyAlignment="1">
      <alignment vertical="center" wrapText="1"/>
    </xf>
    <xf numFmtId="169" fontId="6" fillId="0" borderId="0" xfId="0" applyNumberFormat="1" applyFont="1" applyAlignment="1">
      <alignment vertical="center" wrapText="1"/>
    </xf>
    <xf numFmtId="167" fontId="6" fillId="0" borderId="0" xfId="0" applyNumberFormat="1" applyFont="1" applyAlignment="1">
      <alignment vertical="center" wrapText="1"/>
    </xf>
    <xf numFmtId="167" fontId="6" fillId="4" borderId="0" xfId="0" applyNumberFormat="1" applyFont="1" applyFill="1" applyAlignment="1">
      <alignment vertical="center" wrapText="1"/>
    </xf>
    <xf numFmtId="1" fontId="6" fillId="0" borderId="0" xfId="0" applyNumberFormat="1" applyFont="1" applyAlignment="1">
      <alignment vertical="center" wrapText="1"/>
    </xf>
    <xf numFmtId="1" fontId="6" fillId="4" borderId="0" xfId="0" applyNumberFormat="1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B42318"/>
      </font>
      <fill>
        <patternFill>
          <bgColor rgb="FFFDE5E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1"/>
  <sheetViews>
    <sheetView showGridLines="0"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23" customHeight="1"/>
  <cols>
    <col min="1" max="1" width="18.7109375" customWidth="1"/>
    <col min="2" max="3" width="7.7109375" customWidth="1"/>
    <col min="4" max="4" width="10.7109375" customWidth="1"/>
    <col min="5" max="5" width="11.7109375" customWidth="1"/>
    <col min="6" max="6" width="10.7109375" customWidth="1"/>
    <col min="7" max="12" width="15.7109375" customWidth="1"/>
  </cols>
  <sheetData>
    <row r="1" spans="1:12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4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3" customHeight="1"/>
    <row r="5" spans="1:12" ht="24" customHeight="1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24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24" customHeight="1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23" customHeight="1"/>
    <row r="9" spans="1:12" ht="24" customHeight="1">
      <c r="A9" s="3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36" customHeight="1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</row>
    <row r="11" spans="1:12" ht="23" customHeight="1">
      <c r="A11" s="5" t="s">
        <v>18</v>
      </c>
      <c r="B11" s="6">
        <v>4</v>
      </c>
      <c r="C11" s="6">
        <v>1</v>
      </c>
      <c r="D11" s="6">
        <v>98</v>
      </c>
      <c r="E11" s="6">
        <v>98</v>
      </c>
      <c r="F11" s="6">
        <v>99</v>
      </c>
      <c r="G11" s="7">
        <v>58812</v>
      </c>
      <c r="H11" s="8">
        <v>1162.9</v>
      </c>
      <c r="I11" s="8">
        <v>1307.5</v>
      </c>
      <c r="J11" s="6">
        <v>656</v>
      </c>
      <c r="K11" s="5" t="s">
        <v>19</v>
      </c>
    </row>
    <row r="12" spans="1:12" ht="23" customHeight="1">
      <c r="A12" s="5" t="s">
        <v>20</v>
      </c>
      <c r="B12" s="6">
        <v>4</v>
      </c>
      <c r="C12" s="6">
        <v>1</v>
      </c>
      <c r="D12" s="6">
        <v>99</v>
      </c>
      <c r="E12" s="6">
        <v>99</v>
      </c>
      <c r="F12" s="6">
        <v>100</v>
      </c>
      <c r="G12" s="7">
        <v>272086</v>
      </c>
      <c r="H12" s="7">
        <v>1989</v>
      </c>
      <c r="I12" s="7">
        <v>1989</v>
      </c>
      <c r="J12" s="6">
        <v>657</v>
      </c>
      <c r="K12" s="5" t="s">
        <v>21</v>
      </c>
    </row>
    <row r="13" spans="1:12" ht="23" customHeight="1">
      <c r="A13" s="5" t="s">
        <v>22</v>
      </c>
      <c r="B13" s="6">
        <v>4</v>
      </c>
      <c r="C13" s="6">
        <v>1</v>
      </c>
      <c r="D13" s="6">
        <v>100</v>
      </c>
      <c r="E13" s="6">
        <v>100</v>
      </c>
      <c r="F13" s="6">
        <v>101</v>
      </c>
      <c r="G13" s="7">
        <v>141501</v>
      </c>
      <c r="H13" s="8">
        <v>1826.6</v>
      </c>
      <c r="I13" s="8">
        <v>1826.6</v>
      </c>
      <c r="J13" s="6">
        <v>658</v>
      </c>
      <c r="K13" s="5" t="s">
        <v>23</v>
      </c>
    </row>
    <row r="14" spans="1:12" ht="23" customHeight="1">
      <c r="A14" s="5" t="s">
        <v>24</v>
      </c>
      <c r="B14" s="6">
        <v>4</v>
      </c>
      <c r="C14" s="6">
        <v>1</v>
      </c>
      <c r="D14" s="6">
        <v>101</v>
      </c>
      <c r="E14" s="6">
        <v>101</v>
      </c>
      <c r="F14" s="6">
        <v>102</v>
      </c>
      <c r="G14" s="7">
        <v>110708</v>
      </c>
      <c r="H14" s="7">
        <v>1755</v>
      </c>
      <c r="I14" s="7">
        <v>1755</v>
      </c>
      <c r="J14" s="6">
        <v>659</v>
      </c>
      <c r="K14" s="5" t="s">
        <v>25</v>
      </c>
    </row>
    <row r="15" spans="1:12" ht="23" customHeight="1">
      <c r="A15" s="5" t="s">
        <v>26</v>
      </c>
      <c r="B15" s="6">
        <v>4</v>
      </c>
      <c r="C15" s="6">
        <v>1</v>
      </c>
      <c r="D15" s="6">
        <v>102</v>
      </c>
      <c r="E15" s="6">
        <v>102</v>
      </c>
      <c r="F15" s="6">
        <v>103</v>
      </c>
      <c r="G15" s="7">
        <v>208029</v>
      </c>
      <c r="H15" s="8">
        <v>2158.6</v>
      </c>
      <c r="I15" s="8">
        <v>2158.6</v>
      </c>
      <c r="J15" s="6">
        <v>660</v>
      </c>
      <c r="K15" s="5" t="s">
        <v>27</v>
      </c>
    </row>
    <row r="16" spans="1:12" ht="23" customHeight="1">
      <c r="A16" s="5" t="s">
        <v>28</v>
      </c>
      <c r="B16" s="6">
        <v>4</v>
      </c>
      <c r="C16" s="6">
        <v>1</v>
      </c>
      <c r="D16" s="6">
        <v>103</v>
      </c>
      <c r="E16" s="6">
        <v>103</v>
      </c>
      <c r="F16" s="6">
        <v>104</v>
      </c>
      <c r="G16" s="7">
        <v>268854</v>
      </c>
      <c r="H16" s="8">
        <v>2472.8</v>
      </c>
      <c r="I16" s="8">
        <v>2673.7</v>
      </c>
      <c r="J16" s="6">
        <v>661</v>
      </c>
      <c r="K16" s="5" t="s">
        <v>29</v>
      </c>
    </row>
    <row r="17" spans="1:12" ht="23" customHeight="1">
      <c r="A17" s="5" t="s">
        <v>30</v>
      </c>
      <c r="B17" s="6">
        <v>4</v>
      </c>
      <c r="C17" s="6">
        <v>1</v>
      </c>
      <c r="D17" s="6">
        <v>104</v>
      </c>
      <c r="E17" s="6">
        <v>104</v>
      </c>
      <c r="F17" s="6">
        <v>105</v>
      </c>
      <c r="G17" s="7">
        <v>363440</v>
      </c>
      <c r="H17" s="8">
        <v>4642.1</v>
      </c>
      <c r="I17" s="8">
        <v>4642.1</v>
      </c>
      <c r="J17" s="6">
        <v>662</v>
      </c>
      <c r="K17" s="5" t="s">
        <v>31</v>
      </c>
    </row>
    <row r="18" spans="1:12" ht="23" customHeight="1">
      <c r="A18" s="5" t="s">
        <v>32</v>
      </c>
      <c r="B18" s="6">
        <v>4</v>
      </c>
      <c r="C18" s="6">
        <v>1</v>
      </c>
      <c r="D18" s="6">
        <v>105</v>
      </c>
      <c r="E18" s="6">
        <v>105</v>
      </c>
      <c r="F18" s="6">
        <v>106</v>
      </c>
      <c r="G18" s="7">
        <v>403280</v>
      </c>
      <c r="H18" s="8">
        <v>2980.8</v>
      </c>
      <c r="I18" s="8">
        <v>3190.7</v>
      </c>
      <c r="J18" s="6">
        <v>663</v>
      </c>
      <c r="K18" s="5" t="s">
        <v>33</v>
      </c>
    </row>
    <row r="19" spans="1:12" ht="23" customHeight="1">
      <c r="A19" s="5" t="s">
        <v>34</v>
      </c>
      <c r="B19" s="6">
        <v>4</v>
      </c>
      <c r="C19" s="6">
        <v>1</v>
      </c>
      <c r="D19" s="6">
        <v>106</v>
      </c>
      <c r="E19" s="6">
        <v>106</v>
      </c>
      <c r="F19" s="6">
        <v>107</v>
      </c>
      <c r="G19" s="7">
        <v>403280</v>
      </c>
      <c r="H19" s="8">
        <v>3190.7</v>
      </c>
      <c r="I19" s="8">
        <v>3400.6</v>
      </c>
      <c r="J19" s="6">
        <v>664</v>
      </c>
      <c r="K19" s="5" t="s">
        <v>35</v>
      </c>
    </row>
    <row r="20" spans="1:12" ht="23" customHeight="1">
      <c r="A20" s="5" t="s">
        <v>36</v>
      </c>
      <c r="B20" s="6">
        <v>4</v>
      </c>
      <c r="C20" s="6">
        <v>1</v>
      </c>
      <c r="D20" s="6">
        <v>107</v>
      </c>
      <c r="E20" s="6">
        <v>107</v>
      </c>
      <c r="F20" s="6">
        <v>108</v>
      </c>
      <c r="G20" s="7">
        <v>403280</v>
      </c>
      <c r="H20" s="8">
        <v>3400.6</v>
      </c>
      <c r="I20" s="8">
        <v>3610.5</v>
      </c>
      <c r="J20" s="6">
        <v>665</v>
      </c>
      <c r="K20" s="5" t="s">
        <v>37</v>
      </c>
    </row>
    <row r="21" spans="1:12" ht="23" customHeight="1">
      <c r="A21" s="5" t="s">
        <v>38</v>
      </c>
      <c r="B21" s="6">
        <v>4</v>
      </c>
      <c r="C21" s="6">
        <v>1</v>
      </c>
      <c r="D21" s="6">
        <v>108</v>
      </c>
      <c r="E21" s="6">
        <v>108</v>
      </c>
      <c r="F21" s="6">
        <v>109</v>
      </c>
      <c r="G21" s="7">
        <v>403280</v>
      </c>
      <c r="H21" s="8">
        <v>3610.5</v>
      </c>
      <c r="I21" s="8">
        <v>3820.5</v>
      </c>
      <c r="J21" s="6">
        <v>666</v>
      </c>
      <c r="K21" s="5" t="s">
        <v>39</v>
      </c>
    </row>
    <row r="22" spans="1:12" ht="24" customHeight="1">
      <c r="A22" s="3" t="s">
        <v>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36" customHeight="1">
      <c r="A23" s="4" t="s">
        <v>7</v>
      </c>
      <c r="B23" s="4" t="s">
        <v>8</v>
      </c>
      <c r="C23" s="4" t="s">
        <v>9</v>
      </c>
      <c r="D23" s="4" t="s">
        <v>10</v>
      </c>
      <c r="E23" s="4" t="s">
        <v>11</v>
      </c>
      <c r="F23" s="4" t="s">
        <v>12</v>
      </c>
      <c r="G23" s="4" t="s">
        <v>13</v>
      </c>
      <c r="H23" s="4" t="s">
        <v>14</v>
      </c>
      <c r="I23" s="4" t="s">
        <v>15</v>
      </c>
      <c r="J23" s="4" t="s">
        <v>16</v>
      </c>
      <c r="K23" s="4" t="s">
        <v>17</v>
      </c>
    </row>
    <row r="24" spans="1:12" ht="23" customHeight="1">
      <c r="A24" s="5" t="s">
        <v>40</v>
      </c>
      <c r="B24" s="6">
        <v>4</v>
      </c>
      <c r="C24" s="6">
        <v>1</v>
      </c>
      <c r="D24" s="6">
        <v>109</v>
      </c>
      <c r="E24" s="6">
        <v>109</v>
      </c>
      <c r="F24" s="6">
        <v>110</v>
      </c>
      <c r="G24" s="7">
        <v>403280</v>
      </c>
      <c r="H24" s="8">
        <v>3820.5</v>
      </c>
      <c r="I24" s="8">
        <v>4030.4</v>
      </c>
      <c r="J24" s="6">
        <v>667</v>
      </c>
      <c r="K24" s="5" t="s">
        <v>41</v>
      </c>
    </row>
    <row r="25" spans="1:12" ht="23" customHeight="1">
      <c r="A25" s="5" t="s">
        <v>42</v>
      </c>
      <c r="B25" s="6">
        <v>4</v>
      </c>
      <c r="C25" s="6">
        <v>1</v>
      </c>
      <c r="D25" s="6">
        <v>110</v>
      </c>
      <c r="E25" s="6">
        <v>110</v>
      </c>
      <c r="F25" s="6">
        <v>111</v>
      </c>
      <c r="G25" s="7">
        <v>403280</v>
      </c>
      <c r="H25" s="8">
        <v>4030.4</v>
      </c>
      <c r="I25" s="8">
        <v>4240.3</v>
      </c>
      <c r="J25" s="6">
        <v>668</v>
      </c>
      <c r="K25" s="5" t="s">
        <v>43</v>
      </c>
    </row>
    <row r="26" spans="1:12" ht="23" customHeight="1">
      <c r="A26" s="5" t="s">
        <v>44</v>
      </c>
      <c r="B26" s="6">
        <v>4</v>
      </c>
      <c r="C26" s="6">
        <v>1</v>
      </c>
      <c r="D26" s="6">
        <v>111</v>
      </c>
      <c r="E26" s="6">
        <v>111</v>
      </c>
      <c r="F26" s="6">
        <v>112</v>
      </c>
      <c r="G26" s="7">
        <v>403280</v>
      </c>
      <c r="H26" s="8">
        <v>4240.3</v>
      </c>
      <c r="I26" s="8">
        <v>4450.2</v>
      </c>
      <c r="J26" s="6">
        <v>669</v>
      </c>
      <c r="K26" s="5" t="s">
        <v>45</v>
      </c>
    </row>
    <row r="27" spans="1:12" ht="23" customHeight="1">
      <c r="A27" s="5" t="s">
        <v>46</v>
      </c>
      <c r="B27" s="6">
        <v>4</v>
      </c>
      <c r="C27" s="6">
        <v>1</v>
      </c>
      <c r="D27" s="6">
        <v>112</v>
      </c>
      <c r="E27" s="6">
        <v>112</v>
      </c>
      <c r="F27" s="6">
        <v>113</v>
      </c>
      <c r="G27" s="7">
        <v>225971</v>
      </c>
      <c r="H27" s="8">
        <v>3300.7</v>
      </c>
      <c r="I27" s="8">
        <v>3300.7</v>
      </c>
      <c r="J27" s="6">
        <v>670</v>
      </c>
      <c r="K27" s="5" t="s">
        <v>47</v>
      </c>
    </row>
    <row r="28" spans="1:12" ht="23" customHeight="1">
      <c r="A28" s="5" t="s">
        <v>48</v>
      </c>
      <c r="B28" s="6">
        <v>4</v>
      </c>
      <c r="C28" s="6">
        <v>1</v>
      </c>
      <c r="D28" s="6">
        <v>113</v>
      </c>
      <c r="E28" s="6">
        <v>113</v>
      </c>
      <c r="F28" s="6">
        <v>114</v>
      </c>
      <c r="G28" s="7">
        <v>193733</v>
      </c>
      <c r="H28" s="8">
        <v>3088.8</v>
      </c>
      <c r="I28" s="8">
        <v>3088.8</v>
      </c>
      <c r="J28" s="6">
        <v>671</v>
      </c>
      <c r="K28" s="5" t="s">
        <v>49</v>
      </c>
    </row>
    <row r="29" spans="1:12" ht="23" customHeight="1">
      <c r="A29" s="5" t="s">
        <v>50</v>
      </c>
      <c r="B29" s="6">
        <v>4</v>
      </c>
      <c r="C29" s="6">
        <v>1</v>
      </c>
      <c r="D29" s="6">
        <v>114</v>
      </c>
      <c r="E29" s="6">
        <v>114</v>
      </c>
      <c r="F29" s="6">
        <v>115</v>
      </c>
      <c r="G29" s="7">
        <v>193733</v>
      </c>
      <c r="H29" s="8">
        <v>3088.8</v>
      </c>
      <c r="I29" s="8">
        <v>3088.8</v>
      </c>
      <c r="J29" s="6">
        <v>672</v>
      </c>
      <c r="K29" s="5" t="s">
        <v>51</v>
      </c>
    </row>
    <row r="30" spans="1:12" ht="23" customHeight="1">
      <c r="A30" s="5" t="s">
        <v>52</v>
      </c>
      <c r="B30" s="6">
        <v>4</v>
      </c>
      <c r="C30" s="6">
        <v>1</v>
      </c>
      <c r="D30" s="6">
        <v>115</v>
      </c>
      <c r="E30" s="6">
        <v>115</v>
      </c>
      <c r="F30" s="6">
        <v>116</v>
      </c>
      <c r="G30" s="7">
        <v>193733</v>
      </c>
      <c r="H30" s="8">
        <v>3088.8</v>
      </c>
      <c r="I30" s="8">
        <v>3088.8</v>
      </c>
      <c r="J30" s="6">
        <v>673</v>
      </c>
      <c r="K30" s="5" t="s">
        <v>53</v>
      </c>
    </row>
    <row r="31" spans="1:12" ht="23" customHeight="1">
      <c r="A31" s="5" t="s">
        <v>54</v>
      </c>
      <c r="B31" s="6">
        <v>4</v>
      </c>
      <c r="C31" s="6">
        <v>1</v>
      </c>
      <c r="D31" s="6">
        <v>116</v>
      </c>
      <c r="E31" s="6">
        <v>116</v>
      </c>
      <c r="F31" s="6">
        <v>117</v>
      </c>
      <c r="G31" s="7">
        <v>193733</v>
      </c>
      <c r="H31" s="8">
        <v>3088.8</v>
      </c>
      <c r="I31" s="8">
        <v>3088.8</v>
      </c>
      <c r="J31" s="6">
        <v>674</v>
      </c>
      <c r="K31" s="5" t="s">
        <v>55</v>
      </c>
    </row>
    <row r="32" spans="1:12" ht="23" customHeight="1">
      <c r="A32" s="5" t="s">
        <v>56</v>
      </c>
      <c r="B32" s="6">
        <v>4</v>
      </c>
      <c r="C32" s="6">
        <v>1</v>
      </c>
      <c r="D32" s="6">
        <v>117</v>
      </c>
      <c r="E32" s="6">
        <v>117</v>
      </c>
      <c r="F32" s="6">
        <v>118</v>
      </c>
      <c r="G32" s="7">
        <v>193733</v>
      </c>
      <c r="H32" s="8">
        <v>3088.8</v>
      </c>
      <c r="I32" s="8">
        <v>3088.8</v>
      </c>
      <c r="J32" s="6">
        <v>675</v>
      </c>
      <c r="K32" s="5" t="s">
        <v>57</v>
      </c>
    </row>
    <row r="33" spans="1:12" ht="23" customHeight="1">
      <c r="A33" s="5" t="s">
        <v>58</v>
      </c>
      <c r="B33" s="6">
        <v>4</v>
      </c>
      <c r="C33" s="6">
        <v>1</v>
      </c>
      <c r="D33" s="6">
        <v>118</v>
      </c>
      <c r="E33" s="6">
        <v>118</v>
      </c>
      <c r="F33" s="6">
        <v>119</v>
      </c>
      <c r="G33" s="7">
        <v>193733</v>
      </c>
      <c r="H33" s="8">
        <v>3088.8</v>
      </c>
      <c r="I33" s="8">
        <v>3088.8</v>
      </c>
      <c r="J33" s="6">
        <v>676</v>
      </c>
      <c r="K33" s="5" t="s">
        <v>59</v>
      </c>
    </row>
    <row r="34" spans="1:12" ht="23" customHeight="1">
      <c r="A34" s="5" t="s">
        <v>60</v>
      </c>
      <c r="B34" s="6">
        <v>4</v>
      </c>
      <c r="C34" s="6">
        <v>1</v>
      </c>
      <c r="D34" s="6">
        <v>119</v>
      </c>
      <c r="E34" s="6">
        <v>119</v>
      </c>
      <c r="F34" s="6">
        <v>120</v>
      </c>
      <c r="G34" s="7">
        <v>193733</v>
      </c>
      <c r="H34" s="8">
        <v>3088.8</v>
      </c>
      <c r="I34" s="8">
        <v>3088.8</v>
      </c>
      <c r="J34" s="6">
        <v>677</v>
      </c>
      <c r="K34" s="5" t="s">
        <v>61</v>
      </c>
    </row>
    <row r="35" spans="1:12" ht="23" customHeight="1">
      <c r="A35" s="5" t="s">
        <v>62</v>
      </c>
      <c r="B35" s="6">
        <v>4</v>
      </c>
      <c r="C35" s="6">
        <v>1</v>
      </c>
      <c r="D35" s="6">
        <v>120</v>
      </c>
      <c r="E35" s="6">
        <v>120</v>
      </c>
      <c r="F35" s="6">
        <v>121</v>
      </c>
      <c r="G35" s="7">
        <v>193733</v>
      </c>
      <c r="H35" s="8">
        <v>3088.8</v>
      </c>
      <c r="I35" s="8">
        <v>3088.8</v>
      </c>
      <c r="J35" s="6">
        <v>678</v>
      </c>
      <c r="K35" s="5" t="s">
        <v>63</v>
      </c>
    </row>
    <row r="36" spans="1:12" ht="23" customHeight="1">
      <c r="A36" s="5" t="s">
        <v>64</v>
      </c>
      <c r="B36" s="6">
        <v>4</v>
      </c>
      <c r="C36" s="6">
        <v>1</v>
      </c>
      <c r="D36" s="6">
        <v>121</v>
      </c>
      <c r="E36" s="6">
        <v>121</v>
      </c>
      <c r="F36" s="6">
        <v>122</v>
      </c>
      <c r="G36" s="7">
        <v>193733</v>
      </c>
      <c r="H36" s="8">
        <v>3088.8</v>
      </c>
      <c r="I36" s="8">
        <v>3088.8</v>
      </c>
      <c r="J36" s="6">
        <v>679</v>
      </c>
      <c r="K36" s="5" t="s">
        <v>65</v>
      </c>
    </row>
    <row r="37" spans="1:12" ht="23" customHeight="1">
      <c r="A37" s="5" t="s">
        <v>66</v>
      </c>
      <c r="B37" s="6">
        <v>5</v>
      </c>
      <c r="C37" s="6">
        <v>2</v>
      </c>
      <c r="D37" s="6">
        <v>123</v>
      </c>
      <c r="E37" s="6">
        <v>123</v>
      </c>
      <c r="F37" s="6">
        <v>124</v>
      </c>
      <c r="G37" s="7">
        <v>39208</v>
      </c>
      <c r="H37" s="8">
        <v>1005.1</v>
      </c>
      <c r="I37" s="8">
        <v>1130.1</v>
      </c>
      <c r="J37" s="6">
        <v>681</v>
      </c>
      <c r="K37" s="5" t="s">
        <v>67</v>
      </c>
    </row>
    <row r="38" spans="1:12" ht="23" customHeight="1">
      <c r="A38" s="5" t="s">
        <v>68</v>
      </c>
      <c r="B38" s="6">
        <v>5</v>
      </c>
      <c r="C38" s="6">
        <v>2</v>
      </c>
      <c r="D38" s="6">
        <v>124</v>
      </c>
      <c r="E38" s="6">
        <v>124</v>
      </c>
      <c r="F38" s="6">
        <v>125</v>
      </c>
      <c r="G38" s="7">
        <v>181391</v>
      </c>
      <c r="H38" s="8">
        <v>1719.1</v>
      </c>
      <c r="I38" s="8">
        <v>1719.1</v>
      </c>
      <c r="J38" s="6">
        <v>682</v>
      </c>
      <c r="K38" s="5" t="s">
        <v>69</v>
      </c>
    </row>
    <row r="39" spans="1:12" ht="24" customHeight="1">
      <c r="A39" s="3" t="s">
        <v>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36" customHeight="1">
      <c r="A40" s="4" t="s">
        <v>7</v>
      </c>
      <c r="B40" s="4" t="s">
        <v>8</v>
      </c>
      <c r="C40" s="4" t="s">
        <v>9</v>
      </c>
      <c r="D40" s="4" t="s">
        <v>10</v>
      </c>
      <c r="E40" s="4" t="s">
        <v>11</v>
      </c>
      <c r="F40" s="4" t="s">
        <v>12</v>
      </c>
      <c r="G40" s="4" t="s">
        <v>13</v>
      </c>
      <c r="H40" s="4" t="s">
        <v>14</v>
      </c>
      <c r="I40" s="4" t="s">
        <v>15</v>
      </c>
      <c r="J40" s="4" t="s">
        <v>16</v>
      </c>
      <c r="K40" s="4" t="s">
        <v>17</v>
      </c>
    </row>
    <row r="41" spans="1:12" ht="23" customHeight="1">
      <c r="A41" s="5" t="s">
        <v>70</v>
      </c>
      <c r="B41" s="6">
        <v>5</v>
      </c>
      <c r="C41" s="6">
        <v>2</v>
      </c>
      <c r="D41" s="6">
        <v>125</v>
      </c>
      <c r="E41" s="6">
        <v>125</v>
      </c>
      <c r="F41" s="6">
        <v>126</v>
      </c>
      <c r="G41" s="7">
        <v>94334</v>
      </c>
      <c r="H41" s="8">
        <v>1285.3</v>
      </c>
      <c r="I41" s="8">
        <v>1285.3</v>
      </c>
      <c r="J41" s="6">
        <v>683</v>
      </c>
      <c r="K41" s="5" t="s">
        <v>71</v>
      </c>
    </row>
    <row r="42" spans="1:12" ht="23" customHeight="1">
      <c r="A42" s="5" t="s">
        <v>72</v>
      </c>
      <c r="B42" s="6">
        <v>5</v>
      </c>
      <c r="C42" s="6">
        <v>2</v>
      </c>
      <c r="D42" s="6">
        <v>126</v>
      </c>
      <c r="E42" s="6">
        <v>126</v>
      </c>
      <c r="F42" s="6">
        <v>127</v>
      </c>
      <c r="G42" s="7">
        <v>73805</v>
      </c>
      <c r="H42" s="7">
        <v>1170</v>
      </c>
      <c r="I42" s="7">
        <v>1170</v>
      </c>
      <c r="J42" s="6">
        <v>684</v>
      </c>
      <c r="K42" s="5" t="s">
        <v>73</v>
      </c>
    </row>
    <row r="43" spans="1:12" ht="23" customHeight="1">
      <c r="A43" s="5" t="s">
        <v>74</v>
      </c>
      <c r="B43" s="6">
        <v>5</v>
      </c>
      <c r="C43" s="6">
        <v>2</v>
      </c>
      <c r="D43" s="6">
        <v>127</v>
      </c>
      <c r="E43" s="6">
        <v>127</v>
      </c>
      <c r="F43" s="6">
        <v>128</v>
      </c>
      <c r="G43" s="7">
        <v>138686</v>
      </c>
      <c r="H43" s="8">
        <v>1732.3</v>
      </c>
      <c r="I43" s="8">
        <v>1732.3</v>
      </c>
      <c r="J43" s="6">
        <v>685</v>
      </c>
      <c r="K43" s="5" t="s">
        <v>75</v>
      </c>
    </row>
    <row r="44" spans="1:12" ht="23" customHeight="1">
      <c r="A44" s="5" t="s">
        <v>76</v>
      </c>
      <c r="B44" s="6">
        <v>5</v>
      </c>
      <c r="C44" s="6">
        <v>2</v>
      </c>
      <c r="D44" s="6">
        <v>128</v>
      </c>
      <c r="E44" s="6">
        <v>128</v>
      </c>
      <c r="F44" s="6">
        <v>129</v>
      </c>
      <c r="G44" s="7">
        <v>179236</v>
      </c>
      <c r="H44" s="8">
        <v>2137.2</v>
      </c>
      <c r="I44" s="8">
        <v>2310.9</v>
      </c>
      <c r="J44" s="6">
        <v>686</v>
      </c>
      <c r="K44" s="5" t="s">
        <v>77</v>
      </c>
    </row>
    <row r="45" spans="1:12" ht="23" customHeight="1">
      <c r="A45" s="5" t="s">
        <v>78</v>
      </c>
      <c r="B45" s="6">
        <v>5</v>
      </c>
      <c r="C45" s="6">
        <v>2</v>
      </c>
      <c r="D45" s="6">
        <v>129</v>
      </c>
      <c r="E45" s="6">
        <v>129</v>
      </c>
      <c r="F45" s="6">
        <v>130</v>
      </c>
      <c r="G45" s="7">
        <v>242293</v>
      </c>
      <c r="H45" s="8">
        <v>3391.1</v>
      </c>
      <c r="I45" s="8">
        <v>3391.1</v>
      </c>
      <c r="J45" s="6">
        <v>687</v>
      </c>
      <c r="K45" s="5" t="s">
        <v>79</v>
      </c>
    </row>
    <row r="46" spans="1:12" ht="23" customHeight="1">
      <c r="A46" s="5" t="s">
        <v>80</v>
      </c>
      <c r="B46" s="6">
        <v>5</v>
      </c>
      <c r="C46" s="6">
        <v>2</v>
      </c>
      <c r="D46" s="6">
        <v>130</v>
      </c>
      <c r="E46" s="6">
        <v>130</v>
      </c>
      <c r="F46" s="6">
        <v>131</v>
      </c>
      <c r="G46" s="7">
        <v>268854</v>
      </c>
      <c r="H46" s="8">
        <v>2576.3</v>
      </c>
      <c r="I46" s="8">
        <v>2757.7</v>
      </c>
      <c r="J46" s="6">
        <v>688</v>
      </c>
      <c r="K46" s="5" t="s">
        <v>81</v>
      </c>
    </row>
    <row r="47" spans="1:12" ht="23" customHeight="1">
      <c r="A47" s="5" t="s">
        <v>82</v>
      </c>
      <c r="B47" s="6">
        <v>5</v>
      </c>
      <c r="C47" s="6">
        <v>2</v>
      </c>
      <c r="D47" s="6">
        <v>131</v>
      </c>
      <c r="E47" s="6">
        <v>131</v>
      </c>
      <c r="F47" s="6">
        <v>132</v>
      </c>
      <c r="G47" s="7">
        <v>268854</v>
      </c>
      <c r="H47" s="8">
        <v>2757.7</v>
      </c>
      <c r="I47" s="8">
        <v>2939.2</v>
      </c>
      <c r="J47" s="6">
        <v>689</v>
      </c>
      <c r="K47" s="5" t="s">
        <v>83</v>
      </c>
    </row>
    <row r="48" spans="1:12" ht="23" customHeight="1">
      <c r="A48" s="5" t="s">
        <v>84</v>
      </c>
      <c r="B48" s="6">
        <v>5</v>
      </c>
      <c r="C48" s="6">
        <v>2</v>
      </c>
      <c r="D48" s="6">
        <v>132</v>
      </c>
      <c r="E48" s="6">
        <v>132</v>
      </c>
      <c r="F48" s="6">
        <v>133</v>
      </c>
      <c r="G48" s="7">
        <v>268854</v>
      </c>
      <c r="H48" s="8">
        <v>2939.2</v>
      </c>
      <c r="I48" s="8">
        <v>3120.6</v>
      </c>
      <c r="J48" s="6">
        <v>690</v>
      </c>
      <c r="K48" s="5" t="s">
        <v>85</v>
      </c>
    </row>
    <row r="49" spans="1:12" ht="23" customHeight="1">
      <c r="A49" s="5" t="s">
        <v>86</v>
      </c>
      <c r="B49" s="6">
        <v>5</v>
      </c>
      <c r="C49" s="6">
        <v>2</v>
      </c>
      <c r="D49" s="6">
        <v>133</v>
      </c>
      <c r="E49" s="6">
        <v>133</v>
      </c>
      <c r="F49" s="6">
        <v>134</v>
      </c>
      <c r="G49" s="7">
        <v>268854</v>
      </c>
      <c r="H49" s="8">
        <v>3120.6</v>
      </c>
      <c r="I49" s="7">
        <v>3302</v>
      </c>
      <c r="J49" s="6">
        <v>691</v>
      </c>
      <c r="K49" s="5" t="s">
        <v>87</v>
      </c>
    </row>
    <row r="50" spans="1:12" ht="23" customHeight="1">
      <c r="A50" s="5" t="s">
        <v>88</v>
      </c>
      <c r="B50" s="6">
        <v>5</v>
      </c>
      <c r="C50" s="6">
        <v>2</v>
      </c>
      <c r="D50" s="6">
        <v>134</v>
      </c>
      <c r="E50" s="6">
        <v>134</v>
      </c>
      <c r="F50" s="6">
        <v>135</v>
      </c>
      <c r="G50" s="7">
        <v>268854</v>
      </c>
      <c r="H50" s="7">
        <v>3302</v>
      </c>
      <c r="I50" s="8">
        <v>3483.4</v>
      </c>
      <c r="J50" s="6">
        <v>692</v>
      </c>
      <c r="K50" s="5" t="s">
        <v>89</v>
      </c>
    </row>
    <row r="51" spans="1:12" ht="23" customHeight="1">
      <c r="A51" s="5" t="s">
        <v>90</v>
      </c>
      <c r="B51" s="6">
        <v>5</v>
      </c>
      <c r="C51" s="6">
        <v>2</v>
      </c>
      <c r="D51" s="6">
        <v>135</v>
      </c>
      <c r="E51" s="6">
        <v>135</v>
      </c>
      <c r="F51" s="6">
        <v>136</v>
      </c>
      <c r="G51" s="7">
        <v>268854</v>
      </c>
      <c r="H51" s="8">
        <v>3483.4</v>
      </c>
      <c r="I51" s="8">
        <v>3664.9</v>
      </c>
      <c r="J51" s="6">
        <v>693</v>
      </c>
      <c r="K51" s="5" t="s">
        <v>91</v>
      </c>
    </row>
    <row r="52" spans="1:12" ht="23" customHeight="1">
      <c r="A52" s="5" t="s">
        <v>92</v>
      </c>
      <c r="B52" s="6">
        <v>5</v>
      </c>
      <c r="C52" s="6">
        <v>2</v>
      </c>
      <c r="D52" s="6">
        <v>136</v>
      </c>
      <c r="E52" s="6">
        <v>136</v>
      </c>
      <c r="F52" s="6">
        <v>137</v>
      </c>
      <c r="G52" s="7">
        <v>268854</v>
      </c>
      <c r="H52" s="8">
        <v>3664.9</v>
      </c>
      <c r="I52" s="8">
        <v>3846.3</v>
      </c>
      <c r="J52" s="6">
        <v>694</v>
      </c>
      <c r="K52" s="5" t="s">
        <v>93</v>
      </c>
    </row>
    <row r="53" spans="1:12" ht="23" customHeight="1">
      <c r="A53" s="5" t="s">
        <v>94</v>
      </c>
      <c r="B53" s="6">
        <v>5</v>
      </c>
      <c r="C53" s="6">
        <v>2</v>
      </c>
      <c r="D53" s="6">
        <v>137</v>
      </c>
      <c r="E53" s="6">
        <v>137</v>
      </c>
      <c r="F53" s="6">
        <v>138</v>
      </c>
      <c r="G53" s="7">
        <v>150647</v>
      </c>
      <c r="H53" s="8">
        <v>2336.3</v>
      </c>
      <c r="I53" s="8">
        <v>2336.3</v>
      </c>
      <c r="J53" s="6">
        <v>695</v>
      </c>
      <c r="K53" s="5" t="s">
        <v>95</v>
      </c>
    </row>
    <row r="54" spans="1:12" ht="23" customHeight="1">
      <c r="A54" s="5" t="s">
        <v>96</v>
      </c>
      <c r="B54" s="6">
        <v>5</v>
      </c>
      <c r="C54" s="6">
        <v>2</v>
      </c>
      <c r="D54" s="6">
        <v>138</v>
      </c>
      <c r="E54" s="6">
        <v>138</v>
      </c>
      <c r="F54" s="6">
        <v>139</v>
      </c>
      <c r="G54" s="7">
        <v>129155</v>
      </c>
      <c r="H54" s="8">
        <v>2059.2</v>
      </c>
      <c r="I54" s="8">
        <v>2059.2</v>
      </c>
      <c r="J54" s="6">
        <v>696</v>
      </c>
      <c r="K54" s="5" t="s">
        <v>97</v>
      </c>
    </row>
    <row r="55" spans="1:12" ht="23" customHeight="1">
      <c r="A55" s="5" t="s">
        <v>98</v>
      </c>
      <c r="B55" s="6">
        <v>5</v>
      </c>
      <c r="C55" s="6">
        <v>2</v>
      </c>
      <c r="D55" s="6">
        <v>139</v>
      </c>
      <c r="E55" s="6">
        <v>139</v>
      </c>
      <c r="F55" s="6">
        <v>140</v>
      </c>
      <c r="G55" s="7">
        <v>129155</v>
      </c>
      <c r="H55" s="8">
        <v>2059.2</v>
      </c>
      <c r="I55" s="8">
        <v>2059.2</v>
      </c>
      <c r="J55" s="6">
        <v>697</v>
      </c>
      <c r="K55" s="5" t="s">
        <v>99</v>
      </c>
    </row>
    <row r="56" spans="1:12" ht="24" customHeight="1">
      <c r="A56" s="3" t="s">
        <v>6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36" customHeight="1">
      <c r="A57" s="4" t="s">
        <v>7</v>
      </c>
      <c r="B57" s="4" t="s">
        <v>8</v>
      </c>
      <c r="C57" s="4" t="s">
        <v>9</v>
      </c>
      <c r="D57" s="4" t="s">
        <v>10</v>
      </c>
      <c r="E57" s="4" t="s">
        <v>11</v>
      </c>
      <c r="F57" s="4" t="s">
        <v>12</v>
      </c>
      <c r="G57" s="4" t="s">
        <v>13</v>
      </c>
      <c r="H57" s="4" t="s">
        <v>14</v>
      </c>
      <c r="I57" s="4" t="s">
        <v>15</v>
      </c>
      <c r="J57" s="4" t="s">
        <v>16</v>
      </c>
      <c r="K57" s="4" t="s">
        <v>17</v>
      </c>
    </row>
    <row r="58" spans="1:12" ht="23" customHeight="1">
      <c r="A58" s="5" t="s">
        <v>100</v>
      </c>
      <c r="B58" s="6">
        <v>5</v>
      </c>
      <c r="C58" s="6">
        <v>2</v>
      </c>
      <c r="D58" s="6">
        <v>140</v>
      </c>
      <c r="E58" s="6">
        <v>140</v>
      </c>
      <c r="F58" s="6">
        <v>141</v>
      </c>
      <c r="G58" s="7">
        <v>129155</v>
      </c>
      <c r="H58" s="8">
        <v>2059.2</v>
      </c>
      <c r="I58" s="8">
        <v>2059.2</v>
      </c>
      <c r="J58" s="6">
        <v>698</v>
      </c>
      <c r="K58" s="5" t="s">
        <v>101</v>
      </c>
    </row>
    <row r="59" spans="1:12" ht="23" customHeight="1">
      <c r="A59" s="5" t="s">
        <v>102</v>
      </c>
      <c r="B59" s="6">
        <v>5</v>
      </c>
      <c r="C59" s="6">
        <v>2</v>
      </c>
      <c r="D59" s="6">
        <v>141</v>
      </c>
      <c r="E59" s="6">
        <v>141</v>
      </c>
      <c r="F59" s="6">
        <v>142</v>
      </c>
      <c r="G59" s="7">
        <v>129155</v>
      </c>
      <c r="H59" s="8">
        <v>2059.2</v>
      </c>
      <c r="I59" s="8">
        <v>2059.2</v>
      </c>
      <c r="J59" s="6">
        <v>699</v>
      </c>
      <c r="K59" s="5" t="s">
        <v>103</v>
      </c>
    </row>
    <row r="60" spans="1:12" ht="23" customHeight="1">
      <c r="A60" s="5" t="s">
        <v>104</v>
      </c>
      <c r="B60" s="6">
        <v>5</v>
      </c>
      <c r="C60" s="6">
        <v>2</v>
      </c>
      <c r="D60" s="6">
        <v>142</v>
      </c>
      <c r="E60" s="6">
        <v>142</v>
      </c>
      <c r="F60" s="6">
        <v>143</v>
      </c>
      <c r="G60" s="7">
        <v>129155</v>
      </c>
      <c r="H60" s="8">
        <v>2059.2</v>
      </c>
      <c r="I60" s="8">
        <v>2059.2</v>
      </c>
      <c r="J60" s="6">
        <v>700</v>
      </c>
      <c r="K60" s="5" t="s">
        <v>105</v>
      </c>
    </row>
    <row r="61" spans="1:12" ht="23" customHeight="1">
      <c r="A61" s="5" t="s">
        <v>106</v>
      </c>
      <c r="B61" s="6">
        <v>5</v>
      </c>
      <c r="C61" s="6">
        <v>2</v>
      </c>
      <c r="D61" s="6">
        <v>143</v>
      </c>
      <c r="E61" s="6">
        <v>143</v>
      </c>
      <c r="F61" s="6">
        <v>144</v>
      </c>
      <c r="G61" s="7">
        <v>129155</v>
      </c>
      <c r="H61" s="8">
        <v>2059.2</v>
      </c>
      <c r="I61" s="8">
        <v>2059.2</v>
      </c>
      <c r="J61" s="6">
        <v>701</v>
      </c>
      <c r="K61" s="5" t="s">
        <v>107</v>
      </c>
    </row>
    <row r="62" spans="1:12" ht="23" customHeight="1">
      <c r="A62" s="5" t="s">
        <v>108</v>
      </c>
      <c r="B62" s="6">
        <v>5</v>
      </c>
      <c r="C62" s="6">
        <v>2</v>
      </c>
      <c r="D62" s="6">
        <v>144</v>
      </c>
      <c r="E62" s="6">
        <v>144</v>
      </c>
      <c r="F62" s="6">
        <v>145</v>
      </c>
      <c r="G62" s="7">
        <v>129155</v>
      </c>
      <c r="H62" s="8">
        <v>2059.2</v>
      </c>
      <c r="I62" s="8">
        <v>2059.2</v>
      </c>
      <c r="J62" s="6">
        <v>702</v>
      </c>
      <c r="K62" s="5" t="s">
        <v>109</v>
      </c>
    </row>
    <row r="63" spans="1:12" ht="23" customHeight="1">
      <c r="A63" s="5" t="s">
        <v>110</v>
      </c>
      <c r="B63" s="6">
        <v>5</v>
      </c>
      <c r="C63" s="6">
        <v>2</v>
      </c>
      <c r="D63" s="6">
        <v>145</v>
      </c>
      <c r="E63" s="6">
        <v>145</v>
      </c>
      <c r="F63" s="6">
        <v>146</v>
      </c>
      <c r="G63" s="7">
        <v>129155</v>
      </c>
      <c r="H63" s="8">
        <v>2059.2</v>
      </c>
      <c r="I63" s="8">
        <v>2059.2</v>
      </c>
      <c r="J63" s="6">
        <v>703</v>
      </c>
      <c r="K63" s="5" t="s">
        <v>111</v>
      </c>
    </row>
    <row r="64" spans="1:12" ht="23" customHeight="1">
      <c r="A64" s="5" t="s">
        <v>112</v>
      </c>
      <c r="B64" s="6">
        <v>5</v>
      </c>
      <c r="C64" s="6">
        <v>2</v>
      </c>
      <c r="D64" s="6">
        <v>146</v>
      </c>
      <c r="E64" s="6">
        <v>146</v>
      </c>
      <c r="F64" s="6">
        <v>147</v>
      </c>
      <c r="G64" s="7">
        <v>129155</v>
      </c>
      <c r="H64" s="8">
        <v>2059.2</v>
      </c>
      <c r="I64" s="8">
        <v>2059.2</v>
      </c>
      <c r="J64" s="6">
        <v>704</v>
      </c>
      <c r="K64" s="5" t="s">
        <v>113</v>
      </c>
    </row>
    <row r="65" spans="1:12" ht="23" customHeight="1">
      <c r="A65" s="5" t="s">
        <v>114</v>
      </c>
      <c r="B65" s="6">
        <v>6</v>
      </c>
      <c r="C65" s="6">
        <v>3</v>
      </c>
      <c r="D65" s="6">
        <v>148</v>
      </c>
      <c r="E65" s="6">
        <v>148</v>
      </c>
      <c r="F65" s="6">
        <v>149</v>
      </c>
      <c r="G65" s="7">
        <v>58812</v>
      </c>
      <c r="H65" s="8">
        <v>2907.3</v>
      </c>
      <c r="I65" s="8">
        <v>3268.7</v>
      </c>
      <c r="J65" s="6">
        <v>706</v>
      </c>
      <c r="K65" s="5" t="s">
        <v>115</v>
      </c>
    </row>
    <row r="66" spans="1:12" ht="23" customHeight="1">
      <c r="A66" s="5" t="s">
        <v>116</v>
      </c>
      <c r="B66" s="6">
        <v>6</v>
      </c>
      <c r="C66" s="6">
        <v>3</v>
      </c>
      <c r="D66" s="6">
        <v>149</v>
      </c>
      <c r="E66" s="6">
        <v>149</v>
      </c>
      <c r="F66" s="6">
        <v>150</v>
      </c>
      <c r="G66" s="7">
        <v>272086</v>
      </c>
      <c r="H66" s="8">
        <v>4972.5</v>
      </c>
      <c r="I66" s="8">
        <v>4972.5</v>
      </c>
      <c r="J66" s="6">
        <v>707</v>
      </c>
      <c r="K66" s="5" t="s">
        <v>117</v>
      </c>
    </row>
    <row r="67" spans="1:12" ht="23" customHeight="1">
      <c r="A67" s="5" t="s">
        <v>118</v>
      </c>
      <c r="B67" s="6">
        <v>6</v>
      </c>
      <c r="C67" s="6">
        <v>3</v>
      </c>
      <c r="D67" s="6">
        <v>150</v>
      </c>
      <c r="E67" s="6">
        <v>150</v>
      </c>
      <c r="F67" s="6">
        <v>151</v>
      </c>
      <c r="G67" s="7">
        <v>141501</v>
      </c>
      <c r="H67" s="8">
        <v>2339.1</v>
      </c>
      <c r="I67" s="8">
        <v>2339.1</v>
      </c>
      <c r="J67" s="6">
        <v>708</v>
      </c>
      <c r="K67" s="5" t="s">
        <v>119</v>
      </c>
    </row>
    <row r="68" spans="1:12" ht="23" customHeight="1">
      <c r="A68" s="5" t="s">
        <v>120</v>
      </c>
      <c r="B68" s="6">
        <v>6</v>
      </c>
      <c r="C68" s="6">
        <v>3</v>
      </c>
      <c r="D68" s="6">
        <v>151</v>
      </c>
      <c r="E68" s="6">
        <v>151</v>
      </c>
      <c r="F68" s="6">
        <v>152</v>
      </c>
      <c r="G68" s="7">
        <v>110708</v>
      </c>
      <c r="H68" s="7">
        <v>1755</v>
      </c>
      <c r="I68" s="7">
        <v>1755</v>
      </c>
      <c r="J68" s="6">
        <v>709</v>
      </c>
      <c r="K68" s="5" t="s">
        <v>121</v>
      </c>
    </row>
    <row r="69" spans="1:12" ht="23" customHeight="1">
      <c r="A69" s="5" t="s">
        <v>122</v>
      </c>
      <c r="B69" s="6">
        <v>6</v>
      </c>
      <c r="C69" s="6">
        <v>3</v>
      </c>
      <c r="D69" s="6">
        <v>152</v>
      </c>
      <c r="E69" s="6">
        <v>152</v>
      </c>
      <c r="F69" s="6">
        <v>153</v>
      </c>
      <c r="G69" s="7">
        <v>208029</v>
      </c>
      <c r="H69" s="8">
        <v>4384.1</v>
      </c>
      <c r="I69" s="8">
        <v>4384.1</v>
      </c>
      <c r="J69" s="6">
        <v>710</v>
      </c>
      <c r="K69" s="5" t="s">
        <v>123</v>
      </c>
    </row>
    <row r="70" spans="1:12" ht="23" customHeight="1">
      <c r="A70" s="5" t="s">
        <v>124</v>
      </c>
      <c r="B70" s="6">
        <v>6</v>
      </c>
      <c r="C70" s="6">
        <v>3</v>
      </c>
      <c r="D70" s="6">
        <v>153</v>
      </c>
      <c r="E70" s="6">
        <v>153</v>
      </c>
      <c r="F70" s="6">
        <v>154</v>
      </c>
      <c r="G70" s="7">
        <v>268854</v>
      </c>
      <c r="H70" s="8">
        <v>6181.8</v>
      </c>
      <c r="I70" s="8">
        <v>6684.3</v>
      </c>
      <c r="J70" s="6">
        <v>711</v>
      </c>
      <c r="K70" s="5" t="s">
        <v>125</v>
      </c>
    </row>
    <row r="71" spans="1:12" ht="23" customHeight="1">
      <c r="A71" s="5" t="s">
        <v>126</v>
      </c>
      <c r="B71" s="6">
        <v>6</v>
      </c>
      <c r="C71" s="6">
        <v>3</v>
      </c>
      <c r="D71" s="6">
        <v>154</v>
      </c>
      <c r="E71" s="6">
        <v>154</v>
      </c>
      <c r="F71" s="6">
        <v>155</v>
      </c>
      <c r="G71" s="7">
        <v>363440</v>
      </c>
      <c r="H71" s="8">
        <v>6891.1</v>
      </c>
      <c r="I71" s="8">
        <v>6891.1</v>
      </c>
      <c r="J71" s="6">
        <v>712</v>
      </c>
      <c r="K71" s="5" t="s">
        <v>127</v>
      </c>
    </row>
    <row r="72" spans="1:12" ht="23" customHeight="1">
      <c r="A72" s="5" t="s">
        <v>128</v>
      </c>
      <c r="B72" s="6">
        <v>6</v>
      </c>
      <c r="C72" s="6">
        <v>3</v>
      </c>
      <c r="D72" s="6">
        <v>155</v>
      </c>
      <c r="E72" s="6">
        <v>155</v>
      </c>
      <c r="F72" s="6">
        <v>156</v>
      </c>
      <c r="G72" s="7">
        <v>403280</v>
      </c>
      <c r="H72" s="8">
        <v>7451.9</v>
      </c>
      <c r="I72" s="8">
        <v>7976.7</v>
      </c>
      <c r="J72" s="6">
        <v>713</v>
      </c>
      <c r="K72" s="5" t="s">
        <v>129</v>
      </c>
    </row>
    <row r="73" spans="1:12" ht="24" customHeight="1">
      <c r="A73" s="3" t="s">
        <v>6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36" customHeight="1">
      <c r="A74" s="4" t="s">
        <v>7</v>
      </c>
      <c r="B74" s="4" t="s">
        <v>8</v>
      </c>
      <c r="C74" s="4" t="s">
        <v>9</v>
      </c>
      <c r="D74" s="4" t="s">
        <v>10</v>
      </c>
      <c r="E74" s="4" t="s">
        <v>11</v>
      </c>
      <c r="F74" s="4" t="s">
        <v>12</v>
      </c>
      <c r="G74" s="4" t="s">
        <v>13</v>
      </c>
      <c r="H74" s="4" t="s">
        <v>14</v>
      </c>
      <c r="I74" s="4" t="s">
        <v>15</v>
      </c>
      <c r="J74" s="4" t="s">
        <v>16</v>
      </c>
      <c r="K74" s="4" t="s">
        <v>17</v>
      </c>
    </row>
    <row r="75" spans="1:12" ht="23" customHeight="1">
      <c r="A75" s="5" t="s">
        <v>130</v>
      </c>
      <c r="B75" s="6">
        <v>6</v>
      </c>
      <c r="C75" s="6">
        <v>3</v>
      </c>
      <c r="D75" s="6">
        <v>156</v>
      </c>
      <c r="E75" s="6">
        <v>156</v>
      </c>
      <c r="F75" s="6">
        <v>157</v>
      </c>
      <c r="G75" s="7">
        <v>403280</v>
      </c>
      <c r="H75" s="8">
        <v>7976.7</v>
      </c>
      <c r="I75" s="8">
        <v>8501.5</v>
      </c>
      <c r="J75" s="6">
        <v>714</v>
      </c>
      <c r="K75" s="5" t="s">
        <v>131</v>
      </c>
    </row>
    <row r="76" spans="1:12" ht="23" customHeight="1">
      <c r="A76" s="5" t="s">
        <v>132</v>
      </c>
      <c r="B76" s="6">
        <v>6</v>
      </c>
      <c r="C76" s="6">
        <v>3</v>
      </c>
      <c r="D76" s="6">
        <v>157</v>
      </c>
      <c r="E76" s="6">
        <v>157</v>
      </c>
      <c r="F76" s="6">
        <v>158</v>
      </c>
      <c r="G76" s="7">
        <v>403280</v>
      </c>
      <c r="H76" s="8">
        <v>8501.5</v>
      </c>
      <c r="I76" s="8">
        <v>9026.299999999999</v>
      </c>
      <c r="J76" s="6">
        <v>715</v>
      </c>
      <c r="K76" s="5" t="s">
        <v>133</v>
      </c>
    </row>
    <row r="77" spans="1:12" ht="23" customHeight="1">
      <c r="A77" s="5" t="s">
        <v>134</v>
      </c>
      <c r="B77" s="6">
        <v>6</v>
      </c>
      <c r="C77" s="6">
        <v>3</v>
      </c>
      <c r="D77" s="6">
        <v>158</v>
      </c>
      <c r="E77" s="6">
        <v>158</v>
      </c>
      <c r="F77" s="6">
        <v>159</v>
      </c>
      <c r="G77" s="7">
        <v>403280</v>
      </c>
      <c r="H77" s="8">
        <v>9026.299999999999</v>
      </c>
      <c r="I77" s="8">
        <v>9551.1</v>
      </c>
      <c r="J77" s="6">
        <v>716</v>
      </c>
      <c r="K77" s="5" t="s">
        <v>135</v>
      </c>
    </row>
    <row r="78" spans="1:12" ht="23" customHeight="1">
      <c r="A78" s="5" t="s">
        <v>136</v>
      </c>
      <c r="B78" s="6">
        <v>6</v>
      </c>
      <c r="C78" s="6">
        <v>3</v>
      </c>
      <c r="D78" s="6">
        <v>159</v>
      </c>
      <c r="E78" s="6">
        <v>159</v>
      </c>
      <c r="F78" s="6">
        <v>160</v>
      </c>
      <c r="G78" s="7">
        <v>403280</v>
      </c>
      <c r="H78" s="8">
        <v>9551.1</v>
      </c>
      <c r="I78" s="8">
        <v>10075.9</v>
      </c>
      <c r="J78" s="6">
        <v>717</v>
      </c>
      <c r="K78" s="5" t="s">
        <v>137</v>
      </c>
    </row>
    <row r="79" spans="1:12" ht="23" customHeight="1">
      <c r="A79" s="5" t="s">
        <v>138</v>
      </c>
      <c r="B79" s="6">
        <v>6</v>
      </c>
      <c r="C79" s="6">
        <v>3</v>
      </c>
      <c r="D79" s="6">
        <v>160</v>
      </c>
      <c r="E79" s="6">
        <v>160</v>
      </c>
      <c r="F79" s="6">
        <v>161</v>
      </c>
      <c r="G79" s="7">
        <v>403280</v>
      </c>
      <c r="H79" s="8">
        <v>10075.9</v>
      </c>
      <c r="I79" s="8">
        <v>10600.7</v>
      </c>
      <c r="J79" s="6">
        <v>718</v>
      </c>
      <c r="K79" s="5" t="s">
        <v>139</v>
      </c>
    </row>
    <row r="80" spans="1:12" ht="23" customHeight="1">
      <c r="A80" s="5" t="s">
        <v>140</v>
      </c>
      <c r="B80" s="6">
        <v>6</v>
      </c>
      <c r="C80" s="6">
        <v>3</v>
      </c>
      <c r="D80" s="6">
        <v>161</v>
      </c>
      <c r="E80" s="6">
        <v>161</v>
      </c>
      <c r="F80" s="6">
        <v>162</v>
      </c>
      <c r="G80" s="7">
        <v>403280</v>
      </c>
      <c r="H80" s="8">
        <v>10600.7</v>
      </c>
      <c r="I80" s="8">
        <v>11125.5</v>
      </c>
      <c r="J80" s="6">
        <v>719</v>
      </c>
      <c r="K80" s="5" t="s">
        <v>141</v>
      </c>
    </row>
    <row r="81" spans="1:12" ht="23" customHeight="1">
      <c r="A81" s="5" t="s">
        <v>142</v>
      </c>
      <c r="B81" s="6">
        <v>6</v>
      </c>
      <c r="C81" s="6">
        <v>3</v>
      </c>
      <c r="D81" s="6">
        <v>162</v>
      </c>
      <c r="E81" s="6">
        <v>162</v>
      </c>
      <c r="F81" s="6">
        <v>163</v>
      </c>
      <c r="G81" s="7">
        <v>225971</v>
      </c>
      <c r="H81" s="8">
        <v>4331.4</v>
      </c>
      <c r="I81" s="8">
        <v>4331.4</v>
      </c>
      <c r="J81" s="6">
        <v>720</v>
      </c>
      <c r="K81" s="5" t="s">
        <v>143</v>
      </c>
    </row>
    <row r="82" spans="1:12" ht="23" customHeight="1">
      <c r="A82" s="5" t="s">
        <v>144</v>
      </c>
      <c r="B82" s="6">
        <v>6</v>
      </c>
      <c r="C82" s="6">
        <v>3</v>
      </c>
      <c r="D82" s="6">
        <v>163</v>
      </c>
      <c r="E82" s="6">
        <v>163</v>
      </c>
      <c r="F82" s="6">
        <v>164</v>
      </c>
      <c r="G82" s="7">
        <v>193733</v>
      </c>
      <c r="H82" s="8">
        <v>3088.8</v>
      </c>
      <c r="I82" s="8">
        <v>3088.8</v>
      </c>
      <c r="J82" s="6">
        <v>721</v>
      </c>
      <c r="K82" s="5" t="s">
        <v>145</v>
      </c>
    </row>
    <row r="83" spans="1:12" ht="23" customHeight="1">
      <c r="A83" s="5" t="s">
        <v>146</v>
      </c>
      <c r="B83" s="6">
        <v>6</v>
      </c>
      <c r="C83" s="6">
        <v>3</v>
      </c>
      <c r="D83" s="6">
        <v>164</v>
      </c>
      <c r="E83" s="6">
        <v>164</v>
      </c>
      <c r="F83" s="6">
        <v>165</v>
      </c>
      <c r="G83" s="7">
        <v>193733</v>
      </c>
      <c r="H83" s="8">
        <v>3088.8</v>
      </c>
      <c r="I83" s="8">
        <v>3088.8</v>
      </c>
      <c r="J83" s="6">
        <v>722</v>
      </c>
      <c r="K83" s="5" t="s">
        <v>147</v>
      </c>
    </row>
    <row r="84" spans="1:12" ht="23" customHeight="1">
      <c r="A84" s="5" t="s">
        <v>148</v>
      </c>
      <c r="B84" s="6">
        <v>6</v>
      </c>
      <c r="C84" s="6">
        <v>3</v>
      </c>
      <c r="D84" s="6">
        <v>165</v>
      </c>
      <c r="E84" s="6">
        <v>165</v>
      </c>
      <c r="F84" s="6">
        <v>166</v>
      </c>
      <c r="G84" s="7">
        <v>193733</v>
      </c>
      <c r="H84" s="8">
        <v>3088.8</v>
      </c>
      <c r="I84" s="8">
        <v>3088.8</v>
      </c>
      <c r="J84" s="6">
        <v>723</v>
      </c>
      <c r="K84" s="5" t="s">
        <v>149</v>
      </c>
    </row>
    <row r="85" spans="1:12" ht="23" customHeight="1">
      <c r="A85" s="5" t="s">
        <v>150</v>
      </c>
      <c r="B85" s="6">
        <v>6</v>
      </c>
      <c r="C85" s="6">
        <v>3</v>
      </c>
      <c r="D85" s="6">
        <v>166</v>
      </c>
      <c r="E85" s="6">
        <v>166</v>
      </c>
      <c r="F85" s="6">
        <v>167</v>
      </c>
      <c r="G85" s="7">
        <v>193733</v>
      </c>
      <c r="H85" s="8">
        <v>3088.8</v>
      </c>
      <c r="I85" s="8">
        <v>3088.8</v>
      </c>
      <c r="J85" s="6">
        <v>724</v>
      </c>
      <c r="K85" s="5" t="s">
        <v>151</v>
      </c>
    </row>
    <row r="86" spans="1:12" ht="23" customHeight="1">
      <c r="A86" s="5" t="s">
        <v>152</v>
      </c>
      <c r="B86" s="6">
        <v>6</v>
      </c>
      <c r="C86" s="6">
        <v>3</v>
      </c>
      <c r="D86" s="6">
        <v>167</v>
      </c>
      <c r="E86" s="6">
        <v>167</v>
      </c>
      <c r="F86" s="6">
        <v>168</v>
      </c>
      <c r="G86" s="7">
        <v>193733</v>
      </c>
      <c r="H86" s="8">
        <v>3088.8</v>
      </c>
      <c r="I86" s="8">
        <v>3088.8</v>
      </c>
      <c r="J86" s="6">
        <v>725</v>
      </c>
      <c r="K86" s="5" t="s">
        <v>153</v>
      </c>
    </row>
    <row r="87" spans="1:12" ht="23" customHeight="1">
      <c r="A87" s="5" t="s">
        <v>154</v>
      </c>
      <c r="B87" s="6">
        <v>6</v>
      </c>
      <c r="C87" s="6">
        <v>3</v>
      </c>
      <c r="D87" s="6">
        <v>168</v>
      </c>
      <c r="E87" s="6">
        <v>168</v>
      </c>
      <c r="F87" s="6">
        <v>169</v>
      </c>
      <c r="G87" s="7">
        <v>193733</v>
      </c>
      <c r="H87" s="8">
        <v>3088.8</v>
      </c>
      <c r="I87" s="8">
        <v>3088.8</v>
      </c>
      <c r="J87" s="6">
        <v>726</v>
      </c>
      <c r="K87" s="5" t="s">
        <v>155</v>
      </c>
    </row>
    <row r="88" spans="1:12" ht="23" customHeight="1">
      <c r="A88" s="5" t="s">
        <v>156</v>
      </c>
      <c r="B88" s="6">
        <v>6</v>
      </c>
      <c r="C88" s="6">
        <v>3</v>
      </c>
      <c r="D88" s="6">
        <v>169</v>
      </c>
      <c r="E88" s="6">
        <v>169</v>
      </c>
      <c r="F88" s="6">
        <v>170</v>
      </c>
      <c r="G88" s="7">
        <v>193733</v>
      </c>
      <c r="H88" s="8">
        <v>3088.8</v>
      </c>
      <c r="I88" s="8">
        <v>3088.8</v>
      </c>
      <c r="J88" s="6">
        <v>727</v>
      </c>
      <c r="K88" s="5" t="s">
        <v>157</v>
      </c>
    </row>
    <row r="89" spans="1:12" ht="23" customHeight="1">
      <c r="A89" s="5" t="s">
        <v>158</v>
      </c>
      <c r="B89" s="6">
        <v>6</v>
      </c>
      <c r="C89" s="6">
        <v>3</v>
      </c>
      <c r="D89" s="6">
        <v>170</v>
      </c>
      <c r="E89" s="6">
        <v>170</v>
      </c>
      <c r="F89" s="6">
        <v>171</v>
      </c>
      <c r="G89" s="7">
        <v>193733</v>
      </c>
      <c r="H89" s="8">
        <v>3088.8</v>
      </c>
      <c r="I89" s="8">
        <v>3088.8</v>
      </c>
      <c r="J89" s="6">
        <v>728</v>
      </c>
      <c r="K89" s="5" t="s">
        <v>159</v>
      </c>
    </row>
    <row r="90" spans="1:12" ht="24" customHeight="1">
      <c r="A90" s="3" t="s">
        <v>6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36" customHeight="1">
      <c r="A91" s="4" t="s">
        <v>7</v>
      </c>
      <c r="B91" s="4" t="s">
        <v>8</v>
      </c>
      <c r="C91" s="4" t="s">
        <v>9</v>
      </c>
      <c r="D91" s="4" t="s">
        <v>10</v>
      </c>
      <c r="E91" s="4" t="s">
        <v>11</v>
      </c>
      <c r="F91" s="4" t="s">
        <v>12</v>
      </c>
      <c r="G91" s="4" t="s">
        <v>13</v>
      </c>
      <c r="H91" s="4" t="s">
        <v>14</v>
      </c>
      <c r="I91" s="4" t="s">
        <v>15</v>
      </c>
      <c r="J91" s="4" t="s">
        <v>16</v>
      </c>
      <c r="K91" s="4" t="s">
        <v>17</v>
      </c>
    </row>
    <row r="92" spans="1:12" ht="23" customHeight="1">
      <c r="A92" s="5" t="s">
        <v>160</v>
      </c>
      <c r="B92" s="6">
        <v>6</v>
      </c>
      <c r="C92" s="6">
        <v>3</v>
      </c>
      <c r="D92" s="6">
        <v>171</v>
      </c>
      <c r="E92" s="6">
        <v>171</v>
      </c>
      <c r="F92" s="6">
        <v>172</v>
      </c>
      <c r="G92" s="7">
        <v>193733</v>
      </c>
      <c r="H92" s="8">
        <v>3088.8</v>
      </c>
      <c r="I92" s="8">
        <v>3088.8</v>
      </c>
      <c r="J92" s="6">
        <v>729</v>
      </c>
      <c r="K92" s="5" t="s">
        <v>161</v>
      </c>
    </row>
    <row r="93" spans="1:12" ht="23" customHeight="1"/>
    <row r="94" spans="1:12" ht="24" customHeight="1">
      <c r="A94" s="3" t="s">
        <v>162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36" customHeight="1">
      <c r="A95" s="4" t="s">
        <v>7</v>
      </c>
      <c r="B95" s="4" t="s">
        <v>8</v>
      </c>
      <c r="C95" s="4" t="s">
        <v>9</v>
      </c>
      <c r="D95" s="4" t="s">
        <v>163</v>
      </c>
      <c r="E95" s="4" t="s">
        <v>164</v>
      </c>
      <c r="F95" s="4" t="s">
        <v>165</v>
      </c>
      <c r="G95" s="4" t="s">
        <v>166</v>
      </c>
      <c r="H95" s="4" t="s">
        <v>167</v>
      </c>
      <c r="I95" s="4" t="s">
        <v>168</v>
      </c>
      <c r="J95" s="4" t="s">
        <v>169</v>
      </c>
      <c r="K95" s="4" t="s">
        <v>170</v>
      </c>
      <c r="L95" s="4" t="s">
        <v>171</v>
      </c>
    </row>
    <row r="96" spans="1:12" ht="23" customHeight="1">
      <c r="A96" s="5" t="s">
        <v>172</v>
      </c>
      <c r="B96" s="6">
        <v>4</v>
      </c>
      <c r="C96" s="6">
        <v>1</v>
      </c>
      <c r="D96" s="6">
        <v>102</v>
      </c>
      <c r="E96" s="6">
        <v>1</v>
      </c>
      <c r="F96" s="9" t="s">
        <v>173</v>
      </c>
      <c r="G96" s="7">
        <v>51629</v>
      </c>
      <c r="H96" s="7">
        <v>51629</v>
      </c>
      <c r="I96" s="7">
        <v>51629</v>
      </c>
      <c r="J96" s="7">
        <v>51629</v>
      </c>
      <c r="K96" s="7">
        <v>51629</v>
      </c>
      <c r="L96" s="7">
        <v>51629</v>
      </c>
    </row>
    <row r="97" spans="1:12" ht="23" customHeight="1">
      <c r="A97" s="5" t="s">
        <v>172</v>
      </c>
      <c r="B97" s="6">
        <v>4</v>
      </c>
      <c r="C97" s="6">
        <v>1</v>
      </c>
      <c r="D97" s="6">
        <v>103</v>
      </c>
      <c r="E97" s="6">
        <v>2</v>
      </c>
      <c r="F97" s="9" t="s">
        <v>173</v>
      </c>
      <c r="G97" s="7">
        <v>145626</v>
      </c>
      <c r="H97" s="7">
        <v>145626</v>
      </c>
      <c r="I97" s="7">
        <v>145626</v>
      </c>
      <c r="J97" s="7">
        <v>145626</v>
      </c>
      <c r="K97" s="7">
        <v>145626</v>
      </c>
      <c r="L97" s="7">
        <v>145626</v>
      </c>
    </row>
    <row r="98" spans="1:12" ht="23" customHeight="1">
      <c r="A98" s="5" t="s">
        <v>172</v>
      </c>
      <c r="B98" s="6">
        <v>4</v>
      </c>
      <c r="C98" s="6">
        <v>1</v>
      </c>
      <c r="D98" s="6">
        <v>104</v>
      </c>
      <c r="E98" s="6">
        <v>3</v>
      </c>
      <c r="F98" s="9" t="s">
        <v>173</v>
      </c>
      <c r="G98" s="7">
        <v>155634</v>
      </c>
      <c r="H98" s="7">
        <v>155634</v>
      </c>
      <c r="I98" s="7">
        <v>155634</v>
      </c>
      <c r="J98" s="7">
        <v>155634</v>
      </c>
      <c r="K98" s="7">
        <v>155634</v>
      </c>
      <c r="L98" s="7">
        <v>155634</v>
      </c>
    </row>
    <row r="99" spans="1:12" ht="23" customHeight="1">
      <c r="A99" s="5" t="s">
        <v>172</v>
      </c>
      <c r="B99" s="6">
        <v>4</v>
      </c>
      <c r="C99" s="6">
        <v>1</v>
      </c>
      <c r="D99" s="6">
        <v>105</v>
      </c>
      <c r="E99" s="6">
        <v>4</v>
      </c>
      <c r="F99" s="9" t="s">
        <v>173</v>
      </c>
      <c r="G99" s="7">
        <v>223257</v>
      </c>
      <c r="H99" s="7">
        <v>223257</v>
      </c>
      <c r="I99" s="7">
        <v>223257</v>
      </c>
      <c r="J99" s="7">
        <v>223257</v>
      </c>
      <c r="K99" s="7">
        <v>223257</v>
      </c>
      <c r="L99" s="7">
        <v>223257</v>
      </c>
    </row>
    <row r="100" spans="1:12" ht="23" customHeight="1">
      <c r="A100" s="5" t="s">
        <v>172</v>
      </c>
      <c r="B100" s="6">
        <v>4</v>
      </c>
      <c r="C100" s="6">
        <v>1</v>
      </c>
      <c r="D100" s="6">
        <v>106</v>
      </c>
      <c r="E100" s="6">
        <v>5</v>
      </c>
      <c r="F100" s="9" t="s">
        <v>173</v>
      </c>
      <c r="G100" s="7">
        <v>218438</v>
      </c>
      <c r="H100" s="7">
        <v>218438</v>
      </c>
      <c r="I100" s="7">
        <v>218438</v>
      </c>
      <c r="J100" s="7">
        <v>218438</v>
      </c>
      <c r="K100" s="7">
        <v>218438</v>
      </c>
      <c r="L100" s="7">
        <v>218438</v>
      </c>
    </row>
    <row r="101" spans="1:12" ht="23" customHeight="1">
      <c r="A101" s="5" t="s">
        <v>172</v>
      </c>
      <c r="B101" s="6">
        <v>4</v>
      </c>
      <c r="C101" s="6">
        <v>1</v>
      </c>
      <c r="D101" s="6">
        <v>107</v>
      </c>
      <c r="E101" s="6">
        <v>6</v>
      </c>
      <c r="F101" s="9" t="s">
        <v>173</v>
      </c>
      <c r="G101" s="7">
        <v>218438</v>
      </c>
      <c r="H101" s="7">
        <v>218438</v>
      </c>
      <c r="I101" s="7">
        <v>218438</v>
      </c>
      <c r="J101" s="7">
        <v>218438</v>
      </c>
      <c r="K101" s="7">
        <v>218438</v>
      </c>
      <c r="L101" s="7">
        <v>218438</v>
      </c>
    </row>
    <row r="102" spans="1:12" ht="23" customHeight="1">
      <c r="A102" s="5" t="s">
        <v>172</v>
      </c>
      <c r="B102" s="6">
        <v>4</v>
      </c>
      <c r="C102" s="6">
        <v>1</v>
      </c>
      <c r="D102" s="6">
        <v>108</v>
      </c>
      <c r="E102" s="6">
        <v>7</v>
      </c>
      <c r="F102" s="9" t="s">
        <v>173</v>
      </c>
      <c r="G102" s="7">
        <v>218438</v>
      </c>
      <c r="H102" s="7">
        <v>218438</v>
      </c>
      <c r="I102" s="7">
        <v>218438</v>
      </c>
      <c r="J102" s="7">
        <v>218438</v>
      </c>
      <c r="K102" s="7">
        <v>218438</v>
      </c>
      <c r="L102" s="7">
        <v>218438</v>
      </c>
    </row>
    <row r="103" spans="1:12" ht="23" customHeight="1">
      <c r="A103" s="5" t="s">
        <v>172</v>
      </c>
      <c r="B103" s="6">
        <v>4</v>
      </c>
      <c r="C103" s="6">
        <v>1</v>
      </c>
      <c r="D103" s="6">
        <v>109</v>
      </c>
      <c r="E103" s="6">
        <v>8</v>
      </c>
      <c r="F103" s="9" t="s">
        <v>173</v>
      </c>
      <c r="G103" s="7">
        <v>218438</v>
      </c>
      <c r="H103" s="7">
        <v>218438</v>
      </c>
      <c r="I103" s="7">
        <v>218438</v>
      </c>
      <c r="J103" s="7">
        <v>218438</v>
      </c>
      <c r="K103" s="7">
        <v>218438</v>
      </c>
      <c r="L103" s="7">
        <v>218438</v>
      </c>
    </row>
    <row r="104" spans="1:12" ht="23" customHeight="1">
      <c r="A104" s="5" t="s">
        <v>172</v>
      </c>
      <c r="B104" s="6">
        <v>4</v>
      </c>
      <c r="C104" s="6">
        <v>1</v>
      </c>
      <c r="D104" s="6">
        <v>110</v>
      </c>
      <c r="E104" s="6">
        <v>9</v>
      </c>
      <c r="F104" s="9" t="s">
        <v>173</v>
      </c>
      <c r="G104" s="7">
        <v>218438</v>
      </c>
      <c r="H104" s="7">
        <v>218438</v>
      </c>
      <c r="I104" s="7">
        <v>218438</v>
      </c>
      <c r="J104" s="7">
        <v>218438</v>
      </c>
      <c r="K104" s="7">
        <v>218438</v>
      </c>
      <c r="L104" s="7">
        <v>218438</v>
      </c>
    </row>
    <row r="105" spans="1:12" ht="23" customHeight="1">
      <c r="A105" s="5" t="s">
        <v>172</v>
      </c>
      <c r="B105" s="6">
        <v>4</v>
      </c>
      <c r="C105" s="6">
        <v>1</v>
      </c>
      <c r="D105" s="6">
        <v>111</v>
      </c>
      <c r="E105" s="6">
        <v>10</v>
      </c>
      <c r="F105" s="9" t="s">
        <v>173</v>
      </c>
      <c r="G105" s="7">
        <v>218438</v>
      </c>
      <c r="H105" s="7">
        <v>218438</v>
      </c>
      <c r="I105" s="7">
        <v>218438</v>
      </c>
      <c r="J105" s="7">
        <v>218438</v>
      </c>
      <c r="K105" s="7">
        <v>218438</v>
      </c>
      <c r="L105" s="7">
        <v>218438</v>
      </c>
    </row>
    <row r="106" spans="1:12" ht="24" customHeight="1">
      <c r="A106" s="3" t="s">
        <v>162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ht="36" customHeight="1">
      <c r="A107" s="4" t="s">
        <v>7</v>
      </c>
      <c r="B107" s="4" t="s">
        <v>8</v>
      </c>
      <c r="C107" s="4" t="s">
        <v>9</v>
      </c>
      <c r="D107" s="4" t="s">
        <v>163</v>
      </c>
      <c r="E107" s="4" t="s">
        <v>164</v>
      </c>
      <c r="F107" s="4" t="s">
        <v>165</v>
      </c>
      <c r="G107" s="4" t="s">
        <v>166</v>
      </c>
      <c r="H107" s="4" t="s">
        <v>167</v>
      </c>
      <c r="I107" s="4" t="s">
        <v>168</v>
      </c>
      <c r="J107" s="4" t="s">
        <v>169</v>
      </c>
      <c r="K107" s="4" t="s">
        <v>170</v>
      </c>
      <c r="L107" s="4" t="s">
        <v>171</v>
      </c>
    </row>
    <row r="108" spans="1:12" ht="23" customHeight="1">
      <c r="A108" s="5" t="s">
        <v>172</v>
      </c>
      <c r="B108" s="6">
        <v>4</v>
      </c>
      <c r="C108" s="6">
        <v>1</v>
      </c>
      <c r="D108" s="6">
        <v>112</v>
      </c>
      <c r="E108" s="6">
        <v>11</v>
      </c>
      <c r="F108" s="9" t="s">
        <v>173</v>
      </c>
      <c r="G108" s="7">
        <v>179149</v>
      </c>
      <c r="H108" s="7">
        <v>179149</v>
      </c>
      <c r="I108" s="7">
        <v>179149</v>
      </c>
      <c r="J108" s="7">
        <v>179149</v>
      </c>
      <c r="K108" s="7">
        <v>179149</v>
      </c>
      <c r="L108" s="7">
        <v>179149</v>
      </c>
    </row>
    <row r="109" spans="1:12" ht="23" customHeight="1">
      <c r="A109" s="5" t="s">
        <v>172</v>
      </c>
      <c r="B109" s="6">
        <v>4</v>
      </c>
      <c r="C109" s="6">
        <v>1</v>
      </c>
      <c r="D109" s="6">
        <v>113</v>
      </c>
      <c r="E109" s="6">
        <v>12</v>
      </c>
      <c r="F109" s="9" t="s">
        <v>173</v>
      </c>
      <c r="G109" s="7">
        <v>104936</v>
      </c>
      <c r="H109" s="7">
        <v>104936</v>
      </c>
      <c r="I109" s="7">
        <v>104936</v>
      </c>
      <c r="J109" s="7">
        <v>104936</v>
      </c>
      <c r="K109" s="7">
        <v>104936</v>
      </c>
      <c r="L109" s="7">
        <v>104936</v>
      </c>
    </row>
    <row r="110" spans="1:12" ht="23" customHeight="1">
      <c r="A110" s="5" t="s">
        <v>172</v>
      </c>
      <c r="B110" s="6">
        <v>4</v>
      </c>
      <c r="C110" s="6">
        <v>1</v>
      </c>
      <c r="D110" s="6">
        <v>114</v>
      </c>
      <c r="E110" s="6">
        <v>13</v>
      </c>
      <c r="F110" s="9" t="s">
        <v>173</v>
      </c>
      <c r="G110" s="7">
        <v>104936</v>
      </c>
      <c r="H110" s="7">
        <v>104936</v>
      </c>
      <c r="I110" s="7">
        <v>104936</v>
      </c>
      <c r="J110" s="7">
        <v>104936</v>
      </c>
      <c r="K110" s="7">
        <v>104936</v>
      </c>
      <c r="L110" s="7">
        <v>104936</v>
      </c>
    </row>
    <row r="111" spans="1:12" ht="23" customHeight="1">
      <c r="A111" s="5" t="s">
        <v>172</v>
      </c>
      <c r="B111" s="6">
        <v>4</v>
      </c>
      <c r="C111" s="6">
        <v>1</v>
      </c>
      <c r="D111" s="6">
        <v>115</v>
      </c>
      <c r="E111" s="6">
        <v>14</v>
      </c>
      <c r="F111" s="9" t="s">
        <v>173</v>
      </c>
      <c r="G111" s="7">
        <v>104936</v>
      </c>
      <c r="H111" s="7">
        <v>104936</v>
      </c>
      <c r="I111" s="7">
        <v>104936</v>
      </c>
      <c r="J111" s="7">
        <v>104936</v>
      </c>
      <c r="K111" s="7">
        <v>104936</v>
      </c>
      <c r="L111" s="7">
        <v>104936</v>
      </c>
    </row>
    <row r="112" spans="1:12" ht="23" customHeight="1">
      <c r="A112" s="5" t="s">
        <v>172</v>
      </c>
      <c r="B112" s="6">
        <v>4</v>
      </c>
      <c r="C112" s="6">
        <v>1</v>
      </c>
      <c r="D112" s="6">
        <v>116</v>
      </c>
      <c r="E112" s="6">
        <v>15</v>
      </c>
      <c r="F112" s="9" t="s">
        <v>173</v>
      </c>
      <c r="G112" s="7">
        <v>104936</v>
      </c>
      <c r="H112" s="7">
        <v>104936</v>
      </c>
      <c r="I112" s="7">
        <v>104936</v>
      </c>
      <c r="J112" s="7">
        <v>104936</v>
      </c>
      <c r="K112" s="7">
        <v>104936</v>
      </c>
      <c r="L112" s="7">
        <v>104936</v>
      </c>
    </row>
    <row r="113" spans="1:12" ht="23" customHeight="1">
      <c r="A113" s="5" t="s">
        <v>172</v>
      </c>
      <c r="B113" s="6">
        <v>4</v>
      </c>
      <c r="C113" s="6">
        <v>1</v>
      </c>
      <c r="D113" s="6">
        <v>117</v>
      </c>
      <c r="E113" s="6">
        <v>16</v>
      </c>
      <c r="F113" s="9" t="s">
        <v>173</v>
      </c>
      <c r="G113" s="7">
        <v>104936</v>
      </c>
      <c r="H113" s="7">
        <v>104936</v>
      </c>
      <c r="I113" s="7">
        <v>104936</v>
      </c>
      <c r="J113" s="7">
        <v>104936</v>
      </c>
      <c r="K113" s="7">
        <v>104936</v>
      </c>
      <c r="L113" s="7">
        <v>104936</v>
      </c>
    </row>
    <row r="114" spans="1:12" ht="23" customHeight="1">
      <c r="A114" s="5" t="s">
        <v>172</v>
      </c>
      <c r="B114" s="6">
        <v>4</v>
      </c>
      <c r="C114" s="6">
        <v>1</v>
      </c>
      <c r="D114" s="6">
        <v>118</v>
      </c>
      <c r="E114" s="6">
        <v>17</v>
      </c>
      <c r="F114" s="9" t="s">
        <v>173</v>
      </c>
      <c r="G114" s="7">
        <v>104936</v>
      </c>
      <c r="H114" s="7">
        <v>104936</v>
      </c>
      <c r="I114" s="7">
        <v>104936</v>
      </c>
      <c r="J114" s="7">
        <v>104936</v>
      </c>
      <c r="K114" s="7">
        <v>104936</v>
      </c>
      <c r="L114" s="7">
        <v>104936</v>
      </c>
    </row>
    <row r="115" spans="1:12" ht="23" customHeight="1">
      <c r="A115" s="5" t="s">
        <v>172</v>
      </c>
      <c r="B115" s="6">
        <v>4</v>
      </c>
      <c r="C115" s="6">
        <v>1</v>
      </c>
      <c r="D115" s="6">
        <v>119</v>
      </c>
      <c r="E115" s="6">
        <v>18</v>
      </c>
      <c r="F115" s="9" t="s">
        <v>173</v>
      </c>
      <c r="G115" s="7">
        <v>104936</v>
      </c>
      <c r="H115" s="7">
        <v>104936</v>
      </c>
      <c r="I115" s="7">
        <v>104936</v>
      </c>
      <c r="J115" s="7">
        <v>104936</v>
      </c>
      <c r="K115" s="7">
        <v>104936</v>
      </c>
      <c r="L115" s="7">
        <v>104936</v>
      </c>
    </row>
    <row r="116" spans="1:12" ht="23" customHeight="1">
      <c r="A116" s="5" t="s">
        <v>172</v>
      </c>
      <c r="B116" s="6">
        <v>4</v>
      </c>
      <c r="C116" s="6">
        <v>1</v>
      </c>
      <c r="D116" s="6">
        <v>120</v>
      </c>
      <c r="E116" s="6">
        <v>19</v>
      </c>
      <c r="F116" s="9" t="s">
        <v>173</v>
      </c>
      <c r="G116" s="7">
        <v>104936</v>
      </c>
      <c r="H116" s="7">
        <v>104936</v>
      </c>
      <c r="I116" s="7">
        <v>104936</v>
      </c>
      <c r="J116" s="7">
        <v>104936</v>
      </c>
      <c r="K116" s="7">
        <v>104936</v>
      </c>
      <c r="L116" s="7">
        <v>104936</v>
      </c>
    </row>
    <row r="117" spans="1:12" ht="23" customHeight="1">
      <c r="A117" s="5" t="s">
        <v>172</v>
      </c>
      <c r="B117" s="6">
        <v>4</v>
      </c>
      <c r="C117" s="6">
        <v>1</v>
      </c>
      <c r="D117" s="6">
        <v>121</v>
      </c>
      <c r="E117" s="6">
        <v>20</v>
      </c>
      <c r="F117" s="9" t="s">
        <v>173</v>
      </c>
      <c r="G117" s="7">
        <v>36324</v>
      </c>
      <c r="H117" s="7">
        <v>36324</v>
      </c>
      <c r="I117" s="7">
        <v>36324</v>
      </c>
      <c r="J117" s="7">
        <v>36324</v>
      </c>
      <c r="K117" s="7">
        <v>36324</v>
      </c>
      <c r="L117" s="7">
        <v>36324</v>
      </c>
    </row>
    <row r="118" spans="1:12" ht="23" customHeight="1">
      <c r="A118" s="5" t="s">
        <v>172</v>
      </c>
      <c r="B118" s="6">
        <v>5</v>
      </c>
      <c r="C118" s="6">
        <v>2</v>
      </c>
      <c r="D118" s="6">
        <v>127</v>
      </c>
      <c r="E118" s="6">
        <v>21</v>
      </c>
      <c r="F118" s="9" t="s">
        <v>173</v>
      </c>
      <c r="G118" s="7">
        <v>34419</v>
      </c>
      <c r="H118" s="7">
        <v>34419</v>
      </c>
      <c r="I118" s="7">
        <v>34419</v>
      </c>
      <c r="J118" s="7">
        <v>34419</v>
      </c>
      <c r="K118" s="7">
        <v>34419</v>
      </c>
      <c r="L118" s="7">
        <v>34419</v>
      </c>
    </row>
    <row r="119" spans="1:12" ht="23" customHeight="1">
      <c r="A119" s="5" t="s">
        <v>172</v>
      </c>
      <c r="B119" s="6">
        <v>5</v>
      </c>
      <c r="C119" s="6">
        <v>2</v>
      </c>
      <c r="D119" s="6">
        <v>128</v>
      </c>
      <c r="E119" s="6">
        <v>22</v>
      </c>
      <c r="F119" s="9" t="s">
        <v>173</v>
      </c>
      <c r="G119" s="7">
        <v>97084</v>
      </c>
      <c r="H119" s="7">
        <v>97084</v>
      </c>
      <c r="I119" s="7">
        <v>97084</v>
      </c>
      <c r="J119" s="7">
        <v>97084</v>
      </c>
      <c r="K119" s="7">
        <v>97084</v>
      </c>
      <c r="L119" s="7">
        <v>97084</v>
      </c>
    </row>
    <row r="120" spans="1:12" ht="23" customHeight="1">
      <c r="A120" s="5" t="s">
        <v>172</v>
      </c>
      <c r="B120" s="6">
        <v>5</v>
      </c>
      <c r="C120" s="6">
        <v>2</v>
      </c>
      <c r="D120" s="6">
        <v>129</v>
      </c>
      <c r="E120" s="6">
        <v>23</v>
      </c>
      <c r="F120" s="9" t="s">
        <v>173</v>
      </c>
      <c r="G120" s="7">
        <v>103756</v>
      </c>
      <c r="H120" s="7">
        <v>103756</v>
      </c>
      <c r="I120" s="7">
        <v>103756</v>
      </c>
      <c r="J120" s="7">
        <v>103756</v>
      </c>
      <c r="K120" s="7">
        <v>103756</v>
      </c>
      <c r="L120" s="7">
        <v>103756</v>
      </c>
    </row>
    <row r="121" spans="1:12" ht="23" customHeight="1">
      <c r="A121" s="5" t="s">
        <v>172</v>
      </c>
      <c r="B121" s="6">
        <v>5</v>
      </c>
      <c r="C121" s="6">
        <v>2</v>
      </c>
      <c r="D121" s="6">
        <v>130</v>
      </c>
      <c r="E121" s="6">
        <v>24</v>
      </c>
      <c r="F121" s="9" t="s">
        <v>173</v>
      </c>
      <c r="G121" s="7">
        <v>148838</v>
      </c>
      <c r="H121" s="7">
        <v>148838</v>
      </c>
      <c r="I121" s="7">
        <v>148838</v>
      </c>
      <c r="J121" s="7">
        <v>148838</v>
      </c>
      <c r="K121" s="7">
        <v>148838</v>
      </c>
      <c r="L121" s="7">
        <v>148838</v>
      </c>
    </row>
    <row r="122" spans="1:12" ht="23" customHeight="1">
      <c r="A122" s="5" t="s">
        <v>172</v>
      </c>
      <c r="B122" s="6">
        <v>5</v>
      </c>
      <c r="C122" s="6">
        <v>2</v>
      </c>
      <c r="D122" s="6">
        <v>131</v>
      </c>
      <c r="E122" s="6">
        <v>25</v>
      </c>
      <c r="F122" s="9" t="s">
        <v>173</v>
      </c>
      <c r="G122" s="7">
        <v>145626</v>
      </c>
      <c r="H122" s="7">
        <v>145626</v>
      </c>
      <c r="I122" s="7">
        <v>145626</v>
      </c>
      <c r="J122" s="7">
        <v>145626</v>
      </c>
      <c r="K122" s="7">
        <v>145626</v>
      </c>
      <c r="L122" s="7">
        <v>145626</v>
      </c>
    </row>
    <row r="123" spans="1:12" ht="24" customHeight="1">
      <c r="A123" s="3" t="s">
        <v>162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36" customHeight="1">
      <c r="A124" s="4" t="s">
        <v>7</v>
      </c>
      <c r="B124" s="4" t="s">
        <v>8</v>
      </c>
      <c r="C124" s="4" t="s">
        <v>9</v>
      </c>
      <c r="D124" s="4" t="s">
        <v>163</v>
      </c>
      <c r="E124" s="4" t="s">
        <v>164</v>
      </c>
      <c r="F124" s="4" t="s">
        <v>165</v>
      </c>
      <c r="G124" s="4" t="s">
        <v>166</v>
      </c>
      <c r="H124" s="4" t="s">
        <v>167</v>
      </c>
      <c r="I124" s="4" t="s">
        <v>168</v>
      </c>
      <c r="J124" s="4" t="s">
        <v>169</v>
      </c>
      <c r="K124" s="4" t="s">
        <v>170</v>
      </c>
      <c r="L124" s="4" t="s">
        <v>171</v>
      </c>
    </row>
    <row r="125" spans="1:12" ht="23" customHeight="1">
      <c r="A125" s="5" t="s">
        <v>172</v>
      </c>
      <c r="B125" s="6">
        <v>5</v>
      </c>
      <c r="C125" s="6">
        <v>2</v>
      </c>
      <c r="D125" s="6">
        <v>132</v>
      </c>
      <c r="E125" s="6">
        <v>26</v>
      </c>
      <c r="F125" s="9" t="s">
        <v>173</v>
      </c>
      <c r="G125" s="7">
        <v>145626</v>
      </c>
      <c r="H125" s="7">
        <v>145626</v>
      </c>
      <c r="I125" s="7">
        <v>145626</v>
      </c>
      <c r="J125" s="7">
        <v>145626</v>
      </c>
      <c r="K125" s="7">
        <v>145626</v>
      </c>
      <c r="L125" s="7">
        <v>145626</v>
      </c>
    </row>
    <row r="126" spans="1:12" ht="23" customHeight="1">
      <c r="A126" s="5" t="s">
        <v>172</v>
      </c>
      <c r="B126" s="6">
        <v>5</v>
      </c>
      <c r="C126" s="6">
        <v>2</v>
      </c>
      <c r="D126" s="6">
        <v>133</v>
      </c>
      <c r="E126" s="6">
        <v>27</v>
      </c>
      <c r="F126" s="9" t="s">
        <v>173</v>
      </c>
      <c r="G126" s="7">
        <v>145626</v>
      </c>
      <c r="H126" s="7">
        <v>145626</v>
      </c>
      <c r="I126" s="7">
        <v>145626</v>
      </c>
      <c r="J126" s="7">
        <v>145626</v>
      </c>
      <c r="K126" s="7">
        <v>145626</v>
      </c>
      <c r="L126" s="7">
        <v>145626</v>
      </c>
    </row>
    <row r="127" spans="1:12" ht="23" customHeight="1">
      <c r="A127" s="5" t="s">
        <v>172</v>
      </c>
      <c r="B127" s="6">
        <v>5</v>
      </c>
      <c r="C127" s="6">
        <v>2</v>
      </c>
      <c r="D127" s="6">
        <v>134</v>
      </c>
      <c r="E127" s="6">
        <v>28</v>
      </c>
      <c r="F127" s="9" t="s">
        <v>173</v>
      </c>
      <c r="G127" s="7">
        <v>145626</v>
      </c>
      <c r="H127" s="7">
        <v>145626</v>
      </c>
      <c r="I127" s="7">
        <v>145626</v>
      </c>
      <c r="J127" s="7">
        <v>145626</v>
      </c>
      <c r="K127" s="7">
        <v>145626</v>
      </c>
      <c r="L127" s="7">
        <v>145626</v>
      </c>
    </row>
    <row r="128" spans="1:12" ht="23" customHeight="1">
      <c r="A128" s="5" t="s">
        <v>172</v>
      </c>
      <c r="B128" s="6">
        <v>5</v>
      </c>
      <c r="C128" s="6">
        <v>2</v>
      </c>
      <c r="D128" s="6">
        <v>135</v>
      </c>
      <c r="E128" s="6">
        <v>29</v>
      </c>
      <c r="F128" s="9" t="s">
        <v>173</v>
      </c>
      <c r="G128" s="7">
        <v>145626</v>
      </c>
      <c r="H128" s="7">
        <v>145626</v>
      </c>
      <c r="I128" s="7">
        <v>145626</v>
      </c>
      <c r="J128" s="7">
        <v>145626</v>
      </c>
      <c r="K128" s="7">
        <v>145626</v>
      </c>
      <c r="L128" s="7">
        <v>145626</v>
      </c>
    </row>
    <row r="129" spans="1:12" ht="23" customHeight="1">
      <c r="A129" s="5" t="s">
        <v>172</v>
      </c>
      <c r="B129" s="6">
        <v>5</v>
      </c>
      <c r="C129" s="6">
        <v>2</v>
      </c>
      <c r="D129" s="6">
        <v>136</v>
      </c>
      <c r="E129" s="6">
        <v>30</v>
      </c>
      <c r="F129" s="9" t="s">
        <v>173</v>
      </c>
      <c r="G129" s="7">
        <v>145626</v>
      </c>
      <c r="H129" s="7">
        <v>145626</v>
      </c>
      <c r="I129" s="7">
        <v>145626</v>
      </c>
      <c r="J129" s="7">
        <v>145626</v>
      </c>
      <c r="K129" s="7">
        <v>145626</v>
      </c>
      <c r="L129" s="7">
        <v>145626</v>
      </c>
    </row>
    <row r="130" spans="1:12" ht="23" customHeight="1">
      <c r="A130" s="5" t="s">
        <v>172</v>
      </c>
      <c r="B130" s="6">
        <v>5</v>
      </c>
      <c r="C130" s="6">
        <v>2</v>
      </c>
      <c r="D130" s="6">
        <v>137</v>
      </c>
      <c r="E130" s="6">
        <v>31</v>
      </c>
      <c r="F130" s="9" t="s">
        <v>173</v>
      </c>
      <c r="G130" s="7">
        <v>119433</v>
      </c>
      <c r="H130" s="7">
        <v>119433</v>
      </c>
      <c r="I130" s="7">
        <v>119433</v>
      </c>
      <c r="J130" s="7">
        <v>119433</v>
      </c>
      <c r="K130" s="7">
        <v>119433</v>
      </c>
      <c r="L130" s="7">
        <v>119433</v>
      </c>
    </row>
    <row r="131" spans="1:12" ht="23" customHeight="1">
      <c r="A131" s="5" t="s">
        <v>172</v>
      </c>
      <c r="B131" s="6">
        <v>5</v>
      </c>
      <c r="C131" s="6">
        <v>2</v>
      </c>
      <c r="D131" s="6">
        <v>138</v>
      </c>
      <c r="E131" s="6">
        <v>32</v>
      </c>
      <c r="F131" s="9" t="s">
        <v>173</v>
      </c>
      <c r="G131" s="7">
        <v>69957</v>
      </c>
      <c r="H131" s="7">
        <v>69957</v>
      </c>
      <c r="I131" s="7">
        <v>69957</v>
      </c>
      <c r="J131" s="7">
        <v>69957</v>
      </c>
      <c r="K131" s="7">
        <v>69957</v>
      </c>
      <c r="L131" s="7">
        <v>69957</v>
      </c>
    </row>
    <row r="132" spans="1:12" ht="23" customHeight="1">
      <c r="A132" s="5" t="s">
        <v>172</v>
      </c>
      <c r="B132" s="6">
        <v>5</v>
      </c>
      <c r="C132" s="6">
        <v>2</v>
      </c>
      <c r="D132" s="6">
        <v>139</v>
      </c>
      <c r="E132" s="6">
        <v>33</v>
      </c>
      <c r="F132" s="9" t="s">
        <v>173</v>
      </c>
      <c r="G132" s="7">
        <v>69957</v>
      </c>
      <c r="H132" s="7">
        <v>69957</v>
      </c>
      <c r="I132" s="7">
        <v>69957</v>
      </c>
      <c r="J132" s="7">
        <v>69957</v>
      </c>
      <c r="K132" s="7">
        <v>69957</v>
      </c>
      <c r="L132" s="7">
        <v>69957</v>
      </c>
    </row>
    <row r="133" spans="1:12" ht="23" customHeight="1">
      <c r="A133" s="5" t="s">
        <v>172</v>
      </c>
      <c r="B133" s="6">
        <v>5</v>
      </c>
      <c r="C133" s="6">
        <v>2</v>
      </c>
      <c r="D133" s="6">
        <v>140</v>
      </c>
      <c r="E133" s="6">
        <v>34</v>
      </c>
      <c r="F133" s="9" t="s">
        <v>173</v>
      </c>
      <c r="G133" s="7">
        <v>69957</v>
      </c>
      <c r="H133" s="7">
        <v>69957</v>
      </c>
      <c r="I133" s="7">
        <v>69957</v>
      </c>
      <c r="J133" s="7">
        <v>69957</v>
      </c>
      <c r="K133" s="7">
        <v>69957</v>
      </c>
      <c r="L133" s="7">
        <v>69957</v>
      </c>
    </row>
    <row r="134" spans="1:12" ht="23" customHeight="1">
      <c r="A134" s="5" t="s">
        <v>172</v>
      </c>
      <c r="B134" s="6">
        <v>5</v>
      </c>
      <c r="C134" s="6">
        <v>2</v>
      </c>
      <c r="D134" s="6">
        <v>141</v>
      </c>
      <c r="E134" s="6">
        <v>35</v>
      </c>
      <c r="F134" s="9" t="s">
        <v>173</v>
      </c>
      <c r="G134" s="7">
        <v>69957</v>
      </c>
      <c r="H134" s="7">
        <v>69957</v>
      </c>
      <c r="I134" s="7">
        <v>69957</v>
      </c>
      <c r="J134" s="7">
        <v>69957</v>
      </c>
      <c r="K134" s="7">
        <v>69957</v>
      </c>
      <c r="L134" s="7">
        <v>69957</v>
      </c>
    </row>
    <row r="135" spans="1:12" ht="23" customHeight="1">
      <c r="A135" s="5" t="s">
        <v>172</v>
      </c>
      <c r="B135" s="6">
        <v>5</v>
      </c>
      <c r="C135" s="6">
        <v>2</v>
      </c>
      <c r="D135" s="6">
        <v>142</v>
      </c>
      <c r="E135" s="6">
        <v>36</v>
      </c>
      <c r="F135" s="9" t="s">
        <v>173</v>
      </c>
      <c r="G135" s="7">
        <v>69957</v>
      </c>
      <c r="H135" s="7">
        <v>69957</v>
      </c>
      <c r="I135" s="7">
        <v>69957</v>
      </c>
      <c r="J135" s="7">
        <v>69957</v>
      </c>
      <c r="K135" s="7">
        <v>69957</v>
      </c>
      <c r="L135" s="7">
        <v>69957</v>
      </c>
    </row>
    <row r="136" spans="1:12" ht="23" customHeight="1">
      <c r="A136" s="5" t="s">
        <v>172</v>
      </c>
      <c r="B136" s="6">
        <v>5</v>
      </c>
      <c r="C136" s="6">
        <v>2</v>
      </c>
      <c r="D136" s="6">
        <v>143</v>
      </c>
      <c r="E136" s="6">
        <v>37</v>
      </c>
      <c r="F136" s="9" t="s">
        <v>173</v>
      </c>
      <c r="G136" s="7">
        <v>69957</v>
      </c>
      <c r="H136" s="7">
        <v>69957</v>
      </c>
      <c r="I136" s="7">
        <v>69957</v>
      </c>
      <c r="J136" s="7">
        <v>69957</v>
      </c>
      <c r="K136" s="7">
        <v>69957</v>
      </c>
      <c r="L136" s="7">
        <v>69957</v>
      </c>
    </row>
    <row r="137" spans="1:12" ht="23" customHeight="1">
      <c r="A137" s="5" t="s">
        <v>172</v>
      </c>
      <c r="B137" s="6">
        <v>5</v>
      </c>
      <c r="C137" s="6">
        <v>2</v>
      </c>
      <c r="D137" s="6">
        <v>144</v>
      </c>
      <c r="E137" s="6">
        <v>38</v>
      </c>
      <c r="F137" s="9" t="s">
        <v>173</v>
      </c>
      <c r="G137" s="7">
        <v>69957</v>
      </c>
      <c r="H137" s="7">
        <v>69957</v>
      </c>
      <c r="I137" s="7">
        <v>69957</v>
      </c>
      <c r="J137" s="7">
        <v>69957</v>
      </c>
      <c r="K137" s="7">
        <v>69957</v>
      </c>
      <c r="L137" s="7">
        <v>69957</v>
      </c>
    </row>
    <row r="138" spans="1:12" ht="23" customHeight="1">
      <c r="A138" s="5" t="s">
        <v>172</v>
      </c>
      <c r="B138" s="6">
        <v>5</v>
      </c>
      <c r="C138" s="6">
        <v>2</v>
      </c>
      <c r="D138" s="6">
        <v>145</v>
      </c>
      <c r="E138" s="6">
        <v>39</v>
      </c>
      <c r="F138" s="9" t="s">
        <v>173</v>
      </c>
      <c r="G138" s="7">
        <v>69957</v>
      </c>
      <c r="H138" s="7">
        <v>69957</v>
      </c>
      <c r="I138" s="7">
        <v>69957</v>
      </c>
      <c r="J138" s="7">
        <v>69957</v>
      </c>
      <c r="K138" s="7">
        <v>69957</v>
      </c>
      <c r="L138" s="7">
        <v>69957</v>
      </c>
    </row>
    <row r="139" spans="1:12" ht="23" customHeight="1">
      <c r="A139" s="5" t="s">
        <v>172</v>
      </c>
      <c r="B139" s="6">
        <v>5</v>
      </c>
      <c r="C139" s="6">
        <v>2</v>
      </c>
      <c r="D139" s="6">
        <v>146</v>
      </c>
      <c r="E139" s="6">
        <v>40</v>
      </c>
      <c r="F139" s="9" t="s">
        <v>173</v>
      </c>
      <c r="G139" s="7">
        <v>24216</v>
      </c>
      <c r="H139" s="7">
        <v>24216</v>
      </c>
      <c r="I139" s="7">
        <v>24216</v>
      </c>
      <c r="J139" s="7">
        <v>24216</v>
      </c>
      <c r="K139" s="7">
        <v>24216</v>
      </c>
      <c r="L139" s="7">
        <v>24216</v>
      </c>
    </row>
    <row r="140" spans="1:12" ht="24" customHeight="1">
      <c r="A140" s="3" t="s">
        <v>162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36" customHeight="1">
      <c r="A141" s="4" t="s">
        <v>7</v>
      </c>
      <c r="B141" s="4" t="s">
        <v>8</v>
      </c>
      <c r="C141" s="4" t="s">
        <v>9</v>
      </c>
      <c r="D141" s="4" t="s">
        <v>163</v>
      </c>
      <c r="E141" s="4" t="s">
        <v>164</v>
      </c>
      <c r="F141" s="4" t="s">
        <v>165</v>
      </c>
      <c r="G141" s="4" t="s">
        <v>166</v>
      </c>
      <c r="H141" s="4" t="s">
        <v>167</v>
      </c>
      <c r="I141" s="4" t="s">
        <v>168</v>
      </c>
      <c r="J141" s="4" t="s">
        <v>169</v>
      </c>
      <c r="K141" s="4" t="s">
        <v>170</v>
      </c>
      <c r="L141" s="4" t="s">
        <v>171</v>
      </c>
    </row>
    <row r="142" spans="1:12" ht="23" customHeight="1">
      <c r="A142" s="5" t="s">
        <v>172</v>
      </c>
      <c r="B142" s="6">
        <v>6</v>
      </c>
      <c r="C142" s="6">
        <v>3</v>
      </c>
      <c r="D142" s="6">
        <v>152</v>
      </c>
      <c r="E142" s="6">
        <v>41</v>
      </c>
      <c r="F142" s="9" t="s">
        <v>173</v>
      </c>
      <c r="G142" s="7">
        <v>51629</v>
      </c>
      <c r="H142" s="7">
        <v>51629</v>
      </c>
      <c r="I142" s="7">
        <v>51629</v>
      </c>
      <c r="J142" s="7">
        <v>51629</v>
      </c>
      <c r="K142" s="7">
        <v>51629</v>
      </c>
      <c r="L142" s="7">
        <v>51629</v>
      </c>
    </row>
    <row r="143" spans="1:12" ht="23" customHeight="1">
      <c r="A143" s="5" t="s">
        <v>172</v>
      </c>
      <c r="B143" s="6">
        <v>6</v>
      </c>
      <c r="C143" s="6">
        <v>3</v>
      </c>
      <c r="D143" s="6">
        <v>153</v>
      </c>
      <c r="E143" s="6">
        <v>42</v>
      </c>
      <c r="F143" s="9" t="s">
        <v>173</v>
      </c>
      <c r="G143" s="7">
        <v>145626</v>
      </c>
      <c r="H143" s="7">
        <v>145626</v>
      </c>
      <c r="I143" s="7">
        <v>145626</v>
      </c>
      <c r="J143" s="7">
        <v>145626</v>
      </c>
      <c r="K143" s="7">
        <v>145626</v>
      </c>
      <c r="L143" s="7">
        <v>145626</v>
      </c>
    </row>
    <row r="144" spans="1:12" ht="23" customHeight="1">
      <c r="A144" s="5" t="s">
        <v>172</v>
      </c>
      <c r="B144" s="6">
        <v>6</v>
      </c>
      <c r="C144" s="6">
        <v>3</v>
      </c>
      <c r="D144" s="6">
        <v>154</v>
      </c>
      <c r="E144" s="6">
        <v>43</v>
      </c>
      <c r="F144" s="9" t="s">
        <v>173</v>
      </c>
      <c r="G144" s="7">
        <v>155634</v>
      </c>
      <c r="H144" s="7">
        <v>155634</v>
      </c>
      <c r="I144" s="7">
        <v>155634</v>
      </c>
      <c r="J144" s="7">
        <v>155634</v>
      </c>
      <c r="K144" s="7">
        <v>155634</v>
      </c>
      <c r="L144" s="7">
        <v>155634</v>
      </c>
    </row>
    <row r="145" spans="1:12" ht="23" customHeight="1">
      <c r="A145" s="5" t="s">
        <v>172</v>
      </c>
      <c r="B145" s="6">
        <v>6</v>
      </c>
      <c r="C145" s="6">
        <v>3</v>
      </c>
      <c r="D145" s="6">
        <v>155</v>
      </c>
      <c r="E145" s="6">
        <v>44</v>
      </c>
      <c r="F145" s="9" t="s">
        <v>173</v>
      </c>
      <c r="G145" s="7">
        <v>223257</v>
      </c>
      <c r="H145" s="7">
        <v>223257</v>
      </c>
      <c r="I145" s="7">
        <v>223257</v>
      </c>
      <c r="J145" s="7">
        <v>223257</v>
      </c>
      <c r="K145" s="7">
        <v>223257</v>
      </c>
      <c r="L145" s="7">
        <v>223257</v>
      </c>
    </row>
    <row r="146" spans="1:12" ht="23" customHeight="1">
      <c r="A146" s="5" t="s">
        <v>172</v>
      </c>
      <c r="B146" s="6">
        <v>6</v>
      </c>
      <c r="C146" s="6">
        <v>3</v>
      </c>
      <c r="D146" s="6">
        <v>156</v>
      </c>
      <c r="E146" s="6">
        <v>45</v>
      </c>
      <c r="F146" s="9" t="s">
        <v>173</v>
      </c>
      <c r="G146" s="7">
        <v>218438</v>
      </c>
      <c r="H146" s="7">
        <v>218438</v>
      </c>
      <c r="I146" s="7">
        <v>218438</v>
      </c>
      <c r="J146" s="7">
        <v>218438</v>
      </c>
      <c r="K146" s="7">
        <v>218438</v>
      </c>
      <c r="L146" s="7">
        <v>218438</v>
      </c>
    </row>
    <row r="147" spans="1:12" ht="23" customHeight="1">
      <c r="A147" s="5" t="s">
        <v>172</v>
      </c>
      <c r="B147" s="6">
        <v>6</v>
      </c>
      <c r="C147" s="6">
        <v>3</v>
      </c>
      <c r="D147" s="6">
        <v>157</v>
      </c>
      <c r="E147" s="6">
        <v>46</v>
      </c>
      <c r="F147" s="9" t="s">
        <v>173</v>
      </c>
      <c r="G147" s="7">
        <v>218438</v>
      </c>
      <c r="H147" s="7">
        <v>218438</v>
      </c>
      <c r="I147" s="7">
        <v>218438</v>
      </c>
      <c r="J147" s="7">
        <v>218438</v>
      </c>
      <c r="K147" s="7">
        <v>218438</v>
      </c>
      <c r="L147" s="7">
        <v>218438</v>
      </c>
    </row>
    <row r="148" spans="1:12" ht="23" customHeight="1">
      <c r="A148" s="5" t="s">
        <v>172</v>
      </c>
      <c r="B148" s="6">
        <v>6</v>
      </c>
      <c r="C148" s="6">
        <v>3</v>
      </c>
      <c r="D148" s="6">
        <v>158</v>
      </c>
      <c r="E148" s="6">
        <v>47</v>
      </c>
      <c r="F148" s="9" t="s">
        <v>173</v>
      </c>
      <c r="G148" s="7">
        <v>218438</v>
      </c>
      <c r="H148" s="7">
        <v>218438</v>
      </c>
      <c r="I148" s="7">
        <v>218438</v>
      </c>
      <c r="J148" s="7">
        <v>218438</v>
      </c>
      <c r="K148" s="7">
        <v>218438</v>
      </c>
      <c r="L148" s="7">
        <v>218438</v>
      </c>
    </row>
    <row r="149" spans="1:12" ht="23" customHeight="1">
      <c r="A149" s="5" t="s">
        <v>172</v>
      </c>
      <c r="B149" s="6">
        <v>6</v>
      </c>
      <c r="C149" s="6">
        <v>3</v>
      </c>
      <c r="D149" s="6">
        <v>159</v>
      </c>
      <c r="E149" s="6">
        <v>48</v>
      </c>
      <c r="F149" s="9" t="s">
        <v>173</v>
      </c>
      <c r="G149" s="7">
        <v>218438</v>
      </c>
      <c r="H149" s="7">
        <v>218438</v>
      </c>
      <c r="I149" s="7">
        <v>218438</v>
      </c>
      <c r="J149" s="7">
        <v>218438</v>
      </c>
      <c r="K149" s="7">
        <v>218438</v>
      </c>
      <c r="L149" s="7">
        <v>218438</v>
      </c>
    </row>
    <row r="150" spans="1:12" ht="23" customHeight="1">
      <c r="A150" s="5" t="s">
        <v>172</v>
      </c>
      <c r="B150" s="6">
        <v>6</v>
      </c>
      <c r="C150" s="6">
        <v>3</v>
      </c>
      <c r="D150" s="6">
        <v>160</v>
      </c>
      <c r="E150" s="6">
        <v>49</v>
      </c>
      <c r="F150" s="9" t="s">
        <v>173</v>
      </c>
      <c r="G150" s="7">
        <v>218438</v>
      </c>
      <c r="H150" s="7">
        <v>218438</v>
      </c>
      <c r="I150" s="7">
        <v>218438</v>
      </c>
      <c r="J150" s="7">
        <v>218438</v>
      </c>
      <c r="K150" s="7">
        <v>218438</v>
      </c>
      <c r="L150" s="7">
        <v>218438</v>
      </c>
    </row>
    <row r="151" spans="1:12" ht="23" customHeight="1">
      <c r="A151" s="5" t="s">
        <v>172</v>
      </c>
      <c r="B151" s="6">
        <v>6</v>
      </c>
      <c r="C151" s="6">
        <v>3</v>
      </c>
      <c r="D151" s="6">
        <v>161</v>
      </c>
      <c r="E151" s="6">
        <v>50</v>
      </c>
      <c r="F151" s="9" t="s">
        <v>173</v>
      </c>
      <c r="G151" s="7">
        <v>218438</v>
      </c>
      <c r="H151" s="7">
        <v>218438</v>
      </c>
      <c r="I151" s="7">
        <v>218438</v>
      </c>
      <c r="J151" s="7">
        <v>218438</v>
      </c>
      <c r="K151" s="7">
        <v>218438</v>
      </c>
      <c r="L151" s="7">
        <v>218438</v>
      </c>
    </row>
    <row r="152" spans="1:12" ht="23" customHeight="1">
      <c r="A152" s="5" t="s">
        <v>172</v>
      </c>
      <c r="B152" s="6">
        <v>6</v>
      </c>
      <c r="C152" s="6">
        <v>3</v>
      </c>
      <c r="D152" s="6">
        <v>162</v>
      </c>
      <c r="E152" s="6">
        <v>51</v>
      </c>
      <c r="F152" s="9" t="s">
        <v>173</v>
      </c>
      <c r="G152" s="7">
        <v>179149</v>
      </c>
      <c r="H152" s="7">
        <v>179149</v>
      </c>
      <c r="I152" s="7">
        <v>179149</v>
      </c>
      <c r="J152" s="7">
        <v>179149</v>
      </c>
      <c r="K152" s="7">
        <v>179149</v>
      </c>
      <c r="L152" s="7">
        <v>179149</v>
      </c>
    </row>
    <row r="153" spans="1:12" ht="23" customHeight="1">
      <c r="A153" s="5" t="s">
        <v>172</v>
      </c>
      <c r="B153" s="6">
        <v>6</v>
      </c>
      <c r="C153" s="6">
        <v>3</v>
      </c>
      <c r="D153" s="6">
        <v>163</v>
      </c>
      <c r="E153" s="6">
        <v>52</v>
      </c>
      <c r="F153" s="9" t="s">
        <v>173</v>
      </c>
      <c r="G153" s="7">
        <v>104936</v>
      </c>
      <c r="H153" s="7">
        <v>104936</v>
      </c>
      <c r="I153" s="7">
        <v>104936</v>
      </c>
      <c r="J153" s="7">
        <v>104936</v>
      </c>
      <c r="K153" s="7">
        <v>104936</v>
      </c>
      <c r="L153" s="7">
        <v>104936</v>
      </c>
    </row>
    <row r="154" spans="1:12" ht="23" customHeight="1">
      <c r="A154" s="5" t="s">
        <v>172</v>
      </c>
      <c r="B154" s="6">
        <v>6</v>
      </c>
      <c r="C154" s="6">
        <v>3</v>
      </c>
      <c r="D154" s="6">
        <v>164</v>
      </c>
      <c r="E154" s="6">
        <v>53</v>
      </c>
      <c r="F154" s="9" t="s">
        <v>173</v>
      </c>
      <c r="G154" s="7">
        <v>104936</v>
      </c>
      <c r="H154" s="7">
        <v>104936</v>
      </c>
      <c r="I154" s="7">
        <v>104936</v>
      </c>
      <c r="J154" s="7">
        <v>104936</v>
      </c>
      <c r="K154" s="7">
        <v>104936</v>
      </c>
      <c r="L154" s="7">
        <v>104936</v>
      </c>
    </row>
    <row r="155" spans="1:12" ht="23" customHeight="1">
      <c r="A155" s="5" t="s">
        <v>172</v>
      </c>
      <c r="B155" s="6">
        <v>6</v>
      </c>
      <c r="C155" s="6">
        <v>3</v>
      </c>
      <c r="D155" s="6">
        <v>165</v>
      </c>
      <c r="E155" s="6">
        <v>54</v>
      </c>
      <c r="F155" s="9" t="s">
        <v>173</v>
      </c>
      <c r="G155" s="7">
        <v>104936</v>
      </c>
      <c r="H155" s="7">
        <v>104936</v>
      </c>
      <c r="I155" s="7">
        <v>104936</v>
      </c>
      <c r="J155" s="7">
        <v>104936</v>
      </c>
      <c r="K155" s="7">
        <v>104936</v>
      </c>
      <c r="L155" s="7">
        <v>104936</v>
      </c>
    </row>
    <row r="156" spans="1:12" ht="23" customHeight="1">
      <c r="A156" s="5" t="s">
        <v>172</v>
      </c>
      <c r="B156" s="6">
        <v>6</v>
      </c>
      <c r="C156" s="6">
        <v>3</v>
      </c>
      <c r="D156" s="6">
        <v>166</v>
      </c>
      <c r="E156" s="6">
        <v>55</v>
      </c>
      <c r="F156" s="9" t="s">
        <v>173</v>
      </c>
      <c r="G156" s="7">
        <v>104936</v>
      </c>
      <c r="H156" s="7">
        <v>104936</v>
      </c>
      <c r="I156" s="7">
        <v>104936</v>
      </c>
      <c r="J156" s="7">
        <v>104936</v>
      </c>
      <c r="K156" s="7">
        <v>104936</v>
      </c>
      <c r="L156" s="7">
        <v>104936</v>
      </c>
    </row>
    <row r="157" spans="1:12" ht="24" customHeight="1">
      <c r="A157" s="3" t="s">
        <v>162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2" ht="36" customHeight="1">
      <c r="A158" s="4" t="s">
        <v>7</v>
      </c>
      <c r="B158" s="4" t="s">
        <v>8</v>
      </c>
      <c r="C158" s="4" t="s">
        <v>9</v>
      </c>
      <c r="D158" s="4" t="s">
        <v>163</v>
      </c>
      <c r="E158" s="4" t="s">
        <v>164</v>
      </c>
      <c r="F158" s="4" t="s">
        <v>165</v>
      </c>
      <c r="G158" s="4" t="s">
        <v>166</v>
      </c>
      <c r="H158" s="4" t="s">
        <v>167</v>
      </c>
      <c r="I158" s="4" t="s">
        <v>168</v>
      </c>
      <c r="J158" s="4" t="s">
        <v>169</v>
      </c>
      <c r="K158" s="4" t="s">
        <v>170</v>
      </c>
      <c r="L158" s="4" t="s">
        <v>171</v>
      </c>
    </row>
    <row r="159" spans="1:12" ht="23" customHeight="1">
      <c r="A159" s="5" t="s">
        <v>172</v>
      </c>
      <c r="B159" s="6">
        <v>6</v>
      </c>
      <c r="C159" s="6">
        <v>3</v>
      </c>
      <c r="D159" s="6">
        <v>167</v>
      </c>
      <c r="E159" s="6">
        <v>56</v>
      </c>
      <c r="F159" s="9" t="s">
        <v>173</v>
      </c>
      <c r="G159" s="7">
        <v>104936</v>
      </c>
      <c r="H159" s="7">
        <v>104936</v>
      </c>
      <c r="I159" s="7">
        <v>104936</v>
      </c>
      <c r="J159" s="7">
        <v>104936</v>
      </c>
      <c r="K159" s="7">
        <v>104936</v>
      </c>
      <c r="L159" s="7">
        <v>104936</v>
      </c>
    </row>
    <row r="160" spans="1:12" ht="23" customHeight="1">
      <c r="A160" s="5" t="s">
        <v>172</v>
      </c>
      <c r="B160" s="6">
        <v>6</v>
      </c>
      <c r="C160" s="6">
        <v>3</v>
      </c>
      <c r="D160" s="6">
        <v>168</v>
      </c>
      <c r="E160" s="6">
        <v>57</v>
      </c>
      <c r="F160" s="9" t="s">
        <v>173</v>
      </c>
      <c r="G160" s="7">
        <v>104936</v>
      </c>
      <c r="H160" s="7">
        <v>104936</v>
      </c>
      <c r="I160" s="7">
        <v>104936</v>
      </c>
      <c r="J160" s="7">
        <v>104936</v>
      </c>
      <c r="K160" s="7">
        <v>104936</v>
      </c>
      <c r="L160" s="7">
        <v>104936</v>
      </c>
    </row>
    <row r="161" spans="1:12" ht="23" customHeight="1">
      <c r="A161" s="5" t="s">
        <v>172</v>
      </c>
      <c r="B161" s="6">
        <v>6</v>
      </c>
      <c r="C161" s="6">
        <v>3</v>
      </c>
      <c r="D161" s="6">
        <v>169</v>
      </c>
      <c r="E161" s="6">
        <v>58</v>
      </c>
      <c r="F161" s="9" t="s">
        <v>173</v>
      </c>
      <c r="G161" s="7">
        <v>104936</v>
      </c>
      <c r="H161" s="7">
        <v>104936</v>
      </c>
      <c r="I161" s="7">
        <v>104936</v>
      </c>
      <c r="J161" s="7">
        <v>104936</v>
      </c>
      <c r="K161" s="7">
        <v>104936</v>
      </c>
      <c r="L161" s="7">
        <v>104936</v>
      </c>
    </row>
    <row r="162" spans="1:12" ht="23" customHeight="1">
      <c r="A162" s="5" t="s">
        <v>172</v>
      </c>
      <c r="B162" s="6">
        <v>6</v>
      </c>
      <c r="C162" s="6">
        <v>3</v>
      </c>
      <c r="D162" s="6">
        <v>170</v>
      </c>
      <c r="E162" s="6">
        <v>59</v>
      </c>
      <c r="F162" s="9" t="s">
        <v>173</v>
      </c>
      <c r="G162" s="7">
        <v>104936</v>
      </c>
      <c r="H162" s="7">
        <v>104936</v>
      </c>
      <c r="I162" s="7">
        <v>104936</v>
      </c>
      <c r="J162" s="7">
        <v>104936</v>
      </c>
      <c r="K162" s="7">
        <v>104936</v>
      </c>
      <c r="L162" s="7">
        <v>104936</v>
      </c>
    </row>
    <row r="163" spans="1:12" ht="23" customHeight="1">
      <c r="A163" s="5" t="s">
        <v>172</v>
      </c>
      <c r="B163" s="6">
        <v>6</v>
      </c>
      <c r="C163" s="6">
        <v>3</v>
      </c>
      <c r="D163" s="6">
        <v>171</v>
      </c>
      <c r="E163" s="6">
        <v>60</v>
      </c>
      <c r="F163" s="9" t="s">
        <v>173</v>
      </c>
      <c r="G163" s="7">
        <v>36324</v>
      </c>
      <c r="H163" s="7">
        <v>36324</v>
      </c>
      <c r="I163" s="7">
        <v>36324</v>
      </c>
      <c r="J163" s="7">
        <v>36324</v>
      </c>
      <c r="K163" s="7">
        <v>36324</v>
      </c>
      <c r="L163" s="7">
        <v>36324</v>
      </c>
    </row>
    <row r="164" spans="1:12" ht="23" customHeight="1">
      <c r="A164" s="5" t="s">
        <v>174</v>
      </c>
      <c r="B164" s="6">
        <v>4</v>
      </c>
      <c r="C164" s="6">
        <v>1</v>
      </c>
      <c r="D164" s="6">
        <v>122</v>
      </c>
      <c r="E164" s="6">
        <v>61</v>
      </c>
      <c r="F164" s="9" t="s">
        <v>173</v>
      </c>
      <c r="G164" s="7">
        <v>327072</v>
      </c>
      <c r="H164" s="7">
        <v>88418</v>
      </c>
      <c r="I164" s="7">
        <v>88418</v>
      </c>
      <c r="J164" s="7">
        <v>327072</v>
      </c>
      <c r="K164" s="7">
        <v>88418</v>
      </c>
      <c r="L164" s="7">
        <v>88418</v>
      </c>
    </row>
    <row r="165" spans="1:12" ht="23" customHeight="1">
      <c r="A165" s="5" t="s">
        <v>174</v>
      </c>
      <c r="B165" s="6">
        <v>5</v>
      </c>
      <c r="C165" s="6">
        <v>2</v>
      </c>
      <c r="D165" s="6">
        <v>147</v>
      </c>
      <c r="E165" s="6">
        <v>62</v>
      </c>
      <c r="F165" s="9" t="s">
        <v>173</v>
      </c>
      <c r="G165" s="7">
        <v>218048</v>
      </c>
      <c r="H165" s="7">
        <v>58945</v>
      </c>
      <c r="I165" s="7">
        <v>58945</v>
      </c>
      <c r="J165" s="7">
        <v>218048</v>
      </c>
      <c r="K165" s="7">
        <v>58945</v>
      </c>
      <c r="L165" s="7">
        <v>58945</v>
      </c>
    </row>
    <row r="166" spans="1:12" ht="23" customHeight="1">
      <c r="A166" s="5" t="s">
        <v>174</v>
      </c>
      <c r="B166" s="6">
        <v>6</v>
      </c>
      <c r="C166" s="6">
        <v>3</v>
      </c>
      <c r="D166" s="6">
        <v>172</v>
      </c>
      <c r="E166" s="6">
        <v>63</v>
      </c>
      <c r="F166" s="9" t="s">
        <v>173</v>
      </c>
      <c r="G166" s="7">
        <v>327072</v>
      </c>
      <c r="H166" s="7">
        <v>88418</v>
      </c>
      <c r="I166" s="7">
        <v>88418</v>
      </c>
      <c r="J166" s="7">
        <v>327072</v>
      </c>
      <c r="K166" s="7">
        <v>88418</v>
      </c>
      <c r="L166" s="7">
        <v>88418</v>
      </c>
    </row>
    <row r="167" spans="1:12" ht="23" customHeight="1"/>
    <row r="168" spans="1:12" ht="24" customHeight="1">
      <c r="A168" s="3" t="s">
        <v>175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36" customHeight="1">
      <c r="A169" s="4" t="s">
        <v>7</v>
      </c>
      <c r="B169" s="4" t="s">
        <v>8</v>
      </c>
      <c r="C169" s="4" t="s">
        <v>9</v>
      </c>
      <c r="D169" s="4" t="s">
        <v>163</v>
      </c>
      <c r="E169" s="4" t="s">
        <v>164</v>
      </c>
      <c r="F169" s="4" t="s">
        <v>165</v>
      </c>
      <c r="G169" s="4" t="s">
        <v>176</v>
      </c>
      <c r="H169" s="4" t="s">
        <v>177</v>
      </c>
      <c r="I169" s="4" t="s">
        <v>178</v>
      </c>
      <c r="J169" s="4" t="s">
        <v>179</v>
      </c>
    </row>
    <row r="170" spans="1:12" ht="23" customHeight="1">
      <c r="A170" s="5" t="s">
        <v>180</v>
      </c>
      <c r="B170" s="6">
        <v>4</v>
      </c>
      <c r="C170" s="6">
        <v>1</v>
      </c>
      <c r="D170" s="6">
        <v>102</v>
      </c>
      <c r="E170" s="6">
        <v>1</v>
      </c>
      <c r="F170" s="9" t="s">
        <v>173</v>
      </c>
      <c r="G170" s="8">
        <v>433.8</v>
      </c>
      <c r="H170" s="8">
        <v>433.8</v>
      </c>
      <c r="I170" s="8">
        <v>433.8</v>
      </c>
      <c r="J170" s="8">
        <v>433.8</v>
      </c>
    </row>
    <row r="171" spans="1:12" ht="23" customHeight="1">
      <c r="A171" s="5" t="s">
        <v>180</v>
      </c>
      <c r="B171" s="6">
        <v>4</v>
      </c>
      <c r="C171" s="6">
        <v>1</v>
      </c>
      <c r="D171" s="6">
        <v>103</v>
      </c>
      <c r="E171" s="6">
        <v>2</v>
      </c>
      <c r="F171" s="9" t="s">
        <v>173</v>
      </c>
      <c r="G171" s="7">
        <v>1835</v>
      </c>
      <c r="H171" s="7">
        <v>1835</v>
      </c>
      <c r="I171" s="7">
        <v>1835</v>
      </c>
      <c r="J171" s="7">
        <v>1835</v>
      </c>
    </row>
    <row r="172" spans="1:12" ht="23" customHeight="1">
      <c r="A172" s="5" t="s">
        <v>180</v>
      </c>
      <c r="B172" s="6">
        <v>4</v>
      </c>
      <c r="C172" s="6">
        <v>1</v>
      </c>
      <c r="D172" s="6">
        <v>104</v>
      </c>
      <c r="E172" s="6">
        <v>3</v>
      </c>
      <c r="F172" s="9" t="s">
        <v>173</v>
      </c>
      <c r="G172" s="8">
        <v>1794.4</v>
      </c>
      <c r="H172" s="8">
        <v>1794.4</v>
      </c>
      <c r="I172" s="8">
        <v>1794.4</v>
      </c>
      <c r="J172" s="8">
        <v>1794.4</v>
      </c>
    </row>
    <row r="173" spans="1:12" ht="24" customHeight="1">
      <c r="A173" s="3" t="s">
        <v>175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36" customHeight="1">
      <c r="A174" s="4" t="s">
        <v>7</v>
      </c>
      <c r="B174" s="4" t="s">
        <v>8</v>
      </c>
      <c r="C174" s="4" t="s">
        <v>9</v>
      </c>
      <c r="D174" s="4" t="s">
        <v>163</v>
      </c>
      <c r="E174" s="4" t="s">
        <v>164</v>
      </c>
      <c r="F174" s="4" t="s">
        <v>165</v>
      </c>
      <c r="G174" s="4" t="s">
        <v>176</v>
      </c>
      <c r="H174" s="4" t="s">
        <v>177</v>
      </c>
      <c r="I174" s="4" t="s">
        <v>178</v>
      </c>
      <c r="J174" s="4" t="s">
        <v>179</v>
      </c>
    </row>
    <row r="175" spans="1:12" ht="23" customHeight="1">
      <c r="A175" s="5" t="s">
        <v>180</v>
      </c>
      <c r="B175" s="6">
        <v>4</v>
      </c>
      <c r="C175" s="6">
        <v>1</v>
      </c>
      <c r="D175" s="6">
        <v>105</v>
      </c>
      <c r="E175" s="6">
        <v>4</v>
      </c>
      <c r="F175" s="9" t="s">
        <v>173</v>
      </c>
      <c r="G175" s="7">
        <v>2313</v>
      </c>
      <c r="H175" s="7">
        <v>2313</v>
      </c>
      <c r="I175" s="7">
        <v>2313</v>
      </c>
      <c r="J175" s="7">
        <v>2313</v>
      </c>
    </row>
    <row r="176" spans="1:12" ht="23" customHeight="1">
      <c r="A176" s="5" t="s">
        <v>180</v>
      </c>
      <c r="B176" s="6">
        <v>4</v>
      </c>
      <c r="C176" s="6">
        <v>1</v>
      </c>
      <c r="D176" s="6">
        <v>106</v>
      </c>
      <c r="E176" s="6">
        <v>5</v>
      </c>
      <c r="F176" s="9" t="s">
        <v>173</v>
      </c>
      <c r="G176" s="8">
        <v>2752.4</v>
      </c>
      <c r="H176" s="8">
        <v>2752.4</v>
      </c>
      <c r="I176" s="8">
        <v>2752.4</v>
      </c>
      <c r="J176" s="8">
        <v>2752.4</v>
      </c>
    </row>
    <row r="177" spans="1:12" ht="23" customHeight="1">
      <c r="A177" s="5" t="s">
        <v>180</v>
      </c>
      <c r="B177" s="6">
        <v>4</v>
      </c>
      <c r="C177" s="6">
        <v>1</v>
      </c>
      <c r="D177" s="6">
        <v>107</v>
      </c>
      <c r="E177" s="6">
        <v>6</v>
      </c>
      <c r="F177" s="9" t="s">
        <v>173</v>
      </c>
      <c r="G177" s="8">
        <v>2752.4</v>
      </c>
      <c r="H177" s="8">
        <v>2752.4</v>
      </c>
      <c r="I177" s="8">
        <v>2752.4</v>
      </c>
      <c r="J177" s="8">
        <v>2752.4</v>
      </c>
    </row>
    <row r="178" spans="1:12" ht="23" customHeight="1">
      <c r="A178" s="5" t="s">
        <v>180</v>
      </c>
      <c r="B178" s="6">
        <v>4</v>
      </c>
      <c r="C178" s="6">
        <v>1</v>
      </c>
      <c r="D178" s="6">
        <v>108</v>
      </c>
      <c r="E178" s="6">
        <v>7</v>
      </c>
      <c r="F178" s="9" t="s">
        <v>173</v>
      </c>
      <c r="G178" s="8">
        <v>2752.4</v>
      </c>
      <c r="H178" s="8">
        <v>2752.4</v>
      </c>
      <c r="I178" s="8">
        <v>2752.4</v>
      </c>
      <c r="J178" s="8">
        <v>2752.4</v>
      </c>
    </row>
    <row r="179" spans="1:12" ht="23" customHeight="1">
      <c r="A179" s="5" t="s">
        <v>180</v>
      </c>
      <c r="B179" s="6">
        <v>4</v>
      </c>
      <c r="C179" s="6">
        <v>1</v>
      </c>
      <c r="D179" s="6">
        <v>109</v>
      </c>
      <c r="E179" s="6">
        <v>8</v>
      </c>
      <c r="F179" s="9" t="s">
        <v>173</v>
      </c>
      <c r="G179" s="8">
        <v>2752.4</v>
      </c>
      <c r="H179" s="8">
        <v>2752.4</v>
      </c>
      <c r="I179" s="8">
        <v>2752.4</v>
      </c>
      <c r="J179" s="8">
        <v>2752.4</v>
      </c>
    </row>
    <row r="180" spans="1:12" ht="23" customHeight="1">
      <c r="A180" s="5" t="s">
        <v>180</v>
      </c>
      <c r="B180" s="6">
        <v>4</v>
      </c>
      <c r="C180" s="6">
        <v>1</v>
      </c>
      <c r="D180" s="6">
        <v>110</v>
      </c>
      <c r="E180" s="6">
        <v>9</v>
      </c>
      <c r="F180" s="9" t="s">
        <v>173</v>
      </c>
      <c r="G180" s="8">
        <v>2752.4</v>
      </c>
      <c r="H180" s="8">
        <v>2752.4</v>
      </c>
      <c r="I180" s="8">
        <v>2752.4</v>
      </c>
      <c r="J180" s="8">
        <v>2752.4</v>
      </c>
    </row>
    <row r="181" spans="1:12" ht="23" customHeight="1">
      <c r="A181" s="5" t="s">
        <v>180</v>
      </c>
      <c r="B181" s="6">
        <v>4</v>
      </c>
      <c r="C181" s="6">
        <v>1</v>
      </c>
      <c r="D181" s="6">
        <v>111</v>
      </c>
      <c r="E181" s="6">
        <v>10</v>
      </c>
      <c r="F181" s="9" t="s">
        <v>173</v>
      </c>
      <c r="G181" s="8">
        <v>2752.4</v>
      </c>
      <c r="H181" s="8">
        <v>2752.4</v>
      </c>
      <c r="I181" s="8">
        <v>2752.4</v>
      </c>
      <c r="J181" s="8">
        <v>2752.4</v>
      </c>
    </row>
    <row r="182" spans="1:12" ht="23" customHeight="1">
      <c r="A182" s="5" t="s">
        <v>180</v>
      </c>
      <c r="B182" s="6">
        <v>4</v>
      </c>
      <c r="C182" s="6">
        <v>1</v>
      </c>
      <c r="D182" s="6">
        <v>112</v>
      </c>
      <c r="E182" s="6">
        <v>11</v>
      </c>
      <c r="F182" s="9" t="s">
        <v>173</v>
      </c>
      <c r="G182" s="8">
        <v>2032.5</v>
      </c>
      <c r="H182" s="8">
        <v>2032.5</v>
      </c>
      <c r="I182" s="8">
        <v>2032.5</v>
      </c>
      <c r="J182" s="8">
        <v>2032.5</v>
      </c>
    </row>
    <row r="183" spans="1:12" ht="23" customHeight="1">
      <c r="A183" s="5" t="s">
        <v>180</v>
      </c>
      <c r="B183" s="6">
        <v>4</v>
      </c>
      <c r="C183" s="6">
        <v>1</v>
      </c>
      <c r="D183" s="6">
        <v>113</v>
      </c>
      <c r="E183" s="6">
        <v>12</v>
      </c>
      <c r="F183" s="9" t="s">
        <v>173</v>
      </c>
      <c r="G183" s="8">
        <v>672.8</v>
      </c>
      <c r="H183" s="8">
        <v>672.8</v>
      </c>
      <c r="I183" s="8">
        <v>672.8</v>
      </c>
      <c r="J183" s="8">
        <v>672.8</v>
      </c>
    </row>
    <row r="184" spans="1:12" ht="23" customHeight="1">
      <c r="A184" s="5" t="s">
        <v>180</v>
      </c>
      <c r="B184" s="6">
        <v>4</v>
      </c>
      <c r="C184" s="6">
        <v>1</v>
      </c>
      <c r="D184" s="6">
        <v>114</v>
      </c>
      <c r="E184" s="6">
        <v>13</v>
      </c>
      <c r="F184" s="9" t="s">
        <v>173</v>
      </c>
      <c r="G184" s="8">
        <v>672.8</v>
      </c>
      <c r="H184" s="8">
        <v>672.8</v>
      </c>
      <c r="I184" s="8">
        <v>672.8</v>
      </c>
      <c r="J184" s="8">
        <v>672.8</v>
      </c>
    </row>
    <row r="185" spans="1:12" ht="23" customHeight="1">
      <c r="A185" s="5" t="s">
        <v>180</v>
      </c>
      <c r="B185" s="6">
        <v>4</v>
      </c>
      <c r="C185" s="6">
        <v>1</v>
      </c>
      <c r="D185" s="6">
        <v>115</v>
      </c>
      <c r="E185" s="6">
        <v>14</v>
      </c>
      <c r="F185" s="9" t="s">
        <v>173</v>
      </c>
      <c r="G185" s="8">
        <v>672.8</v>
      </c>
      <c r="H185" s="8">
        <v>672.8</v>
      </c>
      <c r="I185" s="8">
        <v>672.8</v>
      </c>
      <c r="J185" s="8">
        <v>672.8</v>
      </c>
    </row>
    <row r="186" spans="1:12" ht="23" customHeight="1">
      <c r="A186" s="5" t="s">
        <v>180</v>
      </c>
      <c r="B186" s="6">
        <v>4</v>
      </c>
      <c r="C186" s="6">
        <v>1</v>
      </c>
      <c r="D186" s="6">
        <v>116</v>
      </c>
      <c r="E186" s="6">
        <v>15</v>
      </c>
      <c r="F186" s="9" t="s">
        <v>173</v>
      </c>
      <c r="G186" s="8">
        <v>672.8</v>
      </c>
      <c r="H186" s="8">
        <v>672.8</v>
      </c>
      <c r="I186" s="8">
        <v>672.8</v>
      </c>
      <c r="J186" s="8">
        <v>672.8</v>
      </c>
    </row>
    <row r="187" spans="1:12" ht="23" customHeight="1">
      <c r="A187" s="5" t="s">
        <v>180</v>
      </c>
      <c r="B187" s="6">
        <v>4</v>
      </c>
      <c r="C187" s="6">
        <v>1</v>
      </c>
      <c r="D187" s="6">
        <v>117</v>
      </c>
      <c r="E187" s="6">
        <v>16</v>
      </c>
      <c r="F187" s="9" t="s">
        <v>173</v>
      </c>
      <c r="G187" s="8">
        <v>672.8</v>
      </c>
      <c r="H187" s="8">
        <v>672.8</v>
      </c>
      <c r="I187" s="8">
        <v>672.8</v>
      </c>
      <c r="J187" s="8">
        <v>672.8</v>
      </c>
    </row>
    <row r="188" spans="1:12" ht="23" customHeight="1">
      <c r="A188" s="5" t="s">
        <v>180</v>
      </c>
      <c r="B188" s="6">
        <v>4</v>
      </c>
      <c r="C188" s="6">
        <v>1</v>
      </c>
      <c r="D188" s="6">
        <v>118</v>
      </c>
      <c r="E188" s="6">
        <v>17</v>
      </c>
      <c r="F188" s="9" t="s">
        <v>173</v>
      </c>
      <c r="G188" s="8">
        <v>672.8</v>
      </c>
      <c r="H188" s="8">
        <v>672.8</v>
      </c>
      <c r="I188" s="8">
        <v>672.8</v>
      </c>
      <c r="J188" s="8">
        <v>672.8</v>
      </c>
    </row>
    <row r="189" spans="1:12" ht="23" customHeight="1">
      <c r="A189" s="5" t="s">
        <v>180</v>
      </c>
      <c r="B189" s="6">
        <v>4</v>
      </c>
      <c r="C189" s="6">
        <v>1</v>
      </c>
      <c r="D189" s="6">
        <v>119</v>
      </c>
      <c r="E189" s="6">
        <v>18</v>
      </c>
      <c r="F189" s="9" t="s">
        <v>173</v>
      </c>
      <c r="G189" s="8">
        <v>672.8</v>
      </c>
      <c r="H189" s="8">
        <v>672.8</v>
      </c>
      <c r="I189" s="8">
        <v>672.8</v>
      </c>
      <c r="J189" s="8">
        <v>672.8</v>
      </c>
    </row>
    <row r="190" spans="1:12" ht="24" customHeight="1">
      <c r="A190" s="3" t="s">
        <v>175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36" customHeight="1">
      <c r="A191" s="4" t="s">
        <v>7</v>
      </c>
      <c r="B191" s="4" t="s">
        <v>8</v>
      </c>
      <c r="C191" s="4" t="s">
        <v>9</v>
      </c>
      <c r="D191" s="4" t="s">
        <v>163</v>
      </c>
      <c r="E191" s="4" t="s">
        <v>164</v>
      </c>
      <c r="F191" s="4" t="s">
        <v>165</v>
      </c>
      <c r="G191" s="4" t="s">
        <v>176</v>
      </c>
      <c r="H191" s="4" t="s">
        <v>177</v>
      </c>
      <c r="I191" s="4" t="s">
        <v>178</v>
      </c>
      <c r="J191" s="4" t="s">
        <v>179</v>
      </c>
    </row>
    <row r="192" spans="1:12" ht="23" customHeight="1">
      <c r="A192" s="5" t="s">
        <v>180</v>
      </c>
      <c r="B192" s="6">
        <v>4</v>
      </c>
      <c r="C192" s="6">
        <v>1</v>
      </c>
      <c r="D192" s="6">
        <v>120</v>
      </c>
      <c r="E192" s="6">
        <v>19</v>
      </c>
      <c r="F192" s="9" t="s">
        <v>173</v>
      </c>
      <c r="G192" s="8">
        <v>672.8</v>
      </c>
      <c r="H192" s="8">
        <v>672.8</v>
      </c>
      <c r="I192" s="8">
        <v>672.8</v>
      </c>
      <c r="J192" s="8">
        <v>672.8</v>
      </c>
    </row>
    <row r="193" spans="1:12" ht="23" customHeight="1">
      <c r="A193" s="5" t="s">
        <v>180</v>
      </c>
      <c r="B193" s="6">
        <v>4</v>
      </c>
      <c r="C193" s="6">
        <v>1</v>
      </c>
      <c r="D193" s="6">
        <v>121</v>
      </c>
      <c r="E193" s="6">
        <v>20</v>
      </c>
      <c r="F193" s="9" t="s">
        <v>173</v>
      </c>
      <c r="G193" s="8">
        <v>232.9</v>
      </c>
      <c r="H193" s="8">
        <v>232.9</v>
      </c>
      <c r="I193" s="8">
        <v>232.9</v>
      </c>
      <c r="J193" s="8">
        <v>232.9</v>
      </c>
    </row>
    <row r="194" spans="1:12" ht="23" customHeight="1">
      <c r="A194" s="5" t="s">
        <v>180</v>
      </c>
      <c r="B194" s="6">
        <v>5</v>
      </c>
      <c r="C194" s="6">
        <v>2</v>
      </c>
      <c r="D194" s="6">
        <v>127</v>
      </c>
      <c r="E194" s="6">
        <v>21</v>
      </c>
      <c r="F194" s="9" t="s">
        <v>173</v>
      </c>
      <c r="G194" s="8">
        <v>289.1</v>
      </c>
      <c r="H194" s="8">
        <v>289.1</v>
      </c>
      <c r="I194" s="8">
        <v>289.1</v>
      </c>
      <c r="J194" s="8">
        <v>289.1</v>
      </c>
    </row>
    <row r="195" spans="1:12" ht="23" customHeight="1">
      <c r="A195" s="5" t="s">
        <v>180</v>
      </c>
      <c r="B195" s="6">
        <v>5</v>
      </c>
      <c r="C195" s="6">
        <v>2</v>
      </c>
      <c r="D195" s="6">
        <v>128</v>
      </c>
      <c r="E195" s="6">
        <v>22</v>
      </c>
      <c r="F195" s="9" t="s">
        <v>173</v>
      </c>
      <c r="G195" s="8">
        <v>1223.3</v>
      </c>
      <c r="H195" s="8">
        <v>1223.3</v>
      </c>
      <c r="I195" s="8">
        <v>1223.3</v>
      </c>
      <c r="J195" s="8">
        <v>1223.3</v>
      </c>
    </row>
    <row r="196" spans="1:12" ht="23" customHeight="1">
      <c r="A196" s="5" t="s">
        <v>180</v>
      </c>
      <c r="B196" s="6">
        <v>5</v>
      </c>
      <c r="C196" s="6">
        <v>2</v>
      </c>
      <c r="D196" s="6">
        <v>129</v>
      </c>
      <c r="E196" s="6">
        <v>23</v>
      </c>
      <c r="F196" s="9" t="s">
        <v>173</v>
      </c>
      <c r="G196" s="8">
        <v>1196.2</v>
      </c>
      <c r="H196" s="8">
        <v>1196.2</v>
      </c>
      <c r="I196" s="8">
        <v>1196.2</v>
      </c>
      <c r="J196" s="8">
        <v>1196.2</v>
      </c>
    </row>
    <row r="197" spans="1:12" ht="23" customHeight="1">
      <c r="A197" s="5" t="s">
        <v>180</v>
      </c>
      <c r="B197" s="6">
        <v>5</v>
      </c>
      <c r="C197" s="6">
        <v>2</v>
      </c>
      <c r="D197" s="6">
        <v>130</v>
      </c>
      <c r="E197" s="6">
        <v>24</v>
      </c>
      <c r="F197" s="9" t="s">
        <v>173</v>
      </c>
      <c r="G197" s="7">
        <v>1542</v>
      </c>
      <c r="H197" s="7">
        <v>1542</v>
      </c>
      <c r="I197" s="7">
        <v>1542</v>
      </c>
      <c r="J197" s="7">
        <v>1542</v>
      </c>
    </row>
    <row r="198" spans="1:12" ht="23" customHeight="1">
      <c r="A198" s="5" t="s">
        <v>180</v>
      </c>
      <c r="B198" s="6">
        <v>5</v>
      </c>
      <c r="C198" s="6">
        <v>2</v>
      </c>
      <c r="D198" s="6">
        <v>131</v>
      </c>
      <c r="E198" s="6">
        <v>25</v>
      </c>
      <c r="F198" s="9" t="s">
        <v>173</v>
      </c>
      <c r="G198" s="7">
        <v>1835</v>
      </c>
      <c r="H198" s="7">
        <v>1835</v>
      </c>
      <c r="I198" s="7">
        <v>1835</v>
      </c>
      <c r="J198" s="7">
        <v>1835</v>
      </c>
    </row>
    <row r="199" spans="1:12" ht="23" customHeight="1">
      <c r="A199" s="5" t="s">
        <v>180</v>
      </c>
      <c r="B199" s="6">
        <v>5</v>
      </c>
      <c r="C199" s="6">
        <v>2</v>
      </c>
      <c r="D199" s="6">
        <v>132</v>
      </c>
      <c r="E199" s="6">
        <v>26</v>
      </c>
      <c r="F199" s="9" t="s">
        <v>173</v>
      </c>
      <c r="G199" s="7">
        <v>1835</v>
      </c>
      <c r="H199" s="7">
        <v>1835</v>
      </c>
      <c r="I199" s="7">
        <v>1835</v>
      </c>
      <c r="J199" s="7">
        <v>1835</v>
      </c>
    </row>
    <row r="200" spans="1:12" ht="23" customHeight="1">
      <c r="A200" s="5" t="s">
        <v>180</v>
      </c>
      <c r="B200" s="6">
        <v>5</v>
      </c>
      <c r="C200" s="6">
        <v>2</v>
      </c>
      <c r="D200" s="6">
        <v>133</v>
      </c>
      <c r="E200" s="6">
        <v>27</v>
      </c>
      <c r="F200" s="9" t="s">
        <v>173</v>
      </c>
      <c r="G200" s="7">
        <v>1835</v>
      </c>
      <c r="H200" s="7">
        <v>1835</v>
      </c>
      <c r="I200" s="7">
        <v>1835</v>
      </c>
      <c r="J200" s="7">
        <v>1835</v>
      </c>
    </row>
    <row r="201" spans="1:12" ht="23" customHeight="1">
      <c r="A201" s="5" t="s">
        <v>180</v>
      </c>
      <c r="B201" s="6">
        <v>5</v>
      </c>
      <c r="C201" s="6">
        <v>2</v>
      </c>
      <c r="D201" s="6">
        <v>134</v>
      </c>
      <c r="E201" s="6">
        <v>28</v>
      </c>
      <c r="F201" s="9" t="s">
        <v>173</v>
      </c>
      <c r="G201" s="7">
        <v>1835</v>
      </c>
      <c r="H201" s="7">
        <v>1835</v>
      </c>
      <c r="I201" s="7">
        <v>1835</v>
      </c>
      <c r="J201" s="7">
        <v>1835</v>
      </c>
    </row>
    <row r="202" spans="1:12" ht="23" customHeight="1">
      <c r="A202" s="5" t="s">
        <v>180</v>
      </c>
      <c r="B202" s="6">
        <v>5</v>
      </c>
      <c r="C202" s="6">
        <v>2</v>
      </c>
      <c r="D202" s="6">
        <v>135</v>
      </c>
      <c r="E202" s="6">
        <v>29</v>
      </c>
      <c r="F202" s="9" t="s">
        <v>173</v>
      </c>
      <c r="G202" s="7">
        <v>1835</v>
      </c>
      <c r="H202" s="7">
        <v>1835</v>
      </c>
      <c r="I202" s="7">
        <v>1835</v>
      </c>
      <c r="J202" s="7">
        <v>1835</v>
      </c>
    </row>
    <row r="203" spans="1:12" ht="23" customHeight="1">
      <c r="A203" s="5" t="s">
        <v>180</v>
      </c>
      <c r="B203" s="6">
        <v>5</v>
      </c>
      <c r="C203" s="6">
        <v>2</v>
      </c>
      <c r="D203" s="6">
        <v>136</v>
      </c>
      <c r="E203" s="6">
        <v>30</v>
      </c>
      <c r="F203" s="9" t="s">
        <v>173</v>
      </c>
      <c r="G203" s="7">
        <v>1835</v>
      </c>
      <c r="H203" s="7">
        <v>1835</v>
      </c>
      <c r="I203" s="7">
        <v>1835</v>
      </c>
      <c r="J203" s="7">
        <v>1835</v>
      </c>
    </row>
    <row r="204" spans="1:12" ht="23" customHeight="1">
      <c r="A204" s="5" t="s">
        <v>180</v>
      </c>
      <c r="B204" s="6">
        <v>5</v>
      </c>
      <c r="C204" s="6">
        <v>2</v>
      </c>
      <c r="D204" s="6">
        <v>137</v>
      </c>
      <c r="E204" s="6">
        <v>31</v>
      </c>
      <c r="F204" s="9" t="s">
        <v>173</v>
      </c>
      <c r="G204" s="7">
        <v>1355</v>
      </c>
      <c r="H204" s="7">
        <v>1355</v>
      </c>
      <c r="I204" s="7">
        <v>1355</v>
      </c>
      <c r="J204" s="7">
        <v>1355</v>
      </c>
    </row>
    <row r="205" spans="1:12" ht="23" customHeight="1">
      <c r="A205" s="5" t="s">
        <v>180</v>
      </c>
      <c r="B205" s="6">
        <v>5</v>
      </c>
      <c r="C205" s="6">
        <v>2</v>
      </c>
      <c r="D205" s="6">
        <v>138</v>
      </c>
      <c r="E205" s="6">
        <v>32</v>
      </c>
      <c r="F205" s="9" t="s">
        <v>173</v>
      </c>
      <c r="G205" s="8">
        <v>448.5</v>
      </c>
      <c r="H205" s="8">
        <v>448.5</v>
      </c>
      <c r="I205" s="8">
        <v>448.5</v>
      </c>
      <c r="J205" s="8">
        <v>448.5</v>
      </c>
    </row>
    <row r="206" spans="1:12" ht="23" customHeight="1">
      <c r="A206" s="5" t="s">
        <v>180</v>
      </c>
      <c r="B206" s="6">
        <v>5</v>
      </c>
      <c r="C206" s="6">
        <v>2</v>
      </c>
      <c r="D206" s="6">
        <v>139</v>
      </c>
      <c r="E206" s="6">
        <v>33</v>
      </c>
      <c r="F206" s="9" t="s">
        <v>173</v>
      </c>
      <c r="G206" s="8">
        <v>448.5</v>
      </c>
      <c r="H206" s="8">
        <v>448.5</v>
      </c>
      <c r="I206" s="8">
        <v>448.5</v>
      </c>
      <c r="J206" s="8">
        <v>448.5</v>
      </c>
    </row>
    <row r="207" spans="1:12" ht="24" customHeight="1">
      <c r="A207" s="3" t="s">
        <v>175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spans="1:12" ht="36" customHeight="1">
      <c r="A208" s="4" t="s">
        <v>7</v>
      </c>
      <c r="B208" s="4" t="s">
        <v>8</v>
      </c>
      <c r="C208" s="4" t="s">
        <v>9</v>
      </c>
      <c r="D208" s="4" t="s">
        <v>163</v>
      </c>
      <c r="E208" s="4" t="s">
        <v>164</v>
      </c>
      <c r="F208" s="4" t="s">
        <v>165</v>
      </c>
      <c r="G208" s="4" t="s">
        <v>176</v>
      </c>
      <c r="H208" s="4" t="s">
        <v>177</v>
      </c>
      <c r="I208" s="4" t="s">
        <v>178</v>
      </c>
      <c r="J208" s="4" t="s">
        <v>179</v>
      </c>
    </row>
    <row r="209" spans="1:12" ht="23" customHeight="1">
      <c r="A209" s="5" t="s">
        <v>180</v>
      </c>
      <c r="B209" s="6">
        <v>5</v>
      </c>
      <c r="C209" s="6">
        <v>2</v>
      </c>
      <c r="D209" s="6">
        <v>140</v>
      </c>
      <c r="E209" s="6">
        <v>34</v>
      </c>
      <c r="F209" s="9" t="s">
        <v>173</v>
      </c>
      <c r="G209" s="8">
        <v>448.5</v>
      </c>
      <c r="H209" s="8">
        <v>448.5</v>
      </c>
      <c r="I209" s="8">
        <v>448.5</v>
      </c>
      <c r="J209" s="8">
        <v>448.5</v>
      </c>
    </row>
    <row r="210" spans="1:12" ht="23" customHeight="1">
      <c r="A210" s="5" t="s">
        <v>180</v>
      </c>
      <c r="B210" s="6">
        <v>5</v>
      </c>
      <c r="C210" s="6">
        <v>2</v>
      </c>
      <c r="D210" s="6">
        <v>141</v>
      </c>
      <c r="E210" s="6">
        <v>35</v>
      </c>
      <c r="F210" s="9" t="s">
        <v>173</v>
      </c>
      <c r="G210" s="8">
        <v>448.5</v>
      </c>
      <c r="H210" s="8">
        <v>448.5</v>
      </c>
      <c r="I210" s="8">
        <v>448.5</v>
      </c>
      <c r="J210" s="8">
        <v>448.5</v>
      </c>
    </row>
    <row r="211" spans="1:12" ht="23" customHeight="1">
      <c r="A211" s="5" t="s">
        <v>180</v>
      </c>
      <c r="B211" s="6">
        <v>5</v>
      </c>
      <c r="C211" s="6">
        <v>2</v>
      </c>
      <c r="D211" s="6">
        <v>142</v>
      </c>
      <c r="E211" s="6">
        <v>36</v>
      </c>
      <c r="F211" s="9" t="s">
        <v>173</v>
      </c>
      <c r="G211" s="8">
        <v>448.5</v>
      </c>
      <c r="H211" s="8">
        <v>448.5</v>
      </c>
      <c r="I211" s="8">
        <v>448.5</v>
      </c>
      <c r="J211" s="8">
        <v>448.5</v>
      </c>
    </row>
    <row r="212" spans="1:12" ht="23" customHeight="1">
      <c r="A212" s="5" t="s">
        <v>180</v>
      </c>
      <c r="B212" s="6">
        <v>5</v>
      </c>
      <c r="C212" s="6">
        <v>2</v>
      </c>
      <c r="D212" s="6">
        <v>143</v>
      </c>
      <c r="E212" s="6">
        <v>37</v>
      </c>
      <c r="F212" s="9" t="s">
        <v>173</v>
      </c>
      <c r="G212" s="8">
        <v>448.5</v>
      </c>
      <c r="H212" s="8">
        <v>448.5</v>
      </c>
      <c r="I212" s="8">
        <v>448.5</v>
      </c>
      <c r="J212" s="8">
        <v>448.5</v>
      </c>
    </row>
    <row r="213" spans="1:12" ht="23" customHeight="1">
      <c r="A213" s="5" t="s">
        <v>180</v>
      </c>
      <c r="B213" s="6">
        <v>5</v>
      </c>
      <c r="C213" s="6">
        <v>2</v>
      </c>
      <c r="D213" s="6">
        <v>144</v>
      </c>
      <c r="E213" s="6">
        <v>38</v>
      </c>
      <c r="F213" s="9" t="s">
        <v>173</v>
      </c>
      <c r="G213" s="8">
        <v>448.5</v>
      </c>
      <c r="H213" s="8">
        <v>448.5</v>
      </c>
      <c r="I213" s="8">
        <v>448.5</v>
      </c>
      <c r="J213" s="8">
        <v>448.5</v>
      </c>
    </row>
    <row r="214" spans="1:12" ht="23" customHeight="1">
      <c r="A214" s="5" t="s">
        <v>180</v>
      </c>
      <c r="B214" s="6">
        <v>5</v>
      </c>
      <c r="C214" s="6">
        <v>2</v>
      </c>
      <c r="D214" s="6">
        <v>145</v>
      </c>
      <c r="E214" s="6">
        <v>39</v>
      </c>
      <c r="F214" s="9" t="s">
        <v>173</v>
      </c>
      <c r="G214" s="8">
        <v>448.5</v>
      </c>
      <c r="H214" s="8">
        <v>448.5</v>
      </c>
      <c r="I214" s="8">
        <v>448.5</v>
      </c>
      <c r="J214" s="8">
        <v>448.5</v>
      </c>
    </row>
    <row r="215" spans="1:12" ht="23" customHeight="1">
      <c r="A215" s="5" t="s">
        <v>180</v>
      </c>
      <c r="B215" s="6">
        <v>5</v>
      </c>
      <c r="C215" s="6">
        <v>2</v>
      </c>
      <c r="D215" s="6">
        <v>146</v>
      </c>
      <c r="E215" s="6">
        <v>40</v>
      </c>
      <c r="F215" s="9" t="s">
        <v>173</v>
      </c>
      <c r="G215" s="8">
        <v>155.3</v>
      </c>
      <c r="H215" s="8">
        <v>155.3</v>
      </c>
      <c r="I215" s="8">
        <v>155.3</v>
      </c>
      <c r="J215" s="8">
        <v>155.3</v>
      </c>
    </row>
    <row r="216" spans="1:12" ht="23" customHeight="1">
      <c r="A216" s="5" t="s">
        <v>180</v>
      </c>
      <c r="B216" s="6">
        <v>6</v>
      </c>
      <c r="C216" s="6">
        <v>3</v>
      </c>
      <c r="D216" s="6">
        <v>152</v>
      </c>
      <c r="E216" s="6">
        <v>41</v>
      </c>
      <c r="F216" s="9" t="s">
        <v>173</v>
      </c>
      <c r="G216" s="8">
        <v>433.8</v>
      </c>
      <c r="H216" s="8">
        <v>433.8</v>
      </c>
      <c r="I216" s="8">
        <v>433.8</v>
      </c>
      <c r="J216" s="8">
        <v>433.8</v>
      </c>
    </row>
    <row r="217" spans="1:12" ht="23" customHeight="1">
      <c r="A217" s="5" t="s">
        <v>180</v>
      </c>
      <c r="B217" s="6">
        <v>6</v>
      </c>
      <c r="C217" s="6">
        <v>3</v>
      </c>
      <c r="D217" s="6">
        <v>153</v>
      </c>
      <c r="E217" s="6">
        <v>42</v>
      </c>
      <c r="F217" s="9" t="s">
        <v>173</v>
      </c>
      <c r="G217" s="7">
        <v>1835</v>
      </c>
      <c r="H217" s="7">
        <v>1835</v>
      </c>
      <c r="I217" s="7">
        <v>1835</v>
      </c>
      <c r="J217" s="7">
        <v>1835</v>
      </c>
    </row>
    <row r="218" spans="1:12" ht="23" customHeight="1">
      <c r="A218" s="5" t="s">
        <v>180</v>
      </c>
      <c r="B218" s="6">
        <v>6</v>
      </c>
      <c r="C218" s="6">
        <v>3</v>
      </c>
      <c r="D218" s="6">
        <v>154</v>
      </c>
      <c r="E218" s="6">
        <v>43</v>
      </c>
      <c r="F218" s="9" t="s">
        <v>173</v>
      </c>
      <c r="G218" s="8">
        <v>1794.4</v>
      </c>
      <c r="H218" s="8">
        <v>1794.4</v>
      </c>
      <c r="I218" s="8">
        <v>1794.4</v>
      </c>
      <c r="J218" s="8">
        <v>1794.4</v>
      </c>
    </row>
    <row r="219" spans="1:12" ht="23" customHeight="1">
      <c r="A219" s="5" t="s">
        <v>180</v>
      </c>
      <c r="B219" s="6">
        <v>6</v>
      </c>
      <c r="C219" s="6">
        <v>3</v>
      </c>
      <c r="D219" s="6">
        <v>155</v>
      </c>
      <c r="E219" s="6">
        <v>44</v>
      </c>
      <c r="F219" s="9" t="s">
        <v>173</v>
      </c>
      <c r="G219" s="7">
        <v>2313</v>
      </c>
      <c r="H219" s="7">
        <v>2313</v>
      </c>
      <c r="I219" s="7">
        <v>2313</v>
      </c>
      <c r="J219" s="7">
        <v>2313</v>
      </c>
    </row>
    <row r="220" spans="1:12" ht="23" customHeight="1">
      <c r="A220" s="5" t="s">
        <v>180</v>
      </c>
      <c r="B220" s="6">
        <v>6</v>
      </c>
      <c r="C220" s="6">
        <v>3</v>
      </c>
      <c r="D220" s="6">
        <v>156</v>
      </c>
      <c r="E220" s="6">
        <v>45</v>
      </c>
      <c r="F220" s="9" t="s">
        <v>173</v>
      </c>
      <c r="G220" s="8">
        <v>2752.4</v>
      </c>
      <c r="H220" s="8">
        <v>2752.4</v>
      </c>
      <c r="I220" s="8">
        <v>2752.4</v>
      </c>
      <c r="J220" s="8">
        <v>2752.4</v>
      </c>
    </row>
    <row r="221" spans="1:12" ht="23" customHeight="1">
      <c r="A221" s="5" t="s">
        <v>180</v>
      </c>
      <c r="B221" s="6">
        <v>6</v>
      </c>
      <c r="C221" s="6">
        <v>3</v>
      </c>
      <c r="D221" s="6">
        <v>157</v>
      </c>
      <c r="E221" s="6">
        <v>46</v>
      </c>
      <c r="F221" s="9" t="s">
        <v>173</v>
      </c>
      <c r="G221" s="8">
        <v>2752.4</v>
      </c>
      <c r="H221" s="8">
        <v>2752.4</v>
      </c>
      <c r="I221" s="8">
        <v>2752.4</v>
      </c>
      <c r="J221" s="8">
        <v>2752.4</v>
      </c>
    </row>
    <row r="222" spans="1:12" ht="23" customHeight="1">
      <c r="A222" s="5" t="s">
        <v>180</v>
      </c>
      <c r="B222" s="6">
        <v>6</v>
      </c>
      <c r="C222" s="6">
        <v>3</v>
      </c>
      <c r="D222" s="6">
        <v>158</v>
      </c>
      <c r="E222" s="6">
        <v>47</v>
      </c>
      <c r="F222" s="9" t="s">
        <v>173</v>
      </c>
      <c r="G222" s="8">
        <v>2752.4</v>
      </c>
      <c r="H222" s="8">
        <v>2752.4</v>
      </c>
      <c r="I222" s="8">
        <v>2752.4</v>
      </c>
      <c r="J222" s="8">
        <v>2752.4</v>
      </c>
    </row>
    <row r="223" spans="1:12" ht="23" customHeight="1">
      <c r="A223" s="5" t="s">
        <v>180</v>
      </c>
      <c r="B223" s="6">
        <v>6</v>
      </c>
      <c r="C223" s="6">
        <v>3</v>
      </c>
      <c r="D223" s="6">
        <v>159</v>
      </c>
      <c r="E223" s="6">
        <v>48</v>
      </c>
      <c r="F223" s="9" t="s">
        <v>173</v>
      </c>
      <c r="G223" s="8">
        <v>2752.4</v>
      </c>
      <c r="H223" s="8">
        <v>2752.4</v>
      </c>
      <c r="I223" s="8">
        <v>2752.4</v>
      </c>
      <c r="J223" s="8">
        <v>2752.4</v>
      </c>
    </row>
    <row r="224" spans="1:12" ht="24" customHeight="1">
      <c r="A224" s="3" t="s">
        <v>175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1:10" ht="36" customHeight="1">
      <c r="A225" s="4" t="s">
        <v>7</v>
      </c>
      <c r="B225" s="4" t="s">
        <v>8</v>
      </c>
      <c r="C225" s="4" t="s">
        <v>9</v>
      </c>
      <c r="D225" s="4" t="s">
        <v>163</v>
      </c>
      <c r="E225" s="4" t="s">
        <v>164</v>
      </c>
      <c r="F225" s="4" t="s">
        <v>165</v>
      </c>
      <c r="G225" s="4" t="s">
        <v>176</v>
      </c>
      <c r="H225" s="4" t="s">
        <v>177</v>
      </c>
      <c r="I225" s="4" t="s">
        <v>178</v>
      </c>
      <c r="J225" s="4" t="s">
        <v>179</v>
      </c>
    </row>
    <row r="226" spans="1:10" ht="23" customHeight="1">
      <c r="A226" s="5" t="s">
        <v>180</v>
      </c>
      <c r="B226" s="6">
        <v>6</v>
      </c>
      <c r="C226" s="6">
        <v>3</v>
      </c>
      <c r="D226" s="6">
        <v>160</v>
      </c>
      <c r="E226" s="6">
        <v>49</v>
      </c>
      <c r="F226" s="9" t="s">
        <v>173</v>
      </c>
      <c r="G226" s="8">
        <v>2752.4</v>
      </c>
      <c r="H226" s="8">
        <v>2752.4</v>
      </c>
      <c r="I226" s="8">
        <v>2752.4</v>
      </c>
      <c r="J226" s="8">
        <v>2752.4</v>
      </c>
    </row>
    <row r="227" spans="1:10" ht="23" customHeight="1">
      <c r="A227" s="5" t="s">
        <v>180</v>
      </c>
      <c r="B227" s="6">
        <v>6</v>
      </c>
      <c r="C227" s="6">
        <v>3</v>
      </c>
      <c r="D227" s="6">
        <v>161</v>
      </c>
      <c r="E227" s="6">
        <v>50</v>
      </c>
      <c r="F227" s="9" t="s">
        <v>173</v>
      </c>
      <c r="G227" s="8">
        <v>2752.4</v>
      </c>
      <c r="H227" s="8">
        <v>2752.4</v>
      </c>
      <c r="I227" s="8">
        <v>2752.4</v>
      </c>
      <c r="J227" s="8">
        <v>2752.4</v>
      </c>
    </row>
    <row r="228" spans="1:10" ht="23" customHeight="1">
      <c r="A228" s="5" t="s">
        <v>180</v>
      </c>
      <c r="B228" s="6">
        <v>6</v>
      </c>
      <c r="C228" s="6">
        <v>3</v>
      </c>
      <c r="D228" s="6">
        <v>162</v>
      </c>
      <c r="E228" s="6">
        <v>51</v>
      </c>
      <c r="F228" s="9" t="s">
        <v>173</v>
      </c>
      <c r="G228" s="8">
        <v>2032.5</v>
      </c>
      <c r="H228" s="8">
        <v>2032.5</v>
      </c>
      <c r="I228" s="8">
        <v>2032.5</v>
      </c>
      <c r="J228" s="8">
        <v>2032.5</v>
      </c>
    </row>
    <row r="229" spans="1:10" ht="23" customHeight="1">
      <c r="A229" s="5" t="s">
        <v>180</v>
      </c>
      <c r="B229" s="6">
        <v>6</v>
      </c>
      <c r="C229" s="6">
        <v>3</v>
      </c>
      <c r="D229" s="6">
        <v>163</v>
      </c>
      <c r="E229" s="6">
        <v>52</v>
      </c>
      <c r="F229" s="9" t="s">
        <v>173</v>
      </c>
      <c r="G229" s="8">
        <v>672.8</v>
      </c>
      <c r="H229" s="8">
        <v>672.8</v>
      </c>
      <c r="I229" s="8">
        <v>672.8</v>
      </c>
      <c r="J229" s="8">
        <v>672.8</v>
      </c>
    </row>
    <row r="230" spans="1:10" ht="23" customHeight="1">
      <c r="A230" s="5" t="s">
        <v>180</v>
      </c>
      <c r="B230" s="6">
        <v>6</v>
      </c>
      <c r="C230" s="6">
        <v>3</v>
      </c>
      <c r="D230" s="6">
        <v>164</v>
      </c>
      <c r="E230" s="6">
        <v>53</v>
      </c>
      <c r="F230" s="9" t="s">
        <v>173</v>
      </c>
      <c r="G230" s="8">
        <v>672.8</v>
      </c>
      <c r="H230" s="8">
        <v>672.8</v>
      </c>
      <c r="I230" s="8">
        <v>672.8</v>
      </c>
      <c r="J230" s="8">
        <v>672.8</v>
      </c>
    </row>
    <row r="231" spans="1:10" ht="23" customHeight="1">
      <c r="A231" s="5" t="s">
        <v>180</v>
      </c>
      <c r="B231" s="6">
        <v>6</v>
      </c>
      <c r="C231" s="6">
        <v>3</v>
      </c>
      <c r="D231" s="6">
        <v>165</v>
      </c>
      <c r="E231" s="6">
        <v>54</v>
      </c>
      <c r="F231" s="9" t="s">
        <v>173</v>
      </c>
      <c r="G231" s="8">
        <v>672.8</v>
      </c>
      <c r="H231" s="8">
        <v>672.8</v>
      </c>
      <c r="I231" s="8">
        <v>672.8</v>
      </c>
      <c r="J231" s="8">
        <v>672.8</v>
      </c>
    </row>
    <row r="232" spans="1:10" ht="23" customHeight="1">
      <c r="A232" s="5" t="s">
        <v>180</v>
      </c>
      <c r="B232" s="6">
        <v>6</v>
      </c>
      <c r="C232" s="6">
        <v>3</v>
      </c>
      <c r="D232" s="6">
        <v>166</v>
      </c>
      <c r="E232" s="6">
        <v>55</v>
      </c>
      <c r="F232" s="9" t="s">
        <v>173</v>
      </c>
      <c r="G232" s="8">
        <v>672.8</v>
      </c>
      <c r="H232" s="8">
        <v>672.8</v>
      </c>
      <c r="I232" s="8">
        <v>672.8</v>
      </c>
      <c r="J232" s="8">
        <v>672.8</v>
      </c>
    </row>
    <row r="233" spans="1:10" ht="23" customHeight="1">
      <c r="A233" s="5" t="s">
        <v>180</v>
      </c>
      <c r="B233" s="6">
        <v>6</v>
      </c>
      <c r="C233" s="6">
        <v>3</v>
      </c>
      <c r="D233" s="6">
        <v>167</v>
      </c>
      <c r="E233" s="6">
        <v>56</v>
      </c>
      <c r="F233" s="9" t="s">
        <v>173</v>
      </c>
      <c r="G233" s="8">
        <v>672.8</v>
      </c>
      <c r="H233" s="8">
        <v>672.8</v>
      </c>
      <c r="I233" s="8">
        <v>672.8</v>
      </c>
      <c r="J233" s="8">
        <v>672.8</v>
      </c>
    </row>
    <row r="234" spans="1:10" ht="23" customHeight="1">
      <c r="A234" s="5" t="s">
        <v>180</v>
      </c>
      <c r="B234" s="6">
        <v>6</v>
      </c>
      <c r="C234" s="6">
        <v>3</v>
      </c>
      <c r="D234" s="6">
        <v>168</v>
      </c>
      <c r="E234" s="6">
        <v>57</v>
      </c>
      <c r="F234" s="9" t="s">
        <v>173</v>
      </c>
      <c r="G234" s="8">
        <v>672.8</v>
      </c>
      <c r="H234" s="8">
        <v>672.8</v>
      </c>
      <c r="I234" s="8">
        <v>672.8</v>
      </c>
      <c r="J234" s="8">
        <v>672.8</v>
      </c>
    </row>
    <row r="235" spans="1:10" ht="23" customHeight="1">
      <c r="A235" s="5" t="s">
        <v>180</v>
      </c>
      <c r="B235" s="6">
        <v>6</v>
      </c>
      <c r="C235" s="6">
        <v>3</v>
      </c>
      <c r="D235" s="6">
        <v>169</v>
      </c>
      <c r="E235" s="6">
        <v>58</v>
      </c>
      <c r="F235" s="9" t="s">
        <v>173</v>
      </c>
      <c r="G235" s="8">
        <v>672.8</v>
      </c>
      <c r="H235" s="8">
        <v>672.8</v>
      </c>
      <c r="I235" s="8">
        <v>672.8</v>
      </c>
      <c r="J235" s="8">
        <v>672.8</v>
      </c>
    </row>
    <row r="236" spans="1:10" ht="23" customHeight="1">
      <c r="A236" s="5" t="s">
        <v>180</v>
      </c>
      <c r="B236" s="6">
        <v>6</v>
      </c>
      <c r="C236" s="6">
        <v>3</v>
      </c>
      <c r="D236" s="6">
        <v>170</v>
      </c>
      <c r="E236" s="6">
        <v>59</v>
      </c>
      <c r="F236" s="9" t="s">
        <v>173</v>
      </c>
      <c r="G236" s="8">
        <v>672.8</v>
      </c>
      <c r="H236" s="8">
        <v>672.8</v>
      </c>
      <c r="I236" s="8">
        <v>672.8</v>
      </c>
      <c r="J236" s="8">
        <v>672.8</v>
      </c>
    </row>
    <row r="237" spans="1:10" ht="23" customHeight="1">
      <c r="A237" s="5" t="s">
        <v>180</v>
      </c>
      <c r="B237" s="6">
        <v>6</v>
      </c>
      <c r="C237" s="6">
        <v>3</v>
      </c>
      <c r="D237" s="6">
        <v>171</v>
      </c>
      <c r="E237" s="6">
        <v>60</v>
      </c>
      <c r="F237" s="9" t="s">
        <v>173</v>
      </c>
      <c r="G237" s="8">
        <v>232.9</v>
      </c>
      <c r="H237" s="8">
        <v>232.9</v>
      </c>
      <c r="I237" s="8">
        <v>232.9</v>
      </c>
      <c r="J237" s="8">
        <v>232.9</v>
      </c>
    </row>
    <row r="238" spans="1:10" ht="23" customHeight="1">
      <c r="A238" s="5" t="s">
        <v>174</v>
      </c>
      <c r="B238" s="6">
        <v>4</v>
      </c>
      <c r="C238" s="6">
        <v>1</v>
      </c>
      <c r="D238" s="6">
        <v>122</v>
      </c>
      <c r="E238" s="6">
        <v>61</v>
      </c>
      <c r="F238" s="9" t="s">
        <v>173</v>
      </c>
      <c r="G238" s="8">
        <v>7167.5</v>
      </c>
      <c r="H238" s="10"/>
      <c r="I238" s="8">
        <v>16724.3</v>
      </c>
      <c r="J238" s="10"/>
    </row>
    <row r="239" spans="1:10" ht="23" customHeight="1">
      <c r="A239" s="5" t="s">
        <v>174</v>
      </c>
      <c r="B239" s="6">
        <v>5</v>
      </c>
      <c r="C239" s="6">
        <v>2</v>
      </c>
      <c r="D239" s="6">
        <v>147</v>
      </c>
      <c r="E239" s="6">
        <v>62</v>
      </c>
      <c r="F239" s="9" t="s">
        <v>173</v>
      </c>
      <c r="G239" s="8">
        <v>4778.4</v>
      </c>
      <c r="H239" s="10"/>
      <c r="I239" s="8">
        <v>11149.5</v>
      </c>
      <c r="J239" s="10"/>
    </row>
    <row r="240" spans="1:10" ht="23" customHeight="1">
      <c r="A240" s="5" t="s">
        <v>174</v>
      </c>
      <c r="B240" s="6">
        <v>6</v>
      </c>
      <c r="C240" s="6">
        <v>3</v>
      </c>
      <c r="D240" s="6">
        <v>172</v>
      </c>
      <c r="E240" s="6">
        <v>63</v>
      </c>
      <c r="F240" s="9" t="s">
        <v>173</v>
      </c>
      <c r="G240" s="8">
        <v>7167.5</v>
      </c>
      <c r="H240" s="10"/>
      <c r="I240" s="8">
        <v>16724.3</v>
      </c>
      <c r="J240" s="10"/>
    </row>
    <row r="241" spans="1:12" ht="23" customHeight="1"/>
    <row r="242" spans="1:12" ht="24" customHeight="1">
      <c r="A242" s="3" t="s">
        <v>181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1:12" ht="36" customHeight="1">
      <c r="A243" s="4" t="s">
        <v>182</v>
      </c>
      <c r="B243" s="4" t="s">
        <v>8</v>
      </c>
      <c r="C243" s="4" t="s">
        <v>183</v>
      </c>
      <c r="D243" s="4" t="s">
        <v>184</v>
      </c>
      <c r="E243" s="4" t="s">
        <v>185</v>
      </c>
      <c r="F243" s="4" t="s">
        <v>186</v>
      </c>
      <c r="G243" s="4" t="s">
        <v>187</v>
      </c>
      <c r="H243" s="4" t="s">
        <v>188</v>
      </c>
      <c r="I243" s="4" t="s">
        <v>189</v>
      </c>
      <c r="J243" s="4" t="s">
        <v>190</v>
      </c>
    </row>
    <row r="244" spans="1:12" ht="23" customHeight="1">
      <c r="A244" s="9" t="s">
        <v>191</v>
      </c>
      <c r="B244" s="6">
        <v>4</v>
      </c>
      <c r="C244" s="9" t="s">
        <v>10</v>
      </c>
      <c r="D244" s="6">
        <v>98</v>
      </c>
      <c r="E244" s="9" t="s">
        <v>192</v>
      </c>
      <c r="F244" s="6">
        <v>58812</v>
      </c>
      <c r="G244" s="7">
        <v>58812</v>
      </c>
      <c r="H244" s="9">
        <f>(G244-F244)</f>
        <v>0.0</v>
      </c>
      <c r="I244" s="9" t="s">
        <v>193</v>
      </c>
      <c r="J244" s="9" t="s">
        <v>194</v>
      </c>
    </row>
    <row r="245" spans="1:12" ht="23" customHeight="1">
      <c r="A245" s="9" t="s">
        <v>191</v>
      </c>
      <c r="B245" s="6">
        <v>4</v>
      </c>
      <c r="C245" s="9" t="s">
        <v>10</v>
      </c>
      <c r="D245" s="6">
        <v>99</v>
      </c>
      <c r="E245" s="9" t="s">
        <v>192</v>
      </c>
      <c r="F245" s="6">
        <v>272086</v>
      </c>
      <c r="G245" s="7">
        <v>272086</v>
      </c>
      <c r="H245" s="9">
        <f>(G245-F245)</f>
        <v>0.0</v>
      </c>
      <c r="I245" s="9" t="s">
        <v>193</v>
      </c>
      <c r="J245" s="9" t="s">
        <v>194</v>
      </c>
    </row>
    <row r="246" spans="1:12" ht="23" customHeight="1">
      <c r="A246" s="9" t="s">
        <v>191</v>
      </c>
      <c r="B246" s="6">
        <v>4</v>
      </c>
      <c r="C246" s="9" t="s">
        <v>10</v>
      </c>
      <c r="D246" s="6">
        <v>100</v>
      </c>
      <c r="E246" s="9" t="s">
        <v>192</v>
      </c>
      <c r="F246" s="6">
        <v>141501</v>
      </c>
      <c r="G246" s="7">
        <v>141501</v>
      </c>
      <c r="H246" s="9">
        <f>(G246-F246)</f>
        <v>0.0</v>
      </c>
      <c r="I246" s="9" t="s">
        <v>193</v>
      </c>
      <c r="J246" s="9" t="s">
        <v>194</v>
      </c>
    </row>
    <row r="247" spans="1:12" ht="23" customHeight="1">
      <c r="A247" s="9" t="s">
        <v>191</v>
      </c>
      <c r="B247" s="6">
        <v>4</v>
      </c>
      <c r="C247" s="9" t="s">
        <v>10</v>
      </c>
      <c r="D247" s="6">
        <v>101</v>
      </c>
      <c r="E247" s="9" t="s">
        <v>192</v>
      </c>
      <c r="F247" s="6">
        <v>110708</v>
      </c>
      <c r="G247" s="7">
        <v>110708</v>
      </c>
      <c r="H247" s="9">
        <f>(G247-F247)</f>
        <v>0.0</v>
      </c>
      <c r="I247" s="9" t="s">
        <v>193</v>
      </c>
      <c r="J247" s="9" t="s">
        <v>194</v>
      </c>
    </row>
    <row r="248" spans="1:12" ht="23" customHeight="1">
      <c r="A248" s="9" t="s">
        <v>191</v>
      </c>
      <c r="B248" s="6">
        <v>4</v>
      </c>
      <c r="C248" s="9" t="s">
        <v>10</v>
      </c>
      <c r="D248" s="6">
        <v>102</v>
      </c>
      <c r="E248" s="9" t="s">
        <v>192</v>
      </c>
      <c r="F248" s="6">
        <v>208029</v>
      </c>
      <c r="G248" s="7">
        <v>208029</v>
      </c>
      <c r="H248" s="9">
        <f>(G248-F248)</f>
        <v>0.0</v>
      </c>
      <c r="I248" s="9" t="s">
        <v>193</v>
      </c>
      <c r="J248" s="9" t="s">
        <v>194</v>
      </c>
    </row>
    <row r="249" spans="1:12" ht="23" customHeight="1">
      <c r="A249" s="9" t="s">
        <v>191</v>
      </c>
      <c r="B249" s="6">
        <v>4</v>
      </c>
      <c r="C249" s="9" t="s">
        <v>10</v>
      </c>
      <c r="D249" s="6">
        <v>103</v>
      </c>
      <c r="E249" s="9" t="s">
        <v>192</v>
      </c>
      <c r="F249" s="6">
        <v>268854</v>
      </c>
      <c r="G249" s="7">
        <v>268854</v>
      </c>
      <c r="H249" s="9">
        <f>(G249-F249)</f>
        <v>0.0</v>
      </c>
      <c r="I249" s="9" t="s">
        <v>193</v>
      </c>
      <c r="J249" s="9" t="s">
        <v>194</v>
      </c>
    </row>
    <row r="250" spans="1:12" ht="23" customHeight="1">
      <c r="A250" s="9" t="s">
        <v>191</v>
      </c>
      <c r="B250" s="6">
        <v>4</v>
      </c>
      <c r="C250" s="9" t="s">
        <v>10</v>
      </c>
      <c r="D250" s="6">
        <v>104</v>
      </c>
      <c r="E250" s="9" t="s">
        <v>192</v>
      </c>
      <c r="F250" s="6">
        <v>363440</v>
      </c>
      <c r="G250" s="7">
        <v>363440</v>
      </c>
      <c r="H250" s="9">
        <f>(G250-F250)</f>
        <v>0.0</v>
      </c>
      <c r="I250" s="9" t="s">
        <v>193</v>
      </c>
      <c r="J250" s="9" t="s">
        <v>194</v>
      </c>
    </row>
    <row r="251" spans="1:12" ht="23" customHeight="1">
      <c r="A251" s="9" t="s">
        <v>191</v>
      </c>
      <c r="B251" s="6">
        <v>4</v>
      </c>
      <c r="C251" s="9" t="s">
        <v>10</v>
      </c>
      <c r="D251" s="6">
        <v>105</v>
      </c>
      <c r="E251" s="9" t="s">
        <v>192</v>
      </c>
      <c r="F251" s="6">
        <v>403280</v>
      </c>
      <c r="G251" s="7">
        <v>403280</v>
      </c>
      <c r="H251" s="9">
        <f>(G251-F251)</f>
        <v>0.0</v>
      </c>
      <c r="I251" s="9" t="s">
        <v>193</v>
      </c>
      <c r="J251" s="9" t="s">
        <v>194</v>
      </c>
    </row>
    <row r="252" spans="1:12" ht="23" customHeight="1">
      <c r="A252" s="9" t="s">
        <v>191</v>
      </c>
      <c r="B252" s="6">
        <v>4</v>
      </c>
      <c r="C252" s="9" t="s">
        <v>10</v>
      </c>
      <c r="D252" s="6">
        <v>106</v>
      </c>
      <c r="E252" s="9" t="s">
        <v>192</v>
      </c>
      <c r="F252" s="6">
        <v>403280</v>
      </c>
      <c r="G252" s="7">
        <v>403280</v>
      </c>
      <c r="H252" s="9">
        <f>(G252-F252)</f>
        <v>0.0</v>
      </c>
      <c r="I252" s="9" t="s">
        <v>193</v>
      </c>
      <c r="J252" s="9" t="s">
        <v>194</v>
      </c>
    </row>
    <row r="253" spans="1:12" ht="23" customHeight="1">
      <c r="A253" s="9" t="s">
        <v>191</v>
      </c>
      <c r="B253" s="6">
        <v>4</v>
      </c>
      <c r="C253" s="9" t="s">
        <v>10</v>
      </c>
      <c r="D253" s="6">
        <v>107</v>
      </c>
      <c r="E253" s="9" t="s">
        <v>192</v>
      </c>
      <c r="F253" s="6">
        <v>403280</v>
      </c>
      <c r="G253" s="7">
        <v>403280</v>
      </c>
      <c r="H253" s="9">
        <f>(G253-F253)</f>
        <v>0.0</v>
      </c>
      <c r="I253" s="9" t="s">
        <v>193</v>
      </c>
      <c r="J253" s="9" t="s">
        <v>194</v>
      </c>
    </row>
    <row r="254" spans="1:12" ht="23" customHeight="1">
      <c r="A254" s="9" t="s">
        <v>191</v>
      </c>
      <c r="B254" s="6">
        <v>4</v>
      </c>
      <c r="C254" s="9" t="s">
        <v>10</v>
      </c>
      <c r="D254" s="6">
        <v>108</v>
      </c>
      <c r="E254" s="9" t="s">
        <v>192</v>
      </c>
      <c r="F254" s="6">
        <v>403280</v>
      </c>
      <c r="G254" s="7">
        <v>403280</v>
      </c>
      <c r="H254" s="9">
        <f>(G254-F254)</f>
        <v>0.0</v>
      </c>
      <c r="I254" s="9" t="s">
        <v>193</v>
      </c>
      <c r="J254" s="9" t="s">
        <v>194</v>
      </c>
    </row>
    <row r="255" spans="1:12" ht="23" customHeight="1">
      <c r="A255" s="9" t="s">
        <v>191</v>
      </c>
      <c r="B255" s="6">
        <v>4</v>
      </c>
      <c r="C255" s="9" t="s">
        <v>10</v>
      </c>
      <c r="D255" s="6">
        <v>109</v>
      </c>
      <c r="E255" s="9" t="s">
        <v>192</v>
      </c>
      <c r="F255" s="6">
        <v>403280</v>
      </c>
      <c r="G255" s="7">
        <v>403280</v>
      </c>
      <c r="H255" s="9">
        <f>(G255-F255)</f>
        <v>0.0</v>
      </c>
      <c r="I255" s="9" t="s">
        <v>193</v>
      </c>
      <c r="J255" s="9" t="s">
        <v>194</v>
      </c>
    </row>
    <row r="256" spans="1:12" ht="23" customHeight="1">
      <c r="A256" s="9" t="s">
        <v>191</v>
      </c>
      <c r="B256" s="6">
        <v>4</v>
      </c>
      <c r="C256" s="9" t="s">
        <v>10</v>
      </c>
      <c r="D256" s="6">
        <v>110</v>
      </c>
      <c r="E256" s="9" t="s">
        <v>192</v>
      </c>
      <c r="F256" s="6">
        <v>403280</v>
      </c>
      <c r="G256" s="7">
        <v>403280</v>
      </c>
      <c r="H256" s="9">
        <f>(G256-F256)</f>
        <v>0.0</v>
      </c>
      <c r="I256" s="9" t="s">
        <v>193</v>
      </c>
      <c r="J256" s="9" t="s">
        <v>194</v>
      </c>
    </row>
    <row r="257" spans="1:12" ht="23" customHeight="1">
      <c r="A257" s="9" t="s">
        <v>191</v>
      </c>
      <c r="B257" s="6">
        <v>4</v>
      </c>
      <c r="C257" s="9" t="s">
        <v>10</v>
      </c>
      <c r="D257" s="6">
        <v>111</v>
      </c>
      <c r="E257" s="9" t="s">
        <v>192</v>
      </c>
      <c r="F257" s="6">
        <v>403280</v>
      </c>
      <c r="G257" s="7">
        <v>403280</v>
      </c>
      <c r="H257" s="9">
        <f>(G257-F257)</f>
        <v>0.0</v>
      </c>
      <c r="I257" s="9" t="s">
        <v>193</v>
      </c>
      <c r="J257" s="9" t="s">
        <v>194</v>
      </c>
    </row>
    <row r="258" spans="1:12" ht="24" customHeight="1">
      <c r="A258" s="3" t="s">
        <v>181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spans="1:12" ht="36" customHeight="1">
      <c r="A259" s="4" t="s">
        <v>182</v>
      </c>
      <c r="B259" s="4" t="s">
        <v>8</v>
      </c>
      <c r="C259" s="4" t="s">
        <v>183</v>
      </c>
      <c r="D259" s="4" t="s">
        <v>184</v>
      </c>
      <c r="E259" s="4" t="s">
        <v>185</v>
      </c>
      <c r="F259" s="4" t="s">
        <v>186</v>
      </c>
      <c r="G259" s="4" t="s">
        <v>187</v>
      </c>
      <c r="H259" s="4" t="s">
        <v>188</v>
      </c>
      <c r="I259" s="4" t="s">
        <v>189</v>
      </c>
      <c r="J259" s="4" t="s">
        <v>190</v>
      </c>
    </row>
    <row r="260" spans="1:12" ht="23" customHeight="1">
      <c r="A260" s="9" t="s">
        <v>191</v>
      </c>
      <c r="B260" s="6">
        <v>4</v>
      </c>
      <c r="C260" s="9" t="s">
        <v>10</v>
      </c>
      <c r="D260" s="6">
        <v>112</v>
      </c>
      <c r="E260" s="9" t="s">
        <v>192</v>
      </c>
      <c r="F260" s="6">
        <v>225971</v>
      </c>
      <c r="G260" s="7">
        <v>225971</v>
      </c>
      <c r="H260" s="9">
        <f>(G260-F260)</f>
        <v>0.0</v>
      </c>
      <c r="I260" s="9" t="s">
        <v>193</v>
      </c>
      <c r="J260" s="9" t="s">
        <v>194</v>
      </c>
    </row>
    <row r="261" spans="1:12" ht="23" customHeight="1">
      <c r="A261" s="9" t="s">
        <v>191</v>
      </c>
      <c r="B261" s="6">
        <v>4</v>
      </c>
      <c r="C261" s="9" t="s">
        <v>10</v>
      </c>
      <c r="D261" s="6">
        <v>113</v>
      </c>
      <c r="E261" s="9" t="s">
        <v>192</v>
      </c>
      <c r="F261" s="6">
        <v>193733</v>
      </c>
      <c r="G261" s="7">
        <v>193733</v>
      </c>
      <c r="H261" s="9">
        <f>(G261-F261)</f>
        <v>0.0</v>
      </c>
      <c r="I261" s="9" t="s">
        <v>193</v>
      </c>
      <c r="J261" s="9" t="s">
        <v>194</v>
      </c>
    </row>
    <row r="262" spans="1:12" ht="23" customHeight="1">
      <c r="A262" s="9" t="s">
        <v>191</v>
      </c>
      <c r="B262" s="6">
        <v>4</v>
      </c>
      <c r="C262" s="9" t="s">
        <v>10</v>
      </c>
      <c r="D262" s="6">
        <v>114</v>
      </c>
      <c r="E262" s="9" t="s">
        <v>192</v>
      </c>
      <c r="F262" s="6">
        <v>193733</v>
      </c>
      <c r="G262" s="7">
        <v>193733</v>
      </c>
      <c r="H262" s="9">
        <f>(G262-F262)</f>
        <v>0.0</v>
      </c>
      <c r="I262" s="9" t="s">
        <v>193</v>
      </c>
      <c r="J262" s="9" t="s">
        <v>194</v>
      </c>
    </row>
    <row r="263" spans="1:12" ht="23" customHeight="1">
      <c r="A263" s="9" t="s">
        <v>191</v>
      </c>
      <c r="B263" s="6">
        <v>4</v>
      </c>
      <c r="C263" s="9" t="s">
        <v>10</v>
      </c>
      <c r="D263" s="6">
        <v>115</v>
      </c>
      <c r="E263" s="9" t="s">
        <v>192</v>
      </c>
      <c r="F263" s="6">
        <v>193733</v>
      </c>
      <c r="G263" s="7">
        <v>193733</v>
      </c>
      <c r="H263" s="9">
        <f>(G263-F263)</f>
        <v>0.0</v>
      </c>
      <c r="I263" s="9" t="s">
        <v>193</v>
      </c>
      <c r="J263" s="9" t="s">
        <v>194</v>
      </c>
    </row>
    <row r="264" spans="1:12" ht="23" customHeight="1">
      <c r="A264" s="9" t="s">
        <v>191</v>
      </c>
      <c r="B264" s="6">
        <v>4</v>
      </c>
      <c r="C264" s="9" t="s">
        <v>10</v>
      </c>
      <c r="D264" s="6">
        <v>116</v>
      </c>
      <c r="E264" s="9" t="s">
        <v>192</v>
      </c>
      <c r="F264" s="6">
        <v>193733</v>
      </c>
      <c r="G264" s="7">
        <v>193733</v>
      </c>
      <c r="H264" s="9">
        <f>(G264-F264)</f>
        <v>0.0</v>
      </c>
      <c r="I264" s="9" t="s">
        <v>193</v>
      </c>
      <c r="J264" s="9" t="s">
        <v>194</v>
      </c>
    </row>
    <row r="265" spans="1:12" ht="23" customHeight="1">
      <c r="A265" s="9" t="s">
        <v>191</v>
      </c>
      <c r="B265" s="6">
        <v>4</v>
      </c>
      <c r="C265" s="9" t="s">
        <v>10</v>
      </c>
      <c r="D265" s="6">
        <v>117</v>
      </c>
      <c r="E265" s="9" t="s">
        <v>192</v>
      </c>
      <c r="F265" s="6">
        <v>193733</v>
      </c>
      <c r="G265" s="7">
        <v>193733</v>
      </c>
      <c r="H265" s="9">
        <f>(G265-F265)</f>
        <v>0.0</v>
      </c>
      <c r="I265" s="9" t="s">
        <v>193</v>
      </c>
      <c r="J265" s="9" t="s">
        <v>194</v>
      </c>
    </row>
    <row r="266" spans="1:12" ht="23" customHeight="1">
      <c r="A266" s="9" t="s">
        <v>191</v>
      </c>
      <c r="B266" s="6">
        <v>4</v>
      </c>
      <c r="C266" s="9" t="s">
        <v>10</v>
      </c>
      <c r="D266" s="6">
        <v>118</v>
      </c>
      <c r="E266" s="9" t="s">
        <v>192</v>
      </c>
      <c r="F266" s="6">
        <v>193733</v>
      </c>
      <c r="G266" s="7">
        <v>193733</v>
      </c>
      <c r="H266" s="9">
        <f>(G266-F266)</f>
        <v>0.0</v>
      </c>
      <c r="I266" s="9" t="s">
        <v>193</v>
      </c>
      <c r="J266" s="9" t="s">
        <v>194</v>
      </c>
    </row>
    <row r="267" spans="1:12" ht="23" customHeight="1">
      <c r="A267" s="9" t="s">
        <v>191</v>
      </c>
      <c r="B267" s="6">
        <v>4</v>
      </c>
      <c r="C267" s="9" t="s">
        <v>10</v>
      </c>
      <c r="D267" s="6">
        <v>119</v>
      </c>
      <c r="E267" s="9" t="s">
        <v>192</v>
      </c>
      <c r="F267" s="6">
        <v>193733</v>
      </c>
      <c r="G267" s="7">
        <v>193733</v>
      </c>
      <c r="H267" s="9">
        <f>(G267-F267)</f>
        <v>0.0</v>
      </c>
      <c r="I267" s="9" t="s">
        <v>193</v>
      </c>
      <c r="J267" s="9" t="s">
        <v>194</v>
      </c>
    </row>
    <row r="268" spans="1:12" ht="23" customHeight="1">
      <c r="A268" s="9" t="s">
        <v>191</v>
      </c>
      <c r="B268" s="6">
        <v>4</v>
      </c>
      <c r="C268" s="9" t="s">
        <v>10</v>
      </c>
      <c r="D268" s="6">
        <v>120</v>
      </c>
      <c r="E268" s="9" t="s">
        <v>192</v>
      </c>
      <c r="F268" s="6">
        <v>193733</v>
      </c>
      <c r="G268" s="7">
        <v>193733</v>
      </c>
      <c r="H268" s="9">
        <f>(G268-F268)</f>
        <v>0.0</v>
      </c>
      <c r="I268" s="9" t="s">
        <v>193</v>
      </c>
      <c r="J268" s="9" t="s">
        <v>194</v>
      </c>
    </row>
    <row r="269" spans="1:12" ht="23" customHeight="1">
      <c r="A269" s="9" t="s">
        <v>191</v>
      </c>
      <c r="B269" s="6">
        <v>4</v>
      </c>
      <c r="C269" s="9" t="s">
        <v>10</v>
      </c>
      <c r="D269" s="6">
        <v>121</v>
      </c>
      <c r="E269" s="9" t="s">
        <v>192</v>
      </c>
      <c r="F269" s="6">
        <v>193733</v>
      </c>
      <c r="G269" s="7">
        <v>193733</v>
      </c>
      <c r="H269" s="9">
        <f>(G269-F269)</f>
        <v>0.0</v>
      </c>
      <c r="I269" s="9" t="s">
        <v>193</v>
      </c>
      <c r="J269" s="9" t="s">
        <v>194</v>
      </c>
    </row>
    <row r="270" spans="1:12" ht="23" customHeight="1">
      <c r="A270" s="9" t="s">
        <v>191</v>
      </c>
      <c r="B270" s="6">
        <v>5</v>
      </c>
      <c r="C270" s="9" t="s">
        <v>10</v>
      </c>
      <c r="D270" s="6">
        <v>123</v>
      </c>
      <c r="E270" s="9" t="s">
        <v>192</v>
      </c>
      <c r="F270" s="6">
        <v>39208</v>
      </c>
      <c r="G270" s="7">
        <v>39208</v>
      </c>
      <c r="H270" s="9">
        <f>(G270-F270)</f>
        <v>0.0</v>
      </c>
      <c r="I270" s="9" t="s">
        <v>193</v>
      </c>
      <c r="J270" s="9" t="s">
        <v>194</v>
      </c>
    </row>
    <row r="271" spans="1:12" ht="23" customHeight="1">
      <c r="A271" s="9" t="s">
        <v>191</v>
      </c>
      <c r="B271" s="6">
        <v>5</v>
      </c>
      <c r="C271" s="9" t="s">
        <v>10</v>
      </c>
      <c r="D271" s="6">
        <v>124</v>
      </c>
      <c r="E271" s="9" t="s">
        <v>192</v>
      </c>
      <c r="F271" s="6">
        <v>181391</v>
      </c>
      <c r="G271" s="7">
        <v>181391</v>
      </c>
      <c r="H271" s="9">
        <f>(G271-F271)</f>
        <v>0.0</v>
      </c>
      <c r="I271" s="9" t="s">
        <v>193</v>
      </c>
      <c r="J271" s="9" t="s">
        <v>194</v>
      </c>
    </row>
    <row r="272" spans="1:12" ht="23" customHeight="1">
      <c r="A272" s="9" t="s">
        <v>191</v>
      </c>
      <c r="B272" s="6">
        <v>5</v>
      </c>
      <c r="C272" s="9" t="s">
        <v>10</v>
      </c>
      <c r="D272" s="6">
        <v>125</v>
      </c>
      <c r="E272" s="9" t="s">
        <v>192</v>
      </c>
      <c r="F272" s="6">
        <v>94334</v>
      </c>
      <c r="G272" s="7">
        <v>94334</v>
      </c>
      <c r="H272" s="9">
        <f>(G272-F272)</f>
        <v>0.0</v>
      </c>
      <c r="I272" s="9" t="s">
        <v>193</v>
      </c>
      <c r="J272" s="9" t="s">
        <v>194</v>
      </c>
    </row>
    <row r="273" spans="1:12" ht="23" customHeight="1">
      <c r="A273" s="9" t="s">
        <v>191</v>
      </c>
      <c r="B273" s="6">
        <v>5</v>
      </c>
      <c r="C273" s="9" t="s">
        <v>10</v>
      </c>
      <c r="D273" s="6">
        <v>126</v>
      </c>
      <c r="E273" s="9" t="s">
        <v>192</v>
      </c>
      <c r="F273" s="6">
        <v>73805</v>
      </c>
      <c r="G273" s="7">
        <v>73805</v>
      </c>
      <c r="H273" s="9">
        <f>(G273-F273)</f>
        <v>0.0</v>
      </c>
      <c r="I273" s="9" t="s">
        <v>193</v>
      </c>
      <c r="J273" s="9" t="s">
        <v>194</v>
      </c>
    </row>
    <row r="274" spans="1:12" ht="23" customHeight="1">
      <c r="A274" s="9" t="s">
        <v>191</v>
      </c>
      <c r="B274" s="6">
        <v>5</v>
      </c>
      <c r="C274" s="9" t="s">
        <v>10</v>
      </c>
      <c r="D274" s="6">
        <v>127</v>
      </c>
      <c r="E274" s="9" t="s">
        <v>192</v>
      </c>
      <c r="F274" s="6">
        <v>138686</v>
      </c>
      <c r="G274" s="7">
        <v>138686</v>
      </c>
      <c r="H274" s="9">
        <f>(G274-F274)</f>
        <v>0.0</v>
      </c>
      <c r="I274" s="9" t="s">
        <v>193</v>
      </c>
      <c r="J274" s="9" t="s">
        <v>194</v>
      </c>
    </row>
    <row r="275" spans="1:12" ht="24" customHeight="1">
      <c r="A275" s="3" t="s">
        <v>181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36" customHeight="1">
      <c r="A276" s="4" t="s">
        <v>182</v>
      </c>
      <c r="B276" s="4" t="s">
        <v>8</v>
      </c>
      <c r="C276" s="4" t="s">
        <v>183</v>
      </c>
      <c r="D276" s="4" t="s">
        <v>184</v>
      </c>
      <c r="E276" s="4" t="s">
        <v>185</v>
      </c>
      <c r="F276" s="4" t="s">
        <v>186</v>
      </c>
      <c r="G276" s="4" t="s">
        <v>187</v>
      </c>
      <c r="H276" s="4" t="s">
        <v>188</v>
      </c>
      <c r="I276" s="4" t="s">
        <v>189</v>
      </c>
      <c r="J276" s="4" t="s">
        <v>190</v>
      </c>
    </row>
    <row r="277" spans="1:12" ht="23" customHeight="1">
      <c r="A277" s="9" t="s">
        <v>191</v>
      </c>
      <c r="B277" s="6">
        <v>5</v>
      </c>
      <c r="C277" s="9" t="s">
        <v>10</v>
      </c>
      <c r="D277" s="6">
        <v>128</v>
      </c>
      <c r="E277" s="9" t="s">
        <v>192</v>
      </c>
      <c r="F277" s="6">
        <v>179236</v>
      </c>
      <c r="G277" s="7">
        <v>179236</v>
      </c>
      <c r="H277" s="9">
        <f>(G277-F277)</f>
        <v>0.0</v>
      </c>
      <c r="I277" s="9" t="s">
        <v>193</v>
      </c>
      <c r="J277" s="9" t="s">
        <v>194</v>
      </c>
    </row>
    <row r="278" spans="1:12" ht="23" customHeight="1">
      <c r="A278" s="9" t="s">
        <v>191</v>
      </c>
      <c r="B278" s="6">
        <v>5</v>
      </c>
      <c r="C278" s="9" t="s">
        <v>10</v>
      </c>
      <c r="D278" s="6">
        <v>129</v>
      </c>
      <c r="E278" s="9" t="s">
        <v>192</v>
      </c>
      <c r="F278" s="6">
        <v>242293</v>
      </c>
      <c r="G278" s="7">
        <v>242293</v>
      </c>
      <c r="H278" s="9">
        <f>(G278-F278)</f>
        <v>0.0</v>
      </c>
      <c r="I278" s="9" t="s">
        <v>193</v>
      </c>
      <c r="J278" s="9" t="s">
        <v>194</v>
      </c>
    </row>
    <row r="279" spans="1:12" ht="23" customHeight="1">
      <c r="A279" s="9" t="s">
        <v>191</v>
      </c>
      <c r="B279" s="6">
        <v>5</v>
      </c>
      <c r="C279" s="9" t="s">
        <v>10</v>
      </c>
      <c r="D279" s="6">
        <v>130</v>
      </c>
      <c r="E279" s="9" t="s">
        <v>192</v>
      </c>
      <c r="F279" s="6">
        <v>268854</v>
      </c>
      <c r="G279" s="7">
        <v>268854</v>
      </c>
      <c r="H279" s="9">
        <f>(G279-F279)</f>
        <v>0.0</v>
      </c>
      <c r="I279" s="9" t="s">
        <v>193</v>
      </c>
      <c r="J279" s="9" t="s">
        <v>194</v>
      </c>
    </row>
    <row r="280" spans="1:12" ht="23" customHeight="1">
      <c r="A280" s="9" t="s">
        <v>191</v>
      </c>
      <c r="B280" s="6">
        <v>5</v>
      </c>
      <c r="C280" s="9" t="s">
        <v>10</v>
      </c>
      <c r="D280" s="6">
        <v>131</v>
      </c>
      <c r="E280" s="9" t="s">
        <v>192</v>
      </c>
      <c r="F280" s="6">
        <v>268854</v>
      </c>
      <c r="G280" s="7">
        <v>268854</v>
      </c>
      <c r="H280" s="9">
        <f>(G280-F280)</f>
        <v>0.0</v>
      </c>
      <c r="I280" s="9" t="s">
        <v>193</v>
      </c>
      <c r="J280" s="9" t="s">
        <v>194</v>
      </c>
    </row>
    <row r="281" spans="1:12" ht="23" customHeight="1">
      <c r="A281" s="9" t="s">
        <v>191</v>
      </c>
      <c r="B281" s="6">
        <v>5</v>
      </c>
      <c r="C281" s="9" t="s">
        <v>10</v>
      </c>
      <c r="D281" s="6">
        <v>132</v>
      </c>
      <c r="E281" s="9" t="s">
        <v>192</v>
      </c>
      <c r="F281" s="6">
        <v>268854</v>
      </c>
      <c r="G281" s="7">
        <v>268854</v>
      </c>
      <c r="H281" s="9">
        <f>(G281-F281)</f>
        <v>0.0</v>
      </c>
      <c r="I281" s="9" t="s">
        <v>193</v>
      </c>
      <c r="J281" s="9" t="s">
        <v>194</v>
      </c>
    </row>
    <row r="282" spans="1:12" ht="23" customHeight="1">
      <c r="A282" s="9" t="s">
        <v>191</v>
      </c>
      <c r="B282" s="6">
        <v>5</v>
      </c>
      <c r="C282" s="9" t="s">
        <v>10</v>
      </c>
      <c r="D282" s="6">
        <v>133</v>
      </c>
      <c r="E282" s="9" t="s">
        <v>192</v>
      </c>
      <c r="F282" s="6">
        <v>268854</v>
      </c>
      <c r="G282" s="7">
        <v>268854</v>
      </c>
      <c r="H282" s="9">
        <f>(G282-F282)</f>
        <v>0.0</v>
      </c>
      <c r="I282" s="9" t="s">
        <v>193</v>
      </c>
      <c r="J282" s="9" t="s">
        <v>194</v>
      </c>
    </row>
    <row r="283" spans="1:12" ht="23" customHeight="1">
      <c r="A283" s="9" t="s">
        <v>191</v>
      </c>
      <c r="B283" s="6">
        <v>5</v>
      </c>
      <c r="C283" s="9" t="s">
        <v>10</v>
      </c>
      <c r="D283" s="6">
        <v>134</v>
      </c>
      <c r="E283" s="9" t="s">
        <v>192</v>
      </c>
      <c r="F283" s="6">
        <v>268854</v>
      </c>
      <c r="G283" s="7">
        <v>268854</v>
      </c>
      <c r="H283" s="9">
        <f>(G283-F283)</f>
        <v>0.0</v>
      </c>
      <c r="I283" s="9" t="s">
        <v>193</v>
      </c>
      <c r="J283" s="9" t="s">
        <v>194</v>
      </c>
    </row>
    <row r="284" spans="1:12" ht="23" customHeight="1">
      <c r="A284" s="9" t="s">
        <v>191</v>
      </c>
      <c r="B284" s="6">
        <v>5</v>
      </c>
      <c r="C284" s="9" t="s">
        <v>10</v>
      </c>
      <c r="D284" s="6">
        <v>135</v>
      </c>
      <c r="E284" s="9" t="s">
        <v>192</v>
      </c>
      <c r="F284" s="6">
        <v>268854</v>
      </c>
      <c r="G284" s="7">
        <v>268854</v>
      </c>
      <c r="H284" s="9">
        <f>(G284-F284)</f>
        <v>0.0</v>
      </c>
      <c r="I284" s="9" t="s">
        <v>193</v>
      </c>
      <c r="J284" s="9" t="s">
        <v>194</v>
      </c>
    </row>
    <row r="285" spans="1:12" ht="23" customHeight="1">
      <c r="A285" s="9" t="s">
        <v>191</v>
      </c>
      <c r="B285" s="6">
        <v>5</v>
      </c>
      <c r="C285" s="9" t="s">
        <v>10</v>
      </c>
      <c r="D285" s="6">
        <v>136</v>
      </c>
      <c r="E285" s="9" t="s">
        <v>192</v>
      </c>
      <c r="F285" s="6">
        <v>268854</v>
      </c>
      <c r="G285" s="7">
        <v>268854</v>
      </c>
      <c r="H285" s="9">
        <f>(G285-F285)</f>
        <v>0.0</v>
      </c>
      <c r="I285" s="9" t="s">
        <v>193</v>
      </c>
      <c r="J285" s="9" t="s">
        <v>194</v>
      </c>
    </row>
    <row r="286" spans="1:12" ht="23" customHeight="1">
      <c r="A286" s="9" t="s">
        <v>191</v>
      </c>
      <c r="B286" s="6">
        <v>5</v>
      </c>
      <c r="C286" s="9" t="s">
        <v>10</v>
      </c>
      <c r="D286" s="6">
        <v>137</v>
      </c>
      <c r="E286" s="9" t="s">
        <v>192</v>
      </c>
      <c r="F286" s="6">
        <v>150647</v>
      </c>
      <c r="G286" s="7">
        <v>150647</v>
      </c>
      <c r="H286" s="9">
        <f>(G286-F286)</f>
        <v>0.0</v>
      </c>
      <c r="I286" s="9" t="s">
        <v>193</v>
      </c>
      <c r="J286" s="9" t="s">
        <v>194</v>
      </c>
    </row>
    <row r="287" spans="1:12" ht="23" customHeight="1">
      <c r="A287" s="9" t="s">
        <v>191</v>
      </c>
      <c r="B287" s="6">
        <v>5</v>
      </c>
      <c r="C287" s="9" t="s">
        <v>10</v>
      </c>
      <c r="D287" s="6">
        <v>138</v>
      </c>
      <c r="E287" s="9" t="s">
        <v>192</v>
      </c>
      <c r="F287" s="6">
        <v>129155</v>
      </c>
      <c r="G287" s="7">
        <v>129155</v>
      </c>
      <c r="H287" s="9">
        <f>(G287-F287)</f>
        <v>0.0</v>
      </c>
      <c r="I287" s="9" t="s">
        <v>193</v>
      </c>
      <c r="J287" s="9" t="s">
        <v>194</v>
      </c>
    </row>
    <row r="288" spans="1:12" ht="23" customHeight="1">
      <c r="A288" s="9" t="s">
        <v>191</v>
      </c>
      <c r="B288" s="6">
        <v>5</v>
      </c>
      <c r="C288" s="9" t="s">
        <v>10</v>
      </c>
      <c r="D288" s="6">
        <v>139</v>
      </c>
      <c r="E288" s="9" t="s">
        <v>192</v>
      </c>
      <c r="F288" s="6">
        <v>129155</v>
      </c>
      <c r="G288" s="7">
        <v>129155</v>
      </c>
      <c r="H288" s="9">
        <f>(G288-F288)</f>
        <v>0.0</v>
      </c>
      <c r="I288" s="9" t="s">
        <v>193</v>
      </c>
      <c r="J288" s="9" t="s">
        <v>194</v>
      </c>
    </row>
    <row r="289" spans="1:12" ht="23" customHeight="1">
      <c r="A289" s="9" t="s">
        <v>191</v>
      </c>
      <c r="B289" s="6">
        <v>5</v>
      </c>
      <c r="C289" s="9" t="s">
        <v>10</v>
      </c>
      <c r="D289" s="6">
        <v>140</v>
      </c>
      <c r="E289" s="9" t="s">
        <v>192</v>
      </c>
      <c r="F289" s="6">
        <v>129155</v>
      </c>
      <c r="G289" s="7">
        <v>129155</v>
      </c>
      <c r="H289" s="9">
        <f>(G289-F289)</f>
        <v>0.0</v>
      </c>
      <c r="I289" s="9" t="s">
        <v>193</v>
      </c>
      <c r="J289" s="9" t="s">
        <v>194</v>
      </c>
    </row>
    <row r="290" spans="1:12" ht="23" customHeight="1">
      <c r="A290" s="9" t="s">
        <v>191</v>
      </c>
      <c r="B290" s="6">
        <v>5</v>
      </c>
      <c r="C290" s="9" t="s">
        <v>10</v>
      </c>
      <c r="D290" s="6">
        <v>141</v>
      </c>
      <c r="E290" s="9" t="s">
        <v>192</v>
      </c>
      <c r="F290" s="6">
        <v>129155</v>
      </c>
      <c r="G290" s="7">
        <v>129155</v>
      </c>
      <c r="H290" s="9">
        <f>(G290-F290)</f>
        <v>0.0</v>
      </c>
      <c r="I290" s="9" t="s">
        <v>193</v>
      </c>
      <c r="J290" s="9" t="s">
        <v>194</v>
      </c>
    </row>
    <row r="291" spans="1:12" ht="23" customHeight="1">
      <c r="A291" s="9" t="s">
        <v>191</v>
      </c>
      <c r="B291" s="6">
        <v>5</v>
      </c>
      <c r="C291" s="9" t="s">
        <v>10</v>
      </c>
      <c r="D291" s="6">
        <v>142</v>
      </c>
      <c r="E291" s="9" t="s">
        <v>192</v>
      </c>
      <c r="F291" s="6">
        <v>129155</v>
      </c>
      <c r="G291" s="7">
        <v>129155</v>
      </c>
      <c r="H291" s="9">
        <f>(G291-F291)</f>
        <v>0.0</v>
      </c>
      <c r="I291" s="9" t="s">
        <v>193</v>
      </c>
      <c r="J291" s="9" t="s">
        <v>194</v>
      </c>
    </row>
    <row r="292" spans="1:12" ht="24" customHeight="1">
      <c r="A292" s="3" t="s">
        <v>181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spans="1:12" ht="36" customHeight="1">
      <c r="A293" s="4" t="s">
        <v>182</v>
      </c>
      <c r="B293" s="4" t="s">
        <v>8</v>
      </c>
      <c r="C293" s="4" t="s">
        <v>183</v>
      </c>
      <c r="D293" s="4" t="s">
        <v>184</v>
      </c>
      <c r="E293" s="4" t="s">
        <v>185</v>
      </c>
      <c r="F293" s="4" t="s">
        <v>186</v>
      </c>
      <c r="G293" s="4" t="s">
        <v>187</v>
      </c>
      <c r="H293" s="4" t="s">
        <v>188</v>
      </c>
      <c r="I293" s="4" t="s">
        <v>189</v>
      </c>
      <c r="J293" s="4" t="s">
        <v>190</v>
      </c>
    </row>
    <row r="294" spans="1:12" ht="23" customHeight="1">
      <c r="A294" s="9" t="s">
        <v>191</v>
      </c>
      <c r="B294" s="6">
        <v>5</v>
      </c>
      <c r="C294" s="9" t="s">
        <v>10</v>
      </c>
      <c r="D294" s="6">
        <v>143</v>
      </c>
      <c r="E294" s="9" t="s">
        <v>192</v>
      </c>
      <c r="F294" s="6">
        <v>129155</v>
      </c>
      <c r="G294" s="7">
        <v>129155</v>
      </c>
      <c r="H294" s="9">
        <f>(G294-F294)</f>
        <v>0.0</v>
      </c>
      <c r="I294" s="9" t="s">
        <v>193</v>
      </c>
      <c r="J294" s="9" t="s">
        <v>194</v>
      </c>
    </row>
    <row r="295" spans="1:12" ht="23" customHeight="1">
      <c r="A295" s="9" t="s">
        <v>191</v>
      </c>
      <c r="B295" s="6">
        <v>5</v>
      </c>
      <c r="C295" s="9" t="s">
        <v>10</v>
      </c>
      <c r="D295" s="6">
        <v>144</v>
      </c>
      <c r="E295" s="9" t="s">
        <v>192</v>
      </c>
      <c r="F295" s="6">
        <v>129155</v>
      </c>
      <c r="G295" s="7">
        <v>129155</v>
      </c>
      <c r="H295" s="9">
        <f>(G295-F295)</f>
        <v>0.0</v>
      </c>
      <c r="I295" s="9" t="s">
        <v>193</v>
      </c>
      <c r="J295" s="9" t="s">
        <v>194</v>
      </c>
    </row>
    <row r="296" spans="1:12" ht="23" customHeight="1">
      <c r="A296" s="9" t="s">
        <v>191</v>
      </c>
      <c r="B296" s="6">
        <v>5</v>
      </c>
      <c r="C296" s="9" t="s">
        <v>10</v>
      </c>
      <c r="D296" s="6">
        <v>145</v>
      </c>
      <c r="E296" s="9" t="s">
        <v>192</v>
      </c>
      <c r="F296" s="6">
        <v>129155</v>
      </c>
      <c r="G296" s="7">
        <v>129155</v>
      </c>
      <c r="H296" s="9">
        <f>(G296-F296)</f>
        <v>0.0</v>
      </c>
      <c r="I296" s="9" t="s">
        <v>193</v>
      </c>
      <c r="J296" s="9" t="s">
        <v>194</v>
      </c>
    </row>
    <row r="297" spans="1:12" ht="23" customHeight="1">
      <c r="A297" s="9" t="s">
        <v>191</v>
      </c>
      <c r="B297" s="6">
        <v>5</v>
      </c>
      <c r="C297" s="9" t="s">
        <v>10</v>
      </c>
      <c r="D297" s="6">
        <v>146</v>
      </c>
      <c r="E297" s="9" t="s">
        <v>192</v>
      </c>
      <c r="F297" s="6">
        <v>129155</v>
      </c>
      <c r="G297" s="7">
        <v>129155</v>
      </c>
      <c r="H297" s="9">
        <f>(G297-F297)</f>
        <v>0.0</v>
      </c>
      <c r="I297" s="9" t="s">
        <v>193</v>
      </c>
      <c r="J297" s="9" t="s">
        <v>194</v>
      </c>
    </row>
    <row r="298" spans="1:12" ht="23" customHeight="1">
      <c r="A298" s="9" t="s">
        <v>191</v>
      </c>
      <c r="B298" s="6">
        <v>6</v>
      </c>
      <c r="C298" s="9" t="s">
        <v>10</v>
      </c>
      <c r="D298" s="6">
        <v>148</v>
      </c>
      <c r="E298" s="9" t="s">
        <v>192</v>
      </c>
      <c r="F298" s="6">
        <v>58812</v>
      </c>
      <c r="G298" s="7">
        <v>58812</v>
      </c>
      <c r="H298" s="9">
        <f>(G298-F298)</f>
        <v>0.0</v>
      </c>
      <c r="I298" s="9" t="s">
        <v>193</v>
      </c>
      <c r="J298" s="9" t="s">
        <v>194</v>
      </c>
    </row>
    <row r="299" spans="1:12" ht="23" customHeight="1">
      <c r="A299" s="9" t="s">
        <v>191</v>
      </c>
      <c r="B299" s="6">
        <v>6</v>
      </c>
      <c r="C299" s="9" t="s">
        <v>10</v>
      </c>
      <c r="D299" s="6">
        <v>149</v>
      </c>
      <c r="E299" s="9" t="s">
        <v>192</v>
      </c>
      <c r="F299" s="6">
        <v>272086</v>
      </c>
      <c r="G299" s="7">
        <v>272086</v>
      </c>
      <c r="H299" s="9">
        <f>(G299-F299)</f>
        <v>0.0</v>
      </c>
      <c r="I299" s="9" t="s">
        <v>193</v>
      </c>
      <c r="J299" s="9" t="s">
        <v>194</v>
      </c>
    </row>
    <row r="300" spans="1:12" ht="23" customHeight="1">
      <c r="A300" s="9" t="s">
        <v>191</v>
      </c>
      <c r="B300" s="6">
        <v>6</v>
      </c>
      <c r="C300" s="9" t="s">
        <v>10</v>
      </c>
      <c r="D300" s="6">
        <v>150</v>
      </c>
      <c r="E300" s="9" t="s">
        <v>192</v>
      </c>
      <c r="F300" s="6">
        <v>141501</v>
      </c>
      <c r="G300" s="7">
        <v>141501</v>
      </c>
      <c r="H300" s="9">
        <f>(G300-F300)</f>
        <v>0.0</v>
      </c>
      <c r="I300" s="9" t="s">
        <v>193</v>
      </c>
      <c r="J300" s="9" t="s">
        <v>194</v>
      </c>
    </row>
    <row r="301" spans="1:12" ht="23" customHeight="1">
      <c r="A301" s="9" t="s">
        <v>191</v>
      </c>
      <c r="B301" s="6">
        <v>6</v>
      </c>
      <c r="C301" s="9" t="s">
        <v>10</v>
      </c>
      <c r="D301" s="6">
        <v>151</v>
      </c>
      <c r="E301" s="9" t="s">
        <v>192</v>
      </c>
      <c r="F301" s="6">
        <v>110708</v>
      </c>
      <c r="G301" s="7">
        <v>110708</v>
      </c>
      <c r="H301" s="9">
        <f>(G301-F301)</f>
        <v>0.0</v>
      </c>
      <c r="I301" s="9" t="s">
        <v>193</v>
      </c>
      <c r="J301" s="9" t="s">
        <v>194</v>
      </c>
    </row>
    <row r="302" spans="1:12" ht="23" customHeight="1">
      <c r="A302" s="9" t="s">
        <v>191</v>
      </c>
      <c r="B302" s="6">
        <v>6</v>
      </c>
      <c r="C302" s="9" t="s">
        <v>10</v>
      </c>
      <c r="D302" s="6">
        <v>152</v>
      </c>
      <c r="E302" s="9" t="s">
        <v>192</v>
      </c>
      <c r="F302" s="6">
        <v>208029</v>
      </c>
      <c r="G302" s="7">
        <v>208029</v>
      </c>
      <c r="H302" s="9">
        <f>(G302-F302)</f>
        <v>0.0</v>
      </c>
      <c r="I302" s="9" t="s">
        <v>193</v>
      </c>
      <c r="J302" s="9" t="s">
        <v>194</v>
      </c>
    </row>
    <row r="303" spans="1:12" ht="23" customHeight="1">
      <c r="A303" s="9" t="s">
        <v>191</v>
      </c>
      <c r="B303" s="6">
        <v>6</v>
      </c>
      <c r="C303" s="9" t="s">
        <v>10</v>
      </c>
      <c r="D303" s="6">
        <v>153</v>
      </c>
      <c r="E303" s="9" t="s">
        <v>192</v>
      </c>
      <c r="F303" s="6">
        <v>268854</v>
      </c>
      <c r="G303" s="7">
        <v>268854</v>
      </c>
      <c r="H303" s="9">
        <f>(G303-F303)</f>
        <v>0.0</v>
      </c>
      <c r="I303" s="9" t="s">
        <v>193</v>
      </c>
      <c r="J303" s="9" t="s">
        <v>194</v>
      </c>
    </row>
    <row r="304" spans="1:12" ht="23" customHeight="1">
      <c r="A304" s="9" t="s">
        <v>191</v>
      </c>
      <c r="B304" s="6">
        <v>6</v>
      </c>
      <c r="C304" s="9" t="s">
        <v>10</v>
      </c>
      <c r="D304" s="6">
        <v>154</v>
      </c>
      <c r="E304" s="9" t="s">
        <v>192</v>
      </c>
      <c r="F304" s="6">
        <v>363440</v>
      </c>
      <c r="G304" s="7">
        <v>363440</v>
      </c>
      <c r="H304" s="9">
        <f>(G304-F304)</f>
        <v>0.0</v>
      </c>
      <c r="I304" s="9" t="s">
        <v>193</v>
      </c>
      <c r="J304" s="9" t="s">
        <v>194</v>
      </c>
    </row>
    <row r="305" spans="1:12" ht="23" customHeight="1">
      <c r="A305" s="9" t="s">
        <v>191</v>
      </c>
      <c r="B305" s="6">
        <v>6</v>
      </c>
      <c r="C305" s="9" t="s">
        <v>10</v>
      </c>
      <c r="D305" s="6">
        <v>155</v>
      </c>
      <c r="E305" s="9" t="s">
        <v>192</v>
      </c>
      <c r="F305" s="6">
        <v>403280</v>
      </c>
      <c r="G305" s="7">
        <v>403280</v>
      </c>
      <c r="H305" s="9">
        <f>(G305-F305)</f>
        <v>0.0</v>
      </c>
      <c r="I305" s="9" t="s">
        <v>193</v>
      </c>
      <c r="J305" s="9" t="s">
        <v>194</v>
      </c>
    </row>
    <row r="306" spans="1:12" ht="23" customHeight="1">
      <c r="A306" s="9" t="s">
        <v>191</v>
      </c>
      <c r="B306" s="6">
        <v>6</v>
      </c>
      <c r="C306" s="9" t="s">
        <v>10</v>
      </c>
      <c r="D306" s="6">
        <v>156</v>
      </c>
      <c r="E306" s="9" t="s">
        <v>192</v>
      </c>
      <c r="F306" s="6">
        <v>403280</v>
      </c>
      <c r="G306" s="7">
        <v>403280</v>
      </c>
      <c r="H306" s="9">
        <f>(G306-F306)</f>
        <v>0.0</v>
      </c>
      <c r="I306" s="9" t="s">
        <v>193</v>
      </c>
      <c r="J306" s="9" t="s">
        <v>194</v>
      </c>
    </row>
    <row r="307" spans="1:12" ht="23" customHeight="1">
      <c r="A307" s="9" t="s">
        <v>191</v>
      </c>
      <c r="B307" s="6">
        <v>6</v>
      </c>
      <c r="C307" s="9" t="s">
        <v>10</v>
      </c>
      <c r="D307" s="6">
        <v>157</v>
      </c>
      <c r="E307" s="9" t="s">
        <v>192</v>
      </c>
      <c r="F307" s="6">
        <v>403280</v>
      </c>
      <c r="G307" s="7">
        <v>403280</v>
      </c>
      <c r="H307" s="9">
        <f>(G307-F307)</f>
        <v>0.0</v>
      </c>
      <c r="I307" s="9" t="s">
        <v>193</v>
      </c>
      <c r="J307" s="9" t="s">
        <v>194</v>
      </c>
    </row>
    <row r="308" spans="1:12" ht="23" customHeight="1">
      <c r="A308" s="9" t="s">
        <v>191</v>
      </c>
      <c r="B308" s="6">
        <v>6</v>
      </c>
      <c r="C308" s="9" t="s">
        <v>10</v>
      </c>
      <c r="D308" s="6">
        <v>158</v>
      </c>
      <c r="E308" s="9" t="s">
        <v>192</v>
      </c>
      <c r="F308" s="6">
        <v>403280</v>
      </c>
      <c r="G308" s="7">
        <v>403280</v>
      </c>
      <c r="H308" s="9">
        <f>(G308-F308)</f>
        <v>0.0</v>
      </c>
      <c r="I308" s="9" t="s">
        <v>193</v>
      </c>
      <c r="J308" s="9" t="s">
        <v>194</v>
      </c>
    </row>
    <row r="309" spans="1:12" ht="24" customHeight="1">
      <c r="A309" s="3" t="s">
        <v>181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spans="1:12" ht="36" customHeight="1">
      <c r="A310" s="4" t="s">
        <v>182</v>
      </c>
      <c r="B310" s="4" t="s">
        <v>8</v>
      </c>
      <c r="C310" s="4" t="s">
        <v>183</v>
      </c>
      <c r="D310" s="4" t="s">
        <v>184</v>
      </c>
      <c r="E310" s="4" t="s">
        <v>185</v>
      </c>
      <c r="F310" s="4" t="s">
        <v>186</v>
      </c>
      <c r="G310" s="4" t="s">
        <v>187</v>
      </c>
      <c r="H310" s="4" t="s">
        <v>188</v>
      </c>
      <c r="I310" s="4" t="s">
        <v>189</v>
      </c>
      <c r="J310" s="4" t="s">
        <v>190</v>
      </c>
    </row>
    <row r="311" spans="1:12" ht="23" customHeight="1">
      <c r="A311" s="9" t="s">
        <v>191</v>
      </c>
      <c r="B311" s="6">
        <v>6</v>
      </c>
      <c r="C311" s="9" t="s">
        <v>10</v>
      </c>
      <c r="D311" s="6">
        <v>159</v>
      </c>
      <c r="E311" s="9" t="s">
        <v>192</v>
      </c>
      <c r="F311" s="6">
        <v>403280</v>
      </c>
      <c r="G311" s="7">
        <v>403280</v>
      </c>
      <c r="H311" s="9">
        <f>(G311-F311)</f>
        <v>0.0</v>
      </c>
      <c r="I311" s="9" t="s">
        <v>193</v>
      </c>
      <c r="J311" s="9" t="s">
        <v>194</v>
      </c>
    </row>
    <row r="312" spans="1:12" ht="23" customHeight="1">
      <c r="A312" s="9" t="s">
        <v>191</v>
      </c>
      <c r="B312" s="6">
        <v>6</v>
      </c>
      <c r="C312" s="9" t="s">
        <v>10</v>
      </c>
      <c r="D312" s="6">
        <v>160</v>
      </c>
      <c r="E312" s="9" t="s">
        <v>192</v>
      </c>
      <c r="F312" s="6">
        <v>403280</v>
      </c>
      <c r="G312" s="7">
        <v>403280</v>
      </c>
      <c r="H312" s="9">
        <f>(G312-F312)</f>
        <v>0.0</v>
      </c>
      <c r="I312" s="9" t="s">
        <v>193</v>
      </c>
      <c r="J312" s="9" t="s">
        <v>194</v>
      </c>
    </row>
    <row r="313" spans="1:12" ht="23" customHeight="1">
      <c r="A313" s="9" t="s">
        <v>191</v>
      </c>
      <c r="B313" s="6">
        <v>6</v>
      </c>
      <c r="C313" s="9" t="s">
        <v>10</v>
      </c>
      <c r="D313" s="6">
        <v>161</v>
      </c>
      <c r="E313" s="9" t="s">
        <v>192</v>
      </c>
      <c r="F313" s="6">
        <v>403280</v>
      </c>
      <c r="G313" s="7">
        <v>403280</v>
      </c>
      <c r="H313" s="9">
        <f>(G313-F313)</f>
        <v>0.0</v>
      </c>
      <c r="I313" s="9" t="s">
        <v>193</v>
      </c>
      <c r="J313" s="9" t="s">
        <v>194</v>
      </c>
    </row>
    <row r="314" spans="1:12" ht="23" customHeight="1">
      <c r="A314" s="9" t="s">
        <v>191</v>
      </c>
      <c r="B314" s="6">
        <v>6</v>
      </c>
      <c r="C314" s="9" t="s">
        <v>10</v>
      </c>
      <c r="D314" s="6">
        <v>162</v>
      </c>
      <c r="E314" s="9" t="s">
        <v>192</v>
      </c>
      <c r="F314" s="6">
        <v>225971</v>
      </c>
      <c r="G314" s="7">
        <v>225971</v>
      </c>
      <c r="H314" s="9">
        <f>(G314-F314)</f>
        <v>0.0</v>
      </c>
      <c r="I314" s="9" t="s">
        <v>193</v>
      </c>
      <c r="J314" s="9" t="s">
        <v>194</v>
      </c>
    </row>
    <row r="315" spans="1:12" ht="23" customHeight="1">
      <c r="A315" s="9" t="s">
        <v>191</v>
      </c>
      <c r="B315" s="6">
        <v>6</v>
      </c>
      <c r="C315" s="9" t="s">
        <v>10</v>
      </c>
      <c r="D315" s="6">
        <v>163</v>
      </c>
      <c r="E315" s="9" t="s">
        <v>192</v>
      </c>
      <c r="F315" s="6">
        <v>193733</v>
      </c>
      <c r="G315" s="7">
        <v>193733</v>
      </c>
      <c r="H315" s="9">
        <f>(G315-F315)</f>
        <v>0.0</v>
      </c>
      <c r="I315" s="9" t="s">
        <v>193</v>
      </c>
      <c r="J315" s="9" t="s">
        <v>194</v>
      </c>
    </row>
    <row r="316" spans="1:12" ht="23" customHeight="1">
      <c r="A316" s="9" t="s">
        <v>191</v>
      </c>
      <c r="B316" s="6">
        <v>6</v>
      </c>
      <c r="C316" s="9" t="s">
        <v>10</v>
      </c>
      <c r="D316" s="6">
        <v>164</v>
      </c>
      <c r="E316" s="9" t="s">
        <v>192</v>
      </c>
      <c r="F316" s="6">
        <v>193733</v>
      </c>
      <c r="G316" s="7">
        <v>193733</v>
      </c>
      <c r="H316" s="9">
        <f>(G316-F316)</f>
        <v>0.0</v>
      </c>
      <c r="I316" s="9" t="s">
        <v>193</v>
      </c>
      <c r="J316" s="9" t="s">
        <v>194</v>
      </c>
    </row>
    <row r="317" spans="1:12" ht="23" customHeight="1">
      <c r="A317" s="9" t="s">
        <v>191</v>
      </c>
      <c r="B317" s="6">
        <v>6</v>
      </c>
      <c r="C317" s="9" t="s">
        <v>10</v>
      </c>
      <c r="D317" s="6">
        <v>165</v>
      </c>
      <c r="E317" s="9" t="s">
        <v>192</v>
      </c>
      <c r="F317" s="6">
        <v>193733</v>
      </c>
      <c r="G317" s="7">
        <v>193733</v>
      </c>
      <c r="H317" s="9">
        <f>(G317-F317)</f>
        <v>0.0</v>
      </c>
      <c r="I317" s="9" t="s">
        <v>193</v>
      </c>
      <c r="J317" s="9" t="s">
        <v>194</v>
      </c>
    </row>
    <row r="318" spans="1:12" ht="23" customHeight="1">
      <c r="A318" s="9" t="s">
        <v>191</v>
      </c>
      <c r="B318" s="6">
        <v>6</v>
      </c>
      <c r="C318" s="9" t="s">
        <v>10</v>
      </c>
      <c r="D318" s="6">
        <v>166</v>
      </c>
      <c r="E318" s="9" t="s">
        <v>192</v>
      </c>
      <c r="F318" s="6">
        <v>193733</v>
      </c>
      <c r="G318" s="7">
        <v>193733</v>
      </c>
      <c r="H318" s="9">
        <f>(G318-F318)</f>
        <v>0.0</v>
      </c>
      <c r="I318" s="9" t="s">
        <v>193</v>
      </c>
      <c r="J318" s="9" t="s">
        <v>194</v>
      </c>
    </row>
    <row r="319" spans="1:12" ht="23" customHeight="1">
      <c r="A319" s="9" t="s">
        <v>191</v>
      </c>
      <c r="B319" s="6">
        <v>6</v>
      </c>
      <c r="C319" s="9" t="s">
        <v>10</v>
      </c>
      <c r="D319" s="6">
        <v>167</v>
      </c>
      <c r="E319" s="9" t="s">
        <v>192</v>
      </c>
      <c r="F319" s="6">
        <v>193733</v>
      </c>
      <c r="G319" s="7">
        <v>193733</v>
      </c>
      <c r="H319" s="9">
        <f>(G319-F319)</f>
        <v>0.0</v>
      </c>
      <c r="I319" s="9" t="s">
        <v>193</v>
      </c>
      <c r="J319" s="9" t="s">
        <v>194</v>
      </c>
    </row>
    <row r="320" spans="1:12" ht="23" customHeight="1">
      <c r="A320" s="9" t="s">
        <v>191</v>
      </c>
      <c r="B320" s="6">
        <v>6</v>
      </c>
      <c r="C320" s="9" t="s">
        <v>10</v>
      </c>
      <c r="D320" s="6">
        <v>168</v>
      </c>
      <c r="E320" s="9" t="s">
        <v>192</v>
      </c>
      <c r="F320" s="6">
        <v>193733</v>
      </c>
      <c r="G320" s="7">
        <v>193733</v>
      </c>
      <c r="H320" s="9">
        <f>(G320-F320)</f>
        <v>0.0</v>
      </c>
      <c r="I320" s="9" t="s">
        <v>193</v>
      </c>
      <c r="J320" s="9" t="s">
        <v>194</v>
      </c>
    </row>
    <row r="321" spans="1:12" ht="23" customHeight="1">
      <c r="A321" s="9" t="s">
        <v>191</v>
      </c>
      <c r="B321" s="6">
        <v>6</v>
      </c>
      <c r="C321" s="9" t="s">
        <v>10</v>
      </c>
      <c r="D321" s="6">
        <v>169</v>
      </c>
      <c r="E321" s="9" t="s">
        <v>192</v>
      </c>
      <c r="F321" s="6">
        <v>193733</v>
      </c>
      <c r="G321" s="7">
        <v>193733</v>
      </c>
      <c r="H321" s="9">
        <f>(G321-F321)</f>
        <v>0.0</v>
      </c>
      <c r="I321" s="9" t="s">
        <v>193</v>
      </c>
      <c r="J321" s="9" t="s">
        <v>194</v>
      </c>
    </row>
    <row r="322" spans="1:12" ht="23" customHeight="1">
      <c r="A322" s="9" t="s">
        <v>191</v>
      </c>
      <c r="B322" s="6">
        <v>6</v>
      </c>
      <c r="C322" s="9" t="s">
        <v>10</v>
      </c>
      <c r="D322" s="6">
        <v>170</v>
      </c>
      <c r="E322" s="9" t="s">
        <v>192</v>
      </c>
      <c r="F322" s="6">
        <v>193733</v>
      </c>
      <c r="G322" s="7">
        <v>193733</v>
      </c>
      <c r="H322" s="9">
        <f>(G322-F322)</f>
        <v>0.0</v>
      </c>
      <c r="I322" s="9" t="s">
        <v>193</v>
      </c>
      <c r="J322" s="9" t="s">
        <v>194</v>
      </c>
    </row>
    <row r="323" spans="1:12" ht="23" customHeight="1">
      <c r="A323" s="9" t="s">
        <v>191</v>
      </c>
      <c r="B323" s="6">
        <v>6</v>
      </c>
      <c r="C323" s="9" t="s">
        <v>10</v>
      </c>
      <c r="D323" s="6">
        <v>171</v>
      </c>
      <c r="E323" s="9" t="s">
        <v>192</v>
      </c>
      <c r="F323" s="6">
        <v>193733</v>
      </c>
      <c r="G323" s="7">
        <v>193733</v>
      </c>
      <c r="H323" s="9">
        <f>(G323-F323)</f>
        <v>0.0</v>
      </c>
      <c r="I323" s="9" t="s">
        <v>193</v>
      </c>
      <c r="J323" s="9" t="s">
        <v>194</v>
      </c>
    </row>
    <row r="324" spans="1:12" ht="23" customHeight="1">
      <c r="A324" s="9" t="s">
        <v>195</v>
      </c>
      <c r="B324" s="6">
        <v>4</v>
      </c>
      <c r="C324" s="9" t="s">
        <v>10</v>
      </c>
      <c r="D324" s="6">
        <v>98</v>
      </c>
      <c r="E324" s="9" t="s">
        <v>196</v>
      </c>
      <c r="F324" s="11">
        <v>1162.9</v>
      </c>
      <c r="G324" s="8">
        <v>1162.9</v>
      </c>
      <c r="H324" s="9">
        <f>(G324-F324)</f>
        <v>0.0</v>
      </c>
      <c r="I324" s="9" t="s">
        <v>193</v>
      </c>
      <c r="J324" s="9" t="s">
        <v>194</v>
      </c>
    </row>
    <row r="325" spans="1:12" ht="23" customHeight="1">
      <c r="A325" s="9" t="s">
        <v>195</v>
      </c>
      <c r="B325" s="6">
        <v>4</v>
      </c>
      <c r="C325" s="9" t="s">
        <v>10</v>
      </c>
      <c r="D325" s="6">
        <v>98</v>
      </c>
      <c r="E325" s="9" t="s">
        <v>197</v>
      </c>
      <c r="F325" s="11">
        <v>1307.5</v>
      </c>
      <c r="G325" s="8">
        <v>1307.5</v>
      </c>
      <c r="H325" s="9">
        <f>(G325-F325)</f>
        <v>0.0</v>
      </c>
      <c r="I325" s="9" t="s">
        <v>193</v>
      </c>
      <c r="J325" s="9" t="s">
        <v>194</v>
      </c>
    </row>
    <row r="326" spans="1:12" ht="24" customHeight="1">
      <c r="A326" s="3" t="s">
        <v>181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spans="1:12" ht="36" customHeight="1">
      <c r="A327" s="4" t="s">
        <v>182</v>
      </c>
      <c r="B327" s="4" t="s">
        <v>8</v>
      </c>
      <c r="C327" s="4" t="s">
        <v>183</v>
      </c>
      <c r="D327" s="4" t="s">
        <v>184</v>
      </c>
      <c r="E327" s="4" t="s">
        <v>185</v>
      </c>
      <c r="F327" s="4" t="s">
        <v>186</v>
      </c>
      <c r="G327" s="4" t="s">
        <v>187</v>
      </c>
      <c r="H327" s="4" t="s">
        <v>188</v>
      </c>
      <c r="I327" s="4" t="s">
        <v>189</v>
      </c>
      <c r="J327" s="4" t="s">
        <v>190</v>
      </c>
    </row>
    <row r="328" spans="1:12" ht="23" customHeight="1">
      <c r="A328" s="9" t="s">
        <v>195</v>
      </c>
      <c r="B328" s="6">
        <v>4</v>
      </c>
      <c r="C328" s="9" t="s">
        <v>10</v>
      </c>
      <c r="D328" s="6">
        <v>99</v>
      </c>
      <c r="E328" s="9" t="s">
        <v>196</v>
      </c>
      <c r="F328" s="6">
        <v>1989</v>
      </c>
      <c r="G328" s="7">
        <v>1989</v>
      </c>
      <c r="H328" s="9">
        <f>(G328-F328)</f>
        <v>0.0</v>
      </c>
      <c r="I328" s="9" t="s">
        <v>193</v>
      </c>
      <c r="J328" s="9" t="s">
        <v>194</v>
      </c>
    </row>
    <row r="329" spans="1:12" ht="23" customHeight="1">
      <c r="A329" s="9" t="s">
        <v>195</v>
      </c>
      <c r="B329" s="6">
        <v>4</v>
      </c>
      <c r="C329" s="9" t="s">
        <v>10</v>
      </c>
      <c r="D329" s="6">
        <v>99</v>
      </c>
      <c r="E329" s="9" t="s">
        <v>197</v>
      </c>
      <c r="F329" s="6">
        <v>1989</v>
      </c>
      <c r="G329" s="7">
        <v>1989</v>
      </c>
      <c r="H329" s="9">
        <f>(G329-F329)</f>
        <v>0.0</v>
      </c>
      <c r="I329" s="9" t="s">
        <v>193</v>
      </c>
      <c r="J329" s="9" t="s">
        <v>194</v>
      </c>
    </row>
    <row r="330" spans="1:12" ht="23" customHeight="1">
      <c r="A330" s="9" t="s">
        <v>195</v>
      </c>
      <c r="B330" s="6">
        <v>4</v>
      </c>
      <c r="C330" s="9" t="s">
        <v>10</v>
      </c>
      <c r="D330" s="6">
        <v>100</v>
      </c>
      <c r="E330" s="9" t="s">
        <v>196</v>
      </c>
      <c r="F330" s="11">
        <v>1826.6</v>
      </c>
      <c r="G330" s="8">
        <v>1826.6</v>
      </c>
      <c r="H330" s="9">
        <f>(G330-F330)</f>
        <v>0.0</v>
      </c>
      <c r="I330" s="9" t="s">
        <v>193</v>
      </c>
      <c r="J330" s="9" t="s">
        <v>194</v>
      </c>
    </row>
    <row r="331" spans="1:12" ht="23" customHeight="1">
      <c r="A331" s="9" t="s">
        <v>195</v>
      </c>
      <c r="B331" s="6">
        <v>4</v>
      </c>
      <c r="C331" s="9" t="s">
        <v>10</v>
      </c>
      <c r="D331" s="6">
        <v>100</v>
      </c>
      <c r="E331" s="9" t="s">
        <v>197</v>
      </c>
      <c r="F331" s="11">
        <v>1826.6</v>
      </c>
      <c r="G331" s="8">
        <v>1826.6</v>
      </c>
      <c r="H331" s="9">
        <f>(G331-F331)</f>
        <v>0.0</v>
      </c>
      <c r="I331" s="9" t="s">
        <v>193</v>
      </c>
      <c r="J331" s="9" t="s">
        <v>194</v>
      </c>
    </row>
    <row r="332" spans="1:12" ht="23" customHeight="1">
      <c r="A332" s="9" t="s">
        <v>195</v>
      </c>
      <c r="B332" s="6">
        <v>4</v>
      </c>
      <c r="C332" s="9" t="s">
        <v>10</v>
      </c>
      <c r="D332" s="6">
        <v>101</v>
      </c>
      <c r="E332" s="9" t="s">
        <v>196</v>
      </c>
      <c r="F332" s="6">
        <v>1755</v>
      </c>
      <c r="G332" s="7">
        <v>1755</v>
      </c>
      <c r="H332" s="9">
        <f>(G332-F332)</f>
        <v>0.0</v>
      </c>
      <c r="I332" s="9" t="s">
        <v>193</v>
      </c>
      <c r="J332" s="9" t="s">
        <v>194</v>
      </c>
    </row>
    <row r="333" spans="1:12" ht="23" customHeight="1">
      <c r="A333" s="9" t="s">
        <v>195</v>
      </c>
      <c r="B333" s="6">
        <v>4</v>
      </c>
      <c r="C333" s="9" t="s">
        <v>10</v>
      </c>
      <c r="D333" s="6">
        <v>101</v>
      </c>
      <c r="E333" s="9" t="s">
        <v>197</v>
      </c>
      <c r="F333" s="6">
        <v>1755</v>
      </c>
      <c r="G333" s="7">
        <v>1755</v>
      </c>
      <c r="H333" s="9">
        <f>(G333-F333)</f>
        <v>0.0</v>
      </c>
      <c r="I333" s="9" t="s">
        <v>193</v>
      </c>
      <c r="J333" s="9" t="s">
        <v>194</v>
      </c>
    </row>
    <row r="334" spans="1:12" ht="23" customHeight="1">
      <c r="A334" s="9" t="s">
        <v>195</v>
      </c>
      <c r="B334" s="6">
        <v>4</v>
      </c>
      <c r="C334" s="9" t="s">
        <v>10</v>
      </c>
      <c r="D334" s="6">
        <v>102</v>
      </c>
      <c r="E334" s="9" t="s">
        <v>196</v>
      </c>
      <c r="F334" s="11">
        <v>2158.6</v>
      </c>
      <c r="G334" s="8">
        <v>2158.6</v>
      </c>
      <c r="H334" s="9">
        <f>(G334-F334)</f>
        <v>0.0</v>
      </c>
      <c r="I334" s="9" t="s">
        <v>193</v>
      </c>
      <c r="J334" s="9" t="s">
        <v>194</v>
      </c>
    </row>
    <row r="335" spans="1:12" ht="23" customHeight="1">
      <c r="A335" s="9" t="s">
        <v>195</v>
      </c>
      <c r="B335" s="6">
        <v>4</v>
      </c>
      <c r="C335" s="9" t="s">
        <v>10</v>
      </c>
      <c r="D335" s="6">
        <v>102</v>
      </c>
      <c r="E335" s="9" t="s">
        <v>197</v>
      </c>
      <c r="F335" s="11">
        <v>2158.6</v>
      </c>
      <c r="G335" s="8">
        <v>2158.6</v>
      </c>
      <c r="H335" s="9">
        <f>(G335-F335)</f>
        <v>0.0</v>
      </c>
      <c r="I335" s="9" t="s">
        <v>193</v>
      </c>
      <c r="J335" s="9" t="s">
        <v>194</v>
      </c>
    </row>
    <row r="336" spans="1:12" ht="23" customHeight="1">
      <c r="A336" s="9" t="s">
        <v>195</v>
      </c>
      <c r="B336" s="6">
        <v>4</v>
      </c>
      <c r="C336" s="9" t="s">
        <v>10</v>
      </c>
      <c r="D336" s="6">
        <v>103</v>
      </c>
      <c r="E336" s="9" t="s">
        <v>196</v>
      </c>
      <c r="F336" s="11">
        <v>2472.8</v>
      </c>
      <c r="G336" s="8">
        <v>2472.8</v>
      </c>
      <c r="H336" s="9">
        <f>(G336-F336)</f>
        <v>0.0</v>
      </c>
      <c r="I336" s="9" t="s">
        <v>193</v>
      </c>
      <c r="J336" s="9" t="s">
        <v>194</v>
      </c>
    </row>
    <row r="337" spans="1:12" ht="23" customHeight="1">
      <c r="A337" s="9" t="s">
        <v>195</v>
      </c>
      <c r="B337" s="6">
        <v>4</v>
      </c>
      <c r="C337" s="9" t="s">
        <v>10</v>
      </c>
      <c r="D337" s="6">
        <v>103</v>
      </c>
      <c r="E337" s="9" t="s">
        <v>197</v>
      </c>
      <c r="F337" s="11">
        <v>2673.7</v>
      </c>
      <c r="G337" s="8">
        <v>2673.7</v>
      </c>
      <c r="H337" s="9">
        <f>(G337-F337)</f>
        <v>0.0</v>
      </c>
      <c r="I337" s="9" t="s">
        <v>193</v>
      </c>
      <c r="J337" s="9" t="s">
        <v>194</v>
      </c>
    </row>
    <row r="338" spans="1:12" ht="23" customHeight="1">
      <c r="A338" s="9" t="s">
        <v>195</v>
      </c>
      <c r="B338" s="6">
        <v>4</v>
      </c>
      <c r="C338" s="9" t="s">
        <v>10</v>
      </c>
      <c r="D338" s="6">
        <v>104</v>
      </c>
      <c r="E338" s="9" t="s">
        <v>196</v>
      </c>
      <c r="F338" s="11">
        <v>4642.1</v>
      </c>
      <c r="G338" s="8">
        <v>4642.1</v>
      </c>
      <c r="H338" s="9">
        <f>(G338-F338)</f>
        <v>0.0</v>
      </c>
      <c r="I338" s="9" t="s">
        <v>193</v>
      </c>
      <c r="J338" s="9" t="s">
        <v>194</v>
      </c>
    </row>
    <row r="339" spans="1:12" ht="23" customHeight="1">
      <c r="A339" s="9" t="s">
        <v>195</v>
      </c>
      <c r="B339" s="6">
        <v>4</v>
      </c>
      <c r="C339" s="9" t="s">
        <v>10</v>
      </c>
      <c r="D339" s="6">
        <v>104</v>
      </c>
      <c r="E339" s="9" t="s">
        <v>197</v>
      </c>
      <c r="F339" s="11">
        <v>4642.1</v>
      </c>
      <c r="G339" s="8">
        <v>4642.1</v>
      </c>
      <c r="H339" s="9">
        <f>(G339-F339)</f>
        <v>0.0</v>
      </c>
      <c r="I339" s="9" t="s">
        <v>193</v>
      </c>
      <c r="J339" s="9" t="s">
        <v>194</v>
      </c>
    </row>
    <row r="340" spans="1:12" ht="23" customHeight="1">
      <c r="A340" s="9" t="s">
        <v>195</v>
      </c>
      <c r="B340" s="6">
        <v>4</v>
      </c>
      <c r="C340" s="9" t="s">
        <v>10</v>
      </c>
      <c r="D340" s="6">
        <v>105</v>
      </c>
      <c r="E340" s="9" t="s">
        <v>196</v>
      </c>
      <c r="F340" s="11">
        <v>2980.8</v>
      </c>
      <c r="G340" s="8">
        <v>2980.8</v>
      </c>
      <c r="H340" s="9">
        <f>(G340-F340)</f>
        <v>0.0</v>
      </c>
      <c r="I340" s="9" t="s">
        <v>193</v>
      </c>
      <c r="J340" s="9" t="s">
        <v>194</v>
      </c>
    </row>
    <row r="341" spans="1:12" ht="23" customHeight="1">
      <c r="A341" s="9" t="s">
        <v>195</v>
      </c>
      <c r="B341" s="6">
        <v>4</v>
      </c>
      <c r="C341" s="9" t="s">
        <v>10</v>
      </c>
      <c r="D341" s="6">
        <v>105</v>
      </c>
      <c r="E341" s="9" t="s">
        <v>197</v>
      </c>
      <c r="F341" s="11">
        <v>3190.7</v>
      </c>
      <c r="G341" s="8">
        <v>3190.7</v>
      </c>
      <c r="H341" s="9">
        <f>(G341-F341)</f>
        <v>0.0</v>
      </c>
      <c r="I341" s="9" t="s">
        <v>193</v>
      </c>
      <c r="J341" s="9" t="s">
        <v>194</v>
      </c>
    </row>
    <row r="342" spans="1:12" ht="23" customHeight="1">
      <c r="A342" s="9" t="s">
        <v>195</v>
      </c>
      <c r="B342" s="6">
        <v>4</v>
      </c>
      <c r="C342" s="9" t="s">
        <v>10</v>
      </c>
      <c r="D342" s="6">
        <v>106</v>
      </c>
      <c r="E342" s="9" t="s">
        <v>196</v>
      </c>
      <c r="F342" s="11">
        <v>3190.7</v>
      </c>
      <c r="G342" s="8">
        <v>3190.7</v>
      </c>
      <c r="H342" s="9">
        <f>(G342-F342)</f>
        <v>0.0</v>
      </c>
      <c r="I342" s="9" t="s">
        <v>193</v>
      </c>
      <c r="J342" s="9" t="s">
        <v>194</v>
      </c>
    </row>
    <row r="343" spans="1:12" ht="24" customHeight="1">
      <c r="A343" s="3" t="s">
        <v>181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spans="1:12" ht="36" customHeight="1">
      <c r="A344" s="4" t="s">
        <v>182</v>
      </c>
      <c r="B344" s="4" t="s">
        <v>8</v>
      </c>
      <c r="C344" s="4" t="s">
        <v>183</v>
      </c>
      <c r="D344" s="4" t="s">
        <v>184</v>
      </c>
      <c r="E344" s="4" t="s">
        <v>185</v>
      </c>
      <c r="F344" s="4" t="s">
        <v>186</v>
      </c>
      <c r="G344" s="4" t="s">
        <v>187</v>
      </c>
      <c r="H344" s="4" t="s">
        <v>188</v>
      </c>
      <c r="I344" s="4" t="s">
        <v>189</v>
      </c>
      <c r="J344" s="4" t="s">
        <v>190</v>
      </c>
    </row>
    <row r="345" spans="1:12" ht="23" customHeight="1">
      <c r="A345" s="9" t="s">
        <v>195</v>
      </c>
      <c r="B345" s="6">
        <v>4</v>
      </c>
      <c r="C345" s="9" t="s">
        <v>10</v>
      </c>
      <c r="D345" s="6">
        <v>106</v>
      </c>
      <c r="E345" s="9" t="s">
        <v>197</v>
      </c>
      <c r="F345" s="11">
        <v>3400.6</v>
      </c>
      <c r="G345" s="8">
        <v>3400.6</v>
      </c>
      <c r="H345" s="9">
        <f>(G345-F345)</f>
        <v>0.0</v>
      </c>
      <c r="I345" s="9" t="s">
        <v>193</v>
      </c>
      <c r="J345" s="9" t="s">
        <v>194</v>
      </c>
    </row>
    <row r="346" spans="1:12" ht="23" customHeight="1">
      <c r="A346" s="9" t="s">
        <v>195</v>
      </c>
      <c r="B346" s="6">
        <v>4</v>
      </c>
      <c r="C346" s="9" t="s">
        <v>10</v>
      </c>
      <c r="D346" s="6">
        <v>107</v>
      </c>
      <c r="E346" s="9" t="s">
        <v>196</v>
      </c>
      <c r="F346" s="11">
        <v>3400.6</v>
      </c>
      <c r="G346" s="8">
        <v>3400.6</v>
      </c>
      <c r="H346" s="9">
        <f>(G346-F346)</f>
        <v>0.0</v>
      </c>
      <c r="I346" s="9" t="s">
        <v>193</v>
      </c>
      <c r="J346" s="9" t="s">
        <v>194</v>
      </c>
    </row>
    <row r="347" spans="1:12" ht="23" customHeight="1">
      <c r="A347" s="9" t="s">
        <v>195</v>
      </c>
      <c r="B347" s="6">
        <v>4</v>
      </c>
      <c r="C347" s="9" t="s">
        <v>10</v>
      </c>
      <c r="D347" s="6">
        <v>107</v>
      </c>
      <c r="E347" s="9" t="s">
        <v>197</v>
      </c>
      <c r="F347" s="11">
        <v>3610.5</v>
      </c>
      <c r="G347" s="8">
        <v>3610.5</v>
      </c>
      <c r="H347" s="9">
        <f>(G347-F347)</f>
        <v>0.0</v>
      </c>
      <c r="I347" s="9" t="s">
        <v>193</v>
      </c>
      <c r="J347" s="9" t="s">
        <v>194</v>
      </c>
    </row>
    <row r="348" spans="1:12" ht="23" customHeight="1">
      <c r="A348" s="9" t="s">
        <v>195</v>
      </c>
      <c r="B348" s="6">
        <v>4</v>
      </c>
      <c r="C348" s="9" t="s">
        <v>10</v>
      </c>
      <c r="D348" s="6">
        <v>108</v>
      </c>
      <c r="E348" s="9" t="s">
        <v>196</v>
      </c>
      <c r="F348" s="11">
        <v>3610.5</v>
      </c>
      <c r="G348" s="8">
        <v>3610.5</v>
      </c>
      <c r="H348" s="9">
        <f>(G348-F348)</f>
        <v>0.0</v>
      </c>
      <c r="I348" s="9" t="s">
        <v>193</v>
      </c>
      <c r="J348" s="9" t="s">
        <v>194</v>
      </c>
    </row>
    <row r="349" spans="1:12" ht="23" customHeight="1">
      <c r="A349" s="9" t="s">
        <v>195</v>
      </c>
      <c r="B349" s="6">
        <v>4</v>
      </c>
      <c r="C349" s="9" t="s">
        <v>10</v>
      </c>
      <c r="D349" s="6">
        <v>108</v>
      </c>
      <c r="E349" s="9" t="s">
        <v>197</v>
      </c>
      <c r="F349" s="11">
        <v>3820.5</v>
      </c>
      <c r="G349" s="8">
        <v>3820.5</v>
      </c>
      <c r="H349" s="9">
        <f>(G349-F349)</f>
        <v>0.0</v>
      </c>
      <c r="I349" s="9" t="s">
        <v>193</v>
      </c>
      <c r="J349" s="9" t="s">
        <v>194</v>
      </c>
    </row>
    <row r="350" spans="1:12" ht="23" customHeight="1">
      <c r="A350" s="9" t="s">
        <v>195</v>
      </c>
      <c r="B350" s="6">
        <v>4</v>
      </c>
      <c r="C350" s="9" t="s">
        <v>10</v>
      </c>
      <c r="D350" s="6">
        <v>109</v>
      </c>
      <c r="E350" s="9" t="s">
        <v>196</v>
      </c>
      <c r="F350" s="11">
        <v>3820.5</v>
      </c>
      <c r="G350" s="8">
        <v>3820.5</v>
      </c>
      <c r="H350" s="9">
        <f>(G350-F350)</f>
        <v>0.0</v>
      </c>
      <c r="I350" s="9" t="s">
        <v>193</v>
      </c>
      <c r="J350" s="9" t="s">
        <v>194</v>
      </c>
    </row>
    <row r="351" spans="1:12" ht="23" customHeight="1">
      <c r="A351" s="9" t="s">
        <v>195</v>
      </c>
      <c r="B351" s="6">
        <v>4</v>
      </c>
      <c r="C351" s="9" t="s">
        <v>10</v>
      </c>
      <c r="D351" s="6">
        <v>109</v>
      </c>
      <c r="E351" s="9" t="s">
        <v>197</v>
      </c>
      <c r="F351" s="11">
        <v>4030.4</v>
      </c>
      <c r="G351" s="8">
        <v>4030.4</v>
      </c>
      <c r="H351" s="9">
        <f>(G351-F351)</f>
        <v>0.0</v>
      </c>
      <c r="I351" s="9" t="s">
        <v>193</v>
      </c>
      <c r="J351" s="9" t="s">
        <v>194</v>
      </c>
    </row>
    <row r="352" spans="1:12" ht="23" customHeight="1">
      <c r="A352" s="9" t="s">
        <v>195</v>
      </c>
      <c r="B352" s="6">
        <v>4</v>
      </c>
      <c r="C352" s="9" t="s">
        <v>10</v>
      </c>
      <c r="D352" s="6">
        <v>110</v>
      </c>
      <c r="E352" s="9" t="s">
        <v>196</v>
      </c>
      <c r="F352" s="11">
        <v>4030.4</v>
      </c>
      <c r="G352" s="8">
        <v>4030.4</v>
      </c>
      <c r="H352" s="9">
        <f>(G352-F352)</f>
        <v>0.0</v>
      </c>
      <c r="I352" s="9" t="s">
        <v>193</v>
      </c>
      <c r="J352" s="9" t="s">
        <v>194</v>
      </c>
    </row>
    <row r="353" spans="1:12" ht="23" customHeight="1">
      <c r="A353" s="9" t="s">
        <v>195</v>
      </c>
      <c r="B353" s="6">
        <v>4</v>
      </c>
      <c r="C353" s="9" t="s">
        <v>10</v>
      </c>
      <c r="D353" s="6">
        <v>110</v>
      </c>
      <c r="E353" s="9" t="s">
        <v>197</v>
      </c>
      <c r="F353" s="11">
        <v>4240.3</v>
      </c>
      <c r="G353" s="8">
        <v>4240.3</v>
      </c>
      <c r="H353" s="9">
        <f>(G353-F353)</f>
        <v>0.0</v>
      </c>
      <c r="I353" s="9" t="s">
        <v>193</v>
      </c>
      <c r="J353" s="9" t="s">
        <v>194</v>
      </c>
    </row>
    <row r="354" spans="1:12" ht="23" customHeight="1">
      <c r="A354" s="9" t="s">
        <v>195</v>
      </c>
      <c r="B354" s="6">
        <v>4</v>
      </c>
      <c r="C354" s="9" t="s">
        <v>10</v>
      </c>
      <c r="D354" s="6">
        <v>111</v>
      </c>
      <c r="E354" s="9" t="s">
        <v>196</v>
      </c>
      <c r="F354" s="11">
        <v>4240.3</v>
      </c>
      <c r="G354" s="8">
        <v>4240.3</v>
      </c>
      <c r="H354" s="9">
        <f>(G354-F354)</f>
        <v>0.0</v>
      </c>
      <c r="I354" s="9" t="s">
        <v>193</v>
      </c>
      <c r="J354" s="9" t="s">
        <v>194</v>
      </c>
    </row>
    <row r="355" spans="1:12" ht="23" customHeight="1">
      <c r="A355" s="9" t="s">
        <v>195</v>
      </c>
      <c r="B355" s="6">
        <v>4</v>
      </c>
      <c r="C355" s="9" t="s">
        <v>10</v>
      </c>
      <c r="D355" s="6">
        <v>111</v>
      </c>
      <c r="E355" s="9" t="s">
        <v>197</v>
      </c>
      <c r="F355" s="11">
        <v>4450.2</v>
      </c>
      <c r="G355" s="8">
        <v>4450.2</v>
      </c>
      <c r="H355" s="9">
        <f>(G355-F355)</f>
        <v>0.0</v>
      </c>
      <c r="I355" s="9" t="s">
        <v>193</v>
      </c>
      <c r="J355" s="9" t="s">
        <v>194</v>
      </c>
    </row>
    <row r="356" spans="1:12" ht="23" customHeight="1">
      <c r="A356" s="9" t="s">
        <v>195</v>
      </c>
      <c r="B356" s="6">
        <v>4</v>
      </c>
      <c r="C356" s="9" t="s">
        <v>10</v>
      </c>
      <c r="D356" s="6">
        <v>112</v>
      </c>
      <c r="E356" s="9" t="s">
        <v>196</v>
      </c>
      <c r="F356" s="11">
        <v>3300.7</v>
      </c>
      <c r="G356" s="8">
        <v>3300.7</v>
      </c>
      <c r="H356" s="9">
        <f>(G356-F356)</f>
        <v>0.0</v>
      </c>
      <c r="I356" s="9" t="s">
        <v>193</v>
      </c>
      <c r="J356" s="9" t="s">
        <v>194</v>
      </c>
    </row>
    <row r="357" spans="1:12" ht="23" customHeight="1">
      <c r="A357" s="9" t="s">
        <v>195</v>
      </c>
      <c r="B357" s="6">
        <v>4</v>
      </c>
      <c r="C357" s="9" t="s">
        <v>10</v>
      </c>
      <c r="D357" s="6">
        <v>112</v>
      </c>
      <c r="E357" s="9" t="s">
        <v>197</v>
      </c>
      <c r="F357" s="11">
        <v>3300.7</v>
      </c>
      <c r="G357" s="8">
        <v>3300.7</v>
      </c>
      <c r="H357" s="9">
        <f>(G357-F357)</f>
        <v>0.0</v>
      </c>
      <c r="I357" s="9" t="s">
        <v>193</v>
      </c>
      <c r="J357" s="9" t="s">
        <v>194</v>
      </c>
    </row>
    <row r="358" spans="1:12" ht="23" customHeight="1">
      <c r="A358" s="9" t="s">
        <v>195</v>
      </c>
      <c r="B358" s="6">
        <v>4</v>
      </c>
      <c r="C358" s="9" t="s">
        <v>10</v>
      </c>
      <c r="D358" s="6">
        <v>113</v>
      </c>
      <c r="E358" s="9" t="s">
        <v>196</v>
      </c>
      <c r="F358" s="11">
        <v>3088.8</v>
      </c>
      <c r="G358" s="8">
        <v>3088.8</v>
      </c>
      <c r="H358" s="9">
        <f>(G358-F358)</f>
        <v>0.0</v>
      </c>
      <c r="I358" s="9" t="s">
        <v>193</v>
      </c>
      <c r="J358" s="9" t="s">
        <v>194</v>
      </c>
    </row>
    <row r="359" spans="1:12" ht="23" customHeight="1">
      <c r="A359" s="9" t="s">
        <v>195</v>
      </c>
      <c r="B359" s="6">
        <v>4</v>
      </c>
      <c r="C359" s="9" t="s">
        <v>10</v>
      </c>
      <c r="D359" s="6">
        <v>113</v>
      </c>
      <c r="E359" s="9" t="s">
        <v>197</v>
      </c>
      <c r="F359" s="11">
        <v>3088.8</v>
      </c>
      <c r="G359" s="8">
        <v>3088.8</v>
      </c>
      <c r="H359" s="9">
        <f>(G359-F359)</f>
        <v>0.0</v>
      </c>
      <c r="I359" s="9" t="s">
        <v>193</v>
      </c>
      <c r="J359" s="9" t="s">
        <v>194</v>
      </c>
    </row>
    <row r="360" spans="1:12" ht="24" customHeight="1">
      <c r="A360" s="3" t="s">
        <v>181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spans="1:12" ht="36" customHeight="1">
      <c r="A361" s="4" t="s">
        <v>182</v>
      </c>
      <c r="B361" s="4" t="s">
        <v>8</v>
      </c>
      <c r="C361" s="4" t="s">
        <v>183</v>
      </c>
      <c r="D361" s="4" t="s">
        <v>184</v>
      </c>
      <c r="E361" s="4" t="s">
        <v>185</v>
      </c>
      <c r="F361" s="4" t="s">
        <v>186</v>
      </c>
      <c r="G361" s="4" t="s">
        <v>187</v>
      </c>
      <c r="H361" s="4" t="s">
        <v>188</v>
      </c>
      <c r="I361" s="4" t="s">
        <v>189</v>
      </c>
      <c r="J361" s="4" t="s">
        <v>190</v>
      </c>
    </row>
    <row r="362" spans="1:12" ht="23" customHeight="1">
      <c r="A362" s="9" t="s">
        <v>195</v>
      </c>
      <c r="B362" s="6">
        <v>4</v>
      </c>
      <c r="C362" s="9" t="s">
        <v>10</v>
      </c>
      <c r="D362" s="6">
        <v>114</v>
      </c>
      <c r="E362" s="9" t="s">
        <v>196</v>
      </c>
      <c r="F362" s="11">
        <v>3088.8</v>
      </c>
      <c r="G362" s="8">
        <v>3088.8</v>
      </c>
      <c r="H362" s="9">
        <f>(G362-F362)</f>
        <v>0.0</v>
      </c>
      <c r="I362" s="9" t="s">
        <v>193</v>
      </c>
      <c r="J362" s="9" t="s">
        <v>194</v>
      </c>
    </row>
    <row r="363" spans="1:12" ht="23" customHeight="1">
      <c r="A363" s="9" t="s">
        <v>195</v>
      </c>
      <c r="B363" s="6">
        <v>4</v>
      </c>
      <c r="C363" s="9" t="s">
        <v>10</v>
      </c>
      <c r="D363" s="6">
        <v>114</v>
      </c>
      <c r="E363" s="9" t="s">
        <v>197</v>
      </c>
      <c r="F363" s="11">
        <v>3088.8</v>
      </c>
      <c r="G363" s="8">
        <v>3088.8</v>
      </c>
      <c r="H363" s="9">
        <f>(G363-F363)</f>
        <v>0.0</v>
      </c>
      <c r="I363" s="9" t="s">
        <v>193</v>
      </c>
      <c r="J363" s="9" t="s">
        <v>194</v>
      </c>
    </row>
    <row r="364" spans="1:12" ht="23" customHeight="1">
      <c r="A364" s="9" t="s">
        <v>195</v>
      </c>
      <c r="B364" s="6">
        <v>4</v>
      </c>
      <c r="C364" s="9" t="s">
        <v>10</v>
      </c>
      <c r="D364" s="6">
        <v>115</v>
      </c>
      <c r="E364" s="9" t="s">
        <v>196</v>
      </c>
      <c r="F364" s="11">
        <v>3088.8</v>
      </c>
      <c r="G364" s="8">
        <v>3088.8</v>
      </c>
      <c r="H364" s="9">
        <f>(G364-F364)</f>
        <v>0.0</v>
      </c>
      <c r="I364" s="9" t="s">
        <v>193</v>
      </c>
      <c r="J364" s="9" t="s">
        <v>194</v>
      </c>
    </row>
    <row r="365" spans="1:12" ht="23" customHeight="1">
      <c r="A365" s="9" t="s">
        <v>195</v>
      </c>
      <c r="B365" s="6">
        <v>4</v>
      </c>
      <c r="C365" s="9" t="s">
        <v>10</v>
      </c>
      <c r="D365" s="6">
        <v>115</v>
      </c>
      <c r="E365" s="9" t="s">
        <v>197</v>
      </c>
      <c r="F365" s="11">
        <v>3088.8</v>
      </c>
      <c r="G365" s="8">
        <v>3088.8</v>
      </c>
      <c r="H365" s="9">
        <f>(G365-F365)</f>
        <v>0.0</v>
      </c>
      <c r="I365" s="9" t="s">
        <v>193</v>
      </c>
      <c r="J365" s="9" t="s">
        <v>194</v>
      </c>
    </row>
    <row r="366" spans="1:12" ht="23" customHeight="1">
      <c r="A366" s="9" t="s">
        <v>195</v>
      </c>
      <c r="B366" s="6">
        <v>4</v>
      </c>
      <c r="C366" s="9" t="s">
        <v>10</v>
      </c>
      <c r="D366" s="6">
        <v>116</v>
      </c>
      <c r="E366" s="9" t="s">
        <v>196</v>
      </c>
      <c r="F366" s="11">
        <v>3088.8</v>
      </c>
      <c r="G366" s="8">
        <v>3088.8</v>
      </c>
      <c r="H366" s="9">
        <f>(G366-F366)</f>
        <v>0.0</v>
      </c>
      <c r="I366" s="9" t="s">
        <v>193</v>
      </c>
      <c r="J366" s="9" t="s">
        <v>194</v>
      </c>
    </row>
    <row r="367" spans="1:12" ht="23" customHeight="1">
      <c r="A367" s="9" t="s">
        <v>195</v>
      </c>
      <c r="B367" s="6">
        <v>4</v>
      </c>
      <c r="C367" s="9" t="s">
        <v>10</v>
      </c>
      <c r="D367" s="6">
        <v>116</v>
      </c>
      <c r="E367" s="9" t="s">
        <v>197</v>
      </c>
      <c r="F367" s="11">
        <v>3088.8</v>
      </c>
      <c r="G367" s="8">
        <v>3088.8</v>
      </c>
      <c r="H367" s="9">
        <f>(G367-F367)</f>
        <v>0.0</v>
      </c>
      <c r="I367" s="9" t="s">
        <v>193</v>
      </c>
      <c r="J367" s="9" t="s">
        <v>194</v>
      </c>
    </row>
    <row r="368" spans="1:12" ht="23" customHeight="1">
      <c r="A368" s="9" t="s">
        <v>195</v>
      </c>
      <c r="B368" s="6">
        <v>4</v>
      </c>
      <c r="C368" s="9" t="s">
        <v>10</v>
      </c>
      <c r="D368" s="6">
        <v>117</v>
      </c>
      <c r="E368" s="9" t="s">
        <v>196</v>
      </c>
      <c r="F368" s="11">
        <v>3088.8</v>
      </c>
      <c r="G368" s="8">
        <v>3088.8</v>
      </c>
      <c r="H368" s="9">
        <f>(G368-F368)</f>
        <v>0.0</v>
      </c>
      <c r="I368" s="9" t="s">
        <v>193</v>
      </c>
      <c r="J368" s="9" t="s">
        <v>194</v>
      </c>
    </row>
    <row r="369" spans="1:12" ht="23" customHeight="1">
      <c r="A369" s="9" t="s">
        <v>195</v>
      </c>
      <c r="B369" s="6">
        <v>4</v>
      </c>
      <c r="C369" s="9" t="s">
        <v>10</v>
      </c>
      <c r="D369" s="6">
        <v>117</v>
      </c>
      <c r="E369" s="9" t="s">
        <v>197</v>
      </c>
      <c r="F369" s="11">
        <v>3088.8</v>
      </c>
      <c r="G369" s="8">
        <v>3088.8</v>
      </c>
      <c r="H369" s="9">
        <f>(G369-F369)</f>
        <v>0.0</v>
      </c>
      <c r="I369" s="9" t="s">
        <v>193</v>
      </c>
      <c r="J369" s="9" t="s">
        <v>194</v>
      </c>
    </row>
    <row r="370" spans="1:12" ht="23" customHeight="1">
      <c r="A370" s="9" t="s">
        <v>195</v>
      </c>
      <c r="B370" s="6">
        <v>4</v>
      </c>
      <c r="C370" s="9" t="s">
        <v>10</v>
      </c>
      <c r="D370" s="6">
        <v>118</v>
      </c>
      <c r="E370" s="9" t="s">
        <v>196</v>
      </c>
      <c r="F370" s="11">
        <v>3088.8</v>
      </c>
      <c r="G370" s="8">
        <v>3088.8</v>
      </c>
      <c r="H370" s="9">
        <f>(G370-F370)</f>
        <v>0.0</v>
      </c>
      <c r="I370" s="9" t="s">
        <v>193</v>
      </c>
      <c r="J370" s="9" t="s">
        <v>194</v>
      </c>
    </row>
    <row r="371" spans="1:12" ht="23" customHeight="1">
      <c r="A371" s="9" t="s">
        <v>195</v>
      </c>
      <c r="B371" s="6">
        <v>4</v>
      </c>
      <c r="C371" s="9" t="s">
        <v>10</v>
      </c>
      <c r="D371" s="6">
        <v>118</v>
      </c>
      <c r="E371" s="9" t="s">
        <v>197</v>
      </c>
      <c r="F371" s="11">
        <v>3088.8</v>
      </c>
      <c r="G371" s="8">
        <v>3088.8</v>
      </c>
      <c r="H371" s="9">
        <f>(G371-F371)</f>
        <v>0.0</v>
      </c>
      <c r="I371" s="9" t="s">
        <v>193</v>
      </c>
      <c r="J371" s="9" t="s">
        <v>194</v>
      </c>
    </row>
    <row r="372" spans="1:12" ht="23" customHeight="1">
      <c r="A372" s="9" t="s">
        <v>195</v>
      </c>
      <c r="B372" s="6">
        <v>4</v>
      </c>
      <c r="C372" s="9" t="s">
        <v>10</v>
      </c>
      <c r="D372" s="6">
        <v>119</v>
      </c>
      <c r="E372" s="9" t="s">
        <v>196</v>
      </c>
      <c r="F372" s="11">
        <v>3088.8</v>
      </c>
      <c r="G372" s="8">
        <v>3088.8</v>
      </c>
      <c r="H372" s="9">
        <f>(G372-F372)</f>
        <v>0.0</v>
      </c>
      <c r="I372" s="9" t="s">
        <v>193</v>
      </c>
      <c r="J372" s="9" t="s">
        <v>194</v>
      </c>
    </row>
    <row r="373" spans="1:12" ht="23" customHeight="1">
      <c r="A373" s="9" t="s">
        <v>195</v>
      </c>
      <c r="B373" s="6">
        <v>4</v>
      </c>
      <c r="C373" s="9" t="s">
        <v>10</v>
      </c>
      <c r="D373" s="6">
        <v>119</v>
      </c>
      <c r="E373" s="9" t="s">
        <v>197</v>
      </c>
      <c r="F373" s="11">
        <v>3088.8</v>
      </c>
      <c r="G373" s="8">
        <v>3088.8</v>
      </c>
      <c r="H373" s="9">
        <f>(G373-F373)</f>
        <v>0.0</v>
      </c>
      <c r="I373" s="9" t="s">
        <v>193</v>
      </c>
      <c r="J373" s="9" t="s">
        <v>194</v>
      </c>
    </row>
    <row r="374" spans="1:12" ht="23" customHeight="1">
      <c r="A374" s="9" t="s">
        <v>195</v>
      </c>
      <c r="B374" s="6">
        <v>4</v>
      </c>
      <c r="C374" s="9" t="s">
        <v>10</v>
      </c>
      <c r="D374" s="6">
        <v>120</v>
      </c>
      <c r="E374" s="9" t="s">
        <v>196</v>
      </c>
      <c r="F374" s="11">
        <v>3088.8</v>
      </c>
      <c r="G374" s="8">
        <v>3088.8</v>
      </c>
      <c r="H374" s="9">
        <f>(G374-F374)</f>
        <v>0.0</v>
      </c>
      <c r="I374" s="9" t="s">
        <v>193</v>
      </c>
      <c r="J374" s="9" t="s">
        <v>194</v>
      </c>
    </row>
    <row r="375" spans="1:12" ht="23" customHeight="1">
      <c r="A375" s="9" t="s">
        <v>195</v>
      </c>
      <c r="B375" s="6">
        <v>4</v>
      </c>
      <c r="C375" s="9" t="s">
        <v>10</v>
      </c>
      <c r="D375" s="6">
        <v>120</v>
      </c>
      <c r="E375" s="9" t="s">
        <v>197</v>
      </c>
      <c r="F375" s="11">
        <v>3088.8</v>
      </c>
      <c r="G375" s="8">
        <v>3088.8</v>
      </c>
      <c r="H375" s="9">
        <f>(G375-F375)</f>
        <v>0.0</v>
      </c>
      <c r="I375" s="9" t="s">
        <v>193</v>
      </c>
      <c r="J375" s="9" t="s">
        <v>194</v>
      </c>
    </row>
    <row r="376" spans="1:12" ht="23" customHeight="1">
      <c r="A376" s="9" t="s">
        <v>195</v>
      </c>
      <c r="B376" s="6">
        <v>4</v>
      </c>
      <c r="C376" s="9" t="s">
        <v>10</v>
      </c>
      <c r="D376" s="6">
        <v>121</v>
      </c>
      <c r="E376" s="9" t="s">
        <v>196</v>
      </c>
      <c r="F376" s="11">
        <v>3088.8</v>
      </c>
      <c r="G376" s="8">
        <v>3088.8</v>
      </c>
      <c r="H376" s="9">
        <f>(G376-F376)</f>
        <v>0.0</v>
      </c>
      <c r="I376" s="9" t="s">
        <v>193</v>
      </c>
      <c r="J376" s="9" t="s">
        <v>194</v>
      </c>
    </row>
    <row r="377" spans="1:12" ht="24" customHeight="1">
      <c r="A377" s="3" t="s">
        <v>181</v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spans="1:12" ht="36" customHeight="1">
      <c r="A378" s="4" t="s">
        <v>182</v>
      </c>
      <c r="B378" s="4" t="s">
        <v>8</v>
      </c>
      <c r="C378" s="4" t="s">
        <v>183</v>
      </c>
      <c r="D378" s="4" t="s">
        <v>184</v>
      </c>
      <c r="E378" s="4" t="s">
        <v>185</v>
      </c>
      <c r="F378" s="4" t="s">
        <v>186</v>
      </c>
      <c r="G378" s="4" t="s">
        <v>187</v>
      </c>
      <c r="H378" s="4" t="s">
        <v>188</v>
      </c>
      <c r="I378" s="4" t="s">
        <v>189</v>
      </c>
      <c r="J378" s="4" t="s">
        <v>190</v>
      </c>
    </row>
    <row r="379" spans="1:12" ht="23" customHeight="1">
      <c r="A379" s="9" t="s">
        <v>195</v>
      </c>
      <c r="B379" s="6">
        <v>4</v>
      </c>
      <c r="C379" s="9" t="s">
        <v>10</v>
      </c>
      <c r="D379" s="6">
        <v>121</v>
      </c>
      <c r="E379" s="9" t="s">
        <v>197</v>
      </c>
      <c r="F379" s="11">
        <v>3088.8</v>
      </c>
      <c r="G379" s="8">
        <v>3088.8</v>
      </c>
      <c r="H379" s="9">
        <f>(G379-F379)</f>
        <v>0.0</v>
      </c>
      <c r="I379" s="9" t="s">
        <v>193</v>
      </c>
      <c r="J379" s="9" t="s">
        <v>194</v>
      </c>
    </row>
    <row r="380" spans="1:12" ht="23" customHeight="1">
      <c r="A380" s="9" t="s">
        <v>195</v>
      </c>
      <c r="B380" s="6">
        <v>5</v>
      </c>
      <c r="C380" s="9" t="s">
        <v>10</v>
      </c>
      <c r="D380" s="6">
        <v>123</v>
      </c>
      <c r="E380" s="9" t="s">
        <v>196</v>
      </c>
      <c r="F380" s="11">
        <v>1005.1</v>
      </c>
      <c r="G380" s="8">
        <v>1005.1</v>
      </c>
      <c r="H380" s="9">
        <f>(G380-F380)</f>
        <v>0.0</v>
      </c>
      <c r="I380" s="9" t="s">
        <v>193</v>
      </c>
      <c r="J380" s="9" t="s">
        <v>194</v>
      </c>
    </row>
    <row r="381" spans="1:12" ht="23" customHeight="1">
      <c r="A381" s="9" t="s">
        <v>195</v>
      </c>
      <c r="B381" s="6">
        <v>5</v>
      </c>
      <c r="C381" s="9" t="s">
        <v>10</v>
      </c>
      <c r="D381" s="6">
        <v>123</v>
      </c>
      <c r="E381" s="9" t="s">
        <v>197</v>
      </c>
      <c r="F381" s="11">
        <v>1130.1</v>
      </c>
      <c r="G381" s="8">
        <v>1130.1</v>
      </c>
      <c r="H381" s="9">
        <f>(G381-F381)</f>
        <v>0.0</v>
      </c>
      <c r="I381" s="9" t="s">
        <v>193</v>
      </c>
      <c r="J381" s="9" t="s">
        <v>194</v>
      </c>
    </row>
    <row r="382" spans="1:12" ht="23" customHeight="1">
      <c r="A382" s="9" t="s">
        <v>195</v>
      </c>
      <c r="B382" s="6">
        <v>5</v>
      </c>
      <c r="C382" s="9" t="s">
        <v>10</v>
      </c>
      <c r="D382" s="6">
        <v>124</v>
      </c>
      <c r="E382" s="9" t="s">
        <v>196</v>
      </c>
      <c r="F382" s="11">
        <v>1719.1</v>
      </c>
      <c r="G382" s="8">
        <v>1719.1</v>
      </c>
      <c r="H382" s="9">
        <f>(G382-F382)</f>
        <v>0.0</v>
      </c>
      <c r="I382" s="9" t="s">
        <v>193</v>
      </c>
      <c r="J382" s="9" t="s">
        <v>194</v>
      </c>
    </row>
    <row r="383" spans="1:12" ht="23" customHeight="1">
      <c r="A383" s="9" t="s">
        <v>195</v>
      </c>
      <c r="B383" s="6">
        <v>5</v>
      </c>
      <c r="C383" s="9" t="s">
        <v>10</v>
      </c>
      <c r="D383" s="6">
        <v>124</v>
      </c>
      <c r="E383" s="9" t="s">
        <v>197</v>
      </c>
      <c r="F383" s="11">
        <v>1719.1</v>
      </c>
      <c r="G383" s="8">
        <v>1719.1</v>
      </c>
      <c r="H383" s="9">
        <f>(G383-F383)</f>
        <v>0.0</v>
      </c>
      <c r="I383" s="9" t="s">
        <v>193</v>
      </c>
      <c r="J383" s="9" t="s">
        <v>194</v>
      </c>
    </row>
    <row r="384" spans="1:12" ht="23" customHeight="1">
      <c r="A384" s="9" t="s">
        <v>195</v>
      </c>
      <c r="B384" s="6">
        <v>5</v>
      </c>
      <c r="C384" s="9" t="s">
        <v>10</v>
      </c>
      <c r="D384" s="6">
        <v>125</v>
      </c>
      <c r="E384" s="9" t="s">
        <v>196</v>
      </c>
      <c r="F384" s="11">
        <v>1285.3</v>
      </c>
      <c r="G384" s="8">
        <v>1285.3</v>
      </c>
      <c r="H384" s="9">
        <f>(G384-F384)</f>
        <v>0.0</v>
      </c>
      <c r="I384" s="9" t="s">
        <v>193</v>
      </c>
      <c r="J384" s="9" t="s">
        <v>194</v>
      </c>
    </row>
    <row r="385" spans="1:12" ht="23" customHeight="1">
      <c r="A385" s="9" t="s">
        <v>195</v>
      </c>
      <c r="B385" s="6">
        <v>5</v>
      </c>
      <c r="C385" s="9" t="s">
        <v>10</v>
      </c>
      <c r="D385" s="6">
        <v>125</v>
      </c>
      <c r="E385" s="9" t="s">
        <v>197</v>
      </c>
      <c r="F385" s="11">
        <v>1285.3</v>
      </c>
      <c r="G385" s="8">
        <v>1285.3</v>
      </c>
      <c r="H385" s="9">
        <f>(G385-F385)</f>
        <v>0.0</v>
      </c>
      <c r="I385" s="9" t="s">
        <v>193</v>
      </c>
      <c r="J385" s="9" t="s">
        <v>194</v>
      </c>
    </row>
    <row r="386" spans="1:12" ht="23" customHeight="1">
      <c r="A386" s="9" t="s">
        <v>195</v>
      </c>
      <c r="B386" s="6">
        <v>5</v>
      </c>
      <c r="C386" s="9" t="s">
        <v>10</v>
      </c>
      <c r="D386" s="6">
        <v>126</v>
      </c>
      <c r="E386" s="9" t="s">
        <v>196</v>
      </c>
      <c r="F386" s="6">
        <v>1170</v>
      </c>
      <c r="G386" s="7">
        <v>1170</v>
      </c>
      <c r="H386" s="9">
        <f>(G386-F386)</f>
        <v>0.0</v>
      </c>
      <c r="I386" s="9" t="s">
        <v>193</v>
      </c>
      <c r="J386" s="9" t="s">
        <v>194</v>
      </c>
    </row>
    <row r="387" spans="1:12" ht="23" customHeight="1">
      <c r="A387" s="9" t="s">
        <v>195</v>
      </c>
      <c r="B387" s="6">
        <v>5</v>
      </c>
      <c r="C387" s="9" t="s">
        <v>10</v>
      </c>
      <c r="D387" s="6">
        <v>126</v>
      </c>
      <c r="E387" s="9" t="s">
        <v>197</v>
      </c>
      <c r="F387" s="6">
        <v>1170</v>
      </c>
      <c r="G387" s="7">
        <v>1170</v>
      </c>
      <c r="H387" s="9">
        <f>(G387-F387)</f>
        <v>0.0</v>
      </c>
      <c r="I387" s="9" t="s">
        <v>193</v>
      </c>
      <c r="J387" s="9" t="s">
        <v>194</v>
      </c>
    </row>
    <row r="388" spans="1:12" ht="23" customHeight="1">
      <c r="A388" s="9" t="s">
        <v>195</v>
      </c>
      <c r="B388" s="6">
        <v>5</v>
      </c>
      <c r="C388" s="9" t="s">
        <v>10</v>
      </c>
      <c r="D388" s="6">
        <v>127</v>
      </c>
      <c r="E388" s="9" t="s">
        <v>196</v>
      </c>
      <c r="F388" s="11">
        <v>1732.3</v>
      </c>
      <c r="G388" s="8">
        <v>1732.3</v>
      </c>
      <c r="H388" s="9">
        <f>(G388-F388)</f>
        <v>0.0</v>
      </c>
      <c r="I388" s="9" t="s">
        <v>193</v>
      </c>
      <c r="J388" s="9" t="s">
        <v>194</v>
      </c>
    </row>
    <row r="389" spans="1:12" ht="23" customHeight="1">
      <c r="A389" s="9" t="s">
        <v>195</v>
      </c>
      <c r="B389" s="6">
        <v>5</v>
      </c>
      <c r="C389" s="9" t="s">
        <v>10</v>
      </c>
      <c r="D389" s="6">
        <v>127</v>
      </c>
      <c r="E389" s="9" t="s">
        <v>197</v>
      </c>
      <c r="F389" s="11">
        <v>1732.3</v>
      </c>
      <c r="G389" s="8">
        <v>1732.3</v>
      </c>
      <c r="H389" s="9">
        <f>(G389-F389)</f>
        <v>0.0</v>
      </c>
      <c r="I389" s="9" t="s">
        <v>193</v>
      </c>
      <c r="J389" s="9" t="s">
        <v>194</v>
      </c>
    </row>
    <row r="390" spans="1:12" ht="23" customHeight="1">
      <c r="A390" s="9" t="s">
        <v>195</v>
      </c>
      <c r="B390" s="6">
        <v>5</v>
      </c>
      <c r="C390" s="9" t="s">
        <v>10</v>
      </c>
      <c r="D390" s="6">
        <v>128</v>
      </c>
      <c r="E390" s="9" t="s">
        <v>196</v>
      </c>
      <c r="F390" s="11">
        <v>2137.2</v>
      </c>
      <c r="G390" s="8">
        <v>2137.2</v>
      </c>
      <c r="H390" s="9">
        <f>(G390-F390)</f>
        <v>0.0</v>
      </c>
      <c r="I390" s="9" t="s">
        <v>193</v>
      </c>
      <c r="J390" s="9" t="s">
        <v>194</v>
      </c>
    </row>
    <row r="391" spans="1:12" ht="23" customHeight="1">
      <c r="A391" s="9" t="s">
        <v>195</v>
      </c>
      <c r="B391" s="6">
        <v>5</v>
      </c>
      <c r="C391" s="9" t="s">
        <v>10</v>
      </c>
      <c r="D391" s="6">
        <v>128</v>
      </c>
      <c r="E391" s="9" t="s">
        <v>197</v>
      </c>
      <c r="F391" s="11">
        <v>2310.9</v>
      </c>
      <c r="G391" s="8">
        <v>2310.9</v>
      </c>
      <c r="H391" s="9">
        <f>(G391-F391)</f>
        <v>0.0</v>
      </c>
      <c r="I391" s="9" t="s">
        <v>193</v>
      </c>
      <c r="J391" s="9" t="s">
        <v>194</v>
      </c>
    </row>
    <row r="392" spans="1:12" ht="23" customHeight="1">
      <c r="A392" s="9" t="s">
        <v>195</v>
      </c>
      <c r="B392" s="6">
        <v>5</v>
      </c>
      <c r="C392" s="9" t="s">
        <v>10</v>
      </c>
      <c r="D392" s="6">
        <v>129</v>
      </c>
      <c r="E392" s="9" t="s">
        <v>196</v>
      </c>
      <c r="F392" s="11">
        <v>3391.1</v>
      </c>
      <c r="G392" s="8">
        <v>3391.1</v>
      </c>
      <c r="H392" s="9">
        <f>(G392-F392)</f>
        <v>0.0</v>
      </c>
      <c r="I392" s="9" t="s">
        <v>193</v>
      </c>
      <c r="J392" s="9" t="s">
        <v>194</v>
      </c>
    </row>
    <row r="393" spans="1:12" ht="23" customHeight="1">
      <c r="A393" s="9" t="s">
        <v>195</v>
      </c>
      <c r="B393" s="6">
        <v>5</v>
      </c>
      <c r="C393" s="9" t="s">
        <v>10</v>
      </c>
      <c r="D393" s="6">
        <v>129</v>
      </c>
      <c r="E393" s="9" t="s">
        <v>197</v>
      </c>
      <c r="F393" s="11">
        <v>3391.1</v>
      </c>
      <c r="G393" s="8">
        <v>3391.1</v>
      </c>
      <c r="H393" s="9">
        <f>(G393-F393)</f>
        <v>0.0</v>
      </c>
      <c r="I393" s="9" t="s">
        <v>193</v>
      </c>
      <c r="J393" s="9" t="s">
        <v>194</v>
      </c>
    </row>
    <row r="394" spans="1:12" ht="24" customHeight="1">
      <c r="A394" s="3" t="s">
        <v>181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spans="1:12" ht="36" customHeight="1">
      <c r="A395" s="4" t="s">
        <v>182</v>
      </c>
      <c r="B395" s="4" t="s">
        <v>8</v>
      </c>
      <c r="C395" s="4" t="s">
        <v>183</v>
      </c>
      <c r="D395" s="4" t="s">
        <v>184</v>
      </c>
      <c r="E395" s="4" t="s">
        <v>185</v>
      </c>
      <c r="F395" s="4" t="s">
        <v>186</v>
      </c>
      <c r="G395" s="4" t="s">
        <v>187</v>
      </c>
      <c r="H395" s="4" t="s">
        <v>188</v>
      </c>
      <c r="I395" s="4" t="s">
        <v>189</v>
      </c>
      <c r="J395" s="4" t="s">
        <v>190</v>
      </c>
    </row>
    <row r="396" spans="1:12" ht="23" customHeight="1">
      <c r="A396" s="9" t="s">
        <v>195</v>
      </c>
      <c r="B396" s="6">
        <v>5</v>
      </c>
      <c r="C396" s="9" t="s">
        <v>10</v>
      </c>
      <c r="D396" s="6">
        <v>130</v>
      </c>
      <c r="E396" s="9" t="s">
        <v>196</v>
      </c>
      <c r="F396" s="11">
        <v>2576.3</v>
      </c>
      <c r="G396" s="8">
        <v>2576.3</v>
      </c>
      <c r="H396" s="9">
        <f>(G396-F396)</f>
        <v>0.0</v>
      </c>
      <c r="I396" s="9" t="s">
        <v>193</v>
      </c>
      <c r="J396" s="9" t="s">
        <v>194</v>
      </c>
    </row>
    <row r="397" spans="1:12" ht="23" customHeight="1">
      <c r="A397" s="9" t="s">
        <v>195</v>
      </c>
      <c r="B397" s="6">
        <v>5</v>
      </c>
      <c r="C397" s="9" t="s">
        <v>10</v>
      </c>
      <c r="D397" s="6">
        <v>130</v>
      </c>
      <c r="E397" s="9" t="s">
        <v>197</v>
      </c>
      <c r="F397" s="11">
        <v>2757.7</v>
      </c>
      <c r="G397" s="8">
        <v>2757.7</v>
      </c>
      <c r="H397" s="9">
        <f>(G397-F397)</f>
        <v>0.0</v>
      </c>
      <c r="I397" s="9" t="s">
        <v>193</v>
      </c>
      <c r="J397" s="9" t="s">
        <v>194</v>
      </c>
    </row>
    <row r="398" spans="1:12" ht="23" customHeight="1">
      <c r="A398" s="9" t="s">
        <v>195</v>
      </c>
      <c r="B398" s="6">
        <v>5</v>
      </c>
      <c r="C398" s="9" t="s">
        <v>10</v>
      </c>
      <c r="D398" s="6">
        <v>131</v>
      </c>
      <c r="E398" s="9" t="s">
        <v>196</v>
      </c>
      <c r="F398" s="11">
        <v>2757.7</v>
      </c>
      <c r="G398" s="8">
        <v>2757.7</v>
      </c>
      <c r="H398" s="9">
        <f>(G398-F398)</f>
        <v>0.0</v>
      </c>
      <c r="I398" s="9" t="s">
        <v>193</v>
      </c>
      <c r="J398" s="9" t="s">
        <v>194</v>
      </c>
    </row>
    <row r="399" spans="1:12" ht="23" customHeight="1">
      <c r="A399" s="9" t="s">
        <v>195</v>
      </c>
      <c r="B399" s="6">
        <v>5</v>
      </c>
      <c r="C399" s="9" t="s">
        <v>10</v>
      </c>
      <c r="D399" s="6">
        <v>131</v>
      </c>
      <c r="E399" s="9" t="s">
        <v>197</v>
      </c>
      <c r="F399" s="11">
        <v>2939.2</v>
      </c>
      <c r="G399" s="8">
        <v>2939.2</v>
      </c>
      <c r="H399" s="9">
        <f>(G399-F399)</f>
        <v>0.0</v>
      </c>
      <c r="I399" s="9" t="s">
        <v>193</v>
      </c>
      <c r="J399" s="9" t="s">
        <v>194</v>
      </c>
    </row>
    <row r="400" spans="1:12" ht="23" customHeight="1">
      <c r="A400" s="9" t="s">
        <v>195</v>
      </c>
      <c r="B400" s="6">
        <v>5</v>
      </c>
      <c r="C400" s="9" t="s">
        <v>10</v>
      </c>
      <c r="D400" s="6">
        <v>132</v>
      </c>
      <c r="E400" s="9" t="s">
        <v>196</v>
      </c>
      <c r="F400" s="11">
        <v>2939.2</v>
      </c>
      <c r="G400" s="8">
        <v>2939.2</v>
      </c>
      <c r="H400" s="9">
        <f>(G400-F400)</f>
        <v>0.0</v>
      </c>
      <c r="I400" s="9" t="s">
        <v>193</v>
      </c>
      <c r="J400" s="9" t="s">
        <v>194</v>
      </c>
    </row>
    <row r="401" spans="1:12" ht="23" customHeight="1">
      <c r="A401" s="9" t="s">
        <v>195</v>
      </c>
      <c r="B401" s="6">
        <v>5</v>
      </c>
      <c r="C401" s="9" t="s">
        <v>10</v>
      </c>
      <c r="D401" s="6">
        <v>132</v>
      </c>
      <c r="E401" s="9" t="s">
        <v>197</v>
      </c>
      <c r="F401" s="11">
        <v>3120.6</v>
      </c>
      <c r="G401" s="8">
        <v>3120.6</v>
      </c>
      <c r="H401" s="9">
        <f>(G401-F401)</f>
        <v>0.0</v>
      </c>
      <c r="I401" s="9" t="s">
        <v>193</v>
      </c>
      <c r="J401" s="9" t="s">
        <v>194</v>
      </c>
    </row>
    <row r="402" spans="1:12" ht="23" customHeight="1">
      <c r="A402" s="9" t="s">
        <v>195</v>
      </c>
      <c r="B402" s="6">
        <v>5</v>
      </c>
      <c r="C402" s="9" t="s">
        <v>10</v>
      </c>
      <c r="D402" s="6">
        <v>133</v>
      </c>
      <c r="E402" s="9" t="s">
        <v>196</v>
      </c>
      <c r="F402" s="11">
        <v>3120.6</v>
      </c>
      <c r="G402" s="8">
        <v>3120.6</v>
      </c>
      <c r="H402" s="9">
        <f>(G402-F402)</f>
        <v>0.0</v>
      </c>
      <c r="I402" s="9" t="s">
        <v>193</v>
      </c>
      <c r="J402" s="9" t="s">
        <v>194</v>
      </c>
    </row>
    <row r="403" spans="1:12" ht="23" customHeight="1">
      <c r="A403" s="9" t="s">
        <v>195</v>
      </c>
      <c r="B403" s="6">
        <v>5</v>
      </c>
      <c r="C403" s="9" t="s">
        <v>10</v>
      </c>
      <c r="D403" s="6">
        <v>133</v>
      </c>
      <c r="E403" s="9" t="s">
        <v>197</v>
      </c>
      <c r="F403" s="6">
        <v>3302</v>
      </c>
      <c r="G403" s="7">
        <v>3302</v>
      </c>
      <c r="H403" s="9">
        <f>(G403-F403)</f>
        <v>0.0</v>
      </c>
      <c r="I403" s="9" t="s">
        <v>193</v>
      </c>
      <c r="J403" s="9" t="s">
        <v>194</v>
      </c>
    </row>
    <row r="404" spans="1:12" ht="23" customHeight="1">
      <c r="A404" s="9" t="s">
        <v>195</v>
      </c>
      <c r="B404" s="6">
        <v>5</v>
      </c>
      <c r="C404" s="9" t="s">
        <v>10</v>
      </c>
      <c r="D404" s="6">
        <v>134</v>
      </c>
      <c r="E404" s="9" t="s">
        <v>196</v>
      </c>
      <c r="F404" s="6">
        <v>3302</v>
      </c>
      <c r="G404" s="7">
        <v>3302</v>
      </c>
      <c r="H404" s="9">
        <f>(G404-F404)</f>
        <v>0.0</v>
      </c>
      <c r="I404" s="9" t="s">
        <v>193</v>
      </c>
      <c r="J404" s="9" t="s">
        <v>194</v>
      </c>
    </row>
    <row r="405" spans="1:12" ht="23" customHeight="1">
      <c r="A405" s="9" t="s">
        <v>195</v>
      </c>
      <c r="B405" s="6">
        <v>5</v>
      </c>
      <c r="C405" s="9" t="s">
        <v>10</v>
      </c>
      <c r="D405" s="6">
        <v>134</v>
      </c>
      <c r="E405" s="9" t="s">
        <v>197</v>
      </c>
      <c r="F405" s="11">
        <v>3483.4</v>
      </c>
      <c r="G405" s="8">
        <v>3483.4</v>
      </c>
      <c r="H405" s="9">
        <f>(G405-F405)</f>
        <v>0.0</v>
      </c>
      <c r="I405" s="9" t="s">
        <v>193</v>
      </c>
      <c r="J405" s="9" t="s">
        <v>194</v>
      </c>
    </row>
    <row r="406" spans="1:12" ht="23" customHeight="1">
      <c r="A406" s="9" t="s">
        <v>195</v>
      </c>
      <c r="B406" s="6">
        <v>5</v>
      </c>
      <c r="C406" s="9" t="s">
        <v>10</v>
      </c>
      <c r="D406" s="6">
        <v>135</v>
      </c>
      <c r="E406" s="9" t="s">
        <v>196</v>
      </c>
      <c r="F406" s="11">
        <v>3483.4</v>
      </c>
      <c r="G406" s="8">
        <v>3483.4</v>
      </c>
      <c r="H406" s="9">
        <f>(G406-F406)</f>
        <v>0.0</v>
      </c>
      <c r="I406" s="9" t="s">
        <v>193</v>
      </c>
      <c r="J406" s="9" t="s">
        <v>194</v>
      </c>
    </row>
    <row r="407" spans="1:12" ht="23" customHeight="1">
      <c r="A407" s="9" t="s">
        <v>195</v>
      </c>
      <c r="B407" s="6">
        <v>5</v>
      </c>
      <c r="C407" s="9" t="s">
        <v>10</v>
      </c>
      <c r="D407" s="6">
        <v>135</v>
      </c>
      <c r="E407" s="9" t="s">
        <v>197</v>
      </c>
      <c r="F407" s="11">
        <v>3664.9</v>
      </c>
      <c r="G407" s="8">
        <v>3664.9</v>
      </c>
      <c r="H407" s="9">
        <f>(G407-F407)</f>
        <v>0.0</v>
      </c>
      <c r="I407" s="9" t="s">
        <v>193</v>
      </c>
      <c r="J407" s="9" t="s">
        <v>194</v>
      </c>
    </row>
    <row r="408" spans="1:12" ht="23" customHeight="1">
      <c r="A408" s="9" t="s">
        <v>195</v>
      </c>
      <c r="B408" s="6">
        <v>5</v>
      </c>
      <c r="C408" s="9" t="s">
        <v>10</v>
      </c>
      <c r="D408" s="6">
        <v>136</v>
      </c>
      <c r="E408" s="9" t="s">
        <v>196</v>
      </c>
      <c r="F408" s="11">
        <v>3664.9</v>
      </c>
      <c r="G408" s="8">
        <v>3664.9</v>
      </c>
      <c r="H408" s="9">
        <f>(G408-F408)</f>
        <v>0.0</v>
      </c>
      <c r="I408" s="9" t="s">
        <v>193</v>
      </c>
      <c r="J408" s="9" t="s">
        <v>194</v>
      </c>
    </row>
    <row r="409" spans="1:12" ht="23" customHeight="1">
      <c r="A409" s="9" t="s">
        <v>195</v>
      </c>
      <c r="B409" s="6">
        <v>5</v>
      </c>
      <c r="C409" s="9" t="s">
        <v>10</v>
      </c>
      <c r="D409" s="6">
        <v>136</v>
      </c>
      <c r="E409" s="9" t="s">
        <v>197</v>
      </c>
      <c r="F409" s="11">
        <v>3846.3</v>
      </c>
      <c r="G409" s="8">
        <v>3846.3</v>
      </c>
      <c r="H409" s="9">
        <f>(G409-F409)</f>
        <v>0.0</v>
      </c>
      <c r="I409" s="9" t="s">
        <v>193</v>
      </c>
      <c r="J409" s="9" t="s">
        <v>194</v>
      </c>
    </row>
    <row r="410" spans="1:12" ht="23" customHeight="1">
      <c r="A410" s="9" t="s">
        <v>195</v>
      </c>
      <c r="B410" s="6">
        <v>5</v>
      </c>
      <c r="C410" s="9" t="s">
        <v>10</v>
      </c>
      <c r="D410" s="6">
        <v>137</v>
      </c>
      <c r="E410" s="9" t="s">
        <v>196</v>
      </c>
      <c r="F410" s="11">
        <v>2336.3</v>
      </c>
      <c r="G410" s="8">
        <v>2336.3</v>
      </c>
      <c r="H410" s="9">
        <f>(G410-F410)</f>
        <v>0.0</v>
      </c>
      <c r="I410" s="9" t="s">
        <v>193</v>
      </c>
      <c r="J410" s="9" t="s">
        <v>194</v>
      </c>
    </row>
    <row r="411" spans="1:12" ht="24" customHeight="1">
      <c r="A411" s="3" t="s">
        <v>181</v>
      </c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spans="1:12" ht="36" customHeight="1">
      <c r="A412" s="4" t="s">
        <v>182</v>
      </c>
      <c r="B412" s="4" t="s">
        <v>8</v>
      </c>
      <c r="C412" s="4" t="s">
        <v>183</v>
      </c>
      <c r="D412" s="4" t="s">
        <v>184</v>
      </c>
      <c r="E412" s="4" t="s">
        <v>185</v>
      </c>
      <c r="F412" s="4" t="s">
        <v>186</v>
      </c>
      <c r="G412" s="4" t="s">
        <v>187</v>
      </c>
      <c r="H412" s="4" t="s">
        <v>188</v>
      </c>
      <c r="I412" s="4" t="s">
        <v>189</v>
      </c>
      <c r="J412" s="4" t="s">
        <v>190</v>
      </c>
    </row>
    <row r="413" spans="1:12" ht="23" customHeight="1">
      <c r="A413" s="9" t="s">
        <v>195</v>
      </c>
      <c r="B413" s="6">
        <v>5</v>
      </c>
      <c r="C413" s="9" t="s">
        <v>10</v>
      </c>
      <c r="D413" s="6">
        <v>137</v>
      </c>
      <c r="E413" s="9" t="s">
        <v>197</v>
      </c>
      <c r="F413" s="11">
        <v>2336.3</v>
      </c>
      <c r="G413" s="8">
        <v>2336.3</v>
      </c>
      <c r="H413" s="9">
        <f>(G413-F413)</f>
        <v>0.0</v>
      </c>
      <c r="I413" s="9" t="s">
        <v>193</v>
      </c>
      <c r="J413" s="9" t="s">
        <v>194</v>
      </c>
    </row>
    <row r="414" spans="1:12" ht="23" customHeight="1">
      <c r="A414" s="9" t="s">
        <v>195</v>
      </c>
      <c r="B414" s="6">
        <v>5</v>
      </c>
      <c r="C414" s="9" t="s">
        <v>10</v>
      </c>
      <c r="D414" s="6">
        <v>138</v>
      </c>
      <c r="E414" s="9" t="s">
        <v>196</v>
      </c>
      <c r="F414" s="11">
        <v>2059.2</v>
      </c>
      <c r="G414" s="8">
        <v>2059.2</v>
      </c>
      <c r="H414" s="9">
        <f>(G414-F414)</f>
        <v>0.0</v>
      </c>
      <c r="I414" s="9" t="s">
        <v>193</v>
      </c>
      <c r="J414" s="9" t="s">
        <v>194</v>
      </c>
    </row>
    <row r="415" spans="1:12" ht="23" customHeight="1">
      <c r="A415" s="9" t="s">
        <v>195</v>
      </c>
      <c r="B415" s="6">
        <v>5</v>
      </c>
      <c r="C415" s="9" t="s">
        <v>10</v>
      </c>
      <c r="D415" s="6">
        <v>138</v>
      </c>
      <c r="E415" s="9" t="s">
        <v>197</v>
      </c>
      <c r="F415" s="11">
        <v>2059.2</v>
      </c>
      <c r="G415" s="8">
        <v>2059.2</v>
      </c>
      <c r="H415" s="9">
        <f>(G415-F415)</f>
        <v>0.0</v>
      </c>
      <c r="I415" s="9" t="s">
        <v>193</v>
      </c>
      <c r="J415" s="9" t="s">
        <v>194</v>
      </c>
    </row>
    <row r="416" spans="1:12" ht="23" customHeight="1">
      <c r="A416" s="9" t="s">
        <v>195</v>
      </c>
      <c r="B416" s="6">
        <v>5</v>
      </c>
      <c r="C416" s="9" t="s">
        <v>10</v>
      </c>
      <c r="D416" s="6">
        <v>139</v>
      </c>
      <c r="E416" s="9" t="s">
        <v>196</v>
      </c>
      <c r="F416" s="11">
        <v>2059.2</v>
      </c>
      <c r="G416" s="8">
        <v>2059.2</v>
      </c>
      <c r="H416" s="9">
        <f>(G416-F416)</f>
        <v>0.0</v>
      </c>
      <c r="I416" s="9" t="s">
        <v>193</v>
      </c>
      <c r="J416" s="9" t="s">
        <v>194</v>
      </c>
    </row>
    <row r="417" spans="1:12" ht="23" customHeight="1">
      <c r="A417" s="9" t="s">
        <v>195</v>
      </c>
      <c r="B417" s="6">
        <v>5</v>
      </c>
      <c r="C417" s="9" t="s">
        <v>10</v>
      </c>
      <c r="D417" s="6">
        <v>139</v>
      </c>
      <c r="E417" s="9" t="s">
        <v>197</v>
      </c>
      <c r="F417" s="11">
        <v>2059.2</v>
      </c>
      <c r="G417" s="8">
        <v>2059.2</v>
      </c>
      <c r="H417" s="9">
        <f>(G417-F417)</f>
        <v>0.0</v>
      </c>
      <c r="I417" s="9" t="s">
        <v>193</v>
      </c>
      <c r="J417" s="9" t="s">
        <v>194</v>
      </c>
    </row>
    <row r="418" spans="1:12" ht="23" customHeight="1">
      <c r="A418" s="9" t="s">
        <v>195</v>
      </c>
      <c r="B418" s="6">
        <v>5</v>
      </c>
      <c r="C418" s="9" t="s">
        <v>10</v>
      </c>
      <c r="D418" s="6">
        <v>140</v>
      </c>
      <c r="E418" s="9" t="s">
        <v>196</v>
      </c>
      <c r="F418" s="11">
        <v>2059.2</v>
      </c>
      <c r="G418" s="8">
        <v>2059.2</v>
      </c>
      <c r="H418" s="9">
        <f>(G418-F418)</f>
        <v>0.0</v>
      </c>
      <c r="I418" s="9" t="s">
        <v>193</v>
      </c>
      <c r="J418" s="9" t="s">
        <v>194</v>
      </c>
    </row>
    <row r="419" spans="1:12" ht="23" customHeight="1">
      <c r="A419" s="9" t="s">
        <v>195</v>
      </c>
      <c r="B419" s="6">
        <v>5</v>
      </c>
      <c r="C419" s="9" t="s">
        <v>10</v>
      </c>
      <c r="D419" s="6">
        <v>140</v>
      </c>
      <c r="E419" s="9" t="s">
        <v>197</v>
      </c>
      <c r="F419" s="11">
        <v>2059.2</v>
      </c>
      <c r="G419" s="8">
        <v>2059.2</v>
      </c>
      <c r="H419" s="9">
        <f>(G419-F419)</f>
        <v>0.0</v>
      </c>
      <c r="I419" s="9" t="s">
        <v>193</v>
      </c>
      <c r="J419" s="9" t="s">
        <v>194</v>
      </c>
    </row>
    <row r="420" spans="1:12" ht="23" customHeight="1">
      <c r="A420" s="9" t="s">
        <v>195</v>
      </c>
      <c r="B420" s="6">
        <v>5</v>
      </c>
      <c r="C420" s="9" t="s">
        <v>10</v>
      </c>
      <c r="D420" s="6">
        <v>141</v>
      </c>
      <c r="E420" s="9" t="s">
        <v>196</v>
      </c>
      <c r="F420" s="11">
        <v>2059.2</v>
      </c>
      <c r="G420" s="8">
        <v>2059.2</v>
      </c>
      <c r="H420" s="9">
        <f>(G420-F420)</f>
        <v>0.0</v>
      </c>
      <c r="I420" s="9" t="s">
        <v>193</v>
      </c>
      <c r="J420" s="9" t="s">
        <v>194</v>
      </c>
    </row>
    <row r="421" spans="1:12" ht="23" customHeight="1">
      <c r="A421" s="9" t="s">
        <v>195</v>
      </c>
      <c r="B421" s="6">
        <v>5</v>
      </c>
      <c r="C421" s="9" t="s">
        <v>10</v>
      </c>
      <c r="D421" s="6">
        <v>141</v>
      </c>
      <c r="E421" s="9" t="s">
        <v>197</v>
      </c>
      <c r="F421" s="11">
        <v>2059.2</v>
      </c>
      <c r="G421" s="8">
        <v>2059.2</v>
      </c>
      <c r="H421" s="9">
        <f>(G421-F421)</f>
        <v>0.0</v>
      </c>
      <c r="I421" s="9" t="s">
        <v>193</v>
      </c>
      <c r="J421" s="9" t="s">
        <v>194</v>
      </c>
    </row>
    <row r="422" spans="1:12" ht="23" customHeight="1">
      <c r="A422" s="9" t="s">
        <v>195</v>
      </c>
      <c r="B422" s="6">
        <v>5</v>
      </c>
      <c r="C422" s="9" t="s">
        <v>10</v>
      </c>
      <c r="D422" s="6">
        <v>142</v>
      </c>
      <c r="E422" s="9" t="s">
        <v>196</v>
      </c>
      <c r="F422" s="11">
        <v>2059.2</v>
      </c>
      <c r="G422" s="8">
        <v>2059.2</v>
      </c>
      <c r="H422" s="9">
        <f>(G422-F422)</f>
        <v>0.0</v>
      </c>
      <c r="I422" s="9" t="s">
        <v>193</v>
      </c>
      <c r="J422" s="9" t="s">
        <v>194</v>
      </c>
    </row>
    <row r="423" spans="1:12" ht="23" customHeight="1">
      <c r="A423" s="9" t="s">
        <v>195</v>
      </c>
      <c r="B423" s="6">
        <v>5</v>
      </c>
      <c r="C423" s="9" t="s">
        <v>10</v>
      </c>
      <c r="D423" s="6">
        <v>142</v>
      </c>
      <c r="E423" s="9" t="s">
        <v>197</v>
      </c>
      <c r="F423" s="11">
        <v>2059.2</v>
      </c>
      <c r="G423" s="8">
        <v>2059.2</v>
      </c>
      <c r="H423" s="9">
        <f>(G423-F423)</f>
        <v>0.0</v>
      </c>
      <c r="I423" s="9" t="s">
        <v>193</v>
      </c>
      <c r="J423" s="9" t="s">
        <v>194</v>
      </c>
    </row>
    <row r="424" spans="1:12" ht="23" customHeight="1">
      <c r="A424" s="9" t="s">
        <v>195</v>
      </c>
      <c r="B424" s="6">
        <v>5</v>
      </c>
      <c r="C424" s="9" t="s">
        <v>10</v>
      </c>
      <c r="D424" s="6">
        <v>143</v>
      </c>
      <c r="E424" s="9" t="s">
        <v>196</v>
      </c>
      <c r="F424" s="11">
        <v>2059.2</v>
      </c>
      <c r="G424" s="8">
        <v>2059.2</v>
      </c>
      <c r="H424" s="9">
        <f>(G424-F424)</f>
        <v>0.0</v>
      </c>
      <c r="I424" s="9" t="s">
        <v>193</v>
      </c>
      <c r="J424" s="9" t="s">
        <v>194</v>
      </c>
    </row>
    <row r="425" spans="1:12" ht="23" customHeight="1">
      <c r="A425" s="9" t="s">
        <v>195</v>
      </c>
      <c r="B425" s="6">
        <v>5</v>
      </c>
      <c r="C425" s="9" t="s">
        <v>10</v>
      </c>
      <c r="D425" s="6">
        <v>143</v>
      </c>
      <c r="E425" s="9" t="s">
        <v>197</v>
      </c>
      <c r="F425" s="11">
        <v>2059.2</v>
      </c>
      <c r="G425" s="8">
        <v>2059.2</v>
      </c>
      <c r="H425" s="9">
        <f>(G425-F425)</f>
        <v>0.0</v>
      </c>
      <c r="I425" s="9" t="s">
        <v>193</v>
      </c>
      <c r="J425" s="9" t="s">
        <v>194</v>
      </c>
    </row>
    <row r="426" spans="1:12" ht="23" customHeight="1">
      <c r="A426" s="9" t="s">
        <v>195</v>
      </c>
      <c r="B426" s="6">
        <v>5</v>
      </c>
      <c r="C426" s="9" t="s">
        <v>10</v>
      </c>
      <c r="D426" s="6">
        <v>144</v>
      </c>
      <c r="E426" s="9" t="s">
        <v>196</v>
      </c>
      <c r="F426" s="11">
        <v>2059.2</v>
      </c>
      <c r="G426" s="8">
        <v>2059.2</v>
      </c>
      <c r="H426" s="9">
        <f>(G426-F426)</f>
        <v>0.0</v>
      </c>
      <c r="I426" s="9" t="s">
        <v>193</v>
      </c>
      <c r="J426" s="9" t="s">
        <v>194</v>
      </c>
    </row>
    <row r="427" spans="1:12" ht="23" customHeight="1">
      <c r="A427" s="9" t="s">
        <v>195</v>
      </c>
      <c r="B427" s="6">
        <v>5</v>
      </c>
      <c r="C427" s="9" t="s">
        <v>10</v>
      </c>
      <c r="D427" s="6">
        <v>144</v>
      </c>
      <c r="E427" s="9" t="s">
        <v>197</v>
      </c>
      <c r="F427" s="11">
        <v>2059.2</v>
      </c>
      <c r="G427" s="8">
        <v>2059.2</v>
      </c>
      <c r="H427" s="9">
        <f>(G427-F427)</f>
        <v>0.0</v>
      </c>
      <c r="I427" s="9" t="s">
        <v>193</v>
      </c>
      <c r="J427" s="9" t="s">
        <v>194</v>
      </c>
    </row>
    <row r="428" spans="1:12" ht="24" customHeight="1">
      <c r="A428" s="3" t="s">
        <v>181</v>
      </c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spans="1:12" ht="36" customHeight="1">
      <c r="A429" s="4" t="s">
        <v>182</v>
      </c>
      <c r="B429" s="4" t="s">
        <v>8</v>
      </c>
      <c r="C429" s="4" t="s">
        <v>183</v>
      </c>
      <c r="D429" s="4" t="s">
        <v>184</v>
      </c>
      <c r="E429" s="4" t="s">
        <v>185</v>
      </c>
      <c r="F429" s="4" t="s">
        <v>186</v>
      </c>
      <c r="G429" s="4" t="s">
        <v>187</v>
      </c>
      <c r="H429" s="4" t="s">
        <v>188</v>
      </c>
      <c r="I429" s="4" t="s">
        <v>189</v>
      </c>
      <c r="J429" s="4" t="s">
        <v>190</v>
      </c>
    </row>
    <row r="430" spans="1:12" ht="23" customHeight="1">
      <c r="A430" s="9" t="s">
        <v>195</v>
      </c>
      <c r="B430" s="6">
        <v>5</v>
      </c>
      <c r="C430" s="9" t="s">
        <v>10</v>
      </c>
      <c r="D430" s="6">
        <v>145</v>
      </c>
      <c r="E430" s="9" t="s">
        <v>196</v>
      </c>
      <c r="F430" s="11">
        <v>2059.2</v>
      </c>
      <c r="G430" s="8">
        <v>2059.2</v>
      </c>
      <c r="H430" s="9">
        <f>(G430-F430)</f>
        <v>0.0</v>
      </c>
      <c r="I430" s="9" t="s">
        <v>193</v>
      </c>
      <c r="J430" s="9" t="s">
        <v>194</v>
      </c>
    </row>
    <row r="431" spans="1:12" ht="23" customHeight="1">
      <c r="A431" s="9" t="s">
        <v>195</v>
      </c>
      <c r="B431" s="6">
        <v>5</v>
      </c>
      <c r="C431" s="9" t="s">
        <v>10</v>
      </c>
      <c r="D431" s="6">
        <v>145</v>
      </c>
      <c r="E431" s="9" t="s">
        <v>197</v>
      </c>
      <c r="F431" s="11">
        <v>2059.2</v>
      </c>
      <c r="G431" s="8">
        <v>2059.2</v>
      </c>
      <c r="H431" s="9">
        <f>(G431-F431)</f>
        <v>0.0</v>
      </c>
      <c r="I431" s="9" t="s">
        <v>193</v>
      </c>
      <c r="J431" s="9" t="s">
        <v>194</v>
      </c>
    </row>
    <row r="432" spans="1:12" ht="23" customHeight="1">
      <c r="A432" s="9" t="s">
        <v>195</v>
      </c>
      <c r="B432" s="6">
        <v>5</v>
      </c>
      <c r="C432" s="9" t="s">
        <v>10</v>
      </c>
      <c r="D432" s="6">
        <v>146</v>
      </c>
      <c r="E432" s="9" t="s">
        <v>196</v>
      </c>
      <c r="F432" s="11">
        <v>2059.2</v>
      </c>
      <c r="G432" s="8">
        <v>2059.2</v>
      </c>
      <c r="H432" s="9">
        <f>(G432-F432)</f>
        <v>0.0</v>
      </c>
      <c r="I432" s="9" t="s">
        <v>193</v>
      </c>
      <c r="J432" s="9" t="s">
        <v>194</v>
      </c>
    </row>
    <row r="433" spans="1:12" ht="23" customHeight="1">
      <c r="A433" s="9" t="s">
        <v>195</v>
      </c>
      <c r="B433" s="6">
        <v>5</v>
      </c>
      <c r="C433" s="9" t="s">
        <v>10</v>
      </c>
      <c r="D433" s="6">
        <v>146</v>
      </c>
      <c r="E433" s="9" t="s">
        <v>197</v>
      </c>
      <c r="F433" s="11">
        <v>2059.2</v>
      </c>
      <c r="G433" s="8">
        <v>2059.2</v>
      </c>
      <c r="H433" s="9">
        <f>(G433-F433)</f>
        <v>0.0</v>
      </c>
      <c r="I433" s="9" t="s">
        <v>193</v>
      </c>
      <c r="J433" s="9" t="s">
        <v>194</v>
      </c>
    </row>
    <row r="434" spans="1:12" ht="23" customHeight="1">
      <c r="A434" s="9" t="s">
        <v>195</v>
      </c>
      <c r="B434" s="6">
        <v>6</v>
      </c>
      <c r="C434" s="9" t="s">
        <v>10</v>
      </c>
      <c r="D434" s="6">
        <v>148</v>
      </c>
      <c r="E434" s="9" t="s">
        <v>196</v>
      </c>
      <c r="F434" s="11">
        <v>2907.3</v>
      </c>
      <c r="G434" s="8">
        <v>2907.3</v>
      </c>
      <c r="H434" s="9">
        <f>(G434-F434)</f>
        <v>0.0</v>
      </c>
      <c r="I434" s="9" t="s">
        <v>193</v>
      </c>
      <c r="J434" s="9" t="s">
        <v>194</v>
      </c>
    </row>
    <row r="435" spans="1:12" ht="23" customHeight="1">
      <c r="A435" s="9" t="s">
        <v>195</v>
      </c>
      <c r="B435" s="6">
        <v>6</v>
      </c>
      <c r="C435" s="9" t="s">
        <v>10</v>
      </c>
      <c r="D435" s="6">
        <v>148</v>
      </c>
      <c r="E435" s="9" t="s">
        <v>197</v>
      </c>
      <c r="F435" s="11">
        <v>3268.7</v>
      </c>
      <c r="G435" s="8">
        <v>3268.7</v>
      </c>
      <c r="H435" s="9">
        <f>(G435-F435)</f>
        <v>0.0</v>
      </c>
      <c r="I435" s="9" t="s">
        <v>193</v>
      </c>
      <c r="J435" s="9" t="s">
        <v>194</v>
      </c>
    </row>
    <row r="436" spans="1:12" ht="23" customHeight="1">
      <c r="A436" s="9" t="s">
        <v>195</v>
      </c>
      <c r="B436" s="6">
        <v>6</v>
      </c>
      <c r="C436" s="9" t="s">
        <v>10</v>
      </c>
      <c r="D436" s="6">
        <v>149</v>
      </c>
      <c r="E436" s="9" t="s">
        <v>196</v>
      </c>
      <c r="F436" s="11">
        <v>4972.5</v>
      </c>
      <c r="G436" s="8">
        <v>4972.5</v>
      </c>
      <c r="H436" s="9">
        <f>(G436-F436)</f>
        <v>0.0</v>
      </c>
      <c r="I436" s="9" t="s">
        <v>193</v>
      </c>
      <c r="J436" s="9" t="s">
        <v>194</v>
      </c>
    </row>
    <row r="437" spans="1:12" ht="23" customHeight="1">
      <c r="A437" s="9" t="s">
        <v>195</v>
      </c>
      <c r="B437" s="6">
        <v>6</v>
      </c>
      <c r="C437" s="9" t="s">
        <v>10</v>
      </c>
      <c r="D437" s="6">
        <v>149</v>
      </c>
      <c r="E437" s="9" t="s">
        <v>197</v>
      </c>
      <c r="F437" s="11">
        <v>4972.5</v>
      </c>
      <c r="G437" s="8">
        <v>4972.5</v>
      </c>
      <c r="H437" s="9">
        <f>(G437-F437)</f>
        <v>0.0</v>
      </c>
      <c r="I437" s="9" t="s">
        <v>193</v>
      </c>
      <c r="J437" s="9" t="s">
        <v>194</v>
      </c>
    </row>
    <row r="438" spans="1:12" ht="23" customHeight="1">
      <c r="A438" s="9" t="s">
        <v>195</v>
      </c>
      <c r="B438" s="6">
        <v>6</v>
      </c>
      <c r="C438" s="9" t="s">
        <v>10</v>
      </c>
      <c r="D438" s="6">
        <v>150</v>
      </c>
      <c r="E438" s="9" t="s">
        <v>196</v>
      </c>
      <c r="F438" s="11">
        <v>2339.1</v>
      </c>
      <c r="G438" s="8">
        <v>2339.1</v>
      </c>
      <c r="H438" s="9">
        <f>(G438-F438)</f>
        <v>0.0</v>
      </c>
      <c r="I438" s="9" t="s">
        <v>193</v>
      </c>
      <c r="J438" s="9" t="s">
        <v>194</v>
      </c>
    </row>
    <row r="439" spans="1:12" ht="23" customHeight="1">
      <c r="A439" s="9" t="s">
        <v>195</v>
      </c>
      <c r="B439" s="6">
        <v>6</v>
      </c>
      <c r="C439" s="9" t="s">
        <v>10</v>
      </c>
      <c r="D439" s="6">
        <v>150</v>
      </c>
      <c r="E439" s="9" t="s">
        <v>197</v>
      </c>
      <c r="F439" s="11">
        <v>2339.1</v>
      </c>
      <c r="G439" s="8">
        <v>2339.1</v>
      </c>
      <c r="H439" s="9">
        <f>(G439-F439)</f>
        <v>0.0</v>
      </c>
      <c r="I439" s="9" t="s">
        <v>193</v>
      </c>
      <c r="J439" s="9" t="s">
        <v>194</v>
      </c>
    </row>
    <row r="440" spans="1:12" ht="23" customHeight="1">
      <c r="A440" s="9" t="s">
        <v>195</v>
      </c>
      <c r="B440" s="6">
        <v>6</v>
      </c>
      <c r="C440" s="9" t="s">
        <v>10</v>
      </c>
      <c r="D440" s="6">
        <v>151</v>
      </c>
      <c r="E440" s="9" t="s">
        <v>196</v>
      </c>
      <c r="F440" s="6">
        <v>1755</v>
      </c>
      <c r="G440" s="7">
        <v>1755</v>
      </c>
      <c r="H440" s="9">
        <f>(G440-F440)</f>
        <v>0.0</v>
      </c>
      <c r="I440" s="9" t="s">
        <v>193</v>
      </c>
      <c r="J440" s="9" t="s">
        <v>194</v>
      </c>
    </row>
    <row r="441" spans="1:12" ht="23" customHeight="1">
      <c r="A441" s="9" t="s">
        <v>195</v>
      </c>
      <c r="B441" s="6">
        <v>6</v>
      </c>
      <c r="C441" s="9" t="s">
        <v>10</v>
      </c>
      <c r="D441" s="6">
        <v>151</v>
      </c>
      <c r="E441" s="9" t="s">
        <v>197</v>
      </c>
      <c r="F441" s="6">
        <v>1755</v>
      </c>
      <c r="G441" s="7">
        <v>1755</v>
      </c>
      <c r="H441" s="9">
        <f>(G441-F441)</f>
        <v>0.0</v>
      </c>
      <c r="I441" s="9" t="s">
        <v>193</v>
      </c>
      <c r="J441" s="9" t="s">
        <v>194</v>
      </c>
    </row>
    <row r="442" spans="1:12" ht="23" customHeight="1">
      <c r="A442" s="9" t="s">
        <v>195</v>
      </c>
      <c r="B442" s="6">
        <v>6</v>
      </c>
      <c r="C442" s="9" t="s">
        <v>10</v>
      </c>
      <c r="D442" s="6">
        <v>152</v>
      </c>
      <c r="E442" s="9" t="s">
        <v>196</v>
      </c>
      <c r="F442" s="11">
        <v>4384.1</v>
      </c>
      <c r="G442" s="8">
        <v>4384.1</v>
      </c>
      <c r="H442" s="9">
        <f>(G442-F442)</f>
        <v>0.0</v>
      </c>
      <c r="I442" s="9" t="s">
        <v>193</v>
      </c>
      <c r="J442" s="9" t="s">
        <v>194</v>
      </c>
    </row>
    <row r="443" spans="1:12" ht="23" customHeight="1">
      <c r="A443" s="9" t="s">
        <v>195</v>
      </c>
      <c r="B443" s="6">
        <v>6</v>
      </c>
      <c r="C443" s="9" t="s">
        <v>10</v>
      </c>
      <c r="D443" s="6">
        <v>152</v>
      </c>
      <c r="E443" s="9" t="s">
        <v>197</v>
      </c>
      <c r="F443" s="11">
        <v>4384.1</v>
      </c>
      <c r="G443" s="8">
        <v>4384.1</v>
      </c>
      <c r="H443" s="9">
        <f>(G443-F443)</f>
        <v>0.0</v>
      </c>
      <c r="I443" s="9" t="s">
        <v>193</v>
      </c>
      <c r="J443" s="9" t="s">
        <v>194</v>
      </c>
    </row>
    <row r="444" spans="1:12" ht="23" customHeight="1">
      <c r="A444" s="9" t="s">
        <v>195</v>
      </c>
      <c r="B444" s="6">
        <v>6</v>
      </c>
      <c r="C444" s="9" t="s">
        <v>10</v>
      </c>
      <c r="D444" s="6">
        <v>153</v>
      </c>
      <c r="E444" s="9" t="s">
        <v>196</v>
      </c>
      <c r="F444" s="11">
        <v>6181.8</v>
      </c>
      <c r="G444" s="8">
        <v>6181.8</v>
      </c>
      <c r="H444" s="9">
        <f>(G444-F444)</f>
        <v>0.0</v>
      </c>
      <c r="I444" s="9" t="s">
        <v>193</v>
      </c>
      <c r="J444" s="9" t="s">
        <v>194</v>
      </c>
    </row>
    <row r="445" spans="1:12" ht="24" customHeight="1">
      <c r="A445" s="3" t="s">
        <v>181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spans="1:12" ht="36" customHeight="1">
      <c r="A446" s="4" t="s">
        <v>182</v>
      </c>
      <c r="B446" s="4" t="s">
        <v>8</v>
      </c>
      <c r="C446" s="4" t="s">
        <v>183</v>
      </c>
      <c r="D446" s="4" t="s">
        <v>184</v>
      </c>
      <c r="E446" s="4" t="s">
        <v>185</v>
      </c>
      <c r="F446" s="4" t="s">
        <v>186</v>
      </c>
      <c r="G446" s="4" t="s">
        <v>187</v>
      </c>
      <c r="H446" s="4" t="s">
        <v>188</v>
      </c>
      <c r="I446" s="4" t="s">
        <v>189</v>
      </c>
      <c r="J446" s="4" t="s">
        <v>190</v>
      </c>
    </row>
    <row r="447" spans="1:12" ht="23" customHeight="1">
      <c r="A447" s="9" t="s">
        <v>195</v>
      </c>
      <c r="B447" s="6">
        <v>6</v>
      </c>
      <c r="C447" s="9" t="s">
        <v>10</v>
      </c>
      <c r="D447" s="6">
        <v>153</v>
      </c>
      <c r="E447" s="9" t="s">
        <v>197</v>
      </c>
      <c r="F447" s="11">
        <v>6684.3</v>
      </c>
      <c r="G447" s="8">
        <v>6684.3</v>
      </c>
      <c r="H447" s="9">
        <f>(G447-F447)</f>
        <v>0.0</v>
      </c>
      <c r="I447" s="9" t="s">
        <v>193</v>
      </c>
      <c r="J447" s="9" t="s">
        <v>194</v>
      </c>
    </row>
    <row r="448" spans="1:12" ht="23" customHeight="1">
      <c r="A448" s="9" t="s">
        <v>195</v>
      </c>
      <c r="B448" s="6">
        <v>6</v>
      </c>
      <c r="C448" s="9" t="s">
        <v>10</v>
      </c>
      <c r="D448" s="6">
        <v>154</v>
      </c>
      <c r="E448" s="9" t="s">
        <v>196</v>
      </c>
      <c r="F448" s="11">
        <v>6891.1</v>
      </c>
      <c r="G448" s="8">
        <v>6891.1</v>
      </c>
      <c r="H448" s="9">
        <f>(G448-F448)</f>
        <v>0.0</v>
      </c>
      <c r="I448" s="9" t="s">
        <v>193</v>
      </c>
      <c r="J448" s="9" t="s">
        <v>194</v>
      </c>
    </row>
    <row r="449" spans="1:12" ht="23" customHeight="1">
      <c r="A449" s="9" t="s">
        <v>195</v>
      </c>
      <c r="B449" s="6">
        <v>6</v>
      </c>
      <c r="C449" s="9" t="s">
        <v>10</v>
      </c>
      <c r="D449" s="6">
        <v>154</v>
      </c>
      <c r="E449" s="9" t="s">
        <v>197</v>
      </c>
      <c r="F449" s="11">
        <v>6891.1</v>
      </c>
      <c r="G449" s="8">
        <v>6891.1</v>
      </c>
      <c r="H449" s="9">
        <f>(G449-F449)</f>
        <v>0.0</v>
      </c>
      <c r="I449" s="9" t="s">
        <v>193</v>
      </c>
      <c r="J449" s="9" t="s">
        <v>194</v>
      </c>
    </row>
    <row r="450" spans="1:12" ht="23" customHeight="1">
      <c r="A450" s="9" t="s">
        <v>195</v>
      </c>
      <c r="B450" s="6">
        <v>6</v>
      </c>
      <c r="C450" s="9" t="s">
        <v>10</v>
      </c>
      <c r="D450" s="6">
        <v>155</v>
      </c>
      <c r="E450" s="9" t="s">
        <v>196</v>
      </c>
      <c r="F450" s="11">
        <v>7451.9</v>
      </c>
      <c r="G450" s="8">
        <v>7451.9</v>
      </c>
      <c r="H450" s="9">
        <f>(G450-F450)</f>
        <v>0.0</v>
      </c>
      <c r="I450" s="9" t="s">
        <v>193</v>
      </c>
      <c r="J450" s="9" t="s">
        <v>194</v>
      </c>
    </row>
    <row r="451" spans="1:12" ht="23" customHeight="1">
      <c r="A451" s="9" t="s">
        <v>195</v>
      </c>
      <c r="B451" s="6">
        <v>6</v>
      </c>
      <c r="C451" s="9" t="s">
        <v>10</v>
      </c>
      <c r="D451" s="6">
        <v>155</v>
      </c>
      <c r="E451" s="9" t="s">
        <v>197</v>
      </c>
      <c r="F451" s="11">
        <v>7976.7</v>
      </c>
      <c r="G451" s="8">
        <v>7976.7</v>
      </c>
      <c r="H451" s="9">
        <f>(G451-F451)</f>
        <v>0.0</v>
      </c>
      <c r="I451" s="9" t="s">
        <v>193</v>
      </c>
      <c r="J451" s="9" t="s">
        <v>194</v>
      </c>
    </row>
    <row r="452" spans="1:12" ht="23" customHeight="1">
      <c r="A452" s="9" t="s">
        <v>195</v>
      </c>
      <c r="B452" s="6">
        <v>6</v>
      </c>
      <c r="C452" s="9" t="s">
        <v>10</v>
      </c>
      <c r="D452" s="6">
        <v>156</v>
      </c>
      <c r="E452" s="9" t="s">
        <v>196</v>
      </c>
      <c r="F452" s="11">
        <v>7976.7</v>
      </c>
      <c r="G452" s="8">
        <v>7976.7</v>
      </c>
      <c r="H452" s="9">
        <f>(G452-F452)</f>
        <v>0.0</v>
      </c>
      <c r="I452" s="9" t="s">
        <v>193</v>
      </c>
      <c r="J452" s="9" t="s">
        <v>194</v>
      </c>
    </row>
    <row r="453" spans="1:12" ht="23" customHeight="1">
      <c r="A453" s="9" t="s">
        <v>195</v>
      </c>
      <c r="B453" s="6">
        <v>6</v>
      </c>
      <c r="C453" s="9" t="s">
        <v>10</v>
      </c>
      <c r="D453" s="6">
        <v>156</v>
      </c>
      <c r="E453" s="9" t="s">
        <v>197</v>
      </c>
      <c r="F453" s="11">
        <v>8501.5</v>
      </c>
      <c r="G453" s="8">
        <v>8501.5</v>
      </c>
      <c r="H453" s="9">
        <f>(G453-F453)</f>
        <v>0.0</v>
      </c>
      <c r="I453" s="9" t="s">
        <v>193</v>
      </c>
      <c r="J453" s="9" t="s">
        <v>194</v>
      </c>
    </row>
    <row r="454" spans="1:12" ht="23" customHeight="1">
      <c r="A454" s="9" t="s">
        <v>195</v>
      </c>
      <c r="B454" s="6">
        <v>6</v>
      </c>
      <c r="C454" s="9" t="s">
        <v>10</v>
      </c>
      <c r="D454" s="6">
        <v>157</v>
      </c>
      <c r="E454" s="9" t="s">
        <v>196</v>
      </c>
      <c r="F454" s="11">
        <v>8501.5</v>
      </c>
      <c r="G454" s="8">
        <v>8501.5</v>
      </c>
      <c r="H454" s="9">
        <f>(G454-F454)</f>
        <v>0.0</v>
      </c>
      <c r="I454" s="9" t="s">
        <v>193</v>
      </c>
      <c r="J454" s="9" t="s">
        <v>194</v>
      </c>
    </row>
    <row r="455" spans="1:12" ht="23" customHeight="1">
      <c r="A455" s="9" t="s">
        <v>195</v>
      </c>
      <c r="B455" s="6">
        <v>6</v>
      </c>
      <c r="C455" s="9" t="s">
        <v>10</v>
      </c>
      <c r="D455" s="6">
        <v>157</v>
      </c>
      <c r="E455" s="9" t="s">
        <v>197</v>
      </c>
      <c r="F455" s="11">
        <v>9026.299999999999</v>
      </c>
      <c r="G455" s="8">
        <v>9026.299999999999</v>
      </c>
      <c r="H455" s="9">
        <f>(G455-F455)</f>
        <v>0.0</v>
      </c>
      <c r="I455" s="9" t="s">
        <v>193</v>
      </c>
      <c r="J455" s="9" t="s">
        <v>194</v>
      </c>
    </row>
    <row r="456" spans="1:12" ht="23" customHeight="1">
      <c r="A456" s="9" t="s">
        <v>195</v>
      </c>
      <c r="B456" s="6">
        <v>6</v>
      </c>
      <c r="C456" s="9" t="s">
        <v>10</v>
      </c>
      <c r="D456" s="6">
        <v>158</v>
      </c>
      <c r="E456" s="9" t="s">
        <v>196</v>
      </c>
      <c r="F456" s="11">
        <v>9026.299999999999</v>
      </c>
      <c r="G456" s="8">
        <v>9026.299999999999</v>
      </c>
      <c r="H456" s="9">
        <f>(G456-F456)</f>
        <v>0.0</v>
      </c>
      <c r="I456" s="9" t="s">
        <v>193</v>
      </c>
      <c r="J456" s="9" t="s">
        <v>194</v>
      </c>
    </row>
    <row r="457" spans="1:12" ht="23" customHeight="1">
      <c r="A457" s="9" t="s">
        <v>195</v>
      </c>
      <c r="B457" s="6">
        <v>6</v>
      </c>
      <c r="C457" s="9" t="s">
        <v>10</v>
      </c>
      <c r="D457" s="6">
        <v>158</v>
      </c>
      <c r="E457" s="9" t="s">
        <v>197</v>
      </c>
      <c r="F457" s="11">
        <v>9551.1</v>
      </c>
      <c r="G457" s="8">
        <v>9551.1</v>
      </c>
      <c r="H457" s="9">
        <f>(G457-F457)</f>
        <v>0.0</v>
      </c>
      <c r="I457" s="9" t="s">
        <v>193</v>
      </c>
      <c r="J457" s="9" t="s">
        <v>194</v>
      </c>
    </row>
    <row r="458" spans="1:12" ht="23" customHeight="1">
      <c r="A458" s="9" t="s">
        <v>195</v>
      </c>
      <c r="B458" s="6">
        <v>6</v>
      </c>
      <c r="C458" s="9" t="s">
        <v>10</v>
      </c>
      <c r="D458" s="6">
        <v>159</v>
      </c>
      <c r="E458" s="9" t="s">
        <v>196</v>
      </c>
      <c r="F458" s="11">
        <v>9551.1</v>
      </c>
      <c r="G458" s="8">
        <v>9551.1</v>
      </c>
      <c r="H458" s="9">
        <f>(G458-F458)</f>
        <v>0.0</v>
      </c>
      <c r="I458" s="9" t="s">
        <v>193</v>
      </c>
      <c r="J458" s="9" t="s">
        <v>194</v>
      </c>
    </row>
    <row r="459" spans="1:12" ht="23" customHeight="1">
      <c r="A459" s="9" t="s">
        <v>195</v>
      </c>
      <c r="B459" s="6">
        <v>6</v>
      </c>
      <c r="C459" s="9" t="s">
        <v>10</v>
      </c>
      <c r="D459" s="6">
        <v>159</v>
      </c>
      <c r="E459" s="9" t="s">
        <v>197</v>
      </c>
      <c r="F459" s="11">
        <v>10075.9</v>
      </c>
      <c r="G459" s="8">
        <v>10075.9</v>
      </c>
      <c r="H459" s="9">
        <f>(G459-F459)</f>
        <v>0.0</v>
      </c>
      <c r="I459" s="9" t="s">
        <v>193</v>
      </c>
      <c r="J459" s="9" t="s">
        <v>194</v>
      </c>
    </row>
    <row r="460" spans="1:12" ht="23" customHeight="1">
      <c r="A460" s="9" t="s">
        <v>195</v>
      </c>
      <c r="B460" s="6">
        <v>6</v>
      </c>
      <c r="C460" s="9" t="s">
        <v>10</v>
      </c>
      <c r="D460" s="6">
        <v>160</v>
      </c>
      <c r="E460" s="9" t="s">
        <v>196</v>
      </c>
      <c r="F460" s="11">
        <v>10075.9</v>
      </c>
      <c r="G460" s="8">
        <v>10075.9</v>
      </c>
      <c r="H460" s="9">
        <f>(G460-F460)</f>
        <v>0.0</v>
      </c>
      <c r="I460" s="9" t="s">
        <v>193</v>
      </c>
      <c r="J460" s="9" t="s">
        <v>194</v>
      </c>
    </row>
    <row r="461" spans="1:12" ht="23" customHeight="1">
      <c r="A461" s="9" t="s">
        <v>195</v>
      </c>
      <c r="B461" s="6">
        <v>6</v>
      </c>
      <c r="C461" s="9" t="s">
        <v>10</v>
      </c>
      <c r="D461" s="6">
        <v>160</v>
      </c>
      <c r="E461" s="9" t="s">
        <v>197</v>
      </c>
      <c r="F461" s="11">
        <v>10600.7</v>
      </c>
      <c r="G461" s="8">
        <v>10600.7</v>
      </c>
      <c r="H461" s="9">
        <f>(G461-F461)</f>
        <v>0.0</v>
      </c>
      <c r="I461" s="9" t="s">
        <v>193</v>
      </c>
      <c r="J461" s="9" t="s">
        <v>194</v>
      </c>
    </row>
    <row r="462" spans="1:12" ht="24" customHeight="1">
      <c r="A462" s="3" t="s">
        <v>181</v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spans="1:12" ht="36" customHeight="1">
      <c r="A463" s="4" t="s">
        <v>182</v>
      </c>
      <c r="B463" s="4" t="s">
        <v>8</v>
      </c>
      <c r="C463" s="4" t="s">
        <v>183</v>
      </c>
      <c r="D463" s="4" t="s">
        <v>184</v>
      </c>
      <c r="E463" s="4" t="s">
        <v>185</v>
      </c>
      <c r="F463" s="4" t="s">
        <v>186</v>
      </c>
      <c r="G463" s="4" t="s">
        <v>187</v>
      </c>
      <c r="H463" s="4" t="s">
        <v>188</v>
      </c>
      <c r="I463" s="4" t="s">
        <v>189</v>
      </c>
      <c r="J463" s="4" t="s">
        <v>190</v>
      </c>
    </row>
    <row r="464" spans="1:12" ht="23" customHeight="1">
      <c r="A464" s="9" t="s">
        <v>195</v>
      </c>
      <c r="B464" s="6">
        <v>6</v>
      </c>
      <c r="C464" s="9" t="s">
        <v>10</v>
      </c>
      <c r="D464" s="6">
        <v>161</v>
      </c>
      <c r="E464" s="9" t="s">
        <v>196</v>
      </c>
      <c r="F464" s="11">
        <v>10600.7</v>
      </c>
      <c r="G464" s="8">
        <v>10600.7</v>
      </c>
      <c r="H464" s="9">
        <f>(G464-F464)</f>
        <v>0.0</v>
      </c>
      <c r="I464" s="9" t="s">
        <v>193</v>
      </c>
      <c r="J464" s="9" t="s">
        <v>194</v>
      </c>
    </row>
    <row r="465" spans="1:12" ht="23" customHeight="1">
      <c r="A465" s="9" t="s">
        <v>195</v>
      </c>
      <c r="B465" s="6">
        <v>6</v>
      </c>
      <c r="C465" s="9" t="s">
        <v>10</v>
      </c>
      <c r="D465" s="6">
        <v>161</v>
      </c>
      <c r="E465" s="9" t="s">
        <v>197</v>
      </c>
      <c r="F465" s="11">
        <v>11125.5</v>
      </c>
      <c r="G465" s="8">
        <v>11125.5</v>
      </c>
      <c r="H465" s="9">
        <f>(G465-F465)</f>
        <v>0.0</v>
      </c>
      <c r="I465" s="9" t="s">
        <v>193</v>
      </c>
      <c r="J465" s="9" t="s">
        <v>194</v>
      </c>
    </row>
    <row r="466" spans="1:12" ht="23" customHeight="1">
      <c r="A466" s="9" t="s">
        <v>195</v>
      </c>
      <c r="B466" s="6">
        <v>6</v>
      </c>
      <c r="C466" s="9" t="s">
        <v>10</v>
      </c>
      <c r="D466" s="6">
        <v>162</v>
      </c>
      <c r="E466" s="9" t="s">
        <v>196</v>
      </c>
      <c r="F466" s="11">
        <v>4331.4</v>
      </c>
      <c r="G466" s="8">
        <v>4331.4</v>
      </c>
      <c r="H466" s="9">
        <f>(G466-F466)</f>
        <v>0.0</v>
      </c>
      <c r="I466" s="9" t="s">
        <v>193</v>
      </c>
      <c r="J466" s="9" t="s">
        <v>194</v>
      </c>
    </row>
    <row r="467" spans="1:12" ht="23" customHeight="1">
      <c r="A467" s="9" t="s">
        <v>195</v>
      </c>
      <c r="B467" s="6">
        <v>6</v>
      </c>
      <c r="C467" s="9" t="s">
        <v>10</v>
      </c>
      <c r="D467" s="6">
        <v>162</v>
      </c>
      <c r="E467" s="9" t="s">
        <v>197</v>
      </c>
      <c r="F467" s="11">
        <v>4331.4</v>
      </c>
      <c r="G467" s="8">
        <v>4331.4</v>
      </c>
      <c r="H467" s="9">
        <f>(G467-F467)</f>
        <v>0.0</v>
      </c>
      <c r="I467" s="9" t="s">
        <v>193</v>
      </c>
      <c r="J467" s="9" t="s">
        <v>194</v>
      </c>
    </row>
    <row r="468" spans="1:12" ht="23" customHeight="1">
      <c r="A468" s="9" t="s">
        <v>195</v>
      </c>
      <c r="B468" s="6">
        <v>6</v>
      </c>
      <c r="C468" s="9" t="s">
        <v>10</v>
      </c>
      <c r="D468" s="6">
        <v>163</v>
      </c>
      <c r="E468" s="9" t="s">
        <v>196</v>
      </c>
      <c r="F468" s="11">
        <v>3088.8</v>
      </c>
      <c r="G468" s="8">
        <v>3088.8</v>
      </c>
      <c r="H468" s="9">
        <f>(G468-F468)</f>
        <v>0.0</v>
      </c>
      <c r="I468" s="9" t="s">
        <v>193</v>
      </c>
      <c r="J468" s="9" t="s">
        <v>194</v>
      </c>
    </row>
    <row r="469" spans="1:12" ht="23" customHeight="1">
      <c r="A469" s="9" t="s">
        <v>195</v>
      </c>
      <c r="B469" s="6">
        <v>6</v>
      </c>
      <c r="C469" s="9" t="s">
        <v>10</v>
      </c>
      <c r="D469" s="6">
        <v>163</v>
      </c>
      <c r="E469" s="9" t="s">
        <v>197</v>
      </c>
      <c r="F469" s="11">
        <v>3088.8</v>
      </c>
      <c r="G469" s="8">
        <v>3088.8</v>
      </c>
      <c r="H469" s="9">
        <f>(G469-F469)</f>
        <v>0.0</v>
      </c>
      <c r="I469" s="9" t="s">
        <v>193</v>
      </c>
      <c r="J469" s="9" t="s">
        <v>194</v>
      </c>
    </row>
    <row r="470" spans="1:12" ht="23" customHeight="1">
      <c r="A470" s="9" t="s">
        <v>195</v>
      </c>
      <c r="B470" s="6">
        <v>6</v>
      </c>
      <c r="C470" s="9" t="s">
        <v>10</v>
      </c>
      <c r="D470" s="6">
        <v>164</v>
      </c>
      <c r="E470" s="9" t="s">
        <v>196</v>
      </c>
      <c r="F470" s="11">
        <v>3088.8</v>
      </c>
      <c r="G470" s="8">
        <v>3088.8</v>
      </c>
      <c r="H470" s="9">
        <f>(G470-F470)</f>
        <v>0.0</v>
      </c>
      <c r="I470" s="9" t="s">
        <v>193</v>
      </c>
      <c r="J470" s="9" t="s">
        <v>194</v>
      </c>
    </row>
    <row r="471" spans="1:12" ht="23" customHeight="1">
      <c r="A471" s="9" t="s">
        <v>195</v>
      </c>
      <c r="B471" s="6">
        <v>6</v>
      </c>
      <c r="C471" s="9" t="s">
        <v>10</v>
      </c>
      <c r="D471" s="6">
        <v>164</v>
      </c>
      <c r="E471" s="9" t="s">
        <v>197</v>
      </c>
      <c r="F471" s="11">
        <v>3088.8</v>
      </c>
      <c r="G471" s="8">
        <v>3088.8</v>
      </c>
      <c r="H471" s="9">
        <f>(G471-F471)</f>
        <v>0.0</v>
      </c>
      <c r="I471" s="9" t="s">
        <v>193</v>
      </c>
      <c r="J471" s="9" t="s">
        <v>194</v>
      </c>
    </row>
    <row r="472" spans="1:12" ht="23" customHeight="1">
      <c r="A472" s="9" t="s">
        <v>195</v>
      </c>
      <c r="B472" s="6">
        <v>6</v>
      </c>
      <c r="C472" s="9" t="s">
        <v>10</v>
      </c>
      <c r="D472" s="6">
        <v>165</v>
      </c>
      <c r="E472" s="9" t="s">
        <v>196</v>
      </c>
      <c r="F472" s="11">
        <v>3088.8</v>
      </c>
      <c r="G472" s="8">
        <v>3088.8</v>
      </c>
      <c r="H472" s="9">
        <f>(G472-F472)</f>
        <v>0.0</v>
      </c>
      <c r="I472" s="9" t="s">
        <v>193</v>
      </c>
      <c r="J472" s="9" t="s">
        <v>194</v>
      </c>
    </row>
    <row r="473" spans="1:12" ht="23" customHeight="1">
      <c r="A473" s="9" t="s">
        <v>195</v>
      </c>
      <c r="B473" s="6">
        <v>6</v>
      </c>
      <c r="C473" s="9" t="s">
        <v>10</v>
      </c>
      <c r="D473" s="6">
        <v>165</v>
      </c>
      <c r="E473" s="9" t="s">
        <v>197</v>
      </c>
      <c r="F473" s="11">
        <v>3088.8</v>
      </c>
      <c r="G473" s="8">
        <v>3088.8</v>
      </c>
      <c r="H473" s="9">
        <f>(G473-F473)</f>
        <v>0.0</v>
      </c>
      <c r="I473" s="9" t="s">
        <v>193</v>
      </c>
      <c r="J473" s="9" t="s">
        <v>194</v>
      </c>
    </row>
    <row r="474" spans="1:12" ht="23" customHeight="1">
      <c r="A474" s="9" t="s">
        <v>195</v>
      </c>
      <c r="B474" s="6">
        <v>6</v>
      </c>
      <c r="C474" s="9" t="s">
        <v>10</v>
      </c>
      <c r="D474" s="6">
        <v>166</v>
      </c>
      <c r="E474" s="9" t="s">
        <v>196</v>
      </c>
      <c r="F474" s="11">
        <v>3088.8</v>
      </c>
      <c r="G474" s="8">
        <v>3088.8</v>
      </c>
      <c r="H474" s="9">
        <f>(G474-F474)</f>
        <v>0.0</v>
      </c>
      <c r="I474" s="9" t="s">
        <v>193</v>
      </c>
      <c r="J474" s="9" t="s">
        <v>194</v>
      </c>
    </row>
    <row r="475" spans="1:12" ht="23" customHeight="1">
      <c r="A475" s="9" t="s">
        <v>195</v>
      </c>
      <c r="B475" s="6">
        <v>6</v>
      </c>
      <c r="C475" s="9" t="s">
        <v>10</v>
      </c>
      <c r="D475" s="6">
        <v>166</v>
      </c>
      <c r="E475" s="9" t="s">
        <v>197</v>
      </c>
      <c r="F475" s="11">
        <v>3088.8</v>
      </c>
      <c r="G475" s="8">
        <v>3088.8</v>
      </c>
      <c r="H475" s="9">
        <f>(G475-F475)</f>
        <v>0.0</v>
      </c>
      <c r="I475" s="9" t="s">
        <v>193</v>
      </c>
      <c r="J475" s="9" t="s">
        <v>194</v>
      </c>
    </row>
    <row r="476" spans="1:12" ht="23" customHeight="1">
      <c r="A476" s="9" t="s">
        <v>195</v>
      </c>
      <c r="B476" s="6">
        <v>6</v>
      </c>
      <c r="C476" s="9" t="s">
        <v>10</v>
      </c>
      <c r="D476" s="6">
        <v>167</v>
      </c>
      <c r="E476" s="9" t="s">
        <v>196</v>
      </c>
      <c r="F476" s="11">
        <v>3088.8</v>
      </c>
      <c r="G476" s="8">
        <v>3088.8</v>
      </c>
      <c r="H476" s="9">
        <f>(G476-F476)</f>
        <v>0.0</v>
      </c>
      <c r="I476" s="9" t="s">
        <v>193</v>
      </c>
      <c r="J476" s="9" t="s">
        <v>194</v>
      </c>
    </row>
    <row r="477" spans="1:12" ht="23" customHeight="1">
      <c r="A477" s="9" t="s">
        <v>195</v>
      </c>
      <c r="B477" s="6">
        <v>6</v>
      </c>
      <c r="C477" s="9" t="s">
        <v>10</v>
      </c>
      <c r="D477" s="6">
        <v>167</v>
      </c>
      <c r="E477" s="9" t="s">
        <v>197</v>
      </c>
      <c r="F477" s="11">
        <v>3088.8</v>
      </c>
      <c r="G477" s="8">
        <v>3088.8</v>
      </c>
      <c r="H477" s="9">
        <f>(G477-F477)</f>
        <v>0.0</v>
      </c>
      <c r="I477" s="9" t="s">
        <v>193</v>
      </c>
      <c r="J477" s="9" t="s">
        <v>194</v>
      </c>
    </row>
    <row r="478" spans="1:12" ht="23" customHeight="1">
      <c r="A478" s="9" t="s">
        <v>195</v>
      </c>
      <c r="B478" s="6">
        <v>6</v>
      </c>
      <c r="C478" s="9" t="s">
        <v>10</v>
      </c>
      <c r="D478" s="6">
        <v>168</v>
      </c>
      <c r="E478" s="9" t="s">
        <v>196</v>
      </c>
      <c r="F478" s="11">
        <v>3088.8</v>
      </c>
      <c r="G478" s="8">
        <v>3088.8</v>
      </c>
      <c r="H478" s="9">
        <f>(G478-F478)</f>
        <v>0.0</v>
      </c>
      <c r="I478" s="9" t="s">
        <v>193</v>
      </c>
      <c r="J478" s="9" t="s">
        <v>194</v>
      </c>
    </row>
    <row r="479" spans="1:12" ht="24" customHeight="1">
      <c r="A479" s="3" t="s">
        <v>181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spans="1:12" ht="36" customHeight="1">
      <c r="A480" s="4" t="s">
        <v>182</v>
      </c>
      <c r="B480" s="4" t="s">
        <v>8</v>
      </c>
      <c r="C480" s="4" t="s">
        <v>183</v>
      </c>
      <c r="D480" s="4" t="s">
        <v>184</v>
      </c>
      <c r="E480" s="4" t="s">
        <v>185</v>
      </c>
      <c r="F480" s="4" t="s">
        <v>186</v>
      </c>
      <c r="G480" s="4" t="s">
        <v>187</v>
      </c>
      <c r="H480" s="4" t="s">
        <v>188</v>
      </c>
      <c r="I480" s="4" t="s">
        <v>189</v>
      </c>
      <c r="J480" s="4" t="s">
        <v>190</v>
      </c>
    </row>
    <row r="481" spans="1:12" ht="23" customHeight="1">
      <c r="A481" s="9" t="s">
        <v>195</v>
      </c>
      <c r="B481" s="6">
        <v>6</v>
      </c>
      <c r="C481" s="9" t="s">
        <v>10</v>
      </c>
      <c r="D481" s="6">
        <v>168</v>
      </c>
      <c r="E481" s="9" t="s">
        <v>197</v>
      </c>
      <c r="F481" s="11">
        <v>3088.8</v>
      </c>
      <c r="G481" s="8">
        <v>3088.8</v>
      </c>
      <c r="H481" s="9">
        <f>(G481-F481)</f>
        <v>0.0</v>
      </c>
      <c r="I481" s="9" t="s">
        <v>193</v>
      </c>
      <c r="J481" s="9" t="s">
        <v>194</v>
      </c>
    </row>
    <row r="482" spans="1:12" ht="23" customHeight="1">
      <c r="A482" s="9" t="s">
        <v>195</v>
      </c>
      <c r="B482" s="6">
        <v>6</v>
      </c>
      <c r="C482" s="9" t="s">
        <v>10</v>
      </c>
      <c r="D482" s="6">
        <v>169</v>
      </c>
      <c r="E482" s="9" t="s">
        <v>196</v>
      </c>
      <c r="F482" s="11">
        <v>3088.8</v>
      </c>
      <c r="G482" s="8">
        <v>3088.8</v>
      </c>
      <c r="H482" s="9">
        <f>(G482-F482)</f>
        <v>0.0</v>
      </c>
      <c r="I482" s="9" t="s">
        <v>193</v>
      </c>
      <c r="J482" s="9" t="s">
        <v>194</v>
      </c>
    </row>
    <row r="483" spans="1:12" ht="23" customHeight="1">
      <c r="A483" s="9" t="s">
        <v>195</v>
      </c>
      <c r="B483" s="6">
        <v>6</v>
      </c>
      <c r="C483" s="9" t="s">
        <v>10</v>
      </c>
      <c r="D483" s="6">
        <v>169</v>
      </c>
      <c r="E483" s="9" t="s">
        <v>197</v>
      </c>
      <c r="F483" s="11">
        <v>3088.8</v>
      </c>
      <c r="G483" s="8">
        <v>3088.8</v>
      </c>
      <c r="H483" s="9">
        <f>(G483-F483)</f>
        <v>0.0</v>
      </c>
      <c r="I483" s="9" t="s">
        <v>193</v>
      </c>
      <c r="J483" s="9" t="s">
        <v>194</v>
      </c>
    </row>
    <row r="484" spans="1:12" ht="23" customHeight="1">
      <c r="A484" s="9" t="s">
        <v>195</v>
      </c>
      <c r="B484" s="6">
        <v>6</v>
      </c>
      <c r="C484" s="9" t="s">
        <v>10</v>
      </c>
      <c r="D484" s="6">
        <v>170</v>
      </c>
      <c r="E484" s="9" t="s">
        <v>196</v>
      </c>
      <c r="F484" s="11">
        <v>3088.8</v>
      </c>
      <c r="G484" s="8">
        <v>3088.8</v>
      </c>
      <c r="H484" s="9">
        <f>(G484-F484)</f>
        <v>0.0</v>
      </c>
      <c r="I484" s="9" t="s">
        <v>193</v>
      </c>
      <c r="J484" s="9" t="s">
        <v>194</v>
      </c>
    </row>
    <row r="485" spans="1:12" ht="23" customHeight="1">
      <c r="A485" s="9" t="s">
        <v>195</v>
      </c>
      <c r="B485" s="6">
        <v>6</v>
      </c>
      <c r="C485" s="9" t="s">
        <v>10</v>
      </c>
      <c r="D485" s="6">
        <v>170</v>
      </c>
      <c r="E485" s="9" t="s">
        <v>197</v>
      </c>
      <c r="F485" s="11">
        <v>3088.8</v>
      </c>
      <c r="G485" s="8">
        <v>3088.8</v>
      </c>
      <c r="H485" s="9">
        <f>(G485-F485)</f>
        <v>0.0</v>
      </c>
      <c r="I485" s="9" t="s">
        <v>193</v>
      </c>
      <c r="J485" s="9" t="s">
        <v>194</v>
      </c>
    </row>
    <row r="486" spans="1:12" ht="23" customHeight="1">
      <c r="A486" s="9" t="s">
        <v>195</v>
      </c>
      <c r="B486" s="6">
        <v>6</v>
      </c>
      <c r="C486" s="9" t="s">
        <v>10</v>
      </c>
      <c r="D486" s="6">
        <v>171</v>
      </c>
      <c r="E486" s="9" t="s">
        <v>196</v>
      </c>
      <c r="F486" s="11">
        <v>3088.8</v>
      </c>
      <c r="G486" s="8">
        <v>3088.8</v>
      </c>
      <c r="H486" s="9">
        <f>(G486-F486)</f>
        <v>0.0</v>
      </c>
      <c r="I486" s="9" t="s">
        <v>193</v>
      </c>
      <c r="J486" s="9" t="s">
        <v>194</v>
      </c>
    </row>
    <row r="487" spans="1:12" ht="23" customHeight="1">
      <c r="A487" s="9" t="s">
        <v>195</v>
      </c>
      <c r="B487" s="6">
        <v>6</v>
      </c>
      <c r="C487" s="9" t="s">
        <v>10</v>
      </c>
      <c r="D487" s="6">
        <v>171</v>
      </c>
      <c r="E487" s="9" t="s">
        <v>197</v>
      </c>
      <c r="F487" s="11">
        <v>3088.8</v>
      </c>
      <c r="G487" s="8">
        <v>3088.8</v>
      </c>
      <c r="H487" s="9">
        <f>(G487-F487)</f>
        <v>0.0</v>
      </c>
      <c r="I487" s="9" t="s">
        <v>193</v>
      </c>
      <c r="J487" s="9" t="s">
        <v>194</v>
      </c>
    </row>
    <row r="488" spans="1:12" ht="23" customHeight="1">
      <c r="A488" s="9" t="s">
        <v>172</v>
      </c>
      <c r="B488" s="6">
        <v>4</v>
      </c>
      <c r="C488" s="9" t="s">
        <v>163</v>
      </c>
      <c r="D488" s="6">
        <v>102</v>
      </c>
      <c r="E488" s="9" t="s">
        <v>166</v>
      </c>
      <c r="F488" s="6">
        <v>51629</v>
      </c>
      <c r="G488" s="7">
        <v>51629</v>
      </c>
      <c r="H488" s="9">
        <f>(G488-F488)</f>
        <v>0.0</v>
      </c>
      <c r="I488" s="9" t="s">
        <v>193</v>
      </c>
      <c r="J488" s="9" t="s">
        <v>194</v>
      </c>
    </row>
    <row r="489" spans="1:12" ht="23" customHeight="1">
      <c r="A489" s="9" t="s">
        <v>172</v>
      </c>
      <c r="B489" s="6">
        <v>4</v>
      </c>
      <c r="C489" s="9" t="s">
        <v>163</v>
      </c>
      <c r="D489" s="6">
        <v>102</v>
      </c>
      <c r="E489" s="9" t="s">
        <v>176</v>
      </c>
      <c r="F489" s="11">
        <v>433.8</v>
      </c>
      <c r="G489" s="8">
        <v>433.8</v>
      </c>
      <c r="H489" s="9">
        <f>(G489-F489)</f>
        <v>0.0</v>
      </c>
      <c r="I489" s="9" t="s">
        <v>193</v>
      </c>
      <c r="J489" s="9" t="s">
        <v>194</v>
      </c>
    </row>
    <row r="490" spans="1:12" ht="23" customHeight="1">
      <c r="A490" s="9" t="s">
        <v>172</v>
      </c>
      <c r="B490" s="6">
        <v>4</v>
      </c>
      <c r="C490" s="9" t="s">
        <v>163</v>
      </c>
      <c r="D490" s="6">
        <v>102</v>
      </c>
      <c r="E490" s="9" t="s">
        <v>177</v>
      </c>
      <c r="F490" s="11">
        <v>433.8</v>
      </c>
      <c r="G490" s="8">
        <v>433.8</v>
      </c>
      <c r="H490" s="9">
        <f>(G490-F490)</f>
        <v>0.0</v>
      </c>
      <c r="I490" s="9" t="s">
        <v>193</v>
      </c>
      <c r="J490" s="9" t="s">
        <v>194</v>
      </c>
    </row>
    <row r="491" spans="1:12" ht="23" customHeight="1">
      <c r="A491" s="9" t="s">
        <v>172</v>
      </c>
      <c r="B491" s="6">
        <v>4</v>
      </c>
      <c r="C491" s="9" t="s">
        <v>163</v>
      </c>
      <c r="D491" s="6">
        <v>102</v>
      </c>
      <c r="E491" s="9" t="s">
        <v>167</v>
      </c>
      <c r="F491" s="6">
        <v>51629</v>
      </c>
      <c r="G491" s="7">
        <v>51629</v>
      </c>
      <c r="H491" s="9">
        <f>(G491-F491)</f>
        <v>0.0</v>
      </c>
      <c r="I491" s="9" t="s">
        <v>193</v>
      </c>
      <c r="J491" s="9" t="s">
        <v>194</v>
      </c>
    </row>
    <row r="492" spans="1:12" ht="23" customHeight="1">
      <c r="A492" s="9" t="s">
        <v>172</v>
      </c>
      <c r="B492" s="6">
        <v>4</v>
      </c>
      <c r="C492" s="9" t="s">
        <v>163</v>
      </c>
      <c r="D492" s="6">
        <v>102</v>
      </c>
      <c r="E492" s="9" t="s">
        <v>178</v>
      </c>
      <c r="F492" s="11">
        <v>433.8</v>
      </c>
      <c r="G492" s="8">
        <v>433.8</v>
      </c>
      <c r="H492" s="9">
        <f>(G492-F492)</f>
        <v>0.0</v>
      </c>
      <c r="I492" s="9" t="s">
        <v>193</v>
      </c>
      <c r="J492" s="9" t="s">
        <v>194</v>
      </c>
    </row>
    <row r="493" spans="1:12" ht="23" customHeight="1">
      <c r="A493" s="9" t="s">
        <v>172</v>
      </c>
      <c r="B493" s="6">
        <v>4</v>
      </c>
      <c r="C493" s="9" t="s">
        <v>163</v>
      </c>
      <c r="D493" s="6">
        <v>102</v>
      </c>
      <c r="E493" s="9" t="s">
        <v>179</v>
      </c>
      <c r="F493" s="11">
        <v>433.8</v>
      </c>
      <c r="G493" s="8">
        <v>433.8</v>
      </c>
      <c r="H493" s="9">
        <f>(G493-F493)</f>
        <v>0.0</v>
      </c>
      <c r="I493" s="9" t="s">
        <v>193</v>
      </c>
      <c r="J493" s="9" t="s">
        <v>194</v>
      </c>
    </row>
    <row r="494" spans="1:12" ht="23" customHeight="1">
      <c r="A494" s="9" t="s">
        <v>172</v>
      </c>
      <c r="B494" s="6">
        <v>4</v>
      </c>
      <c r="C494" s="9" t="s">
        <v>163</v>
      </c>
      <c r="D494" s="6">
        <v>102</v>
      </c>
      <c r="E494" s="9" t="s">
        <v>168</v>
      </c>
      <c r="F494" s="6">
        <v>51629</v>
      </c>
      <c r="G494" s="7">
        <v>51629</v>
      </c>
      <c r="H494" s="9">
        <f>(G494-F494)</f>
        <v>0.0</v>
      </c>
      <c r="I494" s="9" t="s">
        <v>193</v>
      </c>
      <c r="J494" s="9" t="s">
        <v>194</v>
      </c>
    </row>
    <row r="495" spans="1:12" ht="23" customHeight="1">
      <c r="A495" s="9" t="s">
        <v>172</v>
      </c>
      <c r="B495" s="6">
        <v>4</v>
      </c>
      <c r="C495" s="9" t="s">
        <v>163</v>
      </c>
      <c r="D495" s="6">
        <v>102</v>
      </c>
      <c r="E495" s="9" t="s">
        <v>169</v>
      </c>
      <c r="F495" s="6">
        <v>51629</v>
      </c>
      <c r="G495" s="7">
        <v>51629</v>
      </c>
      <c r="H495" s="9">
        <f>(G495-F495)</f>
        <v>0.0</v>
      </c>
      <c r="I495" s="9" t="s">
        <v>193</v>
      </c>
      <c r="J495" s="9" t="s">
        <v>194</v>
      </c>
    </row>
    <row r="496" spans="1:12" ht="24" customHeight="1">
      <c r="A496" s="3" t="s">
        <v>181</v>
      </c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spans="1:10" ht="36" customHeight="1">
      <c r="A497" s="4" t="s">
        <v>182</v>
      </c>
      <c r="B497" s="4" t="s">
        <v>8</v>
      </c>
      <c r="C497" s="4" t="s">
        <v>183</v>
      </c>
      <c r="D497" s="4" t="s">
        <v>184</v>
      </c>
      <c r="E497" s="4" t="s">
        <v>185</v>
      </c>
      <c r="F497" s="4" t="s">
        <v>186</v>
      </c>
      <c r="G497" s="4" t="s">
        <v>187</v>
      </c>
      <c r="H497" s="4" t="s">
        <v>188</v>
      </c>
      <c r="I497" s="4" t="s">
        <v>189</v>
      </c>
      <c r="J497" s="4" t="s">
        <v>190</v>
      </c>
    </row>
    <row r="498" spans="1:10" ht="23" customHeight="1">
      <c r="A498" s="9" t="s">
        <v>172</v>
      </c>
      <c r="B498" s="6">
        <v>4</v>
      </c>
      <c r="C498" s="9" t="s">
        <v>163</v>
      </c>
      <c r="D498" s="6">
        <v>102</v>
      </c>
      <c r="E498" s="9" t="s">
        <v>170</v>
      </c>
      <c r="F498" s="6">
        <v>51629</v>
      </c>
      <c r="G498" s="7">
        <v>51629</v>
      </c>
      <c r="H498" s="9">
        <f>(G498-F498)</f>
        <v>0.0</v>
      </c>
      <c r="I498" s="9" t="s">
        <v>193</v>
      </c>
      <c r="J498" s="9" t="s">
        <v>194</v>
      </c>
    </row>
    <row r="499" spans="1:10" ht="23" customHeight="1">
      <c r="A499" s="9" t="s">
        <v>172</v>
      </c>
      <c r="B499" s="6">
        <v>4</v>
      </c>
      <c r="C499" s="9" t="s">
        <v>163</v>
      </c>
      <c r="D499" s="6">
        <v>102</v>
      </c>
      <c r="E499" s="9" t="s">
        <v>171</v>
      </c>
      <c r="F499" s="6">
        <v>51629</v>
      </c>
      <c r="G499" s="7">
        <v>51629</v>
      </c>
      <c r="H499" s="9">
        <f>(G499-F499)</f>
        <v>0.0</v>
      </c>
      <c r="I499" s="9" t="s">
        <v>193</v>
      </c>
      <c r="J499" s="9" t="s">
        <v>194</v>
      </c>
    </row>
    <row r="500" spans="1:10" ht="23" customHeight="1">
      <c r="A500" s="9" t="s">
        <v>172</v>
      </c>
      <c r="B500" s="6">
        <v>4</v>
      </c>
      <c r="C500" s="9" t="s">
        <v>163</v>
      </c>
      <c r="D500" s="6">
        <v>103</v>
      </c>
      <c r="E500" s="9" t="s">
        <v>166</v>
      </c>
      <c r="F500" s="6">
        <v>145626</v>
      </c>
      <c r="G500" s="7">
        <v>145626</v>
      </c>
      <c r="H500" s="9">
        <f>(G500-F500)</f>
        <v>0.0</v>
      </c>
      <c r="I500" s="9" t="s">
        <v>193</v>
      </c>
      <c r="J500" s="9" t="s">
        <v>194</v>
      </c>
    </row>
    <row r="501" spans="1:10" ht="23" customHeight="1">
      <c r="A501" s="9" t="s">
        <v>172</v>
      </c>
      <c r="B501" s="6">
        <v>4</v>
      </c>
      <c r="C501" s="9" t="s">
        <v>163</v>
      </c>
      <c r="D501" s="6">
        <v>103</v>
      </c>
      <c r="E501" s="9" t="s">
        <v>176</v>
      </c>
      <c r="F501" s="6">
        <v>1835</v>
      </c>
      <c r="G501" s="7">
        <v>1835</v>
      </c>
      <c r="H501" s="9">
        <f>(G501-F501)</f>
        <v>0.0</v>
      </c>
      <c r="I501" s="9" t="s">
        <v>193</v>
      </c>
      <c r="J501" s="9" t="s">
        <v>194</v>
      </c>
    </row>
    <row r="502" spans="1:10" ht="23" customHeight="1">
      <c r="A502" s="9" t="s">
        <v>172</v>
      </c>
      <c r="B502" s="6">
        <v>4</v>
      </c>
      <c r="C502" s="9" t="s">
        <v>163</v>
      </c>
      <c r="D502" s="6">
        <v>103</v>
      </c>
      <c r="E502" s="9" t="s">
        <v>177</v>
      </c>
      <c r="F502" s="6">
        <v>1835</v>
      </c>
      <c r="G502" s="7">
        <v>1835</v>
      </c>
      <c r="H502" s="9">
        <f>(G502-F502)</f>
        <v>0.0</v>
      </c>
      <c r="I502" s="9" t="s">
        <v>193</v>
      </c>
      <c r="J502" s="9" t="s">
        <v>194</v>
      </c>
    </row>
    <row r="503" spans="1:10" ht="23" customHeight="1">
      <c r="A503" s="9" t="s">
        <v>172</v>
      </c>
      <c r="B503" s="6">
        <v>4</v>
      </c>
      <c r="C503" s="9" t="s">
        <v>163</v>
      </c>
      <c r="D503" s="6">
        <v>103</v>
      </c>
      <c r="E503" s="9" t="s">
        <v>167</v>
      </c>
      <c r="F503" s="6">
        <v>145626</v>
      </c>
      <c r="G503" s="7">
        <v>145626</v>
      </c>
      <c r="H503" s="9">
        <f>(G503-F503)</f>
        <v>0.0</v>
      </c>
      <c r="I503" s="9" t="s">
        <v>193</v>
      </c>
      <c r="J503" s="9" t="s">
        <v>194</v>
      </c>
    </row>
    <row r="504" spans="1:10" ht="23" customHeight="1">
      <c r="A504" s="9" t="s">
        <v>172</v>
      </c>
      <c r="B504" s="6">
        <v>4</v>
      </c>
      <c r="C504" s="9" t="s">
        <v>163</v>
      </c>
      <c r="D504" s="6">
        <v>103</v>
      </c>
      <c r="E504" s="9" t="s">
        <v>178</v>
      </c>
      <c r="F504" s="6">
        <v>1835</v>
      </c>
      <c r="G504" s="7">
        <v>1835</v>
      </c>
      <c r="H504" s="9">
        <f>(G504-F504)</f>
        <v>0.0</v>
      </c>
      <c r="I504" s="9" t="s">
        <v>193</v>
      </c>
      <c r="J504" s="9" t="s">
        <v>194</v>
      </c>
    </row>
    <row r="505" spans="1:10" ht="23" customHeight="1">
      <c r="A505" s="9" t="s">
        <v>172</v>
      </c>
      <c r="B505" s="6">
        <v>4</v>
      </c>
      <c r="C505" s="9" t="s">
        <v>163</v>
      </c>
      <c r="D505" s="6">
        <v>103</v>
      </c>
      <c r="E505" s="9" t="s">
        <v>179</v>
      </c>
      <c r="F505" s="6">
        <v>1835</v>
      </c>
      <c r="G505" s="7">
        <v>1835</v>
      </c>
      <c r="H505" s="9">
        <f>(G505-F505)</f>
        <v>0.0</v>
      </c>
      <c r="I505" s="9" t="s">
        <v>193</v>
      </c>
      <c r="J505" s="9" t="s">
        <v>194</v>
      </c>
    </row>
    <row r="506" spans="1:10" ht="23" customHeight="1">
      <c r="A506" s="9" t="s">
        <v>172</v>
      </c>
      <c r="B506" s="6">
        <v>4</v>
      </c>
      <c r="C506" s="9" t="s">
        <v>163</v>
      </c>
      <c r="D506" s="6">
        <v>103</v>
      </c>
      <c r="E506" s="9" t="s">
        <v>168</v>
      </c>
      <c r="F506" s="6">
        <v>145626</v>
      </c>
      <c r="G506" s="7">
        <v>145626</v>
      </c>
      <c r="H506" s="9">
        <f>(G506-F506)</f>
        <v>0.0</v>
      </c>
      <c r="I506" s="9" t="s">
        <v>193</v>
      </c>
      <c r="J506" s="9" t="s">
        <v>194</v>
      </c>
    </row>
    <row r="507" spans="1:10" ht="23" customHeight="1">
      <c r="A507" s="9" t="s">
        <v>172</v>
      </c>
      <c r="B507" s="6">
        <v>4</v>
      </c>
      <c r="C507" s="9" t="s">
        <v>163</v>
      </c>
      <c r="D507" s="6">
        <v>103</v>
      </c>
      <c r="E507" s="9" t="s">
        <v>169</v>
      </c>
      <c r="F507" s="6">
        <v>145626</v>
      </c>
      <c r="G507" s="7">
        <v>145626</v>
      </c>
      <c r="H507" s="9">
        <f>(G507-F507)</f>
        <v>0.0</v>
      </c>
      <c r="I507" s="9" t="s">
        <v>193</v>
      </c>
      <c r="J507" s="9" t="s">
        <v>194</v>
      </c>
    </row>
    <row r="508" spans="1:10" ht="23" customHeight="1">
      <c r="A508" s="9" t="s">
        <v>172</v>
      </c>
      <c r="B508" s="6">
        <v>4</v>
      </c>
      <c r="C508" s="9" t="s">
        <v>163</v>
      </c>
      <c r="D508" s="6">
        <v>103</v>
      </c>
      <c r="E508" s="9" t="s">
        <v>170</v>
      </c>
      <c r="F508" s="6">
        <v>145626</v>
      </c>
      <c r="G508" s="7">
        <v>145626</v>
      </c>
      <c r="H508" s="9">
        <f>(G508-F508)</f>
        <v>0.0</v>
      </c>
      <c r="I508" s="9" t="s">
        <v>193</v>
      </c>
      <c r="J508" s="9" t="s">
        <v>194</v>
      </c>
    </row>
    <row r="509" spans="1:10" ht="23" customHeight="1">
      <c r="A509" s="9" t="s">
        <v>172</v>
      </c>
      <c r="B509" s="6">
        <v>4</v>
      </c>
      <c r="C509" s="9" t="s">
        <v>163</v>
      </c>
      <c r="D509" s="6">
        <v>103</v>
      </c>
      <c r="E509" s="9" t="s">
        <v>171</v>
      </c>
      <c r="F509" s="6">
        <v>145626</v>
      </c>
      <c r="G509" s="7">
        <v>145626</v>
      </c>
      <c r="H509" s="9">
        <f>(G509-F509)</f>
        <v>0.0</v>
      </c>
      <c r="I509" s="9" t="s">
        <v>193</v>
      </c>
      <c r="J509" s="9" t="s">
        <v>194</v>
      </c>
    </row>
    <row r="510" spans="1:10" ht="23" customHeight="1">
      <c r="A510" s="9" t="s">
        <v>172</v>
      </c>
      <c r="B510" s="6">
        <v>4</v>
      </c>
      <c r="C510" s="9" t="s">
        <v>163</v>
      </c>
      <c r="D510" s="6">
        <v>104</v>
      </c>
      <c r="E510" s="9" t="s">
        <v>166</v>
      </c>
      <c r="F510" s="6">
        <v>155634</v>
      </c>
      <c r="G510" s="7">
        <v>155634</v>
      </c>
      <c r="H510" s="9">
        <f>(G510-F510)</f>
        <v>0.0</v>
      </c>
      <c r="I510" s="9" t="s">
        <v>193</v>
      </c>
      <c r="J510" s="9" t="s">
        <v>194</v>
      </c>
    </row>
    <row r="511" spans="1:10" ht="23" customHeight="1">
      <c r="A511" s="9" t="s">
        <v>172</v>
      </c>
      <c r="B511" s="6">
        <v>4</v>
      </c>
      <c r="C511" s="9" t="s">
        <v>163</v>
      </c>
      <c r="D511" s="6">
        <v>104</v>
      </c>
      <c r="E511" s="9" t="s">
        <v>176</v>
      </c>
      <c r="F511" s="11">
        <v>1794.4</v>
      </c>
      <c r="G511" s="8">
        <v>1794.4</v>
      </c>
      <c r="H511" s="9">
        <f>(G511-F511)</f>
        <v>0.0</v>
      </c>
      <c r="I511" s="9" t="s">
        <v>193</v>
      </c>
      <c r="J511" s="9" t="s">
        <v>194</v>
      </c>
    </row>
    <row r="512" spans="1:10" ht="23" customHeight="1">
      <c r="A512" s="9" t="s">
        <v>172</v>
      </c>
      <c r="B512" s="6">
        <v>4</v>
      </c>
      <c r="C512" s="9" t="s">
        <v>163</v>
      </c>
      <c r="D512" s="6">
        <v>104</v>
      </c>
      <c r="E512" s="9" t="s">
        <v>177</v>
      </c>
      <c r="F512" s="11">
        <v>1794.4</v>
      </c>
      <c r="G512" s="8">
        <v>1794.4</v>
      </c>
      <c r="H512" s="9">
        <f>(G512-F512)</f>
        <v>0.0</v>
      </c>
      <c r="I512" s="9" t="s">
        <v>193</v>
      </c>
      <c r="J512" s="9" t="s">
        <v>194</v>
      </c>
    </row>
    <row r="513" spans="1:12" ht="24" customHeight="1">
      <c r="A513" s="3" t="s">
        <v>181</v>
      </c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spans="1:12" ht="36" customHeight="1">
      <c r="A514" s="4" t="s">
        <v>182</v>
      </c>
      <c r="B514" s="4" t="s">
        <v>8</v>
      </c>
      <c r="C514" s="4" t="s">
        <v>183</v>
      </c>
      <c r="D514" s="4" t="s">
        <v>184</v>
      </c>
      <c r="E514" s="4" t="s">
        <v>185</v>
      </c>
      <c r="F514" s="4" t="s">
        <v>186</v>
      </c>
      <c r="G514" s="4" t="s">
        <v>187</v>
      </c>
      <c r="H514" s="4" t="s">
        <v>188</v>
      </c>
      <c r="I514" s="4" t="s">
        <v>189</v>
      </c>
      <c r="J514" s="4" t="s">
        <v>190</v>
      </c>
    </row>
    <row r="515" spans="1:12" ht="23" customHeight="1">
      <c r="A515" s="9" t="s">
        <v>172</v>
      </c>
      <c r="B515" s="6">
        <v>4</v>
      </c>
      <c r="C515" s="9" t="s">
        <v>163</v>
      </c>
      <c r="D515" s="6">
        <v>104</v>
      </c>
      <c r="E515" s="9" t="s">
        <v>167</v>
      </c>
      <c r="F515" s="6">
        <v>155634</v>
      </c>
      <c r="G515" s="7">
        <v>155634</v>
      </c>
      <c r="H515" s="9">
        <f>(G515-F515)</f>
        <v>0.0</v>
      </c>
      <c r="I515" s="9" t="s">
        <v>193</v>
      </c>
      <c r="J515" s="9" t="s">
        <v>194</v>
      </c>
    </row>
    <row r="516" spans="1:12" ht="23" customHeight="1">
      <c r="A516" s="9" t="s">
        <v>172</v>
      </c>
      <c r="B516" s="6">
        <v>4</v>
      </c>
      <c r="C516" s="9" t="s">
        <v>163</v>
      </c>
      <c r="D516" s="6">
        <v>104</v>
      </c>
      <c r="E516" s="9" t="s">
        <v>178</v>
      </c>
      <c r="F516" s="11">
        <v>1794.4</v>
      </c>
      <c r="G516" s="8">
        <v>1794.4</v>
      </c>
      <c r="H516" s="9">
        <f>(G516-F516)</f>
        <v>0.0</v>
      </c>
      <c r="I516" s="9" t="s">
        <v>193</v>
      </c>
      <c r="J516" s="9" t="s">
        <v>194</v>
      </c>
    </row>
    <row r="517" spans="1:12" ht="23" customHeight="1">
      <c r="A517" s="9" t="s">
        <v>172</v>
      </c>
      <c r="B517" s="6">
        <v>4</v>
      </c>
      <c r="C517" s="9" t="s">
        <v>163</v>
      </c>
      <c r="D517" s="6">
        <v>104</v>
      </c>
      <c r="E517" s="9" t="s">
        <v>179</v>
      </c>
      <c r="F517" s="11">
        <v>1794.4</v>
      </c>
      <c r="G517" s="8">
        <v>1794.4</v>
      </c>
      <c r="H517" s="9">
        <f>(G517-F517)</f>
        <v>0.0</v>
      </c>
      <c r="I517" s="9" t="s">
        <v>193</v>
      </c>
      <c r="J517" s="9" t="s">
        <v>194</v>
      </c>
    </row>
    <row r="518" spans="1:12" ht="23" customHeight="1">
      <c r="A518" s="9" t="s">
        <v>172</v>
      </c>
      <c r="B518" s="6">
        <v>4</v>
      </c>
      <c r="C518" s="9" t="s">
        <v>163</v>
      </c>
      <c r="D518" s="6">
        <v>104</v>
      </c>
      <c r="E518" s="9" t="s">
        <v>168</v>
      </c>
      <c r="F518" s="6">
        <v>155634</v>
      </c>
      <c r="G518" s="7">
        <v>155634</v>
      </c>
      <c r="H518" s="9">
        <f>(G518-F518)</f>
        <v>0.0</v>
      </c>
      <c r="I518" s="9" t="s">
        <v>193</v>
      </c>
      <c r="J518" s="9" t="s">
        <v>194</v>
      </c>
    </row>
    <row r="519" spans="1:12" ht="23" customHeight="1">
      <c r="A519" s="9" t="s">
        <v>172</v>
      </c>
      <c r="B519" s="6">
        <v>4</v>
      </c>
      <c r="C519" s="9" t="s">
        <v>163</v>
      </c>
      <c r="D519" s="6">
        <v>104</v>
      </c>
      <c r="E519" s="9" t="s">
        <v>169</v>
      </c>
      <c r="F519" s="6">
        <v>155634</v>
      </c>
      <c r="G519" s="7">
        <v>155634</v>
      </c>
      <c r="H519" s="9">
        <f>(G519-F519)</f>
        <v>0.0</v>
      </c>
      <c r="I519" s="9" t="s">
        <v>193</v>
      </c>
      <c r="J519" s="9" t="s">
        <v>194</v>
      </c>
    </row>
    <row r="520" spans="1:12" ht="23" customHeight="1">
      <c r="A520" s="9" t="s">
        <v>172</v>
      </c>
      <c r="B520" s="6">
        <v>4</v>
      </c>
      <c r="C520" s="9" t="s">
        <v>163</v>
      </c>
      <c r="D520" s="6">
        <v>104</v>
      </c>
      <c r="E520" s="9" t="s">
        <v>170</v>
      </c>
      <c r="F520" s="6">
        <v>155634</v>
      </c>
      <c r="G520" s="7">
        <v>155634</v>
      </c>
      <c r="H520" s="9">
        <f>(G520-F520)</f>
        <v>0.0</v>
      </c>
      <c r="I520" s="9" t="s">
        <v>193</v>
      </c>
      <c r="J520" s="9" t="s">
        <v>194</v>
      </c>
    </row>
    <row r="521" spans="1:12" ht="23" customHeight="1">
      <c r="A521" s="9" t="s">
        <v>172</v>
      </c>
      <c r="B521" s="6">
        <v>4</v>
      </c>
      <c r="C521" s="9" t="s">
        <v>163</v>
      </c>
      <c r="D521" s="6">
        <v>104</v>
      </c>
      <c r="E521" s="9" t="s">
        <v>171</v>
      </c>
      <c r="F521" s="6">
        <v>155634</v>
      </c>
      <c r="G521" s="7">
        <v>155634</v>
      </c>
      <c r="H521" s="9">
        <f>(G521-F521)</f>
        <v>0.0</v>
      </c>
      <c r="I521" s="9" t="s">
        <v>193</v>
      </c>
      <c r="J521" s="9" t="s">
        <v>194</v>
      </c>
    </row>
    <row r="522" spans="1:12" ht="23" customHeight="1">
      <c r="A522" s="9" t="s">
        <v>172</v>
      </c>
      <c r="B522" s="6">
        <v>4</v>
      </c>
      <c r="C522" s="9" t="s">
        <v>163</v>
      </c>
      <c r="D522" s="6">
        <v>105</v>
      </c>
      <c r="E522" s="9" t="s">
        <v>166</v>
      </c>
      <c r="F522" s="6">
        <v>223257</v>
      </c>
      <c r="G522" s="7">
        <v>223257</v>
      </c>
      <c r="H522" s="9">
        <f>(G522-F522)</f>
        <v>0.0</v>
      </c>
      <c r="I522" s="9" t="s">
        <v>193</v>
      </c>
      <c r="J522" s="9" t="s">
        <v>194</v>
      </c>
    </row>
    <row r="523" spans="1:12" ht="23" customHeight="1">
      <c r="A523" s="9" t="s">
        <v>172</v>
      </c>
      <c r="B523" s="6">
        <v>4</v>
      </c>
      <c r="C523" s="9" t="s">
        <v>163</v>
      </c>
      <c r="D523" s="6">
        <v>105</v>
      </c>
      <c r="E523" s="9" t="s">
        <v>176</v>
      </c>
      <c r="F523" s="6">
        <v>2313</v>
      </c>
      <c r="G523" s="7">
        <v>2313</v>
      </c>
      <c r="H523" s="9">
        <f>(G523-F523)</f>
        <v>0.0</v>
      </c>
      <c r="I523" s="9" t="s">
        <v>193</v>
      </c>
      <c r="J523" s="9" t="s">
        <v>194</v>
      </c>
    </row>
    <row r="524" spans="1:12" ht="23" customHeight="1">
      <c r="A524" s="9" t="s">
        <v>172</v>
      </c>
      <c r="B524" s="6">
        <v>4</v>
      </c>
      <c r="C524" s="9" t="s">
        <v>163</v>
      </c>
      <c r="D524" s="6">
        <v>105</v>
      </c>
      <c r="E524" s="9" t="s">
        <v>177</v>
      </c>
      <c r="F524" s="6">
        <v>2313</v>
      </c>
      <c r="G524" s="7">
        <v>2313</v>
      </c>
      <c r="H524" s="9">
        <f>(G524-F524)</f>
        <v>0.0</v>
      </c>
      <c r="I524" s="9" t="s">
        <v>193</v>
      </c>
      <c r="J524" s="9" t="s">
        <v>194</v>
      </c>
    </row>
    <row r="525" spans="1:12" ht="23" customHeight="1">
      <c r="A525" s="9" t="s">
        <v>172</v>
      </c>
      <c r="B525" s="6">
        <v>4</v>
      </c>
      <c r="C525" s="9" t="s">
        <v>163</v>
      </c>
      <c r="D525" s="6">
        <v>105</v>
      </c>
      <c r="E525" s="9" t="s">
        <v>167</v>
      </c>
      <c r="F525" s="6">
        <v>223257</v>
      </c>
      <c r="G525" s="7">
        <v>223257</v>
      </c>
      <c r="H525" s="9">
        <f>(G525-F525)</f>
        <v>0.0</v>
      </c>
      <c r="I525" s="9" t="s">
        <v>193</v>
      </c>
      <c r="J525" s="9" t="s">
        <v>194</v>
      </c>
    </row>
    <row r="526" spans="1:12" ht="23" customHeight="1">
      <c r="A526" s="9" t="s">
        <v>172</v>
      </c>
      <c r="B526" s="6">
        <v>4</v>
      </c>
      <c r="C526" s="9" t="s">
        <v>163</v>
      </c>
      <c r="D526" s="6">
        <v>105</v>
      </c>
      <c r="E526" s="9" t="s">
        <v>178</v>
      </c>
      <c r="F526" s="6">
        <v>2313</v>
      </c>
      <c r="G526" s="7">
        <v>2313</v>
      </c>
      <c r="H526" s="9">
        <f>(G526-F526)</f>
        <v>0.0</v>
      </c>
      <c r="I526" s="9" t="s">
        <v>193</v>
      </c>
      <c r="J526" s="9" t="s">
        <v>194</v>
      </c>
    </row>
    <row r="527" spans="1:12" ht="23" customHeight="1">
      <c r="A527" s="9" t="s">
        <v>172</v>
      </c>
      <c r="B527" s="6">
        <v>4</v>
      </c>
      <c r="C527" s="9" t="s">
        <v>163</v>
      </c>
      <c r="D527" s="6">
        <v>105</v>
      </c>
      <c r="E527" s="9" t="s">
        <v>179</v>
      </c>
      <c r="F527" s="6">
        <v>2313</v>
      </c>
      <c r="G527" s="7">
        <v>2313</v>
      </c>
      <c r="H527" s="9">
        <f>(G527-F527)</f>
        <v>0.0</v>
      </c>
      <c r="I527" s="9" t="s">
        <v>193</v>
      </c>
      <c r="J527" s="9" t="s">
        <v>194</v>
      </c>
    </row>
    <row r="528" spans="1:12" ht="23" customHeight="1">
      <c r="A528" s="9" t="s">
        <v>172</v>
      </c>
      <c r="B528" s="6">
        <v>4</v>
      </c>
      <c r="C528" s="9" t="s">
        <v>163</v>
      </c>
      <c r="D528" s="6">
        <v>105</v>
      </c>
      <c r="E528" s="9" t="s">
        <v>168</v>
      </c>
      <c r="F528" s="6">
        <v>223257</v>
      </c>
      <c r="G528" s="7">
        <v>223257</v>
      </c>
      <c r="H528" s="9">
        <f>(G528-F528)</f>
        <v>0.0</v>
      </c>
      <c r="I528" s="9" t="s">
        <v>193</v>
      </c>
      <c r="J528" s="9" t="s">
        <v>194</v>
      </c>
    </row>
    <row r="529" spans="1:12" ht="23" customHeight="1">
      <c r="A529" s="9" t="s">
        <v>172</v>
      </c>
      <c r="B529" s="6">
        <v>4</v>
      </c>
      <c r="C529" s="9" t="s">
        <v>163</v>
      </c>
      <c r="D529" s="6">
        <v>105</v>
      </c>
      <c r="E529" s="9" t="s">
        <v>169</v>
      </c>
      <c r="F529" s="6">
        <v>223257</v>
      </c>
      <c r="G529" s="7">
        <v>223257</v>
      </c>
      <c r="H529" s="9">
        <f>(G529-F529)</f>
        <v>0.0</v>
      </c>
      <c r="I529" s="9" t="s">
        <v>193</v>
      </c>
      <c r="J529" s="9" t="s">
        <v>194</v>
      </c>
    </row>
    <row r="530" spans="1:12" ht="24" customHeight="1">
      <c r="A530" s="3" t="s">
        <v>181</v>
      </c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36" customHeight="1">
      <c r="A531" s="4" t="s">
        <v>182</v>
      </c>
      <c r="B531" s="4" t="s">
        <v>8</v>
      </c>
      <c r="C531" s="4" t="s">
        <v>183</v>
      </c>
      <c r="D531" s="4" t="s">
        <v>184</v>
      </c>
      <c r="E531" s="4" t="s">
        <v>185</v>
      </c>
      <c r="F531" s="4" t="s">
        <v>186</v>
      </c>
      <c r="G531" s="4" t="s">
        <v>187</v>
      </c>
      <c r="H531" s="4" t="s">
        <v>188</v>
      </c>
      <c r="I531" s="4" t="s">
        <v>189</v>
      </c>
      <c r="J531" s="4" t="s">
        <v>190</v>
      </c>
    </row>
    <row r="532" spans="1:12" ht="23" customHeight="1">
      <c r="A532" s="9" t="s">
        <v>172</v>
      </c>
      <c r="B532" s="6">
        <v>4</v>
      </c>
      <c r="C532" s="9" t="s">
        <v>163</v>
      </c>
      <c r="D532" s="6">
        <v>105</v>
      </c>
      <c r="E532" s="9" t="s">
        <v>170</v>
      </c>
      <c r="F532" s="6">
        <v>223257</v>
      </c>
      <c r="G532" s="7">
        <v>223257</v>
      </c>
      <c r="H532" s="9">
        <f>(G532-F532)</f>
        <v>0.0</v>
      </c>
      <c r="I532" s="9" t="s">
        <v>193</v>
      </c>
      <c r="J532" s="9" t="s">
        <v>194</v>
      </c>
    </row>
    <row r="533" spans="1:12" ht="23" customHeight="1">
      <c r="A533" s="9" t="s">
        <v>172</v>
      </c>
      <c r="B533" s="6">
        <v>4</v>
      </c>
      <c r="C533" s="9" t="s">
        <v>163</v>
      </c>
      <c r="D533" s="6">
        <v>105</v>
      </c>
      <c r="E533" s="9" t="s">
        <v>171</v>
      </c>
      <c r="F533" s="6">
        <v>223257</v>
      </c>
      <c r="G533" s="7">
        <v>223257</v>
      </c>
      <c r="H533" s="9">
        <f>(G533-F533)</f>
        <v>0.0</v>
      </c>
      <c r="I533" s="9" t="s">
        <v>193</v>
      </c>
      <c r="J533" s="9" t="s">
        <v>194</v>
      </c>
    </row>
    <row r="534" spans="1:12" ht="23" customHeight="1">
      <c r="A534" s="9" t="s">
        <v>172</v>
      </c>
      <c r="B534" s="6">
        <v>4</v>
      </c>
      <c r="C534" s="9" t="s">
        <v>163</v>
      </c>
      <c r="D534" s="6">
        <v>106</v>
      </c>
      <c r="E534" s="9" t="s">
        <v>166</v>
      </c>
      <c r="F534" s="6">
        <v>218438</v>
      </c>
      <c r="G534" s="7">
        <v>218438</v>
      </c>
      <c r="H534" s="9">
        <f>(G534-F534)</f>
        <v>0.0</v>
      </c>
      <c r="I534" s="9" t="s">
        <v>193</v>
      </c>
      <c r="J534" s="9" t="s">
        <v>194</v>
      </c>
    </row>
    <row r="535" spans="1:12" ht="23" customHeight="1">
      <c r="A535" s="9" t="s">
        <v>172</v>
      </c>
      <c r="B535" s="6">
        <v>4</v>
      </c>
      <c r="C535" s="9" t="s">
        <v>163</v>
      </c>
      <c r="D535" s="6">
        <v>106</v>
      </c>
      <c r="E535" s="9" t="s">
        <v>176</v>
      </c>
      <c r="F535" s="11">
        <v>2752.4</v>
      </c>
      <c r="G535" s="8">
        <v>2752.4</v>
      </c>
      <c r="H535" s="9">
        <f>(G535-F535)</f>
        <v>0.0</v>
      </c>
      <c r="I535" s="9" t="s">
        <v>193</v>
      </c>
      <c r="J535" s="9" t="s">
        <v>194</v>
      </c>
    </row>
    <row r="536" spans="1:12" ht="23" customHeight="1">
      <c r="A536" s="9" t="s">
        <v>172</v>
      </c>
      <c r="B536" s="6">
        <v>4</v>
      </c>
      <c r="C536" s="9" t="s">
        <v>163</v>
      </c>
      <c r="D536" s="6">
        <v>106</v>
      </c>
      <c r="E536" s="9" t="s">
        <v>177</v>
      </c>
      <c r="F536" s="11">
        <v>2752.4</v>
      </c>
      <c r="G536" s="8">
        <v>2752.4</v>
      </c>
      <c r="H536" s="9">
        <f>(G536-F536)</f>
        <v>0.0</v>
      </c>
      <c r="I536" s="9" t="s">
        <v>193</v>
      </c>
      <c r="J536" s="9" t="s">
        <v>194</v>
      </c>
    </row>
    <row r="537" spans="1:12" ht="23" customHeight="1">
      <c r="A537" s="9" t="s">
        <v>172</v>
      </c>
      <c r="B537" s="6">
        <v>4</v>
      </c>
      <c r="C537" s="9" t="s">
        <v>163</v>
      </c>
      <c r="D537" s="6">
        <v>106</v>
      </c>
      <c r="E537" s="9" t="s">
        <v>167</v>
      </c>
      <c r="F537" s="6">
        <v>218438</v>
      </c>
      <c r="G537" s="7">
        <v>218438</v>
      </c>
      <c r="H537" s="9">
        <f>(G537-F537)</f>
        <v>0.0</v>
      </c>
      <c r="I537" s="9" t="s">
        <v>193</v>
      </c>
      <c r="J537" s="9" t="s">
        <v>194</v>
      </c>
    </row>
    <row r="538" spans="1:12" ht="23" customHeight="1">
      <c r="A538" s="9" t="s">
        <v>172</v>
      </c>
      <c r="B538" s="6">
        <v>4</v>
      </c>
      <c r="C538" s="9" t="s">
        <v>163</v>
      </c>
      <c r="D538" s="6">
        <v>106</v>
      </c>
      <c r="E538" s="9" t="s">
        <v>178</v>
      </c>
      <c r="F538" s="11">
        <v>2752.4</v>
      </c>
      <c r="G538" s="8">
        <v>2752.4</v>
      </c>
      <c r="H538" s="9">
        <f>(G538-F538)</f>
        <v>0.0</v>
      </c>
      <c r="I538" s="9" t="s">
        <v>193</v>
      </c>
      <c r="J538" s="9" t="s">
        <v>194</v>
      </c>
    </row>
    <row r="539" spans="1:12" ht="23" customHeight="1">
      <c r="A539" s="9" t="s">
        <v>172</v>
      </c>
      <c r="B539" s="6">
        <v>4</v>
      </c>
      <c r="C539" s="9" t="s">
        <v>163</v>
      </c>
      <c r="D539" s="6">
        <v>106</v>
      </c>
      <c r="E539" s="9" t="s">
        <v>179</v>
      </c>
      <c r="F539" s="11">
        <v>2752.4</v>
      </c>
      <c r="G539" s="8">
        <v>2752.4</v>
      </c>
      <c r="H539" s="9">
        <f>(G539-F539)</f>
        <v>0.0</v>
      </c>
      <c r="I539" s="9" t="s">
        <v>193</v>
      </c>
      <c r="J539" s="9" t="s">
        <v>194</v>
      </c>
    </row>
    <row r="540" spans="1:12" ht="23" customHeight="1">
      <c r="A540" s="9" t="s">
        <v>172</v>
      </c>
      <c r="B540" s="6">
        <v>4</v>
      </c>
      <c r="C540" s="9" t="s">
        <v>163</v>
      </c>
      <c r="D540" s="6">
        <v>106</v>
      </c>
      <c r="E540" s="9" t="s">
        <v>168</v>
      </c>
      <c r="F540" s="6">
        <v>218438</v>
      </c>
      <c r="G540" s="7">
        <v>218438</v>
      </c>
      <c r="H540" s="9">
        <f>(G540-F540)</f>
        <v>0.0</v>
      </c>
      <c r="I540" s="9" t="s">
        <v>193</v>
      </c>
      <c r="J540" s="9" t="s">
        <v>194</v>
      </c>
    </row>
    <row r="541" spans="1:12" ht="23" customHeight="1">
      <c r="A541" s="9" t="s">
        <v>172</v>
      </c>
      <c r="B541" s="6">
        <v>4</v>
      </c>
      <c r="C541" s="9" t="s">
        <v>163</v>
      </c>
      <c r="D541" s="6">
        <v>106</v>
      </c>
      <c r="E541" s="9" t="s">
        <v>169</v>
      </c>
      <c r="F541" s="6">
        <v>218438</v>
      </c>
      <c r="G541" s="7">
        <v>218438</v>
      </c>
      <c r="H541" s="9">
        <f>(G541-F541)</f>
        <v>0.0</v>
      </c>
      <c r="I541" s="9" t="s">
        <v>193</v>
      </c>
      <c r="J541" s="9" t="s">
        <v>194</v>
      </c>
    </row>
    <row r="542" spans="1:12" ht="23" customHeight="1">
      <c r="A542" s="9" t="s">
        <v>172</v>
      </c>
      <c r="B542" s="6">
        <v>4</v>
      </c>
      <c r="C542" s="9" t="s">
        <v>163</v>
      </c>
      <c r="D542" s="6">
        <v>106</v>
      </c>
      <c r="E542" s="9" t="s">
        <v>170</v>
      </c>
      <c r="F542" s="6">
        <v>218438</v>
      </c>
      <c r="G542" s="7">
        <v>218438</v>
      </c>
      <c r="H542" s="9">
        <f>(G542-F542)</f>
        <v>0.0</v>
      </c>
      <c r="I542" s="9" t="s">
        <v>193</v>
      </c>
      <c r="J542" s="9" t="s">
        <v>194</v>
      </c>
    </row>
    <row r="543" spans="1:12" ht="23" customHeight="1">
      <c r="A543" s="9" t="s">
        <v>172</v>
      </c>
      <c r="B543" s="6">
        <v>4</v>
      </c>
      <c r="C543" s="9" t="s">
        <v>163</v>
      </c>
      <c r="D543" s="6">
        <v>106</v>
      </c>
      <c r="E543" s="9" t="s">
        <v>171</v>
      </c>
      <c r="F543" s="6">
        <v>218438</v>
      </c>
      <c r="G543" s="7">
        <v>218438</v>
      </c>
      <c r="H543" s="9">
        <f>(G543-F543)</f>
        <v>0.0</v>
      </c>
      <c r="I543" s="9" t="s">
        <v>193</v>
      </c>
      <c r="J543" s="9" t="s">
        <v>194</v>
      </c>
    </row>
    <row r="544" spans="1:12" ht="23" customHeight="1">
      <c r="A544" s="9" t="s">
        <v>172</v>
      </c>
      <c r="B544" s="6">
        <v>4</v>
      </c>
      <c r="C544" s="9" t="s">
        <v>163</v>
      </c>
      <c r="D544" s="6">
        <v>107</v>
      </c>
      <c r="E544" s="9" t="s">
        <v>166</v>
      </c>
      <c r="F544" s="6">
        <v>218438</v>
      </c>
      <c r="G544" s="7">
        <v>218438</v>
      </c>
      <c r="H544" s="9">
        <f>(G544-F544)</f>
        <v>0.0</v>
      </c>
      <c r="I544" s="9" t="s">
        <v>193</v>
      </c>
      <c r="J544" s="9" t="s">
        <v>194</v>
      </c>
    </row>
    <row r="545" spans="1:12" ht="23" customHeight="1">
      <c r="A545" s="9" t="s">
        <v>172</v>
      </c>
      <c r="B545" s="6">
        <v>4</v>
      </c>
      <c r="C545" s="9" t="s">
        <v>163</v>
      </c>
      <c r="D545" s="6">
        <v>107</v>
      </c>
      <c r="E545" s="9" t="s">
        <v>176</v>
      </c>
      <c r="F545" s="11">
        <v>2752.4</v>
      </c>
      <c r="G545" s="8">
        <v>2752.4</v>
      </c>
      <c r="H545" s="9">
        <f>(G545-F545)</f>
        <v>0.0</v>
      </c>
      <c r="I545" s="9" t="s">
        <v>193</v>
      </c>
      <c r="J545" s="9" t="s">
        <v>194</v>
      </c>
    </row>
    <row r="546" spans="1:12" ht="23" customHeight="1">
      <c r="A546" s="9" t="s">
        <v>172</v>
      </c>
      <c r="B546" s="6">
        <v>4</v>
      </c>
      <c r="C546" s="9" t="s">
        <v>163</v>
      </c>
      <c r="D546" s="6">
        <v>107</v>
      </c>
      <c r="E546" s="9" t="s">
        <v>177</v>
      </c>
      <c r="F546" s="11">
        <v>2752.4</v>
      </c>
      <c r="G546" s="8">
        <v>2752.4</v>
      </c>
      <c r="H546" s="9">
        <f>(G546-F546)</f>
        <v>0.0</v>
      </c>
      <c r="I546" s="9" t="s">
        <v>193</v>
      </c>
      <c r="J546" s="9" t="s">
        <v>194</v>
      </c>
    </row>
    <row r="547" spans="1:12" ht="24" customHeight="1">
      <c r="A547" s="3" t="s">
        <v>181</v>
      </c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spans="1:12" ht="36" customHeight="1">
      <c r="A548" s="4" t="s">
        <v>182</v>
      </c>
      <c r="B548" s="4" t="s">
        <v>8</v>
      </c>
      <c r="C548" s="4" t="s">
        <v>183</v>
      </c>
      <c r="D548" s="4" t="s">
        <v>184</v>
      </c>
      <c r="E548" s="4" t="s">
        <v>185</v>
      </c>
      <c r="F548" s="4" t="s">
        <v>186</v>
      </c>
      <c r="G548" s="4" t="s">
        <v>187</v>
      </c>
      <c r="H548" s="4" t="s">
        <v>188</v>
      </c>
      <c r="I548" s="4" t="s">
        <v>189</v>
      </c>
      <c r="J548" s="4" t="s">
        <v>190</v>
      </c>
    </row>
    <row r="549" spans="1:12" ht="23" customHeight="1">
      <c r="A549" s="9" t="s">
        <v>172</v>
      </c>
      <c r="B549" s="6">
        <v>4</v>
      </c>
      <c r="C549" s="9" t="s">
        <v>163</v>
      </c>
      <c r="D549" s="6">
        <v>107</v>
      </c>
      <c r="E549" s="9" t="s">
        <v>167</v>
      </c>
      <c r="F549" s="6">
        <v>218438</v>
      </c>
      <c r="G549" s="7">
        <v>218438</v>
      </c>
      <c r="H549" s="9">
        <f>(G549-F549)</f>
        <v>0.0</v>
      </c>
      <c r="I549" s="9" t="s">
        <v>193</v>
      </c>
      <c r="J549" s="9" t="s">
        <v>194</v>
      </c>
    </row>
    <row r="550" spans="1:12" ht="23" customHeight="1">
      <c r="A550" s="9" t="s">
        <v>172</v>
      </c>
      <c r="B550" s="6">
        <v>4</v>
      </c>
      <c r="C550" s="9" t="s">
        <v>163</v>
      </c>
      <c r="D550" s="6">
        <v>107</v>
      </c>
      <c r="E550" s="9" t="s">
        <v>178</v>
      </c>
      <c r="F550" s="11">
        <v>2752.4</v>
      </c>
      <c r="G550" s="8">
        <v>2752.4</v>
      </c>
      <c r="H550" s="9">
        <f>(G550-F550)</f>
        <v>0.0</v>
      </c>
      <c r="I550" s="9" t="s">
        <v>193</v>
      </c>
      <c r="J550" s="9" t="s">
        <v>194</v>
      </c>
    </row>
    <row r="551" spans="1:12" ht="23" customHeight="1">
      <c r="A551" s="9" t="s">
        <v>172</v>
      </c>
      <c r="B551" s="6">
        <v>4</v>
      </c>
      <c r="C551" s="9" t="s">
        <v>163</v>
      </c>
      <c r="D551" s="6">
        <v>107</v>
      </c>
      <c r="E551" s="9" t="s">
        <v>179</v>
      </c>
      <c r="F551" s="11">
        <v>2752.4</v>
      </c>
      <c r="G551" s="8">
        <v>2752.4</v>
      </c>
      <c r="H551" s="9">
        <f>(G551-F551)</f>
        <v>0.0</v>
      </c>
      <c r="I551" s="9" t="s">
        <v>193</v>
      </c>
      <c r="J551" s="9" t="s">
        <v>194</v>
      </c>
    </row>
    <row r="552" spans="1:12" ht="23" customHeight="1">
      <c r="A552" s="9" t="s">
        <v>172</v>
      </c>
      <c r="B552" s="6">
        <v>4</v>
      </c>
      <c r="C552" s="9" t="s">
        <v>163</v>
      </c>
      <c r="D552" s="6">
        <v>107</v>
      </c>
      <c r="E552" s="9" t="s">
        <v>168</v>
      </c>
      <c r="F552" s="6">
        <v>218438</v>
      </c>
      <c r="G552" s="7">
        <v>218438</v>
      </c>
      <c r="H552" s="9">
        <f>(G552-F552)</f>
        <v>0.0</v>
      </c>
      <c r="I552" s="9" t="s">
        <v>193</v>
      </c>
      <c r="J552" s="9" t="s">
        <v>194</v>
      </c>
    </row>
    <row r="553" spans="1:12" ht="23" customHeight="1">
      <c r="A553" s="9" t="s">
        <v>172</v>
      </c>
      <c r="B553" s="6">
        <v>4</v>
      </c>
      <c r="C553" s="9" t="s">
        <v>163</v>
      </c>
      <c r="D553" s="6">
        <v>107</v>
      </c>
      <c r="E553" s="9" t="s">
        <v>169</v>
      </c>
      <c r="F553" s="6">
        <v>218438</v>
      </c>
      <c r="G553" s="7">
        <v>218438</v>
      </c>
      <c r="H553" s="9">
        <f>(G553-F553)</f>
        <v>0.0</v>
      </c>
      <c r="I553" s="9" t="s">
        <v>193</v>
      </c>
      <c r="J553" s="9" t="s">
        <v>194</v>
      </c>
    </row>
    <row r="554" spans="1:12" ht="23" customHeight="1">
      <c r="A554" s="9" t="s">
        <v>172</v>
      </c>
      <c r="B554" s="6">
        <v>4</v>
      </c>
      <c r="C554" s="9" t="s">
        <v>163</v>
      </c>
      <c r="D554" s="6">
        <v>107</v>
      </c>
      <c r="E554" s="9" t="s">
        <v>170</v>
      </c>
      <c r="F554" s="6">
        <v>218438</v>
      </c>
      <c r="G554" s="7">
        <v>218438</v>
      </c>
      <c r="H554" s="9">
        <f>(G554-F554)</f>
        <v>0.0</v>
      </c>
      <c r="I554" s="9" t="s">
        <v>193</v>
      </c>
      <c r="J554" s="9" t="s">
        <v>194</v>
      </c>
    </row>
    <row r="555" spans="1:12" ht="23" customHeight="1">
      <c r="A555" s="9" t="s">
        <v>172</v>
      </c>
      <c r="B555" s="6">
        <v>4</v>
      </c>
      <c r="C555" s="9" t="s">
        <v>163</v>
      </c>
      <c r="D555" s="6">
        <v>107</v>
      </c>
      <c r="E555" s="9" t="s">
        <v>171</v>
      </c>
      <c r="F555" s="6">
        <v>218438</v>
      </c>
      <c r="G555" s="7">
        <v>218438</v>
      </c>
      <c r="H555" s="9">
        <f>(G555-F555)</f>
        <v>0.0</v>
      </c>
      <c r="I555" s="9" t="s">
        <v>193</v>
      </c>
      <c r="J555" s="9" t="s">
        <v>194</v>
      </c>
    </row>
    <row r="556" spans="1:12" ht="23" customHeight="1">
      <c r="A556" s="9" t="s">
        <v>172</v>
      </c>
      <c r="B556" s="6">
        <v>4</v>
      </c>
      <c r="C556" s="9" t="s">
        <v>163</v>
      </c>
      <c r="D556" s="6">
        <v>108</v>
      </c>
      <c r="E556" s="9" t="s">
        <v>166</v>
      </c>
      <c r="F556" s="6">
        <v>218438</v>
      </c>
      <c r="G556" s="7">
        <v>218438</v>
      </c>
      <c r="H556" s="9">
        <f>(G556-F556)</f>
        <v>0.0</v>
      </c>
      <c r="I556" s="9" t="s">
        <v>193</v>
      </c>
      <c r="J556" s="9" t="s">
        <v>194</v>
      </c>
    </row>
    <row r="557" spans="1:12" ht="23" customHeight="1">
      <c r="A557" s="9" t="s">
        <v>172</v>
      </c>
      <c r="B557" s="6">
        <v>4</v>
      </c>
      <c r="C557" s="9" t="s">
        <v>163</v>
      </c>
      <c r="D557" s="6">
        <v>108</v>
      </c>
      <c r="E557" s="9" t="s">
        <v>176</v>
      </c>
      <c r="F557" s="11">
        <v>2752.4</v>
      </c>
      <c r="G557" s="8">
        <v>2752.4</v>
      </c>
      <c r="H557" s="9">
        <f>(G557-F557)</f>
        <v>0.0</v>
      </c>
      <c r="I557" s="9" t="s">
        <v>193</v>
      </c>
      <c r="J557" s="9" t="s">
        <v>194</v>
      </c>
    </row>
    <row r="558" spans="1:12" ht="23" customHeight="1">
      <c r="A558" s="9" t="s">
        <v>172</v>
      </c>
      <c r="B558" s="6">
        <v>4</v>
      </c>
      <c r="C558" s="9" t="s">
        <v>163</v>
      </c>
      <c r="D558" s="6">
        <v>108</v>
      </c>
      <c r="E558" s="9" t="s">
        <v>177</v>
      </c>
      <c r="F558" s="11">
        <v>2752.4</v>
      </c>
      <c r="G558" s="8">
        <v>2752.4</v>
      </c>
      <c r="H558" s="9">
        <f>(G558-F558)</f>
        <v>0.0</v>
      </c>
      <c r="I558" s="9" t="s">
        <v>193</v>
      </c>
      <c r="J558" s="9" t="s">
        <v>194</v>
      </c>
    </row>
    <row r="559" spans="1:12" ht="23" customHeight="1">
      <c r="A559" s="9" t="s">
        <v>172</v>
      </c>
      <c r="B559" s="6">
        <v>4</v>
      </c>
      <c r="C559" s="9" t="s">
        <v>163</v>
      </c>
      <c r="D559" s="6">
        <v>108</v>
      </c>
      <c r="E559" s="9" t="s">
        <v>167</v>
      </c>
      <c r="F559" s="6">
        <v>218438</v>
      </c>
      <c r="G559" s="7">
        <v>218438</v>
      </c>
      <c r="H559" s="9">
        <f>(G559-F559)</f>
        <v>0.0</v>
      </c>
      <c r="I559" s="9" t="s">
        <v>193</v>
      </c>
      <c r="J559" s="9" t="s">
        <v>194</v>
      </c>
    </row>
    <row r="560" spans="1:12" ht="23" customHeight="1">
      <c r="A560" s="9" t="s">
        <v>172</v>
      </c>
      <c r="B560" s="6">
        <v>4</v>
      </c>
      <c r="C560" s="9" t="s">
        <v>163</v>
      </c>
      <c r="D560" s="6">
        <v>108</v>
      </c>
      <c r="E560" s="9" t="s">
        <v>178</v>
      </c>
      <c r="F560" s="11">
        <v>2752.4</v>
      </c>
      <c r="G560" s="8">
        <v>2752.4</v>
      </c>
      <c r="H560" s="9">
        <f>(G560-F560)</f>
        <v>0.0</v>
      </c>
      <c r="I560" s="9" t="s">
        <v>193</v>
      </c>
      <c r="J560" s="9" t="s">
        <v>194</v>
      </c>
    </row>
    <row r="561" spans="1:12" ht="23" customHeight="1">
      <c r="A561" s="9" t="s">
        <v>172</v>
      </c>
      <c r="B561" s="6">
        <v>4</v>
      </c>
      <c r="C561" s="9" t="s">
        <v>163</v>
      </c>
      <c r="D561" s="6">
        <v>108</v>
      </c>
      <c r="E561" s="9" t="s">
        <v>179</v>
      </c>
      <c r="F561" s="11">
        <v>2752.4</v>
      </c>
      <c r="G561" s="8">
        <v>2752.4</v>
      </c>
      <c r="H561" s="9">
        <f>(G561-F561)</f>
        <v>0.0</v>
      </c>
      <c r="I561" s="9" t="s">
        <v>193</v>
      </c>
      <c r="J561" s="9" t="s">
        <v>194</v>
      </c>
    </row>
    <row r="562" spans="1:12" ht="23" customHeight="1">
      <c r="A562" s="9" t="s">
        <v>172</v>
      </c>
      <c r="B562" s="6">
        <v>4</v>
      </c>
      <c r="C562" s="9" t="s">
        <v>163</v>
      </c>
      <c r="D562" s="6">
        <v>108</v>
      </c>
      <c r="E562" s="9" t="s">
        <v>168</v>
      </c>
      <c r="F562" s="6">
        <v>218438</v>
      </c>
      <c r="G562" s="7">
        <v>218438</v>
      </c>
      <c r="H562" s="9">
        <f>(G562-F562)</f>
        <v>0.0</v>
      </c>
      <c r="I562" s="9" t="s">
        <v>193</v>
      </c>
      <c r="J562" s="9" t="s">
        <v>194</v>
      </c>
    </row>
    <row r="563" spans="1:12" ht="23" customHeight="1">
      <c r="A563" s="9" t="s">
        <v>172</v>
      </c>
      <c r="B563" s="6">
        <v>4</v>
      </c>
      <c r="C563" s="9" t="s">
        <v>163</v>
      </c>
      <c r="D563" s="6">
        <v>108</v>
      </c>
      <c r="E563" s="9" t="s">
        <v>169</v>
      </c>
      <c r="F563" s="6">
        <v>218438</v>
      </c>
      <c r="G563" s="7">
        <v>218438</v>
      </c>
      <c r="H563" s="9">
        <f>(G563-F563)</f>
        <v>0.0</v>
      </c>
      <c r="I563" s="9" t="s">
        <v>193</v>
      </c>
      <c r="J563" s="9" t="s">
        <v>194</v>
      </c>
    </row>
    <row r="564" spans="1:12" ht="24" customHeight="1">
      <c r="A564" s="3" t="s">
        <v>181</v>
      </c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spans="1:12" ht="36" customHeight="1">
      <c r="A565" s="4" t="s">
        <v>182</v>
      </c>
      <c r="B565" s="4" t="s">
        <v>8</v>
      </c>
      <c r="C565" s="4" t="s">
        <v>183</v>
      </c>
      <c r="D565" s="4" t="s">
        <v>184</v>
      </c>
      <c r="E565" s="4" t="s">
        <v>185</v>
      </c>
      <c r="F565" s="4" t="s">
        <v>186</v>
      </c>
      <c r="G565" s="4" t="s">
        <v>187</v>
      </c>
      <c r="H565" s="4" t="s">
        <v>188</v>
      </c>
      <c r="I565" s="4" t="s">
        <v>189</v>
      </c>
      <c r="J565" s="4" t="s">
        <v>190</v>
      </c>
    </row>
    <row r="566" spans="1:12" ht="23" customHeight="1">
      <c r="A566" s="9" t="s">
        <v>172</v>
      </c>
      <c r="B566" s="6">
        <v>4</v>
      </c>
      <c r="C566" s="9" t="s">
        <v>163</v>
      </c>
      <c r="D566" s="6">
        <v>108</v>
      </c>
      <c r="E566" s="9" t="s">
        <v>170</v>
      </c>
      <c r="F566" s="6">
        <v>218438</v>
      </c>
      <c r="G566" s="7">
        <v>218438</v>
      </c>
      <c r="H566" s="9">
        <f>(G566-F566)</f>
        <v>0.0</v>
      </c>
      <c r="I566" s="9" t="s">
        <v>193</v>
      </c>
      <c r="J566" s="9" t="s">
        <v>194</v>
      </c>
    </row>
    <row r="567" spans="1:12" ht="23" customHeight="1">
      <c r="A567" s="9" t="s">
        <v>172</v>
      </c>
      <c r="B567" s="6">
        <v>4</v>
      </c>
      <c r="C567" s="9" t="s">
        <v>163</v>
      </c>
      <c r="D567" s="6">
        <v>108</v>
      </c>
      <c r="E567" s="9" t="s">
        <v>171</v>
      </c>
      <c r="F567" s="6">
        <v>218438</v>
      </c>
      <c r="G567" s="7">
        <v>218438</v>
      </c>
      <c r="H567" s="9">
        <f>(G567-F567)</f>
        <v>0.0</v>
      </c>
      <c r="I567" s="9" t="s">
        <v>193</v>
      </c>
      <c r="J567" s="9" t="s">
        <v>194</v>
      </c>
    </row>
    <row r="568" spans="1:12" ht="23" customHeight="1">
      <c r="A568" s="9" t="s">
        <v>172</v>
      </c>
      <c r="B568" s="6">
        <v>4</v>
      </c>
      <c r="C568" s="9" t="s">
        <v>163</v>
      </c>
      <c r="D568" s="6">
        <v>109</v>
      </c>
      <c r="E568" s="9" t="s">
        <v>166</v>
      </c>
      <c r="F568" s="6">
        <v>218438</v>
      </c>
      <c r="G568" s="7">
        <v>218438</v>
      </c>
      <c r="H568" s="9">
        <f>(G568-F568)</f>
        <v>0.0</v>
      </c>
      <c r="I568" s="9" t="s">
        <v>193</v>
      </c>
      <c r="J568" s="9" t="s">
        <v>194</v>
      </c>
    </row>
    <row r="569" spans="1:12" ht="23" customHeight="1">
      <c r="A569" s="9" t="s">
        <v>172</v>
      </c>
      <c r="B569" s="6">
        <v>4</v>
      </c>
      <c r="C569" s="9" t="s">
        <v>163</v>
      </c>
      <c r="D569" s="6">
        <v>109</v>
      </c>
      <c r="E569" s="9" t="s">
        <v>176</v>
      </c>
      <c r="F569" s="11">
        <v>2752.4</v>
      </c>
      <c r="G569" s="8">
        <v>2752.4</v>
      </c>
      <c r="H569" s="9">
        <f>(G569-F569)</f>
        <v>0.0</v>
      </c>
      <c r="I569" s="9" t="s">
        <v>193</v>
      </c>
      <c r="J569" s="9" t="s">
        <v>194</v>
      </c>
    </row>
    <row r="570" spans="1:12" ht="23" customHeight="1">
      <c r="A570" s="9" t="s">
        <v>172</v>
      </c>
      <c r="B570" s="6">
        <v>4</v>
      </c>
      <c r="C570" s="9" t="s">
        <v>163</v>
      </c>
      <c r="D570" s="6">
        <v>109</v>
      </c>
      <c r="E570" s="9" t="s">
        <v>177</v>
      </c>
      <c r="F570" s="11">
        <v>2752.4</v>
      </c>
      <c r="G570" s="8">
        <v>2752.4</v>
      </c>
      <c r="H570" s="9">
        <f>(G570-F570)</f>
        <v>0.0</v>
      </c>
      <c r="I570" s="9" t="s">
        <v>193</v>
      </c>
      <c r="J570" s="9" t="s">
        <v>194</v>
      </c>
    </row>
    <row r="571" spans="1:12" ht="23" customHeight="1">
      <c r="A571" s="9" t="s">
        <v>172</v>
      </c>
      <c r="B571" s="6">
        <v>4</v>
      </c>
      <c r="C571" s="9" t="s">
        <v>163</v>
      </c>
      <c r="D571" s="6">
        <v>109</v>
      </c>
      <c r="E571" s="9" t="s">
        <v>167</v>
      </c>
      <c r="F571" s="6">
        <v>218438</v>
      </c>
      <c r="G571" s="7">
        <v>218438</v>
      </c>
      <c r="H571" s="9">
        <f>(G571-F571)</f>
        <v>0.0</v>
      </c>
      <c r="I571" s="9" t="s">
        <v>193</v>
      </c>
      <c r="J571" s="9" t="s">
        <v>194</v>
      </c>
    </row>
    <row r="572" spans="1:12" ht="23" customHeight="1">
      <c r="A572" s="9" t="s">
        <v>172</v>
      </c>
      <c r="B572" s="6">
        <v>4</v>
      </c>
      <c r="C572" s="9" t="s">
        <v>163</v>
      </c>
      <c r="D572" s="6">
        <v>109</v>
      </c>
      <c r="E572" s="9" t="s">
        <v>178</v>
      </c>
      <c r="F572" s="11">
        <v>2752.4</v>
      </c>
      <c r="G572" s="8">
        <v>2752.4</v>
      </c>
      <c r="H572" s="9">
        <f>(G572-F572)</f>
        <v>0.0</v>
      </c>
      <c r="I572" s="9" t="s">
        <v>193</v>
      </c>
      <c r="J572" s="9" t="s">
        <v>194</v>
      </c>
    </row>
    <row r="573" spans="1:12" ht="23" customHeight="1">
      <c r="A573" s="9" t="s">
        <v>172</v>
      </c>
      <c r="B573" s="6">
        <v>4</v>
      </c>
      <c r="C573" s="9" t="s">
        <v>163</v>
      </c>
      <c r="D573" s="6">
        <v>109</v>
      </c>
      <c r="E573" s="9" t="s">
        <v>179</v>
      </c>
      <c r="F573" s="11">
        <v>2752.4</v>
      </c>
      <c r="G573" s="8">
        <v>2752.4</v>
      </c>
      <c r="H573" s="9">
        <f>(G573-F573)</f>
        <v>0.0</v>
      </c>
      <c r="I573" s="9" t="s">
        <v>193</v>
      </c>
      <c r="J573" s="9" t="s">
        <v>194</v>
      </c>
    </row>
    <row r="574" spans="1:12" ht="23" customHeight="1">
      <c r="A574" s="9" t="s">
        <v>172</v>
      </c>
      <c r="B574" s="6">
        <v>4</v>
      </c>
      <c r="C574" s="9" t="s">
        <v>163</v>
      </c>
      <c r="D574" s="6">
        <v>109</v>
      </c>
      <c r="E574" s="9" t="s">
        <v>168</v>
      </c>
      <c r="F574" s="6">
        <v>218438</v>
      </c>
      <c r="G574" s="7">
        <v>218438</v>
      </c>
      <c r="H574" s="9">
        <f>(G574-F574)</f>
        <v>0.0</v>
      </c>
      <c r="I574" s="9" t="s">
        <v>193</v>
      </c>
      <c r="J574" s="9" t="s">
        <v>194</v>
      </c>
    </row>
    <row r="575" spans="1:12" ht="23" customHeight="1">
      <c r="A575" s="9" t="s">
        <v>172</v>
      </c>
      <c r="B575" s="6">
        <v>4</v>
      </c>
      <c r="C575" s="9" t="s">
        <v>163</v>
      </c>
      <c r="D575" s="6">
        <v>109</v>
      </c>
      <c r="E575" s="9" t="s">
        <v>169</v>
      </c>
      <c r="F575" s="6">
        <v>218438</v>
      </c>
      <c r="G575" s="7">
        <v>218438</v>
      </c>
      <c r="H575" s="9">
        <f>(G575-F575)</f>
        <v>0.0</v>
      </c>
      <c r="I575" s="9" t="s">
        <v>193</v>
      </c>
      <c r="J575" s="9" t="s">
        <v>194</v>
      </c>
    </row>
    <row r="576" spans="1:12" ht="23" customHeight="1">
      <c r="A576" s="9" t="s">
        <v>172</v>
      </c>
      <c r="B576" s="6">
        <v>4</v>
      </c>
      <c r="C576" s="9" t="s">
        <v>163</v>
      </c>
      <c r="D576" s="6">
        <v>109</v>
      </c>
      <c r="E576" s="9" t="s">
        <v>170</v>
      </c>
      <c r="F576" s="6">
        <v>218438</v>
      </c>
      <c r="G576" s="7">
        <v>218438</v>
      </c>
      <c r="H576" s="9">
        <f>(G576-F576)</f>
        <v>0.0</v>
      </c>
      <c r="I576" s="9" t="s">
        <v>193</v>
      </c>
      <c r="J576" s="9" t="s">
        <v>194</v>
      </c>
    </row>
    <row r="577" spans="1:12" ht="23" customHeight="1">
      <c r="A577" s="9" t="s">
        <v>172</v>
      </c>
      <c r="B577" s="6">
        <v>4</v>
      </c>
      <c r="C577" s="9" t="s">
        <v>163</v>
      </c>
      <c r="D577" s="6">
        <v>109</v>
      </c>
      <c r="E577" s="9" t="s">
        <v>171</v>
      </c>
      <c r="F577" s="6">
        <v>218438</v>
      </c>
      <c r="G577" s="7">
        <v>218438</v>
      </c>
      <c r="H577" s="9">
        <f>(G577-F577)</f>
        <v>0.0</v>
      </c>
      <c r="I577" s="9" t="s">
        <v>193</v>
      </c>
      <c r="J577" s="9" t="s">
        <v>194</v>
      </c>
    </row>
    <row r="578" spans="1:12" ht="23" customHeight="1">
      <c r="A578" s="9" t="s">
        <v>172</v>
      </c>
      <c r="B578" s="6">
        <v>4</v>
      </c>
      <c r="C578" s="9" t="s">
        <v>163</v>
      </c>
      <c r="D578" s="6">
        <v>110</v>
      </c>
      <c r="E578" s="9" t="s">
        <v>166</v>
      </c>
      <c r="F578" s="6">
        <v>218438</v>
      </c>
      <c r="G578" s="7">
        <v>218438</v>
      </c>
      <c r="H578" s="9">
        <f>(G578-F578)</f>
        <v>0.0</v>
      </c>
      <c r="I578" s="9" t="s">
        <v>193</v>
      </c>
      <c r="J578" s="9" t="s">
        <v>194</v>
      </c>
    </row>
    <row r="579" spans="1:12" ht="23" customHeight="1">
      <c r="A579" s="9" t="s">
        <v>172</v>
      </c>
      <c r="B579" s="6">
        <v>4</v>
      </c>
      <c r="C579" s="9" t="s">
        <v>163</v>
      </c>
      <c r="D579" s="6">
        <v>110</v>
      </c>
      <c r="E579" s="9" t="s">
        <v>176</v>
      </c>
      <c r="F579" s="11">
        <v>2752.4</v>
      </c>
      <c r="G579" s="8">
        <v>2752.4</v>
      </c>
      <c r="H579" s="9">
        <f>(G579-F579)</f>
        <v>0.0</v>
      </c>
      <c r="I579" s="9" t="s">
        <v>193</v>
      </c>
      <c r="J579" s="9" t="s">
        <v>194</v>
      </c>
    </row>
    <row r="580" spans="1:12" ht="23" customHeight="1">
      <c r="A580" s="9" t="s">
        <v>172</v>
      </c>
      <c r="B580" s="6">
        <v>4</v>
      </c>
      <c r="C580" s="9" t="s">
        <v>163</v>
      </c>
      <c r="D580" s="6">
        <v>110</v>
      </c>
      <c r="E580" s="9" t="s">
        <v>177</v>
      </c>
      <c r="F580" s="11">
        <v>2752.4</v>
      </c>
      <c r="G580" s="8">
        <v>2752.4</v>
      </c>
      <c r="H580" s="9">
        <f>(G580-F580)</f>
        <v>0.0</v>
      </c>
      <c r="I580" s="9" t="s">
        <v>193</v>
      </c>
      <c r="J580" s="9" t="s">
        <v>194</v>
      </c>
    </row>
    <row r="581" spans="1:12" ht="24" customHeight="1">
      <c r="A581" s="3" t="s">
        <v>181</v>
      </c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spans="1:12" ht="36" customHeight="1">
      <c r="A582" s="4" t="s">
        <v>182</v>
      </c>
      <c r="B582" s="4" t="s">
        <v>8</v>
      </c>
      <c r="C582" s="4" t="s">
        <v>183</v>
      </c>
      <c r="D582" s="4" t="s">
        <v>184</v>
      </c>
      <c r="E582" s="4" t="s">
        <v>185</v>
      </c>
      <c r="F582" s="4" t="s">
        <v>186</v>
      </c>
      <c r="G582" s="4" t="s">
        <v>187</v>
      </c>
      <c r="H582" s="4" t="s">
        <v>188</v>
      </c>
      <c r="I582" s="4" t="s">
        <v>189</v>
      </c>
      <c r="J582" s="4" t="s">
        <v>190</v>
      </c>
    </row>
    <row r="583" spans="1:12" ht="23" customHeight="1">
      <c r="A583" s="9" t="s">
        <v>172</v>
      </c>
      <c r="B583" s="6">
        <v>4</v>
      </c>
      <c r="C583" s="9" t="s">
        <v>163</v>
      </c>
      <c r="D583" s="6">
        <v>110</v>
      </c>
      <c r="E583" s="9" t="s">
        <v>167</v>
      </c>
      <c r="F583" s="6">
        <v>218438</v>
      </c>
      <c r="G583" s="7">
        <v>218438</v>
      </c>
      <c r="H583" s="9">
        <f>(G583-F583)</f>
        <v>0.0</v>
      </c>
      <c r="I583" s="9" t="s">
        <v>193</v>
      </c>
      <c r="J583" s="9" t="s">
        <v>194</v>
      </c>
    </row>
    <row r="584" spans="1:12" ht="23" customHeight="1">
      <c r="A584" s="9" t="s">
        <v>172</v>
      </c>
      <c r="B584" s="6">
        <v>4</v>
      </c>
      <c r="C584" s="9" t="s">
        <v>163</v>
      </c>
      <c r="D584" s="6">
        <v>110</v>
      </c>
      <c r="E584" s="9" t="s">
        <v>178</v>
      </c>
      <c r="F584" s="11">
        <v>2752.4</v>
      </c>
      <c r="G584" s="8">
        <v>2752.4</v>
      </c>
      <c r="H584" s="9">
        <f>(G584-F584)</f>
        <v>0.0</v>
      </c>
      <c r="I584" s="9" t="s">
        <v>193</v>
      </c>
      <c r="J584" s="9" t="s">
        <v>194</v>
      </c>
    </row>
    <row r="585" spans="1:12" ht="23" customHeight="1">
      <c r="A585" s="9" t="s">
        <v>172</v>
      </c>
      <c r="B585" s="6">
        <v>4</v>
      </c>
      <c r="C585" s="9" t="s">
        <v>163</v>
      </c>
      <c r="D585" s="6">
        <v>110</v>
      </c>
      <c r="E585" s="9" t="s">
        <v>179</v>
      </c>
      <c r="F585" s="11">
        <v>2752.4</v>
      </c>
      <c r="G585" s="8">
        <v>2752.4</v>
      </c>
      <c r="H585" s="9">
        <f>(G585-F585)</f>
        <v>0.0</v>
      </c>
      <c r="I585" s="9" t="s">
        <v>193</v>
      </c>
      <c r="J585" s="9" t="s">
        <v>194</v>
      </c>
    </row>
    <row r="586" spans="1:12" ht="23" customHeight="1">
      <c r="A586" s="9" t="s">
        <v>172</v>
      </c>
      <c r="B586" s="6">
        <v>4</v>
      </c>
      <c r="C586" s="9" t="s">
        <v>163</v>
      </c>
      <c r="D586" s="6">
        <v>110</v>
      </c>
      <c r="E586" s="9" t="s">
        <v>168</v>
      </c>
      <c r="F586" s="6">
        <v>218438</v>
      </c>
      <c r="G586" s="7">
        <v>218438</v>
      </c>
      <c r="H586" s="9">
        <f>(G586-F586)</f>
        <v>0.0</v>
      </c>
      <c r="I586" s="9" t="s">
        <v>193</v>
      </c>
      <c r="J586" s="9" t="s">
        <v>194</v>
      </c>
    </row>
    <row r="587" spans="1:12" ht="23" customHeight="1">
      <c r="A587" s="9" t="s">
        <v>172</v>
      </c>
      <c r="B587" s="6">
        <v>4</v>
      </c>
      <c r="C587" s="9" t="s">
        <v>163</v>
      </c>
      <c r="D587" s="6">
        <v>110</v>
      </c>
      <c r="E587" s="9" t="s">
        <v>169</v>
      </c>
      <c r="F587" s="6">
        <v>218438</v>
      </c>
      <c r="G587" s="7">
        <v>218438</v>
      </c>
      <c r="H587" s="9">
        <f>(G587-F587)</f>
        <v>0.0</v>
      </c>
      <c r="I587" s="9" t="s">
        <v>193</v>
      </c>
      <c r="J587" s="9" t="s">
        <v>194</v>
      </c>
    </row>
    <row r="588" spans="1:12" ht="23" customHeight="1">
      <c r="A588" s="9" t="s">
        <v>172</v>
      </c>
      <c r="B588" s="6">
        <v>4</v>
      </c>
      <c r="C588" s="9" t="s">
        <v>163</v>
      </c>
      <c r="D588" s="6">
        <v>110</v>
      </c>
      <c r="E588" s="9" t="s">
        <v>170</v>
      </c>
      <c r="F588" s="6">
        <v>218438</v>
      </c>
      <c r="G588" s="7">
        <v>218438</v>
      </c>
      <c r="H588" s="9">
        <f>(G588-F588)</f>
        <v>0.0</v>
      </c>
      <c r="I588" s="9" t="s">
        <v>193</v>
      </c>
      <c r="J588" s="9" t="s">
        <v>194</v>
      </c>
    </row>
    <row r="589" spans="1:12" ht="23" customHeight="1">
      <c r="A589" s="9" t="s">
        <v>172</v>
      </c>
      <c r="B589" s="6">
        <v>4</v>
      </c>
      <c r="C589" s="9" t="s">
        <v>163</v>
      </c>
      <c r="D589" s="6">
        <v>110</v>
      </c>
      <c r="E589" s="9" t="s">
        <v>171</v>
      </c>
      <c r="F589" s="6">
        <v>218438</v>
      </c>
      <c r="G589" s="7">
        <v>218438</v>
      </c>
      <c r="H589" s="9">
        <f>(G589-F589)</f>
        <v>0.0</v>
      </c>
      <c r="I589" s="9" t="s">
        <v>193</v>
      </c>
      <c r="J589" s="9" t="s">
        <v>194</v>
      </c>
    </row>
    <row r="590" spans="1:12" ht="23" customHeight="1">
      <c r="A590" s="9" t="s">
        <v>172</v>
      </c>
      <c r="B590" s="6">
        <v>4</v>
      </c>
      <c r="C590" s="9" t="s">
        <v>163</v>
      </c>
      <c r="D590" s="6">
        <v>111</v>
      </c>
      <c r="E590" s="9" t="s">
        <v>166</v>
      </c>
      <c r="F590" s="6">
        <v>218438</v>
      </c>
      <c r="G590" s="7">
        <v>218438</v>
      </c>
      <c r="H590" s="9">
        <f>(G590-F590)</f>
        <v>0.0</v>
      </c>
      <c r="I590" s="9" t="s">
        <v>193</v>
      </c>
      <c r="J590" s="9" t="s">
        <v>194</v>
      </c>
    </row>
    <row r="591" spans="1:12" ht="23" customHeight="1">
      <c r="A591" s="9" t="s">
        <v>172</v>
      </c>
      <c r="B591" s="6">
        <v>4</v>
      </c>
      <c r="C591" s="9" t="s">
        <v>163</v>
      </c>
      <c r="D591" s="6">
        <v>111</v>
      </c>
      <c r="E591" s="9" t="s">
        <v>176</v>
      </c>
      <c r="F591" s="11">
        <v>2752.4</v>
      </c>
      <c r="G591" s="8">
        <v>2752.4</v>
      </c>
      <c r="H591" s="9">
        <f>(G591-F591)</f>
        <v>0.0</v>
      </c>
      <c r="I591" s="9" t="s">
        <v>193</v>
      </c>
      <c r="J591" s="9" t="s">
        <v>194</v>
      </c>
    </row>
    <row r="592" spans="1:12" ht="23" customHeight="1">
      <c r="A592" s="9" t="s">
        <v>172</v>
      </c>
      <c r="B592" s="6">
        <v>4</v>
      </c>
      <c r="C592" s="9" t="s">
        <v>163</v>
      </c>
      <c r="D592" s="6">
        <v>111</v>
      </c>
      <c r="E592" s="9" t="s">
        <v>177</v>
      </c>
      <c r="F592" s="11">
        <v>2752.4</v>
      </c>
      <c r="G592" s="8">
        <v>2752.4</v>
      </c>
      <c r="H592" s="9">
        <f>(G592-F592)</f>
        <v>0.0</v>
      </c>
      <c r="I592" s="9" t="s">
        <v>193</v>
      </c>
      <c r="J592" s="9" t="s">
        <v>194</v>
      </c>
    </row>
    <row r="593" spans="1:12" ht="23" customHeight="1">
      <c r="A593" s="9" t="s">
        <v>172</v>
      </c>
      <c r="B593" s="6">
        <v>4</v>
      </c>
      <c r="C593" s="9" t="s">
        <v>163</v>
      </c>
      <c r="D593" s="6">
        <v>111</v>
      </c>
      <c r="E593" s="9" t="s">
        <v>167</v>
      </c>
      <c r="F593" s="6">
        <v>218438</v>
      </c>
      <c r="G593" s="7">
        <v>218438</v>
      </c>
      <c r="H593" s="9">
        <f>(G593-F593)</f>
        <v>0.0</v>
      </c>
      <c r="I593" s="9" t="s">
        <v>193</v>
      </c>
      <c r="J593" s="9" t="s">
        <v>194</v>
      </c>
    </row>
    <row r="594" spans="1:12" ht="23" customHeight="1">
      <c r="A594" s="9" t="s">
        <v>172</v>
      </c>
      <c r="B594" s="6">
        <v>4</v>
      </c>
      <c r="C594" s="9" t="s">
        <v>163</v>
      </c>
      <c r="D594" s="6">
        <v>111</v>
      </c>
      <c r="E594" s="9" t="s">
        <v>178</v>
      </c>
      <c r="F594" s="11">
        <v>2752.4</v>
      </c>
      <c r="G594" s="8">
        <v>2752.4</v>
      </c>
      <c r="H594" s="9">
        <f>(G594-F594)</f>
        <v>0.0</v>
      </c>
      <c r="I594" s="9" t="s">
        <v>193</v>
      </c>
      <c r="J594" s="9" t="s">
        <v>194</v>
      </c>
    </row>
    <row r="595" spans="1:12" ht="23" customHeight="1">
      <c r="A595" s="9" t="s">
        <v>172</v>
      </c>
      <c r="B595" s="6">
        <v>4</v>
      </c>
      <c r="C595" s="9" t="s">
        <v>163</v>
      </c>
      <c r="D595" s="6">
        <v>111</v>
      </c>
      <c r="E595" s="9" t="s">
        <v>179</v>
      </c>
      <c r="F595" s="11">
        <v>2752.4</v>
      </c>
      <c r="G595" s="8">
        <v>2752.4</v>
      </c>
      <c r="H595" s="9">
        <f>(G595-F595)</f>
        <v>0.0</v>
      </c>
      <c r="I595" s="9" t="s">
        <v>193</v>
      </c>
      <c r="J595" s="9" t="s">
        <v>194</v>
      </c>
    </row>
    <row r="596" spans="1:12" ht="23" customHeight="1">
      <c r="A596" s="9" t="s">
        <v>172</v>
      </c>
      <c r="B596" s="6">
        <v>4</v>
      </c>
      <c r="C596" s="9" t="s">
        <v>163</v>
      </c>
      <c r="D596" s="6">
        <v>111</v>
      </c>
      <c r="E596" s="9" t="s">
        <v>168</v>
      </c>
      <c r="F596" s="6">
        <v>218438</v>
      </c>
      <c r="G596" s="7">
        <v>218438</v>
      </c>
      <c r="H596" s="9">
        <f>(G596-F596)</f>
        <v>0.0</v>
      </c>
      <c r="I596" s="9" t="s">
        <v>193</v>
      </c>
      <c r="J596" s="9" t="s">
        <v>194</v>
      </c>
    </row>
    <row r="597" spans="1:12" ht="23" customHeight="1">
      <c r="A597" s="9" t="s">
        <v>172</v>
      </c>
      <c r="B597" s="6">
        <v>4</v>
      </c>
      <c r="C597" s="9" t="s">
        <v>163</v>
      </c>
      <c r="D597" s="6">
        <v>111</v>
      </c>
      <c r="E597" s="9" t="s">
        <v>169</v>
      </c>
      <c r="F597" s="6">
        <v>218438</v>
      </c>
      <c r="G597" s="7">
        <v>218438</v>
      </c>
      <c r="H597" s="9">
        <f>(G597-F597)</f>
        <v>0.0</v>
      </c>
      <c r="I597" s="9" t="s">
        <v>193</v>
      </c>
      <c r="J597" s="9" t="s">
        <v>194</v>
      </c>
    </row>
    <row r="598" spans="1:12" ht="24" customHeight="1">
      <c r="A598" s="3" t="s">
        <v>181</v>
      </c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spans="1:12" ht="36" customHeight="1">
      <c r="A599" s="4" t="s">
        <v>182</v>
      </c>
      <c r="B599" s="4" t="s">
        <v>8</v>
      </c>
      <c r="C599" s="4" t="s">
        <v>183</v>
      </c>
      <c r="D599" s="4" t="s">
        <v>184</v>
      </c>
      <c r="E599" s="4" t="s">
        <v>185</v>
      </c>
      <c r="F599" s="4" t="s">
        <v>186</v>
      </c>
      <c r="G599" s="4" t="s">
        <v>187</v>
      </c>
      <c r="H599" s="4" t="s">
        <v>188</v>
      </c>
      <c r="I599" s="4" t="s">
        <v>189</v>
      </c>
      <c r="J599" s="4" t="s">
        <v>190</v>
      </c>
    </row>
    <row r="600" spans="1:12" ht="23" customHeight="1">
      <c r="A600" s="9" t="s">
        <v>172</v>
      </c>
      <c r="B600" s="6">
        <v>4</v>
      </c>
      <c r="C600" s="9" t="s">
        <v>163</v>
      </c>
      <c r="D600" s="6">
        <v>111</v>
      </c>
      <c r="E600" s="9" t="s">
        <v>170</v>
      </c>
      <c r="F600" s="6">
        <v>218438</v>
      </c>
      <c r="G600" s="7">
        <v>218438</v>
      </c>
      <c r="H600" s="9">
        <f>(G600-F600)</f>
        <v>0.0</v>
      </c>
      <c r="I600" s="9" t="s">
        <v>193</v>
      </c>
      <c r="J600" s="9" t="s">
        <v>194</v>
      </c>
    </row>
    <row r="601" spans="1:12" ht="23" customHeight="1">
      <c r="A601" s="9" t="s">
        <v>172</v>
      </c>
      <c r="B601" s="6">
        <v>4</v>
      </c>
      <c r="C601" s="9" t="s">
        <v>163</v>
      </c>
      <c r="D601" s="6">
        <v>111</v>
      </c>
      <c r="E601" s="9" t="s">
        <v>171</v>
      </c>
      <c r="F601" s="6">
        <v>218438</v>
      </c>
      <c r="G601" s="7">
        <v>218438</v>
      </c>
      <c r="H601" s="9">
        <f>(G601-F601)</f>
        <v>0.0</v>
      </c>
      <c r="I601" s="9" t="s">
        <v>193</v>
      </c>
      <c r="J601" s="9" t="s">
        <v>194</v>
      </c>
    </row>
    <row r="602" spans="1:12" ht="23" customHeight="1">
      <c r="A602" s="9" t="s">
        <v>172</v>
      </c>
      <c r="B602" s="6">
        <v>4</v>
      </c>
      <c r="C602" s="9" t="s">
        <v>163</v>
      </c>
      <c r="D602" s="6">
        <v>112</v>
      </c>
      <c r="E602" s="9" t="s">
        <v>166</v>
      </c>
      <c r="F602" s="6">
        <v>179149</v>
      </c>
      <c r="G602" s="7">
        <v>179149</v>
      </c>
      <c r="H602" s="9">
        <f>(G602-F602)</f>
        <v>0.0</v>
      </c>
      <c r="I602" s="9" t="s">
        <v>193</v>
      </c>
      <c r="J602" s="9" t="s">
        <v>194</v>
      </c>
    </row>
    <row r="603" spans="1:12" ht="23" customHeight="1">
      <c r="A603" s="9" t="s">
        <v>172</v>
      </c>
      <c r="B603" s="6">
        <v>4</v>
      </c>
      <c r="C603" s="9" t="s">
        <v>163</v>
      </c>
      <c r="D603" s="6">
        <v>112</v>
      </c>
      <c r="E603" s="9" t="s">
        <v>176</v>
      </c>
      <c r="F603" s="11">
        <v>2032.5</v>
      </c>
      <c r="G603" s="8">
        <v>2032.5</v>
      </c>
      <c r="H603" s="9">
        <f>(G603-F603)</f>
        <v>0.0</v>
      </c>
      <c r="I603" s="9" t="s">
        <v>193</v>
      </c>
      <c r="J603" s="9" t="s">
        <v>194</v>
      </c>
    </row>
    <row r="604" spans="1:12" ht="23" customHeight="1">
      <c r="A604" s="9" t="s">
        <v>172</v>
      </c>
      <c r="B604" s="6">
        <v>4</v>
      </c>
      <c r="C604" s="9" t="s">
        <v>163</v>
      </c>
      <c r="D604" s="6">
        <v>112</v>
      </c>
      <c r="E604" s="9" t="s">
        <v>177</v>
      </c>
      <c r="F604" s="11">
        <v>2032.5</v>
      </c>
      <c r="G604" s="8">
        <v>2032.5</v>
      </c>
      <c r="H604" s="9">
        <f>(G604-F604)</f>
        <v>0.0</v>
      </c>
      <c r="I604" s="9" t="s">
        <v>193</v>
      </c>
      <c r="J604" s="9" t="s">
        <v>194</v>
      </c>
    </row>
    <row r="605" spans="1:12" ht="23" customHeight="1">
      <c r="A605" s="9" t="s">
        <v>172</v>
      </c>
      <c r="B605" s="6">
        <v>4</v>
      </c>
      <c r="C605" s="9" t="s">
        <v>163</v>
      </c>
      <c r="D605" s="6">
        <v>112</v>
      </c>
      <c r="E605" s="9" t="s">
        <v>167</v>
      </c>
      <c r="F605" s="6">
        <v>179149</v>
      </c>
      <c r="G605" s="7">
        <v>179149</v>
      </c>
      <c r="H605" s="9">
        <f>(G605-F605)</f>
        <v>0.0</v>
      </c>
      <c r="I605" s="9" t="s">
        <v>193</v>
      </c>
      <c r="J605" s="9" t="s">
        <v>194</v>
      </c>
    </row>
    <row r="606" spans="1:12" ht="23" customHeight="1">
      <c r="A606" s="9" t="s">
        <v>172</v>
      </c>
      <c r="B606" s="6">
        <v>4</v>
      </c>
      <c r="C606" s="9" t="s">
        <v>163</v>
      </c>
      <c r="D606" s="6">
        <v>112</v>
      </c>
      <c r="E606" s="9" t="s">
        <v>178</v>
      </c>
      <c r="F606" s="11">
        <v>2032.5</v>
      </c>
      <c r="G606" s="8">
        <v>2032.5</v>
      </c>
      <c r="H606" s="9">
        <f>(G606-F606)</f>
        <v>0.0</v>
      </c>
      <c r="I606" s="9" t="s">
        <v>193</v>
      </c>
      <c r="J606" s="9" t="s">
        <v>194</v>
      </c>
    </row>
    <row r="607" spans="1:12" ht="23" customHeight="1">
      <c r="A607" s="9" t="s">
        <v>172</v>
      </c>
      <c r="B607" s="6">
        <v>4</v>
      </c>
      <c r="C607" s="9" t="s">
        <v>163</v>
      </c>
      <c r="D607" s="6">
        <v>112</v>
      </c>
      <c r="E607" s="9" t="s">
        <v>179</v>
      </c>
      <c r="F607" s="11">
        <v>2032.5</v>
      </c>
      <c r="G607" s="8">
        <v>2032.5</v>
      </c>
      <c r="H607" s="9">
        <f>(G607-F607)</f>
        <v>0.0</v>
      </c>
      <c r="I607" s="9" t="s">
        <v>193</v>
      </c>
      <c r="J607" s="9" t="s">
        <v>194</v>
      </c>
    </row>
    <row r="608" spans="1:12" ht="23" customHeight="1">
      <c r="A608" s="9" t="s">
        <v>172</v>
      </c>
      <c r="B608" s="6">
        <v>4</v>
      </c>
      <c r="C608" s="9" t="s">
        <v>163</v>
      </c>
      <c r="D608" s="6">
        <v>112</v>
      </c>
      <c r="E608" s="9" t="s">
        <v>168</v>
      </c>
      <c r="F608" s="6">
        <v>179149</v>
      </c>
      <c r="G608" s="7">
        <v>179149</v>
      </c>
      <c r="H608" s="9">
        <f>(G608-F608)</f>
        <v>0.0</v>
      </c>
      <c r="I608" s="9" t="s">
        <v>193</v>
      </c>
      <c r="J608" s="9" t="s">
        <v>194</v>
      </c>
    </row>
    <row r="609" spans="1:12" ht="23" customHeight="1">
      <c r="A609" s="9" t="s">
        <v>172</v>
      </c>
      <c r="B609" s="6">
        <v>4</v>
      </c>
      <c r="C609" s="9" t="s">
        <v>163</v>
      </c>
      <c r="D609" s="6">
        <v>112</v>
      </c>
      <c r="E609" s="9" t="s">
        <v>169</v>
      </c>
      <c r="F609" s="6">
        <v>179149</v>
      </c>
      <c r="G609" s="7">
        <v>179149</v>
      </c>
      <c r="H609" s="9">
        <f>(G609-F609)</f>
        <v>0.0</v>
      </c>
      <c r="I609" s="9" t="s">
        <v>193</v>
      </c>
      <c r="J609" s="9" t="s">
        <v>194</v>
      </c>
    </row>
    <row r="610" spans="1:12" ht="23" customHeight="1">
      <c r="A610" s="9" t="s">
        <v>172</v>
      </c>
      <c r="B610" s="6">
        <v>4</v>
      </c>
      <c r="C610" s="9" t="s">
        <v>163</v>
      </c>
      <c r="D610" s="6">
        <v>112</v>
      </c>
      <c r="E610" s="9" t="s">
        <v>170</v>
      </c>
      <c r="F610" s="6">
        <v>179149</v>
      </c>
      <c r="G610" s="7">
        <v>179149</v>
      </c>
      <c r="H610" s="9">
        <f>(G610-F610)</f>
        <v>0.0</v>
      </c>
      <c r="I610" s="9" t="s">
        <v>193</v>
      </c>
      <c r="J610" s="9" t="s">
        <v>194</v>
      </c>
    </row>
    <row r="611" spans="1:12" ht="23" customHeight="1">
      <c r="A611" s="9" t="s">
        <v>172</v>
      </c>
      <c r="B611" s="6">
        <v>4</v>
      </c>
      <c r="C611" s="9" t="s">
        <v>163</v>
      </c>
      <c r="D611" s="6">
        <v>112</v>
      </c>
      <c r="E611" s="9" t="s">
        <v>171</v>
      </c>
      <c r="F611" s="6">
        <v>179149</v>
      </c>
      <c r="G611" s="7">
        <v>179149</v>
      </c>
      <c r="H611" s="9">
        <f>(G611-F611)</f>
        <v>0.0</v>
      </c>
      <c r="I611" s="9" t="s">
        <v>193</v>
      </c>
      <c r="J611" s="9" t="s">
        <v>194</v>
      </c>
    </row>
    <row r="612" spans="1:12" ht="23" customHeight="1">
      <c r="A612" s="9" t="s">
        <v>172</v>
      </c>
      <c r="B612" s="6">
        <v>4</v>
      </c>
      <c r="C612" s="9" t="s">
        <v>163</v>
      </c>
      <c r="D612" s="6">
        <v>113</v>
      </c>
      <c r="E612" s="9" t="s">
        <v>166</v>
      </c>
      <c r="F612" s="6">
        <v>104936</v>
      </c>
      <c r="G612" s="7">
        <v>104936</v>
      </c>
      <c r="H612" s="9">
        <f>(G612-F612)</f>
        <v>0.0</v>
      </c>
      <c r="I612" s="9" t="s">
        <v>193</v>
      </c>
      <c r="J612" s="9" t="s">
        <v>194</v>
      </c>
    </row>
    <row r="613" spans="1:12" ht="23" customHeight="1">
      <c r="A613" s="9" t="s">
        <v>172</v>
      </c>
      <c r="B613" s="6">
        <v>4</v>
      </c>
      <c r="C613" s="9" t="s">
        <v>163</v>
      </c>
      <c r="D613" s="6">
        <v>113</v>
      </c>
      <c r="E613" s="9" t="s">
        <v>176</v>
      </c>
      <c r="F613" s="11">
        <v>672.8</v>
      </c>
      <c r="G613" s="8">
        <v>672.8</v>
      </c>
      <c r="H613" s="9">
        <f>(G613-F613)</f>
        <v>0.0</v>
      </c>
      <c r="I613" s="9" t="s">
        <v>193</v>
      </c>
      <c r="J613" s="9" t="s">
        <v>194</v>
      </c>
    </row>
    <row r="614" spans="1:12" ht="23" customHeight="1">
      <c r="A614" s="9" t="s">
        <v>172</v>
      </c>
      <c r="B614" s="6">
        <v>4</v>
      </c>
      <c r="C614" s="9" t="s">
        <v>163</v>
      </c>
      <c r="D614" s="6">
        <v>113</v>
      </c>
      <c r="E614" s="9" t="s">
        <v>177</v>
      </c>
      <c r="F614" s="11">
        <v>672.8</v>
      </c>
      <c r="G614" s="8">
        <v>672.8</v>
      </c>
      <c r="H614" s="9">
        <f>(G614-F614)</f>
        <v>0.0</v>
      </c>
      <c r="I614" s="9" t="s">
        <v>193</v>
      </c>
      <c r="J614" s="9" t="s">
        <v>194</v>
      </c>
    </row>
    <row r="615" spans="1:12" ht="24" customHeight="1">
      <c r="A615" s="3" t="s">
        <v>181</v>
      </c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spans="1:12" ht="36" customHeight="1">
      <c r="A616" s="4" t="s">
        <v>182</v>
      </c>
      <c r="B616" s="4" t="s">
        <v>8</v>
      </c>
      <c r="C616" s="4" t="s">
        <v>183</v>
      </c>
      <c r="D616" s="4" t="s">
        <v>184</v>
      </c>
      <c r="E616" s="4" t="s">
        <v>185</v>
      </c>
      <c r="F616" s="4" t="s">
        <v>186</v>
      </c>
      <c r="G616" s="4" t="s">
        <v>187</v>
      </c>
      <c r="H616" s="4" t="s">
        <v>188</v>
      </c>
      <c r="I616" s="4" t="s">
        <v>189</v>
      </c>
      <c r="J616" s="4" t="s">
        <v>190</v>
      </c>
    </row>
    <row r="617" spans="1:12" ht="23" customHeight="1">
      <c r="A617" s="9" t="s">
        <v>172</v>
      </c>
      <c r="B617" s="6">
        <v>4</v>
      </c>
      <c r="C617" s="9" t="s">
        <v>163</v>
      </c>
      <c r="D617" s="6">
        <v>113</v>
      </c>
      <c r="E617" s="9" t="s">
        <v>167</v>
      </c>
      <c r="F617" s="6">
        <v>104936</v>
      </c>
      <c r="G617" s="7">
        <v>104936</v>
      </c>
      <c r="H617" s="9">
        <f>(G617-F617)</f>
        <v>0.0</v>
      </c>
      <c r="I617" s="9" t="s">
        <v>193</v>
      </c>
      <c r="J617" s="9" t="s">
        <v>194</v>
      </c>
    </row>
    <row r="618" spans="1:12" ht="23" customHeight="1">
      <c r="A618" s="9" t="s">
        <v>172</v>
      </c>
      <c r="B618" s="6">
        <v>4</v>
      </c>
      <c r="C618" s="9" t="s">
        <v>163</v>
      </c>
      <c r="D618" s="6">
        <v>113</v>
      </c>
      <c r="E618" s="9" t="s">
        <v>178</v>
      </c>
      <c r="F618" s="11">
        <v>672.8</v>
      </c>
      <c r="G618" s="8">
        <v>672.8</v>
      </c>
      <c r="H618" s="9">
        <f>(G618-F618)</f>
        <v>0.0</v>
      </c>
      <c r="I618" s="9" t="s">
        <v>193</v>
      </c>
      <c r="J618" s="9" t="s">
        <v>194</v>
      </c>
    </row>
    <row r="619" spans="1:12" ht="23" customHeight="1">
      <c r="A619" s="9" t="s">
        <v>172</v>
      </c>
      <c r="B619" s="6">
        <v>4</v>
      </c>
      <c r="C619" s="9" t="s">
        <v>163</v>
      </c>
      <c r="D619" s="6">
        <v>113</v>
      </c>
      <c r="E619" s="9" t="s">
        <v>179</v>
      </c>
      <c r="F619" s="11">
        <v>672.8</v>
      </c>
      <c r="G619" s="8">
        <v>672.8</v>
      </c>
      <c r="H619" s="9">
        <f>(G619-F619)</f>
        <v>0.0</v>
      </c>
      <c r="I619" s="9" t="s">
        <v>193</v>
      </c>
      <c r="J619" s="9" t="s">
        <v>194</v>
      </c>
    </row>
    <row r="620" spans="1:12" ht="23" customHeight="1">
      <c r="A620" s="9" t="s">
        <v>172</v>
      </c>
      <c r="B620" s="6">
        <v>4</v>
      </c>
      <c r="C620" s="9" t="s">
        <v>163</v>
      </c>
      <c r="D620" s="6">
        <v>113</v>
      </c>
      <c r="E620" s="9" t="s">
        <v>168</v>
      </c>
      <c r="F620" s="6">
        <v>104936</v>
      </c>
      <c r="G620" s="7">
        <v>104936</v>
      </c>
      <c r="H620" s="9">
        <f>(G620-F620)</f>
        <v>0.0</v>
      </c>
      <c r="I620" s="9" t="s">
        <v>193</v>
      </c>
      <c r="J620" s="9" t="s">
        <v>194</v>
      </c>
    </row>
    <row r="621" spans="1:12" ht="23" customHeight="1">
      <c r="A621" s="9" t="s">
        <v>172</v>
      </c>
      <c r="B621" s="6">
        <v>4</v>
      </c>
      <c r="C621" s="9" t="s">
        <v>163</v>
      </c>
      <c r="D621" s="6">
        <v>113</v>
      </c>
      <c r="E621" s="9" t="s">
        <v>169</v>
      </c>
      <c r="F621" s="6">
        <v>104936</v>
      </c>
      <c r="G621" s="7">
        <v>104936</v>
      </c>
      <c r="H621" s="9">
        <f>(G621-F621)</f>
        <v>0.0</v>
      </c>
      <c r="I621" s="9" t="s">
        <v>193</v>
      </c>
      <c r="J621" s="9" t="s">
        <v>194</v>
      </c>
    </row>
    <row r="622" spans="1:12" ht="23" customHeight="1">
      <c r="A622" s="9" t="s">
        <v>172</v>
      </c>
      <c r="B622" s="6">
        <v>4</v>
      </c>
      <c r="C622" s="9" t="s">
        <v>163</v>
      </c>
      <c r="D622" s="6">
        <v>113</v>
      </c>
      <c r="E622" s="9" t="s">
        <v>170</v>
      </c>
      <c r="F622" s="6">
        <v>104936</v>
      </c>
      <c r="G622" s="7">
        <v>104936</v>
      </c>
      <c r="H622" s="9">
        <f>(G622-F622)</f>
        <v>0.0</v>
      </c>
      <c r="I622" s="9" t="s">
        <v>193</v>
      </c>
      <c r="J622" s="9" t="s">
        <v>194</v>
      </c>
    </row>
    <row r="623" spans="1:12" ht="23" customHeight="1">
      <c r="A623" s="9" t="s">
        <v>172</v>
      </c>
      <c r="B623" s="6">
        <v>4</v>
      </c>
      <c r="C623" s="9" t="s">
        <v>163</v>
      </c>
      <c r="D623" s="6">
        <v>113</v>
      </c>
      <c r="E623" s="9" t="s">
        <v>171</v>
      </c>
      <c r="F623" s="6">
        <v>104936</v>
      </c>
      <c r="G623" s="7">
        <v>104936</v>
      </c>
      <c r="H623" s="9">
        <f>(G623-F623)</f>
        <v>0.0</v>
      </c>
      <c r="I623" s="9" t="s">
        <v>193</v>
      </c>
      <c r="J623" s="9" t="s">
        <v>194</v>
      </c>
    </row>
    <row r="624" spans="1:12" ht="23" customHeight="1">
      <c r="A624" s="9" t="s">
        <v>172</v>
      </c>
      <c r="B624" s="6">
        <v>4</v>
      </c>
      <c r="C624" s="9" t="s">
        <v>163</v>
      </c>
      <c r="D624" s="6">
        <v>114</v>
      </c>
      <c r="E624" s="9" t="s">
        <v>166</v>
      </c>
      <c r="F624" s="6">
        <v>104936</v>
      </c>
      <c r="G624" s="7">
        <v>104936</v>
      </c>
      <c r="H624" s="9">
        <f>(G624-F624)</f>
        <v>0.0</v>
      </c>
      <c r="I624" s="9" t="s">
        <v>193</v>
      </c>
      <c r="J624" s="9" t="s">
        <v>194</v>
      </c>
    </row>
    <row r="625" spans="1:12" ht="23" customHeight="1">
      <c r="A625" s="9" t="s">
        <v>172</v>
      </c>
      <c r="B625" s="6">
        <v>4</v>
      </c>
      <c r="C625" s="9" t="s">
        <v>163</v>
      </c>
      <c r="D625" s="6">
        <v>114</v>
      </c>
      <c r="E625" s="9" t="s">
        <v>176</v>
      </c>
      <c r="F625" s="11">
        <v>672.8</v>
      </c>
      <c r="G625" s="8">
        <v>672.8</v>
      </c>
      <c r="H625" s="9">
        <f>(G625-F625)</f>
        <v>0.0</v>
      </c>
      <c r="I625" s="9" t="s">
        <v>193</v>
      </c>
      <c r="J625" s="9" t="s">
        <v>194</v>
      </c>
    </row>
    <row r="626" spans="1:12" ht="23" customHeight="1">
      <c r="A626" s="9" t="s">
        <v>172</v>
      </c>
      <c r="B626" s="6">
        <v>4</v>
      </c>
      <c r="C626" s="9" t="s">
        <v>163</v>
      </c>
      <c r="D626" s="6">
        <v>114</v>
      </c>
      <c r="E626" s="9" t="s">
        <v>177</v>
      </c>
      <c r="F626" s="11">
        <v>672.8</v>
      </c>
      <c r="G626" s="8">
        <v>672.8</v>
      </c>
      <c r="H626" s="9">
        <f>(G626-F626)</f>
        <v>0.0</v>
      </c>
      <c r="I626" s="9" t="s">
        <v>193</v>
      </c>
      <c r="J626" s="9" t="s">
        <v>194</v>
      </c>
    </row>
    <row r="627" spans="1:12" ht="23" customHeight="1">
      <c r="A627" s="9" t="s">
        <v>172</v>
      </c>
      <c r="B627" s="6">
        <v>4</v>
      </c>
      <c r="C627" s="9" t="s">
        <v>163</v>
      </c>
      <c r="D627" s="6">
        <v>114</v>
      </c>
      <c r="E627" s="9" t="s">
        <v>167</v>
      </c>
      <c r="F627" s="6">
        <v>104936</v>
      </c>
      <c r="G627" s="7">
        <v>104936</v>
      </c>
      <c r="H627" s="9">
        <f>(G627-F627)</f>
        <v>0.0</v>
      </c>
      <c r="I627" s="9" t="s">
        <v>193</v>
      </c>
      <c r="J627" s="9" t="s">
        <v>194</v>
      </c>
    </row>
    <row r="628" spans="1:12" ht="23" customHeight="1">
      <c r="A628" s="9" t="s">
        <v>172</v>
      </c>
      <c r="B628" s="6">
        <v>4</v>
      </c>
      <c r="C628" s="9" t="s">
        <v>163</v>
      </c>
      <c r="D628" s="6">
        <v>114</v>
      </c>
      <c r="E628" s="9" t="s">
        <v>178</v>
      </c>
      <c r="F628" s="11">
        <v>672.8</v>
      </c>
      <c r="G628" s="8">
        <v>672.8</v>
      </c>
      <c r="H628" s="9">
        <f>(G628-F628)</f>
        <v>0.0</v>
      </c>
      <c r="I628" s="9" t="s">
        <v>193</v>
      </c>
      <c r="J628" s="9" t="s">
        <v>194</v>
      </c>
    </row>
    <row r="629" spans="1:12" ht="23" customHeight="1">
      <c r="A629" s="9" t="s">
        <v>172</v>
      </c>
      <c r="B629" s="6">
        <v>4</v>
      </c>
      <c r="C629" s="9" t="s">
        <v>163</v>
      </c>
      <c r="D629" s="6">
        <v>114</v>
      </c>
      <c r="E629" s="9" t="s">
        <v>179</v>
      </c>
      <c r="F629" s="11">
        <v>672.8</v>
      </c>
      <c r="G629" s="8">
        <v>672.8</v>
      </c>
      <c r="H629" s="9">
        <f>(G629-F629)</f>
        <v>0.0</v>
      </c>
      <c r="I629" s="9" t="s">
        <v>193</v>
      </c>
      <c r="J629" s="9" t="s">
        <v>194</v>
      </c>
    </row>
    <row r="630" spans="1:12" ht="23" customHeight="1">
      <c r="A630" s="9" t="s">
        <v>172</v>
      </c>
      <c r="B630" s="6">
        <v>4</v>
      </c>
      <c r="C630" s="9" t="s">
        <v>163</v>
      </c>
      <c r="D630" s="6">
        <v>114</v>
      </c>
      <c r="E630" s="9" t="s">
        <v>168</v>
      </c>
      <c r="F630" s="6">
        <v>104936</v>
      </c>
      <c r="G630" s="7">
        <v>104936</v>
      </c>
      <c r="H630" s="9">
        <f>(G630-F630)</f>
        <v>0.0</v>
      </c>
      <c r="I630" s="9" t="s">
        <v>193</v>
      </c>
      <c r="J630" s="9" t="s">
        <v>194</v>
      </c>
    </row>
    <row r="631" spans="1:12" ht="23" customHeight="1">
      <c r="A631" s="9" t="s">
        <v>172</v>
      </c>
      <c r="B631" s="6">
        <v>4</v>
      </c>
      <c r="C631" s="9" t="s">
        <v>163</v>
      </c>
      <c r="D631" s="6">
        <v>114</v>
      </c>
      <c r="E631" s="9" t="s">
        <v>169</v>
      </c>
      <c r="F631" s="6">
        <v>104936</v>
      </c>
      <c r="G631" s="7">
        <v>104936</v>
      </c>
      <c r="H631" s="9">
        <f>(G631-F631)</f>
        <v>0.0</v>
      </c>
      <c r="I631" s="9" t="s">
        <v>193</v>
      </c>
      <c r="J631" s="9" t="s">
        <v>194</v>
      </c>
    </row>
    <row r="632" spans="1:12" ht="24" customHeight="1">
      <c r="A632" s="3" t="s">
        <v>181</v>
      </c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spans="1:12" ht="36" customHeight="1">
      <c r="A633" s="4" t="s">
        <v>182</v>
      </c>
      <c r="B633" s="4" t="s">
        <v>8</v>
      </c>
      <c r="C633" s="4" t="s">
        <v>183</v>
      </c>
      <c r="D633" s="4" t="s">
        <v>184</v>
      </c>
      <c r="E633" s="4" t="s">
        <v>185</v>
      </c>
      <c r="F633" s="4" t="s">
        <v>186</v>
      </c>
      <c r="G633" s="4" t="s">
        <v>187</v>
      </c>
      <c r="H633" s="4" t="s">
        <v>188</v>
      </c>
      <c r="I633" s="4" t="s">
        <v>189</v>
      </c>
      <c r="J633" s="4" t="s">
        <v>190</v>
      </c>
    </row>
    <row r="634" spans="1:12" ht="23" customHeight="1">
      <c r="A634" s="9" t="s">
        <v>172</v>
      </c>
      <c r="B634" s="6">
        <v>4</v>
      </c>
      <c r="C634" s="9" t="s">
        <v>163</v>
      </c>
      <c r="D634" s="6">
        <v>114</v>
      </c>
      <c r="E634" s="9" t="s">
        <v>170</v>
      </c>
      <c r="F634" s="6">
        <v>104936</v>
      </c>
      <c r="G634" s="7">
        <v>104936</v>
      </c>
      <c r="H634" s="9">
        <f>(G634-F634)</f>
        <v>0.0</v>
      </c>
      <c r="I634" s="9" t="s">
        <v>193</v>
      </c>
      <c r="J634" s="9" t="s">
        <v>194</v>
      </c>
    </row>
    <row r="635" spans="1:12" ht="23" customHeight="1">
      <c r="A635" s="9" t="s">
        <v>172</v>
      </c>
      <c r="B635" s="6">
        <v>4</v>
      </c>
      <c r="C635" s="9" t="s">
        <v>163</v>
      </c>
      <c r="D635" s="6">
        <v>114</v>
      </c>
      <c r="E635" s="9" t="s">
        <v>171</v>
      </c>
      <c r="F635" s="6">
        <v>104936</v>
      </c>
      <c r="G635" s="7">
        <v>104936</v>
      </c>
      <c r="H635" s="9">
        <f>(G635-F635)</f>
        <v>0.0</v>
      </c>
      <c r="I635" s="9" t="s">
        <v>193</v>
      </c>
      <c r="J635" s="9" t="s">
        <v>194</v>
      </c>
    </row>
    <row r="636" spans="1:12" ht="23" customHeight="1">
      <c r="A636" s="9" t="s">
        <v>172</v>
      </c>
      <c r="B636" s="6">
        <v>4</v>
      </c>
      <c r="C636" s="9" t="s">
        <v>163</v>
      </c>
      <c r="D636" s="6">
        <v>115</v>
      </c>
      <c r="E636" s="9" t="s">
        <v>166</v>
      </c>
      <c r="F636" s="6">
        <v>104936</v>
      </c>
      <c r="G636" s="7">
        <v>104936</v>
      </c>
      <c r="H636" s="9">
        <f>(G636-F636)</f>
        <v>0.0</v>
      </c>
      <c r="I636" s="9" t="s">
        <v>193</v>
      </c>
      <c r="J636" s="9" t="s">
        <v>194</v>
      </c>
    </row>
    <row r="637" spans="1:12" ht="23" customHeight="1">
      <c r="A637" s="9" t="s">
        <v>172</v>
      </c>
      <c r="B637" s="6">
        <v>4</v>
      </c>
      <c r="C637" s="9" t="s">
        <v>163</v>
      </c>
      <c r="D637" s="6">
        <v>115</v>
      </c>
      <c r="E637" s="9" t="s">
        <v>176</v>
      </c>
      <c r="F637" s="11">
        <v>672.8</v>
      </c>
      <c r="G637" s="8">
        <v>672.8</v>
      </c>
      <c r="H637" s="9">
        <f>(G637-F637)</f>
        <v>0.0</v>
      </c>
      <c r="I637" s="9" t="s">
        <v>193</v>
      </c>
      <c r="J637" s="9" t="s">
        <v>194</v>
      </c>
    </row>
    <row r="638" spans="1:12" ht="23" customHeight="1">
      <c r="A638" s="9" t="s">
        <v>172</v>
      </c>
      <c r="B638" s="6">
        <v>4</v>
      </c>
      <c r="C638" s="9" t="s">
        <v>163</v>
      </c>
      <c r="D638" s="6">
        <v>115</v>
      </c>
      <c r="E638" s="9" t="s">
        <v>177</v>
      </c>
      <c r="F638" s="11">
        <v>672.8</v>
      </c>
      <c r="G638" s="8">
        <v>672.8</v>
      </c>
      <c r="H638" s="9">
        <f>(G638-F638)</f>
        <v>0.0</v>
      </c>
      <c r="I638" s="9" t="s">
        <v>193</v>
      </c>
      <c r="J638" s="9" t="s">
        <v>194</v>
      </c>
    </row>
    <row r="639" spans="1:12" ht="23" customHeight="1">
      <c r="A639" s="9" t="s">
        <v>172</v>
      </c>
      <c r="B639" s="6">
        <v>4</v>
      </c>
      <c r="C639" s="9" t="s">
        <v>163</v>
      </c>
      <c r="D639" s="6">
        <v>115</v>
      </c>
      <c r="E639" s="9" t="s">
        <v>167</v>
      </c>
      <c r="F639" s="6">
        <v>104936</v>
      </c>
      <c r="G639" s="7">
        <v>104936</v>
      </c>
      <c r="H639" s="9">
        <f>(G639-F639)</f>
        <v>0.0</v>
      </c>
      <c r="I639" s="9" t="s">
        <v>193</v>
      </c>
      <c r="J639" s="9" t="s">
        <v>194</v>
      </c>
    </row>
    <row r="640" spans="1:12" ht="23" customHeight="1">
      <c r="A640" s="9" t="s">
        <v>172</v>
      </c>
      <c r="B640" s="6">
        <v>4</v>
      </c>
      <c r="C640" s="9" t="s">
        <v>163</v>
      </c>
      <c r="D640" s="6">
        <v>115</v>
      </c>
      <c r="E640" s="9" t="s">
        <v>178</v>
      </c>
      <c r="F640" s="11">
        <v>672.8</v>
      </c>
      <c r="G640" s="8">
        <v>672.8</v>
      </c>
      <c r="H640" s="9">
        <f>(G640-F640)</f>
        <v>0.0</v>
      </c>
      <c r="I640" s="9" t="s">
        <v>193</v>
      </c>
      <c r="J640" s="9" t="s">
        <v>194</v>
      </c>
    </row>
    <row r="641" spans="1:12" ht="23" customHeight="1">
      <c r="A641" s="9" t="s">
        <v>172</v>
      </c>
      <c r="B641" s="6">
        <v>4</v>
      </c>
      <c r="C641" s="9" t="s">
        <v>163</v>
      </c>
      <c r="D641" s="6">
        <v>115</v>
      </c>
      <c r="E641" s="9" t="s">
        <v>179</v>
      </c>
      <c r="F641" s="11">
        <v>672.8</v>
      </c>
      <c r="G641" s="8">
        <v>672.8</v>
      </c>
      <c r="H641" s="9">
        <f>(G641-F641)</f>
        <v>0.0</v>
      </c>
      <c r="I641" s="9" t="s">
        <v>193</v>
      </c>
      <c r="J641" s="9" t="s">
        <v>194</v>
      </c>
    </row>
    <row r="642" spans="1:12" ht="23" customHeight="1">
      <c r="A642" s="9" t="s">
        <v>172</v>
      </c>
      <c r="B642" s="6">
        <v>4</v>
      </c>
      <c r="C642" s="9" t="s">
        <v>163</v>
      </c>
      <c r="D642" s="6">
        <v>115</v>
      </c>
      <c r="E642" s="9" t="s">
        <v>168</v>
      </c>
      <c r="F642" s="6">
        <v>104936</v>
      </c>
      <c r="G642" s="7">
        <v>104936</v>
      </c>
      <c r="H642" s="9">
        <f>(G642-F642)</f>
        <v>0.0</v>
      </c>
      <c r="I642" s="9" t="s">
        <v>193</v>
      </c>
      <c r="J642" s="9" t="s">
        <v>194</v>
      </c>
    </row>
    <row r="643" spans="1:12" ht="23" customHeight="1">
      <c r="A643" s="9" t="s">
        <v>172</v>
      </c>
      <c r="B643" s="6">
        <v>4</v>
      </c>
      <c r="C643" s="9" t="s">
        <v>163</v>
      </c>
      <c r="D643" s="6">
        <v>115</v>
      </c>
      <c r="E643" s="9" t="s">
        <v>169</v>
      </c>
      <c r="F643" s="6">
        <v>104936</v>
      </c>
      <c r="G643" s="7">
        <v>104936</v>
      </c>
      <c r="H643" s="9">
        <f>(G643-F643)</f>
        <v>0.0</v>
      </c>
      <c r="I643" s="9" t="s">
        <v>193</v>
      </c>
      <c r="J643" s="9" t="s">
        <v>194</v>
      </c>
    </row>
    <row r="644" spans="1:12" ht="23" customHeight="1">
      <c r="A644" s="9" t="s">
        <v>172</v>
      </c>
      <c r="B644" s="6">
        <v>4</v>
      </c>
      <c r="C644" s="9" t="s">
        <v>163</v>
      </c>
      <c r="D644" s="6">
        <v>115</v>
      </c>
      <c r="E644" s="9" t="s">
        <v>170</v>
      </c>
      <c r="F644" s="6">
        <v>104936</v>
      </c>
      <c r="G644" s="7">
        <v>104936</v>
      </c>
      <c r="H644" s="9">
        <f>(G644-F644)</f>
        <v>0.0</v>
      </c>
      <c r="I644" s="9" t="s">
        <v>193</v>
      </c>
      <c r="J644" s="9" t="s">
        <v>194</v>
      </c>
    </row>
    <row r="645" spans="1:12" ht="23" customHeight="1">
      <c r="A645" s="9" t="s">
        <v>172</v>
      </c>
      <c r="B645" s="6">
        <v>4</v>
      </c>
      <c r="C645" s="9" t="s">
        <v>163</v>
      </c>
      <c r="D645" s="6">
        <v>115</v>
      </c>
      <c r="E645" s="9" t="s">
        <v>171</v>
      </c>
      <c r="F645" s="6">
        <v>104936</v>
      </c>
      <c r="G645" s="7">
        <v>104936</v>
      </c>
      <c r="H645" s="9">
        <f>(G645-F645)</f>
        <v>0.0</v>
      </c>
      <c r="I645" s="9" t="s">
        <v>193</v>
      </c>
      <c r="J645" s="9" t="s">
        <v>194</v>
      </c>
    </row>
    <row r="646" spans="1:12" ht="23" customHeight="1">
      <c r="A646" s="9" t="s">
        <v>172</v>
      </c>
      <c r="B646" s="6">
        <v>4</v>
      </c>
      <c r="C646" s="9" t="s">
        <v>163</v>
      </c>
      <c r="D646" s="6">
        <v>116</v>
      </c>
      <c r="E646" s="9" t="s">
        <v>166</v>
      </c>
      <c r="F646" s="6">
        <v>104936</v>
      </c>
      <c r="G646" s="7">
        <v>104936</v>
      </c>
      <c r="H646" s="9">
        <f>(G646-F646)</f>
        <v>0.0</v>
      </c>
      <c r="I646" s="9" t="s">
        <v>193</v>
      </c>
      <c r="J646" s="9" t="s">
        <v>194</v>
      </c>
    </row>
    <row r="647" spans="1:12" ht="23" customHeight="1">
      <c r="A647" s="9" t="s">
        <v>172</v>
      </c>
      <c r="B647" s="6">
        <v>4</v>
      </c>
      <c r="C647" s="9" t="s">
        <v>163</v>
      </c>
      <c r="D647" s="6">
        <v>116</v>
      </c>
      <c r="E647" s="9" t="s">
        <v>176</v>
      </c>
      <c r="F647" s="11">
        <v>672.8</v>
      </c>
      <c r="G647" s="8">
        <v>672.8</v>
      </c>
      <c r="H647" s="9">
        <f>(G647-F647)</f>
        <v>0.0</v>
      </c>
      <c r="I647" s="9" t="s">
        <v>193</v>
      </c>
      <c r="J647" s="9" t="s">
        <v>194</v>
      </c>
    </row>
    <row r="648" spans="1:12" ht="23" customHeight="1">
      <c r="A648" s="9" t="s">
        <v>172</v>
      </c>
      <c r="B648" s="6">
        <v>4</v>
      </c>
      <c r="C648" s="9" t="s">
        <v>163</v>
      </c>
      <c r="D648" s="6">
        <v>116</v>
      </c>
      <c r="E648" s="9" t="s">
        <v>177</v>
      </c>
      <c r="F648" s="11">
        <v>672.8</v>
      </c>
      <c r="G648" s="8">
        <v>672.8</v>
      </c>
      <c r="H648" s="9">
        <f>(G648-F648)</f>
        <v>0.0</v>
      </c>
      <c r="I648" s="9" t="s">
        <v>193</v>
      </c>
      <c r="J648" s="9" t="s">
        <v>194</v>
      </c>
    </row>
    <row r="649" spans="1:12" ht="24" customHeight="1">
      <c r="A649" s="3" t="s">
        <v>181</v>
      </c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spans="1:12" ht="36" customHeight="1">
      <c r="A650" s="4" t="s">
        <v>182</v>
      </c>
      <c r="B650" s="4" t="s">
        <v>8</v>
      </c>
      <c r="C650" s="4" t="s">
        <v>183</v>
      </c>
      <c r="D650" s="4" t="s">
        <v>184</v>
      </c>
      <c r="E650" s="4" t="s">
        <v>185</v>
      </c>
      <c r="F650" s="4" t="s">
        <v>186</v>
      </c>
      <c r="G650" s="4" t="s">
        <v>187</v>
      </c>
      <c r="H650" s="4" t="s">
        <v>188</v>
      </c>
      <c r="I650" s="4" t="s">
        <v>189</v>
      </c>
      <c r="J650" s="4" t="s">
        <v>190</v>
      </c>
    </row>
    <row r="651" spans="1:12" ht="23" customHeight="1">
      <c r="A651" s="9" t="s">
        <v>172</v>
      </c>
      <c r="B651" s="6">
        <v>4</v>
      </c>
      <c r="C651" s="9" t="s">
        <v>163</v>
      </c>
      <c r="D651" s="6">
        <v>116</v>
      </c>
      <c r="E651" s="9" t="s">
        <v>167</v>
      </c>
      <c r="F651" s="6">
        <v>104936</v>
      </c>
      <c r="G651" s="7">
        <v>104936</v>
      </c>
      <c r="H651" s="9">
        <f>(G651-F651)</f>
        <v>0.0</v>
      </c>
      <c r="I651" s="9" t="s">
        <v>193</v>
      </c>
      <c r="J651" s="9" t="s">
        <v>194</v>
      </c>
    </row>
    <row r="652" spans="1:12" ht="23" customHeight="1">
      <c r="A652" s="9" t="s">
        <v>172</v>
      </c>
      <c r="B652" s="6">
        <v>4</v>
      </c>
      <c r="C652" s="9" t="s">
        <v>163</v>
      </c>
      <c r="D652" s="6">
        <v>116</v>
      </c>
      <c r="E652" s="9" t="s">
        <v>178</v>
      </c>
      <c r="F652" s="11">
        <v>672.8</v>
      </c>
      <c r="G652" s="8">
        <v>672.8</v>
      </c>
      <c r="H652" s="9">
        <f>(G652-F652)</f>
        <v>0.0</v>
      </c>
      <c r="I652" s="9" t="s">
        <v>193</v>
      </c>
      <c r="J652" s="9" t="s">
        <v>194</v>
      </c>
    </row>
    <row r="653" spans="1:12" ht="23" customHeight="1">
      <c r="A653" s="9" t="s">
        <v>172</v>
      </c>
      <c r="B653" s="6">
        <v>4</v>
      </c>
      <c r="C653" s="9" t="s">
        <v>163</v>
      </c>
      <c r="D653" s="6">
        <v>116</v>
      </c>
      <c r="E653" s="9" t="s">
        <v>179</v>
      </c>
      <c r="F653" s="11">
        <v>672.8</v>
      </c>
      <c r="G653" s="8">
        <v>672.8</v>
      </c>
      <c r="H653" s="9">
        <f>(G653-F653)</f>
        <v>0.0</v>
      </c>
      <c r="I653" s="9" t="s">
        <v>193</v>
      </c>
      <c r="J653" s="9" t="s">
        <v>194</v>
      </c>
    </row>
    <row r="654" spans="1:12" ht="23" customHeight="1">
      <c r="A654" s="9" t="s">
        <v>172</v>
      </c>
      <c r="B654" s="6">
        <v>4</v>
      </c>
      <c r="C654" s="9" t="s">
        <v>163</v>
      </c>
      <c r="D654" s="6">
        <v>116</v>
      </c>
      <c r="E654" s="9" t="s">
        <v>168</v>
      </c>
      <c r="F654" s="6">
        <v>104936</v>
      </c>
      <c r="G654" s="7">
        <v>104936</v>
      </c>
      <c r="H654" s="9">
        <f>(G654-F654)</f>
        <v>0.0</v>
      </c>
      <c r="I654" s="9" t="s">
        <v>193</v>
      </c>
      <c r="J654" s="9" t="s">
        <v>194</v>
      </c>
    </row>
    <row r="655" spans="1:12" ht="23" customHeight="1">
      <c r="A655" s="9" t="s">
        <v>172</v>
      </c>
      <c r="B655" s="6">
        <v>4</v>
      </c>
      <c r="C655" s="9" t="s">
        <v>163</v>
      </c>
      <c r="D655" s="6">
        <v>116</v>
      </c>
      <c r="E655" s="9" t="s">
        <v>169</v>
      </c>
      <c r="F655" s="6">
        <v>104936</v>
      </c>
      <c r="G655" s="7">
        <v>104936</v>
      </c>
      <c r="H655" s="9">
        <f>(G655-F655)</f>
        <v>0.0</v>
      </c>
      <c r="I655" s="9" t="s">
        <v>193</v>
      </c>
      <c r="J655" s="9" t="s">
        <v>194</v>
      </c>
    </row>
    <row r="656" spans="1:12" ht="23" customHeight="1">
      <c r="A656" s="9" t="s">
        <v>172</v>
      </c>
      <c r="B656" s="6">
        <v>4</v>
      </c>
      <c r="C656" s="9" t="s">
        <v>163</v>
      </c>
      <c r="D656" s="6">
        <v>116</v>
      </c>
      <c r="E656" s="9" t="s">
        <v>170</v>
      </c>
      <c r="F656" s="6">
        <v>104936</v>
      </c>
      <c r="G656" s="7">
        <v>104936</v>
      </c>
      <c r="H656" s="9">
        <f>(G656-F656)</f>
        <v>0.0</v>
      </c>
      <c r="I656" s="9" t="s">
        <v>193</v>
      </c>
      <c r="J656" s="9" t="s">
        <v>194</v>
      </c>
    </row>
    <row r="657" spans="1:12" ht="23" customHeight="1">
      <c r="A657" s="9" t="s">
        <v>172</v>
      </c>
      <c r="B657" s="6">
        <v>4</v>
      </c>
      <c r="C657" s="9" t="s">
        <v>163</v>
      </c>
      <c r="D657" s="6">
        <v>116</v>
      </c>
      <c r="E657" s="9" t="s">
        <v>171</v>
      </c>
      <c r="F657" s="6">
        <v>104936</v>
      </c>
      <c r="G657" s="7">
        <v>104936</v>
      </c>
      <c r="H657" s="9">
        <f>(G657-F657)</f>
        <v>0.0</v>
      </c>
      <c r="I657" s="9" t="s">
        <v>193</v>
      </c>
      <c r="J657" s="9" t="s">
        <v>194</v>
      </c>
    </row>
    <row r="658" spans="1:12" ht="23" customHeight="1">
      <c r="A658" s="9" t="s">
        <v>172</v>
      </c>
      <c r="B658" s="6">
        <v>4</v>
      </c>
      <c r="C658" s="9" t="s">
        <v>163</v>
      </c>
      <c r="D658" s="6">
        <v>117</v>
      </c>
      <c r="E658" s="9" t="s">
        <v>166</v>
      </c>
      <c r="F658" s="6">
        <v>104936</v>
      </c>
      <c r="G658" s="7">
        <v>104936</v>
      </c>
      <c r="H658" s="9">
        <f>(G658-F658)</f>
        <v>0.0</v>
      </c>
      <c r="I658" s="9" t="s">
        <v>193</v>
      </c>
      <c r="J658" s="9" t="s">
        <v>194</v>
      </c>
    </row>
    <row r="659" spans="1:12" ht="23" customHeight="1">
      <c r="A659" s="9" t="s">
        <v>172</v>
      </c>
      <c r="B659" s="6">
        <v>4</v>
      </c>
      <c r="C659" s="9" t="s">
        <v>163</v>
      </c>
      <c r="D659" s="6">
        <v>117</v>
      </c>
      <c r="E659" s="9" t="s">
        <v>176</v>
      </c>
      <c r="F659" s="11">
        <v>672.8</v>
      </c>
      <c r="G659" s="8">
        <v>672.8</v>
      </c>
      <c r="H659" s="9">
        <f>(G659-F659)</f>
        <v>0.0</v>
      </c>
      <c r="I659" s="9" t="s">
        <v>193</v>
      </c>
      <c r="J659" s="9" t="s">
        <v>194</v>
      </c>
    </row>
    <row r="660" spans="1:12" ht="23" customHeight="1">
      <c r="A660" s="9" t="s">
        <v>172</v>
      </c>
      <c r="B660" s="6">
        <v>4</v>
      </c>
      <c r="C660" s="9" t="s">
        <v>163</v>
      </c>
      <c r="D660" s="6">
        <v>117</v>
      </c>
      <c r="E660" s="9" t="s">
        <v>177</v>
      </c>
      <c r="F660" s="11">
        <v>672.8</v>
      </c>
      <c r="G660" s="8">
        <v>672.8</v>
      </c>
      <c r="H660" s="9">
        <f>(G660-F660)</f>
        <v>0.0</v>
      </c>
      <c r="I660" s="9" t="s">
        <v>193</v>
      </c>
      <c r="J660" s="9" t="s">
        <v>194</v>
      </c>
    </row>
    <row r="661" spans="1:12" ht="23" customHeight="1">
      <c r="A661" s="9" t="s">
        <v>172</v>
      </c>
      <c r="B661" s="6">
        <v>4</v>
      </c>
      <c r="C661" s="9" t="s">
        <v>163</v>
      </c>
      <c r="D661" s="6">
        <v>117</v>
      </c>
      <c r="E661" s="9" t="s">
        <v>167</v>
      </c>
      <c r="F661" s="6">
        <v>104936</v>
      </c>
      <c r="G661" s="7">
        <v>104936</v>
      </c>
      <c r="H661" s="9">
        <f>(G661-F661)</f>
        <v>0.0</v>
      </c>
      <c r="I661" s="9" t="s">
        <v>193</v>
      </c>
      <c r="J661" s="9" t="s">
        <v>194</v>
      </c>
    </row>
    <row r="662" spans="1:12" ht="23" customHeight="1">
      <c r="A662" s="9" t="s">
        <v>172</v>
      </c>
      <c r="B662" s="6">
        <v>4</v>
      </c>
      <c r="C662" s="9" t="s">
        <v>163</v>
      </c>
      <c r="D662" s="6">
        <v>117</v>
      </c>
      <c r="E662" s="9" t="s">
        <v>178</v>
      </c>
      <c r="F662" s="11">
        <v>672.8</v>
      </c>
      <c r="G662" s="8">
        <v>672.8</v>
      </c>
      <c r="H662" s="9">
        <f>(G662-F662)</f>
        <v>0.0</v>
      </c>
      <c r="I662" s="9" t="s">
        <v>193</v>
      </c>
      <c r="J662" s="9" t="s">
        <v>194</v>
      </c>
    </row>
    <row r="663" spans="1:12" ht="23" customHeight="1">
      <c r="A663" s="9" t="s">
        <v>172</v>
      </c>
      <c r="B663" s="6">
        <v>4</v>
      </c>
      <c r="C663" s="9" t="s">
        <v>163</v>
      </c>
      <c r="D663" s="6">
        <v>117</v>
      </c>
      <c r="E663" s="9" t="s">
        <v>179</v>
      </c>
      <c r="F663" s="11">
        <v>672.8</v>
      </c>
      <c r="G663" s="8">
        <v>672.8</v>
      </c>
      <c r="H663" s="9">
        <f>(G663-F663)</f>
        <v>0.0</v>
      </c>
      <c r="I663" s="9" t="s">
        <v>193</v>
      </c>
      <c r="J663" s="9" t="s">
        <v>194</v>
      </c>
    </row>
    <row r="664" spans="1:12" ht="23" customHeight="1">
      <c r="A664" s="9" t="s">
        <v>172</v>
      </c>
      <c r="B664" s="6">
        <v>4</v>
      </c>
      <c r="C664" s="9" t="s">
        <v>163</v>
      </c>
      <c r="D664" s="6">
        <v>117</v>
      </c>
      <c r="E664" s="9" t="s">
        <v>168</v>
      </c>
      <c r="F664" s="6">
        <v>104936</v>
      </c>
      <c r="G664" s="7">
        <v>104936</v>
      </c>
      <c r="H664" s="9">
        <f>(G664-F664)</f>
        <v>0.0</v>
      </c>
      <c r="I664" s="9" t="s">
        <v>193</v>
      </c>
      <c r="J664" s="9" t="s">
        <v>194</v>
      </c>
    </row>
    <row r="665" spans="1:12" ht="23" customHeight="1">
      <c r="A665" s="9" t="s">
        <v>172</v>
      </c>
      <c r="B665" s="6">
        <v>4</v>
      </c>
      <c r="C665" s="9" t="s">
        <v>163</v>
      </c>
      <c r="D665" s="6">
        <v>117</v>
      </c>
      <c r="E665" s="9" t="s">
        <v>169</v>
      </c>
      <c r="F665" s="6">
        <v>104936</v>
      </c>
      <c r="G665" s="7">
        <v>104936</v>
      </c>
      <c r="H665" s="9">
        <f>(G665-F665)</f>
        <v>0.0</v>
      </c>
      <c r="I665" s="9" t="s">
        <v>193</v>
      </c>
      <c r="J665" s="9" t="s">
        <v>194</v>
      </c>
    </row>
    <row r="666" spans="1:12" ht="24" customHeight="1">
      <c r="A666" s="3" t="s">
        <v>181</v>
      </c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spans="1:12" ht="36" customHeight="1">
      <c r="A667" s="4" t="s">
        <v>182</v>
      </c>
      <c r="B667" s="4" t="s">
        <v>8</v>
      </c>
      <c r="C667" s="4" t="s">
        <v>183</v>
      </c>
      <c r="D667" s="4" t="s">
        <v>184</v>
      </c>
      <c r="E667" s="4" t="s">
        <v>185</v>
      </c>
      <c r="F667" s="4" t="s">
        <v>186</v>
      </c>
      <c r="G667" s="4" t="s">
        <v>187</v>
      </c>
      <c r="H667" s="4" t="s">
        <v>188</v>
      </c>
      <c r="I667" s="4" t="s">
        <v>189</v>
      </c>
      <c r="J667" s="4" t="s">
        <v>190</v>
      </c>
    </row>
    <row r="668" spans="1:12" ht="23" customHeight="1">
      <c r="A668" s="9" t="s">
        <v>172</v>
      </c>
      <c r="B668" s="6">
        <v>4</v>
      </c>
      <c r="C668" s="9" t="s">
        <v>163</v>
      </c>
      <c r="D668" s="6">
        <v>117</v>
      </c>
      <c r="E668" s="9" t="s">
        <v>170</v>
      </c>
      <c r="F668" s="6">
        <v>104936</v>
      </c>
      <c r="G668" s="7">
        <v>104936</v>
      </c>
      <c r="H668" s="9">
        <f>(G668-F668)</f>
        <v>0.0</v>
      </c>
      <c r="I668" s="9" t="s">
        <v>193</v>
      </c>
      <c r="J668" s="9" t="s">
        <v>194</v>
      </c>
    </row>
    <row r="669" spans="1:12" ht="23" customHeight="1">
      <c r="A669" s="9" t="s">
        <v>172</v>
      </c>
      <c r="B669" s="6">
        <v>4</v>
      </c>
      <c r="C669" s="9" t="s">
        <v>163</v>
      </c>
      <c r="D669" s="6">
        <v>117</v>
      </c>
      <c r="E669" s="9" t="s">
        <v>171</v>
      </c>
      <c r="F669" s="6">
        <v>104936</v>
      </c>
      <c r="G669" s="7">
        <v>104936</v>
      </c>
      <c r="H669" s="9">
        <f>(G669-F669)</f>
        <v>0.0</v>
      </c>
      <c r="I669" s="9" t="s">
        <v>193</v>
      </c>
      <c r="J669" s="9" t="s">
        <v>194</v>
      </c>
    </row>
    <row r="670" spans="1:12" ht="23" customHeight="1">
      <c r="A670" s="9" t="s">
        <v>172</v>
      </c>
      <c r="B670" s="6">
        <v>4</v>
      </c>
      <c r="C670" s="9" t="s">
        <v>163</v>
      </c>
      <c r="D670" s="6">
        <v>118</v>
      </c>
      <c r="E670" s="9" t="s">
        <v>166</v>
      </c>
      <c r="F670" s="6">
        <v>104936</v>
      </c>
      <c r="G670" s="7">
        <v>104936</v>
      </c>
      <c r="H670" s="9">
        <f>(G670-F670)</f>
        <v>0.0</v>
      </c>
      <c r="I670" s="9" t="s">
        <v>193</v>
      </c>
      <c r="J670" s="9" t="s">
        <v>194</v>
      </c>
    </row>
    <row r="671" spans="1:12" ht="23" customHeight="1">
      <c r="A671" s="9" t="s">
        <v>172</v>
      </c>
      <c r="B671" s="6">
        <v>4</v>
      </c>
      <c r="C671" s="9" t="s">
        <v>163</v>
      </c>
      <c r="D671" s="6">
        <v>118</v>
      </c>
      <c r="E671" s="9" t="s">
        <v>176</v>
      </c>
      <c r="F671" s="11">
        <v>672.8</v>
      </c>
      <c r="G671" s="8">
        <v>672.8</v>
      </c>
      <c r="H671" s="9">
        <f>(G671-F671)</f>
        <v>0.0</v>
      </c>
      <c r="I671" s="9" t="s">
        <v>193</v>
      </c>
      <c r="J671" s="9" t="s">
        <v>194</v>
      </c>
    </row>
    <row r="672" spans="1:12" ht="23" customHeight="1">
      <c r="A672" s="9" t="s">
        <v>172</v>
      </c>
      <c r="B672" s="6">
        <v>4</v>
      </c>
      <c r="C672" s="9" t="s">
        <v>163</v>
      </c>
      <c r="D672" s="6">
        <v>118</v>
      </c>
      <c r="E672" s="9" t="s">
        <v>177</v>
      </c>
      <c r="F672" s="11">
        <v>672.8</v>
      </c>
      <c r="G672" s="8">
        <v>672.8</v>
      </c>
      <c r="H672" s="9">
        <f>(G672-F672)</f>
        <v>0.0</v>
      </c>
      <c r="I672" s="9" t="s">
        <v>193</v>
      </c>
      <c r="J672" s="9" t="s">
        <v>194</v>
      </c>
    </row>
    <row r="673" spans="1:12" ht="23" customHeight="1">
      <c r="A673" s="9" t="s">
        <v>172</v>
      </c>
      <c r="B673" s="6">
        <v>4</v>
      </c>
      <c r="C673" s="9" t="s">
        <v>163</v>
      </c>
      <c r="D673" s="6">
        <v>118</v>
      </c>
      <c r="E673" s="9" t="s">
        <v>167</v>
      </c>
      <c r="F673" s="6">
        <v>104936</v>
      </c>
      <c r="G673" s="7">
        <v>104936</v>
      </c>
      <c r="H673" s="9">
        <f>(G673-F673)</f>
        <v>0.0</v>
      </c>
      <c r="I673" s="9" t="s">
        <v>193</v>
      </c>
      <c r="J673" s="9" t="s">
        <v>194</v>
      </c>
    </row>
    <row r="674" spans="1:12" ht="23" customHeight="1">
      <c r="A674" s="9" t="s">
        <v>172</v>
      </c>
      <c r="B674" s="6">
        <v>4</v>
      </c>
      <c r="C674" s="9" t="s">
        <v>163</v>
      </c>
      <c r="D674" s="6">
        <v>118</v>
      </c>
      <c r="E674" s="9" t="s">
        <v>178</v>
      </c>
      <c r="F674" s="11">
        <v>672.8</v>
      </c>
      <c r="G674" s="8">
        <v>672.8</v>
      </c>
      <c r="H674" s="9">
        <f>(G674-F674)</f>
        <v>0.0</v>
      </c>
      <c r="I674" s="9" t="s">
        <v>193</v>
      </c>
      <c r="J674" s="9" t="s">
        <v>194</v>
      </c>
    </row>
    <row r="675" spans="1:12" ht="23" customHeight="1">
      <c r="A675" s="9" t="s">
        <v>172</v>
      </c>
      <c r="B675" s="6">
        <v>4</v>
      </c>
      <c r="C675" s="9" t="s">
        <v>163</v>
      </c>
      <c r="D675" s="6">
        <v>118</v>
      </c>
      <c r="E675" s="9" t="s">
        <v>179</v>
      </c>
      <c r="F675" s="11">
        <v>672.8</v>
      </c>
      <c r="G675" s="8">
        <v>672.8</v>
      </c>
      <c r="H675" s="9">
        <f>(G675-F675)</f>
        <v>0.0</v>
      </c>
      <c r="I675" s="9" t="s">
        <v>193</v>
      </c>
      <c r="J675" s="9" t="s">
        <v>194</v>
      </c>
    </row>
    <row r="676" spans="1:12" ht="23" customHeight="1">
      <c r="A676" s="9" t="s">
        <v>172</v>
      </c>
      <c r="B676" s="6">
        <v>4</v>
      </c>
      <c r="C676" s="9" t="s">
        <v>163</v>
      </c>
      <c r="D676" s="6">
        <v>118</v>
      </c>
      <c r="E676" s="9" t="s">
        <v>168</v>
      </c>
      <c r="F676" s="6">
        <v>104936</v>
      </c>
      <c r="G676" s="7">
        <v>104936</v>
      </c>
      <c r="H676" s="9">
        <f>(G676-F676)</f>
        <v>0.0</v>
      </c>
      <c r="I676" s="9" t="s">
        <v>193</v>
      </c>
      <c r="J676" s="9" t="s">
        <v>194</v>
      </c>
    </row>
    <row r="677" spans="1:12" ht="23" customHeight="1">
      <c r="A677" s="9" t="s">
        <v>172</v>
      </c>
      <c r="B677" s="6">
        <v>4</v>
      </c>
      <c r="C677" s="9" t="s">
        <v>163</v>
      </c>
      <c r="D677" s="6">
        <v>118</v>
      </c>
      <c r="E677" s="9" t="s">
        <v>169</v>
      </c>
      <c r="F677" s="6">
        <v>104936</v>
      </c>
      <c r="G677" s="7">
        <v>104936</v>
      </c>
      <c r="H677" s="9">
        <f>(G677-F677)</f>
        <v>0.0</v>
      </c>
      <c r="I677" s="9" t="s">
        <v>193</v>
      </c>
      <c r="J677" s="9" t="s">
        <v>194</v>
      </c>
    </row>
    <row r="678" spans="1:12" ht="23" customHeight="1">
      <c r="A678" s="9" t="s">
        <v>172</v>
      </c>
      <c r="B678" s="6">
        <v>4</v>
      </c>
      <c r="C678" s="9" t="s">
        <v>163</v>
      </c>
      <c r="D678" s="6">
        <v>118</v>
      </c>
      <c r="E678" s="9" t="s">
        <v>170</v>
      </c>
      <c r="F678" s="6">
        <v>104936</v>
      </c>
      <c r="G678" s="7">
        <v>104936</v>
      </c>
      <c r="H678" s="9">
        <f>(G678-F678)</f>
        <v>0.0</v>
      </c>
      <c r="I678" s="9" t="s">
        <v>193</v>
      </c>
      <c r="J678" s="9" t="s">
        <v>194</v>
      </c>
    </row>
    <row r="679" spans="1:12" ht="23" customHeight="1">
      <c r="A679" s="9" t="s">
        <v>172</v>
      </c>
      <c r="B679" s="6">
        <v>4</v>
      </c>
      <c r="C679" s="9" t="s">
        <v>163</v>
      </c>
      <c r="D679" s="6">
        <v>118</v>
      </c>
      <c r="E679" s="9" t="s">
        <v>171</v>
      </c>
      <c r="F679" s="6">
        <v>104936</v>
      </c>
      <c r="G679" s="7">
        <v>104936</v>
      </c>
      <c r="H679" s="9">
        <f>(G679-F679)</f>
        <v>0.0</v>
      </c>
      <c r="I679" s="9" t="s">
        <v>193</v>
      </c>
      <c r="J679" s="9" t="s">
        <v>194</v>
      </c>
    </row>
    <row r="680" spans="1:12" ht="23" customHeight="1">
      <c r="A680" s="9" t="s">
        <v>172</v>
      </c>
      <c r="B680" s="6">
        <v>4</v>
      </c>
      <c r="C680" s="9" t="s">
        <v>163</v>
      </c>
      <c r="D680" s="6">
        <v>119</v>
      </c>
      <c r="E680" s="9" t="s">
        <v>166</v>
      </c>
      <c r="F680" s="6">
        <v>104936</v>
      </c>
      <c r="G680" s="7">
        <v>104936</v>
      </c>
      <c r="H680" s="9">
        <f>(G680-F680)</f>
        <v>0.0</v>
      </c>
      <c r="I680" s="9" t="s">
        <v>193</v>
      </c>
      <c r="J680" s="9" t="s">
        <v>194</v>
      </c>
    </row>
    <row r="681" spans="1:12" ht="23" customHeight="1">
      <c r="A681" s="9" t="s">
        <v>172</v>
      </c>
      <c r="B681" s="6">
        <v>4</v>
      </c>
      <c r="C681" s="9" t="s">
        <v>163</v>
      </c>
      <c r="D681" s="6">
        <v>119</v>
      </c>
      <c r="E681" s="9" t="s">
        <v>176</v>
      </c>
      <c r="F681" s="11">
        <v>672.8</v>
      </c>
      <c r="G681" s="8">
        <v>672.8</v>
      </c>
      <c r="H681" s="9">
        <f>(G681-F681)</f>
        <v>0.0</v>
      </c>
      <c r="I681" s="9" t="s">
        <v>193</v>
      </c>
      <c r="J681" s="9" t="s">
        <v>194</v>
      </c>
    </row>
    <row r="682" spans="1:12" ht="23" customHeight="1">
      <c r="A682" s="9" t="s">
        <v>172</v>
      </c>
      <c r="B682" s="6">
        <v>4</v>
      </c>
      <c r="C682" s="9" t="s">
        <v>163</v>
      </c>
      <c r="D682" s="6">
        <v>119</v>
      </c>
      <c r="E682" s="9" t="s">
        <v>177</v>
      </c>
      <c r="F682" s="11">
        <v>672.8</v>
      </c>
      <c r="G682" s="8">
        <v>672.8</v>
      </c>
      <c r="H682" s="9">
        <f>(G682-F682)</f>
        <v>0.0</v>
      </c>
      <c r="I682" s="9" t="s">
        <v>193</v>
      </c>
      <c r="J682" s="9" t="s">
        <v>194</v>
      </c>
    </row>
    <row r="683" spans="1:12" ht="24" customHeight="1">
      <c r="A683" s="3" t="s">
        <v>181</v>
      </c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spans="1:12" ht="36" customHeight="1">
      <c r="A684" s="4" t="s">
        <v>182</v>
      </c>
      <c r="B684" s="4" t="s">
        <v>8</v>
      </c>
      <c r="C684" s="4" t="s">
        <v>183</v>
      </c>
      <c r="D684" s="4" t="s">
        <v>184</v>
      </c>
      <c r="E684" s="4" t="s">
        <v>185</v>
      </c>
      <c r="F684" s="4" t="s">
        <v>186</v>
      </c>
      <c r="G684" s="4" t="s">
        <v>187</v>
      </c>
      <c r="H684" s="4" t="s">
        <v>188</v>
      </c>
      <c r="I684" s="4" t="s">
        <v>189</v>
      </c>
      <c r="J684" s="4" t="s">
        <v>190</v>
      </c>
    </row>
    <row r="685" spans="1:12" ht="23" customHeight="1">
      <c r="A685" s="9" t="s">
        <v>172</v>
      </c>
      <c r="B685" s="6">
        <v>4</v>
      </c>
      <c r="C685" s="9" t="s">
        <v>163</v>
      </c>
      <c r="D685" s="6">
        <v>119</v>
      </c>
      <c r="E685" s="9" t="s">
        <v>167</v>
      </c>
      <c r="F685" s="6">
        <v>104936</v>
      </c>
      <c r="G685" s="7">
        <v>104936</v>
      </c>
      <c r="H685" s="9">
        <f>(G685-F685)</f>
        <v>0.0</v>
      </c>
      <c r="I685" s="9" t="s">
        <v>193</v>
      </c>
      <c r="J685" s="9" t="s">
        <v>194</v>
      </c>
    </row>
    <row r="686" spans="1:12" ht="23" customHeight="1">
      <c r="A686" s="9" t="s">
        <v>172</v>
      </c>
      <c r="B686" s="6">
        <v>4</v>
      </c>
      <c r="C686" s="9" t="s">
        <v>163</v>
      </c>
      <c r="D686" s="6">
        <v>119</v>
      </c>
      <c r="E686" s="9" t="s">
        <v>178</v>
      </c>
      <c r="F686" s="11">
        <v>672.8</v>
      </c>
      <c r="G686" s="8">
        <v>672.8</v>
      </c>
      <c r="H686" s="9">
        <f>(G686-F686)</f>
        <v>0.0</v>
      </c>
      <c r="I686" s="9" t="s">
        <v>193</v>
      </c>
      <c r="J686" s="9" t="s">
        <v>194</v>
      </c>
    </row>
    <row r="687" spans="1:12" ht="23" customHeight="1">
      <c r="A687" s="9" t="s">
        <v>172</v>
      </c>
      <c r="B687" s="6">
        <v>4</v>
      </c>
      <c r="C687" s="9" t="s">
        <v>163</v>
      </c>
      <c r="D687" s="6">
        <v>119</v>
      </c>
      <c r="E687" s="9" t="s">
        <v>179</v>
      </c>
      <c r="F687" s="11">
        <v>672.8</v>
      </c>
      <c r="G687" s="8">
        <v>672.8</v>
      </c>
      <c r="H687" s="9">
        <f>(G687-F687)</f>
        <v>0.0</v>
      </c>
      <c r="I687" s="9" t="s">
        <v>193</v>
      </c>
      <c r="J687" s="9" t="s">
        <v>194</v>
      </c>
    </row>
    <row r="688" spans="1:12" ht="23" customHeight="1">
      <c r="A688" s="9" t="s">
        <v>172</v>
      </c>
      <c r="B688" s="6">
        <v>4</v>
      </c>
      <c r="C688" s="9" t="s">
        <v>163</v>
      </c>
      <c r="D688" s="6">
        <v>119</v>
      </c>
      <c r="E688" s="9" t="s">
        <v>168</v>
      </c>
      <c r="F688" s="6">
        <v>104936</v>
      </c>
      <c r="G688" s="7">
        <v>104936</v>
      </c>
      <c r="H688" s="9">
        <f>(G688-F688)</f>
        <v>0.0</v>
      </c>
      <c r="I688" s="9" t="s">
        <v>193</v>
      </c>
      <c r="J688" s="9" t="s">
        <v>194</v>
      </c>
    </row>
    <row r="689" spans="1:12" ht="23" customHeight="1">
      <c r="A689" s="9" t="s">
        <v>172</v>
      </c>
      <c r="B689" s="6">
        <v>4</v>
      </c>
      <c r="C689" s="9" t="s">
        <v>163</v>
      </c>
      <c r="D689" s="6">
        <v>119</v>
      </c>
      <c r="E689" s="9" t="s">
        <v>169</v>
      </c>
      <c r="F689" s="6">
        <v>104936</v>
      </c>
      <c r="G689" s="7">
        <v>104936</v>
      </c>
      <c r="H689" s="9">
        <f>(G689-F689)</f>
        <v>0.0</v>
      </c>
      <c r="I689" s="9" t="s">
        <v>193</v>
      </c>
      <c r="J689" s="9" t="s">
        <v>194</v>
      </c>
    </row>
    <row r="690" spans="1:12" ht="23" customHeight="1">
      <c r="A690" s="9" t="s">
        <v>172</v>
      </c>
      <c r="B690" s="6">
        <v>4</v>
      </c>
      <c r="C690" s="9" t="s">
        <v>163</v>
      </c>
      <c r="D690" s="6">
        <v>119</v>
      </c>
      <c r="E690" s="9" t="s">
        <v>170</v>
      </c>
      <c r="F690" s="6">
        <v>104936</v>
      </c>
      <c r="G690" s="7">
        <v>104936</v>
      </c>
      <c r="H690" s="9">
        <f>(G690-F690)</f>
        <v>0.0</v>
      </c>
      <c r="I690" s="9" t="s">
        <v>193</v>
      </c>
      <c r="J690" s="9" t="s">
        <v>194</v>
      </c>
    </row>
    <row r="691" spans="1:12" ht="23" customHeight="1">
      <c r="A691" s="9" t="s">
        <v>172</v>
      </c>
      <c r="B691" s="6">
        <v>4</v>
      </c>
      <c r="C691" s="9" t="s">
        <v>163</v>
      </c>
      <c r="D691" s="6">
        <v>119</v>
      </c>
      <c r="E691" s="9" t="s">
        <v>171</v>
      </c>
      <c r="F691" s="6">
        <v>104936</v>
      </c>
      <c r="G691" s="7">
        <v>104936</v>
      </c>
      <c r="H691" s="9">
        <f>(G691-F691)</f>
        <v>0.0</v>
      </c>
      <c r="I691" s="9" t="s">
        <v>193</v>
      </c>
      <c r="J691" s="9" t="s">
        <v>194</v>
      </c>
    </row>
    <row r="692" spans="1:12" ht="23" customHeight="1">
      <c r="A692" s="9" t="s">
        <v>172</v>
      </c>
      <c r="B692" s="6">
        <v>4</v>
      </c>
      <c r="C692" s="9" t="s">
        <v>163</v>
      </c>
      <c r="D692" s="6">
        <v>120</v>
      </c>
      <c r="E692" s="9" t="s">
        <v>166</v>
      </c>
      <c r="F692" s="6">
        <v>104936</v>
      </c>
      <c r="G692" s="7">
        <v>104936</v>
      </c>
      <c r="H692" s="9">
        <f>(G692-F692)</f>
        <v>0.0</v>
      </c>
      <c r="I692" s="9" t="s">
        <v>193</v>
      </c>
      <c r="J692" s="9" t="s">
        <v>194</v>
      </c>
    </row>
    <row r="693" spans="1:12" ht="23" customHeight="1">
      <c r="A693" s="9" t="s">
        <v>172</v>
      </c>
      <c r="B693" s="6">
        <v>4</v>
      </c>
      <c r="C693" s="9" t="s">
        <v>163</v>
      </c>
      <c r="D693" s="6">
        <v>120</v>
      </c>
      <c r="E693" s="9" t="s">
        <v>176</v>
      </c>
      <c r="F693" s="11">
        <v>672.8</v>
      </c>
      <c r="G693" s="8">
        <v>672.8</v>
      </c>
      <c r="H693" s="9">
        <f>(G693-F693)</f>
        <v>0.0</v>
      </c>
      <c r="I693" s="9" t="s">
        <v>193</v>
      </c>
      <c r="J693" s="9" t="s">
        <v>194</v>
      </c>
    </row>
    <row r="694" spans="1:12" ht="23" customHeight="1">
      <c r="A694" s="9" t="s">
        <v>172</v>
      </c>
      <c r="B694" s="6">
        <v>4</v>
      </c>
      <c r="C694" s="9" t="s">
        <v>163</v>
      </c>
      <c r="D694" s="6">
        <v>120</v>
      </c>
      <c r="E694" s="9" t="s">
        <v>177</v>
      </c>
      <c r="F694" s="11">
        <v>672.8</v>
      </c>
      <c r="G694" s="8">
        <v>672.8</v>
      </c>
      <c r="H694" s="9">
        <f>(G694-F694)</f>
        <v>0.0</v>
      </c>
      <c r="I694" s="9" t="s">
        <v>193</v>
      </c>
      <c r="J694" s="9" t="s">
        <v>194</v>
      </c>
    </row>
    <row r="695" spans="1:12" ht="23" customHeight="1">
      <c r="A695" s="9" t="s">
        <v>172</v>
      </c>
      <c r="B695" s="6">
        <v>4</v>
      </c>
      <c r="C695" s="9" t="s">
        <v>163</v>
      </c>
      <c r="D695" s="6">
        <v>120</v>
      </c>
      <c r="E695" s="9" t="s">
        <v>167</v>
      </c>
      <c r="F695" s="6">
        <v>104936</v>
      </c>
      <c r="G695" s="7">
        <v>104936</v>
      </c>
      <c r="H695" s="9">
        <f>(G695-F695)</f>
        <v>0.0</v>
      </c>
      <c r="I695" s="9" t="s">
        <v>193</v>
      </c>
      <c r="J695" s="9" t="s">
        <v>194</v>
      </c>
    </row>
    <row r="696" spans="1:12" ht="23" customHeight="1">
      <c r="A696" s="9" t="s">
        <v>172</v>
      </c>
      <c r="B696" s="6">
        <v>4</v>
      </c>
      <c r="C696" s="9" t="s">
        <v>163</v>
      </c>
      <c r="D696" s="6">
        <v>120</v>
      </c>
      <c r="E696" s="9" t="s">
        <v>178</v>
      </c>
      <c r="F696" s="11">
        <v>672.8</v>
      </c>
      <c r="G696" s="8">
        <v>672.8</v>
      </c>
      <c r="H696" s="9">
        <f>(G696-F696)</f>
        <v>0.0</v>
      </c>
      <c r="I696" s="9" t="s">
        <v>193</v>
      </c>
      <c r="J696" s="9" t="s">
        <v>194</v>
      </c>
    </row>
    <row r="697" spans="1:12" ht="23" customHeight="1">
      <c r="A697" s="9" t="s">
        <v>172</v>
      </c>
      <c r="B697" s="6">
        <v>4</v>
      </c>
      <c r="C697" s="9" t="s">
        <v>163</v>
      </c>
      <c r="D697" s="6">
        <v>120</v>
      </c>
      <c r="E697" s="9" t="s">
        <v>179</v>
      </c>
      <c r="F697" s="11">
        <v>672.8</v>
      </c>
      <c r="G697" s="8">
        <v>672.8</v>
      </c>
      <c r="H697" s="9">
        <f>(G697-F697)</f>
        <v>0.0</v>
      </c>
      <c r="I697" s="9" t="s">
        <v>193</v>
      </c>
      <c r="J697" s="9" t="s">
        <v>194</v>
      </c>
    </row>
    <row r="698" spans="1:12" ht="23" customHeight="1">
      <c r="A698" s="9" t="s">
        <v>172</v>
      </c>
      <c r="B698" s="6">
        <v>4</v>
      </c>
      <c r="C698" s="9" t="s">
        <v>163</v>
      </c>
      <c r="D698" s="6">
        <v>120</v>
      </c>
      <c r="E698" s="9" t="s">
        <v>168</v>
      </c>
      <c r="F698" s="6">
        <v>104936</v>
      </c>
      <c r="G698" s="7">
        <v>104936</v>
      </c>
      <c r="H698" s="9">
        <f>(G698-F698)</f>
        <v>0.0</v>
      </c>
      <c r="I698" s="9" t="s">
        <v>193</v>
      </c>
      <c r="J698" s="9" t="s">
        <v>194</v>
      </c>
    </row>
    <row r="699" spans="1:12" ht="23" customHeight="1">
      <c r="A699" s="9" t="s">
        <v>172</v>
      </c>
      <c r="B699" s="6">
        <v>4</v>
      </c>
      <c r="C699" s="9" t="s">
        <v>163</v>
      </c>
      <c r="D699" s="6">
        <v>120</v>
      </c>
      <c r="E699" s="9" t="s">
        <v>169</v>
      </c>
      <c r="F699" s="6">
        <v>104936</v>
      </c>
      <c r="G699" s="7">
        <v>104936</v>
      </c>
      <c r="H699" s="9">
        <f>(G699-F699)</f>
        <v>0.0</v>
      </c>
      <c r="I699" s="9" t="s">
        <v>193</v>
      </c>
      <c r="J699" s="9" t="s">
        <v>194</v>
      </c>
    </row>
    <row r="700" spans="1:12" ht="24" customHeight="1">
      <c r="A700" s="3" t="s">
        <v>181</v>
      </c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spans="1:12" ht="36" customHeight="1">
      <c r="A701" s="4" t="s">
        <v>182</v>
      </c>
      <c r="B701" s="4" t="s">
        <v>8</v>
      </c>
      <c r="C701" s="4" t="s">
        <v>183</v>
      </c>
      <c r="D701" s="4" t="s">
        <v>184</v>
      </c>
      <c r="E701" s="4" t="s">
        <v>185</v>
      </c>
      <c r="F701" s="4" t="s">
        <v>186</v>
      </c>
      <c r="G701" s="4" t="s">
        <v>187</v>
      </c>
      <c r="H701" s="4" t="s">
        <v>188</v>
      </c>
      <c r="I701" s="4" t="s">
        <v>189</v>
      </c>
      <c r="J701" s="4" t="s">
        <v>190</v>
      </c>
    </row>
    <row r="702" spans="1:12" ht="23" customHeight="1">
      <c r="A702" s="9" t="s">
        <v>172</v>
      </c>
      <c r="B702" s="6">
        <v>4</v>
      </c>
      <c r="C702" s="9" t="s">
        <v>163</v>
      </c>
      <c r="D702" s="6">
        <v>120</v>
      </c>
      <c r="E702" s="9" t="s">
        <v>170</v>
      </c>
      <c r="F702" s="6">
        <v>104936</v>
      </c>
      <c r="G702" s="7">
        <v>104936</v>
      </c>
      <c r="H702" s="9">
        <f>(G702-F702)</f>
        <v>0.0</v>
      </c>
      <c r="I702" s="9" t="s">
        <v>193</v>
      </c>
      <c r="J702" s="9" t="s">
        <v>194</v>
      </c>
    </row>
    <row r="703" spans="1:12" ht="23" customHeight="1">
      <c r="A703" s="9" t="s">
        <v>172</v>
      </c>
      <c r="B703" s="6">
        <v>4</v>
      </c>
      <c r="C703" s="9" t="s">
        <v>163</v>
      </c>
      <c r="D703" s="6">
        <v>120</v>
      </c>
      <c r="E703" s="9" t="s">
        <v>171</v>
      </c>
      <c r="F703" s="6">
        <v>104936</v>
      </c>
      <c r="G703" s="7">
        <v>104936</v>
      </c>
      <c r="H703" s="9">
        <f>(G703-F703)</f>
        <v>0.0</v>
      </c>
      <c r="I703" s="9" t="s">
        <v>193</v>
      </c>
      <c r="J703" s="9" t="s">
        <v>194</v>
      </c>
    </row>
    <row r="704" spans="1:12" ht="23" customHeight="1">
      <c r="A704" s="9" t="s">
        <v>172</v>
      </c>
      <c r="B704" s="6">
        <v>4</v>
      </c>
      <c r="C704" s="9" t="s">
        <v>163</v>
      </c>
      <c r="D704" s="6">
        <v>121</v>
      </c>
      <c r="E704" s="9" t="s">
        <v>166</v>
      </c>
      <c r="F704" s="6">
        <v>36324</v>
      </c>
      <c r="G704" s="7">
        <v>36324</v>
      </c>
      <c r="H704" s="9">
        <f>(G704-F704)</f>
        <v>0.0</v>
      </c>
      <c r="I704" s="9" t="s">
        <v>193</v>
      </c>
      <c r="J704" s="9" t="s">
        <v>194</v>
      </c>
    </row>
    <row r="705" spans="1:12" ht="23" customHeight="1">
      <c r="A705" s="9" t="s">
        <v>172</v>
      </c>
      <c r="B705" s="6">
        <v>4</v>
      </c>
      <c r="C705" s="9" t="s">
        <v>163</v>
      </c>
      <c r="D705" s="6">
        <v>121</v>
      </c>
      <c r="E705" s="9" t="s">
        <v>176</v>
      </c>
      <c r="F705" s="11">
        <v>232.9</v>
      </c>
      <c r="G705" s="8">
        <v>232.9</v>
      </c>
      <c r="H705" s="9">
        <f>(G705-F705)</f>
        <v>0.0</v>
      </c>
      <c r="I705" s="9" t="s">
        <v>193</v>
      </c>
      <c r="J705" s="9" t="s">
        <v>194</v>
      </c>
    </row>
    <row r="706" spans="1:12" ht="23" customHeight="1">
      <c r="A706" s="9" t="s">
        <v>172</v>
      </c>
      <c r="B706" s="6">
        <v>4</v>
      </c>
      <c r="C706" s="9" t="s">
        <v>163</v>
      </c>
      <c r="D706" s="6">
        <v>121</v>
      </c>
      <c r="E706" s="9" t="s">
        <v>177</v>
      </c>
      <c r="F706" s="11">
        <v>232.9</v>
      </c>
      <c r="G706" s="8">
        <v>232.9</v>
      </c>
      <c r="H706" s="9">
        <f>(G706-F706)</f>
        <v>0.0</v>
      </c>
      <c r="I706" s="9" t="s">
        <v>193</v>
      </c>
      <c r="J706" s="9" t="s">
        <v>194</v>
      </c>
    </row>
    <row r="707" spans="1:12" ht="23" customHeight="1">
      <c r="A707" s="9" t="s">
        <v>172</v>
      </c>
      <c r="B707" s="6">
        <v>4</v>
      </c>
      <c r="C707" s="9" t="s">
        <v>163</v>
      </c>
      <c r="D707" s="6">
        <v>121</v>
      </c>
      <c r="E707" s="9" t="s">
        <v>167</v>
      </c>
      <c r="F707" s="6">
        <v>36324</v>
      </c>
      <c r="G707" s="7">
        <v>36324</v>
      </c>
      <c r="H707" s="9">
        <f>(G707-F707)</f>
        <v>0.0</v>
      </c>
      <c r="I707" s="9" t="s">
        <v>193</v>
      </c>
      <c r="J707" s="9" t="s">
        <v>194</v>
      </c>
    </row>
    <row r="708" spans="1:12" ht="23" customHeight="1">
      <c r="A708" s="9" t="s">
        <v>172</v>
      </c>
      <c r="B708" s="6">
        <v>4</v>
      </c>
      <c r="C708" s="9" t="s">
        <v>163</v>
      </c>
      <c r="D708" s="6">
        <v>121</v>
      </c>
      <c r="E708" s="9" t="s">
        <v>178</v>
      </c>
      <c r="F708" s="11">
        <v>232.9</v>
      </c>
      <c r="G708" s="8">
        <v>232.9</v>
      </c>
      <c r="H708" s="9">
        <f>(G708-F708)</f>
        <v>0.0</v>
      </c>
      <c r="I708" s="9" t="s">
        <v>193</v>
      </c>
      <c r="J708" s="9" t="s">
        <v>194</v>
      </c>
    </row>
    <row r="709" spans="1:12" ht="23" customHeight="1">
      <c r="A709" s="9" t="s">
        <v>172</v>
      </c>
      <c r="B709" s="6">
        <v>4</v>
      </c>
      <c r="C709" s="9" t="s">
        <v>163</v>
      </c>
      <c r="D709" s="6">
        <v>121</v>
      </c>
      <c r="E709" s="9" t="s">
        <v>179</v>
      </c>
      <c r="F709" s="11">
        <v>232.9</v>
      </c>
      <c r="G709" s="8">
        <v>232.9</v>
      </c>
      <c r="H709" s="9">
        <f>(G709-F709)</f>
        <v>0.0</v>
      </c>
      <c r="I709" s="9" t="s">
        <v>193</v>
      </c>
      <c r="J709" s="9" t="s">
        <v>194</v>
      </c>
    </row>
    <row r="710" spans="1:12" ht="23" customHeight="1">
      <c r="A710" s="9" t="s">
        <v>172</v>
      </c>
      <c r="B710" s="6">
        <v>4</v>
      </c>
      <c r="C710" s="9" t="s">
        <v>163</v>
      </c>
      <c r="D710" s="6">
        <v>121</v>
      </c>
      <c r="E710" s="9" t="s">
        <v>168</v>
      </c>
      <c r="F710" s="6">
        <v>36324</v>
      </c>
      <c r="G710" s="7">
        <v>36324</v>
      </c>
      <c r="H710" s="9">
        <f>(G710-F710)</f>
        <v>0.0</v>
      </c>
      <c r="I710" s="9" t="s">
        <v>193</v>
      </c>
      <c r="J710" s="9" t="s">
        <v>194</v>
      </c>
    </row>
    <row r="711" spans="1:12" ht="23" customHeight="1">
      <c r="A711" s="9" t="s">
        <v>172</v>
      </c>
      <c r="B711" s="6">
        <v>4</v>
      </c>
      <c r="C711" s="9" t="s">
        <v>163</v>
      </c>
      <c r="D711" s="6">
        <v>121</v>
      </c>
      <c r="E711" s="9" t="s">
        <v>169</v>
      </c>
      <c r="F711" s="6">
        <v>36324</v>
      </c>
      <c r="G711" s="7">
        <v>36324</v>
      </c>
      <c r="H711" s="9">
        <f>(G711-F711)</f>
        <v>0.0</v>
      </c>
      <c r="I711" s="9" t="s">
        <v>193</v>
      </c>
      <c r="J711" s="9" t="s">
        <v>194</v>
      </c>
    </row>
    <row r="712" spans="1:12" ht="23" customHeight="1">
      <c r="A712" s="9" t="s">
        <v>172</v>
      </c>
      <c r="B712" s="6">
        <v>4</v>
      </c>
      <c r="C712" s="9" t="s">
        <v>163</v>
      </c>
      <c r="D712" s="6">
        <v>121</v>
      </c>
      <c r="E712" s="9" t="s">
        <v>170</v>
      </c>
      <c r="F712" s="6">
        <v>36324</v>
      </c>
      <c r="G712" s="7">
        <v>36324</v>
      </c>
      <c r="H712" s="9">
        <f>(G712-F712)</f>
        <v>0.0</v>
      </c>
      <c r="I712" s="9" t="s">
        <v>193</v>
      </c>
      <c r="J712" s="9" t="s">
        <v>194</v>
      </c>
    </row>
    <row r="713" spans="1:12" ht="23" customHeight="1">
      <c r="A713" s="9" t="s">
        <v>172</v>
      </c>
      <c r="B713" s="6">
        <v>4</v>
      </c>
      <c r="C713" s="9" t="s">
        <v>163</v>
      </c>
      <c r="D713" s="6">
        <v>121</v>
      </c>
      <c r="E713" s="9" t="s">
        <v>171</v>
      </c>
      <c r="F713" s="6">
        <v>36324</v>
      </c>
      <c r="G713" s="7">
        <v>36324</v>
      </c>
      <c r="H713" s="9">
        <f>(G713-F713)</f>
        <v>0.0</v>
      </c>
      <c r="I713" s="9" t="s">
        <v>193</v>
      </c>
      <c r="J713" s="9" t="s">
        <v>194</v>
      </c>
    </row>
    <row r="714" spans="1:12" ht="23" customHeight="1">
      <c r="A714" s="9" t="s">
        <v>172</v>
      </c>
      <c r="B714" s="6">
        <v>5</v>
      </c>
      <c r="C714" s="9" t="s">
        <v>163</v>
      </c>
      <c r="D714" s="6">
        <v>127</v>
      </c>
      <c r="E714" s="9" t="s">
        <v>166</v>
      </c>
      <c r="F714" s="6">
        <v>34419</v>
      </c>
      <c r="G714" s="7">
        <v>34419</v>
      </c>
      <c r="H714" s="9">
        <f>(G714-F714)</f>
        <v>0.0</v>
      </c>
      <c r="I714" s="9" t="s">
        <v>193</v>
      </c>
      <c r="J714" s="9" t="s">
        <v>194</v>
      </c>
    </row>
    <row r="715" spans="1:12" ht="23" customHeight="1">
      <c r="A715" s="9" t="s">
        <v>172</v>
      </c>
      <c r="B715" s="6">
        <v>5</v>
      </c>
      <c r="C715" s="9" t="s">
        <v>163</v>
      </c>
      <c r="D715" s="6">
        <v>127</v>
      </c>
      <c r="E715" s="9" t="s">
        <v>176</v>
      </c>
      <c r="F715" s="11">
        <v>289.1</v>
      </c>
      <c r="G715" s="8">
        <v>289.1</v>
      </c>
      <c r="H715" s="9">
        <f>(G715-F715)</f>
        <v>0.0</v>
      </c>
      <c r="I715" s="9" t="s">
        <v>193</v>
      </c>
      <c r="J715" s="9" t="s">
        <v>194</v>
      </c>
    </row>
    <row r="716" spans="1:12" ht="23" customHeight="1">
      <c r="A716" s="9" t="s">
        <v>172</v>
      </c>
      <c r="B716" s="6">
        <v>5</v>
      </c>
      <c r="C716" s="9" t="s">
        <v>163</v>
      </c>
      <c r="D716" s="6">
        <v>127</v>
      </c>
      <c r="E716" s="9" t="s">
        <v>177</v>
      </c>
      <c r="F716" s="11">
        <v>289.1</v>
      </c>
      <c r="G716" s="8">
        <v>289.1</v>
      </c>
      <c r="H716" s="9">
        <f>(G716-F716)</f>
        <v>0.0</v>
      </c>
      <c r="I716" s="9" t="s">
        <v>193</v>
      </c>
      <c r="J716" s="9" t="s">
        <v>194</v>
      </c>
    </row>
    <row r="717" spans="1:12" ht="24" customHeight="1">
      <c r="A717" s="3" t="s">
        <v>181</v>
      </c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spans="1:12" ht="36" customHeight="1">
      <c r="A718" s="4" t="s">
        <v>182</v>
      </c>
      <c r="B718" s="4" t="s">
        <v>8</v>
      </c>
      <c r="C718" s="4" t="s">
        <v>183</v>
      </c>
      <c r="D718" s="4" t="s">
        <v>184</v>
      </c>
      <c r="E718" s="4" t="s">
        <v>185</v>
      </c>
      <c r="F718" s="4" t="s">
        <v>186</v>
      </c>
      <c r="G718" s="4" t="s">
        <v>187</v>
      </c>
      <c r="H718" s="4" t="s">
        <v>188</v>
      </c>
      <c r="I718" s="4" t="s">
        <v>189</v>
      </c>
      <c r="J718" s="4" t="s">
        <v>190</v>
      </c>
    </row>
    <row r="719" spans="1:12" ht="23" customHeight="1">
      <c r="A719" s="9" t="s">
        <v>172</v>
      </c>
      <c r="B719" s="6">
        <v>5</v>
      </c>
      <c r="C719" s="9" t="s">
        <v>163</v>
      </c>
      <c r="D719" s="6">
        <v>127</v>
      </c>
      <c r="E719" s="9" t="s">
        <v>167</v>
      </c>
      <c r="F719" s="6">
        <v>34419</v>
      </c>
      <c r="G719" s="7">
        <v>34419</v>
      </c>
      <c r="H719" s="9">
        <f>(G719-F719)</f>
        <v>0.0</v>
      </c>
      <c r="I719" s="9" t="s">
        <v>193</v>
      </c>
      <c r="J719" s="9" t="s">
        <v>194</v>
      </c>
    </row>
    <row r="720" spans="1:12" ht="23" customHeight="1">
      <c r="A720" s="9" t="s">
        <v>172</v>
      </c>
      <c r="B720" s="6">
        <v>5</v>
      </c>
      <c r="C720" s="9" t="s">
        <v>163</v>
      </c>
      <c r="D720" s="6">
        <v>127</v>
      </c>
      <c r="E720" s="9" t="s">
        <v>178</v>
      </c>
      <c r="F720" s="11">
        <v>289.1</v>
      </c>
      <c r="G720" s="8">
        <v>289.1</v>
      </c>
      <c r="H720" s="9">
        <f>(G720-F720)</f>
        <v>0.0</v>
      </c>
      <c r="I720" s="9" t="s">
        <v>193</v>
      </c>
      <c r="J720" s="9" t="s">
        <v>194</v>
      </c>
    </row>
    <row r="721" spans="1:12" ht="23" customHeight="1">
      <c r="A721" s="9" t="s">
        <v>172</v>
      </c>
      <c r="B721" s="6">
        <v>5</v>
      </c>
      <c r="C721" s="9" t="s">
        <v>163</v>
      </c>
      <c r="D721" s="6">
        <v>127</v>
      </c>
      <c r="E721" s="9" t="s">
        <v>179</v>
      </c>
      <c r="F721" s="11">
        <v>289.1</v>
      </c>
      <c r="G721" s="8">
        <v>289.1</v>
      </c>
      <c r="H721" s="9">
        <f>(G721-F721)</f>
        <v>0.0</v>
      </c>
      <c r="I721" s="9" t="s">
        <v>193</v>
      </c>
      <c r="J721" s="9" t="s">
        <v>194</v>
      </c>
    </row>
    <row r="722" spans="1:12" ht="23" customHeight="1">
      <c r="A722" s="9" t="s">
        <v>172</v>
      </c>
      <c r="B722" s="6">
        <v>5</v>
      </c>
      <c r="C722" s="9" t="s">
        <v>163</v>
      </c>
      <c r="D722" s="6">
        <v>127</v>
      </c>
      <c r="E722" s="9" t="s">
        <v>168</v>
      </c>
      <c r="F722" s="6">
        <v>34419</v>
      </c>
      <c r="G722" s="7">
        <v>34419</v>
      </c>
      <c r="H722" s="9">
        <f>(G722-F722)</f>
        <v>0.0</v>
      </c>
      <c r="I722" s="9" t="s">
        <v>193</v>
      </c>
      <c r="J722" s="9" t="s">
        <v>194</v>
      </c>
    </row>
    <row r="723" spans="1:12" ht="23" customHeight="1">
      <c r="A723" s="9" t="s">
        <v>172</v>
      </c>
      <c r="B723" s="6">
        <v>5</v>
      </c>
      <c r="C723" s="9" t="s">
        <v>163</v>
      </c>
      <c r="D723" s="6">
        <v>127</v>
      </c>
      <c r="E723" s="9" t="s">
        <v>169</v>
      </c>
      <c r="F723" s="6">
        <v>34419</v>
      </c>
      <c r="G723" s="7">
        <v>34419</v>
      </c>
      <c r="H723" s="9">
        <f>(G723-F723)</f>
        <v>0.0</v>
      </c>
      <c r="I723" s="9" t="s">
        <v>193</v>
      </c>
      <c r="J723" s="9" t="s">
        <v>194</v>
      </c>
    </row>
    <row r="724" spans="1:12" ht="23" customHeight="1">
      <c r="A724" s="9" t="s">
        <v>172</v>
      </c>
      <c r="B724" s="6">
        <v>5</v>
      </c>
      <c r="C724" s="9" t="s">
        <v>163</v>
      </c>
      <c r="D724" s="6">
        <v>127</v>
      </c>
      <c r="E724" s="9" t="s">
        <v>170</v>
      </c>
      <c r="F724" s="6">
        <v>34419</v>
      </c>
      <c r="G724" s="7">
        <v>34419</v>
      </c>
      <c r="H724" s="9">
        <f>(G724-F724)</f>
        <v>0.0</v>
      </c>
      <c r="I724" s="9" t="s">
        <v>193</v>
      </c>
      <c r="J724" s="9" t="s">
        <v>194</v>
      </c>
    </row>
    <row r="725" spans="1:12" ht="23" customHeight="1">
      <c r="A725" s="9" t="s">
        <v>172</v>
      </c>
      <c r="B725" s="6">
        <v>5</v>
      </c>
      <c r="C725" s="9" t="s">
        <v>163</v>
      </c>
      <c r="D725" s="6">
        <v>127</v>
      </c>
      <c r="E725" s="9" t="s">
        <v>171</v>
      </c>
      <c r="F725" s="6">
        <v>34419</v>
      </c>
      <c r="G725" s="7">
        <v>34419</v>
      </c>
      <c r="H725" s="9">
        <f>(G725-F725)</f>
        <v>0.0</v>
      </c>
      <c r="I725" s="9" t="s">
        <v>193</v>
      </c>
      <c r="J725" s="9" t="s">
        <v>194</v>
      </c>
    </row>
    <row r="726" spans="1:12" ht="23" customHeight="1">
      <c r="A726" s="9" t="s">
        <v>172</v>
      </c>
      <c r="B726" s="6">
        <v>5</v>
      </c>
      <c r="C726" s="9" t="s">
        <v>163</v>
      </c>
      <c r="D726" s="6">
        <v>128</v>
      </c>
      <c r="E726" s="9" t="s">
        <v>166</v>
      </c>
      <c r="F726" s="6">
        <v>97084</v>
      </c>
      <c r="G726" s="7">
        <v>97084</v>
      </c>
      <c r="H726" s="9">
        <f>(G726-F726)</f>
        <v>0.0</v>
      </c>
      <c r="I726" s="9" t="s">
        <v>193</v>
      </c>
      <c r="J726" s="9" t="s">
        <v>194</v>
      </c>
    </row>
    <row r="727" spans="1:12" ht="23" customHeight="1">
      <c r="A727" s="9" t="s">
        <v>172</v>
      </c>
      <c r="B727" s="6">
        <v>5</v>
      </c>
      <c r="C727" s="9" t="s">
        <v>163</v>
      </c>
      <c r="D727" s="6">
        <v>128</v>
      </c>
      <c r="E727" s="9" t="s">
        <v>176</v>
      </c>
      <c r="F727" s="11">
        <v>1223.3</v>
      </c>
      <c r="G727" s="8">
        <v>1223.3</v>
      </c>
      <c r="H727" s="9">
        <f>(G727-F727)</f>
        <v>0.0</v>
      </c>
      <c r="I727" s="9" t="s">
        <v>193</v>
      </c>
      <c r="J727" s="9" t="s">
        <v>194</v>
      </c>
    </row>
    <row r="728" spans="1:12" ht="23" customHeight="1">
      <c r="A728" s="9" t="s">
        <v>172</v>
      </c>
      <c r="B728" s="6">
        <v>5</v>
      </c>
      <c r="C728" s="9" t="s">
        <v>163</v>
      </c>
      <c r="D728" s="6">
        <v>128</v>
      </c>
      <c r="E728" s="9" t="s">
        <v>177</v>
      </c>
      <c r="F728" s="11">
        <v>1223.3</v>
      </c>
      <c r="G728" s="8">
        <v>1223.3</v>
      </c>
      <c r="H728" s="9">
        <f>(G728-F728)</f>
        <v>0.0</v>
      </c>
      <c r="I728" s="9" t="s">
        <v>193</v>
      </c>
      <c r="J728" s="9" t="s">
        <v>194</v>
      </c>
    </row>
    <row r="729" spans="1:12" ht="23" customHeight="1">
      <c r="A729" s="9" t="s">
        <v>172</v>
      </c>
      <c r="B729" s="6">
        <v>5</v>
      </c>
      <c r="C729" s="9" t="s">
        <v>163</v>
      </c>
      <c r="D729" s="6">
        <v>128</v>
      </c>
      <c r="E729" s="9" t="s">
        <v>167</v>
      </c>
      <c r="F729" s="6">
        <v>97084</v>
      </c>
      <c r="G729" s="7">
        <v>97084</v>
      </c>
      <c r="H729" s="9">
        <f>(G729-F729)</f>
        <v>0.0</v>
      </c>
      <c r="I729" s="9" t="s">
        <v>193</v>
      </c>
      <c r="J729" s="9" t="s">
        <v>194</v>
      </c>
    </row>
    <row r="730" spans="1:12" ht="23" customHeight="1">
      <c r="A730" s="9" t="s">
        <v>172</v>
      </c>
      <c r="B730" s="6">
        <v>5</v>
      </c>
      <c r="C730" s="9" t="s">
        <v>163</v>
      </c>
      <c r="D730" s="6">
        <v>128</v>
      </c>
      <c r="E730" s="9" t="s">
        <v>178</v>
      </c>
      <c r="F730" s="11">
        <v>1223.3</v>
      </c>
      <c r="G730" s="8">
        <v>1223.3</v>
      </c>
      <c r="H730" s="9">
        <f>(G730-F730)</f>
        <v>0.0</v>
      </c>
      <c r="I730" s="9" t="s">
        <v>193</v>
      </c>
      <c r="J730" s="9" t="s">
        <v>194</v>
      </c>
    </row>
    <row r="731" spans="1:12" ht="23" customHeight="1">
      <c r="A731" s="9" t="s">
        <v>172</v>
      </c>
      <c r="B731" s="6">
        <v>5</v>
      </c>
      <c r="C731" s="9" t="s">
        <v>163</v>
      </c>
      <c r="D731" s="6">
        <v>128</v>
      </c>
      <c r="E731" s="9" t="s">
        <v>179</v>
      </c>
      <c r="F731" s="11">
        <v>1223.3</v>
      </c>
      <c r="G731" s="8">
        <v>1223.3</v>
      </c>
      <c r="H731" s="9">
        <f>(G731-F731)</f>
        <v>0.0</v>
      </c>
      <c r="I731" s="9" t="s">
        <v>193</v>
      </c>
      <c r="J731" s="9" t="s">
        <v>194</v>
      </c>
    </row>
    <row r="732" spans="1:12" ht="23" customHeight="1">
      <c r="A732" s="9" t="s">
        <v>172</v>
      </c>
      <c r="B732" s="6">
        <v>5</v>
      </c>
      <c r="C732" s="9" t="s">
        <v>163</v>
      </c>
      <c r="D732" s="6">
        <v>128</v>
      </c>
      <c r="E732" s="9" t="s">
        <v>168</v>
      </c>
      <c r="F732" s="6">
        <v>97084</v>
      </c>
      <c r="G732" s="7">
        <v>97084</v>
      </c>
      <c r="H732" s="9">
        <f>(G732-F732)</f>
        <v>0.0</v>
      </c>
      <c r="I732" s="9" t="s">
        <v>193</v>
      </c>
      <c r="J732" s="9" t="s">
        <v>194</v>
      </c>
    </row>
    <row r="733" spans="1:12" ht="23" customHeight="1">
      <c r="A733" s="9" t="s">
        <v>172</v>
      </c>
      <c r="B733" s="6">
        <v>5</v>
      </c>
      <c r="C733" s="9" t="s">
        <v>163</v>
      </c>
      <c r="D733" s="6">
        <v>128</v>
      </c>
      <c r="E733" s="9" t="s">
        <v>169</v>
      </c>
      <c r="F733" s="6">
        <v>97084</v>
      </c>
      <c r="G733" s="7">
        <v>97084</v>
      </c>
      <c r="H733" s="9">
        <f>(G733-F733)</f>
        <v>0.0</v>
      </c>
      <c r="I733" s="9" t="s">
        <v>193</v>
      </c>
      <c r="J733" s="9" t="s">
        <v>194</v>
      </c>
    </row>
    <row r="734" spans="1:12" ht="24" customHeight="1">
      <c r="A734" s="3" t="s">
        <v>181</v>
      </c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spans="1:12" ht="36" customHeight="1">
      <c r="A735" s="4" t="s">
        <v>182</v>
      </c>
      <c r="B735" s="4" t="s">
        <v>8</v>
      </c>
      <c r="C735" s="4" t="s">
        <v>183</v>
      </c>
      <c r="D735" s="4" t="s">
        <v>184</v>
      </c>
      <c r="E735" s="4" t="s">
        <v>185</v>
      </c>
      <c r="F735" s="4" t="s">
        <v>186</v>
      </c>
      <c r="G735" s="4" t="s">
        <v>187</v>
      </c>
      <c r="H735" s="4" t="s">
        <v>188</v>
      </c>
      <c r="I735" s="4" t="s">
        <v>189</v>
      </c>
      <c r="J735" s="4" t="s">
        <v>190</v>
      </c>
    </row>
    <row r="736" spans="1:12" ht="23" customHeight="1">
      <c r="A736" s="9" t="s">
        <v>172</v>
      </c>
      <c r="B736" s="6">
        <v>5</v>
      </c>
      <c r="C736" s="9" t="s">
        <v>163</v>
      </c>
      <c r="D736" s="6">
        <v>128</v>
      </c>
      <c r="E736" s="9" t="s">
        <v>170</v>
      </c>
      <c r="F736" s="6">
        <v>97084</v>
      </c>
      <c r="G736" s="7">
        <v>97084</v>
      </c>
      <c r="H736" s="9">
        <f>(G736-F736)</f>
        <v>0.0</v>
      </c>
      <c r="I736" s="9" t="s">
        <v>193</v>
      </c>
      <c r="J736" s="9" t="s">
        <v>194</v>
      </c>
    </row>
    <row r="737" spans="1:12" ht="23" customHeight="1">
      <c r="A737" s="9" t="s">
        <v>172</v>
      </c>
      <c r="B737" s="6">
        <v>5</v>
      </c>
      <c r="C737" s="9" t="s">
        <v>163</v>
      </c>
      <c r="D737" s="6">
        <v>128</v>
      </c>
      <c r="E737" s="9" t="s">
        <v>171</v>
      </c>
      <c r="F737" s="6">
        <v>97084</v>
      </c>
      <c r="G737" s="7">
        <v>97084</v>
      </c>
      <c r="H737" s="9">
        <f>(G737-F737)</f>
        <v>0.0</v>
      </c>
      <c r="I737" s="9" t="s">
        <v>193</v>
      </c>
      <c r="J737" s="9" t="s">
        <v>194</v>
      </c>
    </row>
    <row r="738" spans="1:12" ht="23" customHeight="1">
      <c r="A738" s="9" t="s">
        <v>172</v>
      </c>
      <c r="B738" s="6">
        <v>5</v>
      </c>
      <c r="C738" s="9" t="s">
        <v>163</v>
      </c>
      <c r="D738" s="6">
        <v>129</v>
      </c>
      <c r="E738" s="9" t="s">
        <v>166</v>
      </c>
      <c r="F738" s="6">
        <v>103756</v>
      </c>
      <c r="G738" s="7">
        <v>103756</v>
      </c>
      <c r="H738" s="9">
        <f>(G738-F738)</f>
        <v>0.0</v>
      </c>
      <c r="I738" s="9" t="s">
        <v>193</v>
      </c>
      <c r="J738" s="9" t="s">
        <v>194</v>
      </c>
    </row>
    <row r="739" spans="1:12" ht="23" customHeight="1">
      <c r="A739" s="9" t="s">
        <v>172</v>
      </c>
      <c r="B739" s="6">
        <v>5</v>
      </c>
      <c r="C739" s="9" t="s">
        <v>163</v>
      </c>
      <c r="D739" s="6">
        <v>129</v>
      </c>
      <c r="E739" s="9" t="s">
        <v>176</v>
      </c>
      <c r="F739" s="11">
        <v>1196.2</v>
      </c>
      <c r="G739" s="8">
        <v>1196.2</v>
      </c>
      <c r="H739" s="9">
        <f>(G739-F739)</f>
        <v>0.0</v>
      </c>
      <c r="I739" s="9" t="s">
        <v>193</v>
      </c>
      <c r="J739" s="9" t="s">
        <v>194</v>
      </c>
    </row>
    <row r="740" spans="1:12" ht="23" customHeight="1">
      <c r="A740" s="9" t="s">
        <v>172</v>
      </c>
      <c r="B740" s="6">
        <v>5</v>
      </c>
      <c r="C740" s="9" t="s">
        <v>163</v>
      </c>
      <c r="D740" s="6">
        <v>129</v>
      </c>
      <c r="E740" s="9" t="s">
        <v>177</v>
      </c>
      <c r="F740" s="11">
        <v>1196.2</v>
      </c>
      <c r="G740" s="8">
        <v>1196.2</v>
      </c>
      <c r="H740" s="9">
        <f>(G740-F740)</f>
        <v>0.0</v>
      </c>
      <c r="I740" s="9" t="s">
        <v>193</v>
      </c>
      <c r="J740" s="9" t="s">
        <v>194</v>
      </c>
    </row>
    <row r="741" spans="1:12" ht="23" customHeight="1">
      <c r="A741" s="9" t="s">
        <v>172</v>
      </c>
      <c r="B741" s="6">
        <v>5</v>
      </c>
      <c r="C741" s="9" t="s">
        <v>163</v>
      </c>
      <c r="D741" s="6">
        <v>129</v>
      </c>
      <c r="E741" s="9" t="s">
        <v>167</v>
      </c>
      <c r="F741" s="6">
        <v>103756</v>
      </c>
      <c r="G741" s="7">
        <v>103756</v>
      </c>
      <c r="H741" s="9">
        <f>(G741-F741)</f>
        <v>0.0</v>
      </c>
      <c r="I741" s="9" t="s">
        <v>193</v>
      </c>
      <c r="J741" s="9" t="s">
        <v>194</v>
      </c>
    </row>
    <row r="742" spans="1:12" ht="23" customHeight="1">
      <c r="A742" s="9" t="s">
        <v>172</v>
      </c>
      <c r="B742" s="6">
        <v>5</v>
      </c>
      <c r="C742" s="9" t="s">
        <v>163</v>
      </c>
      <c r="D742" s="6">
        <v>129</v>
      </c>
      <c r="E742" s="9" t="s">
        <v>178</v>
      </c>
      <c r="F742" s="11">
        <v>1196.2</v>
      </c>
      <c r="G742" s="8">
        <v>1196.2</v>
      </c>
      <c r="H742" s="9">
        <f>(G742-F742)</f>
        <v>0.0</v>
      </c>
      <c r="I742" s="9" t="s">
        <v>193</v>
      </c>
      <c r="J742" s="9" t="s">
        <v>194</v>
      </c>
    </row>
    <row r="743" spans="1:12" ht="23" customHeight="1">
      <c r="A743" s="9" t="s">
        <v>172</v>
      </c>
      <c r="B743" s="6">
        <v>5</v>
      </c>
      <c r="C743" s="9" t="s">
        <v>163</v>
      </c>
      <c r="D743" s="6">
        <v>129</v>
      </c>
      <c r="E743" s="9" t="s">
        <v>179</v>
      </c>
      <c r="F743" s="11">
        <v>1196.2</v>
      </c>
      <c r="G743" s="8">
        <v>1196.2</v>
      </c>
      <c r="H743" s="9">
        <f>(G743-F743)</f>
        <v>0.0</v>
      </c>
      <c r="I743" s="9" t="s">
        <v>193</v>
      </c>
      <c r="J743" s="9" t="s">
        <v>194</v>
      </c>
    </row>
    <row r="744" spans="1:12" ht="23" customHeight="1">
      <c r="A744" s="9" t="s">
        <v>172</v>
      </c>
      <c r="B744" s="6">
        <v>5</v>
      </c>
      <c r="C744" s="9" t="s">
        <v>163</v>
      </c>
      <c r="D744" s="6">
        <v>129</v>
      </c>
      <c r="E744" s="9" t="s">
        <v>168</v>
      </c>
      <c r="F744" s="6">
        <v>103756</v>
      </c>
      <c r="G744" s="7">
        <v>103756</v>
      </c>
      <c r="H744" s="9">
        <f>(G744-F744)</f>
        <v>0.0</v>
      </c>
      <c r="I744" s="9" t="s">
        <v>193</v>
      </c>
      <c r="J744" s="9" t="s">
        <v>194</v>
      </c>
    </row>
    <row r="745" spans="1:12" ht="23" customHeight="1">
      <c r="A745" s="9" t="s">
        <v>172</v>
      </c>
      <c r="B745" s="6">
        <v>5</v>
      </c>
      <c r="C745" s="9" t="s">
        <v>163</v>
      </c>
      <c r="D745" s="6">
        <v>129</v>
      </c>
      <c r="E745" s="9" t="s">
        <v>169</v>
      </c>
      <c r="F745" s="6">
        <v>103756</v>
      </c>
      <c r="G745" s="7">
        <v>103756</v>
      </c>
      <c r="H745" s="9">
        <f>(G745-F745)</f>
        <v>0.0</v>
      </c>
      <c r="I745" s="9" t="s">
        <v>193</v>
      </c>
      <c r="J745" s="9" t="s">
        <v>194</v>
      </c>
    </row>
    <row r="746" spans="1:12" ht="23" customHeight="1">
      <c r="A746" s="9" t="s">
        <v>172</v>
      </c>
      <c r="B746" s="6">
        <v>5</v>
      </c>
      <c r="C746" s="9" t="s">
        <v>163</v>
      </c>
      <c r="D746" s="6">
        <v>129</v>
      </c>
      <c r="E746" s="9" t="s">
        <v>170</v>
      </c>
      <c r="F746" s="6">
        <v>103756</v>
      </c>
      <c r="G746" s="7">
        <v>103756</v>
      </c>
      <c r="H746" s="9">
        <f>(G746-F746)</f>
        <v>0.0</v>
      </c>
      <c r="I746" s="9" t="s">
        <v>193</v>
      </c>
      <c r="J746" s="9" t="s">
        <v>194</v>
      </c>
    </row>
    <row r="747" spans="1:12" ht="23" customHeight="1">
      <c r="A747" s="9" t="s">
        <v>172</v>
      </c>
      <c r="B747" s="6">
        <v>5</v>
      </c>
      <c r="C747" s="9" t="s">
        <v>163</v>
      </c>
      <c r="D747" s="6">
        <v>129</v>
      </c>
      <c r="E747" s="9" t="s">
        <v>171</v>
      </c>
      <c r="F747" s="6">
        <v>103756</v>
      </c>
      <c r="G747" s="7">
        <v>103756</v>
      </c>
      <c r="H747" s="9">
        <f>(G747-F747)</f>
        <v>0.0</v>
      </c>
      <c r="I747" s="9" t="s">
        <v>193</v>
      </c>
      <c r="J747" s="9" t="s">
        <v>194</v>
      </c>
    </row>
    <row r="748" spans="1:12" ht="23" customHeight="1">
      <c r="A748" s="9" t="s">
        <v>172</v>
      </c>
      <c r="B748" s="6">
        <v>5</v>
      </c>
      <c r="C748" s="9" t="s">
        <v>163</v>
      </c>
      <c r="D748" s="6">
        <v>130</v>
      </c>
      <c r="E748" s="9" t="s">
        <v>166</v>
      </c>
      <c r="F748" s="6">
        <v>148838</v>
      </c>
      <c r="G748" s="7">
        <v>148838</v>
      </c>
      <c r="H748" s="9">
        <f>(G748-F748)</f>
        <v>0.0</v>
      </c>
      <c r="I748" s="9" t="s">
        <v>193</v>
      </c>
      <c r="J748" s="9" t="s">
        <v>194</v>
      </c>
    </row>
    <row r="749" spans="1:12" ht="23" customHeight="1">
      <c r="A749" s="9" t="s">
        <v>172</v>
      </c>
      <c r="B749" s="6">
        <v>5</v>
      </c>
      <c r="C749" s="9" t="s">
        <v>163</v>
      </c>
      <c r="D749" s="6">
        <v>130</v>
      </c>
      <c r="E749" s="9" t="s">
        <v>176</v>
      </c>
      <c r="F749" s="6">
        <v>1542</v>
      </c>
      <c r="G749" s="7">
        <v>1542</v>
      </c>
      <c r="H749" s="9">
        <f>(G749-F749)</f>
        <v>0.0</v>
      </c>
      <c r="I749" s="9" t="s">
        <v>193</v>
      </c>
      <c r="J749" s="9" t="s">
        <v>194</v>
      </c>
    </row>
    <row r="750" spans="1:12" ht="23" customHeight="1">
      <c r="A750" s="9" t="s">
        <v>172</v>
      </c>
      <c r="B750" s="6">
        <v>5</v>
      </c>
      <c r="C750" s="9" t="s">
        <v>163</v>
      </c>
      <c r="D750" s="6">
        <v>130</v>
      </c>
      <c r="E750" s="9" t="s">
        <v>177</v>
      </c>
      <c r="F750" s="6">
        <v>1542</v>
      </c>
      <c r="G750" s="7">
        <v>1542</v>
      </c>
      <c r="H750" s="9">
        <f>(G750-F750)</f>
        <v>0.0</v>
      </c>
      <c r="I750" s="9" t="s">
        <v>193</v>
      </c>
      <c r="J750" s="9" t="s">
        <v>194</v>
      </c>
    </row>
    <row r="751" spans="1:12" ht="24" customHeight="1">
      <c r="A751" s="3" t="s">
        <v>181</v>
      </c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spans="1:12" ht="36" customHeight="1">
      <c r="A752" s="4" t="s">
        <v>182</v>
      </c>
      <c r="B752" s="4" t="s">
        <v>8</v>
      </c>
      <c r="C752" s="4" t="s">
        <v>183</v>
      </c>
      <c r="D752" s="4" t="s">
        <v>184</v>
      </c>
      <c r="E752" s="4" t="s">
        <v>185</v>
      </c>
      <c r="F752" s="4" t="s">
        <v>186</v>
      </c>
      <c r="G752" s="4" t="s">
        <v>187</v>
      </c>
      <c r="H752" s="4" t="s">
        <v>188</v>
      </c>
      <c r="I752" s="4" t="s">
        <v>189</v>
      </c>
      <c r="J752" s="4" t="s">
        <v>190</v>
      </c>
    </row>
    <row r="753" spans="1:12" ht="23" customHeight="1">
      <c r="A753" s="9" t="s">
        <v>172</v>
      </c>
      <c r="B753" s="6">
        <v>5</v>
      </c>
      <c r="C753" s="9" t="s">
        <v>163</v>
      </c>
      <c r="D753" s="6">
        <v>130</v>
      </c>
      <c r="E753" s="9" t="s">
        <v>167</v>
      </c>
      <c r="F753" s="6">
        <v>148838</v>
      </c>
      <c r="G753" s="7">
        <v>148838</v>
      </c>
      <c r="H753" s="9">
        <f>(G753-F753)</f>
        <v>0.0</v>
      </c>
      <c r="I753" s="9" t="s">
        <v>193</v>
      </c>
      <c r="J753" s="9" t="s">
        <v>194</v>
      </c>
    </row>
    <row r="754" spans="1:12" ht="23" customHeight="1">
      <c r="A754" s="9" t="s">
        <v>172</v>
      </c>
      <c r="B754" s="6">
        <v>5</v>
      </c>
      <c r="C754" s="9" t="s">
        <v>163</v>
      </c>
      <c r="D754" s="6">
        <v>130</v>
      </c>
      <c r="E754" s="9" t="s">
        <v>178</v>
      </c>
      <c r="F754" s="6">
        <v>1542</v>
      </c>
      <c r="G754" s="7">
        <v>1542</v>
      </c>
      <c r="H754" s="9">
        <f>(G754-F754)</f>
        <v>0.0</v>
      </c>
      <c r="I754" s="9" t="s">
        <v>193</v>
      </c>
      <c r="J754" s="9" t="s">
        <v>194</v>
      </c>
    </row>
    <row r="755" spans="1:12" ht="23" customHeight="1">
      <c r="A755" s="9" t="s">
        <v>172</v>
      </c>
      <c r="B755" s="6">
        <v>5</v>
      </c>
      <c r="C755" s="9" t="s">
        <v>163</v>
      </c>
      <c r="D755" s="6">
        <v>130</v>
      </c>
      <c r="E755" s="9" t="s">
        <v>179</v>
      </c>
      <c r="F755" s="6">
        <v>1542</v>
      </c>
      <c r="G755" s="7">
        <v>1542</v>
      </c>
      <c r="H755" s="9">
        <f>(G755-F755)</f>
        <v>0.0</v>
      </c>
      <c r="I755" s="9" t="s">
        <v>193</v>
      </c>
      <c r="J755" s="9" t="s">
        <v>194</v>
      </c>
    </row>
    <row r="756" spans="1:12" ht="23" customHeight="1">
      <c r="A756" s="9" t="s">
        <v>172</v>
      </c>
      <c r="B756" s="6">
        <v>5</v>
      </c>
      <c r="C756" s="9" t="s">
        <v>163</v>
      </c>
      <c r="D756" s="6">
        <v>130</v>
      </c>
      <c r="E756" s="9" t="s">
        <v>168</v>
      </c>
      <c r="F756" s="6">
        <v>148838</v>
      </c>
      <c r="G756" s="7">
        <v>148838</v>
      </c>
      <c r="H756" s="9">
        <f>(G756-F756)</f>
        <v>0.0</v>
      </c>
      <c r="I756" s="9" t="s">
        <v>193</v>
      </c>
      <c r="J756" s="9" t="s">
        <v>194</v>
      </c>
    </row>
    <row r="757" spans="1:12" ht="23" customHeight="1">
      <c r="A757" s="9" t="s">
        <v>172</v>
      </c>
      <c r="B757" s="6">
        <v>5</v>
      </c>
      <c r="C757" s="9" t="s">
        <v>163</v>
      </c>
      <c r="D757" s="6">
        <v>130</v>
      </c>
      <c r="E757" s="9" t="s">
        <v>169</v>
      </c>
      <c r="F757" s="6">
        <v>148838</v>
      </c>
      <c r="G757" s="7">
        <v>148838</v>
      </c>
      <c r="H757" s="9">
        <f>(G757-F757)</f>
        <v>0.0</v>
      </c>
      <c r="I757" s="9" t="s">
        <v>193</v>
      </c>
      <c r="J757" s="9" t="s">
        <v>194</v>
      </c>
    </row>
    <row r="758" spans="1:12" ht="23" customHeight="1">
      <c r="A758" s="9" t="s">
        <v>172</v>
      </c>
      <c r="B758" s="6">
        <v>5</v>
      </c>
      <c r="C758" s="9" t="s">
        <v>163</v>
      </c>
      <c r="D758" s="6">
        <v>130</v>
      </c>
      <c r="E758" s="9" t="s">
        <v>170</v>
      </c>
      <c r="F758" s="6">
        <v>148838</v>
      </c>
      <c r="G758" s="7">
        <v>148838</v>
      </c>
      <c r="H758" s="9">
        <f>(G758-F758)</f>
        <v>0.0</v>
      </c>
      <c r="I758" s="9" t="s">
        <v>193</v>
      </c>
      <c r="J758" s="9" t="s">
        <v>194</v>
      </c>
    </row>
    <row r="759" spans="1:12" ht="23" customHeight="1">
      <c r="A759" s="9" t="s">
        <v>172</v>
      </c>
      <c r="B759" s="6">
        <v>5</v>
      </c>
      <c r="C759" s="9" t="s">
        <v>163</v>
      </c>
      <c r="D759" s="6">
        <v>130</v>
      </c>
      <c r="E759" s="9" t="s">
        <v>171</v>
      </c>
      <c r="F759" s="6">
        <v>148838</v>
      </c>
      <c r="G759" s="7">
        <v>148838</v>
      </c>
      <c r="H759" s="9">
        <f>(G759-F759)</f>
        <v>0.0</v>
      </c>
      <c r="I759" s="9" t="s">
        <v>193</v>
      </c>
      <c r="J759" s="9" t="s">
        <v>194</v>
      </c>
    </row>
    <row r="760" spans="1:12" ht="23" customHeight="1">
      <c r="A760" s="9" t="s">
        <v>172</v>
      </c>
      <c r="B760" s="6">
        <v>5</v>
      </c>
      <c r="C760" s="9" t="s">
        <v>163</v>
      </c>
      <c r="D760" s="6">
        <v>131</v>
      </c>
      <c r="E760" s="9" t="s">
        <v>166</v>
      </c>
      <c r="F760" s="6">
        <v>145626</v>
      </c>
      <c r="G760" s="7">
        <v>145626</v>
      </c>
      <c r="H760" s="9">
        <f>(G760-F760)</f>
        <v>0.0</v>
      </c>
      <c r="I760" s="9" t="s">
        <v>193</v>
      </c>
      <c r="J760" s="9" t="s">
        <v>194</v>
      </c>
    </row>
    <row r="761" spans="1:12" ht="23" customHeight="1">
      <c r="A761" s="9" t="s">
        <v>172</v>
      </c>
      <c r="B761" s="6">
        <v>5</v>
      </c>
      <c r="C761" s="9" t="s">
        <v>163</v>
      </c>
      <c r="D761" s="6">
        <v>131</v>
      </c>
      <c r="E761" s="9" t="s">
        <v>176</v>
      </c>
      <c r="F761" s="6">
        <v>1835</v>
      </c>
      <c r="G761" s="7">
        <v>1835</v>
      </c>
      <c r="H761" s="9">
        <f>(G761-F761)</f>
        <v>0.0</v>
      </c>
      <c r="I761" s="9" t="s">
        <v>193</v>
      </c>
      <c r="J761" s="9" t="s">
        <v>194</v>
      </c>
    </row>
    <row r="762" spans="1:12" ht="23" customHeight="1">
      <c r="A762" s="9" t="s">
        <v>172</v>
      </c>
      <c r="B762" s="6">
        <v>5</v>
      </c>
      <c r="C762" s="9" t="s">
        <v>163</v>
      </c>
      <c r="D762" s="6">
        <v>131</v>
      </c>
      <c r="E762" s="9" t="s">
        <v>177</v>
      </c>
      <c r="F762" s="6">
        <v>1835</v>
      </c>
      <c r="G762" s="7">
        <v>1835</v>
      </c>
      <c r="H762" s="9">
        <f>(G762-F762)</f>
        <v>0.0</v>
      </c>
      <c r="I762" s="9" t="s">
        <v>193</v>
      </c>
      <c r="J762" s="9" t="s">
        <v>194</v>
      </c>
    </row>
    <row r="763" spans="1:12" ht="23" customHeight="1">
      <c r="A763" s="9" t="s">
        <v>172</v>
      </c>
      <c r="B763" s="6">
        <v>5</v>
      </c>
      <c r="C763" s="9" t="s">
        <v>163</v>
      </c>
      <c r="D763" s="6">
        <v>131</v>
      </c>
      <c r="E763" s="9" t="s">
        <v>167</v>
      </c>
      <c r="F763" s="6">
        <v>145626</v>
      </c>
      <c r="G763" s="7">
        <v>145626</v>
      </c>
      <c r="H763" s="9">
        <f>(G763-F763)</f>
        <v>0.0</v>
      </c>
      <c r="I763" s="9" t="s">
        <v>193</v>
      </c>
      <c r="J763" s="9" t="s">
        <v>194</v>
      </c>
    </row>
    <row r="764" spans="1:12" ht="23" customHeight="1">
      <c r="A764" s="9" t="s">
        <v>172</v>
      </c>
      <c r="B764" s="6">
        <v>5</v>
      </c>
      <c r="C764" s="9" t="s">
        <v>163</v>
      </c>
      <c r="D764" s="6">
        <v>131</v>
      </c>
      <c r="E764" s="9" t="s">
        <v>178</v>
      </c>
      <c r="F764" s="6">
        <v>1835</v>
      </c>
      <c r="G764" s="7">
        <v>1835</v>
      </c>
      <c r="H764" s="9">
        <f>(G764-F764)</f>
        <v>0.0</v>
      </c>
      <c r="I764" s="9" t="s">
        <v>193</v>
      </c>
      <c r="J764" s="9" t="s">
        <v>194</v>
      </c>
    </row>
    <row r="765" spans="1:12" ht="23" customHeight="1">
      <c r="A765" s="9" t="s">
        <v>172</v>
      </c>
      <c r="B765" s="6">
        <v>5</v>
      </c>
      <c r="C765" s="9" t="s">
        <v>163</v>
      </c>
      <c r="D765" s="6">
        <v>131</v>
      </c>
      <c r="E765" s="9" t="s">
        <v>179</v>
      </c>
      <c r="F765" s="6">
        <v>1835</v>
      </c>
      <c r="G765" s="7">
        <v>1835</v>
      </c>
      <c r="H765" s="9">
        <f>(G765-F765)</f>
        <v>0.0</v>
      </c>
      <c r="I765" s="9" t="s">
        <v>193</v>
      </c>
      <c r="J765" s="9" t="s">
        <v>194</v>
      </c>
    </row>
    <row r="766" spans="1:12" ht="23" customHeight="1">
      <c r="A766" s="9" t="s">
        <v>172</v>
      </c>
      <c r="B766" s="6">
        <v>5</v>
      </c>
      <c r="C766" s="9" t="s">
        <v>163</v>
      </c>
      <c r="D766" s="6">
        <v>131</v>
      </c>
      <c r="E766" s="9" t="s">
        <v>168</v>
      </c>
      <c r="F766" s="6">
        <v>145626</v>
      </c>
      <c r="G766" s="7">
        <v>145626</v>
      </c>
      <c r="H766" s="9">
        <f>(G766-F766)</f>
        <v>0.0</v>
      </c>
      <c r="I766" s="9" t="s">
        <v>193</v>
      </c>
      <c r="J766" s="9" t="s">
        <v>194</v>
      </c>
    </row>
    <row r="767" spans="1:12" ht="23" customHeight="1">
      <c r="A767" s="9" t="s">
        <v>172</v>
      </c>
      <c r="B767" s="6">
        <v>5</v>
      </c>
      <c r="C767" s="9" t="s">
        <v>163</v>
      </c>
      <c r="D767" s="6">
        <v>131</v>
      </c>
      <c r="E767" s="9" t="s">
        <v>169</v>
      </c>
      <c r="F767" s="6">
        <v>145626</v>
      </c>
      <c r="G767" s="7">
        <v>145626</v>
      </c>
      <c r="H767" s="9">
        <f>(G767-F767)</f>
        <v>0.0</v>
      </c>
      <c r="I767" s="9" t="s">
        <v>193</v>
      </c>
      <c r="J767" s="9" t="s">
        <v>194</v>
      </c>
    </row>
    <row r="768" spans="1:12" ht="24" customHeight="1">
      <c r="A768" s="3" t="s">
        <v>181</v>
      </c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spans="1:10" ht="36" customHeight="1">
      <c r="A769" s="4" t="s">
        <v>182</v>
      </c>
      <c r="B769" s="4" t="s">
        <v>8</v>
      </c>
      <c r="C769" s="4" t="s">
        <v>183</v>
      </c>
      <c r="D769" s="4" t="s">
        <v>184</v>
      </c>
      <c r="E769" s="4" t="s">
        <v>185</v>
      </c>
      <c r="F769" s="4" t="s">
        <v>186</v>
      </c>
      <c r="G769" s="4" t="s">
        <v>187</v>
      </c>
      <c r="H769" s="4" t="s">
        <v>188</v>
      </c>
      <c r="I769" s="4" t="s">
        <v>189</v>
      </c>
      <c r="J769" s="4" t="s">
        <v>190</v>
      </c>
    </row>
    <row r="770" spans="1:10" ht="23" customHeight="1">
      <c r="A770" s="9" t="s">
        <v>172</v>
      </c>
      <c r="B770" s="6">
        <v>5</v>
      </c>
      <c r="C770" s="9" t="s">
        <v>163</v>
      </c>
      <c r="D770" s="6">
        <v>131</v>
      </c>
      <c r="E770" s="9" t="s">
        <v>170</v>
      </c>
      <c r="F770" s="6">
        <v>145626</v>
      </c>
      <c r="G770" s="7">
        <v>145626</v>
      </c>
      <c r="H770" s="9">
        <f>(G770-F770)</f>
        <v>0.0</v>
      </c>
      <c r="I770" s="9" t="s">
        <v>193</v>
      </c>
      <c r="J770" s="9" t="s">
        <v>194</v>
      </c>
    </row>
    <row r="771" spans="1:10" ht="23" customHeight="1">
      <c r="A771" s="9" t="s">
        <v>172</v>
      </c>
      <c r="B771" s="6">
        <v>5</v>
      </c>
      <c r="C771" s="9" t="s">
        <v>163</v>
      </c>
      <c r="D771" s="6">
        <v>131</v>
      </c>
      <c r="E771" s="9" t="s">
        <v>171</v>
      </c>
      <c r="F771" s="6">
        <v>145626</v>
      </c>
      <c r="G771" s="7">
        <v>145626</v>
      </c>
      <c r="H771" s="9">
        <f>(G771-F771)</f>
        <v>0.0</v>
      </c>
      <c r="I771" s="9" t="s">
        <v>193</v>
      </c>
      <c r="J771" s="9" t="s">
        <v>194</v>
      </c>
    </row>
    <row r="772" spans="1:10" ht="23" customHeight="1">
      <c r="A772" s="9" t="s">
        <v>172</v>
      </c>
      <c r="B772" s="6">
        <v>5</v>
      </c>
      <c r="C772" s="9" t="s">
        <v>163</v>
      </c>
      <c r="D772" s="6">
        <v>132</v>
      </c>
      <c r="E772" s="9" t="s">
        <v>166</v>
      </c>
      <c r="F772" s="6">
        <v>145626</v>
      </c>
      <c r="G772" s="7">
        <v>145626</v>
      </c>
      <c r="H772" s="9">
        <f>(G772-F772)</f>
        <v>0.0</v>
      </c>
      <c r="I772" s="9" t="s">
        <v>193</v>
      </c>
      <c r="J772" s="9" t="s">
        <v>194</v>
      </c>
    </row>
    <row r="773" spans="1:10" ht="23" customHeight="1">
      <c r="A773" s="9" t="s">
        <v>172</v>
      </c>
      <c r="B773" s="6">
        <v>5</v>
      </c>
      <c r="C773" s="9" t="s">
        <v>163</v>
      </c>
      <c r="D773" s="6">
        <v>132</v>
      </c>
      <c r="E773" s="9" t="s">
        <v>176</v>
      </c>
      <c r="F773" s="6">
        <v>1835</v>
      </c>
      <c r="G773" s="7">
        <v>1835</v>
      </c>
      <c r="H773" s="9">
        <f>(G773-F773)</f>
        <v>0.0</v>
      </c>
      <c r="I773" s="9" t="s">
        <v>193</v>
      </c>
      <c r="J773" s="9" t="s">
        <v>194</v>
      </c>
    </row>
    <row r="774" spans="1:10" ht="23" customHeight="1">
      <c r="A774" s="9" t="s">
        <v>172</v>
      </c>
      <c r="B774" s="6">
        <v>5</v>
      </c>
      <c r="C774" s="9" t="s">
        <v>163</v>
      </c>
      <c r="D774" s="6">
        <v>132</v>
      </c>
      <c r="E774" s="9" t="s">
        <v>177</v>
      </c>
      <c r="F774" s="6">
        <v>1835</v>
      </c>
      <c r="G774" s="7">
        <v>1835</v>
      </c>
      <c r="H774" s="9">
        <f>(G774-F774)</f>
        <v>0.0</v>
      </c>
      <c r="I774" s="9" t="s">
        <v>193</v>
      </c>
      <c r="J774" s="9" t="s">
        <v>194</v>
      </c>
    </row>
    <row r="775" spans="1:10" ht="23" customHeight="1">
      <c r="A775" s="9" t="s">
        <v>172</v>
      </c>
      <c r="B775" s="6">
        <v>5</v>
      </c>
      <c r="C775" s="9" t="s">
        <v>163</v>
      </c>
      <c r="D775" s="6">
        <v>132</v>
      </c>
      <c r="E775" s="9" t="s">
        <v>167</v>
      </c>
      <c r="F775" s="6">
        <v>145626</v>
      </c>
      <c r="G775" s="7">
        <v>145626</v>
      </c>
      <c r="H775" s="9">
        <f>(G775-F775)</f>
        <v>0.0</v>
      </c>
      <c r="I775" s="9" t="s">
        <v>193</v>
      </c>
      <c r="J775" s="9" t="s">
        <v>194</v>
      </c>
    </row>
    <row r="776" spans="1:10" ht="23" customHeight="1">
      <c r="A776" s="9" t="s">
        <v>172</v>
      </c>
      <c r="B776" s="6">
        <v>5</v>
      </c>
      <c r="C776" s="9" t="s">
        <v>163</v>
      </c>
      <c r="D776" s="6">
        <v>132</v>
      </c>
      <c r="E776" s="9" t="s">
        <v>178</v>
      </c>
      <c r="F776" s="6">
        <v>1835</v>
      </c>
      <c r="G776" s="7">
        <v>1835</v>
      </c>
      <c r="H776" s="9">
        <f>(G776-F776)</f>
        <v>0.0</v>
      </c>
      <c r="I776" s="9" t="s">
        <v>193</v>
      </c>
      <c r="J776" s="9" t="s">
        <v>194</v>
      </c>
    </row>
    <row r="777" spans="1:10" ht="23" customHeight="1">
      <c r="A777" s="9" t="s">
        <v>172</v>
      </c>
      <c r="B777" s="6">
        <v>5</v>
      </c>
      <c r="C777" s="9" t="s">
        <v>163</v>
      </c>
      <c r="D777" s="6">
        <v>132</v>
      </c>
      <c r="E777" s="9" t="s">
        <v>179</v>
      </c>
      <c r="F777" s="6">
        <v>1835</v>
      </c>
      <c r="G777" s="7">
        <v>1835</v>
      </c>
      <c r="H777" s="9">
        <f>(G777-F777)</f>
        <v>0.0</v>
      </c>
      <c r="I777" s="9" t="s">
        <v>193</v>
      </c>
      <c r="J777" s="9" t="s">
        <v>194</v>
      </c>
    </row>
    <row r="778" spans="1:10" ht="23" customHeight="1">
      <c r="A778" s="9" t="s">
        <v>172</v>
      </c>
      <c r="B778" s="6">
        <v>5</v>
      </c>
      <c r="C778" s="9" t="s">
        <v>163</v>
      </c>
      <c r="D778" s="6">
        <v>132</v>
      </c>
      <c r="E778" s="9" t="s">
        <v>168</v>
      </c>
      <c r="F778" s="6">
        <v>145626</v>
      </c>
      <c r="G778" s="7">
        <v>145626</v>
      </c>
      <c r="H778" s="9">
        <f>(G778-F778)</f>
        <v>0.0</v>
      </c>
      <c r="I778" s="9" t="s">
        <v>193</v>
      </c>
      <c r="J778" s="9" t="s">
        <v>194</v>
      </c>
    </row>
    <row r="779" spans="1:10" ht="23" customHeight="1">
      <c r="A779" s="9" t="s">
        <v>172</v>
      </c>
      <c r="B779" s="6">
        <v>5</v>
      </c>
      <c r="C779" s="9" t="s">
        <v>163</v>
      </c>
      <c r="D779" s="6">
        <v>132</v>
      </c>
      <c r="E779" s="9" t="s">
        <v>169</v>
      </c>
      <c r="F779" s="6">
        <v>145626</v>
      </c>
      <c r="G779" s="7">
        <v>145626</v>
      </c>
      <c r="H779" s="9">
        <f>(G779-F779)</f>
        <v>0.0</v>
      </c>
      <c r="I779" s="9" t="s">
        <v>193</v>
      </c>
      <c r="J779" s="9" t="s">
        <v>194</v>
      </c>
    </row>
    <row r="780" spans="1:10" ht="23" customHeight="1">
      <c r="A780" s="9" t="s">
        <v>172</v>
      </c>
      <c r="B780" s="6">
        <v>5</v>
      </c>
      <c r="C780" s="9" t="s">
        <v>163</v>
      </c>
      <c r="D780" s="6">
        <v>132</v>
      </c>
      <c r="E780" s="9" t="s">
        <v>170</v>
      </c>
      <c r="F780" s="6">
        <v>145626</v>
      </c>
      <c r="G780" s="7">
        <v>145626</v>
      </c>
      <c r="H780" s="9">
        <f>(G780-F780)</f>
        <v>0.0</v>
      </c>
      <c r="I780" s="9" t="s">
        <v>193</v>
      </c>
      <c r="J780" s="9" t="s">
        <v>194</v>
      </c>
    </row>
    <row r="781" spans="1:10" ht="23" customHeight="1">
      <c r="A781" s="9" t="s">
        <v>172</v>
      </c>
      <c r="B781" s="6">
        <v>5</v>
      </c>
      <c r="C781" s="9" t="s">
        <v>163</v>
      </c>
      <c r="D781" s="6">
        <v>132</v>
      </c>
      <c r="E781" s="9" t="s">
        <v>171</v>
      </c>
      <c r="F781" s="6">
        <v>145626</v>
      </c>
      <c r="G781" s="7">
        <v>145626</v>
      </c>
      <c r="H781" s="9">
        <f>(G781-F781)</f>
        <v>0.0</v>
      </c>
      <c r="I781" s="9" t="s">
        <v>193</v>
      </c>
      <c r="J781" s="9" t="s">
        <v>194</v>
      </c>
    </row>
    <row r="782" spans="1:10" ht="23" customHeight="1">
      <c r="A782" s="9" t="s">
        <v>172</v>
      </c>
      <c r="B782" s="6">
        <v>5</v>
      </c>
      <c r="C782" s="9" t="s">
        <v>163</v>
      </c>
      <c r="D782" s="6">
        <v>133</v>
      </c>
      <c r="E782" s="9" t="s">
        <v>166</v>
      </c>
      <c r="F782" s="6">
        <v>145626</v>
      </c>
      <c r="G782" s="7">
        <v>145626</v>
      </c>
      <c r="H782" s="9">
        <f>(G782-F782)</f>
        <v>0.0</v>
      </c>
      <c r="I782" s="9" t="s">
        <v>193</v>
      </c>
      <c r="J782" s="9" t="s">
        <v>194</v>
      </c>
    </row>
    <row r="783" spans="1:10" ht="23" customHeight="1">
      <c r="A783" s="9" t="s">
        <v>172</v>
      </c>
      <c r="B783" s="6">
        <v>5</v>
      </c>
      <c r="C783" s="9" t="s">
        <v>163</v>
      </c>
      <c r="D783" s="6">
        <v>133</v>
      </c>
      <c r="E783" s="9" t="s">
        <v>176</v>
      </c>
      <c r="F783" s="6">
        <v>1835</v>
      </c>
      <c r="G783" s="7">
        <v>1835</v>
      </c>
      <c r="H783" s="9">
        <f>(G783-F783)</f>
        <v>0.0</v>
      </c>
      <c r="I783" s="9" t="s">
        <v>193</v>
      </c>
      <c r="J783" s="9" t="s">
        <v>194</v>
      </c>
    </row>
    <row r="784" spans="1:10" ht="23" customHeight="1">
      <c r="A784" s="9" t="s">
        <v>172</v>
      </c>
      <c r="B784" s="6">
        <v>5</v>
      </c>
      <c r="C784" s="9" t="s">
        <v>163</v>
      </c>
      <c r="D784" s="6">
        <v>133</v>
      </c>
      <c r="E784" s="9" t="s">
        <v>177</v>
      </c>
      <c r="F784" s="6">
        <v>1835</v>
      </c>
      <c r="G784" s="7">
        <v>1835</v>
      </c>
      <c r="H784" s="9">
        <f>(G784-F784)</f>
        <v>0.0</v>
      </c>
      <c r="I784" s="9" t="s">
        <v>193</v>
      </c>
      <c r="J784" s="9" t="s">
        <v>194</v>
      </c>
    </row>
    <row r="785" spans="1:12" ht="24" customHeight="1">
      <c r="A785" s="3" t="s">
        <v>181</v>
      </c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spans="1:12" ht="36" customHeight="1">
      <c r="A786" s="4" t="s">
        <v>182</v>
      </c>
      <c r="B786" s="4" t="s">
        <v>8</v>
      </c>
      <c r="C786" s="4" t="s">
        <v>183</v>
      </c>
      <c r="D786" s="4" t="s">
        <v>184</v>
      </c>
      <c r="E786" s="4" t="s">
        <v>185</v>
      </c>
      <c r="F786" s="4" t="s">
        <v>186</v>
      </c>
      <c r="G786" s="4" t="s">
        <v>187</v>
      </c>
      <c r="H786" s="4" t="s">
        <v>188</v>
      </c>
      <c r="I786" s="4" t="s">
        <v>189</v>
      </c>
      <c r="J786" s="4" t="s">
        <v>190</v>
      </c>
    </row>
    <row r="787" spans="1:12" ht="23" customHeight="1">
      <c r="A787" s="9" t="s">
        <v>172</v>
      </c>
      <c r="B787" s="6">
        <v>5</v>
      </c>
      <c r="C787" s="9" t="s">
        <v>163</v>
      </c>
      <c r="D787" s="6">
        <v>133</v>
      </c>
      <c r="E787" s="9" t="s">
        <v>167</v>
      </c>
      <c r="F787" s="6">
        <v>145626</v>
      </c>
      <c r="G787" s="7">
        <v>145626</v>
      </c>
      <c r="H787" s="9">
        <f>(G787-F787)</f>
        <v>0.0</v>
      </c>
      <c r="I787" s="9" t="s">
        <v>193</v>
      </c>
      <c r="J787" s="9" t="s">
        <v>194</v>
      </c>
    </row>
    <row r="788" spans="1:12" ht="23" customHeight="1">
      <c r="A788" s="9" t="s">
        <v>172</v>
      </c>
      <c r="B788" s="6">
        <v>5</v>
      </c>
      <c r="C788" s="9" t="s">
        <v>163</v>
      </c>
      <c r="D788" s="6">
        <v>133</v>
      </c>
      <c r="E788" s="9" t="s">
        <v>178</v>
      </c>
      <c r="F788" s="6">
        <v>1835</v>
      </c>
      <c r="G788" s="7">
        <v>1835</v>
      </c>
      <c r="H788" s="9">
        <f>(G788-F788)</f>
        <v>0.0</v>
      </c>
      <c r="I788" s="9" t="s">
        <v>193</v>
      </c>
      <c r="J788" s="9" t="s">
        <v>194</v>
      </c>
    </row>
    <row r="789" spans="1:12" ht="23" customHeight="1">
      <c r="A789" s="9" t="s">
        <v>172</v>
      </c>
      <c r="B789" s="6">
        <v>5</v>
      </c>
      <c r="C789" s="9" t="s">
        <v>163</v>
      </c>
      <c r="D789" s="6">
        <v>133</v>
      </c>
      <c r="E789" s="9" t="s">
        <v>179</v>
      </c>
      <c r="F789" s="6">
        <v>1835</v>
      </c>
      <c r="G789" s="7">
        <v>1835</v>
      </c>
      <c r="H789" s="9">
        <f>(G789-F789)</f>
        <v>0.0</v>
      </c>
      <c r="I789" s="9" t="s">
        <v>193</v>
      </c>
      <c r="J789" s="9" t="s">
        <v>194</v>
      </c>
    </row>
    <row r="790" spans="1:12" ht="23" customHeight="1">
      <c r="A790" s="9" t="s">
        <v>172</v>
      </c>
      <c r="B790" s="6">
        <v>5</v>
      </c>
      <c r="C790" s="9" t="s">
        <v>163</v>
      </c>
      <c r="D790" s="6">
        <v>133</v>
      </c>
      <c r="E790" s="9" t="s">
        <v>168</v>
      </c>
      <c r="F790" s="6">
        <v>145626</v>
      </c>
      <c r="G790" s="7">
        <v>145626</v>
      </c>
      <c r="H790" s="9">
        <f>(G790-F790)</f>
        <v>0.0</v>
      </c>
      <c r="I790" s="9" t="s">
        <v>193</v>
      </c>
      <c r="J790" s="9" t="s">
        <v>194</v>
      </c>
    </row>
    <row r="791" spans="1:12" ht="23" customHeight="1">
      <c r="A791" s="9" t="s">
        <v>172</v>
      </c>
      <c r="B791" s="6">
        <v>5</v>
      </c>
      <c r="C791" s="9" t="s">
        <v>163</v>
      </c>
      <c r="D791" s="6">
        <v>133</v>
      </c>
      <c r="E791" s="9" t="s">
        <v>169</v>
      </c>
      <c r="F791" s="6">
        <v>145626</v>
      </c>
      <c r="G791" s="7">
        <v>145626</v>
      </c>
      <c r="H791" s="9">
        <f>(G791-F791)</f>
        <v>0.0</v>
      </c>
      <c r="I791" s="9" t="s">
        <v>193</v>
      </c>
      <c r="J791" s="9" t="s">
        <v>194</v>
      </c>
    </row>
    <row r="792" spans="1:12" ht="23" customHeight="1">
      <c r="A792" s="9" t="s">
        <v>172</v>
      </c>
      <c r="B792" s="6">
        <v>5</v>
      </c>
      <c r="C792" s="9" t="s">
        <v>163</v>
      </c>
      <c r="D792" s="6">
        <v>133</v>
      </c>
      <c r="E792" s="9" t="s">
        <v>170</v>
      </c>
      <c r="F792" s="6">
        <v>145626</v>
      </c>
      <c r="G792" s="7">
        <v>145626</v>
      </c>
      <c r="H792" s="9">
        <f>(G792-F792)</f>
        <v>0.0</v>
      </c>
      <c r="I792" s="9" t="s">
        <v>193</v>
      </c>
      <c r="J792" s="9" t="s">
        <v>194</v>
      </c>
    </row>
    <row r="793" spans="1:12" ht="23" customHeight="1">
      <c r="A793" s="9" t="s">
        <v>172</v>
      </c>
      <c r="B793" s="6">
        <v>5</v>
      </c>
      <c r="C793" s="9" t="s">
        <v>163</v>
      </c>
      <c r="D793" s="6">
        <v>133</v>
      </c>
      <c r="E793" s="9" t="s">
        <v>171</v>
      </c>
      <c r="F793" s="6">
        <v>145626</v>
      </c>
      <c r="G793" s="7">
        <v>145626</v>
      </c>
      <c r="H793" s="9">
        <f>(G793-F793)</f>
        <v>0.0</v>
      </c>
      <c r="I793" s="9" t="s">
        <v>193</v>
      </c>
      <c r="J793" s="9" t="s">
        <v>194</v>
      </c>
    </row>
    <row r="794" spans="1:12" ht="23" customHeight="1">
      <c r="A794" s="9" t="s">
        <v>172</v>
      </c>
      <c r="B794" s="6">
        <v>5</v>
      </c>
      <c r="C794" s="9" t="s">
        <v>163</v>
      </c>
      <c r="D794" s="6">
        <v>134</v>
      </c>
      <c r="E794" s="9" t="s">
        <v>166</v>
      </c>
      <c r="F794" s="6">
        <v>145626</v>
      </c>
      <c r="G794" s="7">
        <v>145626</v>
      </c>
      <c r="H794" s="9">
        <f>(G794-F794)</f>
        <v>0.0</v>
      </c>
      <c r="I794" s="9" t="s">
        <v>193</v>
      </c>
      <c r="J794" s="9" t="s">
        <v>194</v>
      </c>
    </row>
    <row r="795" spans="1:12" ht="23" customHeight="1">
      <c r="A795" s="9" t="s">
        <v>172</v>
      </c>
      <c r="B795" s="6">
        <v>5</v>
      </c>
      <c r="C795" s="9" t="s">
        <v>163</v>
      </c>
      <c r="D795" s="6">
        <v>134</v>
      </c>
      <c r="E795" s="9" t="s">
        <v>176</v>
      </c>
      <c r="F795" s="6">
        <v>1835</v>
      </c>
      <c r="G795" s="7">
        <v>1835</v>
      </c>
      <c r="H795" s="9">
        <f>(G795-F795)</f>
        <v>0.0</v>
      </c>
      <c r="I795" s="9" t="s">
        <v>193</v>
      </c>
      <c r="J795" s="9" t="s">
        <v>194</v>
      </c>
    </row>
    <row r="796" spans="1:12" ht="23" customHeight="1">
      <c r="A796" s="9" t="s">
        <v>172</v>
      </c>
      <c r="B796" s="6">
        <v>5</v>
      </c>
      <c r="C796" s="9" t="s">
        <v>163</v>
      </c>
      <c r="D796" s="6">
        <v>134</v>
      </c>
      <c r="E796" s="9" t="s">
        <v>177</v>
      </c>
      <c r="F796" s="6">
        <v>1835</v>
      </c>
      <c r="G796" s="7">
        <v>1835</v>
      </c>
      <c r="H796" s="9">
        <f>(G796-F796)</f>
        <v>0.0</v>
      </c>
      <c r="I796" s="9" t="s">
        <v>193</v>
      </c>
      <c r="J796" s="9" t="s">
        <v>194</v>
      </c>
    </row>
    <row r="797" spans="1:12" ht="23" customHeight="1">
      <c r="A797" s="9" t="s">
        <v>172</v>
      </c>
      <c r="B797" s="6">
        <v>5</v>
      </c>
      <c r="C797" s="9" t="s">
        <v>163</v>
      </c>
      <c r="D797" s="6">
        <v>134</v>
      </c>
      <c r="E797" s="9" t="s">
        <v>167</v>
      </c>
      <c r="F797" s="6">
        <v>145626</v>
      </c>
      <c r="G797" s="7">
        <v>145626</v>
      </c>
      <c r="H797" s="9">
        <f>(G797-F797)</f>
        <v>0.0</v>
      </c>
      <c r="I797" s="9" t="s">
        <v>193</v>
      </c>
      <c r="J797" s="9" t="s">
        <v>194</v>
      </c>
    </row>
    <row r="798" spans="1:12" ht="23" customHeight="1">
      <c r="A798" s="9" t="s">
        <v>172</v>
      </c>
      <c r="B798" s="6">
        <v>5</v>
      </c>
      <c r="C798" s="9" t="s">
        <v>163</v>
      </c>
      <c r="D798" s="6">
        <v>134</v>
      </c>
      <c r="E798" s="9" t="s">
        <v>178</v>
      </c>
      <c r="F798" s="6">
        <v>1835</v>
      </c>
      <c r="G798" s="7">
        <v>1835</v>
      </c>
      <c r="H798" s="9">
        <f>(G798-F798)</f>
        <v>0.0</v>
      </c>
      <c r="I798" s="9" t="s">
        <v>193</v>
      </c>
      <c r="J798" s="9" t="s">
        <v>194</v>
      </c>
    </row>
    <row r="799" spans="1:12" ht="23" customHeight="1">
      <c r="A799" s="9" t="s">
        <v>172</v>
      </c>
      <c r="B799" s="6">
        <v>5</v>
      </c>
      <c r="C799" s="9" t="s">
        <v>163</v>
      </c>
      <c r="D799" s="6">
        <v>134</v>
      </c>
      <c r="E799" s="9" t="s">
        <v>179</v>
      </c>
      <c r="F799" s="6">
        <v>1835</v>
      </c>
      <c r="G799" s="7">
        <v>1835</v>
      </c>
      <c r="H799" s="9">
        <f>(G799-F799)</f>
        <v>0.0</v>
      </c>
      <c r="I799" s="9" t="s">
        <v>193</v>
      </c>
      <c r="J799" s="9" t="s">
        <v>194</v>
      </c>
    </row>
    <row r="800" spans="1:12" ht="23" customHeight="1">
      <c r="A800" s="9" t="s">
        <v>172</v>
      </c>
      <c r="B800" s="6">
        <v>5</v>
      </c>
      <c r="C800" s="9" t="s">
        <v>163</v>
      </c>
      <c r="D800" s="6">
        <v>134</v>
      </c>
      <c r="E800" s="9" t="s">
        <v>168</v>
      </c>
      <c r="F800" s="6">
        <v>145626</v>
      </c>
      <c r="G800" s="7">
        <v>145626</v>
      </c>
      <c r="H800" s="9">
        <f>(G800-F800)</f>
        <v>0.0</v>
      </c>
      <c r="I800" s="9" t="s">
        <v>193</v>
      </c>
      <c r="J800" s="9" t="s">
        <v>194</v>
      </c>
    </row>
    <row r="801" spans="1:12" ht="23" customHeight="1">
      <c r="A801" s="9" t="s">
        <v>172</v>
      </c>
      <c r="B801" s="6">
        <v>5</v>
      </c>
      <c r="C801" s="9" t="s">
        <v>163</v>
      </c>
      <c r="D801" s="6">
        <v>134</v>
      </c>
      <c r="E801" s="9" t="s">
        <v>169</v>
      </c>
      <c r="F801" s="6">
        <v>145626</v>
      </c>
      <c r="G801" s="7">
        <v>145626</v>
      </c>
      <c r="H801" s="9">
        <f>(G801-F801)</f>
        <v>0.0</v>
      </c>
      <c r="I801" s="9" t="s">
        <v>193</v>
      </c>
      <c r="J801" s="9" t="s">
        <v>194</v>
      </c>
    </row>
    <row r="802" spans="1:12" ht="24" customHeight="1">
      <c r="A802" s="3" t="s">
        <v>181</v>
      </c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spans="1:12" ht="36" customHeight="1">
      <c r="A803" s="4" t="s">
        <v>182</v>
      </c>
      <c r="B803" s="4" t="s">
        <v>8</v>
      </c>
      <c r="C803" s="4" t="s">
        <v>183</v>
      </c>
      <c r="D803" s="4" t="s">
        <v>184</v>
      </c>
      <c r="E803" s="4" t="s">
        <v>185</v>
      </c>
      <c r="F803" s="4" t="s">
        <v>186</v>
      </c>
      <c r="G803" s="4" t="s">
        <v>187</v>
      </c>
      <c r="H803" s="4" t="s">
        <v>188</v>
      </c>
      <c r="I803" s="4" t="s">
        <v>189</v>
      </c>
      <c r="J803" s="4" t="s">
        <v>190</v>
      </c>
    </row>
    <row r="804" spans="1:12" ht="23" customHeight="1">
      <c r="A804" s="9" t="s">
        <v>172</v>
      </c>
      <c r="B804" s="6">
        <v>5</v>
      </c>
      <c r="C804" s="9" t="s">
        <v>163</v>
      </c>
      <c r="D804" s="6">
        <v>134</v>
      </c>
      <c r="E804" s="9" t="s">
        <v>170</v>
      </c>
      <c r="F804" s="6">
        <v>145626</v>
      </c>
      <c r="G804" s="7">
        <v>145626</v>
      </c>
      <c r="H804" s="9">
        <f>(G804-F804)</f>
        <v>0.0</v>
      </c>
      <c r="I804" s="9" t="s">
        <v>193</v>
      </c>
      <c r="J804" s="9" t="s">
        <v>194</v>
      </c>
    </row>
    <row r="805" spans="1:12" ht="23" customHeight="1">
      <c r="A805" s="9" t="s">
        <v>172</v>
      </c>
      <c r="B805" s="6">
        <v>5</v>
      </c>
      <c r="C805" s="9" t="s">
        <v>163</v>
      </c>
      <c r="D805" s="6">
        <v>134</v>
      </c>
      <c r="E805" s="9" t="s">
        <v>171</v>
      </c>
      <c r="F805" s="6">
        <v>145626</v>
      </c>
      <c r="G805" s="7">
        <v>145626</v>
      </c>
      <c r="H805" s="9">
        <f>(G805-F805)</f>
        <v>0.0</v>
      </c>
      <c r="I805" s="9" t="s">
        <v>193</v>
      </c>
      <c r="J805" s="9" t="s">
        <v>194</v>
      </c>
    </row>
    <row r="806" spans="1:12" ht="23" customHeight="1">
      <c r="A806" s="9" t="s">
        <v>172</v>
      </c>
      <c r="B806" s="6">
        <v>5</v>
      </c>
      <c r="C806" s="9" t="s">
        <v>163</v>
      </c>
      <c r="D806" s="6">
        <v>135</v>
      </c>
      <c r="E806" s="9" t="s">
        <v>166</v>
      </c>
      <c r="F806" s="6">
        <v>145626</v>
      </c>
      <c r="G806" s="7">
        <v>145626</v>
      </c>
      <c r="H806" s="9">
        <f>(G806-F806)</f>
        <v>0.0</v>
      </c>
      <c r="I806" s="9" t="s">
        <v>193</v>
      </c>
      <c r="J806" s="9" t="s">
        <v>194</v>
      </c>
    </row>
    <row r="807" spans="1:12" ht="23" customHeight="1">
      <c r="A807" s="9" t="s">
        <v>172</v>
      </c>
      <c r="B807" s="6">
        <v>5</v>
      </c>
      <c r="C807" s="9" t="s">
        <v>163</v>
      </c>
      <c r="D807" s="6">
        <v>135</v>
      </c>
      <c r="E807" s="9" t="s">
        <v>176</v>
      </c>
      <c r="F807" s="6">
        <v>1835</v>
      </c>
      <c r="G807" s="7">
        <v>1835</v>
      </c>
      <c r="H807" s="9">
        <f>(G807-F807)</f>
        <v>0.0</v>
      </c>
      <c r="I807" s="9" t="s">
        <v>193</v>
      </c>
      <c r="J807" s="9" t="s">
        <v>194</v>
      </c>
    </row>
    <row r="808" spans="1:12" ht="23" customHeight="1">
      <c r="A808" s="9" t="s">
        <v>172</v>
      </c>
      <c r="B808" s="6">
        <v>5</v>
      </c>
      <c r="C808" s="9" t="s">
        <v>163</v>
      </c>
      <c r="D808" s="6">
        <v>135</v>
      </c>
      <c r="E808" s="9" t="s">
        <v>177</v>
      </c>
      <c r="F808" s="6">
        <v>1835</v>
      </c>
      <c r="G808" s="7">
        <v>1835</v>
      </c>
      <c r="H808" s="9">
        <f>(G808-F808)</f>
        <v>0.0</v>
      </c>
      <c r="I808" s="9" t="s">
        <v>193</v>
      </c>
      <c r="J808" s="9" t="s">
        <v>194</v>
      </c>
    </row>
    <row r="809" spans="1:12" ht="23" customHeight="1">
      <c r="A809" s="9" t="s">
        <v>172</v>
      </c>
      <c r="B809" s="6">
        <v>5</v>
      </c>
      <c r="C809" s="9" t="s">
        <v>163</v>
      </c>
      <c r="D809" s="6">
        <v>135</v>
      </c>
      <c r="E809" s="9" t="s">
        <v>167</v>
      </c>
      <c r="F809" s="6">
        <v>145626</v>
      </c>
      <c r="G809" s="7">
        <v>145626</v>
      </c>
      <c r="H809" s="9">
        <f>(G809-F809)</f>
        <v>0.0</v>
      </c>
      <c r="I809" s="9" t="s">
        <v>193</v>
      </c>
      <c r="J809" s="9" t="s">
        <v>194</v>
      </c>
    </row>
    <row r="810" spans="1:12" ht="23" customHeight="1">
      <c r="A810" s="9" t="s">
        <v>172</v>
      </c>
      <c r="B810" s="6">
        <v>5</v>
      </c>
      <c r="C810" s="9" t="s">
        <v>163</v>
      </c>
      <c r="D810" s="6">
        <v>135</v>
      </c>
      <c r="E810" s="9" t="s">
        <v>178</v>
      </c>
      <c r="F810" s="6">
        <v>1835</v>
      </c>
      <c r="G810" s="7">
        <v>1835</v>
      </c>
      <c r="H810" s="9">
        <f>(G810-F810)</f>
        <v>0.0</v>
      </c>
      <c r="I810" s="9" t="s">
        <v>193</v>
      </c>
      <c r="J810" s="9" t="s">
        <v>194</v>
      </c>
    </row>
    <row r="811" spans="1:12" ht="23" customHeight="1">
      <c r="A811" s="9" t="s">
        <v>172</v>
      </c>
      <c r="B811" s="6">
        <v>5</v>
      </c>
      <c r="C811" s="9" t="s">
        <v>163</v>
      </c>
      <c r="D811" s="6">
        <v>135</v>
      </c>
      <c r="E811" s="9" t="s">
        <v>179</v>
      </c>
      <c r="F811" s="6">
        <v>1835</v>
      </c>
      <c r="G811" s="7">
        <v>1835</v>
      </c>
      <c r="H811" s="9">
        <f>(G811-F811)</f>
        <v>0.0</v>
      </c>
      <c r="I811" s="9" t="s">
        <v>193</v>
      </c>
      <c r="J811" s="9" t="s">
        <v>194</v>
      </c>
    </row>
    <row r="812" spans="1:12" ht="23" customHeight="1">
      <c r="A812" s="9" t="s">
        <v>172</v>
      </c>
      <c r="B812" s="6">
        <v>5</v>
      </c>
      <c r="C812" s="9" t="s">
        <v>163</v>
      </c>
      <c r="D812" s="6">
        <v>135</v>
      </c>
      <c r="E812" s="9" t="s">
        <v>168</v>
      </c>
      <c r="F812" s="6">
        <v>145626</v>
      </c>
      <c r="G812" s="7">
        <v>145626</v>
      </c>
      <c r="H812" s="9">
        <f>(G812-F812)</f>
        <v>0.0</v>
      </c>
      <c r="I812" s="9" t="s">
        <v>193</v>
      </c>
      <c r="J812" s="9" t="s">
        <v>194</v>
      </c>
    </row>
    <row r="813" spans="1:12" ht="23" customHeight="1">
      <c r="A813" s="9" t="s">
        <v>172</v>
      </c>
      <c r="B813" s="6">
        <v>5</v>
      </c>
      <c r="C813" s="9" t="s">
        <v>163</v>
      </c>
      <c r="D813" s="6">
        <v>135</v>
      </c>
      <c r="E813" s="9" t="s">
        <v>169</v>
      </c>
      <c r="F813" s="6">
        <v>145626</v>
      </c>
      <c r="G813" s="7">
        <v>145626</v>
      </c>
      <c r="H813" s="9">
        <f>(G813-F813)</f>
        <v>0.0</v>
      </c>
      <c r="I813" s="9" t="s">
        <v>193</v>
      </c>
      <c r="J813" s="9" t="s">
        <v>194</v>
      </c>
    </row>
    <row r="814" spans="1:12" ht="23" customHeight="1">
      <c r="A814" s="9" t="s">
        <v>172</v>
      </c>
      <c r="B814" s="6">
        <v>5</v>
      </c>
      <c r="C814" s="9" t="s">
        <v>163</v>
      </c>
      <c r="D814" s="6">
        <v>135</v>
      </c>
      <c r="E814" s="9" t="s">
        <v>170</v>
      </c>
      <c r="F814" s="6">
        <v>145626</v>
      </c>
      <c r="G814" s="7">
        <v>145626</v>
      </c>
      <c r="H814" s="9">
        <f>(G814-F814)</f>
        <v>0.0</v>
      </c>
      <c r="I814" s="9" t="s">
        <v>193</v>
      </c>
      <c r="J814" s="9" t="s">
        <v>194</v>
      </c>
    </row>
    <row r="815" spans="1:12" ht="23" customHeight="1">
      <c r="A815" s="9" t="s">
        <v>172</v>
      </c>
      <c r="B815" s="6">
        <v>5</v>
      </c>
      <c r="C815" s="9" t="s">
        <v>163</v>
      </c>
      <c r="D815" s="6">
        <v>135</v>
      </c>
      <c r="E815" s="9" t="s">
        <v>171</v>
      </c>
      <c r="F815" s="6">
        <v>145626</v>
      </c>
      <c r="G815" s="7">
        <v>145626</v>
      </c>
      <c r="H815" s="9">
        <f>(G815-F815)</f>
        <v>0.0</v>
      </c>
      <c r="I815" s="9" t="s">
        <v>193</v>
      </c>
      <c r="J815" s="9" t="s">
        <v>194</v>
      </c>
    </row>
    <row r="816" spans="1:12" ht="23" customHeight="1">
      <c r="A816" s="9" t="s">
        <v>172</v>
      </c>
      <c r="B816" s="6">
        <v>5</v>
      </c>
      <c r="C816" s="9" t="s">
        <v>163</v>
      </c>
      <c r="D816" s="6">
        <v>136</v>
      </c>
      <c r="E816" s="9" t="s">
        <v>166</v>
      </c>
      <c r="F816" s="6">
        <v>145626</v>
      </c>
      <c r="G816" s="7">
        <v>145626</v>
      </c>
      <c r="H816" s="9">
        <f>(G816-F816)</f>
        <v>0.0</v>
      </c>
      <c r="I816" s="9" t="s">
        <v>193</v>
      </c>
      <c r="J816" s="9" t="s">
        <v>194</v>
      </c>
    </row>
    <row r="817" spans="1:12" ht="23" customHeight="1">
      <c r="A817" s="9" t="s">
        <v>172</v>
      </c>
      <c r="B817" s="6">
        <v>5</v>
      </c>
      <c r="C817" s="9" t="s">
        <v>163</v>
      </c>
      <c r="D817" s="6">
        <v>136</v>
      </c>
      <c r="E817" s="9" t="s">
        <v>176</v>
      </c>
      <c r="F817" s="6">
        <v>1835</v>
      </c>
      <c r="G817" s="7">
        <v>1835</v>
      </c>
      <c r="H817" s="9">
        <f>(G817-F817)</f>
        <v>0.0</v>
      </c>
      <c r="I817" s="9" t="s">
        <v>193</v>
      </c>
      <c r="J817" s="9" t="s">
        <v>194</v>
      </c>
    </row>
    <row r="818" spans="1:12" ht="23" customHeight="1">
      <c r="A818" s="9" t="s">
        <v>172</v>
      </c>
      <c r="B818" s="6">
        <v>5</v>
      </c>
      <c r="C818" s="9" t="s">
        <v>163</v>
      </c>
      <c r="D818" s="6">
        <v>136</v>
      </c>
      <c r="E818" s="9" t="s">
        <v>177</v>
      </c>
      <c r="F818" s="6">
        <v>1835</v>
      </c>
      <c r="G818" s="7">
        <v>1835</v>
      </c>
      <c r="H818" s="9">
        <f>(G818-F818)</f>
        <v>0.0</v>
      </c>
      <c r="I818" s="9" t="s">
        <v>193</v>
      </c>
      <c r="J818" s="9" t="s">
        <v>194</v>
      </c>
    </row>
    <row r="819" spans="1:12" ht="24" customHeight="1">
      <c r="A819" s="3" t="s">
        <v>181</v>
      </c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spans="1:12" ht="36" customHeight="1">
      <c r="A820" s="4" t="s">
        <v>182</v>
      </c>
      <c r="B820" s="4" t="s">
        <v>8</v>
      </c>
      <c r="C820" s="4" t="s">
        <v>183</v>
      </c>
      <c r="D820" s="4" t="s">
        <v>184</v>
      </c>
      <c r="E820" s="4" t="s">
        <v>185</v>
      </c>
      <c r="F820" s="4" t="s">
        <v>186</v>
      </c>
      <c r="G820" s="4" t="s">
        <v>187</v>
      </c>
      <c r="H820" s="4" t="s">
        <v>188</v>
      </c>
      <c r="I820" s="4" t="s">
        <v>189</v>
      </c>
      <c r="J820" s="4" t="s">
        <v>190</v>
      </c>
    </row>
    <row r="821" spans="1:12" ht="23" customHeight="1">
      <c r="A821" s="9" t="s">
        <v>172</v>
      </c>
      <c r="B821" s="6">
        <v>5</v>
      </c>
      <c r="C821" s="9" t="s">
        <v>163</v>
      </c>
      <c r="D821" s="6">
        <v>136</v>
      </c>
      <c r="E821" s="9" t="s">
        <v>167</v>
      </c>
      <c r="F821" s="6">
        <v>145626</v>
      </c>
      <c r="G821" s="7">
        <v>145626</v>
      </c>
      <c r="H821" s="9">
        <f>(G821-F821)</f>
        <v>0.0</v>
      </c>
      <c r="I821" s="9" t="s">
        <v>193</v>
      </c>
      <c r="J821" s="9" t="s">
        <v>194</v>
      </c>
    </row>
    <row r="822" spans="1:12" ht="23" customHeight="1">
      <c r="A822" s="9" t="s">
        <v>172</v>
      </c>
      <c r="B822" s="6">
        <v>5</v>
      </c>
      <c r="C822" s="9" t="s">
        <v>163</v>
      </c>
      <c r="D822" s="6">
        <v>136</v>
      </c>
      <c r="E822" s="9" t="s">
        <v>178</v>
      </c>
      <c r="F822" s="6">
        <v>1835</v>
      </c>
      <c r="G822" s="7">
        <v>1835</v>
      </c>
      <c r="H822" s="9">
        <f>(G822-F822)</f>
        <v>0.0</v>
      </c>
      <c r="I822" s="9" t="s">
        <v>193</v>
      </c>
      <c r="J822" s="9" t="s">
        <v>194</v>
      </c>
    </row>
    <row r="823" spans="1:12" ht="23" customHeight="1">
      <c r="A823" s="9" t="s">
        <v>172</v>
      </c>
      <c r="B823" s="6">
        <v>5</v>
      </c>
      <c r="C823" s="9" t="s">
        <v>163</v>
      </c>
      <c r="D823" s="6">
        <v>136</v>
      </c>
      <c r="E823" s="9" t="s">
        <v>179</v>
      </c>
      <c r="F823" s="6">
        <v>1835</v>
      </c>
      <c r="G823" s="7">
        <v>1835</v>
      </c>
      <c r="H823" s="9">
        <f>(G823-F823)</f>
        <v>0.0</v>
      </c>
      <c r="I823" s="9" t="s">
        <v>193</v>
      </c>
      <c r="J823" s="9" t="s">
        <v>194</v>
      </c>
    </row>
    <row r="824" spans="1:12" ht="23" customHeight="1">
      <c r="A824" s="9" t="s">
        <v>172</v>
      </c>
      <c r="B824" s="6">
        <v>5</v>
      </c>
      <c r="C824" s="9" t="s">
        <v>163</v>
      </c>
      <c r="D824" s="6">
        <v>136</v>
      </c>
      <c r="E824" s="9" t="s">
        <v>168</v>
      </c>
      <c r="F824" s="6">
        <v>145626</v>
      </c>
      <c r="G824" s="7">
        <v>145626</v>
      </c>
      <c r="H824" s="9">
        <f>(G824-F824)</f>
        <v>0.0</v>
      </c>
      <c r="I824" s="9" t="s">
        <v>193</v>
      </c>
      <c r="J824" s="9" t="s">
        <v>194</v>
      </c>
    </row>
    <row r="825" spans="1:12" ht="23" customHeight="1">
      <c r="A825" s="9" t="s">
        <v>172</v>
      </c>
      <c r="B825" s="6">
        <v>5</v>
      </c>
      <c r="C825" s="9" t="s">
        <v>163</v>
      </c>
      <c r="D825" s="6">
        <v>136</v>
      </c>
      <c r="E825" s="9" t="s">
        <v>169</v>
      </c>
      <c r="F825" s="6">
        <v>145626</v>
      </c>
      <c r="G825" s="7">
        <v>145626</v>
      </c>
      <c r="H825" s="9">
        <f>(G825-F825)</f>
        <v>0.0</v>
      </c>
      <c r="I825" s="9" t="s">
        <v>193</v>
      </c>
      <c r="J825" s="9" t="s">
        <v>194</v>
      </c>
    </row>
    <row r="826" spans="1:12" ht="23" customHeight="1">
      <c r="A826" s="9" t="s">
        <v>172</v>
      </c>
      <c r="B826" s="6">
        <v>5</v>
      </c>
      <c r="C826" s="9" t="s">
        <v>163</v>
      </c>
      <c r="D826" s="6">
        <v>136</v>
      </c>
      <c r="E826" s="9" t="s">
        <v>170</v>
      </c>
      <c r="F826" s="6">
        <v>145626</v>
      </c>
      <c r="G826" s="7">
        <v>145626</v>
      </c>
      <c r="H826" s="9">
        <f>(G826-F826)</f>
        <v>0.0</v>
      </c>
      <c r="I826" s="9" t="s">
        <v>193</v>
      </c>
      <c r="J826" s="9" t="s">
        <v>194</v>
      </c>
    </row>
    <row r="827" spans="1:12" ht="23" customHeight="1">
      <c r="A827" s="9" t="s">
        <v>172</v>
      </c>
      <c r="B827" s="6">
        <v>5</v>
      </c>
      <c r="C827" s="9" t="s">
        <v>163</v>
      </c>
      <c r="D827" s="6">
        <v>136</v>
      </c>
      <c r="E827" s="9" t="s">
        <v>171</v>
      </c>
      <c r="F827" s="6">
        <v>145626</v>
      </c>
      <c r="G827" s="7">
        <v>145626</v>
      </c>
      <c r="H827" s="9">
        <f>(G827-F827)</f>
        <v>0.0</v>
      </c>
      <c r="I827" s="9" t="s">
        <v>193</v>
      </c>
      <c r="J827" s="9" t="s">
        <v>194</v>
      </c>
    </row>
    <row r="828" spans="1:12" ht="23" customHeight="1">
      <c r="A828" s="9" t="s">
        <v>172</v>
      </c>
      <c r="B828" s="6">
        <v>5</v>
      </c>
      <c r="C828" s="9" t="s">
        <v>163</v>
      </c>
      <c r="D828" s="6">
        <v>137</v>
      </c>
      <c r="E828" s="9" t="s">
        <v>166</v>
      </c>
      <c r="F828" s="6">
        <v>119433</v>
      </c>
      <c r="G828" s="7">
        <v>119433</v>
      </c>
      <c r="H828" s="9">
        <f>(G828-F828)</f>
        <v>0.0</v>
      </c>
      <c r="I828" s="9" t="s">
        <v>193</v>
      </c>
      <c r="J828" s="9" t="s">
        <v>194</v>
      </c>
    </row>
    <row r="829" spans="1:12" ht="23" customHeight="1">
      <c r="A829" s="9" t="s">
        <v>172</v>
      </c>
      <c r="B829" s="6">
        <v>5</v>
      </c>
      <c r="C829" s="9" t="s">
        <v>163</v>
      </c>
      <c r="D829" s="6">
        <v>137</v>
      </c>
      <c r="E829" s="9" t="s">
        <v>176</v>
      </c>
      <c r="F829" s="6">
        <v>1355</v>
      </c>
      <c r="G829" s="7">
        <v>1355</v>
      </c>
      <c r="H829" s="9">
        <f>(G829-F829)</f>
        <v>0.0</v>
      </c>
      <c r="I829" s="9" t="s">
        <v>193</v>
      </c>
      <c r="J829" s="9" t="s">
        <v>194</v>
      </c>
    </row>
    <row r="830" spans="1:12" ht="23" customHeight="1">
      <c r="A830" s="9" t="s">
        <v>172</v>
      </c>
      <c r="B830" s="6">
        <v>5</v>
      </c>
      <c r="C830" s="9" t="s">
        <v>163</v>
      </c>
      <c r="D830" s="6">
        <v>137</v>
      </c>
      <c r="E830" s="9" t="s">
        <v>177</v>
      </c>
      <c r="F830" s="6">
        <v>1355</v>
      </c>
      <c r="G830" s="7">
        <v>1355</v>
      </c>
      <c r="H830" s="9">
        <f>(G830-F830)</f>
        <v>0.0</v>
      </c>
      <c r="I830" s="9" t="s">
        <v>193</v>
      </c>
      <c r="J830" s="9" t="s">
        <v>194</v>
      </c>
    </row>
    <row r="831" spans="1:12" ht="23" customHeight="1">
      <c r="A831" s="9" t="s">
        <v>172</v>
      </c>
      <c r="B831" s="6">
        <v>5</v>
      </c>
      <c r="C831" s="9" t="s">
        <v>163</v>
      </c>
      <c r="D831" s="6">
        <v>137</v>
      </c>
      <c r="E831" s="9" t="s">
        <v>167</v>
      </c>
      <c r="F831" s="6">
        <v>119433</v>
      </c>
      <c r="G831" s="7">
        <v>119433</v>
      </c>
      <c r="H831" s="9">
        <f>(G831-F831)</f>
        <v>0.0</v>
      </c>
      <c r="I831" s="9" t="s">
        <v>193</v>
      </c>
      <c r="J831" s="9" t="s">
        <v>194</v>
      </c>
    </row>
    <row r="832" spans="1:12" ht="23" customHeight="1">
      <c r="A832" s="9" t="s">
        <v>172</v>
      </c>
      <c r="B832" s="6">
        <v>5</v>
      </c>
      <c r="C832" s="9" t="s">
        <v>163</v>
      </c>
      <c r="D832" s="6">
        <v>137</v>
      </c>
      <c r="E832" s="9" t="s">
        <v>178</v>
      </c>
      <c r="F832" s="6">
        <v>1355</v>
      </c>
      <c r="G832" s="7">
        <v>1355</v>
      </c>
      <c r="H832" s="9">
        <f>(G832-F832)</f>
        <v>0.0</v>
      </c>
      <c r="I832" s="9" t="s">
        <v>193</v>
      </c>
      <c r="J832" s="9" t="s">
        <v>194</v>
      </c>
    </row>
    <row r="833" spans="1:12" ht="23" customHeight="1">
      <c r="A833" s="9" t="s">
        <v>172</v>
      </c>
      <c r="B833" s="6">
        <v>5</v>
      </c>
      <c r="C833" s="9" t="s">
        <v>163</v>
      </c>
      <c r="D833" s="6">
        <v>137</v>
      </c>
      <c r="E833" s="9" t="s">
        <v>179</v>
      </c>
      <c r="F833" s="6">
        <v>1355</v>
      </c>
      <c r="G833" s="7">
        <v>1355</v>
      </c>
      <c r="H833" s="9">
        <f>(G833-F833)</f>
        <v>0.0</v>
      </c>
      <c r="I833" s="9" t="s">
        <v>193</v>
      </c>
      <c r="J833" s="9" t="s">
        <v>194</v>
      </c>
    </row>
    <row r="834" spans="1:12" ht="23" customHeight="1">
      <c r="A834" s="9" t="s">
        <v>172</v>
      </c>
      <c r="B834" s="6">
        <v>5</v>
      </c>
      <c r="C834" s="9" t="s">
        <v>163</v>
      </c>
      <c r="D834" s="6">
        <v>137</v>
      </c>
      <c r="E834" s="9" t="s">
        <v>168</v>
      </c>
      <c r="F834" s="6">
        <v>119433</v>
      </c>
      <c r="G834" s="7">
        <v>119433</v>
      </c>
      <c r="H834" s="9">
        <f>(G834-F834)</f>
        <v>0.0</v>
      </c>
      <c r="I834" s="9" t="s">
        <v>193</v>
      </c>
      <c r="J834" s="9" t="s">
        <v>194</v>
      </c>
    </row>
    <row r="835" spans="1:12" ht="23" customHeight="1">
      <c r="A835" s="9" t="s">
        <v>172</v>
      </c>
      <c r="B835" s="6">
        <v>5</v>
      </c>
      <c r="C835" s="9" t="s">
        <v>163</v>
      </c>
      <c r="D835" s="6">
        <v>137</v>
      </c>
      <c r="E835" s="9" t="s">
        <v>169</v>
      </c>
      <c r="F835" s="6">
        <v>119433</v>
      </c>
      <c r="G835" s="7">
        <v>119433</v>
      </c>
      <c r="H835" s="9">
        <f>(G835-F835)</f>
        <v>0.0</v>
      </c>
      <c r="I835" s="9" t="s">
        <v>193</v>
      </c>
      <c r="J835" s="9" t="s">
        <v>194</v>
      </c>
    </row>
    <row r="836" spans="1:12" ht="24" customHeight="1">
      <c r="A836" s="3" t="s">
        <v>181</v>
      </c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spans="1:12" ht="36" customHeight="1">
      <c r="A837" s="4" t="s">
        <v>182</v>
      </c>
      <c r="B837" s="4" t="s">
        <v>8</v>
      </c>
      <c r="C837" s="4" t="s">
        <v>183</v>
      </c>
      <c r="D837" s="4" t="s">
        <v>184</v>
      </c>
      <c r="E837" s="4" t="s">
        <v>185</v>
      </c>
      <c r="F837" s="4" t="s">
        <v>186</v>
      </c>
      <c r="G837" s="4" t="s">
        <v>187</v>
      </c>
      <c r="H837" s="4" t="s">
        <v>188</v>
      </c>
      <c r="I837" s="4" t="s">
        <v>189</v>
      </c>
      <c r="J837" s="4" t="s">
        <v>190</v>
      </c>
    </row>
    <row r="838" spans="1:12" ht="23" customHeight="1">
      <c r="A838" s="9" t="s">
        <v>172</v>
      </c>
      <c r="B838" s="6">
        <v>5</v>
      </c>
      <c r="C838" s="9" t="s">
        <v>163</v>
      </c>
      <c r="D838" s="6">
        <v>137</v>
      </c>
      <c r="E838" s="9" t="s">
        <v>170</v>
      </c>
      <c r="F838" s="6">
        <v>119433</v>
      </c>
      <c r="G838" s="7">
        <v>119433</v>
      </c>
      <c r="H838" s="9">
        <f>(G838-F838)</f>
        <v>0.0</v>
      </c>
      <c r="I838" s="9" t="s">
        <v>193</v>
      </c>
      <c r="J838" s="9" t="s">
        <v>194</v>
      </c>
    </row>
    <row r="839" spans="1:12" ht="23" customHeight="1">
      <c r="A839" s="9" t="s">
        <v>172</v>
      </c>
      <c r="B839" s="6">
        <v>5</v>
      </c>
      <c r="C839" s="9" t="s">
        <v>163</v>
      </c>
      <c r="D839" s="6">
        <v>137</v>
      </c>
      <c r="E839" s="9" t="s">
        <v>171</v>
      </c>
      <c r="F839" s="6">
        <v>119433</v>
      </c>
      <c r="G839" s="7">
        <v>119433</v>
      </c>
      <c r="H839" s="9">
        <f>(G839-F839)</f>
        <v>0.0</v>
      </c>
      <c r="I839" s="9" t="s">
        <v>193</v>
      </c>
      <c r="J839" s="9" t="s">
        <v>194</v>
      </c>
    </row>
    <row r="840" spans="1:12" ht="23" customHeight="1">
      <c r="A840" s="9" t="s">
        <v>172</v>
      </c>
      <c r="B840" s="6">
        <v>5</v>
      </c>
      <c r="C840" s="9" t="s">
        <v>163</v>
      </c>
      <c r="D840" s="6">
        <v>138</v>
      </c>
      <c r="E840" s="9" t="s">
        <v>166</v>
      </c>
      <c r="F840" s="6">
        <v>69957</v>
      </c>
      <c r="G840" s="7">
        <v>69957</v>
      </c>
      <c r="H840" s="9">
        <f>(G840-F840)</f>
        <v>0.0</v>
      </c>
      <c r="I840" s="9" t="s">
        <v>193</v>
      </c>
      <c r="J840" s="9" t="s">
        <v>194</v>
      </c>
    </row>
    <row r="841" spans="1:12" ht="23" customHeight="1">
      <c r="A841" s="9" t="s">
        <v>172</v>
      </c>
      <c r="B841" s="6">
        <v>5</v>
      </c>
      <c r="C841" s="9" t="s">
        <v>163</v>
      </c>
      <c r="D841" s="6">
        <v>138</v>
      </c>
      <c r="E841" s="9" t="s">
        <v>176</v>
      </c>
      <c r="F841" s="11">
        <v>448.5</v>
      </c>
      <c r="G841" s="8">
        <v>448.5</v>
      </c>
      <c r="H841" s="9">
        <f>(G841-F841)</f>
        <v>0.0</v>
      </c>
      <c r="I841" s="9" t="s">
        <v>193</v>
      </c>
      <c r="J841" s="9" t="s">
        <v>194</v>
      </c>
    </row>
    <row r="842" spans="1:12" ht="23" customHeight="1">
      <c r="A842" s="9" t="s">
        <v>172</v>
      </c>
      <c r="B842" s="6">
        <v>5</v>
      </c>
      <c r="C842" s="9" t="s">
        <v>163</v>
      </c>
      <c r="D842" s="6">
        <v>138</v>
      </c>
      <c r="E842" s="9" t="s">
        <v>177</v>
      </c>
      <c r="F842" s="11">
        <v>448.5</v>
      </c>
      <c r="G842" s="8">
        <v>448.5</v>
      </c>
      <c r="H842" s="9">
        <f>(G842-F842)</f>
        <v>0.0</v>
      </c>
      <c r="I842" s="9" t="s">
        <v>193</v>
      </c>
      <c r="J842" s="9" t="s">
        <v>194</v>
      </c>
    </row>
    <row r="843" spans="1:12" ht="23" customHeight="1">
      <c r="A843" s="9" t="s">
        <v>172</v>
      </c>
      <c r="B843" s="6">
        <v>5</v>
      </c>
      <c r="C843" s="9" t="s">
        <v>163</v>
      </c>
      <c r="D843" s="6">
        <v>138</v>
      </c>
      <c r="E843" s="9" t="s">
        <v>167</v>
      </c>
      <c r="F843" s="6">
        <v>69957</v>
      </c>
      <c r="G843" s="7">
        <v>69957</v>
      </c>
      <c r="H843" s="9">
        <f>(G843-F843)</f>
        <v>0.0</v>
      </c>
      <c r="I843" s="9" t="s">
        <v>193</v>
      </c>
      <c r="J843" s="9" t="s">
        <v>194</v>
      </c>
    </row>
    <row r="844" spans="1:12" ht="23" customHeight="1">
      <c r="A844" s="9" t="s">
        <v>172</v>
      </c>
      <c r="B844" s="6">
        <v>5</v>
      </c>
      <c r="C844" s="9" t="s">
        <v>163</v>
      </c>
      <c r="D844" s="6">
        <v>138</v>
      </c>
      <c r="E844" s="9" t="s">
        <v>178</v>
      </c>
      <c r="F844" s="11">
        <v>448.5</v>
      </c>
      <c r="G844" s="8">
        <v>448.5</v>
      </c>
      <c r="H844" s="9">
        <f>(G844-F844)</f>
        <v>0.0</v>
      </c>
      <c r="I844" s="9" t="s">
        <v>193</v>
      </c>
      <c r="J844" s="9" t="s">
        <v>194</v>
      </c>
    </row>
    <row r="845" spans="1:12" ht="23" customHeight="1">
      <c r="A845" s="9" t="s">
        <v>172</v>
      </c>
      <c r="B845" s="6">
        <v>5</v>
      </c>
      <c r="C845" s="9" t="s">
        <v>163</v>
      </c>
      <c r="D845" s="6">
        <v>138</v>
      </c>
      <c r="E845" s="9" t="s">
        <v>179</v>
      </c>
      <c r="F845" s="11">
        <v>448.5</v>
      </c>
      <c r="G845" s="8">
        <v>448.5</v>
      </c>
      <c r="H845" s="9">
        <f>(G845-F845)</f>
        <v>0.0</v>
      </c>
      <c r="I845" s="9" t="s">
        <v>193</v>
      </c>
      <c r="J845" s="9" t="s">
        <v>194</v>
      </c>
    </row>
    <row r="846" spans="1:12" ht="23" customHeight="1">
      <c r="A846" s="9" t="s">
        <v>172</v>
      </c>
      <c r="B846" s="6">
        <v>5</v>
      </c>
      <c r="C846" s="9" t="s">
        <v>163</v>
      </c>
      <c r="D846" s="6">
        <v>138</v>
      </c>
      <c r="E846" s="9" t="s">
        <v>168</v>
      </c>
      <c r="F846" s="6">
        <v>69957</v>
      </c>
      <c r="G846" s="7">
        <v>69957</v>
      </c>
      <c r="H846" s="9">
        <f>(G846-F846)</f>
        <v>0.0</v>
      </c>
      <c r="I846" s="9" t="s">
        <v>193</v>
      </c>
      <c r="J846" s="9" t="s">
        <v>194</v>
      </c>
    </row>
    <row r="847" spans="1:12" ht="23" customHeight="1">
      <c r="A847" s="9" t="s">
        <v>172</v>
      </c>
      <c r="B847" s="6">
        <v>5</v>
      </c>
      <c r="C847" s="9" t="s">
        <v>163</v>
      </c>
      <c r="D847" s="6">
        <v>138</v>
      </c>
      <c r="E847" s="9" t="s">
        <v>169</v>
      </c>
      <c r="F847" s="6">
        <v>69957</v>
      </c>
      <c r="G847" s="7">
        <v>69957</v>
      </c>
      <c r="H847" s="9">
        <f>(G847-F847)</f>
        <v>0.0</v>
      </c>
      <c r="I847" s="9" t="s">
        <v>193</v>
      </c>
      <c r="J847" s="9" t="s">
        <v>194</v>
      </c>
    </row>
    <row r="848" spans="1:12" ht="23" customHeight="1">
      <c r="A848" s="9" t="s">
        <v>172</v>
      </c>
      <c r="B848" s="6">
        <v>5</v>
      </c>
      <c r="C848" s="9" t="s">
        <v>163</v>
      </c>
      <c r="D848" s="6">
        <v>138</v>
      </c>
      <c r="E848" s="9" t="s">
        <v>170</v>
      </c>
      <c r="F848" s="6">
        <v>69957</v>
      </c>
      <c r="G848" s="7">
        <v>69957</v>
      </c>
      <c r="H848" s="9">
        <f>(G848-F848)</f>
        <v>0.0</v>
      </c>
      <c r="I848" s="9" t="s">
        <v>193</v>
      </c>
      <c r="J848" s="9" t="s">
        <v>194</v>
      </c>
    </row>
    <row r="849" spans="1:12" ht="23" customHeight="1">
      <c r="A849" s="9" t="s">
        <v>172</v>
      </c>
      <c r="B849" s="6">
        <v>5</v>
      </c>
      <c r="C849" s="9" t="s">
        <v>163</v>
      </c>
      <c r="D849" s="6">
        <v>138</v>
      </c>
      <c r="E849" s="9" t="s">
        <v>171</v>
      </c>
      <c r="F849" s="6">
        <v>69957</v>
      </c>
      <c r="G849" s="7">
        <v>69957</v>
      </c>
      <c r="H849" s="9">
        <f>(G849-F849)</f>
        <v>0.0</v>
      </c>
      <c r="I849" s="9" t="s">
        <v>193</v>
      </c>
      <c r="J849" s="9" t="s">
        <v>194</v>
      </c>
    </row>
    <row r="850" spans="1:12" ht="23" customHeight="1">
      <c r="A850" s="9" t="s">
        <v>172</v>
      </c>
      <c r="B850" s="6">
        <v>5</v>
      </c>
      <c r="C850" s="9" t="s">
        <v>163</v>
      </c>
      <c r="D850" s="6">
        <v>139</v>
      </c>
      <c r="E850" s="9" t="s">
        <v>166</v>
      </c>
      <c r="F850" s="6">
        <v>69957</v>
      </c>
      <c r="G850" s="7">
        <v>69957</v>
      </c>
      <c r="H850" s="9">
        <f>(G850-F850)</f>
        <v>0.0</v>
      </c>
      <c r="I850" s="9" t="s">
        <v>193</v>
      </c>
      <c r="J850" s="9" t="s">
        <v>194</v>
      </c>
    </row>
    <row r="851" spans="1:12" ht="23" customHeight="1">
      <c r="A851" s="9" t="s">
        <v>172</v>
      </c>
      <c r="B851" s="6">
        <v>5</v>
      </c>
      <c r="C851" s="9" t="s">
        <v>163</v>
      </c>
      <c r="D851" s="6">
        <v>139</v>
      </c>
      <c r="E851" s="9" t="s">
        <v>176</v>
      </c>
      <c r="F851" s="11">
        <v>448.5</v>
      </c>
      <c r="G851" s="8">
        <v>448.5</v>
      </c>
      <c r="H851" s="9">
        <f>(G851-F851)</f>
        <v>0.0</v>
      </c>
      <c r="I851" s="9" t="s">
        <v>193</v>
      </c>
      <c r="J851" s="9" t="s">
        <v>194</v>
      </c>
    </row>
    <row r="852" spans="1:12" ht="23" customHeight="1">
      <c r="A852" s="9" t="s">
        <v>172</v>
      </c>
      <c r="B852" s="6">
        <v>5</v>
      </c>
      <c r="C852" s="9" t="s">
        <v>163</v>
      </c>
      <c r="D852" s="6">
        <v>139</v>
      </c>
      <c r="E852" s="9" t="s">
        <v>177</v>
      </c>
      <c r="F852" s="11">
        <v>448.5</v>
      </c>
      <c r="G852" s="8">
        <v>448.5</v>
      </c>
      <c r="H852" s="9">
        <f>(G852-F852)</f>
        <v>0.0</v>
      </c>
      <c r="I852" s="9" t="s">
        <v>193</v>
      </c>
      <c r="J852" s="9" t="s">
        <v>194</v>
      </c>
    </row>
    <row r="853" spans="1:12" ht="24" customHeight="1">
      <c r="A853" s="3" t="s">
        <v>181</v>
      </c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spans="1:12" ht="36" customHeight="1">
      <c r="A854" s="4" t="s">
        <v>182</v>
      </c>
      <c r="B854" s="4" t="s">
        <v>8</v>
      </c>
      <c r="C854" s="4" t="s">
        <v>183</v>
      </c>
      <c r="D854" s="4" t="s">
        <v>184</v>
      </c>
      <c r="E854" s="4" t="s">
        <v>185</v>
      </c>
      <c r="F854" s="4" t="s">
        <v>186</v>
      </c>
      <c r="G854" s="4" t="s">
        <v>187</v>
      </c>
      <c r="H854" s="4" t="s">
        <v>188</v>
      </c>
      <c r="I854" s="4" t="s">
        <v>189</v>
      </c>
      <c r="J854" s="4" t="s">
        <v>190</v>
      </c>
    </row>
    <row r="855" spans="1:12" ht="23" customHeight="1">
      <c r="A855" s="9" t="s">
        <v>172</v>
      </c>
      <c r="B855" s="6">
        <v>5</v>
      </c>
      <c r="C855" s="9" t="s">
        <v>163</v>
      </c>
      <c r="D855" s="6">
        <v>139</v>
      </c>
      <c r="E855" s="9" t="s">
        <v>167</v>
      </c>
      <c r="F855" s="6">
        <v>69957</v>
      </c>
      <c r="G855" s="7">
        <v>69957</v>
      </c>
      <c r="H855" s="9">
        <f>(G855-F855)</f>
        <v>0.0</v>
      </c>
      <c r="I855" s="9" t="s">
        <v>193</v>
      </c>
      <c r="J855" s="9" t="s">
        <v>194</v>
      </c>
    </row>
    <row r="856" spans="1:12" ht="23" customHeight="1">
      <c r="A856" s="9" t="s">
        <v>172</v>
      </c>
      <c r="B856" s="6">
        <v>5</v>
      </c>
      <c r="C856" s="9" t="s">
        <v>163</v>
      </c>
      <c r="D856" s="6">
        <v>139</v>
      </c>
      <c r="E856" s="9" t="s">
        <v>178</v>
      </c>
      <c r="F856" s="11">
        <v>448.5</v>
      </c>
      <c r="G856" s="8">
        <v>448.5</v>
      </c>
      <c r="H856" s="9">
        <f>(G856-F856)</f>
        <v>0.0</v>
      </c>
      <c r="I856" s="9" t="s">
        <v>193</v>
      </c>
      <c r="J856" s="9" t="s">
        <v>194</v>
      </c>
    </row>
    <row r="857" spans="1:12" ht="23" customHeight="1">
      <c r="A857" s="9" t="s">
        <v>172</v>
      </c>
      <c r="B857" s="6">
        <v>5</v>
      </c>
      <c r="C857" s="9" t="s">
        <v>163</v>
      </c>
      <c r="D857" s="6">
        <v>139</v>
      </c>
      <c r="E857" s="9" t="s">
        <v>179</v>
      </c>
      <c r="F857" s="11">
        <v>448.5</v>
      </c>
      <c r="G857" s="8">
        <v>448.5</v>
      </c>
      <c r="H857" s="9">
        <f>(G857-F857)</f>
        <v>0.0</v>
      </c>
      <c r="I857" s="9" t="s">
        <v>193</v>
      </c>
      <c r="J857" s="9" t="s">
        <v>194</v>
      </c>
    </row>
    <row r="858" spans="1:12" ht="23" customHeight="1">
      <c r="A858" s="9" t="s">
        <v>172</v>
      </c>
      <c r="B858" s="6">
        <v>5</v>
      </c>
      <c r="C858" s="9" t="s">
        <v>163</v>
      </c>
      <c r="D858" s="6">
        <v>139</v>
      </c>
      <c r="E858" s="9" t="s">
        <v>168</v>
      </c>
      <c r="F858" s="6">
        <v>69957</v>
      </c>
      <c r="G858" s="7">
        <v>69957</v>
      </c>
      <c r="H858" s="9">
        <f>(G858-F858)</f>
        <v>0.0</v>
      </c>
      <c r="I858" s="9" t="s">
        <v>193</v>
      </c>
      <c r="J858" s="9" t="s">
        <v>194</v>
      </c>
    </row>
    <row r="859" spans="1:12" ht="23" customHeight="1">
      <c r="A859" s="9" t="s">
        <v>172</v>
      </c>
      <c r="B859" s="6">
        <v>5</v>
      </c>
      <c r="C859" s="9" t="s">
        <v>163</v>
      </c>
      <c r="D859" s="6">
        <v>139</v>
      </c>
      <c r="E859" s="9" t="s">
        <v>169</v>
      </c>
      <c r="F859" s="6">
        <v>69957</v>
      </c>
      <c r="G859" s="7">
        <v>69957</v>
      </c>
      <c r="H859" s="9">
        <f>(G859-F859)</f>
        <v>0.0</v>
      </c>
      <c r="I859" s="9" t="s">
        <v>193</v>
      </c>
      <c r="J859" s="9" t="s">
        <v>194</v>
      </c>
    </row>
    <row r="860" spans="1:12" ht="23" customHeight="1">
      <c r="A860" s="9" t="s">
        <v>172</v>
      </c>
      <c r="B860" s="6">
        <v>5</v>
      </c>
      <c r="C860" s="9" t="s">
        <v>163</v>
      </c>
      <c r="D860" s="6">
        <v>139</v>
      </c>
      <c r="E860" s="9" t="s">
        <v>170</v>
      </c>
      <c r="F860" s="6">
        <v>69957</v>
      </c>
      <c r="G860" s="7">
        <v>69957</v>
      </c>
      <c r="H860" s="9">
        <f>(G860-F860)</f>
        <v>0.0</v>
      </c>
      <c r="I860" s="9" t="s">
        <v>193</v>
      </c>
      <c r="J860" s="9" t="s">
        <v>194</v>
      </c>
    </row>
    <row r="861" spans="1:12" ht="23" customHeight="1">
      <c r="A861" s="9" t="s">
        <v>172</v>
      </c>
      <c r="B861" s="6">
        <v>5</v>
      </c>
      <c r="C861" s="9" t="s">
        <v>163</v>
      </c>
      <c r="D861" s="6">
        <v>139</v>
      </c>
      <c r="E861" s="9" t="s">
        <v>171</v>
      </c>
      <c r="F861" s="6">
        <v>69957</v>
      </c>
      <c r="G861" s="7">
        <v>69957</v>
      </c>
      <c r="H861" s="9">
        <f>(G861-F861)</f>
        <v>0.0</v>
      </c>
      <c r="I861" s="9" t="s">
        <v>193</v>
      </c>
      <c r="J861" s="9" t="s">
        <v>194</v>
      </c>
    </row>
    <row r="862" spans="1:12" ht="23" customHeight="1">
      <c r="A862" s="9" t="s">
        <v>172</v>
      </c>
      <c r="B862" s="6">
        <v>5</v>
      </c>
      <c r="C862" s="9" t="s">
        <v>163</v>
      </c>
      <c r="D862" s="6">
        <v>140</v>
      </c>
      <c r="E862" s="9" t="s">
        <v>166</v>
      </c>
      <c r="F862" s="6">
        <v>69957</v>
      </c>
      <c r="G862" s="7">
        <v>69957</v>
      </c>
      <c r="H862" s="9">
        <f>(G862-F862)</f>
        <v>0.0</v>
      </c>
      <c r="I862" s="9" t="s">
        <v>193</v>
      </c>
      <c r="J862" s="9" t="s">
        <v>194</v>
      </c>
    </row>
    <row r="863" spans="1:12" ht="23" customHeight="1">
      <c r="A863" s="9" t="s">
        <v>172</v>
      </c>
      <c r="B863" s="6">
        <v>5</v>
      </c>
      <c r="C863" s="9" t="s">
        <v>163</v>
      </c>
      <c r="D863" s="6">
        <v>140</v>
      </c>
      <c r="E863" s="9" t="s">
        <v>176</v>
      </c>
      <c r="F863" s="11">
        <v>448.5</v>
      </c>
      <c r="G863" s="8">
        <v>448.5</v>
      </c>
      <c r="H863" s="9">
        <f>(G863-F863)</f>
        <v>0.0</v>
      </c>
      <c r="I863" s="9" t="s">
        <v>193</v>
      </c>
      <c r="J863" s="9" t="s">
        <v>194</v>
      </c>
    </row>
    <row r="864" spans="1:12" ht="23" customHeight="1">
      <c r="A864" s="9" t="s">
        <v>172</v>
      </c>
      <c r="B864" s="6">
        <v>5</v>
      </c>
      <c r="C864" s="9" t="s">
        <v>163</v>
      </c>
      <c r="D864" s="6">
        <v>140</v>
      </c>
      <c r="E864" s="9" t="s">
        <v>177</v>
      </c>
      <c r="F864" s="11">
        <v>448.5</v>
      </c>
      <c r="G864" s="8">
        <v>448.5</v>
      </c>
      <c r="H864" s="9">
        <f>(G864-F864)</f>
        <v>0.0</v>
      </c>
      <c r="I864" s="9" t="s">
        <v>193</v>
      </c>
      <c r="J864" s="9" t="s">
        <v>194</v>
      </c>
    </row>
    <row r="865" spans="1:12" ht="23" customHeight="1">
      <c r="A865" s="9" t="s">
        <v>172</v>
      </c>
      <c r="B865" s="6">
        <v>5</v>
      </c>
      <c r="C865" s="9" t="s">
        <v>163</v>
      </c>
      <c r="D865" s="6">
        <v>140</v>
      </c>
      <c r="E865" s="9" t="s">
        <v>167</v>
      </c>
      <c r="F865" s="6">
        <v>69957</v>
      </c>
      <c r="G865" s="7">
        <v>69957</v>
      </c>
      <c r="H865" s="9">
        <f>(G865-F865)</f>
        <v>0.0</v>
      </c>
      <c r="I865" s="9" t="s">
        <v>193</v>
      </c>
      <c r="J865" s="9" t="s">
        <v>194</v>
      </c>
    </row>
    <row r="866" spans="1:12" ht="23" customHeight="1">
      <c r="A866" s="9" t="s">
        <v>172</v>
      </c>
      <c r="B866" s="6">
        <v>5</v>
      </c>
      <c r="C866" s="9" t="s">
        <v>163</v>
      </c>
      <c r="D866" s="6">
        <v>140</v>
      </c>
      <c r="E866" s="9" t="s">
        <v>178</v>
      </c>
      <c r="F866" s="11">
        <v>448.5</v>
      </c>
      <c r="G866" s="8">
        <v>448.5</v>
      </c>
      <c r="H866" s="9">
        <f>(G866-F866)</f>
        <v>0.0</v>
      </c>
      <c r="I866" s="9" t="s">
        <v>193</v>
      </c>
      <c r="J866" s="9" t="s">
        <v>194</v>
      </c>
    </row>
    <row r="867" spans="1:12" ht="23" customHeight="1">
      <c r="A867" s="9" t="s">
        <v>172</v>
      </c>
      <c r="B867" s="6">
        <v>5</v>
      </c>
      <c r="C867" s="9" t="s">
        <v>163</v>
      </c>
      <c r="D867" s="6">
        <v>140</v>
      </c>
      <c r="E867" s="9" t="s">
        <v>179</v>
      </c>
      <c r="F867" s="11">
        <v>448.5</v>
      </c>
      <c r="G867" s="8">
        <v>448.5</v>
      </c>
      <c r="H867" s="9">
        <f>(G867-F867)</f>
        <v>0.0</v>
      </c>
      <c r="I867" s="9" t="s">
        <v>193</v>
      </c>
      <c r="J867" s="9" t="s">
        <v>194</v>
      </c>
    </row>
    <row r="868" spans="1:12" ht="23" customHeight="1">
      <c r="A868" s="9" t="s">
        <v>172</v>
      </c>
      <c r="B868" s="6">
        <v>5</v>
      </c>
      <c r="C868" s="9" t="s">
        <v>163</v>
      </c>
      <c r="D868" s="6">
        <v>140</v>
      </c>
      <c r="E868" s="9" t="s">
        <v>168</v>
      </c>
      <c r="F868" s="6">
        <v>69957</v>
      </c>
      <c r="G868" s="7">
        <v>69957</v>
      </c>
      <c r="H868" s="9">
        <f>(G868-F868)</f>
        <v>0.0</v>
      </c>
      <c r="I868" s="9" t="s">
        <v>193</v>
      </c>
      <c r="J868" s="9" t="s">
        <v>194</v>
      </c>
    </row>
    <row r="869" spans="1:12" ht="23" customHeight="1">
      <c r="A869" s="9" t="s">
        <v>172</v>
      </c>
      <c r="B869" s="6">
        <v>5</v>
      </c>
      <c r="C869" s="9" t="s">
        <v>163</v>
      </c>
      <c r="D869" s="6">
        <v>140</v>
      </c>
      <c r="E869" s="9" t="s">
        <v>169</v>
      </c>
      <c r="F869" s="6">
        <v>69957</v>
      </c>
      <c r="G869" s="7">
        <v>69957</v>
      </c>
      <c r="H869" s="9">
        <f>(G869-F869)</f>
        <v>0.0</v>
      </c>
      <c r="I869" s="9" t="s">
        <v>193</v>
      </c>
      <c r="J869" s="9" t="s">
        <v>194</v>
      </c>
    </row>
    <row r="870" spans="1:12" ht="24" customHeight="1">
      <c r="A870" s="3" t="s">
        <v>181</v>
      </c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spans="1:12" ht="36" customHeight="1">
      <c r="A871" s="4" t="s">
        <v>182</v>
      </c>
      <c r="B871" s="4" t="s">
        <v>8</v>
      </c>
      <c r="C871" s="4" t="s">
        <v>183</v>
      </c>
      <c r="D871" s="4" t="s">
        <v>184</v>
      </c>
      <c r="E871" s="4" t="s">
        <v>185</v>
      </c>
      <c r="F871" s="4" t="s">
        <v>186</v>
      </c>
      <c r="G871" s="4" t="s">
        <v>187</v>
      </c>
      <c r="H871" s="4" t="s">
        <v>188</v>
      </c>
      <c r="I871" s="4" t="s">
        <v>189</v>
      </c>
      <c r="J871" s="4" t="s">
        <v>190</v>
      </c>
    </row>
    <row r="872" spans="1:12" ht="23" customHeight="1">
      <c r="A872" s="9" t="s">
        <v>172</v>
      </c>
      <c r="B872" s="6">
        <v>5</v>
      </c>
      <c r="C872" s="9" t="s">
        <v>163</v>
      </c>
      <c r="D872" s="6">
        <v>140</v>
      </c>
      <c r="E872" s="9" t="s">
        <v>170</v>
      </c>
      <c r="F872" s="6">
        <v>69957</v>
      </c>
      <c r="G872" s="7">
        <v>69957</v>
      </c>
      <c r="H872" s="9">
        <f>(G872-F872)</f>
        <v>0.0</v>
      </c>
      <c r="I872" s="9" t="s">
        <v>193</v>
      </c>
      <c r="J872" s="9" t="s">
        <v>194</v>
      </c>
    </row>
    <row r="873" spans="1:12" ht="23" customHeight="1">
      <c r="A873" s="9" t="s">
        <v>172</v>
      </c>
      <c r="B873" s="6">
        <v>5</v>
      </c>
      <c r="C873" s="9" t="s">
        <v>163</v>
      </c>
      <c r="D873" s="6">
        <v>140</v>
      </c>
      <c r="E873" s="9" t="s">
        <v>171</v>
      </c>
      <c r="F873" s="6">
        <v>69957</v>
      </c>
      <c r="G873" s="7">
        <v>69957</v>
      </c>
      <c r="H873" s="9">
        <f>(G873-F873)</f>
        <v>0.0</v>
      </c>
      <c r="I873" s="9" t="s">
        <v>193</v>
      </c>
      <c r="J873" s="9" t="s">
        <v>194</v>
      </c>
    </row>
    <row r="874" spans="1:12" ht="23" customHeight="1">
      <c r="A874" s="9" t="s">
        <v>172</v>
      </c>
      <c r="B874" s="6">
        <v>5</v>
      </c>
      <c r="C874" s="9" t="s">
        <v>163</v>
      </c>
      <c r="D874" s="6">
        <v>141</v>
      </c>
      <c r="E874" s="9" t="s">
        <v>166</v>
      </c>
      <c r="F874" s="6">
        <v>69957</v>
      </c>
      <c r="G874" s="7">
        <v>69957</v>
      </c>
      <c r="H874" s="9">
        <f>(G874-F874)</f>
        <v>0.0</v>
      </c>
      <c r="I874" s="9" t="s">
        <v>193</v>
      </c>
      <c r="J874" s="9" t="s">
        <v>194</v>
      </c>
    </row>
    <row r="875" spans="1:12" ht="23" customHeight="1">
      <c r="A875" s="9" t="s">
        <v>172</v>
      </c>
      <c r="B875" s="6">
        <v>5</v>
      </c>
      <c r="C875" s="9" t="s">
        <v>163</v>
      </c>
      <c r="D875" s="6">
        <v>141</v>
      </c>
      <c r="E875" s="9" t="s">
        <v>176</v>
      </c>
      <c r="F875" s="11">
        <v>448.5</v>
      </c>
      <c r="G875" s="8">
        <v>448.5</v>
      </c>
      <c r="H875" s="9">
        <f>(G875-F875)</f>
        <v>0.0</v>
      </c>
      <c r="I875" s="9" t="s">
        <v>193</v>
      </c>
      <c r="J875" s="9" t="s">
        <v>194</v>
      </c>
    </row>
    <row r="876" spans="1:12" ht="23" customHeight="1">
      <c r="A876" s="9" t="s">
        <v>172</v>
      </c>
      <c r="B876" s="6">
        <v>5</v>
      </c>
      <c r="C876" s="9" t="s">
        <v>163</v>
      </c>
      <c r="D876" s="6">
        <v>141</v>
      </c>
      <c r="E876" s="9" t="s">
        <v>177</v>
      </c>
      <c r="F876" s="11">
        <v>448.5</v>
      </c>
      <c r="G876" s="8">
        <v>448.5</v>
      </c>
      <c r="H876" s="9">
        <f>(G876-F876)</f>
        <v>0.0</v>
      </c>
      <c r="I876" s="9" t="s">
        <v>193</v>
      </c>
      <c r="J876" s="9" t="s">
        <v>194</v>
      </c>
    </row>
    <row r="877" spans="1:12" ht="23" customHeight="1">
      <c r="A877" s="9" t="s">
        <v>172</v>
      </c>
      <c r="B877" s="6">
        <v>5</v>
      </c>
      <c r="C877" s="9" t="s">
        <v>163</v>
      </c>
      <c r="D877" s="6">
        <v>141</v>
      </c>
      <c r="E877" s="9" t="s">
        <v>167</v>
      </c>
      <c r="F877" s="6">
        <v>69957</v>
      </c>
      <c r="G877" s="7">
        <v>69957</v>
      </c>
      <c r="H877" s="9">
        <f>(G877-F877)</f>
        <v>0.0</v>
      </c>
      <c r="I877" s="9" t="s">
        <v>193</v>
      </c>
      <c r="J877" s="9" t="s">
        <v>194</v>
      </c>
    </row>
    <row r="878" spans="1:12" ht="23" customHeight="1">
      <c r="A878" s="9" t="s">
        <v>172</v>
      </c>
      <c r="B878" s="6">
        <v>5</v>
      </c>
      <c r="C878" s="9" t="s">
        <v>163</v>
      </c>
      <c r="D878" s="6">
        <v>141</v>
      </c>
      <c r="E878" s="9" t="s">
        <v>178</v>
      </c>
      <c r="F878" s="11">
        <v>448.5</v>
      </c>
      <c r="G878" s="8">
        <v>448.5</v>
      </c>
      <c r="H878" s="9">
        <f>(G878-F878)</f>
        <v>0.0</v>
      </c>
      <c r="I878" s="9" t="s">
        <v>193</v>
      </c>
      <c r="J878" s="9" t="s">
        <v>194</v>
      </c>
    </row>
    <row r="879" spans="1:12" ht="23" customHeight="1">
      <c r="A879" s="9" t="s">
        <v>172</v>
      </c>
      <c r="B879" s="6">
        <v>5</v>
      </c>
      <c r="C879" s="9" t="s">
        <v>163</v>
      </c>
      <c r="D879" s="6">
        <v>141</v>
      </c>
      <c r="E879" s="9" t="s">
        <v>179</v>
      </c>
      <c r="F879" s="11">
        <v>448.5</v>
      </c>
      <c r="G879" s="8">
        <v>448.5</v>
      </c>
      <c r="H879" s="9">
        <f>(G879-F879)</f>
        <v>0.0</v>
      </c>
      <c r="I879" s="9" t="s">
        <v>193</v>
      </c>
      <c r="J879" s="9" t="s">
        <v>194</v>
      </c>
    </row>
    <row r="880" spans="1:12" ht="23" customHeight="1">
      <c r="A880" s="9" t="s">
        <v>172</v>
      </c>
      <c r="B880" s="6">
        <v>5</v>
      </c>
      <c r="C880" s="9" t="s">
        <v>163</v>
      </c>
      <c r="D880" s="6">
        <v>141</v>
      </c>
      <c r="E880" s="9" t="s">
        <v>168</v>
      </c>
      <c r="F880" s="6">
        <v>69957</v>
      </c>
      <c r="G880" s="7">
        <v>69957</v>
      </c>
      <c r="H880" s="9">
        <f>(G880-F880)</f>
        <v>0.0</v>
      </c>
      <c r="I880" s="9" t="s">
        <v>193</v>
      </c>
      <c r="J880" s="9" t="s">
        <v>194</v>
      </c>
    </row>
    <row r="881" spans="1:12" ht="23" customHeight="1">
      <c r="A881" s="9" t="s">
        <v>172</v>
      </c>
      <c r="B881" s="6">
        <v>5</v>
      </c>
      <c r="C881" s="9" t="s">
        <v>163</v>
      </c>
      <c r="D881" s="6">
        <v>141</v>
      </c>
      <c r="E881" s="9" t="s">
        <v>169</v>
      </c>
      <c r="F881" s="6">
        <v>69957</v>
      </c>
      <c r="G881" s="7">
        <v>69957</v>
      </c>
      <c r="H881" s="9">
        <f>(G881-F881)</f>
        <v>0.0</v>
      </c>
      <c r="I881" s="9" t="s">
        <v>193</v>
      </c>
      <c r="J881" s="9" t="s">
        <v>194</v>
      </c>
    </row>
    <row r="882" spans="1:12" ht="23" customHeight="1">
      <c r="A882" s="9" t="s">
        <v>172</v>
      </c>
      <c r="B882" s="6">
        <v>5</v>
      </c>
      <c r="C882" s="9" t="s">
        <v>163</v>
      </c>
      <c r="D882" s="6">
        <v>141</v>
      </c>
      <c r="E882" s="9" t="s">
        <v>170</v>
      </c>
      <c r="F882" s="6">
        <v>69957</v>
      </c>
      <c r="G882" s="7">
        <v>69957</v>
      </c>
      <c r="H882" s="9">
        <f>(G882-F882)</f>
        <v>0.0</v>
      </c>
      <c r="I882" s="9" t="s">
        <v>193</v>
      </c>
      <c r="J882" s="9" t="s">
        <v>194</v>
      </c>
    </row>
    <row r="883" spans="1:12" ht="23" customHeight="1">
      <c r="A883" s="9" t="s">
        <v>172</v>
      </c>
      <c r="B883" s="6">
        <v>5</v>
      </c>
      <c r="C883" s="9" t="s">
        <v>163</v>
      </c>
      <c r="D883" s="6">
        <v>141</v>
      </c>
      <c r="E883" s="9" t="s">
        <v>171</v>
      </c>
      <c r="F883" s="6">
        <v>69957</v>
      </c>
      <c r="G883" s="7">
        <v>69957</v>
      </c>
      <c r="H883" s="9">
        <f>(G883-F883)</f>
        <v>0.0</v>
      </c>
      <c r="I883" s="9" t="s">
        <v>193</v>
      </c>
      <c r="J883" s="9" t="s">
        <v>194</v>
      </c>
    </row>
    <row r="884" spans="1:12" ht="23" customHeight="1">
      <c r="A884" s="9" t="s">
        <v>172</v>
      </c>
      <c r="B884" s="6">
        <v>5</v>
      </c>
      <c r="C884" s="9" t="s">
        <v>163</v>
      </c>
      <c r="D884" s="6">
        <v>142</v>
      </c>
      <c r="E884" s="9" t="s">
        <v>166</v>
      </c>
      <c r="F884" s="6">
        <v>69957</v>
      </c>
      <c r="G884" s="7">
        <v>69957</v>
      </c>
      <c r="H884" s="9">
        <f>(G884-F884)</f>
        <v>0.0</v>
      </c>
      <c r="I884" s="9" t="s">
        <v>193</v>
      </c>
      <c r="J884" s="9" t="s">
        <v>194</v>
      </c>
    </row>
    <row r="885" spans="1:12" ht="23" customHeight="1">
      <c r="A885" s="9" t="s">
        <v>172</v>
      </c>
      <c r="B885" s="6">
        <v>5</v>
      </c>
      <c r="C885" s="9" t="s">
        <v>163</v>
      </c>
      <c r="D885" s="6">
        <v>142</v>
      </c>
      <c r="E885" s="9" t="s">
        <v>176</v>
      </c>
      <c r="F885" s="11">
        <v>448.5</v>
      </c>
      <c r="G885" s="8">
        <v>448.5</v>
      </c>
      <c r="H885" s="9">
        <f>(G885-F885)</f>
        <v>0.0</v>
      </c>
      <c r="I885" s="9" t="s">
        <v>193</v>
      </c>
      <c r="J885" s="9" t="s">
        <v>194</v>
      </c>
    </row>
    <row r="886" spans="1:12" ht="23" customHeight="1">
      <c r="A886" s="9" t="s">
        <v>172</v>
      </c>
      <c r="B886" s="6">
        <v>5</v>
      </c>
      <c r="C886" s="9" t="s">
        <v>163</v>
      </c>
      <c r="D886" s="6">
        <v>142</v>
      </c>
      <c r="E886" s="9" t="s">
        <v>177</v>
      </c>
      <c r="F886" s="11">
        <v>448.5</v>
      </c>
      <c r="G886" s="8">
        <v>448.5</v>
      </c>
      <c r="H886" s="9">
        <f>(G886-F886)</f>
        <v>0.0</v>
      </c>
      <c r="I886" s="9" t="s">
        <v>193</v>
      </c>
      <c r="J886" s="9" t="s">
        <v>194</v>
      </c>
    </row>
    <row r="887" spans="1:12" ht="24" customHeight="1">
      <c r="A887" s="3" t="s">
        <v>181</v>
      </c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spans="1:12" ht="36" customHeight="1">
      <c r="A888" s="4" t="s">
        <v>182</v>
      </c>
      <c r="B888" s="4" t="s">
        <v>8</v>
      </c>
      <c r="C888" s="4" t="s">
        <v>183</v>
      </c>
      <c r="D888" s="4" t="s">
        <v>184</v>
      </c>
      <c r="E888" s="4" t="s">
        <v>185</v>
      </c>
      <c r="F888" s="4" t="s">
        <v>186</v>
      </c>
      <c r="G888" s="4" t="s">
        <v>187</v>
      </c>
      <c r="H888" s="4" t="s">
        <v>188</v>
      </c>
      <c r="I888" s="4" t="s">
        <v>189</v>
      </c>
      <c r="J888" s="4" t="s">
        <v>190</v>
      </c>
    </row>
    <row r="889" spans="1:12" ht="23" customHeight="1">
      <c r="A889" s="9" t="s">
        <v>172</v>
      </c>
      <c r="B889" s="6">
        <v>5</v>
      </c>
      <c r="C889" s="9" t="s">
        <v>163</v>
      </c>
      <c r="D889" s="6">
        <v>142</v>
      </c>
      <c r="E889" s="9" t="s">
        <v>167</v>
      </c>
      <c r="F889" s="6">
        <v>69957</v>
      </c>
      <c r="G889" s="7">
        <v>69957</v>
      </c>
      <c r="H889" s="9">
        <f>(G889-F889)</f>
        <v>0.0</v>
      </c>
      <c r="I889" s="9" t="s">
        <v>193</v>
      </c>
      <c r="J889" s="9" t="s">
        <v>194</v>
      </c>
    </row>
    <row r="890" spans="1:12" ht="23" customHeight="1">
      <c r="A890" s="9" t="s">
        <v>172</v>
      </c>
      <c r="B890" s="6">
        <v>5</v>
      </c>
      <c r="C890" s="9" t="s">
        <v>163</v>
      </c>
      <c r="D890" s="6">
        <v>142</v>
      </c>
      <c r="E890" s="9" t="s">
        <v>178</v>
      </c>
      <c r="F890" s="11">
        <v>448.5</v>
      </c>
      <c r="G890" s="8">
        <v>448.5</v>
      </c>
      <c r="H890" s="9">
        <f>(G890-F890)</f>
        <v>0.0</v>
      </c>
      <c r="I890" s="9" t="s">
        <v>193</v>
      </c>
      <c r="J890" s="9" t="s">
        <v>194</v>
      </c>
    </row>
    <row r="891" spans="1:12" ht="23" customHeight="1">
      <c r="A891" s="9" t="s">
        <v>172</v>
      </c>
      <c r="B891" s="6">
        <v>5</v>
      </c>
      <c r="C891" s="9" t="s">
        <v>163</v>
      </c>
      <c r="D891" s="6">
        <v>142</v>
      </c>
      <c r="E891" s="9" t="s">
        <v>179</v>
      </c>
      <c r="F891" s="11">
        <v>448.5</v>
      </c>
      <c r="G891" s="8">
        <v>448.5</v>
      </c>
      <c r="H891" s="9">
        <f>(G891-F891)</f>
        <v>0.0</v>
      </c>
      <c r="I891" s="9" t="s">
        <v>193</v>
      </c>
      <c r="J891" s="9" t="s">
        <v>194</v>
      </c>
    </row>
    <row r="892" spans="1:12" ht="23" customHeight="1">
      <c r="A892" s="9" t="s">
        <v>172</v>
      </c>
      <c r="B892" s="6">
        <v>5</v>
      </c>
      <c r="C892" s="9" t="s">
        <v>163</v>
      </c>
      <c r="D892" s="6">
        <v>142</v>
      </c>
      <c r="E892" s="9" t="s">
        <v>168</v>
      </c>
      <c r="F892" s="6">
        <v>69957</v>
      </c>
      <c r="G892" s="7">
        <v>69957</v>
      </c>
      <c r="H892" s="9">
        <f>(G892-F892)</f>
        <v>0.0</v>
      </c>
      <c r="I892" s="9" t="s">
        <v>193</v>
      </c>
      <c r="J892" s="9" t="s">
        <v>194</v>
      </c>
    </row>
    <row r="893" spans="1:12" ht="23" customHeight="1">
      <c r="A893" s="9" t="s">
        <v>172</v>
      </c>
      <c r="B893" s="6">
        <v>5</v>
      </c>
      <c r="C893" s="9" t="s">
        <v>163</v>
      </c>
      <c r="D893" s="6">
        <v>142</v>
      </c>
      <c r="E893" s="9" t="s">
        <v>169</v>
      </c>
      <c r="F893" s="6">
        <v>69957</v>
      </c>
      <c r="G893" s="7">
        <v>69957</v>
      </c>
      <c r="H893" s="9">
        <f>(G893-F893)</f>
        <v>0.0</v>
      </c>
      <c r="I893" s="9" t="s">
        <v>193</v>
      </c>
      <c r="J893" s="9" t="s">
        <v>194</v>
      </c>
    </row>
    <row r="894" spans="1:12" ht="23" customHeight="1">
      <c r="A894" s="9" t="s">
        <v>172</v>
      </c>
      <c r="B894" s="6">
        <v>5</v>
      </c>
      <c r="C894" s="9" t="s">
        <v>163</v>
      </c>
      <c r="D894" s="6">
        <v>142</v>
      </c>
      <c r="E894" s="9" t="s">
        <v>170</v>
      </c>
      <c r="F894" s="6">
        <v>69957</v>
      </c>
      <c r="G894" s="7">
        <v>69957</v>
      </c>
      <c r="H894" s="9">
        <f>(G894-F894)</f>
        <v>0.0</v>
      </c>
      <c r="I894" s="9" t="s">
        <v>193</v>
      </c>
      <c r="J894" s="9" t="s">
        <v>194</v>
      </c>
    </row>
    <row r="895" spans="1:12" ht="23" customHeight="1">
      <c r="A895" s="9" t="s">
        <v>172</v>
      </c>
      <c r="B895" s="6">
        <v>5</v>
      </c>
      <c r="C895" s="9" t="s">
        <v>163</v>
      </c>
      <c r="D895" s="6">
        <v>142</v>
      </c>
      <c r="E895" s="9" t="s">
        <v>171</v>
      </c>
      <c r="F895" s="6">
        <v>69957</v>
      </c>
      <c r="G895" s="7">
        <v>69957</v>
      </c>
      <c r="H895" s="9">
        <f>(G895-F895)</f>
        <v>0.0</v>
      </c>
      <c r="I895" s="9" t="s">
        <v>193</v>
      </c>
      <c r="J895" s="9" t="s">
        <v>194</v>
      </c>
    </row>
    <row r="896" spans="1:12" ht="23" customHeight="1">
      <c r="A896" s="9" t="s">
        <v>172</v>
      </c>
      <c r="B896" s="6">
        <v>5</v>
      </c>
      <c r="C896" s="9" t="s">
        <v>163</v>
      </c>
      <c r="D896" s="6">
        <v>143</v>
      </c>
      <c r="E896" s="9" t="s">
        <v>166</v>
      </c>
      <c r="F896" s="6">
        <v>69957</v>
      </c>
      <c r="G896" s="7">
        <v>69957</v>
      </c>
      <c r="H896" s="9">
        <f>(G896-F896)</f>
        <v>0.0</v>
      </c>
      <c r="I896" s="9" t="s">
        <v>193</v>
      </c>
      <c r="J896" s="9" t="s">
        <v>194</v>
      </c>
    </row>
    <row r="897" spans="1:12" ht="23" customHeight="1">
      <c r="A897" s="9" t="s">
        <v>172</v>
      </c>
      <c r="B897" s="6">
        <v>5</v>
      </c>
      <c r="C897" s="9" t="s">
        <v>163</v>
      </c>
      <c r="D897" s="6">
        <v>143</v>
      </c>
      <c r="E897" s="9" t="s">
        <v>176</v>
      </c>
      <c r="F897" s="11">
        <v>448.5</v>
      </c>
      <c r="G897" s="8">
        <v>448.5</v>
      </c>
      <c r="H897" s="9">
        <f>(G897-F897)</f>
        <v>0.0</v>
      </c>
      <c r="I897" s="9" t="s">
        <v>193</v>
      </c>
      <c r="J897" s="9" t="s">
        <v>194</v>
      </c>
    </row>
    <row r="898" spans="1:12" ht="23" customHeight="1">
      <c r="A898" s="9" t="s">
        <v>172</v>
      </c>
      <c r="B898" s="6">
        <v>5</v>
      </c>
      <c r="C898" s="9" t="s">
        <v>163</v>
      </c>
      <c r="D898" s="6">
        <v>143</v>
      </c>
      <c r="E898" s="9" t="s">
        <v>177</v>
      </c>
      <c r="F898" s="11">
        <v>448.5</v>
      </c>
      <c r="G898" s="8">
        <v>448.5</v>
      </c>
      <c r="H898" s="9">
        <f>(G898-F898)</f>
        <v>0.0</v>
      </c>
      <c r="I898" s="9" t="s">
        <v>193</v>
      </c>
      <c r="J898" s="9" t="s">
        <v>194</v>
      </c>
    </row>
    <row r="899" spans="1:12" ht="23" customHeight="1">
      <c r="A899" s="9" t="s">
        <v>172</v>
      </c>
      <c r="B899" s="6">
        <v>5</v>
      </c>
      <c r="C899" s="9" t="s">
        <v>163</v>
      </c>
      <c r="D899" s="6">
        <v>143</v>
      </c>
      <c r="E899" s="9" t="s">
        <v>167</v>
      </c>
      <c r="F899" s="6">
        <v>69957</v>
      </c>
      <c r="G899" s="7">
        <v>69957</v>
      </c>
      <c r="H899" s="9">
        <f>(G899-F899)</f>
        <v>0.0</v>
      </c>
      <c r="I899" s="9" t="s">
        <v>193</v>
      </c>
      <c r="J899" s="9" t="s">
        <v>194</v>
      </c>
    </row>
    <row r="900" spans="1:12" ht="23" customHeight="1">
      <c r="A900" s="9" t="s">
        <v>172</v>
      </c>
      <c r="B900" s="6">
        <v>5</v>
      </c>
      <c r="C900" s="9" t="s">
        <v>163</v>
      </c>
      <c r="D900" s="6">
        <v>143</v>
      </c>
      <c r="E900" s="9" t="s">
        <v>178</v>
      </c>
      <c r="F900" s="11">
        <v>448.5</v>
      </c>
      <c r="G900" s="8">
        <v>448.5</v>
      </c>
      <c r="H900" s="9">
        <f>(G900-F900)</f>
        <v>0.0</v>
      </c>
      <c r="I900" s="9" t="s">
        <v>193</v>
      </c>
      <c r="J900" s="9" t="s">
        <v>194</v>
      </c>
    </row>
    <row r="901" spans="1:12" ht="23" customHeight="1">
      <c r="A901" s="9" t="s">
        <v>172</v>
      </c>
      <c r="B901" s="6">
        <v>5</v>
      </c>
      <c r="C901" s="9" t="s">
        <v>163</v>
      </c>
      <c r="D901" s="6">
        <v>143</v>
      </c>
      <c r="E901" s="9" t="s">
        <v>179</v>
      </c>
      <c r="F901" s="11">
        <v>448.5</v>
      </c>
      <c r="G901" s="8">
        <v>448.5</v>
      </c>
      <c r="H901" s="9">
        <f>(G901-F901)</f>
        <v>0.0</v>
      </c>
      <c r="I901" s="9" t="s">
        <v>193</v>
      </c>
      <c r="J901" s="9" t="s">
        <v>194</v>
      </c>
    </row>
    <row r="902" spans="1:12" ht="23" customHeight="1">
      <c r="A902" s="9" t="s">
        <v>172</v>
      </c>
      <c r="B902" s="6">
        <v>5</v>
      </c>
      <c r="C902" s="9" t="s">
        <v>163</v>
      </c>
      <c r="D902" s="6">
        <v>143</v>
      </c>
      <c r="E902" s="9" t="s">
        <v>168</v>
      </c>
      <c r="F902" s="6">
        <v>69957</v>
      </c>
      <c r="G902" s="7">
        <v>69957</v>
      </c>
      <c r="H902" s="9">
        <f>(G902-F902)</f>
        <v>0.0</v>
      </c>
      <c r="I902" s="9" t="s">
        <v>193</v>
      </c>
      <c r="J902" s="9" t="s">
        <v>194</v>
      </c>
    </row>
    <row r="903" spans="1:12" ht="23" customHeight="1">
      <c r="A903" s="9" t="s">
        <v>172</v>
      </c>
      <c r="B903" s="6">
        <v>5</v>
      </c>
      <c r="C903" s="9" t="s">
        <v>163</v>
      </c>
      <c r="D903" s="6">
        <v>143</v>
      </c>
      <c r="E903" s="9" t="s">
        <v>169</v>
      </c>
      <c r="F903" s="6">
        <v>69957</v>
      </c>
      <c r="G903" s="7">
        <v>69957</v>
      </c>
      <c r="H903" s="9">
        <f>(G903-F903)</f>
        <v>0.0</v>
      </c>
      <c r="I903" s="9" t="s">
        <v>193</v>
      </c>
      <c r="J903" s="9" t="s">
        <v>194</v>
      </c>
    </row>
    <row r="904" spans="1:12" ht="24" customHeight="1">
      <c r="A904" s="3" t="s">
        <v>181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spans="1:12" ht="36" customHeight="1">
      <c r="A905" s="4" t="s">
        <v>182</v>
      </c>
      <c r="B905" s="4" t="s">
        <v>8</v>
      </c>
      <c r="C905" s="4" t="s">
        <v>183</v>
      </c>
      <c r="D905" s="4" t="s">
        <v>184</v>
      </c>
      <c r="E905" s="4" t="s">
        <v>185</v>
      </c>
      <c r="F905" s="4" t="s">
        <v>186</v>
      </c>
      <c r="G905" s="4" t="s">
        <v>187</v>
      </c>
      <c r="H905" s="4" t="s">
        <v>188</v>
      </c>
      <c r="I905" s="4" t="s">
        <v>189</v>
      </c>
      <c r="J905" s="4" t="s">
        <v>190</v>
      </c>
    </row>
    <row r="906" spans="1:12" ht="23" customHeight="1">
      <c r="A906" s="9" t="s">
        <v>172</v>
      </c>
      <c r="B906" s="6">
        <v>5</v>
      </c>
      <c r="C906" s="9" t="s">
        <v>163</v>
      </c>
      <c r="D906" s="6">
        <v>143</v>
      </c>
      <c r="E906" s="9" t="s">
        <v>170</v>
      </c>
      <c r="F906" s="6">
        <v>69957</v>
      </c>
      <c r="G906" s="7">
        <v>69957</v>
      </c>
      <c r="H906" s="9">
        <f>(G906-F906)</f>
        <v>0.0</v>
      </c>
      <c r="I906" s="9" t="s">
        <v>193</v>
      </c>
      <c r="J906" s="9" t="s">
        <v>194</v>
      </c>
    </row>
    <row r="907" spans="1:12" ht="23" customHeight="1">
      <c r="A907" s="9" t="s">
        <v>172</v>
      </c>
      <c r="B907" s="6">
        <v>5</v>
      </c>
      <c r="C907" s="9" t="s">
        <v>163</v>
      </c>
      <c r="D907" s="6">
        <v>143</v>
      </c>
      <c r="E907" s="9" t="s">
        <v>171</v>
      </c>
      <c r="F907" s="6">
        <v>69957</v>
      </c>
      <c r="G907" s="7">
        <v>69957</v>
      </c>
      <c r="H907" s="9">
        <f>(G907-F907)</f>
        <v>0.0</v>
      </c>
      <c r="I907" s="9" t="s">
        <v>193</v>
      </c>
      <c r="J907" s="9" t="s">
        <v>194</v>
      </c>
    </row>
    <row r="908" spans="1:12" ht="23" customHeight="1">
      <c r="A908" s="9" t="s">
        <v>172</v>
      </c>
      <c r="B908" s="6">
        <v>5</v>
      </c>
      <c r="C908" s="9" t="s">
        <v>163</v>
      </c>
      <c r="D908" s="6">
        <v>144</v>
      </c>
      <c r="E908" s="9" t="s">
        <v>166</v>
      </c>
      <c r="F908" s="6">
        <v>69957</v>
      </c>
      <c r="G908" s="7">
        <v>69957</v>
      </c>
      <c r="H908" s="9">
        <f>(G908-F908)</f>
        <v>0.0</v>
      </c>
      <c r="I908" s="9" t="s">
        <v>193</v>
      </c>
      <c r="J908" s="9" t="s">
        <v>194</v>
      </c>
    </row>
    <row r="909" spans="1:12" ht="23" customHeight="1">
      <c r="A909" s="9" t="s">
        <v>172</v>
      </c>
      <c r="B909" s="6">
        <v>5</v>
      </c>
      <c r="C909" s="9" t="s">
        <v>163</v>
      </c>
      <c r="D909" s="6">
        <v>144</v>
      </c>
      <c r="E909" s="9" t="s">
        <v>176</v>
      </c>
      <c r="F909" s="11">
        <v>448.5</v>
      </c>
      <c r="G909" s="8">
        <v>448.5</v>
      </c>
      <c r="H909" s="9">
        <f>(G909-F909)</f>
        <v>0.0</v>
      </c>
      <c r="I909" s="9" t="s">
        <v>193</v>
      </c>
      <c r="J909" s="9" t="s">
        <v>194</v>
      </c>
    </row>
    <row r="910" spans="1:12" ht="23" customHeight="1">
      <c r="A910" s="9" t="s">
        <v>172</v>
      </c>
      <c r="B910" s="6">
        <v>5</v>
      </c>
      <c r="C910" s="9" t="s">
        <v>163</v>
      </c>
      <c r="D910" s="6">
        <v>144</v>
      </c>
      <c r="E910" s="9" t="s">
        <v>177</v>
      </c>
      <c r="F910" s="11">
        <v>448.5</v>
      </c>
      <c r="G910" s="8">
        <v>448.5</v>
      </c>
      <c r="H910" s="9">
        <f>(G910-F910)</f>
        <v>0.0</v>
      </c>
      <c r="I910" s="9" t="s">
        <v>193</v>
      </c>
      <c r="J910" s="9" t="s">
        <v>194</v>
      </c>
    </row>
    <row r="911" spans="1:12" ht="23" customHeight="1">
      <c r="A911" s="9" t="s">
        <v>172</v>
      </c>
      <c r="B911" s="6">
        <v>5</v>
      </c>
      <c r="C911" s="9" t="s">
        <v>163</v>
      </c>
      <c r="D911" s="6">
        <v>144</v>
      </c>
      <c r="E911" s="9" t="s">
        <v>167</v>
      </c>
      <c r="F911" s="6">
        <v>69957</v>
      </c>
      <c r="G911" s="7">
        <v>69957</v>
      </c>
      <c r="H911" s="9">
        <f>(G911-F911)</f>
        <v>0.0</v>
      </c>
      <c r="I911" s="9" t="s">
        <v>193</v>
      </c>
      <c r="J911" s="9" t="s">
        <v>194</v>
      </c>
    </row>
    <row r="912" spans="1:12" ht="23" customHeight="1">
      <c r="A912" s="9" t="s">
        <v>172</v>
      </c>
      <c r="B912" s="6">
        <v>5</v>
      </c>
      <c r="C912" s="9" t="s">
        <v>163</v>
      </c>
      <c r="D912" s="6">
        <v>144</v>
      </c>
      <c r="E912" s="9" t="s">
        <v>178</v>
      </c>
      <c r="F912" s="11">
        <v>448.5</v>
      </c>
      <c r="G912" s="8">
        <v>448.5</v>
      </c>
      <c r="H912" s="9">
        <f>(G912-F912)</f>
        <v>0.0</v>
      </c>
      <c r="I912" s="9" t="s">
        <v>193</v>
      </c>
      <c r="J912" s="9" t="s">
        <v>194</v>
      </c>
    </row>
    <row r="913" spans="1:12" ht="23" customHeight="1">
      <c r="A913" s="9" t="s">
        <v>172</v>
      </c>
      <c r="B913" s="6">
        <v>5</v>
      </c>
      <c r="C913" s="9" t="s">
        <v>163</v>
      </c>
      <c r="D913" s="6">
        <v>144</v>
      </c>
      <c r="E913" s="9" t="s">
        <v>179</v>
      </c>
      <c r="F913" s="11">
        <v>448.5</v>
      </c>
      <c r="G913" s="8">
        <v>448.5</v>
      </c>
      <c r="H913" s="9">
        <f>(G913-F913)</f>
        <v>0.0</v>
      </c>
      <c r="I913" s="9" t="s">
        <v>193</v>
      </c>
      <c r="J913" s="9" t="s">
        <v>194</v>
      </c>
    </row>
    <row r="914" spans="1:12" ht="23" customHeight="1">
      <c r="A914" s="9" t="s">
        <v>172</v>
      </c>
      <c r="B914" s="6">
        <v>5</v>
      </c>
      <c r="C914" s="9" t="s">
        <v>163</v>
      </c>
      <c r="D914" s="6">
        <v>144</v>
      </c>
      <c r="E914" s="9" t="s">
        <v>168</v>
      </c>
      <c r="F914" s="6">
        <v>69957</v>
      </c>
      <c r="G914" s="7">
        <v>69957</v>
      </c>
      <c r="H914" s="9">
        <f>(G914-F914)</f>
        <v>0.0</v>
      </c>
      <c r="I914" s="9" t="s">
        <v>193</v>
      </c>
      <c r="J914" s="9" t="s">
        <v>194</v>
      </c>
    </row>
    <row r="915" spans="1:12" ht="23" customHeight="1">
      <c r="A915" s="9" t="s">
        <v>172</v>
      </c>
      <c r="B915" s="6">
        <v>5</v>
      </c>
      <c r="C915" s="9" t="s">
        <v>163</v>
      </c>
      <c r="D915" s="6">
        <v>144</v>
      </c>
      <c r="E915" s="9" t="s">
        <v>169</v>
      </c>
      <c r="F915" s="6">
        <v>69957</v>
      </c>
      <c r="G915" s="7">
        <v>69957</v>
      </c>
      <c r="H915" s="9">
        <f>(G915-F915)</f>
        <v>0.0</v>
      </c>
      <c r="I915" s="9" t="s">
        <v>193</v>
      </c>
      <c r="J915" s="9" t="s">
        <v>194</v>
      </c>
    </row>
    <row r="916" spans="1:12" ht="23" customHeight="1">
      <c r="A916" s="9" t="s">
        <v>172</v>
      </c>
      <c r="B916" s="6">
        <v>5</v>
      </c>
      <c r="C916" s="9" t="s">
        <v>163</v>
      </c>
      <c r="D916" s="6">
        <v>144</v>
      </c>
      <c r="E916" s="9" t="s">
        <v>170</v>
      </c>
      <c r="F916" s="6">
        <v>69957</v>
      </c>
      <c r="G916" s="7">
        <v>69957</v>
      </c>
      <c r="H916" s="9">
        <f>(G916-F916)</f>
        <v>0.0</v>
      </c>
      <c r="I916" s="9" t="s">
        <v>193</v>
      </c>
      <c r="J916" s="9" t="s">
        <v>194</v>
      </c>
    </row>
    <row r="917" spans="1:12" ht="23" customHeight="1">
      <c r="A917" s="9" t="s">
        <v>172</v>
      </c>
      <c r="B917" s="6">
        <v>5</v>
      </c>
      <c r="C917" s="9" t="s">
        <v>163</v>
      </c>
      <c r="D917" s="6">
        <v>144</v>
      </c>
      <c r="E917" s="9" t="s">
        <v>171</v>
      </c>
      <c r="F917" s="6">
        <v>69957</v>
      </c>
      <c r="G917" s="7">
        <v>69957</v>
      </c>
      <c r="H917" s="9">
        <f>(G917-F917)</f>
        <v>0.0</v>
      </c>
      <c r="I917" s="9" t="s">
        <v>193</v>
      </c>
      <c r="J917" s="9" t="s">
        <v>194</v>
      </c>
    </row>
    <row r="918" spans="1:12" ht="23" customHeight="1">
      <c r="A918" s="9" t="s">
        <v>172</v>
      </c>
      <c r="B918" s="6">
        <v>5</v>
      </c>
      <c r="C918" s="9" t="s">
        <v>163</v>
      </c>
      <c r="D918" s="6">
        <v>145</v>
      </c>
      <c r="E918" s="9" t="s">
        <v>166</v>
      </c>
      <c r="F918" s="6">
        <v>69957</v>
      </c>
      <c r="G918" s="7">
        <v>69957</v>
      </c>
      <c r="H918" s="9">
        <f>(G918-F918)</f>
        <v>0.0</v>
      </c>
      <c r="I918" s="9" t="s">
        <v>193</v>
      </c>
      <c r="J918" s="9" t="s">
        <v>194</v>
      </c>
    </row>
    <row r="919" spans="1:12" ht="23" customHeight="1">
      <c r="A919" s="9" t="s">
        <v>172</v>
      </c>
      <c r="B919" s="6">
        <v>5</v>
      </c>
      <c r="C919" s="9" t="s">
        <v>163</v>
      </c>
      <c r="D919" s="6">
        <v>145</v>
      </c>
      <c r="E919" s="9" t="s">
        <v>176</v>
      </c>
      <c r="F919" s="11">
        <v>448.5</v>
      </c>
      <c r="G919" s="8">
        <v>448.5</v>
      </c>
      <c r="H919" s="9">
        <f>(G919-F919)</f>
        <v>0.0</v>
      </c>
      <c r="I919" s="9" t="s">
        <v>193</v>
      </c>
      <c r="J919" s="9" t="s">
        <v>194</v>
      </c>
    </row>
    <row r="920" spans="1:12" ht="23" customHeight="1">
      <c r="A920" s="9" t="s">
        <v>172</v>
      </c>
      <c r="B920" s="6">
        <v>5</v>
      </c>
      <c r="C920" s="9" t="s">
        <v>163</v>
      </c>
      <c r="D920" s="6">
        <v>145</v>
      </c>
      <c r="E920" s="9" t="s">
        <v>177</v>
      </c>
      <c r="F920" s="11">
        <v>448.5</v>
      </c>
      <c r="G920" s="8">
        <v>448.5</v>
      </c>
      <c r="H920" s="9">
        <f>(G920-F920)</f>
        <v>0.0</v>
      </c>
      <c r="I920" s="9" t="s">
        <v>193</v>
      </c>
      <c r="J920" s="9" t="s">
        <v>194</v>
      </c>
    </row>
    <row r="921" spans="1:12" ht="24" customHeight="1">
      <c r="A921" s="3" t="s">
        <v>181</v>
      </c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spans="1:12" ht="36" customHeight="1">
      <c r="A922" s="4" t="s">
        <v>182</v>
      </c>
      <c r="B922" s="4" t="s">
        <v>8</v>
      </c>
      <c r="C922" s="4" t="s">
        <v>183</v>
      </c>
      <c r="D922" s="4" t="s">
        <v>184</v>
      </c>
      <c r="E922" s="4" t="s">
        <v>185</v>
      </c>
      <c r="F922" s="4" t="s">
        <v>186</v>
      </c>
      <c r="G922" s="4" t="s">
        <v>187</v>
      </c>
      <c r="H922" s="4" t="s">
        <v>188</v>
      </c>
      <c r="I922" s="4" t="s">
        <v>189</v>
      </c>
      <c r="J922" s="4" t="s">
        <v>190</v>
      </c>
    </row>
    <row r="923" spans="1:12" ht="23" customHeight="1">
      <c r="A923" s="9" t="s">
        <v>172</v>
      </c>
      <c r="B923" s="6">
        <v>5</v>
      </c>
      <c r="C923" s="9" t="s">
        <v>163</v>
      </c>
      <c r="D923" s="6">
        <v>145</v>
      </c>
      <c r="E923" s="9" t="s">
        <v>167</v>
      </c>
      <c r="F923" s="6">
        <v>69957</v>
      </c>
      <c r="G923" s="7">
        <v>69957</v>
      </c>
      <c r="H923" s="9">
        <f>(G923-F923)</f>
        <v>0.0</v>
      </c>
      <c r="I923" s="9" t="s">
        <v>193</v>
      </c>
      <c r="J923" s="9" t="s">
        <v>194</v>
      </c>
    </row>
    <row r="924" spans="1:12" ht="23" customHeight="1">
      <c r="A924" s="9" t="s">
        <v>172</v>
      </c>
      <c r="B924" s="6">
        <v>5</v>
      </c>
      <c r="C924" s="9" t="s">
        <v>163</v>
      </c>
      <c r="D924" s="6">
        <v>145</v>
      </c>
      <c r="E924" s="9" t="s">
        <v>178</v>
      </c>
      <c r="F924" s="11">
        <v>448.5</v>
      </c>
      <c r="G924" s="8">
        <v>448.5</v>
      </c>
      <c r="H924" s="9">
        <f>(G924-F924)</f>
        <v>0.0</v>
      </c>
      <c r="I924" s="9" t="s">
        <v>193</v>
      </c>
      <c r="J924" s="9" t="s">
        <v>194</v>
      </c>
    </row>
    <row r="925" spans="1:12" ht="23" customHeight="1">
      <c r="A925" s="9" t="s">
        <v>172</v>
      </c>
      <c r="B925" s="6">
        <v>5</v>
      </c>
      <c r="C925" s="9" t="s">
        <v>163</v>
      </c>
      <c r="D925" s="6">
        <v>145</v>
      </c>
      <c r="E925" s="9" t="s">
        <v>179</v>
      </c>
      <c r="F925" s="11">
        <v>448.5</v>
      </c>
      <c r="G925" s="8">
        <v>448.5</v>
      </c>
      <c r="H925" s="9">
        <f>(G925-F925)</f>
        <v>0.0</v>
      </c>
      <c r="I925" s="9" t="s">
        <v>193</v>
      </c>
      <c r="J925" s="9" t="s">
        <v>194</v>
      </c>
    </row>
    <row r="926" spans="1:12" ht="23" customHeight="1">
      <c r="A926" s="9" t="s">
        <v>172</v>
      </c>
      <c r="B926" s="6">
        <v>5</v>
      </c>
      <c r="C926" s="9" t="s">
        <v>163</v>
      </c>
      <c r="D926" s="6">
        <v>145</v>
      </c>
      <c r="E926" s="9" t="s">
        <v>168</v>
      </c>
      <c r="F926" s="6">
        <v>69957</v>
      </c>
      <c r="G926" s="7">
        <v>69957</v>
      </c>
      <c r="H926" s="9">
        <f>(G926-F926)</f>
        <v>0.0</v>
      </c>
      <c r="I926" s="9" t="s">
        <v>193</v>
      </c>
      <c r="J926" s="9" t="s">
        <v>194</v>
      </c>
    </row>
    <row r="927" spans="1:12" ht="23" customHeight="1">
      <c r="A927" s="9" t="s">
        <v>172</v>
      </c>
      <c r="B927" s="6">
        <v>5</v>
      </c>
      <c r="C927" s="9" t="s">
        <v>163</v>
      </c>
      <c r="D927" s="6">
        <v>145</v>
      </c>
      <c r="E927" s="9" t="s">
        <v>169</v>
      </c>
      <c r="F927" s="6">
        <v>69957</v>
      </c>
      <c r="G927" s="7">
        <v>69957</v>
      </c>
      <c r="H927" s="9">
        <f>(G927-F927)</f>
        <v>0.0</v>
      </c>
      <c r="I927" s="9" t="s">
        <v>193</v>
      </c>
      <c r="J927" s="9" t="s">
        <v>194</v>
      </c>
    </row>
    <row r="928" spans="1:12" ht="23" customHeight="1">
      <c r="A928" s="9" t="s">
        <v>172</v>
      </c>
      <c r="B928" s="6">
        <v>5</v>
      </c>
      <c r="C928" s="9" t="s">
        <v>163</v>
      </c>
      <c r="D928" s="6">
        <v>145</v>
      </c>
      <c r="E928" s="9" t="s">
        <v>170</v>
      </c>
      <c r="F928" s="6">
        <v>69957</v>
      </c>
      <c r="G928" s="7">
        <v>69957</v>
      </c>
      <c r="H928" s="9">
        <f>(G928-F928)</f>
        <v>0.0</v>
      </c>
      <c r="I928" s="9" t="s">
        <v>193</v>
      </c>
      <c r="J928" s="9" t="s">
        <v>194</v>
      </c>
    </row>
    <row r="929" spans="1:12" ht="23" customHeight="1">
      <c r="A929" s="9" t="s">
        <v>172</v>
      </c>
      <c r="B929" s="6">
        <v>5</v>
      </c>
      <c r="C929" s="9" t="s">
        <v>163</v>
      </c>
      <c r="D929" s="6">
        <v>145</v>
      </c>
      <c r="E929" s="9" t="s">
        <v>171</v>
      </c>
      <c r="F929" s="6">
        <v>69957</v>
      </c>
      <c r="G929" s="7">
        <v>69957</v>
      </c>
      <c r="H929" s="9">
        <f>(G929-F929)</f>
        <v>0.0</v>
      </c>
      <c r="I929" s="9" t="s">
        <v>193</v>
      </c>
      <c r="J929" s="9" t="s">
        <v>194</v>
      </c>
    </row>
    <row r="930" spans="1:12" ht="23" customHeight="1">
      <c r="A930" s="9" t="s">
        <v>172</v>
      </c>
      <c r="B930" s="6">
        <v>5</v>
      </c>
      <c r="C930" s="9" t="s">
        <v>163</v>
      </c>
      <c r="D930" s="6">
        <v>146</v>
      </c>
      <c r="E930" s="9" t="s">
        <v>166</v>
      </c>
      <c r="F930" s="6">
        <v>24216</v>
      </c>
      <c r="G930" s="7">
        <v>24216</v>
      </c>
      <c r="H930" s="9">
        <f>(G930-F930)</f>
        <v>0.0</v>
      </c>
      <c r="I930" s="9" t="s">
        <v>193</v>
      </c>
      <c r="J930" s="9" t="s">
        <v>194</v>
      </c>
    </row>
    <row r="931" spans="1:12" ht="23" customHeight="1">
      <c r="A931" s="9" t="s">
        <v>172</v>
      </c>
      <c r="B931" s="6">
        <v>5</v>
      </c>
      <c r="C931" s="9" t="s">
        <v>163</v>
      </c>
      <c r="D931" s="6">
        <v>146</v>
      </c>
      <c r="E931" s="9" t="s">
        <v>176</v>
      </c>
      <c r="F931" s="11">
        <v>155.3</v>
      </c>
      <c r="G931" s="8">
        <v>155.3</v>
      </c>
      <c r="H931" s="9">
        <f>(G931-F931)</f>
        <v>0.0</v>
      </c>
      <c r="I931" s="9" t="s">
        <v>193</v>
      </c>
      <c r="J931" s="9" t="s">
        <v>194</v>
      </c>
    </row>
    <row r="932" spans="1:12" ht="23" customHeight="1">
      <c r="A932" s="9" t="s">
        <v>172</v>
      </c>
      <c r="B932" s="6">
        <v>5</v>
      </c>
      <c r="C932" s="9" t="s">
        <v>163</v>
      </c>
      <c r="D932" s="6">
        <v>146</v>
      </c>
      <c r="E932" s="9" t="s">
        <v>177</v>
      </c>
      <c r="F932" s="11">
        <v>155.3</v>
      </c>
      <c r="G932" s="8">
        <v>155.3</v>
      </c>
      <c r="H932" s="9">
        <f>(G932-F932)</f>
        <v>0.0</v>
      </c>
      <c r="I932" s="9" t="s">
        <v>193</v>
      </c>
      <c r="J932" s="9" t="s">
        <v>194</v>
      </c>
    </row>
    <row r="933" spans="1:12" ht="23" customHeight="1">
      <c r="A933" s="9" t="s">
        <v>172</v>
      </c>
      <c r="B933" s="6">
        <v>5</v>
      </c>
      <c r="C933" s="9" t="s">
        <v>163</v>
      </c>
      <c r="D933" s="6">
        <v>146</v>
      </c>
      <c r="E933" s="9" t="s">
        <v>167</v>
      </c>
      <c r="F933" s="6">
        <v>24216</v>
      </c>
      <c r="G933" s="7">
        <v>24216</v>
      </c>
      <c r="H933" s="9">
        <f>(G933-F933)</f>
        <v>0.0</v>
      </c>
      <c r="I933" s="9" t="s">
        <v>193</v>
      </c>
      <c r="J933" s="9" t="s">
        <v>194</v>
      </c>
    </row>
    <row r="934" spans="1:12" ht="23" customHeight="1">
      <c r="A934" s="9" t="s">
        <v>172</v>
      </c>
      <c r="B934" s="6">
        <v>5</v>
      </c>
      <c r="C934" s="9" t="s">
        <v>163</v>
      </c>
      <c r="D934" s="6">
        <v>146</v>
      </c>
      <c r="E934" s="9" t="s">
        <v>178</v>
      </c>
      <c r="F934" s="11">
        <v>155.3</v>
      </c>
      <c r="G934" s="8">
        <v>155.3</v>
      </c>
      <c r="H934" s="9">
        <f>(G934-F934)</f>
        <v>0.0</v>
      </c>
      <c r="I934" s="9" t="s">
        <v>193</v>
      </c>
      <c r="J934" s="9" t="s">
        <v>194</v>
      </c>
    </row>
    <row r="935" spans="1:12" ht="23" customHeight="1">
      <c r="A935" s="9" t="s">
        <v>172</v>
      </c>
      <c r="B935" s="6">
        <v>5</v>
      </c>
      <c r="C935" s="9" t="s">
        <v>163</v>
      </c>
      <c r="D935" s="6">
        <v>146</v>
      </c>
      <c r="E935" s="9" t="s">
        <v>179</v>
      </c>
      <c r="F935" s="11">
        <v>155.3</v>
      </c>
      <c r="G935" s="8">
        <v>155.3</v>
      </c>
      <c r="H935" s="9">
        <f>(G935-F935)</f>
        <v>0.0</v>
      </c>
      <c r="I935" s="9" t="s">
        <v>193</v>
      </c>
      <c r="J935" s="9" t="s">
        <v>194</v>
      </c>
    </row>
    <row r="936" spans="1:12" ht="23" customHeight="1">
      <c r="A936" s="9" t="s">
        <v>172</v>
      </c>
      <c r="B936" s="6">
        <v>5</v>
      </c>
      <c r="C936" s="9" t="s">
        <v>163</v>
      </c>
      <c r="D936" s="6">
        <v>146</v>
      </c>
      <c r="E936" s="9" t="s">
        <v>168</v>
      </c>
      <c r="F936" s="6">
        <v>24216</v>
      </c>
      <c r="G936" s="7">
        <v>24216</v>
      </c>
      <c r="H936" s="9">
        <f>(G936-F936)</f>
        <v>0.0</v>
      </c>
      <c r="I936" s="9" t="s">
        <v>193</v>
      </c>
      <c r="J936" s="9" t="s">
        <v>194</v>
      </c>
    </row>
    <row r="937" spans="1:12" ht="23" customHeight="1">
      <c r="A937" s="9" t="s">
        <v>172</v>
      </c>
      <c r="B937" s="6">
        <v>5</v>
      </c>
      <c r="C937" s="9" t="s">
        <v>163</v>
      </c>
      <c r="D937" s="6">
        <v>146</v>
      </c>
      <c r="E937" s="9" t="s">
        <v>169</v>
      </c>
      <c r="F937" s="6">
        <v>24216</v>
      </c>
      <c r="G937" s="7">
        <v>24216</v>
      </c>
      <c r="H937" s="9">
        <f>(G937-F937)</f>
        <v>0.0</v>
      </c>
      <c r="I937" s="9" t="s">
        <v>193</v>
      </c>
      <c r="J937" s="9" t="s">
        <v>194</v>
      </c>
    </row>
    <row r="938" spans="1:12" ht="24" customHeight="1">
      <c r="A938" s="3" t="s">
        <v>181</v>
      </c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spans="1:12" ht="36" customHeight="1">
      <c r="A939" s="4" t="s">
        <v>182</v>
      </c>
      <c r="B939" s="4" t="s">
        <v>8</v>
      </c>
      <c r="C939" s="4" t="s">
        <v>183</v>
      </c>
      <c r="D939" s="4" t="s">
        <v>184</v>
      </c>
      <c r="E939" s="4" t="s">
        <v>185</v>
      </c>
      <c r="F939" s="4" t="s">
        <v>186</v>
      </c>
      <c r="G939" s="4" t="s">
        <v>187</v>
      </c>
      <c r="H939" s="4" t="s">
        <v>188</v>
      </c>
      <c r="I939" s="4" t="s">
        <v>189</v>
      </c>
      <c r="J939" s="4" t="s">
        <v>190</v>
      </c>
    </row>
    <row r="940" spans="1:12" ht="23" customHeight="1">
      <c r="A940" s="9" t="s">
        <v>172</v>
      </c>
      <c r="B940" s="6">
        <v>5</v>
      </c>
      <c r="C940" s="9" t="s">
        <v>163</v>
      </c>
      <c r="D940" s="6">
        <v>146</v>
      </c>
      <c r="E940" s="9" t="s">
        <v>170</v>
      </c>
      <c r="F940" s="6">
        <v>24216</v>
      </c>
      <c r="G940" s="7">
        <v>24216</v>
      </c>
      <c r="H940" s="9">
        <f>(G940-F940)</f>
        <v>0.0</v>
      </c>
      <c r="I940" s="9" t="s">
        <v>193</v>
      </c>
      <c r="J940" s="9" t="s">
        <v>194</v>
      </c>
    </row>
    <row r="941" spans="1:12" ht="23" customHeight="1">
      <c r="A941" s="9" t="s">
        <v>172</v>
      </c>
      <c r="B941" s="6">
        <v>5</v>
      </c>
      <c r="C941" s="9" t="s">
        <v>163</v>
      </c>
      <c r="D941" s="6">
        <v>146</v>
      </c>
      <c r="E941" s="9" t="s">
        <v>171</v>
      </c>
      <c r="F941" s="6">
        <v>24216</v>
      </c>
      <c r="G941" s="7">
        <v>24216</v>
      </c>
      <c r="H941" s="9">
        <f>(G941-F941)</f>
        <v>0.0</v>
      </c>
      <c r="I941" s="9" t="s">
        <v>193</v>
      </c>
      <c r="J941" s="9" t="s">
        <v>194</v>
      </c>
    </row>
    <row r="942" spans="1:12" ht="23" customHeight="1">
      <c r="A942" s="9" t="s">
        <v>172</v>
      </c>
      <c r="B942" s="6">
        <v>6</v>
      </c>
      <c r="C942" s="9" t="s">
        <v>163</v>
      </c>
      <c r="D942" s="6">
        <v>152</v>
      </c>
      <c r="E942" s="9" t="s">
        <v>166</v>
      </c>
      <c r="F942" s="6">
        <v>51629</v>
      </c>
      <c r="G942" s="7">
        <v>51629</v>
      </c>
      <c r="H942" s="9">
        <f>(G942-F942)</f>
        <v>0.0</v>
      </c>
      <c r="I942" s="9" t="s">
        <v>193</v>
      </c>
      <c r="J942" s="9" t="s">
        <v>194</v>
      </c>
    </row>
    <row r="943" spans="1:12" ht="23" customHeight="1">
      <c r="A943" s="9" t="s">
        <v>172</v>
      </c>
      <c r="B943" s="6">
        <v>6</v>
      </c>
      <c r="C943" s="9" t="s">
        <v>163</v>
      </c>
      <c r="D943" s="6">
        <v>152</v>
      </c>
      <c r="E943" s="9" t="s">
        <v>176</v>
      </c>
      <c r="F943" s="11">
        <v>433.8</v>
      </c>
      <c r="G943" s="8">
        <v>433.8</v>
      </c>
      <c r="H943" s="9">
        <f>(G943-F943)</f>
        <v>0.0</v>
      </c>
      <c r="I943" s="9" t="s">
        <v>193</v>
      </c>
      <c r="J943" s="9" t="s">
        <v>194</v>
      </c>
    </row>
    <row r="944" spans="1:12" ht="23" customHeight="1">
      <c r="A944" s="9" t="s">
        <v>172</v>
      </c>
      <c r="B944" s="6">
        <v>6</v>
      </c>
      <c r="C944" s="9" t="s">
        <v>163</v>
      </c>
      <c r="D944" s="6">
        <v>152</v>
      </c>
      <c r="E944" s="9" t="s">
        <v>177</v>
      </c>
      <c r="F944" s="11">
        <v>433.8</v>
      </c>
      <c r="G944" s="8">
        <v>433.8</v>
      </c>
      <c r="H944" s="9">
        <f>(G944-F944)</f>
        <v>0.0</v>
      </c>
      <c r="I944" s="9" t="s">
        <v>193</v>
      </c>
      <c r="J944" s="9" t="s">
        <v>194</v>
      </c>
    </row>
    <row r="945" spans="1:12" ht="23" customHeight="1">
      <c r="A945" s="9" t="s">
        <v>172</v>
      </c>
      <c r="B945" s="6">
        <v>6</v>
      </c>
      <c r="C945" s="9" t="s">
        <v>163</v>
      </c>
      <c r="D945" s="6">
        <v>152</v>
      </c>
      <c r="E945" s="9" t="s">
        <v>167</v>
      </c>
      <c r="F945" s="6">
        <v>51629</v>
      </c>
      <c r="G945" s="7">
        <v>51629</v>
      </c>
      <c r="H945" s="9">
        <f>(G945-F945)</f>
        <v>0.0</v>
      </c>
      <c r="I945" s="9" t="s">
        <v>193</v>
      </c>
      <c r="J945" s="9" t="s">
        <v>194</v>
      </c>
    </row>
    <row r="946" spans="1:12" ht="23" customHeight="1">
      <c r="A946" s="9" t="s">
        <v>172</v>
      </c>
      <c r="B946" s="6">
        <v>6</v>
      </c>
      <c r="C946" s="9" t="s">
        <v>163</v>
      </c>
      <c r="D946" s="6">
        <v>152</v>
      </c>
      <c r="E946" s="9" t="s">
        <v>178</v>
      </c>
      <c r="F946" s="11">
        <v>433.8</v>
      </c>
      <c r="G946" s="8">
        <v>433.8</v>
      </c>
      <c r="H946" s="9">
        <f>(G946-F946)</f>
        <v>0.0</v>
      </c>
      <c r="I946" s="9" t="s">
        <v>193</v>
      </c>
      <c r="J946" s="9" t="s">
        <v>194</v>
      </c>
    </row>
    <row r="947" spans="1:12" ht="23" customHeight="1">
      <c r="A947" s="9" t="s">
        <v>172</v>
      </c>
      <c r="B947" s="6">
        <v>6</v>
      </c>
      <c r="C947" s="9" t="s">
        <v>163</v>
      </c>
      <c r="D947" s="6">
        <v>152</v>
      </c>
      <c r="E947" s="9" t="s">
        <v>179</v>
      </c>
      <c r="F947" s="11">
        <v>433.8</v>
      </c>
      <c r="G947" s="8">
        <v>433.8</v>
      </c>
      <c r="H947" s="9">
        <f>(G947-F947)</f>
        <v>0.0</v>
      </c>
      <c r="I947" s="9" t="s">
        <v>193</v>
      </c>
      <c r="J947" s="9" t="s">
        <v>194</v>
      </c>
    </row>
    <row r="948" spans="1:12" ht="23" customHeight="1">
      <c r="A948" s="9" t="s">
        <v>172</v>
      </c>
      <c r="B948" s="6">
        <v>6</v>
      </c>
      <c r="C948" s="9" t="s">
        <v>163</v>
      </c>
      <c r="D948" s="6">
        <v>152</v>
      </c>
      <c r="E948" s="9" t="s">
        <v>168</v>
      </c>
      <c r="F948" s="6">
        <v>51629</v>
      </c>
      <c r="G948" s="7">
        <v>51629</v>
      </c>
      <c r="H948" s="9">
        <f>(G948-F948)</f>
        <v>0.0</v>
      </c>
      <c r="I948" s="9" t="s">
        <v>193</v>
      </c>
      <c r="J948" s="9" t="s">
        <v>194</v>
      </c>
    </row>
    <row r="949" spans="1:12" ht="23" customHeight="1">
      <c r="A949" s="9" t="s">
        <v>172</v>
      </c>
      <c r="B949" s="6">
        <v>6</v>
      </c>
      <c r="C949" s="9" t="s">
        <v>163</v>
      </c>
      <c r="D949" s="6">
        <v>152</v>
      </c>
      <c r="E949" s="9" t="s">
        <v>169</v>
      </c>
      <c r="F949" s="6">
        <v>51629</v>
      </c>
      <c r="G949" s="7">
        <v>51629</v>
      </c>
      <c r="H949" s="9">
        <f>(G949-F949)</f>
        <v>0.0</v>
      </c>
      <c r="I949" s="9" t="s">
        <v>193</v>
      </c>
      <c r="J949" s="9" t="s">
        <v>194</v>
      </c>
    </row>
    <row r="950" spans="1:12" ht="23" customHeight="1">
      <c r="A950" s="9" t="s">
        <v>172</v>
      </c>
      <c r="B950" s="6">
        <v>6</v>
      </c>
      <c r="C950" s="9" t="s">
        <v>163</v>
      </c>
      <c r="D950" s="6">
        <v>152</v>
      </c>
      <c r="E950" s="9" t="s">
        <v>170</v>
      </c>
      <c r="F950" s="6">
        <v>51629</v>
      </c>
      <c r="G950" s="7">
        <v>51629</v>
      </c>
      <c r="H950" s="9">
        <f>(G950-F950)</f>
        <v>0.0</v>
      </c>
      <c r="I950" s="9" t="s">
        <v>193</v>
      </c>
      <c r="J950" s="9" t="s">
        <v>194</v>
      </c>
    </row>
    <row r="951" spans="1:12" ht="23" customHeight="1">
      <c r="A951" s="9" t="s">
        <v>172</v>
      </c>
      <c r="B951" s="6">
        <v>6</v>
      </c>
      <c r="C951" s="9" t="s">
        <v>163</v>
      </c>
      <c r="D951" s="6">
        <v>152</v>
      </c>
      <c r="E951" s="9" t="s">
        <v>171</v>
      </c>
      <c r="F951" s="6">
        <v>51629</v>
      </c>
      <c r="G951" s="7">
        <v>51629</v>
      </c>
      <c r="H951" s="9">
        <f>(G951-F951)</f>
        <v>0.0</v>
      </c>
      <c r="I951" s="9" t="s">
        <v>193</v>
      </c>
      <c r="J951" s="9" t="s">
        <v>194</v>
      </c>
    </row>
    <row r="952" spans="1:12" ht="23" customHeight="1">
      <c r="A952" s="9" t="s">
        <v>172</v>
      </c>
      <c r="B952" s="6">
        <v>6</v>
      </c>
      <c r="C952" s="9" t="s">
        <v>163</v>
      </c>
      <c r="D952" s="6">
        <v>153</v>
      </c>
      <c r="E952" s="9" t="s">
        <v>166</v>
      </c>
      <c r="F952" s="6">
        <v>145626</v>
      </c>
      <c r="G952" s="7">
        <v>145626</v>
      </c>
      <c r="H952" s="9">
        <f>(G952-F952)</f>
        <v>0.0</v>
      </c>
      <c r="I952" s="9" t="s">
        <v>193</v>
      </c>
      <c r="J952" s="9" t="s">
        <v>194</v>
      </c>
    </row>
    <row r="953" spans="1:12" ht="23" customHeight="1">
      <c r="A953" s="9" t="s">
        <v>172</v>
      </c>
      <c r="B953" s="6">
        <v>6</v>
      </c>
      <c r="C953" s="9" t="s">
        <v>163</v>
      </c>
      <c r="D953" s="6">
        <v>153</v>
      </c>
      <c r="E953" s="9" t="s">
        <v>176</v>
      </c>
      <c r="F953" s="6">
        <v>1835</v>
      </c>
      <c r="G953" s="7">
        <v>1835</v>
      </c>
      <c r="H953" s="9">
        <f>(G953-F953)</f>
        <v>0.0</v>
      </c>
      <c r="I953" s="9" t="s">
        <v>193</v>
      </c>
      <c r="J953" s="9" t="s">
        <v>194</v>
      </c>
    </row>
    <row r="954" spans="1:12" ht="23" customHeight="1">
      <c r="A954" s="9" t="s">
        <v>172</v>
      </c>
      <c r="B954" s="6">
        <v>6</v>
      </c>
      <c r="C954" s="9" t="s">
        <v>163</v>
      </c>
      <c r="D954" s="6">
        <v>153</v>
      </c>
      <c r="E954" s="9" t="s">
        <v>177</v>
      </c>
      <c r="F954" s="6">
        <v>1835</v>
      </c>
      <c r="G954" s="7">
        <v>1835</v>
      </c>
      <c r="H954" s="9">
        <f>(G954-F954)</f>
        <v>0.0</v>
      </c>
      <c r="I954" s="9" t="s">
        <v>193</v>
      </c>
      <c r="J954" s="9" t="s">
        <v>194</v>
      </c>
    </row>
    <row r="955" spans="1:12" ht="24" customHeight="1">
      <c r="A955" s="3" t="s">
        <v>181</v>
      </c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spans="1:12" ht="36" customHeight="1">
      <c r="A956" s="4" t="s">
        <v>182</v>
      </c>
      <c r="B956" s="4" t="s">
        <v>8</v>
      </c>
      <c r="C956" s="4" t="s">
        <v>183</v>
      </c>
      <c r="D956" s="4" t="s">
        <v>184</v>
      </c>
      <c r="E956" s="4" t="s">
        <v>185</v>
      </c>
      <c r="F956" s="4" t="s">
        <v>186</v>
      </c>
      <c r="G956" s="4" t="s">
        <v>187</v>
      </c>
      <c r="H956" s="4" t="s">
        <v>188</v>
      </c>
      <c r="I956" s="4" t="s">
        <v>189</v>
      </c>
      <c r="J956" s="4" t="s">
        <v>190</v>
      </c>
    </row>
    <row r="957" spans="1:12" ht="23" customHeight="1">
      <c r="A957" s="9" t="s">
        <v>172</v>
      </c>
      <c r="B957" s="6">
        <v>6</v>
      </c>
      <c r="C957" s="9" t="s">
        <v>163</v>
      </c>
      <c r="D957" s="6">
        <v>153</v>
      </c>
      <c r="E957" s="9" t="s">
        <v>167</v>
      </c>
      <c r="F957" s="6">
        <v>145626</v>
      </c>
      <c r="G957" s="7">
        <v>145626</v>
      </c>
      <c r="H957" s="9">
        <f>(G957-F957)</f>
        <v>0.0</v>
      </c>
      <c r="I957" s="9" t="s">
        <v>193</v>
      </c>
      <c r="J957" s="9" t="s">
        <v>194</v>
      </c>
    </row>
    <row r="958" spans="1:12" ht="23" customHeight="1">
      <c r="A958" s="9" t="s">
        <v>172</v>
      </c>
      <c r="B958" s="6">
        <v>6</v>
      </c>
      <c r="C958" s="9" t="s">
        <v>163</v>
      </c>
      <c r="D958" s="6">
        <v>153</v>
      </c>
      <c r="E958" s="9" t="s">
        <v>178</v>
      </c>
      <c r="F958" s="6">
        <v>1835</v>
      </c>
      <c r="G958" s="7">
        <v>1835</v>
      </c>
      <c r="H958" s="9">
        <f>(G958-F958)</f>
        <v>0.0</v>
      </c>
      <c r="I958" s="9" t="s">
        <v>193</v>
      </c>
      <c r="J958" s="9" t="s">
        <v>194</v>
      </c>
    </row>
    <row r="959" spans="1:12" ht="23" customHeight="1">
      <c r="A959" s="9" t="s">
        <v>172</v>
      </c>
      <c r="B959" s="6">
        <v>6</v>
      </c>
      <c r="C959" s="9" t="s">
        <v>163</v>
      </c>
      <c r="D959" s="6">
        <v>153</v>
      </c>
      <c r="E959" s="9" t="s">
        <v>179</v>
      </c>
      <c r="F959" s="6">
        <v>1835</v>
      </c>
      <c r="G959" s="7">
        <v>1835</v>
      </c>
      <c r="H959" s="9">
        <f>(G959-F959)</f>
        <v>0.0</v>
      </c>
      <c r="I959" s="9" t="s">
        <v>193</v>
      </c>
      <c r="J959" s="9" t="s">
        <v>194</v>
      </c>
    </row>
    <row r="960" spans="1:12" ht="23" customHeight="1">
      <c r="A960" s="9" t="s">
        <v>172</v>
      </c>
      <c r="B960" s="6">
        <v>6</v>
      </c>
      <c r="C960" s="9" t="s">
        <v>163</v>
      </c>
      <c r="D960" s="6">
        <v>153</v>
      </c>
      <c r="E960" s="9" t="s">
        <v>168</v>
      </c>
      <c r="F960" s="6">
        <v>145626</v>
      </c>
      <c r="G960" s="7">
        <v>145626</v>
      </c>
      <c r="H960" s="9">
        <f>(G960-F960)</f>
        <v>0.0</v>
      </c>
      <c r="I960" s="9" t="s">
        <v>193</v>
      </c>
      <c r="J960" s="9" t="s">
        <v>194</v>
      </c>
    </row>
    <row r="961" spans="1:12" ht="23" customHeight="1">
      <c r="A961" s="9" t="s">
        <v>172</v>
      </c>
      <c r="B961" s="6">
        <v>6</v>
      </c>
      <c r="C961" s="9" t="s">
        <v>163</v>
      </c>
      <c r="D961" s="6">
        <v>153</v>
      </c>
      <c r="E961" s="9" t="s">
        <v>169</v>
      </c>
      <c r="F961" s="6">
        <v>145626</v>
      </c>
      <c r="G961" s="7">
        <v>145626</v>
      </c>
      <c r="H961" s="9">
        <f>(G961-F961)</f>
        <v>0.0</v>
      </c>
      <c r="I961" s="9" t="s">
        <v>193</v>
      </c>
      <c r="J961" s="9" t="s">
        <v>194</v>
      </c>
    </row>
    <row r="962" spans="1:12" ht="23" customHeight="1">
      <c r="A962" s="9" t="s">
        <v>172</v>
      </c>
      <c r="B962" s="6">
        <v>6</v>
      </c>
      <c r="C962" s="9" t="s">
        <v>163</v>
      </c>
      <c r="D962" s="6">
        <v>153</v>
      </c>
      <c r="E962" s="9" t="s">
        <v>170</v>
      </c>
      <c r="F962" s="6">
        <v>145626</v>
      </c>
      <c r="G962" s="7">
        <v>145626</v>
      </c>
      <c r="H962" s="9">
        <f>(G962-F962)</f>
        <v>0.0</v>
      </c>
      <c r="I962" s="9" t="s">
        <v>193</v>
      </c>
      <c r="J962" s="9" t="s">
        <v>194</v>
      </c>
    </row>
    <row r="963" spans="1:12" ht="23" customHeight="1">
      <c r="A963" s="9" t="s">
        <v>172</v>
      </c>
      <c r="B963" s="6">
        <v>6</v>
      </c>
      <c r="C963" s="9" t="s">
        <v>163</v>
      </c>
      <c r="D963" s="6">
        <v>153</v>
      </c>
      <c r="E963" s="9" t="s">
        <v>171</v>
      </c>
      <c r="F963" s="6">
        <v>145626</v>
      </c>
      <c r="G963" s="7">
        <v>145626</v>
      </c>
      <c r="H963" s="9">
        <f>(G963-F963)</f>
        <v>0.0</v>
      </c>
      <c r="I963" s="9" t="s">
        <v>193</v>
      </c>
      <c r="J963" s="9" t="s">
        <v>194</v>
      </c>
    </row>
    <row r="964" spans="1:12" ht="23" customHeight="1">
      <c r="A964" s="9" t="s">
        <v>172</v>
      </c>
      <c r="B964" s="6">
        <v>6</v>
      </c>
      <c r="C964" s="9" t="s">
        <v>163</v>
      </c>
      <c r="D964" s="6">
        <v>154</v>
      </c>
      <c r="E964" s="9" t="s">
        <v>166</v>
      </c>
      <c r="F964" s="6">
        <v>155634</v>
      </c>
      <c r="G964" s="7">
        <v>155634</v>
      </c>
      <c r="H964" s="9">
        <f>(G964-F964)</f>
        <v>0.0</v>
      </c>
      <c r="I964" s="9" t="s">
        <v>193</v>
      </c>
      <c r="J964" s="9" t="s">
        <v>194</v>
      </c>
    </row>
    <row r="965" spans="1:12" ht="23" customHeight="1">
      <c r="A965" s="9" t="s">
        <v>172</v>
      </c>
      <c r="B965" s="6">
        <v>6</v>
      </c>
      <c r="C965" s="9" t="s">
        <v>163</v>
      </c>
      <c r="D965" s="6">
        <v>154</v>
      </c>
      <c r="E965" s="9" t="s">
        <v>176</v>
      </c>
      <c r="F965" s="11">
        <v>1794.4</v>
      </c>
      <c r="G965" s="8">
        <v>1794.4</v>
      </c>
      <c r="H965" s="9">
        <f>(G965-F965)</f>
        <v>0.0</v>
      </c>
      <c r="I965" s="9" t="s">
        <v>193</v>
      </c>
      <c r="J965" s="9" t="s">
        <v>194</v>
      </c>
    </row>
    <row r="966" spans="1:12" ht="23" customHeight="1">
      <c r="A966" s="9" t="s">
        <v>172</v>
      </c>
      <c r="B966" s="6">
        <v>6</v>
      </c>
      <c r="C966" s="9" t="s">
        <v>163</v>
      </c>
      <c r="D966" s="6">
        <v>154</v>
      </c>
      <c r="E966" s="9" t="s">
        <v>177</v>
      </c>
      <c r="F966" s="11">
        <v>1794.4</v>
      </c>
      <c r="G966" s="8">
        <v>1794.4</v>
      </c>
      <c r="H966" s="9">
        <f>(G966-F966)</f>
        <v>0.0</v>
      </c>
      <c r="I966" s="9" t="s">
        <v>193</v>
      </c>
      <c r="J966" s="9" t="s">
        <v>194</v>
      </c>
    </row>
    <row r="967" spans="1:12" ht="23" customHeight="1">
      <c r="A967" s="9" t="s">
        <v>172</v>
      </c>
      <c r="B967" s="6">
        <v>6</v>
      </c>
      <c r="C967" s="9" t="s">
        <v>163</v>
      </c>
      <c r="D967" s="6">
        <v>154</v>
      </c>
      <c r="E967" s="9" t="s">
        <v>167</v>
      </c>
      <c r="F967" s="6">
        <v>155634</v>
      </c>
      <c r="G967" s="7">
        <v>155634</v>
      </c>
      <c r="H967" s="9">
        <f>(G967-F967)</f>
        <v>0.0</v>
      </c>
      <c r="I967" s="9" t="s">
        <v>193</v>
      </c>
      <c r="J967" s="9" t="s">
        <v>194</v>
      </c>
    </row>
    <row r="968" spans="1:12" ht="23" customHeight="1">
      <c r="A968" s="9" t="s">
        <v>172</v>
      </c>
      <c r="B968" s="6">
        <v>6</v>
      </c>
      <c r="C968" s="9" t="s">
        <v>163</v>
      </c>
      <c r="D968" s="6">
        <v>154</v>
      </c>
      <c r="E968" s="9" t="s">
        <v>178</v>
      </c>
      <c r="F968" s="11">
        <v>1794.4</v>
      </c>
      <c r="G968" s="8">
        <v>1794.4</v>
      </c>
      <c r="H968" s="9">
        <f>(G968-F968)</f>
        <v>0.0</v>
      </c>
      <c r="I968" s="9" t="s">
        <v>193</v>
      </c>
      <c r="J968" s="9" t="s">
        <v>194</v>
      </c>
    </row>
    <row r="969" spans="1:12" ht="23" customHeight="1">
      <c r="A969" s="9" t="s">
        <v>172</v>
      </c>
      <c r="B969" s="6">
        <v>6</v>
      </c>
      <c r="C969" s="9" t="s">
        <v>163</v>
      </c>
      <c r="D969" s="6">
        <v>154</v>
      </c>
      <c r="E969" s="9" t="s">
        <v>179</v>
      </c>
      <c r="F969" s="11">
        <v>1794.4</v>
      </c>
      <c r="G969" s="8">
        <v>1794.4</v>
      </c>
      <c r="H969" s="9">
        <f>(G969-F969)</f>
        <v>0.0</v>
      </c>
      <c r="I969" s="9" t="s">
        <v>193</v>
      </c>
      <c r="J969" s="9" t="s">
        <v>194</v>
      </c>
    </row>
    <row r="970" spans="1:12" ht="23" customHeight="1">
      <c r="A970" s="9" t="s">
        <v>172</v>
      </c>
      <c r="B970" s="6">
        <v>6</v>
      </c>
      <c r="C970" s="9" t="s">
        <v>163</v>
      </c>
      <c r="D970" s="6">
        <v>154</v>
      </c>
      <c r="E970" s="9" t="s">
        <v>168</v>
      </c>
      <c r="F970" s="6">
        <v>155634</v>
      </c>
      <c r="G970" s="7">
        <v>155634</v>
      </c>
      <c r="H970" s="9">
        <f>(G970-F970)</f>
        <v>0.0</v>
      </c>
      <c r="I970" s="9" t="s">
        <v>193</v>
      </c>
      <c r="J970" s="9" t="s">
        <v>194</v>
      </c>
    </row>
    <row r="971" spans="1:12" ht="23" customHeight="1">
      <c r="A971" s="9" t="s">
        <v>172</v>
      </c>
      <c r="B971" s="6">
        <v>6</v>
      </c>
      <c r="C971" s="9" t="s">
        <v>163</v>
      </c>
      <c r="D971" s="6">
        <v>154</v>
      </c>
      <c r="E971" s="9" t="s">
        <v>169</v>
      </c>
      <c r="F971" s="6">
        <v>155634</v>
      </c>
      <c r="G971" s="7">
        <v>155634</v>
      </c>
      <c r="H971" s="9">
        <f>(G971-F971)</f>
        <v>0.0</v>
      </c>
      <c r="I971" s="9" t="s">
        <v>193</v>
      </c>
      <c r="J971" s="9" t="s">
        <v>194</v>
      </c>
    </row>
    <row r="972" spans="1:12" ht="24" customHeight="1">
      <c r="A972" s="3" t="s">
        <v>181</v>
      </c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spans="1:12" ht="36" customHeight="1">
      <c r="A973" s="4" t="s">
        <v>182</v>
      </c>
      <c r="B973" s="4" t="s">
        <v>8</v>
      </c>
      <c r="C973" s="4" t="s">
        <v>183</v>
      </c>
      <c r="D973" s="4" t="s">
        <v>184</v>
      </c>
      <c r="E973" s="4" t="s">
        <v>185</v>
      </c>
      <c r="F973" s="4" t="s">
        <v>186</v>
      </c>
      <c r="G973" s="4" t="s">
        <v>187</v>
      </c>
      <c r="H973" s="4" t="s">
        <v>188</v>
      </c>
      <c r="I973" s="4" t="s">
        <v>189</v>
      </c>
      <c r="J973" s="4" t="s">
        <v>190</v>
      </c>
    </row>
    <row r="974" spans="1:12" ht="23" customHeight="1">
      <c r="A974" s="9" t="s">
        <v>172</v>
      </c>
      <c r="B974" s="6">
        <v>6</v>
      </c>
      <c r="C974" s="9" t="s">
        <v>163</v>
      </c>
      <c r="D974" s="6">
        <v>154</v>
      </c>
      <c r="E974" s="9" t="s">
        <v>170</v>
      </c>
      <c r="F974" s="6">
        <v>155634</v>
      </c>
      <c r="G974" s="7">
        <v>155634</v>
      </c>
      <c r="H974" s="9">
        <f>(G974-F974)</f>
        <v>0.0</v>
      </c>
      <c r="I974" s="9" t="s">
        <v>193</v>
      </c>
      <c r="J974" s="9" t="s">
        <v>194</v>
      </c>
    </row>
    <row r="975" spans="1:12" ht="23" customHeight="1">
      <c r="A975" s="9" t="s">
        <v>172</v>
      </c>
      <c r="B975" s="6">
        <v>6</v>
      </c>
      <c r="C975" s="9" t="s">
        <v>163</v>
      </c>
      <c r="D975" s="6">
        <v>154</v>
      </c>
      <c r="E975" s="9" t="s">
        <v>171</v>
      </c>
      <c r="F975" s="6">
        <v>155634</v>
      </c>
      <c r="G975" s="7">
        <v>155634</v>
      </c>
      <c r="H975" s="9">
        <f>(G975-F975)</f>
        <v>0.0</v>
      </c>
      <c r="I975" s="9" t="s">
        <v>193</v>
      </c>
      <c r="J975" s="9" t="s">
        <v>194</v>
      </c>
    </row>
    <row r="976" spans="1:12" ht="23" customHeight="1">
      <c r="A976" s="9" t="s">
        <v>172</v>
      </c>
      <c r="B976" s="6">
        <v>6</v>
      </c>
      <c r="C976" s="9" t="s">
        <v>163</v>
      </c>
      <c r="D976" s="6">
        <v>155</v>
      </c>
      <c r="E976" s="9" t="s">
        <v>166</v>
      </c>
      <c r="F976" s="6">
        <v>223257</v>
      </c>
      <c r="G976" s="7">
        <v>223257</v>
      </c>
      <c r="H976" s="9">
        <f>(G976-F976)</f>
        <v>0.0</v>
      </c>
      <c r="I976" s="9" t="s">
        <v>193</v>
      </c>
      <c r="J976" s="9" t="s">
        <v>194</v>
      </c>
    </row>
    <row r="977" spans="1:12" ht="23" customHeight="1">
      <c r="A977" s="9" t="s">
        <v>172</v>
      </c>
      <c r="B977" s="6">
        <v>6</v>
      </c>
      <c r="C977" s="9" t="s">
        <v>163</v>
      </c>
      <c r="D977" s="6">
        <v>155</v>
      </c>
      <c r="E977" s="9" t="s">
        <v>176</v>
      </c>
      <c r="F977" s="6">
        <v>2313</v>
      </c>
      <c r="G977" s="7">
        <v>2313</v>
      </c>
      <c r="H977" s="9">
        <f>(G977-F977)</f>
        <v>0.0</v>
      </c>
      <c r="I977" s="9" t="s">
        <v>193</v>
      </c>
      <c r="J977" s="9" t="s">
        <v>194</v>
      </c>
    </row>
    <row r="978" spans="1:12" ht="23" customHeight="1">
      <c r="A978" s="9" t="s">
        <v>172</v>
      </c>
      <c r="B978" s="6">
        <v>6</v>
      </c>
      <c r="C978" s="9" t="s">
        <v>163</v>
      </c>
      <c r="D978" s="6">
        <v>155</v>
      </c>
      <c r="E978" s="9" t="s">
        <v>177</v>
      </c>
      <c r="F978" s="6">
        <v>2313</v>
      </c>
      <c r="G978" s="7">
        <v>2313</v>
      </c>
      <c r="H978" s="9">
        <f>(G978-F978)</f>
        <v>0.0</v>
      </c>
      <c r="I978" s="9" t="s">
        <v>193</v>
      </c>
      <c r="J978" s="9" t="s">
        <v>194</v>
      </c>
    </row>
    <row r="979" spans="1:12" ht="23" customHeight="1">
      <c r="A979" s="9" t="s">
        <v>172</v>
      </c>
      <c r="B979" s="6">
        <v>6</v>
      </c>
      <c r="C979" s="9" t="s">
        <v>163</v>
      </c>
      <c r="D979" s="6">
        <v>155</v>
      </c>
      <c r="E979" s="9" t="s">
        <v>167</v>
      </c>
      <c r="F979" s="6">
        <v>223257</v>
      </c>
      <c r="G979" s="7">
        <v>223257</v>
      </c>
      <c r="H979" s="9">
        <f>(G979-F979)</f>
        <v>0.0</v>
      </c>
      <c r="I979" s="9" t="s">
        <v>193</v>
      </c>
      <c r="J979" s="9" t="s">
        <v>194</v>
      </c>
    </row>
    <row r="980" spans="1:12" ht="23" customHeight="1">
      <c r="A980" s="9" t="s">
        <v>172</v>
      </c>
      <c r="B980" s="6">
        <v>6</v>
      </c>
      <c r="C980" s="9" t="s">
        <v>163</v>
      </c>
      <c r="D980" s="6">
        <v>155</v>
      </c>
      <c r="E980" s="9" t="s">
        <v>178</v>
      </c>
      <c r="F980" s="6">
        <v>2313</v>
      </c>
      <c r="G980" s="7">
        <v>2313</v>
      </c>
      <c r="H980" s="9">
        <f>(G980-F980)</f>
        <v>0.0</v>
      </c>
      <c r="I980" s="9" t="s">
        <v>193</v>
      </c>
      <c r="J980" s="9" t="s">
        <v>194</v>
      </c>
    </row>
    <row r="981" spans="1:12" ht="23" customHeight="1">
      <c r="A981" s="9" t="s">
        <v>172</v>
      </c>
      <c r="B981" s="6">
        <v>6</v>
      </c>
      <c r="C981" s="9" t="s">
        <v>163</v>
      </c>
      <c r="D981" s="6">
        <v>155</v>
      </c>
      <c r="E981" s="9" t="s">
        <v>179</v>
      </c>
      <c r="F981" s="6">
        <v>2313</v>
      </c>
      <c r="G981" s="7">
        <v>2313</v>
      </c>
      <c r="H981" s="9">
        <f>(G981-F981)</f>
        <v>0.0</v>
      </c>
      <c r="I981" s="9" t="s">
        <v>193</v>
      </c>
      <c r="J981" s="9" t="s">
        <v>194</v>
      </c>
    </row>
    <row r="982" spans="1:12" ht="23" customHeight="1">
      <c r="A982" s="9" t="s">
        <v>172</v>
      </c>
      <c r="B982" s="6">
        <v>6</v>
      </c>
      <c r="C982" s="9" t="s">
        <v>163</v>
      </c>
      <c r="D982" s="6">
        <v>155</v>
      </c>
      <c r="E982" s="9" t="s">
        <v>168</v>
      </c>
      <c r="F982" s="6">
        <v>223257</v>
      </c>
      <c r="G982" s="7">
        <v>223257</v>
      </c>
      <c r="H982" s="9">
        <f>(G982-F982)</f>
        <v>0.0</v>
      </c>
      <c r="I982" s="9" t="s">
        <v>193</v>
      </c>
      <c r="J982" s="9" t="s">
        <v>194</v>
      </c>
    </row>
    <row r="983" spans="1:12" ht="23" customHeight="1">
      <c r="A983" s="9" t="s">
        <v>172</v>
      </c>
      <c r="B983" s="6">
        <v>6</v>
      </c>
      <c r="C983" s="9" t="s">
        <v>163</v>
      </c>
      <c r="D983" s="6">
        <v>155</v>
      </c>
      <c r="E983" s="9" t="s">
        <v>169</v>
      </c>
      <c r="F983" s="6">
        <v>223257</v>
      </c>
      <c r="G983" s="7">
        <v>223257</v>
      </c>
      <c r="H983" s="9">
        <f>(G983-F983)</f>
        <v>0.0</v>
      </c>
      <c r="I983" s="9" t="s">
        <v>193</v>
      </c>
      <c r="J983" s="9" t="s">
        <v>194</v>
      </c>
    </row>
    <row r="984" spans="1:12" ht="23" customHeight="1">
      <c r="A984" s="9" t="s">
        <v>172</v>
      </c>
      <c r="B984" s="6">
        <v>6</v>
      </c>
      <c r="C984" s="9" t="s">
        <v>163</v>
      </c>
      <c r="D984" s="6">
        <v>155</v>
      </c>
      <c r="E984" s="9" t="s">
        <v>170</v>
      </c>
      <c r="F984" s="6">
        <v>223257</v>
      </c>
      <c r="G984" s="7">
        <v>223257</v>
      </c>
      <c r="H984" s="9">
        <f>(G984-F984)</f>
        <v>0.0</v>
      </c>
      <c r="I984" s="9" t="s">
        <v>193</v>
      </c>
      <c r="J984" s="9" t="s">
        <v>194</v>
      </c>
    </row>
    <row r="985" spans="1:12" ht="23" customHeight="1">
      <c r="A985" s="9" t="s">
        <v>172</v>
      </c>
      <c r="B985" s="6">
        <v>6</v>
      </c>
      <c r="C985" s="9" t="s">
        <v>163</v>
      </c>
      <c r="D985" s="6">
        <v>155</v>
      </c>
      <c r="E985" s="9" t="s">
        <v>171</v>
      </c>
      <c r="F985" s="6">
        <v>223257</v>
      </c>
      <c r="G985" s="7">
        <v>223257</v>
      </c>
      <c r="H985" s="9">
        <f>(G985-F985)</f>
        <v>0.0</v>
      </c>
      <c r="I985" s="9" t="s">
        <v>193</v>
      </c>
      <c r="J985" s="9" t="s">
        <v>194</v>
      </c>
    </row>
    <row r="986" spans="1:12" ht="23" customHeight="1">
      <c r="A986" s="9" t="s">
        <v>172</v>
      </c>
      <c r="B986" s="6">
        <v>6</v>
      </c>
      <c r="C986" s="9" t="s">
        <v>163</v>
      </c>
      <c r="D986" s="6">
        <v>156</v>
      </c>
      <c r="E986" s="9" t="s">
        <v>166</v>
      </c>
      <c r="F986" s="6">
        <v>218438</v>
      </c>
      <c r="G986" s="7">
        <v>218438</v>
      </c>
      <c r="H986" s="9">
        <f>(G986-F986)</f>
        <v>0.0</v>
      </c>
      <c r="I986" s="9" t="s">
        <v>193</v>
      </c>
      <c r="J986" s="9" t="s">
        <v>194</v>
      </c>
    </row>
    <row r="987" spans="1:12" ht="23" customHeight="1">
      <c r="A987" s="9" t="s">
        <v>172</v>
      </c>
      <c r="B987" s="6">
        <v>6</v>
      </c>
      <c r="C987" s="9" t="s">
        <v>163</v>
      </c>
      <c r="D987" s="6">
        <v>156</v>
      </c>
      <c r="E987" s="9" t="s">
        <v>176</v>
      </c>
      <c r="F987" s="11">
        <v>2752.4</v>
      </c>
      <c r="G987" s="8">
        <v>2752.4</v>
      </c>
      <c r="H987" s="9">
        <f>(G987-F987)</f>
        <v>0.0</v>
      </c>
      <c r="I987" s="9" t="s">
        <v>193</v>
      </c>
      <c r="J987" s="9" t="s">
        <v>194</v>
      </c>
    </row>
    <row r="988" spans="1:12" ht="23" customHeight="1">
      <c r="A988" s="9" t="s">
        <v>172</v>
      </c>
      <c r="B988" s="6">
        <v>6</v>
      </c>
      <c r="C988" s="9" t="s">
        <v>163</v>
      </c>
      <c r="D988" s="6">
        <v>156</v>
      </c>
      <c r="E988" s="9" t="s">
        <v>177</v>
      </c>
      <c r="F988" s="11">
        <v>2752.4</v>
      </c>
      <c r="G988" s="8">
        <v>2752.4</v>
      </c>
      <c r="H988" s="9">
        <f>(G988-F988)</f>
        <v>0.0</v>
      </c>
      <c r="I988" s="9" t="s">
        <v>193</v>
      </c>
      <c r="J988" s="9" t="s">
        <v>194</v>
      </c>
    </row>
    <row r="989" spans="1:12" ht="24" customHeight="1">
      <c r="A989" s="3" t="s">
        <v>181</v>
      </c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spans="1:12" ht="36" customHeight="1">
      <c r="A990" s="4" t="s">
        <v>182</v>
      </c>
      <c r="B990" s="4" t="s">
        <v>8</v>
      </c>
      <c r="C990" s="4" t="s">
        <v>183</v>
      </c>
      <c r="D990" s="4" t="s">
        <v>184</v>
      </c>
      <c r="E990" s="4" t="s">
        <v>185</v>
      </c>
      <c r="F990" s="4" t="s">
        <v>186</v>
      </c>
      <c r="G990" s="4" t="s">
        <v>187</v>
      </c>
      <c r="H990" s="4" t="s">
        <v>188</v>
      </c>
      <c r="I990" s="4" t="s">
        <v>189</v>
      </c>
      <c r="J990" s="4" t="s">
        <v>190</v>
      </c>
    </row>
    <row r="991" spans="1:12" ht="23" customHeight="1">
      <c r="A991" s="9" t="s">
        <v>172</v>
      </c>
      <c r="B991" s="6">
        <v>6</v>
      </c>
      <c r="C991" s="9" t="s">
        <v>163</v>
      </c>
      <c r="D991" s="6">
        <v>156</v>
      </c>
      <c r="E991" s="9" t="s">
        <v>167</v>
      </c>
      <c r="F991" s="6">
        <v>218438</v>
      </c>
      <c r="G991" s="7">
        <v>218438</v>
      </c>
      <c r="H991" s="9">
        <f>(G991-F991)</f>
        <v>0.0</v>
      </c>
      <c r="I991" s="9" t="s">
        <v>193</v>
      </c>
      <c r="J991" s="9" t="s">
        <v>194</v>
      </c>
    </row>
    <row r="992" spans="1:12" ht="23" customHeight="1">
      <c r="A992" s="9" t="s">
        <v>172</v>
      </c>
      <c r="B992" s="6">
        <v>6</v>
      </c>
      <c r="C992" s="9" t="s">
        <v>163</v>
      </c>
      <c r="D992" s="6">
        <v>156</v>
      </c>
      <c r="E992" s="9" t="s">
        <v>178</v>
      </c>
      <c r="F992" s="11">
        <v>2752.4</v>
      </c>
      <c r="G992" s="8">
        <v>2752.4</v>
      </c>
      <c r="H992" s="9">
        <f>(G992-F992)</f>
        <v>0.0</v>
      </c>
      <c r="I992" s="9" t="s">
        <v>193</v>
      </c>
      <c r="J992" s="9" t="s">
        <v>194</v>
      </c>
    </row>
    <row r="993" spans="1:12" ht="23" customHeight="1">
      <c r="A993" s="9" t="s">
        <v>172</v>
      </c>
      <c r="B993" s="6">
        <v>6</v>
      </c>
      <c r="C993" s="9" t="s">
        <v>163</v>
      </c>
      <c r="D993" s="6">
        <v>156</v>
      </c>
      <c r="E993" s="9" t="s">
        <v>179</v>
      </c>
      <c r="F993" s="11">
        <v>2752.4</v>
      </c>
      <c r="G993" s="8">
        <v>2752.4</v>
      </c>
      <c r="H993" s="9">
        <f>(G993-F993)</f>
        <v>0.0</v>
      </c>
      <c r="I993" s="9" t="s">
        <v>193</v>
      </c>
      <c r="J993" s="9" t="s">
        <v>194</v>
      </c>
    </row>
    <row r="994" spans="1:12" ht="23" customHeight="1">
      <c r="A994" s="9" t="s">
        <v>172</v>
      </c>
      <c r="B994" s="6">
        <v>6</v>
      </c>
      <c r="C994" s="9" t="s">
        <v>163</v>
      </c>
      <c r="D994" s="6">
        <v>156</v>
      </c>
      <c r="E994" s="9" t="s">
        <v>168</v>
      </c>
      <c r="F994" s="6">
        <v>218438</v>
      </c>
      <c r="G994" s="7">
        <v>218438</v>
      </c>
      <c r="H994" s="9">
        <f>(G994-F994)</f>
        <v>0.0</v>
      </c>
      <c r="I994" s="9" t="s">
        <v>193</v>
      </c>
      <c r="J994" s="9" t="s">
        <v>194</v>
      </c>
    </row>
    <row r="995" spans="1:12" ht="23" customHeight="1">
      <c r="A995" s="9" t="s">
        <v>172</v>
      </c>
      <c r="B995" s="6">
        <v>6</v>
      </c>
      <c r="C995" s="9" t="s">
        <v>163</v>
      </c>
      <c r="D995" s="6">
        <v>156</v>
      </c>
      <c r="E995" s="9" t="s">
        <v>169</v>
      </c>
      <c r="F995" s="6">
        <v>218438</v>
      </c>
      <c r="G995" s="7">
        <v>218438</v>
      </c>
      <c r="H995" s="9">
        <f>(G995-F995)</f>
        <v>0.0</v>
      </c>
      <c r="I995" s="9" t="s">
        <v>193</v>
      </c>
      <c r="J995" s="9" t="s">
        <v>194</v>
      </c>
    </row>
    <row r="996" spans="1:12" ht="23" customHeight="1">
      <c r="A996" s="9" t="s">
        <v>172</v>
      </c>
      <c r="B996" s="6">
        <v>6</v>
      </c>
      <c r="C996" s="9" t="s">
        <v>163</v>
      </c>
      <c r="D996" s="6">
        <v>156</v>
      </c>
      <c r="E996" s="9" t="s">
        <v>170</v>
      </c>
      <c r="F996" s="6">
        <v>218438</v>
      </c>
      <c r="G996" s="7">
        <v>218438</v>
      </c>
      <c r="H996" s="9">
        <f>(G996-F996)</f>
        <v>0.0</v>
      </c>
      <c r="I996" s="9" t="s">
        <v>193</v>
      </c>
      <c r="J996" s="9" t="s">
        <v>194</v>
      </c>
    </row>
    <row r="997" spans="1:12" ht="23" customHeight="1">
      <c r="A997" s="9" t="s">
        <v>172</v>
      </c>
      <c r="B997" s="6">
        <v>6</v>
      </c>
      <c r="C997" s="9" t="s">
        <v>163</v>
      </c>
      <c r="D997" s="6">
        <v>156</v>
      </c>
      <c r="E997" s="9" t="s">
        <v>171</v>
      </c>
      <c r="F997" s="6">
        <v>218438</v>
      </c>
      <c r="G997" s="7">
        <v>218438</v>
      </c>
      <c r="H997" s="9">
        <f>(G997-F997)</f>
        <v>0.0</v>
      </c>
      <c r="I997" s="9" t="s">
        <v>193</v>
      </c>
      <c r="J997" s="9" t="s">
        <v>194</v>
      </c>
    </row>
    <row r="998" spans="1:12" ht="23" customHeight="1">
      <c r="A998" s="9" t="s">
        <v>172</v>
      </c>
      <c r="B998" s="6">
        <v>6</v>
      </c>
      <c r="C998" s="9" t="s">
        <v>163</v>
      </c>
      <c r="D998" s="6">
        <v>157</v>
      </c>
      <c r="E998" s="9" t="s">
        <v>166</v>
      </c>
      <c r="F998" s="6">
        <v>218438</v>
      </c>
      <c r="G998" s="7">
        <v>218438</v>
      </c>
      <c r="H998" s="9">
        <f>(G998-F998)</f>
        <v>0.0</v>
      </c>
      <c r="I998" s="9" t="s">
        <v>193</v>
      </c>
      <c r="J998" s="9" t="s">
        <v>194</v>
      </c>
    </row>
    <row r="999" spans="1:12" ht="23" customHeight="1">
      <c r="A999" s="9" t="s">
        <v>172</v>
      </c>
      <c r="B999" s="6">
        <v>6</v>
      </c>
      <c r="C999" s="9" t="s">
        <v>163</v>
      </c>
      <c r="D999" s="6">
        <v>157</v>
      </c>
      <c r="E999" s="9" t="s">
        <v>176</v>
      </c>
      <c r="F999" s="11">
        <v>2752.4</v>
      </c>
      <c r="G999" s="8">
        <v>2752.4</v>
      </c>
      <c r="H999" s="9">
        <f>(G999-F999)</f>
        <v>0.0</v>
      </c>
      <c r="I999" s="9" t="s">
        <v>193</v>
      </c>
      <c r="J999" s="9" t="s">
        <v>194</v>
      </c>
    </row>
    <row r="1000" spans="1:12" ht="23" customHeight="1">
      <c r="A1000" s="9" t="s">
        <v>172</v>
      </c>
      <c r="B1000" s="6">
        <v>6</v>
      </c>
      <c r="C1000" s="9" t="s">
        <v>163</v>
      </c>
      <c r="D1000" s="6">
        <v>157</v>
      </c>
      <c r="E1000" s="9" t="s">
        <v>177</v>
      </c>
      <c r="F1000" s="11">
        <v>2752.4</v>
      </c>
      <c r="G1000" s="8">
        <v>2752.4</v>
      </c>
      <c r="H1000" s="9">
        <f>(G1000-F1000)</f>
        <v>0.0</v>
      </c>
      <c r="I1000" s="9" t="s">
        <v>193</v>
      </c>
      <c r="J1000" s="9" t="s">
        <v>194</v>
      </c>
    </row>
    <row r="1001" spans="1:12" ht="23" customHeight="1">
      <c r="A1001" s="9" t="s">
        <v>172</v>
      </c>
      <c r="B1001" s="6">
        <v>6</v>
      </c>
      <c r="C1001" s="9" t="s">
        <v>163</v>
      </c>
      <c r="D1001" s="6">
        <v>157</v>
      </c>
      <c r="E1001" s="9" t="s">
        <v>167</v>
      </c>
      <c r="F1001" s="6">
        <v>218438</v>
      </c>
      <c r="G1001" s="7">
        <v>218438</v>
      </c>
      <c r="H1001" s="9">
        <f>(G1001-F1001)</f>
        <v>0.0</v>
      </c>
      <c r="I1001" s="9" t="s">
        <v>193</v>
      </c>
      <c r="J1001" s="9" t="s">
        <v>194</v>
      </c>
    </row>
    <row r="1002" spans="1:12" ht="23" customHeight="1">
      <c r="A1002" s="9" t="s">
        <v>172</v>
      </c>
      <c r="B1002" s="6">
        <v>6</v>
      </c>
      <c r="C1002" s="9" t="s">
        <v>163</v>
      </c>
      <c r="D1002" s="6">
        <v>157</v>
      </c>
      <c r="E1002" s="9" t="s">
        <v>178</v>
      </c>
      <c r="F1002" s="11">
        <v>2752.4</v>
      </c>
      <c r="G1002" s="8">
        <v>2752.4</v>
      </c>
      <c r="H1002" s="9">
        <f>(G1002-F1002)</f>
        <v>0.0</v>
      </c>
      <c r="I1002" s="9" t="s">
        <v>193</v>
      </c>
      <c r="J1002" s="9" t="s">
        <v>194</v>
      </c>
    </row>
    <row r="1003" spans="1:12" ht="23" customHeight="1">
      <c r="A1003" s="9" t="s">
        <v>172</v>
      </c>
      <c r="B1003" s="6">
        <v>6</v>
      </c>
      <c r="C1003" s="9" t="s">
        <v>163</v>
      </c>
      <c r="D1003" s="6">
        <v>157</v>
      </c>
      <c r="E1003" s="9" t="s">
        <v>179</v>
      </c>
      <c r="F1003" s="11">
        <v>2752.4</v>
      </c>
      <c r="G1003" s="8">
        <v>2752.4</v>
      </c>
      <c r="H1003" s="9">
        <f>(G1003-F1003)</f>
        <v>0.0</v>
      </c>
      <c r="I1003" s="9" t="s">
        <v>193</v>
      </c>
      <c r="J1003" s="9" t="s">
        <v>194</v>
      </c>
    </row>
    <row r="1004" spans="1:12" ht="23" customHeight="1">
      <c r="A1004" s="9" t="s">
        <v>172</v>
      </c>
      <c r="B1004" s="6">
        <v>6</v>
      </c>
      <c r="C1004" s="9" t="s">
        <v>163</v>
      </c>
      <c r="D1004" s="6">
        <v>157</v>
      </c>
      <c r="E1004" s="9" t="s">
        <v>168</v>
      </c>
      <c r="F1004" s="6">
        <v>218438</v>
      </c>
      <c r="G1004" s="7">
        <v>218438</v>
      </c>
      <c r="H1004" s="9">
        <f>(G1004-F1004)</f>
        <v>0.0</v>
      </c>
      <c r="I1004" s="9" t="s">
        <v>193</v>
      </c>
      <c r="J1004" s="9" t="s">
        <v>194</v>
      </c>
    </row>
    <row r="1005" spans="1:12" ht="23" customHeight="1">
      <c r="A1005" s="9" t="s">
        <v>172</v>
      </c>
      <c r="B1005" s="6">
        <v>6</v>
      </c>
      <c r="C1005" s="9" t="s">
        <v>163</v>
      </c>
      <c r="D1005" s="6">
        <v>157</v>
      </c>
      <c r="E1005" s="9" t="s">
        <v>169</v>
      </c>
      <c r="F1005" s="6">
        <v>218438</v>
      </c>
      <c r="G1005" s="7">
        <v>218438</v>
      </c>
      <c r="H1005" s="9">
        <f>(G1005-F1005)</f>
        <v>0.0</v>
      </c>
      <c r="I1005" s="9" t="s">
        <v>193</v>
      </c>
      <c r="J1005" s="9" t="s">
        <v>194</v>
      </c>
    </row>
    <row r="1006" spans="1:12" ht="24" customHeight="1">
      <c r="A1006" s="3" t="s">
        <v>181</v>
      </c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</row>
    <row r="1007" spans="1:12" ht="36" customHeight="1">
      <c r="A1007" s="4" t="s">
        <v>182</v>
      </c>
      <c r="B1007" s="4" t="s">
        <v>8</v>
      </c>
      <c r="C1007" s="4" t="s">
        <v>183</v>
      </c>
      <c r="D1007" s="4" t="s">
        <v>184</v>
      </c>
      <c r="E1007" s="4" t="s">
        <v>185</v>
      </c>
      <c r="F1007" s="4" t="s">
        <v>186</v>
      </c>
      <c r="G1007" s="4" t="s">
        <v>187</v>
      </c>
      <c r="H1007" s="4" t="s">
        <v>188</v>
      </c>
      <c r="I1007" s="4" t="s">
        <v>189</v>
      </c>
      <c r="J1007" s="4" t="s">
        <v>190</v>
      </c>
    </row>
    <row r="1008" spans="1:12" ht="23" customHeight="1">
      <c r="A1008" s="9" t="s">
        <v>172</v>
      </c>
      <c r="B1008" s="6">
        <v>6</v>
      </c>
      <c r="C1008" s="9" t="s">
        <v>163</v>
      </c>
      <c r="D1008" s="6">
        <v>157</v>
      </c>
      <c r="E1008" s="9" t="s">
        <v>170</v>
      </c>
      <c r="F1008" s="6">
        <v>218438</v>
      </c>
      <c r="G1008" s="7">
        <v>218438</v>
      </c>
      <c r="H1008" s="9">
        <f>(G1008-F1008)</f>
        <v>0.0</v>
      </c>
      <c r="I1008" s="9" t="s">
        <v>193</v>
      </c>
      <c r="J1008" s="9" t="s">
        <v>194</v>
      </c>
    </row>
    <row r="1009" spans="1:12" ht="23" customHeight="1">
      <c r="A1009" s="9" t="s">
        <v>172</v>
      </c>
      <c r="B1009" s="6">
        <v>6</v>
      </c>
      <c r="C1009" s="9" t="s">
        <v>163</v>
      </c>
      <c r="D1009" s="6">
        <v>157</v>
      </c>
      <c r="E1009" s="9" t="s">
        <v>171</v>
      </c>
      <c r="F1009" s="6">
        <v>218438</v>
      </c>
      <c r="G1009" s="7">
        <v>218438</v>
      </c>
      <c r="H1009" s="9">
        <f>(G1009-F1009)</f>
        <v>0.0</v>
      </c>
      <c r="I1009" s="9" t="s">
        <v>193</v>
      </c>
      <c r="J1009" s="9" t="s">
        <v>194</v>
      </c>
    </row>
    <row r="1010" spans="1:12" ht="23" customHeight="1">
      <c r="A1010" s="9" t="s">
        <v>172</v>
      </c>
      <c r="B1010" s="6">
        <v>6</v>
      </c>
      <c r="C1010" s="9" t="s">
        <v>163</v>
      </c>
      <c r="D1010" s="6">
        <v>158</v>
      </c>
      <c r="E1010" s="9" t="s">
        <v>166</v>
      </c>
      <c r="F1010" s="6">
        <v>218438</v>
      </c>
      <c r="G1010" s="7">
        <v>218438</v>
      </c>
      <c r="H1010" s="9">
        <f>(G1010-F1010)</f>
        <v>0.0</v>
      </c>
      <c r="I1010" s="9" t="s">
        <v>193</v>
      </c>
      <c r="J1010" s="9" t="s">
        <v>194</v>
      </c>
    </row>
    <row r="1011" spans="1:12" ht="23" customHeight="1">
      <c r="A1011" s="9" t="s">
        <v>172</v>
      </c>
      <c r="B1011" s="6">
        <v>6</v>
      </c>
      <c r="C1011" s="9" t="s">
        <v>163</v>
      </c>
      <c r="D1011" s="6">
        <v>158</v>
      </c>
      <c r="E1011" s="9" t="s">
        <v>176</v>
      </c>
      <c r="F1011" s="11">
        <v>2752.4</v>
      </c>
      <c r="G1011" s="8">
        <v>2752.4</v>
      </c>
      <c r="H1011" s="9">
        <f>(G1011-F1011)</f>
        <v>0.0</v>
      </c>
      <c r="I1011" s="9" t="s">
        <v>193</v>
      </c>
      <c r="J1011" s="9" t="s">
        <v>194</v>
      </c>
    </row>
    <row r="1012" spans="1:12" ht="23" customHeight="1">
      <c r="A1012" s="9" t="s">
        <v>172</v>
      </c>
      <c r="B1012" s="6">
        <v>6</v>
      </c>
      <c r="C1012" s="9" t="s">
        <v>163</v>
      </c>
      <c r="D1012" s="6">
        <v>158</v>
      </c>
      <c r="E1012" s="9" t="s">
        <v>177</v>
      </c>
      <c r="F1012" s="11">
        <v>2752.4</v>
      </c>
      <c r="G1012" s="8">
        <v>2752.4</v>
      </c>
      <c r="H1012" s="9">
        <f>(G1012-F1012)</f>
        <v>0.0</v>
      </c>
      <c r="I1012" s="9" t="s">
        <v>193</v>
      </c>
      <c r="J1012" s="9" t="s">
        <v>194</v>
      </c>
    </row>
    <row r="1013" spans="1:12" ht="23" customHeight="1">
      <c r="A1013" s="9" t="s">
        <v>172</v>
      </c>
      <c r="B1013" s="6">
        <v>6</v>
      </c>
      <c r="C1013" s="9" t="s">
        <v>163</v>
      </c>
      <c r="D1013" s="6">
        <v>158</v>
      </c>
      <c r="E1013" s="9" t="s">
        <v>167</v>
      </c>
      <c r="F1013" s="6">
        <v>218438</v>
      </c>
      <c r="G1013" s="7">
        <v>218438</v>
      </c>
      <c r="H1013" s="9">
        <f>(G1013-F1013)</f>
        <v>0.0</v>
      </c>
      <c r="I1013" s="9" t="s">
        <v>193</v>
      </c>
      <c r="J1013" s="9" t="s">
        <v>194</v>
      </c>
    </row>
    <row r="1014" spans="1:12" ht="23" customHeight="1">
      <c r="A1014" s="9" t="s">
        <v>172</v>
      </c>
      <c r="B1014" s="6">
        <v>6</v>
      </c>
      <c r="C1014" s="9" t="s">
        <v>163</v>
      </c>
      <c r="D1014" s="6">
        <v>158</v>
      </c>
      <c r="E1014" s="9" t="s">
        <v>178</v>
      </c>
      <c r="F1014" s="11">
        <v>2752.4</v>
      </c>
      <c r="G1014" s="8">
        <v>2752.4</v>
      </c>
      <c r="H1014" s="9">
        <f>(G1014-F1014)</f>
        <v>0.0</v>
      </c>
      <c r="I1014" s="9" t="s">
        <v>193</v>
      </c>
      <c r="J1014" s="9" t="s">
        <v>194</v>
      </c>
    </row>
    <row r="1015" spans="1:12" ht="23" customHeight="1">
      <c r="A1015" s="9" t="s">
        <v>172</v>
      </c>
      <c r="B1015" s="6">
        <v>6</v>
      </c>
      <c r="C1015" s="9" t="s">
        <v>163</v>
      </c>
      <c r="D1015" s="6">
        <v>158</v>
      </c>
      <c r="E1015" s="9" t="s">
        <v>179</v>
      </c>
      <c r="F1015" s="11">
        <v>2752.4</v>
      </c>
      <c r="G1015" s="8">
        <v>2752.4</v>
      </c>
      <c r="H1015" s="9">
        <f>(G1015-F1015)</f>
        <v>0.0</v>
      </c>
      <c r="I1015" s="9" t="s">
        <v>193</v>
      </c>
      <c r="J1015" s="9" t="s">
        <v>194</v>
      </c>
    </row>
    <row r="1016" spans="1:12" ht="23" customHeight="1">
      <c r="A1016" s="9" t="s">
        <v>172</v>
      </c>
      <c r="B1016" s="6">
        <v>6</v>
      </c>
      <c r="C1016" s="9" t="s">
        <v>163</v>
      </c>
      <c r="D1016" s="6">
        <v>158</v>
      </c>
      <c r="E1016" s="9" t="s">
        <v>168</v>
      </c>
      <c r="F1016" s="6">
        <v>218438</v>
      </c>
      <c r="G1016" s="7">
        <v>218438</v>
      </c>
      <c r="H1016" s="9">
        <f>(G1016-F1016)</f>
        <v>0.0</v>
      </c>
      <c r="I1016" s="9" t="s">
        <v>193</v>
      </c>
      <c r="J1016" s="9" t="s">
        <v>194</v>
      </c>
    </row>
    <row r="1017" spans="1:12" ht="23" customHeight="1">
      <c r="A1017" s="9" t="s">
        <v>172</v>
      </c>
      <c r="B1017" s="6">
        <v>6</v>
      </c>
      <c r="C1017" s="9" t="s">
        <v>163</v>
      </c>
      <c r="D1017" s="6">
        <v>158</v>
      </c>
      <c r="E1017" s="9" t="s">
        <v>169</v>
      </c>
      <c r="F1017" s="6">
        <v>218438</v>
      </c>
      <c r="G1017" s="7">
        <v>218438</v>
      </c>
      <c r="H1017" s="9">
        <f>(G1017-F1017)</f>
        <v>0.0</v>
      </c>
      <c r="I1017" s="9" t="s">
        <v>193</v>
      </c>
      <c r="J1017" s="9" t="s">
        <v>194</v>
      </c>
    </row>
    <row r="1018" spans="1:12" ht="23" customHeight="1">
      <c r="A1018" s="9" t="s">
        <v>172</v>
      </c>
      <c r="B1018" s="6">
        <v>6</v>
      </c>
      <c r="C1018" s="9" t="s">
        <v>163</v>
      </c>
      <c r="D1018" s="6">
        <v>158</v>
      </c>
      <c r="E1018" s="9" t="s">
        <v>170</v>
      </c>
      <c r="F1018" s="6">
        <v>218438</v>
      </c>
      <c r="G1018" s="7">
        <v>218438</v>
      </c>
      <c r="H1018" s="9">
        <f>(G1018-F1018)</f>
        <v>0.0</v>
      </c>
      <c r="I1018" s="9" t="s">
        <v>193</v>
      </c>
      <c r="J1018" s="9" t="s">
        <v>194</v>
      </c>
    </row>
    <row r="1019" spans="1:12" ht="23" customHeight="1">
      <c r="A1019" s="9" t="s">
        <v>172</v>
      </c>
      <c r="B1019" s="6">
        <v>6</v>
      </c>
      <c r="C1019" s="9" t="s">
        <v>163</v>
      </c>
      <c r="D1019" s="6">
        <v>158</v>
      </c>
      <c r="E1019" s="9" t="s">
        <v>171</v>
      </c>
      <c r="F1019" s="6">
        <v>218438</v>
      </c>
      <c r="G1019" s="7">
        <v>218438</v>
      </c>
      <c r="H1019" s="9">
        <f>(G1019-F1019)</f>
        <v>0.0</v>
      </c>
      <c r="I1019" s="9" t="s">
        <v>193</v>
      </c>
      <c r="J1019" s="9" t="s">
        <v>194</v>
      </c>
    </row>
    <row r="1020" spans="1:12" ht="23" customHeight="1">
      <c r="A1020" s="9" t="s">
        <v>172</v>
      </c>
      <c r="B1020" s="6">
        <v>6</v>
      </c>
      <c r="C1020" s="9" t="s">
        <v>163</v>
      </c>
      <c r="D1020" s="6">
        <v>159</v>
      </c>
      <c r="E1020" s="9" t="s">
        <v>166</v>
      </c>
      <c r="F1020" s="6">
        <v>218438</v>
      </c>
      <c r="G1020" s="7">
        <v>218438</v>
      </c>
      <c r="H1020" s="9">
        <f>(G1020-F1020)</f>
        <v>0.0</v>
      </c>
      <c r="I1020" s="9" t="s">
        <v>193</v>
      </c>
      <c r="J1020" s="9" t="s">
        <v>194</v>
      </c>
    </row>
    <row r="1021" spans="1:12" ht="23" customHeight="1">
      <c r="A1021" s="9" t="s">
        <v>172</v>
      </c>
      <c r="B1021" s="6">
        <v>6</v>
      </c>
      <c r="C1021" s="9" t="s">
        <v>163</v>
      </c>
      <c r="D1021" s="6">
        <v>159</v>
      </c>
      <c r="E1021" s="9" t="s">
        <v>176</v>
      </c>
      <c r="F1021" s="11">
        <v>2752.4</v>
      </c>
      <c r="G1021" s="8">
        <v>2752.4</v>
      </c>
      <c r="H1021" s="9">
        <f>(G1021-F1021)</f>
        <v>0.0</v>
      </c>
      <c r="I1021" s="9" t="s">
        <v>193</v>
      </c>
      <c r="J1021" s="9" t="s">
        <v>194</v>
      </c>
    </row>
    <row r="1022" spans="1:12" ht="23" customHeight="1">
      <c r="A1022" s="9" t="s">
        <v>172</v>
      </c>
      <c r="B1022" s="6">
        <v>6</v>
      </c>
      <c r="C1022" s="9" t="s">
        <v>163</v>
      </c>
      <c r="D1022" s="6">
        <v>159</v>
      </c>
      <c r="E1022" s="9" t="s">
        <v>177</v>
      </c>
      <c r="F1022" s="11">
        <v>2752.4</v>
      </c>
      <c r="G1022" s="8">
        <v>2752.4</v>
      </c>
      <c r="H1022" s="9">
        <f>(G1022-F1022)</f>
        <v>0.0</v>
      </c>
      <c r="I1022" s="9" t="s">
        <v>193</v>
      </c>
      <c r="J1022" s="9" t="s">
        <v>194</v>
      </c>
    </row>
    <row r="1023" spans="1:12" ht="24" customHeight="1">
      <c r="A1023" s="3" t="s">
        <v>181</v>
      </c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</row>
    <row r="1024" spans="1:12" ht="36" customHeight="1">
      <c r="A1024" s="4" t="s">
        <v>182</v>
      </c>
      <c r="B1024" s="4" t="s">
        <v>8</v>
      </c>
      <c r="C1024" s="4" t="s">
        <v>183</v>
      </c>
      <c r="D1024" s="4" t="s">
        <v>184</v>
      </c>
      <c r="E1024" s="4" t="s">
        <v>185</v>
      </c>
      <c r="F1024" s="4" t="s">
        <v>186</v>
      </c>
      <c r="G1024" s="4" t="s">
        <v>187</v>
      </c>
      <c r="H1024" s="4" t="s">
        <v>188</v>
      </c>
      <c r="I1024" s="4" t="s">
        <v>189</v>
      </c>
      <c r="J1024" s="4" t="s">
        <v>190</v>
      </c>
    </row>
    <row r="1025" spans="1:12" ht="23" customHeight="1">
      <c r="A1025" s="9" t="s">
        <v>172</v>
      </c>
      <c r="B1025" s="6">
        <v>6</v>
      </c>
      <c r="C1025" s="9" t="s">
        <v>163</v>
      </c>
      <c r="D1025" s="6">
        <v>159</v>
      </c>
      <c r="E1025" s="9" t="s">
        <v>167</v>
      </c>
      <c r="F1025" s="6">
        <v>218438</v>
      </c>
      <c r="G1025" s="7">
        <v>218438</v>
      </c>
      <c r="H1025" s="9">
        <f>(G1025-F1025)</f>
        <v>0.0</v>
      </c>
      <c r="I1025" s="9" t="s">
        <v>193</v>
      </c>
      <c r="J1025" s="9" t="s">
        <v>194</v>
      </c>
    </row>
    <row r="1026" spans="1:12" ht="23" customHeight="1">
      <c r="A1026" s="9" t="s">
        <v>172</v>
      </c>
      <c r="B1026" s="6">
        <v>6</v>
      </c>
      <c r="C1026" s="9" t="s">
        <v>163</v>
      </c>
      <c r="D1026" s="6">
        <v>159</v>
      </c>
      <c r="E1026" s="9" t="s">
        <v>178</v>
      </c>
      <c r="F1026" s="11">
        <v>2752.4</v>
      </c>
      <c r="G1026" s="8">
        <v>2752.4</v>
      </c>
      <c r="H1026" s="9">
        <f>(G1026-F1026)</f>
        <v>0.0</v>
      </c>
      <c r="I1026" s="9" t="s">
        <v>193</v>
      </c>
      <c r="J1026" s="9" t="s">
        <v>194</v>
      </c>
    </row>
    <row r="1027" spans="1:12" ht="23" customHeight="1">
      <c r="A1027" s="9" t="s">
        <v>172</v>
      </c>
      <c r="B1027" s="6">
        <v>6</v>
      </c>
      <c r="C1027" s="9" t="s">
        <v>163</v>
      </c>
      <c r="D1027" s="6">
        <v>159</v>
      </c>
      <c r="E1027" s="9" t="s">
        <v>179</v>
      </c>
      <c r="F1027" s="11">
        <v>2752.4</v>
      </c>
      <c r="G1027" s="8">
        <v>2752.4</v>
      </c>
      <c r="H1027" s="9">
        <f>(G1027-F1027)</f>
        <v>0.0</v>
      </c>
      <c r="I1027" s="9" t="s">
        <v>193</v>
      </c>
      <c r="J1027" s="9" t="s">
        <v>194</v>
      </c>
    </row>
    <row r="1028" spans="1:12" ht="23" customHeight="1">
      <c r="A1028" s="9" t="s">
        <v>172</v>
      </c>
      <c r="B1028" s="6">
        <v>6</v>
      </c>
      <c r="C1028" s="9" t="s">
        <v>163</v>
      </c>
      <c r="D1028" s="6">
        <v>159</v>
      </c>
      <c r="E1028" s="9" t="s">
        <v>168</v>
      </c>
      <c r="F1028" s="6">
        <v>218438</v>
      </c>
      <c r="G1028" s="7">
        <v>218438</v>
      </c>
      <c r="H1028" s="9">
        <f>(G1028-F1028)</f>
        <v>0.0</v>
      </c>
      <c r="I1028" s="9" t="s">
        <v>193</v>
      </c>
      <c r="J1028" s="9" t="s">
        <v>194</v>
      </c>
    </row>
    <row r="1029" spans="1:12" ht="23" customHeight="1">
      <c r="A1029" s="9" t="s">
        <v>172</v>
      </c>
      <c r="B1029" s="6">
        <v>6</v>
      </c>
      <c r="C1029" s="9" t="s">
        <v>163</v>
      </c>
      <c r="D1029" s="6">
        <v>159</v>
      </c>
      <c r="E1029" s="9" t="s">
        <v>169</v>
      </c>
      <c r="F1029" s="6">
        <v>218438</v>
      </c>
      <c r="G1029" s="7">
        <v>218438</v>
      </c>
      <c r="H1029" s="9">
        <f>(G1029-F1029)</f>
        <v>0.0</v>
      </c>
      <c r="I1029" s="9" t="s">
        <v>193</v>
      </c>
      <c r="J1029" s="9" t="s">
        <v>194</v>
      </c>
    </row>
    <row r="1030" spans="1:12" ht="23" customHeight="1">
      <c r="A1030" s="9" t="s">
        <v>172</v>
      </c>
      <c r="B1030" s="6">
        <v>6</v>
      </c>
      <c r="C1030" s="9" t="s">
        <v>163</v>
      </c>
      <c r="D1030" s="6">
        <v>159</v>
      </c>
      <c r="E1030" s="9" t="s">
        <v>170</v>
      </c>
      <c r="F1030" s="6">
        <v>218438</v>
      </c>
      <c r="G1030" s="7">
        <v>218438</v>
      </c>
      <c r="H1030" s="9">
        <f>(G1030-F1030)</f>
        <v>0.0</v>
      </c>
      <c r="I1030" s="9" t="s">
        <v>193</v>
      </c>
      <c r="J1030" s="9" t="s">
        <v>194</v>
      </c>
    </row>
    <row r="1031" spans="1:12" ht="23" customHeight="1">
      <c r="A1031" s="9" t="s">
        <v>172</v>
      </c>
      <c r="B1031" s="6">
        <v>6</v>
      </c>
      <c r="C1031" s="9" t="s">
        <v>163</v>
      </c>
      <c r="D1031" s="6">
        <v>159</v>
      </c>
      <c r="E1031" s="9" t="s">
        <v>171</v>
      </c>
      <c r="F1031" s="6">
        <v>218438</v>
      </c>
      <c r="G1031" s="7">
        <v>218438</v>
      </c>
      <c r="H1031" s="9">
        <f>(G1031-F1031)</f>
        <v>0.0</v>
      </c>
      <c r="I1031" s="9" t="s">
        <v>193</v>
      </c>
      <c r="J1031" s="9" t="s">
        <v>194</v>
      </c>
    </row>
    <row r="1032" spans="1:12" ht="23" customHeight="1">
      <c r="A1032" s="9" t="s">
        <v>172</v>
      </c>
      <c r="B1032" s="6">
        <v>6</v>
      </c>
      <c r="C1032" s="9" t="s">
        <v>163</v>
      </c>
      <c r="D1032" s="6">
        <v>160</v>
      </c>
      <c r="E1032" s="9" t="s">
        <v>166</v>
      </c>
      <c r="F1032" s="6">
        <v>218438</v>
      </c>
      <c r="G1032" s="7">
        <v>218438</v>
      </c>
      <c r="H1032" s="9">
        <f>(G1032-F1032)</f>
        <v>0.0</v>
      </c>
      <c r="I1032" s="9" t="s">
        <v>193</v>
      </c>
      <c r="J1032" s="9" t="s">
        <v>194</v>
      </c>
    </row>
    <row r="1033" spans="1:12" ht="23" customHeight="1">
      <c r="A1033" s="9" t="s">
        <v>172</v>
      </c>
      <c r="B1033" s="6">
        <v>6</v>
      </c>
      <c r="C1033" s="9" t="s">
        <v>163</v>
      </c>
      <c r="D1033" s="6">
        <v>160</v>
      </c>
      <c r="E1033" s="9" t="s">
        <v>176</v>
      </c>
      <c r="F1033" s="11">
        <v>2752.4</v>
      </c>
      <c r="G1033" s="8">
        <v>2752.4</v>
      </c>
      <c r="H1033" s="9">
        <f>(G1033-F1033)</f>
        <v>0.0</v>
      </c>
      <c r="I1033" s="9" t="s">
        <v>193</v>
      </c>
      <c r="J1033" s="9" t="s">
        <v>194</v>
      </c>
    </row>
    <row r="1034" spans="1:12" ht="23" customHeight="1">
      <c r="A1034" s="9" t="s">
        <v>172</v>
      </c>
      <c r="B1034" s="6">
        <v>6</v>
      </c>
      <c r="C1034" s="9" t="s">
        <v>163</v>
      </c>
      <c r="D1034" s="6">
        <v>160</v>
      </c>
      <c r="E1034" s="9" t="s">
        <v>177</v>
      </c>
      <c r="F1034" s="11">
        <v>2752.4</v>
      </c>
      <c r="G1034" s="8">
        <v>2752.4</v>
      </c>
      <c r="H1034" s="9">
        <f>(G1034-F1034)</f>
        <v>0.0</v>
      </c>
      <c r="I1034" s="9" t="s">
        <v>193</v>
      </c>
      <c r="J1034" s="9" t="s">
        <v>194</v>
      </c>
    </row>
    <row r="1035" spans="1:12" ht="23" customHeight="1">
      <c r="A1035" s="9" t="s">
        <v>172</v>
      </c>
      <c r="B1035" s="6">
        <v>6</v>
      </c>
      <c r="C1035" s="9" t="s">
        <v>163</v>
      </c>
      <c r="D1035" s="6">
        <v>160</v>
      </c>
      <c r="E1035" s="9" t="s">
        <v>167</v>
      </c>
      <c r="F1035" s="6">
        <v>218438</v>
      </c>
      <c r="G1035" s="7">
        <v>218438</v>
      </c>
      <c r="H1035" s="9">
        <f>(G1035-F1035)</f>
        <v>0.0</v>
      </c>
      <c r="I1035" s="9" t="s">
        <v>193</v>
      </c>
      <c r="J1035" s="9" t="s">
        <v>194</v>
      </c>
    </row>
    <row r="1036" spans="1:12" ht="23" customHeight="1">
      <c r="A1036" s="9" t="s">
        <v>172</v>
      </c>
      <c r="B1036" s="6">
        <v>6</v>
      </c>
      <c r="C1036" s="9" t="s">
        <v>163</v>
      </c>
      <c r="D1036" s="6">
        <v>160</v>
      </c>
      <c r="E1036" s="9" t="s">
        <v>178</v>
      </c>
      <c r="F1036" s="11">
        <v>2752.4</v>
      </c>
      <c r="G1036" s="8">
        <v>2752.4</v>
      </c>
      <c r="H1036" s="9">
        <f>(G1036-F1036)</f>
        <v>0.0</v>
      </c>
      <c r="I1036" s="9" t="s">
        <v>193</v>
      </c>
      <c r="J1036" s="9" t="s">
        <v>194</v>
      </c>
    </row>
    <row r="1037" spans="1:12" ht="23" customHeight="1">
      <c r="A1037" s="9" t="s">
        <v>172</v>
      </c>
      <c r="B1037" s="6">
        <v>6</v>
      </c>
      <c r="C1037" s="9" t="s">
        <v>163</v>
      </c>
      <c r="D1037" s="6">
        <v>160</v>
      </c>
      <c r="E1037" s="9" t="s">
        <v>179</v>
      </c>
      <c r="F1037" s="11">
        <v>2752.4</v>
      </c>
      <c r="G1037" s="8">
        <v>2752.4</v>
      </c>
      <c r="H1037" s="9">
        <f>(G1037-F1037)</f>
        <v>0.0</v>
      </c>
      <c r="I1037" s="9" t="s">
        <v>193</v>
      </c>
      <c r="J1037" s="9" t="s">
        <v>194</v>
      </c>
    </row>
    <row r="1038" spans="1:12" ht="23" customHeight="1">
      <c r="A1038" s="9" t="s">
        <v>172</v>
      </c>
      <c r="B1038" s="6">
        <v>6</v>
      </c>
      <c r="C1038" s="9" t="s">
        <v>163</v>
      </c>
      <c r="D1038" s="6">
        <v>160</v>
      </c>
      <c r="E1038" s="9" t="s">
        <v>168</v>
      </c>
      <c r="F1038" s="6">
        <v>218438</v>
      </c>
      <c r="G1038" s="7">
        <v>218438</v>
      </c>
      <c r="H1038" s="9">
        <f>(G1038-F1038)</f>
        <v>0.0</v>
      </c>
      <c r="I1038" s="9" t="s">
        <v>193</v>
      </c>
      <c r="J1038" s="9" t="s">
        <v>194</v>
      </c>
    </row>
    <row r="1039" spans="1:12" ht="23" customHeight="1">
      <c r="A1039" s="9" t="s">
        <v>172</v>
      </c>
      <c r="B1039" s="6">
        <v>6</v>
      </c>
      <c r="C1039" s="9" t="s">
        <v>163</v>
      </c>
      <c r="D1039" s="6">
        <v>160</v>
      </c>
      <c r="E1039" s="9" t="s">
        <v>169</v>
      </c>
      <c r="F1039" s="6">
        <v>218438</v>
      </c>
      <c r="G1039" s="7">
        <v>218438</v>
      </c>
      <c r="H1039" s="9">
        <f>(G1039-F1039)</f>
        <v>0.0</v>
      </c>
      <c r="I1039" s="9" t="s">
        <v>193</v>
      </c>
      <c r="J1039" s="9" t="s">
        <v>194</v>
      </c>
    </row>
    <row r="1040" spans="1:12" ht="24" customHeight="1">
      <c r="A1040" s="3" t="s">
        <v>181</v>
      </c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</row>
    <row r="1041" spans="1:10" ht="36" customHeight="1">
      <c r="A1041" s="4" t="s">
        <v>182</v>
      </c>
      <c r="B1041" s="4" t="s">
        <v>8</v>
      </c>
      <c r="C1041" s="4" t="s">
        <v>183</v>
      </c>
      <c r="D1041" s="4" t="s">
        <v>184</v>
      </c>
      <c r="E1041" s="4" t="s">
        <v>185</v>
      </c>
      <c r="F1041" s="4" t="s">
        <v>186</v>
      </c>
      <c r="G1041" s="4" t="s">
        <v>187</v>
      </c>
      <c r="H1041" s="4" t="s">
        <v>188</v>
      </c>
      <c r="I1041" s="4" t="s">
        <v>189</v>
      </c>
      <c r="J1041" s="4" t="s">
        <v>190</v>
      </c>
    </row>
    <row r="1042" spans="1:10" ht="23" customHeight="1">
      <c r="A1042" s="9" t="s">
        <v>172</v>
      </c>
      <c r="B1042" s="6">
        <v>6</v>
      </c>
      <c r="C1042" s="9" t="s">
        <v>163</v>
      </c>
      <c r="D1042" s="6">
        <v>160</v>
      </c>
      <c r="E1042" s="9" t="s">
        <v>170</v>
      </c>
      <c r="F1042" s="6">
        <v>218438</v>
      </c>
      <c r="G1042" s="7">
        <v>218438</v>
      </c>
      <c r="H1042" s="9">
        <f>(G1042-F1042)</f>
        <v>0.0</v>
      </c>
      <c r="I1042" s="9" t="s">
        <v>193</v>
      </c>
      <c r="J1042" s="9" t="s">
        <v>194</v>
      </c>
    </row>
    <row r="1043" spans="1:10" ht="23" customHeight="1">
      <c r="A1043" s="9" t="s">
        <v>172</v>
      </c>
      <c r="B1043" s="6">
        <v>6</v>
      </c>
      <c r="C1043" s="9" t="s">
        <v>163</v>
      </c>
      <c r="D1043" s="6">
        <v>160</v>
      </c>
      <c r="E1043" s="9" t="s">
        <v>171</v>
      </c>
      <c r="F1043" s="6">
        <v>218438</v>
      </c>
      <c r="G1043" s="7">
        <v>218438</v>
      </c>
      <c r="H1043" s="9">
        <f>(G1043-F1043)</f>
        <v>0.0</v>
      </c>
      <c r="I1043" s="9" t="s">
        <v>193</v>
      </c>
      <c r="J1043" s="9" t="s">
        <v>194</v>
      </c>
    </row>
    <row r="1044" spans="1:10" ht="23" customHeight="1">
      <c r="A1044" s="9" t="s">
        <v>172</v>
      </c>
      <c r="B1044" s="6">
        <v>6</v>
      </c>
      <c r="C1044" s="9" t="s">
        <v>163</v>
      </c>
      <c r="D1044" s="6">
        <v>161</v>
      </c>
      <c r="E1044" s="9" t="s">
        <v>166</v>
      </c>
      <c r="F1044" s="6">
        <v>218438</v>
      </c>
      <c r="G1044" s="7">
        <v>218438</v>
      </c>
      <c r="H1044" s="9">
        <f>(G1044-F1044)</f>
        <v>0.0</v>
      </c>
      <c r="I1044" s="9" t="s">
        <v>193</v>
      </c>
      <c r="J1044" s="9" t="s">
        <v>194</v>
      </c>
    </row>
    <row r="1045" spans="1:10" ht="23" customHeight="1">
      <c r="A1045" s="9" t="s">
        <v>172</v>
      </c>
      <c r="B1045" s="6">
        <v>6</v>
      </c>
      <c r="C1045" s="9" t="s">
        <v>163</v>
      </c>
      <c r="D1045" s="6">
        <v>161</v>
      </c>
      <c r="E1045" s="9" t="s">
        <v>176</v>
      </c>
      <c r="F1045" s="11">
        <v>2752.4</v>
      </c>
      <c r="G1045" s="8">
        <v>2752.4</v>
      </c>
      <c r="H1045" s="9">
        <f>(G1045-F1045)</f>
        <v>0.0</v>
      </c>
      <c r="I1045" s="9" t="s">
        <v>193</v>
      </c>
      <c r="J1045" s="9" t="s">
        <v>194</v>
      </c>
    </row>
    <row r="1046" spans="1:10" ht="23" customHeight="1">
      <c r="A1046" s="9" t="s">
        <v>172</v>
      </c>
      <c r="B1046" s="6">
        <v>6</v>
      </c>
      <c r="C1046" s="9" t="s">
        <v>163</v>
      </c>
      <c r="D1046" s="6">
        <v>161</v>
      </c>
      <c r="E1046" s="9" t="s">
        <v>177</v>
      </c>
      <c r="F1046" s="11">
        <v>2752.4</v>
      </c>
      <c r="G1046" s="8">
        <v>2752.4</v>
      </c>
      <c r="H1046" s="9">
        <f>(G1046-F1046)</f>
        <v>0.0</v>
      </c>
      <c r="I1046" s="9" t="s">
        <v>193</v>
      </c>
      <c r="J1046" s="9" t="s">
        <v>194</v>
      </c>
    </row>
    <row r="1047" spans="1:10" ht="23" customHeight="1">
      <c r="A1047" s="9" t="s">
        <v>172</v>
      </c>
      <c r="B1047" s="6">
        <v>6</v>
      </c>
      <c r="C1047" s="9" t="s">
        <v>163</v>
      </c>
      <c r="D1047" s="6">
        <v>161</v>
      </c>
      <c r="E1047" s="9" t="s">
        <v>167</v>
      </c>
      <c r="F1047" s="6">
        <v>218438</v>
      </c>
      <c r="G1047" s="7">
        <v>218438</v>
      </c>
      <c r="H1047" s="9">
        <f>(G1047-F1047)</f>
        <v>0.0</v>
      </c>
      <c r="I1047" s="9" t="s">
        <v>193</v>
      </c>
      <c r="J1047" s="9" t="s">
        <v>194</v>
      </c>
    </row>
    <row r="1048" spans="1:10" ht="23" customHeight="1">
      <c r="A1048" s="9" t="s">
        <v>172</v>
      </c>
      <c r="B1048" s="6">
        <v>6</v>
      </c>
      <c r="C1048" s="9" t="s">
        <v>163</v>
      </c>
      <c r="D1048" s="6">
        <v>161</v>
      </c>
      <c r="E1048" s="9" t="s">
        <v>178</v>
      </c>
      <c r="F1048" s="11">
        <v>2752.4</v>
      </c>
      <c r="G1048" s="8">
        <v>2752.4</v>
      </c>
      <c r="H1048" s="9">
        <f>(G1048-F1048)</f>
        <v>0.0</v>
      </c>
      <c r="I1048" s="9" t="s">
        <v>193</v>
      </c>
      <c r="J1048" s="9" t="s">
        <v>194</v>
      </c>
    </row>
    <row r="1049" spans="1:10" ht="23" customHeight="1">
      <c r="A1049" s="9" t="s">
        <v>172</v>
      </c>
      <c r="B1049" s="6">
        <v>6</v>
      </c>
      <c r="C1049" s="9" t="s">
        <v>163</v>
      </c>
      <c r="D1049" s="6">
        <v>161</v>
      </c>
      <c r="E1049" s="9" t="s">
        <v>179</v>
      </c>
      <c r="F1049" s="11">
        <v>2752.4</v>
      </c>
      <c r="G1049" s="8">
        <v>2752.4</v>
      </c>
      <c r="H1049" s="9">
        <f>(G1049-F1049)</f>
        <v>0.0</v>
      </c>
      <c r="I1049" s="9" t="s">
        <v>193</v>
      </c>
      <c r="J1049" s="9" t="s">
        <v>194</v>
      </c>
    </row>
    <row r="1050" spans="1:10" ht="23" customHeight="1">
      <c r="A1050" s="9" t="s">
        <v>172</v>
      </c>
      <c r="B1050" s="6">
        <v>6</v>
      </c>
      <c r="C1050" s="9" t="s">
        <v>163</v>
      </c>
      <c r="D1050" s="6">
        <v>161</v>
      </c>
      <c r="E1050" s="9" t="s">
        <v>168</v>
      </c>
      <c r="F1050" s="6">
        <v>218438</v>
      </c>
      <c r="G1050" s="7">
        <v>218438</v>
      </c>
      <c r="H1050" s="9">
        <f>(G1050-F1050)</f>
        <v>0.0</v>
      </c>
      <c r="I1050" s="9" t="s">
        <v>193</v>
      </c>
      <c r="J1050" s="9" t="s">
        <v>194</v>
      </c>
    </row>
    <row r="1051" spans="1:10" ht="23" customHeight="1">
      <c r="A1051" s="9" t="s">
        <v>172</v>
      </c>
      <c r="B1051" s="6">
        <v>6</v>
      </c>
      <c r="C1051" s="9" t="s">
        <v>163</v>
      </c>
      <c r="D1051" s="6">
        <v>161</v>
      </c>
      <c r="E1051" s="9" t="s">
        <v>169</v>
      </c>
      <c r="F1051" s="6">
        <v>218438</v>
      </c>
      <c r="G1051" s="7">
        <v>218438</v>
      </c>
      <c r="H1051" s="9">
        <f>(G1051-F1051)</f>
        <v>0.0</v>
      </c>
      <c r="I1051" s="9" t="s">
        <v>193</v>
      </c>
      <c r="J1051" s="9" t="s">
        <v>194</v>
      </c>
    </row>
    <row r="1052" spans="1:10" ht="23" customHeight="1">
      <c r="A1052" s="9" t="s">
        <v>172</v>
      </c>
      <c r="B1052" s="6">
        <v>6</v>
      </c>
      <c r="C1052" s="9" t="s">
        <v>163</v>
      </c>
      <c r="D1052" s="6">
        <v>161</v>
      </c>
      <c r="E1052" s="9" t="s">
        <v>170</v>
      </c>
      <c r="F1052" s="6">
        <v>218438</v>
      </c>
      <c r="G1052" s="7">
        <v>218438</v>
      </c>
      <c r="H1052" s="9">
        <f>(G1052-F1052)</f>
        <v>0.0</v>
      </c>
      <c r="I1052" s="9" t="s">
        <v>193</v>
      </c>
      <c r="J1052" s="9" t="s">
        <v>194</v>
      </c>
    </row>
    <row r="1053" spans="1:10" ht="23" customHeight="1">
      <c r="A1053" s="9" t="s">
        <v>172</v>
      </c>
      <c r="B1053" s="6">
        <v>6</v>
      </c>
      <c r="C1053" s="9" t="s">
        <v>163</v>
      </c>
      <c r="D1053" s="6">
        <v>161</v>
      </c>
      <c r="E1053" s="9" t="s">
        <v>171</v>
      </c>
      <c r="F1053" s="6">
        <v>218438</v>
      </c>
      <c r="G1053" s="7">
        <v>218438</v>
      </c>
      <c r="H1053" s="9">
        <f>(G1053-F1053)</f>
        <v>0.0</v>
      </c>
      <c r="I1053" s="9" t="s">
        <v>193</v>
      </c>
      <c r="J1053" s="9" t="s">
        <v>194</v>
      </c>
    </row>
    <row r="1054" spans="1:10" ht="23" customHeight="1">
      <c r="A1054" s="9" t="s">
        <v>172</v>
      </c>
      <c r="B1054" s="6">
        <v>6</v>
      </c>
      <c r="C1054" s="9" t="s">
        <v>163</v>
      </c>
      <c r="D1054" s="6">
        <v>162</v>
      </c>
      <c r="E1054" s="9" t="s">
        <v>166</v>
      </c>
      <c r="F1054" s="6">
        <v>179149</v>
      </c>
      <c r="G1054" s="7">
        <v>179149</v>
      </c>
      <c r="H1054" s="9">
        <f>(G1054-F1054)</f>
        <v>0.0</v>
      </c>
      <c r="I1054" s="9" t="s">
        <v>193</v>
      </c>
      <c r="J1054" s="9" t="s">
        <v>194</v>
      </c>
    </row>
    <row r="1055" spans="1:10" ht="23" customHeight="1">
      <c r="A1055" s="9" t="s">
        <v>172</v>
      </c>
      <c r="B1055" s="6">
        <v>6</v>
      </c>
      <c r="C1055" s="9" t="s">
        <v>163</v>
      </c>
      <c r="D1055" s="6">
        <v>162</v>
      </c>
      <c r="E1055" s="9" t="s">
        <v>176</v>
      </c>
      <c r="F1055" s="11">
        <v>2032.5</v>
      </c>
      <c r="G1055" s="8">
        <v>2032.5</v>
      </c>
      <c r="H1055" s="9">
        <f>(G1055-F1055)</f>
        <v>0.0</v>
      </c>
      <c r="I1055" s="9" t="s">
        <v>193</v>
      </c>
      <c r="J1055" s="9" t="s">
        <v>194</v>
      </c>
    </row>
    <row r="1056" spans="1:10" ht="23" customHeight="1">
      <c r="A1056" s="9" t="s">
        <v>172</v>
      </c>
      <c r="B1056" s="6">
        <v>6</v>
      </c>
      <c r="C1056" s="9" t="s">
        <v>163</v>
      </c>
      <c r="D1056" s="6">
        <v>162</v>
      </c>
      <c r="E1056" s="9" t="s">
        <v>177</v>
      </c>
      <c r="F1056" s="11">
        <v>2032.5</v>
      </c>
      <c r="G1056" s="8">
        <v>2032.5</v>
      </c>
      <c r="H1056" s="9">
        <f>(G1056-F1056)</f>
        <v>0.0</v>
      </c>
      <c r="I1056" s="9" t="s">
        <v>193</v>
      </c>
      <c r="J1056" s="9" t="s">
        <v>194</v>
      </c>
    </row>
    <row r="1057" spans="1:12" ht="24" customHeight="1">
      <c r="A1057" s="3" t="s">
        <v>181</v>
      </c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</row>
    <row r="1058" spans="1:12" ht="36" customHeight="1">
      <c r="A1058" s="4" t="s">
        <v>182</v>
      </c>
      <c r="B1058" s="4" t="s">
        <v>8</v>
      </c>
      <c r="C1058" s="4" t="s">
        <v>183</v>
      </c>
      <c r="D1058" s="4" t="s">
        <v>184</v>
      </c>
      <c r="E1058" s="4" t="s">
        <v>185</v>
      </c>
      <c r="F1058" s="4" t="s">
        <v>186</v>
      </c>
      <c r="G1058" s="4" t="s">
        <v>187</v>
      </c>
      <c r="H1058" s="4" t="s">
        <v>188</v>
      </c>
      <c r="I1058" s="4" t="s">
        <v>189</v>
      </c>
      <c r="J1058" s="4" t="s">
        <v>190</v>
      </c>
    </row>
    <row r="1059" spans="1:12" ht="23" customHeight="1">
      <c r="A1059" s="9" t="s">
        <v>172</v>
      </c>
      <c r="B1059" s="6">
        <v>6</v>
      </c>
      <c r="C1059" s="9" t="s">
        <v>163</v>
      </c>
      <c r="D1059" s="6">
        <v>162</v>
      </c>
      <c r="E1059" s="9" t="s">
        <v>167</v>
      </c>
      <c r="F1059" s="6">
        <v>179149</v>
      </c>
      <c r="G1059" s="7">
        <v>179149</v>
      </c>
      <c r="H1059" s="9">
        <f>(G1059-F1059)</f>
        <v>0.0</v>
      </c>
      <c r="I1059" s="9" t="s">
        <v>193</v>
      </c>
      <c r="J1059" s="9" t="s">
        <v>194</v>
      </c>
    </row>
    <row r="1060" spans="1:12" ht="23" customHeight="1">
      <c r="A1060" s="9" t="s">
        <v>172</v>
      </c>
      <c r="B1060" s="6">
        <v>6</v>
      </c>
      <c r="C1060" s="9" t="s">
        <v>163</v>
      </c>
      <c r="D1060" s="6">
        <v>162</v>
      </c>
      <c r="E1060" s="9" t="s">
        <v>178</v>
      </c>
      <c r="F1060" s="11">
        <v>2032.5</v>
      </c>
      <c r="G1060" s="8">
        <v>2032.5</v>
      </c>
      <c r="H1060" s="9">
        <f>(G1060-F1060)</f>
        <v>0.0</v>
      </c>
      <c r="I1060" s="9" t="s">
        <v>193</v>
      </c>
      <c r="J1060" s="9" t="s">
        <v>194</v>
      </c>
    </row>
    <row r="1061" spans="1:12" ht="23" customHeight="1">
      <c r="A1061" s="9" t="s">
        <v>172</v>
      </c>
      <c r="B1061" s="6">
        <v>6</v>
      </c>
      <c r="C1061" s="9" t="s">
        <v>163</v>
      </c>
      <c r="D1061" s="6">
        <v>162</v>
      </c>
      <c r="E1061" s="9" t="s">
        <v>179</v>
      </c>
      <c r="F1061" s="11">
        <v>2032.5</v>
      </c>
      <c r="G1061" s="8">
        <v>2032.5</v>
      </c>
      <c r="H1061" s="9">
        <f>(G1061-F1061)</f>
        <v>0.0</v>
      </c>
      <c r="I1061" s="9" t="s">
        <v>193</v>
      </c>
      <c r="J1061" s="9" t="s">
        <v>194</v>
      </c>
    </row>
    <row r="1062" spans="1:12" ht="23" customHeight="1">
      <c r="A1062" s="9" t="s">
        <v>172</v>
      </c>
      <c r="B1062" s="6">
        <v>6</v>
      </c>
      <c r="C1062" s="9" t="s">
        <v>163</v>
      </c>
      <c r="D1062" s="6">
        <v>162</v>
      </c>
      <c r="E1062" s="9" t="s">
        <v>168</v>
      </c>
      <c r="F1062" s="6">
        <v>179149</v>
      </c>
      <c r="G1062" s="7">
        <v>179149</v>
      </c>
      <c r="H1062" s="9">
        <f>(G1062-F1062)</f>
        <v>0.0</v>
      </c>
      <c r="I1062" s="9" t="s">
        <v>193</v>
      </c>
      <c r="J1062" s="9" t="s">
        <v>194</v>
      </c>
    </row>
    <row r="1063" spans="1:12" ht="23" customHeight="1">
      <c r="A1063" s="9" t="s">
        <v>172</v>
      </c>
      <c r="B1063" s="6">
        <v>6</v>
      </c>
      <c r="C1063" s="9" t="s">
        <v>163</v>
      </c>
      <c r="D1063" s="6">
        <v>162</v>
      </c>
      <c r="E1063" s="9" t="s">
        <v>169</v>
      </c>
      <c r="F1063" s="6">
        <v>179149</v>
      </c>
      <c r="G1063" s="7">
        <v>179149</v>
      </c>
      <c r="H1063" s="9">
        <f>(G1063-F1063)</f>
        <v>0.0</v>
      </c>
      <c r="I1063" s="9" t="s">
        <v>193</v>
      </c>
      <c r="J1063" s="9" t="s">
        <v>194</v>
      </c>
    </row>
    <row r="1064" spans="1:12" ht="23" customHeight="1">
      <c r="A1064" s="9" t="s">
        <v>172</v>
      </c>
      <c r="B1064" s="6">
        <v>6</v>
      </c>
      <c r="C1064" s="9" t="s">
        <v>163</v>
      </c>
      <c r="D1064" s="6">
        <v>162</v>
      </c>
      <c r="E1064" s="9" t="s">
        <v>170</v>
      </c>
      <c r="F1064" s="6">
        <v>179149</v>
      </c>
      <c r="G1064" s="7">
        <v>179149</v>
      </c>
      <c r="H1064" s="9">
        <f>(G1064-F1064)</f>
        <v>0.0</v>
      </c>
      <c r="I1064" s="9" t="s">
        <v>193</v>
      </c>
      <c r="J1064" s="9" t="s">
        <v>194</v>
      </c>
    </row>
    <row r="1065" spans="1:12" ht="23" customHeight="1">
      <c r="A1065" s="9" t="s">
        <v>172</v>
      </c>
      <c r="B1065" s="6">
        <v>6</v>
      </c>
      <c r="C1065" s="9" t="s">
        <v>163</v>
      </c>
      <c r="D1065" s="6">
        <v>162</v>
      </c>
      <c r="E1065" s="9" t="s">
        <v>171</v>
      </c>
      <c r="F1065" s="6">
        <v>179149</v>
      </c>
      <c r="G1065" s="7">
        <v>179149</v>
      </c>
      <c r="H1065" s="9">
        <f>(G1065-F1065)</f>
        <v>0.0</v>
      </c>
      <c r="I1065" s="9" t="s">
        <v>193</v>
      </c>
      <c r="J1065" s="9" t="s">
        <v>194</v>
      </c>
    </row>
    <row r="1066" spans="1:12" ht="23" customHeight="1">
      <c r="A1066" s="9" t="s">
        <v>172</v>
      </c>
      <c r="B1066" s="6">
        <v>6</v>
      </c>
      <c r="C1066" s="9" t="s">
        <v>163</v>
      </c>
      <c r="D1066" s="6">
        <v>163</v>
      </c>
      <c r="E1066" s="9" t="s">
        <v>166</v>
      </c>
      <c r="F1066" s="6">
        <v>104936</v>
      </c>
      <c r="G1066" s="7">
        <v>104936</v>
      </c>
      <c r="H1066" s="9">
        <f>(G1066-F1066)</f>
        <v>0.0</v>
      </c>
      <c r="I1066" s="9" t="s">
        <v>193</v>
      </c>
      <c r="J1066" s="9" t="s">
        <v>194</v>
      </c>
    </row>
    <row r="1067" spans="1:12" ht="23" customHeight="1">
      <c r="A1067" s="9" t="s">
        <v>172</v>
      </c>
      <c r="B1067" s="6">
        <v>6</v>
      </c>
      <c r="C1067" s="9" t="s">
        <v>163</v>
      </c>
      <c r="D1067" s="6">
        <v>163</v>
      </c>
      <c r="E1067" s="9" t="s">
        <v>176</v>
      </c>
      <c r="F1067" s="11">
        <v>672.8</v>
      </c>
      <c r="G1067" s="8">
        <v>672.8</v>
      </c>
      <c r="H1067" s="9">
        <f>(G1067-F1067)</f>
        <v>0.0</v>
      </c>
      <c r="I1067" s="9" t="s">
        <v>193</v>
      </c>
      <c r="J1067" s="9" t="s">
        <v>194</v>
      </c>
    </row>
    <row r="1068" spans="1:12" ht="23" customHeight="1">
      <c r="A1068" s="9" t="s">
        <v>172</v>
      </c>
      <c r="B1068" s="6">
        <v>6</v>
      </c>
      <c r="C1068" s="9" t="s">
        <v>163</v>
      </c>
      <c r="D1068" s="6">
        <v>163</v>
      </c>
      <c r="E1068" s="9" t="s">
        <v>177</v>
      </c>
      <c r="F1068" s="11">
        <v>672.8</v>
      </c>
      <c r="G1068" s="8">
        <v>672.8</v>
      </c>
      <c r="H1068" s="9">
        <f>(G1068-F1068)</f>
        <v>0.0</v>
      </c>
      <c r="I1068" s="9" t="s">
        <v>193</v>
      </c>
      <c r="J1068" s="9" t="s">
        <v>194</v>
      </c>
    </row>
    <row r="1069" spans="1:12" ht="23" customHeight="1">
      <c r="A1069" s="9" t="s">
        <v>172</v>
      </c>
      <c r="B1069" s="6">
        <v>6</v>
      </c>
      <c r="C1069" s="9" t="s">
        <v>163</v>
      </c>
      <c r="D1069" s="6">
        <v>163</v>
      </c>
      <c r="E1069" s="9" t="s">
        <v>167</v>
      </c>
      <c r="F1069" s="6">
        <v>104936</v>
      </c>
      <c r="G1069" s="7">
        <v>104936</v>
      </c>
      <c r="H1069" s="9">
        <f>(G1069-F1069)</f>
        <v>0.0</v>
      </c>
      <c r="I1069" s="9" t="s">
        <v>193</v>
      </c>
      <c r="J1069" s="9" t="s">
        <v>194</v>
      </c>
    </row>
    <row r="1070" spans="1:12" ht="23" customHeight="1">
      <c r="A1070" s="9" t="s">
        <v>172</v>
      </c>
      <c r="B1070" s="6">
        <v>6</v>
      </c>
      <c r="C1070" s="9" t="s">
        <v>163</v>
      </c>
      <c r="D1070" s="6">
        <v>163</v>
      </c>
      <c r="E1070" s="9" t="s">
        <v>178</v>
      </c>
      <c r="F1070" s="11">
        <v>672.8</v>
      </c>
      <c r="G1070" s="8">
        <v>672.8</v>
      </c>
      <c r="H1070" s="9">
        <f>(G1070-F1070)</f>
        <v>0.0</v>
      </c>
      <c r="I1070" s="9" t="s">
        <v>193</v>
      </c>
      <c r="J1070" s="9" t="s">
        <v>194</v>
      </c>
    </row>
    <row r="1071" spans="1:12" ht="23" customHeight="1">
      <c r="A1071" s="9" t="s">
        <v>172</v>
      </c>
      <c r="B1071" s="6">
        <v>6</v>
      </c>
      <c r="C1071" s="9" t="s">
        <v>163</v>
      </c>
      <c r="D1071" s="6">
        <v>163</v>
      </c>
      <c r="E1071" s="9" t="s">
        <v>179</v>
      </c>
      <c r="F1071" s="11">
        <v>672.8</v>
      </c>
      <c r="G1071" s="8">
        <v>672.8</v>
      </c>
      <c r="H1071" s="9">
        <f>(G1071-F1071)</f>
        <v>0.0</v>
      </c>
      <c r="I1071" s="9" t="s">
        <v>193</v>
      </c>
      <c r="J1071" s="9" t="s">
        <v>194</v>
      </c>
    </row>
    <row r="1072" spans="1:12" ht="23" customHeight="1">
      <c r="A1072" s="9" t="s">
        <v>172</v>
      </c>
      <c r="B1072" s="6">
        <v>6</v>
      </c>
      <c r="C1072" s="9" t="s">
        <v>163</v>
      </c>
      <c r="D1072" s="6">
        <v>163</v>
      </c>
      <c r="E1072" s="9" t="s">
        <v>168</v>
      </c>
      <c r="F1072" s="6">
        <v>104936</v>
      </c>
      <c r="G1072" s="7">
        <v>104936</v>
      </c>
      <c r="H1072" s="9">
        <f>(G1072-F1072)</f>
        <v>0.0</v>
      </c>
      <c r="I1072" s="9" t="s">
        <v>193</v>
      </c>
      <c r="J1072" s="9" t="s">
        <v>194</v>
      </c>
    </row>
    <row r="1073" spans="1:12" ht="23" customHeight="1">
      <c r="A1073" s="9" t="s">
        <v>172</v>
      </c>
      <c r="B1073" s="6">
        <v>6</v>
      </c>
      <c r="C1073" s="9" t="s">
        <v>163</v>
      </c>
      <c r="D1073" s="6">
        <v>163</v>
      </c>
      <c r="E1073" s="9" t="s">
        <v>169</v>
      </c>
      <c r="F1073" s="6">
        <v>104936</v>
      </c>
      <c r="G1073" s="7">
        <v>104936</v>
      </c>
      <c r="H1073" s="9">
        <f>(G1073-F1073)</f>
        <v>0.0</v>
      </c>
      <c r="I1073" s="9" t="s">
        <v>193</v>
      </c>
      <c r="J1073" s="9" t="s">
        <v>194</v>
      </c>
    </row>
    <row r="1074" spans="1:12" ht="24" customHeight="1">
      <c r="A1074" s="3" t="s">
        <v>181</v>
      </c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</row>
    <row r="1075" spans="1:12" ht="36" customHeight="1">
      <c r="A1075" s="4" t="s">
        <v>182</v>
      </c>
      <c r="B1075" s="4" t="s">
        <v>8</v>
      </c>
      <c r="C1075" s="4" t="s">
        <v>183</v>
      </c>
      <c r="D1075" s="4" t="s">
        <v>184</v>
      </c>
      <c r="E1075" s="4" t="s">
        <v>185</v>
      </c>
      <c r="F1075" s="4" t="s">
        <v>186</v>
      </c>
      <c r="G1075" s="4" t="s">
        <v>187</v>
      </c>
      <c r="H1075" s="4" t="s">
        <v>188</v>
      </c>
      <c r="I1075" s="4" t="s">
        <v>189</v>
      </c>
      <c r="J1075" s="4" t="s">
        <v>190</v>
      </c>
    </row>
    <row r="1076" spans="1:12" ht="23" customHeight="1">
      <c r="A1076" s="9" t="s">
        <v>172</v>
      </c>
      <c r="B1076" s="6">
        <v>6</v>
      </c>
      <c r="C1076" s="9" t="s">
        <v>163</v>
      </c>
      <c r="D1076" s="6">
        <v>163</v>
      </c>
      <c r="E1076" s="9" t="s">
        <v>170</v>
      </c>
      <c r="F1076" s="6">
        <v>104936</v>
      </c>
      <c r="G1076" s="7">
        <v>104936</v>
      </c>
      <c r="H1076" s="9">
        <f>(G1076-F1076)</f>
        <v>0.0</v>
      </c>
      <c r="I1076" s="9" t="s">
        <v>193</v>
      </c>
      <c r="J1076" s="9" t="s">
        <v>194</v>
      </c>
    </row>
    <row r="1077" spans="1:12" ht="23" customHeight="1">
      <c r="A1077" s="9" t="s">
        <v>172</v>
      </c>
      <c r="B1077" s="6">
        <v>6</v>
      </c>
      <c r="C1077" s="9" t="s">
        <v>163</v>
      </c>
      <c r="D1077" s="6">
        <v>163</v>
      </c>
      <c r="E1077" s="9" t="s">
        <v>171</v>
      </c>
      <c r="F1077" s="6">
        <v>104936</v>
      </c>
      <c r="G1077" s="7">
        <v>104936</v>
      </c>
      <c r="H1077" s="9">
        <f>(G1077-F1077)</f>
        <v>0.0</v>
      </c>
      <c r="I1077" s="9" t="s">
        <v>193</v>
      </c>
      <c r="J1077" s="9" t="s">
        <v>194</v>
      </c>
    </row>
    <row r="1078" spans="1:12" ht="23" customHeight="1">
      <c r="A1078" s="9" t="s">
        <v>172</v>
      </c>
      <c r="B1078" s="6">
        <v>6</v>
      </c>
      <c r="C1078" s="9" t="s">
        <v>163</v>
      </c>
      <c r="D1078" s="6">
        <v>164</v>
      </c>
      <c r="E1078" s="9" t="s">
        <v>166</v>
      </c>
      <c r="F1078" s="6">
        <v>104936</v>
      </c>
      <c r="G1078" s="7">
        <v>104936</v>
      </c>
      <c r="H1078" s="9">
        <f>(G1078-F1078)</f>
        <v>0.0</v>
      </c>
      <c r="I1078" s="9" t="s">
        <v>193</v>
      </c>
      <c r="J1078" s="9" t="s">
        <v>194</v>
      </c>
    </row>
    <row r="1079" spans="1:12" ht="23" customHeight="1">
      <c r="A1079" s="9" t="s">
        <v>172</v>
      </c>
      <c r="B1079" s="6">
        <v>6</v>
      </c>
      <c r="C1079" s="9" t="s">
        <v>163</v>
      </c>
      <c r="D1079" s="6">
        <v>164</v>
      </c>
      <c r="E1079" s="9" t="s">
        <v>176</v>
      </c>
      <c r="F1079" s="11">
        <v>672.8</v>
      </c>
      <c r="G1079" s="8">
        <v>672.8</v>
      </c>
      <c r="H1079" s="9">
        <f>(G1079-F1079)</f>
        <v>0.0</v>
      </c>
      <c r="I1079" s="9" t="s">
        <v>193</v>
      </c>
      <c r="J1079" s="9" t="s">
        <v>194</v>
      </c>
    </row>
    <row r="1080" spans="1:12" ht="23" customHeight="1">
      <c r="A1080" s="9" t="s">
        <v>172</v>
      </c>
      <c r="B1080" s="6">
        <v>6</v>
      </c>
      <c r="C1080" s="9" t="s">
        <v>163</v>
      </c>
      <c r="D1080" s="6">
        <v>164</v>
      </c>
      <c r="E1080" s="9" t="s">
        <v>177</v>
      </c>
      <c r="F1080" s="11">
        <v>672.8</v>
      </c>
      <c r="G1080" s="8">
        <v>672.8</v>
      </c>
      <c r="H1080" s="9">
        <f>(G1080-F1080)</f>
        <v>0.0</v>
      </c>
      <c r="I1080" s="9" t="s">
        <v>193</v>
      </c>
      <c r="J1080" s="9" t="s">
        <v>194</v>
      </c>
    </row>
    <row r="1081" spans="1:12" ht="23" customHeight="1">
      <c r="A1081" s="9" t="s">
        <v>172</v>
      </c>
      <c r="B1081" s="6">
        <v>6</v>
      </c>
      <c r="C1081" s="9" t="s">
        <v>163</v>
      </c>
      <c r="D1081" s="6">
        <v>164</v>
      </c>
      <c r="E1081" s="9" t="s">
        <v>167</v>
      </c>
      <c r="F1081" s="6">
        <v>104936</v>
      </c>
      <c r="G1081" s="7">
        <v>104936</v>
      </c>
      <c r="H1081" s="9">
        <f>(G1081-F1081)</f>
        <v>0.0</v>
      </c>
      <c r="I1081" s="9" t="s">
        <v>193</v>
      </c>
      <c r="J1081" s="9" t="s">
        <v>194</v>
      </c>
    </row>
    <row r="1082" spans="1:12" ht="23" customHeight="1">
      <c r="A1082" s="9" t="s">
        <v>172</v>
      </c>
      <c r="B1082" s="6">
        <v>6</v>
      </c>
      <c r="C1082" s="9" t="s">
        <v>163</v>
      </c>
      <c r="D1082" s="6">
        <v>164</v>
      </c>
      <c r="E1082" s="9" t="s">
        <v>178</v>
      </c>
      <c r="F1082" s="11">
        <v>672.8</v>
      </c>
      <c r="G1082" s="8">
        <v>672.8</v>
      </c>
      <c r="H1082" s="9">
        <f>(G1082-F1082)</f>
        <v>0.0</v>
      </c>
      <c r="I1082" s="9" t="s">
        <v>193</v>
      </c>
      <c r="J1082" s="9" t="s">
        <v>194</v>
      </c>
    </row>
    <row r="1083" spans="1:12" ht="23" customHeight="1">
      <c r="A1083" s="9" t="s">
        <v>172</v>
      </c>
      <c r="B1083" s="6">
        <v>6</v>
      </c>
      <c r="C1083" s="9" t="s">
        <v>163</v>
      </c>
      <c r="D1083" s="6">
        <v>164</v>
      </c>
      <c r="E1083" s="9" t="s">
        <v>179</v>
      </c>
      <c r="F1083" s="11">
        <v>672.8</v>
      </c>
      <c r="G1083" s="8">
        <v>672.8</v>
      </c>
      <c r="H1083" s="9">
        <f>(G1083-F1083)</f>
        <v>0.0</v>
      </c>
      <c r="I1083" s="9" t="s">
        <v>193</v>
      </c>
      <c r="J1083" s="9" t="s">
        <v>194</v>
      </c>
    </row>
    <row r="1084" spans="1:12" ht="23" customHeight="1">
      <c r="A1084" s="9" t="s">
        <v>172</v>
      </c>
      <c r="B1084" s="6">
        <v>6</v>
      </c>
      <c r="C1084" s="9" t="s">
        <v>163</v>
      </c>
      <c r="D1084" s="6">
        <v>164</v>
      </c>
      <c r="E1084" s="9" t="s">
        <v>168</v>
      </c>
      <c r="F1084" s="6">
        <v>104936</v>
      </c>
      <c r="G1084" s="7">
        <v>104936</v>
      </c>
      <c r="H1084" s="9">
        <f>(G1084-F1084)</f>
        <v>0.0</v>
      </c>
      <c r="I1084" s="9" t="s">
        <v>193</v>
      </c>
      <c r="J1084" s="9" t="s">
        <v>194</v>
      </c>
    </row>
    <row r="1085" spans="1:12" ht="23" customHeight="1">
      <c r="A1085" s="9" t="s">
        <v>172</v>
      </c>
      <c r="B1085" s="6">
        <v>6</v>
      </c>
      <c r="C1085" s="9" t="s">
        <v>163</v>
      </c>
      <c r="D1085" s="6">
        <v>164</v>
      </c>
      <c r="E1085" s="9" t="s">
        <v>169</v>
      </c>
      <c r="F1085" s="6">
        <v>104936</v>
      </c>
      <c r="G1085" s="7">
        <v>104936</v>
      </c>
      <c r="H1085" s="9">
        <f>(G1085-F1085)</f>
        <v>0.0</v>
      </c>
      <c r="I1085" s="9" t="s">
        <v>193</v>
      </c>
      <c r="J1085" s="9" t="s">
        <v>194</v>
      </c>
    </row>
    <row r="1086" spans="1:12" ht="23" customHeight="1">
      <c r="A1086" s="9" t="s">
        <v>172</v>
      </c>
      <c r="B1086" s="6">
        <v>6</v>
      </c>
      <c r="C1086" s="9" t="s">
        <v>163</v>
      </c>
      <c r="D1086" s="6">
        <v>164</v>
      </c>
      <c r="E1086" s="9" t="s">
        <v>170</v>
      </c>
      <c r="F1086" s="6">
        <v>104936</v>
      </c>
      <c r="G1086" s="7">
        <v>104936</v>
      </c>
      <c r="H1086" s="9">
        <f>(G1086-F1086)</f>
        <v>0.0</v>
      </c>
      <c r="I1086" s="9" t="s">
        <v>193</v>
      </c>
      <c r="J1086" s="9" t="s">
        <v>194</v>
      </c>
    </row>
    <row r="1087" spans="1:12" ht="23" customHeight="1">
      <c r="A1087" s="9" t="s">
        <v>172</v>
      </c>
      <c r="B1087" s="6">
        <v>6</v>
      </c>
      <c r="C1087" s="9" t="s">
        <v>163</v>
      </c>
      <c r="D1087" s="6">
        <v>164</v>
      </c>
      <c r="E1087" s="9" t="s">
        <v>171</v>
      </c>
      <c r="F1087" s="6">
        <v>104936</v>
      </c>
      <c r="G1087" s="7">
        <v>104936</v>
      </c>
      <c r="H1087" s="9">
        <f>(G1087-F1087)</f>
        <v>0.0</v>
      </c>
      <c r="I1087" s="9" t="s">
        <v>193</v>
      </c>
      <c r="J1087" s="9" t="s">
        <v>194</v>
      </c>
    </row>
    <row r="1088" spans="1:12" ht="23" customHeight="1">
      <c r="A1088" s="9" t="s">
        <v>172</v>
      </c>
      <c r="B1088" s="6">
        <v>6</v>
      </c>
      <c r="C1088" s="9" t="s">
        <v>163</v>
      </c>
      <c r="D1088" s="6">
        <v>165</v>
      </c>
      <c r="E1088" s="9" t="s">
        <v>166</v>
      </c>
      <c r="F1088" s="6">
        <v>104936</v>
      </c>
      <c r="G1088" s="7">
        <v>104936</v>
      </c>
      <c r="H1088" s="9">
        <f>(G1088-F1088)</f>
        <v>0.0</v>
      </c>
      <c r="I1088" s="9" t="s">
        <v>193</v>
      </c>
      <c r="J1088" s="9" t="s">
        <v>194</v>
      </c>
    </row>
    <row r="1089" spans="1:12" ht="23" customHeight="1">
      <c r="A1089" s="9" t="s">
        <v>172</v>
      </c>
      <c r="B1089" s="6">
        <v>6</v>
      </c>
      <c r="C1089" s="9" t="s">
        <v>163</v>
      </c>
      <c r="D1089" s="6">
        <v>165</v>
      </c>
      <c r="E1089" s="9" t="s">
        <v>176</v>
      </c>
      <c r="F1089" s="11">
        <v>672.8</v>
      </c>
      <c r="G1089" s="8">
        <v>672.8</v>
      </c>
      <c r="H1089" s="9">
        <f>(G1089-F1089)</f>
        <v>0.0</v>
      </c>
      <c r="I1089" s="9" t="s">
        <v>193</v>
      </c>
      <c r="J1089" s="9" t="s">
        <v>194</v>
      </c>
    </row>
    <row r="1090" spans="1:12" ht="23" customHeight="1">
      <c r="A1090" s="9" t="s">
        <v>172</v>
      </c>
      <c r="B1090" s="6">
        <v>6</v>
      </c>
      <c r="C1090" s="9" t="s">
        <v>163</v>
      </c>
      <c r="D1090" s="6">
        <v>165</v>
      </c>
      <c r="E1090" s="9" t="s">
        <v>177</v>
      </c>
      <c r="F1090" s="11">
        <v>672.8</v>
      </c>
      <c r="G1090" s="8">
        <v>672.8</v>
      </c>
      <c r="H1090" s="9">
        <f>(G1090-F1090)</f>
        <v>0.0</v>
      </c>
      <c r="I1090" s="9" t="s">
        <v>193</v>
      </c>
      <c r="J1090" s="9" t="s">
        <v>194</v>
      </c>
    </row>
    <row r="1091" spans="1:12" ht="24" customHeight="1">
      <c r="A1091" s="3" t="s">
        <v>181</v>
      </c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</row>
    <row r="1092" spans="1:12" ht="36" customHeight="1">
      <c r="A1092" s="4" t="s">
        <v>182</v>
      </c>
      <c r="B1092" s="4" t="s">
        <v>8</v>
      </c>
      <c r="C1092" s="4" t="s">
        <v>183</v>
      </c>
      <c r="D1092" s="4" t="s">
        <v>184</v>
      </c>
      <c r="E1092" s="4" t="s">
        <v>185</v>
      </c>
      <c r="F1092" s="4" t="s">
        <v>186</v>
      </c>
      <c r="G1092" s="4" t="s">
        <v>187</v>
      </c>
      <c r="H1092" s="4" t="s">
        <v>188</v>
      </c>
      <c r="I1092" s="4" t="s">
        <v>189</v>
      </c>
      <c r="J1092" s="4" t="s">
        <v>190</v>
      </c>
    </row>
    <row r="1093" spans="1:12" ht="23" customHeight="1">
      <c r="A1093" s="9" t="s">
        <v>172</v>
      </c>
      <c r="B1093" s="6">
        <v>6</v>
      </c>
      <c r="C1093" s="9" t="s">
        <v>163</v>
      </c>
      <c r="D1093" s="6">
        <v>165</v>
      </c>
      <c r="E1093" s="9" t="s">
        <v>167</v>
      </c>
      <c r="F1093" s="6">
        <v>104936</v>
      </c>
      <c r="G1093" s="7">
        <v>104936</v>
      </c>
      <c r="H1093" s="9">
        <f>(G1093-F1093)</f>
        <v>0.0</v>
      </c>
      <c r="I1093" s="9" t="s">
        <v>193</v>
      </c>
      <c r="J1093" s="9" t="s">
        <v>194</v>
      </c>
    </row>
    <row r="1094" spans="1:12" ht="23" customHeight="1">
      <c r="A1094" s="9" t="s">
        <v>172</v>
      </c>
      <c r="B1094" s="6">
        <v>6</v>
      </c>
      <c r="C1094" s="9" t="s">
        <v>163</v>
      </c>
      <c r="D1094" s="6">
        <v>165</v>
      </c>
      <c r="E1094" s="9" t="s">
        <v>178</v>
      </c>
      <c r="F1094" s="11">
        <v>672.8</v>
      </c>
      <c r="G1094" s="8">
        <v>672.8</v>
      </c>
      <c r="H1094" s="9">
        <f>(G1094-F1094)</f>
        <v>0.0</v>
      </c>
      <c r="I1094" s="9" t="s">
        <v>193</v>
      </c>
      <c r="J1094" s="9" t="s">
        <v>194</v>
      </c>
    </row>
    <row r="1095" spans="1:12" ht="23" customHeight="1">
      <c r="A1095" s="9" t="s">
        <v>172</v>
      </c>
      <c r="B1095" s="6">
        <v>6</v>
      </c>
      <c r="C1095" s="9" t="s">
        <v>163</v>
      </c>
      <c r="D1095" s="6">
        <v>165</v>
      </c>
      <c r="E1095" s="9" t="s">
        <v>179</v>
      </c>
      <c r="F1095" s="11">
        <v>672.8</v>
      </c>
      <c r="G1095" s="8">
        <v>672.8</v>
      </c>
      <c r="H1095" s="9">
        <f>(G1095-F1095)</f>
        <v>0.0</v>
      </c>
      <c r="I1095" s="9" t="s">
        <v>193</v>
      </c>
      <c r="J1095" s="9" t="s">
        <v>194</v>
      </c>
    </row>
    <row r="1096" spans="1:12" ht="23" customHeight="1">
      <c r="A1096" s="9" t="s">
        <v>172</v>
      </c>
      <c r="B1096" s="6">
        <v>6</v>
      </c>
      <c r="C1096" s="9" t="s">
        <v>163</v>
      </c>
      <c r="D1096" s="6">
        <v>165</v>
      </c>
      <c r="E1096" s="9" t="s">
        <v>168</v>
      </c>
      <c r="F1096" s="6">
        <v>104936</v>
      </c>
      <c r="G1096" s="7">
        <v>104936</v>
      </c>
      <c r="H1096" s="9">
        <f>(G1096-F1096)</f>
        <v>0.0</v>
      </c>
      <c r="I1096" s="9" t="s">
        <v>193</v>
      </c>
      <c r="J1096" s="9" t="s">
        <v>194</v>
      </c>
    </row>
    <row r="1097" spans="1:12" ht="23" customHeight="1">
      <c r="A1097" s="9" t="s">
        <v>172</v>
      </c>
      <c r="B1097" s="6">
        <v>6</v>
      </c>
      <c r="C1097" s="9" t="s">
        <v>163</v>
      </c>
      <c r="D1097" s="6">
        <v>165</v>
      </c>
      <c r="E1097" s="9" t="s">
        <v>169</v>
      </c>
      <c r="F1097" s="6">
        <v>104936</v>
      </c>
      <c r="G1097" s="7">
        <v>104936</v>
      </c>
      <c r="H1097" s="9">
        <f>(G1097-F1097)</f>
        <v>0.0</v>
      </c>
      <c r="I1097" s="9" t="s">
        <v>193</v>
      </c>
      <c r="J1097" s="9" t="s">
        <v>194</v>
      </c>
    </row>
    <row r="1098" spans="1:12" ht="23" customHeight="1">
      <c r="A1098" s="9" t="s">
        <v>172</v>
      </c>
      <c r="B1098" s="6">
        <v>6</v>
      </c>
      <c r="C1098" s="9" t="s">
        <v>163</v>
      </c>
      <c r="D1098" s="6">
        <v>165</v>
      </c>
      <c r="E1098" s="9" t="s">
        <v>170</v>
      </c>
      <c r="F1098" s="6">
        <v>104936</v>
      </c>
      <c r="G1098" s="7">
        <v>104936</v>
      </c>
      <c r="H1098" s="9">
        <f>(G1098-F1098)</f>
        <v>0.0</v>
      </c>
      <c r="I1098" s="9" t="s">
        <v>193</v>
      </c>
      <c r="J1098" s="9" t="s">
        <v>194</v>
      </c>
    </row>
    <row r="1099" spans="1:12" ht="23" customHeight="1">
      <c r="A1099" s="9" t="s">
        <v>172</v>
      </c>
      <c r="B1099" s="6">
        <v>6</v>
      </c>
      <c r="C1099" s="9" t="s">
        <v>163</v>
      </c>
      <c r="D1099" s="6">
        <v>165</v>
      </c>
      <c r="E1099" s="9" t="s">
        <v>171</v>
      </c>
      <c r="F1099" s="6">
        <v>104936</v>
      </c>
      <c r="G1099" s="7">
        <v>104936</v>
      </c>
      <c r="H1099" s="9">
        <f>(G1099-F1099)</f>
        <v>0.0</v>
      </c>
      <c r="I1099" s="9" t="s">
        <v>193</v>
      </c>
      <c r="J1099" s="9" t="s">
        <v>194</v>
      </c>
    </row>
    <row r="1100" spans="1:12" ht="23" customHeight="1">
      <c r="A1100" s="9" t="s">
        <v>172</v>
      </c>
      <c r="B1100" s="6">
        <v>6</v>
      </c>
      <c r="C1100" s="9" t="s">
        <v>163</v>
      </c>
      <c r="D1100" s="6">
        <v>166</v>
      </c>
      <c r="E1100" s="9" t="s">
        <v>166</v>
      </c>
      <c r="F1100" s="6">
        <v>104936</v>
      </c>
      <c r="G1100" s="7">
        <v>104936</v>
      </c>
      <c r="H1100" s="9">
        <f>(G1100-F1100)</f>
        <v>0.0</v>
      </c>
      <c r="I1100" s="9" t="s">
        <v>193</v>
      </c>
      <c r="J1100" s="9" t="s">
        <v>194</v>
      </c>
    </row>
    <row r="1101" spans="1:12" ht="23" customHeight="1">
      <c r="A1101" s="9" t="s">
        <v>172</v>
      </c>
      <c r="B1101" s="6">
        <v>6</v>
      </c>
      <c r="C1101" s="9" t="s">
        <v>163</v>
      </c>
      <c r="D1101" s="6">
        <v>166</v>
      </c>
      <c r="E1101" s="9" t="s">
        <v>176</v>
      </c>
      <c r="F1101" s="11">
        <v>672.8</v>
      </c>
      <c r="G1101" s="8">
        <v>672.8</v>
      </c>
      <c r="H1101" s="9">
        <f>(G1101-F1101)</f>
        <v>0.0</v>
      </c>
      <c r="I1101" s="9" t="s">
        <v>193</v>
      </c>
      <c r="J1101" s="9" t="s">
        <v>194</v>
      </c>
    </row>
    <row r="1102" spans="1:12" ht="23" customHeight="1">
      <c r="A1102" s="9" t="s">
        <v>172</v>
      </c>
      <c r="B1102" s="6">
        <v>6</v>
      </c>
      <c r="C1102" s="9" t="s">
        <v>163</v>
      </c>
      <c r="D1102" s="6">
        <v>166</v>
      </c>
      <c r="E1102" s="9" t="s">
        <v>177</v>
      </c>
      <c r="F1102" s="11">
        <v>672.8</v>
      </c>
      <c r="G1102" s="8">
        <v>672.8</v>
      </c>
      <c r="H1102" s="9">
        <f>(G1102-F1102)</f>
        <v>0.0</v>
      </c>
      <c r="I1102" s="9" t="s">
        <v>193</v>
      </c>
      <c r="J1102" s="9" t="s">
        <v>194</v>
      </c>
    </row>
    <row r="1103" spans="1:12" ht="23" customHeight="1">
      <c r="A1103" s="9" t="s">
        <v>172</v>
      </c>
      <c r="B1103" s="6">
        <v>6</v>
      </c>
      <c r="C1103" s="9" t="s">
        <v>163</v>
      </c>
      <c r="D1103" s="6">
        <v>166</v>
      </c>
      <c r="E1103" s="9" t="s">
        <v>167</v>
      </c>
      <c r="F1103" s="6">
        <v>104936</v>
      </c>
      <c r="G1103" s="7">
        <v>104936</v>
      </c>
      <c r="H1103" s="9">
        <f>(G1103-F1103)</f>
        <v>0.0</v>
      </c>
      <c r="I1103" s="9" t="s">
        <v>193</v>
      </c>
      <c r="J1103" s="9" t="s">
        <v>194</v>
      </c>
    </row>
    <row r="1104" spans="1:12" ht="23" customHeight="1">
      <c r="A1104" s="9" t="s">
        <v>172</v>
      </c>
      <c r="B1104" s="6">
        <v>6</v>
      </c>
      <c r="C1104" s="9" t="s">
        <v>163</v>
      </c>
      <c r="D1104" s="6">
        <v>166</v>
      </c>
      <c r="E1104" s="9" t="s">
        <v>178</v>
      </c>
      <c r="F1104" s="11">
        <v>672.8</v>
      </c>
      <c r="G1104" s="8">
        <v>672.8</v>
      </c>
      <c r="H1104" s="9">
        <f>(G1104-F1104)</f>
        <v>0.0</v>
      </c>
      <c r="I1104" s="9" t="s">
        <v>193</v>
      </c>
      <c r="J1104" s="9" t="s">
        <v>194</v>
      </c>
    </row>
    <row r="1105" spans="1:12" ht="23" customHeight="1">
      <c r="A1105" s="9" t="s">
        <v>172</v>
      </c>
      <c r="B1105" s="6">
        <v>6</v>
      </c>
      <c r="C1105" s="9" t="s">
        <v>163</v>
      </c>
      <c r="D1105" s="6">
        <v>166</v>
      </c>
      <c r="E1105" s="9" t="s">
        <v>179</v>
      </c>
      <c r="F1105" s="11">
        <v>672.8</v>
      </c>
      <c r="G1105" s="8">
        <v>672.8</v>
      </c>
      <c r="H1105" s="9">
        <f>(G1105-F1105)</f>
        <v>0.0</v>
      </c>
      <c r="I1105" s="9" t="s">
        <v>193</v>
      </c>
      <c r="J1105" s="9" t="s">
        <v>194</v>
      </c>
    </row>
    <row r="1106" spans="1:12" ht="23" customHeight="1">
      <c r="A1106" s="9" t="s">
        <v>172</v>
      </c>
      <c r="B1106" s="6">
        <v>6</v>
      </c>
      <c r="C1106" s="9" t="s">
        <v>163</v>
      </c>
      <c r="D1106" s="6">
        <v>166</v>
      </c>
      <c r="E1106" s="9" t="s">
        <v>168</v>
      </c>
      <c r="F1106" s="6">
        <v>104936</v>
      </c>
      <c r="G1106" s="7">
        <v>104936</v>
      </c>
      <c r="H1106" s="9">
        <f>(G1106-F1106)</f>
        <v>0.0</v>
      </c>
      <c r="I1106" s="9" t="s">
        <v>193</v>
      </c>
      <c r="J1106" s="9" t="s">
        <v>194</v>
      </c>
    </row>
    <row r="1107" spans="1:12" ht="23" customHeight="1">
      <c r="A1107" s="9" t="s">
        <v>172</v>
      </c>
      <c r="B1107" s="6">
        <v>6</v>
      </c>
      <c r="C1107" s="9" t="s">
        <v>163</v>
      </c>
      <c r="D1107" s="6">
        <v>166</v>
      </c>
      <c r="E1107" s="9" t="s">
        <v>169</v>
      </c>
      <c r="F1107" s="6">
        <v>104936</v>
      </c>
      <c r="G1107" s="7">
        <v>104936</v>
      </c>
      <c r="H1107" s="9">
        <f>(G1107-F1107)</f>
        <v>0.0</v>
      </c>
      <c r="I1107" s="9" t="s">
        <v>193</v>
      </c>
      <c r="J1107" s="9" t="s">
        <v>194</v>
      </c>
    </row>
    <row r="1108" spans="1:12" ht="24" customHeight="1">
      <c r="A1108" s="3" t="s">
        <v>181</v>
      </c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</row>
    <row r="1109" spans="1:12" ht="36" customHeight="1">
      <c r="A1109" s="4" t="s">
        <v>182</v>
      </c>
      <c r="B1109" s="4" t="s">
        <v>8</v>
      </c>
      <c r="C1109" s="4" t="s">
        <v>183</v>
      </c>
      <c r="D1109" s="4" t="s">
        <v>184</v>
      </c>
      <c r="E1109" s="4" t="s">
        <v>185</v>
      </c>
      <c r="F1109" s="4" t="s">
        <v>186</v>
      </c>
      <c r="G1109" s="4" t="s">
        <v>187</v>
      </c>
      <c r="H1109" s="4" t="s">
        <v>188</v>
      </c>
      <c r="I1109" s="4" t="s">
        <v>189</v>
      </c>
      <c r="J1109" s="4" t="s">
        <v>190</v>
      </c>
    </row>
    <row r="1110" spans="1:12" ht="23" customHeight="1">
      <c r="A1110" s="9" t="s">
        <v>172</v>
      </c>
      <c r="B1110" s="6">
        <v>6</v>
      </c>
      <c r="C1110" s="9" t="s">
        <v>163</v>
      </c>
      <c r="D1110" s="6">
        <v>166</v>
      </c>
      <c r="E1110" s="9" t="s">
        <v>170</v>
      </c>
      <c r="F1110" s="6">
        <v>104936</v>
      </c>
      <c r="G1110" s="7">
        <v>104936</v>
      </c>
      <c r="H1110" s="9">
        <f>(G1110-F1110)</f>
        <v>0.0</v>
      </c>
      <c r="I1110" s="9" t="s">
        <v>193</v>
      </c>
      <c r="J1110" s="9" t="s">
        <v>194</v>
      </c>
    </row>
    <row r="1111" spans="1:12" ht="23" customHeight="1">
      <c r="A1111" s="9" t="s">
        <v>172</v>
      </c>
      <c r="B1111" s="6">
        <v>6</v>
      </c>
      <c r="C1111" s="9" t="s">
        <v>163</v>
      </c>
      <c r="D1111" s="6">
        <v>166</v>
      </c>
      <c r="E1111" s="9" t="s">
        <v>171</v>
      </c>
      <c r="F1111" s="6">
        <v>104936</v>
      </c>
      <c r="G1111" s="7">
        <v>104936</v>
      </c>
      <c r="H1111" s="9">
        <f>(G1111-F1111)</f>
        <v>0.0</v>
      </c>
      <c r="I1111" s="9" t="s">
        <v>193</v>
      </c>
      <c r="J1111" s="9" t="s">
        <v>194</v>
      </c>
    </row>
    <row r="1112" spans="1:12" ht="23" customHeight="1">
      <c r="A1112" s="9" t="s">
        <v>172</v>
      </c>
      <c r="B1112" s="6">
        <v>6</v>
      </c>
      <c r="C1112" s="9" t="s">
        <v>163</v>
      </c>
      <c r="D1112" s="6">
        <v>167</v>
      </c>
      <c r="E1112" s="9" t="s">
        <v>166</v>
      </c>
      <c r="F1112" s="6">
        <v>104936</v>
      </c>
      <c r="G1112" s="7">
        <v>104936</v>
      </c>
      <c r="H1112" s="9">
        <f>(G1112-F1112)</f>
        <v>0.0</v>
      </c>
      <c r="I1112" s="9" t="s">
        <v>193</v>
      </c>
      <c r="J1112" s="9" t="s">
        <v>194</v>
      </c>
    </row>
    <row r="1113" spans="1:12" ht="23" customHeight="1">
      <c r="A1113" s="9" t="s">
        <v>172</v>
      </c>
      <c r="B1113" s="6">
        <v>6</v>
      </c>
      <c r="C1113" s="9" t="s">
        <v>163</v>
      </c>
      <c r="D1113" s="6">
        <v>167</v>
      </c>
      <c r="E1113" s="9" t="s">
        <v>176</v>
      </c>
      <c r="F1113" s="11">
        <v>672.8</v>
      </c>
      <c r="G1113" s="8">
        <v>672.8</v>
      </c>
      <c r="H1113" s="9">
        <f>(G1113-F1113)</f>
        <v>0.0</v>
      </c>
      <c r="I1113" s="9" t="s">
        <v>193</v>
      </c>
      <c r="J1113" s="9" t="s">
        <v>194</v>
      </c>
    </row>
    <row r="1114" spans="1:12" ht="23" customHeight="1">
      <c r="A1114" s="9" t="s">
        <v>172</v>
      </c>
      <c r="B1114" s="6">
        <v>6</v>
      </c>
      <c r="C1114" s="9" t="s">
        <v>163</v>
      </c>
      <c r="D1114" s="6">
        <v>167</v>
      </c>
      <c r="E1114" s="9" t="s">
        <v>177</v>
      </c>
      <c r="F1114" s="11">
        <v>672.8</v>
      </c>
      <c r="G1114" s="8">
        <v>672.8</v>
      </c>
      <c r="H1114" s="9">
        <f>(G1114-F1114)</f>
        <v>0.0</v>
      </c>
      <c r="I1114" s="9" t="s">
        <v>193</v>
      </c>
      <c r="J1114" s="9" t="s">
        <v>194</v>
      </c>
    </row>
    <row r="1115" spans="1:12" ht="23" customHeight="1">
      <c r="A1115" s="9" t="s">
        <v>172</v>
      </c>
      <c r="B1115" s="6">
        <v>6</v>
      </c>
      <c r="C1115" s="9" t="s">
        <v>163</v>
      </c>
      <c r="D1115" s="6">
        <v>167</v>
      </c>
      <c r="E1115" s="9" t="s">
        <v>167</v>
      </c>
      <c r="F1115" s="6">
        <v>104936</v>
      </c>
      <c r="G1115" s="7">
        <v>104936</v>
      </c>
      <c r="H1115" s="9">
        <f>(G1115-F1115)</f>
        <v>0.0</v>
      </c>
      <c r="I1115" s="9" t="s">
        <v>193</v>
      </c>
      <c r="J1115" s="9" t="s">
        <v>194</v>
      </c>
    </row>
    <row r="1116" spans="1:12" ht="23" customHeight="1">
      <c r="A1116" s="9" t="s">
        <v>172</v>
      </c>
      <c r="B1116" s="6">
        <v>6</v>
      </c>
      <c r="C1116" s="9" t="s">
        <v>163</v>
      </c>
      <c r="D1116" s="6">
        <v>167</v>
      </c>
      <c r="E1116" s="9" t="s">
        <v>178</v>
      </c>
      <c r="F1116" s="11">
        <v>672.8</v>
      </c>
      <c r="G1116" s="8">
        <v>672.8</v>
      </c>
      <c r="H1116" s="9">
        <f>(G1116-F1116)</f>
        <v>0.0</v>
      </c>
      <c r="I1116" s="9" t="s">
        <v>193</v>
      </c>
      <c r="J1116" s="9" t="s">
        <v>194</v>
      </c>
    </row>
    <row r="1117" spans="1:12" ht="23" customHeight="1">
      <c r="A1117" s="9" t="s">
        <v>172</v>
      </c>
      <c r="B1117" s="6">
        <v>6</v>
      </c>
      <c r="C1117" s="9" t="s">
        <v>163</v>
      </c>
      <c r="D1117" s="6">
        <v>167</v>
      </c>
      <c r="E1117" s="9" t="s">
        <v>179</v>
      </c>
      <c r="F1117" s="11">
        <v>672.8</v>
      </c>
      <c r="G1117" s="8">
        <v>672.8</v>
      </c>
      <c r="H1117" s="9">
        <f>(G1117-F1117)</f>
        <v>0.0</v>
      </c>
      <c r="I1117" s="9" t="s">
        <v>193</v>
      </c>
      <c r="J1117" s="9" t="s">
        <v>194</v>
      </c>
    </row>
    <row r="1118" spans="1:12" ht="23" customHeight="1">
      <c r="A1118" s="9" t="s">
        <v>172</v>
      </c>
      <c r="B1118" s="6">
        <v>6</v>
      </c>
      <c r="C1118" s="9" t="s">
        <v>163</v>
      </c>
      <c r="D1118" s="6">
        <v>167</v>
      </c>
      <c r="E1118" s="9" t="s">
        <v>168</v>
      </c>
      <c r="F1118" s="6">
        <v>104936</v>
      </c>
      <c r="G1118" s="7">
        <v>104936</v>
      </c>
      <c r="H1118" s="9">
        <f>(G1118-F1118)</f>
        <v>0.0</v>
      </c>
      <c r="I1118" s="9" t="s">
        <v>193</v>
      </c>
      <c r="J1118" s="9" t="s">
        <v>194</v>
      </c>
    </row>
    <row r="1119" spans="1:12" ht="23" customHeight="1">
      <c r="A1119" s="9" t="s">
        <v>172</v>
      </c>
      <c r="B1119" s="6">
        <v>6</v>
      </c>
      <c r="C1119" s="9" t="s">
        <v>163</v>
      </c>
      <c r="D1119" s="6">
        <v>167</v>
      </c>
      <c r="E1119" s="9" t="s">
        <v>169</v>
      </c>
      <c r="F1119" s="6">
        <v>104936</v>
      </c>
      <c r="G1119" s="7">
        <v>104936</v>
      </c>
      <c r="H1119" s="9">
        <f>(G1119-F1119)</f>
        <v>0.0</v>
      </c>
      <c r="I1119" s="9" t="s">
        <v>193</v>
      </c>
      <c r="J1119" s="9" t="s">
        <v>194</v>
      </c>
    </row>
    <row r="1120" spans="1:12" ht="23" customHeight="1">
      <c r="A1120" s="9" t="s">
        <v>172</v>
      </c>
      <c r="B1120" s="6">
        <v>6</v>
      </c>
      <c r="C1120" s="9" t="s">
        <v>163</v>
      </c>
      <c r="D1120" s="6">
        <v>167</v>
      </c>
      <c r="E1120" s="9" t="s">
        <v>170</v>
      </c>
      <c r="F1120" s="6">
        <v>104936</v>
      </c>
      <c r="G1120" s="7">
        <v>104936</v>
      </c>
      <c r="H1120" s="9">
        <f>(G1120-F1120)</f>
        <v>0.0</v>
      </c>
      <c r="I1120" s="9" t="s">
        <v>193</v>
      </c>
      <c r="J1120" s="9" t="s">
        <v>194</v>
      </c>
    </row>
    <row r="1121" spans="1:12" ht="23" customHeight="1">
      <c r="A1121" s="9" t="s">
        <v>172</v>
      </c>
      <c r="B1121" s="6">
        <v>6</v>
      </c>
      <c r="C1121" s="9" t="s">
        <v>163</v>
      </c>
      <c r="D1121" s="6">
        <v>167</v>
      </c>
      <c r="E1121" s="9" t="s">
        <v>171</v>
      </c>
      <c r="F1121" s="6">
        <v>104936</v>
      </c>
      <c r="G1121" s="7">
        <v>104936</v>
      </c>
      <c r="H1121" s="9">
        <f>(G1121-F1121)</f>
        <v>0.0</v>
      </c>
      <c r="I1121" s="9" t="s">
        <v>193</v>
      </c>
      <c r="J1121" s="9" t="s">
        <v>194</v>
      </c>
    </row>
    <row r="1122" spans="1:12" ht="23" customHeight="1">
      <c r="A1122" s="9" t="s">
        <v>172</v>
      </c>
      <c r="B1122" s="6">
        <v>6</v>
      </c>
      <c r="C1122" s="9" t="s">
        <v>163</v>
      </c>
      <c r="D1122" s="6">
        <v>168</v>
      </c>
      <c r="E1122" s="9" t="s">
        <v>166</v>
      </c>
      <c r="F1122" s="6">
        <v>104936</v>
      </c>
      <c r="G1122" s="7">
        <v>104936</v>
      </c>
      <c r="H1122" s="9">
        <f>(G1122-F1122)</f>
        <v>0.0</v>
      </c>
      <c r="I1122" s="9" t="s">
        <v>193</v>
      </c>
      <c r="J1122" s="9" t="s">
        <v>194</v>
      </c>
    </row>
    <row r="1123" spans="1:12" ht="23" customHeight="1">
      <c r="A1123" s="9" t="s">
        <v>172</v>
      </c>
      <c r="B1123" s="6">
        <v>6</v>
      </c>
      <c r="C1123" s="9" t="s">
        <v>163</v>
      </c>
      <c r="D1123" s="6">
        <v>168</v>
      </c>
      <c r="E1123" s="9" t="s">
        <v>176</v>
      </c>
      <c r="F1123" s="11">
        <v>672.8</v>
      </c>
      <c r="G1123" s="8">
        <v>672.8</v>
      </c>
      <c r="H1123" s="9">
        <f>(G1123-F1123)</f>
        <v>0.0</v>
      </c>
      <c r="I1123" s="9" t="s">
        <v>193</v>
      </c>
      <c r="J1123" s="9" t="s">
        <v>194</v>
      </c>
    </row>
    <row r="1124" spans="1:12" ht="23" customHeight="1">
      <c r="A1124" s="9" t="s">
        <v>172</v>
      </c>
      <c r="B1124" s="6">
        <v>6</v>
      </c>
      <c r="C1124" s="9" t="s">
        <v>163</v>
      </c>
      <c r="D1124" s="6">
        <v>168</v>
      </c>
      <c r="E1124" s="9" t="s">
        <v>177</v>
      </c>
      <c r="F1124" s="11">
        <v>672.8</v>
      </c>
      <c r="G1124" s="8">
        <v>672.8</v>
      </c>
      <c r="H1124" s="9">
        <f>(G1124-F1124)</f>
        <v>0.0</v>
      </c>
      <c r="I1124" s="9" t="s">
        <v>193</v>
      </c>
      <c r="J1124" s="9" t="s">
        <v>194</v>
      </c>
    </row>
    <row r="1125" spans="1:12" ht="24" customHeight="1">
      <c r="A1125" s="3" t="s">
        <v>181</v>
      </c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</row>
    <row r="1126" spans="1:12" ht="36" customHeight="1">
      <c r="A1126" s="4" t="s">
        <v>182</v>
      </c>
      <c r="B1126" s="4" t="s">
        <v>8</v>
      </c>
      <c r="C1126" s="4" t="s">
        <v>183</v>
      </c>
      <c r="D1126" s="4" t="s">
        <v>184</v>
      </c>
      <c r="E1126" s="4" t="s">
        <v>185</v>
      </c>
      <c r="F1126" s="4" t="s">
        <v>186</v>
      </c>
      <c r="G1126" s="4" t="s">
        <v>187</v>
      </c>
      <c r="H1126" s="4" t="s">
        <v>188</v>
      </c>
      <c r="I1126" s="4" t="s">
        <v>189</v>
      </c>
      <c r="J1126" s="4" t="s">
        <v>190</v>
      </c>
    </row>
    <row r="1127" spans="1:12" ht="23" customHeight="1">
      <c r="A1127" s="9" t="s">
        <v>172</v>
      </c>
      <c r="B1127" s="6">
        <v>6</v>
      </c>
      <c r="C1127" s="9" t="s">
        <v>163</v>
      </c>
      <c r="D1127" s="6">
        <v>168</v>
      </c>
      <c r="E1127" s="9" t="s">
        <v>167</v>
      </c>
      <c r="F1127" s="6">
        <v>104936</v>
      </c>
      <c r="G1127" s="7">
        <v>104936</v>
      </c>
      <c r="H1127" s="9">
        <f>(G1127-F1127)</f>
        <v>0.0</v>
      </c>
      <c r="I1127" s="9" t="s">
        <v>193</v>
      </c>
      <c r="J1127" s="9" t="s">
        <v>194</v>
      </c>
    </row>
    <row r="1128" spans="1:12" ht="23" customHeight="1">
      <c r="A1128" s="9" t="s">
        <v>172</v>
      </c>
      <c r="B1128" s="6">
        <v>6</v>
      </c>
      <c r="C1128" s="9" t="s">
        <v>163</v>
      </c>
      <c r="D1128" s="6">
        <v>168</v>
      </c>
      <c r="E1128" s="9" t="s">
        <v>178</v>
      </c>
      <c r="F1128" s="11">
        <v>672.8</v>
      </c>
      <c r="G1128" s="8">
        <v>672.8</v>
      </c>
      <c r="H1128" s="9">
        <f>(G1128-F1128)</f>
        <v>0.0</v>
      </c>
      <c r="I1128" s="9" t="s">
        <v>193</v>
      </c>
      <c r="J1128" s="9" t="s">
        <v>194</v>
      </c>
    </row>
    <row r="1129" spans="1:12" ht="23" customHeight="1">
      <c r="A1129" s="9" t="s">
        <v>172</v>
      </c>
      <c r="B1129" s="6">
        <v>6</v>
      </c>
      <c r="C1129" s="9" t="s">
        <v>163</v>
      </c>
      <c r="D1129" s="6">
        <v>168</v>
      </c>
      <c r="E1129" s="9" t="s">
        <v>179</v>
      </c>
      <c r="F1129" s="11">
        <v>672.8</v>
      </c>
      <c r="G1129" s="8">
        <v>672.8</v>
      </c>
      <c r="H1129" s="9">
        <f>(G1129-F1129)</f>
        <v>0.0</v>
      </c>
      <c r="I1129" s="9" t="s">
        <v>193</v>
      </c>
      <c r="J1129" s="9" t="s">
        <v>194</v>
      </c>
    </row>
    <row r="1130" spans="1:12" ht="23" customHeight="1">
      <c r="A1130" s="9" t="s">
        <v>172</v>
      </c>
      <c r="B1130" s="6">
        <v>6</v>
      </c>
      <c r="C1130" s="9" t="s">
        <v>163</v>
      </c>
      <c r="D1130" s="6">
        <v>168</v>
      </c>
      <c r="E1130" s="9" t="s">
        <v>168</v>
      </c>
      <c r="F1130" s="6">
        <v>104936</v>
      </c>
      <c r="G1130" s="7">
        <v>104936</v>
      </c>
      <c r="H1130" s="9">
        <f>(G1130-F1130)</f>
        <v>0.0</v>
      </c>
      <c r="I1130" s="9" t="s">
        <v>193</v>
      </c>
      <c r="J1130" s="9" t="s">
        <v>194</v>
      </c>
    </row>
    <row r="1131" spans="1:12" ht="23" customHeight="1">
      <c r="A1131" s="9" t="s">
        <v>172</v>
      </c>
      <c r="B1131" s="6">
        <v>6</v>
      </c>
      <c r="C1131" s="9" t="s">
        <v>163</v>
      </c>
      <c r="D1131" s="6">
        <v>168</v>
      </c>
      <c r="E1131" s="9" t="s">
        <v>169</v>
      </c>
      <c r="F1131" s="6">
        <v>104936</v>
      </c>
      <c r="G1131" s="7">
        <v>104936</v>
      </c>
      <c r="H1131" s="9">
        <f>(G1131-F1131)</f>
        <v>0.0</v>
      </c>
      <c r="I1131" s="9" t="s">
        <v>193</v>
      </c>
      <c r="J1131" s="9" t="s">
        <v>194</v>
      </c>
    </row>
    <row r="1132" spans="1:12" ht="23" customHeight="1">
      <c r="A1132" s="9" t="s">
        <v>172</v>
      </c>
      <c r="B1132" s="6">
        <v>6</v>
      </c>
      <c r="C1132" s="9" t="s">
        <v>163</v>
      </c>
      <c r="D1132" s="6">
        <v>168</v>
      </c>
      <c r="E1132" s="9" t="s">
        <v>170</v>
      </c>
      <c r="F1132" s="6">
        <v>104936</v>
      </c>
      <c r="G1132" s="7">
        <v>104936</v>
      </c>
      <c r="H1132" s="9">
        <f>(G1132-F1132)</f>
        <v>0.0</v>
      </c>
      <c r="I1132" s="9" t="s">
        <v>193</v>
      </c>
      <c r="J1132" s="9" t="s">
        <v>194</v>
      </c>
    </row>
    <row r="1133" spans="1:12" ht="23" customHeight="1">
      <c r="A1133" s="9" t="s">
        <v>172</v>
      </c>
      <c r="B1133" s="6">
        <v>6</v>
      </c>
      <c r="C1133" s="9" t="s">
        <v>163</v>
      </c>
      <c r="D1133" s="6">
        <v>168</v>
      </c>
      <c r="E1133" s="9" t="s">
        <v>171</v>
      </c>
      <c r="F1133" s="6">
        <v>104936</v>
      </c>
      <c r="G1133" s="7">
        <v>104936</v>
      </c>
      <c r="H1133" s="9">
        <f>(G1133-F1133)</f>
        <v>0.0</v>
      </c>
      <c r="I1133" s="9" t="s">
        <v>193</v>
      </c>
      <c r="J1133" s="9" t="s">
        <v>194</v>
      </c>
    </row>
    <row r="1134" spans="1:12" ht="23" customHeight="1">
      <c r="A1134" s="9" t="s">
        <v>172</v>
      </c>
      <c r="B1134" s="6">
        <v>6</v>
      </c>
      <c r="C1134" s="9" t="s">
        <v>163</v>
      </c>
      <c r="D1134" s="6">
        <v>169</v>
      </c>
      <c r="E1134" s="9" t="s">
        <v>166</v>
      </c>
      <c r="F1134" s="6">
        <v>104936</v>
      </c>
      <c r="G1134" s="7">
        <v>104936</v>
      </c>
      <c r="H1134" s="9">
        <f>(G1134-F1134)</f>
        <v>0.0</v>
      </c>
      <c r="I1134" s="9" t="s">
        <v>193</v>
      </c>
      <c r="J1134" s="9" t="s">
        <v>194</v>
      </c>
    </row>
    <row r="1135" spans="1:12" ht="23" customHeight="1">
      <c r="A1135" s="9" t="s">
        <v>172</v>
      </c>
      <c r="B1135" s="6">
        <v>6</v>
      </c>
      <c r="C1135" s="9" t="s">
        <v>163</v>
      </c>
      <c r="D1135" s="6">
        <v>169</v>
      </c>
      <c r="E1135" s="9" t="s">
        <v>176</v>
      </c>
      <c r="F1135" s="11">
        <v>672.8</v>
      </c>
      <c r="G1135" s="8">
        <v>672.8</v>
      </c>
      <c r="H1135" s="9">
        <f>(G1135-F1135)</f>
        <v>0.0</v>
      </c>
      <c r="I1135" s="9" t="s">
        <v>193</v>
      </c>
      <c r="J1135" s="9" t="s">
        <v>194</v>
      </c>
    </row>
    <row r="1136" spans="1:12" ht="23" customHeight="1">
      <c r="A1136" s="9" t="s">
        <v>172</v>
      </c>
      <c r="B1136" s="6">
        <v>6</v>
      </c>
      <c r="C1136" s="9" t="s">
        <v>163</v>
      </c>
      <c r="D1136" s="6">
        <v>169</v>
      </c>
      <c r="E1136" s="9" t="s">
        <v>177</v>
      </c>
      <c r="F1136" s="11">
        <v>672.8</v>
      </c>
      <c r="G1136" s="8">
        <v>672.8</v>
      </c>
      <c r="H1136" s="9">
        <f>(G1136-F1136)</f>
        <v>0.0</v>
      </c>
      <c r="I1136" s="9" t="s">
        <v>193</v>
      </c>
      <c r="J1136" s="9" t="s">
        <v>194</v>
      </c>
    </row>
    <row r="1137" spans="1:12" ht="23" customHeight="1">
      <c r="A1137" s="9" t="s">
        <v>172</v>
      </c>
      <c r="B1137" s="6">
        <v>6</v>
      </c>
      <c r="C1137" s="9" t="s">
        <v>163</v>
      </c>
      <c r="D1137" s="6">
        <v>169</v>
      </c>
      <c r="E1137" s="9" t="s">
        <v>167</v>
      </c>
      <c r="F1137" s="6">
        <v>104936</v>
      </c>
      <c r="G1137" s="7">
        <v>104936</v>
      </c>
      <c r="H1137" s="9">
        <f>(G1137-F1137)</f>
        <v>0.0</v>
      </c>
      <c r="I1137" s="9" t="s">
        <v>193</v>
      </c>
      <c r="J1137" s="9" t="s">
        <v>194</v>
      </c>
    </row>
    <row r="1138" spans="1:12" ht="23" customHeight="1">
      <c r="A1138" s="9" t="s">
        <v>172</v>
      </c>
      <c r="B1138" s="6">
        <v>6</v>
      </c>
      <c r="C1138" s="9" t="s">
        <v>163</v>
      </c>
      <c r="D1138" s="6">
        <v>169</v>
      </c>
      <c r="E1138" s="9" t="s">
        <v>178</v>
      </c>
      <c r="F1138" s="11">
        <v>672.8</v>
      </c>
      <c r="G1138" s="8">
        <v>672.8</v>
      </c>
      <c r="H1138" s="9">
        <f>(G1138-F1138)</f>
        <v>0.0</v>
      </c>
      <c r="I1138" s="9" t="s">
        <v>193</v>
      </c>
      <c r="J1138" s="9" t="s">
        <v>194</v>
      </c>
    </row>
    <row r="1139" spans="1:12" ht="23" customHeight="1">
      <c r="A1139" s="9" t="s">
        <v>172</v>
      </c>
      <c r="B1139" s="6">
        <v>6</v>
      </c>
      <c r="C1139" s="9" t="s">
        <v>163</v>
      </c>
      <c r="D1139" s="6">
        <v>169</v>
      </c>
      <c r="E1139" s="9" t="s">
        <v>179</v>
      </c>
      <c r="F1139" s="11">
        <v>672.8</v>
      </c>
      <c r="G1139" s="8">
        <v>672.8</v>
      </c>
      <c r="H1139" s="9">
        <f>(G1139-F1139)</f>
        <v>0.0</v>
      </c>
      <c r="I1139" s="9" t="s">
        <v>193</v>
      </c>
      <c r="J1139" s="9" t="s">
        <v>194</v>
      </c>
    </row>
    <row r="1140" spans="1:12" ht="23" customHeight="1">
      <c r="A1140" s="9" t="s">
        <v>172</v>
      </c>
      <c r="B1140" s="6">
        <v>6</v>
      </c>
      <c r="C1140" s="9" t="s">
        <v>163</v>
      </c>
      <c r="D1140" s="6">
        <v>169</v>
      </c>
      <c r="E1140" s="9" t="s">
        <v>168</v>
      </c>
      <c r="F1140" s="6">
        <v>104936</v>
      </c>
      <c r="G1140" s="7">
        <v>104936</v>
      </c>
      <c r="H1140" s="9">
        <f>(G1140-F1140)</f>
        <v>0.0</v>
      </c>
      <c r="I1140" s="9" t="s">
        <v>193</v>
      </c>
      <c r="J1140" s="9" t="s">
        <v>194</v>
      </c>
    </row>
    <row r="1141" spans="1:12" ht="23" customHeight="1">
      <c r="A1141" s="9" t="s">
        <v>172</v>
      </c>
      <c r="B1141" s="6">
        <v>6</v>
      </c>
      <c r="C1141" s="9" t="s">
        <v>163</v>
      </c>
      <c r="D1141" s="6">
        <v>169</v>
      </c>
      <c r="E1141" s="9" t="s">
        <v>169</v>
      </c>
      <c r="F1141" s="6">
        <v>104936</v>
      </c>
      <c r="G1141" s="7">
        <v>104936</v>
      </c>
      <c r="H1141" s="9">
        <f>(G1141-F1141)</f>
        <v>0.0</v>
      </c>
      <c r="I1141" s="9" t="s">
        <v>193</v>
      </c>
      <c r="J1141" s="9" t="s">
        <v>194</v>
      </c>
    </row>
    <row r="1142" spans="1:12" ht="24" customHeight="1">
      <c r="A1142" s="3" t="s">
        <v>181</v>
      </c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</row>
    <row r="1143" spans="1:12" ht="36" customHeight="1">
      <c r="A1143" s="4" t="s">
        <v>182</v>
      </c>
      <c r="B1143" s="4" t="s">
        <v>8</v>
      </c>
      <c r="C1143" s="4" t="s">
        <v>183</v>
      </c>
      <c r="D1143" s="4" t="s">
        <v>184</v>
      </c>
      <c r="E1143" s="4" t="s">
        <v>185</v>
      </c>
      <c r="F1143" s="4" t="s">
        <v>186</v>
      </c>
      <c r="G1143" s="4" t="s">
        <v>187</v>
      </c>
      <c r="H1143" s="4" t="s">
        <v>188</v>
      </c>
      <c r="I1143" s="4" t="s">
        <v>189</v>
      </c>
      <c r="J1143" s="4" t="s">
        <v>190</v>
      </c>
    </row>
    <row r="1144" spans="1:12" ht="23" customHeight="1">
      <c r="A1144" s="9" t="s">
        <v>172</v>
      </c>
      <c r="B1144" s="6">
        <v>6</v>
      </c>
      <c r="C1144" s="9" t="s">
        <v>163</v>
      </c>
      <c r="D1144" s="6">
        <v>169</v>
      </c>
      <c r="E1144" s="9" t="s">
        <v>170</v>
      </c>
      <c r="F1144" s="6">
        <v>104936</v>
      </c>
      <c r="G1144" s="7">
        <v>104936</v>
      </c>
      <c r="H1144" s="9">
        <f>(G1144-F1144)</f>
        <v>0.0</v>
      </c>
      <c r="I1144" s="9" t="s">
        <v>193</v>
      </c>
      <c r="J1144" s="9" t="s">
        <v>194</v>
      </c>
    </row>
    <row r="1145" spans="1:12" ht="23" customHeight="1">
      <c r="A1145" s="9" t="s">
        <v>172</v>
      </c>
      <c r="B1145" s="6">
        <v>6</v>
      </c>
      <c r="C1145" s="9" t="s">
        <v>163</v>
      </c>
      <c r="D1145" s="6">
        <v>169</v>
      </c>
      <c r="E1145" s="9" t="s">
        <v>171</v>
      </c>
      <c r="F1145" s="6">
        <v>104936</v>
      </c>
      <c r="G1145" s="7">
        <v>104936</v>
      </c>
      <c r="H1145" s="9">
        <f>(G1145-F1145)</f>
        <v>0.0</v>
      </c>
      <c r="I1145" s="9" t="s">
        <v>193</v>
      </c>
      <c r="J1145" s="9" t="s">
        <v>194</v>
      </c>
    </row>
    <row r="1146" spans="1:12" ht="23" customHeight="1">
      <c r="A1146" s="9" t="s">
        <v>172</v>
      </c>
      <c r="B1146" s="6">
        <v>6</v>
      </c>
      <c r="C1146" s="9" t="s">
        <v>163</v>
      </c>
      <c r="D1146" s="6">
        <v>170</v>
      </c>
      <c r="E1146" s="9" t="s">
        <v>166</v>
      </c>
      <c r="F1146" s="6">
        <v>104936</v>
      </c>
      <c r="G1146" s="7">
        <v>104936</v>
      </c>
      <c r="H1146" s="9">
        <f>(G1146-F1146)</f>
        <v>0.0</v>
      </c>
      <c r="I1146" s="9" t="s">
        <v>193</v>
      </c>
      <c r="J1146" s="9" t="s">
        <v>194</v>
      </c>
    </row>
    <row r="1147" spans="1:12" ht="23" customHeight="1">
      <c r="A1147" s="9" t="s">
        <v>172</v>
      </c>
      <c r="B1147" s="6">
        <v>6</v>
      </c>
      <c r="C1147" s="9" t="s">
        <v>163</v>
      </c>
      <c r="D1147" s="6">
        <v>170</v>
      </c>
      <c r="E1147" s="9" t="s">
        <v>176</v>
      </c>
      <c r="F1147" s="11">
        <v>672.8</v>
      </c>
      <c r="G1147" s="8">
        <v>672.8</v>
      </c>
      <c r="H1147" s="9">
        <f>(G1147-F1147)</f>
        <v>0.0</v>
      </c>
      <c r="I1147" s="9" t="s">
        <v>193</v>
      </c>
      <c r="J1147" s="9" t="s">
        <v>194</v>
      </c>
    </row>
    <row r="1148" spans="1:12" ht="23" customHeight="1">
      <c r="A1148" s="9" t="s">
        <v>172</v>
      </c>
      <c r="B1148" s="6">
        <v>6</v>
      </c>
      <c r="C1148" s="9" t="s">
        <v>163</v>
      </c>
      <c r="D1148" s="6">
        <v>170</v>
      </c>
      <c r="E1148" s="9" t="s">
        <v>177</v>
      </c>
      <c r="F1148" s="11">
        <v>672.8</v>
      </c>
      <c r="G1148" s="8">
        <v>672.8</v>
      </c>
      <c r="H1148" s="9">
        <f>(G1148-F1148)</f>
        <v>0.0</v>
      </c>
      <c r="I1148" s="9" t="s">
        <v>193</v>
      </c>
      <c r="J1148" s="9" t="s">
        <v>194</v>
      </c>
    </row>
    <row r="1149" spans="1:12" ht="23" customHeight="1">
      <c r="A1149" s="9" t="s">
        <v>172</v>
      </c>
      <c r="B1149" s="6">
        <v>6</v>
      </c>
      <c r="C1149" s="9" t="s">
        <v>163</v>
      </c>
      <c r="D1149" s="6">
        <v>170</v>
      </c>
      <c r="E1149" s="9" t="s">
        <v>167</v>
      </c>
      <c r="F1149" s="6">
        <v>104936</v>
      </c>
      <c r="G1149" s="7">
        <v>104936</v>
      </c>
      <c r="H1149" s="9">
        <f>(G1149-F1149)</f>
        <v>0.0</v>
      </c>
      <c r="I1149" s="9" t="s">
        <v>193</v>
      </c>
      <c r="J1149" s="9" t="s">
        <v>194</v>
      </c>
    </row>
    <row r="1150" spans="1:12" ht="23" customHeight="1">
      <c r="A1150" s="9" t="s">
        <v>172</v>
      </c>
      <c r="B1150" s="6">
        <v>6</v>
      </c>
      <c r="C1150" s="9" t="s">
        <v>163</v>
      </c>
      <c r="D1150" s="6">
        <v>170</v>
      </c>
      <c r="E1150" s="9" t="s">
        <v>178</v>
      </c>
      <c r="F1150" s="11">
        <v>672.8</v>
      </c>
      <c r="G1150" s="8">
        <v>672.8</v>
      </c>
      <c r="H1150" s="9">
        <f>(G1150-F1150)</f>
        <v>0.0</v>
      </c>
      <c r="I1150" s="9" t="s">
        <v>193</v>
      </c>
      <c r="J1150" s="9" t="s">
        <v>194</v>
      </c>
    </row>
    <row r="1151" spans="1:12" ht="23" customHeight="1">
      <c r="A1151" s="9" t="s">
        <v>172</v>
      </c>
      <c r="B1151" s="6">
        <v>6</v>
      </c>
      <c r="C1151" s="9" t="s">
        <v>163</v>
      </c>
      <c r="D1151" s="6">
        <v>170</v>
      </c>
      <c r="E1151" s="9" t="s">
        <v>179</v>
      </c>
      <c r="F1151" s="11">
        <v>672.8</v>
      </c>
      <c r="G1151" s="8">
        <v>672.8</v>
      </c>
      <c r="H1151" s="9">
        <f>(G1151-F1151)</f>
        <v>0.0</v>
      </c>
      <c r="I1151" s="9" t="s">
        <v>193</v>
      </c>
      <c r="J1151" s="9" t="s">
        <v>194</v>
      </c>
    </row>
    <row r="1152" spans="1:12" ht="23" customHeight="1">
      <c r="A1152" s="9" t="s">
        <v>172</v>
      </c>
      <c r="B1152" s="6">
        <v>6</v>
      </c>
      <c r="C1152" s="9" t="s">
        <v>163</v>
      </c>
      <c r="D1152" s="6">
        <v>170</v>
      </c>
      <c r="E1152" s="9" t="s">
        <v>168</v>
      </c>
      <c r="F1152" s="6">
        <v>104936</v>
      </c>
      <c r="G1152" s="7">
        <v>104936</v>
      </c>
      <c r="H1152" s="9">
        <f>(G1152-F1152)</f>
        <v>0.0</v>
      </c>
      <c r="I1152" s="9" t="s">
        <v>193</v>
      </c>
      <c r="J1152" s="9" t="s">
        <v>194</v>
      </c>
    </row>
    <row r="1153" spans="1:12" ht="23" customHeight="1">
      <c r="A1153" s="9" t="s">
        <v>172</v>
      </c>
      <c r="B1153" s="6">
        <v>6</v>
      </c>
      <c r="C1153" s="9" t="s">
        <v>163</v>
      </c>
      <c r="D1153" s="6">
        <v>170</v>
      </c>
      <c r="E1153" s="9" t="s">
        <v>169</v>
      </c>
      <c r="F1153" s="6">
        <v>104936</v>
      </c>
      <c r="G1153" s="7">
        <v>104936</v>
      </c>
      <c r="H1153" s="9">
        <f>(G1153-F1153)</f>
        <v>0.0</v>
      </c>
      <c r="I1153" s="9" t="s">
        <v>193</v>
      </c>
      <c r="J1153" s="9" t="s">
        <v>194</v>
      </c>
    </row>
    <row r="1154" spans="1:12" ht="23" customHeight="1">
      <c r="A1154" s="9" t="s">
        <v>172</v>
      </c>
      <c r="B1154" s="6">
        <v>6</v>
      </c>
      <c r="C1154" s="9" t="s">
        <v>163</v>
      </c>
      <c r="D1154" s="6">
        <v>170</v>
      </c>
      <c r="E1154" s="9" t="s">
        <v>170</v>
      </c>
      <c r="F1154" s="6">
        <v>104936</v>
      </c>
      <c r="G1154" s="7">
        <v>104936</v>
      </c>
      <c r="H1154" s="9">
        <f>(G1154-F1154)</f>
        <v>0.0</v>
      </c>
      <c r="I1154" s="9" t="s">
        <v>193</v>
      </c>
      <c r="J1154" s="9" t="s">
        <v>194</v>
      </c>
    </row>
    <row r="1155" spans="1:12" ht="23" customHeight="1">
      <c r="A1155" s="9" t="s">
        <v>172</v>
      </c>
      <c r="B1155" s="6">
        <v>6</v>
      </c>
      <c r="C1155" s="9" t="s">
        <v>163</v>
      </c>
      <c r="D1155" s="6">
        <v>170</v>
      </c>
      <c r="E1155" s="9" t="s">
        <v>171</v>
      </c>
      <c r="F1155" s="6">
        <v>104936</v>
      </c>
      <c r="G1155" s="7">
        <v>104936</v>
      </c>
      <c r="H1155" s="9">
        <f>(G1155-F1155)</f>
        <v>0.0</v>
      </c>
      <c r="I1155" s="9" t="s">
        <v>193</v>
      </c>
      <c r="J1155" s="9" t="s">
        <v>194</v>
      </c>
    </row>
    <row r="1156" spans="1:12" ht="23" customHeight="1">
      <c r="A1156" s="9" t="s">
        <v>172</v>
      </c>
      <c r="B1156" s="6">
        <v>6</v>
      </c>
      <c r="C1156" s="9" t="s">
        <v>163</v>
      </c>
      <c r="D1156" s="6">
        <v>171</v>
      </c>
      <c r="E1156" s="9" t="s">
        <v>166</v>
      </c>
      <c r="F1156" s="6">
        <v>36324</v>
      </c>
      <c r="G1156" s="7">
        <v>36324</v>
      </c>
      <c r="H1156" s="9">
        <f>(G1156-F1156)</f>
        <v>0.0</v>
      </c>
      <c r="I1156" s="9" t="s">
        <v>193</v>
      </c>
      <c r="J1156" s="9" t="s">
        <v>194</v>
      </c>
    </row>
    <row r="1157" spans="1:12" ht="23" customHeight="1">
      <c r="A1157" s="9" t="s">
        <v>172</v>
      </c>
      <c r="B1157" s="6">
        <v>6</v>
      </c>
      <c r="C1157" s="9" t="s">
        <v>163</v>
      </c>
      <c r="D1157" s="6">
        <v>171</v>
      </c>
      <c r="E1157" s="9" t="s">
        <v>176</v>
      </c>
      <c r="F1157" s="11">
        <v>232.9</v>
      </c>
      <c r="G1157" s="8">
        <v>232.9</v>
      </c>
      <c r="H1157" s="9">
        <f>(G1157-F1157)</f>
        <v>0.0</v>
      </c>
      <c r="I1157" s="9" t="s">
        <v>193</v>
      </c>
      <c r="J1157" s="9" t="s">
        <v>194</v>
      </c>
    </row>
    <row r="1158" spans="1:12" ht="23" customHeight="1">
      <c r="A1158" s="9" t="s">
        <v>172</v>
      </c>
      <c r="B1158" s="6">
        <v>6</v>
      </c>
      <c r="C1158" s="9" t="s">
        <v>163</v>
      </c>
      <c r="D1158" s="6">
        <v>171</v>
      </c>
      <c r="E1158" s="9" t="s">
        <v>177</v>
      </c>
      <c r="F1158" s="11">
        <v>232.9</v>
      </c>
      <c r="G1158" s="8">
        <v>232.9</v>
      </c>
      <c r="H1158" s="9">
        <f>(G1158-F1158)</f>
        <v>0.0</v>
      </c>
      <c r="I1158" s="9" t="s">
        <v>193</v>
      </c>
      <c r="J1158" s="9" t="s">
        <v>194</v>
      </c>
    </row>
    <row r="1159" spans="1:12" ht="24" customHeight="1">
      <c r="A1159" s="3" t="s">
        <v>181</v>
      </c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</row>
    <row r="1160" spans="1:12" ht="36" customHeight="1">
      <c r="A1160" s="4" t="s">
        <v>182</v>
      </c>
      <c r="B1160" s="4" t="s">
        <v>8</v>
      </c>
      <c r="C1160" s="4" t="s">
        <v>183</v>
      </c>
      <c r="D1160" s="4" t="s">
        <v>184</v>
      </c>
      <c r="E1160" s="4" t="s">
        <v>185</v>
      </c>
      <c r="F1160" s="4" t="s">
        <v>186</v>
      </c>
      <c r="G1160" s="4" t="s">
        <v>187</v>
      </c>
      <c r="H1160" s="4" t="s">
        <v>188</v>
      </c>
      <c r="I1160" s="4" t="s">
        <v>189</v>
      </c>
      <c r="J1160" s="4" t="s">
        <v>190</v>
      </c>
    </row>
    <row r="1161" spans="1:12" ht="23" customHeight="1">
      <c r="A1161" s="9" t="s">
        <v>172</v>
      </c>
      <c r="B1161" s="6">
        <v>6</v>
      </c>
      <c r="C1161" s="9" t="s">
        <v>163</v>
      </c>
      <c r="D1161" s="6">
        <v>171</v>
      </c>
      <c r="E1161" s="9" t="s">
        <v>167</v>
      </c>
      <c r="F1161" s="6">
        <v>36324</v>
      </c>
      <c r="G1161" s="7">
        <v>36324</v>
      </c>
      <c r="H1161" s="9">
        <f>(G1161-F1161)</f>
        <v>0.0</v>
      </c>
      <c r="I1161" s="9" t="s">
        <v>193</v>
      </c>
      <c r="J1161" s="9" t="s">
        <v>194</v>
      </c>
    </row>
    <row r="1162" spans="1:12" ht="23" customHeight="1">
      <c r="A1162" s="9" t="s">
        <v>172</v>
      </c>
      <c r="B1162" s="6">
        <v>6</v>
      </c>
      <c r="C1162" s="9" t="s">
        <v>163</v>
      </c>
      <c r="D1162" s="6">
        <v>171</v>
      </c>
      <c r="E1162" s="9" t="s">
        <v>178</v>
      </c>
      <c r="F1162" s="11">
        <v>232.9</v>
      </c>
      <c r="G1162" s="8">
        <v>232.9</v>
      </c>
      <c r="H1162" s="9">
        <f>(G1162-F1162)</f>
        <v>0.0</v>
      </c>
      <c r="I1162" s="9" t="s">
        <v>193</v>
      </c>
      <c r="J1162" s="9" t="s">
        <v>194</v>
      </c>
    </row>
    <row r="1163" spans="1:12" ht="23" customHeight="1">
      <c r="A1163" s="9" t="s">
        <v>172</v>
      </c>
      <c r="B1163" s="6">
        <v>6</v>
      </c>
      <c r="C1163" s="9" t="s">
        <v>163</v>
      </c>
      <c r="D1163" s="6">
        <v>171</v>
      </c>
      <c r="E1163" s="9" t="s">
        <v>179</v>
      </c>
      <c r="F1163" s="11">
        <v>232.9</v>
      </c>
      <c r="G1163" s="8">
        <v>232.9</v>
      </c>
      <c r="H1163" s="9">
        <f>(G1163-F1163)</f>
        <v>0.0</v>
      </c>
      <c r="I1163" s="9" t="s">
        <v>193</v>
      </c>
      <c r="J1163" s="9" t="s">
        <v>194</v>
      </c>
    </row>
    <row r="1164" spans="1:12" ht="23" customHeight="1">
      <c r="A1164" s="9" t="s">
        <v>172</v>
      </c>
      <c r="B1164" s="6">
        <v>6</v>
      </c>
      <c r="C1164" s="9" t="s">
        <v>163</v>
      </c>
      <c r="D1164" s="6">
        <v>171</v>
      </c>
      <c r="E1164" s="9" t="s">
        <v>168</v>
      </c>
      <c r="F1164" s="6">
        <v>36324</v>
      </c>
      <c r="G1164" s="7">
        <v>36324</v>
      </c>
      <c r="H1164" s="9">
        <f>(G1164-F1164)</f>
        <v>0.0</v>
      </c>
      <c r="I1164" s="9" t="s">
        <v>193</v>
      </c>
      <c r="J1164" s="9" t="s">
        <v>194</v>
      </c>
    </row>
    <row r="1165" spans="1:12" ht="23" customHeight="1">
      <c r="A1165" s="9" t="s">
        <v>172</v>
      </c>
      <c r="B1165" s="6">
        <v>6</v>
      </c>
      <c r="C1165" s="9" t="s">
        <v>163</v>
      </c>
      <c r="D1165" s="6">
        <v>171</v>
      </c>
      <c r="E1165" s="9" t="s">
        <v>169</v>
      </c>
      <c r="F1165" s="6">
        <v>36324</v>
      </c>
      <c r="G1165" s="7">
        <v>36324</v>
      </c>
      <c r="H1165" s="9">
        <f>(G1165-F1165)</f>
        <v>0.0</v>
      </c>
      <c r="I1165" s="9" t="s">
        <v>193</v>
      </c>
      <c r="J1165" s="9" t="s">
        <v>194</v>
      </c>
    </row>
    <row r="1166" spans="1:12" ht="23" customHeight="1">
      <c r="A1166" s="9" t="s">
        <v>172</v>
      </c>
      <c r="B1166" s="6">
        <v>6</v>
      </c>
      <c r="C1166" s="9" t="s">
        <v>163</v>
      </c>
      <c r="D1166" s="6">
        <v>171</v>
      </c>
      <c r="E1166" s="9" t="s">
        <v>170</v>
      </c>
      <c r="F1166" s="6">
        <v>36324</v>
      </c>
      <c r="G1166" s="7">
        <v>36324</v>
      </c>
      <c r="H1166" s="9">
        <f>(G1166-F1166)</f>
        <v>0.0</v>
      </c>
      <c r="I1166" s="9" t="s">
        <v>193</v>
      </c>
      <c r="J1166" s="9" t="s">
        <v>194</v>
      </c>
    </row>
    <row r="1167" spans="1:12" ht="23" customHeight="1">
      <c r="A1167" s="9" t="s">
        <v>172</v>
      </c>
      <c r="B1167" s="6">
        <v>6</v>
      </c>
      <c r="C1167" s="9" t="s">
        <v>163</v>
      </c>
      <c r="D1167" s="6">
        <v>171</v>
      </c>
      <c r="E1167" s="9" t="s">
        <v>171</v>
      </c>
      <c r="F1167" s="6">
        <v>36324</v>
      </c>
      <c r="G1167" s="7">
        <v>36324</v>
      </c>
      <c r="H1167" s="9">
        <f>(G1167-F1167)</f>
        <v>0.0</v>
      </c>
      <c r="I1167" s="9" t="s">
        <v>193</v>
      </c>
      <c r="J1167" s="9" t="s">
        <v>194</v>
      </c>
    </row>
    <row r="1168" spans="1:12" ht="23" customHeight="1">
      <c r="A1168" s="9" t="s">
        <v>174</v>
      </c>
      <c r="B1168" s="6">
        <v>4</v>
      </c>
      <c r="C1168" s="9" t="s">
        <v>163</v>
      </c>
      <c r="D1168" s="6">
        <v>122</v>
      </c>
      <c r="E1168" s="9" t="s">
        <v>166</v>
      </c>
      <c r="F1168" s="6">
        <v>327072</v>
      </c>
      <c r="G1168" s="7">
        <v>327072</v>
      </c>
      <c r="H1168" s="9">
        <f>(G1168-F1168)</f>
        <v>0.0</v>
      </c>
      <c r="I1168" s="9" t="s">
        <v>193</v>
      </c>
      <c r="J1168" s="9" t="s">
        <v>194</v>
      </c>
    </row>
    <row r="1169" spans="1:12" ht="23" customHeight="1">
      <c r="A1169" s="9" t="s">
        <v>174</v>
      </c>
      <c r="B1169" s="6">
        <v>4</v>
      </c>
      <c r="C1169" s="9" t="s">
        <v>163</v>
      </c>
      <c r="D1169" s="6">
        <v>122</v>
      </c>
      <c r="E1169" s="9" t="s">
        <v>176</v>
      </c>
      <c r="F1169" s="11">
        <v>7167.5</v>
      </c>
      <c r="G1169" s="8">
        <v>7167.5</v>
      </c>
      <c r="H1169" s="9">
        <f>(G1169-F1169)</f>
        <v>0.0</v>
      </c>
      <c r="I1169" s="9" t="s">
        <v>193</v>
      </c>
      <c r="J1169" s="9" t="s">
        <v>194</v>
      </c>
    </row>
    <row r="1170" spans="1:12" ht="23" customHeight="1">
      <c r="A1170" s="9" t="s">
        <v>174</v>
      </c>
      <c r="B1170" s="6">
        <v>4</v>
      </c>
      <c r="C1170" s="9" t="s">
        <v>163</v>
      </c>
      <c r="D1170" s="6">
        <v>122</v>
      </c>
      <c r="E1170" s="9" t="s">
        <v>177</v>
      </c>
      <c r="F1170" s="9"/>
      <c r="G1170" s="10"/>
      <c r="H1170" s="9"/>
      <c r="I1170" s="9" t="s">
        <v>193</v>
      </c>
      <c r="J1170" s="9" t="s">
        <v>194</v>
      </c>
    </row>
    <row r="1171" spans="1:12" ht="23" customHeight="1">
      <c r="A1171" s="9" t="s">
        <v>174</v>
      </c>
      <c r="B1171" s="6">
        <v>4</v>
      </c>
      <c r="C1171" s="9" t="s">
        <v>163</v>
      </c>
      <c r="D1171" s="6">
        <v>122</v>
      </c>
      <c r="E1171" s="9" t="s">
        <v>167</v>
      </c>
      <c r="F1171" s="6">
        <v>88418</v>
      </c>
      <c r="G1171" s="7">
        <v>88418</v>
      </c>
      <c r="H1171" s="9">
        <f>(G1171-F1171)</f>
        <v>0.0</v>
      </c>
      <c r="I1171" s="9" t="s">
        <v>193</v>
      </c>
      <c r="J1171" s="9" t="s">
        <v>194</v>
      </c>
    </row>
    <row r="1172" spans="1:12" ht="23" customHeight="1">
      <c r="A1172" s="9" t="s">
        <v>174</v>
      </c>
      <c r="B1172" s="6">
        <v>4</v>
      </c>
      <c r="C1172" s="9" t="s">
        <v>163</v>
      </c>
      <c r="D1172" s="6">
        <v>122</v>
      </c>
      <c r="E1172" s="9" t="s">
        <v>178</v>
      </c>
      <c r="F1172" s="11">
        <v>16724.3</v>
      </c>
      <c r="G1172" s="8">
        <v>16724.3</v>
      </c>
      <c r="H1172" s="9">
        <f>(G1172-F1172)</f>
        <v>0.0</v>
      </c>
      <c r="I1172" s="9" t="s">
        <v>193</v>
      </c>
      <c r="J1172" s="9" t="s">
        <v>194</v>
      </c>
    </row>
    <row r="1173" spans="1:12" ht="23" customHeight="1">
      <c r="A1173" s="9" t="s">
        <v>174</v>
      </c>
      <c r="B1173" s="6">
        <v>4</v>
      </c>
      <c r="C1173" s="9" t="s">
        <v>163</v>
      </c>
      <c r="D1173" s="6">
        <v>122</v>
      </c>
      <c r="E1173" s="9" t="s">
        <v>179</v>
      </c>
      <c r="F1173" s="9"/>
      <c r="G1173" s="10"/>
      <c r="H1173" s="9"/>
      <c r="I1173" s="9" t="s">
        <v>193</v>
      </c>
      <c r="J1173" s="9" t="s">
        <v>194</v>
      </c>
    </row>
    <row r="1174" spans="1:12" ht="23" customHeight="1">
      <c r="A1174" s="9" t="s">
        <v>174</v>
      </c>
      <c r="B1174" s="6">
        <v>4</v>
      </c>
      <c r="C1174" s="9" t="s">
        <v>163</v>
      </c>
      <c r="D1174" s="6">
        <v>122</v>
      </c>
      <c r="E1174" s="9" t="s">
        <v>168</v>
      </c>
      <c r="F1174" s="6">
        <v>88418</v>
      </c>
      <c r="G1174" s="7">
        <v>88418</v>
      </c>
      <c r="H1174" s="9">
        <f>(G1174-F1174)</f>
        <v>0.0</v>
      </c>
      <c r="I1174" s="9" t="s">
        <v>193</v>
      </c>
      <c r="J1174" s="9" t="s">
        <v>194</v>
      </c>
    </row>
    <row r="1175" spans="1:12" ht="23" customHeight="1">
      <c r="A1175" s="9" t="s">
        <v>174</v>
      </c>
      <c r="B1175" s="6">
        <v>4</v>
      </c>
      <c r="C1175" s="9" t="s">
        <v>163</v>
      </c>
      <c r="D1175" s="6">
        <v>122</v>
      </c>
      <c r="E1175" s="9" t="s">
        <v>169</v>
      </c>
      <c r="F1175" s="6">
        <v>327072</v>
      </c>
      <c r="G1175" s="7">
        <v>327072</v>
      </c>
      <c r="H1175" s="9">
        <f>(G1175-F1175)</f>
        <v>0.0</v>
      </c>
      <c r="I1175" s="9" t="s">
        <v>193</v>
      </c>
      <c r="J1175" s="9" t="s">
        <v>194</v>
      </c>
    </row>
    <row r="1176" spans="1:12" ht="24" customHeight="1">
      <c r="A1176" s="3" t="s">
        <v>181</v>
      </c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</row>
    <row r="1177" spans="1:12" ht="36" customHeight="1">
      <c r="A1177" s="4" t="s">
        <v>182</v>
      </c>
      <c r="B1177" s="4" t="s">
        <v>8</v>
      </c>
      <c r="C1177" s="4" t="s">
        <v>183</v>
      </c>
      <c r="D1177" s="4" t="s">
        <v>184</v>
      </c>
      <c r="E1177" s="4" t="s">
        <v>185</v>
      </c>
      <c r="F1177" s="4" t="s">
        <v>186</v>
      </c>
      <c r="G1177" s="4" t="s">
        <v>187</v>
      </c>
      <c r="H1177" s="4" t="s">
        <v>188</v>
      </c>
      <c r="I1177" s="4" t="s">
        <v>189</v>
      </c>
      <c r="J1177" s="4" t="s">
        <v>190</v>
      </c>
    </row>
    <row r="1178" spans="1:12" ht="23" customHeight="1">
      <c r="A1178" s="9" t="s">
        <v>174</v>
      </c>
      <c r="B1178" s="6">
        <v>4</v>
      </c>
      <c r="C1178" s="9" t="s">
        <v>163</v>
      </c>
      <c r="D1178" s="6">
        <v>122</v>
      </c>
      <c r="E1178" s="9" t="s">
        <v>170</v>
      </c>
      <c r="F1178" s="6">
        <v>88418</v>
      </c>
      <c r="G1178" s="7">
        <v>88418</v>
      </c>
      <c r="H1178" s="9">
        <f>(G1178-F1178)</f>
        <v>0.0</v>
      </c>
      <c r="I1178" s="9" t="s">
        <v>193</v>
      </c>
      <c r="J1178" s="9" t="s">
        <v>194</v>
      </c>
    </row>
    <row r="1179" spans="1:12" ht="23" customHeight="1">
      <c r="A1179" s="9" t="s">
        <v>174</v>
      </c>
      <c r="B1179" s="6">
        <v>4</v>
      </c>
      <c r="C1179" s="9" t="s">
        <v>163</v>
      </c>
      <c r="D1179" s="6">
        <v>122</v>
      </c>
      <c r="E1179" s="9" t="s">
        <v>171</v>
      </c>
      <c r="F1179" s="6">
        <v>88418</v>
      </c>
      <c r="G1179" s="7">
        <v>88418</v>
      </c>
      <c r="H1179" s="9">
        <f>(G1179-F1179)</f>
        <v>0.0</v>
      </c>
      <c r="I1179" s="9" t="s">
        <v>193</v>
      </c>
      <c r="J1179" s="9" t="s">
        <v>194</v>
      </c>
    </row>
    <row r="1180" spans="1:12" ht="23" customHeight="1">
      <c r="A1180" s="9" t="s">
        <v>174</v>
      </c>
      <c r="B1180" s="6">
        <v>5</v>
      </c>
      <c r="C1180" s="9" t="s">
        <v>163</v>
      </c>
      <c r="D1180" s="6">
        <v>147</v>
      </c>
      <c r="E1180" s="9" t="s">
        <v>166</v>
      </c>
      <c r="F1180" s="6">
        <v>218048</v>
      </c>
      <c r="G1180" s="7">
        <v>218048</v>
      </c>
      <c r="H1180" s="9">
        <f>(G1180-F1180)</f>
        <v>0.0</v>
      </c>
      <c r="I1180" s="9" t="s">
        <v>193</v>
      </c>
      <c r="J1180" s="9" t="s">
        <v>194</v>
      </c>
    </row>
    <row r="1181" spans="1:12" ht="23" customHeight="1">
      <c r="A1181" s="9" t="s">
        <v>174</v>
      </c>
      <c r="B1181" s="6">
        <v>5</v>
      </c>
      <c r="C1181" s="9" t="s">
        <v>163</v>
      </c>
      <c r="D1181" s="6">
        <v>147</v>
      </c>
      <c r="E1181" s="9" t="s">
        <v>176</v>
      </c>
      <c r="F1181" s="11">
        <v>4778.4</v>
      </c>
      <c r="G1181" s="8">
        <v>4778.4</v>
      </c>
      <c r="H1181" s="9">
        <f>(G1181-F1181)</f>
        <v>0.0</v>
      </c>
      <c r="I1181" s="9" t="s">
        <v>193</v>
      </c>
      <c r="J1181" s="9" t="s">
        <v>194</v>
      </c>
    </row>
    <row r="1182" spans="1:12" ht="23" customHeight="1">
      <c r="A1182" s="9" t="s">
        <v>174</v>
      </c>
      <c r="B1182" s="6">
        <v>5</v>
      </c>
      <c r="C1182" s="9" t="s">
        <v>163</v>
      </c>
      <c r="D1182" s="6">
        <v>147</v>
      </c>
      <c r="E1182" s="9" t="s">
        <v>177</v>
      </c>
      <c r="F1182" s="9"/>
      <c r="G1182" s="10"/>
      <c r="H1182" s="9"/>
      <c r="I1182" s="9" t="s">
        <v>193</v>
      </c>
      <c r="J1182" s="9" t="s">
        <v>194</v>
      </c>
    </row>
    <row r="1183" spans="1:12" ht="23" customHeight="1">
      <c r="A1183" s="9" t="s">
        <v>174</v>
      </c>
      <c r="B1183" s="6">
        <v>5</v>
      </c>
      <c r="C1183" s="9" t="s">
        <v>163</v>
      </c>
      <c r="D1183" s="6">
        <v>147</v>
      </c>
      <c r="E1183" s="9" t="s">
        <v>167</v>
      </c>
      <c r="F1183" s="6">
        <v>58945</v>
      </c>
      <c r="G1183" s="7">
        <v>58945</v>
      </c>
      <c r="H1183" s="9">
        <f>(G1183-F1183)</f>
        <v>0.0</v>
      </c>
      <c r="I1183" s="9" t="s">
        <v>193</v>
      </c>
      <c r="J1183" s="9" t="s">
        <v>194</v>
      </c>
    </row>
    <row r="1184" spans="1:12" ht="23" customHeight="1">
      <c r="A1184" s="9" t="s">
        <v>174</v>
      </c>
      <c r="B1184" s="6">
        <v>5</v>
      </c>
      <c r="C1184" s="9" t="s">
        <v>163</v>
      </c>
      <c r="D1184" s="6">
        <v>147</v>
      </c>
      <c r="E1184" s="9" t="s">
        <v>178</v>
      </c>
      <c r="F1184" s="11">
        <v>11149.5</v>
      </c>
      <c r="G1184" s="8">
        <v>11149.5</v>
      </c>
      <c r="H1184" s="9">
        <f>(G1184-F1184)</f>
        <v>0.0</v>
      </c>
      <c r="I1184" s="9" t="s">
        <v>193</v>
      </c>
      <c r="J1184" s="9" t="s">
        <v>194</v>
      </c>
    </row>
    <row r="1185" spans="1:12" ht="23" customHeight="1">
      <c r="A1185" s="9" t="s">
        <v>174</v>
      </c>
      <c r="B1185" s="6">
        <v>5</v>
      </c>
      <c r="C1185" s="9" t="s">
        <v>163</v>
      </c>
      <c r="D1185" s="6">
        <v>147</v>
      </c>
      <c r="E1185" s="9" t="s">
        <v>179</v>
      </c>
      <c r="F1185" s="9"/>
      <c r="G1185" s="10"/>
      <c r="H1185" s="9"/>
      <c r="I1185" s="9" t="s">
        <v>193</v>
      </c>
      <c r="J1185" s="9" t="s">
        <v>194</v>
      </c>
    </row>
    <row r="1186" spans="1:12" ht="23" customHeight="1">
      <c r="A1186" s="9" t="s">
        <v>174</v>
      </c>
      <c r="B1186" s="6">
        <v>5</v>
      </c>
      <c r="C1186" s="9" t="s">
        <v>163</v>
      </c>
      <c r="D1186" s="6">
        <v>147</v>
      </c>
      <c r="E1186" s="9" t="s">
        <v>168</v>
      </c>
      <c r="F1186" s="6">
        <v>58945</v>
      </c>
      <c r="G1186" s="7">
        <v>58945</v>
      </c>
      <c r="H1186" s="9">
        <f>(G1186-F1186)</f>
        <v>0.0</v>
      </c>
      <c r="I1186" s="9" t="s">
        <v>193</v>
      </c>
      <c r="J1186" s="9" t="s">
        <v>194</v>
      </c>
    </row>
    <row r="1187" spans="1:12" ht="23" customHeight="1">
      <c r="A1187" s="9" t="s">
        <v>174</v>
      </c>
      <c r="B1187" s="6">
        <v>5</v>
      </c>
      <c r="C1187" s="9" t="s">
        <v>163</v>
      </c>
      <c r="D1187" s="6">
        <v>147</v>
      </c>
      <c r="E1187" s="9" t="s">
        <v>169</v>
      </c>
      <c r="F1187" s="6">
        <v>218048</v>
      </c>
      <c r="G1187" s="7">
        <v>218048</v>
      </c>
      <c r="H1187" s="9">
        <f>(G1187-F1187)</f>
        <v>0.0</v>
      </c>
      <c r="I1187" s="9" t="s">
        <v>193</v>
      </c>
      <c r="J1187" s="9" t="s">
        <v>194</v>
      </c>
    </row>
    <row r="1188" spans="1:12" ht="23" customHeight="1">
      <c r="A1188" s="9" t="s">
        <v>174</v>
      </c>
      <c r="B1188" s="6">
        <v>5</v>
      </c>
      <c r="C1188" s="9" t="s">
        <v>163</v>
      </c>
      <c r="D1188" s="6">
        <v>147</v>
      </c>
      <c r="E1188" s="9" t="s">
        <v>170</v>
      </c>
      <c r="F1188" s="6">
        <v>58945</v>
      </c>
      <c r="G1188" s="7">
        <v>58945</v>
      </c>
      <c r="H1188" s="9">
        <f>(G1188-F1188)</f>
        <v>0.0</v>
      </c>
      <c r="I1188" s="9" t="s">
        <v>193</v>
      </c>
      <c r="J1188" s="9" t="s">
        <v>194</v>
      </c>
    </row>
    <row r="1189" spans="1:12" ht="23" customHeight="1">
      <c r="A1189" s="9" t="s">
        <v>174</v>
      </c>
      <c r="B1189" s="6">
        <v>5</v>
      </c>
      <c r="C1189" s="9" t="s">
        <v>163</v>
      </c>
      <c r="D1189" s="6">
        <v>147</v>
      </c>
      <c r="E1189" s="9" t="s">
        <v>171</v>
      </c>
      <c r="F1189" s="6">
        <v>58945</v>
      </c>
      <c r="G1189" s="7">
        <v>58945</v>
      </c>
      <c r="H1189" s="9">
        <f>(G1189-F1189)</f>
        <v>0.0</v>
      </c>
      <c r="I1189" s="9" t="s">
        <v>193</v>
      </c>
      <c r="J1189" s="9" t="s">
        <v>194</v>
      </c>
    </row>
    <row r="1190" spans="1:12" ht="23" customHeight="1">
      <c r="A1190" s="9" t="s">
        <v>174</v>
      </c>
      <c r="B1190" s="6">
        <v>6</v>
      </c>
      <c r="C1190" s="9" t="s">
        <v>163</v>
      </c>
      <c r="D1190" s="6">
        <v>172</v>
      </c>
      <c r="E1190" s="9" t="s">
        <v>166</v>
      </c>
      <c r="F1190" s="6">
        <v>327072</v>
      </c>
      <c r="G1190" s="7">
        <v>327072</v>
      </c>
      <c r="H1190" s="9">
        <f>(G1190-F1190)</f>
        <v>0.0</v>
      </c>
      <c r="I1190" s="9" t="s">
        <v>193</v>
      </c>
      <c r="J1190" s="9" t="s">
        <v>194</v>
      </c>
    </row>
    <row r="1191" spans="1:12" ht="23" customHeight="1">
      <c r="A1191" s="9" t="s">
        <v>174</v>
      </c>
      <c r="B1191" s="6">
        <v>6</v>
      </c>
      <c r="C1191" s="9" t="s">
        <v>163</v>
      </c>
      <c r="D1191" s="6">
        <v>172</v>
      </c>
      <c r="E1191" s="9" t="s">
        <v>176</v>
      </c>
      <c r="F1191" s="11">
        <v>7167.5</v>
      </c>
      <c r="G1191" s="8">
        <v>7167.5</v>
      </c>
      <c r="H1191" s="9">
        <f>(G1191-F1191)</f>
        <v>0.0</v>
      </c>
      <c r="I1191" s="9" t="s">
        <v>193</v>
      </c>
      <c r="J1191" s="9" t="s">
        <v>194</v>
      </c>
    </row>
    <row r="1192" spans="1:12" ht="23" customHeight="1">
      <c r="A1192" s="9" t="s">
        <v>174</v>
      </c>
      <c r="B1192" s="6">
        <v>6</v>
      </c>
      <c r="C1192" s="9" t="s">
        <v>163</v>
      </c>
      <c r="D1192" s="6">
        <v>172</v>
      </c>
      <c r="E1192" s="9" t="s">
        <v>177</v>
      </c>
      <c r="F1192" s="9"/>
      <c r="G1192" s="10"/>
      <c r="H1192" s="9"/>
      <c r="I1192" s="9" t="s">
        <v>193</v>
      </c>
      <c r="J1192" s="9" t="s">
        <v>194</v>
      </c>
    </row>
    <row r="1193" spans="1:12" ht="24" customHeight="1">
      <c r="A1193" s="3" t="s">
        <v>181</v>
      </c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</row>
    <row r="1194" spans="1:12" ht="36" customHeight="1">
      <c r="A1194" s="4" t="s">
        <v>182</v>
      </c>
      <c r="B1194" s="4" t="s">
        <v>8</v>
      </c>
      <c r="C1194" s="4" t="s">
        <v>183</v>
      </c>
      <c r="D1194" s="4" t="s">
        <v>184</v>
      </c>
      <c r="E1194" s="4" t="s">
        <v>185</v>
      </c>
      <c r="F1194" s="4" t="s">
        <v>186</v>
      </c>
      <c r="G1194" s="4" t="s">
        <v>187</v>
      </c>
      <c r="H1194" s="4" t="s">
        <v>188</v>
      </c>
      <c r="I1194" s="4" t="s">
        <v>189</v>
      </c>
      <c r="J1194" s="4" t="s">
        <v>190</v>
      </c>
    </row>
    <row r="1195" spans="1:12" ht="23" customHeight="1">
      <c r="A1195" s="9" t="s">
        <v>174</v>
      </c>
      <c r="B1195" s="6">
        <v>6</v>
      </c>
      <c r="C1195" s="9" t="s">
        <v>163</v>
      </c>
      <c r="D1195" s="6">
        <v>172</v>
      </c>
      <c r="E1195" s="9" t="s">
        <v>167</v>
      </c>
      <c r="F1195" s="6">
        <v>88418</v>
      </c>
      <c r="G1195" s="7">
        <v>88418</v>
      </c>
      <c r="H1195" s="9">
        <f>(G1195-F1195)</f>
        <v>0.0</v>
      </c>
      <c r="I1195" s="9" t="s">
        <v>193</v>
      </c>
      <c r="J1195" s="9" t="s">
        <v>194</v>
      </c>
    </row>
    <row r="1196" spans="1:12" ht="23" customHeight="1">
      <c r="A1196" s="9" t="s">
        <v>174</v>
      </c>
      <c r="B1196" s="6">
        <v>6</v>
      </c>
      <c r="C1196" s="9" t="s">
        <v>163</v>
      </c>
      <c r="D1196" s="6">
        <v>172</v>
      </c>
      <c r="E1196" s="9" t="s">
        <v>178</v>
      </c>
      <c r="F1196" s="11">
        <v>16724.3</v>
      </c>
      <c r="G1196" s="8">
        <v>16724.3</v>
      </c>
      <c r="H1196" s="9">
        <f>(G1196-F1196)</f>
        <v>0.0</v>
      </c>
      <c r="I1196" s="9" t="s">
        <v>193</v>
      </c>
      <c r="J1196" s="9" t="s">
        <v>194</v>
      </c>
    </row>
    <row r="1197" spans="1:12" ht="23" customHeight="1">
      <c r="A1197" s="9" t="s">
        <v>174</v>
      </c>
      <c r="B1197" s="6">
        <v>6</v>
      </c>
      <c r="C1197" s="9" t="s">
        <v>163</v>
      </c>
      <c r="D1197" s="6">
        <v>172</v>
      </c>
      <c r="E1197" s="9" t="s">
        <v>179</v>
      </c>
      <c r="F1197" s="9"/>
      <c r="G1197" s="10"/>
      <c r="H1197" s="9"/>
      <c r="I1197" s="9" t="s">
        <v>193</v>
      </c>
      <c r="J1197" s="9" t="s">
        <v>194</v>
      </c>
    </row>
    <row r="1198" spans="1:12" ht="23" customHeight="1">
      <c r="A1198" s="9" t="s">
        <v>174</v>
      </c>
      <c r="B1198" s="6">
        <v>6</v>
      </c>
      <c r="C1198" s="9" t="s">
        <v>163</v>
      </c>
      <c r="D1198" s="6">
        <v>172</v>
      </c>
      <c r="E1198" s="9" t="s">
        <v>168</v>
      </c>
      <c r="F1198" s="6">
        <v>88418</v>
      </c>
      <c r="G1198" s="7">
        <v>88418</v>
      </c>
      <c r="H1198" s="9">
        <f>(G1198-F1198)</f>
        <v>0.0</v>
      </c>
      <c r="I1198" s="9" t="s">
        <v>193</v>
      </c>
      <c r="J1198" s="9" t="s">
        <v>194</v>
      </c>
    </row>
    <row r="1199" spans="1:12" ht="23" customHeight="1">
      <c r="A1199" s="9" t="s">
        <v>174</v>
      </c>
      <c r="B1199" s="6">
        <v>6</v>
      </c>
      <c r="C1199" s="9" t="s">
        <v>163</v>
      </c>
      <c r="D1199" s="6">
        <v>172</v>
      </c>
      <c r="E1199" s="9" t="s">
        <v>169</v>
      </c>
      <c r="F1199" s="6">
        <v>327072</v>
      </c>
      <c r="G1199" s="7">
        <v>327072</v>
      </c>
      <c r="H1199" s="9">
        <f>(G1199-F1199)</f>
        <v>0.0</v>
      </c>
      <c r="I1199" s="9" t="s">
        <v>193</v>
      </c>
      <c r="J1199" s="9" t="s">
        <v>194</v>
      </c>
    </row>
    <row r="1200" spans="1:12" ht="23" customHeight="1">
      <c r="A1200" s="9" t="s">
        <v>174</v>
      </c>
      <c r="B1200" s="6">
        <v>6</v>
      </c>
      <c r="C1200" s="9" t="s">
        <v>163</v>
      </c>
      <c r="D1200" s="6">
        <v>172</v>
      </c>
      <c r="E1200" s="9" t="s">
        <v>170</v>
      </c>
      <c r="F1200" s="6">
        <v>88418</v>
      </c>
      <c r="G1200" s="7">
        <v>88418</v>
      </c>
      <c r="H1200" s="9">
        <f>(G1200-F1200)</f>
        <v>0.0</v>
      </c>
      <c r="I1200" s="9" t="s">
        <v>193</v>
      </c>
      <c r="J1200" s="9" t="s">
        <v>194</v>
      </c>
    </row>
    <row r="1201" spans="1:10" ht="23" customHeight="1">
      <c r="A1201" s="9" t="s">
        <v>174</v>
      </c>
      <c r="B1201" s="6">
        <v>6</v>
      </c>
      <c r="C1201" s="9" t="s">
        <v>163</v>
      </c>
      <c r="D1201" s="6">
        <v>172</v>
      </c>
      <c r="E1201" s="9" t="s">
        <v>171</v>
      </c>
      <c r="F1201" s="6">
        <v>88418</v>
      </c>
      <c r="G1201" s="7">
        <v>88418</v>
      </c>
      <c r="H1201" s="9">
        <f>(G1201-F1201)</f>
        <v>0.0</v>
      </c>
      <c r="I1201" s="9" t="s">
        <v>193</v>
      </c>
      <c r="J1201" s="9" t="s">
        <v>194</v>
      </c>
    </row>
  </sheetData>
  <mergeCells count="79">
    <mergeCell ref="A1:L1"/>
    <mergeCell ref="A2:L2"/>
    <mergeCell ref="A3:L3"/>
    <mergeCell ref="A5:L5"/>
    <mergeCell ref="A6:L6"/>
    <mergeCell ref="A7:L7"/>
    <mergeCell ref="A9:L9"/>
    <mergeCell ref="A22:L22"/>
    <mergeCell ref="A39:L39"/>
    <mergeCell ref="A56:L56"/>
    <mergeCell ref="A73:L73"/>
    <mergeCell ref="A90:L90"/>
    <mergeCell ref="A94:L94"/>
    <mergeCell ref="A106:L106"/>
    <mergeCell ref="A123:L123"/>
    <mergeCell ref="A140:L140"/>
    <mergeCell ref="A157:L157"/>
    <mergeCell ref="A168:L168"/>
    <mergeCell ref="A173:L173"/>
    <mergeCell ref="A190:L190"/>
    <mergeCell ref="A207:L207"/>
    <mergeCell ref="A224:L224"/>
    <mergeCell ref="A242:L242"/>
    <mergeCell ref="A258:L258"/>
    <mergeCell ref="A275:L275"/>
    <mergeCell ref="A292:L292"/>
    <mergeCell ref="A309:L309"/>
    <mergeCell ref="A326:L326"/>
    <mergeCell ref="A343:L343"/>
    <mergeCell ref="A360:L360"/>
    <mergeCell ref="A377:L377"/>
    <mergeCell ref="A394:L394"/>
    <mergeCell ref="A411:L411"/>
    <mergeCell ref="A428:L428"/>
    <mergeCell ref="A445:L445"/>
    <mergeCell ref="A462:L462"/>
    <mergeCell ref="A479:L479"/>
    <mergeCell ref="A496:L496"/>
    <mergeCell ref="A513:L513"/>
    <mergeCell ref="A530:L530"/>
    <mergeCell ref="A547:L547"/>
    <mergeCell ref="A564:L564"/>
    <mergeCell ref="A581:L581"/>
    <mergeCell ref="A598:L598"/>
    <mergeCell ref="A615:L615"/>
    <mergeCell ref="A632:L632"/>
    <mergeCell ref="A649:L649"/>
    <mergeCell ref="A666:L666"/>
    <mergeCell ref="A683:L683"/>
    <mergeCell ref="A700:L700"/>
    <mergeCell ref="A717:L717"/>
    <mergeCell ref="A734:L734"/>
    <mergeCell ref="A751:L751"/>
    <mergeCell ref="A768:L768"/>
    <mergeCell ref="A785:L785"/>
    <mergeCell ref="A802:L802"/>
    <mergeCell ref="A819:L819"/>
    <mergeCell ref="A836:L836"/>
    <mergeCell ref="A853:L853"/>
    <mergeCell ref="A870:L870"/>
    <mergeCell ref="A887:L887"/>
    <mergeCell ref="A904:L904"/>
    <mergeCell ref="A921:L921"/>
    <mergeCell ref="A938:L938"/>
    <mergeCell ref="A955:L955"/>
    <mergeCell ref="A972:L972"/>
    <mergeCell ref="A989:L989"/>
    <mergeCell ref="A1006:L1006"/>
    <mergeCell ref="A1023:L1023"/>
    <mergeCell ref="A1040:L1040"/>
    <mergeCell ref="A1057:L1057"/>
    <mergeCell ref="A1074:L1074"/>
    <mergeCell ref="A1091:L1091"/>
    <mergeCell ref="A1108:L1108"/>
    <mergeCell ref="A1125:L1125"/>
    <mergeCell ref="A1142:L1142"/>
    <mergeCell ref="A1159:L1159"/>
    <mergeCell ref="A1176:L1176"/>
    <mergeCell ref="A1193:L1193"/>
  </mergeCells>
  <hyperlinks>
    <hyperlink ref="A11" location="'水平地盤ばね'!F3" display="部材98"/>
    <hyperlink ref="K11" location="'有効抵抗土圧'!H3" display="土圧98"/>
    <hyperlink ref="A12" location="'水平地盤ばね'!F4" display="部材99"/>
    <hyperlink ref="K12" location="'有効抵抗土圧'!H5" display="土圧99"/>
    <hyperlink ref="A13" location="'水平地盤ばね'!F6" display="部材100"/>
    <hyperlink ref="K13" location="'有効抵抗土圧'!H9" display="土圧100"/>
    <hyperlink ref="A14" location="'水平地盤ばね'!F8" display="部材101"/>
    <hyperlink ref="K14" location="'有効抵抗土圧'!H13" display="土圧101"/>
    <hyperlink ref="A15" location="'水平地盤ばね'!F9" display="部材102"/>
    <hyperlink ref="K15" location="'有効抵抗土圧'!H15" display="土圧102"/>
    <hyperlink ref="A16" location="'水平地盤ばね'!F11" display="部材103"/>
    <hyperlink ref="K16" location="'有効抵抗土圧'!H19" display="土圧103"/>
    <hyperlink ref="A17" location="'水平地盤ばね'!F12" display="部材104"/>
    <hyperlink ref="K17" location="'有効抵抗土圧'!H21" display="土圧104"/>
    <hyperlink ref="A18" location="'水平地盤ばね'!F15" display="部材105"/>
    <hyperlink ref="K18" location="'有効抵抗土圧'!H27" display="土圧105"/>
    <hyperlink ref="A19" location="'水平地盤ばね'!F16" display="部材106"/>
    <hyperlink ref="K19" location="'有効抵抗土圧'!H29" display="土圧106"/>
    <hyperlink ref="A20" location="'水平地盤ばね'!F17" display="部材107"/>
    <hyperlink ref="K20" location="'有効抵抗土圧'!H31" display="土圧107"/>
    <hyperlink ref="A21" location="'水平地盤ばね'!F18" display="部材108"/>
    <hyperlink ref="K21" location="'有効抵抗土圧'!H33" display="土圧108"/>
    <hyperlink ref="A24" location="'水平地盤ばね'!F19" display="部材109"/>
    <hyperlink ref="K24" location="'有効抵抗土圧'!H35" display="土圧109"/>
    <hyperlink ref="A25" location="'水平地盤ばね'!F20" display="部材110"/>
    <hyperlink ref="K25" location="'有効抵抗土圧'!H37" display="土圧110"/>
    <hyperlink ref="A26" location="'水平地盤ばね'!F21" display="部材111"/>
    <hyperlink ref="K26" location="'有効抵抗土圧'!H39" display="土圧111"/>
    <hyperlink ref="A27" location="'水平地盤ばね'!F22" display="部材112"/>
    <hyperlink ref="K27" location="'有効抵抗土圧'!H41" display="土圧112"/>
    <hyperlink ref="A28" location="'水平地盤ばね'!F24" display="部材113"/>
    <hyperlink ref="K28" location="'有効抵抗土圧'!H45" display="土圧113"/>
    <hyperlink ref="A29" location="'水平地盤ばね'!F25" display="部材114"/>
    <hyperlink ref="K29" location="'有効抵抗土圧'!H47" display="土圧114"/>
    <hyperlink ref="A30" location="'水平地盤ばね'!F26" display="部材115"/>
    <hyperlink ref="K30" location="'有効抵抗土圧'!H49" display="土圧115"/>
    <hyperlink ref="A31" location="'水平地盤ばね'!F27" display="部材116"/>
    <hyperlink ref="K31" location="'有効抵抗土圧'!H51" display="土圧116"/>
    <hyperlink ref="A32" location="'水平地盤ばね'!F28" display="部材117"/>
    <hyperlink ref="K32" location="'有効抵抗土圧'!H53" display="土圧117"/>
    <hyperlink ref="A33" location="'水平地盤ばね'!F29" display="部材118"/>
    <hyperlink ref="K33" location="'有効抵抗土圧'!H55" display="土圧118"/>
    <hyperlink ref="A34" location="'水平地盤ばね'!F30" display="部材119"/>
    <hyperlink ref="K34" location="'有効抵抗土圧'!H57" display="土圧119"/>
    <hyperlink ref="A35" location="'水平地盤ばね'!F31" display="部材120"/>
    <hyperlink ref="K35" location="'有効抵抗土圧'!H59" display="土圧120"/>
    <hyperlink ref="A36" location="'水平地盤ばね'!F32" display="部材121"/>
    <hyperlink ref="K36" location="'有効抵抗土圧'!H61" display="土圧121"/>
    <hyperlink ref="A37" location="'水平地盤ばね'!M3" display="部材123"/>
    <hyperlink ref="K37" location="'有効抵抗土圧'!Q3" display="土圧123"/>
    <hyperlink ref="A38" location="'水平地盤ばね'!M4" display="部材124"/>
    <hyperlink ref="K38" location="'有効抵抗土圧'!Q5" display="土圧124"/>
    <hyperlink ref="A41" location="'水平地盤ばね'!M6" display="部材125"/>
    <hyperlink ref="K41" location="'有効抵抗土圧'!Q9" display="土圧125"/>
    <hyperlink ref="A42" location="'水平地盤ばね'!M8" display="部材126"/>
    <hyperlink ref="K42" location="'有効抵抗土圧'!Q13" display="土圧126"/>
    <hyperlink ref="A43" location="'水平地盤ばね'!M9" display="部材127"/>
    <hyperlink ref="K43" location="'有効抵抗土圧'!Q15" display="土圧127"/>
    <hyperlink ref="A44" location="'水平地盤ばね'!M11" display="部材128"/>
    <hyperlink ref="K44" location="'有効抵抗土圧'!Q19" display="土圧128"/>
    <hyperlink ref="A45" location="'水平地盤ばね'!M12" display="部材129"/>
    <hyperlink ref="K45" location="'有効抵抗土圧'!Q21" display="土圧129"/>
    <hyperlink ref="A46" location="'水平地盤ばね'!M15" display="部材130"/>
    <hyperlink ref="K46" location="'有効抵抗土圧'!Q27" display="土圧130"/>
    <hyperlink ref="A47" location="'水平地盤ばね'!M16" display="部材131"/>
    <hyperlink ref="K47" location="'有効抵抗土圧'!Q29" display="土圧131"/>
    <hyperlink ref="A48" location="'水平地盤ばね'!M17" display="部材132"/>
    <hyperlink ref="K48" location="'有効抵抗土圧'!Q31" display="土圧132"/>
    <hyperlink ref="A49" location="'水平地盤ばね'!M18" display="部材133"/>
    <hyperlink ref="K49" location="'有効抵抗土圧'!Q33" display="土圧133"/>
    <hyperlink ref="A50" location="'水平地盤ばね'!M19" display="部材134"/>
    <hyperlink ref="K50" location="'有効抵抗土圧'!Q35" display="土圧134"/>
    <hyperlink ref="A51" location="'水平地盤ばね'!M20" display="部材135"/>
    <hyperlink ref="K51" location="'有効抵抗土圧'!Q37" display="土圧135"/>
    <hyperlink ref="A52" location="'水平地盤ばね'!M21" display="部材136"/>
    <hyperlink ref="K52" location="'有効抵抗土圧'!Q39" display="土圧136"/>
    <hyperlink ref="A53" location="'水平地盤ばね'!M22" display="部材137"/>
    <hyperlink ref="K53" location="'有効抵抗土圧'!Q41" display="土圧137"/>
    <hyperlink ref="A54" location="'水平地盤ばね'!M24" display="部材138"/>
    <hyperlink ref="K54" location="'有効抵抗土圧'!Q45" display="土圧138"/>
    <hyperlink ref="A55" location="'水平地盤ばね'!M25" display="部材139"/>
    <hyperlink ref="K55" location="'有効抵抗土圧'!Q47" display="土圧139"/>
    <hyperlink ref="A58" location="'水平地盤ばね'!M26" display="部材140"/>
    <hyperlink ref="K58" location="'有効抵抗土圧'!Q49" display="土圧140"/>
    <hyperlink ref="A59" location="'水平地盤ばね'!M27" display="部材141"/>
    <hyperlink ref="K59" location="'有効抵抗土圧'!Q51" display="土圧141"/>
    <hyperlink ref="A60" location="'水平地盤ばね'!M28" display="部材142"/>
    <hyperlink ref="K60" location="'有効抵抗土圧'!Q53" display="土圧142"/>
    <hyperlink ref="A61" location="'水平地盤ばね'!M29" display="部材143"/>
    <hyperlink ref="K61" location="'有効抵抗土圧'!Q55" display="土圧143"/>
    <hyperlink ref="A62" location="'水平地盤ばね'!M30" display="部材144"/>
    <hyperlink ref="K62" location="'有効抵抗土圧'!Q57" display="土圧144"/>
    <hyperlink ref="A63" location="'水平地盤ばね'!M31" display="部材145"/>
    <hyperlink ref="K63" location="'有効抵抗土圧'!Q59" display="土圧145"/>
    <hyperlink ref="A64" location="'水平地盤ばね'!M32" display="部材146"/>
    <hyperlink ref="K64" location="'有効抵抗土圧'!Q61" display="土圧146"/>
    <hyperlink ref="A65" location="'水平地盤ばね'!T3" display="部材148"/>
    <hyperlink ref="K65" location="'有効抵抗土圧'!Z3" display="土圧148"/>
    <hyperlink ref="A66" location="'水平地盤ばね'!T4" display="部材149"/>
    <hyperlink ref="K66" location="'有効抵抗土圧'!Z5" display="土圧149"/>
    <hyperlink ref="A67" location="'水平地盤ばね'!T6" display="部材150"/>
    <hyperlink ref="K67" location="'有効抵抗土圧'!Z9" display="土圧150"/>
    <hyperlink ref="A68" location="'水平地盤ばね'!T8" display="部材151"/>
    <hyperlink ref="K68" location="'有効抵抗土圧'!Z13" display="土圧151"/>
    <hyperlink ref="A69" location="'水平地盤ばね'!T9" display="部材152"/>
    <hyperlink ref="K69" location="'有効抵抗土圧'!Z15" display="土圧152"/>
    <hyperlink ref="A70" location="'水平地盤ばね'!T11" display="部材153"/>
    <hyperlink ref="K70" location="'有効抵抗土圧'!Z19" display="土圧153"/>
    <hyperlink ref="A71" location="'水平地盤ばね'!T12" display="部材154"/>
    <hyperlink ref="K71" location="'有効抵抗土圧'!Z21" display="土圧154"/>
    <hyperlink ref="A72" location="'水平地盤ばね'!T15" display="部材155"/>
    <hyperlink ref="K72" location="'有効抵抗土圧'!Z27" display="土圧155"/>
    <hyperlink ref="A75" location="'水平地盤ばね'!T16" display="部材156"/>
    <hyperlink ref="K75" location="'有効抵抗土圧'!Z29" display="土圧156"/>
    <hyperlink ref="A76" location="'水平地盤ばね'!T17" display="部材157"/>
    <hyperlink ref="K76" location="'有効抵抗土圧'!Z31" display="土圧157"/>
    <hyperlink ref="A77" location="'水平地盤ばね'!T18" display="部材158"/>
    <hyperlink ref="K77" location="'有効抵抗土圧'!Z33" display="土圧158"/>
    <hyperlink ref="A78" location="'水平地盤ばね'!T19" display="部材159"/>
    <hyperlink ref="K78" location="'有効抵抗土圧'!Z35" display="土圧159"/>
    <hyperlink ref="A79" location="'水平地盤ばね'!T20" display="部材160"/>
    <hyperlink ref="K79" location="'有効抵抗土圧'!Z37" display="土圧160"/>
    <hyperlink ref="A80" location="'水平地盤ばね'!T21" display="部材161"/>
    <hyperlink ref="K80" location="'有効抵抗土圧'!Z39" display="土圧161"/>
    <hyperlink ref="A81" location="'水平地盤ばね'!T22" display="部材162"/>
    <hyperlink ref="K81" location="'有効抵抗土圧'!Z41" display="土圧162"/>
    <hyperlink ref="A82" location="'水平地盤ばね'!T24" display="部材163"/>
    <hyperlink ref="K82" location="'有効抵抗土圧'!Z45" display="土圧163"/>
    <hyperlink ref="A83" location="'水平地盤ばね'!T25" display="部材164"/>
    <hyperlink ref="K83" location="'有効抵抗土圧'!Z47" display="土圧164"/>
    <hyperlink ref="A84" location="'水平地盤ばね'!T26" display="部材165"/>
    <hyperlink ref="K84" location="'有効抵抗土圧'!Z49" display="土圧165"/>
    <hyperlink ref="A85" location="'水平地盤ばね'!T27" display="部材166"/>
    <hyperlink ref="K85" location="'有効抵抗土圧'!Z51" display="土圧166"/>
    <hyperlink ref="A86" location="'水平地盤ばね'!T28" display="部材167"/>
    <hyperlink ref="K86" location="'有効抵抗土圧'!Z53" display="土圧167"/>
    <hyperlink ref="A87" location="'水平地盤ばね'!T29" display="部材168"/>
    <hyperlink ref="K87" location="'有効抵抗土圧'!Z55" display="土圧168"/>
    <hyperlink ref="A88" location="'水平地盤ばね'!T30" display="部材169"/>
    <hyperlink ref="K88" location="'有効抵抗土圧'!Z57" display="土圧169"/>
    <hyperlink ref="A89" location="'水平地盤ばね'!T31" display="部材170"/>
    <hyperlink ref="K89" location="'有効抵抗土圧'!Z59" display="土圧170"/>
    <hyperlink ref="A92" location="'水平地盤ばね'!T32" display="部材171"/>
    <hyperlink ref="K92" location="'有効抵抗土圧'!Z61" display="土圧171"/>
    <hyperlink ref="A96" location="'杭周面ばね'!F9" display="杭周面ばね"/>
    <hyperlink ref="A97" location="'杭周面ばね'!F12" display="杭周面ばね"/>
    <hyperlink ref="A98" location="'杭周面ばね'!F13" display="杭周面ばね"/>
    <hyperlink ref="A99" location="'杭周面ばね'!F15" display="杭周面ばね"/>
    <hyperlink ref="A100" location="'杭周面ばね'!F17" display="杭周面ばね"/>
    <hyperlink ref="A101" location="'杭周面ばね'!F18" display="杭周面ばね"/>
    <hyperlink ref="A102" location="'杭周面ばね'!F19" display="杭周面ばね"/>
    <hyperlink ref="A103" location="'杭周面ばね'!F20" display="杭周面ばね"/>
    <hyperlink ref="A104" location="'杭周面ばね'!F21" display="杭周面ばね"/>
    <hyperlink ref="A105" location="'杭周面ばね'!F22" display="杭周面ばね"/>
    <hyperlink ref="A108" location="'杭周面ばね'!F23" display="杭周面ばね"/>
    <hyperlink ref="A109" location="'杭周面ばね'!F25" display="杭周面ばね"/>
    <hyperlink ref="A110" location="'杭周面ばね'!F26" display="杭周面ばね"/>
    <hyperlink ref="A111" location="'杭周面ばね'!F27" display="杭周面ばね"/>
    <hyperlink ref="A112" location="'杭周面ばね'!F28" display="杭周面ばね"/>
    <hyperlink ref="A113" location="'杭周面ばね'!F29" display="杭周面ばね"/>
    <hyperlink ref="A114" location="'杭周面ばね'!F30" display="杭周面ばね"/>
    <hyperlink ref="A115" location="'杭周面ばね'!F31" display="杭周面ばね"/>
    <hyperlink ref="A116" location="'杭周面ばね'!F32" display="杭周面ばね"/>
    <hyperlink ref="A117" location="'杭周面ばね'!F33" display="杭周面ばね"/>
    <hyperlink ref="A118" location="'杭周面ばね'!M9" display="杭周面ばね"/>
    <hyperlink ref="A119" location="'杭周面ばね'!M12" display="杭周面ばね"/>
    <hyperlink ref="A120" location="'杭周面ばね'!M13" display="杭周面ばね"/>
    <hyperlink ref="A121" location="'杭周面ばね'!M15" display="杭周面ばね"/>
    <hyperlink ref="A122" location="'杭周面ばね'!M17" display="杭周面ばね"/>
    <hyperlink ref="A125" location="'杭周面ばね'!M18" display="杭周面ばね"/>
    <hyperlink ref="A126" location="'杭周面ばね'!M19" display="杭周面ばね"/>
    <hyperlink ref="A127" location="'杭周面ばね'!M20" display="杭周面ばね"/>
    <hyperlink ref="A128" location="'杭周面ばね'!M21" display="杭周面ばね"/>
    <hyperlink ref="A129" location="'杭周面ばね'!M22" display="杭周面ばね"/>
    <hyperlink ref="A130" location="'杭周面ばね'!M23" display="杭周面ばね"/>
    <hyperlink ref="A131" location="'杭周面ばね'!M25" display="杭周面ばね"/>
    <hyperlink ref="A132" location="'杭周面ばね'!M26" display="杭周面ばね"/>
    <hyperlink ref="A133" location="'杭周面ばね'!M27" display="杭周面ばね"/>
    <hyperlink ref="A134" location="'杭周面ばね'!M28" display="杭周面ばね"/>
    <hyperlink ref="A135" location="'杭周面ばね'!M29" display="杭周面ばね"/>
    <hyperlink ref="A136" location="'杭周面ばね'!M30" display="杭周面ばね"/>
    <hyperlink ref="A137" location="'杭周面ばね'!M31" display="杭周面ばね"/>
    <hyperlink ref="A138" location="'杭周面ばね'!M32" display="杭周面ばね"/>
    <hyperlink ref="A139" location="'杭周面ばね'!M33" display="杭周面ばね"/>
    <hyperlink ref="A142" location="'杭周面ばね'!T9" display="杭周面ばね"/>
    <hyperlink ref="A143" location="'杭周面ばね'!T12" display="杭周面ばね"/>
    <hyperlink ref="A144" location="'杭周面ばね'!T13" display="杭周面ばね"/>
    <hyperlink ref="A145" location="'杭周面ばね'!T15" display="杭周面ばね"/>
    <hyperlink ref="A146" location="'杭周面ばね'!T17" display="杭周面ばね"/>
    <hyperlink ref="A147" location="'杭周面ばね'!T18" display="杭周面ばね"/>
    <hyperlink ref="A148" location="'杭周面ばね'!T19" display="杭周面ばね"/>
    <hyperlink ref="A149" location="'杭周面ばね'!T20" display="杭周面ばね"/>
    <hyperlink ref="A150" location="'杭周面ばね'!T21" display="杭周面ばね"/>
    <hyperlink ref="A151" location="'杭周面ばね'!T22" display="杭周面ばね"/>
    <hyperlink ref="A152" location="'杭周面ばね'!T23" display="杭周面ばね"/>
    <hyperlink ref="A153" location="'杭周面ばね'!T25" display="杭周面ばね"/>
    <hyperlink ref="A154" location="'杭周面ばね'!T26" display="杭周面ばね"/>
    <hyperlink ref="A155" location="'杭周面ばね'!T27" display="杭周面ばね"/>
    <hyperlink ref="A156" location="'杭周面ばね'!T28" display="杭周面ばね"/>
    <hyperlink ref="A159" location="'杭周面ばね'!T29" display="杭周面ばね"/>
    <hyperlink ref="A160" location="'杭周面ばね'!T30" display="杭周面ばね"/>
    <hyperlink ref="A161" location="'杭周面ばね'!T31" display="杭周面ばね"/>
    <hyperlink ref="A162" location="'杭周面ばね'!T32" display="杭周面ばね"/>
    <hyperlink ref="A163" location="'杭周面ばね'!T33" display="杭周面ばね"/>
    <hyperlink ref="A164" location="'杭先端ばね'!A4" display="杭先端ばね"/>
    <hyperlink ref="A165" location="'杭先端ばね'!A5" display="杭先端ばね"/>
    <hyperlink ref="A166" location="'杭先端ばね'!A6" display="杭先端ばね"/>
    <hyperlink ref="A170" location="'杭周面の支持力'!F9" display="杭周面の支持力"/>
    <hyperlink ref="A171" location="'杭周面の支持力'!F12" display="杭周面の支持力"/>
    <hyperlink ref="A172" location="'杭周面の支持力'!F13" display="杭周面の支持力"/>
    <hyperlink ref="A175" location="'杭周面の支持力'!F15" display="杭周面の支持力"/>
    <hyperlink ref="A176" location="'杭周面の支持力'!F17" display="杭周面の支持力"/>
    <hyperlink ref="A177" location="'杭周面の支持力'!F18" display="杭周面の支持力"/>
    <hyperlink ref="A178" location="'杭周面の支持力'!F19" display="杭周面の支持力"/>
    <hyperlink ref="A179" location="'杭周面の支持力'!F20" display="杭周面の支持力"/>
    <hyperlink ref="A180" location="'杭周面の支持力'!F21" display="杭周面の支持力"/>
    <hyperlink ref="A181" location="'杭周面の支持力'!F22" display="杭周面の支持力"/>
    <hyperlink ref="A182" location="'杭周面の支持力'!F23" display="杭周面の支持力"/>
    <hyperlink ref="A183" location="'杭周面の支持力'!F25" display="杭周面の支持力"/>
    <hyperlink ref="A184" location="'杭周面の支持力'!F26" display="杭周面の支持力"/>
    <hyperlink ref="A185" location="'杭周面の支持力'!F27" display="杭周面の支持力"/>
    <hyperlink ref="A186" location="'杭周面の支持力'!F28" display="杭周面の支持力"/>
    <hyperlink ref="A187" location="'杭周面の支持力'!F29" display="杭周面の支持力"/>
    <hyperlink ref="A188" location="'杭周面の支持力'!F30" display="杭周面の支持力"/>
    <hyperlink ref="A189" location="'杭周面の支持力'!F31" display="杭周面の支持力"/>
    <hyperlink ref="A192" location="'杭周面の支持力'!F32" display="杭周面の支持力"/>
    <hyperlink ref="A193" location="'杭周面の支持力'!F33" display="杭周面の支持力"/>
    <hyperlink ref="A194" location="'杭周面の支持力'!M9" display="杭周面の支持力"/>
    <hyperlink ref="A195" location="'杭周面の支持力'!M12" display="杭周面の支持力"/>
    <hyperlink ref="A196" location="'杭周面の支持力'!M13" display="杭周面の支持力"/>
    <hyperlink ref="A197" location="'杭周面の支持力'!M15" display="杭周面の支持力"/>
    <hyperlink ref="A198" location="'杭周面の支持力'!M17" display="杭周面の支持力"/>
    <hyperlink ref="A199" location="'杭周面の支持力'!M18" display="杭周面の支持力"/>
    <hyperlink ref="A200" location="'杭周面の支持力'!M19" display="杭周面の支持力"/>
    <hyperlink ref="A201" location="'杭周面の支持力'!M20" display="杭周面の支持力"/>
    <hyperlink ref="A202" location="'杭周面の支持力'!M21" display="杭周面の支持力"/>
    <hyperlink ref="A203" location="'杭周面の支持力'!M22" display="杭周面の支持力"/>
    <hyperlink ref="A204" location="'杭周面の支持力'!M23" display="杭周面の支持力"/>
    <hyperlink ref="A205" location="'杭周面の支持力'!M25" display="杭周面の支持力"/>
    <hyperlink ref="A206" location="'杭周面の支持力'!M26" display="杭周面の支持力"/>
    <hyperlink ref="A209" location="'杭周面の支持力'!M27" display="杭周面の支持力"/>
    <hyperlink ref="A210" location="'杭周面の支持力'!M28" display="杭周面の支持力"/>
    <hyperlink ref="A211" location="'杭周面の支持力'!M29" display="杭周面の支持力"/>
    <hyperlink ref="A212" location="'杭周面の支持力'!M30" display="杭周面の支持力"/>
    <hyperlink ref="A213" location="'杭周面の支持力'!M31" display="杭周面の支持力"/>
    <hyperlink ref="A214" location="'杭周面の支持力'!M32" display="杭周面の支持力"/>
    <hyperlink ref="A215" location="'杭周面の支持力'!M33" display="杭周面の支持力"/>
    <hyperlink ref="A216" location="'杭周面の支持力'!T9" display="杭周面の支持力"/>
    <hyperlink ref="A217" location="'杭周面の支持力'!T12" display="杭周面の支持力"/>
    <hyperlink ref="A218" location="'杭周面の支持力'!T13" display="杭周面の支持力"/>
    <hyperlink ref="A219" location="'杭周面の支持力'!T15" display="杭周面の支持力"/>
    <hyperlink ref="A220" location="'杭周面の支持力'!T17" display="杭周面の支持力"/>
    <hyperlink ref="A221" location="'杭周面の支持力'!T18" display="杭周面の支持力"/>
    <hyperlink ref="A222" location="'杭周面の支持力'!T19" display="杭周面の支持力"/>
    <hyperlink ref="A223" location="'杭周面の支持力'!T20" display="杭周面の支持力"/>
    <hyperlink ref="A226" location="'杭周面の支持力'!T21" display="杭周面の支持力"/>
    <hyperlink ref="A227" location="'杭周面の支持力'!T22" display="杭周面の支持力"/>
    <hyperlink ref="A228" location="'杭周面の支持力'!T23" display="杭周面の支持力"/>
    <hyperlink ref="A229" location="'杭周面の支持力'!T25" display="杭周面の支持力"/>
    <hyperlink ref="A230" location="'杭周面の支持力'!T26" display="杭周面の支持力"/>
    <hyperlink ref="A231" location="'杭周面の支持力'!T27" display="杭周面の支持力"/>
    <hyperlink ref="A232" location="'杭周面の支持力'!T28" display="杭周面の支持力"/>
    <hyperlink ref="A233" location="'杭周面の支持力'!T29" display="杭周面の支持力"/>
    <hyperlink ref="A234" location="'杭周面の支持力'!T30" display="杭周面の支持力"/>
    <hyperlink ref="A235" location="'杭周面の支持力'!T31" display="杭周面の支持力"/>
    <hyperlink ref="A236" location="'杭周面の支持力'!T32" display="杭周面の支持力"/>
    <hyperlink ref="A237" location="'杭周面の支持力'!T33" display="杭周面の支持力"/>
    <hyperlink ref="A238" location="'杭先端ばね'!A12" display="杭先端ばね"/>
    <hyperlink ref="A239" location="'杭先端ばね'!A13" display="杭先端ばね"/>
    <hyperlink ref="A240" location="'杭先端ばね'!A14" display="杭先端ばね"/>
  </hyperlinks>
  <pageMargins left="0.25" right="0.25" top="0.35" bottom="0.35" header="0.3" footer="0.3"/>
  <pageSetup paperSize="9" scale="83" orientation="landscape"/>
  <headerFooter>
    <oddFooter>&amp;L変換結果&amp;R&amp;P / &amp;N</oddFooter>
  </headerFooter>
  <rowBreaks count="70" manualBreakCount="70">
    <brk id="21" max="16383" man="1"/>
    <brk id="38" max="16383" man="1"/>
    <brk id="55" max="16383" man="1"/>
    <brk id="72" max="16383" man="1"/>
    <brk id="89" max="16383" man="1"/>
    <brk id="105" max="16383" man="1"/>
    <brk id="122" max="16383" man="1"/>
    <brk id="139" max="16383" man="1"/>
    <brk id="156" max="16383" man="1"/>
    <brk id="172" max="16383" man="1"/>
    <brk id="189" max="16383" man="1"/>
    <brk id="206" max="16383" man="1"/>
    <brk id="223" max="16383" man="1"/>
    <brk id="240" max="16383" man="1"/>
    <brk id="257" max="16383" man="1"/>
    <brk id="274" max="16383" man="1"/>
    <brk id="291" max="16383" man="1"/>
    <brk id="308" max="16383" man="1"/>
    <brk id="325" max="16383" man="1"/>
    <brk id="342" max="16383" man="1"/>
    <brk id="359" max="16383" man="1"/>
    <brk id="376" max="16383" man="1"/>
    <brk id="393" max="16383" man="1"/>
    <brk id="410" max="16383" man="1"/>
    <brk id="427" max="16383" man="1"/>
    <brk id="444" max="16383" man="1"/>
    <brk id="461" max="16383" man="1"/>
    <brk id="478" max="16383" man="1"/>
    <brk id="495" max="16383" man="1"/>
    <brk id="512" max="16383" man="1"/>
    <brk id="529" max="16383" man="1"/>
    <brk id="546" max="16383" man="1"/>
    <brk id="563" max="16383" man="1"/>
    <brk id="580" max="16383" man="1"/>
    <brk id="597" max="16383" man="1"/>
    <brk id="614" max="16383" man="1"/>
    <brk id="631" max="16383" man="1"/>
    <brk id="648" max="16383" man="1"/>
    <brk id="665" max="16383" man="1"/>
    <brk id="682" max="16383" man="1"/>
    <brk id="699" max="16383" man="1"/>
    <brk id="716" max="16383" man="1"/>
    <brk id="733" max="16383" man="1"/>
    <brk id="750" max="16383" man="1"/>
    <brk id="767" max="16383" man="1"/>
    <brk id="784" max="16383" man="1"/>
    <brk id="801" max="16383" man="1"/>
    <brk id="818" max="16383" man="1"/>
    <brk id="835" max="16383" man="1"/>
    <brk id="852" max="16383" man="1"/>
    <brk id="869" max="16383" man="1"/>
    <brk id="886" max="16383" man="1"/>
    <brk id="903" max="16383" man="1"/>
    <brk id="920" max="16383" man="1"/>
    <brk id="937" max="16383" man="1"/>
    <brk id="954" max="16383" man="1"/>
    <brk id="971" max="16383" man="1"/>
    <brk id="988" max="16383" man="1"/>
    <brk id="1005" max="16383" man="1"/>
    <brk id="1022" max="16383" man="1"/>
    <brk id="1039" max="16383" man="1"/>
    <brk id="1056" max="16383" man="1"/>
    <brk id="1073" max="16383" man="1"/>
    <brk id="1090" max="16383" man="1"/>
    <brk id="1107" max="16383" man="1"/>
    <brk id="1124" max="16383" man="1"/>
    <brk id="1141" max="16383" man="1"/>
    <brk id="1158" max="16383" man="1"/>
    <brk id="1175" max="16383" man="1"/>
    <brk id="119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U34"/>
  <sheetViews>
    <sheetView showGridLines="0" zoomScale="85" zoomScaleNormal="85" workbookViewId="0"/>
  </sheetViews>
  <sheetFormatPr defaultRowHeight="23" customHeight="1"/>
  <cols>
    <col min="1" max="2" width="8.7109375" customWidth="1"/>
    <col min="3" max="3" width="16.85546875" customWidth="1"/>
    <col min="4" max="6" width="9.5703125" customWidth="1"/>
    <col min="7" max="7" width="20.7109375" customWidth="1"/>
    <col min="8" max="9" width="8.7109375" customWidth="1"/>
    <col min="10" max="10" width="16.85546875" customWidth="1"/>
    <col min="11" max="13" width="9.5703125" customWidth="1"/>
    <col min="14" max="14" width="20.7109375" customWidth="1"/>
    <col min="15" max="16" width="8.7109375" customWidth="1"/>
    <col min="17" max="17" width="16.85546875" customWidth="1"/>
    <col min="18" max="20" width="9.5703125" customWidth="1"/>
    <col min="21" max="21" width="20.7109375" customWidth="1"/>
  </cols>
  <sheetData>
    <row r="1" spans="1:21" ht="24" customHeight="1">
      <c r="A1" s="12" t="s">
        <v>191</v>
      </c>
      <c r="B1" s="13"/>
      <c r="C1" s="13"/>
      <c r="D1" s="13"/>
      <c r="E1" s="13"/>
      <c r="F1" s="13"/>
      <c r="G1" s="13"/>
      <c r="H1" s="12" t="s">
        <v>191</v>
      </c>
      <c r="I1" s="13"/>
      <c r="J1" s="13"/>
      <c r="K1" s="13"/>
      <c r="L1" s="13"/>
      <c r="M1" s="13"/>
      <c r="N1" s="13"/>
      <c r="O1" s="12" t="s">
        <v>191</v>
      </c>
      <c r="P1" s="13"/>
      <c r="Q1" s="13"/>
      <c r="R1" s="13"/>
      <c r="S1" s="13"/>
      <c r="T1" s="13"/>
      <c r="U1" s="13"/>
    </row>
    <row r="2" spans="1:21" ht="48.75" customHeight="1">
      <c r="A2" s="14" t="s">
        <v>198</v>
      </c>
      <c r="B2" s="14" t="s">
        <v>199</v>
      </c>
      <c r="C2" s="14" t="s">
        <v>200</v>
      </c>
      <c r="D2" s="14" t="s">
        <v>201</v>
      </c>
      <c r="E2" s="14"/>
      <c r="F2" s="14" t="s">
        <v>202</v>
      </c>
      <c r="G2" s="14" t="s">
        <v>203</v>
      </c>
      <c r="H2" s="14" t="s">
        <v>198</v>
      </c>
      <c r="I2" s="14" t="s">
        <v>199</v>
      </c>
      <c r="J2" s="14" t="s">
        <v>200</v>
      </c>
      <c r="K2" s="14" t="s">
        <v>201</v>
      </c>
      <c r="L2" s="14"/>
      <c r="M2" s="14" t="s">
        <v>202</v>
      </c>
      <c r="N2" s="14" t="s">
        <v>203</v>
      </c>
      <c r="O2" s="14" t="s">
        <v>198</v>
      </c>
      <c r="P2" s="14" t="s">
        <v>199</v>
      </c>
      <c r="Q2" s="14" t="s">
        <v>200</v>
      </c>
      <c r="R2" s="14" t="s">
        <v>201</v>
      </c>
      <c r="S2" s="14"/>
      <c r="T2" s="14" t="s">
        <v>202</v>
      </c>
      <c r="U2" s="14" t="s">
        <v>203</v>
      </c>
    </row>
    <row r="3" spans="1:21" ht="21.75" customHeight="1">
      <c r="A3" s="15">
        <v>1</v>
      </c>
      <c r="B3" s="16">
        <f>'入力根拠'!G424</f>
        <v>1.5</v>
      </c>
      <c r="C3" s="14">
        <f>'入力根拠'!F36</f>
        <v>58812.0</v>
      </c>
      <c r="D3" s="17">
        <f>'入力根拠'!H450</f>
        <v>1.3</v>
      </c>
      <c r="E3" s="18"/>
      <c r="F3" s="19">
        <v>98</v>
      </c>
      <c r="G3" s="14">
        <f>C3</f>
        <v>58812.0</v>
      </c>
      <c r="H3" s="15">
        <v>1</v>
      </c>
      <c r="I3" s="16">
        <f>'入力根拠'!G431</f>
        <v>1.5</v>
      </c>
      <c r="J3" s="14">
        <f>'入力根拠'!F45</f>
        <v>39208.0</v>
      </c>
      <c r="K3" s="17">
        <f>'入力根拠'!H478</f>
        <v>1.3</v>
      </c>
      <c r="L3" s="18"/>
      <c r="M3" s="19">
        <v>123</v>
      </c>
      <c r="N3" s="14">
        <f>J3</f>
        <v>39208.0</v>
      </c>
      <c r="O3" s="15">
        <v>1</v>
      </c>
      <c r="P3" s="16">
        <f>'入力根拠'!G438</f>
        <v>1.5</v>
      </c>
      <c r="Q3" s="14">
        <f>'入力根拠'!F52</f>
        <v>58812.0</v>
      </c>
      <c r="R3" s="17">
        <f>'入力根拠'!H504</f>
        <v>1.3</v>
      </c>
      <c r="S3" s="18"/>
      <c r="T3" s="19">
        <v>148</v>
      </c>
      <c r="U3" s="14">
        <f>Q3</f>
        <v>58812.0</v>
      </c>
    </row>
    <row r="4" spans="1:21" ht="21.75" customHeight="1">
      <c r="A4" s="20"/>
      <c r="B4" s="21"/>
      <c r="C4" s="14">
        <f>'入力根拠'!F36</f>
        <v>58812.0</v>
      </c>
      <c r="D4" s="22">
        <f>'入力根拠'!H451</f>
        <v>1.3</v>
      </c>
      <c r="E4" s="23">
        <f>MAX(0,ROUND((MIN('入力根拠'!G451,'入力根拠'!F424)-MAX('入力根拠'!F451,'入力根拠'!E424)),4))</f>
        <v>0.2</v>
      </c>
      <c r="F4" s="24">
        <v>99</v>
      </c>
      <c r="G4" s="15">
        <f>(SUM((C4*E4),(C5*E5))/D4)</f>
        <v>272085.9230769231</v>
      </c>
      <c r="H4" s="20"/>
      <c r="I4" s="21"/>
      <c r="J4" s="14">
        <f>'入力根拠'!F45</f>
        <v>39208.0</v>
      </c>
      <c r="K4" s="22">
        <f>'入力根拠'!H479</f>
        <v>1.3</v>
      </c>
      <c r="L4" s="23">
        <f>MAX(0,ROUND((MIN('入力根拠'!G479,'入力根拠'!F431)-MAX('入力根拠'!F479,'入力根拠'!E431)),4))</f>
        <v>0.2</v>
      </c>
      <c r="M4" s="24">
        <v>124</v>
      </c>
      <c r="N4" s="15">
        <f>(SUM((J4*L4),(J5*L5))/K4)</f>
        <v>181390.6153846154</v>
      </c>
      <c r="O4" s="20"/>
      <c r="P4" s="21"/>
      <c r="Q4" s="14">
        <f>'入力根拠'!F52</f>
        <v>58812.0</v>
      </c>
      <c r="R4" s="22">
        <f>'入力根拠'!H505</f>
        <v>1.3</v>
      </c>
      <c r="S4" s="23">
        <f>MAX(0,ROUND((MIN('入力根拠'!G505,'入力根拠'!F438)-MAX('入力根拠'!F505,'入力根拠'!E438)),4))</f>
        <v>0.2</v>
      </c>
      <c r="T4" s="24">
        <v>149</v>
      </c>
      <c r="U4" s="15">
        <f>(SUM((Q4*S4),(Q5*S5))/R4)</f>
        <v>272085.9230769231</v>
      </c>
    </row>
    <row r="5" spans="1:21" ht="21.75" customHeight="1">
      <c r="A5" s="15">
        <v>2</v>
      </c>
      <c r="B5" s="16">
        <f>'入力根拠'!G425</f>
        <v>1.3</v>
      </c>
      <c r="C5" s="14">
        <f>'入力根拠'!F39</f>
        <v>310863.0</v>
      </c>
      <c r="D5" s="25"/>
      <c r="E5" s="26">
        <f>MAX(0,ROUND((MIN('入力根拠'!G451,'入力根拠'!F425)-MAX('入力根拠'!F451,'入力根拠'!E425)),4))</f>
        <v>1.1</v>
      </c>
      <c r="F5" s="27"/>
      <c r="G5" s="28"/>
      <c r="H5" s="15">
        <v>2</v>
      </c>
      <c r="I5" s="16">
        <f>'入力根拠'!G432</f>
        <v>1.3</v>
      </c>
      <c r="J5" s="14">
        <f>'入力根拠'!F46</f>
        <v>207242.0</v>
      </c>
      <c r="K5" s="25"/>
      <c r="L5" s="26">
        <f>MAX(0,ROUND((MIN('入力根拠'!G479,'入力根拠'!F432)-MAX('入力根拠'!F479,'入力根拠'!E432)),4))</f>
        <v>1.1</v>
      </c>
      <c r="M5" s="27"/>
      <c r="N5" s="28"/>
      <c r="O5" s="15">
        <v>2</v>
      </c>
      <c r="P5" s="16">
        <f>'入力根拠'!G441</f>
        <v>1.3</v>
      </c>
      <c r="Q5" s="14">
        <f>'入力根拠'!F53</f>
        <v>310863.0</v>
      </c>
      <c r="R5" s="25"/>
      <c r="S5" s="26">
        <f>MAX(0,ROUND((MIN('入力根拠'!G505,'入力根拠'!F441)-MAX('入力根拠'!F505,'入力根拠'!E441)),4))</f>
        <v>1.1</v>
      </c>
      <c r="T5" s="27"/>
      <c r="U5" s="28"/>
    </row>
    <row r="6" spans="1:21" ht="21.75" customHeight="1">
      <c r="A6" s="20"/>
      <c r="B6" s="21"/>
      <c r="C6" s="14">
        <f>'入力根拠'!F39</f>
        <v>310863.0</v>
      </c>
      <c r="D6" s="22">
        <f>'入力根拠'!H452</f>
        <v>1.3</v>
      </c>
      <c r="E6" s="23">
        <f>MAX(0,ROUND((MIN('入力根拠'!G452,'入力根拠'!F425)-MAX('入力根拠'!F452,'入力根拠'!E425)),4))</f>
        <v>0.2</v>
      </c>
      <c r="F6" s="24">
        <v>100</v>
      </c>
      <c r="G6" s="15">
        <f>(SUM((C6*E6),(C7*E7))/D6)</f>
        <v>141501.07692307694</v>
      </c>
      <c r="H6" s="20"/>
      <c r="I6" s="21"/>
      <c r="J6" s="14">
        <f>'入力根拠'!F46</f>
        <v>207242.0</v>
      </c>
      <c r="K6" s="22">
        <f>'入力根拠'!H480</f>
        <v>1.3</v>
      </c>
      <c r="L6" s="23">
        <f>MAX(0,ROUND((MIN('入力根拠'!G480,'入力根拠'!F432)-MAX('入力根拠'!F480,'入力根拠'!E432)),4))</f>
        <v>0.2</v>
      </c>
      <c r="M6" s="24">
        <v>125</v>
      </c>
      <c r="N6" s="15">
        <f>(SUM((J6*L6),(J7*L7))/K6)</f>
        <v>94333.76923076922</v>
      </c>
      <c r="O6" s="20"/>
      <c r="P6" s="21"/>
      <c r="Q6" s="14">
        <f>'入力根拠'!F53</f>
        <v>310863.0</v>
      </c>
      <c r="R6" s="22">
        <f>'入力根拠'!H508</f>
        <v>1.3</v>
      </c>
      <c r="S6" s="23">
        <f>MAX(0,ROUND((MIN('入力根拠'!G508,'入力根拠'!F441)-MAX('入力根拠'!F508,'入力根拠'!E441)),4))</f>
        <v>0.2</v>
      </c>
      <c r="T6" s="24">
        <v>150</v>
      </c>
      <c r="U6" s="15">
        <f>(SUM((Q6*S6),(Q7*S7))/R6)</f>
        <v>141501.07692307694</v>
      </c>
    </row>
    <row r="7" spans="1:21" ht="21.75" customHeight="1">
      <c r="A7" s="15">
        <v>3</v>
      </c>
      <c r="B7" s="16">
        <f>'入力根拠'!G426</f>
        <v>2.9</v>
      </c>
      <c r="C7" s="14">
        <f>'入力根拠'!F40</f>
        <v>110708.0</v>
      </c>
      <c r="D7" s="25"/>
      <c r="E7" s="26">
        <f>MAX(0,ROUND((MIN('入力根拠'!G452,'入力根拠'!F426)-MAX('入力根拠'!F452,'入力根拠'!E426)),4))</f>
        <v>1.1</v>
      </c>
      <c r="F7" s="27"/>
      <c r="G7" s="28"/>
      <c r="H7" s="15">
        <v>3</v>
      </c>
      <c r="I7" s="16">
        <f>'入力根拠'!G433</f>
        <v>2.9</v>
      </c>
      <c r="J7" s="14">
        <f>'入力根拠'!F47</f>
        <v>73805.0</v>
      </c>
      <c r="K7" s="25"/>
      <c r="L7" s="26">
        <f>MAX(0,ROUND((MIN('入力根拠'!G480,'入力根拠'!F433)-MAX('入力根拠'!F480,'入力根拠'!E433)),4))</f>
        <v>1.1</v>
      </c>
      <c r="M7" s="27"/>
      <c r="N7" s="28"/>
      <c r="O7" s="15">
        <v>3</v>
      </c>
      <c r="P7" s="16">
        <f>'入力根拠'!G442</f>
        <v>2.9</v>
      </c>
      <c r="Q7" s="14">
        <f>'入力根拠'!F56</f>
        <v>110708.0</v>
      </c>
      <c r="R7" s="25"/>
      <c r="S7" s="26">
        <f>MAX(0,ROUND((MIN('入力根拠'!G508,'入力根拠'!F442)-MAX('入力根拠'!F508,'入力根拠'!E442)),4))</f>
        <v>1.1</v>
      </c>
      <c r="T7" s="27"/>
      <c r="U7" s="28"/>
    </row>
    <row r="8" spans="1:21" ht="21.75" customHeight="1">
      <c r="A8" s="20"/>
      <c r="B8" s="21"/>
      <c r="C8" s="14">
        <f>'入力根拠'!F40</f>
        <v>110708.0</v>
      </c>
      <c r="D8" s="17">
        <f>'入力根拠'!H453</f>
        <v>1.3</v>
      </c>
      <c r="E8" s="18"/>
      <c r="F8" s="19">
        <v>101</v>
      </c>
      <c r="G8" s="14">
        <f>C8</f>
        <v>110708.0</v>
      </c>
      <c r="H8" s="20"/>
      <c r="I8" s="21"/>
      <c r="J8" s="14">
        <f>'入力根拠'!F47</f>
        <v>73805.0</v>
      </c>
      <c r="K8" s="17">
        <f>'入力根拠'!H481</f>
        <v>1.3</v>
      </c>
      <c r="L8" s="18"/>
      <c r="M8" s="19">
        <v>126</v>
      </c>
      <c r="N8" s="14">
        <f>J8</f>
        <v>73805.0</v>
      </c>
      <c r="O8" s="20"/>
      <c r="P8" s="21"/>
      <c r="Q8" s="14">
        <f>'入力根拠'!F56</f>
        <v>110708.0</v>
      </c>
      <c r="R8" s="17">
        <f>'入力根拠'!H509</f>
        <v>1.3</v>
      </c>
      <c r="S8" s="18"/>
      <c r="T8" s="19">
        <v>151</v>
      </c>
      <c r="U8" s="14">
        <f>Q8</f>
        <v>110708.0</v>
      </c>
    </row>
    <row r="9" spans="1:21" ht="21.75" customHeight="1">
      <c r="A9" s="20"/>
      <c r="B9" s="21"/>
      <c r="C9" s="14">
        <f>'入力根拠'!F40</f>
        <v>110708.0</v>
      </c>
      <c r="D9" s="22">
        <f>'入力根拠'!H454</f>
        <v>1.3</v>
      </c>
      <c r="E9" s="23">
        <f>MAX(0,ROUND((MIN('入力根拠'!G454,'入力根拠'!F426)-MAX('入力根拠'!F454,'入力根拠'!E426)),4))</f>
        <v>0.5</v>
      </c>
      <c r="F9" s="24">
        <v>102</v>
      </c>
      <c r="G9" s="15">
        <f>(SUM((C9*E9),(C10*E10))/D9)</f>
        <v>208028.61538461538</v>
      </c>
      <c r="H9" s="20"/>
      <c r="I9" s="21"/>
      <c r="J9" s="14">
        <f>'入力根拠'!F47</f>
        <v>73805.0</v>
      </c>
      <c r="K9" s="22">
        <f>'入力根拠'!H482</f>
        <v>1.3</v>
      </c>
      <c r="L9" s="23">
        <f>MAX(0,ROUND((MIN('入力根拠'!G482,'入力根拠'!F433)-MAX('入力根拠'!F482,'入力根拠'!E433)),4))</f>
        <v>0.5</v>
      </c>
      <c r="M9" s="24">
        <v>127</v>
      </c>
      <c r="N9" s="15">
        <f>(SUM((J9*L9),(J10*L10))/K9)</f>
        <v>138685.6153846154</v>
      </c>
      <c r="O9" s="20"/>
      <c r="P9" s="21"/>
      <c r="Q9" s="14">
        <f>'入力根拠'!F56</f>
        <v>110708.0</v>
      </c>
      <c r="R9" s="22">
        <f>'入力根拠'!H510</f>
        <v>1.3</v>
      </c>
      <c r="S9" s="23">
        <f>MAX(0,ROUND((MIN('入力根拠'!G510,'入力根拠'!F442)-MAX('入力根拠'!F510,'入力根拠'!E442)),4))</f>
        <v>0.5</v>
      </c>
      <c r="T9" s="24">
        <v>152</v>
      </c>
      <c r="U9" s="15">
        <f>(SUM((Q9*S9),(Q10*S10))/R9)</f>
        <v>208028.61538461538</v>
      </c>
    </row>
    <row r="10" spans="1:21" ht="21.75" customHeight="1">
      <c r="A10" s="15">
        <v>4</v>
      </c>
      <c r="B10" s="16">
        <f>'入力根拠'!G427</f>
        <v>2.6</v>
      </c>
      <c r="C10" s="14">
        <f>'入力根拠'!F41</f>
        <v>268854.0</v>
      </c>
      <c r="D10" s="25"/>
      <c r="E10" s="26">
        <f>MAX(0,ROUND((MIN('入力根拠'!G454,'入力根拠'!F427)-MAX('入力根拠'!F454,'入力根拠'!E427)),4))</f>
        <v>0.8</v>
      </c>
      <c r="F10" s="27"/>
      <c r="G10" s="28"/>
      <c r="H10" s="15">
        <v>4</v>
      </c>
      <c r="I10" s="16">
        <f>'入力根拠'!G434</f>
        <v>2.6</v>
      </c>
      <c r="J10" s="14">
        <f>'入力根拠'!F48</f>
        <v>179236.0</v>
      </c>
      <c r="K10" s="25"/>
      <c r="L10" s="26">
        <f>MAX(0,ROUND((MIN('入力根拠'!G482,'入力根拠'!F434)-MAX('入力根拠'!F482,'入力根拠'!E434)),4))</f>
        <v>0.8</v>
      </c>
      <c r="M10" s="27"/>
      <c r="N10" s="28"/>
      <c r="O10" s="15">
        <v>4</v>
      </c>
      <c r="P10" s="16">
        <f>'入力根拠'!G443</f>
        <v>2.6</v>
      </c>
      <c r="Q10" s="14">
        <f>'入力根拠'!F57</f>
        <v>268854.0</v>
      </c>
      <c r="R10" s="25"/>
      <c r="S10" s="26">
        <f>MAX(0,ROUND((MIN('入力根拠'!G510,'入力根拠'!F443)-MAX('入力根拠'!F510,'入力根拠'!E443)),4))</f>
        <v>0.8</v>
      </c>
      <c r="T10" s="27"/>
      <c r="U10" s="28"/>
    </row>
    <row r="11" spans="1:21" ht="21.75" customHeight="1">
      <c r="A11" s="20"/>
      <c r="B11" s="21"/>
      <c r="C11" s="14">
        <f>'入力根拠'!F41</f>
        <v>268854.0</v>
      </c>
      <c r="D11" s="17">
        <f>'入力根拠'!H457</f>
        <v>1.3</v>
      </c>
      <c r="E11" s="18"/>
      <c r="F11" s="19">
        <v>103</v>
      </c>
      <c r="G11" s="14">
        <f>C11</f>
        <v>268854.0</v>
      </c>
      <c r="H11" s="20"/>
      <c r="I11" s="21"/>
      <c r="J11" s="14">
        <f>'入力根拠'!F48</f>
        <v>179236.0</v>
      </c>
      <c r="K11" s="17">
        <f>'入力根拠'!H483</f>
        <v>1.3</v>
      </c>
      <c r="L11" s="18"/>
      <c r="M11" s="19">
        <v>128</v>
      </c>
      <c r="N11" s="14">
        <f>J11</f>
        <v>179236.0</v>
      </c>
      <c r="O11" s="20"/>
      <c r="P11" s="21"/>
      <c r="Q11" s="14">
        <f>'入力根拠'!F57</f>
        <v>268854.0</v>
      </c>
      <c r="R11" s="17">
        <f>'入力根拠'!H511</f>
        <v>1.3</v>
      </c>
      <c r="S11" s="18"/>
      <c r="T11" s="19">
        <v>153</v>
      </c>
      <c r="U11" s="14">
        <f>Q11</f>
        <v>268854.0</v>
      </c>
    </row>
    <row r="12" spans="1:21" ht="21.75" customHeight="1">
      <c r="A12" s="20"/>
      <c r="B12" s="21"/>
      <c r="C12" s="14">
        <f>'入力根拠'!F41</f>
        <v>268854.0</v>
      </c>
      <c r="D12" s="22">
        <f>'入力根拠'!H458</f>
        <v>1.3</v>
      </c>
      <c r="E12" s="23">
        <f>MAX(0,ROUND((MIN('入力根拠'!G458,'入力根拠'!F427)-MAX('入力根拠'!F458,'入力根拠'!E427)),4))</f>
        <v>0.5</v>
      </c>
      <c r="F12" s="24">
        <v>104</v>
      </c>
      <c r="G12" s="15">
        <f>(SUM((C12*E12),(C13*E13),(C14*E14))/D12)</f>
        <v>363439.69230769225</v>
      </c>
      <c r="H12" s="20"/>
      <c r="I12" s="21"/>
      <c r="J12" s="14">
        <f>'入力根拠'!F48</f>
        <v>179236.0</v>
      </c>
      <c r="K12" s="22">
        <f>'入力根拠'!H484</f>
        <v>1.3</v>
      </c>
      <c r="L12" s="23">
        <f>MAX(0,ROUND((MIN('入力根拠'!G484,'入力根拠'!F434)-MAX('入力根拠'!F484,'入力根拠'!E434)),4))</f>
        <v>0.5</v>
      </c>
      <c r="M12" s="24">
        <v>129</v>
      </c>
      <c r="N12" s="15">
        <f>(SUM((J12*L12),(J13*L13),(J14*L14))/K12)</f>
        <v>242293.0769230769</v>
      </c>
      <c r="O12" s="20"/>
      <c r="P12" s="21"/>
      <c r="Q12" s="14">
        <f>'入力根拠'!F57</f>
        <v>268854.0</v>
      </c>
      <c r="R12" s="22">
        <f>'入力根拠'!H512</f>
        <v>1.3</v>
      </c>
      <c r="S12" s="23">
        <f>MAX(0,ROUND((MIN('入力根拠'!G512,'入力根拠'!F443)-MAX('入力根拠'!F512,'入力根拠'!E443)),4))</f>
        <v>0.5</v>
      </c>
      <c r="T12" s="24">
        <v>154</v>
      </c>
      <c r="U12" s="15">
        <f>(SUM((Q12*S12),(Q13*S13),(Q14*S14))/R12)</f>
        <v>363439.69230769225</v>
      </c>
    </row>
    <row r="13" spans="1:21" ht="21.75" customHeight="1">
      <c r="A13" s="15">
        <v>5</v>
      </c>
      <c r="B13" s="16">
        <f>'入力根拠'!G428</f>
        <v>0.6</v>
      </c>
      <c r="C13" s="14">
        <f>'入力根拠'!F42</f>
        <v>428981.0</v>
      </c>
      <c r="D13" s="29"/>
      <c r="E13" s="30">
        <f>MAX(0,ROUND((MIN('入力根拠'!G458,'入力根拠'!F428)-MAX('入力根拠'!F458,'入力根拠'!E428)),4))</f>
        <v>0.6</v>
      </c>
      <c r="F13" s="31"/>
      <c r="G13" s="20"/>
      <c r="H13" s="15">
        <v>5</v>
      </c>
      <c r="I13" s="16">
        <f>'入力根拠'!G435</f>
        <v>0.6</v>
      </c>
      <c r="J13" s="14">
        <f>'入力根拠'!F49</f>
        <v>285987.0</v>
      </c>
      <c r="K13" s="29"/>
      <c r="L13" s="30">
        <f>MAX(0,ROUND((MIN('入力根拠'!G484,'入力根拠'!F435)-MAX('入力根拠'!F484,'入力根拠'!E435)),4))</f>
        <v>0.6</v>
      </c>
      <c r="M13" s="31"/>
      <c r="N13" s="20"/>
      <c r="O13" s="15">
        <v>5</v>
      </c>
      <c r="P13" s="16">
        <f>'入力根拠'!G444</f>
        <v>0.6</v>
      </c>
      <c r="Q13" s="14">
        <f>'入力根拠'!F58</f>
        <v>428981.0</v>
      </c>
      <c r="R13" s="29"/>
      <c r="S13" s="30">
        <f>MAX(0,ROUND((MIN('入力根拠'!G512,'入力根拠'!F444)-MAX('入力根拠'!F512,'入力根拠'!E444)),4))</f>
        <v>0.6</v>
      </c>
      <c r="T13" s="31"/>
      <c r="U13" s="20"/>
    </row>
    <row r="14" spans="1:21" ht="21.75" customHeight="1">
      <c r="A14" s="15">
        <v>6</v>
      </c>
      <c r="B14" s="16">
        <f>'入力根拠'!G429</f>
        <v>9.5</v>
      </c>
      <c r="C14" s="14">
        <f>'入力根拠'!F43</f>
        <v>403280.0</v>
      </c>
      <c r="D14" s="25"/>
      <c r="E14" s="26">
        <f>MAX(0,ROUND((MIN('入力根拠'!G458,'入力根拠'!F429)-MAX('入力根拠'!F458,'入力根拠'!E429)),4))</f>
        <v>0.2</v>
      </c>
      <c r="F14" s="27"/>
      <c r="G14" s="28"/>
      <c r="H14" s="15">
        <v>6</v>
      </c>
      <c r="I14" s="16">
        <f>'入力根拠'!G436</f>
        <v>9.5</v>
      </c>
      <c r="J14" s="14">
        <f>'入力根拠'!F50</f>
        <v>268854.0</v>
      </c>
      <c r="K14" s="25"/>
      <c r="L14" s="26">
        <f>MAX(0,ROUND((MIN('入力根拠'!G484,'入力根拠'!F436)-MAX('入力根拠'!F484,'入力根拠'!E436)),4))</f>
        <v>0.2</v>
      </c>
      <c r="M14" s="27"/>
      <c r="N14" s="28"/>
      <c r="O14" s="15">
        <v>6</v>
      </c>
      <c r="P14" s="16">
        <f>'入力根拠'!G445</f>
        <v>9.5</v>
      </c>
      <c r="Q14" s="14">
        <f>'入力根拠'!F59</f>
        <v>403280.0</v>
      </c>
      <c r="R14" s="25"/>
      <c r="S14" s="26">
        <f>MAX(0,ROUND((MIN('入力根拠'!G512,'入力根拠'!F445)-MAX('入力根拠'!F512,'入力根拠'!E445)),4))</f>
        <v>0.2</v>
      </c>
      <c r="T14" s="27"/>
      <c r="U14" s="28"/>
    </row>
    <row r="15" spans="1:21" ht="21.75" customHeight="1">
      <c r="A15" s="20"/>
      <c r="B15" s="21"/>
      <c r="C15" s="14">
        <f>'入力根拠'!F43</f>
        <v>403280.0</v>
      </c>
      <c r="D15" s="17">
        <f>'入力根拠'!H459</f>
        <v>1.3</v>
      </c>
      <c r="E15" s="18"/>
      <c r="F15" s="19">
        <v>105</v>
      </c>
      <c r="G15" s="14">
        <f>C15</f>
        <v>403280.0</v>
      </c>
      <c r="H15" s="20"/>
      <c r="I15" s="21"/>
      <c r="J15" s="14">
        <f>'入力根拠'!F50</f>
        <v>268854.0</v>
      </c>
      <c r="K15" s="17">
        <f>'入力根拠'!H485</f>
        <v>1.3</v>
      </c>
      <c r="L15" s="18"/>
      <c r="M15" s="19">
        <v>130</v>
      </c>
      <c r="N15" s="14">
        <f>J15</f>
        <v>268854.0</v>
      </c>
      <c r="O15" s="20"/>
      <c r="P15" s="21"/>
      <c r="Q15" s="14">
        <f>'入力根拠'!F59</f>
        <v>403280.0</v>
      </c>
      <c r="R15" s="17">
        <f>'入力根拠'!H513</f>
        <v>1.3</v>
      </c>
      <c r="S15" s="18"/>
      <c r="T15" s="19">
        <v>155</v>
      </c>
      <c r="U15" s="14">
        <f>Q15</f>
        <v>403280.0</v>
      </c>
    </row>
    <row r="16" spans="1:21" ht="21.75" customHeight="1">
      <c r="A16" s="20"/>
      <c r="B16" s="21"/>
      <c r="C16" s="14">
        <f>'入力根拠'!F43</f>
        <v>403280.0</v>
      </c>
      <c r="D16" s="17">
        <f>'入力根拠'!H460</f>
        <v>1.3</v>
      </c>
      <c r="E16" s="18"/>
      <c r="F16" s="19">
        <v>106</v>
      </c>
      <c r="G16" s="14">
        <f>C16</f>
        <v>403280.0</v>
      </c>
      <c r="H16" s="20"/>
      <c r="I16" s="21"/>
      <c r="J16" s="14">
        <f>'入力根拠'!F50</f>
        <v>268854.0</v>
      </c>
      <c r="K16" s="17">
        <f>'入力根拠'!H486</f>
        <v>1.3</v>
      </c>
      <c r="L16" s="18"/>
      <c r="M16" s="19">
        <v>131</v>
      </c>
      <c r="N16" s="14">
        <f>J16</f>
        <v>268854.0</v>
      </c>
      <c r="O16" s="20"/>
      <c r="P16" s="21"/>
      <c r="Q16" s="14">
        <f>'入力根拠'!F59</f>
        <v>403280.0</v>
      </c>
      <c r="R16" s="17">
        <f>'入力根拠'!H514</f>
        <v>1.3</v>
      </c>
      <c r="S16" s="18"/>
      <c r="T16" s="19">
        <v>156</v>
      </c>
      <c r="U16" s="14">
        <f>Q16</f>
        <v>403280.0</v>
      </c>
    </row>
    <row r="17" spans="1:21" ht="21.75" customHeight="1">
      <c r="A17" s="20"/>
      <c r="B17" s="21"/>
      <c r="C17" s="14">
        <f>'入力根拠'!F43</f>
        <v>403280.0</v>
      </c>
      <c r="D17" s="17">
        <f>'入力根拠'!H461</f>
        <v>1.3</v>
      </c>
      <c r="E17" s="18"/>
      <c r="F17" s="19">
        <v>107</v>
      </c>
      <c r="G17" s="14">
        <f>C17</f>
        <v>403280.0</v>
      </c>
      <c r="H17" s="20"/>
      <c r="I17" s="21"/>
      <c r="J17" s="14">
        <f>'入力根拠'!F50</f>
        <v>268854.0</v>
      </c>
      <c r="K17" s="17">
        <f>'入力根拠'!H487</f>
        <v>1.3</v>
      </c>
      <c r="L17" s="18"/>
      <c r="M17" s="19">
        <v>132</v>
      </c>
      <c r="N17" s="14">
        <f>J17</f>
        <v>268854.0</v>
      </c>
      <c r="O17" s="20"/>
      <c r="P17" s="21"/>
      <c r="Q17" s="14">
        <f>'入力根拠'!F59</f>
        <v>403280.0</v>
      </c>
      <c r="R17" s="17">
        <f>'入力根拠'!H515</f>
        <v>1.3</v>
      </c>
      <c r="S17" s="18"/>
      <c r="T17" s="19">
        <v>157</v>
      </c>
      <c r="U17" s="14">
        <f>Q17</f>
        <v>403280.0</v>
      </c>
    </row>
    <row r="18" spans="1:21" ht="21.75" customHeight="1">
      <c r="A18" s="20"/>
      <c r="B18" s="21"/>
      <c r="C18" s="14">
        <f>'入力根拠'!F43</f>
        <v>403280.0</v>
      </c>
      <c r="D18" s="17">
        <f>'入力根拠'!H462</f>
        <v>1.3</v>
      </c>
      <c r="E18" s="18"/>
      <c r="F18" s="19">
        <v>108</v>
      </c>
      <c r="G18" s="14">
        <f>C18</f>
        <v>403280.0</v>
      </c>
      <c r="H18" s="20"/>
      <c r="I18" s="21"/>
      <c r="J18" s="14">
        <f>'入力根拠'!F50</f>
        <v>268854.0</v>
      </c>
      <c r="K18" s="17">
        <f>'入力根拠'!H488</f>
        <v>1.3</v>
      </c>
      <c r="L18" s="18"/>
      <c r="M18" s="19">
        <v>133</v>
      </c>
      <c r="N18" s="14">
        <f>J18</f>
        <v>268854.0</v>
      </c>
      <c r="O18" s="20"/>
      <c r="P18" s="21"/>
      <c r="Q18" s="14">
        <f>'入力根拠'!F59</f>
        <v>403280.0</v>
      </c>
      <c r="R18" s="17">
        <f>'入力根拠'!H516</f>
        <v>1.3</v>
      </c>
      <c r="S18" s="18"/>
      <c r="T18" s="19">
        <v>158</v>
      </c>
      <c r="U18" s="14">
        <f>Q18</f>
        <v>403280.0</v>
      </c>
    </row>
    <row r="19" spans="1:21" ht="21.75" customHeight="1">
      <c r="A19" s="20"/>
      <c r="B19" s="21"/>
      <c r="C19" s="14">
        <f>'入力根拠'!F43</f>
        <v>403280.0</v>
      </c>
      <c r="D19" s="17">
        <f>'入力根拠'!H463</f>
        <v>1.3</v>
      </c>
      <c r="E19" s="18"/>
      <c r="F19" s="19">
        <v>109</v>
      </c>
      <c r="G19" s="14">
        <f>C19</f>
        <v>403280.0</v>
      </c>
      <c r="H19" s="20"/>
      <c r="I19" s="21"/>
      <c r="J19" s="14">
        <f>'入力根拠'!F50</f>
        <v>268854.0</v>
      </c>
      <c r="K19" s="17">
        <f>'入力根拠'!H491</f>
        <v>1.3</v>
      </c>
      <c r="L19" s="18"/>
      <c r="M19" s="19">
        <v>134</v>
      </c>
      <c r="N19" s="14">
        <f>J19</f>
        <v>268854.0</v>
      </c>
      <c r="O19" s="20"/>
      <c r="P19" s="21"/>
      <c r="Q19" s="14">
        <f>'入力根拠'!F59</f>
        <v>403280.0</v>
      </c>
      <c r="R19" s="17">
        <f>'入力根拠'!H517</f>
        <v>1.3</v>
      </c>
      <c r="S19" s="18"/>
      <c r="T19" s="19">
        <v>159</v>
      </c>
      <c r="U19" s="14">
        <f>Q19</f>
        <v>403280.0</v>
      </c>
    </row>
    <row r="20" spans="1:21" ht="21.75" customHeight="1">
      <c r="A20" s="20"/>
      <c r="B20" s="21"/>
      <c r="C20" s="14">
        <f>'入力根拠'!F43</f>
        <v>403280.0</v>
      </c>
      <c r="D20" s="17">
        <f>'入力根拠'!H464</f>
        <v>1.3</v>
      </c>
      <c r="E20" s="18"/>
      <c r="F20" s="19">
        <v>110</v>
      </c>
      <c r="G20" s="14">
        <f>C20</f>
        <v>403280.0</v>
      </c>
      <c r="H20" s="20"/>
      <c r="I20" s="21"/>
      <c r="J20" s="14">
        <f>'入力根拠'!F50</f>
        <v>268854.0</v>
      </c>
      <c r="K20" s="17">
        <f>'入力根拠'!H492</f>
        <v>1.3</v>
      </c>
      <c r="L20" s="18"/>
      <c r="M20" s="19">
        <v>135</v>
      </c>
      <c r="N20" s="14">
        <f>J20</f>
        <v>268854.0</v>
      </c>
      <c r="O20" s="20"/>
      <c r="P20" s="21"/>
      <c r="Q20" s="14">
        <f>'入力根拠'!F59</f>
        <v>403280.0</v>
      </c>
      <c r="R20" s="17">
        <f>'入力根拠'!H518</f>
        <v>1.3</v>
      </c>
      <c r="S20" s="18"/>
      <c r="T20" s="19">
        <v>160</v>
      </c>
      <c r="U20" s="14">
        <f>Q20</f>
        <v>403280.0</v>
      </c>
    </row>
    <row r="21" spans="1:21" ht="21.75" customHeight="1">
      <c r="A21" s="20"/>
      <c r="B21" s="21"/>
      <c r="C21" s="14">
        <f>'入力根拠'!F43</f>
        <v>403280.0</v>
      </c>
      <c r="D21" s="17">
        <f>'入力根拠'!H465</f>
        <v>1.3</v>
      </c>
      <c r="E21" s="18"/>
      <c r="F21" s="19">
        <v>111</v>
      </c>
      <c r="G21" s="14">
        <f>C21</f>
        <v>403280.0</v>
      </c>
      <c r="H21" s="20"/>
      <c r="I21" s="21"/>
      <c r="J21" s="14">
        <f>'入力根拠'!F50</f>
        <v>268854.0</v>
      </c>
      <c r="K21" s="17">
        <f>'入力根拠'!H493</f>
        <v>1.3</v>
      </c>
      <c r="L21" s="18"/>
      <c r="M21" s="19">
        <v>136</v>
      </c>
      <c r="N21" s="14">
        <f>J21</f>
        <v>268854.0</v>
      </c>
      <c r="O21" s="20"/>
      <c r="P21" s="21"/>
      <c r="Q21" s="14">
        <f>'入力根拠'!F59</f>
        <v>403280.0</v>
      </c>
      <c r="R21" s="17">
        <f>'入力根拠'!H519</f>
        <v>1.3</v>
      </c>
      <c r="S21" s="18"/>
      <c r="T21" s="19">
        <v>161</v>
      </c>
      <c r="U21" s="14">
        <f>Q21</f>
        <v>403280.0</v>
      </c>
    </row>
    <row r="22" spans="1:21" ht="21.75" customHeight="1">
      <c r="A22" s="20"/>
      <c r="B22" s="21"/>
      <c r="C22" s="14">
        <f>'入力根拠'!F43</f>
        <v>403280.0</v>
      </c>
      <c r="D22" s="22">
        <f>'入力根拠'!H466</f>
        <v>1.3</v>
      </c>
      <c r="E22" s="23">
        <f>MAX(0,ROUND((MIN('入力根拠'!G466,'入力根拠'!F429)-MAX('入力根拠'!F466,'入力根拠'!E429)),4))</f>
        <v>0.2</v>
      </c>
      <c r="F22" s="24">
        <v>112</v>
      </c>
      <c r="G22" s="15">
        <f>(SUM((C22*E22),(C23*E23))/D22)</f>
        <v>225971.00000000003</v>
      </c>
      <c r="H22" s="20"/>
      <c r="I22" s="21"/>
      <c r="J22" s="14">
        <f>'入力根拠'!F50</f>
        <v>268854.0</v>
      </c>
      <c r="K22" s="22">
        <f>'入力根拠'!H494</f>
        <v>1.3</v>
      </c>
      <c r="L22" s="23">
        <f>MAX(0,ROUND((MIN('入力根拠'!G494,'入力根拠'!F436)-MAX('入力根拠'!F494,'入力根拠'!E436)),4))</f>
        <v>0.2</v>
      </c>
      <c r="M22" s="24">
        <v>137</v>
      </c>
      <c r="N22" s="15">
        <f>(SUM((J22*L22),(J23*L23))/K22)</f>
        <v>150647.15384615384</v>
      </c>
      <c r="O22" s="20"/>
      <c r="P22" s="21"/>
      <c r="Q22" s="14">
        <f>'入力根拠'!F59</f>
        <v>403280.0</v>
      </c>
      <c r="R22" s="22">
        <f>'入力根拠'!H520</f>
        <v>1.3</v>
      </c>
      <c r="S22" s="23">
        <f>MAX(0,ROUND((MIN('入力根拠'!G520,'入力根拠'!F445)-MAX('入力根拠'!F520,'入力根拠'!E445)),4))</f>
        <v>0.2</v>
      </c>
      <c r="T22" s="24">
        <v>162</v>
      </c>
      <c r="U22" s="15">
        <f>(SUM((Q22*S22),(Q23*S23))/R22)</f>
        <v>225971.00000000003</v>
      </c>
    </row>
    <row r="23" spans="1:21" ht="21.75" customHeight="1">
      <c r="A23" s="15">
        <v>7</v>
      </c>
      <c r="B23" s="16">
        <f>'入力根拠'!G430</f>
        <v>12.6</v>
      </c>
      <c r="C23" s="14">
        <f>'入力根拠'!F44</f>
        <v>193733.0</v>
      </c>
      <c r="D23" s="25"/>
      <c r="E23" s="26">
        <f>MAX(0,ROUND((MIN('入力根拠'!G466,'入力根拠'!F430)-MAX('入力根拠'!F466,'入力根拠'!E430)),4))</f>
        <v>1.1</v>
      </c>
      <c r="F23" s="27"/>
      <c r="G23" s="28"/>
      <c r="H23" s="15">
        <v>7</v>
      </c>
      <c r="I23" s="16">
        <f>'入力根拠'!G437</f>
        <v>12.6</v>
      </c>
      <c r="J23" s="14">
        <f>'入力根拠'!F51</f>
        <v>129155.0</v>
      </c>
      <c r="K23" s="25"/>
      <c r="L23" s="26">
        <f>MAX(0,ROUND((MIN('入力根拠'!G494,'入力根拠'!F437)-MAX('入力根拠'!F494,'入力根拠'!E437)),4))</f>
        <v>1.1</v>
      </c>
      <c r="M23" s="27"/>
      <c r="N23" s="28"/>
      <c r="O23" s="15">
        <v>7</v>
      </c>
      <c r="P23" s="16">
        <f>'入力根拠'!G446</f>
        <v>12.6</v>
      </c>
      <c r="Q23" s="14">
        <f>'入力根拠'!F60</f>
        <v>193733.0</v>
      </c>
      <c r="R23" s="25"/>
      <c r="S23" s="26">
        <f>MAX(0,ROUND((MIN('入力根拠'!G520,'入力根拠'!F446)-MAX('入力根拠'!F520,'入力根拠'!E446)),4))</f>
        <v>1.1</v>
      </c>
      <c r="T23" s="27"/>
      <c r="U23" s="28"/>
    </row>
    <row r="24" spans="1:21" ht="21.75" customHeight="1">
      <c r="A24" s="20"/>
      <c r="B24" s="21"/>
      <c r="C24" s="14">
        <f>'入力根拠'!F44</f>
        <v>193733.0</v>
      </c>
      <c r="D24" s="17">
        <f>'入力根拠'!H467</f>
        <v>1.3</v>
      </c>
      <c r="E24" s="18"/>
      <c r="F24" s="19">
        <v>113</v>
      </c>
      <c r="G24" s="14">
        <f>C24</f>
        <v>193733.0</v>
      </c>
      <c r="H24" s="20"/>
      <c r="I24" s="21"/>
      <c r="J24" s="14">
        <f>'入力根拠'!F51</f>
        <v>129155.0</v>
      </c>
      <c r="K24" s="17">
        <f>'入力根拠'!H495</f>
        <v>1.3</v>
      </c>
      <c r="L24" s="18"/>
      <c r="M24" s="19">
        <v>138</v>
      </c>
      <c r="N24" s="14">
        <f>J24</f>
        <v>129155.0</v>
      </c>
      <c r="O24" s="20"/>
      <c r="P24" s="21"/>
      <c r="Q24" s="14">
        <f>'入力根拠'!F60</f>
        <v>193733.0</v>
      </c>
      <c r="R24" s="17">
        <f>'入力根拠'!H521</f>
        <v>1.3</v>
      </c>
      <c r="S24" s="18"/>
      <c r="T24" s="19">
        <v>163</v>
      </c>
      <c r="U24" s="14">
        <f>Q24</f>
        <v>193733.0</v>
      </c>
    </row>
    <row r="25" spans="1:21" ht="21.75" customHeight="1">
      <c r="A25" s="20"/>
      <c r="B25" s="21"/>
      <c r="C25" s="14">
        <f>'入力根拠'!F44</f>
        <v>193733.0</v>
      </c>
      <c r="D25" s="17">
        <f>'入力根拠'!H468</f>
        <v>1.3</v>
      </c>
      <c r="E25" s="18"/>
      <c r="F25" s="19">
        <v>114</v>
      </c>
      <c r="G25" s="14">
        <f>C25</f>
        <v>193733.0</v>
      </c>
      <c r="H25" s="20"/>
      <c r="I25" s="21"/>
      <c r="J25" s="14">
        <f>'入力根拠'!F51</f>
        <v>129155.0</v>
      </c>
      <c r="K25" s="17">
        <f>'入力根拠'!H496</f>
        <v>1.3</v>
      </c>
      <c r="L25" s="18"/>
      <c r="M25" s="19">
        <v>139</v>
      </c>
      <c r="N25" s="14">
        <f>J25</f>
        <v>129155.0</v>
      </c>
      <c r="O25" s="20"/>
      <c r="P25" s="21"/>
      <c r="Q25" s="14">
        <f>'入力根拠'!F60</f>
        <v>193733.0</v>
      </c>
      <c r="R25" s="17">
        <f>'入力根拠'!H522</f>
        <v>1.3</v>
      </c>
      <c r="S25" s="18"/>
      <c r="T25" s="19">
        <v>164</v>
      </c>
      <c r="U25" s="14">
        <f>Q25</f>
        <v>193733.0</v>
      </c>
    </row>
    <row r="26" spans="1:21" ht="21.75" customHeight="1">
      <c r="A26" s="20"/>
      <c r="B26" s="21"/>
      <c r="C26" s="14">
        <f>'入力根拠'!F44</f>
        <v>193733.0</v>
      </c>
      <c r="D26" s="17">
        <f>'入力根拠'!H469</f>
        <v>1.3</v>
      </c>
      <c r="E26" s="18"/>
      <c r="F26" s="19">
        <v>115</v>
      </c>
      <c r="G26" s="14">
        <f>C26</f>
        <v>193733.0</v>
      </c>
      <c r="H26" s="20"/>
      <c r="I26" s="21"/>
      <c r="J26" s="14">
        <f>'入力根拠'!F51</f>
        <v>129155.0</v>
      </c>
      <c r="K26" s="17">
        <f>'入力根拠'!H497</f>
        <v>1.3</v>
      </c>
      <c r="L26" s="18"/>
      <c r="M26" s="19">
        <v>140</v>
      </c>
      <c r="N26" s="14">
        <f>J26</f>
        <v>129155.0</v>
      </c>
      <c r="O26" s="20"/>
      <c r="P26" s="21"/>
      <c r="Q26" s="14">
        <f>'入力根拠'!F60</f>
        <v>193733.0</v>
      </c>
      <c r="R26" s="17">
        <f>'入力根拠'!H525</f>
        <v>1.3</v>
      </c>
      <c r="S26" s="18"/>
      <c r="T26" s="19">
        <v>165</v>
      </c>
      <c r="U26" s="14">
        <f>Q26</f>
        <v>193733.0</v>
      </c>
    </row>
    <row r="27" spans="1:21" ht="21.75" customHeight="1">
      <c r="A27" s="20"/>
      <c r="B27" s="21"/>
      <c r="C27" s="14">
        <f>'入力根拠'!F44</f>
        <v>193733.0</v>
      </c>
      <c r="D27" s="17">
        <f>'入力根拠'!H470</f>
        <v>1.3</v>
      </c>
      <c r="E27" s="18"/>
      <c r="F27" s="19">
        <v>116</v>
      </c>
      <c r="G27" s="14">
        <f>C27</f>
        <v>193733.0</v>
      </c>
      <c r="H27" s="20"/>
      <c r="I27" s="21"/>
      <c r="J27" s="14">
        <f>'入力根拠'!F51</f>
        <v>129155.0</v>
      </c>
      <c r="K27" s="17">
        <f>'入力根拠'!H498</f>
        <v>1.3</v>
      </c>
      <c r="L27" s="18"/>
      <c r="M27" s="19">
        <v>141</v>
      </c>
      <c r="N27" s="14">
        <f>J27</f>
        <v>129155.0</v>
      </c>
      <c r="O27" s="20"/>
      <c r="P27" s="21"/>
      <c r="Q27" s="14">
        <f>'入力根拠'!F60</f>
        <v>193733.0</v>
      </c>
      <c r="R27" s="17">
        <f>'入力根拠'!H526</f>
        <v>1.3</v>
      </c>
      <c r="S27" s="18"/>
      <c r="T27" s="19">
        <v>166</v>
      </c>
      <c r="U27" s="14">
        <f>Q27</f>
        <v>193733.0</v>
      </c>
    </row>
    <row r="28" spans="1:21" ht="21.75" customHeight="1">
      <c r="A28" s="20"/>
      <c r="B28" s="21"/>
      <c r="C28" s="14">
        <f>'入力根拠'!F44</f>
        <v>193733.0</v>
      </c>
      <c r="D28" s="17">
        <f>'入力根拠'!H471</f>
        <v>1.3</v>
      </c>
      <c r="E28" s="18"/>
      <c r="F28" s="19">
        <v>117</v>
      </c>
      <c r="G28" s="14">
        <f>C28</f>
        <v>193733.0</v>
      </c>
      <c r="H28" s="20"/>
      <c r="I28" s="21"/>
      <c r="J28" s="14">
        <f>'入力根拠'!F51</f>
        <v>129155.0</v>
      </c>
      <c r="K28" s="17">
        <f>'入力根拠'!H499</f>
        <v>1.3</v>
      </c>
      <c r="L28" s="18"/>
      <c r="M28" s="19">
        <v>142</v>
      </c>
      <c r="N28" s="14">
        <f>J28</f>
        <v>129155.0</v>
      </c>
      <c r="O28" s="20"/>
      <c r="P28" s="21"/>
      <c r="Q28" s="14">
        <f>'入力根拠'!F60</f>
        <v>193733.0</v>
      </c>
      <c r="R28" s="17">
        <f>'入力根拠'!H527</f>
        <v>1.3</v>
      </c>
      <c r="S28" s="18"/>
      <c r="T28" s="19">
        <v>167</v>
      </c>
      <c r="U28" s="14">
        <f>Q28</f>
        <v>193733.0</v>
      </c>
    </row>
    <row r="29" spans="1:21" ht="21.75" customHeight="1">
      <c r="A29" s="20"/>
      <c r="B29" s="21"/>
      <c r="C29" s="14">
        <f>'入力根拠'!F44</f>
        <v>193733.0</v>
      </c>
      <c r="D29" s="17">
        <f>'入力根拠'!H474</f>
        <v>1.3</v>
      </c>
      <c r="E29" s="18"/>
      <c r="F29" s="19">
        <v>118</v>
      </c>
      <c r="G29" s="14">
        <f>C29</f>
        <v>193733.0</v>
      </c>
      <c r="H29" s="20"/>
      <c r="I29" s="21"/>
      <c r="J29" s="14">
        <f>'入力根拠'!F51</f>
        <v>129155.0</v>
      </c>
      <c r="K29" s="17">
        <f>'入力根拠'!H500</f>
        <v>1.3</v>
      </c>
      <c r="L29" s="18"/>
      <c r="M29" s="19">
        <v>143</v>
      </c>
      <c r="N29" s="14">
        <f>J29</f>
        <v>129155.0</v>
      </c>
      <c r="O29" s="20"/>
      <c r="P29" s="21"/>
      <c r="Q29" s="14">
        <f>'入力根拠'!F60</f>
        <v>193733.0</v>
      </c>
      <c r="R29" s="17">
        <f>'入力根拠'!H528</f>
        <v>1.3</v>
      </c>
      <c r="S29" s="18"/>
      <c r="T29" s="19">
        <v>168</v>
      </c>
      <c r="U29" s="14">
        <f>Q29</f>
        <v>193733.0</v>
      </c>
    </row>
    <row r="30" spans="1:21" ht="21.75" customHeight="1">
      <c r="A30" s="20"/>
      <c r="B30" s="21"/>
      <c r="C30" s="14">
        <f>'入力根拠'!F44</f>
        <v>193733.0</v>
      </c>
      <c r="D30" s="17">
        <f>'入力根拠'!H475</f>
        <v>1.3</v>
      </c>
      <c r="E30" s="18"/>
      <c r="F30" s="19">
        <v>119</v>
      </c>
      <c r="G30" s="14">
        <f>C30</f>
        <v>193733.0</v>
      </c>
      <c r="H30" s="20"/>
      <c r="I30" s="21"/>
      <c r="J30" s="14">
        <f>'入力根拠'!F51</f>
        <v>129155.0</v>
      </c>
      <c r="K30" s="17">
        <f>'入力根拠'!H501</f>
        <v>1.3</v>
      </c>
      <c r="L30" s="18"/>
      <c r="M30" s="19">
        <v>144</v>
      </c>
      <c r="N30" s="14">
        <f>J30</f>
        <v>129155.0</v>
      </c>
      <c r="O30" s="20"/>
      <c r="P30" s="21"/>
      <c r="Q30" s="14">
        <f>'入力根拠'!F60</f>
        <v>193733.0</v>
      </c>
      <c r="R30" s="17">
        <f>'入力根拠'!H529</f>
        <v>1.3</v>
      </c>
      <c r="S30" s="18"/>
      <c r="T30" s="19">
        <v>169</v>
      </c>
      <c r="U30" s="14">
        <f>Q30</f>
        <v>193733.0</v>
      </c>
    </row>
    <row r="31" spans="1:21" ht="21.75" customHeight="1">
      <c r="A31" s="20"/>
      <c r="B31" s="21"/>
      <c r="C31" s="14">
        <f>'入力根拠'!F44</f>
        <v>193733.0</v>
      </c>
      <c r="D31" s="17">
        <f>'入力根拠'!H476</f>
        <v>1.3</v>
      </c>
      <c r="E31" s="18"/>
      <c r="F31" s="19">
        <v>120</v>
      </c>
      <c r="G31" s="14">
        <f>C31</f>
        <v>193733.0</v>
      </c>
      <c r="H31" s="20"/>
      <c r="I31" s="21"/>
      <c r="J31" s="14">
        <f>'入力根拠'!F51</f>
        <v>129155.0</v>
      </c>
      <c r="K31" s="17">
        <f>'入力根拠'!H502</f>
        <v>1.3</v>
      </c>
      <c r="L31" s="18"/>
      <c r="M31" s="19">
        <v>145</v>
      </c>
      <c r="N31" s="14">
        <f>J31</f>
        <v>129155.0</v>
      </c>
      <c r="O31" s="20"/>
      <c r="P31" s="21"/>
      <c r="Q31" s="14">
        <f>'入力根拠'!F60</f>
        <v>193733.0</v>
      </c>
      <c r="R31" s="17">
        <f>'入力根拠'!H530</f>
        <v>1.3</v>
      </c>
      <c r="S31" s="18"/>
      <c r="T31" s="19">
        <v>170</v>
      </c>
      <c r="U31" s="14">
        <f>Q31</f>
        <v>193733.0</v>
      </c>
    </row>
    <row r="32" spans="1:21" ht="21.75" customHeight="1">
      <c r="A32" s="28"/>
      <c r="B32" s="32"/>
      <c r="C32" s="14">
        <f>'入力根拠'!F44</f>
        <v>193733.0</v>
      </c>
      <c r="D32" s="17">
        <f>'入力根拠'!H477</f>
        <v>1.1</v>
      </c>
      <c r="E32" s="18"/>
      <c r="F32" s="19">
        <v>121</v>
      </c>
      <c r="G32" s="14">
        <f>C32</f>
        <v>193733.0</v>
      </c>
      <c r="H32" s="28"/>
      <c r="I32" s="32"/>
      <c r="J32" s="14">
        <f>'入力根拠'!F51</f>
        <v>129155.0</v>
      </c>
      <c r="K32" s="17">
        <f>'入力根拠'!H503</f>
        <v>1.1</v>
      </c>
      <c r="L32" s="18"/>
      <c r="M32" s="19">
        <v>146</v>
      </c>
      <c r="N32" s="14">
        <f>J32</f>
        <v>129155.0</v>
      </c>
      <c r="O32" s="28"/>
      <c r="P32" s="32"/>
      <c r="Q32" s="14">
        <f>'入力根拠'!F60</f>
        <v>193733.0</v>
      </c>
      <c r="R32" s="17">
        <f>'入力根拠'!H531</f>
        <v>1.1</v>
      </c>
      <c r="S32" s="18"/>
      <c r="T32" s="19">
        <v>171</v>
      </c>
      <c r="U32" s="14">
        <f>Q32</f>
        <v>193733.0</v>
      </c>
    </row>
    <row r="33" spans="1:21" ht="21.75" customHeight="1">
      <c r="A33" s="14" t="s">
        <v>204</v>
      </c>
      <c r="B33" s="33">
        <f>SUM(B3,B5,B7,B10,B13,B14,B23)</f>
        <v>31.0</v>
      </c>
      <c r="C33" s="14"/>
      <c r="D33" s="17">
        <f>SUM(D3,D4,D6,D8,D9,D11,D12,D15,D16,D17,D18,D19,D20,D21,D22,D24,D25,D26,D27,D28,D29,D30,D31,D32)</f>
        <v>31.0</v>
      </c>
      <c r="E33" s="34"/>
      <c r="F33" s="14"/>
      <c r="G33" s="14"/>
      <c r="H33" s="14" t="s">
        <v>204</v>
      </c>
      <c r="I33" s="33">
        <f>SUM(I3,I5,I7,I10,I13,I14,I23)</f>
        <v>31.0</v>
      </c>
      <c r="J33" s="14"/>
      <c r="K33" s="17">
        <f>SUM(K3,K4,K6,K8,K9,K11,K12,K15,K16,K17,K18,K19,K20,K21,K22,K24,K25,K26,K27,K28,K29,K30,K31,K32)</f>
        <v>31.0</v>
      </c>
      <c r="L33" s="34"/>
      <c r="M33" s="14"/>
      <c r="N33" s="14"/>
      <c r="O33" s="14" t="s">
        <v>204</v>
      </c>
      <c r="P33" s="33">
        <f>SUM(P3,P5,P7,P10,P13,P14,P23)</f>
        <v>31.0</v>
      </c>
      <c r="Q33" s="14"/>
      <c r="R33" s="17">
        <f>SUM(R3,R4,R6,R8,R9,R11,R12,R15,R16,R17,R18,R19,R20,R21,R22,R24,R25,R26,R27,R28,R29,R30,R31,R32)</f>
        <v>31.0</v>
      </c>
      <c r="S33" s="34"/>
      <c r="T33" s="14"/>
      <c r="U33" s="14"/>
    </row>
    <row r="34" spans="1:21" ht="23.1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</row>
  </sheetData>
  <mergeCells count="3">
    <mergeCell ref="D2:E2"/>
    <mergeCell ref="K2:L2"/>
    <mergeCell ref="R2:S2"/>
  </mergeCells>
  <pageMargins left="0.7" right="0.7" top="0.75" bottom="0.75" header="0.3" footer="0.3"/>
  <pageSetup paperSize="9" scale="90" pageOrder="overThenDown" orientation="portrait"/>
  <headerFooter>
    <oddFooter>&amp;L水平地盤ばね&amp;R&amp;P / &amp;N</oddFooter>
  </headerFooter>
  <colBreaks count="2" manualBreakCount="2">
    <brk id="7" max="1048575" man="1"/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AA64"/>
  <sheetViews>
    <sheetView showGridLines="0" zoomScale="85" zoomScaleNormal="85" workbookViewId="0"/>
  </sheetViews>
  <sheetFormatPr defaultRowHeight="23" customHeight="1"/>
  <cols>
    <col min="1" max="1" width="8.7109375" customWidth="1"/>
    <col min="2" max="2" width="9" customWidth="1"/>
    <col min="3" max="3" width="12.5703125" customWidth="1"/>
    <col min="4" max="5" width="7.7109375" customWidth="1"/>
    <col min="6" max="6" width="8.7109375" customWidth="1"/>
    <col min="7" max="7" width="13.5703125" customWidth="1"/>
    <col min="8" max="8" width="6.28515625" customWidth="1"/>
    <col min="9" max="9" width="11.5703125" customWidth="1"/>
    <col min="10" max="10" width="8.7109375" customWidth="1"/>
    <col min="11" max="11" width="9" customWidth="1"/>
    <col min="12" max="12" width="12.5703125" customWidth="1"/>
    <col min="13" max="14" width="7.7109375" customWidth="1"/>
    <col min="15" max="15" width="8.7109375" customWidth="1"/>
    <col min="16" max="16" width="13.5703125" customWidth="1"/>
    <col min="17" max="17" width="6.28515625" customWidth="1"/>
    <col min="18" max="18" width="11.5703125" customWidth="1"/>
    <col min="19" max="19" width="8.7109375" customWidth="1"/>
    <col min="20" max="20" width="9" customWidth="1"/>
    <col min="21" max="21" width="12.5703125" customWidth="1"/>
    <col min="22" max="23" width="7.7109375" customWidth="1"/>
    <col min="24" max="24" width="8.7109375" customWidth="1"/>
    <col min="25" max="25" width="13.5703125" customWidth="1"/>
    <col min="26" max="26" width="6.28515625" customWidth="1"/>
    <col min="27" max="27" width="11.5703125" customWidth="1"/>
  </cols>
  <sheetData>
    <row r="1" spans="1:27" ht="24" customHeight="1">
      <c r="A1" s="35" t="s">
        <v>195</v>
      </c>
      <c r="B1" s="13"/>
      <c r="C1" s="13"/>
      <c r="D1" s="13"/>
      <c r="E1" s="13"/>
      <c r="F1" s="13"/>
      <c r="G1" s="13"/>
      <c r="H1" s="13"/>
      <c r="I1" s="13"/>
      <c r="J1" s="35" t="s">
        <v>195</v>
      </c>
      <c r="K1" s="13"/>
      <c r="L1" s="13"/>
      <c r="M1" s="13"/>
      <c r="N1" s="13"/>
      <c r="O1" s="13"/>
      <c r="P1" s="13"/>
      <c r="Q1" s="13"/>
      <c r="R1" s="13"/>
      <c r="S1" s="35" t="s">
        <v>195</v>
      </c>
      <c r="T1" s="13"/>
      <c r="U1" s="13"/>
      <c r="V1" s="13"/>
      <c r="W1" s="13"/>
      <c r="X1" s="13"/>
      <c r="Y1" s="13"/>
      <c r="Z1" s="13"/>
      <c r="AA1" s="13"/>
    </row>
    <row r="2" spans="1:27" ht="48" customHeight="1">
      <c r="A2" s="36" t="s">
        <v>198</v>
      </c>
      <c r="B2" s="36" t="s">
        <v>199</v>
      </c>
      <c r="C2" s="36" t="s">
        <v>205</v>
      </c>
      <c r="D2" s="36" t="s">
        <v>201</v>
      </c>
      <c r="E2" s="36"/>
      <c r="F2" s="36" t="s">
        <v>206</v>
      </c>
      <c r="G2" s="36" t="s">
        <v>205</v>
      </c>
      <c r="H2" s="36" t="s">
        <v>207</v>
      </c>
      <c r="I2" s="36" t="s">
        <v>205</v>
      </c>
      <c r="J2" s="36" t="s">
        <v>198</v>
      </c>
      <c r="K2" s="36" t="s">
        <v>199</v>
      </c>
      <c r="L2" s="36" t="s">
        <v>205</v>
      </c>
      <c r="M2" s="36" t="s">
        <v>201</v>
      </c>
      <c r="N2" s="36"/>
      <c r="O2" s="36" t="s">
        <v>206</v>
      </c>
      <c r="P2" s="36" t="s">
        <v>205</v>
      </c>
      <c r="Q2" s="36" t="s">
        <v>207</v>
      </c>
      <c r="R2" s="36" t="s">
        <v>205</v>
      </c>
      <c r="S2" s="36" t="s">
        <v>198</v>
      </c>
      <c r="T2" s="36" t="s">
        <v>199</v>
      </c>
      <c r="U2" s="36" t="s">
        <v>205</v>
      </c>
      <c r="V2" s="36" t="s">
        <v>201</v>
      </c>
      <c r="W2" s="36"/>
      <c r="X2" s="36" t="s">
        <v>206</v>
      </c>
      <c r="Y2" s="36" t="s">
        <v>205</v>
      </c>
      <c r="Z2" s="36" t="s">
        <v>207</v>
      </c>
      <c r="AA2" s="36" t="s">
        <v>205</v>
      </c>
    </row>
    <row r="3" spans="1:27" ht="16.5" customHeight="1">
      <c r="A3" s="37">
        <v>1</v>
      </c>
      <c r="B3" s="38">
        <f>'入力根拠'!H705</f>
        <v>1.5</v>
      </c>
      <c r="C3" s="39">
        <f>'入力根拠'!I705</f>
        <v>1162.9</v>
      </c>
      <c r="D3" s="17">
        <f>'入力根拠'!H732</f>
        <v>1.3</v>
      </c>
      <c r="E3" s="40"/>
      <c r="F3" s="38">
        <f>'入力根拠'!E817</f>
        <v>0.0</v>
      </c>
      <c r="G3" s="39">
        <f>(C3+(((C6-C3)*(F3-'入力根拠'!F705))/B3))</f>
        <v>1162.9</v>
      </c>
      <c r="H3" s="19">
        <v>98</v>
      </c>
      <c r="I3" s="39">
        <f>G3</f>
        <v>1162.9</v>
      </c>
      <c r="J3" s="37">
        <v>1</v>
      </c>
      <c r="K3" s="38">
        <f>'入力根拠'!H712</f>
        <v>1.5</v>
      </c>
      <c r="L3" s="39">
        <f>'入力根拠'!I712</f>
        <v>1005.1</v>
      </c>
      <c r="M3" s="17">
        <f>'入力根拠'!H760</f>
        <v>1.3</v>
      </c>
      <c r="N3" s="40"/>
      <c r="O3" s="38">
        <f>'入力根拠'!E851</f>
        <v>0.0</v>
      </c>
      <c r="P3" s="39">
        <f>(L3+(((L6-L3)*(O3-'入力根拠'!F712))/K3))</f>
        <v>1005.1</v>
      </c>
      <c r="Q3" s="19">
        <v>123</v>
      </c>
      <c r="R3" s="39">
        <f>P3</f>
        <v>1005.1</v>
      </c>
      <c r="S3" s="37">
        <v>1</v>
      </c>
      <c r="T3" s="38">
        <f>'入力根拠'!H719</f>
        <v>1.5</v>
      </c>
      <c r="U3" s="39">
        <f>'入力根拠'!I719</f>
        <v>2907.3</v>
      </c>
      <c r="V3" s="17">
        <f>'入力根拠'!H786</f>
        <v>1.3</v>
      </c>
      <c r="W3" s="40"/>
      <c r="X3" s="38">
        <f>'入力根拠'!E885</f>
        <v>0.0</v>
      </c>
      <c r="Y3" s="39">
        <f>(U3+(((U6-U3)*(X3-'入力根拠'!F719))/T3))</f>
        <v>2907.3</v>
      </c>
      <c r="Z3" s="19">
        <v>148</v>
      </c>
      <c r="AA3" s="39">
        <f>Y3</f>
        <v>2907.3</v>
      </c>
    </row>
    <row r="4" spans="1:27" ht="16.5" customHeight="1">
      <c r="A4" s="41"/>
      <c r="B4" s="42"/>
      <c r="C4" s="43"/>
      <c r="D4" s="17"/>
      <c r="E4" s="44"/>
      <c r="F4" s="45">
        <f>'入力根拠'!F817</f>
        <v>1.3</v>
      </c>
      <c r="G4" s="46">
        <f>(C3+(((C6-C3)*(F4-'入力根拠'!F705))/B3))</f>
        <v>1307.46</v>
      </c>
      <c r="H4" s="19"/>
      <c r="I4" s="46">
        <f>G4</f>
        <v>1307.46</v>
      </c>
      <c r="J4" s="41"/>
      <c r="K4" s="42"/>
      <c r="L4" s="43"/>
      <c r="M4" s="17"/>
      <c r="N4" s="44"/>
      <c r="O4" s="45">
        <f>'入力根拠'!F851</f>
        <v>1.3</v>
      </c>
      <c r="P4" s="46">
        <f>(L3+(((L6-L3)*(O4-'入力根拠'!F712))/K3))</f>
        <v>1130.0733333333333</v>
      </c>
      <c r="Q4" s="19"/>
      <c r="R4" s="46">
        <f>P4</f>
        <v>1130.0733333333333</v>
      </c>
      <c r="S4" s="41"/>
      <c r="T4" s="42"/>
      <c r="U4" s="43"/>
      <c r="V4" s="17"/>
      <c r="W4" s="44"/>
      <c r="X4" s="45">
        <f>'入力根拠'!F885</f>
        <v>1.3</v>
      </c>
      <c r="Y4" s="46">
        <f>(U3+(((U6-U3)*(X4-'入力根拠'!F719))/T3))</f>
        <v>3268.7000000000003</v>
      </c>
      <c r="Z4" s="19"/>
      <c r="AA4" s="46">
        <f>Y4</f>
        <v>3268.7000000000003</v>
      </c>
    </row>
    <row r="5" spans="1:27" ht="16.5" customHeight="1">
      <c r="A5" s="41"/>
      <c r="B5" s="42"/>
      <c r="C5" s="43"/>
      <c r="D5" s="17">
        <f>'入力根拠'!H733</f>
        <v>1.3</v>
      </c>
      <c r="E5" s="33">
        <f>'入力根拠'!G818</f>
        <v>0.2</v>
      </c>
      <c r="F5" s="38">
        <f>'入力根拠'!E818</f>
        <v>1.3</v>
      </c>
      <c r="G5" s="39">
        <f>(C3+(((C6-C3)*(F5-'入力根拠'!F705))/B3))</f>
        <v>1307.46</v>
      </c>
      <c r="H5" s="19">
        <v>99</v>
      </c>
      <c r="I5" s="39">
        <f>(SUM('入力根拠'!L818,'入力根拠'!L819)/D5)</f>
        <v>1988.9883431952662</v>
      </c>
      <c r="J5" s="41"/>
      <c r="K5" s="42"/>
      <c r="L5" s="43"/>
      <c r="M5" s="17">
        <f>'入力根拠'!H761</f>
        <v>1.3</v>
      </c>
      <c r="N5" s="33">
        <f>'入力根拠'!G852</f>
        <v>0.2</v>
      </c>
      <c r="O5" s="38">
        <f>'入力根拠'!E852</f>
        <v>1.3</v>
      </c>
      <c r="P5" s="39">
        <f>(L3+(((L6-L3)*(O5-'入力根拠'!F712))/K3))</f>
        <v>1130.0733333333333</v>
      </c>
      <c r="Q5" s="19">
        <v>124</v>
      </c>
      <c r="R5" s="39">
        <f>(SUM('入力根拠'!L852,'入力根拠'!L853)/M5)</f>
        <v>1719.0725049309665</v>
      </c>
      <c r="S5" s="41"/>
      <c r="T5" s="42"/>
      <c r="U5" s="43"/>
      <c r="V5" s="17">
        <f>'入力根拠'!H789</f>
        <v>1.3</v>
      </c>
      <c r="W5" s="33">
        <f>'入力根拠'!G886</f>
        <v>0.2</v>
      </c>
      <c r="X5" s="38">
        <f>'入力根拠'!E886</f>
        <v>1.3</v>
      </c>
      <c r="Y5" s="39">
        <f>(U3+(((U6-U3)*(X5-'入力根拠'!F719))/T3))</f>
        <v>3268.7000000000003</v>
      </c>
      <c r="Z5" s="19">
        <v>149</v>
      </c>
      <c r="AA5" s="39">
        <f>(SUM('入力根拠'!L886,'入力根拠'!L887)/V5)</f>
        <v>4972.489940828404</v>
      </c>
    </row>
    <row r="6" spans="1:27" ht="16.5" customHeight="1">
      <c r="A6" s="47"/>
      <c r="B6" s="48"/>
      <c r="C6" s="46">
        <f>'入力根拠'!J705</f>
        <v>1329.7</v>
      </c>
      <c r="D6" s="17"/>
      <c r="E6" s="33"/>
      <c r="F6" s="45">
        <f>'入力根拠'!F818</f>
        <v>1.5</v>
      </c>
      <c r="G6" s="46">
        <f>(C3+(((C6-C3)*(F6-'入力根拠'!F705))/B3))</f>
        <v>1329.7</v>
      </c>
      <c r="H6" s="19"/>
      <c r="I6" s="43"/>
      <c r="J6" s="47"/>
      <c r="K6" s="48"/>
      <c r="L6" s="46">
        <f>'入力根拠'!J712</f>
        <v>1149.3</v>
      </c>
      <c r="M6" s="17"/>
      <c r="N6" s="33"/>
      <c r="O6" s="45">
        <f>'入力根拠'!F852</f>
        <v>1.5</v>
      </c>
      <c r="P6" s="46">
        <f>(L3+(((L6-L3)*(O6-'入力根拠'!F712))/K3))</f>
        <v>1149.3</v>
      </c>
      <c r="Q6" s="19"/>
      <c r="R6" s="43"/>
      <c r="S6" s="47"/>
      <c r="T6" s="48"/>
      <c r="U6" s="46">
        <f>'入力根拠'!J719</f>
        <v>3324.3</v>
      </c>
      <c r="V6" s="17"/>
      <c r="W6" s="33"/>
      <c r="X6" s="45">
        <f>'入力根拠'!F886</f>
        <v>1.5</v>
      </c>
      <c r="Y6" s="46">
        <f>(U3+(((U6-U3)*(X6-'入力根拠'!F719))/T3))</f>
        <v>3324.3</v>
      </c>
      <c r="Z6" s="19"/>
      <c r="AA6" s="43"/>
    </row>
    <row r="7" spans="1:27" ht="16.5" customHeight="1">
      <c r="A7" s="37">
        <v>2</v>
      </c>
      <c r="B7" s="38">
        <f>'入力根拠'!H706</f>
        <v>1.3</v>
      </c>
      <c r="C7" s="39">
        <f>'入力根拠'!I706</f>
        <v>2018.1</v>
      </c>
      <c r="D7" s="17"/>
      <c r="E7" s="33">
        <f>'入力根拠'!G819</f>
        <v>1.1</v>
      </c>
      <c r="F7" s="38">
        <f>'入力根拠'!E819</f>
        <v>1.5</v>
      </c>
      <c r="G7" s="39">
        <f>(C7+(((C10-C7)*(F7-'入力根拠'!F706))/B7))</f>
        <v>2018.1</v>
      </c>
      <c r="H7" s="19"/>
      <c r="I7" s="43"/>
      <c r="J7" s="37">
        <v>2</v>
      </c>
      <c r="K7" s="38">
        <f>'入力根拠'!H713</f>
        <v>1.3</v>
      </c>
      <c r="L7" s="39">
        <f>'入力根拠'!I713</f>
        <v>1744.2</v>
      </c>
      <c r="M7" s="17"/>
      <c r="N7" s="33">
        <f>'入力根拠'!G853</f>
        <v>1.1</v>
      </c>
      <c r="O7" s="38">
        <f>'入力根拠'!E853</f>
        <v>1.5</v>
      </c>
      <c r="P7" s="39">
        <f>(L7+(((L10-L7)*(O7-'入力根拠'!F713))/K7))</f>
        <v>1744.2</v>
      </c>
      <c r="Q7" s="19"/>
      <c r="R7" s="43"/>
      <c r="S7" s="37">
        <v>2</v>
      </c>
      <c r="T7" s="38">
        <f>'入力根拠'!H722</f>
        <v>1.3</v>
      </c>
      <c r="U7" s="39">
        <f>'入力根拠'!I722</f>
        <v>5045.2</v>
      </c>
      <c r="V7" s="17"/>
      <c r="W7" s="33">
        <f>'入力根拠'!G887</f>
        <v>1.1</v>
      </c>
      <c r="X7" s="38">
        <f>'入力根拠'!E887</f>
        <v>1.5</v>
      </c>
      <c r="Y7" s="39">
        <f>(U7+(((U10-U7)*(X7-'入力根拠'!F722))/T7))</f>
        <v>5045.2</v>
      </c>
      <c r="Z7" s="19"/>
      <c r="AA7" s="43"/>
    </row>
    <row r="8" spans="1:27" ht="16.5" customHeight="1">
      <c r="A8" s="41"/>
      <c r="B8" s="42"/>
      <c r="C8" s="43"/>
      <c r="D8" s="17"/>
      <c r="E8" s="33"/>
      <c r="F8" s="45">
        <f>'入力根拠'!F819</f>
        <v>2.6</v>
      </c>
      <c r="G8" s="46">
        <f>(C7+(((C10-C7)*(F8-'入力根拠'!F706))/B7))</f>
        <v>2203.6615384615384</v>
      </c>
      <c r="H8" s="19"/>
      <c r="I8" s="46">
        <f>I5</f>
        <v>1988.9883431952662</v>
      </c>
      <c r="J8" s="41"/>
      <c r="K8" s="42"/>
      <c r="L8" s="43"/>
      <c r="M8" s="17"/>
      <c r="N8" s="33"/>
      <c r="O8" s="45">
        <f>'入力根拠'!F853</f>
        <v>2.6</v>
      </c>
      <c r="P8" s="46">
        <f>(L7+(((L10-L7)*(O8-'入力根拠'!F713))/K7))</f>
        <v>1904.6307692307691</v>
      </c>
      <c r="Q8" s="19"/>
      <c r="R8" s="46">
        <f>R5</f>
        <v>1719.0725049309665</v>
      </c>
      <c r="S8" s="41"/>
      <c r="T8" s="42"/>
      <c r="U8" s="43"/>
      <c r="V8" s="17"/>
      <c r="W8" s="33"/>
      <c r="X8" s="45">
        <f>'入力根拠'!F887</f>
        <v>2.6</v>
      </c>
      <c r="Y8" s="46">
        <f>(U7+(((U10-U7)*(X8-'入力根拠'!F722))/T7))</f>
        <v>5509.2307692307695</v>
      </c>
      <c r="Z8" s="19"/>
      <c r="AA8" s="46">
        <f>AA5</f>
        <v>4972.489940828404</v>
      </c>
    </row>
    <row r="9" spans="1:27" ht="16.5" customHeight="1">
      <c r="A9" s="41"/>
      <c r="B9" s="42"/>
      <c r="C9" s="43"/>
      <c r="D9" s="17">
        <f>'入力根拠'!H734</f>
        <v>1.3</v>
      </c>
      <c r="E9" s="33">
        <f>'入力根拠'!G822</f>
        <v>0.2</v>
      </c>
      <c r="F9" s="38">
        <f>'入力根拠'!E822</f>
        <v>2.6</v>
      </c>
      <c r="G9" s="39">
        <f>(C7+(((C10-C7)*(F9-'入力根拠'!F706))/B7))</f>
        <v>2203.6615384615384</v>
      </c>
      <c r="H9" s="19">
        <v>100</v>
      </c>
      <c r="I9" s="39">
        <f>(SUM('入力根拠'!L822,'入力根拠'!L823)/D9)</f>
        <v>1826.6201183431954</v>
      </c>
      <c r="J9" s="41"/>
      <c r="K9" s="42"/>
      <c r="L9" s="43"/>
      <c r="M9" s="17">
        <f>'入力根拠'!H762</f>
        <v>1.3</v>
      </c>
      <c r="N9" s="33">
        <f>'入力根拠'!G856</f>
        <v>0.2</v>
      </c>
      <c r="O9" s="38">
        <f>'入力根拠'!E856</f>
        <v>2.6</v>
      </c>
      <c r="P9" s="39">
        <f>(L7+(((L10-L7)*(O9-'入力根拠'!F713))/K7))</f>
        <v>1904.6307692307691</v>
      </c>
      <c r="Q9" s="19">
        <v>125</v>
      </c>
      <c r="R9" s="39">
        <f>(SUM('入力根拠'!L856,'入力根拠'!L857)/M9)</f>
        <v>1285.2639053254438</v>
      </c>
      <c r="S9" s="41"/>
      <c r="T9" s="42"/>
      <c r="U9" s="43"/>
      <c r="V9" s="17">
        <f>'入力根拠'!H790</f>
        <v>1.3</v>
      </c>
      <c r="W9" s="33">
        <f>'入力根拠'!G890</f>
        <v>0.2</v>
      </c>
      <c r="X9" s="38">
        <f>'入力根拠'!E890</f>
        <v>2.6</v>
      </c>
      <c r="Y9" s="39">
        <f>(U7+(((U10-U7)*(X9-'入力根拠'!F722))/T7))</f>
        <v>5509.2307692307695</v>
      </c>
      <c r="Z9" s="19">
        <v>150</v>
      </c>
      <c r="AA9" s="39">
        <f>(SUM('入力根拠'!L890,'入力根拠'!L891)/V9)</f>
        <v>2339.063905325444</v>
      </c>
    </row>
    <row r="10" spans="1:27" ht="16.5" customHeight="1">
      <c r="A10" s="47"/>
      <c r="B10" s="48"/>
      <c r="C10" s="46">
        <f>'入力根拠'!J706</f>
        <v>2237.4</v>
      </c>
      <c r="D10" s="17"/>
      <c r="E10" s="33"/>
      <c r="F10" s="45">
        <f>'入力根拠'!F822</f>
        <v>2.8</v>
      </c>
      <c r="G10" s="46">
        <f>(C7+(((C10-C7)*(F10-'入力根拠'!F706))/B7))</f>
        <v>2237.4</v>
      </c>
      <c r="H10" s="19"/>
      <c r="I10" s="43"/>
      <c r="J10" s="47"/>
      <c r="K10" s="48"/>
      <c r="L10" s="46">
        <f>'入力根拠'!J713</f>
        <v>1933.8</v>
      </c>
      <c r="M10" s="17"/>
      <c r="N10" s="33"/>
      <c r="O10" s="45">
        <f>'入力根拠'!F856</f>
        <v>2.8</v>
      </c>
      <c r="P10" s="46">
        <f>(L7+(((L10-L7)*(O10-'入力根拠'!F713))/K7))</f>
        <v>1933.8</v>
      </c>
      <c r="Q10" s="19"/>
      <c r="R10" s="43"/>
      <c r="S10" s="47"/>
      <c r="T10" s="48"/>
      <c r="U10" s="46">
        <f>'入力根拠'!J722</f>
        <v>5593.6</v>
      </c>
      <c r="V10" s="17"/>
      <c r="W10" s="33"/>
      <c r="X10" s="45">
        <f>'入力根拠'!F890</f>
        <v>2.8</v>
      </c>
      <c r="Y10" s="46">
        <f>(U7+(((U10-U7)*(X10-'入力根拠'!F722))/T7))</f>
        <v>5593.6</v>
      </c>
      <c r="Z10" s="19"/>
      <c r="AA10" s="43"/>
    </row>
    <row r="11" spans="1:27" ht="16.5" customHeight="1">
      <c r="A11" s="37">
        <v>3</v>
      </c>
      <c r="B11" s="38">
        <f>'入力根拠'!H707</f>
        <v>2.9</v>
      </c>
      <c r="C11" s="39">
        <f>'入力根拠'!I707</f>
        <v>1755.0</v>
      </c>
      <c r="D11" s="17"/>
      <c r="E11" s="33">
        <f>'入力根拠'!G823</f>
        <v>1.1</v>
      </c>
      <c r="F11" s="38">
        <f>'入力根拠'!E823</f>
        <v>2.8</v>
      </c>
      <c r="G11" s="39">
        <f>(C11+(((C16-C11)*(F11-'入力根拠'!F707))/B11))</f>
        <v>1755.0</v>
      </c>
      <c r="H11" s="19"/>
      <c r="I11" s="43"/>
      <c r="J11" s="37">
        <v>3</v>
      </c>
      <c r="K11" s="38">
        <f>'入力根拠'!H714</f>
        <v>2.9</v>
      </c>
      <c r="L11" s="39">
        <f>'入力根拠'!I714</f>
        <v>1170.0</v>
      </c>
      <c r="M11" s="17"/>
      <c r="N11" s="33">
        <f>'入力根拠'!G857</f>
        <v>1.1</v>
      </c>
      <c r="O11" s="38">
        <f>'入力根拠'!E857</f>
        <v>2.8</v>
      </c>
      <c r="P11" s="39">
        <f>(L11+(((L16-L11)*(O11-'入力根拠'!F714))/K11))</f>
        <v>1170.0</v>
      </c>
      <c r="Q11" s="19"/>
      <c r="R11" s="43"/>
      <c r="S11" s="37">
        <v>3</v>
      </c>
      <c r="T11" s="38">
        <f>'入力根拠'!H723</f>
        <v>2.9</v>
      </c>
      <c r="U11" s="39">
        <f>'入力根拠'!I723</f>
        <v>1755.0</v>
      </c>
      <c r="V11" s="17"/>
      <c r="W11" s="33">
        <f>'入力根拠'!G891</f>
        <v>1.1</v>
      </c>
      <c r="X11" s="38">
        <f>'入力根拠'!E891</f>
        <v>2.8</v>
      </c>
      <c r="Y11" s="39">
        <f>(U11+(((U16-U11)*(X11-'入力根拠'!F723))/T11))</f>
        <v>1755.0</v>
      </c>
      <c r="Z11" s="19"/>
      <c r="AA11" s="43"/>
    </row>
    <row r="12" spans="1:27" ht="16.5" customHeight="1">
      <c r="A12" s="41"/>
      <c r="B12" s="42"/>
      <c r="C12" s="43"/>
      <c r="D12" s="17"/>
      <c r="E12" s="33"/>
      <c r="F12" s="45">
        <f>'入力根拠'!F823</f>
        <v>3.9</v>
      </c>
      <c r="G12" s="46">
        <f>(C11+(((C16-C11)*(F12-'入力根拠'!F707))/B11))</f>
        <v>1755.0</v>
      </c>
      <c r="H12" s="19"/>
      <c r="I12" s="46">
        <f>I9</f>
        <v>1826.6201183431954</v>
      </c>
      <c r="J12" s="41"/>
      <c r="K12" s="42"/>
      <c r="L12" s="43"/>
      <c r="M12" s="17"/>
      <c r="N12" s="33"/>
      <c r="O12" s="45">
        <f>'入力根拠'!F857</f>
        <v>3.9</v>
      </c>
      <c r="P12" s="46">
        <f>(L11+(((L16-L11)*(O12-'入力根拠'!F714))/K11))</f>
        <v>1170.0</v>
      </c>
      <c r="Q12" s="19"/>
      <c r="R12" s="46">
        <f>R9</f>
        <v>1285.2639053254438</v>
      </c>
      <c r="S12" s="41"/>
      <c r="T12" s="42"/>
      <c r="U12" s="43"/>
      <c r="V12" s="17"/>
      <c r="W12" s="33"/>
      <c r="X12" s="45">
        <f>'入力根拠'!F891</f>
        <v>3.9</v>
      </c>
      <c r="Y12" s="46">
        <f>(U11+(((U16-U11)*(X12-'入力根拠'!F723))/T11))</f>
        <v>1755.0</v>
      </c>
      <c r="Z12" s="19"/>
      <c r="AA12" s="46">
        <f>AA9</f>
        <v>2339.063905325444</v>
      </c>
    </row>
    <row r="13" spans="1:27" ht="16.5" customHeight="1">
      <c r="A13" s="41"/>
      <c r="B13" s="42"/>
      <c r="C13" s="43"/>
      <c r="D13" s="17">
        <f>'入力根拠'!H735</f>
        <v>1.3</v>
      </c>
      <c r="E13" s="40"/>
      <c r="F13" s="38">
        <f>'入力根拠'!E824</f>
        <v>3.9</v>
      </c>
      <c r="G13" s="39">
        <f>(C11+(((C16-C11)*(F13-'入力根拠'!F707))/B11))</f>
        <v>1755.0</v>
      </c>
      <c r="H13" s="19">
        <v>101</v>
      </c>
      <c r="I13" s="39">
        <f>G13</f>
        <v>1755.0</v>
      </c>
      <c r="J13" s="41"/>
      <c r="K13" s="42"/>
      <c r="L13" s="43"/>
      <c r="M13" s="17">
        <f>'入力根拠'!H763</f>
        <v>1.3</v>
      </c>
      <c r="N13" s="40"/>
      <c r="O13" s="38">
        <f>'入力根拠'!E858</f>
        <v>3.9</v>
      </c>
      <c r="P13" s="39">
        <f>(L11+(((L16-L11)*(O13-'入力根拠'!F714))/K11))</f>
        <v>1170.0</v>
      </c>
      <c r="Q13" s="19">
        <v>126</v>
      </c>
      <c r="R13" s="39">
        <f>P13</f>
        <v>1170.0</v>
      </c>
      <c r="S13" s="41"/>
      <c r="T13" s="42"/>
      <c r="U13" s="43"/>
      <c r="V13" s="17">
        <f>'入力根拠'!H791</f>
        <v>1.3</v>
      </c>
      <c r="W13" s="40"/>
      <c r="X13" s="38">
        <f>'入力根拠'!E892</f>
        <v>3.9</v>
      </c>
      <c r="Y13" s="39">
        <f>(U11+(((U16-U11)*(X13-'入力根拠'!F723))/T11))</f>
        <v>1755.0</v>
      </c>
      <c r="Z13" s="19">
        <v>151</v>
      </c>
      <c r="AA13" s="39">
        <f>Y13</f>
        <v>1755.0</v>
      </c>
    </row>
    <row r="14" spans="1:27" ht="16.5" customHeight="1">
      <c r="A14" s="41"/>
      <c r="B14" s="42"/>
      <c r="C14" s="43"/>
      <c r="D14" s="17"/>
      <c r="E14" s="44"/>
      <c r="F14" s="45">
        <f>'入力根拠'!F824</f>
        <v>5.2</v>
      </c>
      <c r="G14" s="46">
        <f>(C11+(((C16-C11)*(F14-'入力根拠'!F707))/B11))</f>
        <v>1755.0</v>
      </c>
      <c r="H14" s="19"/>
      <c r="I14" s="46">
        <f>G14</f>
        <v>1755.0</v>
      </c>
      <c r="J14" s="41"/>
      <c r="K14" s="42"/>
      <c r="L14" s="43"/>
      <c r="M14" s="17"/>
      <c r="N14" s="44"/>
      <c r="O14" s="45">
        <f>'入力根拠'!F858</f>
        <v>5.2</v>
      </c>
      <c r="P14" s="46">
        <f>(L11+(((L16-L11)*(O14-'入力根拠'!F714))/K11))</f>
        <v>1170.0</v>
      </c>
      <c r="Q14" s="19"/>
      <c r="R14" s="46">
        <f>P14</f>
        <v>1170.0</v>
      </c>
      <c r="S14" s="41"/>
      <c r="T14" s="42"/>
      <c r="U14" s="43"/>
      <c r="V14" s="17"/>
      <c r="W14" s="44"/>
      <c r="X14" s="45">
        <f>'入力根拠'!F892</f>
        <v>5.2</v>
      </c>
      <c r="Y14" s="46">
        <f>(U11+(((U16-U11)*(X14-'入力根拠'!F723))/T11))</f>
        <v>1755.0</v>
      </c>
      <c r="Z14" s="19"/>
      <c r="AA14" s="46">
        <f>Y14</f>
        <v>1755.0</v>
      </c>
    </row>
    <row r="15" spans="1:27" ht="16.5" customHeight="1">
      <c r="A15" s="41"/>
      <c r="B15" s="42"/>
      <c r="C15" s="43"/>
      <c r="D15" s="17">
        <f>'入力根拠'!H738</f>
        <v>1.3</v>
      </c>
      <c r="E15" s="33">
        <f>'入力根拠'!G825</f>
        <v>0.5</v>
      </c>
      <c r="F15" s="38">
        <f>'入力根拠'!E825</f>
        <v>5.2</v>
      </c>
      <c r="G15" s="39">
        <f>(C11+(((C16-C11)*(F15-'入力根拠'!F707))/B11))</f>
        <v>1755.0</v>
      </c>
      <c r="H15" s="19">
        <v>102</v>
      </c>
      <c r="I15" s="39">
        <f>(SUM('入力根拠'!L825,'入力根拠'!L826)/D15)</f>
        <v>2158.649704142012</v>
      </c>
      <c r="J15" s="41"/>
      <c r="K15" s="42"/>
      <c r="L15" s="43"/>
      <c r="M15" s="17">
        <f>'入力根拠'!H764</f>
        <v>1.3</v>
      </c>
      <c r="N15" s="33">
        <f>'入力根拠'!G859</f>
        <v>0.5</v>
      </c>
      <c r="O15" s="38">
        <f>'入力根拠'!E859</f>
        <v>5.2</v>
      </c>
      <c r="P15" s="39">
        <f>(L11+(((L16-L11)*(O15-'入力根拠'!F714))/K11))</f>
        <v>1170.0</v>
      </c>
      <c r="Q15" s="19">
        <v>127</v>
      </c>
      <c r="R15" s="39">
        <f>(SUM('入力根拠'!L859,'入力根拠'!L860)/M15)</f>
        <v>1732.3053254437868</v>
      </c>
      <c r="S15" s="41"/>
      <c r="T15" s="42"/>
      <c r="U15" s="43"/>
      <c r="V15" s="17">
        <f>'入力根拠'!H792</f>
        <v>1.3</v>
      </c>
      <c r="W15" s="33">
        <f>'入力根拠'!G893</f>
        <v>0.5</v>
      </c>
      <c r="X15" s="38">
        <f>'入力根拠'!E893</f>
        <v>5.2</v>
      </c>
      <c r="Y15" s="39">
        <f>(U11+(((U16-U11)*(X15-'入力根拠'!F723))/T11))</f>
        <v>1755.0</v>
      </c>
      <c r="Z15" s="19">
        <v>152</v>
      </c>
      <c r="AA15" s="39">
        <f>(SUM('入力根拠'!L893,'入力根拠'!L894)/V15)</f>
        <v>4384.055621301775</v>
      </c>
    </row>
    <row r="16" spans="1:27" ht="16.5" customHeight="1">
      <c r="A16" s="47"/>
      <c r="B16" s="48"/>
      <c r="C16" s="46">
        <f>'入力根拠'!J707</f>
        <v>1755.0</v>
      </c>
      <c r="D16" s="17"/>
      <c r="E16" s="33"/>
      <c r="F16" s="45">
        <f>'入力根拠'!F825</f>
        <v>5.7</v>
      </c>
      <c r="G16" s="46">
        <f>(C11+(((C16-C11)*(F16-'入力根拠'!F707))/B11))</f>
        <v>1755.0</v>
      </c>
      <c r="H16" s="19"/>
      <c r="I16" s="43"/>
      <c r="J16" s="47"/>
      <c r="K16" s="48"/>
      <c r="L16" s="46">
        <f>'入力根拠'!J714</f>
        <v>1170.0</v>
      </c>
      <c r="M16" s="17"/>
      <c r="N16" s="33"/>
      <c r="O16" s="45">
        <f>'入力根拠'!F859</f>
        <v>5.7</v>
      </c>
      <c r="P16" s="46">
        <f>(L11+(((L16-L11)*(O16-'入力根拠'!F714))/K11))</f>
        <v>1170.0</v>
      </c>
      <c r="Q16" s="19"/>
      <c r="R16" s="43"/>
      <c r="S16" s="47"/>
      <c r="T16" s="48"/>
      <c r="U16" s="46">
        <f>'入力根拠'!J723</f>
        <v>1755.0</v>
      </c>
      <c r="V16" s="17"/>
      <c r="W16" s="33"/>
      <c r="X16" s="45">
        <f>'入力根拠'!F893</f>
        <v>5.7</v>
      </c>
      <c r="Y16" s="46">
        <f>(U11+(((U16-U11)*(X16-'入力根拠'!F723))/T11))</f>
        <v>1755.0</v>
      </c>
      <c r="Z16" s="19"/>
      <c r="AA16" s="43"/>
    </row>
    <row r="17" spans="1:27" ht="16.5" customHeight="1">
      <c r="A17" s="37">
        <v>4</v>
      </c>
      <c r="B17" s="38">
        <f>'入力根拠'!H708</f>
        <v>2.6</v>
      </c>
      <c r="C17" s="39">
        <f>'入力根拠'!I708</f>
        <v>2349.1</v>
      </c>
      <c r="D17" s="17"/>
      <c r="E17" s="33">
        <f>'入力根拠'!G826</f>
        <v>0.8</v>
      </c>
      <c r="F17" s="38">
        <f>'入力根拠'!E826</f>
        <v>5.7</v>
      </c>
      <c r="G17" s="39">
        <f>(C17+(((C22-C17)*(F17-'入力根拠'!F708))/B17))</f>
        <v>2349.1</v>
      </c>
      <c r="H17" s="19"/>
      <c r="I17" s="43"/>
      <c r="J17" s="37">
        <v>4</v>
      </c>
      <c r="K17" s="38">
        <f>'入力根拠'!H715</f>
        <v>2.6</v>
      </c>
      <c r="L17" s="39">
        <f>'入力根拠'!I715</f>
        <v>2030.3</v>
      </c>
      <c r="M17" s="17"/>
      <c r="N17" s="33">
        <f>'入力根拠'!G860</f>
        <v>0.8</v>
      </c>
      <c r="O17" s="38">
        <f>'入力根拠'!E860</f>
        <v>5.7</v>
      </c>
      <c r="P17" s="39">
        <f>(L17+(((L22-L17)*(O17-'入力根拠'!F715))/K17))</f>
        <v>2030.3</v>
      </c>
      <c r="Q17" s="19"/>
      <c r="R17" s="43"/>
      <c r="S17" s="37">
        <v>4</v>
      </c>
      <c r="T17" s="38">
        <f>'入力根拠'!H724</f>
        <v>2.6</v>
      </c>
      <c r="U17" s="39">
        <f>'入力根拠'!I724</f>
        <v>5872.6</v>
      </c>
      <c r="V17" s="17"/>
      <c r="W17" s="33">
        <f>'入力根拠'!G894</f>
        <v>0.8</v>
      </c>
      <c r="X17" s="38">
        <f>'入力根拠'!E894</f>
        <v>5.7</v>
      </c>
      <c r="Y17" s="39">
        <f>(U17+(((U22-U17)*(X17-'入力根拠'!F724))/T17))</f>
        <v>5872.6</v>
      </c>
      <c r="Z17" s="19"/>
      <c r="AA17" s="43"/>
    </row>
    <row r="18" spans="1:27" ht="16.5" customHeight="1">
      <c r="A18" s="41"/>
      <c r="B18" s="42"/>
      <c r="C18" s="43"/>
      <c r="D18" s="17"/>
      <c r="E18" s="33"/>
      <c r="F18" s="45">
        <f>'入力根拠'!F826</f>
        <v>6.5</v>
      </c>
      <c r="G18" s="46">
        <f>(C17+(((C22-C17)*(F18-'入力根拠'!F708))/B17))</f>
        <v>2472.7615384615383</v>
      </c>
      <c r="H18" s="19"/>
      <c r="I18" s="46">
        <f>I15</f>
        <v>2158.649704142012</v>
      </c>
      <c r="J18" s="41"/>
      <c r="K18" s="42"/>
      <c r="L18" s="43"/>
      <c r="M18" s="17"/>
      <c r="N18" s="33"/>
      <c r="O18" s="45">
        <f>'入力根拠'!F860</f>
        <v>6.5</v>
      </c>
      <c r="P18" s="46">
        <f>(L17+(((L22-L17)*(O18-'入力根拠'!F715))/K17))</f>
        <v>2137.1923076923076</v>
      </c>
      <c r="Q18" s="19"/>
      <c r="R18" s="46">
        <f>R15</f>
        <v>1732.3053254437868</v>
      </c>
      <c r="S18" s="41"/>
      <c r="T18" s="42"/>
      <c r="U18" s="43"/>
      <c r="V18" s="17"/>
      <c r="W18" s="33"/>
      <c r="X18" s="45">
        <f>'入力根拠'!F894</f>
        <v>6.5</v>
      </c>
      <c r="Y18" s="46">
        <f>(U17+(((U22-U17)*(X18-'入力根拠'!F724))/T17))</f>
        <v>6181.83076923077</v>
      </c>
      <c r="Z18" s="19"/>
      <c r="AA18" s="46">
        <f>AA15</f>
        <v>4384.055621301775</v>
      </c>
    </row>
    <row r="19" spans="1:27" ht="16.5" customHeight="1">
      <c r="A19" s="41"/>
      <c r="B19" s="42"/>
      <c r="C19" s="43"/>
      <c r="D19" s="17">
        <f>'入力根拠'!H739</f>
        <v>1.3</v>
      </c>
      <c r="E19" s="40"/>
      <c r="F19" s="38">
        <f>'入力根拠'!E827</f>
        <v>6.5</v>
      </c>
      <c r="G19" s="39">
        <f>(C17+(((C22-C17)*(F19-'入力根拠'!F708))/B17))</f>
        <v>2472.7615384615383</v>
      </c>
      <c r="H19" s="19">
        <v>103</v>
      </c>
      <c r="I19" s="39">
        <f>G19</f>
        <v>2472.7615384615383</v>
      </c>
      <c r="J19" s="41"/>
      <c r="K19" s="42"/>
      <c r="L19" s="43"/>
      <c r="M19" s="17">
        <f>'入力根拠'!H765</f>
        <v>1.3</v>
      </c>
      <c r="N19" s="40"/>
      <c r="O19" s="38">
        <f>'入力根拠'!E861</f>
        <v>6.5</v>
      </c>
      <c r="P19" s="39">
        <f>(L17+(((L22-L17)*(O19-'入力根拠'!F715))/K17))</f>
        <v>2137.1923076923076</v>
      </c>
      <c r="Q19" s="19">
        <v>128</v>
      </c>
      <c r="R19" s="39">
        <f>P19</f>
        <v>2137.1923076923076</v>
      </c>
      <c r="S19" s="41"/>
      <c r="T19" s="42"/>
      <c r="U19" s="43"/>
      <c r="V19" s="17">
        <f>'入力根拠'!H793</f>
        <v>1.3</v>
      </c>
      <c r="W19" s="40"/>
      <c r="X19" s="38">
        <f>'入力根拠'!E895</f>
        <v>6.5</v>
      </c>
      <c r="Y19" s="39">
        <f>(U17+(((U22-U17)*(X19-'入力根拠'!F724))/T17))</f>
        <v>6181.83076923077</v>
      </c>
      <c r="Z19" s="19">
        <v>153</v>
      </c>
      <c r="AA19" s="39">
        <f>Y19</f>
        <v>6181.83076923077</v>
      </c>
    </row>
    <row r="20" spans="1:27" ht="16.5" customHeight="1">
      <c r="A20" s="41"/>
      <c r="B20" s="42"/>
      <c r="C20" s="43"/>
      <c r="D20" s="17"/>
      <c r="E20" s="44"/>
      <c r="F20" s="45">
        <f>'入力根拠'!F827</f>
        <v>7.8</v>
      </c>
      <c r="G20" s="46">
        <f>(C17+(((C22-C17)*(F20-'入力根拠'!F708))/B17))</f>
        <v>2673.711538461538</v>
      </c>
      <c r="H20" s="19"/>
      <c r="I20" s="46">
        <f>G20</f>
        <v>2673.711538461538</v>
      </c>
      <c r="J20" s="41"/>
      <c r="K20" s="42"/>
      <c r="L20" s="43"/>
      <c r="M20" s="17"/>
      <c r="N20" s="44"/>
      <c r="O20" s="45">
        <f>'入力根拠'!F861</f>
        <v>7.8</v>
      </c>
      <c r="P20" s="46">
        <f>(L17+(((L22-L17)*(O20-'入力根拠'!F715))/K17))</f>
        <v>2310.8923076923074</v>
      </c>
      <c r="Q20" s="19"/>
      <c r="R20" s="46">
        <f>P20</f>
        <v>2310.8923076923074</v>
      </c>
      <c r="S20" s="41"/>
      <c r="T20" s="42"/>
      <c r="U20" s="43"/>
      <c r="V20" s="17"/>
      <c r="W20" s="44"/>
      <c r="X20" s="45">
        <f>'入力根拠'!F895</f>
        <v>7.8</v>
      </c>
      <c r="Y20" s="46">
        <f>(U17+(((U22-U17)*(X20-'入力根拠'!F724))/T17))</f>
        <v>6684.33076923077</v>
      </c>
      <c r="Z20" s="19"/>
      <c r="AA20" s="46">
        <f>Y20</f>
        <v>6684.33076923077</v>
      </c>
    </row>
    <row r="21" spans="1:27" ht="16.5" customHeight="1">
      <c r="A21" s="41"/>
      <c r="B21" s="42"/>
      <c r="C21" s="43"/>
      <c r="D21" s="17">
        <f>'入力根拠'!H740</f>
        <v>1.3</v>
      </c>
      <c r="E21" s="33">
        <f>'入力根拠'!G828</f>
        <v>0.5</v>
      </c>
      <c r="F21" s="38">
        <f>'入力根拠'!E828</f>
        <v>7.8</v>
      </c>
      <c r="G21" s="39">
        <f>(C17+(((C22-C17)*(F21-'入力根拠'!F708))/B17))</f>
        <v>2673.711538461538</v>
      </c>
      <c r="H21" s="19">
        <v>104</v>
      </c>
      <c r="I21" s="39">
        <f>(SUM('入力根拠'!L828,'入力根拠'!L829,'入力根拠'!L830)/D21)</f>
        <v>4642.113352538149</v>
      </c>
      <c r="J21" s="41"/>
      <c r="K21" s="42"/>
      <c r="L21" s="43"/>
      <c r="M21" s="17">
        <f>'入力根拠'!H766</f>
        <v>1.3</v>
      </c>
      <c r="N21" s="33">
        <f>'入力根拠'!G862</f>
        <v>0.5</v>
      </c>
      <c r="O21" s="38">
        <f>'入力根拠'!E862</f>
        <v>7.8</v>
      </c>
      <c r="P21" s="39">
        <f>(L17+(((L22-L17)*(O21-'入力根拠'!F715))/K17))</f>
        <v>2310.8923076923074</v>
      </c>
      <c r="Q21" s="19">
        <v>129</v>
      </c>
      <c r="R21" s="39">
        <f>(SUM('入力根拠'!L862,'入力根拠'!L863,'入力根拠'!L864)/M21)</f>
        <v>3391.060949859857</v>
      </c>
      <c r="S21" s="41"/>
      <c r="T21" s="42"/>
      <c r="U21" s="43"/>
      <c r="V21" s="17">
        <f>'入力根拠'!H794</f>
        <v>1.3</v>
      </c>
      <c r="W21" s="33">
        <f>'入力根拠'!G896</f>
        <v>0.5</v>
      </c>
      <c r="X21" s="38">
        <f>'入力根拠'!E896</f>
        <v>7.8</v>
      </c>
      <c r="Y21" s="39">
        <f>(U17+(((U22-U17)*(X21-'入力根拠'!F724))/T17))</f>
        <v>6684.33076923077</v>
      </c>
      <c r="Z21" s="19">
        <v>154</v>
      </c>
      <c r="AA21" s="39">
        <f>(SUM('入力根拠'!L896,'入力根拠'!L897,'入力根拠'!L898)/V21)</f>
        <v>6891.104905014015</v>
      </c>
    </row>
    <row r="22" spans="1:27" ht="16.5" customHeight="1">
      <c r="A22" s="47"/>
      <c r="B22" s="48"/>
      <c r="C22" s="46">
        <f>'入力根拠'!J708</f>
        <v>2751.0</v>
      </c>
      <c r="D22" s="17"/>
      <c r="E22" s="33"/>
      <c r="F22" s="45">
        <f>'入力根拠'!F828</f>
        <v>8.3</v>
      </c>
      <c r="G22" s="46">
        <f>(C17+(((C22-C17)*(F22-'入力根拠'!F708))/B17))</f>
        <v>2751.0</v>
      </c>
      <c r="H22" s="19"/>
      <c r="I22" s="43"/>
      <c r="J22" s="47"/>
      <c r="K22" s="48"/>
      <c r="L22" s="46">
        <f>'入力根拠'!J715</f>
        <v>2377.7</v>
      </c>
      <c r="M22" s="17"/>
      <c r="N22" s="33"/>
      <c r="O22" s="45">
        <f>'入力根拠'!F862</f>
        <v>8.3</v>
      </c>
      <c r="P22" s="46">
        <f>(L17+(((L22-L17)*(O22-'入力根拠'!F715))/K17))</f>
        <v>2377.7</v>
      </c>
      <c r="Q22" s="19"/>
      <c r="R22" s="43"/>
      <c r="S22" s="47"/>
      <c r="T22" s="48"/>
      <c r="U22" s="46">
        <f>'入力根拠'!J724</f>
        <v>6877.6</v>
      </c>
      <c r="V22" s="17"/>
      <c r="W22" s="33"/>
      <c r="X22" s="45">
        <f>'入力根拠'!F896</f>
        <v>8.3</v>
      </c>
      <c r="Y22" s="46">
        <f>(U17+(((U22-U17)*(X22-'入力根拠'!F724))/T17))</f>
        <v>6877.6</v>
      </c>
      <c r="Z22" s="19"/>
      <c r="AA22" s="43"/>
    </row>
    <row r="23" spans="1:27" ht="16.5" customHeight="1">
      <c r="A23" s="37">
        <v>5</v>
      </c>
      <c r="B23" s="38">
        <f>'入力根拠'!H709</f>
        <v>0.6</v>
      </c>
      <c r="C23" s="39">
        <f>'入力根拠'!I709</f>
        <v>6809.4</v>
      </c>
      <c r="D23" s="17"/>
      <c r="E23" s="33">
        <f>'入力根拠'!G829</f>
        <v>0.6</v>
      </c>
      <c r="F23" s="38">
        <f>'入力根拠'!E829</f>
        <v>8.3</v>
      </c>
      <c r="G23" s="39">
        <f>(C23+(((C24-C23)*(F23-'入力根拠'!F709))/B23))</f>
        <v>6809.4</v>
      </c>
      <c r="H23" s="19"/>
      <c r="I23" s="43"/>
      <c r="J23" s="37">
        <v>5</v>
      </c>
      <c r="K23" s="38">
        <f>'入力根拠'!H716</f>
        <v>0.6</v>
      </c>
      <c r="L23" s="39">
        <f>'入力根拠'!I716</f>
        <v>4539.6</v>
      </c>
      <c r="M23" s="17"/>
      <c r="N23" s="33">
        <f>'入力根拠'!G863</f>
        <v>0.6</v>
      </c>
      <c r="O23" s="38">
        <f>'入力根拠'!E863</f>
        <v>8.3</v>
      </c>
      <c r="P23" s="39">
        <f>(L23+(((L24-L23)*(O23-'入力根拠'!F716))/K23))</f>
        <v>4539.6</v>
      </c>
      <c r="Q23" s="19"/>
      <c r="R23" s="43"/>
      <c r="S23" s="37">
        <v>5</v>
      </c>
      <c r="T23" s="38">
        <f>'入力根拠'!H725</f>
        <v>0.6</v>
      </c>
      <c r="U23" s="39">
        <f>'入力根拠'!I725</f>
        <v>6809.4</v>
      </c>
      <c r="V23" s="17"/>
      <c r="W23" s="33">
        <f>'入力根拠'!G897</f>
        <v>0.6</v>
      </c>
      <c r="X23" s="38">
        <f>'入力根拠'!E897</f>
        <v>8.3</v>
      </c>
      <c r="Y23" s="39">
        <f>(U23+(((U24-U23)*(X23-'入力根拠'!F725))/T23))</f>
        <v>6809.4</v>
      </c>
      <c r="Z23" s="19"/>
      <c r="AA23" s="43"/>
    </row>
    <row r="24" spans="1:27" ht="16.5" customHeight="1">
      <c r="A24" s="47"/>
      <c r="B24" s="48"/>
      <c r="C24" s="46">
        <f>'入力根拠'!J709</f>
        <v>6809.4</v>
      </c>
      <c r="D24" s="17"/>
      <c r="E24" s="33"/>
      <c r="F24" s="45">
        <f>'入力根拠'!F829</f>
        <v>8.9</v>
      </c>
      <c r="G24" s="46">
        <f>(C23+(((C24-C23)*(F24-'入力根拠'!F709))/B23))</f>
        <v>6809.4</v>
      </c>
      <c r="H24" s="19"/>
      <c r="I24" s="43"/>
      <c r="J24" s="47"/>
      <c r="K24" s="48"/>
      <c r="L24" s="46">
        <f>'入力根拠'!J716</f>
        <v>4539.6</v>
      </c>
      <c r="M24" s="17"/>
      <c r="N24" s="33"/>
      <c r="O24" s="45">
        <f>'入力根拠'!F863</f>
        <v>8.9</v>
      </c>
      <c r="P24" s="46">
        <f>(L23+(((L24-L23)*(O24-'入力根拠'!F716))/K23))</f>
        <v>4539.6</v>
      </c>
      <c r="Q24" s="19"/>
      <c r="R24" s="43"/>
      <c r="S24" s="47"/>
      <c r="T24" s="48"/>
      <c r="U24" s="46">
        <f>'入力根拠'!J725</f>
        <v>6809.4</v>
      </c>
      <c r="V24" s="17"/>
      <c r="W24" s="33"/>
      <c r="X24" s="45">
        <f>'入力根拠'!F897</f>
        <v>8.9</v>
      </c>
      <c r="Y24" s="46">
        <f>(U23+(((U24-U23)*(X24-'入力根拠'!F725))/T23))</f>
        <v>6809.4</v>
      </c>
      <c r="Z24" s="19"/>
      <c r="AA24" s="43"/>
    </row>
    <row r="25" spans="1:27" ht="16.5" customHeight="1">
      <c r="A25" s="37">
        <v>6</v>
      </c>
      <c r="B25" s="38">
        <f>'入力根拠'!H710</f>
        <v>9.5</v>
      </c>
      <c r="C25" s="39">
        <f>'入力根拠'!I710</f>
        <v>2948.5</v>
      </c>
      <c r="D25" s="17"/>
      <c r="E25" s="33">
        <f>'入力根拠'!G830</f>
        <v>0.2</v>
      </c>
      <c r="F25" s="38">
        <f>'入力根拠'!E830</f>
        <v>8.9</v>
      </c>
      <c r="G25" s="39">
        <f>(C25+(((C42-C25)*(F25-'入力根拠'!F710))/B25))</f>
        <v>2948.5</v>
      </c>
      <c r="H25" s="19"/>
      <c r="I25" s="43"/>
      <c r="J25" s="37">
        <v>6</v>
      </c>
      <c r="K25" s="38">
        <f>'入力根拠'!H717</f>
        <v>9.5</v>
      </c>
      <c r="L25" s="39">
        <f>'入力根拠'!I717</f>
        <v>2548.4</v>
      </c>
      <c r="M25" s="17"/>
      <c r="N25" s="33">
        <f>'入力根拠'!G864</f>
        <v>0.2</v>
      </c>
      <c r="O25" s="38">
        <f>'入力根拠'!E864</f>
        <v>8.9</v>
      </c>
      <c r="P25" s="39">
        <f>(L25+(((L42-L25)*(O25-'入力根拠'!F717))/K25))</f>
        <v>2548.4</v>
      </c>
      <c r="Q25" s="19"/>
      <c r="R25" s="43"/>
      <c r="S25" s="37">
        <v>6</v>
      </c>
      <c r="T25" s="38">
        <f>'入力根拠'!H726</f>
        <v>9.5</v>
      </c>
      <c r="U25" s="39">
        <f>'入力根拠'!I726</f>
        <v>7371.2</v>
      </c>
      <c r="V25" s="17"/>
      <c r="W25" s="33">
        <f>'入力根拠'!G898</f>
        <v>0.2</v>
      </c>
      <c r="X25" s="38">
        <f>'入力根拠'!E898</f>
        <v>8.9</v>
      </c>
      <c r="Y25" s="39">
        <f>(U25+(((U42-U25)*(X25-'入力根拠'!F726))/T25))</f>
        <v>7371.2</v>
      </c>
      <c r="Z25" s="19"/>
      <c r="AA25" s="43"/>
    </row>
    <row r="26" spans="1:27" ht="16.5" customHeight="1">
      <c r="A26" s="41"/>
      <c r="B26" s="42"/>
      <c r="C26" s="43"/>
      <c r="D26" s="17"/>
      <c r="E26" s="33"/>
      <c r="F26" s="45">
        <f>'入力根拠'!F830</f>
        <v>9.1</v>
      </c>
      <c r="G26" s="46">
        <f>(C25+(((C42-C25)*(F26-'入力根拠'!F710))/B25))</f>
        <v>2980.794736842105</v>
      </c>
      <c r="H26" s="19"/>
      <c r="I26" s="46">
        <f>I21</f>
        <v>4642.113352538149</v>
      </c>
      <c r="J26" s="41"/>
      <c r="K26" s="42"/>
      <c r="L26" s="43"/>
      <c r="M26" s="17"/>
      <c r="N26" s="33"/>
      <c r="O26" s="45">
        <f>'入力根拠'!F864</f>
        <v>9.1</v>
      </c>
      <c r="P26" s="46">
        <f>(L25+(((L42-L25)*(O26-'入力根拠'!F717))/K25))</f>
        <v>2576.3115789473686</v>
      </c>
      <c r="Q26" s="19"/>
      <c r="R26" s="46">
        <f>R21</f>
        <v>3391.060949859857</v>
      </c>
      <c r="S26" s="41"/>
      <c r="T26" s="42"/>
      <c r="U26" s="43"/>
      <c r="V26" s="17"/>
      <c r="W26" s="33"/>
      <c r="X26" s="45">
        <f>'入力根拠'!F898</f>
        <v>9.1</v>
      </c>
      <c r="Y26" s="46">
        <f>(U25+(((U42-U25)*(X26-'入力根拠'!F726))/T25))</f>
        <v>7451.936842105262</v>
      </c>
      <c r="Z26" s="19"/>
      <c r="AA26" s="46">
        <f>AA21</f>
        <v>6891.104905014015</v>
      </c>
    </row>
    <row r="27" spans="1:27" ht="16.5" customHeight="1">
      <c r="A27" s="41"/>
      <c r="B27" s="42"/>
      <c r="C27" s="43"/>
      <c r="D27" s="17">
        <f>'入力根拠'!H741</f>
        <v>1.3</v>
      </c>
      <c r="E27" s="40"/>
      <c r="F27" s="38">
        <f>'入力根拠'!E831</f>
        <v>9.1</v>
      </c>
      <c r="G27" s="39">
        <f>(C25+(((C42-C25)*(F27-'入力根拠'!F710))/B25))</f>
        <v>2980.794736842105</v>
      </c>
      <c r="H27" s="19">
        <v>105</v>
      </c>
      <c r="I27" s="39">
        <f>G27</f>
        <v>2980.794736842105</v>
      </c>
      <c r="J27" s="41"/>
      <c r="K27" s="42"/>
      <c r="L27" s="43"/>
      <c r="M27" s="17">
        <f>'入力根拠'!H767</f>
        <v>1.3</v>
      </c>
      <c r="N27" s="40"/>
      <c r="O27" s="38">
        <f>'入力根拠'!E865</f>
        <v>9.1</v>
      </c>
      <c r="P27" s="39">
        <f>(L25+(((L42-L25)*(O27-'入力根拠'!F717))/K25))</f>
        <v>2576.3115789473686</v>
      </c>
      <c r="Q27" s="19">
        <v>130</v>
      </c>
      <c r="R27" s="39">
        <f>P27</f>
        <v>2576.3115789473686</v>
      </c>
      <c r="S27" s="41"/>
      <c r="T27" s="42"/>
      <c r="U27" s="43"/>
      <c r="V27" s="17">
        <f>'入力根拠'!H795</f>
        <v>1.3</v>
      </c>
      <c r="W27" s="40"/>
      <c r="X27" s="38">
        <f>'入力根拠'!E899</f>
        <v>9.1</v>
      </c>
      <c r="Y27" s="39">
        <f>(U25+(((U42-U25)*(X27-'入力根拠'!F726))/T25))</f>
        <v>7451.936842105262</v>
      </c>
      <c r="Z27" s="19">
        <v>155</v>
      </c>
      <c r="AA27" s="39">
        <f>Y27</f>
        <v>7451.936842105262</v>
      </c>
    </row>
    <row r="28" spans="1:27" ht="16.5" customHeight="1">
      <c r="A28" s="41"/>
      <c r="B28" s="42"/>
      <c r="C28" s="43"/>
      <c r="D28" s="17"/>
      <c r="E28" s="44"/>
      <c r="F28" s="45">
        <f>'入力根拠'!F831</f>
        <v>10.4</v>
      </c>
      <c r="G28" s="46">
        <f>(C25+(((C42-C25)*(F28-'入力根拠'!F710))/B25))</f>
        <v>3190.7105263157896</v>
      </c>
      <c r="H28" s="19"/>
      <c r="I28" s="46">
        <f>G28</f>
        <v>3190.7105263157896</v>
      </c>
      <c r="J28" s="41"/>
      <c r="K28" s="42"/>
      <c r="L28" s="43"/>
      <c r="M28" s="17"/>
      <c r="N28" s="44"/>
      <c r="O28" s="45">
        <f>'入力根拠'!F865</f>
        <v>10.4</v>
      </c>
      <c r="P28" s="46">
        <f>(L25+(((L42-L25)*(O28-'入力根拠'!F717))/K25))</f>
        <v>2757.7368421052633</v>
      </c>
      <c r="Q28" s="19"/>
      <c r="R28" s="46">
        <f>P28</f>
        <v>2757.7368421052633</v>
      </c>
      <c r="S28" s="41"/>
      <c r="T28" s="42"/>
      <c r="U28" s="43"/>
      <c r="V28" s="17"/>
      <c r="W28" s="44"/>
      <c r="X28" s="45">
        <f>'入力根拠'!F899</f>
        <v>10.4</v>
      </c>
      <c r="Y28" s="46">
        <f>(U25+(((U42-U25)*(X28-'入力根拠'!F726))/T25))</f>
        <v>7976.726315789474</v>
      </c>
      <c r="Z28" s="19"/>
      <c r="AA28" s="46">
        <f>Y28</f>
        <v>7976.726315789474</v>
      </c>
    </row>
    <row r="29" spans="1:27" ht="16.5" customHeight="1">
      <c r="A29" s="41"/>
      <c r="B29" s="42"/>
      <c r="C29" s="43"/>
      <c r="D29" s="17">
        <f>'入力根拠'!H742</f>
        <v>1.3</v>
      </c>
      <c r="E29" s="40"/>
      <c r="F29" s="38">
        <f>'入力根拠'!E832</f>
        <v>10.4</v>
      </c>
      <c r="G29" s="39">
        <f>(C25+(((C42-C25)*(F29-'入力根拠'!F710))/B25))</f>
        <v>3190.7105263157896</v>
      </c>
      <c r="H29" s="19">
        <v>106</v>
      </c>
      <c r="I29" s="39">
        <f>G29</f>
        <v>3190.7105263157896</v>
      </c>
      <c r="J29" s="41"/>
      <c r="K29" s="42"/>
      <c r="L29" s="43"/>
      <c r="M29" s="17">
        <f>'入力根拠'!H768</f>
        <v>1.3</v>
      </c>
      <c r="N29" s="40"/>
      <c r="O29" s="38">
        <f>'入力根拠'!E866</f>
        <v>10.4</v>
      </c>
      <c r="P29" s="39">
        <f>(L25+(((L42-L25)*(O29-'入力根拠'!F717))/K25))</f>
        <v>2757.7368421052633</v>
      </c>
      <c r="Q29" s="19">
        <v>131</v>
      </c>
      <c r="R29" s="39">
        <f>P29</f>
        <v>2757.7368421052633</v>
      </c>
      <c r="S29" s="41"/>
      <c r="T29" s="42"/>
      <c r="U29" s="43"/>
      <c r="V29" s="17">
        <f>'入力根拠'!H796</f>
        <v>1.3</v>
      </c>
      <c r="W29" s="40"/>
      <c r="X29" s="38">
        <f>'入力根拠'!E900</f>
        <v>10.4</v>
      </c>
      <c r="Y29" s="39">
        <f>(U25+(((U42-U25)*(X29-'入力根拠'!F726))/T25))</f>
        <v>7976.726315789474</v>
      </c>
      <c r="Z29" s="19">
        <v>156</v>
      </c>
      <c r="AA29" s="39">
        <f>Y29</f>
        <v>7976.726315789474</v>
      </c>
    </row>
    <row r="30" spans="1:27" ht="16.5" customHeight="1">
      <c r="A30" s="41"/>
      <c r="B30" s="42"/>
      <c r="C30" s="43"/>
      <c r="D30" s="17"/>
      <c r="E30" s="44"/>
      <c r="F30" s="45">
        <f>'入力根拠'!F832</f>
        <v>11.7</v>
      </c>
      <c r="G30" s="46">
        <f>(C25+(((C42-C25)*(F30-'入力根拠'!F710))/B25))</f>
        <v>3400.6263157894737</v>
      </c>
      <c r="H30" s="19"/>
      <c r="I30" s="46">
        <f>G30</f>
        <v>3400.6263157894737</v>
      </c>
      <c r="J30" s="41"/>
      <c r="K30" s="42"/>
      <c r="L30" s="43"/>
      <c r="M30" s="17"/>
      <c r="N30" s="44"/>
      <c r="O30" s="45">
        <f>'入力根拠'!F866</f>
        <v>11.7</v>
      </c>
      <c r="P30" s="46">
        <f>(L25+(((L42-L25)*(O30-'入力根拠'!F717))/K25))</f>
        <v>2939.1621052631576</v>
      </c>
      <c r="Q30" s="19"/>
      <c r="R30" s="46">
        <f>P30</f>
        <v>2939.1621052631576</v>
      </c>
      <c r="S30" s="41"/>
      <c r="T30" s="42"/>
      <c r="U30" s="43"/>
      <c r="V30" s="17"/>
      <c r="W30" s="44"/>
      <c r="X30" s="45">
        <f>'入力根拠'!F900</f>
        <v>11.7</v>
      </c>
      <c r="Y30" s="46">
        <f>(U25+(((U42-U25)*(X30-'入力根拠'!F726))/T25))</f>
        <v>8501.515789473684</v>
      </c>
      <c r="Z30" s="19"/>
      <c r="AA30" s="46">
        <f>Y30</f>
        <v>8501.515789473684</v>
      </c>
    </row>
    <row r="31" spans="1:27" ht="16.5" customHeight="1">
      <c r="A31" s="41"/>
      <c r="B31" s="42"/>
      <c r="C31" s="43"/>
      <c r="D31" s="17">
        <f>'入力根拠'!H743</f>
        <v>1.3</v>
      </c>
      <c r="E31" s="40"/>
      <c r="F31" s="38">
        <f>'入力根拠'!E833</f>
        <v>11.7</v>
      </c>
      <c r="G31" s="39">
        <f>(C25+(((C42-C25)*(F31-'入力根拠'!F710))/B25))</f>
        <v>3400.6263157894737</v>
      </c>
      <c r="H31" s="19">
        <v>107</v>
      </c>
      <c r="I31" s="39">
        <f>G31</f>
        <v>3400.6263157894737</v>
      </c>
      <c r="J31" s="41"/>
      <c r="K31" s="42"/>
      <c r="L31" s="43"/>
      <c r="M31" s="17">
        <f>'入力根拠'!H769</f>
        <v>1.3</v>
      </c>
      <c r="N31" s="40"/>
      <c r="O31" s="38">
        <f>'入力根拠'!E867</f>
        <v>11.7</v>
      </c>
      <c r="P31" s="39">
        <f>(L25+(((L42-L25)*(O31-'入力根拠'!F717))/K25))</f>
        <v>2939.1621052631576</v>
      </c>
      <c r="Q31" s="19">
        <v>132</v>
      </c>
      <c r="R31" s="39">
        <f>P31</f>
        <v>2939.1621052631576</v>
      </c>
      <c r="S31" s="41"/>
      <c r="T31" s="42"/>
      <c r="U31" s="43"/>
      <c r="V31" s="17">
        <f>'入力根拠'!H797</f>
        <v>1.3</v>
      </c>
      <c r="W31" s="40"/>
      <c r="X31" s="38">
        <f>'入力根拠'!E901</f>
        <v>11.7</v>
      </c>
      <c r="Y31" s="39">
        <f>(U25+(((U42-U25)*(X31-'入力根拠'!F726))/T25))</f>
        <v>8501.515789473684</v>
      </c>
      <c r="Z31" s="19">
        <v>157</v>
      </c>
      <c r="AA31" s="39">
        <f>Y31</f>
        <v>8501.515789473684</v>
      </c>
    </row>
    <row r="32" spans="1:27" ht="16.5" customHeight="1">
      <c r="A32" s="41"/>
      <c r="B32" s="42"/>
      <c r="C32" s="43"/>
      <c r="D32" s="17"/>
      <c r="E32" s="44"/>
      <c r="F32" s="45">
        <f>'入力根拠'!F833</f>
        <v>13.0</v>
      </c>
      <c r="G32" s="46">
        <f>(C25+(((C42-C25)*(F32-'入力根拠'!F710))/B25))</f>
        <v>3610.5421052631577</v>
      </c>
      <c r="H32" s="19"/>
      <c r="I32" s="46">
        <f>G32</f>
        <v>3610.5421052631577</v>
      </c>
      <c r="J32" s="41"/>
      <c r="K32" s="42"/>
      <c r="L32" s="43"/>
      <c r="M32" s="17"/>
      <c r="N32" s="44"/>
      <c r="O32" s="45">
        <f>'入力根拠'!F867</f>
        <v>13.0</v>
      </c>
      <c r="P32" s="46">
        <f>(L25+(((L42-L25)*(O32-'入力根拠'!F717))/K25))</f>
        <v>3120.587368421053</v>
      </c>
      <c r="Q32" s="19"/>
      <c r="R32" s="46">
        <f>P32</f>
        <v>3120.587368421053</v>
      </c>
      <c r="S32" s="41"/>
      <c r="T32" s="42"/>
      <c r="U32" s="43"/>
      <c r="V32" s="17"/>
      <c r="W32" s="44"/>
      <c r="X32" s="45">
        <f>'入力根拠'!F901</f>
        <v>13.0</v>
      </c>
      <c r="Y32" s="46">
        <f>(U25+(((U42-U25)*(X32-'入力根拠'!F726))/T25))</f>
        <v>9026.305263157894</v>
      </c>
      <c r="Z32" s="19"/>
      <c r="AA32" s="46">
        <f>Y32</f>
        <v>9026.305263157894</v>
      </c>
    </row>
    <row r="33" spans="1:27" ht="16.5" customHeight="1">
      <c r="A33" s="41"/>
      <c r="B33" s="42"/>
      <c r="C33" s="43"/>
      <c r="D33" s="17">
        <f>'入力根拠'!H744</f>
        <v>1.3</v>
      </c>
      <c r="E33" s="40"/>
      <c r="F33" s="38">
        <f>'入力根拠'!E834</f>
        <v>13.0</v>
      </c>
      <c r="G33" s="39">
        <f>(C25+(((C42-C25)*(F33-'入力根拠'!F710))/B25))</f>
        <v>3610.5421052631577</v>
      </c>
      <c r="H33" s="19">
        <v>108</v>
      </c>
      <c r="I33" s="39">
        <f>G33</f>
        <v>3610.5421052631577</v>
      </c>
      <c r="J33" s="41"/>
      <c r="K33" s="42"/>
      <c r="L33" s="43"/>
      <c r="M33" s="17">
        <f>'入力根拠'!H772</f>
        <v>1.3</v>
      </c>
      <c r="N33" s="40"/>
      <c r="O33" s="38">
        <f>'入力根拠'!E868</f>
        <v>13.0</v>
      </c>
      <c r="P33" s="39">
        <f>(L25+(((L42-L25)*(O33-'入力根拠'!F717))/K25))</f>
        <v>3120.587368421053</v>
      </c>
      <c r="Q33" s="19">
        <v>133</v>
      </c>
      <c r="R33" s="39">
        <f>P33</f>
        <v>3120.587368421053</v>
      </c>
      <c r="S33" s="41"/>
      <c r="T33" s="42"/>
      <c r="U33" s="43"/>
      <c r="V33" s="17">
        <f>'入力根拠'!H798</f>
        <v>1.3</v>
      </c>
      <c r="W33" s="40"/>
      <c r="X33" s="38">
        <f>'入力根拠'!E902</f>
        <v>13.0</v>
      </c>
      <c r="Y33" s="39">
        <f>(U25+(((U42-U25)*(X33-'入力根拠'!F726))/T25))</f>
        <v>9026.305263157894</v>
      </c>
      <c r="Z33" s="19">
        <v>158</v>
      </c>
      <c r="AA33" s="39">
        <f>Y33</f>
        <v>9026.305263157894</v>
      </c>
    </row>
    <row r="34" spans="1:27" ht="16.5" customHeight="1">
      <c r="A34" s="41"/>
      <c r="B34" s="42"/>
      <c r="C34" s="43"/>
      <c r="D34" s="17"/>
      <c r="E34" s="44"/>
      <c r="F34" s="45">
        <f>'入力根拠'!F834</f>
        <v>14.3</v>
      </c>
      <c r="G34" s="46">
        <f>(C25+(((C42-C25)*(F34-'入力根拠'!F710))/B25))</f>
        <v>3820.4578947368423</v>
      </c>
      <c r="H34" s="19"/>
      <c r="I34" s="46">
        <f>G34</f>
        <v>3820.4578947368423</v>
      </c>
      <c r="J34" s="41"/>
      <c r="K34" s="42"/>
      <c r="L34" s="43"/>
      <c r="M34" s="17"/>
      <c r="N34" s="44"/>
      <c r="O34" s="45">
        <f>'入力根拠'!F868</f>
        <v>14.3</v>
      </c>
      <c r="P34" s="46">
        <f>(L25+(((L42-L25)*(O34-'入力根拠'!F717))/K25))</f>
        <v>3302.0126315789475</v>
      </c>
      <c r="Q34" s="19"/>
      <c r="R34" s="46">
        <f>P34</f>
        <v>3302.0126315789475</v>
      </c>
      <c r="S34" s="41"/>
      <c r="T34" s="42"/>
      <c r="U34" s="43"/>
      <c r="V34" s="17"/>
      <c r="W34" s="44"/>
      <c r="X34" s="45">
        <f>'入力根拠'!F902</f>
        <v>14.3</v>
      </c>
      <c r="Y34" s="46">
        <f>(U25+(((U42-U25)*(X34-'入力根拠'!F726))/T25))</f>
        <v>9551.094736842106</v>
      </c>
      <c r="Z34" s="19"/>
      <c r="AA34" s="46">
        <f>Y34</f>
        <v>9551.094736842106</v>
      </c>
    </row>
    <row r="35" spans="1:27" ht="16.5" customHeight="1">
      <c r="A35" s="41"/>
      <c r="B35" s="42"/>
      <c r="C35" s="43"/>
      <c r="D35" s="17">
        <f>'入力根拠'!H745</f>
        <v>1.3</v>
      </c>
      <c r="E35" s="40"/>
      <c r="F35" s="38">
        <f>'入力根拠'!E835</f>
        <v>14.3</v>
      </c>
      <c r="G35" s="39">
        <f>(C25+(((C42-C25)*(F35-'入力根拠'!F710))/B25))</f>
        <v>3820.4578947368423</v>
      </c>
      <c r="H35" s="19">
        <v>109</v>
      </c>
      <c r="I35" s="39">
        <f>G35</f>
        <v>3820.4578947368423</v>
      </c>
      <c r="J35" s="41"/>
      <c r="K35" s="42"/>
      <c r="L35" s="43"/>
      <c r="M35" s="17">
        <f>'入力根拠'!H773</f>
        <v>1.3</v>
      </c>
      <c r="N35" s="40"/>
      <c r="O35" s="38">
        <f>'入力根拠'!E869</f>
        <v>14.3</v>
      </c>
      <c r="P35" s="39">
        <f>(L25+(((L42-L25)*(O35-'入力根拠'!F717))/K25))</f>
        <v>3302.0126315789475</v>
      </c>
      <c r="Q35" s="19">
        <v>134</v>
      </c>
      <c r="R35" s="39">
        <f>P35</f>
        <v>3302.0126315789475</v>
      </c>
      <c r="S35" s="41"/>
      <c r="T35" s="42"/>
      <c r="U35" s="43"/>
      <c r="V35" s="17">
        <f>'入力根拠'!H799</f>
        <v>1.3</v>
      </c>
      <c r="W35" s="40"/>
      <c r="X35" s="38">
        <f>'入力根拠'!E903</f>
        <v>14.3</v>
      </c>
      <c r="Y35" s="39">
        <f>(U25+(((U42-U25)*(X35-'入力根拠'!F726))/T25))</f>
        <v>9551.094736842106</v>
      </c>
      <c r="Z35" s="19">
        <v>159</v>
      </c>
      <c r="AA35" s="39">
        <f>Y35</f>
        <v>9551.094736842106</v>
      </c>
    </row>
    <row r="36" spans="1:27" ht="16.5" customHeight="1">
      <c r="A36" s="41"/>
      <c r="B36" s="42"/>
      <c r="C36" s="43"/>
      <c r="D36" s="17"/>
      <c r="E36" s="44"/>
      <c r="F36" s="45">
        <f>'入力根拠'!F835</f>
        <v>15.6</v>
      </c>
      <c r="G36" s="46">
        <f>(C25+(((C42-C25)*(F36-'入力根拠'!F710))/B25))</f>
        <v>4030.3736842105263</v>
      </c>
      <c r="H36" s="19"/>
      <c r="I36" s="46">
        <f>G36</f>
        <v>4030.3736842105263</v>
      </c>
      <c r="J36" s="41"/>
      <c r="K36" s="42"/>
      <c r="L36" s="43"/>
      <c r="M36" s="17"/>
      <c r="N36" s="44"/>
      <c r="O36" s="45">
        <f>'入力根拠'!F869</f>
        <v>15.6</v>
      </c>
      <c r="P36" s="46">
        <f>(L25+(((L42-L25)*(O36-'入力根拠'!F717))/K25))</f>
        <v>3483.437894736842</v>
      </c>
      <c r="Q36" s="19"/>
      <c r="R36" s="46">
        <f>P36</f>
        <v>3483.437894736842</v>
      </c>
      <c r="S36" s="41"/>
      <c r="T36" s="42"/>
      <c r="U36" s="43"/>
      <c r="V36" s="17"/>
      <c r="W36" s="44"/>
      <c r="X36" s="45">
        <f>'入力根拠'!F903</f>
        <v>15.6</v>
      </c>
      <c r="Y36" s="46">
        <f>(U25+(((U42-U25)*(X36-'入力根拠'!F726))/T25))</f>
        <v>10075.884210526316</v>
      </c>
      <c r="Z36" s="19"/>
      <c r="AA36" s="46">
        <f>Y36</f>
        <v>10075.884210526316</v>
      </c>
    </row>
    <row r="37" spans="1:27" ht="16.5" customHeight="1">
      <c r="A37" s="41"/>
      <c r="B37" s="42"/>
      <c r="C37" s="43"/>
      <c r="D37" s="17">
        <f>'入力根拠'!H746</f>
        <v>1.3</v>
      </c>
      <c r="E37" s="40"/>
      <c r="F37" s="38">
        <f>'入力根拠'!E836</f>
        <v>15.6</v>
      </c>
      <c r="G37" s="39">
        <f>(C25+(((C42-C25)*(F37-'入力根拠'!F710))/B25))</f>
        <v>4030.3736842105263</v>
      </c>
      <c r="H37" s="19">
        <v>110</v>
      </c>
      <c r="I37" s="39">
        <f>G37</f>
        <v>4030.3736842105263</v>
      </c>
      <c r="J37" s="41"/>
      <c r="K37" s="42"/>
      <c r="L37" s="43"/>
      <c r="M37" s="17">
        <f>'入力根拠'!H774</f>
        <v>1.3</v>
      </c>
      <c r="N37" s="40"/>
      <c r="O37" s="38">
        <f>'入力根拠'!E870</f>
        <v>15.6</v>
      </c>
      <c r="P37" s="39">
        <f>(L25+(((L42-L25)*(O37-'入力根拠'!F717))/K25))</f>
        <v>3483.437894736842</v>
      </c>
      <c r="Q37" s="19">
        <v>135</v>
      </c>
      <c r="R37" s="39">
        <f>P37</f>
        <v>3483.437894736842</v>
      </c>
      <c r="S37" s="41"/>
      <c r="T37" s="42"/>
      <c r="U37" s="43"/>
      <c r="V37" s="17">
        <f>'入力根拠'!H800</f>
        <v>1.3</v>
      </c>
      <c r="W37" s="40"/>
      <c r="X37" s="38">
        <f>'入力根拠'!E904</f>
        <v>15.6</v>
      </c>
      <c r="Y37" s="39">
        <f>(U25+(((U42-U25)*(X37-'入力根拠'!F726))/T25))</f>
        <v>10075.884210526316</v>
      </c>
      <c r="Z37" s="19">
        <v>160</v>
      </c>
      <c r="AA37" s="39">
        <f>Y37</f>
        <v>10075.884210526316</v>
      </c>
    </row>
    <row r="38" spans="1:27" ht="16.5" customHeight="1">
      <c r="A38" s="41"/>
      <c r="B38" s="42"/>
      <c r="C38" s="43"/>
      <c r="D38" s="17"/>
      <c r="E38" s="44"/>
      <c r="F38" s="45">
        <f>'入力根拠'!F836</f>
        <v>16.9</v>
      </c>
      <c r="G38" s="46">
        <f>(C25+(((C42-C25)*(F38-'入力根拠'!F710))/B25))</f>
        <v>4240.28947368421</v>
      </c>
      <c r="H38" s="19"/>
      <c r="I38" s="46">
        <f>G38</f>
        <v>4240.28947368421</v>
      </c>
      <c r="J38" s="41"/>
      <c r="K38" s="42"/>
      <c r="L38" s="43"/>
      <c r="M38" s="17"/>
      <c r="N38" s="44"/>
      <c r="O38" s="45">
        <f>'入力根拠'!F870</f>
        <v>16.9</v>
      </c>
      <c r="P38" s="46">
        <f>(L25+(((L42-L25)*(O38-'入力根拠'!F717))/K25))</f>
        <v>3664.8631578947366</v>
      </c>
      <c r="Q38" s="19"/>
      <c r="R38" s="46">
        <f>P38</f>
        <v>3664.8631578947366</v>
      </c>
      <c r="S38" s="41"/>
      <c r="T38" s="42"/>
      <c r="U38" s="43"/>
      <c r="V38" s="17"/>
      <c r="W38" s="44"/>
      <c r="X38" s="45">
        <f>'入力根拠'!F904</f>
        <v>16.9</v>
      </c>
      <c r="Y38" s="46">
        <f>(U25+(((U42-U25)*(X38-'入力根拠'!F726))/T25))</f>
        <v>10600.673684210526</v>
      </c>
      <c r="Z38" s="19"/>
      <c r="AA38" s="46">
        <f>Y38</f>
        <v>10600.673684210526</v>
      </c>
    </row>
    <row r="39" spans="1:27" ht="16.5" customHeight="1">
      <c r="A39" s="41"/>
      <c r="B39" s="42"/>
      <c r="C39" s="43"/>
      <c r="D39" s="17">
        <f>'入力根拠'!H747</f>
        <v>1.3</v>
      </c>
      <c r="E39" s="40"/>
      <c r="F39" s="38">
        <f>'入力根拠'!E839</f>
        <v>16.9</v>
      </c>
      <c r="G39" s="39">
        <f>(C25+(((C42-C25)*(F39-'入力根拠'!F710))/B25))</f>
        <v>4240.28947368421</v>
      </c>
      <c r="H39" s="19">
        <v>111</v>
      </c>
      <c r="I39" s="39">
        <f>G39</f>
        <v>4240.28947368421</v>
      </c>
      <c r="J39" s="41"/>
      <c r="K39" s="42"/>
      <c r="L39" s="43"/>
      <c r="M39" s="17">
        <f>'入力根拠'!H775</f>
        <v>1.3</v>
      </c>
      <c r="N39" s="40"/>
      <c r="O39" s="38">
        <f>'入力根拠'!E873</f>
        <v>16.9</v>
      </c>
      <c r="P39" s="39">
        <f>(L25+(((L42-L25)*(O39-'入力根拠'!F717))/K25))</f>
        <v>3664.8631578947366</v>
      </c>
      <c r="Q39" s="19">
        <v>136</v>
      </c>
      <c r="R39" s="39">
        <f>P39</f>
        <v>3664.8631578947366</v>
      </c>
      <c r="S39" s="41"/>
      <c r="T39" s="42"/>
      <c r="U39" s="43"/>
      <c r="V39" s="17">
        <f>'入力根拠'!H801</f>
        <v>1.3</v>
      </c>
      <c r="W39" s="40"/>
      <c r="X39" s="38">
        <f>'入力根拠'!E907</f>
        <v>16.9</v>
      </c>
      <c r="Y39" s="39">
        <f>(U25+(((U42-U25)*(X39-'入力根拠'!F726))/T25))</f>
        <v>10600.673684210526</v>
      </c>
      <c r="Z39" s="19">
        <v>161</v>
      </c>
      <c r="AA39" s="39">
        <f>Y39</f>
        <v>10600.673684210526</v>
      </c>
    </row>
    <row r="40" spans="1:27" ht="16.5" customHeight="1">
      <c r="A40" s="41"/>
      <c r="B40" s="42"/>
      <c r="C40" s="43"/>
      <c r="D40" s="17"/>
      <c r="E40" s="44"/>
      <c r="F40" s="45">
        <f>'入力根拠'!F839</f>
        <v>18.2</v>
      </c>
      <c r="G40" s="46">
        <f>(C25+(((C42-C25)*(F40-'入力根拠'!F710))/B25))</f>
        <v>4450.2052631578945</v>
      </c>
      <c r="H40" s="19"/>
      <c r="I40" s="46">
        <f>G40</f>
        <v>4450.2052631578945</v>
      </c>
      <c r="J40" s="41"/>
      <c r="K40" s="42"/>
      <c r="L40" s="43"/>
      <c r="M40" s="17"/>
      <c r="N40" s="44"/>
      <c r="O40" s="45">
        <f>'入力根拠'!F873</f>
        <v>18.2</v>
      </c>
      <c r="P40" s="46">
        <f>(L25+(((L42-L25)*(O40-'入力根拠'!F717))/K25))</f>
        <v>3846.2884210526313</v>
      </c>
      <c r="Q40" s="19"/>
      <c r="R40" s="46">
        <f>P40</f>
        <v>3846.2884210526313</v>
      </c>
      <c r="S40" s="41"/>
      <c r="T40" s="42"/>
      <c r="U40" s="43"/>
      <c r="V40" s="17"/>
      <c r="W40" s="44"/>
      <c r="X40" s="45">
        <f>'入力根拠'!F907</f>
        <v>18.2</v>
      </c>
      <c r="Y40" s="46">
        <f>(U25+(((U42-U25)*(X40-'入力根拠'!F726))/T25))</f>
        <v>11125.463157894737</v>
      </c>
      <c r="Z40" s="19"/>
      <c r="AA40" s="46">
        <f>Y40</f>
        <v>11125.463157894737</v>
      </c>
    </row>
    <row r="41" spans="1:27" ht="16.5" customHeight="1">
      <c r="A41" s="41"/>
      <c r="B41" s="42"/>
      <c r="C41" s="43"/>
      <c r="D41" s="17">
        <f>'入力根拠'!H748</f>
        <v>1.3</v>
      </c>
      <c r="E41" s="33">
        <f>'入力根拠'!G840</f>
        <v>0.2</v>
      </c>
      <c r="F41" s="38">
        <f>'入力根拠'!E840</f>
        <v>18.2</v>
      </c>
      <c r="G41" s="39">
        <f>(C25+(((C42-C25)*(F41-'入力根拠'!F710))/B25))</f>
        <v>4450.2052631578945</v>
      </c>
      <c r="H41" s="19">
        <v>112</v>
      </c>
      <c r="I41" s="39">
        <f>(SUM('入力根拠'!L840,'入力根拠'!L841)/D41)</f>
        <v>3300.731174089069</v>
      </c>
      <c r="J41" s="41"/>
      <c r="K41" s="42"/>
      <c r="L41" s="43"/>
      <c r="M41" s="17">
        <f>'入力根拠'!H776</f>
        <v>1.3</v>
      </c>
      <c r="N41" s="33">
        <f>'入力根拠'!G874</f>
        <v>0.2</v>
      </c>
      <c r="O41" s="38">
        <f>'入力根拠'!E874</f>
        <v>18.2</v>
      </c>
      <c r="P41" s="39">
        <f>(L25+(((L42-L25)*(O41-'入力根拠'!F717))/K25))</f>
        <v>3846.2884210526313</v>
      </c>
      <c r="Q41" s="19">
        <v>137</v>
      </c>
      <c r="R41" s="39">
        <f>(SUM('入力根拠'!L874,'入力根拠'!L875)/M41)</f>
        <v>2336.2837246963563</v>
      </c>
      <c r="S41" s="41"/>
      <c r="T41" s="42"/>
      <c r="U41" s="43"/>
      <c r="V41" s="17">
        <f>'入力根拠'!H802</f>
        <v>1.3</v>
      </c>
      <c r="W41" s="33">
        <f>'入力根拠'!G908</f>
        <v>0.2</v>
      </c>
      <c r="X41" s="38">
        <f>'入力根拠'!E908</f>
        <v>18.2</v>
      </c>
      <c r="Y41" s="39">
        <f>(U25+(((U42-U25)*(X41-'入力根拠'!F726))/T25))</f>
        <v>11125.463157894737</v>
      </c>
      <c r="Z41" s="19">
        <v>162</v>
      </c>
      <c r="AA41" s="39">
        <f>(SUM('入力根拠'!L908,'入力根拠'!L909)/V41)</f>
        <v>4331.420242914981</v>
      </c>
    </row>
    <row r="42" spans="1:27" ht="16.5" customHeight="1">
      <c r="A42" s="47"/>
      <c r="B42" s="48"/>
      <c r="C42" s="46">
        <f>'入力根拠'!J710</f>
        <v>4482.5</v>
      </c>
      <c r="D42" s="17"/>
      <c r="E42" s="33"/>
      <c r="F42" s="45">
        <f>'入力根拠'!F840</f>
        <v>18.4</v>
      </c>
      <c r="G42" s="46">
        <f>(C25+(((C42-C25)*(F42-'入力根拠'!F710))/B25))</f>
        <v>4482.5</v>
      </c>
      <c r="H42" s="19"/>
      <c r="I42" s="43"/>
      <c r="J42" s="47"/>
      <c r="K42" s="48"/>
      <c r="L42" s="46">
        <f>'入力根拠'!J717</f>
        <v>3874.2</v>
      </c>
      <c r="M42" s="17"/>
      <c r="N42" s="33"/>
      <c r="O42" s="45">
        <f>'入力根拠'!F874</f>
        <v>18.4</v>
      </c>
      <c r="P42" s="46">
        <f>(L25+(((L42-L25)*(O42-'入力根拠'!F717))/K25))</f>
        <v>3874.2</v>
      </c>
      <c r="Q42" s="19"/>
      <c r="R42" s="43"/>
      <c r="S42" s="47"/>
      <c r="T42" s="48"/>
      <c r="U42" s="46">
        <f>'入力根拠'!J726</f>
        <v>11206.2</v>
      </c>
      <c r="V42" s="17"/>
      <c r="W42" s="33"/>
      <c r="X42" s="45">
        <f>'入力根拠'!F908</f>
        <v>18.4</v>
      </c>
      <c r="Y42" s="46">
        <f>(U25+(((U42-U25)*(X42-'入力根拠'!F726))/T25))</f>
        <v>11206.2</v>
      </c>
      <c r="Z42" s="19"/>
      <c r="AA42" s="43"/>
    </row>
    <row r="43" spans="1:27" ht="16.5" customHeight="1">
      <c r="A43" s="37">
        <v>7</v>
      </c>
      <c r="B43" s="38">
        <f>'入力根拠'!H711</f>
        <v>12.6</v>
      </c>
      <c r="C43" s="39">
        <f>'入力根拠'!I711</f>
        <v>3088.8</v>
      </c>
      <c r="D43" s="17"/>
      <c r="E43" s="33">
        <f>'入力根拠'!G841</f>
        <v>1.1</v>
      </c>
      <c r="F43" s="38">
        <f>'入力根拠'!E841</f>
        <v>18.4</v>
      </c>
      <c r="G43" s="39">
        <f>(C43+(((C62-C43)*(F43-'入力根拠'!F711))/B43))</f>
        <v>3088.8</v>
      </c>
      <c r="H43" s="19"/>
      <c r="I43" s="43"/>
      <c r="J43" s="37">
        <v>7</v>
      </c>
      <c r="K43" s="38">
        <f>'入力根拠'!H718</f>
        <v>12.6</v>
      </c>
      <c r="L43" s="39">
        <f>'入力根拠'!I718</f>
        <v>2059.2</v>
      </c>
      <c r="M43" s="17"/>
      <c r="N43" s="33">
        <f>'入力根拠'!G875</f>
        <v>1.1</v>
      </c>
      <c r="O43" s="38">
        <f>'入力根拠'!E875</f>
        <v>18.4</v>
      </c>
      <c r="P43" s="39">
        <f>(L43+(((L62-L43)*(O43-'入力根拠'!F718))/K43))</f>
        <v>2059.2</v>
      </c>
      <c r="Q43" s="19"/>
      <c r="R43" s="43"/>
      <c r="S43" s="37">
        <v>7</v>
      </c>
      <c r="T43" s="38">
        <f>'入力根拠'!H727</f>
        <v>12.6</v>
      </c>
      <c r="U43" s="39">
        <f>'入力根拠'!I727</f>
        <v>3088.8</v>
      </c>
      <c r="V43" s="17"/>
      <c r="W43" s="33">
        <f>'入力根拠'!G909</f>
        <v>1.1</v>
      </c>
      <c r="X43" s="38">
        <f>'入力根拠'!E909</f>
        <v>18.4</v>
      </c>
      <c r="Y43" s="39">
        <f>(U43+(((U62-U43)*(X43-'入力根拠'!F727))/T43))</f>
        <v>3088.8</v>
      </c>
      <c r="Z43" s="19"/>
      <c r="AA43" s="43"/>
    </row>
    <row r="44" spans="1:27" ht="16.5" customHeight="1">
      <c r="A44" s="41"/>
      <c r="B44" s="42"/>
      <c r="C44" s="43"/>
      <c r="D44" s="17"/>
      <c r="E44" s="33"/>
      <c r="F44" s="45">
        <f>'入力根拠'!F841</f>
        <v>19.5</v>
      </c>
      <c r="G44" s="46">
        <f>(C43+(((C62-C43)*(F44-'入力根拠'!F711))/B43))</f>
        <v>3088.8</v>
      </c>
      <c r="H44" s="19"/>
      <c r="I44" s="46">
        <f>I41</f>
        <v>3300.731174089069</v>
      </c>
      <c r="J44" s="41"/>
      <c r="K44" s="42"/>
      <c r="L44" s="43"/>
      <c r="M44" s="17"/>
      <c r="N44" s="33"/>
      <c r="O44" s="45">
        <f>'入力根拠'!F875</f>
        <v>19.5</v>
      </c>
      <c r="P44" s="46">
        <f>(L43+(((L62-L43)*(O44-'入力根拠'!F718))/K43))</f>
        <v>2059.2</v>
      </c>
      <c r="Q44" s="19"/>
      <c r="R44" s="46">
        <f>R41</f>
        <v>2336.2837246963563</v>
      </c>
      <c r="S44" s="41"/>
      <c r="T44" s="42"/>
      <c r="U44" s="43"/>
      <c r="V44" s="17"/>
      <c r="W44" s="33"/>
      <c r="X44" s="45">
        <f>'入力根拠'!F909</f>
        <v>19.5</v>
      </c>
      <c r="Y44" s="46">
        <f>(U43+(((U62-U43)*(X44-'入力根拠'!F727))/T43))</f>
        <v>3088.8</v>
      </c>
      <c r="Z44" s="19"/>
      <c r="AA44" s="46">
        <f>AA41</f>
        <v>4331.420242914981</v>
      </c>
    </row>
    <row r="45" spans="1:27" ht="16.5" customHeight="1">
      <c r="A45" s="41"/>
      <c r="B45" s="42"/>
      <c r="C45" s="43"/>
      <c r="D45" s="17">
        <f>'入力根拠'!H749</f>
        <v>1.3</v>
      </c>
      <c r="E45" s="40"/>
      <c r="F45" s="38">
        <f>'入力根拠'!E842</f>
        <v>19.5</v>
      </c>
      <c r="G45" s="39">
        <f>(C43+(((C62-C43)*(F45-'入力根拠'!F711))/B43))</f>
        <v>3088.8</v>
      </c>
      <c r="H45" s="19">
        <v>113</v>
      </c>
      <c r="I45" s="39">
        <f>G45</f>
        <v>3088.8</v>
      </c>
      <c r="J45" s="41"/>
      <c r="K45" s="42"/>
      <c r="L45" s="43"/>
      <c r="M45" s="17">
        <f>'入力根拠'!H777</f>
        <v>1.3</v>
      </c>
      <c r="N45" s="40"/>
      <c r="O45" s="38">
        <f>'入力根拠'!E876</f>
        <v>19.5</v>
      </c>
      <c r="P45" s="39">
        <f>(L43+(((L62-L43)*(O45-'入力根拠'!F718))/K43))</f>
        <v>2059.2</v>
      </c>
      <c r="Q45" s="19">
        <v>138</v>
      </c>
      <c r="R45" s="39">
        <f>P45</f>
        <v>2059.2</v>
      </c>
      <c r="S45" s="41"/>
      <c r="T45" s="42"/>
      <c r="U45" s="43"/>
      <c r="V45" s="17">
        <f>'入力根拠'!H803</f>
        <v>1.3</v>
      </c>
      <c r="W45" s="40"/>
      <c r="X45" s="38">
        <f>'入力根拠'!E910</f>
        <v>19.5</v>
      </c>
      <c r="Y45" s="39">
        <f>(U43+(((U62-U43)*(X45-'入力根拠'!F727))/T43))</f>
        <v>3088.8</v>
      </c>
      <c r="Z45" s="19">
        <v>163</v>
      </c>
      <c r="AA45" s="39">
        <f>Y45</f>
        <v>3088.8</v>
      </c>
    </row>
    <row r="46" spans="1:27" ht="16.5" customHeight="1">
      <c r="A46" s="41"/>
      <c r="B46" s="42"/>
      <c r="C46" s="43"/>
      <c r="D46" s="17"/>
      <c r="E46" s="44"/>
      <c r="F46" s="45">
        <f>'入力根拠'!F842</f>
        <v>20.8</v>
      </c>
      <c r="G46" s="46">
        <f>(C43+(((C62-C43)*(F46-'入力根拠'!F711))/B43))</f>
        <v>3088.8</v>
      </c>
      <c r="H46" s="19"/>
      <c r="I46" s="46">
        <f>G46</f>
        <v>3088.8</v>
      </c>
      <c r="J46" s="41"/>
      <c r="K46" s="42"/>
      <c r="L46" s="43"/>
      <c r="M46" s="17"/>
      <c r="N46" s="44"/>
      <c r="O46" s="45">
        <f>'入力根拠'!F876</f>
        <v>20.8</v>
      </c>
      <c r="P46" s="46">
        <f>(L43+(((L62-L43)*(O46-'入力根拠'!F718))/K43))</f>
        <v>2059.2</v>
      </c>
      <c r="Q46" s="19"/>
      <c r="R46" s="46">
        <f>P46</f>
        <v>2059.2</v>
      </c>
      <c r="S46" s="41"/>
      <c r="T46" s="42"/>
      <c r="U46" s="43"/>
      <c r="V46" s="17"/>
      <c r="W46" s="44"/>
      <c r="X46" s="45">
        <f>'入力根拠'!F910</f>
        <v>20.8</v>
      </c>
      <c r="Y46" s="46">
        <f>(U43+(((U62-U43)*(X46-'入力根拠'!F727))/T43))</f>
        <v>3088.8</v>
      </c>
      <c r="Z46" s="19"/>
      <c r="AA46" s="46">
        <f>Y46</f>
        <v>3088.8</v>
      </c>
    </row>
    <row r="47" spans="1:27" ht="16.5" customHeight="1">
      <c r="A47" s="41"/>
      <c r="B47" s="42"/>
      <c r="C47" s="43"/>
      <c r="D47" s="17">
        <f>'入力根拠'!H750</f>
        <v>1.3</v>
      </c>
      <c r="E47" s="40"/>
      <c r="F47" s="38">
        <f>'入力根拠'!E843</f>
        <v>20.8</v>
      </c>
      <c r="G47" s="39">
        <f>(C43+(((C62-C43)*(F47-'入力根拠'!F711))/B43))</f>
        <v>3088.8</v>
      </c>
      <c r="H47" s="19">
        <v>114</v>
      </c>
      <c r="I47" s="39">
        <f>G47</f>
        <v>3088.8</v>
      </c>
      <c r="J47" s="41"/>
      <c r="K47" s="42"/>
      <c r="L47" s="43"/>
      <c r="M47" s="17">
        <f>'入力根拠'!H778</f>
        <v>1.3</v>
      </c>
      <c r="N47" s="40"/>
      <c r="O47" s="38">
        <f>'入力根拠'!E877</f>
        <v>20.8</v>
      </c>
      <c r="P47" s="39">
        <f>(L43+(((L62-L43)*(O47-'入力根拠'!F718))/K43))</f>
        <v>2059.2</v>
      </c>
      <c r="Q47" s="19">
        <v>139</v>
      </c>
      <c r="R47" s="39">
        <f>P47</f>
        <v>2059.2</v>
      </c>
      <c r="S47" s="41"/>
      <c r="T47" s="42"/>
      <c r="U47" s="43"/>
      <c r="V47" s="17">
        <f>'入力根拠'!H806</f>
        <v>1.3</v>
      </c>
      <c r="W47" s="40"/>
      <c r="X47" s="38">
        <f>'入力根拠'!E911</f>
        <v>20.8</v>
      </c>
      <c r="Y47" s="39">
        <f>(U43+(((U62-U43)*(X47-'入力根拠'!F727))/T43))</f>
        <v>3088.8</v>
      </c>
      <c r="Z47" s="19">
        <v>164</v>
      </c>
      <c r="AA47" s="39">
        <f>Y47</f>
        <v>3088.8</v>
      </c>
    </row>
    <row r="48" spans="1:27" ht="16.5" customHeight="1">
      <c r="A48" s="41"/>
      <c r="B48" s="42"/>
      <c r="C48" s="43"/>
      <c r="D48" s="17"/>
      <c r="E48" s="44"/>
      <c r="F48" s="45">
        <f>'入力根拠'!F843</f>
        <v>22.1</v>
      </c>
      <c r="G48" s="46">
        <f>(C43+(((C62-C43)*(F48-'入力根拠'!F711))/B43))</f>
        <v>3088.8</v>
      </c>
      <c r="H48" s="19"/>
      <c r="I48" s="46">
        <f>G48</f>
        <v>3088.8</v>
      </c>
      <c r="J48" s="41"/>
      <c r="K48" s="42"/>
      <c r="L48" s="43"/>
      <c r="M48" s="17"/>
      <c r="N48" s="44"/>
      <c r="O48" s="45">
        <f>'入力根拠'!F877</f>
        <v>22.1</v>
      </c>
      <c r="P48" s="46">
        <f>(L43+(((L62-L43)*(O48-'入力根拠'!F718))/K43))</f>
        <v>2059.2</v>
      </c>
      <c r="Q48" s="19"/>
      <c r="R48" s="46">
        <f>P48</f>
        <v>2059.2</v>
      </c>
      <c r="S48" s="41"/>
      <c r="T48" s="42"/>
      <c r="U48" s="43"/>
      <c r="V48" s="17"/>
      <c r="W48" s="44"/>
      <c r="X48" s="45">
        <f>'入力根拠'!F911</f>
        <v>22.1</v>
      </c>
      <c r="Y48" s="46">
        <f>(U43+(((U62-U43)*(X48-'入力根拠'!F727))/T43))</f>
        <v>3088.8</v>
      </c>
      <c r="Z48" s="19"/>
      <c r="AA48" s="46">
        <f>Y48</f>
        <v>3088.8</v>
      </c>
    </row>
    <row r="49" spans="1:27" ht="16.5" customHeight="1">
      <c r="A49" s="41"/>
      <c r="B49" s="42"/>
      <c r="C49" s="43"/>
      <c r="D49" s="17">
        <f>'入力根拠'!H751</f>
        <v>1.3</v>
      </c>
      <c r="E49" s="40"/>
      <c r="F49" s="38">
        <f>'入力根拠'!E844</f>
        <v>22.1</v>
      </c>
      <c r="G49" s="39">
        <f>(C43+(((C62-C43)*(F49-'入力根拠'!F711))/B43))</f>
        <v>3088.8</v>
      </c>
      <c r="H49" s="19">
        <v>115</v>
      </c>
      <c r="I49" s="39">
        <f>G49</f>
        <v>3088.8</v>
      </c>
      <c r="J49" s="41"/>
      <c r="K49" s="42"/>
      <c r="L49" s="43"/>
      <c r="M49" s="17">
        <f>'入力根拠'!H779</f>
        <v>1.3</v>
      </c>
      <c r="N49" s="40"/>
      <c r="O49" s="38">
        <f>'入力根拠'!E878</f>
        <v>22.1</v>
      </c>
      <c r="P49" s="39">
        <f>(L43+(((L62-L43)*(O49-'入力根拠'!F718))/K43))</f>
        <v>2059.2</v>
      </c>
      <c r="Q49" s="19">
        <v>140</v>
      </c>
      <c r="R49" s="39">
        <f>P49</f>
        <v>2059.2</v>
      </c>
      <c r="S49" s="41"/>
      <c r="T49" s="42"/>
      <c r="U49" s="43"/>
      <c r="V49" s="17">
        <f>'入力根拠'!H807</f>
        <v>1.3</v>
      </c>
      <c r="W49" s="40"/>
      <c r="X49" s="38">
        <f>'入力根拠'!E912</f>
        <v>22.1</v>
      </c>
      <c r="Y49" s="39">
        <f>(U43+(((U62-U43)*(X49-'入力根拠'!F727))/T43))</f>
        <v>3088.8</v>
      </c>
      <c r="Z49" s="19">
        <v>165</v>
      </c>
      <c r="AA49" s="39">
        <f>Y49</f>
        <v>3088.8</v>
      </c>
    </row>
    <row r="50" spans="1:27" ht="16.5" customHeight="1">
      <c r="A50" s="41"/>
      <c r="B50" s="42"/>
      <c r="C50" s="43"/>
      <c r="D50" s="17"/>
      <c r="E50" s="44"/>
      <c r="F50" s="45">
        <f>'入力根拠'!F844</f>
        <v>23.4</v>
      </c>
      <c r="G50" s="46">
        <f>(C43+(((C62-C43)*(F50-'入力根拠'!F711))/B43))</f>
        <v>3088.8</v>
      </c>
      <c r="H50" s="19"/>
      <c r="I50" s="46">
        <f>G50</f>
        <v>3088.8</v>
      </c>
      <c r="J50" s="41"/>
      <c r="K50" s="42"/>
      <c r="L50" s="43"/>
      <c r="M50" s="17"/>
      <c r="N50" s="44"/>
      <c r="O50" s="45">
        <f>'入力根拠'!F878</f>
        <v>23.4</v>
      </c>
      <c r="P50" s="46">
        <f>(L43+(((L62-L43)*(O50-'入力根拠'!F718))/K43))</f>
        <v>2059.2</v>
      </c>
      <c r="Q50" s="19"/>
      <c r="R50" s="46">
        <f>P50</f>
        <v>2059.2</v>
      </c>
      <c r="S50" s="41"/>
      <c r="T50" s="42"/>
      <c r="U50" s="43"/>
      <c r="V50" s="17"/>
      <c r="W50" s="44"/>
      <c r="X50" s="45">
        <f>'入力根拠'!F912</f>
        <v>23.4</v>
      </c>
      <c r="Y50" s="46">
        <f>(U43+(((U62-U43)*(X50-'入力根拠'!F727))/T43))</f>
        <v>3088.8</v>
      </c>
      <c r="Z50" s="19"/>
      <c r="AA50" s="46">
        <f>Y50</f>
        <v>3088.8</v>
      </c>
    </row>
    <row r="51" spans="1:27" ht="16.5" customHeight="1">
      <c r="A51" s="41"/>
      <c r="B51" s="42"/>
      <c r="C51" s="43"/>
      <c r="D51" s="17">
        <f>'入力根拠'!H752</f>
        <v>1.3</v>
      </c>
      <c r="E51" s="40"/>
      <c r="F51" s="38">
        <f>'入力根拠'!E845</f>
        <v>23.4</v>
      </c>
      <c r="G51" s="39">
        <f>(C43+(((C62-C43)*(F51-'入力根拠'!F711))/B43))</f>
        <v>3088.8</v>
      </c>
      <c r="H51" s="19">
        <v>116</v>
      </c>
      <c r="I51" s="39">
        <f>G51</f>
        <v>3088.8</v>
      </c>
      <c r="J51" s="41"/>
      <c r="K51" s="42"/>
      <c r="L51" s="43"/>
      <c r="M51" s="17">
        <f>'入力根拠'!H780</f>
        <v>1.3</v>
      </c>
      <c r="N51" s="40"/>
      <c r="O51" s="38">
        <f>'入力根拠'!E879</f>
        <v>23.4</v>
      </c>
      <c r="P51" s="39">
        <f>(L43+(((L62-L43)*(O51-'入力根拠'!F718))/K43))</f>
        <v>2059.2</v>
      </c>
      <c r="Q51" s="19">
        <v>141</v>
      </c>
      <c r="R51" s="39">
        <f>P51</f>
        <v>2059.2</v>
      </c>
      <c r="S51" s="41"/>
      <c r="T51" s="42"/>
      <c r="U51" s="43"/>
      <c r="V51" s="17">
        <f>'入力根拠'!H808</f>
        <v>1.3</v>
      </c>
      <c r="W51" s="40"/>
      <c r="X51" s="38">
        <f>'入力根拠'!E913</f>
        <v>23.4</v>
      </c>
      <c r="Y51" s="39">
        <f>(U43+(((U62-U43)*(X51-'入力根拠'!F727))/T43))</f>
        <v>3088.8</v>
      </c>
      <c r="Z51" s="19">
        <v>166</v>
      </c>
      <c r="AA51" s="39">
        <f>Y51</f>
        <v>3088.8</v>
      </c>
    </row>
    <row r="52" spans="1:27" ht="16.5" customHeight="1">
      <c r="A52" s="41"/>
      <c r="B52" s="42"/>
      <c r="C52" s="43"/>
      <c r="D52" s="17"/>
      <c r="E52" s="44"/>
      <c r="F52" s="45">
        <f>'入力根拠'!F845</f>
        <v>24.7</v>
      </c>
      <c r="G52" s="46">
        <f>(C43+(((C62-C43)*(F52-'入力根拠'!F711))/B43))</f>
        <v>3088.8</v>
      </c>
      <c r="H52" s="19"/>
      <c r="I52" s="46">
        <f>G52</f>
        <v>3088.8</v>
      </c>
      <c r="J52" s="41"/>
      <c r="K52" s="42"/>
      <c r="L52" s="43"/>
      <c r="M52" s="17"/>
      <c r="N52" s="44"/>
      <c r="O52" s="45">
        <f>'入力根拠'!F879</f>
        <v>24.7</v>
      </c>
      <c r="P52" s="46">
        <f>(L43+(((L62-L43)*(O52-'入力根拠'!F718))/K43))</f>
        <v>2059.2</v>
      </c>
      <c r="Q52" s="19"/>
      <c r="R52" s="46">
        <f>P52</f>
        <v>2059.2</v>
      </c>
      <c r="S52" s="41"/>
      <c r="T52" s="42"/>
      <c r="U52" s="43"/>
      <c r="V52" s="17"/>
      <c r="W52" s="44"/>
      <c r="X52" s="45">
        <f>'入力根拠'!F913</f>
        <v>24.7</v>
      </c>
      <c r="Y52" s="46">
        <f>(U43+(((U62-U43)*(X52-'入力根拠'!F727))/T43))</f>
        <v>3088.8</v>
      </c>
      <c r="Z52" s="19"/>
      <c r="AA52" s="46">
        <f>Y52</f>
        <v>3088.8</v>
      </c>
    </row>
    <row r="53" spans="1:27" ht="16.5" customHeight="1">
      <c r="A53" s="41"/>
      <c r="B53" s="42"/>
      <c r="C53" s="43"/>
      <c r="D53" s="17">
        <f>'入力根拠'!H755</f>
        <v>1.3</v>
      </c>
      <c r="E53" s="40"/>
      <c r="F53" s="38">
        <f>'入力根拠'!E846</f>
        <v>24.7</v>
      </c>
      <c r="G53" s="39">
        <f>(C43+(((C62-C43)*(F53-'入力根拠'!F711))/B43))</f>
        <v>3088.8</v>
      </c>
      <c r="H53" s="19">
        <v>117</v>
      </c>
      <c r="I53" s="39">
        <f>G53</f>
        <v>3088.8</v>
      </c>
      <c r="J53" s="41"/>
      <c r="K53" s="42"/>
      <c r="L53" s="43"/>
      <c r="M53" s="17">
        <f>'入力根拠'!H781</f>
        <v>1.3</v>
      </c>
      <c r="N53" s="40"/>
      <c r="O53" s="38">
        <f>'入力根拠'!E880</f>
        <v>24.7</v>
      </c>
      <c r="P53" s="39">
        <f>(L43+(((L62-L43)*(O53-'入力根拠'!F718))/K43))</f>
        <v>2059.2</v>
      </c>
      <c r="Q53" s="19">
        <v>142</v>
      </c>
      <c r="R53" s="39">
        <f>P53</f>
        <v>2059.2</v>
      </c>
      <c r="S53" s="41"/>
      <c r="T53" s="42"/>
      <c r="U53" s="43"/>
      <c r="V53" s="17">
        <f>'入力根拠'!H809</f>
        <v>1.3</v>
      </c>
      <c r="W53" s="40"/>
      <c r="X53" s="38">
        <f>'入力根拠'!E914</f>
        <v>24.7</v>
      </c>
      <c r="Y53" s="39">
        <f>(U43+(((U62-U43)*(X53-'入力根拠'!F727))/T43))</f>
        <v>3088.8</v>
      </c>
      <c r="Z53" s="19">
        <v>167</v>
      </c>
      <c r="AA53" s="39">
        <f>Y53</f>
        <v>3088.8</v>
      </c>
    </row>
    <row r="54" spans="1:27" ht="16.5" customHeight="1">
      <c r="A54" s="41"/>
      <c r="B54" s="42"/>
      <c r="C54" s="43"/>
      <c r="D54" s="17"/>
      <c r="E54" s="44"/>
      <c r="F54" s="45">
        <f>'入力根拠'!F846</f>
        <v>26.0</v>
      </c>
      <c r="G54" s="46">
        <f>(C43+(((C62-C43)*(F54-'入力根拠'!F711))/B43))</f>
        <v>3088.8</v>
      </c>
      <c r="H54" s="19"/>
      <c r="I54" s="46">
        <f>G54</f>
        <v>3088.8</v>
      </c>
      <c r="J54" s="41"/>
      <c r="K54" s="42"/>
      <c r="L54" s="43"/>
      <c r="M54" s="17"/>
      <c r="N54" s="44"/>
      <c r="O54" s="45">
        <f>'入力根拠'!F880</f>
        <v>26.0</v>
      </c>
      <c r="P54" s="46">
        <f>(L43+(((L62-L43)*(O54-'入力根拠'!F718))/K43))</f>
        <v>2059.2</v>
      </c>
      <c r="Q54" s="19"/>
      <c r="R54" s="46">
        <f>P54</f>
        <v>2059.2</v>
      </c>
      <c r="S54" s="41"/>
      <c r="T54" s="42"/>
      <c r="U54" s="43"/>
      <c r="V54" s="17"/>
      <c r="W54" s="44"/>
      <c r="X54" s="45">
        <f>'入力根拠'!F914</f>
        <v>26.0</v>
      </c>
      <c r="Y54" s="46">
        <f>(U43+(((U62-U43)*(X54-'入力根拠'!F727))/T43))</f>
        <v>3088.8</v>
      </c>
      <c r="Z54" s="19"/>
      <c r="AA54" s="46">
        <f>Y54</f>
        <v>3088.8</v>
      </c>
    </row>
    <row r="55" spans="1:27" ht="16.5" customHeight="1">
      <c r="A55" s="41"/>
      <c r="B55" s="42"/>
      <c r="C55" s="43"/>
      <c r="D55" s="17">
        <f>'入力根拠'!H756</f>
        <v>1.3</v>
      </c>
      <c r="E55" s="40"/>
      <c r="F55" s="38">
        <f>'入力根拠'!E847</f>
        <v>26.0</v>
      </c>
      <c r="G55" s="39">
        <f>(C43+(((C62-C43)*(F55-'入力根拠'!F711))/B43))</f>
        <v>3088.8</v>
      </c>
      <c r="H55" s="19">
        <v>118</v>
      </c>
      <c r="I55" s="39">
        <f>G55</f>
        <v>3088.8</v>
      </c>
      <c r="J55" s="41"/>
      <c r="K55" s="42"/>
      <c r="L55" s="43"/>
      <c r="M55" s="17">
        <f>'入力根拠'!H782</f>
        <v>1.3</v>
      </c>
      <c r="N55" s="40"/>
      <c r="O55" s="38">
        <f>'入力根拠'!E881</f>
        <v>26.0</v>
      </c>
      <c r="P55" s="39">
        <f>(L43+(((L62-L43)*(O55-'入力根拠'!F718))/K43))</f>
        <v>2059.2</v>
      </c>
      <c r="Q55" s="19">
        <v>143</v>
      </c>
      <c r="R55" s="39">
        <f>P55</f>
        <v>2059.2</v>
      </c>
      <c r="S55" s="41"/>
      <c r="T55" s="42"/>
      <c r="U55" s="43"/>
      <c r="V55" s="17">
        <f>'入力根拠'!H810</f>
        <v>1.3</v>
      </c>
      <c r="W55" s="40"/>
      <c r="X55" s="38">
        <f>'入力根拠'!E915</f>
        <v>26.0</v>
      </c>
      <c r="Y55" s="39">
        <f>(U43+(((U62-U43)*(X55-'入力根拠'!F727))/T43))</f>
        <v>3088.8</v>
      </c>
      <c r="Z55" s="19">
        <v>168</v>
      </c>
      <c r="AA55" s="39">
        <f>Y55</f>
        <v>3088.8</v>
      </c>
    </row>
    <row r="56" spans="1:27" ht="16.5" customHeight="1">
      <c r="A56" s="41"/>
      <c r="B56" s="42"/>
      <c r="C56" s="43"/>
      <c r="D56" s="17"/>
      <c r="E56" s="44"/>
      <c r="F56" s="45">
        <f>'入力根拠'!F847</f>
        <v>27.3</v>
      </c>
      <c r="G56" s="46">
        <f>(C43+(((C62-C43)*(F56-'入力根拠'!F711))/B43))</f>
        <v>3088.8</v>
      </c>
      <c r="H56" s="19"/>
      <c r="I56" s="46">
        <f>G56</f>
        <v>3088.8</v>
      </c>
      <c r="J56" s="41"/>
      <c r="K56" s="42"/>
      <c r="L56" s="43"/>
      <c r="M56" s="17"/>
      <c r="N56" s="44"/>
      <c r="O56" s="45">
        <f>'入力根拠'!F881</f>
        <v>27.3</v>
      </c>
      <c r="P56" s="46">
        <f>(L43+(((L62-L43)*(O56-'入力根拠'!F718))/K43))</f>
        <v>2059.2</v>
      </c>
      <c r="Q56" s="19"/>
      <c r="R56" s="46">
        <f>P56</f>
        <v>2059.2</v>
      </c>
      <c r="S56" s="41"/>
      <c r="T56" s="42"/>
      <c r="U56" s="43"/>
      <c r="V56" s="17"/>
      <c r="W56" s="44"/>
      <c r="X56" s="45">
        <f>'入力根拠'!F915</f>
        <v>27.3</v>
      </c>
      <c r="Y56" s="46">
        <f>(U43+(((U62-U43)*(X56-'入力根拠'!F727))/T43))</f>
        <v>3088.8</v>
      </c>
      <c r="Z56" s="19"/>
      <c r="AA56" s="46">
        <f>Y56</f>
        <v>3088.8</v>
      </c>
    </row>
    <row r="57" spans="1:27" ht="16.5" customHeight="1">
      <c r="A57" s="41"/>
      <c r="B57" s="42"/>
      <c r="C57" s="43"/>
      <c r="D57" s="17">
        <f>'入力根拠'!H757</f>
        <v>1.3</v>
      </c>
      <c r="E57" s="40"/>
      <c r="F57" s="38">
        <f>'入力根拠'!E848</f>
        <v>27.3</v>
      </c>
      <c r="G57" s="39">
        <f>(C43+(((C62-C43)*(F57-'入力根拠'!F711))/B43))</f>
        <v>3088.8</v>
      </c>
      <c r="H57" s="19">
        <v>119</v>
      </c>
      <c r="I57" s="39">
        <f>G57</f>
        <v>3088.8</v>
      </c>
      <c r="J57" s="41"/>
      <c r="K57" s="42"/>
      <c r="L57" s="43"/>
      <c r="M57" s="17">
        <f>'入力根拠'!H783</f>
        <v>1.3</v>
      </c>
      <c r="N57" s="40"/>
      <c r="O57" s="38">
        <f>'入力根拠'!E882</f>
        <v>27.3</v>
      </c>
      <c r="P57" s="39">
        <f>(L43+(((L62-L43)*(O57-'入力根拠'!F718))/K43))</f>
        <v>2059.2</v>
      </c>
      <c r="Q57" s="19">
        <v>144</v>
      </c>
      <c r="R57" s="39">
        <f>P57</f>
        <v>2059.2</v>
      </c>
      <c r="S57" s="41"/>
      <c r="T57" s="42"/>
      <c r="U57" s="43"/>
      <c r="V57" s="17">
        <f>'入力根拠'!H811</f>
        <v>1.3</v>
      </c>
      <c r="W57" s="40"/>
      <c r="X57" s="38">
        <f>'入力根拠'!E916</f>
        <v>27.3</v>
      </c>
      <c r="Y57" s="39">
        <f>(U43+(((U62-U43)*(X57-'入力根拠'!F727))/T43))</f>
        <v>3088.8</v>
      </c>
      <c r="Z57" s="19">
        <v>169</v>
      </c>
      <c r="AA57" s="39">
        <f>Y57</f>
        <v>3088.8</v>
      </c>
    </row>
    <row r="58" spans="1:27" ht="16.5" customHeight="1">
      <c r="A58" s="41"/>
      <c r="B58" s="42"/>
      <c r="C58" s="43"/>
      <c r="D58" s="17"/>
      <c r="E58" s="44"/>
      <c r="F58" s="45">
        <f>'入力根拠'!F848</f>
        <v>28.6</v>
      </c>
      <c r="G58" s="46">
        <f>(C43+(((C62-C43)*(F58-'入力根拠'!F711))/B43))</f>
        <v>3088.8</v>
      </c>
      <c r="H58" s="19"/>
      <c r="I58" s="46">
        <f>G58</f>
        <v>3088.8</v>
      </c>
      <c r="J58" s="41"/>
      <c r="K58" s="42"/>
      <c r="L58" s="43"/>
      <c r="M58" s="17"/>
      <c r="N58" s="44"/>
      <c r="O58" s="45">
        <f>'入力根拠'!F882</f>
        <v>28.6</v>
      </c>
      <c r="P58" s="46">
        <f>(L43+(((L62-L43)*(O58-'入力根拠'!F718))/K43))</f>
        <v>2059.2</v>
      </c>
      <c r="Q58" s="19"/>
      <c r="R58" s="46">
        <f>P58</f>
        <v>2059.2</v>
      </c>
      <c r="S58" s="41"/>
      <c r="T58" s="42"/>
      <c r="U58" s="43"/>
      <c r="V58" s="17"/>
      <c r="W58" s="44"/>
      <c r="X58" s="45">
        <f>'入力根拠'!F916</f>
        <v>28.6</v>
      </c>
      <c r="Y58" s="46">
        <f>(U43+(((U62-U43)*(X58-'入力根拠'!F727))/T43))</f>
        <v>3088.8</v>
      </c>
      <c r="Z58" s="19"/>
      <c r="AA58" s="46">
        <f>Y58</f>
        <v>3088.8</v>
      </c>
    </row>
    <row r="59" spans="1:27" ht="16.5" customHeight="1">
      <c r="A59" s="41"/>
      <c r="B59" s="42"/>
      <c r="C59" s="43"/>
      <c r="D59" s="17">
        <f>'入力根拠'!H758</f>
        <v>1.3</v>
      </c>
      <c r="E59" s="40"/>
      <c r="F59" s="38">
        <f>'入力根拠'!E849</f>
        <v>28.6</v>
      </c>
      <c r="G59" s="39">
        <f>(C43+(((C62-C43)*(F59-'入力根拠'!F711))/B43))</f>
        <v>3088.8</v>
      </c>
      <c r="H59" s="19">
        <v>120</v>
      </c>
      <c r="I59" s="39">
        <f>G59</f>
        <v>3088.8</v>
      </c>
      <c r="J59" s="41"/>
      <c r="K59" s="42"/>
      <c r="L59" s="43"/>
      <c r="M59" s="17">
        <f>'入力根拠'!H784</f>
        <v>1.3</v>
      </c>
      <c r="N59" s="40"/>
      <c r="O59" s="38">
        <f>'入力根拠'!E883</f>
        <v>28.6</v>
      </c>
      <c r="P59" s="39">
        <f>(L43+(((L62-L43)*(O59-'入力根拠'!F718))/K43))</f>
        <v>2059.2</v>
      </c>
      <c r="Q59" s="19">
        <v>145</v>
      </c>
      <c r="R59" s="39">
        <f>P59</f>
        <v>2059.2</v>
      </c>
      <c r="S59" s="41"/>
      <c r="T59" s="42"/>
      <c r="U59" s="43"/>
      <c r="V59" s="17">
        <f>'入力根拠'!H812</f>
        <v>1.3</v>
      </c>
      <c r="W59" s="40"/>
      <c r="X59" s="38">
        <f>'入力根拠'!E917</f>
        <v>28.6</v>
      </c>
      <c r="Y59" s="39">
        <f>(U43+(((U62-U43)*(X59-'入力根拠'!F727))/T43))</f>
        <v>3088.8</v>
      </c>
      <c r="Z59" s="19">
        <v>170</v>
      </c>
      <c r="AA59" s="39">
        <f>Y59</f>
        <v>3088.8</v>
      </c>
    </row>
    <row r="60" spans="1:27" ht="16.5" customHeight="1">
      <c r="A60" s="41"/>
      <c r="B60" s="42"/>
      <c r="C60" s="43"/>
      <c r="D60" s="17"/>
      <c r="E60" s="44"/>
      <c r="F60" s="45">
        <f>'入力根拠'!F849</f>
        <v>29.9</v>
      </c>
      <c r="G60" s="46">
        <f>(C43+(((C62-C43)*(F60-'入力根拠'!F711))/B43))</f>
        <v>3088.8</v>
      </c>
      <c r="H60" s="19"/>
      <c r="I60" s="46">
        <f>G60</f>
        <v>3088.8</v>
      </c>
      <c r="J60" s="41"/>
      <c r="K60" s="42"/>
      <c r="L60" s="43"/>
      <c r="M60" s="17"/>
      <c r="N60" s="44"/>
      <c r="O60" s="45">
        <f>'入力根拠'!F883</f>
        <v>29.9</v>
      </c>
      <c r="P60" s="46">
        <f>(L43+(((L62-L43)*(O60-'入力根拠'!F718))/K43))</f>
        <v>2059.2</v>
      </c>
      <c r="Q60" s="19"/>
      <c r="R60" s="46">
        <f>P60</f>
        <v>2059.2</v>
      </c>
      <c r="S60" s="41"/>
      <c r="T60" s="42"/>
      <c r="U60" s="43"/>
      <c r="V60" s="17"/>
      <c r="W60" s="44"/>
      <c r="X60" s="45">
        <f>'入力根拠'!F917</f>
        <v>29.9</v>
      </c>
      <c r="Y60" s="46">
        <f>(U43+(((U62-U43)*(X60-'入力根拠'!F727))/T43))</f>
        <v>3088.8</v>
      </c>
      <c r="Z60" s="19"/>
      <c r="AA60" s="46">
        <f>Y60</f>
        <v>3088.8</v>
      </c>
    </row>
    <row r="61" spans="1:27" ht="16.5" customHeight="1">
      <c r="A61" s="41"/>
      <c r="B61" s="42"/>
      <c r="C61" s="43"/>
      <c r="D61" s="17">
        <f>'入力根拠'!H759</f>
        <v>1.1</v>
      </c>
      <c r="E61" s="40"/>
      <c r="F61" s="38">
        <f>'入力根拠'!E850</f>
        <v>29.9</v>
      </c>
      <c r="G61" s="39">
        <f>(C43+(((C62-C43)*(F61-'入力根拠'!F711))/B43))</f>
        <v>3088.8</v>
      </c>
      <c r="H61" s="19">
        <v>121</v>
      </c>
      <c r="I61" s="39">
        <f>G61</f>
        <v>3088.8</v>
      </c>
      <c r="J61" s="41"/>
      <c r="K61" s="42"/>
      <c r="L61" s="43"/>
      <c r="M61" s="17">
        <f>'入力根拠'!H785</f>
        <v>1.1</v>
      </c>
      <c r="N61" s="40"/>
      <c r="O61" s="38">
        <f>'入力根拠'!E884</f>
        <v>29.9</v>
      </c>
      <c r="P61" s="39">
        <f>(L43+(((L62-L43)*(O61-'入力根拠'!F718))/K43))</f>
        <v>2059.2</v>
      </c>
      <c r="Q61" s="19">
        <v>146</v>
      </c>
      <c r="R61" s="39">
        <f>P61</f>
        <v>2059.2</v>
      </c>
      <c r="S61" s="41"/>
      <c r="T61" s="42"/>
      <c r="U61" s="43"/>
      <c r="V61" s="17">
        <f>'入力根拠'!H813</f>
        <v>1.1</v>
      </c>
      <c r="W61" s="40"/>
      <c r="X61" s="38">
        <f>'入力根拠'!E918</f>
        <v>29.9</v>
      </c>
      <c r="Y61" s="39">
        <f>(U43+(((U62-U43)*(X61-'入力根拠'!F727))/T43))</f>
        <v>3088.8</v>
      </c>
      <c r="Z61" s="19">
        <v>171</v>
      </c>
      <c r="AA61" s="39">
        <f>Y61</f>
        <v>3088.8</v>
      </c>
    </row>
    <row r="62" spans="1:27" ht="16.5" customHeight="1">
      <c r="A62" s="47"/>
      <c r="B62" s="48"/>
      <c r="C62" s="46">
        <f>'入力根拠'!J711</f>
        <v>3088.8</v>
      </c>
      <c r="D62" s="17"/>
      <c r="E62" s="44"/>
      <c r="F62" s="45">
        <f>'入力根拠'!F850</f>
        <v>31.0</v>
      </c>
      <c r="G62" s="46">
        <f>(C43+(((C62-C43)*(F62-'入力根拠'!F711))/B43))</f>
        <v>3088.8</v>
      </c>
      <c r="H62" s="19"/>
      <c r="I62" s="46">
        <f>G62</f>
        <v>3088.8</v>
      </c>
      <c r="J62" s="47"/>
      <c r="K62" s="48"/>
      <c r="L62" s="46">
        <f>'入力根拠'!J718</f>
        <v>2059.2</v>
      </c>
      <c r="M62" s="17"/>
      <c r="N62" s="44"/>
      <c r="O62" s="45">
        <f>'入力根拠'!F884</f>
        <v>31.0</v>
      </c>
      <c r="P62" s="46">
        <f>(L43+(((L62-L43)*(O62-'入力根拠'!F718))/K43))</f>
        <v>2059.2</v>
      </c>
      <c r="Q62" s="19"/>
      <c r="R62" s="46">
        <f>P62</f>
        <v>2059.2</v>
      </c>
      <c r="S62" s="47"/>
      <c r="T62" s="48"/>
      <c r="U62" s="46">
        <f>'入力根拠'!J727</f>
        <v>3088.8</v>
      </c>
      <c r="V62" s="17"/>
      <c r="W62" s="44"/>
      <c r="X62" s="45">
        <f>'入力根拠'!F918</f>
        <v>31.0</v>
      </c>
      <c r="Y62" s="46">
        <f>(U43+(((U62-U43)*(X62-'入力根拠'!F727))/T43))</f>
        <v>3088.8</v>
      </c>
      <c r="Z62" s="19"/>
      <c r="AA62" s="46">
        <f>Y62</f>
        <v>3088.8</v>
      </c>
    </row>
    <row r="63" spans="1:27" ht="16.5" customHeight="1">
      <c r="A63" s="36" t="s">
        <v>204</v>
      </c>
      <c r="B63" s="33">
        <f>SUM(B3,B7,B11,B17,B23,B25,B43)</f>
        <v>31.0</v>
      </c>
      <c r="C63" s="36"/>
      <c r="D63" s="17">
        <f>SUM(D3,D5,D9,D13,D15,D19,D21,D27,D29,D31,D33,D35,D37,D39,D41,D45,D47,D49,D51,D53,D55,D57,D59,D61)</f>
        <v>31.0</v>
      </c>
      <c r="E63" s="49"/>
      <c r="F63" s="36"/>
      <c r="G63" s="36"/>
      <c r="H63" s="36"/>
      <c r="I63" s="36"/>
      <c r="J63" s="36" t="s">
        <v>204</v>
      </c>
      <c r="K63" s="33">
        <f>SUM(K3,K7,K11,K17,K23,K25,K43)</f>
        <v>31.0</v>
      </c>
      <c r="L63" s="36"/>
      <c r="M63" s="17">
        <f>SUM(M3,M5,M9,M13,M15,M19,M21,M27,M29,M31,M33,M35,M37,M39,M41,M45,M47,M49,M51,M53,M55,M57,M59,M61)</f>
        <v>31.0</v>
      </c>
      <c r="N63" s="49"/>
      <c r="O63" s="36"/>
      <c r="P63" s="36"/>
      <c r="Q63" s="36"/>
      <c r="R63" s="36"/>
      <c r="S63" s="36" t="s">
        <v>204</v>
      </c>
      <c r="T63" s="33">
        <f>SUM(T3,T7,T11,T17,T23,T25,T43)</f>
        <v>31.0</v>
      </c>
      <c r="U63" s="36"/>
      <c r="V63" s="17">
        <f>SUM(V3,V5,V9,V13,V15,V19,V21,V27,V29,V31,V33,V35,V37,V39,V41,V45,V47,V49,V51,V53,V55,V57,V59,V61)</f>
        <v>31.0</v>
      </c>
      <c r="W63" s="49"/>
      <c r="X63" s="36"/>
      <c r="Y63" s="36"/>
      <c r="Z63" s="36"/>
      <c r="AA63" s="36"/>
    </row>
    <row r="64" spans="1:27" ht="21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</sheetData>
  <mergeCells count="180">
    <mergeCell ref="D2:E2"/>
    <mergeCell ref="M2:N2"/>
    <mergeCell ref="V2:W2"/>
    <mergeCell ref="D3:D4"/>
    <mergeCell ref="H3:H4"/>
    <mergeCell ref="M3:M4"/>
    <mergeCell ref="Q3:Q4"/>
    <mergeCell ref="V3:V4"/>
    <mergeCell ref="Z3:Z4"/>
    <mergeCell ref="D5:D8"/>
    <mergeCell ref="E5:E6"/>
    <mergeCell ref="H5:H8"/>
    <mergeCell ref="M5:M8"/>
    <mergeCell ref="N5:N6"/>
    <mergeCell ref="Q5:Q8"/>
    <mergeCell ref="V5:V8"/>
    <mergeCell ref="W5:W6"/>
    <mergeCell ref="Z5:Z8"/>
    <mergeCell ref="E7:E8"/>
    <mergeCell ref="N7:N8"/>
    <mergeCell ref="W7:W8"/>
    <mergeCell ref="D9:D12"/>
    <mergeCell ref="E9:E10"/>
    <mergeCell ref="H9:H12"/>
    <mergeCell ref="M9:M12"/>
    <mergeCell ref="N9:N10"/>
    <mergeCell ref="Q9:Q12"/>
    <mergeCell ref="V9:V12"/>
    <mergeCell ref="W9:W10"/>
    <mergeCell ref="Z9:Z12"/>
    <mergeCell ref="E11:E12"/>
    <mergeCell ref="N11:N12"/>
    <mergeCell ref="W11:W12"/>
    <mergeCell ref="D13:D14"/>
    <mergeCell ref="H13:H14"/>
    <mergeCell ref="M13:M14"/>
    <mergeCell ref="Q13:Q14"/>
    <mergeCell ref="V13:V14"/>
    <mergeCell ref="Z13:Z14"/>
    <mergeCell ref="D15:D18"/>
    <mergeCell ref="E15:E16"/>
    <mergeCell ref="H15:H18"/>
    <mergeCell ref="M15:M18"/>
    <mergeCell ref="N15:N16"/>
    <mergeCell ref="Q15:Q18"/>
    <mergeCell ref="V15:V18"/>
    <mergeCell ref="W15:W16"/>
    <mergeCell ref="Z15:Z18"/>
    <mergeCell ref="E17:E18"/>
    <mergeCell ref="N17:N18"/>
    <mergeCell ref="W17:W18"/>
    <mergeCell ref="D19:D20"/>
    <mergeCell ref="H19:H20"/>
    <mergeCell ref="M19:M20"/>
    <mergeCell ref="Q19:Q20"/>
    <mergeCell ref="V19:V20"/>
    <mergeCell ref="Z19:Z20"/>
    <mergeCell ref="D21:D26"/>
    <mergeCell ref="E21:E22"/>
    <mergeCell ref="H21:H26"/>
    <mergeCell ref="M21:M26"/>
    <mergeCell ref="N21:N22"/>
    <mergeCell ref="Q21:Q26"/>
    <mergeCell ref="V21:V26"/>
    <mergeCell ref="W21:W22"/>
    <mergeCell ref="Z21:Z26"/>
    <mergeCell ref="E23:E24"/>
    <mergeCell ref="N23:N24"/>
    <mergeCell ref="W23:W24"/>
    <mergeCell ref="E25:E26"/>
    <mergeCell ref="N25:N26"/>
    <mergeCell ref="W25:W26"/>
    <mergeCell ref="D27:D28"/>
    <mergeCell ref="H27:H28"/>
    <mergeCell ref="M27:M28"/>
    <mergeCell ref="Q27:Q28"/>
    <mergeCell ref="V27:V28"/>
    <mergeCell ref="Z27:Z28"/>
    <mergeCell ref="D29:D30"/>
    <mergeCell ref="H29:H30"/>
    <mergeCell ref="M29:M30"/>
    <mergeCell ref="Q29:Q30"/>
    <mergeCell ref="V29:V30"/>
    <mergeCell ref="Z29:Z30"/>
    <mergeCell ref="D31:D32"/>
    <mergeCell ref="H31:H32"/>
    <mergeCell ref="M31:M32"/>
    <mergeCell ref="Q31:Q32"/>
    <mergeCell ref="V31:V32"/>
    <mergeCell ref="Z31:Z32"/>
    <mergeCell ref="D33:D34"/>
    <mergeCell ref="H33:H34"/>
    <mergeCell ref="M33:M34"/>
    <mergeCell ref="Q33:Q34"/>
    <mergeCell ref="V33:V34"/>
    <mergeCell ref="Z33:Z34"/>
    <mergeCell ref="D35:D36"/>
    <mergeCell ref="H35:H36"/>
    <mergeCell ref="M35:M36"/>
    <mergeCell ref="Q35:Q36"/>
    <mergeCell ref="V35:V36"/>
    <mergeCell ref="Z35:Z36"/>
    <mergeCell ref="D37:D38"/>
    <mergeCell ref="H37:H38"/>
    <mergeCell ref="M37:M38"/>
    <mergeCell ref="Q37:Q38"/>
    <mergeCell ref="V37:V38"/>
    <mergeCell ref="Z37:Z38"/>
    <mergeCell ref="D39:D40"/>
    <mergeCell ref="H39:H40"/>
    <mergeCell ref="M39:M40"/>
    <mergeCell ref="Q39:Q40"/>
    <mergeCell ref="V39:V40"/>
    <mergeCell ref="Z39:Z40"/>
    <mergeCell ref="D41:D44"/>
    <mergeCell ref="E41:E42"/>
    <mergeCell ref="H41:H44"/>
    <mergeCell ref="M41:M44"/>
    <mergeCell ref="N41:N42"/>
    <mergeCell ref="Q41:Q44"/>
    <mergeCell ref="V41:V44"/>
    <mergeCell ref="W41:W42"/>
    <mergeCell ref="Z41:Z44"/>
    <mergeCell ref="E43:E44"/>
    <mergeCell ref="N43:N44"/>
    <mergeCell ref="W43:W44"/>
    <mergeCell ref="D45:D46"/>
    <mergeCell ref="H45:H46"/>
    <mergeCell ref="M45:M46"/>
    <mergeCell ref="Q45:Q46"/>
    <mergeCell ref="V45:V46"/>
    <mergeCell ref="Z45:Z46"/>
    <mergeCell ref="D47:D48"/>
    <mergeCell ref="H47:H48"/>
    <mergeCell ref="M47:M48"/>
    <mergeCell ref="Q47:Q48"/>
    <mergeCell ref="V47:V48"/>
    <mergeCell ref="Z47:Z48"/>
    <mergeCell ref="D49:D50"/>
    <mergeCell ref="H49:H50"/>
    <mergeCell ref="M49:M50"/>
    <mergeCell ref="Q49:Q50"/>
    <mergeCell ref="V49:V50"/>
    <mergeCell ref="Z49:Z50"/>
    <mergeCell ref="D51:D52"/>
    <mergeCell ref="H51:H52"/>
    <mergeCell ref="M51:M52"/>
    <mergeCell ref="Q51:Q52"/>
    <mergeCell ref="V51:V52"/>
    <mergeCell ref="Z51:Z52"/>
    <mergeCell ref="D53:D54"/>
    <mergeCell ref="H53:H54"/>
    <mergeCell ref="M53:M54"/>
    <mergeCell ref="Q53:Q54"/>
    <mergeCell ref="V53:V54"/>
    <mergeCell ref="Z53:Z54"/>
    <mergeCell ref="D55:D56"/>
    <mergeCell ref="H55:H56"/>
    <mergeCell ref="M55:M56"/>
    <mergeCell ref="Q55:Q56"/>
    <mergeCell ref="V55:V56"/>
    <mergeCell ref="Z55:Z56"/>
    <mergeCell ref="D57:D58"/>
    <mergeCell ref="H57:H58"/>
    <mergeCell ref="M57:M58"/>
    <mergeCell ref="Q57:Q58"/>
    <mergeCell ref="V57:V58"/>
    <mergeCell ref="Z57:Z58"/>
    <mergeCell ref="D59:D60"/>
    <mergeCell ref="H59:H60"/>
    <mergeCell ref="M59:M60"/>
    <mergeCell ref="Q59:Q60"/>
    <mergeCell ref="V59:V60"/>
    <mergeCell ref="Z59:Z60"/>
    <mergeCell ref="D61:D62"/>
    <mergeCell ref="H61:H62"/>
    <mergeCell ref="M61:M62"/>
    <mergeCell ref="Q61:Q62"/>
    <mergeCell ref="V61:V62"/>
    <mergeCell ref="Z61:Z62"/>
  </mergeCells>
  <pageMargins left="0.7086614173228347" right="0.7086614173228347" top="0.7480314960629921" bottom="0.7480314960629921" header="0.3" footer="0.3"/>
  <pageSetup paperSize="9" orientation="portrait"/>
  <headerFooter>
    <oddFooter>&amp;L有効抵抗土圧&amp;R&amp;P / &amp;N</oddFooter>
  </headerFooter>
  <rowBreaks count="1" manualBreakCount="1">
    <brk id="40" max="16383" man="1"/>
  </rowBreaks>
  <colBreaks count="2" manualBreakCount="2">
    <brk id="9" max="1048575" man="1"/>
    <brk id="1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U37"/>
  <sheetViews>
    <sheetView showGridLines="0" zoomScale="85" zoomScaleNormal="85" workbookViewId="0"/>
  </sheetViews>
  <sheetFormatPr defaultRowHeight="23" customHeight="1"/>
  <cols>
    <col min="1" max="2" width="8.7109375" customWidth="1"/>
    <col min="3" max="3" width="21.7109375" customWidth="1"/>
    <col min="4" max="6" width="9.5703125" customWidth="1"/>
    <col min="7" max="7" width="20.7109375" customWidth="1"/>
    <col min="8" max="9" width="8.7109375" customWidth="1"/>
    <col min="10" max="10" width="21.7109375" customWidth="1"/>
    <col min="11" max="13" width="9.5703125" customWidth="1"/>
    <col min="14" max="14" width="20.7109375" customWidth="1"/>
    <col min="15" max="16" width="8.7109375" customWidth="1"/>
    <col min="17" max="17" width="21.7109375" customWidth="1"/>
    <col min="18" max="20" width="9.5703125" customWidth="1"/>
    <col min="21" max="21" width="20.7109375" customWidth="1"/>
  </cols>
  <sheetData>
    <row r="1" spans="1:21" ht="24" customHeight="1">
      <c r="A1" s="50" t="s">
        <v>208</v>
      </c>
      <c r="B1" s="13"/>
      <c r="C1" s="13"/>
      <c r="D1" s="13"/>
      <c r="E1" s="13"/>
      <c r="F1" s="13"/>
      <c r="G1" s="13"/>
      <c r="H1" s="50" t="s">
        <v>208</v>
      </c>
      <c r="I1" s="13"/>
      <c r="J1" s="13"/>
      <c r="K1" s="13"/>
      <c r="L1" s="13"/>
      <c r="M1" s="13"/>
      <c r="N1" s="13"/>
      <c r="O1" s="50" t="s">
        <v>208</v>
      </c>
      <c r="P1" s="13"/>
      <c r="Q1" s="13"/>
      <c r="R1" s="13"/>
      <c r="S1" s="13"/>
      <c r="T1" s="13"/>
      <c r="U1" s="13"/>
    </row>
    <row r="2" spans="1:21" ht="48.75" customHeight="1">
      <c r="A2" s="19" t="s">
        <v>198</v>
      </c>
      <c r="B2" s="19" t="s">
        <v>199</v>
      </c>
      <c r="C2" s="19" t="s">
        <v>209</v>
      </c>
      <c r="D2" s="19" t="s">
        <v>210</v>
      </c>
      <c r="E2" s="19"/>
      <c r="F2" s="19" t="s">
        <v>211</v>
      </c>
      <c r="G2" s="19" t="s">
        <v>212</v>
      </c>
      <c r="H2" s="19" t="s">
        <v>198</v>
      </c>
      <c r="I2" s="19" t="s">
        <v>199</v>
      </c>
      <c r="J2" s="19" t="s">
        <v>209</v>
      </c>
      <c r="K2" s="19" t="s">
        <v>210</v>
      </c>
      <c r="L2" s="19"/>
      <c r="M2" s="19" t="s">
        <v>211</v>
      </c>
      <c r="N2" s="19" t="s">
        <v>212</v>
      </c>
      <c r="O2" s="19" t="s">
        <v>198</v>
      </c>
      <c r="P2" s="19" t="s">
        <v>199</v>
      </c>
      <c r="Q2" s="19" t="s">
        <v>209</v>
      </c>
      <c r="R2" s="19" t="s">
        <v>210</v>
      </c>
      <c r="S2" s="19"/>
      <c r="T2" s="19" t="s">
        <v>211</v>
      </c>
      <c r="U2" s="19" t="s">
        <v>212</v>
      </c>
    </row>
    <row r="3" spans="1:21" ht="18" customHeight="1">
      <c r="A3" s="24">
        <v>1</v>
      </c>
      <c r="B3" s="16">
        <f>'入力根拠'!G1140</f>
        <v>1.5</v>
      </c>
      <c r="C3" s="15">
        <f>'入力根拠'!H1140</f>
        <v>0.0</v>
      </c>
      <c r="D3" s="17">
        <f>'入力根拠'!K1174</f>
        <v>0.65</v>
      </c>
      <c r="E3" s="18"/>
      <c r="F3" s="19">
        <v>98</v>
      </c>
      <c r="G3" s="14">
        <f>(C3*D3)</f>
        <v>0.0</v>
      </c>
      <c r="H3" s="24">
        <v>1</v>
      </c>
      <c r="I3" s="16">
        <f>'入力根拠'!G1151</f>
        <v>1.5</v>
      </c>
      <c r="J3" s="15">
        <f>'入力根拠'!H1151</f>
        <v>0.0</v>
      </c>
      <c r="K3" s="17">
        <f>'入力根拠'!K1203</f>
        <v>0.65</v>
      </c>
      <c r="L3" s="18"/>
      <c r="M3" s="19">
        <v>123</v>
      </c>
      <c r="N3" s="14">
        <f>(J3*K3)</f>
        <v>0.0</v>
      </c>
      <c r="O3" s="24">
        <v>1</v>
      </c>
      <c r="P3" s="16">
        <f>'入力根拠'!G1160</f>
        <v>1.5</v>
      </c>
      <c r="Q3" s="15">
        <f>'入力根拠'!H1160</f>
        <v>0.0</v>
      </c>
      <c r="R3" s="17">
        <f>'入力根拠'!K1232</f>
        <v>0.65</v>
      </c>
      <c r="S3" s="18"/>
      <c r="T3" s="19">
        <v>148</v>
      </c>
      <c r="U3" s="14">
        <f>(Q3*R3)</f>
        <v>0.0</v>
      </c>
    </row>
    <row r="4" spans="1:21" ht="18" customHeight="1">
      <c r="A4" s="31"/>
      <c r="B4" s="21"/>
      <c r="C4" s="20"/>
      <c r="D4" s="22">
        <f>'入力根拠'!K1175</f>
        <v>1.3</v>
      </c>
      <c r="E4" s="23">
        <f>'入力根拠'!G1263</f>
        <v>0.85</v>
      </c>
      <c r="F4" s="24">
        <v>99</v>
      </c>
      <c r="G4" s="15">
        <f>SUM((C3*E4),(C5*E5))</f>
        <v>0.0</v>
      </c>
      <c r="H4" s="31"/>
      <c r="I4" s="21"/>
      <c r="J4" s="20"/>
      <c r="K4" s="22">
        <f>'入力根拠'!K1204</f>
        <v>1.3</v>
      </c>
      <c r="L4" s="23">
        <f>'入力根拠'!G1300</f>
        <v>0.85</v>
      </c>
      <c r="M4" s="24">
        <v>124</v>
      </c>
      <c r="N4" s="15">
        <f>SUM((J3*L4),(J5*L5))</f>
        <v>0.0</v>
      </c>
      <c r="O4" s="31"/>
      <c r="P4" s="21"/>
      <c r="Q4" s="20"/>
      <c r="R4" s="22">
        <f>'入力根拠'!K1233</f>
        <v>1.3</v>
      </c>
      <c r="S4" s="23">
        <f>'入力根拠'!G1337</f>
        <v>0.85</v>
      </c>
      <c r="T4" s="24">
        <v>149</v>
      </c>
      <c r="U4" s="15">
        <f>SUM((Q3*S4),(Q5*S5))</f>
        <v>0.0</v>
      </c>
    </row>
    <row r="5" spans="1:21" ht="18" customHeight="1">
      <c r="A5" s="24">
        <v>2</v>
      </c>
      <c r="B5" s="16">
        <f>'入力根拠'!G1141</f>
        <v>1.3</v>
      </c>
      <c r="C5" s="15">
        <f>'入力根拠'!H1141</f>
        <v>0.0</v>
      </c>
      <c r="D5" s="25"/>
      <c r="E5" s="26">
        <f>'入力根拠'!G1264</f>
        <v>0.45</v>
      </c>
      <c r="F5" s="27"/>
      <c r="G5" s="28"/>
      <c r="H5" s="24">
        <v>2</v>
      </c>
      <c r="I5" s="16">
        <f>'入力根拠'!G1152</f>
        <v>1.3</v>
      </c>
      <c r="J5" s="15">
        <f>'入力根拠'!H1152</f>
        <v>0.0</v>
      </c>
      <c r="K5" s="25"/>
      <c r="L5" s="26">
        <f>'入力根拠'!G1301</f>
        <v>0.45</v>
      </c>
      <c r="M5" s="27"/>
      <c r="N5" s="28"/>
      <c r="O5" s="24">
        <v>2</v>
      </c>
      <c r="P5" s="16">
        <f>'入力根拠'!G1161</f>
        <v>1.3</v>
      </c>
      <c r="Q5" s="15">
        <f>'入力根拠'!H1161</f>
        <v>0.0</v>
      </c>
      <c r="R5" s="25"/>
      <c r="S5" s="26">
        <f>'入力根拠'!G1338</f>
        <v>0.45</v>
      </c>
      <c r="T5" s="27"/>
      <c r="U5" s="28"/>
    </row>
    <row r="6" spans="1:21" ht="18" customHeight="1">
      <c r="A6" s="31"/>
      <c r="B6" s="21"/>
      <c r="C6" s="20"/>
      <c r="D6" s="22">
        <f>'入力根拠'!K1176</f>
        <v>1.3</v>
      </c>
      <c r="E6" s="23">
        <f>'入力根拠'!G1265</f>
        <v>0.85</v>
      </c>
      <c r="F6" s="24">
        <v>100</v>
      </c>
      <c r="G6" s="15">
        <f>SUM((C5*E6),(C7*E7))</f>
        <v>0.0</v>
      </c>
      <c r="H6" s="31"/>
      <c r="I6" s="21"/>
      <c r="J6" s="20"/>
      <c r="K6" s="22">
        <f>'入力根拠'!K1205</f>
        <v>1.3</v>
      </c>
      <c r="L6" s="23">
        <f>'入力根拠'!G1302</f>
        <v>0.85</v>
      </c>
      <c r="M6" s="24">
        <v>125</v>
      </c>
      <c r="N6" s="15">
        <f>SUM((J5*L6),(J7*L7))</f>
        <v>0.0</v>
      </c>
      <c r="O6" s="31"/>
      <c r="P6" s="21"/>
      <c r="Q6" s="20"/>
      <c r="R6" s="22">
        <f>'入力根拠'!K1234</f>
        <v>1.3</v>
      </c>
      <c r="S6" s="23">
        <f>'入力根拠'!G1339</f>
        <v>0.85</v>
      </c>
      <c r="T6" s="24">
        <v>150</v>
      </c>
      <c r="U6" s="15">
        <f>SUM((Q5*S6),(Q7*S7))</f>
        <v>0.0</v>
      </c>
    </row>
    <row r="7" spans="1:21" ht="18" customHeight="1">
      <c r="A7" s="24">
        <v>3</v>
      </c>
      <c r="B7" s="16">
        <f>'入力根拠'!G1142</f>
        <v>2.145</v>
      </c>
      <c r="C7" s="15">
        <f>'入力根拠'!H1142</f>
        <v>0.0</v>
      </c>
      <c r="D7" s="25"/>
      <c r="E7" s="26">
        <f>'入力根拠'!G1266</f>
        <v>0.45</v>
      </c>
      <c r="F7" s="27"/>
      <c r="G7" s="28"/>
      <c r="H7" s="24">
        <v>3</v>
      </c>
      <c r="I7" s="16">
        <f>'入力根拠'!G1153</f>
        <v>2.145</v>
      </c>
      <c r="J7" s="15">
        <f>'入力根拠'!H1153</f>
        <v>0.0</v>
      </c>
      <c r="K7" s="25"/>
      <c r="L7" s="26">
        <f>'入力根拠'!G1303</f>
        <v>0.45</v>
      </c>
      <c r="M7" s="27"/>
      <c r="N7" s="28"/>
      <c r="O7" s="24">
        <v>3</v>
      </c>
      <c r="P7" s="16">
        <f>'入力根拠'!G1164</f>
        <v>2.145</v>
      </c>
      <c r="Q7" s="15">
        <f>'入力根拠'!H1164</f>
        <v>0.0</v>
      </c>
      <c r="R7" s="25"/>
      <c r="S7" s="26">
        <f>'入力根拠'!G1340</f>
        <v>0.45</v>
      </c>
      <c r="T7" s="27"/>
      <c r="U7" s="28"/>
    </row>
    <row r="8" spans="1:21" ht="18" customHeight="1">
      <c r="A8" s="31"/>
      <c r="B8" s="21"/>
      <c r="C8" s="20"/>
      <c r="D8" s="17">
        <f>'入力根拠'!K1177</f>
        <v>1.3</v>
      </c>
      <c r="E8" s="18"/>
      <c r="F8" s="19">
        <v>101</v>
      </c>
      <c r="G8" s="14">
        <f>(C7*D8)</f>
        <v>0.0</v>
      </c>
      <c r="H8" s="31"/>
      <c r="I8" s="21"/>
      <c r="J8" s="20"/>
      <c r="K8" s="17">
        <f>'入力根拠'!K1206</f>
        <v>1.3</v>
      </c>
      <c r="L8" s="18"/>
      <c r="M8" s="19">
        <v>126</v>
      </c>
      <c r="N8" s="14">
        <f>(J7*K8)</f>
        <v>0.0</v>
      </c>
      <c r="O8" s="31"/>
      <c r="P8" s="21"/>
      <c r="Q8" s="20"/>
      <c r="R8" s="17">
        <f>'入力根拠'!K1235</f>
        <v>1.3</v>
      </c>
      <c r="S8" s="18"/>
      <c r="T8" s="19">
        <v>151</v>
      </c>
      <c r="U8" s="14">
        <f>(Q7*R8)</f>
        <v>0.0</v>
      </c>
    </row>
    <row r="9" spans="1:21" ht="18" customHeight="1">
      <c r="A9" s="31"/>
      <c r="B9" s="21"/>
      <c r="C9" s="20"/>
      <c r="D9" s="22">
        <f>'入力根拠'!K1180</f>
        <v>1.3</v>
      </c>
      <c r="E9" s="23">
        <f>'入力根拠'!G1268</f>
        <v>0.395</v>
      </c>
      <c r="F9" s="24">
        <v>102</v>
      </c>
      <c r="G9" s="15">
        <f>SUM((C7*E9),(C10*E10),(C11*E11))</f>
        <v>51628.885</v>
      </c>
      <c r="H9" s="31"/>
      <c r="I9" s="21"/>
      <c r="J9" s="20"/>
      <c r="K9" s="22">
        <f>'入力根拠'!K1207</f>
        <v>1.3</v>
      </c>
      <c r="L9" s="23">
        <f>'入力根拠'!G1305</f>
        <v>0.395</v>
      </c>
      <c r="M9" s="24">
        <v>127</v>
      </c>
      <c r="N9" s="15">
        <f>SUM((J7*L9),(J10*L10),(J11*L11))</f>
        <v>34419.005000000005</v>
      </c>
      <c r="O9" s="31"/>
      <c r="P9" s="21"/>
      <c r="Q9" s="20"/>
      <c r="R9" s="22">
        <f>'入力根拠'!K1236</f>
        <v>1.3</v>
      </c>
      <c r="S9" s="23">
        <f>'入力根拠'!G1342</f>
        <v>0.395</v>
      </c>
      <c r="T9" s="24">
        <v>152</v>
      </c>
      <c r="U9" s="15">
        <f>SUM((Q7*S9),(Q10*S10),(Q11*S11))</f>
        <v>51628.885</v>
      </c>
    </row>
    <row r="10" spans="1:21" ht="18" customHeight="1">
      <c r="A10" s="31"/>
      <c r="B10" s="16">
        <f>'入力根拠'!G1143</f>
        <v>0.755</v>
      </c>
      <c r="C10" s="15">
        <f>'入力根拠'!H1143</f>
        <v>46127.0</v>
      </c>
      <c r="D10" s="29"/>
      <c r="E10" s="30">
        <f>'入力根拠'!G1269</f>
        <v>0.755</v>
      </c>
      <c r="F10" s="31"/>
      <c r="G10" s="20"/>
      <c r="H10" s="31"/>
      <c r="I10" s="16">
        <f>'入力根拠'!G1154</f>
        <v>0.755</v>
      </c>
      <c r="J10" s="15">
        <f>'入力根拠'!H1154</f>
        <v>30751.0</v>
      </c>
      <c r="K10" s="29"/>
      <c r="L10" s="30">
        <f>'入力根拠'!G1306</f>
        <v>0.755</v>
      </c>
      <c r="M10" s="31"/>
      <c r="N10" s="20"/>
      <c r="O10" s="31"/>
      <c r="P10" s="16">
        <f>'入力根拠'!G1165</f>
        <v>0.755</v>
      </c>
      <c r="Q10" s="15">
        <f>'入力根拠'!H1165</f>
        <v>46127.0</v>
      </c>
      <c r="R10" s="29"/>
      <c r="S10" s="30">
        <f>'入力根拠'!G1343</f>
        <v>0.755</v>
      </c>
      <c r="T10" s="31"/>
      <c r="U10" s="20"/>
    </row>
    <row r="11" spans="1:21" ht="18" customHeight="1">
      <c r="A11" s="24">
        <v>4</v>
      </c>
      <c r="B11" s="16">
        <f>'入力根拠'!G1144</f>
        <v>2.6</v>
      </c>
      <c r="C11" s="15">
        <f>'入力根拠'!H1144</f>
        <v>112020.0</v>
      </c>
      <c r="D11" s="25"/>
      <c r="E11" s="26">
        <f>'入力根拠'!G1270</f>
        <v>0.15</v>
      </c>
      <c r="F11" s="27"/>
      <c r="G11" s="28"/>
      <c r="H11" s="24">
        <v>4</v>
      </c>
      <c r="I11" s="16">
        <f>'入力根拠'!G1155</f>
        <v>2.6</v>
      </c>
      <c r="J11" s="15">
        <f>'入力根拠'!H1155</f>
        <v>74680.0</v>
      </c>
      <c r="K11" s="25"/>
      <c r="L11" s="26">
        <f>'入力根拠'!G1307</f>
        <v>0.15</v>
      </c>
      <c r="M11" s="27"/>
      <c r="N11" s="28"/>
      <c r="O11" s="24">
        <v>4</v>
      </c>
      <c r="P11" s="16">
        <f>'入力根拠'!G1166</f>
        <v>2.6</v>
      </c>
      <c r="Q11" s="15">
        <f>'入力根拠'!H1166</f>
        <v>112020.0</v>
      </c>
      <c r="R11" s="25"/>
      <c r="S11" s="26">
        <f>'入力根拠'!G1344</f>
        <v>0.15</v>
      </c>
      <c r="T11" s="27"/>
      <c r="U11" s="28"/>
    </row>
    <row r="12" spans="1:21" ht="18" customHeight="1">
      <c r="A12" s="31"/>
      <c r="B12" s="21"/>
      <c r="C12" s="20"/>
      <c r="D12" s="17">
        <f>'入力根拠'!K1181</f>
        <v>1.3</v>
      </c>
      <c r="E12" s="18"/>
      <c r="F12" s="19">
        <v>103</v>
      </c>
      <c r="G12" s="14">
        <f>(C11*D12)</f>
        <v>145626.0</v>
      </c>
      <c r="H12" s="31"/>
      <c r="I12" s="21"/>
      <c r="J12" s="20"/>
      <c r="K12" s="17">
        <f>'入力根拠'!K1208</f>
        <v>1.3</v>
      </c>
      <c r="L12" s="18"/>
      <c r="M12" s="19">
        <v>128</v>
      </c>
      <c r="N12" s="14">
        <f>(J11*K12)</f>
        <v>97084.0</v>
      </c>
      <c r="O12" s="31"/>
      <c r="P12" s="21"/>
      <c r="Q12" s="20"/>
      <c r="R12" s="17">
        <f>'入力根拠'!K1237</f>
        <v>1.3</v>
      </c>
      <c r="S12" s="18"/>
      <c r="T12" s="19">
        <v>153</v>
      </c>
      <c r="U12" s="14">
        <f>(Q11*R12)</f>
        <v>145626.0</v>
      </c>
    </row>
    <row r="13" spans="1:21" ht="18" customHeight="1">
      <c r="A13" s="31"/>
      <c r="B13" s="21"/>
      <c r="C13" s="20"/>
      <c r="D13" s="22">
        <f>'入力根拠'!K1182</f>
        <v>1.3</v>
      </c>
      <c r="E13" s="23">
        <f>'入力根拠'!G1272</f>
        <v>1.15</v>
      </c>
      <c r="F13" s="24">
        <v>104</v>
      </c>
      <c r="G13" s="15">
        <f>SUM((C11*E13),(C14*E14))</f>
        <v>155633.69999999998</v>
      </c>
      <c r="H13" s="31"/>
      <c r="I13" s="21"/>
      <c r="J13" s="20"/>
      <c r="K13" s="22">
        <f>'入力根拠'!K1209</f>
        <v>1.3</v>
      </c>
      <c r="L13" s="23">
        <f>'入力根拠'!G1309</f>
        <v>1.15</v>
      </c>
      <c r="M13" s="24">
        <v>129</v>
      </c>
      <c r="N13" s="15">
        <f>SUM((J11*L13),(J14*L14))</f>
        <v>103755.7</v>
      </c>
      <c r="O13" s="31"/>
      <c r="P13" s="21"/>
      <c r="Q13" s="20"/>
      <c r="R13" s="22">
        <f>'入力根拠'!K1238</f>
        <v>1.3</v>
      </c>
      <c r="S13" s="23">
        <f>'入力根拠'!G1348</f>
        <v>1.15</v>
      </c>
      <c r="T13" s="24">
        <v>154</v>
      </c>
      <c r="U13" s="15">
        <f>SUM((Q11*S13),(Q14*S14))</f>
        <v>155633.69999999998</v>
      </c>
    </row>
    <row r="14" spans="1:21" ht="18" customHeight="1">
      <c r="A14" s="24">
        <v>5</v>
      </c>
      <c r="B14" s="16">
        <f>'入力根拠'!G1147</f>
        <v>0.6</v>
      </c>
      <c r="C14" s="15">
        <f>'入力根拠'!H1147</f>
        <v>178738.0</v>
      </c>
      <c r="D14" s="25"/>
      <c r="E14" s="26">
        <f>'入力根拠'!G1273</f>
        <v>0.15</v>
      </c>
      <c r="F14" s="27"/>
      <c r="G14" s="28"/>
      <c r="H14" s="24">
        <v>5</v>
      </c>
      <c r="I14" s="16">
        <f>'入力根拠'!G1156</f>
        <v>0.6</v>
      </c>
      <c r="J14" s="15">
        <f>'入力根拠'!H1156</f>
        <v>119158.0</v>
      </c>
      <c r="K14" s="25"/>
      <c r="L14" s="26">
        <f>'入力根拠'!G1310</f>
        <v>0.15</v>
      </c>
      <c r="M14" s="27"/>
      <c r="N14" s="28"/>
      <c r="O14" s="24">
        <v>5</v>
      </c>
      <c r="P14" s="16">
        <f>'入力根拠'!G1167</f>
        <v>0.6</v>
      </c>
      <c r="Q14" s="15">
        <f>'入力根拠'!H1167</f>
        <v>178738.0</v>
      </c>
      <c r="R14" s="25"/>
      <c r="S14" s="26">
        <f>'入力根拠'!G1349</f>
        <v>0.15</v>
      </c>
      <c r="T14" s="27"/>
      <c r="U14" s="28"/>
    </row>
    <row r="15" spans="1:21" ht="18" customHeight="1">
      <c r="A15" s="31"/>
      <c r="B15" s="21"/>
      <c r="C15" s="20"/>
      <c r="D15" s="22">
        <f>'入力根拠'!K1183</f>
        <v>1.3</v>
      </c>
      <c r="E15" s="23">
        <f>'入力根拠'!G1274</f>
        <v>0.45</v>
      </c>
      <c r="F15" s="24">
        <v>105</v>
      </c>
      <c r="G15" s="15">
        <f>SUM((C14*E15),(C16*E16))</f>
        <v>223256.75</v>
      </c>
      <c r="H15" s="31"/>
      <c r="I15" s="21"/>
      <c r="J15" s="20"/>
      <c r="K15" s="22">
        <f>'入力根拠'!K1210</f>
        <v>1.3</v>
      </c>
      <c r="L15" s="23">
        <f>'入力根拠'!G1313</f>
        <v>0.45</v>
      </c>
      <c r="M15" s="24">
        <v>130</v>
      </c>
      <c r="N15" s="15">
        <f>SUM((J14*L15),(J16*L16))</f>
        <v>148838.1</v>
      </c>
      <c r="O15" s="31"/>
      <c r="P15" s="21"/>
      <c r="Q15" s="20"/>
      <c r="R15" s="22">
        <f>'入力根拠'!K1239</f>
        <v>1.3</v>
      </c>
      <c r="S15" s="23">
        <f>'入力根拠'!G1350</f>
        <v>0.45</v>
      </c>
      <c r="T15" s="24">
        <v>155</v>
      </c>
      <c r="U15" s="15">
        <f>SUM((Q14*S15),(Q16*S16))</f>
        <v>223256.75</v>
      </c>
    </row>
    <row r="16" spans="1:21" ht="18" customHeight="1">
      <c r="A16" s="24">
        <v>6</v>
      </c>
      <c r="B16" s="16">
        <f>'入力根拠'!G1148</f>
        <v>9.5</v>
      </c>
      <c r="C16" s="15">
        <f>'入力根拠'!H1148</f>
        <v>168029.0</v>
      </c>
      <c r="D16" s="25"/>
      <c r="E16" s="26">
        <f>'入力根拠'!G1275</f>
        <v>0.85</v>
      </c>
      <c r="F16" s="27"/>
      <c r="G16" s="28"/>
      <c r="H16" s="24">
        <v>6</v>
      </c>
      <c r="I16" s="16">
        <f>'入力根拠'!G1157</f>
        <v>9.5</v>
      </c>
      <c r="J16" s="15">
        <f>'入力根拠'!H1157</f>
        <v>112020.0</v>
      </c>
      <c r="K16" s="25"/>
      <c r="L16" s="26">
        <f>'入力根拠'!G1314</f>
        <v>0.85</v>
      </c>
      <c r="M16" s="27"/>
      <c r="N16" s="28"/>
      <c r="O16" s="24">
        <v>6</v>
      </c>
      <c r="P16" s="16">
        <f>'入力根拠'!G1168</f>
        <v>9.5</v>
      </c>
      <c r="Q16" s="15">
        <f>'入力根拠'!H1168</f>
        <v>168029.0</v>
      </c>
      <c r="R16" s="25"/>
      <c r="S16" s="26">
        <f>'入力根拠'!G1351</f>
        <v>0.85</v>
      </c>
      <c r="T16" s="27"/>
      <c r="U16" s="28"/>
    </row>
    <row r="17" spans="1:21" ht="18" customHeight="1">
      <c r="A17" s="31"/>
      <c r="B17" s="21"/>
      <c r="C17" s="20"/>
      <c r="D17" s="17">
        <f>'入力根拠'!K1184</f>
        <v>1.3</v>
      </c>
      <c r="E17" s="18"/>
      <c r="F17" s="19">
        <v>106</v>
      </c>
      <c r="G17" s="14">
        <f>(C16*D17)</f>
        <v>218437.7</v>
      </c>
      <c r="H17" s="31"/>
      <c r="I17" s="21"/>
      <c r="J17" s="20"/>
      <c r="K17" s="17">
        <f>'入力根拠'!K1211</f>
        <v>1.3</v>
      </c>
      <c r="L17" s="18"/>
      <c r="M17" s="19">
        <v>131</v>
      </c>
      <c r="N17" s="14">
        <f>(J16*K17)</f>
        <v>145626.0</v>
      </c>
      <c r="O17" s="31"/>
      <c r="P17" s="21"/>
      <c r="Q17" s="20"/>
      <c r="R17" s="17">
        <f>'入力根拠'!K1240</f>
        <v>1.3</v>
      </c>
      <c r="S17" s="18"/>
      <c r="T17" s="19">
        <v>156</v>
      </c>
      <c r="U17" s="14">
        <f>(Q16*R17)</f>
        <v>218437.7</v>
      </c>
    </row>
    <row r="18" spans="1:21" ht="18" customHeight="1">
      <c r="A18" s="31"/>
      <c r="B18" s="21"/>
      <c r="C18" s="20"/>
      <c r="D18" s="17">
        <f>'入力根拠'!K1185</f>
        <v>1.3</v>
      </c>
      <c r="E18" s="18"/>
      <c r="F18" s="19">
        <v>107</v>
      </c>
      <c r="G18" s="14">
        <f>(C16*D18)</f>
        <v>218437.7</v>
      </c>
      <c r="H18" s="31"/>
      <c r="I18" s="21"/>
      <c r="J18" s="20"/>
      <c r="K18" s="17">
        <f>'入力根拠'!K1214</f>
        <v>1.3</v>
      </c>
      <c r="L18" s="18"/>
      <c r="M18" s="19">
        <v>132</v>
      </c>
      <c r="N18" s="14">
        <f>(J16*K18)</f>
        <v>145626.0</v>
      </c>
      <c r="O18" s="31"/>
      <c r="P18" s="21"/>
      <c r="Q18" s="20"/>
      <c r="R18" s="17">
        <f>'入力根拠'!K1241</f>
        <v>1.3</v>
      </c>
      <c r="S18" s="18"/>
      <c r="T18" s="19">
        <v>157</v>
      </c>
      <c r="U18" s="14">
        <f>(Q16*R18)</f>
        <v>218437.7</v>
      </c>
    </row>
    <row r="19" spans="1:21" ht="18" customHeight="1">
      <c r="A19" s="31"/>
      <c r="B19" s="21"/>
      <c r="C19" s="20"/>
      <c r="D19" s="17">
        <f>'入力根拠'!K1186</f>
        <v>1.3</v>
      </c>
      <c r="E19" s="18"/>
      <c r="F19" s="19">
        <v>108</v>
      </c>
      <c r="G19" s="14">
        <f>(C16*D19)</f>
        <v>218437.7</v>
      </c>
      <c r="H19" s="31"/>
      <c r="I19" s="21"/>
      <c r="J19" s="20"/>
      <c r="K19" s="17">
        <f>'入力根拠'!K1215</f>
        <v>1.3</v>
      </c>
      <c r="L19" s="18"/>
      <c r="M19" s="19">
        <v>133</v>
      </c>
      <c r="N19" s="14">
        <f>(J16*K19)</f>
        <v>145626.0</v>
      </c>
      <c r="O19" s="31"/>
      <c r="P19" s="21"/>
      <c r="Q19" s="20"/>
      <c r="R19" s="17">
        <f>'入力根拠'!K1242</f>
        <v>1.3</v>
      </c>
      <c r="S19" s="18"/>
      <c r="T19" s="19">
        <v>158</v>
      </c>
      <c r="U19" s="14">
        <f>(Q16*R19)</f>
        <v>218437.7</v>
      </c>
    </row>
    <row r="20" spans="1:21" ht="18" customHeight="1">
      <c r="A20" s="31"/>
      <c r="B20" s="21"/>
      <c r="C20" s="20"/>
      <c r="D20" s="17">
        <f>'入力根拠'!K1187</f>
        <v>1.3</v>
      </c>
      <c r="E20" s="18"/>
      <c r="F20" s="19">
        <v>109</v>
      </c>
      <c r="G20" s="14">
        <f>(C16*D20)</f>
        <v>218437.7</v>
      </c>
      <c r="H20" s="31"/>
      <c r="I20" s="21"/>
      <c r="J20" s="20"/>
      <c r="K20" s="17">
        <f>'入力根拠'!K1216</f>
        <v>1.3</v>
      </c>
      <c r="L20" s="18"/>
      <c r="M20" s="19">
        <v>134</v>
      </c>
      <c r="N20" s="14">
        <f>(J16*K20)</f>
        <v>145626.0</v>
      </c>
      <c r="O20" s="31"/>
      <c r="P20" s="21"/>
      <c r="Q20" s="20"/>
      <c r="R20" s="17">
        <f>'入力根拠'!K1243</f>
        <v>1.3</v>
      </c>
      <c r="S20" s="18"/>
      <c r="T20" s="19">
        <v>159</v>
      </c>
      <c r="U20" s="14">
        <f>(Q16*R20)</f>
        <v>218437.7</v>
      </c>
    </row>
    <row r="21" spans="1:21" ht="18" customHeight="1">
      <c r="A21" s="31"/>
      <c r="B21" s="21"/>
      <c r="C21" s="20"/>
      <c r="D21" s="17">
        <f>'入力根拠'!K1188</f>
        <v>1.3</v>
      </c>
      <c r="E21" s="18"/>
      <c r="F21" s="19">
        <v>110</v>
      </c>
      <c r="G21" s="14">
        <f>(C16*D21)</f>
        <v>218437.7</v>
      </c>
      <c r="H21" s="31"/>
      <c r="I21" s="21"/>
      <c r="J21" s="20"/>
      <c r="K21" s="17">
        <f>'入力根拠'!K1217</f>
        <v>1.3</v>
      </c>
      <c r="L21" s="18"/>
      <c r="M21" s="19">
        <v>135</v>
      </c>
      <c r="N21" s="14">
        <f>(J16*K21)</f>
        <v>145626.0</v>
      </c>
      <c r="O21" s="31"/>
      <c r="P21" s="21"/>
      <c r="Q21" s="20"/>
      <c r="R21" s="17">
        <f>'入力根拠'!K1244</f>
        <v>1.3</v>
      </c>
      <c r="S21" s="18"/>
      <c r="T21" s="19">
        <v>160</v>
      </c>
      <c r="U21" s="14">
        <f>(Q16*R21)</f>
        <v>218437.7</v>
      </c>
    </row>
    <row r="22" spans="1:21" ht="18" customHeight="1">
      <c r="A22" s="31"/>
      <c r="B22" s="21"/>
      <c r="C22" s="20"/>
      <c r="D22" s="17">
        <f>'入力根拠'!K1189</f>
        <v>1.3</v>
      </c>
      <c r="E22" s="18"/>
      <c r="F22" s="19">
        <v>111</v>
      </c>
      <c r="G22" s="14">
        <f>(C16*D22)</f>
        <v>218437.7</v>
      </c>
      <c r="H22" s="31"/>
      <c r="I22" s="21"/>
      <c r="J22" s="20"/>
      <c r="K22" s="17">
        <f>'入力根拠'!K1218</f>
        <v>1.3</v>
      </c>
      <c r="L22" s="18"/>
      <c r="M22" s="19">
        <v>136</v>
      </c>
      <c r="N22" s="14">
        <f>(J16*K22)</f>
        <v>145626.0</v>
      </c>
      <c r="O22" s="31"/>
      <c r="P22" s="21"/>
      <c r="Q22" s="20"/>
      <c r="R22" s="17">
        <f>'入力根拠'!K1245</f>
        <v>1.3</v>
      </c>
      <c r="S22" s="18"/>
      <c r="T22" s="19">
        <v>161</v>
      </c>
      <c r="U22" s="14">
        <f>(Q16*R22)</f>
        <v>218437.7</v>
      </c>
    </row>
    <row r="23" spans="1:21" ht="18" customHeight="1">
      <c r="A23" s="31"/>
      <c r="B23" s="21"/>
      <c r="C23" s="20"/>
      <c r="D23" s="22">
        <f>'入力根拠'!K1190</f>
        <v>1.3</v>
      </c>
      <c r="E23" s="23">
        <f>'入力根拠'!G1284</f>
        <v>0.85</v>
      </c>
      <c r="F23" s="24">
        <v>112</v>
      </c>
      <c r="G23" s="15">
        <f>SUM((C16*E23),(C24*E24))</f>
        <v>179148.65</v>
      </c>
      <c r="H23" s="31"/>
      <c r="I23" s="21"/>
      <c r="J23" s="20"/>
      <c r="K23" s="22">
        <f>'入力根拠'!K1219</f>
        <v>1.3</v>
      </c>
      <c r="L23" s="23">
        <f>'入力根拠'!G1321</f>
        <v>0.85</v>
      </c>
      <c r="M23" s="24">
        <v>137</v>
      </c>
      <c r="N23" s="15">
        <f>SUM((J16*L23),(J24*L24))</f>
        <v>119432.85</v>
      </c>
      <c r="O23" s="31"/>
      <c r="P23" s="21"/>
      <c r="Q23" s="20"/>
      <c r="R23" s="22">
        <f>'入力根拠'!K1248</f>
        <v>1.3</v>
      </c>
      <c r="S23" s="23">
        <f>'入力根拠'!G1358</f>
        <v>0.85</v>
      </c>
      <c r="T23" s="24">
        <v>162</v>
      </c>
      <c r="U23" s="15">
        <f>SUM((Q16*S23),(Q24*S24))</f>
        <v>179148.65</v>
      </c>
    </row>
    <row r="24" spans="1:21" ht="18" customHeight="1">
      <c r="A24" s="24">
        <v>7</v>
      </c>
      <c r="B24" s="16">
        <f>'入力根拠'!G1149</f>
        <v>11.3</v>
      </c>
      <c r="C24" s="15">
        <f>'入力根拠'!H1149</f>
        <v>80720.0</v>
      </c>
      <c r="D24" s="25"/>
      <c r="E24" s="26">
        <f>'入力根拠'!G1285</f>
        <v>0.45</v>
      </c>
      <c r="F24" s="27"/>
      <c r="G24" s="28"/>
      <c r="H24" s="24">
        <v>7</v>
      </c>
      <c r="I24" s="16">
        <f>'入力根拠'!G1158</f>
        <v>11.3</v>
      </c>
      <c r="J24" s="15">
        <f>'入力根拠'!H1158</f>
        <v>53813.0</v>
      </c>
      <c r="K24" s="25"/>
      <c r="L24" s="26">
        <f>'入力根拠'!G1322</f>
        <v>0.45</v>
      </c>
      <c r="M24" s="27"/>
      <c r="N24" s="28"/>
      <c r="O24" s="24">
        <v>7</v>
      </c>
      <c r="P24" s="16">
        <f>'入力根拠'!G1169</f>
        <v>11.3</v>
      </c>
      <c r="Q24" s="15">
        <f>'入力根拠'!H1169</f>
        <v>80720.0</v>
      </c>
      <c r="R24" s="25"/>
      <c r="S24" s="26">
        <f>'入力根拠'!G1359</f>
        <v>0.45</v>
      </c>
      <c r="T24" s="27"/>
      <c r="U24" s="28"/>
    </row>
    <row r="25" spans="1:21" ht="18" customHeight="1">
      <c r="A25" s="31"/>
      <c r="B25" s="21"/>
      <c r="C25" s="20"/>
      <c r="D25" s="17">
        <f>'入力根拠'!K1191</f>
        <v>1.3</v>
      </c>
      <c r="E25" s="18"/>
      <c r="F25" s="19">
        <v>113</v>
      </c>
      <c r="G25" s="14">
        <f>(C24*D25)</f>
        <v>104936.0</v>
      </c>
      <c r="H25" s="31"/>
      <c r="I25" s="21"/>
      <c r="J25" s="20"/>
      <c r="K25" s="17">
        <f>'入力根拠'!K1220</f>
        <v>1.3</v>
      </c>
      <c r="L25" s="18"/>
      <c r="M25" s="19">
        <v>138</v>
      </c>
      <c r="N25" s="14">
        <f>(J24*K25)</f>
        <v>69956.90000000001</v>
      </c>
      <c r="O25" s="31"/>
      <c r="P25" s="21"/>
      <c r="Q25" s="20"/>
      <c r="R25" s="17">
        <f>'入力根拠'!K1249</f>
        <v>1.3</v>
      </c>
      <c r="S25" s="18"/>
      <c r="T25" s="19">
        <v>163</v>
      </c>
      <c r="U25" s="14">
        <f>(Q24*R25)</f>
        <v>104936.0</v>
      </c>
    </row>
    <row r="26" spans="1:21" ht="18" customHeight="1">
      <c r="A26" s="31"/>
      <c r="B26" s="21"/>
      <c r="C26" s="20"/>
      <c r="D26" s="17">
        <f>'入力根拠'!K1192</f>
        <v>1.3</v>
      </c>
      <c r="E26" s="18"/>
      <c r="F26" s="19">
        <v>114</v>
      </c>
      <c r="G26" s="14">
        <f>(C24*D26)</f>
        <v>104936.0</v>
      </c>
      <c r="H26" s="31"/>
      <c r="I26" s="21"/>
      <c r="J26" s="20"/>
      <c r="K26" s="17">
        <f>'入力根拠'!K1221</f>
        <v>1.3</v>
      </c>
      <c r="L26" s="18"/>
      <c r="M26" s="19">
        <v>139</v>
      </c>
      <c r="N26" s="14">
        <f>(J24*K26)</f>
        <v>69956.90000000001</v>
      </c>
      <c r="O26" s="31"/>
      <c r="P26" s="21"/>
      <c r="Q26" s="20"/>
      <c r="R26" s="17">
        <f>'入力根拠'!K1250</f>
        <v>1.3</v>
      </c>
      <c r="S26" s="18"/>
      <c r="T26" s="19">
        <v>164</v>
      </c>
      <c r="U26" s="14">
        <f>(Q24*R26)</f>
        <v>104936.0</v>
      </c>
    </row>
    <row r="27" spans="1:21" ht="18" customHeight="1">
      <c r="A27" s="31"/>
      <c r="B27" s="21"/>
      <c r="C27" s="20"/>
      <c r="D27" s="17">
        <f>'入力根拠'!K1193</f>
        <v>1.3</v>
      </c>
      <c r="E27" s="18"/>
      <c r="F27" s="19">
        <v>115</v>
      </c>
      <c r="G27" s="14">
        <f>(C24*D27)</f>
        <v>104936.0</v>
      </c>
      <c r="H27" s="31"/>
      <c r="I27" s="21"/>
      <c r="J27" s="20"/>
      <c r="K27" s="17">
        <f>'入力根拠'!K1222</f>
        <v>1.3</v>
      </c>
      <c r="L27" s="18"/>
      <c r="M27" s="19">
        <v>140</v>
      </c>
      <c r="N27" s="14">
        <f>(J24*K27)</f>
        <v>69956.90000000001</v>
      </c>
      <c r="O27" s="31"/>
      <c r="P27" s="21"/>
      <c r="Q27" s="20"/>
      <c r="R27" s="17">
        <f>'入力根拠'!K1251</f>
        <v>1.3</v>
      </c>
      <c r="S27" s="18"/>
      <c r="T27" s="19">
        <v>165</v>
      </c>
      <c r="U27" s="14">
        <f>(Q24*R27)</f>
        <v>104936.0</v>
      </c>
    </row>
    <row r="28" spans="1:21" ht="18" customHeight="1">
      <c r="A28" s="31"/>
      <c r="B28" s="21"/>
      <c r="C28" s="20"/>
      <c r="D28" s="17">
        <f>'入力根拠'!K1194</f>
        <v>1.3</v>
      </c>
      <c r="E28" s="18"/>
      <c r="F28" s="19">
        <v>116</v>
      </c>
      <c r="G28" s="14">
        <f>(C24*D28)</f>
        <v>104936.0</v>
      </c>
      <c r="H28" s="31"/>
      <c r="I28" s="21"/>
      <c r="J28" s="20"/>
      <c r="K28" s="17">
        <f>'入力根拠'!K1223</f>
        <v>1.3</v>
      </c>
      <c r="L28" s="18"/>
      <c r="M28" s="19">
        <v>141</v>
      </c>
      <c r="N28" s="14">
        <f>(J24*K28)</f>
        <v>69956.90000000001</v>
      </c>
      <c r="O28" s="31"/>
      <c r="P28" s="21"/>
      <c r="Q28" s="20"/>
      <c r="R28" s="17">
        <f>'入力根拠'!K1252</f>
        <v>1.3</v>
      </c>
      <c r="S28" s="18"/>
      <c r="T28" s="19">
        <v>166</v>
      </c>
      <c r="U28" s="14">
        <f>(Q24*R28)</f>
        <v>104936.0</v>
      </c>
    </row>
    <row r="29" spans="1:21" ht="18" customHeight="1">
      <c r="A29" s="31"/>
      <c r="B29" s="21"/>
      <c r="C29" s="20"/>
      <c r="D29" s="17">
        <f>'入力根拠'!K1197</f>
        <v>1.3</v>
      </c>
      <c r="E29" s="18"/>
      <c r="F29" s="19">
        <v>117</v>
      </c>
      <c r="G29" s="14">
        <f>(C24*D29)</f>
        <v>104936.0</v>
      </c>
      <c r="H29" s="31"/>
      <c r="I29" s="21"/>
      <c r="J29" s="20"/>
      <c r="K29" s="17">
        <f>'入力根拠'!K1224</f>
        <v>1.3</v>
      </c>
      <c r="L29" s="18"/>
      <c r="M29" s="19">
        <v>142</v>
      </c>
      <c r="N29" s="14">
        <f>(J24*K29)</f>
        <v>69956.90000000001</v>
      </c>
      <c r="O29" s="31"/>
      <c r="P29" s="21"/>
      <c r="Q29" s="20"/>
      <c r="R29" s="17">
        <f>'入力根拠'!K1253</f>
        <v>1.3</v>
      </c>
      <c r="S29" s="18"/>
      <c r="T29" s="19">
        <v>167</v>
      </c>
      <c r="U29" s="14">
        <f>(Q24*R29)</f>
        <v>104936.0</v>
      </c>
    </row>
    <row r="30" spans="1:21" ht="18" customHeight="1">
      <c r="A30" s="31"/>
      <c r="B30" s="21"/>
      <c r="C30" s="20"/>
      <c r="D30" s="17">
        <f>'入力根拠'!K1198</f>
        <v>1.3</v>
      </c>
      <c r="E30" s="18"/>
      <c r="F30" s="19">
        <v>118</v>
      </c>
      <c r="G30" s="14">
        <f>(C24*D30)</f>
        <v>104936.0</v>
      </c>
      <c r="H30" s="31"/>
      <c r="I30" s="21"/>
      <c r="J30" s="20"/>
      <c r="K30" s="17">
        <f>'入力根拠'!K1225</f>
        <v>1.3</v>
      </c>
      <c r="L30" s="18"/>
      <c r="M30" s="19">
        <v>143</v>
      </c>
      <c r="N30" s="14">
        <f>(J24*K30)</f>
        <v>69956.90000000001</v>
      </c>
      <c r="O30" s="31"/>
      <c r="P30" s="21"/>
      <c r="Q30" s="20"/>
      <c r="R30" s="17">
        <f>'入力根拠'!K1254</f>
        <v>1.3</v>
      </c>
      <c r="S30" s="18"/>
      <c r="T30" s="19">
        <v>168</v>
      </c>
      <c r="U30" s="14">
        <f>(Q24*R30)</f>
        <v>104936.0</v>
      </c>
    </row>
    <row r="31" spans="1:21" ht="18" customHeight="1">
      <c r="A31" s="31"/>
      <c r="B31" s="21"/>
      <c r="C31" s="20"/>
      <c r="D31" s="17">
        <f>'入力根拠'!K1199</f>
        <v>1.3</v>
      </c>
      <c r="E31" s="18"/>
      <c r="F31" s="19">
        <v>119</v>
      </c>
      <c r="G31" s="14">
        <f>(C24*D31)</f>
        <v>104936.0</v>
      </c>
      <c r="H31" s="31"/>
      <c r="I31" s="21"/>
      <c r="J31" s="20"/>
      <c r="K31" s="17">
        <f>'入力根拠'!K1226</f>
        <v>1.3</v>
      </c>
      <c r="L31" s="18"/>
      <c r="M31" s="19">
        <v>144</v>
      </c>
      <c r="N31" s="14">
        <f>(J24*K31)</f>
        <v>69956.90000000001</v>
      </c>
      <c r="O31" s="31"/>
      <c r="P31" s="21"/>
      <c r="Q31" s="20"/>
      <c r="R31" s="17">
        <f>'入力根拠'!K1255</f>
        <v>1.3</v>
      </c>
      <c r="S31" s="18"/>
      <c r="T31" s="19">
        <v>169</v>
      </c>
      <c r="U31" s="14">
        <f>(Q24*R31)</f>
        <v>104936.0</v>
      </c>
    </row>
    <row r="32" spans="1:21" ht="18" customHeight="1">
      <c r="A32" s="31"/>
      <c r="B32" s="21"/>
      <c r="C32" s="20"/>
      <c r="D32" s="17">
        <f>'入力根拠'!K1200</f>
        <v>1.3</v>
      </c>
      <c r="E32" s="18"/>
      <c r="F32" s="19">
        <v>120</v>
      </c>
      <c r="G32" s="14">
        <f>(C24*D32)</f>
        <v>104936.0</v>
      </c>
      <c r="H32" s="31"/>
      <c r="I32" s="21"/>
      <c r="J32" s="20"/>
      <c r="K32" s="17">
        <f>'入力根拠'!K1227</f>
        <v>1.3</v>
      </c>
      <c r="L32" s="18"/>
      <c r="M32" s="19">
        <v>145</v>
      </c>
      <c r="N32" s="14">
        <f>(J24*K32)</f>
        <v>69956.90000000001</v>
      </c>
      <c r="O32" s="31"/>
      <c r="P32" s="21"/>
      <c r="Q32" s="20"/>
      <c r="R32" s="17">
        <f>'入力根拠'!K1256</f>
        <v>1.3</v>
      </c>
      <c r="S32" s="18"/>
      <c r="T32" s="19">
        <v>170</v>
      </c>
      <c r="U32" s="14">
        <f>(Q24*R32)</f>
        <v>104936.0</v>
      </c>
    </row>
    <row r="33" spans="1:21" ht="18" customHeight="1">
      <c r="A33" s="31"/>
      <c r="B33" s="21"/>
      <c r="C33" s="20"/>
      <c r="D33" s="22">
        <f>'入力根拠'!K1201</f>
        <v>1.2</v>
      </c>
      <c r="E33" s="23">
        <f>'入力根拠'!G1296</f>
        <v>0.45</v>
      </c>
      <c r="F33" s="24">
        <v>121</v>
      </c>
      <c r="G33" s="15">
        <f>SUM((C24*E33),(C34*E34))</f>
        <v>36324.0</v>
      </c>
      <c r="H33" s="31"/>
      <c r="I33" s="21"/>
      <c r="J33" s="20"/>
      <c r="K33" s="22">
        <f>'入力根拠'!K1228</f>
        <v>1.2</v>
      </c>
      <c r="L33" s="23">
        <f>'入力根拠'!G1333</f>
        <v>0.45</v>
      </c>
      <c r="M33" s="24">
        <v>146</v>
      </c>
      <c r="N33" s="15">
        <f>SUM((J24*L33),(J34*L34))</f>
        <v>24215.850000000002</v>
      </c>
      <c r="O33" s="31"/>
      <c r="P33" s="21"/>
      <c r="Q33" s="20"/>
      <c r="R33" s="22">
        <f>'入力根拠'!K1257</f>
        <v>1.2</v>
      </c>
      <c r="S33" s="23">
        <f>'入力根拠'!G1370</f>
        <v>0.45</v>
      </c>
      <c r="T33" s="24">
        <v>171</v>
      </c>
      <c r="U33" s="15">
        <f>SUM((Q24*S33),(Q34*S34))</f>
        <v>36324.0</v>
      </c>
    </row>
    <row r="34" spans="1:21" ht="18" customHeight="1">
      <c r="A34" s="31"/>
      <c r="B34" s="16">
        <f>'入力根拠'!G1150</f>
        <v>1.3</v>
      </c>
      <c r="C34" s="15">
        <f>'入力根拠'!H1150</f>
        <v>0.0</v>
      </c>
      <c r="D34" s="25"/>
      <c r="E34" s="26">
        <f>'入力根拠'!G1297</f>
        <v>0.75</v>
      </c>
      <c r="F34" s="27"/>
      <c r="G34" s="28"/>
      <c r="H34" s="31"/>
      <c r="I34" s="16">
        <f>'入力根拠'!G1159</f>
        <v>1.3</v>
      </c>
      <c r="J34" s="15">
        <f>'入力根拠'!H1159</f>
        <v>0.0</v>
      </c>
      <c r="K34" s="25"/>
      <c r="L34" s="26">
        <f>'入力根拠'!G1334</f>
        <v>0.75</v>
      </c>
      <c r="M34" s="27"/>
      <c r="N34" s="28"/>
      <c r="O34" s="31"/>
      <c r="P34" s="16">
        <f>'入力根拠'!G1170</f>
        <v>1.3</v>
      </c>
      <c r="Q34" s="15">
        <f>'入力根拠'!H1170</f>
        <v>0.0</v>
      </c>
      <c r="R34" s="25"/>
      <c r="S34" s="26">
        <f>'入力根拠'!G1371</f>
        <v>0.75</v>
      </c>
      <c r="T34" s="27"/>
      <c r="U34" s="28"/>
    </row>
    <row r="35" spans="1:21" ht="18" customHeight="1">
      <c r="A35" s="27"/>
      <c r="B35" s="32"/>
      <c r="C35" s="28"/>
      <c r="D35" s="17">
        <f>'入力根拠'!K1202</f>
        <v>0.55</v>
      </c>
      <c r="E35" s="18"/>
      <c r="F35" s="19">
        <v>122</v>
      </c>
      <c r="G35" s="14">
        <f>(C34*D35)</f>
        <v>0.0</v>
      </c>
      <c r="H35" s="27"/>
      <c r="I35" s="32"/>
      <c r="J35" s="28"/>
      <c r="K35" s="17">
        <f>'入力根拠'!K1231</f>
        <v>0.55</v>
      </c>
      <c r="L35" s="18"/>
      <c r="M35" s="19">
        <v>147</v>
      </c>
      <c r="N35" s="14">
        <f>(J34*K35)</f>
        <v>0.0</v>
      </c>
      <c r="O35" s="27"/>
      <c r="P35" s="32"/>
      <c r="Q35" s="28"/>
      <c r="R35" s="17">
        <f>'入力根拠'!K1258</f>
        <v>0.55</v>
      </c>
      <c r="S35" s="18"/>
      <c r="T35" s="19">
        <v>172</v>
      </c>
      <c r="U35" s="14">
        <f>(Q34*R35)</f>
        <v>0.0</v>
      </c>
    </row>
    <row r="36" spans="1:21" ht="18" customHeight="1">
      <c r="A36" s="19" t="s">
        <v>204</v>
      </c>
      <c r="B36" s="33">
        <f>SUM(B3,B5,B7,B10,B11,B14,B16,B24,B34)</f>
        <v>31.0</v>
      </c>
      <c r="C36" s="19"/>
      <c r="D36" s="17">
        <f>SUM(D3,D4,D6,D8,D9,D12,D13,D15,D17,D18,D19,D20,D21,D22,D23,D25,D26,D27,D28,D29,D30,D31,D32,D33,D35)</f>
        <v>31.0</v>
      </c>
      <c r="E36" s="51"/>
      <c r="F36" s="19"/>
      <c r="G36" s="19"/>
      <c r="H36" s="19" t="s">
        <v>204</v>
      </c>
      <c r="I36" s="33">
        <f>SUM(I3,I5,I7,I10,I11,I14,I16,I24,I34)</f>
        <v>31.0</v>
      </c>
      <c r="J36" s="19"/>
      <c r="K36" s="17">
        <f>SUM(K3,K4,K6,K8,K9,K12,K13,K15,K17,K18,K19,K20,K21,K22,K23,K25,K26,K27,K28,K29,K30,K31,K32,K33,K35)</f>
        <v>31.0</v>
      </c>
      <c r="L36" s="51"/>
      <c r="M36" s="19"/>
      <c r="N36" s="19"/>
      <c r="O36" s="19" t="s">
        <v>204</v>
      </c>
      <c r="P36" s="33">
        <f>SUM(P3,P5,P7,P10,P11,P14,P16,P24,P34)</f>
        <v>31.0</v>
      </c>
      <c r="Q36" s="19"/>
      <c r="R36" s="17">
        <f>SUM(R3,R4,R6,R8,R9,R12,R13,R15,R17,R18,R19,R20,R21,R22,R23,R25,R26,R27,R28,R29,R30,R31,R32,R33,R35)</f>
        <v>31.0</v>
      </c>
      <c r="S36" s="51"/>
      <c r="T36" s="19"/>
      <c r="U36" s="19"/>
    </row>
    <row r="37" spans="1:21" ht="21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</sheetData>
  <mergeCells count="3">
    <mergeCell ref="D2:E2"/>
    <mergeCell ref="K2:L2"/>
    <mergeCell ref="R2:S2"/>
  </mergeCells>
  <pageMargins left="0.7086614173228347" right="0.7086614173228347" top="0.7480314960629921" bottom="0.7480314960629921" header="0.3" footer="0.3"/>
  <pageSetup paperSize="9" scale="92" orientation="portrait"/>
  <headerFooter>
    <oddFooter>&amp;L杭周面ばね&amp;R&amp;P / &amp;N</oddFooter>
  </headerFooter>
  <colBreaks count="2" manualBreakCount="2">
    <brk id="7" max="1048575" man="1"/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U37"/>
  <sheetViews>
    <sheetView showGridLines="0" zoomScale="85" zoomScaleNormal="85" workbookViewId="0"/>
  </sheetViews>
  <sheetFormatPr defaultRowHeight="23" customHeight="1"/>
  <cols>
    <col min="1" max="2" width="8.7109375" customWidth="1"/>
    <col min="3" max="3" width="21.7109375" customWidth="1"/>
    <col min="4" max="6" width="9.5703125" customWidth="1"/>
    <col min="7" max="7" width="20.7109375" customWidth="1"/>
    <col min="8" max="9" width="8.7109375" customWidth="1"/>
    <col min="10" max="10" width="21.7109375" customWidth="1"/>
    <col min="11" max="13" width="9.5703125" customWidth="1"/>
    <col min="14" max="14" width="20.7109375" customWidth="1"/>
    <col min="15" max="16" width="8.7109375" customWidth="1"/>
    <col min="17" max="17" width="21.7109375" customWidth="1"/>
    <col min="18" max="20" width="9.5703125" customWidth="1"/>
    <col min="21" max="21" width="20.7109375" customWidth="1"/>
  </cols>
  <sheetData>
    <row r="1" spans="1:21" ht="24" customHeight="1">
      <c r="A1" s="50" t="s">
        <v>180</v>
      </c>
      <c r="B1" s="13"/>
      <c r="C1" s="13"/>
      <c r="D1" s="13"/>
      <c r="E1" s="13"/>
      <c r="F1" s="13"/>
      <c r="G1" s="13"/>
      <c r="H1" s="50" t="s">
        <v>180</v>
      </c>
      <c r="I1" s="13"/>
      <c r="J1" s="13"/>
      <c r="K1" s="13"/>
      <c r="L1" s="13"/>
      <c r="M1" s="13"/>
      <c r="N1" s="13"/>
      <c r="O1" s="50" t="s">
        <v>180</v>
      </c>
      <c r="P1" s="13"/>
      <c r="Q1" s="13"/>
      <c r="R1" s="13"/>
      <c r="S1" s="13"/>
      <c r="T1" s="13"/>
      <c r="U1" s="13"/>
    </row>
    <row r="2" spans="1:21" ht="48.75" customHeight="1">
      <c r="A2" s="19" t="s">
        <v>198</v>
      </c>
      <c r="B2" s="19" t="s">
        <v>199</v>
      </c>
      <c r="C2" s="19" t="s">
        <v>213</v>
      </c>
      <c r="D2" s="19" t="s">
        <v>210</v>
      </c>
      <c r="E2" s="19"/>
      <c r="F2" s="19" t="s">
        <v>211</v>
      </c>
      <c r="G2" s="19" t="s">
        <v>214</v>
      </c>
      <c r="H2" s="19" t="s">
        <v>198</v>
      </c>
      <c r="I2" s="19" t="s">
        <v>199</v>
      </c>
      <c r="J2" s="19" t="s">
        <v>213</v>
      </c>
      <c r="K2" s="19" t="s">
        <v>210</v>
      </c>
      <c r="L2" s="19"/>
      <c r="M2" s="19" t="s">
        <v>211</v>
      </c>
      <c r="N2" s="19" t="s">
        <v>214</v>
      </c>
      <c r="O2" s="19" t="s">
        <v>198</v>
      </c>
      <c r="P2" s="19" t="s">
        <v>199</v>
      </c>
      <c r="Q2" s="19" t="s">
        <v>213</v>
      </c>
      <c r="R2" s="19" t="s">
        <v>210</v>
      </c>
      <c r="S2" s="19"/>
      <c r="T2" s="19" t="s">
        <v>211</v>
      </c>
      <c r="U2" s="19" t="s">
        <v>214</v>
      </c>
    </row>
    <row r="3" spans="1:21" ht="18" customHeight="1">
      <c r="A3" s="24">
        <v>1</v>
      </c>
      <c r="B3" s="16">
        <f>'入力根拠'!G1140</f>
        <v>1.5</v>
      </c>
      <c r="C3" s="52">
        <f>'入力根拠'!I1140</f>
        <v>0.0</v>
      </c>
      <c r="D3" s="17">
        <f>'入力根拠'!K1174</f>
        <v>0.65</v>
      </c>
      <c r="E3" s="18"/>
      <c r="F3" s="19">
        <v>98</v>
      </c>
      <c r="G3" s="36">
        <f>(C3*D3)</f>
        <v>0.0</v>
      </c>
      <c r="H3" s="24">
        <v>1</v>
      </c>
      <c r="I3" s="16">
        <f>'入力根拠'!G1151</f>
        <v>1.5</v>
      </c>
      <c r="J3" s="52">
        <f>'入力根拠'!I1151</f>
        <v>0.0</v>
      </c>
      <c r="K3" s="17">
        <f>'入力根拠'!K1203</f>
        <v>0.65</v>
      </c>
      <c r="L3" s="18"/>
      <c r="M3" s="19">
        <v>123</v>
      </c>
      <c r="N3" s="36">
        <f>(J3*K3)</f>
        <v>0.0</v>
      </c>
      <c r="O3" s="24">
        <v>1</v>
      </c>
      <c r="P3" s="16">
        <f>'入力根拠'!G1160</f>
        <v>1.5</v>
      </c>
      <c r="Q3" s="52">
        <f>'入力根拠'!I1160</f>
        <v>0.0</v>
      </c>
      <c r="R3" s="17">
        <f>'入力根拠'!K1232</f>
        <v>0.65</v>
      </c>
      <c r="S3" s="18"/>
      <c r="T3" s="19">
        <v>148</v>
      </c>
      <c r="U3" s="36">
        <f>(Q3*R3)</f>
        <v>0.0</v>
      </c>
    </row>
    <row r="4" spans="1:21" ht="18" customHeight="1">
      <c r="A4" s="31"/>
      <c r="B4" s="21"/>
      <c r="C4" s="53"/>
      <c r="D4" s="22">
        <f>'入力根拠'!K1175</f>
        <v>1.3</v>
      </c>
      <c r="E4" s="23">
        <f>'入力根拠'!G1263</f>
        <v>0.85</v>
      </c>
      <c r="F4" s="24">
        <v>99</v>
      </c>
      <c r="G4" s="52">
        <f>SUM((C3*E4),(C5*E5))</f>
        <v>0.0</v>
      </c>
      <c r="H4" s="31"/>
      <c r="I4" s="21"/>
      <c r="J4" s="53"/>
      <c r="K4" s="22">
        <f>'入力根拠'!K1204</f>
        <v>1.3</v>
      </c>
      <c r="L4" s="23">
        <f>'入力根拠'!G1300</f>
        <v>0.85</v>
      </c>
      <c r="M4" s="24">
        <v>124</v>
      </c>
      <c r="N4" s="52">
        <f>SUM((J3*L4),(J5*L5))</f>
        <v>0.0</v>
      </c>
      <c r="O4" s="31"/>
      <c r="P4" s="21"/>
      <c r="Q4" s="53"/>
      <c r="R4" s="22">
        <f>'入力根拠'!K1233</f>
        <v>1.3</v>
      </c>
      <c r="S4" s="23">
        <f>'入力根拠'!G1337</f>
        <v>0.85</v>
      </c>
      <c r="T4" s="24">
        <v>149</v>
      </c>
      <c r="U4" s="52">
        <f>SUM((Q3*S4),(Q5*S5))</f>
        <v>0.0</v>
      </c>
    </row>
    <row r="5" spans="1:21" ht="18" customHeight="1">
      <c r="A5" s="24">
        <v>2</v>
      </c>
      <c r="B5" s="16">
        <f>'入力根拠'!G1141</f>
        <v>1.3</v>
      </c>
      <c r="C5" s="52">
        <f>'入力根拠'!I1141</f>
        <v>0.0</v>
      </c>
      <c r="D5" s="25"/>
      <c r="E5" s="26">
        <f>'入力根拠'!G1264</f>
        <v>0.45</v>
      </c>
      <c r="F5" s="27"/>
      <c r="G5" s="54"/>
      <c r="H5" s="24">
        <v>2</v>
      </c>
      <c r="I5" s="16">
        <f>'入力根拠'!G1152</f>
        <v>1.3</v>
      </c>
      <c r="J5" s="52">
        <f>'入力根拠'!I1152</f>
        <v>0.0</v>
      </c>
      <c r="K5" s="25"/>
      <c r="L5" s="26">
        <f>'入力根拠'!G1301</f>
        <v>0.45</v>
      </c>
      <c r="M5" s="27"/>
      <c r="N5" s="54"/>
      <c r="O5" s="24">
        <v>2</v>
      </c>
      <c r="P5" s="16">
        <f>'入力根拠'!G1161</f>
        <v>1.3</v>
      </c>
      <c r="Q5" s="52">
        <f>'入力根拠'!I1161</f>
        <v>0.0</v>
      </c>
      <c r="R5" s="25"/>
      <c r="S5" s="26">
        <f>'入力根拠'!G1338</f>
        <v>0.45</v>
      </c>
      <c r="T5" s="27"/>
      <c r="U5" s="54"/>
    </row>
    <row r="6" spans="1:21" ht="18" customHeight="1">
      <c r="A6" s="31"/>
      <c r="B6" s="21"/>
      <c r="C6" s="53"/>
      <c r="D6" s="22">
        <f>'入力根拠'!K1176</f>
        <v>1.3</v>
      </c>
      <c r="E6" s="23">
        <f>'入力根拠'!G1265</f>
        <v>0.85</v>
      </c>
      <c r="F6" s="24">
        <v>100</v>
      </c>
      <c r="G6" s="52">
        <f>SUM((C5*E6),(C7*E7))</f>
        <v>0.0</v>
      </c>
      <c r="H6" s="31"/>
      <c r="I6" s="21"/>
      <c r="J6" s="53"/>
      <c r="K6" s="22">
        <f>'入力根拠'!K1205</f>
        <v>1.3</v>
      </c>
      <c r="L6" s="23">
        <f>'入力根拠'!G1302</f>
        <v>0.85</v>
      </c>
      <c r="M6" s="24">
        <v>125</v>
      </c>
      <c r="N6" s="52">
        <f>SUM((J5*L6),(J7*L7))</f>
        <v>0.0</v>
      </c>
      <c r="O6" s="31"/>
      <c r="P6" s="21"/>
      <c r="Q6" s="53"/>
      <c r="R6" s="22">
        <f>'入力根拠'!K1234</f>
        <v>1.3</v>
      </c>
      <c r="S6" s="23">
        <f>'入力根拠'!G1339</f>
        <v>0.85</v>
      </c>
      <c r="T6" s="24">
        <v>150</v>
      </c>
      <c r="U6" s="52">
        <f>SUM((Q5*S6),(Q7*S7))</f>
        <v>0.0</v>
      </c>
    </row>
    <row r="7" spans="1:21" ht="18" customHeight="1">
      <c r="A7" s="24">
        <v>3</v>
      </c>
      <c r="B7" s="16">
        <f>'入力根拠'!G1142</f>
        <v>2.145</v>
      </c>
      <c r="C7" s="52">
        <f>'入力根拠'!I1142</f>
        <v>0.0</v>
      </c>
      <c r="D7" s="25"/>
      <c r="E7" s="26">
        <f>'入力根拠'!G1266</f>
        <v>0.45</v>
      </c>
      <c r="F7" s="27"/>
      <c r="G7" s="54"/>
      <c r="H7" s="24">
        <v>3</v>
      </c>
      <c r="I7" s="16">
        <f>'入力根拠'!G1153</f>
        <v>2.145</v>
      </c>
      <c r="J7" s="52">
        <f>'入力根拠'!I1153</f>
        <v>0.0</v>
      </c>
      <c r="K7" s="25"/>
      <c r="L7" s="26">
        <f>'入力根拠'!G1303</f>
        <v>0.45</v>
      </c>
      <c r="M7" s="27"/>
      <c r="N7" s="54"/>
      <c r="O7" s="24">
        <v>3</v>
      </c>
      <c r="P7" s="16">
        <f>'入力根拠'!G1164</f>
        <v>2.145</v>
      </c>
      <c r="Q7" s="52">
        <f>'入力根拠'!I1164</f>
        <v>0.0</v>
      </c>
      <c r="R7" s="25"/>
      <c r="S7" s="26">
        <f>'入力根拠'!G1340</f>
        <v>0.45</v>
      </c>
      <c r="T7" s="27"/>
      <c r="U7" s="54"/>
    </row>
    <row r="8" spans="1:21" ht="18" customHeight="1">
      <c r="A8" s="31"/>
      <c r="B8" s="21"/>
      <c r="C8" s="53"/>
      <c r="D8" s="17">
        <f>'入力根拠'!K1177</f>
        <v>1.3</v>
      </c>
      <c r="E8" s="18"/>
      <c r="F8" s="19">
        <v>101</v>
      </c>
      <c r="G8" s="36">
        <f>(C7*D8)</f>
        <v>0.0</v>
      </c>
      <c r="H8" s="31"/>
      <c r="I8" s="21"/>
      <c r="J8" s="53"/>
      <c r="K8" s="17">
        <f>'入力根拠'!K1206</f>
        <v>1.3</v>
      </c>
      <c r="L8" s="18"/>
      <c r="M8" s="19">
        <v>126</v>
      </c>
      <c r="N8" s="36">
        <f>(J7*K8)</f>
        <v>0.0</v>
      </c>
      <c r="O8" s="31"/>
      <c r="P8" s="21"/>
      <c r="Q8" s="53"/>
      <c r="R8" s="17">
        <f>'入力根拠'!K1235</f>
        <v>1.3</v>
      </c>
      <c r="S8" s="18"/>
      <c r="T8" s="19">
        <v>151</v>
      </c>
      <c r="U8" s="36">
        <f>(Q7*R8)</f>
        <v>0.0</v>
      </c>
    </row>
    <row r="9" spans="1:21" ht="18" customHeight="1">
      <c r="A9" s="31"/>
      <c r="B9" s="21"/>
      <c r="C9" s="53"/>
      <c r="D9" s="22">
        <f>'入力根拠'!K1180</f>
        <v>1.3</v>
      </c>
      <c r="E9" s="23">
        <f>'入力根拠'!G1268</f>
        <v>0.395</v>
      </c>
      <c r="F9" s="24">
        <v>102</v>
      </c>
      <c r="G9" s="52">
        <f>SUM((C7*E9),(C10*E10),(C11*E11))</f>
        <v>433.7705</v>
      </c>
      <c r="H9" s="31"/>
      <c r="I9" s="21"/>
      <c r="J9" s="53"/>
      <c r="K9" s="22">
        <f>'入力根拠'!K1207</f>
        <v>1.3</v>
      </c>
      <c r="L9" s="23">
        <f>'入力根拠'!G1305</f>
        <v>0.395</v>
      </c>
      <c r="M9" s="24">
        <v>127</v>
      </c>
      <c r="N9" s="52">
        <f>SUM((J7*L9),(J10*L10),(J11*L11))</f>
        <v>289.13</v>
      </c>
      <c r="O9" s="31"/>
      <c r="P9" s="21"/>
      <c r="Q9" s="53"/>
      <c r="R9" s="22">
        <f>'入力根拠'!K1236</f>
        <v>1.3</v>
      </c>
      <c r="S9" s="23">
        <f>'入力根拠'!G1342</f>
        <v>0.395</v>
      </c>
      <c r="T9" s="24">
        <v>152</v>
      </c>
      <c r="U9" s="52">
        <f>SUM((Q7*S9),(Q10*S10),(Q11*S11))</f>
        <v>433.7705</v>
      </c>
    </row>
    <row r="10" spans="1:21" ht="18" customHeight="1">
      <c r="A10" s="31"/>
      <c r="B10" s="16">
        <f>'入力根拠'!G1143</f>
        <v>0.755</v>
      </c>
      <c r="C10" s="52">
        <f>'入力根拠'!I1143</f>
        <v>294.1</v>
      </c>
      <c r="D10" s="29"/>
      <c r="E10" s="30">
        <f>'入力根拠'!G1269</f>
        <v>0.755</v>
      </c>
      <c r="F10" s="31"/>
      <c r="G10" s="53"/>
      <c r="H10" s="31"/>
      <c r="I10" s="16">
        <f>'入力根拠'!G1154</f>
        <v>0.755</v>
      </c>
      <c r="J10" s="52">
        <f>'入力根拠'!I1154</f>
        <v>196.0</v>
      </c>
      <c r="K10" s="29"/>
      <c r="L10" s="30">
        <f>'入力根拠'!G1306</f>
        <v>0.755</v>
      </c>
      <c r="M10" s="31"/>
      <c r="N10" s="53"/>
      <c r="O10" s="31"/>
      <c r="P10" s="16">
        <f>'入力根拠'!G1165</f>
        <v>0.755</v>
      </c>
      <c r="Q10" s="52">
        <f>'入力根拠'!I1165</f>
        <v>294.1</v>
      </c>
      <c r="R10" s="29"/>
      <c r="S10" s="30">
        <f>'入力根拠'!G1343</f>
        <v>0.755</v>
      </c>
      <c r="T10" s="31"/>
      <c r="U10" s="53"/>
    </row>
    <row r="11" spans="1:21" ht="18" customHeight="1">
      <c r="A11" s="24">
        <v>4</v>
      </c>
      <c r="B11" s="16">
        <f>'入力根拠'!G1144</f>
        <v>2.6</v>
      </c>
      <c r="C11" s="52">
        <f>'入力根拠'!I1144</f>
        <v>1411.5</v>
      </c>
      <c r="D11" s="25"/>
      <c r="E11" s="26">
        <f>'入力根拠'!G1270</f>
        <v>0.15</v>
      </c>
      <c r="F11" s="27"/>
      <c r="G11" s="54"/>
      <c r="H11" s="24">
        <v>4</v>
      </c>
      <c r="I11" s="16">
        <f>'入力根拠'!G1155</f>
        <v>2.6</v>
      </c>
      <c r="J11" s="52">
        <f>'入力根拠'!I1155</f>
        <v>941.0</v>
      </c>
      <c r="K11" s="25"/>
      <c r="L11" s="26">
        <f>'入力根拠'!G1307</f>
        <v>0.15</v>
      </c>
      <c r="M11" s="27"/>
      <c r="N11" s="54"/>
      <c r="O11" s="24">
        <v>4</v>
      </c>
      <c r="P11" s="16">
        <f>'入力根拠'!G1166</f>
        <v>2.6</v>
      </c>
      <c r="Q11" s="52">
        <f>'入力根拠'!I1166</f>
        <v>1411.5</v>
      </c>
      <c r="R11" s="25"/>
      <c r="S11" s="26">
        <f>'入力根拠'!G1344</f>
        <v>0.15</v>
      </c>
      <c r="T11" s="27"/>
      <c r="U11" s="54"/>
    </row>
    <row r="12" spans="1:21" ht="18" customHeight="1">
      <c r="A12" s="31"/>
      <c r="B12" s="21"/>
      <c r="C12" s="53"/>
      <c r="D12" s="17">
        <f>'入力根拠'!K1181</f>
        <v>1.3</v>
      </c>
      <c r="E12" s="18"/>
      <c r="F12" s="19">
        <v>103</v>
      </c>
      <c r="G12" s="36">
        <f>(C11*D12)</f>
        <v>1834.95</v>
      </c>
      <c r="H12" s="31"/>
      <c r="I12" s="21"/>
      <c r="J12" s="53"/>
      <c r="K12" s="17">
        <f>'入力根拠'!K1208</f>
        <v>1.3</v>
      </c>
      <c r="L12" s="18"/>
      <c r="M12" s="19">
        <v>128</v>
      </c>
      <c r="N12" s="36">
        <f>(J11*K12)</f>
        <v>1223.3</v>
      </c>
      <c r="O12" s="31"/>
      <c r="P12" s="21"/>
      <c r="Q12" s="53"/>
      <c r="R12" s="17">
        <f>'入力根拠'!K1237</f>
        <v>1.3</v>
      </c>
      <c r="S12" s="18"/>
      <c r="T12" s="19">
        <v>153</v>
      </c>
      <c r="U12" s="36">
        <f>(Q11*R12)</f>
        <v>1834.95</v>
      </c>
    </row>
    <row r="13" spans="1:21" ht="18" customHeight="1">
      <c r="A13" s="31"/>
      <c r="B13" s="21"/>
      <c r="C13" s="53"/>
      <c r="D13" s="22">
        <f>'入力根拠'!K1182</f>
        <v>1.3</v>
      </c>
      <c r="E13" s="23">
        <f>'入力根拠'!G1272</f>
        <v>1.15</v>
      </c>
      <c r="F13" s="24">
        <v>104</v>
      </c>
      <c r="G13" s="52">
        <f>SUM((C11*E13),(C14*E14))</f>
        <v>1794.36</v>
      </c>
      <c r="H13" s="31"/>
      <c r="I13" s="21"/>
      <c r="J13" s="53"/>
      <c r="K13" s="22">
        <f>'入力根拠'!K1209</f>
        <v>1.3</v>
      </c>
      <c r="L13" s="23">
        <f>'入力根拠'!G1309</f>
        <v>1.15</v>
      </c>
      <c r="M13" s="24">
        <v>129</v>
      </c>
      <c r="N13" s="52">
        <f>SUM((J11*L13),(J14*L14))</f>
        <v>1196.2399999999998</v>
      </c>
      <c r="O13" s="31"/>
      <c r="P13" s="21"/>
      <c r="Q13" s="53"/>
      <c r="R13" s="22">
        <f>'入力根拠'!K1238</f>
        <v>1.3</v>
      </c>
      <c r="S13" s="23">
        <f>'入力根拠'!G1348</f>
        <v>1.15</v>
      </c>
      <c r="T13" s="24">
        <v>154</v>
      </c>
      <c r="U13" s="52">
        <f>SUM((Q11*S13),(Q14*S14))</f>
        <v>1794.36</v>
      </c>
    </row>
    <row r="14" spans="1:21" ht="18" customHeight="1">
      <c r="A14" s="24">
        <v>5</v>
      </c>
      <c r="B14" s="16">
        <f>'入力根拠'!G1147</f>
        <v>0.6</v>
      </c>
      <c r="C14" s="52">
        <f>'入力根拠'!I1147</f>
        <v>1140.9</v>
      </c>
      <c r="D14" s="25"/>
      <c r="E14" s="26">
        <f>'入力根拠'!G1273</f>
        <v>0.15</v>
      </c>
      <c r="F14" s="27"/>
      <c r="G14" s="54"/>
      <c r="H14" s="24">
        <v>5</v>
      </c>
      <c r="I14" s="16">
        <f>'入力根拠'!G1156</f>
        <v>0.6</v>
      </c>
      <c r="J14" s="52">
        <f>'入力根拠'!I1156</f>
        <v>760.6</v>
      </c>
      <c r="K14" s="25"/>
      <c r="L14" s="26">
        <f>'入力根拠'!G1310</f>
        <v>0.15</v>
      </c>
      <c r="M14" s="27"/>
      <c r="N14" s="54"/>
      <c r="O14" s="24">
        <v>5</v>
      </c>
      <c r="P14" s="16">
        <f>'入力根拠'!G1167</f>
        <v>0.6</v>
      </c>
      <c r="Q14" s="52">
        <f>'入力根拠'!I1167</f>
        <v>1140.9</v>
      </c>
      <c r="R14" s="25"/>
      <c r="S14" s="26">
        <f>'入力根拠'!G1349</f>
        <v>0.15</v>
      </c>
      <c r="T14" s="27"/>
      <c r="U14" s="54"/>
    </row>
    <row r="15" spans="1:21" ht="18" customHeight="1">
      <c r="A15" s="31"/>
      <c r="B15" s="21"/>
      <c r="C15" s="53"/>
      <c r="D15" s="22">
        <f>'入力根拠'!K1183</f>
        <v>1.3</v>
      </c>
      <c r="E15" s="23">
        <f>'入力根拠'!G1274</f>
        <v>0.45</v>
      </c>
      <c r="F15" s="24">
        <v>105</v>
      </c>
      <c r="G15" s="52">
        <f>SUM((C14*E15),(C16*E16))</f>
        <v>2313.025</v>
      </c>
      <c r="H15" s="31"/>
      <c r="I15" s="21"/>
      <c r="J15" s="53"/>
      <c r="K15" s="22">
        <f>'入力根拠'!K1210</f>
        <v>1.3</v>
      </c>
      <c r="L15" s="23">
        <f>'入力根拠'!G1313</f>
        <v>0.45</v>
      </c>
      <c r="M15" s="24">
        <v>130</v>
      </c>
      <c r="N15" s="52">
        <f>SUM((J14*L15),(J16*L16))</f>
        <v>1542.0449999999998</v>
      </c>
      <c r="O15" s="31"/>
      <c r="P15" s="21"/>
      <c r="Q15" s="53"/>
      <c r="R15" s="22">
        <f>'入力根拠'!K1239</f>
        <v>1.3</v>
      </c>
      <c r="S15" s="23">
        <f>'入力根拠'!G1350</f>
        <v>0.45</v>
      </c>
      <c r="T15" s="24">
        <v>155</v>
      </c>
      <c r="U15" s="52">
        <f>SUM((Q14*S15),(Q16*S16))</f>
        <v>2313.025</v>
      </c>
    </row>
    <row r="16" spans="1:21" ht="18" customHeight="1">
      <c r="A16" s="24">
        <v>6</v>
      </c>
      <c r="B16" s="16">
        <f>'入力根拠'!G1148</f>
        <v>9.5</v>
      </c>
      <c r="C16" s="52">
        <f>'入力根拠'!I1148</f>
        <v>2117.2</v>
      </c>
      <c r="D16" s="25"/>
      <c r="E16" s="26">
        <f>'入力根拠'!G1275</f>
        <v>0.85</v>
      </c>
      <c r="F16" s="27"/>
      <c r="G16" s="54"/>
      <c r="H16" s="24">
        <v>6</v>
      </c>
      <c r="I16" s="16">
        <f>'入力根拠'!G1157</f>
        <v>9.5</v>
      </c>
      <c r="J16" s="52">
        <f>'入力根拠'!I1157</f>
        <v>1411.5</v>
      </c>
      <c r="K16" s="25"/>
      <c r="L16" s="26">
        <f>'入力根拠'!G1314</f>
        <v>0.85</v>
      </c>
      <c r="M16" s="27"/>
      <c r="N16" s="54"/>
      <c r="O16" s="24">
        <v>6</v>
      </c>
      <c r="P16" s="16">
        <f>'入力根拠'!G1168</f>
        <v>9.5</v>
      </c>
      <c r="Q16" s="52">
        <f>'入力根拠'!I1168</f>
        <v>2117.2</v>
      </c>
      <c r="R16" s="25"/>
      <c r="S16" s="26">
        <f>'入力根拠'!G1351</f>
        <v>0.85</v>
      </c>
      <c r="T16" s="27"/>
      <c r="U16" s="54"/>
    </row>
    <row r="17" spans="1:21" ht="18" customHeight="1">
      <c r="A17" s="31"/>
      <c r="B17" s="21"/>
      <c r="C17" s="53"/>
      <c r="D17" s="17">
        <f>'入力根拠'!K1184</f>
        <v>1.3</v>
      </c>
      <c r="E17" s="18"/>
      <c r="F17" s="19">
        <v>106</v>
      </c>
      <c r="G17" s="36">
        <f>(C16*D17)</f>
        <v>2752.3599999999997</v>
      </c>
      <c r="H17" s="31"/>
      <c r="I17" s="21"/>
      <c r="J17" s="53"/>
      <c r="K17" s="17">
        <f>'入力根拠'!K1211</f>
        <v>1.3</v>
      </c>
      <c r="L17" s="18"/>
      <c r="M17" s="19">
        <v>131</v>
      </c>
      <c r="N17" s="36">
        <f>(J16*K17)</f>
        <v>1834.95</v>
      </c>
      <c r="O17" s="31"/>
      <c r="P17" s="21"/>
      <c r="Q17" s="53"/>
      <c r="R17" s="17">
        <f>'入力根拠'!K1240</f>
        <v>1.3</v>
      </c>
      <c r="S17" s="18"/>
      <c r="T17" s="19">
        <v>156</v>
      </c>
      <c r="U17" s="36">
        <f>(Q16*R17)</f>
        <v>2752.3599999999997</v>
      </c>
    </row>
    <row r="18" spans="1:21" ht="18" customHeight="1">
      <c r="A18" s="31"/>
      <c r="B18" s="21"/>
      <c r="C18" s="53"/>
      <c r="D18" s="17">
        <f>'入力根拠'!K1185</f>
        <v>1.3</v>
      </c>
      <c r="E18" s="18"/>
      <c r="F18" s="19">
        <v>107</v>
      </c>
      <c r="G18" s="36">
        <f>(C16*D18)</f>
        <v>2752.3599999999997</v>
      </c>
      <c r="H18" s="31"/>
      <c r="I18" s="21"/>
      <c r="J18" s="53"/>
      <c r="K18" s="17">
        <f>'入力根拠'!K1214</f>
        <v>1.3</v>
      </c>
      <c r="L18" s="18"/>
      <c r="M18" s="19">
        <v>132</v>
      </c>
      <c r="N18" s="36">
        <f>(J16*K18)</f>
        <v>1834.95</v>
      </c>
      <c r="O18" s="31"/>
      <c r="P18" s="21"/>
      <c r="Q18" s="53"/>
      <c r="R18" s="17">
        <f>'入力根拠'!K1241</f>
        <v>1.3</v>
      </c>
      <c r="S18" s="18"/>
      <c r="T18" s="19">
        <v>157</v>
      </c>
      <c r="U18" s="36">
        <f>(Q16*R18)</f>
        <v>2752.3599999999997</v>
      </c>
    </row>
    <row r="19" spans="1:21" ht="18" customHeight="1">
      <c r="A19" s="31"/>
      <c r="B19" s="21"/>
      <c r="C19" s="53"/>
      <c r="D19" s="17">
        <f>'入力根拠'!K1186</f>
        <v>1.3</v>
      </c>
      <c r="E19" s="18"/>
      <c r="F19" s="19">
        <v>108</v>
      </c>
      <c r="G19" s="36">
        <f>(C16*D19)</f>
        <v>2752.3599999999997</v>
      </c>
      <c r="H19" s="31"/>
      <c r="I19" s="21"/>
      <c r="J19" s="53"/>
      <c r="K19" s="17">
        <f>'入力根拠'!K1215</f>
        <v>1.3</v>
      </c>
      <c r="L19" s="18"/>
      <c r="M19" s="19">
        <v>133</v>
      </c>
      <c r="N19" s="36">
        <f>(J16*K19)</f>
        <v>1834.95</v>
      </c>
      <c r="O19" s="31"/>
      <c r="P19" s="21"/>
      <c r="Q19" s="53"/>
      <c r="R19" s="17">
        <f>'入力根拠'!K1242</f>
        <v>1.3</v>
      </c>
      <c r="S19" s="18"/>
      <c r="T19" s="19">
        <v>158</v>
      </c>
      <c r="U19" s="36">
        <f>(Q16*R19)</f>
        <v>2752.3599999999997</v>
      </c>
    </row>
    <row r="20" spans="1:21" ht="18" customHeight="1">
      <c r="A20" s="31"/>
      <c r="B20" s="21"/>
      <c r="C20" s="53"/>
      <c r="D20" s="17">
        <f>'入力根拠'!K1187</f>
        <v>1.3</v>
      </c>
      <c r="E20" s="18"/>
      <c r="F20" s="19">
        <v>109</v>
      </c>
      <c r="G20" s="36">
        <f>(C16*D20)</f>
        <v>2752.3599999999997</v>
      </c>
      <c r="H20" s="31"/>
      <c r="I20" s="21"/>
      <c r="J20" s="53"/>
      <c r="K20" s="17">
        <f>'入力根拠'!K1216</f>
        <v>1.3</v>
      </c>
      <c r="L20" s="18"/>
      <c r="M20" s="19">
        <v>134</v>
      </c>
      <c r="N20" s="36">
        <f>(J16*K20)</f>
        <v>1834.95</v>
      </c>
      <c r="O20" s="31"/>
      <c r="P20" s="21"/>
      <c r="Q20" s="53"/>
      <c r="R20" s="17">
        <f>'入力根拠'!K1243</f>
        <v>1.3</v>
      </c>
      <c r="S20" s="18"/>
      <c r="T20" s="19">
        <v>159</v>
      </c>
      <c r="U20" s="36">
        <f>(Q16*R20)</f>
        <v>2752.3599999999997</v>
      </c>
    </row>
    <row r="21" spans="1:21" ht="18" customHeight="1">
      <c r="A21" s="31"/>
      <c r="B21" s="21"/>
      <c r="C21" s="53"/>
      <c r="D21" s="17">
        <f>'入力根拠'!K1188</f>
        <v>1.3</v>
      </c>
      <c r="E21" s="18"/>
      <c r="F21" s="19">
        <v>110</v>
      </c>
      <c r="G21" s="36">
        <f>(C16*D21)</f>
        <v>2752.3599999999997</v>
      </c>
      <c r="H21" s="31"/>
      <c r="I21" s="21"/>
      <c r="J21" s="53"/>
      <c r="K21" s="17">
        <f>'入力根拠'!K1217</f>
        <v>1.3</v>
      </c>
      <c r="L21" s="18"/>
      <c r="M21" s="19">
        <v>135</v>
      </c>
      <c r="N21" s="36">
        <f>(J16*K21)</f>
        <v>1834.95</v>
      </c>
      <c r="O21" s="31"/>
      <c r="P21" s="21"/>
      <c r="Q21" s="53"/>
      <c r="R21" s="17">
        <f>'入力根拠'!K1244</f>
        <v>1.3</v>
      </c>
      <c r="S21" s="18"/>
      <c r="T21" s="19">
        <v>160</v>
      </c>
      <c r="U21" s="36">
        <f>(Q16*R21)</f>
        <v>2752.3599999999997</v>
      </c>
    </row>
    <row r="22" spans="1:21" ht="18" customHeight="1">
      <c r="A22" s="31"/>
      <c r="B22" s="21"/>
      <c r="C22" s="53"/>
      <c r="D22" s="17">
        <f>'入力根拠'!K1189</f>
        <v>1.3</v>
      </c>
      <c r="E22" s="18"/>
      <c r="F22" s="19">
        <v>111</v>
      </c>
      <c r="G22" s="36">
        <f>(C16*D22)</f>
        <v>2752.3599999999997</v>
      </c>
      <c r="H22" s="31"/>
      <c r="I22" s="21"/>
      <c r="J22" s="53"/>
      <c r="K22" s="17">
        <f>'入力根拠'!K1218</f>
        <v>1.3</v>
      </c>
      <c r="L22" s="18"/>
      <c r="M22" s="19">
        <v>136</v>
      </c>
      <c r="N22" s="36">
        <f>(J16*K22)</f>
        <v>1834.95</v>
      </c>
      <c r="O22" s="31"/>
      <c r="P22" s="21"/>
      <c r="Q22" s="53"/>
      <c r="R22" s="17">
        <f>'入力根拠'!K1245</f>
        <v>1.3</v>
      </c>
      <c r="S22" s="18"/>
      <c r="T22" s="19">
        <v>161</v>
      </c>
      <c r="U22" s="36">
        <f>(Q16*R22)</f>
        <v>2752.3599999999997</v>
      </c>
    </row>
    <row r="23" spans="1:21" ht="18" customHeight="1">
      <c r="A23" s="31"/>
      <c r="B23" s="21"/>
      <c r="C23" s="53"/>
      <c r="D23" s="22">
        <f>'入力根拠'!K1190</f>
        <v>1.3</v>
      </c>
      <c r="E23" s="23">
        <f>'入力根拠'!G1284</f>
        <v>0.85</v>
      </c>
      <c r="F23" s="24">
        <v>112</v>
      </c>
      <c r="G23" s="52">
        <f>SUM((C16*E23),(C24*E24))</f>
        <v>2032.495</v>
      </c>
      <c r="H23" s="31"/>
      <c r="I23" s="21"/>
      <c r="J23" s="53"/>
      <c r="K23" s="22">
        <f>'入力根拠'!K1219</f>
        <v>1.3</v>
      </c>
      <c r="L23" s="23">
        <f>'入力根拠'!G1321</f>
        <v>0.85</v>
      </c>
      <c r="M23" s="24">
        <v>137</v>
      </c>
      <c r="N23" s="52">
        <f>SUM((J16*L23),(J24*L24))</f>
        <v>1355.0249999999999</v>
      </c>
      <c r="O23" s="31"/>
      <c r="P23" s="21"/>
      <c r="Q23" s="53"/>
      <c r="R23" s="22">
        <f>'入力根拠'!K1248</f>
        <v>1.3</v>
      </c>
      <c r="S23" s="23">
        <f>'入力根拠'!G1358</f>
        <v>0.85</v>
      </c>
      <c r="T23" s="24">
        <v>162</v>
      </c>
      <c r="U23" s="52">
        <f>SUM((Q16*S23),(Q24*S24))</f>
        <v>2032.495</v>
      </c>
    </row>
    <row r="24" spans="1:21" ht="18" customHeight="1">
      <c r="A24" s="24">
        <v>7</v>
      </c>
      <c r="B24" s="16">
        <f>'入力根拠'!G1149</f>
        <v>11.3</v>
      </c>
      <c r="C24" s="52">
        <f>'入力根拠'!I1149</f>
        <v>517.5</v>
      </c>
      <c r="D24" s="25"/>
      <c r="E24" s="26">
        <f>'入力根拠'!G1285</f>
        <v>0.45</v>
      </c>
      <c r="F24" s="27"/>
      <c r="G24" s="54"/>
      <c r="H24" s="24">
        <v>7</v>
      </c>
      <c r="I24" s="16">
        <f>'入力根拠'!G1158</f>
        <v>11.3</v>
      </c>
      <c r="J24" s="52">
        <f>'入力根拠'!I1158</f>
        <v>345.0</v>
      </c>
      <c r="K24" s="25"/>
      <c r="L24" s="26">
        <f>'入力根拠'!G1322</f>
        <v>0.45</v>
      </c>
      <c r="M24" s="27"/>
      <c r="N24" s="54"/>
      <c r="O24" s="24">
        <v>7</v>
      </c>
      <c r="P24" s="16">
        <f>'入力根拠'!G1169</f>
        <v>11.3</v>
      </c>
      <c r="Q24" s="52">
        <f>'入力根拠'!I1169</f>
        <v>517.5</v>
      </c>
      <c r="R24" s="25"/>
      <c r="S24" s="26">
        <f>'入力根拠'!G1359</f>
        <v>0.45</v>
      </c>
      <c r="T24" s="27"/>
      <c r="U24" s="54"/>
    </row>
    <row r="25" spans="1:21" ht="18" customHeight="1">
      <c r="A25" s="31"/>
      <c r="B25" s="21"/>
      <c r="C25" s="53"/>
      <c r="D25" s="17">
        <f>'入力根拠'!K1191</f>
        <v>1.3</v>
      </c>
      <c r="E25" s="18"/>
      <c r="F25" s="19">
        <v>113</v>
      </c>
      <c r="G25" s="36">
        <f>(C24*D25)</f>
        <v>672.75</v>
      </c>
      <c r="H25" s="31"/>
      <c r="I25" s="21"/>
      <c r="J25" s="53"/>
      <c r="K25" s="17">
        <f>'入力根拠'!K1220</f>
        <v>1.3</v>
      </c>
      <c r="L25" s="18"/>
      <c r="M25" s="19">
        <v>138</v>
      </c>
      <c r="N25" s="36">
        <f>(J24*K25)</f>
        <v>448.5</v>
      </c>
      <c r="O25" s="31"/>
      <c r="P25" s="21"/>
      <c r="Q25" s="53"/>
      <c r="R25" s="17">
        <f>'入力根拠'!K1249</f>
        <v>1.3</v>
      </c>
      <c r="S25" s="18"/>
      <c r="T25" s="19">
        <v>163</v>
      </c>
      <c r="U25" s="36">
        <f>(Q24*R25)</f>
        <v>672.75</v>
      </c>
    </row>
    <row r="26" spans="1:21" ht="18" customHeight="1">
      <c r="A26" s="31"/>
      <c r="B26" s="21"/>
      <c r="C26" s="53"/>
      <c r="D26" s="17">
        <f>'入力根拠'!K1192</f>
        <v>1.3</v>
      </c>
      <c r="E26" s="18"/>
      <c r="F26" s="19">
        <v>114</v>
      </c>
      <c r="G26" s="36">
        <f>(C24*D26)</f>
        <v>672.75</v>
      </c>
      <c r="H26" s="31"/>
      <c r="I26" s="21"/>
      <c r="J26" s="53"/>
      <c r="K26" s="17">
        <f>'入力根拠'!K1221</f>
        <v>1.3</v>
      </c>
      <c r="L26" s="18"/>
      <c r="M26" s="19">
        <v>139</v>
      </c>
      <c r="N26" s="36">
        <f>(J24*K26)</f>
        <v>448.5</v>
      </c>
      <c r="O26" s="31"/>
      <c r="P26" s="21"/>
      <c r="Q26" s="53"/>
      <c r="R26" s="17">
        <f>'入力根拠'!K1250</f>
        <v>1.3</v>
      </c>
      <c r="S26" s="18"/>
      <c r="T26" s="19">
        <v>164</v>
      </c>
      <c r="U26" s="36">
        <f>(Q24*R26)</f>
        <v>672.75</v>
      </c>
    </row>
    <row r="27" spans="1:21" ht="18" customHeight="1">
      <c r="A27" s="31"/>
      <c r="B27" s="21"/>
      <c r="C27" s="53"/>
      <c r="D27" s="17">
        <f>'入力根拠'!K1193</f>
        <v>1.3</v>
      </c>
      <c r="E27" s="18"/>
      <c r="F27" s="19">
        <v>115</v>
      </c>
      <c r="G27" s="36">
        <f>(C24*D27)</f>
        <v>672.75</v>
      </c>
      <c r="H27" s="31"/>
      <c r="I27" s="21"/>
      <c r="J27" s="53"/>
      <c r="K27" s="17">
        <f>'入力根拠'!K1222</f>
        <v>1.3</v>
      </c>
      <c r="L27" s="18"/>
      <c r="M27" s="19">
        <v>140</v>
      </c>
      <c r="N27" s="36">
        <f>(J24*K27)</f>
        <v>448.5</v>
      </c>
      <c r="O27" s="31"/>
      <c r="P27" s="21"/>
      <c r="Q27" s="53"/>
      <c r="R27" s="17">
        <f>'入力根拠'!K1251</f>
        <v>1.3</v>
      </c>
      <c r="S27" s="18"/>
      <c r="T27" s="19">
        <v>165</v>
      </c>
      <c r="U27" s="36">
        <f>(Q24*R27)</f>
        <v>672.75</v>
      </c>
    </row>
    <row r="28" spans="1:21" ht="18" customHeight="1">
      <c r="A28" s="31"/>
      <c r="B28" s="21"/>
      <c r="C28" s="53"/>
      <c r="D28" s="17">
        <f>'入力根拠'!K1194</f>
        <v>1.3</v>
      </c>
      <c r="E28" s="18"/>
      <c r="F28" s="19">
        <v>116</v>
      </c>
      <c r="G28" s="36">
        <f>(C24*D28)</f>
        <v>672.75</v>
      </c>
      <c r="H28" s="31"/>
      <c r="I28" s="21"/>
      <c r="J28" s="53"/>
      <c r="K28" s="17">
        <f>'入力根拠'!K1223</f>
        <v>1.3</v>
      </c>
      <c r="L28" s="18"/>
      <c r="M28" s="19">
        <v>141</v>
      </c>
      <c r="N28" s="36">
        <f>(J24*K28)</f>
        <v>448.5</v>
      </c>
      <c r="O28" s="31"/>
      <c r="P28" s="21"/>
      <c r="Q28" s="53"/>
      <c r="R28" s="17">
        <f>'入力根拠'!K1252</f>
        <v>1.3</v>
      </c>
      <c r="S28" s="18"/>
      <c r="T28" s="19">
        <v>166</v>
      </c>
      <c r="U28" s="36">
        <f>(Q24*R28)</f>
        <v>672.75</v>
      </c>
    </row>
    <row r="29" spans="1:21" ht="18" customHeight="1">
      <c r="A29" s="31"/>
      <c r="B29" s="21"/>
      <c r="C29" s="53"/>
      <c r="D29" s="17">
        <f>'入力根拠'!K1197</f>
        <v>1.3</v>
      </c>
      <c r="E29" s="18"/>
      <c r="F29" s="19">
        <v>117</v>
      </c>
      <c r="G29" s="36">
        <f>(C24*D29)</f>
        <v>672.75</v>
      </c>
      <c r="H29" s="31"/>
      <c r="I29" s="21"/>
      <c r="J29" s="53"/>
      <c r="K29" s="17">
        <f>'入力根拠'!K1224</f>
        <v>1.3</v>
      </c>
      <c r="L29" s="18"/>
      <c r="M29" s="19">
        <v>142</v>
      </c>
      <c r="N29" s="36">
        <f>(J24*K29)</f>
        <v>448.5</v>
      </c>
      <c r="O29" s="31"/>
      <c r="P29" s="21"/>
      <c r="Q29" s="53"/>
      <c r="R29" s="17">
        <f>'入力根拠'!K1253</f>
        <v>1.3</v>
      </c>
      <c r="S29" s="18"/>
      <c r="T29" s="19">
        <v>167</v>
      </c>
      <c r="U29" s="36">
        <f>(Q24*R29)</f>
        <v>672.75</v>
      </c>
    </row>
    <row r="30" spans="1:21" ht="18" customHeight="1">
      <c r="A30" s="31"/>
      <c r="B30" s="21"/>
      <c r="C30" s="53"/>
      <c r="D30" s="17">
        <f>'入力根拠'!K1198</f>
        <v>1.3</v>
      </c>
      <c r="E30" s="18"/>
      <c r="F30" s="19">
        <v>118</v>
      </c>
      <c r="G30" s="36">
        <f>(C24*D30)</f>
        <v>672.75</v>
      </c>
      <c r="H30" s="31"/>
      <c r="I30" s="21"/>
      <c r="J30" s="53"/>
      <c r="K30" s="17">
        <f>'入力根拠'!K1225</f>
        <v>1.3</v>
      </c>
      <c r="L30" s="18"/>
      <c r="M30" s="19">
        <v>143</v>
      </c>
      <c r="N30" s="36">
        <f>(J24*K30)</f>
        <v>448.5</v>
      </c>
      <c r="O30" s="31"/>
      <c r="P30" s="21"/>
      <c r="Q30" s="53"/>
      <c r="R30" s="17">
        <f>'入力根拠'!K1254</f>
        <v>1.3</v>
      </c>
      <c r="S30" s="18"/>
      <c r="T30" s="19">
        <v>168</v>
      </c>
      <c r="U30" s="36">
        <f>(Q24*R30)</f>
        <v>672.75</v>
      </c>
    </row>
    <row r="31" spans="1:21" ht="18" customHeight="1">
      <c r="A31" s="31"/>
      <c r="B31" s="21"/>
      <c r="C31" s="53"/>
      <c r="D31" s="17">
        <f>'入力根拠'!K1199</f>
        <v>1.3</v>
      </c>
      <c r="E31" s="18"/>
      <c r="F31" s="19">
        <v>119</v>
      </c>
      <c r="G31" s="36">
        <f>(C24*D31)</f>
        <v>672.75</v>
      </c>
      <c r="H31" s="31"/>
      <c r="I31" s="21"/>
      <c r="J31" s="53"/>
      <c r="K31" s="17">
        <f>'入力根拠'!K1226</f>
        <v>1.3</v>
      </c>
      <c r="L31" s="18"/>
      <c r="M31" s="19">
        <v>144</v>
      </c>
      <c r="N31" s="36">
        <f>(J24*K31)</f>
        <v>448.5</v>
      </c>
      <c r="O31" s="31"/>
      <c r="P31" s="21"/>
      <c r="Q31" s="53"/>
      <c r="R31" s="17">
        <f>'入力根拠'!K1255</f>
        <v>1.3</v>
      </c>
      <c r="S31" s="18"/>
      <c r="T31" s="19">
        <v>169</v>
      </c>
      <c r="U31" s="36">
        <f>(Q24*R31)</f>
        <v>672.75</v>
      </c>
    </row>
    <row r="32" spans="1:21" ht="18" customHeight="1">
      <c r="A32" s="31"/>
      <c r="B32" s="21"/>
      <c r="C32" s="53"/>
      <c r="D32" s="17">
        <f>'入力根拠'!K1200</f>
        <v>1.3</v>
      </c>
      <c r="E32" s="18"/>
      <c r="F32" s="19">
        <v>120</v>
      </c>
      <c r="G32" s="36">
        <f>(C24*D32)</f>
        <v>672.75</v>
      </c>
      <c r="H32" s="31"/>
      <c r="I32" s="21"/>
      <c r="J32" s="53"/>
      <c r="K32" s="17">
        <f>'入力根拠'!K1227</f>
        <v>1.3</v>
      </c>
      <c r="L32" s="18"/>
      <c r="M32" s="19">
        <v>145</v>
      </c>
      <c r="N32" s="36">
        <f>(J24*K32)</f>
        <v>448.5</v>
      </c>
      <c r="O32" s="31"/>
      <c r="P32" s="21"/>
      <c r="Q32" s="53"/>
      <c r="R32" s="17">
        <f>'入力根拠'!K1256</f>
        <v>1.3</v>
      </c>
      <c r="S32" s="18"/>
      <c r="T32" s="19">
        <v>170</v>
      </c>
      <c r="U32" s="36">
        <f>(Q24*R32)</f>
        <v>672.75</v>
      </c>
    </row>
    <row r="33" spans="1:21" ht="18" customHeight="1">
      <c r="A33" s="31"/>
      <c r="B33" s="21"/>
      <c r="C33" s="53"/>
      <c r="D33" s="22">
        <f>'入力根拠'!K1201</f>
        <v>1.2</v>
      </c>
      <c r="E33" s="23">
        <f>'入力根拠'!G1296</f>
        <v>0.45</v>
      </c>
      <c r="F33" s="24">
        <v>121</v>
      </c>
      <c r="G33" s="52">
        <f>SUM((C24*E33),(C34*E34))</f>
        <v>232.875</v>
      </c>
      <c r="H33" s="31"/>
      <c r="I33" s="21"/>
      <c r="J33" s="53"/>
      <c r="K33" s="22">
        <f>'入力根拠'!K1228</f>
        <v>1.2</v>
      </c>
      <c r="L33" s="23">
        <f>'入力根拠'!G1333</f>
        <v>0.45</v>
      </c>
      <c r="M33" s="24">
        <v>146</v>
      </c>
      <c r="N33" s="52">
        <f>SUM((J24*L33),(J34*L34))</f>
        <v>155.25</v>
      </c>
      <c r="O33" s="31"/>
      <c r="P33" s="21"/>
      <c r="Q33" s="53"/>
      <c r="R33" s="22">
        <f>'入力根拠'!K1257</f>
        <v>1.2</v>
      </c>
      <c r="S33" s="23">
        <f>'入力根拠'!G1370</f>
        <v>0.45</v>
      </c>
      <c r="T33" s="24">
        <v>171</v>
      </c>
      <c r="U33" s="52">
        <f>SUM((Q24*S33),(Q34*S34))</f>
        <v>232.875</v>
      </c>
    </row>
    <row r="34" spans="1:21" ht="18" customHeight="1">
      <c r="A34" s="31"/>
      <c r="B34" s="16">
        <f>'入力根拠'!G1150</f>
        <v>1.3</v>
      </c>
      <c r="C34" s="52">
        <f>'入力根拠'!I1150</f>
        <v>0.0</v>
      </c>
      <c r="D34" s="25"/>
      <c r="E34" s="26">
        <f>'入力根拠'!G1297</f>
        <v>0.75</v>
      </c>
      <c r="F34" s="27"/>
      <c r="G34" s="54"/>
      <c r="H34" s="31"/>
      <c r="I34" s="16">
        <f>'入力根拠'!G1159</f>
        <v>1.3</v>
      </c>
      <c r="J34" s="52">
        <f>'入力根拠'!I1159</f>
        <v>0.0</v>
      </c>
      <c r="K34" s="25"/>
      <c r="L34" s="26">
        <f>'入力根拠'!G1334</f>
        <v>0.75</v>
      </c>
      <c r="M34" s="27"/>
      <c r="N34" s="54"/>
      <c r="O34" s="31"/>
      <c r="P34" s="16">
        <f>'入力根拠'!G1170</f>
        <v>1.3</v>
      </c>
      <c r="Q34" s="52">
        <f>'入力根拠'!I1170</f>
        <v>0.0</v>
      </c>
      <c r="R34" s="25"/>
      <c r="S34" s="26">
        <f>'入力根拠'!G1371</f>
        <v>0.75</v>
      </c>
      <c r="T34" s="27"/>
      <c r="U34" s="54"/>
    </row>
    <row r="35" spans="1:21" ht="18" customHeight="1">
      <c r="A35" s="27"/>
      <c r="B35" s="32"/>
      <c r="C35" s="54"/>
      <c r="D35" s="17">
        <f>'入力根拠'!K1202</f>
        <v>0.55</v>
      </c>
      <c r="E35" s="18"/>
      <c r="F35" s="19">
        <v>122</v>
      </c>
      <c r="G35" s="36">
        <f>(C34*D35)</f>
        <v>0.0</v>
      </c>
      <c r="H35" s="27"/>
      <c r="I35" s="32"/>
      <c r="J35" s="54"/>
      <c r="K35" s="17">
        <f>'入力根拠'!K1231</f>
        <v>0.55</v>
      </c>
      <c r="L35" s="18"/>
      <c r="M35" s="19">
        <v>147</v>
      </c>
      <c r="N35" s="36">
        <f>(J34*K35)</f>
        <v>0.0</v>
      </c>
      <c r="O35" s="27"/>
      <c r="P35" s="32"/>
      <c r="Q35" s="54"/>
      <c r="R35" s="17">
        <f>'入力根拠'!K1258</f>
        <v>0.55</v>
      </c>
      <c r="S35" s="18"/>
      <c r="T35" s="19">
        <v>172</v>
      </c>
      <c r="U35" s="36">
        <f>(Q34*R35)</f>
        <v>0.0</v>
      </c>
    </row>
    <row r="36" spans="1:21" ht="18" customHeight="1">
      <c r="A36" s="19" t="s">
        <v>204</v>
      </c>
      <c r="B36" s="33">
        <f>SUM(B3,B5,B7,B10,B11,B14,B16,B24,B34)</f>
        <v>31.0</v>
      </c>
      <c r="C36" s="19"/>
      <c r="D36" s="17">
        <f>SUM(D3,D4,D6,D8,D9,D12,D13,D15,D17,D18,D19,D20,D21,D22,D23,D25,D26,D27,D28,D29,D30,D31,D32,D33,D35)</f>
        <v>31.0</v>
      </c>
      <c r="E36" s="51"/>
      <c r="F36" s="19"/>
      <c r="G36" s="19"/>
      <c r="H36" s="19" t="s">
        <v>204</v>
      </c>
      <c r="I36" s="33">
        <f>SUM(I3,I5,I7,I10,I11,I14,I16,I24,I34)</f>
        <v>31.0</v>
      </c>
      <c r="J36" s="19"/>
      <c r="K36" s="17">
        <f>SUM(K3,K4,K6,K8,K9,K12,K13,K15,K17,K18,K19,K20,K21,K22,K23,K25,K26,K27,K28,K29,K30,K31,K32,K33,K35)</f>
        <v>31.0</v>
      </c>
      <c r="L36" s="51"/>
      <c r="M36" s="19"/>
      <c r="N36" s="19"/>
      <c r="O36" s="19" t="s">
        <v>204</v>
      </c>
      <c r="P36" s="33">
        <f>SUM(P3,P5,P7,P10,P11,P14,P16,P24,P34)</f>
        <v>31.0</v>
      </c>
      <c r="Q36" s="19"/>
      <c r="R36" s="17">
        <f>SUM(R3,R4,R6,R8,R9,R12,R13,R15,R17,R18,R19,R20,R21,R22,R23,R25,R26,R27,R28,R29,R30,R31,R32,R33,R35)</f>
        <v>31.0</v>
      </c>
      <c r="S36" s="51"/>
      <c r="T36" s="19"/>
      <c r="U36" s="19"/>
    </row>
    <row r="37" spans="1:21" ht="21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</sheetData>
  <mergeCells count="3">
    <mergeCell ref="D2:E2"/>
    <mergeCell ref="K2:L2"/>
    <mergeCell ref="R2:S2"/>
  </mergeCells>
  <pageMargins left="0.7086614173228347" right="0.7086614173228347" top="0.7480314960629921" bottom="0.7480314960629921" header="0.3" footer="0.3"/>
  <pageSetup paperSize="9" scale="92" orientation="portrait"/>
  <headerFooter>
    <oddFooter>&amp;L杭周面の支持力&amp;R&amp;P / &amp;N</oddFooter>
  </headerFooter>
  <colBreaks count="2" manualBreakCount="2">
    <brk id="7" max="1048575" man="1"/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C14"/>
  <sheetViews>
    <sheetView showGridLines="0" workbookViewId="0"/>
  </sheetViews>
  <sheetFormatPr defaultRowHeight="23" customHeight="1"/>
  <cols>
    <col min="1" max="1" width="9.7109375" customWidth="1"/>
    <col min="2" max="3" width="25.140625" customWidth="1"/>
  </cols>
  <sheetData>
    <row r="1" spans="1:3" ht="18.75" customHeight="1">
      <c r="A1" s="50" t="s">
        <v>215</v>
      </c>
      <c r="B1" s="55"/>
      <c r="C1" s="55"/>
    </row>
    <row r="2" spans="1:3" ht="30.75" customHeight="1">
      <c r="A2" s="19" t="s">
        <v>211</v>
      </c>
      <c r="B2" s="19" t="s">
        <v>216</v>
      </c>
      <c r="C2" s="19"/>
    </row>
    <row r="3" spans="1:3" ht="18.75" customHeight="1">
      <c r="A3" s="19"/>
      <c r="B3" s="19" t="s">
        <v>217</v>
      </c>
      <c r="C3" s="19" t="s">
        <v>218</v>
      </c>
    </row>
    <row r="4" spans="1:3" ht="18.75" customHeight="1">
      <c r="A4" s="56">
        <v>122</v>
      </c>
      <c r="B4" s="57">
        <f>'入力根拠'!F155</f>
        <v>327072.0</v>
      </c>
      <c r="C4" s="57">
        <f>'入力根拠'!F158</f>
        <v>88418.0</v>
      </c>
    </row>
    <row r="5" spans="1:3" ht="18.75" customHeight="1">
      <c r="A5" s="56">
        <v>147</v>
      </c>
      <c r="B5" s="57">
        <f>'入力根拠'!F161</f>
        <v>218048.0</v>
      </c>
      <c r="C5" s="57">
        <f>'入力根拠'!F162</f>
        <v>58945.0</v>
      </c>
    </row>
    <row r="6" spans="1:3" ht="18.75" customHeight="1">
      <c r="A6" s="56">
        <v>172</v>
      </c>
      <c r="B6" s="57">
        <f>'入力根拠'!F165</f>
        <v>327072.0</v>
      </c>
      <c r="C6" s="57">
        <f>'入力根拠'!F166</f>
        <v>88418.0</v>
      </c>
    </row>
    <row r="7" spans="1:3" ht="18.75" customHeight="1">
      <c r="A7" s="55"/>
      <c r="B7" s="55"/>
      <c r="C7" s="55"/>
    </row>
    <row r="8" spans="1:3" ht="18.75" customHeight="1">
      <c r="A8" s="55"/>
      <c r="B8" s="55"/>
      <c r="C8" s="55"/>
    </row>
    <row r="9" spans="1:3" ht="18.75" customHeight="1">
      <c r="A9" s="50" t="s">
        <v>219</v>
      </c>
      <c r="B9" s="55"/>
      <c r="C9" s="55"/>
    </row>
    <row r="10" spans="1:3" ht="30.75" customHeight="1">
      <c r="A10" s="19" t="s">
        <v>211</v>
      </c>
      <c r="B10" s="19" t="s">
        <v>220</v>
      </c>
      <c r="C10" s="19"/>
    </row>
    <row r="11" spans="1:3" ht="18.75" customHeight="1">
      <c r="A11" s="19"/>
      <c r="B11" s="19" t="s">
        <v>221</v>
      </c>
      <c r="C11" s="19" t="s">
        <v>222</v>
      </c>
    </row>
    <row r="12" spans="1:3" ht="18.75" customHeight="1">
      <c r="A12" s="56">
        <v>122</v>
      </c>
      <c r="B12" s="58">
        <f>'入力根拠'!F159</f>
        <v>7167.5</v>
      </c>
      <c r="C12" s="58">
        <f>'入力根拠'!F160</f>
        <v>16724.3</v>
      </c>
    </row>
    <row r="13" spans="1:3" ht="18.75" customHeight="1">
      <c r="A13" s="56">
        <v>147</v>
      </c>
      <c r="B13" s="58">
        <f>'入力根拠'!F163</f>
        <v>4778.4</v>
      </c>
      <c r="C13" s="58">
        <f>'入力根拠'!F164</f>
        <v>11149.5</v>
      </c>
    </row>
    <row r="14" spans="1:3" ht="18.75" customHeight="1">
      <c r="A14" s="56">
        <v>172</v>
      </c>
      <c r="B14" s="58">
        <f>'入力根拠'!F167</f>
        <v>7167.5</v>
      </c>
      <c r="C14" s="58">
        <f>'入力根拠'!F168</f>
        <v>16724.3</v>
      </c>
    </row>
  </sheetData>
  <mergeCells count="4">
    <mergeCell ref="A2:A3"/>
    <mergeCell ref="B2:C2"/>
    <mergeCell ref="A10:A11"/>
    <mergeCell ref="B10:C10"/>
  </mergeCells>
  <pageMargins left="0.7" right="0.7" top="0.75" bottom="0.75" header="0.3" footer="0.3"/>
  <pageSetup paperSize="9" orientation="portrait"/>
  <headerFooter>
    <oddFooter>&amp;L杭先端ばね&amp;R&amp;P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L1804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23" customHeight="1"/>
  <cols>
    <col min="1" max="1" width="17.7109375" customWidth="1"/>
    <col min="2" max="3" width="9.7109375" customWidth="1"/>
    <col min="4" max="4" width="24.7109375" customWidth="1"/>
    <col min="5" max="5" width="11.7109375" customWidth="1"/>
    <col min="6" max="6" width="15.7109375" customWidth="1"/>
    <col min="7" max="7" width="26.7109375" customWidth="1"/>
    <col min="8" max="12" width="11.7109375" customWidth="1"/>
  </cols>
  <sheetData>
    <row r="1" spans="1:12" ht="24" customHeight="1">
      <c r="A1" s="1" t="s">
        <v>223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4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3" customHeight="1"/>
    <row r="5" spans="1:12" ht="23" customHeight="1"/>
    <row r="6" spans="1:12" ht="24" customHeight="1">
      <c r="A6" s="3" t="s">
        <v>224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36" customHeight="1">
      <c r="A7" s="4" t="s">
        <v>225</v>
      </c>
      <c r="B7" s="4" t="s">
        <v>226</v>
      </c>
    </row>
    <row r="8" spans="1:12" ht="24" customHeight="1">
      <c r="A8" s="2" t="s">
        <v>227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24" customHeight="1">
      <c r="A9" s="2" t="s">
        <v>228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24" customHeight="1">
      <c r="A10" s="2" t="s">
        <v>229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24" customHeight="1">
      <c r="A11" s="2" t="s">
        <v>230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24" customHeight="1">
      <c r="A12" s="2" t="s">
        <v>231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24" customHeight="1">
      <c r="A13" s="2" t="s">
        <v>232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24" customHeight="1">
      <c r="A14" s="2" t="s">
        <v>233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24" customHeight="1">
      <c r="A15" s="2" t="s">
        <v>234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24" customHeight="1">
      <c r="A16" s="2" t="s">
        <v>235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4" customHeight="1">
      <c r="A17" s="2" t="s">
        <v>236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4" customHeight="1">
      <c r="A18" s="2" t="s">
        <v>237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4" customHeight="1">
      <c r="A19" s="2" t="s">
        <v>238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4" customHeight="1">
      <c r="A20" s="2" t="s">
        <v>239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4" customHeight="1">
      <c r="A21" s="3" t="s">
        <v>224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36" customHeight="1">
      <c r="A22" s="4" t="s">
        <v>225</v>
      </c>
      <c r="B22" s="4" t="s">
        <v>226</v>
      </c>
    </row>
    <row r="23" spans="1:12" ht="24" customHeight="1">
      <c r="A23" s="2" t="s">
        <v>240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4" customHeight="1">
      <c r="A24" s="2" t="s">
        <v>241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4" customHeight="1">
      <c r="A25" s="2" t="s">
        <v>242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24" customHeight="1">
      <c r="A26" s="2" t="s">
        <v>243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24" customHeight="1">
      <c r="A27" s="2" t="s">
        <v>244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24" customHeight="1">
      <c r="A28" s="2" t="s">
        <v>245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24" customHeight="1">
      <c r="A29" s="2" t="s">
        <v>246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24" customHeight="1">
      <c r="A30" s="2" t="s">
        <v>247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24" customHeight="1">
      <c r="A31" s="2" t="s">
        <v>248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24" customHeight="1">
      <c r="A32" s="2" t="s">
        <v>249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23" customHeight="1"/>
    <row r="34" spans="1:12" ht="24" customHeight="1">
      <c r="A34" s="3" t="s">
        <v>250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36" customHeight="1">
      <c r="A35" s="4" t="s">
        <v>182</v>
      </c>
      <c r="B35" s="4" t="s">
        <v>251</v>
      </c>
      <c r="C35" s="4" t="s">
        <v>252</v>
      </c>
      <c r="D35" s="4" t="s">
        <v>225</v>
      </c>
      <c r="E35" s="4" t="s">
        <v>253</v>
      </c>
      <c r="F35" s="4" t="s">
        <v>254</v>
      </c>
      <c r="G35" s="4" t="s">
        <v>255</v>
      </c>
    </row>
    <row r="36" spans="1:12" ht="23" customHeight="1">
      <c r="A36" s="9" t="s">
        <v>191</v>
      </c>
      <c r="B36" s="6">
        <v>174</v>
      </c>
      <c r="C36" s="6">
        <v>9</v>
      </c>
      <c r="D36" s="9" t="s">
        <v>256</v>
      </c>
      <c r="E36" s="9" t="s">
        <v>257</v>
      </c>
      <c r="F36" s="59">
        <v>58812</v>
      </c>
      <c r="G36" s="9" t="s">
        <v>258</v>
      </c>
    </row>
    <row r="37" spans="1:12" ht="24" customHeight="1">
      <c r="A37" s="3" t="s">
        <v>250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36" customHeight="1">
      <c r="A38" s="4" t="s">
        <v>182</v>
      </c>
      <c r="B38" s="4" t="s">
        <v>251</v>
      </c>
      <c r="C38" s="4" t="s">
        <v>252</v>
      </c>
      <c r="D38" s="4" t="s">
        <v>225</v>
      </c>
      <c r="E38" s="4" t="s">
        <v>253</v>
      </c>
      <c r="F38" s="4" t="s">
        <v>254</v>
      </c>
      <c r="G38" s="4" t="s">
        <v>255</v>
      </c>
    </row>
    <row r="39" spans="1:12" ht="23" customHeight="1">
      <c r="A39" s="9" t="s">
        <v>191</v>
      </c>
      <c r="B39" s="6">
        <v>175</v>
      </c>
      <c r="C39" s="6">
        <v>9</v>
      </c>
      <c r="D39" s="9" t="s">
        <v>256</v>
      </c>
      <c r="E39" s="9" t="s">
        <v>257</v>
      </c>
      <c r="F39" s="59">
        <v>310863</v>
      </c>
      <c r="G39" s="9" t="s">
        <v>259</v>
      </c>
    </row>
    <row r="40" spans="1:12" ht="23" customHeight="1">
      <c r="A40" s="9" t="s">
        <v>191</v>
      </c>
      <c r="B40" s="6">
        <v>176</v>
      </c>
      <c r="C40" s="6">
        <v>9</v>
      </c>
      <c r="D40" s="9" t="s">
        <v>256</v>
      </c>
      <c r="E40" s="9" t="s">
        <v>257</v>
      </c>
      <c r="F40" s="59">
        <v>110708</v>
      </c>
      <c r="G40" s="9" t="s">
        <v>260</v>
      </c>
    </row>
    <row r="41" spans="1:12" ht="23" customHeight="1">
      <c r="A41" s="9" t="s">
        <v>191</v>
      </c>
      <c r="B41" s="6">
        <v>177</v>
      </c>
      <c r="C41" s="6">
        <v>9</v>
      </c>
      <c r="D41" s="9" t="s">
        <v>256</v>
      </c>
      <c r="E41" s="9" t="s">
        <v>257</v>
      </c>
      <c r="F41" s="59">
        <v>268854</v>
      </c>
      <c r="G41" s="9" t="s">
        <v>261</v>
      </c>
    </row>
    <row r="42" spans="1:12" ht="23" customHeight="1">
      <c r="A42" s="9" t="s">
        <v>191</v>
      </c>
      <c r="B42" s="6">
        <v>178</v>
      </c>
      <c r="C42" s="6">
        <v>9</v>
      </c>
      <c r="D42" s="9" t="s">
        <v>256</v>
      </c>
      <c r="E42" s="9" t="s">
        <v>257</v>
      </c>
      <c r="F42" s="59">
        <v>428981</v>
      </c>
      <c r="G42" s="9" t="s">
        <v>262</v>
      </c>
    </row>
    <row r="43" spans="1:12" ht="23" customHeight="1">
      <c r="A43" s="9" t="s">
        <v>191</v>
      </c>
      <c r="B43" s="6">
        <v>179</v>
      </c>
      <c r="C43" s="6">
        <v>9</v>
      </c>
      <c r="D43" s="9" t="s">
        <v>256</v>
      </c>
      <c r="E43" s="9" t="s">
        <v>257</v>
      </c>
      <c r="F43" s="59">
        <v>403280</v>
      </c>
      <c r="G43" s="9" t="s">
        <v>263</v>
      </c>
    </row>
    <row r="44" spans="1:12" ht="23" customHeight="1">
      <c r="A44" s="9" t="s">
        <v>191</v>
      </c>
      <c r="B44" s="6">
        <v>180</v>
      </c>
      <c r="C44" s="6">
        <v>9</v>
      </c>
      <c r="D44" s="9" t="s">
        <v>256</v>
      </c>
      <c r="E44" s="9" t="s">
        <v>257</v>
      </c>
      <c r="F44" s="59">
        <v>193733</v>
      </c>
      <c r="G44" s="9" t="s">
        <v>264</v>
      </c>
    </row>
    <row r="45" spans="1:12" ht="23" customHeight="1">
      <c r="A45" s="9" t="s">
        <v>191</v>
      </c>
      <c r="B45" s="6">
        <v>174</v>
      </c>
      <c r="C45" s="6">
        <v>10</v>
      </c>
      <c r="D45" s="9" t="s">
        <v>265</v>
      </c>
      <c r="E45" s="9" t="s">
        <v>257</v>
      </c>
      <c r="F45" s="59">
        <v>39208</v>
      </c>
      <c r="G45" s="9" t="s">
        <v>266</v>
      </c>
    </row>
    <row r="46" spans="1:12" ht="23" customHeight="1">
      <c r="A46" s="9" t="s">
        <v>191</v>
      </c>
      <c r="B46" s="6">
        <v>175</v>
      </c>
      <c r="C46" s="6">
        <v>10</v>
      </c>
      <c r="D46" s="9" t="s">
        <v>265</v>
      </c>
      <c r="E46" s="9" t="s">
        <v>257</v>
      </c>
      <c r="F46" s="59">
        <v>207242</v>
      </c>
      <c r="G46" s="9" t="s">
        <v>267</v>
      </c>
    </row>
    <row r="47" spans="1:12" ht="23" customHeight="1">
      <c r="A47" s="9" t="s">
        <v>191</v>
      </c>
      <c r="B47" s="6">
        <v>176</v>
      </c>
      <c r="C47" s="6">
        <v>10</v>
      </c>
      <c r="D47" s="9" t="s">
        <v>265</v>
      </c>
      <c r="E47" s="9" t="s">
        <v>257</v>
      </c>
      <c r="F47" s="59">
        <v>73805</v>
      </c>
      <c r="G47" s="9" t="s">
        <v>268</v>
      </c>
    </row>
    <row r="48" spans="1:12" ht="23" customHeight="1">
      <c r="A48" s="9" t="s">
        <v>191</v>
      </c>
      <c r="B48" s="6">
        <v>177</v>
      </c>
      <c r="C48" s="6">
        <v>10</v>
      </c>
      <c r="D48" s="9" t="s">
        <v>265</v>
      </c>
      <c r="E48" s="9" t="s">
        <v>257</v>
      </c>
      <c r="F48" s="59">
        <v>179236</v>
      </c>
      <c r="G48" s="9" t="s">
        <v>269</v>
      </c>
    </row>
    <row r="49" spans="1:12" ht="23" customHeight="1">
      <c r="A49" s="9" t="s">
        <v>191</v>
      </c>
      <c r="B49" s="6">
        <v>178</v>
      </c>
      <c r="C49" s="6">
        <v>10</v>
      </c>
      <c r="D49" s="9" t="s">
        <v>265</v>
      </c>
      <c r="E49" s="9" t="s">
        <v>257</v>
      </c>
      <c r="F49" s="59">
        <v>285987</v>
      </c>
      <c r="G49" s="9" t="s">
        <v>270</v>
      </c>
    </row>
    <row r="50" spans="1:12" ht="23" customHeight="1">
      <c r="A50" s="9" t="s">
        <v>191</v>
      </c>
      <c r="B50" s="6">
        <v>179</v>
      </c>
      <c r="C50" s="6">
        <v>10</v>
      </c>
      <c r="D50" s="9" t="s">
        <v>265</v>
      </c>
      <c r="E50" s="9" t="s">
        <v>257</v>
      </c>
      <c r="F50" s="59">
        <v>268854</v>
      </c>
      <c r="G50" s="9" t="s">
        <v>261</v>
      </c>
    </row>
    <row r="51" spans="1:12" ht="23" customHeight="1">
      <c r="A51" s="9" t="s">
        <v>191</v>
      </c>
      <c r="B51" s="6">
        <v>180</v>
      </c>
      <c r="C51" s="6">
        <v>10</v>
      </c>
      <c r="D51" s="9" t="s">
        <v>265</v>
      </c>
      <c r="E51" s="9" t="s">
        <v>257</v>
      </c>
      <c r="F51" s="59">
        <v>129155</v>
      </c>
      <c r="G51" s="9" t="s">
        <v>271</v>
      </c>
    </row>
    <row r="52" spans="1:12" ht="23" customHeight="1">
      <c r="A52" s="9" t="s">
        <v>191</v>
      </c>
      <c r="B52" s="6">
        <v>174</v>
      </c>
      <c r="C52" s="6">
        <v>11</v>
      </c>
      <c r="D52" s="9" t="s">
        <v>272</v>
      </c>
      <c r="E52" s="9" t="s">
        <v>257</v>
      </c>
      <c r="F52" s="59">
        <v>58812</v>
      </c>
      <c r="G52" s="9" t="s">
        <v>258</v>
      </c>
    </row>
    <row r="53" spans="1:12" ht="23" customHeight="1">
      <c r="A53" s="9" t="s">
        <v>191</v>
      </c>
      <c r="B53" s="6">
        <v>175</v>
      </c>
      <c r="C53" s="6">
        <v>11</v>
      </c>
      <c r="D53" s="9" t="s">
        <v>272</v>
      </c>
      <c r="E53" s="9" t="s">
        <v>257</v>
      </c>
      <c r="F53" s="59">
        <v>310863</v>
      </c>
      <c r="G53" s="9" t="s">
        <v>259</v>
      </c>
    </row>
    <row r="54" spans="1:12" ht="24" customHeight="1">
      <c r="A54" s="3" t="s">
        <v>250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36" customHeight="1">
      <c r="A55" s="4" t="s">
        <v>182</v>
      </c>
      <c r="B55" s="4" t="s">
        <v>251</v>
      </c>
      <c r="C55" s="4" t="s">
        <v>252</v>
      </c>
      <c r="D55" s="4" t="s">
        <v>225</v>
      </c>
      <c r="E55" s="4" t="s">
        <v>253</v>
      </c>
      <c r="F55" s="4" t="s">
        <v>254</v>
      </c>
      <c r="G55" s="4" t="s">
        <v>255</v>
      </c>
    </row>
    <row r="56" spans="1:12" ht="23" customHeight="1">
      <c r="A56" s="9" t="s">
        <v>191</v>
      </c>
      <c r="B56" s="6">
        <v>176</v>
      </c>
      <c r="C56" s="6">
        <v>11</v>
      </c>
      <c r="D56" s="9" t="s">
        <v>272</v>
      </c>
      <c r="E56" s="9" t="s">
        <v>257</v>
      </c>
      <c r="F56" s="59">
        <v>110708</v>
      </c>
      <c r="G56" s="9" t="s">
        <v>260</v>
      </c>
    </row>
    <row r="57" spans="1:12" ht="23" customHeight="1">
      <c r="A57" s="9" t="s">
        <v>191</v>
      </c>
      <c r="B57" s="6">
        <v>177</v>
      </c>
      <c r="C57" s="6">
        <v>11</v>
      </c>
      <c r="D57" s="9" t="s">
        <v>272</v>
      </c>
      <c r="E57" s="9" t="s">
        <v>257</v>
      </c>
      <c r="F57" s="59">
        <v>268854</v>
      </c>
      <c r="G57" s="9" t="s">
        <v>261</v>
      </c>
    </row>
    <row r="58" spans="1:12" ht="23" customHeight="1">
      <c r="A58" s="9" t="s">
        <v>191</v>
      </c>
      <c r="B58" s="6">
        <v>178</v>
      </c>
      <c r="C58" s="6">
        <v>11</v>
      </c>
      <c r="D58" s="9" t="s">
        <v>272</v>
      </c>
      <c r="E58" s="9" t="s">
        <v>257</v>
      </c>
      <c r="F58" s="59">
        <v>428981</v>
      </c>
      <c r="G58" s="9" t="s">
        <v>262</v>
      </c>
    </row>
    <row r="59" spans="1:12" ht="23" customHeight="1">
      <c r="A59" s="9" t="s">
        <v>191</v>
      </c>
      <c r="B59" s="6">
        <v>179</v>
      </c>
      <c r="C59" s="6">
        <v>11</v>
      </c>
      <c r="D59" s="9" t="s">
        <v>272</v>
      </c>
      <c r="E59" s="9" t="s">
        <v>257</v>
      </c>
      <c r="F59" s="59">
        <v>403280</v>
      </c>
      <c r="G59" s="9" t="s">
        <v>263</v>
      </c>
    </row>
    <row r="60" spans="1:12" ht="23" customHeight="1">
      <c r="A60" s="9" t="s">
        <v>191</v>
      </c>
      <c r="B60" s="6">
        <v>180</v>
      </c>
      <c r="C60" s="6">
        <v>11</v>
      </c>
      <c r="D60" s="9" t="s">
        <v>272</v>
      </c>
      <c r="E60" s="9" t="s">
        <v>257</v>
      </c>
      <c r="F60" s="59">
        <v>193733</v>
      </c>
      <c r="G60" s="9" t="s">
        <v>264</v>
      </c>
    </row>
    <row r="61" spans="1:12" ht="23" customHeight="1">
      <c r="A61" s="9" t="s">
        <v>195</v>
      </c>
      <c r="B61" s="6">
        <v>187</v>
      </c>
      <c r="C61" s="6">
        <v>7</v>
      </c>
      <c r="D61" s="9" t="s">
        <v>273</v>
      </c>
      <c r="E61" s="9" t="s">
        <v>274</v>
      </c>
      <c r="F61" s="60">
        <v>1162.9</v>
      </c>
      <c r="G61" s="9" t="s">
        <v>275</v>
      </c>
    </row>
    <row r="62" spans="1:12" ht="23" customHeight="1">
      <c r="A62" s="9" t="s">
        <v>195</v>
      </c>
      <c r="B62" s="6">
        <v>187</v>
      </c>
      <c r="C62" s="6">
        <v>8</v>
      </c>
      <c r="D62" s="9" t="s">
        <v>276</v>
      </c>
      <c r="E62" s="9" t="s">
        <v>274</v>
      </c>
      <c r="F62" s="60">
        <v>1329.7</v>
      </c>
      <c r="G62" s="9" t="s">
        <v>277</v>
      </c>
    </row>
    <row r="63" spans="1:12" ht="23" customHeight="1">
      <c r="A63" s="9" t="s">
        <v>195</v>
      </c>
      <c r="B63" s="6">
        <v>188</v>
      </c>
      <c r="C63" s="6">
        <v>7</v>
      </c>
      <c r="D63" s="9" t="s">
        <v>273</v>
      </c>
      <c r="E63" s="9" t="s">
        <v>274</v>
      </c>
      <c r="F63" s="60">
        <v>2018.1</v>
      </c>
      <c r="G63" s="9" t="s">
        <v>278</v>
      </c>
    </row>
    <row r="64" spans="1:12" ht="23" customHeight="1">
      <c r="A64" s="9" t="s">
        <v>195</v>
      </c>
      <c r="B64" s="6">
        <v>188</v>
      </c>
      <c r="C64" s="6">
        <v>8</v>
      </c>
      <c r="D64" s="9" t="s">
        <v>276</v>
      </c>
      <c r="E64" s="9" t="s">
        <v>274</v>
      </c>
      <c r="F64" s="60">
        <v>2237.4</v>
      </c>
      <c r="G64" s="9" t="s">
        <v>279</v>
      </c>
    </row>
    <row r="65" spans="1:12" ht="23" customHeight="1">
      <c r="A65" s="9" t="s">
        <v>195</v>
      </c>
      <c r="B65" s="6">
        <v>189</v>
      </c>
      <c r="C65" s="6">
        <v>7</v>
      </c>
      <c r="D65" s="9" t="s">
        <v>273</v>
      </c>
      <c r="E65" s="9" t="s">
        <v>274</v>
      </c>
      <c r="F65" s="59">
        <v>1755</v>
      </c>
      <c r="G65" s="9" t="s">
        <v>280</v>
      </c>
    </row>
    <row r="66" spans="1:12" ht="23" customHeight="1">
      <c r="A66" s="9" t="s">
        <v>195</v>
      </c>
      <c r="B66" s="6">
        <v>189</v>
      </c>
      <c r="C66" s="6">
        <v>8</v>
      </c>
      <c r="D66" s="9" t="s">
        <v>276</v>
      </c>
      <c r="E66" s="9" t="s">
        <v>274</v>
      </c>
      <c r="F66" s="59">
        <v>1755</v>
      </c>
      <c r="G66" s="9" t="s">
        <v>280</v>
      </c>
    </row>
    <row r="67" spans="1:12" ht="23" customHeight="1">
      <c r="A67" s="9" t="s">
        <v>195</v>
      </c>
      <c r="B67" s="6">
        <v>190</v>
      </c>
      <c r="C67" s="6">
        <v>7</v>
      </c>
      <c r="D67" s="9" t="s">
        <v>273</v>
      </c>
      <c r="E67" s="9" t="s">
        <v>274</v>
      </c>
      <c r="F67" s="60">
        <v>2349.1</v>
      </c>
      <c r="G67" s="9" t="s">
        <v>281</v>
      </c>
    </row>
    <row r="68" spans="1:12" ht="23" customHeight="1">
      <c r="A68" s="9" t="s">
        <v>195</v>
      </c>
      <c r="B68" s="6">
        <v>190</v>
      </c>
      <c r="C68" s="6">
        <v>8</v>
      </c>
      <c r="D68" s="9" t="s">
        <v>276</v>
      </c>
      <c r="E68" s="9" t="s">
        <v>274</v>
      </c>
      <c r="F68" s="59">
        <v>2751</v>
      </c>
      <c r="G68" s="9" t="s">
        <v>282</v>
      </c>
    </row>
    <row r="69" spans="1:12" ht="23" customHeight="1">
      <c r="A69" s="9" t="s">
        <v>195</v>
      </c>
      <c r="B69" s="6">
        <v>191</v>
      </c>
      <c r="C69" s="6">
        <v>7</v>
      </c>
      <c r="D69" s="9" t="s">
        <v>273</v>
      </c>
      <c r="E69" s="9" t="s">
        <v>274</v>
      </c>
      <c r="F69" s="60">
        <v>6809.4</v>
      </c>
      <c r="G69" s="9" t="s">
        <v>283</v>
      </c>
    </row>
    <row r="70" spans="1:12" ht="23" customHeight="1">
      <c r="A70" s="9" t="s">
        <v>195</v>
      </c>
      <c r="B70" s="6">
        <v>191</v>
      </c>
      <c r="C70" s="6">
        <v>8</v>
      </c>
      <c r="D70" s="9" t="s">
        <v>276</v>
      </c>
      <c r="E70" s="9" t="s">
        <v>274</v>
      </c>
      <c r="F70" s="60">
        <v>6809.4</v>
      </c>
      <c r="G70" s="9" t="s">
        <v>283</v>
      </c>
    </row>
    <row r="71" spans="1:12" ht="24" customHeight="1">
      <c r="A71" s="3" t="s">
        <v>250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36" customHeight="1">
      <c r="A72" s="4" t="s">
        <v>182</v>
      </c>
      <c r="B72" s="4" t="s">
        <v>251</v>
      </c>
      <c r="C72" s="4" t="s">
        <v>252</v>
      </c>
      <c r="D72" s="4" t="s">
        <v>225</v>
      </c>
      <c r="E72" s="4" t="s">
        <v>253</v>
      </c>
      <c r="F72" s="4" t="s">
        <v>254</v>
      </c>
      <c r="G72" s="4" t="s">
        <v>255</v>
      </c>
    </row>
    <row r="73" spans="1:12" ht="23" customHeight="1">
      <c r="A73" s="9" t="s">
        <v>195</v>
      </c>
      <c r="B73" s="6">
        <v>192</v>
      </c>
      <c r="C73" s="6">
        <v>7</v>
      </c>
      <c r="D73" s="9" t="s">
        <v>273</v>
      </c>
      <c r="E73" s="9" t="s">
        <v>274</v>
      </c>
      <c r="F73" s="60">
        <v>2948.5</v>
      </c>
      <c r="G73" s="9" t="s">
        <v>284</v>
      </c>
    </row>
    <row r="74" spans="1:12" ht="23" customHeight="1">
      <c r="A74" s="9" t="s">
        <v>195</v>
      </c>
      <c r="B74" s="6">
        <v>192</v>
      </c>
      <c r="C74" s="6">
        <v>8</v>
      </c>
      <c r="D74" s="9" t="s">
        <v>276</v>
      </c>
      <c r="E74" s="9" t="s">
        <v>274</v>
      </c>
      <c r="F74" s="60">
        <v>4482.5</v>
      </c>
      <c r="G74" s="9" t="s">
        <v>285</v>
      </c>
    </row>
    <row r="75" spans="1:12" ht="23" customHeight="1">
      <c r="A75" s="9" t="s">
        <v>195</v>
      </c>
      <c r="B75" s="6">
        <v>193</v>
      </c>
      <c r="C75" s="6">
        <v>7</v>
      </c>
      <c r="D75" s="9" t="s">
        <v>273</v>
      </c>
      <c r="E75" s="9" t="s">
        <v>274</v>
      </c>
      <c r="F75" s="60">
        <v>3088.8</v>
      </c>
      <c r="G75" s="9" t="s">
        <v>286</v>
      </c>
    </row>
    <row r="76" spans="1:12" ht="23" customHeight="1">
      <c r="A76" s="9" t="s">
        <v>195</v>
      </c>
      <c r="B76" s="6">
        <v>193</v>
      </c>
      <c r="C76" s="6">
        <v>8</v>
      </c>
      <c r="D76" s="9" t="s">
        <v>276</v>
      </c>
      <c r="E76" s="9" t="s">
        <v>274</v>
      </c>
      <c r="F76" s="60">
        <v>3088.8</v>
      </c>
      <c r="G76" s="9" t="s">
        <v>286</v>
      </c>
    </row>
    <row r="77" spans="1:12" ht="23" customHeight="1">
      <c r="A77" s="9" t="s">
        <v>195</v>
      </c>
      <c r="B77" s="6">
        <v>187</v>
      </c>
      <c r="C77" s="6">
        <v>5</v>
      </c>
      <c r="D77" s="9" t="s">
        <v>287</v>
      </c>
      <c r="E77" s="9" t="s">
        <v>274</v>
      </c>
      <c r="F77" s="60">
        <v>1005.1</v>
      </c>
      <c r="G77" s="9" t="s">
        <v>288</v>
      </c>
    </row>
    <row r="78" spans="1:12" ht="23" customHeight="1">
      <c r="A78" s="9" t="s">
        <v>195</v>
      </c>
      <c r="B78" s="6">
        <v>187</v>
      </c>
      <c r="C78" s="6">
        <v>6</v>
      </c>
      <c r="D78" s="9" t="s">
        <v>289</v>
      </c>
      <c r="E78" s="9" t="s">
        <v>274</v>
      </c>
      <c r="F78" s="60">
        <v>1149.3</v>
      </c>
      <c r="G78" s="9" t="s">
        <v>290</v>
      </c>
    </row>
    <row r="79" spans="1:12" ht="23" customHeight="1">
      <c r="A79" s="9" t="s">
        <v>195</v>
      </c>
      <c r="B79" s="6">
        <v>188</v>
      </c>
      <c r="C79" s="6">
        <v>5</v>
      </c>
      <c r="D79" s="9" t="s">
        <v>287</v>
      </c>
      <c r="E79" s="9" t="s">
        <v>274</v>
      </c>
      <c r="F79" s="60">
        <v>1744.2</v>
      </c>
      <c r="G79" s="9" t="s">
        <v>291</v>
      </c>
    </row>
    <row r="80" spans="1:12" ht="23" customHeight="1">
      <c r="A80" s="9" t="s">
        <v>195</v>
      </c>
      <c r="B80" s="6">
        <v>188</v>
      </c>
      <c r="C80" s="6">
        <v>6</v>
      </c>
      <c r="D80" s="9" t="s">
        <v>289</v>
      </c>
      <c r="E80" s="9" t="s">
        <v>274</v>
      </c>
      <c r="F80" s="60">
        <v>1933.8</v>
      </c>
      <c r="G80" s="9" t="s">
        <v>292</v>
      </c>
    </row>
    <row r="81" spans="1:12" ht="23" customHeight="1">
      <c r="A81" s="9" t="s">
        <v>195</v>
      </c>
      <c r="B81" s="6">
        <v>189</v>
      </c>
      <c r="C81" s="6">
        <v>5</v>
      </c>
      <c r="D81" s="9" t="s">
        <v>287</v>
      </c>
      <c r="E81" s="9" t="s">
        <v>274</v>
      </c>
      <c r="F81" s="59">
        <v>1170</v>
      </c>
      <c r="G81" s="9" t="s">
        <v>293</v>
      </c>
    </row>
    <row r="82" spans="1:12" ht="23" customHeight="1">
      <c r="A82" s="9" t="s">
        <v>195</v>
      </c>
      <c r="B82" s="6">
        <v>189</v>
      </c>
      <c r="C82" s="6">
        <v>6</v>
      </c>
      <c r="D82" s="9" t="s">
        <v>289</v>
      </c>
      <c r="E82" s="9" t="s">
        <v>274</v>
      </c>
      <c r="F82" s="59">
        <v>1170</v>
      </c>
      <c r="G82" s="9" t="s">
        <v>293</v>
      </c>
    </row>
    <row r="83" spans="1:12" ht="23" customHeight="1">
      <c r="A83" s="9" t="s">
        <v>195</v>
      </c>
      <c r="B83" s="6">
        <v>190</v>
      </c>
      <c r="C83" s="6">
        <v>5</v>
      </c>
      <c r="D83" s="9" t="s">
        <v>287</v>
      </c>
      <c r="E83" s="9" t="s">
        <v>274</v>
      </c>
      <c r="F83" s="60">
        <v>2030.3</v>
      </c>
      <c r="G83" s="9" t="s">
        <v>294</v>
      </c>
    </row>
    <row r="84" spans="1:12" ht="23" customHeight="1">
      <c r="A84" s="9" t="s">
        <v>195</v>
      </c>
      <c r="B84" s="6">
        <v>190</v>
      </c>
      <c r="C84" s="6">
        <v>6</v>
      </c>
      <c r="D84" s="9" t="s">
        <v>289</v>
      </c>
      <c r="E84" s="9" t="s">
        <v>274</v>
      </c>
      <c r="F84" s="60">
        <v>2377.7</v>
      </c>
      <c r="G84" s="9" t="s">
        <v>295</v>
      </c>
    </row>
    <row r="85" spans="1:12" ht="23" customHeight="1">
      <c r="A85" s="9" t="s">
        <v>195</v>
      </c>
      <c r="B85" s="6">
        <v>191</v>
      </c>
      <c r="C85" s="6">
        <v>5</v>
      </c>
      <c r="D85" s="9" t="s">
        <v>287</v>
      </c>
      <c r="E85" s="9" t="s">
        <v>274</v>
      </c>
      <c r="F85" s="60">
        <v>4539.6</v>
      </c>
      <c r="G85" s="9" t="s">
        <v>296</v>
      </c>
    </row>
    <row r="86" spans="1:12" ht="23" customHeight="1">
      <c r="A86" s="9" t="s">
        <v>195</v>
      </c>
      <c r="B86" s="6">
        <v>191</v>
      </c>
      <c r="C86" s="6">
        <v>6</v>
      </c>
      <c r="D86" s="9" t="s">
        <v>289</v>
      </c>
      <c r="E86" s="9" t="s">
        <v>274</v>
      </c>
      <c r="F86" s="60">
        <v>4539.6</v>
      </c>
      <c r="G86" s="9" t="s">
        <v>296</v>
      </c>
    </row>
    <row r="87" spans="1:12" ht="23" customHeight="1">
      <c r="A87" s="9" t="s">
        <v>195</v>
      </c>
      <c r="B87" s="6">
        <v>192</v>
      </c>
      <c r="C87" s="6">
        <v>5</v>
      </c>
      <c r="D87" s="9" t="s">
        <v>287</v>
      </c>
      <c r="E87" s="9" t="s">
        <v>274</v>
      </c>
      <c r="F87" s="60">
        <v>2548.4</v>
      </c>
      <c r="G87" s="9" t="s">
        <v>297</v>
      </c>
    </row>
    <row r="88" spans="1:12" ht="24" customHeight="1">
      <c r="A88" s="3" t="s">
        <v>250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36" customHeight="1">
      <c r="A89" s="4" t="s">
        <v>182</v>
      </c>
      <c r="B89" s="4" t="s">
        <v>251</v>
      </c>
      <c r="C89" s="4" t="s">
        <v>252</v>
      </c>
      <c r="D89" s="4" t="s">
        <v>225</v>
      </c>
      <c r="E89" s="4" t="s">
        <v>253</v>
      </c>
      <c r="F89" s="4" t="s">
        <v>254</v>
      </c>
      <c r="G89" s="4" t="s">
        <v>255</v>
      </c>
    </row>
    <row r="90" spans="1:12" ht="23" customHeight="1">
      <c r="A90" s="9" t="s">
        <v>195</v>
      </c>
      <c r="B90" s="6">
        <v>192</v>
      </c>
      <c r="C90" s="6">
        <v>6</v>
      </c>
      <c r="D90" s="9" t="s">
        <v>289</v>
      </c>
      <c r="E90" s="9" t="s">
        <v>274</v>
      </c>
      <c r="F90" s="60">
        <v>3874.2</v>
      </c>
      <c r="G90" s="9" t="s">
        <v>298</v>
      </c>
    </row>
    <row r="91" spans="1:12" ht="23" customHeight="1">
      <c r="A91" s="9" t="s">
        <v>195</v>
      </c>
      <c r="B91" s="6">
        <v>193</v>
      </c>
      <c r="C91" s="6">
        <v>5</v>
      </c>
      <c r="D91" s="9" t="s">
        <v>287</v>
      </c>
      <c r="E91" s="9" t="s">
        <v>274</v>
      </c>
      <c r="F91" s="60">
        <v>2059.2</v>
      </c>
      <c r="G91" s="9" t="s">
        <v>299</v>
      </c>
    </row>
    <row r="92" spans="1:12" ht="23" customHeight="1">
      <c r="A92" s="9" t="s">
        <v>195</v>
      </c>
      <c r="B92" s="6">
        <v>193</v>
      </c>
      <c r="C92" s="6">
        <v>6</v>
      </c>
      <c r="D92" s="9" t="s">
        <v>289</v>
      </c>
      <c r="E92" s="9" t="s">
        <v>274</v>
      </c>
      <c r="F92" s="60">
        <v>2059.2</v>
      </c>
      <c r="G92" s="9" t="s">
        <v>299</v>
      </c>
    </row>
    <row r="93" spans="1:12" ht="23" customHeight="1">
      <c r="A93" s="9" t="s">
        <v>195</v>
      </c>
      <c r="B93" s="6">
        <v>187</v>
      </c>
      <c r="C93" s="6">
        <v>3</v>
      </c>
      <c r="D93" s="9" t="s">
        <v>300</v>
      </c>
      <c r="E93" s="9" t="s">
        <v>274</v>
      </c>
      <c r="F93" s="60">
        <v>2907.3</v>
      </c>
      <c r="G93" s="9" t="s">
        <v>301</v>
      </c>
    </row>
    <row r="94" spans="1:12" ht="23" customHeight="1">
      <c r="A94" s="9" t="s">
        <v>195</v>
      </c>
      <c r="B94" s="6">
        <v>187</v>
      </c>
      <c r="C94" s="6">
        <v>4</v>
      </c>
      <c r="D94" s="9" t="s">
        <v>302</v>
      </c>
      <c r="E94" s="9" t="s">
        <v>274</v>
      </c>
      <c r="F94" s="60">
        <v>3324.3</v>
      </c>
      <c r="G94" s="9" t="s">
        <v>303</v>
      </c>
    </row>
    <row r="95" spans="1:12" ht="23" customHeight="1">
      <c r="A95" s="9" t="s">
        <v>195</v>
      </c>
      <c r="B95" s="6">
        <v>188</v>
      </c>
      <c r="C95" s="6">
        <v>3</v>
      </c>
      <c r="D95" s="9" t="s">
        <v>300</v>
      </c>
      <c r="E95" s="9" t="s">
        <v>274</v>
      </c>
      <c r="F95" s="60">
        <v>5045.2</v>
      </c>
      <c r="G95" s="9" t="s">
        <v>304</v>
      </c>
    </row>
    <row r="96" spans="1:12" ht="23" customHeight="1">
      <c r="A96" s="9" t="s">
        <v>195</v>
      </c>
      <c r="B96" s="6">
        <v>188</v>
      </c>
      <c r="C96" s="6">
        <v>4</v>
      </c>
      <c r="D96" s="9" t="s">
        <v>302</v>
      </c>
      <c r="E96" s="9" t="s">
        <v>274</v>
      </c>
      <c r="F96" s="60">
        <v>5593.6</v>
      </c>
      <c r="G96" s="9" t="s">
        <v>305</v>
      </c>
    </row>
    <row r="97" spans="1:12" ht="23" customHeight="1">
      <c r="A97" s="9" t="s">
        <v>195</v>
      </c>
      <c r="B97" s="6">
        <v>189</v>
      </c>
      <c r="C97" s="6">
        <v>3</v>
      </c>
      <c r="D97" s="9" t="s">
        <v>300</v>
      </c>
      <c r="E97" s="9" t="s">
        <v>274</v>
      </c>
      <c r="F97" s="59">
        <v>1755</v>
      </c>
      <c r="G97" s="9" t="s">
        <v>280</v>
      </c>
    </row>
    <row r="98" spans="1:12" ht="23" customHeight="1">
      <c r="A98" s="9" t="s">
        <v>195</v>
      </c>
      <c r="B98" s="6">
        <v>189</v>
      </c>
      <c r="C98" s="6">
        <v>4</v>
      </c>
      <c r="D98" s="9" t="s">
        <v>302</v>
      </c>
      <c r="E98" s="9" t="s">
        <v>274</v>
      </c>
      <c r="F98" s="59">
        <v>1755</v>
      </c>
      <c r="G98" s="9" t="s">
        <v>280</v>
      </c>
    </row>
    <row r="99" spans="1:12" ht="23" customHeight="1">
      <c r="A99" s="9" t="s">
        <v>195</v>
      </c>
      <c r="B99" s="6">
        <v>190</v>
      </c>
      <c r="C99" s="6">
        <v>3</v>
      </c>
      <c r="D99" s="9" t="s">
        <v>300</v>
      </c>
      <c r="E99" s="9" t="s">
        <v>274</v>
      </c>
      <c r="F99" s="60">
        <v>5872.6</v>
      </c>
      <c r="G99" s="9" t="s">
        <v>306</v>
      </c>
    </row>
    <row r="100" spans="1:12" ht="23" customHeight="1">
      <c r="A100" s="9" t="s">
        <v>195</v>
      </c>
      <c r="B100" s="6">
        <v>190</v>
      </c>
      <c r="C100" s="6">
        <v>4</v>
      </c>
      <c r="D100" s="9" t="s">
        <v>302</v>
      </c>
      <c r="E100" s="9" t="s">
        <v>274</v>
      </c>
      <c r="F100" s="60">
        <v>6877.6</v>
      </c>
      <c r="G100" s="9" t="s">
        <v>307</v>
      </c>
    </row>
    <row r="101" spans="1:12" ht="23" customHeight="1">
      <c r="A101" s="9" t="s">
        <v>195</v>
      </c>
      <c r="B101" s="6">
        <v>191</v>
      </c>
      <c r="C101" s="6">
        <v>3</v>
      </c>
      <c r="D101" s="9" t="s">
        <v>300</v>
      </c>
      <c r="E101" s="9" t="s">
        <v>274</v>
      </c>
      <c r="F101" s="60">
        <v>6809.4</v>
      </c>
      <c r="G101" s="9" t="s">
        <v>283</v>
      </c>
    </row>
    <row r="102" spans="1:12" ht="23" customHeight="1">
      <c r="A102" s="9" t="s">
        <v>195</v>
      </c>
      <c r="B102" s="6">
        <v>191</v>
      </c>
      <c r="C102" s="6">
        <v>4</v>
      </c>
      <c r="D102" s="9" t="s">
        <v>302</v>
      </c>
      <c r="E102" s="9" t="s">
        <v>274</v>
      </c>
      <c r="F102" s="60">
        <v>6809.4</v>
      </c>
      <c r="G102" s="9" t="s">
        <v>283</v>
      </c>
    </row>
    <row r="103" spans="1:12" ht="23" customHeight="1">
      <c r="A103" s="9" t="s">
        <v>195</v>
      </c>
      <c r="B103" s="6">
        <v>192</v>
      </c>
      <c r="C103" s="6">
        <v>3</v>
      </c>
      <c r="D103" s="9" t="s">
        <v>300</v>
      </c>
      <c r="E103" s="9" t="s">
        <v>274</v>
      </c>
      <c r="F103" s="60">
        <v>7371.2</v>
      </c>
      <c r="G103" s="9" t="s">
        <v>308</v>
      </c>
    </row>
    <row r="104" spans="1:12" ht="23" customHeight="1">
      <c r="A104" s="9" t="s">
        <v>195</v>
      </c>
      <c r="B104" s="6">
        <v>192</v>
      </c>
      <c r="C104" s="6">
        <v>4</v>
      </c>
      <c r="D104" s="9" t="s">
        <v>302</v>
      </c>
      <c r="E104" s="9" t="s">
        <v>274</v>
      </c>
      <c r="F104" s="60">
        <v>11206.2</v>
      </c>
      <c r="G104" s="9" t="s">
        <v>309</v>
      </c>
    </row>
    <row r="105" spans="1:12" ht="24" customHeight="1">
      <c r="A105" s="3" t="s">
        <v>250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36" customHeight="1">
      <c r="A106" s="4" t="s">
        <v>182</v>
      </c>
      <c r="B106" s="4" t="s">
        <v>251</v>
      </c>
      <c r="C106" s="4" t="s">
        <v>252</v>
      </c>
      <c r="D106" s="4" t="s">
        <v>225</v>
      </c>
      <c r="E106" s="4" t="s">
        <v>253</v>
      </c>
      <c r="F106" s="4" t="s">
        <v>254</v>
      </c>
      <c r="G106" s="4" t="s">
        <v>255</v>
      </c>
    </row>
    <row r="107" spans="1:12" ht="23" customHeight="1">
      <c r="A107" s="9" t="s">
        <v>195</v>
      </c>
      <c r="B107" s="6">
        <v>193</v>
      </c>
      <c r="C107" s="6">
        <v>3</v>
      </c>
      <c r="D107" s="9" t="s">
        <v>300</v>
      </c>
      <c r="E107" s="9" t="s">
        <v>274</v>
      </c>
      <c r="F107" s="60">
        <v>3088.8</v>
      </c>
      <c r="G107" s="9" t="s">
        <v>286</v>
      </c>
    </row>
    <row r="108" spans="1:12" ht="23" customHeight="1">
      <c r="A108" s="9" t="s">
        <v>195</v>
      </c>
      <c r="B108" s="6">
        <v>193</v>
      </c>
      <c r="C108" s="6">
        <v>4</v>
      </c>
      <c r="D108" s="9" t="s">
        <v>302</v>
      </c>
      <c r="E108" s="9" t="s">
        <v>274</v>
      </c>
      <c r="F108" s="60">
        <v>3088.8</v>
      </c>
      <c r="G108" s="9" t="s">
        <v>286</v>
      </c>
    </row>
    <row r="109" spans="1:12" ht="23" customHeight="1">
      <c r="A109" s="9" t="s">
        <v>172</v>
      </c>
      <c r="B109" s="6">
        <v>212</v>
      </c>
      <c r="C109" s="6">
        <v>10</v>
      </c>
      <c r="D109" s="9" t="s">
        <v>310</v>
      </c>
      <c r="E109" s="9" t="s">
        <v>257</v>
      </c>
      <c r="F109" s="59">
        <v>0</v>
      </c>
      <c r="G109" s="9" t="s">
        <v>311</v>
      </c>
    </row>
    <row r="110" spans="1:12" ht="23" customHeight="1">
      <c r="A110" s="9" t="s">
        <v>172</v>
      </c>
      <c r="B110" s="6">
        <v>244</v>
      </c>
      <c r="C110" s="6">
        <v>4</v>
      </c>
      <c r="D110" s="9" t="s">
        <v>312</v>
      </c>
      <c r="E110" s="9" t="s">
        <v>274</v>
      </c>
      <c r="F110" s="59">
        <v>0</v>
      </c>
      <c r="G110" s="9" t="s">
        <v>311</v>
      </c>
    </row>
    <row r="111" spans="1:12" ht="23" customHeight="1">
      <c r="A111" s="9" t="s">
        <v>172</v>
      </c>
      <c r="B111" s="6">
        <v>212</v>
      </c>
      <c r="C111" s="6">
        <v>11</v>
      </c>
      <c r="D111" s="9" t="s">
        <v>310</v>
      </c>
      <c r="E111" s="9" t="s">
        <v>257</v>
      </c>
      <c r="F111" s="59">
        <v>0</v>
      </c>
      <c r="G111" s="9" t="s">
        <v>311</v>
      </c>
    </row>
    <row r="112" spans="1:12" ht="23" customHeight="1">
      <c r="A112" s="9" t="s">
        <v>172</v>
      </c>
      <c r="B112" s="6">
        <v>244</v>
      </c>
      <c r="C112" s="6">
        <v>5</v>
      </c>
      <c r="D112" s="9" t="s">
        <v>312</v>
      </c>
      <c r="E112" s="9" t="s">
        <v>274</v>
      </c>
      <c r="F112" s="59">
        <v>0</v>
      </c>
      <c r="G112" s="9" t="s">
        <v>311</v>
      </c>
    </row>
    <row r="113" spans="1:12" ht="23" customHeight="1">
      <c r="A113" s="9" t="s">
        <v>172</v>
      </c>
      <c r="B113" s="6">
        <v>212</v>
      </c>
      <c r="C113" s="6">
        <v>12</v>
      </c>
      <c r="D113" s="9" t="s">
        <v>310</v>
      </c>
      <c r="E113" s="9" t="s">
        <v>257</v>
      </c>
      <c r="F113" s="59">
        <v>0</v>
      </c>
      <c r="G113" s="9" t="s">
        <v>311</v>
      </c>
    </row>
    <row r="114" spans="1:12" ht="23" customHeight="1">
      <c r="A114" s="9" t="s">
        <v>172</v>
      </c>
      <c r="B114" s="6">
        <v>244</v>
      </c>
      <c r="C114" s="6">
        <v>6</v>
      </c>
      <c r="D114" s="9" t="s">
        <v>312</v>
      </c>
      <c r="E114" s="9" t="s">
        <v>274</v>
      </c>
      <c r="F114" s="59">
        <v>0</v>
      </c>
      <c r="G114" s="9" t="s">
        <v>311</v>
      </c>
    </row>
    <row r="115" spans="1:12" ht="23" customHeight="1">
      <c r="A115" s="9" t="s">
        <v>172</v>
      </c>
      <c r="B115" s="6">
        <v>213</v>
      </c>
      <c r="C115" s="6">
        <v>10</v>
      </c>
      <c r="D115" s="9" t="s">
        <v>310</v>
      </c>
      <c r="E115" s="9" t="s">
        <v>257</v>
      </c>
      <c r="F115" s="59">
        <v>0</v>
      </c>
      <c r="G115" s="9" t="s">
        <v>311</v>
      </c>
    </row>
    <row r="116" spans="1:12" ht="23" customHeight="1">
      <c r="A116" s="9" t="s">
        <v>172</v>
      </c>
      <c r="B116" s="6">
        <v>245</v>
      </c>
      <c r="C116" s="6">
        <v>4</v>
      </c>
      <c r="D116" s="9" t="s">
        <v>312</v>
      </c>
      <c r="E116" s="9" t="s">
        <v>274</v>
      </c>
      <c r="F116" s="59">
        <v>0</v>
      </c>
      <c r="G116" s="9" t="s">
        <v>311</v>
      </c>
    </row>
    <row r="117" spans="1:12" ht="23" customHeight="1">
      <c r="A117" s="9" t="s">
        <v>172</v>
      </c>
      <c r="B117" s="6">
        <v>213</v>
      </c>
      <c r="C117" s="6">
        <v>11</v>
      </c>
      <c r="D117" s="9" t="s">
        <v>310</v>
      </c>
      <c r="E117" s="9" t="s">
        <v>257</v>
      </c>
      <c r="F117" s="59">
        <v>0</v>
      </c>
      <c r="G117" s="9" t="s">
        <v>311</v>
      </c>
    </row>
    <row r="118" spans="1:12" ht="23" customHeight="1">
      <c r="A118" s="9" t="s">
        <v>172</v>
      </c>
      <c r="B118" s="6">
        <v>245</v>
      </c>
      <c r="C118" s="6">
        <v>5</v>
      </c>
      <c r="D118" s="9" t="s">
        <v>312</v>
      </c>
      <c r="E118" s="9" t="s">
        <v>274</v>
      </c>
      <c r="F118" s="59">
        <v>0</v>
      </c>
      <c r="G118" s="9" t="s">
        <v>311</v>
      </c>
    </row>
    <row r="119" spans="1:12" ht="23" customHeight="1">
      <c r="A119" s="9" t="s">
        <v>172</v>
      </c>
      <c r="B119" s="6">
        <v>213</v>
      </c>
      <c r="C119" s="6">
        <v>12</v>
      </c>
      <c r="D119" s="9" t="s">
        <v>310</v>
      </c>
      <c r="E119" s="9" t="s">
        <v>257</v>
      </c>
      <c r="F119" s="59">
        <v>0</v>
      </c>
      <c r="G119" s="9" t="s">
        <v>311</v>
      </c>
    </row>
    <row r="120" spans="1:12" ht="23" customHeight="1">
      <c r="A120" s="9" t="s">
        <v>172</v>
      </c>
      <c r="B120" s="6">
        <v>245</v>
      </c>
      <c r="C120" s="6">
        <v>6</v>
      </c>
      <c r="D120" s="9" t="s">
        <v>312</v>
      </c>
      <c r="E120" s="9" t="s">
        <v>274</v>
      </c>
      <c r="F120" s="59">
        <v>0</v>
      </c>
      <c r="G120" s="9" t="s">
        <v>311</v>
      </c>
    </row>
    <row r="121" spans="1:12" ht="23" customHeight="1">
      <c r="A121" s="9" t="s">
        <v>172</v>
      </c>
      <c r="B121" s="6">
        <v>214</v>
      </c>
      <c r="C121" s="6">
        <v>10</v>
      </c>
      <c r="D121" s="9" t="s">
        <v>310</v>
      </c>
      <c r="E121" s="9" t="s">
        <v>257</v>
      </c>
      <c r="F121" s="59">
        <v>46127</v>
      </c>
      <c r="G121" s="9" t="s">
        <v>313</v>
      </c>
    </row>
    <row r="122" spans="1:12" ht="24" customHeight="1">
      <c r="A122" s="3" t="s">
        <v>250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36" customHeight="1">
      <c r="A123" s="4" t="s">
        <v>182</v>
      </c>
      <c r="B123" s="4" t="s">
        <v>251</v>
      </c>
      <c r="C123" s="4" t="s">
        <v>252</v>
      </c>
      <c r="D123" s="4" t="s">
        <v>225</v>
      </c>
      <c r="E123" s="4" t="s">
        <v>253</v>
      </c>
      <c r="F123" s="4" t="s">
        <v>254</v>
      </c>
      <c r="G123" s="4" t="s">
        <v>255</v>
      </c>
    </row>
    <row r="124" spans="1:12" ht="23" customHeight="1">
      <c r="A124" s="9" t="s">
        <v>172</v>
      </c>
      <c r="B124" s="6">
        <v>246</v>
      </c>
      <c r="C124" s="6">
        <v>4</v>
      </c>
      <c r="D124" s="9" t="s">
        <v>312</v>
      </c>
      <c r="E124" s="9" t="s">
        <v>274</v>
      </c>
      <c r="F124" s="60">
        <v>294.1</v>
      </c>
      <c r="G124" s="9" t="s">
        <v>314</v>
      </c>
    </row>
    <row r="125" spans="1:12" ht="23" customHeight="1">
      <c r="A125" s="9" t="s">
        <v>172</v>
      </c>
      <c r="B125" s="6">
        <v>214</v>
      </c>
      <c r="C125" s="6">
        <v>11</v>
      </c>
      <c r="D125" s="9" t="s">
        <v>310</v>
      </c>
      <c r="E125" s="9" t="s">
        <v>257</v>
      </c>
      <c r="F125" s="59">
        <v>30751</v>
      </c>
      <c r="G125" s="9" t="s">
        <v>315</v>
      </c>
    </row>
    <row r="126" spans="1:12" ht="23" customHeight="1">
      <c r="A126" s="9" t="s">
        <v>172</v>
      </c>
      <c r="B126" s="6">
        <v>246</v>
      </c>
      <c r="C126" s="6">
        <v>5</v>
      </c>
      <c r="D126" s="9" t="s">
        <v>312</v>
      </c>
      <c r="E126" s="9" t="s">
        <v>274</v>
      </c>
      <c r="F126" s="59">
        <v>196</v>
      </c>
      <c r="G126" s="9" t="s">
        <v>316</v>
      </c>
    </row>
    <row r="127" spans="1:12" ht="23" customHeight="1">
      <c r="A127" s="9" t="s">
        <v>172</v>
      </c>
      <c r="B127" s="6">
        <v>214</v>
      </c>
      <c r="C127" s="6">
        <v>12</v>
      </c>
      <c r="D127" s="9" t="s">
        <v>310</v>
      </c>
      <c r="E127" s="9" t="s">
        <v>257</v>
      </c>
      <c r="F127" s="59">
        <v>46127</v>
      </c>
      <c r="G127" s="9" t="s">
        <v>313</v>
      </c>
    </row>
    <row r="128" spans="1:12" ht="23" customHeight="1">
      <c r="A128" s="9" t="s">
        <v>172</v>
      </c>
      <c r="B128" s="6">
        <v>246</v>
      </c>
      <c r="C128" s="6">
        <v>6</v>
      </c>
      <c r="D128" s="9" t="s">
        <v>312</v>
      </c>
      <c r="E128" s="9" t="s">
        <v>274</v>
      </c>
      <c r="F128" s="60">
        <v>294.1</v>
      </c>
      <c r="G128" s="9" t="s">
        <v>314</v>
      </c>
    </row>
    <row r="129" spans="1:12" ht="23" customHeight="1">
      <c r="A129" s="9" t="s">
        <v>172</v>
      </c>
      <c r="B129" s="6">
        <v>215</v>
      </c>
      <c r="C129" s="6">
        <v>10</v>
      </c>
      <c r="D129" s="9" t="s">
        <v>310</v>
      </c>
      <c r="E129" s="9" t="s">
        <v>257</v>
      </c>
      <c r="F129" s="59">
        <v>112020</v>
      </c>
      <c r="G129" s="9" t="s">
        <v>317</v>
      </c>
    </row>
    <row r="130" spans="1:12" ht="23" customHeight="1">
      <c r="A130" s="9" t="s">
        <v>172</v>
      </c>
      <c r="B130" s="6">
        <v>247</v>
      </c>
      <c r="C130" s="6">
        <v>4</v>
      </c>
      <c r="D130" s="9" t="s">
        <v>312</v>
      </c>
      <c r="E130" s="9" t="s">
        <v>274</v>
      </c>
      <c r="F130" s="60">
        <v>1411.5</v>
      </c>
      <c r="G130" s="9" t="s">
        <v>318</v>
      </c>
    </row>
    <row r="131" spans="1:12" ht="23" customHeight="1">
      <c r="A131" s="9" t="s">
        <v>172</v>
      </c>
      <c r="B131" s="6">
        <v>215</v>
      </c>
      <c r="C131" s="6">
        <v>11</v>
      </c>
      <c r="D131" s="9" t="s">
        <v>310</v>
      </c>
      <c r="E131" s="9" t="s">
        <v>257</v>
      </c>
      <c r="F131" s="59">
        <v>74680</v>
      </c>
      <c r="G131" s="9" t="s">
        <v>319</v>
      </c>
    </row>
    <row r="132" spans="1:12" ht="23" customHeight="1">
      <c r="A132" s="9" t="s">
        <v>172</v>
      </c>
      <c r="B132" s="6">
        <v>247</v>
      </c>
      <c r="C132" s="6">
        <v>5</v>
      </c>
      <c r="D132" s="9" t="s">
        <v>312</v>
      </c>
      <c r="E132" s="9" t="s">
        <v>274</v>
      </c>
      <c r="F132" s="59">
        <v>941</v>
      </c>
      <c r="G132" s="9" t="s">
        <v>320</v>
      </c>
    </row>
    <row r="133" spans="1:12" ht="23" customHeight="1">
      <c r="A133" s="9" t="s">
        <v>172</v>
      </c>
      <c r="B133" s="6">
        <v>215</v>
      </c>
      <c r="C133" s="6">
        <v>12</v>
      </c>
      <c r="D133" s="9" t="s">
        <v>310</v>
      </c>
      <c r="E133" s="9" t="s">
        <v>257</v>
      </c>
      <c r="F133" s="59">
        <v>112020</v>
      </c>
      <c r="G133" s="9" t="s">
        <v>317</v>
      </c>
    </row>
    <row r="134" spans="1:12" ht="23" customHeight="1">
      <c r="A134" s="9" t="s">
        <v>172</v>
      </c>
      <c r="B134" s="6">
        <v>247</v>
      </c>
      <c r="C134" s="6">
        <v>6</v>
      </c>
      <c r="D134" s="9" t="s">
        <v>312</v>
      </c>
      <c r="E134" s="9" t="s">
        <v>274</v>
      </c>
      <c r="F134" s="60">
        <v>1411.5</v>
      </c>
      <c r="G134" s="9" t="s">
        <v>318</v>
      </c>
    </row>
    <row r="135" spans="1:12" ht="23" customHeight="1">
      <c r="A135" s="9" t="s">
        <v>172</v>
      </c>
      <c r="B135" s="6">
        <v>216</v>
      </c>
      <c r="C135" s="6">
        <v>10</v>
      </c>
      <c r="D135" s="9" t="s">
        <v>310</v>
      </c>
      <c r="E135" s="9" t="s">
        <v>257</v>
      </c>
      <c r="F135" s="59">
        <v>178738</v>
      </c>
      <c r="G135" s="9" t="s">
        <v>321</v>
      </c>
    </row>
    <row r="136" spans="1:12" ht="23" customHeight="1">
      <c r="A136" s="9" t="s">
        <v>172</v>
      </c>
      <c r="B136" s="6">
        <v>248</v>
      </c>
      <c r="C136" s="6">
        <v>4</v>
      </c>
      <c r="D136" s="9" t="s">
        <v>312</v>
      </c>
      <c r="E136" s="9" t="s">
        <v>274</v>
      </c>
      <c r="F136" s="60">
        <v>1140.9</v>
      </c>
      <c r="G136" s="9" t="s">
        <v>322</v>
      </c>
    </row>
    <row r="137" spans="1:12" ht="23" customHeight="1">
      <c r="A137" s="9" t="s">
        <v>172</v>
      </c>
      <c r="B137" s="6">
        <v>216</v>
      </c>
      <c r="C137" s="6">
        <v>11</v>
      </c>
      <c r="D137" s="9" t="s">
        <v>310</v>
      </c>
      <c r="E137" s="9" t="s">
        <v>257</v>
      </c>
      <c r="F137" s="59">
        <v>119158</v>
      </c>
      <c r="G137" s="9" t="s">
        <v>323</v>
      </c>
    </row>
    <row r="138" spans="1:12" ht="23" customHeight="1">
      <c r="A138" s="9" t="s">
        <v>172</v>
      </c>
      <c r="B138" s="6">
        <v>248</v>
      </c>
      <c r="C138" s="6">
        <v>5</v>
      </c>
      <c r="D138" s="9" t="s">
        <v>312</v>
      </c>
      <c r="E138" s="9" t="s">
        <v>274</v>
      </c>
      <c r="F138" s="60">
        <v>760.6</v>
      </c>
      <c r="G138" s="9" t="s">
        <v>324</v>
      </c>
    </row>
    <row r="139" spans="1:12" ht="24" customHeight="1">
      <c r="A139" s="3" t="s">
        <v>250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 ht="36" customHeight="1">
      <c r="A140" s="4" t="s">
        <v>182</v>
      </c>
      <c r="B140" s="4" t="s">
        <v>251</v>
      </c>
      <c r="C140" s="4" t="s">
        <v>252</v>
      </c>
      <c r="D140" s="4" t="s">
        <v>225</v>
      </c>
      <c r="E140" s="4" t="s">
        <v>253</v>
      </c>
      <c r="F140" s="4" t="s">
        <v>254</v>
      </c>
      <c r="G140" s="4" t="s">
        <v>255</v>
      </c>
    </row>
    <row r="141" spans="1:12" ht="23" customHeight="1">
      <c r="A141" s="9" t="s">
        <v>172</v>
      </c>
      <c r="B141" s="6">
        <v>216</v>
      </c>
      <c r="C141" s="6">
        <v>12</v>
      </c>
      <c r="D141" s="9" t="s">
        <v>310</v>
      </c>
      <c r="E141" s="9" t="s">
        <v>257</v>
      </c>
      <c r="F141" s="59">
        <v>178738</v>
      </c>
      <c r="G141" s="9" t="s">
        <v>321</v>
      </c>
    </row>
    <row r="142" spans="1:12" ht="23" customHeight="1">
      <c r="A142" s="9" t="s">
        <v>172</v>
      </c>
      <c r="B142" s="6">
        <v>248</v>
      </c>
      <c r="C142" s="6">
        <v>6</v>
      </c>
      <c r="D142" s="9" t="s">
        <v>312</v>
      </c>
      <c r="E142" s="9" t="s">
        <v>274</v>
      </c>
      <c r="F142" s="60">
        <v>1140.9</v>
      </c>
      <c r="G142" s="9" t="s">
        <v>322</v>
      </c>
    </row>
    <row r="143" spans="1:12" ht="23" customHeight="1">
      <c r="A143" s="9" t="s">
        <v>172</v>
      </c>
      <c r="B143" s="6">
        <v>217</v>
      </c>
      <c r="C143" s="6">
        <v>10</v>
      </c>
      <c r="D143" s="9" t="s">
        <v>310</v>
      </c>
      <c r="E143" s="9" t="s">
        <v>257</v>
      </c>
      <c r="F143" s="59">
        <v>168029</v>
      </c>
      <c r="G143" s="9" t="s">
        <v>325</v>
      </c>
    </row>
    <row r="144" spans="1:12" ht="23" customHeight="1">
      <c r="A144" s="9" t="s">
        <v>172</v>
      </c>
      <c r="B144" s="6">
        <v>249</v>
      </c>
      <c r="C144" s="6">
        <v>4</v>
      </c>
      <c r="D144" s="9" t="s">
        <v>312</v>
      </c>
      <c r="E144" s="9" t="s">
        <v>274</v>
      </c>
      <c r="F144" s="60">
        <v>2117.2</v>
      </c>
      <c r="G144" s="9" t="s">
        <v>326</v>
      </c>
    </row>
    <row r="145" spans="1:12" ht="23" customHeight="1">
      <c r="A145" s="9" t="s">
        <v>172</v>
      </c>
      <c r="B145" s="6">
        <v>217</v>
      </c>
      <c r="C145" s="6">
        <v>11</v>
      </c>
      <c r="D145" s="9" t="s">
        <v>310</v>
      </c>
      <c r="E145" s="9" t="s">
        <v>257</v>
      </c>
      <c r="F145" s="59">
        <v>112020</v>
      </c>
      <c r="G145" s="9" t="s">
        <v>317</v>
      </c>
    </row>
    <row r="146" spans="1:12" ht="23" customHeight="1">
      <c r="A146" s="9" t="s">
        <v>172</v>
      </c>
      <c r="B146" s="6">
        <v>249</v>
      </c>
      <c r="C146" s="6">
        <v>5</v>
      </c>
      <c r="D146" s="9" t="s">
        <v>312</v>
      </c>
      <c r="E146" s="9" t="s">
        <v>274</v>
      </c>
      <c r="F146" s="60">
        <v>1411.5</v>
      </c>
      <c r="G146" s="9" t="s">
        <v>318</v>
      </c>
    </row>
    <row r="147" spans="1:12" ht="23" customHeight="1">
      <c r="A147" s="9" t="s">
        <v>172</v>
      </c>
      <c r="B147" s="6">
        <v>217</v>
      </c>
      <c r="C147" s="6">
        <v>12</v>
      </c>
      <c r="D147" s="9" t="s">
        <v>310</v>
      </c>
      <c r="E147" s="9" t="s">
        <v>257</v>
      </c>
      <c r="F147" s="59">
        <v>168029</v>
      </c>
      <c r="G147" s="9" t="s">
        <v>325</v>
      </c>
    </row>
    <row r="148" spans="1:12" ht="23" customHeight="1">
      <c r="A148" s="9" t="s">
        <v>172</v>
      </c>
      <c r="B148" s="6">
        <v>249</v>
      </c>
      <c r="C148" s="6">
        <v>6</v>
      </c>
      <c r="D148" s="9" t="s">
        <v>312</v>
      </c>
      <c r="E148" s="9" t="s">
        <v>274</v>
      </c>
      <c r="F148" s="60">
        <v>2117.2</v>
      </c>
      <c r="G148" s="9" t="s">
        <v>326</v>
      </c>
    </row>
    <row r="149" spans="1:12" ht="23" customHeight="1">
      <c r="A149" s="9" t="s">
        <v>172</v>
      </c>
      <c r="B149" s="6">
        <v>218</v>
      </c>
      <c r="C149" s="6">
        <v>10</v>
      </c>
      <c r="D149" s="9" t="s">
        <v>310</v>
      </c>
      <c r="E149" s="9" t="s">
        <v>257</v>
      </c>
      <c r="F149" s="59">
        <v>80720</v>
      </c>
      <c r="G149" s="9" t="s">
        <v>327</v>
      </c>
    </row>
    <row r="150" spans="1:12" ht="23" customHeight="1">
      <c r="A150" s="9" t="s">
        <v>172</v>
      </c>
      <c r="B150" s="6">
        <v>250</v>
      </c>
      <c r="C150" s="6">
        <v>4</v>
      </c>
      <c r="D150" s="9" t="s">
        <v>312</v>
      </c>
      <c r="E150" s="9" t="s">
        <v>274</v>
      </c>
      <c r="F150" s="60">
        <v>517.5</v>
      </c>
      <c r="G150" s="9" t="s">
        <v>328</v>
      </c>
    </row>
    <row r="151" spans="1:12" ht="23" customHeight="1">
      <c r="A151" s="9" t="s">
        <v>172</v>
      </c>
      <c r="B151" s="6">
        <v>218</v>
      </c>
      <c r="C151" s="6">
        <v>11</v>
      </c>
      <c r="D151" s="9" t="s">
        <v>310</v>
      </c>
      <c r="E151" s="9" t="s">
        <v>257</v>
      </c>
      <c r="F151" s="59">
        <v>53813</v>
      </c>
      <c r="G151" s="9" t="s">
        <v>329</v>
      </c>
    </row>
    <row r="152" spans="1:12" ht="23" customHeight="1">
      <c r="A152" s="9" t="s">
        <v>172</v>
      </c>
      <c r="B152" s="6">
        <v>250</v>
      </c>
      <c r="C152" s="6">
        <v>5</v>
      </c>
      <c r="D152" s="9" t="s">
        <v>312</v>
      </c>
      <c r="E152" s="9" t="s">
        <v>274</v>
      </c>
      <c r="F152" s="59">
        <v>345</v>
      </c>
      <c r="G152" s="9" t="s">
        <v>330</v>
      </c>
    </row>
    <row r="153" spans="1:12" ht="23" customHeight="1">
      <c r="A153" s="9" t="s">
        <v>172</v>
      </c>
      <c r="B153" s="6">
        <v>218</v>
      </c>
      <c r="C153" s="6">
        <v>12</v>
      </c>
      <c r="D153" s="9" t="s">
        <v>310</v>
      </c>
      <c r="E153" s="9" t="s">
        <v>257</v>
      </c>
      <c r="F153" s="59">
        <v>80720</v>
      </c>
      <c r="G153" s="9" t="s">
        <v>327</v>
      </c>
    </row>
    <row r="154" spans="1:12" ht="23" customHeight="1">
      <c r="A154" s="9" t="s">
        <v>172</v>
      </c>
      <c r="B154" s="6">
        <v>250</v>
      </c>
      <c r="C154" s="6">
        <v>6</v>
      </c>
      <c r="D154" s="9" t="s">
        <v>312</v>
      </c>
      <c r="E154" s="9" t="s">
        <v>274</v>
      </c>
      <c r="F154" s="60">
        <v>517.5</v>
      </c>
      <c r="G154" s="9" t="s">
        <v>328</v>
      </c>
    </row>
    <row r="155" spans="1:12" ht="23" customHeight="1">
      <c r="A155" s="9" t="s">
        <v>174</v>
      </c>
      <c r="B155" s="6">
        <v>275</v>
      </c>
      <c r="C155" s="6">
        <v>4</v>
      </c>
      <c r="D155" s="9" t="s">
        <v>331</v>
      </c>
      <c r="E155" s="9" t="s">
        <v>274</v>
      </c>
      <c r="F155" s="59">
        <v>327072</v>
      </c>
      <c r="G155" s="9" t="s">
        <v>332</v>
      </c>
    </row>
    <row r="156" spans="1:12" ht="24" customHeight="1">
      <c r="A156" s="3" t="s">
        <v>250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1:12" ht="36" customHeight="1">
      <c r="A157" s="4" t="s">
        <v>182</v>
      </c>
      <c r="B157" s="4" t="s">
        <v>251</v>
      </c>
      <c r="C157" s="4" t="s">
        <v>252</v>
      </c>
      <c r="D157" s="4" t="s">
        <v>225</v>
      </c>
      <c r="E157" s="4" t="s">
        <v>253</v>
      </c>
      <c r="F157" s="4" t="s">
        <v>254</v>
      </c>
      <c r="G157" s="4" t="s">
        <v>255</v>
      </c>
    </row>
    <row r="158" spans="1:12" ht="23" customHeight="1">
      <c r="A158" s="9" t="s">
        <v>174</v>
      </c>
      <c r="B158" s="6">
        <v>275</v>
      </c>
      <c r="C158" s="6">
        <v>7</v>
      </c>
      <c r="D158" s="9" t="s">
        <v>333</v>
      </c>
      <c r="E158" s="9" t="s">
        <v>274</v>
      </c>
      <c r="F158" s="59">
        <v>88418</v>
      </c>
      <c r="G158" s="9" t="s">
        <v>334</v>
      </c>
    </row>
    <row r="159" spans="1:12" ht="23" customHeight="1">
      <c r="A159" s="9" t="s">
        <v>174</v>
      </c>
      <c r="B159" s="6">
        <v>293</v>
      </c>
      <c r="C159" s="6">
        <v>1</v>
      </c>
      <c r="D159" s="9" t="s">
        <v>335</v>
      </c>
      <c r="E159" s="9" t="s">
        <v>336</v>
      </c>
      <c r="F159" s="60">
        <v>7167.5</v>
      </c>
      <c r="G159" s="9" t="s">
        <v>337</v>
      </c>
    </row>
    <row r="160" spans="1:12" ht="23" customHeight="1">
      <c r="A160" s="9" t="s">
        <v>174</v>
      </c>
      <c r="B160" s="6">
        <v>293</v>
      </c>
      <c r="C160" s="6">
        <v>4</v>
      </c>
      <c r="D160" s="9" t="s">
        <v>338</v>
      </c>
      <c r="E160" s="9" t="s">
        <v>336</v>
      </c>
      <c r="F160" s="60">
        <v>16724.3</v>
      </c>
      <c r="G160" s="9" t="s">
        <v>339</v>
      </c>
    </row>
    <row r="161" spans="1:12" ht="23" customHeight="1">
      <c r="A161" s="9" t="s">
        <v>174</v>
      </c>
      <c r="B161" s="6">
        <v>275</v>
      </c>
      <c r="C161" s="6">
        <v>5</v>
      </c>
      <c r="D161" s="9" t="s">
        <v>331</v>
      </c>
      <c r="E161" s="9" t="s">
        <v>274</v>
      </c>
      <c r="F161" s="59">
        <v>218048</v>
      </c>
      <c r="G161" s="9" t="s">
        <v>340</v>
      </c>
    </row>
    <row r="162" spans="1:12" ht="23" customHeight="1">
      <c r="A162" s="9" t="s">
        <v>174</v>
      </c>
      <c r="B162" s="6">
        <v>275</v>
      </c>
      <c r="C162" s="6">
        <v>8</v>
      </c>
      <c r="D162" s="9" t="s">
        <v>333</v>
      </c>
      <c r="E162" s="9" t="s">
        <v>274</v>
      </c>
      <c r="F162" s="59">
        <v>58945</v>
      </c>
      <c r="G162" s="9" t="s">
        <v>341</v>
      </c>
    </row>
    <row r="163" spans="1:12" ht="23" customHeight="1">
      <c r="A163" s="9" t="s">
        <v>174</v>
      </c>
      <c r="B163" s="6">
        <v>293</v>
      </c>
      <c r="C163" s="6">
        <v>2</v>
      </c>
      <c r="D163" s="9" t="s">
        <v>335</v>
      </c>
      <c r="E163" s="9" t="s">
        <v>336</v>
      </c>
      <c r="F163" s="60">
        <v>4778.4</v>
      </c>
      <c r="G163" s="9" t="s">
        <v>342</v>
      </c>
    </row>
    <row r="164" spans="1:12" ht="23" customHeight="1">
      <c r="A164" s="9" t="s">
        <v>174</v>
      </c>
      <c r="B164" s="6">
        <v>293</v>
      </c>
      <c r="C164" s="6">
        <v>5</v>
      </c>
      <c r="D164" s="9" t="s">
        <v>338</v>
      </c>
      <c r="E164" s="9" t="s">
        <v>336</v>
      </c>
      <c r="F164" s="60">
        <v>11149.5</v>
      </c>
      <c r="G164" s="9" t="s">
        <v>343</v>
      </c>
    </row>
    <row r="165" spans="1:12" ht="23" customHeight="1">
      <c r="A165" s="9" t="s">
        <v>174</v>
      </c>
      <c r="B165" s="6">
        <v>275</v>
      </c>
      <c r="C165" s="6">
        <v>6</v>
      </c>
      <c r="D165" s="9" t="s">
        <v>331</v>
      </c>
      <c r="E165" s="9" t="s">
        <v>274</v>
      </c>
      <c r="F165" s="59">
        <v>327072</v>
      </c>
      <c r="G165" s="9" t="s">
        <v>332</v>
      </c>
    </row>
    <row r="166" spans="1:12" ht="23" customHeight="1">
      <c r="A166" s="9" t="s">
        <v>174</v>
      </c>
      <c r="B166" s="6">
        <v>275</v>
      </c>
      <c r="C166" s="6">
        <v>9</v>
      </c>
      <c r="D166" s="9" t="s">
        <v>333</v>
      </c>
      <c r="E166" s="9" t="s">
        <v>274</v>
      </c>
      <c r="F166" s="59">
        <v>88418</v>
      </c>
      <c r="G166" s="9" t="s">
        <v>334</v>
      </c>
    </row>
    <row r="167" spans="1:12" ht="23" customHeight="1">
      <c r="A167" s="9" t="s">
        <v>174</v>
      </c>
      <c r="B167" s="6">
        <v>293</v>
      </c>
      <c r="C167" s="6">
        <v>3</v>
      </c>
      <c r="D167" s="9" t="s">
        <v>335</v>
      </c>
      <c r="E167" s="9" t="s">
        <v>336</v>
      </c>
      <c r="F167" s="60">
        <v>7167.5</v>
      </c>
      <c r="G167" s="9" t="s">
        <v>337</v>
      </c>
    </row>
    <row r="168" spans="1:12" ht="23" customHeight="1">
      <c r="A168" s="9" t="s">
        <v>174</v>
      </c>
      <c r="B168" s="6">
        <v>293</v>
      </c>
      <c r="C168" s="6">
        <v>6</v>
      </c>
      <c r="D168" s="9" t="s">
        <v>338</v>
      </c>
      <c r="E168" s="9" t="s">
        <v>336</v>
      </c>
      <c r="F168" s="60">
        <v>16724.3</v>
      </c>
      <c r="G168" s="9" t="s">
        <v>339</v>
      </c>
    </row>
    <row r="169" spans="1:12" ht="24" customHeight="1">
      <c r="A169" s="2" t="s">
        <v>344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23" customHeight="1"/>
    <row r="171" spans="1:12" ht="24" customHeight="1">
      <c r="A171" s="3" t="s">
        <v>345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36" customHeight="1">
      <c r="A172" s="4" t="s">
        <v>346</v>
      </c>
    </row>
    <row r="173" spans="1:12" ht="24" customHeight="1">
      <c r="A173" s="2" t="s">
        <v>347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24" customHeight="1">
      <c r="A174" s="2" t="s">
        <v>348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24" customHeight="1">
      <c r="A175" s="2" t="s">
        <v>349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24" customHeight="1">
      <c r="A176" s="2" t="s">
        <v>350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24" customHeight="1">
      <c r="A177" s="2" t="s">
        <v>351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24" customHeight="1">
      <c r="A178" s="2" t="s">
        <v>352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24" customHeight="1">
      <c r="A179" s="2" t="s">
        <v>353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32" customHeight="1">
      <c r="A180" s="2" t="s">
        <v>354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24" customHeight="1">
      <c r="A181" s="2" t="s">
        <v>355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32" customHeight="1">
      <c r="A182" s="2" t="s">
        <v>356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24" customHeight="1">
      <c r="A183" s="2" t="s">
        <v>357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32" customHeight="1">
      <c r="A184" s="2" t="s">
        <v>358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32" customHeight="1">
      <c r="A185" s="2" t="s">
        <v>359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24" customHeight="1">
      <c r="A186" s="3" t="s">
        <v>345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36" customHeight="1">
      <c r="A187" s="4" t="s">
        <v>346</v>
      </c>
    </row>
    <row r="188" spans="1:12" ht="32" customHeight="1">
      <c r="A188" s="2" t="s">
        <v>360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32" customHeight="1">
      <c r="A189" s="2" t="s">
        <v>361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24" customHeight="1">
      <c r="A190" s="2" t="s">
        <v>362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24" customHeight="1">
      <c r="A191" s="2" t="s">
        <v>363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24" customHeight="1">
      <c r="A192" s="2" t="s">
        <v>364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24" customHeight="1">
      <c r="A193" s="2" t="s">
        <v>365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24" customHeight="1">
      <c r="A194" s="2" t="s">
        <v>366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24" customHeight="1">
      <c r="A195" s="2" t="s">
        <v>367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24" customHeight="1">
      <c r="A196" s="2" t="s">
        <v>368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24" customHeight="1">
      <c r="A197" s="2" t="s">
        <v>369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24" customHeight="1">
      <c r="A198" s="2" t="s">
        <v>370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24" customHeight="1">
      <c r="A199" s="2" t="s">
        <v>371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24" customHeight="1">
      <c r="A200" s="2" t="s">
        <v>372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24" customHeight="1">
      <c r="A201" s="3" t="s">
        <v>345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spans="1:12" ht="36" customHeight="1">
      <c r="A202" s="4" t="s">
        <v>346</v>
      </c>
    </row>
    <row r="203" spans="1:12" ht="24" customHeight="1">
      <c r="A203" s="2" t="s">
        <v>373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24" customHeight="1">
      <c r="A204" s="2" t="s">
        <v>374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24" customHeight="1">
      <c r="A205" s="2" t="s">
        <v>375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24" customHeight="1">
      <c r="A206" s="2" t="s">
        <v>376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24" customHeight="1">
      <c r="A207" s="2" t="s">
        <v>377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24" customHeight="1">
      <c r="A208" s="2" t="s">
        <v>378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32" customHeight="1">
      <c r="A209" s="2" t="s">
        <v>379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32" customHeight="1">
      <c r="A210" s="2" t="s">
        <v>380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32" customHeight="1">
      <c r="A211" s="2" t="s">
        <v>381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32" customHeight="1">
      <c r="A212" s="2" t="s">
        <v>382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32" customHeight="1">
      <c r="A213" s="2" t="s">
        <v>383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32" customHeight="1">
      <c r="A214" s="2" t="s">
        <v>384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24" customHeight="1">
      <c r="A215" s="3" t="s">
        <v>345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spans="1:12" ht="36" customHeight="1">
      <c r="A216" s="4" t="s">
        <v>346</v>
      </c>
    </row>
    <row r="217" spans="1:12" ht="32" customHeight="1">
      <c r="A217" s="2" t="s">
        <v>385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24" customHeight="1">
      <c r="A218" s="2" t="s">
        <v>386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24" customHeight="1">
      <c r="A219" s="2" t="s">
        <v>387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24" customHeight="1">
      <c r="A220" s="2" t="s">
        <v>388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24" customHeight="1">
      <c r="A221" s="2" t="s">
        <v>389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24" customHeight="1">
      <c r="A222" s="2" t="s">
        <v>390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24" customHeight="1">
      <c r="A223" s="2" t="s">
        <v>391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24" customHeight="1">
      <c r="A224" s="2" t="s">
        <v>392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24" customHeight="1">
      <c r="A225" s="2" t="s">
        <v>393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24" customHeight="1">
      <c r="A226" s="2" t="s">
        <v>394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24" customHeight="1">
      <c r="A227" s="2" t="s">
        <v>395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24" customHeight="1">
      <c r="A228" s="2" t="s">
        <v>396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24" customHeight="1">
      <c r="A229" s="2" t="s">
        <v>397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24" customHeight="1">
      <c r="A230" s="2" t="s">
        <v>398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24" customHeight="1">
      <c r="A231" s="3" t="s">
        <v>345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spans="1:12" ht="36" customHeight="1">
      <c r="A232" s="4" t="s">
        <v>346</v>
      </c>
    </row>
    <row r="233" spans="1:12" ht="24" customHeight="1">
      <c r="A233" s="2" t="s">
        <v>399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24" customHeight="1">
      <c r="A234" s="2" t="s">
        <v>400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24" customHeight="1">
      <c r="A235" s="2" t="s">
        <v>401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24" customHeight="1">
      <c r="A236" s="2" t="s">
        <v>402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24" customHeight="1">
      <c r="A237" s="2" t="s">
        <v>403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24" customHeight="1">
      <c r="A238" s="2" t="s">
        <v>404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24" customHeight="1">
      <c r="A239" s="2" t="s">
        <v>405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24" customHeight="1">
      <c r="A240" s="2" t="s">
        <v>406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24" customHeight="1">
      <c r="A241" s="2" t="s">
        <v>407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23" customHeight="1"/>
    <row r="243" spans="1:12" ht="24" customHeight="1">
      <c r="A243" s="3" t="s">
        <v>408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spans="1:12" ht="36" customHeight="1">
      <c r="A244" s="4" t="s">
        <v>346</v>
      </c>
    </row>
    <row r="245" spans="1:12" ht="24" customHeight="1">
      <c r="A245" s="2" t="s">
        <v>409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24" customHeight="1">
      <c r="A246" s="2" t="s">
        <v>410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24" customHeight="1">
      <c r="A247" s="3" t="s">
        <v>408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spans="1:12" ht="36" customHeight="1">
      <c r="A248" s="4" t="s">
        <v>346</v>
      </c>
    </row>
    <row r="249" spans="1:12" ht="24" customHeight="1">
      <c r="A249" s="2" t="s">
        <v>411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24" customHeight="1">
      <c r="A250" s="2" t="s">
        <v>412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24" customHeight="1">
      <c r="A251" s="2" t="s">
        <v>413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24" customHeight="1">
      <c r="A252" s="2" t="s">
        <v>414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24" customHeight="1">
      <c r="A253" s="2" t="s">
        <v>415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24" customHeight="1">
      <c r="A254" s="2" t="s">
        <v>416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24" customHeight="1">
      <c r="A255" s="2" t="s">
        <v>417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24" customHeight="1">
      <c r="A256" s="2" t="s">
        <v>418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24" customHeight="1">
      <c r="A257" s="2" t="s">
        <v>419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24" customHeight="1">
      <c r="A258" s="2" t="s">
        <v>420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24" customHeight="1">
      <c r="A259" s="2" t="s">
        <v>421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24" customHeight="1">
      <c r="A260" s="2" t="s">
        <v>422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24" customHeight="1">
      <c r="A261" s="2" t="s">
        <v>423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24" customHeight="1">
      <c r="A262" s="2" t="s">
        <v>424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24" customHeight="1">
      <c r="A263" s="3" t="s">
        <v>408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spans="1:12" ht="36" customHeight="1">
      <c r="A264" s="4" t="s">
        <v>346</v>
      </c>
    </row>
    <row r="265" spans="1:12" ht="24" customHeight="1">
      <c r="A265" s="2" t="s">
        <v>425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24" customHeight="1">
      <c r="A266" s="2" t="s">
        <v>426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24" customHeight="1">
      <c r="A267" s="2" t="s">
        <v>427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24" customHeight="1">
      <c r="A268" s="2" t="s">
        <v>428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24" customHeight="1">
      <c r="A269" s="2" t="s">
        <v>429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24" customHeight="1">
      <c r="A270" s="2" t="s">
        <v>430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24" customHeight="1">
      <c r="A271" s="2" t="s">
        <v>431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24" customHeight="1">
      <c r="A272" s="2" t="s">
        <v>432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24" customHeight="1">
      <c r="A273" s="2" t="s">
        <v>433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24" customHeight="1">
      <c r="A274" s="2" t="s">
        <v>434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24" customHeight="1">
      <c r="A275" s="2" t="s">
        <v>435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24" customHeight="1">
      <c r="A276" s="2" t="s">
        <v>436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24" customHeight="1">
      <c r="A277" s="2" t="s">
        <v>437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24" customHeight="1">
      <c r="A278" s="2" t="s">
        <v>438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24" customHeight="1">
      <c r="A279" s="3" t="s">
        <v>408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spans="1:12" ht="36" customHeight="1">
      <c r="A280" s="4" t="s">
        <v>346</v>
      </c>
    </row>
    <row r="281" spans="1:12" ht="24" customHeight="1">
      <c r="A281" s="2" t="s">
        <v>439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24" customHeight="1">
      <c r="A282" s="2" t="s">
        <v>440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24" customHeight="1">
      <c r="A283" s="2" t="s">
        <v>441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24" customHeight="1">
      <c r="A284" s="2" t="s">
        <v>442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24" customHeight="1">
      <c r="A285" s="2" t="s">
        <v>443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24" customHeight="1">
      <c r="A286" s="2" t="s">
        <v>444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24" customHeight="1">
      <c r="A287" s="2" t="s">
        <v>445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24" customHeight="1">
      <c r="A288" s="2" t="s">
        <v>446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24" customHeight="1">
      <c r="A289" s="2" t="s">
        <v>447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24" customHeight="1">
      <c r="A290" s="2" t="s">
        <v>448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24" customHeight="1">
      <c r="A291" s="2" t="s">
        <v>449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24" customHeight="1">
      <c r="A292" s="2" t="s">
        <v>450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24" customHeight="1">
      <c r="A293" s="2" t="s">
        <v>451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24" customHeight="1">
      <c r="A294" s="2" t="s">
        <v>452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24" customHeight="1">
      <c r="A295" s="3" t="s">
        <v>408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spans="1:12" ht="36" customHeight="1">
      <c r="A296" s="4" t="s">
        <v>346</v>
      </c>
    </row>
    <row r="297" spans="1:12" ht="24" customHeight="1">
      <c r="A297" s="2" t="s">
        <v>453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24" customHeight="1">
      <c r="A298" s="2" t="s">
        <v>454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24" customHeight="1">
      <c r="A299" s="2" t="s">
        <v>455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24" customHeight="1">
      <c r="A300" s="2" t="s">
        <v>456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24" customHeight="1">
      <c r="A301" s="2" t="s">
        <v>457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24" customHeight="1">
      <c r="A302" s="2" t="s">
        <v>458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24" customHeight="1">
      <c r="A303" s="2" t="s">
        <v>459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24" customHeight="1">
      <c r="A304" s="2" t="s">
        <v>460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24" customHeight="1">
      <c r="A305" s="2" t="s">
        <v>461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24" customHeight="1">
      <c r="A306" s="2" t="s">
        <v>462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24" customHeight="1">
      <c r="A307" s="2" t="s">
        <v>463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24" customHeight="1">
      <c r="A308" s="2" t="s">
        <v>464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24" customHeight="1">
      <c r="A309" s="2" t="s">
        <v>465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24" customHeight="1">
      <c r="A310" s="2" t="s">
        <v>466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24" customHeight="1">
      <c r="A311" s="3" t="s">
        <v>408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spans="1:12" ht="36" customHeight="1">
      <c r="A312" s="4" t="s">
        <v>346</v>
      </c>
    </row>
    <row r="313" spans="1:12" ht="24" customHeight="1">
      <c r="A313" s="2" t="s">
        <v>467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24" customHeight="1">
      <c r="A314" s="2" t="s">
        <v>468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24" customHeight="1">
      <c r="A315" s="2" t="s">
        <v>469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24" customHeight="1">
      <c r="A316" s="2" t="s">
        <v>470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24" customHeight="1">
      <c r="A317" s="2" t="s">
        <v>471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24" customHeight="1">
      <c r="A318" s="2" t="s">
        <v>472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24" customHeight="1">
      <c r="A319" s="2" t="s">
        <v>473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24" customHeight="1">
      <c r="A320" s="2" t="s">
        <v>474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24" customHeight="1">
      <c r="A321" s="2" t="s">
        <v>475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24" customHeight="1">
      <c r="A322" s="2" t="s">
        <v>476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24" customHeight="1">
      <c r="A323" s="2" t="s">
        <v>477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24" customHeight="1">
      <c r="A324" s="2" t="s">
        <v>478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24" customHeight="1">
      <c r="A325" s="2" t="s">
        <v>479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24" customHeight="1">
      <c r="A326" s="2" t="s">
        <v>480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24" customHeight="1">
      <c r="A327" s="3" t="s">
        <v>408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spans="1:12" ht="36" customHeight="1">
      <c r="A328" s="4" t="s">
        <v>346</v>
      </c>
    </row>
    <row r="329" spans="1:12" ht="24" customHeight="1">
      <c r="A329" s="2" t="s">
        <v>481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24" customHeight="1">
      <c r="A330" s="2" t="s">
        <v>482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24" customHeight="1">
      <c r="A331" s="2" t="s">
        <v>483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24" customHeight="1">
      <c r="A332" s="2" t="s">
        <v>484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24" customHeight="1">
      <c r="A333" s="2" t="s">
        <v>485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24" customHeight="1">
      <c r="A334" s="2" t="s">
        <v>486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24" customHeight="1">
      <c r="A335" s="2" t="s">
        <v>487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24" customHeight="1">
      <c r="A336" s="2" t="s">
        <v>488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24" customHeight="1">
      <c r="A337" s="2" t="s">
        <v>489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24" customHeight="1">
      <c r="A338" s="2" t="s">
        <v>490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24" customHeight="1">
      <c r="A339" s="2" t="s">
        <v>491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24" customHeight="1">
      <c r="A340" s="2" t="s">
        <v>492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24" customHeight="1">
      <c r="A341" s="2" t="s">
        <v>493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24" customHeight="1">
      <c r="A342" s="2" t="s">
        <v>494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24" customHeight="1">
      <c r="A343" s="3" t="s">
        <v>408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spans="1:12" ht="36" customHeight="1">
      <c r="A344" s="4" t="s">
        <v>346</v>
      </c>
    </row>
    <row r="345" spans="1:12" ht="24" customHeight="1">
      <c r="A345" s="2" t="s">
        <v>495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24" customHeight="1">
      <c r="A346" s="2" t="s">
        <v>496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24" customHeight="1">
      <c r="A347" s="2" t="s">
        <v>497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24" customHeight="1">
      <c r="A348" s="2" t="s">
        <v>498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24" customHeight="1">
      <c r="A349" s="2" t="s">
        <v>499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24" customHeight="1">
      <c r="A350" s="2" t="s">
        <v>500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24" customHeight="1">
      <c r="A351" s="2" t="s">
        <v>501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24" customHeight="1">
      <c r="A352" s="2" t="s">
        <v>502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24" customHeight="1">
      <c r="A353" s="2" t="s">
        <v>503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24" customHeight="1">
      <c r="A354" s="2" t="s">
        <v>504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24" customHeight="1">
      <c r="A355" s="2" t="s">
        <v>505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24" customHeight="1">
      <c r="A356" s="2" t="s">
        <v>506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24" customHeight="1">
      <c r="A357" s="2" t="s">
        <v>507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24" customHeight="1">
      <c r="A358" s="2" t="s">
        <v>508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24" customHeight="1">
      <c r="A359" s="3" t="s">
        <v>408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spans="1:12" ht="36" customHeight="1">
      <c r="A360" s="4" t="s">
        <v>346</v>
      </c>
    </row>
    <row r="361" spans="1:12" ht="24" customHeight="1">
      <c r="A361" s="2" t="s">
        <v>509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24" customHeight="1">
      <c r="A362" s="2" t="s">
        <v>510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24" customHeight="1">
      <c r="A363" s="2" t="s">
        <v>511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24" customHeight="1">
      <c r="A364" s="2" t="s">
        <v>512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24" customHeight="1">
      <c r="A365" s="2" t="s">
        <v>513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24" customHeight="1">
      <c r="A366" s="2" t="s">
        <v>514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24" customHeight="1">
      <c r="A367" s="2" t="s">
        <v>515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24" customHeight="1">
      <c r="A368" s="2" t="s">
        <v>516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24" customHeight="1">
      <c r="A369" s="2" t="s">
        <v>517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24" customHeight="1">
      <c r="A370" s="2" t="s">
        <v>518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24" customHeight="1">
      <c r="A371" s="2" t="s">
        <v>519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24" customHeight="1">
      <c r="A372" s="2" t="s">
        <v>520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24" customHeight="1">
      <c r="A373" s="2" t="s">
        <v>521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24" customHeight="1">
      <c r="A374" s="2" t="s">
        <v>522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24" customHeight="1">
      <c r="A375" s="3" t="s">
        <v>408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spans="1:12" ht="36" customHeight="1">
      <c r="A376" s="4" t="s">
        <v>346</v>
      </c>
    </row>
    <row r="377" spans="1:12" ht="24" customHeight="1">
      <c r="A377" s="2" t="s">
        <v>523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24" customHeight="1">
      <c r="A378" s="2" t="s">
        <v>524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24" customHeight="1">
      <c r="A379" s="2" t="s">
        <v>525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24" customHeight="1">
      <c r="A380" s="2" t="s">
        <v>526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24" customHeight="1">
      <c r="A381" s="2" t="s">
        <v>527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24" customHeight="1">
      <c r="A382" s="2" t="s">
        <v>528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24" customHeight="1">
      <c r="A383" s="2" t="s">
        <v>529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24" customHeight="1">
      <c r="A384" s="2" t="s">
        <v>530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24" customHeight="1">
      <c r="A385" s="2" t="s">
        <v>531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24" customHeight="1">
      <c r="A386" s="2" t="s">
        <v>532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24" customHeight="1">
      <c r="A387" s="2" t="s">
        <v>533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24" customHeight="1">
      <c r="A388" s="2" t="s">
        <v>534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24" customHeight="1">
      <c r="A389" s="2" t="s">
        <v>535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24" customHeight="1">
      <c r="A390" s="2" t="s">
        <v>536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24" customHeight="1">
      <c r="A391" s="3" t="s">
        <v>408</v>
      </c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spans="1:12" ht="36" customHeight="1">
      <c r="A392" s="4" t="s">
        <v>346</v>
      </c>
    </row>
    <row r="393" spans="1:12" ht="24" customHeight="1">
      <c r="A393" s="2" t="s">
        <v>537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24" customHeight="1">
      <c r="A394" s="2" t="s">
        <v>538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24" customHeight="1">
      <c r="A395" s="2" t="s">
        <v>539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24" customHeight="1">
      <c r="A396" s="2" t="s">
        <v>540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24" customHeight="1">
      <c r="A397" s="2" t="s">
        <v>541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24" customHeight="1">
      <c r="A398" s="2" t="s">
        <v>542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24" customHeight="1">
      <c r="A399" s="2" t="s">
        <v>543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24" customHeight="1">
      <c r="A400" s="2" t="s">
        <v>544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24" customHeight="1">
      <c r="A401" s="2" t="s">
        <v>545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24" customHeight="1">
      <c r="A402" s="2" t="s">
        <v>546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24" customHeight="1">
      <c r="A403" s="2" t="s">
        <v>547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24" customHeight="1">
      <c r="A404" s="2" t="s">
        <v>548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24" customHeight="1">
      <c r="A405" s="2" t="s">
        <v>549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24" customHeight="1">
      <c r="A406" s="2" t="s">
        <v>550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24" customHeight="1">
      <c r="A407" s="3" t="s">
        <v>408</v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spans="1:12" ht="36" customHeight="1">
      <c r="A408" s="4" t="s">
        <v>346</v>
      </c>
    </row>
    <row r="409" spans="1:12" ht="24" customHeight="1">
      <c r="A409" s="2" t="s">
        <v>551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24" customHeight="1">
      <c r="A410" s="2" t="s">
        <v>552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24" customHeight="1">
      <c r="A411" s="2" t="s">
        <v>553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24" customHeight="1">
      <c r="A412" s="2" t="s">
        <v>554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24" customHeight="1">
      <c r="A413" s="2" t="s">
        <v>555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24" customHeight="1">
      <c r="A414" s="2" t="s">
        <v>556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24" customHeight="1">
      <c r="A415" s="2" t="s">
        <v>557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24" customHeight="1">
      <c r="A416" s="2" t="s">
        <v>558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23" customHeight="1"/>
    <row r="418" spans="1:12" ht="24" customHeight="1">
      <c r="A418" s="3" t="s">
        <v>559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spans="1:12" ht="36" customHeight="1">
      <c r="A419" s="4" t="s">
        <v>225</v>
      </c>
    </row>
    <row r="420" spans="1:12" ht="24" customHeight="1">
      <c r="A420" s="2" t="s">
        <v>560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23" customHeight="1"/>
    <row r="422" spans="1:12" ht="24" customHeight="1">
      <c r="A422" s="3" t="s">
        <v>561</v>
      </c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spans="1:12" ht="36" customHeight="1">
      <c r="A423" s="4" t="s">
        <v>8</v>
      </c>
      <c r="B423" s="4" t="s">
        <v>9</v>
      </c>
      <c r="C423" s="4" t="s">
        <v>562</v>
      </c>
      <c r="D423" s="4" t="s">
        <v>251</v>
      </c>
      <c r="E423" s="4" t="s">
        <v>563</v>
      </c>
      <c r="F423" s="4" t="s">
        <v>564</v>
      </c>
      <c r="G423" s="4" t="s">
        <v>199</v>
      </c>
    </row>
    <row r="424" spans="1:12" ht="23" customHeight="1">
      <c r="A424" s="6">
        <v>4</v>
      </c>
      <c r="B424" s="6">
        <v>1</v>
      </c>
      <c r="C424" s="6">
        <v>1</v>
      </c>
      <c r="D424" s="6">
        <v>174</v>
      </c>
      <c r="E424" s="61">
        <v>0</v>
      </c>
      <c r="F424" s="61">
        <v>1.5</v>
      </c>
      <c r="G424" s="62">
        <f>ROUND((F424-E424),4)</f>
        <v>1.5</v>
      </c>
    </row>
    <row r="425" spans="1:12" ht="23" customHeight="1">
      <c r="A425" s="6">
        <v>4</v>
      </c>
      <c r="B425" s="6">
        <v>1</v>
      </c>
      <c r="C425" s="6">
        <v>2</v>
      </c>
      <c r="D425" s="6">
        <v>175</v>
      </c>
      <c r="E425" s="61">
        <v>1.5</v>
      </c>
      <c r="F425" s="61">
        <v>2.8</v>
      </c>
      <c r="G425" s="62">
        <f>ROUND((F425-E425),4)</f>
        <v>1.3</v>
      </c>
    </row>
    <row r="426" spans="1:12" ht="23" customHeight="1">
      <c r="A426" s="6">
        <v>4</v>
      </c>
      <c r="B426" s="6">
        <v>1</v>
      </c>
      <c r="C426" s="6">
        <v>3</v>
      </c>
      <c r="D426" s="6">
        <v>176</v>
      </c>
      <c r="E426" s="61">
        <v>2.8</v>
      </c>
      <c r="F426" s="61">
        <v>5.7</v>
      </c>
      <c r="G426" s="62">
        <f>ROUND((F426-E426),4)</f>
        <v>2.9</v>
      </c>
    </row>
    <row r="427" spans="1:12" ht="23" customHeight="1">
      <c r="A427" s="6">
        <v>4</v>
      </c>
      <c r="B427" s="6">
        <v>1</v>
      </c>
      <c r="C427" s="6">
        <v>4</v>
      </c>
      <c r="D427" s="6">
        <v>177</v>
      </c>
      <c r="E427" s="61">
        <v>5.7</v>
      </c>
      <c r="F427" s="61">
        <v>8.300000000000001</v>
      </c>
      <c r="G427" s="62">
        <f>ROUND((F427-E427),4)</f>
        <v>2.6</v>
      </c>
    </row>
    <row r="428" spans="1:12" ht="23" customHeight="1">
      <c r="A428" s="6">
        <v>4</v>
      </c>
      <c r="B428" s="6">
        <v>1</v>
      </c>
      <c r="C428" s="6">
        <v>5</v>
      </c>
      <c r="D428" s="6">
        <v>178</v>
      </c>
      <c r="E428" s="61">
        <v>8.300000000000001</v>
      </c>
      <c r="F428" s="61">
        <v>8.9</v>
      </c>
      <c r="G428" s="62">
        <f>ROUND((F428-E428),4)</f>
        <v>0.6</v>
      </c>
    </row>
    <row r="429" spans="1:12" ht="23" customHeight="1">
      <c r="A429" s="6">
        <v>4</v>
      </c>
      <c r="B429" s="6">
        <v>1</v>
      </c>
      <c r="C429" s="6">
        <v>6</v>
      </c>
      <c r="D429" s="6">
        <v>179</v>
      </c>
      <c r="E429" s="61">
        <v>8.9</v>
      </c>
      <c r="F429" s="61">
        <v>18.4</v>
      </c>
      <c r="G429" s="62">
        <f>ROUND((F429-E429),4)</f>
        <v>9.5</v>
      </c>
    </row>
    <row r="430" spans="1:12" ht="23" customHeight="1">
      <c r="A430" s="6">
        <v>4</v>
      </c>
      <c r="B430" s="6">
        <v>1</v>
      </c>
      <c r="C430" s="6">
        <v>7</v>
      </c>
      <c r="D430" s="6">
        <v>180</v>
      </c>
      <c r="E430" s="61">
        <v>18.4</v>
      </c>
      <c r="F430" s="61">
        <v>31</v>
      </c>
      <c r="G430" s="62">
        <f>ROUND((F430-E430),4)</f>
        <v>12.6</v>
      </c>
    </row>
    <row r="431" spans="1:12" ht="23" customHeight="1">
      <c r="A431" s="6">
        <v>5</v>
      </c>
      <c r="B431" s="6">
        <v>2</v>
      </c>
      <c r="C431" s="6">
        <v>1</v>
      </c>
      <c r="D431" s="6">
        <v>174</v>
      </c>
      <c r="E431" s="61">
        <v>0</v>
      </c>
      <c r="F431" s="61">
        <v>1.5</v>
      </c>
      <c r="G431" s="62">
        <f>ROUND((F431-E431),4)</f>
        <v>1.5</v>
      </c>
    </row>
    <row r="432" spans="1:12" ht="23" customHeight="1">
      <c r="A432" s="6">
        <v>5</v>
      </c>
      <c r="B432" s="6">
        <v>2</v>
      </c>
      <c r="C432" s="6">
        <v>2</v>
      </c>
      <c r="D432" s="6">
        <v>175</v>
      </c>
      <c r="E432" s="61">
        <v>1.5</v>
      </c>
      <c r="F432" s="61">
        <v>2.8</v>
      </c>
      <c r="G432" s="62">
        <f>ROUND((F432-E432),4)</f>
        <v>1.3</v>
      </c>
    </row>
    <row r="433" spans="1:12" ht="23" customHeight="1">
      <c r="A433" s="6">
        <v>5</v>
      </c>
      <c r="B433" s="6">
        <v>2</v>
      </c>
      <c r="C433" s="6">
        <v>3</v>
      </c>
      <c r="D433" s="6">
        <v>176</v>
      </c>
      <c r="E433" s="61">
        <v>2.8</v>
      </c>
      <c r="F433" s="61">
        <v>5.7</v>
      </c>
      <c r="G433" s="62">
        <f>ROUND((F433-E433),4)</f>
        <v>2.9</v>
      </c>
    </row>
    <row r="434" spans="1:12" ht="23" customHeight="1">
      <c r="A434" s="6">
        <v>5</v>
      </c>
      <c r="B434" s="6">
        <v>2</v>
      </c>
      <c r="C434" s="6">
        <v>4</v>
      </c>
      <c r="D434" s="6">
        <v>177</v>
      </c>
      <c r="E434" s="61">
        <v>5.7</v>
      </c>
      <c r="F434" s="61">
        <v>8.300000000000001</v>
      </c>
      <c r="G434" s="62">
        <f>ROUND((F434-E434),4)</f>
        <v>2.6</v>
      </c>
    </row>
    <row r="435" spans="1:12" ht="23" customHeight="1">
      <c r="A435" s="6">
        <v>5</v>
      </c>
      <c r="B435" s="6">
        <v>2</v>
      </c>
      <c r="C435" s="6">
        <v>5</v>
      </c>
      <c r="D435" s="6">
        <v>178</v>
      </c>
      <c r="E435" s="61">
        <v>8.300000000000001</v>
      </c>
      <c r="F435" s="61">
        <v>8.9</v>
      </c>
      <c r="G435" s="62">
        <f>ROUND((F435-E435),4)</f>
        <v>0.6</v>
      </c>
    </row>
    <row r="436" spans="1:12" ht="23" customHeight="1">
      <c r="A436" s="6">
        <v>5</v>
      </c>
      <c r="B436" s="6">
        <v>2</v>
      </c>
      <c r="C436" s="6">
        <v>6</v>
      </c>
      <c r="D436" s="6">
        <v>179</v>
      </c>
      <c r="E436" s="61">
        <v>8.9</v>
      </c>
      <c r="F436" s="61">
        <v>18.4</v>
      </c>
      <c r="G436" s="62">
        <f>ROUND((F436-E436),4)</f>
        <v>9.5</v>
      </c>
    </row>
    <row r="437" spans="1:12" ht="23" customHeight="1">
      <c r="A437" s="6">
        <v>5</v>
      </c>
      <c r="B437" s="6">
        <v>2</v>
      </c>
      <c r="C437" s="6">
        <v>7</v>
      </c>
      <c r="D437" s="6">
        <v>180</v>
      </c>
      <c r="E437" s="61">
        <v>18.4</v>
      </c>
      <c r="F437" s="61">
        <v>31</v>
      </c>
      <c r="G437" s="62">
        <f>ROUND((F437-E437),4)</f>
        <v>12.6</v>
      </c>
    </row>
    <row r="438" spans="1:12" ht="23" customHeight="1">
      <c r="A438" s="6">
        <v>6</v>
      </c>
      <c r="B438" s="6">
        <v>3</v>
      </c>
      <c r="C438" s="6">
        <v>1</v>
      </c>
      <c r="D438" s="6">
        <v>174</v>
      </c>
      <c r="E438" s="61">
        <v>0</v>
      </c>
      <c r="F438" s="61">
        <v>1.5</v>
      </c>
      <c r="G438" s="62">
        <f>ROUND((F438-E438),4)</f>
        <v>1.5</v>
      </c>
    </row>
    <row r="439" spans="1:12" ht="24" customHeight="1">
      <c r="A439" s="3" t="s">
        <v>561</v>
      </c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spans="1:12" ht="36" customHeight="1">
      <c r="A440" s="4" t="s">
        <v>8</v>
      </c>
      <c r="B440" s="4" t="s">
        <v>9</v>
      </c>
      <c r="C440" s="4" t="s">
        <v>562</v>
      </c>
      <c r="D440" s="4" t="s">
        <v>251</v>
      </c>
      <c r="E440" s="4" t="s">
        <v>563</v>
      </c>
      <c r="F440" s="4" t="s">
        <v>564</v>
      </c>
      <c r="G440" s="4" t="s">
        <v>199</v>
      </c>
    </row>
    <row r="441" spans="1:12" ht="23" customHeight="1">
      <c r="A441" s="6">
        <v>6</v>
      </c>
      <c r="B441" s="6">
        <v>3</v>
      </c>
      <c r="C441" s="6">
        <v>2</v>
      </c>
      <c r="D441" s="6">
        <v>175</v>
      </c>
      <c r="E441" s="61">
        <v>1.5</v>
      </c>
      <c r="F441" s="61">
        <v>2.8</v>
      </c>
      <c r="G441" s="62">
        <f>ROUND((F441-E441),4)</f>
        <v>1.3</v>
      </c>
    </row>
    <row r="442" spans="1:12" ht="23" customHeight="1">
      <c r="A442" s="6">
        <v>6</v>
      </c>
      <c r="B442" s="6">
        <v>3</v>
      </c>
      <c r="C442" s="6">
        <v>3</v>
      </c>
      <c r="D442" s="6">
        <v>176</v>
      </c>
      <c r="E442" s="61">
        <v>2.8</v>
      </c>
      <c r="F442" s="61">
        <v>5.7</v>
      </c>
      <c r="G442" s="62">
        <f>ROUND((F442-E442),4)</f>
        <v>2.9</v>
      </c>
    </row>
    <row r="443" spans="1:12" ht="23" customHeight="1">
      <c r="A443" s="6">
        <v>6</v>
      </c>
      <c r="B443" s="6">
        <v>3</v>
      </c>
      <c r="C443" s="6">
        <v>4</v>
      </c>
      <c r="D443" s="6">
        <v>177</v>
      </c>
      <c r="E443" s="61">
        <v>5.7</v>
      </c>
      <c r="F443" s="61">
        <v>8.300000000000001</v>
      </c>
      <c r="G443" s="62">
        <f>ROUND((F443-E443),4)</f>
        <v>2.6</v>
      </c>
    </row>
    <row r="444" spans="1:12" ht="23" customHeight="1">
      <c r="A444" s="6">
        <v>6</v>
      </c>
      <c r="B444" s="6">
        <v>3</v>
      </c>
      <c r="C444" s="6">
        <v>5</v>
      </c>
      <c r="D444" s="6">
        <v>178</v>
      </c>
      <c r="E444" s="61">
        <v>8.300000000000001</v>
      </c>
      <c r="F444" s="61">
        <v>8.9</v>
      </c>
      <c r="G444" s="62">
        <f>ROUND((F444-E444),4)</f>
        <v>0.6</v>
      </c>
    </row>
    <row r="445" spans="1:12" ht="23" customHeight="1">
      <c r="A445" s="6">
        <v>6</v>
      </c>
      <c r="B445" s="6">
        <v>3</v>
      </c>
      <c r="C445" s="6">
        <v>6</v>
      </c>
      <c r="D445" s="6">
        <v>179</v>
      </c>
      <c r="E445" s="61">
        <v>8.9</v>
      </c>
      <c r="F445" s="61">
        <v>18.4</v>
      </c>
      <c r="G445" s="62">
        <f>ROUND((F445-E445),4)</f>
        <v>9.5</v>
      </c>
    </row>
    <row r="446" spans="1:12" ht="23" customHeight="1">
      <c r="A446" s="6">
        <v>6</v>
      </c>
      <c r="B446" s="6">
        <v>3</v>
      </c>
      <c r="C446" s="6">
        <v>7</v>
      </c>
      <c r="D446" s="6">
        <v>180</v>
      </c>
      <c r="E446" s="61">
        <v>18.4</v>
      </c>
      <c r="F446" s="61">
        <v>31</v>
      </c>
      <c r="G446" s="62">
        <f>ROUND((F446-E446),4)</f>
        <v>12.6</v>
      </c>
    </row>
    <row r="447" spans="1:12" ht="23" customHeight="1"/>
    <row r="448" spans="1:12" ht="24" customHeight="1">
      <c r="A448" s="3" t="s">
        <v>565</v>
      </c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spans="1:12" ht="36" customHeight="1">
      <c r="A449" s="4" t="s">
        <v>8</v>
      </c>
      <c r="B449" s="4" t="s">
        <v>9</v>
      </c>
      <c r="C449" s="4" t="s">
        <v>10</v>
      </c>
      <c r="D449" s="4" t="s">
        <v>11</v>
      </c>
      <c r="E449" s="4" t="s">
        <v>12</v>
      </c>
      <c r="F449" s="4" t="s">
        <v>566</v>
      </c>
      <c r="G449" s="4" t="s">
        <v>567</v>
      </c>
      <c r="H449" s="4" t="s">
        <v>201</v>
      </c>
    </row>
    <row r="450" spans="1:12" ht="23" customHeight="1">
      <c r="A450" s="6">
        <v>4</v>
      </c>
      <c r="B450" s="6">
        <v>1</v>
      </c>
      <c r="C450" s="6">
        <v>98</v>
      </c>
      <c r="D450" s="6">
        <v>98</v>
      </c>
      <c r="E450" s="6">
        <v>99</v>
      </c>
      <c r="F450" s="61">
        <v>0</v>
      </c>
      <c r="G450" s="61">
        <v>1.3</v>
      </c>
      <c r="H450" s="62">
        <f>ROUND((G450-F450),4)</f>
        <v>1.3</v>
      </c>
    </row>
    <row r="451" spans="1:12" ht="23" customHeight="1">
      <c r="A451" s="6">
        <v>4</v>
      </c>
      <c r="B451" s="6">
        <v>1</v>
      </c>
      <c r="C451" s="6">
        <v>99</v>
      </c>
      <c r="D451" s="6">
        <v>99</v>
      </c>
      <c r="E451" s="6">
        <v>100</v>
      </c>
      <c r="F451" s="61">
        <v>1.3</v>
      </c>
      <c r="G451" s="61">
        <v>2.6</v>
      </c>
      <c r="H451" s="62">
        <f>ROUND((G451-F451),4)</f>
        <v>1.3</v>
      </c>
    </row>
    <row r="452" spans="1:12" ht="23" customHeight="1">
      <c r="A452" s="6">
        <v>4</v>
      </c>
      <c r="B452" s="6">
        <v>1</v>
      </c>
      <c r="C452" s="6">
        <v>100</v>
      </c>
      <c r="D452" s="6">
        <v>100</v>
      </c>
      <c r="E452" s="6">
        <v>101</v>
      </c>
      <c r="F452" s="61">
        <v>2.6</v>
      </c>
      <c r="G452" s="61">
        <v>3.9</v>
      </c>
      <c r="H452" s="62">
        <f>ROUND((G452-F452),4)</f>
        <v>1.3</v>
      </c>
    </row>
    <row r="453" spans="1:12" ht="23" customHeight="1">
      <c r="A453" s="6">
        <v>4</v>
      </c>
      <c r="B453" s="6">
        <v>1</v>
      </c>
      <c r="C453" s="6">
        <v>101</v>
      </c>
      <c r="D453" s="6">
        <v>101</v>
      </c>
      <c r="E453" s="6">
        <v>102</v>
      </c>
      <c r="F453" s="61">
        <v>3.9</v>
      </c>
      <c r="G453" s="61">
        <v>5.2</v>
      </c>
      <c r="H453" s="62">
        <f>ROUND((G453-F453),4)</f>
        <v>1.3</v>
      </c>
    </row>
    <row r="454" spans="1:12" ht="23" customHeight="1">
      <c r="A454" s="6">
        <v>4</v>
      </c>
      <c r="B454" s="6">
        <v>1</v>
      </c>
      <c r="C454" s="6">
        <v>102</v>
      </c>
      <c r="D454" s="6">
        <v>102</v>
      </c>
      <c r="E454" s="6">
        <v>103</v>
      </c>
      <c r="F454" s="61">
        <v>5.2</v>
      </c>
      <c r="G454" s="61">
        <v>6.5</v>
      </c>
      <c r="H454" s="62">
        <f>ROUND((G454-F454),4)</f>
        <v>1.3</v>
      </c>
    </row>
    <row r="455" spans="1:12" ht="24" customHeight="1">
      <c r="A455" s="3" t="s">
        <v>565</v>
      </c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spans="1:12" ht="36" customHeight="1">
      <c r="A456" s="4" t="s">
        <v>8</v>
      </c>
      <c r="B456" s="4" t="s">
        <v>9</v>
      </c>
      <c r="C456" s="4" t="s">
        <v>10</v>
      </c>
      <c r="D456" s="4" t="s">
        <v>11</v>
      </c>
      <c r="E456" s="4" t="s">
        <v>12</v>
      </c>
      <c r="F456" s="4" t="s">
        <v>566</v>
      </c>
      <c r="G456" s="4" t="s">
        <v>567</v>
      </c>
      <c r="H456" s="4" t="s">
        <v>201</v>
      </c>
    </row>
    <row r="457" spans="1:12" ht="23" customHeight="1">
      <c r="A457" s="6">
        <v>4</v>
      </c>
      <c r="B457" s="6">
        <v>1</v>
      </c>
      <c r="C457" s="6">
        <v>103</v>
      </c>
      <c r="D457" s="6">
        <v>103</v>
      </c>
      <c r="E457" s="6">
        <v>104</v>
      </c>
      <c r="F457" s="61">
        <v>6.5</v>
      </c>
      <c r="G457" s="61">
        <v>7.8</v>
      </c>
      <c r="H457" s="62">
        <f>ROUND((G457-F457),4)</f>
        <v>1.3</v>
      </c>
    </row>
    <row r="458" spans="1:12" ht="23" customHeight="1">
      <c r="A458" s="6">
        <v>4</v>
      </c>
      <c r="B458" s="6">
        <v>1</v>
      </c>
      <c r="C458" s="6">
        <v>104</v>
      </c>
      <c r="D458" s="6">
        <v>104</v>
      </c>
      <c r="E458" s="6">
        <v>105</v>
      </c>
      <c r="F458" s="61">
        <v>7.8</v>
      </c>
      <c r="G458" s="61">
        <v>9.1</v>
      </c>
      <c r="H458" s="62">
        <f>ROUND((G458-F458),4)</f>
        <v>1.3</v>
      </c>
    </row>
    <row r="459" spans="1:12" ht="23" customHeight="1">
      <c r="A459" s="6">
        <v>4</v>
      </c>
      <c r="B459" s="6">
        <v>1</v>
      </c>
      <c r="C459" s="6">
        <v>105</v>
      </c>
      <c r="D459" s="6">
        <v>105</v>
      </c>
      <c r="E459" s="6">
        <v>106</v>
      </c>
      <c r="F459" s="61">
        <v>9.1</v>
      </c>
      <c r="G459" s="61">
        <v>10.4</v>
      </c>
      <c r="H459" s="62">
        <f>ROUND((G459-F459),4)</f>
        <v>1.3</v>
      </c>
    </row>
    <row r="460" spans="1:12" ht="23" customHeight="1">
      <c r="A460" s="6">
        <v>4</v>
      </c>
      <c r="B460" s="6">
        <v>1</v>
      </c>
      <c r="C460" s="6">
        <v>106</v>
      </c>
      <c r="D460" s="6">
        <v>106</v>
      </c>
      <c r="E460" s="6">
        <v>107</v>
      </c>
      <c r="F460" s="61">
        <v>10.4</v>
      </c>
      <c r="G460" s="61">
        <v>11.7</v>
      </c>
      <c r="H460" s="62">
        <f>ROUND((G460-F460),4)</f>
        <v>1.3</v>
      </c>
    </row>
    <row r="461" spans="1:12" ht="23" customHeight="1">
      <c r="A461" s="6">
        <v>4</v>
      </c>
      <c r="B461" s="6">
        <v>1</v>
      </c>
      <c r="C461" s="6">
        <v>107</v>
      </c>
      <c r="D461" s="6">
        <v>107</v>
      </c>
      <c r="E461" s="6">
        <v>108</v>
      </c>
      <c r="F461" s="61">
        <v>11.7</v>
      </c>
      <c r="G461" s="61">
        <v>13</v>
      </c>
      <c r="H461" s="62">
        <f>ROUND((G461-F461),4)</f>
        <v>1.3</v>
      </c>
    </row>
    <row r="462" spans="1:12" ht="23" customHeight="1">
      <c r="A462" s="6">
        <v>4</v>
      </c>
      <c r="B462" s="6">
        <v>1</v>
      </c>
      <c r="C462" s="6">
        <v>108</v>
      </c>
      <c r="D462" s="6">
        <v>108</v>
      </c>
      <c r="E462" s="6">
        <v>109</v>
      </c>
      <c r="F462" s="61">
        <v>13</v>
      </c>
      <c r="G462" s="61">
        <v>14.3</v>
      </c>
      <c r="H462" s="62">
        <f>ROUND((G462-F462),4)</f>
        <v>1.3</v>
      </c>
    </row>
    <row r="463" spans="1:12" ht="23" customHeight="1">
      <c r="A463" s="6">
        <v>4</v>
      </c>
      <c r="B463" s="6">
        <v>1</v>
      </c>
      <c r="C463" s="6">
        <v>109</v>
      </c>
      <c r="D463" s="6">
        <v>109</v>
      </c>
      <c r="E463" s="6">
        <v>110</v>
      </c>
      <c r="F463" s="61">
        <v>14.3</v>
      </c>
      <c r="G463" s="61">
        <v>15.6</v>
      </c>
      <c r="H463" s="62">
        <f>ROUND((G463-F463),4)</f>
        <v>1.3</v>
      </c>
    </row>
    <row r="464" spans="1:12" ht="23" customHeight="1">
      <c r="A464" s="6">
        <v>4</v>
      </c>
      <c r="B464" s="6">
        <v>1</v>
      </c>
      <c r="C464" s="6">
        <v>110</v>
      </c>
      <c r="D464" s="6">
        <v>110</v>
      </c>
      <c r="E464" s="6">
        <v>111</v>
      </c>
      <c r="F464" s="61">
        <v>15.6</v>
      </c>
      <c r="G464" s="61">
        <v>16.9</v>
      </c>
      <c r="H464" s="62">
        <f>ROUND((G464-F464),4)</f>
        <v>1.3</v>
      </c>
    </row>
    <row r="465" spans="1:12" ht="23" customHeight="1">
      <c r="A465" s="6">
        <v>4</v>
      </c>
      <c r="B465" s="6">
        <v>1</v>
      </c>
      <c r="C465" s="6">
        <v>111</v>
      </c>
      <c r="D465" s="6">
        <v>111</v>
      </c>
      <c r="E465" s="6">
        <v>112</v>
      </c>
      <c r="F465" s="61">
        <v>16.9</v>
      </c>
      <c r="G465" s="61">
        <v>18.2</v>
      </c>
      <c r="H465" s="62">
        <f>ROUND((G465-F465),4)</f>
        <v>1.3</v>
      </c>
    </row>
    <row r="466" spans="1:12" ht="23" customHeight="1">
      <c r="A466" s="6">
        <v>4</v>
      </c>
      <c r="B466" s="6">
        <v>1</v>
      </c>
      <c r="C466" s="6">
        <v>112</v>
      </c>
      <c r="D466" s="6">
        <v>112</v>
      </c>
      <c r="E466" s="6">
        <v>113</v>
      </c>
      <c r="F466" s="61">
        <v>18.2</v>
      </c>
      <c r="G466" s="61">
        <v>19.5</v>
      </c>
      <c r="H466" s="62">
        <f>ROUND((G466-F466),4)</f>
        <v>1.3</v>
      </c>
    </row>
    <row r="467" spans="1:12" ht="23" customHeight="1">
      <c r="A467" s="6">
        <v>4</v>
      </c>
      <c r="B467" s="6">
        <v>1</v>
      </c>
      <c r="C467" s="6">
        <v>113</v>
      </c>
      <c r="D467" s="6">
        <v>113</v>
      </c>
      <c r="E467" s="6">
        <v>114</v>
      </c>
      <c r="F467" s="61">
        <v>19.5</v>
      </c>
      <c r="G467" s="61">
        <v>20.8</v>
      </c>
      <c r="H467" s="62">
        <f>ROUND((G467-F467),4)</f>
        <v>1.3</v>
      </c>
    </row>
    <row r="468" spans="1:12" ht="23" customHeight="1">
      <c r="A468" s="6">
        <v>4</v>
      </c>
      <c r="B468" s="6">
        <v>1</v>
      </c>
      <c r="C468" s="6">
        <v>114</v>
      </c>
      <c r="D468" s="6">
        <v>114</v>
      </c>
      <c r="E468" s="6">
        <v>115</v>
      </c>
      <c r="F468" s="61">
        <v>20.8</v>
      </c>
      <c r="G468" s="61">
        <v>22.1</v>
      </c>
      <c r="H468" s="62">
        <f>ROUND((G468-F468),4)</f>
        <v>1.3</v>
      </c>
    </row>
    <row r="469" spans="1:12" ht="23" customHeight="1">
      <c r="A469" s="6">
        <v>4</v>
      </c>
      <c r="B469" s="6">
        <v>1</v>
      </c>
      <c r="C469" s="6">
        <v>115</v>
      </c>
      <c r="D469" s="6">
        <v>115</v>
      </c>
      <c r="E469" s="6">
        <v>116</v>
      </c>
      <c r="F469" s="61">
        <v>22.1</v>
      </c>
      <c r="G469" s="61">
        <v>23.4</v>
      </c>
      <c r="H469" s="62">
        <f>ROUND((G469-F469),4)</f>
        <v>1.3</v>
      </c>
    </row>
    <row r="470" spans="1:12" ht="23" customHeight="1">
      <c r="A470" s="6">
        <v>4</v>
      </c>
      <c r="B470" s="6">
        <v>1</v>
      </c>
      <c r="C470" s="6">
        <v>116</v>
      </c>
      <c r="D470" s="6">
        <v>116</v>
      </c>
      <c r="E470" s="6">
        <v>117</v>
      </c>
      <c r="F470" s="61">
        <v>23.4</v>
      </c>
      <c r="G470" s="61">
        <v>24.7</v>
      </c>
      <c r="H470" s="62">
        <f>ROUND((G470-F470),4)</f>
        <v>1.3</v>
      </c>
    </row>
    <row r="471" spans="1:12" ht="23" customHeight="1">
      <c r="A471" s="6">
        <v>4</v>
      </c>
      <c r="B471" s="6">
        <v>1</v>
      </c>
      <c r="C471" s="6">
        <v>117</v>
      </c>
      <c r="D471" s="6">
        <v>117</v>
      </c>
      <c r="E471" s="6">
        <v>118</v>
      </c>
      <c r="F471" s="61">
        <v>24.7</v>
      </c>
      <c r="G471" s="61">
        <v>26</v>
      </c>
      <c r="H471" s="62">
        <f>ROUND((G471-F471),4)</f>
        <v>1.3</v>
      </c>
    </row>
    <row r="472" spans="1:12" ht="24" customHeight="1">
      <c r="A472" s="3" t="s">
        <v>565</v>
      </c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spans="1:12" ht="36" customHeight="1">
      <c r="A473" s="4" t="s">
        <v>8</v>
      </c>
      <c r="B473" s="4" t="s">
        <v>9</v>
      </c>
      <c r="C473" s="4" t="s">
        <v>10</v>
      </c>
      <c r="D473" s="4" t="s">
        <v>11</v>
      </c>
      <c r="E473" s="4" t="s">
        <v>12</v>
      </c>
      <c r="F473" s="4" t="s">
        <v>566</v>
      </c>
      <c r="G473" s="4" t="s">
        <v>567</v>
      </c>
      <c r="H473" s="4" t="s">
        <v>201</v>
      </c>
    </row>
    <row r="474" spans="1:12" ht="23" customHeight="1">
      <c r="A474" s="6">
        <v>4</v>
      </c>
      <c r="B474" s="6">
        <v>1</v>
      </c>
      <c r="C474" s="6">
        <v>118</v>
      </c>
      <c r="D474" s="6">
        <v>118</v>
      </c>
      <c r="E474" s="6">
        <v>119</v>
      </c>
      <c r="F474" s="61">
        <v>26</v>
      </c>
      <c r="G474" s="61">
        <v>27.3</v>
      </c>
      <c r="H474" s="62">
        <f>ROUND((G474-F474),4)</f>
        <v>1.3</v>
      </c>
    </row>
    <row r="475" spans="1:12" ht="23" customHeight="1">
      <c r="A475" s="6">
        <v>4</v>
      </c>
      <c r="B475" s="6">
        <v>1</v>
      </c>
      <c r="C475" s="6">
        <v>119</v>
      </c>
      <c r="D475" s="6">
        <v>119</v>
      </c>
      <c r="E475" s="6">
        <v>120</v>
      </c>
      <c r="F475" s="61">
        <v>27.3</v>
      </c>
      <c r="G475" s="61">
        <v>28.6</v>
      </c>
      <c r="H475" s="62">
        <f>ROUND((G475-F475),4)</f>
        <v>1.3</v>
      </c>
    </row>
    <row r="476" spans="1:12" ht="23" customHeight="1">
      <c r="A476" s="6">
        <v>4</v>
      </c>
      <c r="B476" s="6">
        <v>1</v>
      </c>
      <c r="C476" s="6">
        <v>120</v>
      </c>
      <c r="D476" s="6">
        <v>120</v>
      </c>
      <c r="E476" s="6">
        <v>121</v>
      </c>
      <c r="F476" s="61">
        <v>28.6</v>
      </c>
      <c r="G476" s="61">
        <v>29.9</v>
      </c>
      <c r="H476" s="62">
        <f>ROUND((G476-F476),4)</f>
        <v>1.3</v>
      </c>
    </row>
    <row r="477" spans="1:12" ht="23" customHeight="1">
      <c r="A477" s="6">
        <v>4</v>
      </c>
      <c r="B477" s="6">
        <v>1</v>
      </c>
      <c r="C477" s="6">
        <v>121</v>
      </c>
      <c r="D477" s="6">
        <v>121</v>
      </c>
      <c r="E477" s="6">
        <v>122</v>
      </c>
      <c r="F477" s="61">
        <v>29.9</v>
      </c>
      <c r="G477" s="61">
        <v>31</v>
      </c>
      <c r="H477" s="62">
        <f>ROUND((G477-F477),4)</f>
        <v>1.1</v>
      </c>
    </row>
    <row r="478" spans="1:12" ht="23" customHeight="1">
      <c r="A478" s="6">
        <v>5</v>
      </c>
      <c r="B478" s="6">
        <v>2</v>
      </c>
      <c r="C478" s="6">
        <v>123</v>
      </c>
      <c r="D478" s="6">
        <v>123</v>
      </c>
      <c r="E478" s="6">
        <v>124</v>
      </c>
      <c r="F478" s="61">
        <v>0</v>
      </c>
      <c r="G478" s="61">
        <v>1.3</v>
      </c>
      <c r="H478" s="62">
        <f>ROUND((G478-F478),4)</f>
        <v>1.3</v>
      </c>
    </row>
    <row r="479" spans="1:12" ht="23" customHeight="1">
      <c r="A479" s="6">
        <v>5</v>
      </c>
      <c r="B479" s="6">
        <v>2</v>
      </c>
      <c r="C479" s="6">
        <v>124</v>
      </c>
      <c r="D479" s="6">
        <v>124</v>
      </c>
      <c r="E479" s="6">
        <v>125</v>
      </c>
      <c r="F479" s="61">
        <v>1.3</v>
      </c>
      <c r="G479" s="61">
        <v>2.6</v>
      </c>
      <c r="H479" s="62">
        <f>ROUND((G479-F479),4)</f>
        <v>1.3</v>
      </c>
    </row>
    <row r="480" spans="1:12" ht="23" customHeight="1">
      <c r="A480" s="6">
        <v>5</v>
      </c>
      <c r="B480" s="6">
        <v>2</v>
      </c>
      <c r="C480" s="6">
        <v>125</v>
      </c>
      <c r="D480" s="6">
        <v>125</v>
      </c>
      <c r="E480" s="6">
        <v>126</v>
      </c>
      <c r="F480" s="61">
        <v>2.6</v>
      </c>
      <c r="G480" s="61">
        <v>3.9</v>
      </c>
      <c r="H480" s="62">
        <f>ROUND((G480-F480),4)</f>
        <v>1.3</v>
      </c>
    </row>
    <row r="481" spans="1:12" ht="23" customHeight="1">
      <c r="A481" s="6">
        <v>5</v>
      </c>
      <c r="B481" s="6">
        <v>2</v>
      </c>
      <c r="C481" s="6">
        <v>126</v>
      </c>
      <c r="D481" s="6">
        <v>126</v>
      </c>
      <c r="E481" s="6">
        <v>127</v>
      </c>
      <c r="F481" s="61">
        <v>3.9</v>
      </c>
      <c r="G481" s="61">
        <v>5.2</v>
      </c>
      <c r="H481" s="62">
        <f>ROUND((G481-F481),4)</f>
        <v>1.3</v>
      </c>
    </row>
    <row r="482" spans="1:12" ht="23" customHeight="1">
      <c r="A482" s="6">
        <v>5</v>
      </c>
      <c r="B482" s="6">
        <v>2</v>
      </c>
      <c r="C482" s="6">
        <v>127</v>
      </c>
      <c r="D482" s="6">
        <v>127</v>
      </c>
      <c r="E482" s="6">
        <v>128</v>
      </c>
      <c r="F482" s="61">
        <v>5.2</v>
      </c>
      <c r="G482" s="61">
        <v>6.5</v>
      </c>
      <c r="H482" s="62">
        <f>ROUND((G482-F482),4)</f>
        <v>1.3</v>
      </c>
    </row>
    <row r="483" spans="1:12" ht="23" customHeight="1">
      <c r="A483" s="6">
        <v>5</v>
      </c>
      <c r="B483" s="6">
        <v>2</v>
      </c>
      <c r="C483" s="6">
        <v>128</v>
      </c>
      <c r="D483" s="6">
        <v>128</v>
      </c>
      <c r="E483" s="6">
        <v>129</v>
      </c>
      <c r="F483" s="61">
        <v>6.5</v>
      </c>
      <c r="G483" s="61">
        <v>7.8</v>
      </c>
      <c r="H483" s="62">
        <f>ROUND((G483-F483),4)</f>
        <v>1.3</v>
      </c>
    </row>
    <row r="484" spans="1:12" ht="23" customHeight="1">
      <c r="A484" s="6">
        <v>5</v>
      </c>
      <c r="B484" s="6">
        <v>2</v>
      </c>
      <c r="C484" s="6">
        <v>129</v>
      </c>
      <c r="D484" s="6">
        <v>129</v>
      </c>
      <c r="E484" s="6">
        <v>130</v>
      </c>
      <c r="F484" s="61">
        <v>7.8</v>
      </c>
      <c r="G484" s="61">
        <v>9.1</v>
      </c>
      <c r="H484" s="62">
        <f>ROUND((G484-F484),4)</f>
        <v>1.3</v>
      </c>
    </row>
    <row r="485" spans="1:12" ht="23" customHeight="1">
      <c r="A485" s="6">
        <v>5</v>
      </c>
      <c r="B485" s="6">
        <v>2</v>
      </c>
      <c r="C485" s="6">
        <v>130</v>
      </c>
      <c r="D485" s="6">
        <v>130</v>
      </c>
      <c r="E485" s="6">
        <v>131</v>
      </c>
      <c r="F485" s="61">
        <v>9.1</v>
      </c>
      <c r="G485" s="61">
        <v>10.4</v>
      </c>
      <c r="H485" s="62">
        <f>ROUND((G485-F485),4)</f>
        <v>1.3</v>
      </c>
    </row>
    <row r="486" spans="1:12" ht="23" customHeight="1">
      <c r="A486" s="6">
        <v>5</v>
      </c>
      <c r="B486" s="6">
        <v>2</v>
      </c>
      <c r="C486" s="6">
        <v>131</v>
      </c>
      <c r="D486" s="6">
        <v>131</v>
      </c>
      <c r="E486" s="6">
        <v>132</v>
      </c>
      <c r="F486" s="61">
        <v>10.4</v>
      </c>
      <c r="G486" s="61">
        <v>11.7</v>
      </c>
      <c r="H486" s="62">
        <f>ROUND((G486-F486),4)</f>
        <v>1.3</v>
      </c>
    </row>
    <row r="487" spans="1:12" ht="23" customHeight="1">
      <c r="A487" s="6">
        <v>5</v>
      </c>
      <c r="B487" s="6">
        <v>2</v>
      </c>
      <c r="C487" s="6">
        <v>132</v>
      </c>
      <c r="D487" s="6">
        <v>132</v>
      </c>
      <c r="E487" s="6">
        <v>133</v>
      </c>
      <c r="F487" s="61">
        <v>11.7</v>
      </c>
      <c r="G487" s="61">
        <v>13</v>
      </c>
      <c r="H487" s="62">
        <f>ROUND((G487-F487),4)</f>
        <v>1.3</v>
      </c>
    </row>
    <row r="488" spans="1:12" ht="23" customHeight="1">
      <c r="A488" s="6">
        <v>5</v>
      </c>
      <c r="B488" s="6">
        <v>2</v>
      </c>
      <c r="C488" s="6">
        <v>133</v>
      </c>
      <c r="D488" s="6">
        <v>133</v>
      </c>
      <c r="E488" s="6">
        <v>134</v>
      </c>
      <c r="F488" s="61">
        <v>13</v>
      </c>
      <c r="G488" s="61">
        <v>14.3</v>
      </c>
      <c r="H488" s="62">
        <f>ROUND((G488-F488),4)</f>
        <v>1.3</v>
      </c>
    </row>
    <row r="489" spans="1:12" ht="24" customHeight="1">
      <c r="A489" s="3" t="s">
        <v>565</v>
      </c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spans="1:12" ht="36" customHeight="1">
      <c r="A490" s="4" t="s">
        <v>8</v>
      </c>
      <c r="B490" s="4" t="s">
        <v>9</v>
      </c>
      <c r="C490" s="4" t="s">
        <v>10</v>
      </c>
      <c r="D490" s="4" t="s">
        <v>11</v>
      </c>
      <c r="E490" s="4" t="s">
        <v>12</v>
      </c>
      <c r="F490" s="4" t="s">
        <v>566</v>
      </c>
      <c r="G490" s="4" t="s">
        <v>567</v>
      </c>
      <c r="H490" s="4" t="s">
        <v>201</v>
      </c>
    </row>
    <row r="491" spans="1:12" ht="23" customHeight="1">
      <c r="A491" s="6">
        <v>5</v>
      </c>
      <c r="B491" s="6">
        <v>2</v>
      </c>
      <c r="C491" s="6">
        <v>134</v>
      </c>
      <c r="D491" s="6">
        <v>134</v>
      </c>
      <c r="E491" s="6">
        <v>135</v>
      </c>
      <c r="F491" s="61">
        <v>14.3</v>
      </c>
      <c r="G491" s="61">
        <v>15.6</v>
      </c>
      <c r="H491" s="62">
        <f>ROUND((G491-F491),4)</f>
        <v>1.3</v>
      </c>
    </row>
    <row r="492" spans="1:12" ht="23" customHeight="1">
      <c r="A492" s="6">
        <v>5</v>
      </c>
      <c r="B492" s="6">
        <v>2</v>
      </c>
      <c r="C492" s="6">
        <v>135</v>
      </c>
      <c r="D492" s="6">
        <v>135</v>
      </c>
      <c r="E492" s="6">
        <v>136</v>
      </c>
      <c r="F492" s="61">
        <v>15.6</v>
      </c>
      <c r="G492" s="61">
        <v>16.9</v>
      </c>
      <c r="H492" s="62">
        <f>ROUND((G492-F492),4)</f>
        <v>1.3</v>
      </c>
    </row>
    <row r="493" spans="1:12" ht="23" customHeight="1">
      <c r="A493" s="6">
        <v>5</v>
      </c>
      <c r="B493" s="6">
        <v>2</v>
      </c>
      <c r="C493" s="6">
        <v>136</v>
      </c>
      <c r="D493" s="6">
        <v>136</v>
      </c>
      <c r="E493" s="6">
        <v>137</v>
      </c>
      <c r="F493" s="61">
        <v>16.9</v>
      </c>
      <c r="G493" s="61">
        <v>18.2</v>
      </c>
      <c r="H493" s="62">
        <f>ROUND((G493-F493),4)</f>
        <v>1.3</v>
      </c>
    </row>
    <row r="494" spans="1:12" ht="23" customHeight="1">
      <c r="A494" s="6">
        <v>5</v>
      </c>
      <c r="B494" s="6">
        <v>2</v>
      </c>
      <c r="C494" s="6">
        <v>137</v>
      </c>
      <c r="D494" s="6">
        <v>137</v>
      </c>
      <c r="E494" s="6">
        <v>138</v>
      </c>
      <c r="F494" s="61">
        <v>18.2</v>
      </c>
      <c r="G494" s="61">
        <v>19.5</v>
      </c>
      <c r="H494" s="62">
        <f>ROUND((G494-F494),4)</f>
        <v>1.3</v>
      </c>
    </row>
    <row r="495" spans="1:12" ht="23" customHeight="1">
      <c r="A495" s="6">
        <v>5</v>
      </c>
      <c r="B495" s="6">
        <v>2</v>
      </c>
      <c r="C495" s="6">
        <v>138</v>
      </c>
      <c r="D495" s="6">
        <v>138</v>
      </c>
      <c r="E495" s="6">
        <v>139</v>
      </c>
      <c r="F495" s="61">
        <v>19.5</v>
      </c>
      <c r="G495" s="61">
        <v>20.8</v>
      </c>
      <c r="H495" s="62">
        <f>ROUND((G495-F495),4)</f>
        <v>1.3</v>
      </c>
    </row>
    <row r="496" spans="1:12" ht="23" customHeight="1">
      <c r="A496" s="6">
        <v>5</v>
      </c>
      <c r="B496" s="6">
        <v>2</v>
      </c>
      <c r="C496" s="6">
        <v>139</v>
      </c>
      <c r="D496" s="6">
        <v>139</v>
      </c>
      <c r="E496" s="6">
        <v>140</v>
      </c>
      <c r="F496" s="61">
        <v>20.8</v>
      </c>
      <c r="G496" s="61">
        <v>22.1</v>
      </c>
      <c r="H496" s="62">
        <f>ROUND((G496-F496),4)</f>
        <v>1.3</v>
      </c>
    </row>
    <row r="497" spans="1:12" ht="23" customHeight="1">
      <c r="A497" s="6">
        <v>5</v>
      </c>
      <c r="B497" s="6">
        <v>2</v>
      </c>
      <c r="C497" s="6">
        <v>140</v>
      </c>
      <c r="D497" s="6">
        <v>140</v>
      </c>
      <c r="E497" s="6">
        <v>141</v>
      </c>
      <c r="F497" s="61">
        <v>22.1</v>
      </c>
      <c r="G497" s="61">
        <v>23.4</v>
      </c>
      <c r="H497" s="62">
        <f>ROUND((G497-F497),4)</f>
        <v>1.3</v>
      </c>
    </row>
    <row r="498" spans="1:12" ht="23" customHeight="1">
      <c r="A498" s="6">
        <v>5</v>
      </c>
      <c r="B498" s="6">
        <v>2</v>
      </c>
      <c r="C498" s="6">
        <v>141</v>
      </c>
      <c r="D498" s="6">
        <v>141</v>
      </c>
      <c r="E498" s="6">
        <v>142</v>
      </c>
      <c r="F498" s="61">
        <v>23.4</v>
      </c>
      <c r="G498" s="61">
        <v>24.7</v>
      </c>
      <c r="H498" s="62">
        <f>ROUND((G498-F498),4)</f>
        <v>1.3</v>
      </c>
    </row>
    <row r="499" spans="1:12" ht="23" customHeight="1">
      <c r="A499" s="6">
        <v>5</v>
      </c>
      <c r="B499" s="6">
        <v>2</v>
      </c>
      <c r="C499" s="6">
        <v>142</v>
      </c>
      <c r="D499" s="6">
        <v>142</v>
      </c>
      <c r="E499" s="6">
        <v>143</v>
      </c>
      <c r="F499" s="61">
        <v>24.7</v>
      </c>
      <c r="G499" s="61">
        <v>26</v>
      </c>
      <c r="H499" s="62">
        <f>ROUND((G499-F499),4)</f>
        <v>1.3</v>
      </c>
    </row>
    <row r="500" spans="1:12" ht="23" customHeight="1">
      <c r="A500" s="6">
        <v>5</v>
      </c>
      <c r="B500" s="6">
        <v>2</v>
      </c>
      <c r="C500" s="6">
        <v>143</v>
      </c>
      <c r="D500" s="6">
        <v>143</v>
      </c>
      <c r="E500" s="6">
        <v>144</v>
      </c>
      <c r="F500" s="61">
        <v>26</v>
      </c>
      <c r="G500" s="61">
        <v>27.3</v>
      </c>
      <c r="H500" s="62">
        <f>ROUND((G500-F500),4)</f>
        <v>1.3</v>
      </c>
    </row>
    <row r="501" spans="1:12" ht="23" customHeight="1">
      <c r="A501" s="6">
        <v>5</v>
      </c>
      <c r="B501" s="6">
        <v>2</v>
      </c>
      <c r="C501" s="6">
        <v>144</v>
      </c>
      <c r="D501" s="6">
        <v>144</v>
      </c>
      <c r="E501" s="6">
        <v>145</v>
      </c>
      <c r="F501" s="61">
        <v>27.3</v>
      </c>
      <c r="G501" s="61">
        <v>28.6</v>
      </c>
      <c r="H501" s="62">
        <f>ROUND((G501-F501),4)</f>
        <v>1.3</v>
      </c>
    </row>
    <row r="502" spans="1:12" ht="23" customHeight="1">
      <c r="A502" s="6">
        <v>5</v>
      </c>
      <c r="B502" s="6">
        <v>2</v>
      </c>
      <c r="C502" s="6">
        <v>145</v>
      </c>
      <c r="D502" s="6">
        <v>145</v>
      </c>
      <c r="E502" s="6">
        <v>146</v>
      </c>
      <c r="F502" s="61">
        <v>28.6</v>
      </c>
      <c r="G502" s="61">
        <v>29.9</v>
      </c>
      <c r="H502" s="62">
        <f>ROUND((G502-F502),4)</f>
        <v>1.3</v>
      </c>
    </row>
    <row r="503" spans="1:12" ht="23" customHeight="1">
      <c r="A503" s="6">
        <v>5</v>
      </c>
      <c r="B503" s="6">
        <v>2</v>
      </c>
      <c r="C503" s="6">
        <v>146</v>
      </c>
      <c r="D503" s="6">
        <v>146</v>
      </c>
      <c r="E503" s="6">
        <v>147</v>
      </c>
      <c r="F503" s="61">
        <v>29.9</v>
      </c>
      <c r="G503" s="61">
        <v>31</v>
      </c>
      <c r="H503" s="62">
        <f>ROUND((G503-F503),4)</f>
        <v>1.1</v>
      </c>
    </row>
    <row r="504" spans="1:12" ht="23" customHeight="1">
      <c r="A504" s="6">
        <v>6</v>
      </c>
      <c r="B504" s="6">
        <v>3</v>
      </c>
      <c r="C504" s="6">
        <v>148</v>
      </c>
      <c r="D504" s="6">
        <v>148</v>
      </c>
      <c r="E504" s="6">
        <v>149</v>
      </c>
      <c r="F504" s="61">
        <v>0</v>
      </c>
      <c r="G504" s="61">
        <v>1.3</v>
      </c>
      <c r="H504" s="62">
        <f>ROUND((G504-F504),4)</f>
        <v>1.3</v>
      </c>
    </row>
    <row r="505" spans="1:12" ht="23" customHeight="1">
      <c r="A505" s="6">
        <v>6</v>
      </c>
      <c r="B505" s="6">
        <v>3</v>
      </c>
      <c r="C505" s="6">
        <v>149</v>
      </c>
      <c r="D505" s="6">
        <v>149</v>
      </c>
      <c r="E505" s="6">
        <v>150</v>
      </c>
      <c r="F505" s="61">
        <v>1.3</v>
      </c>
      <c r="G505" s="61">
        <v>2.6</v>
      </c>
      <c r="H505" s="62">
        <f>ROUND((G505-F505),4)</f>
        <v>1.3</v>
      </c>
    </row>
    <row r="506" spans="1:12" ht="24" customHeight="1">
      <c r="A506" s="3" t="s">
        <v>565</v>
      </c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spans="1:12" ht="36" customHeight="1">
      <c r="A507" s="4" t="s">
        <v>8</v>
      </c>
      <c r="B507" s="4" t="s">
        <v>9</v>
      </c>
      <c r="C507" s="4" t="s">
        <v>10</v>
      </c>
      <c r="D507" s="4" t="s">
        <v>11</v>
      </c>
      <c r="E507" s="4" t="s">
        <v>12</v>
      </c>
      <c r="F507" s="4" t="s">
        <v>566</v>
      </c>
      <c r="G507" s="4" t="s">
        <v>567</v>
      </c>
      <c r="H507" s="4" t="s">
        <v>201</v>
      </c>
    </row>
    <row r="508" spans="1:12" ht="23" customHeight="1">
      <c r="A508" s="6">
        <v>6</v>
      </c>
      <c r="B508" s="6">
        <v>3</v>
      </c>
      <c r="C508" s="6">
        <v>150</v>
      </c>
      <c r="D508" s="6">
        <v>150</v>
      </c>
      <c r="E508" s="6">
        <v>151</v>
      </c>
      <c r="F508" s="61">
        <v>2.6</v>
      </c>
      <c r="G508" s="61">
        <v>3.9</v>
      </c>
      <c r="H508" s="62">
        <f>ROUND((G508-F508),4)</f>
        <v>1.3</v>
      </c>
    </row>
    <row r="509" spans="1:12" ht="23" customHeight="1">
      <c r="A509" s="6">
        <v>6</v>
      </c>
      <c r="B509" s="6">
        <v>3</v>
      </c>
      <c r="C509" s="6">
        <v>151</v>
      </c>
      <c r="D509" s="6">
        <v>151</v>
      </c>
      <c r="E509" s="6">
        <v>152</v>
      </c>
      <c r="F509" s="61">
        <v>3.9</v>
      </c>
      <c r="G509" s="61">
        <v>5.2</v>
      </c>
      <c r="H509" s="62">
        <f>ROUND((G509-F509),4)</f>
        <v>1.3</v>
      </c>
    </row>
    <row r="510" spans="1:12" ht="23" customHeight="1">
      <c r="A510" s="6">
        <v>6</v>
      </c>
      <c r="B510" s="6">
        <v>3</v>
      </c>
      <c r="C510" s="6">
        <v>152</v>
      </c>
      <c r="D510" s="6">
        <v>152</v>
      </c>
      <c r="E510" s="6">
        <v>153</v>
      </c>
      <c r="F510" s="61">
        <v>5.2</v>
      </c>
      <c r="G510" s="61">
        <v>6.5</v>
      </c>
      <c r="H510" s="62">
        <f>ROUND((G510-F510),4)</f>
        <v>1.3</v>
      </c>
    </row>
    <row r="511" spans="1:12" ht="23" customHeight="1">
      <c r="A511" s="6">
        <v>6</v>
      </c>
      <c r="B511" s="6">
        <v>3</v>
      </c>
      <c r="C511" s="6">
        <v>153</v>
      </c>
      <c r="D511" s="6">
        <v>153</v>
      </c>
      <c r="E511" s="6">
        <v>154</v>
      </c>
      <c r="F511" s="61">
        <v>6.5</v>
      </c>
      <c r="G511" s="61">
        <v>7.8</v>
      </c>
      <c r="H511" s="62">
        <f>ROUND((G511-F511),4)</f>
        <v>1.3</v>
      </c>
    </row>
    <row r="512" spans="1:12" ht="23" customHeight="1">
      <c r="A512" s="6">
        <v>6</v>
      </c>
      <c r="B512" s="6">
        <v>3</v>
      </c>
      <c r="C512" s="6">
        <v>154</v>
      </c>
      <c r="D512" s="6">
        <v>154</v>
      </c>
      <c r="E512" s="6">
        <v>155</v>
      </c>
      <c r="F512" s="61">
        <v>7.8</v>
      </c>
      <c r="G512" s="61">
        <v>9.1</v>
      </c>
      <c r="H512" s="62">
        <f>ROUND((G512-F512),4)</f>
        <v>1.3</v>
      </c>
    </row>
    <row r="513" spans="1:12" ht="23" customHeight="1">
      <c r="A513" s="6">
        <v>6</v>
      </c>
      <c r="B513" s="6">
        <v>3</v>
      </c>
      <c r="C513" s="6">
        <v>155</v>
      </c>
      <c r="D513" s="6">
        <v>155</v>
      </c>
      <c r="E513" s="6">
        <v>156</v>
      </c>
      <c r="F513" s="61">
        <v>9.1</v>
      </c>
      <c r="G513" s="61">
        <v>10.4</v>
      </c>
      <c r="H513" s="62">
        <f>ROUND((G513-F513),4)</f>
        <v>1.3</v>
      </c>
    </row>
    <row r="514" spans="1:12" ht="23" customHeight="1">
      <c r="A514" s="6">
        <v>6</v>
      </c>
      <c r="B514" s="6">
        <v>3</v>
      </c>
      <c r="C514" s="6">
        <v>156</v>
      </c>
      <c r="D514" s="6">
        <v>156</v>
      </c>
      <c r="E514" s="6">
        <v>157</v>
      </c>
      <c r="F514" s="61">
        <v>10.4</v>
      </c>
      <c r="G514" s="61">
        <v>11.7</v>
      </c>
      <c r="H514" s="62">
        <f>ROUND((G514-F514),4)</f>
        <v>1.3</v>
      </c>
    </row>
    <row r="515" spans="1:12" ht="23" customHeight="1">
      <c r="A515" s="6">
        <v>6</v>
      </c>
      <c r="B515" s="6">
        <v>3</v>
      </c>
      <c r="C515" s="6">
        <v>157</v>
      </c>
      <c r="D515" s="6">
        <v>157</v>
      </c>
      <c r="E515" s="6">
        <v>158</v>
      </c>
      <c r="F515" s="61">
        <v>11.7</v>
      </c>
      <c r="G515" s="61">
        <v>13</v>
      </c>
      <c r="H515" s="62">
        <f>ROUND((G515-F515),4)</f>
        <v>1.3</v>
      </c>
    </row>
    <row r="516" spans="1:12" ht="23" customHeight="1">
      <c r="A516" s="6">
        <v>6</v>
      </c>
      <c r="B516" s="6">
        <v>3</v>
      </c>
      <c r="C516" s="6">
        <v>158</v>
      </c>
      <c r="D516" s="6">
        <v>158</v>
      </c>
      <c r="E516" s="6">
        <v>159</v>
      </c>
      <c r="F516" s="61">
        <v>13</v>
      </c>
      <c r="G516" s="61">
        <v>14.3</v>
      </c>
      <c r="H516" s="62">
        <f>ROUND((G516-F516),4)</f>
        <v>1.3</v>
      </c>
    </row>
    <row r="517" spans="1:12" ht="23" customHeight="1">
      <c r="A517" s="6">
        <v>6</v>
      </c>
      <c r="B517" s="6">
        <v>3</v>
      </c>
      <c r="C517" s="6">
        <v>159</v>
      </c>
      <c r="D517" s="6">
        <v>159</v>
      </c>
      <c r="E517" s="6">
        <v>160</v>
      </c>
      <c r="F517" s="61">
        <v>14.3</v>
      </c>
      <c r="G517" s="61">
        <v>15.6</v>
      </c>
      <c r="H517" s="62">
        <f>ROUND((G517-F517),4)</f>
        <v>1.3</v>
      </c>
    </row>
    <row r="518" spans="1:12" ht="23" customHeight="1">
      <c r="A518" s="6">
        <v>6</v>
      </c>
      <c r="B518" s="6">
        <v>3</v>
      </c>
      <c r="C518" s="6">
        <v>160</v>
      </c>
      <c r="D518" s="6">
        <v>160</v>
      </c>
      <c r="E518" s="6">
        <v>161</v>
      </c>
      <c r="F518" s="61">
        <v>15.6</v>
      </c>
      <c r="G518" s="61">
        <v>16.9</v>
      </c>
      <c r="H518" s="62">
        <f>ROUND((G518-F518),4)</f>
        <v>1.3</v>
      </c>
    </row>
    <row r="519" spans="1:12" ht="23" customHeight="1">
      <c r="A519" s="6">
        <v>6</v>
      </c>
      <c r="B519" s="6">
        <v>3</v>
      </c>
      <c r="C519" s="6">
        <v>161</v>
      </c>
      <c r="D519" s="6">
        <v>161</v>
      </c>
      <c r="E519" s="6">
        <v>162</v>
      </c>
      <c r="F519" s="61">
        <v>16.9</v>
      </c>
      <c r="G519" s="61">
        <v>18.2</v>
      </c>
      <c r="H519" s="62">
        <f>ROUND((G519-F519),4)</f>
        <v>1.3</v>
      </c>
    </row>
    <row r="520" spans="1:12" ht="23" customHeight="1">
      <c r="A520" s="6">
        <v>6</v>
      </c>
      <c r="B520" s="6">
        <v>3</v>
      </c>
      <c r="C520" s="6">
        <v>162</v>
      </c>
      <c r="D520" s="6">
        <v>162</v>
      </c>
      <c r="E520" s="6">
        <v>163</v>
      </c>
      <c r="F520" s="61">
        <v>18.2</v>
      </c>
      <c r="G520" s="61">
        <v>19.5</v>
      </c>
      <c r="H520" s="62">
        <f>ROUND((G520-F520),4)</f>
        <v>1.3</v>
      </c>
    </row>
    <row r="521" spans="1:12" ht="23" customHeight="1">
      <c r="A521" s="6">
        <v>6</v>
      </c>
      <c r="B521" s="6">
        <v>3</v>
      </c>
      <c r="C521" s="6">
        <v>163</v>
      </c>
      <c r="D521" s="6">
        <v>163</v>
      </c>
      <c r="E521" s="6">
        <v>164</v>
      </c>
      <c r="F521" s="61">
        <v>19.5</v>
      </c>
      <c r="G521" s="61">
        <v>20.8</v>
      </c>
      <c r="H521" s="62">
        <f>ROUND((G521-F521),4)</f>
        <v>1.3</v>
      </c>
    </row>
    <row r="522" spans="1:12" ht="23" customHeight="1">
      <c r="A522" s="6">
        <v>6</v>
      </c>
      <c r="B522" s="6">
        <v>3</v>
      </c>
      <c r="C522" s="6">
        <v>164</v>
      </c>
      <c r="D522" s="6">
        <v>164</v>
      </c>
      <c r="E522" s="6">
        <v>165</v>
      </c>
      <c r="F522" s="61">
        <v>20.8</v>
      </c>
      <c r="G522" s="61">
        <v>22.1</v>
      </c>
      <c r="H522" s="62">
        <f>ROUND((G522-F522),4)</f>
        <v>1.3</v>
      </c>
    </row>
    <row r="523" spans="1:12" ht="24" customHeight="1">
      <c r="A523" s="3" t="s">
        <v>565</v>
      </c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36" customHeight="1">
      <c r="A524" s="4" t="s">
        <v>8</v>
      </c>
      <c r="B524" s="4" t="s">
        <v>9</v>
      </c>
      <c r="C524" s="4" t="s">
        <v>10</v>
      </c>
      <c r="D524" s="4" t="s">
        <v>11</v>
      </c>
      <c r="E524" s="4" t="s">
        <v>12</v>
      </c>
      <c r="F524" s="4" t="s">
        <v>566</v>
      </c>
      <c r="G524" s="4" t="s">
        <v>567</v>
      </c>
      <c r="H524" s="4" t="s">
        <v>201</v>
      </c>
    </row>
    <row r="525" spans="1:12" ht="23" customHeight="1">
      <c r="A525" s="6">
        <v>6</v>
      </c>
      <c r="B525" s="6">
        <v>3</v>
      </c>
      <c r="C525" s="6">
        <v>165</v>
      </c>
      <c r="D525" s="6">
        <v>165</v>
      </c>
      <c r="E525" s="6">
        <v>166</v>
      </c>
      <c r="F525" s="61">
        <v>22.1</v>
      </c>
      <c r="G525" s="61">
        <v>23.4</v>
      </c>
      <c r="H525" s="62">
        <f>ROUND((G525-F525),4)</f>
        <v>1.3</v>
      </c>
    </row>
    <row r="526" spans="1:12" ht="23" customHeight="1">
      <c r="A526" s="6">
        <v>6</v>
      </c>
      <c r="B526" s="6">
        <v>3</v>
      </c>
      <c r="C526" s="6">
        <v>166</v>
      </c>
      <c r="D526" s="6">
        <v>166</v>
      </c>
      <c r="E526" s="6">
        <v>167</v>
      </c>
      <c r="F526" s="61">
        <v>23.4</v>
      </c>
      <c r="G526" s="61">
        <v>24.7</v>
      </c>
      <c r="H526" s="62">
        <f>ROUND((G526-F526),4)</f>
        <v>1.3</v>
      </c>
    </row>
    <row r="527" spans="1:12" ht="23" customHeight="1">
      <c r="A527" s="6">
        <v>6</v>
      </c>
      <c r="B527" s="6">
        <v>3</v>
      </c>
      <c r="C527" s="6">
        <v>167</v>
      </c>
      <c r="D527" s="6">
        <v>167</v>
      </c>
      <c r="E527" s="6">
        <v>168</v>
      </c>
      <c r="F527" s="61">
        <v>24.7</v>
      </c>
      <c r="G527" s="61">
        <v>26</v>
      </c>
      <c r="H527" s="62">
        <f>ROUND((G527-F527),4)</f>
        <v>1.3</v>
      </c>
    </row>
    <row r="528" spans="1:12" ht="23" customHeight="1">
      <c r="A528" s="6">
        <v>6</v>
      </c>
      <c r="B528" s="6">
        <v>3</v>
      </c>
      <c r="C528" s="6">
        <v>168</v>
      </c>
      <c r="D528" s="6">
        <v>168</v>
      </c>
      <c r="E528" s="6">
        <v>169</v>
      </c>
      <c r="F528" s="61">
        <v>26</v>
      </c>
      <c r="G528" s="61">
        <v>27.3</v>
      </c>
      <c r="H528" s="62">
        <f>ROUND((G528-F528),4)</f>
        <v>1.3</v>
      </c>
    </row>
    <row r="529" spans="1:12" ht="23" customHeight="1">
      <c r="A529" s="6">
        <v>6</v>
      </c>
      <c r="B529" s="6">
        <v>3</v>
      </c>
      <c r="C529" s="6">
        <v>169</v>
      </c>
      <c r="D529" s="6">
        <v>169</v>
      </c>
      <c r="E529" s="6">
        <v>170</v>
      </c>
      <c r="F529" s="61">
        <v>27.3</v>
      </c>
      <c r="G529" s="61">
        <v>28.6</v>
      </c>
      <c r="H529" s="62">
        <f>ROUND((G529-F529),4)</f>
        <v>1.3</v>
      </c>
    </row>
    <row r="530" spans="1:12" ht="23" customHeight="1">
      <c r="A530" s="6">
        <v>6</v>
      </c>
      <c r="B530" s="6">
        <v>3</v>
      </c>
      <c r="C530" s="6">
        <v>170</v>
      </c>
      <c r="D530" s="6">
        <v>170</v>
      </c>
      <c r="E530" s="6">
        <v>171</v>
      </c>
      <c r="F530" s="61">
        <v>28.6</v>
      </c>
      <c r="G530" s="61">
        <v>29.9</v>
      </c>
      <c r="H530" s="62">
        <f>ROUND((G530-F530),4)</f>
        <v>1.3</v>
      </c>
    </row>
    <row r="531" spans="1:12" ht="23" customHeight="1">
      <c r="A531" s="6">
        <v>6</v>
      </c>
      <c r="B531" s="6">
        <v>3</v>
      </c>
      <c r="C531" s="6">
        <v>171</v>
      </c>
      <c r="D531" s="6">
        <v>171</v>
      </c>
      <c r="E531" s="6">
        <v>172</v>
      </c>
      <c r="F531" s="61">
        <v>29.9</v>
      </c>
      <c r="G531" s="61">
        <v>31</v>
      </c>
      <c r="H531" s="62">
        <f>ROUND((G531-F531),4)</f>
        <v>1.1</v>
      </c>
    </row>
    <row r="532" spans="1:12" ht="23" customHeight="1"/>
    <row r="533" spans="1:12" ht="24" customHeight="1">
      <c r="A533" s="3" t="s">
        <v>568</v>
      </c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36" customHeight="1">
      <c r="A534" s="4" t="s">
        <v>8</v>
      </c>
      <c r="B534" s="4" t="s">
        <v>9</v>
      </c>
      <c r="C534" s="4" t="s">
        <v>10</v>
      </c>
      <c r="D534" s="4" t="s">
        <v>569</v>
      </c>
      <c r="E534" s="4" t="s">
        <v>570</v>
      </c>
      <c r="F534" s="4" t="s">
        <v>571</v>
      </c>
      <c r="G534" s="4" t="s">
        <v>572</v>
      </c>
      <c r="H534" s="4" t="s">
        <v>188</v>
      </c>
    </row>
    <row r="535" spans="1:12" ht="23" customHeight="1">
      <c r="A535" s="6">
        <v>4</v>
      </c>
      <c r="B535" s="6">
        <v>1</v>
      </c>
      <c r="C535" s="5" t="s">
        <v>573</v>
      </c>
      <c r="D535" s="9" t="s">
        <v>574</v>
      </c>
      <c r="E535" s="9">
        <f>'水平地盤ばね'!G3</f>
        <v>58812.0</v>
      </c>
      <c r="F535" s="6">
        <f>E535</f>
        <v>58812.0</v>
      </c>
      <c r="G535" s="7">
        <v>58812</v>
      </c>
      <c r="H535" s="9">
        <f>(F535-G535)</f>
        <v>0.0</v>
      </c>
    </row>
    <row r="536" spans="1:12" ht="23" customHeight="1">
      <c r="A536" s="6">
        <v>4</v>
      </c>
      <c r="B536" s="6">
        <v>1</v>
      </c>
      <c r="C536" s="5" t="s">
        <v>575</v>
      </c>
      <c r="D536" s="9" t="s">
        <v>576</v>
      </c>
      <c r="E536" s="9">
        <f>'水平地盤ばね'!G4</f>
        <v>272085.9230769231</v>
      </c>
      <c r="F536" s="6">
        <f>ROUND(E536,0)</f>
        <v>272086.0</v>
      </c>
      <c r="G536" s="7">
        <v>272086</v>
      </c>
      <c r="H536" s="9">
        <f>(F536-G536)</f>
        <v>0.0</v>
      </c>
    </row>
    <row r="537" spans="1:12" ht="23" customHeight="1">
      <c r="A537" s="6">
        <v>4</v>
      </c>
      <c r="B537" s="6">
        <v>1</v>
      </c>
      <c r="C537" s="5" t="s">
        <v>577</v>
      </c>
      <c r="D537" s="9" t="s">
        <v>576</v>
      </c>
      <c r="E537" s="9">
        <f>'水平地盤ばね'!G6</f>
        <v>141501.07692307694</v>
      </c>
      <c r="F537" s="6">
        <f>ROUND(E537,0)</f>
        <v>141501.0</v>
      </c>
      <c r="G537" s="7">
        <v>141501</v>
      </c>
      <c r="H537" s="9">
        <f>(F537-G537)</f>
        <v>0.0</v>
      </c>
    </row>
    <row r="538" spans="1:12" ht="23" customHeight="1">
      <c r="A538" s="6">
        <v>4</v>
      </c>
      <c r="B538" s="6">
        <v>1</v>
      </c>
      <c r="C538" s="5" t="s">
        <v>578</v>
      </c>
      <c r="D538" s="9" t="s">
        <v>574</v>
      </c>
      <c r="E538" s="9">
        <f>'水平地盤ばね'!G8</f>
        <v>110708.0</v>
      </c>
      <c r="F538" s="6">
        <f>E538</f>
        <v>110708.0</v>
      </c>
      <c r="G538" s="7">
        <v>110708</v>
      </c>
      <c r="H538" s="9">
        <f>(F538-G538)</f>
        <v>0.0</v>
      </c>
    </row>
    <row r="539" spans="1:12" ht="24" customHeight="1">
      <c r="A539" s="3" t="s">
        <v>568</v>
      </c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36" customHeight="1">
      <c r="A540" s="4" t="s">
        <v>8</v>
      </c>
      <c r="B540" s="4" t="s">
        <v>9</v>
      </c>
      <c r="C540" s="4" t="s">
        <v>10</v>
      </c>
      <c r="D540" s="4" t="s">
        <v>569</v>
      </c>
      <c r="E540" s="4" t="s">
        <v>570</v>
      </c>
      <c r="F540" s="4" t="s">
        <v>571</v>
      </c>
      <c r="G540" s="4" t="s">
        <v>572</v>
      </c>
      <c r="H540" s="4" t="s">
        <v>188</v>
      </c>
    </row>
    <row r="541" spans="1:12" ht="23" customHeight="1">
      <c r="A541" s="6">
        <v>4</v>
      </c>
      <c r="B541" s="6">
        <v>1</v>
      </c>
      <c r="C541" s="5" t="s">
        <v>579</v>
      </c>
      <c r="D541" s="9" t="s">
        <v>576</v>
      </c>
      <c r="E541" s="9">
        <f>'水平地盤ばね'!G9</f>
        <v>208028.61538461538</v>
      </c>
      <c r="F541" s="6">
        <f>ROUND(E541,0)</f>
        <v>208029.0</v>
      </c>
      <c r="G541" s="7">
        <v>208029</v>
      </c>
      <c r="H541" s="9">
        <f>(F541-G541)</f>
        <v>0.0</v>
      </c>
    </row>
    <row r="542" spans="1:12" ht="23" customHeight="1">
      <c r="A542" s="6">
        <v>4</v>
      </c>
      <c r="B542" s="6">
        <v>1</v>
      </c>
      <c r="C542" s="5" t="s">
        <v>580</v>
      </c>
      <c r="D542" s="9" t="s">
        <v>574</v>
      </c>
      <c r="E542" s="9">
        <f>'水平地盤ばね'!G11</f>
        <v>268854.0</v>
      </c>
      <c r="F542" s="6">
        <f>E542</f>
        <v>268854.0</v>
      </c>
      <c r="G542" s="7">
        <v>268854</v>
      </c>
      <c r="H542" s="9">
        <f>(F542-G542)</f>
        <v>0.0</v>
      </c>
    </row>
    <row r="543" spans="1:12" ht="23" customHeight="1">
      <c r="A543" s="6">
        <v>4</v>
      </c>
      <c r="B543" s="6">
        <v>1</v>
      </c>
      <c r="C543" s="5" t="s">
        <v>581</v>
      </c>
      <c r="D543" s="9" t="s">
        <v>576</v>
      </c>
      <c r="E543" s="9">
        <f>'水平地盤ばね'!G12</f>
        <v>363439.69230769225</v>
      </c>
      <c r="F543" s="6">
        <f>ROUND(E543,0)</f>
        <v>363440.0</v>
      </c>
      <c r="G543" s="7">
        <v>363440</v>
      </c>
      <c r="H543" s="9">
        <f>(F543-G543)</f>
        <v>0.0</v>
      </c>
    </row>
    <row r="544" spans="1:12" ht="23" customHeight="1">
      <c r="A544" s="6">
        <v>4</v>
      </c>
      <c r="B544" s="6">
        <v>1</v>
      </c>
      <c r="C544" s="5" t="s">
        <v>582</v>
      </c>
      <c r="D544" s="9" t="s">
        <v>574</v>
      </c>
      <c r="E544" s="9">
        <f>'水平地盤ばね'!G15</f>
        <v>403280.0</v>
      </c>
      <c r="F544" s="6">
        <f>E544</f>
        <v>403280.0</v>
      </c>
      <c r="G544" s="7">
        <v>403280</v>
      </c>
      <c r="H544" s="9">
        <f>(F544-G544)</f>
        <v>0.0</v>
      </c>
    </row>
    <row r="545" spans="1:12" ht="23" customHeight="1">
      <c r="A545" s="6">
        <v>4</v>
      </c>
      <c r="B545" s="6">
        <v>1</v>
      </c>
      <c r="C545" s="5" t="s">
        <v>583</v>
      </c>
      <c r="D545" s="9" t="s">
        <v>574</v>
      </c>
      <c r="E545" s="9">
        <f>'水平地盤ばね'!G16</f>
        <v>403280.0</v>
      </c>
      <c r="F545" s="6">
        <f>E545</f>
        <v>403280.0</v>
      </c>
      <c r="G545" s="7">
        <v>403280</v>
      </c>
      <c r="H545" s="9">
        <f>(F545-G545)</f>
        <v>0.0</v>
      </c>
    </row>
    <row r="546" spans="1:12" ht="23" customHeight="1">
      <c r="A546" s="6">
        <v>4</v>
      </c>
      <c r="B546" s="6">
        <v>1</v>
      </c>
      <c r="C546" s="5" t="s">
        <v>584</v>
      </c>
      <c r="D546" s="9" t="s">
        <v>574</v>
      </c>
      <c r="E546" s="9">
        <f>'水平地盤ばね'!G17</f>
        <v>403280.0</v>
      </c>
      <c r="F546" s="6">
        <f>E546</f>
        <v>403280.0</v>
      </c>
      <c r="G546" s="7">
        <v>403280</v>
      </c>
      <c r="H546" s="9">
        <f>(F546-G546)</f>
        <v>0.0</v>
      </c>
    </row>
    <row r="547" spans="1:12" ht="23" customHeight="1">
      <c r="A547" s="6">
        <v>4</v>
      </c>
      <c r="B547" s="6">
        <v>1</v>
      </c>
      <c r="C547" s="5" t="s">
        <v>585</v>
      </c>
      <c r="D547" s="9" t="s">
        <v>574</v>
      </c>
      <c r="E547" s="9">
        <f>'水平地盤ばね'!G18</f>
        <v>403280.0</v>
      </c>
      <c r="F547" s="6">
        <f>E547</f>
        <v>403280.0</v>
      </c>
      <c r="G547" s="7">
        <v>403280</v>
      </c>
      <c r="H547" s="9">
        <f>(F547-G547)</f>
        <v>0.0</v>
      </c>
    </row>
    <row r="548" spans="1:12" ht="23" customHeight="1">
      <c r="A548" s="6">
        <v>4</v>
      </c>
      <c r="B548" s="6">
        <v>1</v>
      </c>
      <c r="C548" s="5" t="s">
        <v>586</v>
      </c>
      <c r="D548" s="9" t="s">
        <v>574</v>
      </c>
      <c r="E548" s="9">
        <f>'水平地盤ばね'!G19</f>
        <v>403280.0</v>
      </c>
      <c r="F548" s="6">
        <f>E548</f>
        <v>403280.0</v>
      </c>
      <c r="G548" s="7">
        <v>403280</v>
      </c>
      <c r="H548" s="9">
        <f>(F548-G548)</f>
        <v>0.0</v>
      </c>
    </row>
    <row r="549" spans="1:12" ht="23" customHeight="1">
      <c r="A549" s="6">
        <v>4</v>
      </c>
      <c r="B549" s="6">
        <v>1</v>
      </c>
      <c r="C549" s="5" t="s">
        <v>587</v>
      </c>
      <c r="D549" s="9" t="s">
        <v>574</v>
      </c>
      <c r="E549" s="9">
        <f>'水平地盤ばね'!G20</f>
        <v>403280.0</v>
      </c>
      <c r="F549" s="6">
        <f>E549</f>
        <v>403280.0</v>
      </c>
      <c r="G549" s="7">
        <v>403280</v>
      </c>
      <c r="H549" s="9">
        <f>(F549-G549)</f>
        <v>0.0</v>
      </c>
    </row>
    <row r="550" spans="1:12" ht="23" customHeight="1">
      <c r="A550" s="6">
        <v>4</v>
      </c>
      <c r="B550" s="6">
        <v>1</v>
      </c>
      <c r="C550" s="5" t="s">
        <v>588</v>
      </c>
      <c r="D550" s="9" t="s">
        <v>574</v>
      </c>
      <c r="E550" s="9">
        <f>'水平地盤ばね'!G21</f>
        <v>403280.0</v>
      </c>
      <c r="F550" s="6">
        <f>E550</f>
        <v>403280.0</v>
      </c>
      <c r="G550" s="7">
        <v>403280</v>
      </c>
      <c r="H550" s="9">
        <f>(F550-G550)</f>
        <v>0.0</v>
      </c>
    </row>
    <row r="551" spans="1:12" ht="23" customHeight="1">
      <c r="A551" s="6">
        <v>4</v>
      </c>
      <c r="B551" s="6">
        <v>1</v>
      </c>
      <c r="C551" s="5" t="s">
        <v>589</v>
      </c>
      <c r="D551" s="9" t="s">
        <v>576</v>
      </c>
      <c r="E551" s="9">
        <f>'水平地盤ばね'!G22</f>
        <v>225971.00000000003</v>
      </c>
      <c r="F551" s="6">
        <f>ROUND(E551,0)</f>
        <v>225971.0</v>
      </c>
      <c r="G551" s="7">
        <v>225971</v>
      </c>
      <c r="H551" s="9">
        <f>(F551-G551)</f>
        <v>0.0</v>
      </c>
    </row>
    <row r="552" spans="1:12" ht="23" customHeight="1">
      <c r="A552" s="6">
        <v>4</v>
      </c>
      <c r="B552" s="6">
        <v>1</v>
      </c>
      <c r="C552" s="5" t="s">
        <v>590</v>
      </c>
      <c r="D552" s="9" t="s">
        <v>574</v>
      </c>
      <c r="E552" s="9">
        <f>'水平地盤ばね'!G24</f>
        <v>193733.0</v>
      </c>
      <c r="F552" s="6">
        <f>E552</f>
        <v>193733.0</v>
      </c>
      <c r="G552" s="7">
        <v>193733</v>
      </c>
      <c r="H552" s="9">
        <f>(F552-G552)</f>
        <v>0.0</v>
      </c>
    </row>
    <row r="553" spans="1:12" ht="23" customHeight="1">
      <c r="A553" s="6">
        <v>4</v>
      </c>
      <c r="B553" s="6">
        <v>1</v>
      </c>
      <c r="C553" s="5" t="s">
        <v>591</v>
      </c>
      <c r="D553" s="9" t="s">
        <v>574</v>
      </c>
      <c r="E553" s="9">
        <f>'水平地盤ばね'!G25</f>
        <v>193733.0</v>
      </c>
      <c r="F553" s="6">
        <f>E553</f>
        <v>193733.0</v>
      </c>
      <c r="G553" s="7">
        <v>193733</v>
      </c>
      <c r="H553" s="9">
        <f>(F553-G553)</f>
        <v>0.0</v>
      </c>
    </row>
    <row r="554" spans="1:12" ht="23" customHeight="1">
      <c r="A554" s="6">
        <v>4</v>
      </c>
      <c r="B554" s="6">
        <v>1</v>
      </c>
      <c r="C554" s="5" t="s">
        <v>592</v>
      </c>
      <c r="D554" s="9" t="s">
        <v>574</v>
      </c>
      <c r="E554" s="9">
        <f>'水平地盤ばね'!G26</f>
        <v>193733.0</v>
      </c>
      <c r="F554" s="6">
        <f>E554</f>
        <v>193733.0</v>
      </c>
      <c r="G554" s="7">
        <v>193733</v>
      </c>
      <c r="H554" s="9">
        <f>(F554-G554)</f>
        <v>0.0</v>
      </c>
    </row>
    <row r="555" spans="1:12" ht="23" customHeight="1">
      <c r="A555" s="6">
        <v>4</v>
      </c>
      <c r="B555" s="6">
        <v>1</v>
      </c>
      <c r="C555" s="5" t="s">
        <v>593</v>
      </c>
      <c r="D555" s="9" t="s">
        <v>574</v>
      </c>
      <c r="E555" s="9">
        <f>'水平地盤ばね'!G27</f>
        <v>193733.0</v>
      </c>
      <c r="F555" s="6">
        <f>E555</f>
        <v>193733.0</v>
      </c>
      <c r="G555" s="7">
        <v>193733</v>
      </c>
      <c r="H555" s="9">
        <f>(F555-G555)</f>
        <v>0.0</v>
      </c>
    </row>
    <row r="556" spans="1:12" ht="24" customHeight="1">
      <c r="A556" s="3" t="s">
        <v>568</v>
      </c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spans="1:12" ht="36" customHeight="1">
      <c r="A557" s="4" t="s">
        <v>8</v>
      </c>
      <c r="B557" s="4" t="s">
        <v>9</v>
      </c>
      <c r="C557" s="4" t="s">
        <v>10</v>
      </c>
      <c r="D557" s="4" t="s">
        <v>569</v>
      </c>
      <c r="E557" s="4" t="s">
        <v>570</v>
      </c>
      <c r="F557" s="4" t="s">
        <v>571</v>
      </c>
      <c r="G557" s="4" t="s">
        <v>572</v>
      </c>
      <c r="H557" s="4" t="s">
        <v>188</v>
      </c>
    </row>
    <row r="558" spans="1:12" ht="23" customHeight="1">
      <c r="A558" s="6">
        <v>4</v>
      </c>
      <c r="B558" s="6">
        <v>1</v>
      </c>
      <c r="C558" s="5" t="s">
        <v>594</v>
      </c>
      <c r="D558" s="9" t="s">
        <v>574</v>
      </c>
      <c r="E558" s="9">
        <f>'水平地盤ばね'!G28</f>
        <v>193733.0</v>
      </c>
      <c r="F558" s="6">
        <f>E558</f>
        <v>193733.0</v>
      </c>
      <c r="G558" s="7">
        <v>193733</v>
      </c>
      <c r="H558" s="9">
        <f>(F558-G558)</f>
        <v>0.0</v>
      </c>
    </row>
    <row r="559" spans="1:12" ht="23" customHeight="1">
      <c r="A559" s="6">
        <v>4</v>
      </c>
      <c r="B559" s="6">
        <v>1</v>
      </c>
      <c r="C559" s="5" t="s">
        <v>595</v>
      </c>
      <c r="D559" s="9" t="s">
        <v>574</v>
      </c>
      <c r="E559" s="9">
        <f>'水平地盤ばね'!G29</f>
        <v>193733.0</v>
      </c>
      <c r="F559" s="6">
        <f>E559</f>
        <v>193733.0</v>
      </c>
      <c r="G559" s="7">
        <v>193733</v>
      </c>
      <c r="H559" s="9">
        <f>(F559-G559)</f>
        <v>0.0</v>
      </c>
    </row>
    <row r="560" spans="1:12" ht="23" customHeight="1">
      <c r="A560" s="6">
        <v>4</v>
      </c>
      <c r="B560" s="6">
        <v>1</v>
      </c>
      <c r="C560" s="5" t="s">
        <v>596</v>
      </c>
      <c r="D560" s="9" t="s">
        <v>574</v>
      </c>
      <c r="E560" s="9">
        <f>'水平地盤ばね'!G30</f>
        <v>193733.0</v>
      </c>
      <c r="F560" s="6">
        <f>E560</f>
        <v>193733.0</v>
      </c>
      <c r="G560" s="7">
        <v>193733</v>
      </c>
      <c r="H560" s="9">
        <f>(F560-G560)</f>
        <v>0.0</v>
      </c>
    </row>
    <row r="561" spans="1:12" ht="23" customHeight="1">
      <c r="A561" s="6">
        <v>4</v>
      </c>
      <c r="B561" s="6">
        <v>1</v>
      </c>
      <c r="C561" s="5" t="s">
        <v>597</v>
      </c>
      <c r="D561" s="9" t="s">
        <v>574</v>
      </c>
      <c r="E561" s="9">
        <f>'水平地盤ばね'!G31</f>
        <v>193733.0</v>
      </c>
      <c r="F561" s="6">
        <f>E561</f>
        <v>193733.0</v>
      </c>
      <c r="G561" s="7">
        <v>193733</v>
      </c>
      <c r="H561" s="9">
        <f>(F561-G561)</f>
        <v>0.0</v>
      </c>
    </row>
    <row r="562" spans="1:12" ht="23" customHeight="1">
      <c r="A562" s="6">
        <v>4</v>
      </c>
      <c r="B562" s="6">
        <v>1</v>
      </c>
      <c r="C562" s="5" t="s">
        <v>598</v>
      </c>
      <c r="D562" s="9" t="s">
        <v>574</v>
      </c>
      <c r="E562" s="9">
        <f>'水平地盤ばね'!G32</f>
        <v>193733.0</v>
      </c>
      <c r="F562" s="6">
        <f>E562</f>
        <v>193733.0</v>
      </c>
      <c r="G562" s="7">
        <v>193733</v>
      </c>
      <c r="H562" s="9">
        <f>(F562-G562)</f>
        <v>0.0</v>
      </c>
    </row>
    <row r="563" spans="1:12" ht="23" customHeight="1">
      <c r="A563" s="6">
        <v>5</v>
      </c>
      <c r="B563" s="6">
        <v>2</v>
      </c>
      <c r="C563" s="5" t="s">
        <v>599</v>
      </c>
      <c r="D563" s="9" t="s">
        <v>574</v>
      </c>
      <c r="E563" s="9">
        <f>'水平地盤ばね'!N3</f>
        <v>39208.0</v>
      </c>
      <c r="F563" s="6">
        <f>E563</f>
        <v>39208.0</v>
      </c>
      <c r="G563" s="7">
        <v>39208</v>
      </c>
      <c r="H563" s="9">
        <f>(F563-G563)</f>
        <v>0.0</v>
      </c>
    </row>
    <row r="564" spans="1:12" ht="23" customHeight="1">
      <c r="A564" s="6">
        <v>5</v>
      </c>
      <c r="B564" s="6">
        <v>2</v>
      </c>
      <c r="C564" s="5" t="s">
        <v>600</v>
      </c>
      <c r="D564" s="9" t="s">
        <v>576</v>
      </c>
      <c r="E564" s="9">
        <f>'水平地盤ばね'!N4</f>
        <v>181390.6153846154</v>
      </c>
      <c r="F564" s="6">
        <f>ROUND(E564,0)</f>
        <v>181391.0</v>
      </c>
      <c r="G564" s="7">
        <v>181391</v>
      </c>
      <c r="H564" s="9">
        <f>(F564-G564)</f>
        <v>0.0</v>
      </c>
    </row>
    <row r="565" spans="1:12" ht="23" customHeight="1">
      <c r="A565" s="6">
        <v>5</v>
      </c>
      <c r="B565" s="6">
        <v>2</v>
      </c>
      <c r="C565" s="5" t="s">
        <v>601</v>
      </c>
      <c r="D565" s="9" t="s">
        <v>576</v>
      </c>
      <c r="E565" s="9">
        <f>'水平地盤ばね'!N6</f>
        <v>94333.76923076922</v>
      </c>
      <c r="F565" s="6">
        <f>ROUND(E565,0)</f>
        <v>94334.0</v>
      </c>
      <c r="G565" s="7">
        <v>94334</v>
      </c>
      <c r="H565" s="9">
        <f>(F565-G565)</f>
        <v>0.0</v>
      </c>
    </row>
    <row r="566" spans="1:12" ht="23" customHeight="1">
      <c r="A566" s="6">
        <v>5</v>
      </c>
      <c r="B566" s="6">
        <v>2</v>
      </c>
      <c r="C566" s="5" t="s">
        <v>602</v>
      </c>
      <c r="D566" s="9" t="s">
        <v>574</v>
      </c>
      <c r="E566" s="9">
        <f>'水平地盤ばね'!N8</f>
        <v>73805.0</v>
      </c>
      <c r="F566" s="6">
        <f>E566</f>
        <v>73805.0</v>
      </c>
      <c r="G566" s="7">
        <v>73805</v>
      </c>
      <c r="H566" s="9">
        <f>(F566-G566)</f>
        <v>0.0</v>
      </c>
    </row>
    <row r="567" spans="1:12" ht="23" customHeight="1">
      <c r="A567" s="6">
        <v>5</v>
      </c>
      <c r="B567" s="6">
        <v>2</v>
      </c>
      <c r="C567" s="5" t="s">
        <v>603</v>
      </c>
      <c r="D567" s="9" t="s">
        <v>576</v>
      </c>
      <c r="E567" s="9">
        <f>'水平地盤ばね'!N9</f>
        <v>138685.6153846154</v>
      </c>
      <c r="F567" s="6">
        <f>ROUND(E567,0)</f>
        <v>138686.0</v>
      </c>
      <c r="G567" s="7">
        <v>138686</v>
      </c>
      <c r="H567" s="9">
        <f>(F567-G567)</f>
        <v>0.0</v>
      </c>
    </row>
    <row r="568" spans="1:12" ht="23" customHeight="1">
      <c r="A568" s="6">
        <v>5</v>
      </c>
      <c r="B568" s="6">
        <v>2</v>
      </c>
      <c r="C568" s="5" t="s">
        <v>604</v>
      </c>
      <c r="D568" s="9" t="s">
        <v>574</v>
      </c>
      <c r="E568" s="9">
        <f>'水平地盤ばね'!N11</f>
        <v>179236.0</v>
      </c>
      <c r="F568" s="6">
        <f>E568</f>
        <v>179236.0</v>
      </c>
      <c r="G568" s="7">
        <v>179236</v>
      </c>
      <c r="H568" s="9">
        <f>(F568-G568)</f>
        <v>0.0</v>
      </c>
    </row>
    <row r="569" spans="1:12" ht="23" customHeight="1">
      <c r="A569" s="6">
        <v>5</v>
      </c>
      <c r="B569" s="6">
        <v>2</v>
      </c>
      <c r="C569" s="5" t="s">
        <v>605</v>
      </c>
      <c r="D569" s="9" t="s">
        <v>576</v>
      </c>
      <c r="E569" s="9">
        <f>'水平地盤ばね'!N12</f>
        <v>242293.0769230769</v>
      </c>
      <c r="F569" s="6">
        <f>ROUND(E569,0)</f>
        <v>242293.0</v>
      </c>
      <c r="G569" s="7">
        <v>242293</v>
      </c>
      <c r="H569" s="9">
        <f>(F569-G569)</f>
        <v>0.0</v>
      </c>
    </row>
    <row r="570" spans="1:12" ht="23" customHeight="1">
      <c r="A570" s="6">
        <v>5</v>
      </c>
      <c r="B570" s="6">
        <v>2</v>
      </c>
      <c r="C570" s="5" t="s">
        <v>606</v>
      </c>
      <c r="D570" s="9" t="s">
        <v>574</v>
      </c>
      <c r="E570" s="9">
        <f>'水平地盤ばね'!N15</f>
        <v>268854.0</v>
      </c>
      <c r="F570" s="6">
        <f>E570</f>
        <v>268854.0</v>
      </c>
      <c r="G570" s="7">
        <v>268854</v>
      </c>
      <c r="H570" s="9">
        <f>(F570-G570)</f>
        <v>0.0</v>
      </c>
    </row>
    <row r="571" spans="1:12" ht="23" customHeight="1">
      <c r="A571" s="6">
        <v>5</v>
      </c>
      <c r="B571" s="6">
        <v>2</v>
      </c>
      <c r="C571" s="5" t="s">
        <v>607</v>
      </c>
      <c r="D571" s="9" t="s">
        <v>574</v>
      </c>
      <c r="E571" s="9">
        <f>'水平地盤ばね'!N16</f>
        <v>268854.0</v>
      </c>
      <c r="F571" s="6">
        <f>E571</f>
        <v>268854.0</v>
      </c>
      <c r="G571" s="7">
        <v>268854</v>
      </c>
      <c r="H571" s="9">
        <f>(F571-G571)</f>
        <v>0.0</v>
      </c>
    </row>
    <row r="572" spans="1:12" ht="23" customHeight="1">
      <c r="A572" s="6">
        <v>5</v>
      </c>
      <c r="B572" s="6">
        <v>2</v>
      </c>
      <c r="C572" s="5" t="s">
        <v>608</v>
      </c>
      <c r="D572" s="9" t="s">
        <v>574</v>
      </c>
      <c r="E572" s="9">
        <f>'水平地盤ばね'!N17</f>
        <v>268854.0</v>
      </c>
      <c r="F572" s="6">
        <f>E572</f>
        <v>268854.0</v>
      </c>
      <c r="G572" s="7">
        <v>268854</v>
      </c>
      <c r="H572" s="9">
        <f>(F572-G572)</f>
        <v>0.0</v>
      </c>
    </row>
    <row r="573" spans="1:12" ht="24" customHeight="1">
      <c r="A573" s="3" t="s">
        <v>568</v>
      </c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spans="1:12" ht="36" customHeight="1">
      <c r="A574" s="4" t="s">
        <v>8</v>
      </c>
      <c r="B574" s="4" t="s">
        <v>9</v>
      </c>
      <c r="C574" s="4" t="s">
        <v>10</v>
      </c>
      <c r="D574" s="4" t="s">
        <v>569</v>
      </c>
      <c r="E574" s="4" t="s">
        <v>570</v>
      </c>
      <c r="F574" s="4" t="s">
        <v>571</v>
      </c>
      <c r="G574" s="4" t="s">
        <v>572</v>
      </c>
      <c r="H574" s="4" t="s">
        <v>188</v>
      </c>
    </row>
    <row r="575" spans="1:12" ht="23" customHeight="1">
      <c r="A575" s="6">
        <v>5</v>
      </c>
      <c r="B575" s="6">
        <v>2</v>
      </c>
      <c r="C575" s="5" t="s">
        <v>609</v>
      </c>
      <c r="D575" s="9" t="s">
        <v>574</v>
      </c>
      <c r="E575" s="9">
        <f>'水平地盤ばね'!N18</f>
        <v>268854.0</v>
      </c>
      <c r="F575" s="6">
        <f>E575</f>
        <v>268854.0</v>
      </c>
      <c r="G575" s="7">
        <v>268854</v>
      </c>
      <c r="H575" s="9">
        <f>(F575-G575)</f>
        <v>0.0</v>
      </c>
    </row>
    <row r="576" spans="1:12" ht="23" customHeight="1">
      <c r="A576" s="6">
        <v>5</v>
      </c>
      <c r="B576" s="6">
        <v>2</v>
      </c>
      <c r="C576" s="5" t="s">
        <v>610</v>
      </c>
      <c r="D576" s="9" t="s">
        <v>574</v>
      </c>
      <c r="E576" s="9">
        <f>'水平地盤ばね'!N19</f>
        <v>268854.0</v>
      </c>
      <c r="F576" s="6">
        <f>E576</f>
        <v>268854.0</v>
      </c>
      <c r="G576" s="7">
        <v>268854</v>
      </c>
      <c r="H576" s="9">
        <f>(F576-G576)</f>
        <v>0.0</v>
      </c>
    </row>
    <row r="577" spans="1:12" ht="23" customHeight="1">
      <c r="A577" s="6">
        <v>5</v>
      </c>
      <c r="B577" s="6">
        <v>2</v>
      </c>
      <c r="C577" s="5" t="s">
        <v>611</v>
      </c>
      <c r="D577" s="9" t="s">
        <v>574</v>
      </c>
      <c r="E577" s="9">
        <f>'水平地盤ばね'!N20</f>
        <v>268854.0</v>
      </c>
      <c r="F577" s="6">
        <f>E577</f>
        <v>268854.0</v>
      </c>
      <c r="G577" s="7">
        <v>268854</v>
      </c>
      <c r="H577" s="9">
        <f>(F577-G577)</f>
        <v>0.0</v>
      </c>
    </row>
    <row r="578" spans="1:12" ht="23" customHeight="1">
      <c r="A578" s="6">
        <v>5</v>
      </c>
      <c r="B578" s="6">
        <v>2</v>
      </c>
      <c r="C578" s="5" t="s">
        <v>612</v>
      </c>
      <c r="D578" s="9" t="s">
        <v>574</v>
      </c>
      <c r="E578" s="9">
        <f>'水平地盤ばね'!N21</f>
        <v>268854.0</v>
      </c>
      <c r="F578" s="6">
        <f>E578</f>
        <v>268854.0</v>
      </c>
      <c r="G578" s="7">
        <v>268854</v>
      </c>
      <c r="H578" s="9">
        <f>(F578-G578)</f>
        <v>0.0</v>
      </c>
    </row>
    <row r="579" spans="1:12" ht="23" customHeight="1">
      <c r="A579" s="6">
        <v>5</v>
      </c>
      <c r="B579" s="6">
        <v>2</v>
      </c>
      <c r="C579" s="5" t="s">
        <v>613</v>
      </c>
      <c r="D579" s="9" t="s">
        <v>576</v>
      </c>
      <c r="E579" s="9">
        <f>'水平地盤ばね'!N22</f>
        <v>150647.15384615384</v>
      </c>
      <c r="F579" s="6">
        <f>ROUND(E579,0)</f>
        <v>150647.0</v>
      </c>
      <c r="G579" s="7">
        <v>150647</v>
      </c>
      <c r="H579" s="9">
        <f>(F579-G579)</f>
        <v>0.0</v>
      </c>
    </row>
    <row r="580" spans="1:12" ht="23" customHeight="1">
      <c r="A580" s="6">
        <v>5</v>
      </c>
      <c r="B580" s="6">
        <v>2</v>
      </c>
      <c r="C580" s="5" t="s">
        <v>614</v>
      </c>
      <c r="D580" s="9" t="s">
        <v>574</v>
      </c>
      <c r="E580" s="9">
        <f>'水平地盤ばね'!N24</f>
        <v>129155.0</v>
      </c>
      <c r="F580" s="6">
        <f>E580</f>
        <v>129155.0</v>
      </c>
      <c r="G580" s="7">
        <v>129155</v>
      </c>
      <c r="H580" s="9">
        <f>(F580-G580)</f>
        <v>0.0</v>
      </c>
    </row>
    <row r="581" spans="1:12" ht="23" customHeight="1">
      <c r="A581" s="6">
        <v>5</v>
      </c>
      <c r="B581" s="6">
        <v>2</v>
      </c>
      <c r="C581" s="5" t="s">
        <v>615</v>
      </c>
      <c r="D581" s="9" t="s">
        <v>574</v>
      </c>
      <c r="E581" s="9">
        <f>'水平地盤ばね'!N25</f>
        <v>129155.0</v>
      </c>
      <c r="F581" s="6">
        <f>E581</f>
        <v>129155.0</v>
      </c>
      <c r="G581" s="7">
        <v>129155</v>
      </c>
      <c r="H581" s="9">
        <f>(F581-G581)</f>
        <v>0.0</v>
      </c>
    </row>
    <row r="582" spans="1:12" ht="23" customHeight="1">
      <c r="A582" s="6">
        <v>5</v>
      </c>
      <c r="B582" s="6">
        <v>2</v>
      </c>
      <c r="C582" s="5" t="s">
        <v>616</v>
      </c>
      <c r="D582" s="9" t="s">
        <v>574</v>
      </c>
      <c r="E582" s="9">
        <f>'水平地盤ばね'!N26</f>
        <v>129155.0</v>
      </c>
      <c r="F582" s="6">
        <f>E582</f>
        <v>129155.0</v>
      </c>
      <c r="G582" s="7">
        <v>129155</v>
      </c>
      <c r="H582" s="9">
        <f>(F582-G582)</f>
        <v>0.0</v>
      </c>
    </row>
    <row r="583" spans="1:12" ht="23" customHeight="1">
      <c r="A583" s="6">
        <v>5</v>
      </c>
      <c r="B583" s="6">
        <v>2</v>
      </c>
      <c r="C583" s="5" t="s">
        <v>617</v>
      </c>
      <c r="D583" s="9" t="s">
        <v>574</v>
      </c>
      <c r="E583" s="9">
        <f>'水平地盤ばね'!N27</f>
        <v>129155.0</v>
      </c>
      <c r="F583" s="6">
        <f>E583</f>
        <v>129155.0</v>
      </c>
      <c r="G583" s="7">
        <v>129155</v>
      </c>
      <c r="H583" s="9">
        <f>(F583-G583)</f>
        <v>0.0</v>
      </c>
    </row>
    <row r="584" spans="1:12" ht="23" customHeight="1">
      <c r="A584" s="6">
        <v>5</v>
      </c>
      <c r="B584" s="6">
        <v>2</v>
      </c>
      <c r="C584" s="5" t="s">
        <v>618</v>
      </c>
      <c r="D584" s="9" t="s">
        <v>574</v>
      </c>
      <c r="E584" s="9">
        <f>'水平地盤ばね'!N28</f>
        <v>129155.0</v>
      </c>
      <c r="F584" s="6">
        <f>E584</f>
        <v>129155.0</v>
      </c>
      <c r="G584" s="7">
        <v>129155</v>
      </c>
      <c r="H584" s="9">
        <f>(F584-G584)</f>
        <v>0.0</v>
      </c>
    </row>
    <row r="585" spans="1:12" ht="23" customHeight="1">
      <c r="A585" s="6">
        <v>5</v>
      </c>
      <c r="B585" s="6">
        <v>2</v>
      </c>
      <c r="C585" s="5" t="s">
        <v>619</v>
      </c>
      <c r="D585" s="9" t="s">
        <v>574</v>
      </c>
      <c r="E585" s="9">
        <f>'水平地盤ばね'!N29</f>
        <v>129155.0</v>
      </c>
      <c r="F585" s="6">
        <f>E585</f>
        <v>129155.0</v>
      </c>
      <c r="G585" s="7">
        <v>129155</v>
      </c>
      <c r="H585" s="9">
        <f>(F585-G585)</f>
        <v>0.0</v>
      </c>
    </row>
    <row r="586" spans="1:12" ht="23" customHeight="1">
      <c r="A586" s="6">
        <v>5</v>
      </c>
      <c r="B586" s="6">
        <v>2</v>
      </c>
      <c r="C586" s="5" t="s">
        <v>620</v>
      </c>
      <c r="D586" s="9" t="s">
        <v>574</v>
      </c>
      <c r="E586" s="9">
        <f>'水平地盤ばね'!N30</f>
        <v>129155.0</v>
      </c>
      <c r="F586" s="6">
        <f>E586</f>
        <v>129155.0</v>
      </c>
      <c r="G586" s="7">
        <v>129155</v>
      </c>
      <c r="H586" s="9">
        <f>(F586-G586)</f>
        <v>0.0</v>
      </c>
    </row>
    <row r="587" spans="1:12" ht="23" customHeight="1">
      <c r="A587" s="6">
        <v>5</v>
      </c>
      <c r="B587" s="6">
        <v>2</v>
      </c>
      <c r="C587" s="5" t="s">
        <v>621</v>
      </c>
      <c r="D587" s="9" t="s">
        <v>574</v>
      </c>
      <c r="E587" s="9">
        <f>'水平地盤ばね'!N31</f>
        <v>129155.0</v>
      </c>
      <c r="F587" s="6">
        <f>E587</f>
        <v>129155.0</v>
      </c>
      <c r="G587" s="7">
        <v>129155</v>
      </c>
      <c r="H587" s="9">
        <f>(F587-G587)</f>
        <v>0.0</v>
      </c>
    </row>
    <row r="588" spans="1:12" ht="23" customHeight="1">
      <c r="A588" s="6">
        <v>5</v>
      </c>
      <c r="B588" s="6">
        <v>2</v>
      </c>
      <c r="C588" s="5" t="s">
        <v>622</v>
      </c>
      <c r="D588" s="9" t="s">
        <v>574</v>
      </c>
      <c r="E588" s="9">
        <f>'水平地盤ばね'!N32</f>
        <v>129155.0</v>
      </c>
      <c r="F588" s="6">
        <f>E588</f>
        <v>129155.0</v>
      </c>
      <c r="G588" s="7">
        <v>129155</v>
      </c>
      <c r="H588" s="9">
        <f>(F588-G588)</f>
        <v>0.0</v>
      </c>
    </row>
    <row r="589" spans="1:12" ht="23" customHeight="1">
      <c r="A589" s="6">
        <v>6</v>
      </c>
      <c r="B589" s="6">
        <v>3</v>
      </c>
      <c r="C589" s="5" t="s">
        <v>623</v>
      </c>
      <c r="D589" s="9" t="s">
        <v>574</v>
      </c>
      <c r="E589" s="9">
        <f>'水平地盤ばね'!U3</f>
        <v>58812.0</v>
      </c>
      <c r="F589" s="6">
        <f>E589</f>
        <v>58812.0</v>
      </c>
      <c r="G589" s="7">
        <v>58812</v>
      </c>
      <c r="H589" s="9">
        <f>(F589-G589)</f>
        <v>0.0</v>
      </c>
    </row>
    <row r="590" spans="1:12" ht="24" customHeight="1">
      <c r="A590" s="3" t="s">
        <v>568</v>
      </c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spans="1:12" ht="36" customHeight="1">
      <c r="A591" s="4" t="s">
        <v>8</v>
      </c>
      <c r="B591" s="4" t="s">
        <v>9</v>
      </c>
      <c r="C591" s="4" t="s">
        <v>10</v>
      </c>
      <c r="D591" s="4" t="s">
        <v>569</v>
      </c>
      <c r="E591" s="4" t="s">
        <v>570</v>
      </c>
      <c r="F591" s="4" t="s">
        <v>571</v>
      </c>
      <c r="G591" s="4" t="s">
        <v>572</v>
      </c>
      <c r="H591" s="4" t="s">
        <v>188</v>
      </c>
    </row>
    <row r="592" spans="1:12" ht="23" customHeight="1">
      <c r="A592" s="6">
        <v>6</v>
      </c>
      <c r="B592" s="6">
        <v>3</v>
      </c>
      <c r="C592" s="5" t="s">
        <v>624</v>
      </c>
      <c r="D592" s="9" t="s">
        <v>576</v>
      </c>
      <c r="E592" s="9">
        <f>'水平地盤ばね'!U4</f>
        <v>272085.9230769231</v>
      </c>
      <c r="F592" s="6">
        <f>ROUND(E592,0)</f>
        <v>272086.0</v>
      </c>
      <c r="G592" s="7">
        <v>272086</v>
      </c>
      <c r="H592" s="9">
        <f>(F592-G592)</f>
        <v>0.0</v>
      </c>
    </row>
    <row r="593" spans="1:12" ht="23" customHeight="1">
      <c r="A593" s="6">
        <v>6</v>
      </c>
      <c r="B593" s="6">
        <v>3</v>
      </c>
      <c r="C593" s="5" t="s">
        <v>625</v>
      </c>
      <c r="D593" s="9" t="s">
        <v>576</v>
      </c>
      <c r="E593" s="9">
        <f>'水平地盤ばね'!U6</f>
        <v>141501.07692307694</v>
      </c>
      <c r="F593" s="6">
        <f>ROUND(E593,0)</f>
        <v>141501.0</v>
      </c>
      <c r="G593" s="7">
        <v>141501</v>
      </c>
      <c r="H593" s="9">
        <f>(F593-G593)</f>
        <v>0.0</v>
      </c>
    </row>
    <row r="594" spans="1:12" ht="23" customHeight="1">
      <c r="A594" s="6">
        <v>6</v>
      </c>
      <c r="B594" s="6">
        <v>3</v>
      </c>
      <c r="C594" s="5" t="s">
        <v>626</v>
      </c>
      <c r="D594" s="9" t="s">
        <v>574</v>
      </c>
      <c r="E594" s="9">
        <f>'水平地盤ばね'!U8</f>
        <v>110708.0</v>
      </c>
      <c r="F594" s="6">
        <f>E594</f>
        <v>110708.0</v>
      </c>
      <c r="G594" s="7">
        <v>110708</v>
      </c>
      <c r="H594" s="9">
        <f>(F594-G594)</f>
        <v>0.0</v>
      </c>
    </row>
    <row r="595" spans="1:12" ht="23" customHeight="1">
      <c r="A595" s="6">
        <v>6</v>
      </c>
      <c r="B595" s="6">
        <v>3</v>
      </c>
      <c r="C595" s="5" t="s">
        <v>627</v>
      </c>
      <c r="D595" s="9" t="s">
        <v>576</v>
      </c>
      <c r="E595" s="9">
        <f>'水平地盤ばね'!U9</f>
        <v>208028.61538461538</v>
      </c>
      <c r="F595" s="6">
        <f>ROUND(E595,0)</f>
        <v>208029.0</v>
      </c>
      <c r="G595" s="7">
        <v>208029</v>
      </c>
      <c r="H595" s="9">
        <f>(F595-G595)</f>
        <v>0.0</v>
      </c>
    </row>
    <row r="596" spans="1:12" ht="23" customHeight="1">
      <c r="A596" s="6">
        <v>6</v>
      </c>
      <c r="B596" s="6">
        <v>3</v>
      </c>
      <c r="C596" s="5" t="s">
        <v>628</v>
      </c>
      <c r="D596" s="9" t="s">
        <v>574</v>
      </c>
      <c r="E596" s="9">
        <f>'水平地盤ばね'!U11</f>
        <v>268854.0</v>
      </c>
      <c r="F596" s="6">
        <f>E596</f>
        <v>268854.0</v>
      </c>
      <c r="G596" s="7">
        <v>268854</v>
      </c>
      <c r="H596" s="9">
        <f>(F596-G596)</f>
        <v>0.0</v>
      </c>
    </row>
    <row r="597" spans="1:12" ht="23" customHeight="1">
      <c r="A597" s="6">
        <v>6</v>
      </c>
      <c r="B597" s="6">
        <v>3</v>
      </c>
      <c r="C597" s="5" t="s">
        <v>629</v>
      </c>
      <c r="D597" s="9" t="s">
        <v>576</v>
      </c>
      <c r="E597" s="9">
        <f>'水平地盤ばね'!U12</f>
        <v>363439.69230769225</v>
      </c>
      <c r="F597" s="6">
        <f>ROUND(E597,0)</f>
        <v>363440.0</v>
      </c>
      <c r="G597" s="7">
        <v>363440</v>
      </c>
      <c r="H597" s="9">
        <f>(F597-G597)</f>
        <v>0.0</v>
      </c>
    </row>
    <row r="598" spans="1:12" ht="23" customHeight="1">
      <c r="A598" s="6">
        <v>6</v>
      </c>
      <c r="B598" s="6">
        <v>3</v>
      </c>
      <c r="C598" s="5" t="s">
        <v>630</v>
      </c>
      <c r="D598" s="9" t="s">
        <v>574</v>
      </c>
      <c r="E598" s="9">
        <f>'水平地盤ばね'!U15</f>
        <v>403280.0</v>
      </c>
      <c r="F598" s="6">
        <f>E598</f>
        <v>403280.0</v>
      </c>
      <c r="G598" s="7">
        <v>403280</v>
      </c>
      <c r="H598" s="9">
        <f>(F598-G598)</f>
        <v>0.0</v>
      </c>
    </row>
    <row r="599" spans="1:12" ht="23" customHeight="1">
      <c r="A599" s="6">
        <v>6</v>
      </c>
      <c r="B599" s="6">
        <v>3</v>
      </c>
      <c r="C599" s="5" t="s">
        <v>631</v>
      </c>
      <c r="D599" s="9" t="s">
        <v>574</v>
      </c>
      <c r="E599" s="9">
        <f>'水平地盤ばね'!U16</f>
        <v>403280.0</v>
      </c>
      <c r="F599" s="6">
        <f>E599</f>
        <v>403280.0</v>
      </c>
      <c r="G599" s="7">
        <v>403280</v>
      </c>
      <c r="H599" s="9">
        <f>(F599-G599)</f>
        <v>0.0</v>
      </c>
    </row>
    <row r="600" spans="1:12" ht="23" customHeight="1">
      <c r="A600" s="6">
        <v>6</v>
      </c>
      <c r="B600" s="6">
        <v>3</v>
      </c>
      <c r="C600" s="5" t="s">
        <v>632</v>
      </c>
      <c r="D600" s="9" t="s">
        <v>574</v>
      </c>
      <c r="E600" s="9">
        <f>'水平地盤ばね'!U17</f>
        <v>403280.0</v>
      </c>
      <c r="F600" s="6">
        <f>E600</f>
        <v>403280.0</v>
      </c>
      <c r="G600" s="7">
        <v>403280</v>
      </c>
      <c r="H600" s="9">
        <f>(F600-G600)</f>
        <v>0.0</v>
      </c>
    </row>
    <row r="601" spans="1:12" ht="23" customHeight="1">
      <c r="A601" s="6">
        <v>6</v>
      </c>
      <c r="B601" s="6">
        <v>3</v>
      </c>
      <c r="C601" s="5" t="s">
        <v>633</v>
      </c>
      <c r="D601" s="9" t="s">
        <v>574</v>
      </c>
      <c r="E601" s="9">
        <f>'水平地盤ばね'!U18</f>
        <v>403280.0</v>
      </c>
      <c r="F601" s="6">
        <f>E601</f>
        <v>403280.0</v>
      </c>
      <c r="G601" s="7">
        <v>403280</v>
      </c>
      <c r="H601" s="9">
        <f>(F601-G601)</f>
        <v>0.0</v>
      </c>
    </row>
    <row r="602" spans="1:12" ht="23" customHeight="1">
      <c r="A602" s="6">
        <v>6</v>
      </c>
      <c r="B602" s="6">
        <v>3</v>
      </c>
      <c r="C602" s="5" t="s">
        <v>634</v>
      </c>
      <c r="D602" s="9" t="s">
        <v>574</v>
      </c>
      <c r="E602" s="9">
        <f>'水平地盤ばね'!U19</f>
        <v>403280.0</v>
      </c>
      <c r="F602" s="6">
        <f>E602</f>
        <v>403280.0</v>
      </c>
      <c r="G602" s="7">
        <v>403280</v>
      </c>
      <c r="H602" s="9">
        <f>(F602-G602)</f>
        <v>0.0</v>
      </c>
    </row>
    <row r="603" spans="1:12" ht="23" customHeight="1">
      <c r="A603" s="6">
        <v>6</v>
      </c>
      <c r="B603" s="6">
        <v>3</v>
      </c>
      <c r="C603" s="5" t="s">
        <v>635</v>
      </c>
      <c r="D603" s="9" t="s">
        <v>574</v>
      </c>
      <c r="E603" s="9">
        <f>'水平地盤ばね'!U20</f>
        <v>403280.0</v>
      </c>
      <c r="F603" s="6">
        <f>E603</f>
        <v>403280.0</v>
      </c>
      <c r="G603" s="7">
        <v>403280</v>
      </c>
      <c r="H603" s="9">
        <f>(F603-G603)</f>
        <v>0.0</v>
      </c>
    </row>
    <row r="604" spans="1:12" ht="23" customHeight="1">
      <c r="A604" s="6">
        <v>6</v>
      </c>
      <c r="B604" s="6">
        <v>3</v>
      </c>
      <c r="C604" s="5" t="s">
        <v>636</v>
      </c>
      <c r="D604" s="9" t="s">
        <v>574</v>
      </c>
      <c r="E604" s="9">
        <f>'水平地盤ばね'!U21</f>
        <v>403280.0</v>
      </c>
      <c r="F604" s="6">
        <f>E604</f>
        <v>403280.0</v>
      </c>
      <c r="G604" s="7">
        <v>403280</v>
      </c>
      <c r="H604" s="9">
        <f>(F604-G604)</f>
        <v>0.0</v>
      </c>
    </row>
    <row r="605" spans="1:12" ht="23" customHeight="1">
      <c r="A605" s="6">
        <v>6</v>
      </c>
      <c r="B605" s="6">
        <v>3</v>
      </c>
      <c r="C605" s="5" t="s">
        <v>637</v>
      </c>
      <c r="D605" s="9" t="s">
        <v>576</v>
      </c>
      <c r="E605" s="9">
        <f>'水平地盤ばね'!U22</f>
        <v>225971.00000000003</v>
      </c>
      <c r="F605" s="6">
        <f>ROUND(E605,0)</f>
        <v>225971.0</v>
      </c>
      <c r="G605" s="7">
        <v>225971</v>
      </c>
      <c r="H605" s="9">
        <f>(F605-G605)</f>
        <v>0.0</v>
      </c>
    </row>
    <row r="606" spans="1:12" ht="23" customHeight="1">
      <c r="A606" s="6">
        <v>6</v>
      </c>
      <c r="B606" s="6">
        <v>3</v>
      </c>
      <c r="C606" s="5" t="s">
        <v>638</v>
      </c>
      <c r="D606" s="9" t="s">
        <v>574</v>
      </c>
      <c r="E606" s="9">
        <f>'水平地盤ばね'!U24</f>
        <v>193733.0</v>
      </c>
      <c r="F606" s="6">
        <f>E606</f>
        <v>193733.0</v>
      </c>
      <c r="G606" s="7">
        <v>193733</v>
      </c>
      <c r="H606" s="9">
        <f>(F606-G606)</f>
        <v>0.0</v>
      </c>
    </row>
    <row r="607" spans="1:12" ht="24" customHeight="1">
      <c r="A607" s="3" t="s">
        <v>568</v>
      </c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spans="1:12" ht="36" customHeight="1">
      <c r="A608" s="4" t="s">
        <v>8</v>
      </c>
      <c r="B608" s="4" t="s">
        <v>9</v>
      </c>
      <c r="C608" s="4" t="s">
        <v>10</v>
      </c>
      <c r="D608" s="4" t="s">
        <v>569</v>
      </c>
      <c r="E608" s="4" t="s">
        <v>570</v>
      </c>
      <c r="F608" s="4" t="s">
        <v>571</v>
      </c>
      <c r="G608" s="4" t="s">
        <v>572</v>
      </c>
      <c r="H608" s="4" t="s">
        <v>188</v>
      </c>
    </row>
    <row r="609" spans="1:12" ht="23" customHeight="1">
      <c r="A609" s="6">
        <v>6</v>
      </c>
      <c r="B609" s="6">
        <v>3</v>
      </c>
      <c r="C609" s="5" t="s">
        <v>639</v>
      </c>
      <c r="D609" s="9" t="s">
        <v>574</v>
      </c>
      <c r="E609" s="9">
        <f>'水平地盤ばね'!U25</f>
        <v>193733.0</v>
      </c>
      <c r="F609" s="6">
        <f>E609</f>
        <v>193733.0</v>
      </c>
      <c r="G609" s="7">
        <v>193733</v>
      </c>
      <c r="H609" s="9">
        <f>(F609-G609)</f>
        <v>0.0</v>
      </c>
    </row>
    <row r="610" spans="1:12" ht="23" customHeight="1">
      <c r="A610" s="6">
        <v>6</v>
      </c>
      <c r="B610" s="6">
        <v>3</v>
      </c>
      <c r="C610" s="5" t="s">
        <v>640</v>
      </c>
      <c r="D610" s="9" t="s">
        <v>574</v>
      </c>
      <c r="E610" s="9">
        <f>'水平地盤ばね'!U26</f>
        <v>193733.0</v>
      </c>
      <c r="F610" s="6">
        <f>E610</f>
        <v>193733.0</v>
      </c>
      <c r="G610" s="7">
        <v>193733</v>
      </c>
      <c r="H610" s="9">
        <f>(F610-G610)</f>
        <v>0.0</v>
      </c>
    </row>
    <row r="611" spans="1:12" ht="23" customHeight="1">
      <c r="A611" s="6">
        <v>6</v>
      </c>
      <c r="B611" s="6">
        <v>3</v>
      </c>
      <c r="C611" s="5" t="s">
        <v>641</v>
      </c>
      <c r="D611" s="9" t="s">
        <v>574</v>
      </c>
      <c r="E611" s="9">
        <f>'水平地盤ばね'!U27</f>
        <v>193733.0</v>
      </c>
      <c r="F611" s="6">
        <f>E611</f>
        <v>193733.0</v>
      </c>
      <c r="G611" s="7">
        <v>193733</v>
      </c>
      <c r="H611" s="9">
        <f>(F611-G611)</f>
        <v>0.0</v>
      </c>
    </row>
    <row r="612" spans="1:12" ht="23" customHeight="1">
      <c r="A612" s="6">
        <v>6</v>
      </c>
      <c r="B612" s="6">
        <v>3</v>
      </c>
      <c r="C612" s="5" t="s">
        <v>642</v>
      </c>
      <c r="D612" s="9" t="s">
        <v>574</v>
      </c>
      <c r="E612" s="9">
        <f>'水平地盤ばね'!U28</f>
        <v>193733.0</v>
      </c>
      <c r="F612" s="6">
        <f>E612</f>
        <v>193733.0</v>
      </c>
      <c r="G612" s="7">
        <v>193733</v>
      </c>
      <c r="H612" s="9">
        <f>(F612-G612)</f>
        <v>0.0</v>
      </c>
    </row>
    <row r="613" spans="1:12" ht="23" customHeight="1">
      <c r="A613" s="6">
        <v>6</v>
      </c>
      <c r="B613" s="6">
        <v>3</v>
      </c>
      <c r="C613" s="5" t="s">
        <v>643</v>
      </c>
      <c r="D613" s="9" t="s">
        <v>574</v>
      </c>
      <c r="E613" s="9">
        <f>'水平地盤ばね'!U29</f>
        <v>193733.0</v>
      </c>
      <c r="F613" s="6">
        <f>E613</f>
        <v>193733.0</v>
      </c>
      <c r="G613" s="7">
        <v>193733</v>
      </c>
      <c r="H613" s="9">
        <f>(F613-G613)</f>
        <v>0.0</v>
      </c>
    </row>
    <row r="614" spans="1:12" ht="23" customHeight="1">
      <c r="A614" s="6">
        <v>6</v>
      </c>
      <c r="B614" s="6">
        <v>3</v>
      </c>
      <c r="C614" s="5" t="s">
        <v>644</v>
      </c>
      <c r="D614" s="9" t="s">
        <v>574</v>
      </c>
      <c r="E614" s="9">
        <f>'水平地盤ばね'!U30</f>
        <v>193733.0</v>
      </c>
      <c r="F614" s="6">
        <f>E614</f>
        <v>193733.0</v>
      </c>
      <c r="G614" s="7">
        <v>193733</v>
      </c>
      <c r="H614" s="9">
        <f>(F614-G614)</f>
        <v>0.0</v>
      </c>
    </row>
    <row r="615" spans="1:12" ht="23" customHeight="1">
      <c r="A615" s="6">
        <v>6</v>
      </c>
      <c r="B615" s="6">
        <v>3</v>
      </c>
      <c r="C615" s="5" t="s">
        <v>645</v>
      </c>
      <c r="D615" s="9" t="s">
        <v>574</v>
      </c>
      <c r="E615" s="9">
        <f>'水平地盤ばね'!U31</f>
        <v>193733.0</v>
      </c>
      <c r="F615" s="6">
        <f>E615</f>
        <v>193733.0</v>
      </c>
      <c r="G615" s="7">
        <v>193733</v>
      </c>
      <c r="H615" s="9">
        <f>(F615-G615)</f>
        <v>0.0</v>
      </c>
    </row>
    <row r="616" spans="1:12" ht="23" customHeight="1">
      <c r="A616" s="6">
        <v>6</v>
      </c>
      <c r="B616" s="6">
        <v>3</v>
      </c>
      <c r="C616" s="5" t="s">
        <v>646</v>
      </c>
      <c r="D616" s="9" t="s">
        <v>574</v>
      </c>
      <c r="E616" s="9">
        <f>'水平地盤ばね'!U32</f>
        <v>193733.0</v>
      </c>
      <c r="F616" s="6">
        <f>E616</f>
        <v>193733.0</v>
      </c>
      <c r="G616" s="7">
        <v>193733</v>
      </c>
      <c r="H616" s="9">
        <f>(F616-G616)</f>
        <v>0.0</v>
      </c>
    </row>
    <row r="617" spans="1:12" ht="23" customHeight="1"/>
    <row r="618" spans="1:12" ht="24" customHeight="1">
      <c r="A618" s="3" t="s">
        <v>647</v>
      </c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spans="1:12" ht="36" customHeight="1">
      <c r="A619" s="4" t="s">
        <v>648</v>
      </c>
    </row>
    <row r="620" spans="1:12" ht="24" customHeight="1">
      <c r="A620" s="2" t="s">
        <v>649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24" customHeight="1">
      <c r="A621" s="2" t="s">
        <v>650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24" customHeight="1">
      <c r="A622" s="2" t="s">
        <v>651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24" customHeight="1">
      <c r="A623" s="3" t="s">
        <v>647</v>
      </c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spans="1:12" ht="36" customHeight="1">
      <c r="A624" s="4" t="s">
        <v>648</v>
      </c>
    </row>
    <row r="625" spans="1:12" ht="24" customHeight="1">
      <c r="A625" s="2" t="s">
        <v>652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24" customHeight="1">
      <c r="A626" s="2" t="s">
        <v>653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24" customHeight="1">
      <c r="A627" s="2" t="s">
        <v>654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24" customHeight="1">
      <c r="A628" s="2" t="s">
        <v>655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24" customHeight="1">
      <c r="A629" s="2" t="s">
        <v>656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24" customHeight="1">
      <c r="A630" s="2" t="s">
        <v>657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24" customHeight="1">
      <c r="A631" s="2" t="s">
        <v>658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24" customHeight="1">
      <c r="A632" s="2" t="s">
        <v>659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24" customHeight="1">
      <c r="A633" s="2" t="s">
        <v>660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24" customHeight="1">
      <c r="A634" s="2" t="s">
        <v>661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24" customHeight="1">
      <c r="A635" s="2" t="s">
        <v>662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24" customHeight="1">
      <c r="A636" s="2" t="s">
        <v>663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24" customHeight="1">
      <c r="A637" s="2" t="s">
        <v>664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24" customHeight="1">
      <c r="A638" s="2" t="s">
        <v>665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24" customHeight="1">
      <c r="A639" s="3" t="s">
        <v>647</v>
      </c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spans="1:12" ht="36" customHeight="1">
      <c r="A640" s="4" t="s">
        <v>648</v>
      </c>
    </row>
    <row r="641" spans="1:12" ht="24" customHeight="1">
      <c r="A641" s="2" t="s">
        <v>666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24" customHeight="1">
      <c r="A642" s="2" t="s">
        <v>667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24" customHeight="1">
      <c r="A643" s="2" t="s">
        <v>668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24" customHeight="1">
      <c r="A644" s="2" t="s">
        <v>669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24" customHeight="1">
      <c r="A645" s="2" t="s">
        <v>670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24" customHeight="1">
      <c r="A646" s="2" t="s">
        <v>671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24" customHeight="1">
      <c r="A647" s="2" t="s">
        <v>672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24" customHeight="1">
      <c r="A648" s="2" t="s">
        <v>673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24" customHeight="1">
      <c r="A649" s="2" t="s">
        <v>674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24" customHeight="1">
      <c r="A650" s="2" t="s">
        <v>675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24" customHeight="1">
      <c r="A651" s="2" t="s">
        <v>676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24" customHeight="1">
      <c r="A652" s="2" t="s">
        <v>677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24" customHeight="1">
      <c r="A653" s="2" t="s">
        <v>678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24" customHeight="1">
      <c r="A654" s="2" t="s">
        <v>679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24" customHeight="1">
      <c r="A655" s="3" t="s">
        <v>647</v>
      </c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spans="1:12" ht="36" customHeight="1">
      <c r="A656" s="4" t="s">
        <v>648</v>
      </c>
    </row>
    <row r="657" spans="1:12" ht="24" customHeight="1">
      <c r="A657" s="2" t="s">
        <v>680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24" customHeight="1">
      <c r="A658" s="2" t="s">
        <v>681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24" customHeight="1">
      <c r="A659" s="2" t="s">
        <v>682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24" customHeight="1">
      <c r="A660" s="2" t="s">
        <v>683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24" customHeight="1">
      <c r="A661" s="2" t="s">
        <v>684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24" customHeight="1">
      <c r="A662" s="2" t="s">
        <v>685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24" customHeight="1">
      <c r="A663" s="2" t="s">
        <v>686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24" customHeight="1">
      <c r="A664" s="2" t="s">
        <v>687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24" customHeight="1">
      <c r="A665" s="2" t="s">
        <v>688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24" customHeight="1">
      <c r="A666" s="2" t="s">
        <v>689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24" customHeight="1">
      <c r="A667" s="2" t="s">
        <v>690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24" customHeight="1">
      <c r="A668" s="2" t="s">
        <v>691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24" customHeight="1">
      <c r="A669" s="2" t="s">
        <v>692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24" customHeight="1">
      <c r="A670" s="2" t="s">
        <v>693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24" customHeight="1">
      <c r="A671" s="3" t="s">
        <v>647</v>
      </c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spans="1:12" ht="36" customHeight="1">
      <c r="A672" s="4" t="s">
        <v>648</v>
      </c>
    </row>
    <row r="673" spans="1:12" ht="24" customHeight="1">
      <c r="A673" s="2" t="s">
        <v>694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24" customHeight="1">
      <c r="A674" s="2" t="s">
        <v>695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24" customHeight="1">
      <c r="A675" s="2" t="s">
        <v>696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24" customHeight="1">
      <c r="A676" s="2" t="s">
        <v>697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24" customHeight="1">
      <c r="A677" s="2" t="s">
        <v>698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24" customHeight="1">
      <c r="A678" s="2" t="s">
        <v>699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24" customHeight="1">
      <c r="A679" s="2" t="s">
        <v>700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24" customHeight="1">
      <c r="A680" s="2" t="s">
        <v>701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24" customHeight="1">
      <c r="A681" s="2" t="s">
        <v>702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24" customHeight="1">
      <c r="A682" s="2" t="s">
        <v>703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24" customHeight="1">
      <c r="A683" s="2" t="s">
        <v>704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24" customHeight="1">
      <c r="A684" s="2" t="s">
        <v>705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24" customHeight="1">
      <c r="A685" s="2" t="s">
        <v>706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ht="24" customHeight="1">
      <c r="A686" s="2" t="s">
        <v>707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ht="24" customHeight="1">
      <c r="A687" s="3" t="s">
        <v>647</v>
      </c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spans="1:12" ht="36" customHeight="1">
      <c r="A688" s="4" t="s">
        <v>648</v>
      </c>
    </row>
    <row r="689" spans="1:12" ht="24" customHeight="1">
      <c r="A689" s="2" t="s">
        <v>708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ht="24" customHeight="1">
      <c r="A690" s="2" t="s">
        <v>709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ht="24" customHeight="1">
      <c r="A691" s="2" t="s">
        <v>710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ht="24" customHeight="1">
      <c r="A692" s="2" t="s">
        <v>711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ht="24" customHeight="1">
      <c r="A693" s="2" t="s">
        <v>712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ht="24" customHeight="1">
      <c r="A694" s="2" t="s">
        <v>713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ht="24" customHeight="1">
      <c r="A695" s="2" t="s">
        <v>714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ht="24" customHeight="1">
      <c r="A696" s="2" t="s">
        <v>715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ht="24" customHeight="1">
      <c r="A697" s="2" t="s">
        <v>716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ht="24" customHeight="1">
      <c r="A698" s="2" t="s">
        <v>717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ht="24" customHeight="1">
      <c r="A699" s="2" t="s">
        <v>718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ht="24" customHeight="1">
      <c r="A700" s="2" t="s">
        <v>719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ht="24" customHeight="1">
      <c r="A701" s="2" t="s">
        <v>720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ht="23" customHeight="1"/>
    <row r="703" spans="1:12" ht="24" customHeight="1">
      <c r="A703" s="3" t="s">
        <v>721</v>
      </c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spans="1:12" ht="36" customHeight="1">
      <c r="A704" s="4" t="s">
        <v>8</v>
      </c>
      <c r="B704" s="4" t="s">
        <v>722</v>
      </c>
      <c r="C704" s="4" t="s">
        <v>723</v>
      </c>
      <c r="D704" s="4" t="s">
        <v>562</v>
      </c>
      <c r="E704" s="4" t="s">
        <v>251</v>
      </c>
      <c r="F704" s="4" t="s">
        <v>563</v>
      </c>
      <c r="G704" s="4" t="s">
        <v>564</v>
      </c>
      <c r="H704" s="4" t="s">
        <v>199</v>
      </c>
      <c r="I704" s="4" t="s">
        <v>724</v>
      </c>
      <c r="J704" s="4" t="s">
        <v>725</v>
      </c>
    </row>
    <row r="705" spans="1:12" ht="23" customHeight="1">
      <c r="A705" s="6">
        <v>4</v>
      </c>
      <c r="B705" s="6">
        <v>1</v>
      </c>
      <c r="C705" s="6">
        <v>3</v>
      </c>
      <c r="D705" s="6">
        <v>1</v>
      </c>
      <c r="E705" s="6">
        <v>187</v>
      </c>
      <c r="F705" s="61">
        <v>0</v>
      </c>
      <c r="G705" s="61">
        <v>1.5</v>
      </c>
      <c r="H705" s="62">
        <f>ROUND((G705-F705),4)</f>
        <v>1.5</v>
      </c>
      <c r="I705" s="9">
        <f>F61</f>
        <v>1162.9</v>
      </c>
      <c r="J705" s="9">
        <f>F62</f>
        <v>1329.7</v>
      </c>
    </row>
    <row r="706" spans="1:12" ht="23" customHeight="1">
      <c r="A706" s="6">
        <v>4</v>
      </c>
      <c r="B706" s="6">
        <v>1</v>
      </c>
      <c r="C706" s="6">
        <v>3</v>
      </c>
      <c r="D706" s="6">
        <v>2</v>
      </c>
      <c r="E706" s="6">
        <v>188</v>
      </c>
      <c r="F706" s="61">
        <v>1.5</v>
      </c>
      <c r="G706" s="61">
        <v>2.8</v>
      </c>
      <c r="H706" s="62">
        <f>ROUND((G706-F706),4)</f>
        <v>1.3</v>
      </c>
      <c r="I706" s="9">
        <f>F63</f>
        <v>2018.1</v>
      </c>
      <c r="J706" s="9">
        <f>F64</f>
        <v>2237.4</v>
      </c>
    </row>
    <row r="707" spans="1:12" ht="23" customHeight="1">
      <c r="A707" s="6">
        <v>4</v>
      </c>
      <c r="B707" s="6">
        <v>1</v>
      </c>
      <c r="C707" s="6">
        <v>3</v>
      </c>
      <c r="D707" s="6">
        <v>3</v>
      </c>
      <c r="E707" s="6">
        <v>189</v>
      </c>
      <c r="F707" s="61">
        <v>2.8</v>
      </c>
      <c r="G707" s="61">
        <v>5.7</v>
      </c>
      <c r="H707" s="62">
        <f>ROUND((G707-F707),4)</f>
        <v>2.9</v>
      </c>
      <c r="I707" s="9">
        <f>F65</f>
        <v>1755.0</v>
      </c>
      <c r="J707" s="9">
        <f>F66</f>
        <v>1755.0</v>
      </c>
    </row>
    <row r="708" spans="1:12" ht="23" customHeight="1">
      <c r="A708" s="6">
        <v>4</v>
      </c>
      <c r="B708" s="6">
        <v>1</v>
      </c>
      <c r="C708" s="6">
        <v>3</v>
      </c>
      <c r="D708" s="6">
        <v>4</v>
      </c>
      <c r="E708" s="6">
        <v>190</v>
      </c>
      <c r="F708" s="61">
        <v>5.7</v>
      </c>
      <c r="G708" s="61">
        <v>8.300000000000001</v>
      </c>
      <c r="H708" s="62">
        <f>ROUND((G708-F708),4)</f>
        <v>2.6</v>
      </c>
      <c r="I708" s="9">
        <f>F67</f>
        <v>2349.1</v>
      </c>
      <c r="J708" s="9">
        <f>F68</f>
        <v>2751.0</v>
      </c>
    </row>
    <row r="709" spans="1:12" ht="23" customHeight="1">
      <c r="A709" s="6">
        <v>4</v>
      </c>
      <c r="B709" s="6">
        <v>1</v>
      </c>
      <c r="C709" s="6">
        <v>3</v>
      </c>
      <c r="D709" s="6">
        <v>5</v>
      </c>
      <c r="E709" s="6">
        <v>191</v>
      </c>
      <c r="F709" s="61">
        <v>8.300000000000001</v>
      </c>
      <c r="G709" s="61">
        <v>8.9</v>
      </c>
      <c r="H709" s="62">
        <f>ROUND((G709-F709),4)</f>
        <v>0.6</v>
      </c>
      <c r="I709" s="9">
        <f>F69</f>
        <v>6809.4</v>
      </c>
      <c r="J709" s="9">
        <f>F70</f>
        <v>6809.4</v>
      </c>
    </row>
    <row r="710" spans="1:12" ht="23" customHeight="1">
      <c r="A710" s="6">
        <v>4</v>
      </c>
      <c r="B710" s="6">
        <v>1</v>
      </c>
      <c r="C710" s="6">
        <v>3</v>
      </c>
      <c r="D710" s="6">
        <v>6</v>
      </c>
      <c r="E710" s="6">
        <v>192</v>
      </c>
      <c r="F710" s="61">
        <v>8.9</v>
      </c>
      <c r="G710" s="61">
        <v>18.4</v>
      </c>
      <c r="H710" s="62">
        <f>ROUND((G710-F710),4)</f>
        <v>9.5</v>
      </c>
      <c r="I710" s="9">
        <f>F73</f>
        <v>2948.5</v>
      </c>
      <c r="J710" s="9">
        <f>F74</f>
        <v>4482.5</v>
      </c>
    </row>
    <row r="711" spans="1:12" ht="23" customHeight="1">
      <c r="A711" s="6">
        <v>4</v>
      </c>
      <c r="B711" s="6">
        <v>1</v>
      </c>
      <c r="C711" s="6">
        <v>3</v>
      </c>
      <c r="D711" s="6">
        <v>7</v>
      </c>
      <c r="E711" s="6">
        <v>193</v>
      </c>
      <c r="F711" s="61">
        <v>18.4</v>
      </c>
      <c r="G711" s="61">
        <v>31</v>
      </c>
      <c r="H711" s="62">
        <f>ROUND((G711-F711),4)</f>
        <v>12.6</v>
      </c>
      <c r="I711" s="9">
        <f>F75</f>
        <v>3088.8</v>
      </c>
      <c r="J711" s="9">
        <f>F76</f>
        <v>3088.8</v>
      </c>
    </row>
    <row r="712" spans="1:12" ht="23" customHeight="1">
      <c r="A712" s="6">
        <v>5</v>
      </c>
      <c r="B712" s="6">
        <v>2</v>
      </c>
      <c r="C712" s="6">
        <v>2</v>
      </c>
      <c r="D712" s="6">
        <v>1</v>
      </c>
      <c r="E712" s="6">
        <v>187</v>
      </c>
      <c r="F712" s="61">
        <v>0</v>
      </c>
      <c r="G712" s="61">
        <v>1.5</v>
      </c>
      <c r="H712" s="62">
        <f>ROUND((G712-F712),4)</f>
        <v>1.5</v>
      </c>
      <c r="I712" s="9">
        <f>F77</f>
        <v>1005.1</v>
      </c>
      <c r="J712" s="9">
        <f>F78</f>
        <v>1149.3</v>
      </c>
    </row>
    <row r="713" spans="1:12" ht="23" customHeight="1">
      <c r="A713" s="6">
        <v>5</v>
      </c>
      <c r="B713" s="6">
        <v>2</v>
      </c>
      <c r="C713" s="6">
        <v>2</v>
      </c>
      <c r="D713" s="6">
        <v>2</v>
      </c>
      <c r="E713" s="6">
        <v>188</v>
      </c>
      <c r="F713" s="61">
        <v>1.5</v>
      </c>
      <c r="G713" s="61">
        <v>2.8</v>
      </c>
      <c r="H713" s="62">
        <f>ROUND((G713-F713),4)</f>
        <v>1.3</v>
      </c>
      <c r="I713" s="9">
        <f>F79</f>
        <v>1744.2</v>
      </c>
      <c r="J713" s="9">
        <f>F80</f>
        <v>1933.8</v>
      </c>
    </row>
    <row r="714" spans="1:12" ht="23" customHeight="1">
      <c r="A714" s="6">
        <v>5</v>
      </c>
      <c r="B714" s="6">
        <v>2</v>
      </c>
      <c r="C714" s="6">
        <v>2</v>
      </c>
      <c r="D714" s="6">
        <v>3</v>
      </c>
      <c r="E714" s="6">
        <v>189</v>
      </c>
      <c r="F714" s="61">
        <v>2.8</v>
      </c>
      <c r="G714" s="61">
        <v>5.7</v>
      </c>
      <c r="H714" s="62">
        <f>ROUND((G714-F714),4)</f>
        <v>2.9</v>
      </c>
      <c r="I714" s="9">
        <f>F81</f>
        <v>1170.0</v>
      </c>
      <c r="J714" s="9">
        <f>F82</f>
        <v>1170.0</v>
      </c>
    </row>
    <row r="715" spans="1:12" ht="23" customHeight="1">
      <c r="A715" s="6">
        <v>5</v>
      </c>
      <c r="B715" s="6">
        <v>2</v>
      </c>
      <c r="C715" s="6">
        <v>2</v>
      </c>
      <c r="D715" s="6">
        <v>4</v>
      </c>
      <c r="E715" s="6">
        <v>190</v>
      </c>
      <c r="F715" s="61">
        <v>5.7</v>
      </c>
      <c r="G715" s="61">
        <v>8.300000000000001</v>
      </c>
      <c r="H715" s="62">
        <f>ROUND((G715-F715),4)</f>
        <v>2.6</v>
      </c>
      <c r="I715" s="9">
        <f>F83</f>
        <v>2030.3</v>
      </c>
      <c r="J715" s="9">
        <f>F84</f>
        <v>2377.7</v>
      </c>
    </row>
    <row r="716" spans="1:12" ht="23" customHeight="1">
      <c r="A716" s="6">
        <v>5</v>
      </c>
      <c r="B716" s="6">
        <v>2</v>
      </c>
      <c r="C716" s="6">
        <v>2</v>
      </c>
      <c r="D716" s="6">
        <v>5</v>
      </c>
      <c r="E716" s="6">
        <v>191</v>
      </c>
      <c r="F716" s="61">
        <v>8.300000000000001</v>
      </c>
      <c r="G716" s="61">
        <v>8.9</v>
      </c>
      <c r="H716" s="62">
        <f>ROUND((G716-F716),4)</f>
        <v>0.6</v>
      </c>
      <c r="I716" s="9">
        <f>F85</f>
        <v>4539.6</v>
      </c>
      <c r="J716" s="9">
        <f>F86</f>
        <v>4539.6</v>
      </c>
    </row>
    <row r="717" spans="1:12" ht="23" customHeight="1">
      <c r="A717" s="6">
        <v>5</v>
      </c>
      <c r="B717" s="6">
        <v>2</v>
      </c>
      <c r="C717" s="6">
        <v>2</v>
      </c>
      <c r="D717" s="6">
        <v>6</v>
      </c>
      <c r="E717" s="6">
        <v>192</v>
      </c>
      <c r="F717" s="61">
        <v>8.9</v>
      </c>
      <c r="G717" s="61">
        <v>18.4</v>
      </c>
      <c r="H717" s="62">
        <f>ROUND((G717-F717),4)</f>
        <v>9.5</v>
      </c>
      <c r="I717" s="9">
        <f>F87</f>
        <v>2548.4</v>
      </c>
      <c r="J717" s="9">
        <f>F90</f>
        <v>3874.2</v>
      </c>
    </row>
    <row r="718" spans="1:12" ht="23" customHeight="1">
      <c r="A718" s="6">
        <v>5</v>
      </c>
      <c r="B718" s="6">
        <v>2</v>
      </c>
      <c r="C718" s="6">
        <v>2</v>
      </c>
      <c r="D718" s="6">
        <v>7</v>
      </c>
      <c r="E718" s="6">
        <v>193</v>
      </c>
      <c r="F718" s="61">
        <v>18.4</v>
      </c>
      <c r="G718" s="61">
        <v>31</v>
      </c>
      <c r="H718" s="62">
        <f>ROUND((G718-F718),4)</f>
        <v>12.6</v>
      </c>
      <c r="I718" s="9">
        <f>F91</f>
        <v>2059.2</v>
      </c>
      <c r="J718" s="9">
        <f>F92</f>
        <v>2059.2</v>
      </c>
    </row>
    <row r="719" spans="1:12" ht="23" customHeight="1">
      <c r="A719" s="6">
        <v>6</v>
      </c>
      <c r="B719" s="6">
        <v>3</v>
      </c>
      <c r="C719" s="6">
        <v>1</v>
      </c>
      <c r="D719" s="6">
        <v>1</v>
      </c>
      <c r="E719" s="6">
        <v>187</v>
      </c>
      <c r="F719" s="61">
        <v>0</v>
      </c>
      <c r="G719" s="61">
        <v>1.5</v>
      </c>
      <c r="H719" s="62">
        <f>ROUND((G719-F719),4)</f>
        <v>1.5</v>
      </c>
      <c r="I719" s="9">
        <f>F93</f>
        <v>2907.3</v>
      </c>
      <c r="J719" s="9">
        <f>F94</f>
        <v>3324.3</v>
      </c>
    </row>
    <row r="720" spans="1:12" ht="24" customHeight="1">
      <c r="A720" s="3" t="s">
        <v>721</v>
      </c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spans="1:12" ht="36" customHeight="1">
      <c r="A721" s="4" t="s">
        <v>8</v>
      </c>
      <c r="B721" s="4" t="s">
        <v>722</v>
      </c>
      <c r="C721" s="4" t="s">
        <v>723</v>
      </c>
      <c r="D721" s="4" t="s">
        <v>562</v>
      </c>
      <c r="E721" s="4" t="s">
        <v>251</v>
      </c>
      <c r="F721" s="4" t="s">
        <v>563</v>
      </c>
      <c r="G721" s="4" t="s">
        <v>564</v>
      </c>
      <c r="H721" s="4" t="s">
        <v>199</v>
      </c>
      <c r="I721" s="4" t="s">
        <v>724</v>
      </c>
      <c r="J721" s="4" t="s">
        <v>725</v>
      </c>
    </row>
    <row r="722" spans="1:12" ht="23" customHeight="1">
      <c r="A722" s="6">
        <v>6</v>
      </c>
      <c r="B722" s="6">
        <v>3</v>
      </c>
      <c r="C722" s="6">
        <v>1</v>
      </c>
      <c r="D722" s="6">
        <v>2</v>
      </c>
      <c r="E722" s="6">
        <v>188</v>
      </c>
      <c r="F722" s="61">
        <v>1.5</v>
      </c>
      <c r="G722" s="61">
        <v>2.8</v>
      </c>
      <c r="H722" s="62">
        <f>ROUND((G722-F722),4)</f>
        <v>1.3</v>
      </c>
      <c r="I722" s="9">
        <f>F95</f>
        <v>5045.2</v>
      </c>
      <c r="J722" s="9">
        <f>F96</f>
        <v>5593.6</v>
      </c>
    </row>
    <row r="723" spans="1:12" ht="23" customHeight="1">
      <c r="A723" s="6">
        <v>6</v>
      </c>
      <c r="B723" s="6">
        <v>3</v>
      </c>
      <c r="C723" s="6">
        <v>1</v>
      </c>
      <c r="D723" s="6">
        <v>3</v>
      </c>
      <c r="E723" s="6">
        <v>189</v>
      </c>
      <c r="F723" s="61">
        <v>2.8</v>
      </c>
      <c r="G723" s="61">
        <v>5.7</v>
      </c>
      <c r="H723" s="62">
        <f>ROUND((G723-F723),4)</f>
        <v>2.9</v>
      </c>
      <c r="I723" s="9">
        <f>F97</f>
        <v>1755.0</v>
      </c>
      <c r="J723" s="9">
        <f>F98</f>
        <v>1755.0</v>
      </c>
    </row>
    <row r="724" spans="1:12" ht="23" customHeight="1">
      <c r="A724" s="6">
        <v>6</v>
      </c>
      <c r="B724" s="6">
        <v>3</v>
      </c>
      <c r="C724" s="6">
        <v>1</v>
      </c>
      <c r="D724" s="6">
        <v>4</v>
      </c>
      <c r="E724" s="6">
        <v>190</v>
      </c>
      <c r="F724" s="61">
        <v>5.7</v>
      </c>
      <c r="G724" s="61">
        <v>8.300000000000001</v>
      </c>
      <c r="H724" s="62">
        <f>ROUND((G724-F724),4)</f>
        <v>2.6</v>
      </c>
      <c r="I724" s="9">
        <f>F99</f>
        <v>5872.6</v>
      </c>
      <c r="J724" s="9">
        <f>F100</f>
        <v>6877.6</v>
      </c>
    </row>
    <row r="725" spans="1:12" ht="23" customHeight="1">
      <c r="A725" s="6">
        <v>6</v>
      </c>
      <c r="B725" s="6">
        <v>3</v>
      </c>
      <c r="C725" s="6">
        <v>1</v>
      </c>
      <c r="D725" s="6">
        <v>5</v>
      </c>
      <c r="E725" s="6">
        <v>191</v>
      </c>
      <c r="F725" s="61">
        <v>8.300000000000001</v>
      </c>
      <c r="G725" s="61">
        <v>8.9</v>
      </c>
      <c r="H725" s="62">
        <f>ROUND((G725-F725),4)</f>
        <v>0.6</v>
      </c>
      <c r="I725" s="9">
        <f>F101</f>
        <v>6809.4</v>
      </c>
      <c r="J725" s="9">
        <f>F102</f>
        <v>6809.4</v>
      </c>
    </row>
    <row r="726" spans="1:12" ht="23" customHeight="1">
      <c r="A726" s="6">
        <v>6</v>
      </c>
      <c r="B726" s="6">
        <v>3</v>
      </c>
      <c r="C726" s="6">
        <v>1</v>
      </c>
      <c r="D726" s="6">
        <v>6</v>
      </c>
      <c r="E726" s="6">
        <v>192</v>
      </c>
      <c r="F726" s="61">
        <v>8.9</v>
      </c>
      <c r="G726" s="61">
        <v>18.4</v>
      </c>
      <c r="H726" s="62">
        <f>ROUND((G726-F726),4)</f>
        <v>9.5</v>
      </c>
      <c r="I726" s="9">
        <f>F103</f>
        <v>7371.2</v>
      </c>
      <c r="J726" s="9">
        <f>F104</f>
        <v>11206.2</v>
      </c>
    </row>
    <row r="727" spans="1:12" ht="23" customHeight="1">
      <c r="A727" s="6">
        <v>6</v>
      </c>
      <c r="B727" s="6">
        <v>3</v>
      </c>
      <c r="C727" s="6">
        <v>1</v>
      </c>
      <c r="D727" s="6">
        <v>7</v>
      </c>
      <c r="E727" s="6">
        <v>193</v>
      </c>
      <c r="F727" s="61">
        <v>18.4</v>
      </c>
      <c r="G727" s="61">
        <v>31</v>
      </c>
      <c r="H727" s="62">
        <f>ROUND((G727-F727),4)</f>
        <v>12.6</v>
      </c>
      <c r="I727" s="9">
        <f>F107</f>
        <v>3088.8</v>
      </c>
      <c r="J727" s="9">
        <f>F108</f>
        <v>3088.8</v>
      </c>
    </row>
    <row r="728" spans="1:12" ht="24" customHeight="1">
      <c r="A728" s="2" t="s">
        <v>726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ht="23" customHeight="1"/>
    <row r="730" spans="1:12" ht="24" customHeight="1">
      <c r="A730" s="3" t="s">
        <v>727</v>
      </c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spans="1:12" ht="36" customHeight="1">
      <c r="A731" s="4" t="s">
        <v>8</v>
      </c>
      <c r="B731" s="4" t="s">
        <v>722</v>
      </c>
      <c r="C731" s="4" t="s">
        <v>10</v>
      </c>
      <c r="D731" s="4" t="s">
        <v>11</v>
      </c>
      <c r="E731" s="4" t="s">
        <v>12</v>
      </c>
      <c r="F731" s="4" t="s">
        <v>566</v>
      </c>
      <c r="G731" s="4" t="s">
        <v>567</v>
      </c>
      <c r="H731" s="4" t="s">
        <v>201</v>
      </c>
    </row>
    <row r="732" spans="1:12" ht="23" customHeight="1">
      <c r="A732" s="6">
        <v>4</v>
      </c>
      <c r="B732" s="6">
        <v>1</v>
      </c>
      <c r="C732" s="6">
        <v>98</v>
      </c>
      <c r="D732" s="6">
        <v>98</v>
      </c>
      <c r="E732" s="6">
        <v>99</v>
      </c>
      <c r="F732" s="61">
        <v>0</v>
      </c>
      <c r="G732" s="61">
        <v>1.3</v>
      </c>
      <c r="H732" s="62">
        <f>ROUND((G732-F732),4)</f>
        <v>1.3</v>
      </c>
    </row>
    <row r="733" spans="1:12" ht="23" customHeight="1">
      <c r="A733" s="6">
        <v>4</v>
      </c>
      <c r="B733" s="6">
        <v>1</v>
      </c>
      <c r="C733" s="6">
        <v>99</v>
      </c>
      <c r="D733" s="6">
        <v>99</v>
      </c>
      <c r="E733" s="6">
        <v>100</v>
      </c>
      <c r="F733" s="61">
        <v>1.3</v>
      </c>
      <c r="G733" s="61">
        <v>2.6</v>
      </c>
      <c r="H733" s="62">
        <f>ROUND((G733-F733),4)</f>
        <v>1.3</v>
      </c>
    </row>
    <row r="734" spans="1:12" ht="23" customHeight="1">
      <c r="A734" s="6">
        <v>4</v>
      </c>
      <c r="B734" s="6">
        <v>1</v>
      </c>
      <c r="C734" s="6">
        <v>100</v>
      </c>
      <c r="D734" s="6">
        <v>100</v>
      </c>
      <c r="E734" s="6">
        <v>101</v>
      </c>
      <c r="F734" s="61">
        <v>2.6</v>
      </c>
      <c r="G734" s="61">
        <v>3.9</v>
      </c>
      <c r="H734" s="62">
        <f>ROUND((G734-F734),4)</f>
        <v>1.3</v>
      </c>
    </row>
    <row r="735" spans="1:12" ht="23" customHeight="1">
      <c r="A735" s="6">
        <v>4</v>
      </c>
      <c r="B735" s="6">
        <v>1</v>
      </c>
      <c r="C735" s="6">
        <v>101</v>
      </c>
      <c r="D735" s="6">
        <v>101</v>
      </c>
      <c r="E735" s="6">
        <v>102</v>
      </c>
      <c r="F735" s="61">
        <v>3.9</v>
      </c>
      <c r="G735" s="61">
        <v>5.2</v>
      </c>
      <c r="H735" s="62">
        <f>ROUND((G735-F735),4)</f>
        <v>1.3</v>
      </c>
    </row>
    <row r="736" spans="1:12" ht="24" customHeight="1">
      <c r="A736" s="3" t="s">
        <v>727</v>
      </c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spans="1:8" ht="36" customHeight="1">
      <c r="A737" s="4" t="s">
        <v>8</v>
      </c>
      <c r="B737" s="4" t="s">
        <v>722</v>
      </c>
      <c r="C737" s="4" t="s">
        <v>10</v>
      </c>
      <c r="D737" s="4" t="s">
        <v>11</v>
      </c>
      <c r="E737" s="4" t="s">
        <v>12</v>
      </c>
      <c r="F737" s="4" t="s">
        <v>566</v>
      </c>
      <c r="G737" s="4" t="s">
        <v>567</v>
      </c>
      <c r="H737" s="4" t="s">
        <v>201</v>
      </c>
    </row>
    <row r="738" spans="1:8" ht="23" customHeight="1">
      <c r="A738" s="6">
        <v>4</v>
      </c>
      <c r="B738" s="6">
        <v>1</v>
      </c>
      <c r="C738" s="6">
        <v>102</v>
      </c>
      <c r="D738" s="6">
        <v>102</v>
      </c>
      <c r="E738" s="6">
        <v>103</v>
      </c>
      <c r="F738" s="61">
        <v>5.2</v>
      </c>
      <c r="G738" s="61">
        <v>6.5</v>
      </c>
      <c r="H738" s="62">
        <f>ROUND((G738-F738),4)</f>
        <v>1.3</v>
      </c>
    </row>
    <row r="739" spans="1:8" ht="23" customHeight="1">
      <c r="A739" s="6">
        <v>4</v>
      </c>
      <c r="B739" s="6">
        <v>1</v>
      </c>
      <c r="C739" s="6">
        <v>103</v>
      </c>
      <c r="D739" s="6">
        <v>103</v>
      </c>
      <c r="E739" s="6">
        <v>104</v>
      </c>
      <c r="F739" s="61">
        <v>6.5</v>
      </c>
      <c r="G739" s="61">
        <v>7.8</v>
      </c>
      <c r="H739" s="62">
        <f>ROUND((G739-F739),4)</f>
        <v>1.3</v>
      </c>
    </row>
    <row r="740" spans="1:8" ht="23" customHeight="1">
      <c r="A740" s="6">
        <v>4</v>
      </c>
      <c r="B740" s="6">
        <v>1</v>
      </c>
      <c r="C740" s="6">
        <v>104</v>
      </c>
      <c r="D740" s="6">
        <v>104</v>
      </c>
      <c r="E740" s="6">
        <v>105</v>
      </c>
      <c r="F740" s="61">
        <v>7.8</v>
      </c>
      <c r="G740" s="61">
        <v>9.1</v>
      </c>
      <c r="H740" s="62">
        <f>ROUND((G740-F740),4)</f>
        <v>1.3</v>
      </c>
    </row>
    <row r="741" spans="1:8" ht="23" customHeight="1">
      <c r="A741" s="6">
        <v>4</v>
      </c>
      <c r="B741" s="6">
        <v>1</v>
      </c>
      <c r="C741" s="6">
        <v>105</v>
      </c>
      <c r="D741" s="6">
        <v>105</v>
      </c>
      <c r="E741" s="6">
        <v>106</v>
      </c>
      <c r="F741" s="61">
        <v>9.1</v>
      </c>
      <c r="G741" s="61">
        <v>10.4</v>
      </c>
      <c r="H741" s="62">
        <f>ROUND((G741-F741),4)</f>
        <v>1.3</v>
      </c>
    </row>
    <row r="742" spans="1:8" ht="23" customHeight="1">
      <c r="A742" s="6">
        <v>4</v>
      </c>
      <c r="B742" s="6">
        <v>1</v>
      </c>
      <c r="C742" s="6">
        <v>106</v>
      </c>
      <c r="D742" s="6">
        <v>106</v>
      </c>
      <c r="E742" s="6">
        <v>107</v>
      </c>
      <c r="F742" s="61">
        <v>10.4</v>
      </c>
      <c r="G742" s="61">
        <v>11.7</v>
      </c>
      <c r="H742" s="62">
        <f>ROUND((G742-F742),4)</f>
        <v>1.3</v>
      </c>
    </row>
    <row r="743" spans="1:8" ht="23" customHeight="1">
      <c r="A743" s="6">
        <v>4</v>
      </c>
      <c r="B743" s="6">
        <v>1</v>
      </c>
      <c r="C743" s="6">
        <v>107</v>
      </c>
      <c r="D743" s="6">
        <v>107</v>
      </c>
      <c r="E743" s="6">
        <v>108</v>
      </c>
      <c r="F743" s="61">
        <v>11.7</v>
      </c>
      <c r="G743" s="61">
        <v>13</v>
      </c>
      <c r="H743" s="62">
        <f>ROUND((G743-F743),4)</f>
        <v>1.3</v>
      </c>
    </row>
    <row r="744" spans="1:8" ht="23" customHeight="1">
      <c r="A744" s="6">
        <v>4</v>
      </c>
      <c r="B744" s="6">
        <v>1</v>
      </c>
      <c r="C744" s="6">
        <v>108</v>
      </c>
      <c r="D744" s="6">
        <v>108</v>
      </c>
      <c r="E744" s="6">
        <v>109</v>
      </c>
      <c r="F744" s="61">
        <v>13</v>
      </c>
      <c r="G744" s="61">
        <v>14.3</v>
      </c>
      <c r="H744" s="62">
        <f>ROUND((G744-F744),4)</f>
        <v>1.3</v>
      </c>
    </row>
    <row r="745" spans="1:8" ht="23" customHeight="1">
      <c r="A745" s="6">
        <v>4</v>
      </c>
      <c r="B745" s="6">
        <v>1</v>
      </c>
      <c r="C745" s="6">
        <v>109</v>
      </c>
      <c r="D745" s="6">
        <v>109</v>
      </c>
      <c r="E745" s="6">
        <v>110</v>
      </c>
      <c r="F745" s="61">
        <v>14.3</v>
      </c>
      <c r="G745" s="61">
        <v>15.6</v>
      </c>
      <c r="H745" s="62">
        <f>ROUND((G745-F745),4)</f>
        <v>1.3</v>
      </c>
    </row>
    <row r="746" spans="1:8" ht="23" customHeight="1">
      <c r="A746" s="6">
        <v>4</v>
      </c>
      <c r="B746" s="6">
        <v>1</v>
      </c>
      <c r="C746" s="6">
        <v>110</v>
      </c>
      <c r="D746" s="6">
        <v>110</v>
      </c>
      <c r="E746" s="6">
        <v>111</v>
      </c>
      <c r="F746" s="61">
        <v>15.6</v>
      </c>
      <c r="G746" s="61">
        <v>16.9</v>
      </c>
      <c r="H746" s="62">
        <f>ROUND((G746-F746),4)</f>
        <v>1.3</v>
      </c>
    </row>
    <row r="747" spans="1:8" ht="23" customHeight="1">
      <c r="A747" s="6">
        <v>4</v>
      </c>
      <c r="B747" s="6">
        <v>1</v>
      </c>
      <c r="C747" s="6">
        <v>111</v>
      </c>
      <c r="D747" s="6">
        <v>111</v>
      </c>
      <c r="E747" s="6">
        <v>112</v>
      </c>
      <c r="F747" s="61">
        <v>16.9</v>
      </c>
      <c r="G747" s="61">
        <v>18.2</v>
      </c>
      <c r="H747" s="62">
        <f>ROUND((G747-F747),4)</f>
        <v>1.3</v>
      </c>
    </row>
    <row r="748" spans="1:8" ht="23" customHeight="1">
      <c r="A748" s="6">
        <v>4</v>
      </c>
      <c r="B748" s="6">
        <v>1</v>
      </c>
      <c r="C748" s="6">
        <v>112</v>
      </c>
      <c r="D748" s="6">
        <v>112</v>
      </c>
      <c r="E748" s="6">
        <v>113</v>
      </c>
      <c r="F748" s="61">
        <v>18.2</v>
      </c>
      <c r="G748" s="61">
        <v>19.5</v>
      </c>
      <c r="H748" s="62">
        <f>ROUND((G748-F748),4)</f>
        <v>1.3</v>
      </c>
    </row>
    <row r="749" spans="1:8" ht="23" customHeight="1">
      <c r="A749" s="6">
        <v>4</v>
      </c>
      <c r="B749" s="6">
        <v>1</v>
      </c>
      <c r="C749" s="6">
        <v>113</v>
      </c>
      <c r="D749" s="6">
        <v>113</v>
      </c>
      <c r="E749" s="6">
        <v>114</v>
      </c>
      <c r="F749" s="61">
        <v>19.5</v>
      </c>
      <c r="G749" s="61">
        <v>20.8</v>
      </c>
      <c r="H749" s="62">
        <f>ROUND((G749-F749),4)</f>
        <v>1.3</v>
      </c>
    </row>
    <row r="750" spans="1:8" ht="23" customHeight="1">
      <c r="A750" s="6">
        <v>4</v>
      </c>
      <c r="B750" s="6">
        <v>1</v>
      </c>
      <c r="C750" s="6">
        <v>114</v>
      </c>
      <c r="D750" s="6">
        <v>114</v>
      </c>
      <c r="E750" s="6">
        <v>115</v>
      </c>
      <c r="F750" s="61">
        <v>20.8</v>
      </c>
      <c r="G750" s="61">
        <v>22.1</v>
      </c>
      <c r="H750" s="62">
        <f>ROUND((G750-F750),4)</f>
        <v>1.3</v>
      </c>
    </row>
    <row r="751" spans="1:8" ht="23" customHeight="1">
      <c r="A751" s="6">
        <v>4</v>
      </c>
      <c r="B751" s="6">
        <v>1</v>
      </c>
      <c r="C751" s="6">
        <v>115</v>
      </c>
      <c r="D751" s="6">
        <v>115</v>
      </c>
      <c r="E751" s="6">
        <v>116</v>
      </c>
      <c r="F751" s="61">
        <v>22.1</v>
      </c>
      <c r="G751" s="61">
        <v>23.4</v>
      </c>
      <c r="H751" s="62">
        <f>ROUND((G751-F751),4)</f>
        <v>1.3</v>
      </c>
    </row>
    <row r="752" spans="1:8" ht="23" customHeight="1">
      <c r="A752" s="6">
        <v>4</v>
      </c>
      <c r="B752" s="6">
        <v>1</v>
      </c>
      <c r="C752" s="6">
        <v>116</v>
      </c>
      <c r="D752" s="6">
        <v>116</v>
      </c>
      <c r="E752" s="6">
        <v>117</v>
      </c>
      <c r="F752" s="61">
        <v>23.4</v>
      </c>
      <c r="G752" s="61">
        <v>24.7</v>
      </c>
      <c r="H752" s="62">
        <f>ROUND((G752-F752),4)</f>
        <v>1.3</v>
      </c>
    </row>
    <row r="753" spans="1:12" ht="24" customHeight="1">
      <c r="A753" s="3" t="s">
        <v>727</v>
      </c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spans="1:12" ht="36" customHeight="1">
      <c r="A754" s="4" t="s">
        <v>8</v>
      </c>
      <c r="B754" s="4" t="s">
        <v>722</v>
      </c>
      <c r="C754" s="4" t="s">
        <v>10</v>
      </c>
      <c r="D754" s="4" t="s">
        <v>11</v>
      </c>
      <c r="E754" s="4" t="s">
        <v>12</v>
      </c>
      <c r="F754" s="4" t="s">
        <v>566</v>
      </c>
      <c r="G754" s="4" t="s">
        <v>567</v>
      </c>
      <c r="H754" s="4" t="s">
        <v>201</v>
      </c>
    </row>
    <row r="755" spans="1:12" ht="23" customHeight="1">
      <c r="A755" s="6">
        <v>4</v>
      </c>
      <c r="B755" s="6">
        <v>1</v>
      </c>
      <c r="C755" s="6">
        <v>117</v>
      </c>
      <c r="D755" s="6">
        <v>117</v>
      </c>
      <c r="E755" s="6">
        <v>118</v>
      </c>
      <c r="F755" s="61">
        <v>24.7</v>
      </c>
      <c r="G755" s="61">
        <v>26</v>
      </c>
      <c r="H755" s="62">
        <f>ROUND((G755-F755),4)</f>
        <v>1.3</v>
      </c>
    </row>
    <row r="756" spans="1:12" ht="23" customHeight="1">
      <c r="A756" s="6">
        <v>4</v>
      </c>
      <c r="B756" s="6">
        <v>1</v>
      </c>
      <c r="C756" s="6">
        <v>118</v>
      </c>
      <c r="D756" s="6">
        <v>118</v>
      </c>
      <c r="E756" s="6">
        <v>119</v>
      </c>
      <c r="F756" s="61">
        <v>26</v>
      </c>
      <c r="G756" s="61">
        <v>27.3</v>
      </c>
      <c r="H756" s="62">
        <f>ROUND((G756-F756),4)</f>
        <v>1.3</v>
      </c>
    </row>
    <row r="757" spans="1:12" ht="23" customHeight="1">
      <c r="A757" s="6">
        <v>4</v>
      </c>
      <c r="B757" s="6">
        <v>1</v>
      </c>
      <c r="C757" s="6">
        <v>119</v>
      </c>
      <c r="D757" s="6">
        <v>119</v>
      </c>
      <c r="E757" s="6">
        <v>120</v>
      </c>
      <c r="F757" s="61">
        <v>27.3</v>
      </c>
      <c r="G757" s="61">
        <v>28.6</v>
      </c>
      <c r="H757" s="62">
        <f>ROUND((G757-F757),4)</f>
        <v>1.3</v>
      </c>
    </row>
    <row r="758" spans="1:12" ht="23" customHeight="1">
      <c r="A758" s="6">
        <v>4</v>
      </c>
      <c r="B758" s="6">
        <v>1</v>
      </c>
      <c r="C758" s="6">
        <v>120</v>
      </c>
      <c r="D758" s="6">
        <v>120</v>
      </c>
      <c r="E758" s="6">
        <v>121</v>
      </c>
      <c r="F758" s="61">
        <v>28.6</v>
      </c>
      <c r="G758" s="61">
        <v>29.9</v>
      </c>
      <c r="H758" s="62">
        <f>ROUND((G758-F758),4)</f>
        <v>1.3</v>
      </c>
    </row>
    <row r="759" spans="1:12" ht="23" customHeight="1">
      <c r="A759" s="6">
        <v>4</v>
      </c>
      <c r="B759" s="6">
        <v>1</v>
      </c>
      <c r="C759" s="6">
        <v>121</v>
      </c>
      <c r="D759" s="6">
        <v>121</v>
      </c>
      <c r="E759" s="6">
        <v>122</v>
      </c>
      <c r="F759" s="61">
        <v>29.9</v>
      </c>
      <c r="G759" s="61">
        <v>31</v>
      </c>
      <c r="H759" s="62">
        <f>ROUND((G759-F759),4)</f>
        <v>1.1</v>
      </c>
    </row>
    <row r="760" spans="1:12" ht="23" customHeight="1">
      <c r="A760" s="6">
        <v>5</v>
      </c>
      <c r="B760" s="6">
        <v>2</v>
      </c>
      <c r="C760" s="6">
        <v>123</v>
      </c>
      <c r="D760" s="6">
        <v>123</v>
      </c>
      <c r="E760" s="6">
        <v>124</v>
      </c>
      <c r="F760" s="61">
        <v>0</v>
      </c>
      <c r="G760" s="61">
        <v>1.3</v>
      </c>
      <c r="H760" s="62">
        <f>ROUND((G760-F760),4)</f>
        <v>1.3</v>
      </c>
    </row>
    <row r="761" spans="1:12" ht="23" customHeight="1">
      <c r="A761" s="6">
        <v>5</v>
      </c>
      <c r="B761" s="6">
        <v>2</v>
      </c>
      <c r="C761" s="6">
        <v>124</v>
      </c>
      <c r="D761" s="6">
        <v>124</v>
      </c>
      <c r="E761" s="6">
        <v>125</v>
      </c>
      <c r="F761" s="61">
        <v>1.3</v>
      </c>
      <c r="G761" s="61">
        <v>2.6</v>
      </c>
      <c r="H761" s="62">
        <f>ROUND((G761-F761),4)</f>
        <v>1.3</v>
      </c>
    </row>
    <row r="762" spans="1:12" ht="23" customHeight="1">
      <c r="A762" s="6">
        <v>5</v>
      </c>
      <c r="B762" s="6">
        <v>2</v>
      </c>
      <c r="C762" s="6">
        <v>125</v>
      </c>
      <c r="D762" s="6">
        <v>125</v>
      </c>
      <c r="E762" s="6">
        <v>126</v>
      </c>
      <c r="F762" s="61">
        <v>2.6</v>
      </c>
      <c r="G762" s="61">
        <v>3.9</v>
      </c>
      <c r="H762" s="62">
        <f>ROUND((G762-F762),4)</f>
        <v>1.3</v>
      </c>
    </row>
    <row r="763" spans="1:12" ht="23" customHeight="1">
      <c r="A763" s="6">
        <v>5</v>
      </c>
      <c r="B763" s="6">
        <v>2</v>
      </c>
      <c r="C763" s="6">
        <v>126</v>
      </c>
      <c r="D763" s="6">
        <v>126</v>
      </c>
      <c r="E763" s="6">
        <v>127</v>
      </c>
      <c r="F763" s="61">
        <v>3.9</v>
      </c>
      <c r="G763" s="61">
        <v>5.2</v>
      </c>
      <c r="H763" s="62">
        <f>ROUND((G763-F763),4)</f>
        <v>1.3</v>
      </c>
    </row>
    <row r="764" spans="1:12" ht="23" customHeight="1">
      <c r="A764" s="6">
        <v>5</v>
      </c>
      <c r="B764" s="6">
        <v>2</v>
      </c>
      <c r="C764" s="6">
        <v>127</v>
      </c>
      <c r="D764" s="6">
        <v>127</v>
      </c>
      <c r="E764" s="6">
        <v>128</v>
      </c>
      <c r="F764" s="61">
        <v>5.2</v>
      </c>
      <c r="G764" s="61">
        <v>6.5</v>
      </c>
      <c r="H764" s="62">
        <f>ROUND((G764-F764),4)</f>
        <v>1.3</v>
      </c>
    </row>
    <row r="765" spans="1:12" ht="23" customHeight="1">
      <c r="A765" s="6">
        <v>5</v>
      </c>
      <c r="B765" s="6">
        <v>2</v>
      </c>
      <c r="C765" s="6">
        <v>128</v>
      </c>
      <c r="D765" s="6">
        <v>128</v>
      </c>
      <c r="E765" s="6">
        <v>129</v>
      </c>
      <c r="F765" s="61">
        <v>6.5</v>
      </c>
      <c r="G765" s="61">
        <v>7.8</v>
      </c>
      <c r="H765" s="62">
        <f>ROUND((G765-F765),4)</f>
        <v>1.3</v>
      </c>
    </row>
    <row r="766" spans="1:12" ht="23" customHeight="1">
      <c r="A766" s="6">
        <v>5</v>
      </c>
      <c r="B766" s="6">
        <v>2</v>
      </c>
      <c r="C766" s="6">
        <v>129</v>
      </c>
      <c r="D766" s="6">
        <v>129</v>
      </c>
      <c r="E766" s="6">
        <v>130</v>
      </c>
      <c r="F766" s="61">
        <v>7.8</v>
      </c>
      <c r="G766" s="61">
        <v>9.1</v>
      </c>
      <c r="H766" s="62">
        <f>ROUND((G766-F766),4)</f>
        <v>1.3</v>
      </c>
    </row>
    <row r="767" spans="1:12" ht="23" customHeight="1">
      <c r="A767" s="6">
        <v>5</v>
      </c>
      <c r="B767" s="6">
        <v>2</v>
      </c>
      <c r="C767" s="6">
        <v>130</v>
      </c>
      <c r="D767" s="6">
        <v>130</v>
      </c>
      <c r="E767" s="6">
        <v>131</v>
      </c>
      <c r="F767" s="61">
        <v>9.1</v>
      </c>
      <c r="G767" s="61">
        <v>10.4</v>
      </c>
      <c r="H767" s="62">
        <f>ROUND((G767-F767),4)</f>
        <v>1.3</v>
      </c>
    </row>
    <row r="768" spans="1:12" ht="23" customHeight="1">
      <c r="A768" s="6">
        <v>5</v>
      </c>
      <c r="B768" s="6">
        <v>2</v>
      </c>
      <c r="C768" s="6">
        <v>131</v>
      </c>
      <c r="D768" s="6">
        <v>131</v>
      </c>
      <c r="E768" s="6">
        <v>132</v>
      </c>
      <c r="F768" s="61">
        <v>10.4</v>
      </c>
      <c r="G768" s="61">
        <v>11.7</v>
      </c>
      <c r="H768" s="62">
        <f>ROUND((G768-F768),4)</f>
        <v>1.3</v>
      </c>
    </row>
    <row r="769" spans="1:12" ht="23" customHeight="1">
      <c r="A769" s="6">
        <v>5</v>
      </c>
      <c r="B769" s="6">
        <v>2</v>
      </c>
      <c r="C769" s="6">
        <v>132</v>
      </c>
      <c r="D769" s="6">
        <v>132</v>
      </c>
      <c r="E769" s="6">
        <v>133</v>
      </c>
      <c r="F769" s="61">
        <v>11.7</v>
      </c>
      <c r="G769" s="61">
        <v>13</v>
      </c>
      <c r="H769" s="62">
        <f>ROUND((G769-F769),4)</f>
        <v>1.3</v>
      </c>
    </row>
    <row r="770" spans="1:12" ht="24" customHeight="1">
      <c r="A770" s="3" t="s">
        <v>727</v>
      </c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spans="1:12" ht="36" customHeight="1">
      <c r="A771" s="4" t="s">
        <v>8</v>
      </c>
      <c r="B771" s="4" t="s">
        <v>722</v>
      </c>
      <c r="C771" s="4" t="s">
        <v>10</v>
      </c>
      <c r="D771" s="4" t="s">
        <v>11</v>
      </c>
      <c r="E771" s="4" t="s">
        <v>12</v>
      </c>
      <c r="F771" s="4" t="s">
        <v>566</v>
      </c>
      <c r="G771" s="4" t="s">
        <v>567</v>
      </c>
      <c r="H771" s="4" t="s">
        <v>201</v>
      </c>
    </row>
    <row r="772" spans="1:12" ht="23" customHeight="1">
      <c r="A772" s="6">
        <v>5</v>
      </c>
      <c r="B772" s="6">
        <v>2</v>
      </c>
      <c r="C772" s="6">
        <v>133</v>
      </c>
      <c r="D772" s="6">
        <v>133</v>
      </c>
      <c r="E772" s="6">
        <v>134</v>
      </c>
      <c r="F772" s="61">
        <v>13</v>
      </c>
      <c r="G772" s="61">
        <v>14.3</v>
      </c>
      <c r="H772" s="62">
        <f>ROUND((G772-F772),4)</f>
        <v>1.3</v>
      </c>
    </row>
    <row r="773" spans="1:12" ht="23" customHeight="1">
      <c r="A773" s="6">
        <v>5</v>
      </c>
      <c r="B773" s="6">
        <v>2</v>
      </c>
      <c r="C773" s="6">
        <v>134</v>
      </c>
      <c r="D773" s="6">
        <v>134</v>
      </c>
      <c r="E773" s="6">
        <v>135</v>
      </c>
      <c r="F773" s="61">
        <v>14.3</v>
      </c>
      <c r="G773" s="61">
        <v>15.6</v>
      </c>
      <c r="H773" s="62">
        <f>ROUND((G773-F773),4)</f>
        <v>1.3</v>
      </c>
    </row>
    <row r="774" spans="1:12" ht="23" customHeight="1">
      <c r="A774" s="6">
        <v>5</v>
      </c>
      <c r="B774" s="6">
        <v>2</v>
      </c>
      <c r="C774" s="6">
        <v>135</v>
      </c>
      <c r="D774" s="6">
        <v>135</v>
      </c>
      <c r="E774" s="6">
        <v>136</v>
      </c>
      <c r="F774" s="61">
        <v>15.6</v>
      </c>
      <c r="G774" s="61">
        <v>16.9</v>
      </c>
      <c r="H774" s="62">
        <f>ROUND((G774-F774),4)</f>
        <v>1.3</v>
      </c>
    </row>
    <row r="775" spans="1:12" ht="23" customHeight="1">
      <c r="A775" s="6">
        <v>5</v>
      </c>
      <c r="B775" s="6">
        <v>2</v>
      </c>
      <c r="C775" s="6">
        <v>136</v>
      </c>
      <c r="D775" s="6">
        <v>136</v>
      </c>
      <c r="E775" s="6">
        <v>137</v>
      </c>
      <c r="F775" s="61">
        <v>16.9</v>
      </c>
      <c r="G775" s="61">
        <v>18.2</v>
      </c>
      <c r="H775" s="62">
        <f>ROUND((G775-F775),4)</f>
        <v>1.3</v>
      </c>
    </row>
    <row r="776" spans="1:12" ht="23" customHeight="1">
      <c r="A776" s="6">
        <v>5</v>
      </c>
      <c r="B776" s="6">
        <v>2</v>
      </c>
      <c r="C776" s="6">
        <v>137</v>
      </c>
      <c r="D776" s="6">
        <v>137</v>
      </c>
      <c r="E776" s="6">
        <v>138</v>
      </c>
      <c r="F776" s="61">
        <v>18.2</v>
      </c>
      <c r="G776" s="61">
        <v>19.5</v>
      </c>
      <c r="H776" s="62">
        <f>ROUND((G776-F776),4)</f>
        <v>1.3</v>
      </c>
    </row>
    <row r="777" spans="1:12" ht="23" customHeight="1">
      <c r="A777" s="6">
        <v>5</v>
      </c>
      <c r="B777" s="6">
        <v>2</v>
      </c>
      <c r="C777" s="6">
        <v>138</v>
      </c>
      <c r="D777" s="6">
        <v>138</v>
      </c>
      <c r="E777" s="6">
        <v>139</v>
      </c>
      <c r="F777" s="61">
        <v>19.5</v>
      </c>
      <c r="G777" s="61">
        <v>20.8</v>
      </c>
      <c r="H777" s="62">
        <f>ROUND((G777-F777),4)</f>
        <v>1.3</v>
      </c>
    </row>
    <row r="778" spans="1:12" ht="23" customHeight="1">
      <c r="A778" s="6">
        <v>5</v>
      </c>
      <c r="B778" s="6">
        <v>2</v>
      </c>
      <c r="C778" s="6">
        <v>139</v>
      </c>
      <c r="D778" s="6">
        <v>139</v>
      </c>
      <c r="E778" s="6">
        <v>140</v>
      </c>
      <c r="F778" s="61">
        <v>20.8</v>
      </c>
      <c r="G778" s="61">
        <v>22.1</v>
      </c>
      <c r="H778" s="62">
        <f>ROUND((G778-F778),4)</f>
        <v>1.3</v>
      </c>
    </row>
    <row r="779" spans="1:12" ht="23" customHeight="1">
      <c r="A779" s="6">
        <v>5</v>
      </c>
      <c r="B779" s="6">
        <v>2</v>
      </c>
      <c r="C779" s="6">
        <v>140</v>
      </c>
      <c r="D779" s="6">
        <v>140</v>
      </c>
      <c r="E779" s="6">
        <v>141</v>
      </c>
      <c r="F779" s="61">
        <v>22.1</v>
      </c>
      <c r="G779" s="61">
        <v>23.4</v>
      </c>
      <c r="H779" s="62">
        <f>ROUND((G779-F779),4)</f>
        <v>1.3</v>
      </c>
    </row>
    <row r="780" spans="1:12" ht="23" customHeight="1">
      <c r="A780" s="6">
        <v>5</v>
      </c>
      <c r="B780" s="6">
        <v>2</v>
      </c>
      <c r="C780" s="6">
        <v>141</v>
      </c>
      <c r="D780" s="6">
        <v>141</v>
      </c>
      <c r="E780" s="6">
        <v>142</v>
      </c>
      <c r="F780" s="61">
        <v>23.4</v>
      </c>
      <c r="G780" s="61">
        <v>24.7</v>
      </c>
      <c r="H780" s="62">
        <f>ROUND((G780-F780),4)</f>
        <v>1.3</v>
      </c>
    </row>
    <row r="781" spans="1:12" ht="23" customHeight="1">
      <c r="A781" s="6">
        <v>5</v>
      </c>
      <c r="B781" s="6">
        <v>2</v>
      </c>
      <c r="C781" s="6">
        <v>142</v>
      </c>
      <c r="D781" s="6">
        <v>142</v>
      </c>
      <c r="E781" s="6">
        <v>143</v>
      </c>
      <c r="F781" s="61">
        <v>24.7</v>
      </c>
      <c r="G781" s="61">
        <v>26</v>
      </c>
      <c r="H781" s="62">
        <f>ROUND((G781-F781),4)</f>
        <v>1.3</v>
      </c>
    </row>
    <row r="782" spans="1:12" ht="23" customHeight="1">
      <c r="A782" s="6">
        <v>5</v>
      </c>
      <c r="B782" s="6">
        <v>2</v>
      </c>
      <c r="C782" s="6">
        <v>143</v>
      </c>
      <c r="D782" s="6">
        <v>143</v>
      </c>
      <c r="E782" s="6">
        <v>144</v>
      </c>
      <c r="F782" s="61">
        <v>26</v>
      </c>
      <c r="G782" s="61">
        <v>27.3</v>
      </c>
      <c r="H782" s="62">
        <f>ROUND((G782-F782),4)</f>
        <v>1.3</v>
      </c>
    </row>
    <row r="783" spans="1:12" ht="23" customHeight="1">
      <c r="A783" s="6">
        <v>5</v>
      </c>
      <c r="B783" s="6">
        <v>2</v>
      </c>
      <c r="C783" s="6">
        <v>144</v>
      </c>
      <c r="D783" s="6">
        <v>144</v>
      </c>
      <c r="E783" s="6">
        <v>145</v>
      </c>
      <c r="F783" s="61">
        <v>27.3</v>
      </c>
      <c r="G783" s="61">
        <v>28.6</v>
      </c>
      <c r="H783" s="62">
        <f>ROUND((G783-F783),4)</f>
        <v>1.3</v>
      </c>
    </row>
    <row r="784" spans="1:12" ht="23" customHeight="1">
      <c r="A784" s="6">
        <v>5</v>
      </c>
      <c r="B784" s="6">
        <v>2</v>
      </c>
      <c r="C784" s="6">
        <v>145</v>
      </c>
      <c r="D784" s="6">
        <v>145</v>
      </c>
      <c r="E784" s="6">
        <v>146</v>
      </c>
      <c r="F784" s="61">
        <v>28.6</v>
      </c>
      <c r="G784" s="61">
        <v>29.9</v>
      </c>
      <c r="H784" s="62">
        <f>ROUND((G784-F784),4)</f>
        <v>1.3</v>
      </c>
    </row>
    <row r="785" spans="1:12" ht="23" customHeight="1">
      <c r="A785" s="6">
        <v>5</v>
      </c>
      <c r="B785" s="6">
        <v>2</v>
      </c>
      <c r="C785" s="6">
        <v>146</v>
      </c>
      <c r="D785" s="6">
        <v>146</v>
      </c>
      <c r="E785" s="6">
        <v>147</v>
      </c>
      <c r="F785" s="61">
        <v>29.9</v>
      </c>
      <c r="G785" s="61">
        <v>31</v>
      </c>
      <c r="H785" s="62">
        <f>ROUND((G785-F785),4)</f>
        <v>1.1</v>
      </c>
    </row>
    <row r="786" spans="1:12" ht="23" customHeight="1">
      <c r="A786" s="6">
        <v>6</v>
      </c>
      <c r="B786" s="6">
        <v>3</v>
      </c>
      <c r="C786" s="6">
        <v>148</v>
      </c>
      <c r="D786" s="6">
        <v>148</v>
      </c>
      <c r="E786" s="6">
        <v>149</v>
      </c>
      <c r="F786" s="61">
        <v>0</v>
      </c>
      <c r="G786" s="61">
        <v>1.3</v>
      </c>
      <c r="H786" s="62">
        <f>ROUND((G786-F786),4)</f>
        <v>1.3</v>
      </c>
    </row>
    <row r="787" spans="1:12" ht="24" customHeight="1">
      <c r="A787" s="3" t="s">
        <v>727</v>
      </c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spans="1:12" ht="36" customHeight="1">
      <c r="A788" s="4" t="s">
        <v>8</v>
      </c>
      <c r="B788" s="4" t="s">
        <v>722</v>
      </c>
      <c r="C788" s="4" t="s">
        <v>10</v>
      </c>
      <c r="D788" s="4" t="s">
        <v>11</v>
      </c>
      <c r="E788" s="4" t="s">
        <v>12</v>
      </c>
      <c r="F788" s="4" t="s">
        <v>566</v>
      </c>
      <c r="G788" s="4" t="s">
        <v>567</v>
      </c>
      <c r="H788" s="4" t="s">
        <v>201</v>
      </c>
    </row>
    <row r="789" spans="1:12" ht="23" customHeight="1">
      <c r="A789" s="6">
        <v>6</v>
      </c>
      <c r="B789" s="6">
        <v>3</v>
      </c>
      <c r="C789" s="6">
        <v>149</v>
      </c>
      <c r="D789" s="6">
        <v>149</v>
      </c>
      <c r="E789" s="6">
        <v>150</v>
      </c>
      <c r="F789" s="61">
        <v>1.3</v>
      </c>
      <c r="G789" s="61">
        <v>2.6</v>
      </c>
      <c r="H789" s="62">
        <f>ROUND((G789-F789),4)</f>
        <v>1.3</v>
      </c>
    </row>
    <row r="790" spans="1:12" ht="23" customHeight="1">
      <c r="A790" s="6">
        <v>6</v>
      </c>
      <c r="B790" s="6">
        <v>3</v>
      </c>
      <c r="C790" s="6">
        <v>150</v>
      </c>
      <c r="D790" s="6">
        <v>150</v>
      </c>
      <c r="E790" s="6">
        <v>151</v>
      </c>
      <c r="F790" s="61">
        <v>2.6</v>
      </c>
      <c r="G790" s="61">
        <v>3.9</v>
      </c>
      <c r="H790" s="62">
        <f>ROUND((G790-F790),4)</f>
        <v>1.3</v>
      </c>
    </row>
    <row r="791" spans="1:12" ht="23" customHeight="1">
      <c r="A791" s="6">
        <v>6</v>
      </c>
      <c r="B791" s="6">
        <v>3</v>
      </c>
      <c r="C791" s="6">
        <v>151</v>
      </c>
      <c r="D791" s="6">
        <v>151</v>
      </c>
      <c r="E791" s="6">
        <v>152</v>
      </c>
      <c r="F791" s="61">
        <v>3.9</v>
      </c>
      <c r="G791" s="61">
        <v>5.2</v>
      </c>
      <c r="H791" s="62">
        <f>ROUND((G791-F791),4)</f>
        <v>1.3</v>
      </c>
    </row>
    <row r="792" spans="1:12" ht="23" customHeight="1">
      <c r="A792" s="6">
        <v>6</v>
      </c>
      <c r="B792" s="6">
        <v>3</v>
      </c>
      <c r="C792" s="6">
        <v>152</v>
      </c>
      <c r="D792" s="6">
        <v>152</v>
      </c>
      <c r="E792" s="6">
        <v>153</v>
      </c>
      <c r="F792" s="61">
        <v>5.2</v>
      </c>
      <c r="G792" s="61">
        <v>6.5</v>
      </c>
      <c r="H792" s="62">
        <f>ROUND((G792-F792),4)</f>
        <v>1.3</v>
      </c>
    </row>
    <row r="793" spans="1:12" ht="23" customHeight="1">
      <c r="A793" s="6">
        <v>6</v>
      </c>
      <c r="B793" s="6">
        <v>3</v>
      </c>
      <c r="C793" s="6">
        <v>153</v>
      </c>
      <c r="D793" s="6">
        <v>153</v>
      </c>
      <c r="E793" s="6">
        <v>154</v>
      </c>
      <c r="F793" s="61">
        <v>6.5</v>
      </c>
      <c r="G793" s="61">
        <v>7.8</v>
      </c>
      <c r="H793" s="62">
        <f>ROUND((G793-F793),4)</f>
        <v>1.3</v>
      </c>
    </row>
    <row r="794" spans="1:12" ht="23" customHeight="1">
      <c r="A794" s="6">
        <v>6</v>
      </c>
      <c r="B794" s="6">
        <v>3</v>
      </c>
      <c r="C794" s="6">
        <v>154</v>
      </c>
      <c r="D794" s="6">
        <v>154</v>
      </c>
      <c r="E794" s="6">
        <v>155</v>
      </c>
      <c r="F794" s="61">
        <v>7.8</v>
      </c>
      <c r="G794" s="61">
        <v>9.1</v>
      </c>
      <c r="H794" s="62">
        <f>ROUND((G794-F794),4)</f>
        <v>1.3</v>
      </c>
    </row>
    <row r="795" spans="1:12" ht="23" customHeight="1">
      <c r="A795" s="6">
        <v>6</v>
      </c>
      <c r="B795" s="6">
        <v>3</v>
      </c>
      <c r="C795" s="6">
        <v>155</v>
      </c>
      <c r="D795" s="6">
        <v>155</v>
      </c>
      <c r="E795" s="6">
        <v>156</v>
      </c>
      <c r="F795" s="61">
        <v>9.1</v>
      </c>
      <c r="G795" s="61">
        <v>10.4</v>
      </c>
      <c r="H795" s="62">
        <f>ROUND((G795-F795),4)</f>
        <v>1.3</v>
      </c>
    </row>
    <row r="796" spans="1:12" ht="23" customHeight="1">
      <c r="A796" s="6">
        <v>6</v>
      </c>
      <c r="B796" s="6">
        <v>3</v>
      </c>
      <c r="C796" s="6">
        <v>156</v>
      </c>
      <c r="D796" s="6">
        <v>156</v>
      </c>
      <c r="E796" s="6">
        <v>157</v>
      </c>
      <c r="F796" s="61">
        <v>10.4</v>
      </c>
      <c r="G796" s="61">
        <v>11.7</v>
      </c>
      <c r="H796" s="62">
        <f>ROUND((G796-F796),4)</f>
        <v>1.3</v>
      </c>
    </row>
    <row r="797" spans="1:12" ht="23" customHeight="1">
      <c r="A797" s="6">
        <v>6</v>
      </c>
      <c r="B797" s="6">
        <v>3</v>
      </c>
      <c r="C797" s="6">
        <v>157</v>
      </c>
      <c r="D797" s="6">
        <v>157</v>
      </c>
      <c r="E797" s="6">
        <v>158</v>
      </c>
      <c r="F797" s="61">
        <v>11.7</v>
      </c>
      <c r="G797" s="61">
        <v>13</v>
      </c>
      <c r="H797" s="62">
        <f>ROUND((G797-F797),4)</f>
        <v>1.3</v>
      </c>
    </row>
    <row r="798" spans="1:12" ht="23" customHeight="1">
      <c r="A798" s="6">
        <v>6</v>
      </c>
      <c r="B798" s="6">
        <v>3</v>
      </c>
      <c r="C798" s="6">
        <v>158</v>
      </c>
      <c r="D798" s="6">
        <v>158</v>
      </c>
      <c r="E798" s="6">
        <v>159</v>
      </c>
      <c r="F798" s="61">
        <v>13</v>
      </c>
      <c r="G798" s="61">
        <v>14.3</v>
      </c>
      <c r="H798" s="62">
        <f>ROUND((G798-F798),4)</f>
        <v>1.3</v>
      </c>
    </row>
    <row r="799" spans="1:12" ht="23" customHeight="1">
      <c r="A799" s="6">
        <v>6</v>
      </c>
      <c r="B799" s="6">
        <v>3</v>
      </c>
      <c r="C799" s="6">
        <v>159</v>
      </c>
      <c r="D799" s="6">
        <v>159</v>
      </c>
      <c r="E799" s="6">
        <v>160</v>
      </c>
      <c r="F799" s="61">
        <v>14.3</v>
      </c>
      <c r="G799" s="61">
        <v>15.6</v>
      </c>
      <c r="H799" s="62">
        <f>ROUND((G799-F799),4)</f>
        <v>1.3</v>
      </c>
    </row>
    <row r="800" spans="1:12" ht="23" customHeight="1">
      <c r="A800" s="6">
        <v>6</v>
      </c>
      <c r="B800" s="6">
        <v>3</v>
      </c>
      <c r="C800" s="6">
        <v>160</v>
      </c>
      <c r="D800" s="6">
        <v>160</v>
      </c>
      <c r="E800" s="6">
        <v>161</v>
      </c>
      <c r="F800" s="61">
        <v>15.6</v>
      </c>
      <c r="G800" s="61">
        <v>16.9</v>
      </c>
      <c r="H800" s="62">
        <f>ROUND((G800-F800),4)</f>
        <v>1.3</v>
      </c>
    </row>
    <row r="801" spans="1:12" ht="23" customHeight="1">
      <c r="A801" s="6">
        <v>6</v>
      </c>
      <c r="B801" s="6">
        <v>3</v>
      </c>
      <c r="C801" s="6">
        <v>161</v>
      </c>
      <c r="D801" s="6">
        <v>161</v>
      </c>
      <c r="E801" s="6">
        <v>162</v>
      </c>
      <c r="F801" s="61">
        <v>16.9</v>
      </c>
      <c r="G801" s="61">
        <v>18.2</v>
      </c>
      <c r="H801" s="62">
        <f>ROUND((G801-F801),4)</f>
        <v>1.3</v>
      </c>
    </row>
    <row r="802" spans="1:12" ht="23" customHeight="1">
      <c r="A802" s="6">
        <v>6</v>
      </c>
      <c r="B802" s="6">
        <v>3</v>
      </c>
      <c r="C802" s="6">
        <v>162</v>
      </c>
      <c r="D802" s="6">
        <v>162</v>
      </c>
      <c r="E802" s="6">
        <v>163</v>
      </c>
      <c r="F802" s="61">
        <v>18.2</v>
      </c>
      <c r="G802" s="61">
        <v>19.5</v>
      </c>
      <c r="H802" s="62">
        <f>ROUND((G802-F802),4)</f>
        <v>1.3</v>
      </c>
    </row>
    <row r="803" spans="1:12" ht="23" customHeight="1">
      <c r="A803" s="6">
        <v>6</v>
      </c>
      <c r="B803" s="6">
        <v>3</v>
      </c>
      <c r="C803" s="6">
        <v>163</v>
      </c>
      <c r="D803" s="6">
        <v>163</v>
      </c>
      <c r="E803" s="6">
        <v>164</v>
      </c>
      <c r="F803" s="61">
        <v>19.5</v>
      </c>
      <c r="G803" s="61">
        <v>20.8</v>
      </c>
      <c r="H803" s="62">
        <f>ROUND((G803-F803),4)</f>
        <v>1.3</v>
      </c>
    </row>
    <row r="804" spans="1:12" ht="24" customHeight="1">
      <c r="A804" s="3" t="s">
        <v>727</v>
      </c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spans="1:12" ht="36" customHeight="1">
      <c r="A805" s="4" t="s">
        <v>8</v>
      </c>
      <c r="B805" s="4" t="s">
        <v>722</v>
      </c>
      <c r="C805" s="4" t="s">
        <v>10</v>
      </c>
      <c r="D805" s="4" t="s">
        <v>11</v>
      </c>
      <c r="E805" s="4" t="s">
        <v>12</v>
      </c>
      <c r="F805" s="4" t="s">
        <v>566</v>
      </c>
      <c r="G805" s="4" t="s">
        <v>567</v>
      </c>
      <c r="H805" s="4" t="s">
        <v>201</v>
      </c>
    </row>
    <row r="806" spans="1:12" ht="23" customHeight="1">
      <c r="A806" s="6">
        <v>6</v>
      </c>
      <c r="B806" s="6">
        <v>3</v>
      </c>
      <c r="C806" s="6">
        <v>164</v>
      </c>
      <c r="D806" s="6">
        <v>164</v>
      </c>
      <c r="E806" s="6">
        <v>165</v>
      </c>
      <c r="F806" s="61">
        <v>20.8</v>
      </c>
      <c r="G806" s="61">
        <v>22.1</v>
      </c>
      <c r="H806" s="62">
        <f>ROUND((G806-F806),4)</f>
        <v>1.3</v>
      </c>
    </row>
    <row r="807" spans="1:12" ht="23" customHeight="1">
      <c r="A807" s="6">
        <v>6</v>
      </c>
      <c r="B807" s="6">
        <v>3</v>
      </c>
      <c r="C807" s="6">
        <v>165</v>
      </c>
      <c r="D807" s="6">
        <v>165</v>
      </c>
      <c r="E807" s="6">
        <v>166</v>
      </c>
      <c r="F807" s="61">
        <v>22.1</v>
      </c>
      <c r="G807" s="61">
        <v>23.4</v>
      </c>
      <c r="H807" s="62">
        <f>ROUND((G807-F807),4)</f>
        <v>1.3</v>
      </c>
    </row>
    <row r="808" spans="1:12" ht="23" customHeight="1">
      <c r="A808" s="6">
        <v>6</v>
      </c>
      <c r="B808" s="6">
        <v>3</v>
      </c>
      <c r="C808" s="6">
        <v>166</v>
      </c>
      <c r="D808" s="6">
        <v>166</v>
      </c>
      <c r="E808" s="6">
        <v>167</v>
      </c>
      <c r="F808" s="61">
        <v>23.4</v>
      </c>
      <c r="G808" s="61">
        <v>24.7</v>
      </c>
      <c r="H808" s="62">
        <f>ROUND((G808-F808),4)</f>
        <v>1.3</v>
      </c>
    </row>
    <row r="809" spans="1:12" ht="23" customHeight="1">
      <c r="A809" s="6">
        <v>6</v>
      </c>
      <c r="B809" s="6">
        <v>3</v>
      </c>
      <c r="C809" s="6">
        <v>167</v>
      </c>
      <c r="D809" s="6">
        <v>167</v>
      </c>
      <c r="E809" s="6">
        <v>168</v>
      </c>
      <c r="F809" s="61">
        <v>24.7</v>
      </c>
      <c r="G809" s="61">
        <v>26</v>
      </c>
      <c r="H809" s="62">
        <f>ROUND((G809-F809),4)</f>
        <v>1.3</v>
      </c>
    </row>
    <row r="810" spans="1:12" ht="23" customHeight="1">
      <c r="A810" s="6">
        <v>6</v>
      </c>
      <c r="B810" s="6">
        <v>3</v>
      </c>
      <c r="C810" s="6">
        <v>168</v>
      </c>
      <c r="D810" s="6">
        <v>168</v>
      </c>
      <c r="E810" s="6">
        <v>169</v>
      </c>
      <c r="F810" s="61">
        <v>26</v>
      </c>
      <c r="G810" s="61">
        <v>27.3</v>
      </c>
      <c r="H810" s="62">
        <f>ROUND((G810-F810),4)</f>
        <v>1.3</v>
      </c>
    </row>
    <row r="811" spans="1:12" ht="23" customHeight="1">
      <c r="A811" s="6">
        <v>6</v>
      </c>
      <c r="B811" s="6">
        <v>3</v>
      </c>
      <c r="C811" s="6">
        <v>169</v>
      </c>
      <c r="D811" s="6">
        <v>169</v>
      </c>
      <c r="E811" s="6">
        <v>170</v>
      </c>
      <c r="F811" s="61">
        <v>27.3</v>
      </c>
      <c r="G811" s="61">
        <v>28.6</v>
      </c>
      <c r="H811" s="62">
        <f>ROUND((G811-F811),4)</f>
        <v>1.3</v>
      </c>
    </row>
    <row r="812" spans="1:12" ht="23" customHeight="1">
      <c r="A812" s="6">
        <v>6</v>
      </c>
      <c r="B812" s="6">
        <v>3</v>
      </c>
      <c r="C812" s="6">
        <v>170</v>
      </c>
      <c r="D812" s="6">
        <v>170</v>
      </c>
      <c r="E812" s="6">
        <v>171</v>
      </c>
      <c r="F812" s="61">
        <v>28.6</v>
      </c>
      <c r="G812" s="61">
        <v>29.9</v>
      </c>
      <c r="H812" s="62">
        <f>ROUND((G812-F812),4)</f>
        <v>1.3</v>
      </c>
    </row>
    <row r="813" spans="1:12" ht="23" customHeight="1">
      <c r="A813" s="6">
        <v>6</v>
      </c>
      <c r="B813" s="6">
        <v>3</v>
      </c>
      <c r="C813" s="6">
        <v>171</v>
      </c>
      <c r="D813" s="6">
        <v>171</v>
      </c>
      <c r="E813" s="6">
        <v>172</v>
      </c>
      <c r="F813" s="61">
        <v>29.9</v>
      </c>
      <c r="G813" s="61">
        <v>31</v>
      </c>
      <c r="H813" s="62">
        <f>ROUND((G813-F813),4)</f>
        <v>1.1</v>
      </c>
    </row>
    <row r="814" spans="1:12" ht="23" customHeight="1"/>
    <row r="815" spans="1:12" ht="24" customHeight="1">
      <c r="A815" s="3" t="s">
        <v>728</v>
      </c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spans="1:12" ht="36" customHeight="1">
      <c r="A816" s="4" t="s">
        <v>8</v>
      </c>
      <c r="B816" s="4" t="s">
        <v>722</v>
      </c>
      <c r="C816" s="4" t="s">
        <v>10</v>
      </c>
      <c r="D816" s="4" t="s">
        <v>562</v>
      </c>
      <c r="E816" s="4" t="s">
        <v>729</v>
      </c>
      <c r="F816" s="4" t="s">
        <v>730</v>
      </c>
      <c r="G816" s="4" t="s">
        <v>731</v>
      </c>
      <c r="H816" s="4" t="s">
        <v>732</v>
      </c>
      <c r="I816" s="4" t="s">
        <v>733</v>
      </c>
      <c r="J816" s="4" t="s">
        <v>734</v>
      </c>
      <c r="K816" s="4" t="s">
        <v>735</v>
      </c>
      <c r="L816" s="4" t="s">
        <v>736</v>
      </c>
    </row>
    <row r="817" spans="1:12" ht="23" customHeight="1">
      <c r="A817" s="6">
        <v>4</v>
      </c>
      <c r="B817" s="6">
        <v>1</v>
      </c>
      <c r="C817" s="6">
        <v>98</v>
      </c>
      <c r="D817" s="6">
        <v>1</v>
      </c>
      <c r="E817" s="62">
        <f>MAX(F732,F705)</f>
        <v>0.0</v>
      </c>
      <c r="F817" s="62">
        <f>MIN(G732,G705)</f>
        <v>1.3</v>
      </c>
      <c r="G817" s="62">
        <f>MAX(0,ROUND((F817-E817),4))</f>
        <v>1.3</v>
      </c>
      <c r="H817" s="9">
        <f>'有効抵抗土圧'!G3</f>
        <v>1162.9</v>
      </c>
      <c r="I817" s="9">
        <f>'有効抵抗土圧'!G4</f>
        <v>1307.46</v>
      </c>
      <c r="J817" s="63">
        <f>((E817-F705)/H705)</f>
        <v>0.0</v>
      </c>
      <c r="K817" s="63">
        <f>((F817-F705)/H705)</f>
        <v>0.8666666666666667</v>
      </c>
      <c r="L817" s="9">
        <f>(((H817+I817)/2)*G817)</f>
        <v>1605.7340000000002</v>
      </c>
    </row>
    <row r="818" spans="1:12" ht="23" customHeight="1">
      <c r="A818" s="6">
        <v>4</v>
      </c>
      <c r="B818" s="6">
        <v>1</v>
      </c>
      <c r="C818" s="6">
        <v>99</v>
      </c>
      <c r="D818" s="6">
        <v>1</v>
      </c>
      <c r="E818" s="62">
        <f>MAX(F733,F705)</f>
        <v>1.3</v>
      </c>
      <c r="F818" s="62">
        <f>MIN(G733,G705)</f>
        <v>1.5</v>
      </c>
      <c r="G818" s="62">
        <f>MAX(0,ROUND((F818-E818),4))</f>
        <v>0.2</v>
      </c>
      <c r="H818" s="9">
        <f>'有効抵抗土圧'!G5</f>
        <v>1307.46</v>
      </c>
      <c r="I818" s="9">
        <f>'有効抵抗土圧'!G6</f>
        <v>1329.7</v>
      </c>
      <c r="J818" s="63">
        <f>((E818-F705)/H705)</f>
        <v>0.8666666666666667</v>
      </c>
      <c r="K818" s="63">
        <f>((F818-F705)/H705)</f>
        <v>1.0</v>
      </c>
      <c r="L818" s="9">
        <f>(((H818+I818)/2)*G818)</f>
        <v>263.716</v>
      </c>
    </row>
    <row r="819" spans="1:12" ht="23" customHeight="1">
      <c r="A819" s="6">
        <v>4</v>
      </c>
      <c r="B819" s="6">
        <v>1</v>
      </c>
      <c r="C819" s="6">
        <v>99</v>
      </c>
      <c r="D819" s="6">
        <v>2</v>
      </c>
      <c r="E819" s="62">
        <f>MAX(F733,F706)</f>
        <v>1.5</v>
      </c>
      <c r="F819" s="62">
        <f>MIN(G733,G706)</f>
        <v>2.6</v>
      </c>
      <c r="G819" s="62">
        <f>MAX(0,ROUND((F819-E819),4))</f>
        <v>1.1</v>
      </c>
      <c r="H819" s="9">
        <f>'有効抵抗土圧'!G7</f>
        <v>2018.1</v>
      </c>
      <c r="I819" s="9">
        <f>'有効抵抗土圧'!G8</f>
        <v>2203.6615384615384</v>
      </c>
      <c r="J819" s="63">
        <f>((E819-F706)/H706)</f>
        <v>0.0</v>
      </c>
      <c r="K819" s="63">
        <f>((F819-F706)/H706)</f>
        <v>0.8461538461538461</v>
      </c>
      <c r="L819" s="9">
        <f>(((H819+I819)/2)*G819)</f>
        <v>2321.9688461538462</v>
      </c>
    </row>
    <row r="820" spans="1:12" ht="24" customHeight="1">
      <c r="A820" s="3" t="s">
        <v>728</v>
      </c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spans="1:12" ht="36" customHeight="1">
      <c r="A821" s="4" t="s">
        <v>8</v>
      </c>
      <c r="B821" s="4" t="s">
        <v>722</v>
      </c>
      <c r="C821" s="4" t="s">
        <v>10</v>
      </c>
      <c r="D821" s="4" t="s">
        <v>562</v>
      </c>
      <c r="E821" s="4" t="s">
        <v>729</v>
      </c>
      <c r="F821" s="4" t="s">
        <v>730</v>
      </c>
      <c r="G821" s="4" t="s">
        <v>731</v>
      </c>
      <c r="H821" s="4" t="s">
        <v>732</v>
      </c>
      <c r="I821" s="4" t="s">
        <v>733</v>
      </c>
      <c r="J821" s="4" t="s">
        <v>734</v>
      </c>
      <c r="K821" s="4" t="s">
        <v>735</v>
      </c>
      <c r="L821" s="4" t="s">
        <v>736</v>
      </c>
    </row>
    <row r="822" spans="1:12" ht="23" customHeight="1">
      <c r="A822" s="6">
        <v>4</v>
      </c>
      <c r="B822" s="6">
        <v>1</v>
      </c>
      <c r="C822" s="6">
        <v>100</v>
      </c>
      <c r="D822" s="6">
        <v>2</v>
      </c>
      <c r="E822" s="62">
        <f>MAX(F734,F706)</f>
        <v>2.6</v>
      </c>
      <c r="F822" s="62">
        <f>MIN(G734,G706)</f>
        <v>2.8</v>
      </c>
      <c r="G822" s="62">
        <f>MAX(0,ROUND((F822-E822),4))</f>
        <v>0.2</v>
      </c>
      <c r="H822" s="9">
        <f>'有効抵抗土圧'!G9</f>
        <v>2203.6615384615384</v>
      </c>
      <c r="I822" s="9">
        <f>'有効抵抗土圧'!G10</f>
        <v>2237.4</v>
      </c>
      <c r="J822" s="63">
        <f>((E822-F706)/H706)</f>
        <v>0.8461538461538461</v>
      </c>
      <c r="K822" s="63">
        <f>((F822-F706)/H706)</f>
        <v>0.9999999999999998</v>
      </c>
      <c r="L822" s="9">
        <f>(((H822+I822)/2)*G822)</f>
        <v>444.10615384615386</v>
      </c>
    </row>
    <row r="823" spans="1:12" ht="23" customHeight="1">
      <c r="A823" s="6">
        <v>4</v>
      </c>
      <c r="B823" s="6">
        <v>1</v>
      </c>
      <c r="C823" s="6">
        <v>100</v>
      </c>
      <c r="D823" s="6">
        <v>3</v>
      </c>
      <c r="E823" s="62">
        <f>MAX(F734,F707)</f>
        <v>2.8</v>
      </c>
      <c r="F823" s="62">
        <f>MIN(G734,G707)</f>
        <v>3.9</v>
      </c>
      <c r="G823" s="62">
        <f>MAX(0,ROUND((F823-E823),4))</f>
        <v>1.1</v>
      </c>
      <c r="H823" s="9">
        <f>'有効抵抗土圧'!G11</f>
        <v>1755.0</v>
      </c>
      <c r="I823" s="9">
        <f>'有効抵抗土圧'!G12</f>
        <v>1755.0</v>
      </c>
      <c r="J823" s="63">
        <f>((E823-F707)/H707)</f>
        <v>0.0</v>
      </c>
      <c r="K823" s="63">
        <f>((F823-F707)/H707)</f>
        <v>0.37931034482758624</v>
      </c>
      <c r="L823" s="9">
        <f>(((H823+I823)/2)*G823)</f>
        <v>1930.5000000000002</v>
      </c>
    </row>
    <row r="824" spans="1:12" ht="23" customHeight="1">
      <c r="A824" s="6">
        <v>4</v>
      </c>
      <c r="B824" s="6">
        <v>1</v>
      </c>
      <c r="C824" s="6">
        <v>101</v>
      </c>
      <c r="D824" s="6">
        <v>3</v>
      </c>
      <c r="E824" s="62">
        <f>MAX(F735,F707)</f>
        <v>3.9</v>
      </c>
      <c r="F824" s="62">
        <f>MIN(G735,G707)</f>
        <v>5.2</v>
      </c>
      <c r="G824" s="62">
        <f>MAX(0,ROUND((F824-E824),4))</f>
        <v>1.3</v>
      </c>
      <c r="H824" s="9">
        <f>'有効抵抗土圧'!G13</f>
        <v>1755.0</v>
      </c>
      <c r="I824" s="9">
        <f>'有効抵抗土圧'!G14</f>
        <v>1755.0</v>
      </c>
      <c r="J824" s="63">
        <f>((E824-F707)/H707)</f>
        <v>0.37931034482758624</v>
      </c>
      <c r="K824" s="63">
        <f>((F824-F707)/H707)</f>
        <v>0.8275862068965518</v>
      </c>
      <c r="L824" s="9">
        <f>(((H824+I824)/2)*G824)</f>
        <v>2281.5</v>
      </c>
    </row>
    <row r="825" spans="1:12" ht="23" customHeight="1">
      <c r="A825" s="6">
        <v>4</v>
      </c>
      <c r="B825" s="6">
        <v>1</v>
      </c>
      <c r="C825" s="6">
        <v>102</v>
      </c>
      <c r="D825" s="6">
        <v>3</v>
      </c>
      <c r="E825" s="62">
        <f>MAX(F738,F707)</f>
        <v>5.2</v>
      </c>
      <c r="F825" s="62">
        <f>MIN(G738,G707)</f>
        <v>5.7</v>
      </c>
      <c r="G825" s="62">
        <f>MAX(0,ROUND((F825-E825),4))</f>
        <v>0.5</v>
      </c>
      <c r="H825" s="9">
        <f>'有効抵抗土圧'!G15</f>
        <v>1755.0</v>
      </c>
      <c r="I825" s="9">
        <f>'有効抵抗土圧'!G16</f>
        <v>1755.0</v>
      </c>
      <c r="J825" s="63">
        <f>((E825-F707)/H707)</f>
        <v>0.8275862068965518</v>
      </c>
      <c r="K825" s="63">
        <f>((F825-F707)/H707)</f>
        <v>1.0000000000000002</v>
      </c>
      <c r="L825" s="9">
        <f>(((H825+I825)/2)*G825)</f>
        <v>877.5</v>
      </c>
    </row>
    <row r="826" spans="1:12" ht="23" customHeight="1">
      <c r="A826" s="6">
        <v>4</v>
      </c>
      <c r="B826" s="6">
        <v>1</v>
      </c>
      <c r="C826" s="6">
        <v>102</v>
      </c>
      <c r="D826" s="6">
        <v>4</v>
      </c>
      <c r="E826" s="62">
        <f>MAX(F738,F708)</f>
        <v>5.7</v>
      </c>
      <c r="F826" s="62">
        <f>MIN(G738,G708)</f>
        <v>6.5</v>
      </c>
      <c r="G826" s="62">
        <f>MAX(0,ROUND((F826-E826),4))</f>
        <v>0.8</v>
      </c>
      <c r="H826" s="9">
        <f>'有効抵抗土圧'!G17</f>
        <v>2349.1</v>
      </c>
      <c r="I826" s="9">
        <f>'有効抵抗土圧'!G18</f>
        <v>2472.7615384615383</v>
      </c>
      <c r="J826" s="63">
        <f>((E826-F708)/H708)</f>
        <v>0.0</v>
      </c>
      <c r="K826" s="63">
        <f>((F826-F708)/H708)</f>
        <v>0.3076923076923076</v>
      </c>
      <c r="L826" s="9">
        <f>(((H826+I826)/2)*G826)</f>
        <v>1928.7446153846156</v>
      </c>
    </row>
    <row r="827" spans="1:12" ht="23" customHeight="1">
      <c r="A827" s="6">
        <v>4</v>
      </c>
      <c r="B827" s="6">
        <v>1</v>
      </c>
      <c r="C827" s="6">
        <v>103</v>
      </c>
      <c r="D827" s="6">
        <v>4</v>
      </c>
      <c r="E827" s="62">
        <f>MAX(F739,F708)</f>
        <v>6.5</v>
      </c>
      <c r="F827" s="62">
        <f>MIN(G739,G708)</f>
        <v>7.8</v>
      </c>
      <c r="G827" s="62">
        <f>MAX(0,ROUND((F827-E827),4))</f>
        <v>1.3</v>
      </c>
      <c r="H827" s="9">
        <f>'有効抵抗土圧'!G19</f>
        <v>2472.7615384615383</v>
      </c>
      <c r="I827" s="9">
        <f>'有効抵抗土圧'!G20</f>
        <v>2673.711538461538</v>
      </c>
      <c r="J827" s="63">
        <f>((E827-F708)/H708)</f>
        <v>0.3076923076923076</v>
      </c>
      <c r="K827" s="63">
        <f>((F827-F708)/H708)</f>
        <v>0.8076923076923075</v>
      </c>
      <c r="L827" s="9">
        <f>(((H827+I827)/2)*G827)</f>
        <v>3345.2075</v>
      </c>
    </row>
    <row r="828" spans="1:12" ht="23" customHeight="1">
      <c r="A828" s="6">
        <v>4</v>
      </c>
      <c r="B828" s="6">
        <v>1</v>
      </c>
      <c r="C828" s="6">
        <v>104</v>
      </c>
      <c r="D828" s="6">
        <v>4</v>
      </c>
      <c r="E828" s="62">
        <f>MAX(F740,F708)</f>
        <v>7.8</v>
      </c>
      <c r="F828" s="62">
        <f>MIN(G740,G708)</f>
        <v>8.3</v>
      </c>
      <c r="G828" s="62">
        <f>MAX(0,ROUND((F828-E828),4))</f>
        <v>0.5</v>
      </c>
      <c r="H828" s="9">
        <f>'有効抵抗土圧'!G21</f>
        <v>2673.711538461538</v>
      </c>
      <c r="I828" s="9">
        <f>'有効抵抗土圧'!G22</f>
        <v>2751.0</v>
      </c>
      <c r="J828" s="63">
        <f>((E828-F708)/H708)</f>
        <v>0.8076923076923075</v>
      </c>
      <c r="K828" s="63">
        <f>((F828-F708)/H708)</f>
        <v>1.0000000000000002</v>
      </c>
      <c r="L828" s="9">
        <f>(((H828+I828)/2)*G828)</f>
        <v>1356.1778846153845</v>
      </c>
    </row>
    <row r="829" spans="1:12" ht="23" customHeight="1">
      <c r="A829" s="6">
        <v>4</v>
      </c>
      <c r="B829" s="6">
        <v>1</v>
      </c>
      <c r="C829" s="6">
        <v>104</v>
      </c>
      <c r="D829" s="6">
        <v>5</v>
      </c>
      <c r="E829" s="62">
        <f>MAX(F740,F709)</f>
        <v>8.3</v>
      </c>
      <c r="F829" s="62">
        <f>MIN(G740,G709)</f>
        <v>8.9</v>
      </c>
      <c r="G829" s="62">
        <f>MAX(0,ROUND((F829-E829),4))</f>
        <v>0.6</v>
      </c>
      <c r="H829" s="9">
        <f>'有効抵抗土圧'!G23</f>
        <v>6809.4</v>
      </c>
      <c r="I829" s="9">
        <f>'有効抵抗土圧'!G24</f>
        <v>6809.4</v>
      </c>
      <c r="J829" s="63">
        <f>((E829-F709)/H709)</f>
        <v>0.0</v>
      </c>
      <c r="K829" s="63">
        <f>((F829-F709)/H709)</f>
        <v>0.9999999999999994</v>
      </c>
      <c r="L829" s="9">
        <f>(((H829+I829)/2)*G829)</f>
        <v>4085.6399999999994</v>
      </c>
    </row>
    <row r="830" spans="1:12" ht="23" customHeight="1">
      <c r="A830" s="6">
        <v>4</v>
      </c>
      <c r="B830" s="6">
        <v>1</v>
      </c>
      <c r="C830" s="6">
        <v>104</v>
      </c>
      <c r="D830" s="6">
        <v>6</v>
      </c>
      <c r="E830" s="62">
        <f>MAX(F740,F710)</f>
        <v>8.9</v>
      </c>
      <c r="F830" s="62">
        <f>MIN(G740,G710)</f>
        <v>9.1</v>
      </c>
      <c r="G830" s="62">
        <f>MAX(0,ROUND((F830-E830),4))</f>
        <v>0.2</v>
      </c>
      <c r="H830" s="9">
        <f>'有効抵抗土圧'!G25</f>
        <v>2948.5</v>
      </c>
      <c r="I830" s="9">
        <f>'有効抵抗土圧'!G26</f>
        <v>2980.794736842105</v>
      </c>
      <c r="J830" s="63">
        <f>((E830-F710)/H710)</f>
        <v>0.0</v>
      </c>
      <c r="K830" s="63">
        <f>((F830-F710)/H710)</f>
        <v>0.021052631578947295</v>
      </c>
      <c r="L830" s="9">
        <f>(((H830+I830)/2)*G830)</f>
        <v>592.9294736842105</v>
      </c>
    </row>
    <row r="831" spans="1:12" ht="23" customHeight="1">
      <c r="A831" s="6">
        <v>4</v>
      </c>
      <c r="B831" s="6">
        <v>1</v>
      </c>
      <c r="C831" s="6">
        <v>105</v>
      </c>
      <c r="D831" s="6">
        <v>6</v>
      </c>
      <c r="E831" s="62">
        <f>MAX(F741,F710)</f>
        <v>9.1</v>
      </c>
      <c r="F831" s="62">
        <f>MIN(G741,G710)</f>
        <v>10.4</v>
      </c>
      <c r="G831" s="62">
        <f>MAX(0,ROUND((F831-E831),4))</f>
        <v>1.3</v>
      </c>
      <c r="H831" s="9">
        <f>'有効抵抗土圧'!G27</f>
        <v>2980.794736842105</v>
      </c>
      <c r="I831" s="9">
        <f>'有効抵抗土圧'!G28</f>
        <v>3190.7105263157896</v>
      </c>
      <c r="J831" s="63">
        <f>((E831-F710)/H710)</f>
        <v>0.021052631578947295</v>
      </c>
      <c r="K831" s="63">
        <f>((F831-F710)/H710)</f>
        <v>0.15789473684210525</v>
      </c>
      <c r="L831" s="9">
        <f>(((H831+I831)/2)*G831)</f>
        <v>4011.478421052632</v>
      </c>
    </row>
    <row r="832" spans="1:12" ht="23" customHeight="1">
      <c r="A832" s="6">
        <v>4</v>
      </c>
      <c r="B832" s="6">
        <v>1</v>
      </c>
      <c r="C832" s="6">
        <v>106</v>
      </c>
      <c r="D832" s="6">
        <v>6</v>
      </c>
      <c r="E832" s="62">
        <f>MAX(F742,F710)</f>
        <v>10.4</v>
      </c>
      <c r="F832" s="62">
        <f>MIN(G742,G710)</f>
        <v>11.7</v>
      </c>
      <c r="G832" s="62">
        <f>MAX(0,ROUND((F832-E832),4))</f>
        <v>1.3</v>
      </c>
      <c r="H832" s="9">
        <f>'有効抵抗土圧'!G29</f>
        <v>3190.7105263157896</v>
      </c>
      <c r="I832" s="9">
        <f>'有効抵抗土圧'!G30</f>
        <v>3400.6263157894737</v>
      </c>
      <c r="J832" s="63">
        <f>((E832-F710)/H710)</f>
        <v>0.15789473684210525</v>
      </c>
      <c r="K832" s="63">
        <f>((F832-F710)/H710)</f>
        <v>0.294736842105263</v>
      </c>
      <c r="L832" s="9">
        <f>(((H832+I832)/2)*G832)</f>
        <v>4284.368947368422</v>
      </c>
    </row>
    <row r="833" spans="1:12" ht="23" customHeight="1">
      <c r="A833" s="6">
        <v>4</v>
      </c>
      <c r="B833" s="6">
        <v>1</v>
      </c>
      <c r="C833" s="6">
        <v>107</v>
      </c>
      <c r="D833" s="6">
        <v>6</v>
      </c>
      <c r="E833" s="62">
        <f>MAX(F743,F710)</f>
        <v>11.7</v>
      </c>
      <c r="F833" s="62">
        <f>MIN(G743,G710)</f>
        <v>13.0</v>
      </c>
      <c r="G833" s="62">
        <f>MAX(0,ROUND((F833-E833),4))</f>
        <v>1.3</v>
      </c>
      <c r="H833" s="9">
        <f>'有効抵抗土圧'!G31</f>
        <v>3400.6263157894737</v>
      </c>
      <c r="I833" s="9">
        <f>'有効抵抗土圧'!G32</f>
        <v>3610.5421052631577</v>
      </c>
      <c r="J833" s="63">
        <f>((E833-F710)/H710)</f>
        <v>0.294736842105263</v>
      </c>
      <c r="K833" s="63">
        <f>((F833-F710)/H710)</f>
        <v>0.431578947368421</v>
      </c>
      <c r="L833" s="9">
        <f>(((H833+I833)/2)*G833)</f>
        <v>4557.25947368421</v>
      </c>
    </row>
    <row r="834" spans="1:12" ht="23" customHeight="1">
      <c r="A834" s="6">
        <v>4</v>
      </c>
      <c r="B834" s="6">
        <v>1</v>
      </c>
      <c r="C834" s="6">
        <v>108</v>
      </c>
      <c r="D834" s="6">
        <v>6</v>
      </c>
      <c r="E834" s="62">
        <f>MAX(F744,F710)</f>
        <v>13.0</v>
      </c>
      <c r="F834" s="62">
        <f>MIN(G744,G710)</f>
        <v>14.3</v>
      </c>
      <c r="G834" s="62">
        <f>MAX(0,ROUND((F834-E834),4))</f>
        <v>1.3</v>
      </c>
      <c r="H834" s="9">
        <f>'有効抵抗土圧'!G33</f>
        <v>3610.5421052631577</v>
      </c>
      <c r="I834" s="9">
        <f>'有効抵抗土圧'!G34</f>
        <v>3820.4578947368423</v>
      </c>
      <c r="J834" s="63">
        <f>((E834-F710)/H710)</f>
        <v>0.431578947368421</v>
      </c>
      <c r="K834" s="63">
        <f>((F834-F710)/H710)</f>
        <v>0.5684210526315789</v>
      </c>
      <c r="L834" s="9">
        <f>(((H834+I834)/2)*G834)</f>
        <v>4830.150000000001</v>
      </c>
    </row>
    <row r="835" spans="1:12" ht="23" customHeight="1">
      <c r="A835" s="6">
        <v>4</v>
      </c>
      <c r="B835" s="6">
        <v>1</v>
      </c>
      <c r="C835" s="6">
        <v>109</v>
      </c>
      <c r="D835" s="6">
        <v>6</v>
      </c>
      <c r="E835" s="62">
        <f>MAX(F745,F710)</f>
        <v>14.3</v>
      </c>
      <c r="F835" s="62">
        <f>MIN(G745,G710)</f>
        <v>15.6</v>
      </c>
      <c r="G835" s="62">
        <f>MAX(0,ROUND((F835-E835),4))</f>
        <v>1.3</v>
      </c>
      <c r="H835" s="9">
        <f>'有効抵抗土圧'!G35</f>
        <v>3820.4578947368423</v>
      </c>
      <c r="I835" s="9">
        <f>'有効抵抗土圧'!G36</f>
        <v>4030.3736842105263</v>
      </c>
      <c r="J835" s="63">
        <f>((E835-F710)/H710)</f>
        <v>0.5684210526315789</v>
      </c>
      <c r="K835" s="63">
        <f>((F835-F710)/H710)</f>
        <v>0.7052631578947368</v>
      </c>
      <c r="L835" s="9">
        <f>(((H835+I835)/2)*G835)</f>
        <v>5103.04052631579</v>
      </c>
    </row>
    <row r="836" spans="1:12" ht="23" customHeight="1">
      <c r="A836" s="6">
        <v>4</v>
      </c>
      <c r="B836" s="6">
        <v>1</v>
      </c>
      <c r="C836" s="6">
        <v>110</v>
      </c>
      <c r="D836" s="6">
        <v>6</v>
      </c>
      <c r="E836" s="62">
        <f>MAX(F746,F710)</f>
        <v>15.6</v>
      </c>
      <c r="F836" s="62">
        <f>MIN(G746,G710)</f>
        <v>16.9</v>
      </c>
      <c r="G836" s="62">
        <f>MAX(0,ROUND((F836-E836),4))</f>
        <v>1.3</v>
      </c>
      <c r="H836" s="9">
        <f>'有効抵抗土圧'!G37</f>
        <v>4030.3736842105263</v>
      </c>
      <c r="I836" s="9">
        <f>'有効抵抗土圧'!G38</f>
        <v>4240.28947368421</v>
      </c>
      <c r="J836" s="63">
        <f>((E836-F710)/H710)</f>
        <v>0.7052631578947368</v>
      </c>
      <c r="K836" s="63">
        <f>((F836-F710)/H710)</f>
        <v>0.8421052631578946</v>
      </c>
      <c r="L836" s="9">
        <f>(((H836+I836)/2)*G836)</f>
        <v>5375.9310526315785</v>
      </c>
    </row>
    <row r="837" spans="1:12" ht="24" customHeight="1">
      <c r="A837" s="3" t="s">
        <v>728</v>
      </c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spans="1:12" ht="36" customHeight="1">
      <c r="A838" s="4" t="s">
        <v>8</v>
      </c>
      <c r="B838" s="4" t="s">
        <v>722</v>
      </c>
      <c r="C838" s="4" t="s">
        <v>10</v>
      </c>
      <c r="D838" s="4" t="s">
        <v>562</v>
      </c>
      <c r="E838" s="4" t="s">
        <v>729</v>
      </c>
      <c r="F838" s="4" t="s">
        <v>730</v>
      </c>
      <c r="G838" s="4" t="s">
        <v>731</v>
      </c>
      <c r="H838" s="4" t="s">
        <v>732</v>
      </c>
      <c r="I838" s="4" t="s">
        <v>733</v>
      </c>
      <c r="J838" s="4" t="s">
        <v>734</v>
      </c>
      <c r="K838" s="4" t="s">
        <v>735</v>
      </c>
      <c r="L838" s="4" t="s">
        <v>736</v>
      </c>
    </row>
    <row r="839" spans="1:12" ht="23" customHeight="1">
      <c r="A839" s="6">
        <v>4</v>
      </c>
      <c r="B839" s="6">
        <v>1</v>
      </c>
      <c r="C839" s="6">
        <v>111</v>
      </c>
      <c r="D839" s="6">
        <v>6</v>
      </c>
      <c r="E839" s="62">
        <f>MAX(F747,F710)</f>
        <v>16.9</v>
      </c>
      <c r="F839" s="62">
        <f>MIN(G747,G710)</f>
        <v>18.2</v>
      </c>
      <c r="G839" s="62">
        <f>MAX(0,ROUND((F839-E839),4))</f>
        <v>1.3</v>
      </c>
      <c r="H839" s="9">
        <f>'有効抵抗土圧'!G39</f>
        <v>4240.28947368421</v>
      </c>
      <c r="I839" s="9">
        <f>'有効抵抗土圧'!G40</f>
        <v>4450.2052631578945</v>
      </c>
      <c r="J839" s="63">
        <f>((E839-F710)/H710)</f>
        <v>0.8421052631578946</v>
      </c>
      <c r="K839" s="63">
        <f>((F839-F710)/H710)</f>
        <v>0.9789473684210526</v>
      </c>
      <c r="L839" s="9">
        <f>(((H839+I839)/2)*G839)</f>
        <v>5648.821578947369</v>
      </c>
    </row>
    <row r="840" spans="1:12" ht="23" customHeight="1">
      <c r="A840" s="6">
        <v>4</v>
      </c>
      <c r="B840" s="6">
        <v>1</v>
      </c>
      <c r="C840" s="6">
        <v>112</v>
      </c>
      <c r="D840" s="6">
        <v>6</v>
      </c>
      <c r="E840" s="62">
        <f>MAX(F748,F710)</f>
        <v>18.2</v>
      </c>
      <c r="F840" s="62">
        <f>MIN(G748,G710)</f>
        <v>18.4</v>
      </c>
      <c r="G840" s="62">
        <f>MAX(0,ROUND((F840-E840),4))</f>
        <v>0.2</v>
      </c>
      <c r="H840" s="9">
        <f>'有効抵抗土圧'!G41</f>
        <v>4450.2052631578945</v>
      </c>
      <c r="I840" s="9">
        <f>'有効抵抗土圧'!G42</f>
        <v>4482.5</v>
      </c>
      <c r="J840" s="63">
        <f>((E840-F710)/H710)</f>
        <v>0.9789473684210526</v>
      </c>
      <c r="K840" s="63">
        <f>((F840-F710)/H710)</f>
        <v>0.9999999999999998</v>
      </c>
      <c r="L840" s="9">
        <f>(((H840+I840)/2)*G840)</f>
        <v>893.2705263157895</v>
      </c>
    </row>
    <row r="841" spans="1:12" ht="23" customHeight="1">
      <c r="A841" s="6">
        <v>4</v>
      </c>
      <c r="B841" s="6">
        <v>1</v>
      </c>
      <c r="C841" s="6">
        <v>112</v>
      </c>
      <c r="D841" s="6">
        <v>7</v>
      </c>
      <c r="E841" s="62">
        <f>MAX(F748,F711)</f>
        <v>18.4</v>
      </c>
      <c r="F841" s="62">
        <f>MIN(G748,G711)</f>
        <v>19.5</v>
      </c>
      <c r="G841" s="62">
        <f>MAX(0,ROUND((F841-E841),4))</f>
        <v>1.1</v>
      </c>
      <c r="H841" s="9">
        <f>'有効抵抗土圧'!G43</f>
        <v>3088.8</v>
      </c>
      <c r="I841" s="9">
        <f>'有効抵抗土圧'!G44</f>
        <v>3088.8</v>
      </c>
      <c r="J841" s="63">
        <f>((E841-F711)/H711)</f>
        <v>0.0</v>
      </c>
      <c r="K841" s="63">
        <f>((F841-F711)/H711)</f>
        <v>0.08730158730158742</v>
      </c>
      <c r="L841" s="9">
        <f>(((H841+I841)/2)*G841)</f>
        <v>3397.6800000000003</v>
      </c>
    </row>
    <row r="842" spans="1:12" ht="23" customHeight="1">
      <c r="A842" s="6">
        <v>4</v>
      </c>
      <c r="B842" s="6">
        <v>1</v>
      </c>
      <c r="C842" s="6">
        <v>113</v>
      </c>
      <c r="D842" s="6">
        <v>7</v>
      </c>
      <c r="E842" s="62">
        <f>MAX(F749,F711)</f>
        <v>19.5</v>
      </c>
      <c r="F842" s="62">
        <f>MIN(G749,G711)</f>
        <v>20.8</v>
      </c>
      <c r="G842" s="62">
        <f>MAX(0,ROUND((F842-E842),4))</f>
        <v>1.3</v>
      </c>
      <c r="H842" s="9">
        <f>'有効抵抗土圧'!G45</f>
        <v>3088.8</v>
      </c>
      <c r="I842" s="9">
        <f>'有効抵抗土圧'!G46</f>
        <v>3088.8</v>
      </c>
      <c r="J842" s="63">
        <f>((E842-F711)/H711)</f>
        <v>0.08730158730158742</v>
      </c>
      <c r="K842" s="63">
        <f>((F842-F711)/H711)</f>
        <v>0.19047619047619066</v>
      </c>
      <c r="L842" s="9">
        <f>(((H842+I842)/2)*G842)</f>
        <v>4015.4400000000005</v>
      </c>
    </row>
    <row r="843" spans="1:12" ht="23" customHeight="1">
      <c r="A843" s="6">
        <v>4</v>
      </c>
      <c r="B843" s="6">
        <v>1</v>
      </c>
      <c r="C843" s="6">
        <v>114</v>
      </c>
      <c r="D843" s="6">
        <v>7</v>
      </c>
      <c r="E843" s="62">
        <f>MAX(F750,F711)</f>
        <v>20.8</v>
      </c>
      <c r="F843" s="62">
        <f>MIN(G750,G711)</f>
        <v>22.1</v>
      </c>
      <c r="G843" s="62">
        <f>MAX(0,ROUND((F843-E843),4))</f>
        <v>1.3</v>
      </c>
      <c r="H843" s="9">
        <f>'有効抵抗土圧'!G47</f>
        <v>3088.8</v>
      </c>
      <c r="I843" s="9">
        <f>'有効抵抗土圧'!G48</f>
        <v>3088.8</v>
      </c>
      <c r="J843" s="63">
        <f>((E843-F711)/H711)</f>
        <v>0.19047619047619066</v>
      </c>
      <c r="K843" s="63">
        <f>((F843-F711)/H711)</f>
        <v>0.2936507936507939</v>
      </c>
      <c r="L843" s="9">
        <f>(((H843+I843)/2)*G843)</f>
        <v>4015.4400000000005</v>
      </c>
    </row>
    <row r="844" spans="1:12" ht="23" customHeight="1">
      <c r="A844" s="6">
        <v>4</v>
      </c>
      <c r="B844" s="6">
        <v>1</v>
      </c>
      <c r="C844" s="6">
        <v>115</v>
      </c>
      <c r="D844" s="6">
        <v>7</v>
      </c>
      <c r="E844" s="62">
        <f>MAX(F751,F711)</f>
        <v>22.1</v>
      </c>
      <c r="F844" s="62">
        <f>MIN(G751,G711)</f>
        <v>23.4</v>
      </c>
      <c r="G844" s="62">
        <f>MAX(0,ROUND((F844-E844),4))</f>
        <v>1.3</v>
      </c>
      <c r="H844" s="9">
        <f>'有効抵抗土圧'!G49</f>
        <v>3088.8</v>
      </c>
      <c r="I844" s="9">
        <f>'有効抵抗土圧'!G50</f>
        <v>3088.8</v>
      </c>
      <c r="J844" s="63">
        <f>((E844-F711)/H711)</f>
        <v>0.2936507936507939</v>
      </c>
      <c r="K844" s="63">
        <f>((F844-F711)/H711)</f>
        <v>0.39682539682539686</v>
      </c>
      <c r="L844" s="9">
        <f>(((H844+I844)/2)*G844)</f>
        <v>4015.4400000000005</v>
      </c>
    </row>
    <row r="845" spans="1:12" ht="23" customHeight="1">
      <c r="A845" s="6">
        <v>4</v>
      </c>
      <c r="B845" s="6">
        <v>1</v>
      </c>
      <c r="C845" s="6">
        <v>116</v>
      </c>
      <c r="D845" s="6">
        <v>7</v>
      </c>
      <c r="E845" s="62">
        <f>MAX(F752,F711)</f>
        <v>23.4</v>
      </c>
      <c r="F845" s="62">
        <f>MIN(G752,G711)</f>
        <v>24.7</v>
      </c>
      <c r="G845" s="62">
        <f>MAX(0,ROUND((F845-E845),4))</f>
        <v>1.3</v>
      </c>
      <c r="H845" s="9">
        <f>'有効抵抗土圧'!G51</f>
        <v>3088.8</v>
      </c>
      <c r="I845" s="9">
        <f>'有効抵抗土圧'!G52</f>
        <v>3088.8</v>
      </c>
      <c r="J845" s="63">
        <f>((E845-F711)/H711)</f>
        <v>0.39682539682539686</v>
      </c>
      <c r="K845" s="63">
        <f>((F845-F711)/H711)</f>
        <v>0.5000000000000001</v>
      </c>
      <c r="L845" s="9">
        <f>(((H845+I845)/2)*G845)</f>
        <v>4015.4400000000005</v>
      </c>
    </row>
    <row r="846" spans="1:12" ht="23" customHeight="1">
      <c r="A846" s="6">
        <v>4</v>
      </c>
      <c r="B846" s="6">
        <v>1</v>
      </c>
      <c r="C846" s="6">
        <v>117</v>
      </c>
      <c r="D846" s="6">
        <v>7</v>
      </c>
      <c r="E846" s="62">
        <f>MAX(F755,F711)</f>
        <v>24.7</v>
      </c>
      <c r="F846" s="62">
        <f>MIN(G755,G711)</f>
        <v>26.0</v>
      </c>
      <c r="G846" s="62">
        <f>MAX(0,ROUND((F846-E846),4))</f>
        <v>1.3</v>
      </c>
      <c r="H846" s="9">
        <f>'有効抵抗土圧'!G53</f>
        <v>3088.8</v>
      </c>
      <c r="I846" s="9">
        <f>'有効抵抗土圧'!G54</f>
        <v>3088.8</v>
      </c>
      <c r="J846" s="63">
        <f>((E846-F711)/H711)</f>
        <v>0.5000000000000001</v>
      </c>
      <c r="K846" s="63">
        <f>((F846-F711)/H711)</f>
        <v>0.6031746031746033</v>
      </c>
      <c r="L846" s="9">
        <f>(((H846+I846)/2)*G846)</f>
        <v>4015.4400000000005</v>
      </c>
    </row>
    <row r="847" spans="1:12" ht="23" customHeight="1">
      <c r="A847" s="6">
        <v>4</v>
      </c>
      <c r="B847" s="6">
        <v>1</v>
      </c>
      <c r="C847" s="6">
        <v>118</v>
      </c>
      <c r="D847" s="6">
        <v>7</v>
      </c>
      <c r="E847" s="62">
        <f>MAX(F756,F711)</f>
        <v>26.0</v>
      </c>
      <c r="F847" s="62">
        <f>MIN(G756,G711)</f>
        <v>27.3</v>
      </c>
      <c r="G847" s="62">
        <f>MAX(0,ROUND((F847-E847),4))</f>
        <v>1.3</v>
      </c>
      <c r="H847" s="9">
        <f>'有効抵抗土圧'!G55</f>
        <v>3088.8</v>
      </c>
      <c r="I847" s="9">
        <f>'有効抵抗土圧'!G56</f>
        <v>3088.8</v>
      </c>
      <c r="J847" s="63">
        <f>((E847-F711)/H711)</f>
        <v>0.6031746031746033</v>
      </c>
      <c r="K847" s="63">
        <f>((F847-F711)/H711)</f>
        <v>0.7063492063492065</v>
      </c>
      <c r="L847" s="9">
        <f>(((H847+I847)/2)*G847)</f>
        <v>4015.4400000000005</v>
      </c>
    </row>
    <row r="848" spans="1:12" ht="23" customHeight="1">
      <c r="A848" s="6">
        <v>4</v>
      </c>
      <c r="B848" s="6">
        <v>1</v>
      </c>
      <c r="C848" s="6">
        <v>119</v>
      </c>
      <c r="D848" s="6">
        <v>7</v>
      </c>
      <c r="E848" s="62">
        <f>MAX(F757,F711)</f>
        <v>27.3</v>
      </c>
      <c r="F848" s="62">
        <f>MIN(G757,G711)</f>
        <v>28.6</v>
      </c>
      <c r="G848" s="62">
        <f>MAX(0,ROUND((F848-E848),4))</f>
        <v>1.3</v>
      </c>
      <c r="H848" s="9">
        <f>'有効抵抗土圧'!G57</f>
        <v>3088.8</v>
      </c>
      <c r="I848" s="9">
        <f>'有効抵抗土圧'!G58</f>
        <v>3088.8</v>
      </c>
      <c r="J848" s="63">
        <f>((E848-F711)/H711)</f>
        <v>0.7063492063492065</v>
      </c>
      <c r="K848" s="63">
        <f>((F848-F711)/H711)</f>
        <v>0.8095238095238098</v>
      </c>
      <c r="L848" s="9">
        <f>(((H848+I848)/2)*G848)</f>
        <v>4015.4400000000005</v>
      </c>
    </row>
    <row r="849" spans="1:12" ht="23" customHeight="1">
      <c r="A849" s="6">
        <v>4</v>
      </c>
      <c r="B849" s="6">
        <v>1</v>
      </c>
      <c r="C849" s="6">
        <v>120</v>
      </c>
      <c r="D849" s="6">
        <v>7</v>
      </c>
      <c r="E849" s="62">
        <f>MAX(F758,F711)</f>
        <v>28.6</v>
      </c>
      <c r="F849" s="62">
        <f>MIN(G758,G711)</f>
        <v>29.9</v>
      </c>
      <c r="G849" s="62">
        <f>MAX(0,ROUND((F849-E849),4))</f>
        <v>1.3</v>
      </c>
      <c r="H849" s="9">
        <f>'有効抵抗土圧'!G59</f>
        <v>3088.8</v>
      </c>
      <c r="I849" s="9">
        <f>'有効抵抗土圧'!G60</f>
        <v>3088.8</v>
      </c>
      <c r="J849" s="63">
        <f>((E849-F711)/H711)</f>
        <v>0.8095238095238098</v>
      </c>
      <c r="K849" s="63">
        <f>((F849-F711)/H711)</f>
        <v>0.9126984126984127</v>
      </c>
      <c r="L849" s="9">
        <f>(((H849+I849)/2)*G849)</f>
        <v>4015.4400000000005</v>
      </c>
    </row>
    <row r="850" spans="1:12" ht="23" customHeight="1">
      <c r="A850" s="6">
        <v>4</v>
      </c>
      <c r="B850" s="6">
        <v>1</v>
      </c>
      <c r="C850" s="6">
        <v>121</v>
      </c>
      <c r="D850" s="6">
        <v>7</v>
      </c>
      <c r="E850" s="62">
        <f>MAX(F759,F711)</f>
        <v>29.9</v>
      </c>
      <c r="F850" s="62">
        <f>MIN(G759,G711)</f>
        <v>31.0</v>
      </c>
      <c r="G850" s="62">
        <f>MAX(0,ROUND((F850-E850),4))</f>
        <v>1.1</v>
      </c>
      <c r="H850" s="9">
        <f>'有効抵抗土圧'!G61</f>
        <v>3088.8</v>
      </c>
      <c r="I850" s="9">
        <f>'有効抵抗土圧'!G62</f>
        <v>3088.8</v>
      </c>
      <c r="J850" s="63">
        <f>((E850-F711)/H711)</f>
        <v>0.9126984126984127</v>
      </c>
      <c r="K850" s="63">
        <f>((F850-F711)/H711)</f>
        <v>1.0000000000000002</v>
      </c>
      <c r="L850" s="9">
        <f>(((H850+I850)/2)*G850)</f>
        <v>3397.6800000000003</v>
      </c>
    </row>
    <row r="851" spans="1:12" ht="23" customHeight="1">
      <c r="A851" s="6">
        <v>5</v>
      </c>
      <c r="B851" s="6">
        <v>2</v>
      </c>
      <c r="C851" s="6">
        <v>123</v>
      </c>
      <c r="D851" s="6">
        <v>1</v>
      </c>
      <c r="E851" s="62">
        <f>MAX(F760,F712)</f>
        <v>0.0</v>
      </c>
      <c r="F851" s="62">
        <f>MIN(G760,G712)</f>
        <v>1.3</v>
      </c>
      <c r="G851" s="62">
        <f>MAX(0,ROUND((F851-E851),4))</f>
        <v>1.3</v>
      </c>
      <c r="H851" s="9">
        <f>'有効抵抗土圧'!P3</f>
        <v>1005.1</v>
      </c>
      <c r="I851" s="9">
        <f>'有効抵抗土圧'!P4</f>
        <v>1130.0733333333333</v>
      </c>
      <c r="J851" s="63">
        <f>((E851-F712)/H712)</f>
        <v>0.0</v>
      </c>
      <c r="K851" s="63">
        <f>((F851-F712)/H712)</f>
        <v>0.8666666666666667</v>
      </c>
      <c r="L851" s="9">
        <f>(((H851+I851)/2)*G851)</f>
        <v>1387.8626666666667</v>
      </c>
    </row>
    <row r="852" spans="1:12" ht="23" customHeight="1">
      <c r="A852" s="6">
        <v>5</v>
      </c>
      <c r="B852" s="6">
        <v>2</v>
      </c>
      <c r="C852" s="6">
        <v>124</v>
      </c>
      <c r="D852" s="6">
        <v>1</v>
      </c>
      <c r="E852" s="62">
        <f>MAX(F761,F712)</f>
        <v>1.3</v>
      </c>
      <c r="F852" s="62">
        <f>MIN(G761,G712)</f>
        <v>1.5</v>
      </c>
      <c r="G852" s="62">
        <f>MAX(0,ROUND((F852-E852),4))</f>
        <v>0.2</v>
      </c>
      <c r="H852" s="9">
        <f>'有効抵抗土圧'!P5</f>
        <v>1130.0733333333333</v>
      </c>
      <c r="I852" s="9">
        <f>'有効抵抗土圧'!P6</f>
        <v>1149.3</v>
      </c>
      <c r="J852" s="63">
        <f>((E852-F712)/H712)</f>
        <v>0.8666666666666667</v>
      </c>
      <c r="K852" s="63">
        <f>((F852-F712)/H712)</f>
        <v>1.0</v>
      </c>
      <c r="L852" s="9">
        <f>(((H852+I852)/2)*G852)</f>
        <v>227.9373333333333</v>
      </c>
    </row>
    <row r="853" spans="1:12" ht="23" customHeight="1">
      <c r="A853" s="6">
        <v>5</v>
      </c>
      <c r="B853" s="6">
        <v>2</v>
      </c>
      <c r="C853" s="6">
        <v>124</v>
      </c>
      <c r="D853" s="6">
        <v>2</v>
      </c>
      <c r="E853" s="62">
        <f>MAX(F761,F713)</f>
        <v>1.5</v>
      </c>
      <c r="F853" s="62">
        <f>MIN(G761,G713)</f>
        <v>2.6</v>
      </c>
      <c r="G853" s="62">
        <f>MAX(0,ROUND((F853-E853),4))</f>
        <v>1.1</v>
      </c>
      <c r="H853" s="9">
        <f>'有効抵抗土圧'!P7</f>
        <v>1744.2</v>
      </c>
      <c r="I853" s="9">
        <f>'有効抵抗土圧'!P8</f>
        <v>1904.6307692307691</v>
      </c>
      <c r="J853" s="63">
        <f>((E853-F713)/H713)</f>
        <v>0.0</v>
      </c>
      <c r="K853" s="63">
        <f>((F853-F713)/H713)</f>
        <v>0.8461538461538461</v>
      </c>
      <c r="L853" s="9">
        <f>(((H853+I853)/2)*G853)</f>
        <v>2006.856923076923</v>
      </c>
    </row>
    <row r="854" spans="1:12" ht="24" customHeight="1">
      <c r="A854" s="3" t="s">
        <v>728</v>
      </c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spans="1:12" ht="36" customHeight="1">
      <c r="A855" s="4" t="s">
        <v>8</v>
      </c>
      <c r="B855" s="4" t="s">
        <v>722</v>
      </c>
      <c r="C855" s="4" t="s">
        <v>10</v>
      </c>
      <c r="D855" s="4" t="s">
        <v>562</v>
      </c>
      <c r="E855" s="4" t="s">
        <v>729</v>
      </c>
      <c r="F855" s="4" t="s">
        <v>730</v>
      </c>
      <c r="G855" s="4" t="s">
        <v>731</v>
      </c>
      <c r="H855" s="4" t="s">
        <v>732</v>
      </c>
      <c r="I855" s="4" t="s">
        <v>733</v>
      </c>
      <c r="J855" s="4" t="s">
        <v>734</v>
      </c>
      <c r="K855" s="4" t="s">
        <v>735</v>
      </c>
      <c r="L855" s="4" t="s">
        <v>736</v>
      </c>
    </row>
    <row r="856" spans="1:12" ht="23" customHeight="1">
      <c r="A856" s="6">
        <v>5</v>
      </c>
      <c r="B856" s="6">
        <v>2</v>
      </c>
      <c r="C856" s="6">
        <v>125</v>
      </c>
      <c r="D856" s="6">
        <v>2</v>
      </c>
      <c r="E856" s="62">
        <f>MAX(F762,F713)</f>
        <v>2.6</v>
      </c>
      <c r="F856" s="62">
        <f>MIN(G762,G713)</f>
        <v>2.8</v>
      </c>
      <c r="G856" s="62">
        <f>MAX(0,ROUND((F856-E856),4))</f>
        <v>0.2</v>
      </c>
      <c r="H856" s="9">
        <f>'有効抵抗土圧'!P9</f>
        <v>1904.6307692307691</v>
      </c>
      <c r="I856" s="9">
        <f>'有効抵抗土圧'!P10</f>
        <v>1933.8</v>
      </c>
      <c r="J856" s="63">
        <f>((E856-F713)/H713)</f>
        <v>0.8461538461538461</v>
      </c>
      <c r="K856" s="63">
        <f>((F856-F713)/H713)</f>
        <v>0.9999999999999998</v>
      </c>
      <c r="L856" s="9">
        <f>(((H856+I856)/2)*G856)</f>
        <v>383.843076923077</v>
      </c>
    </row>
    <row r="857" spans="1:12" ht="23" customHeight="1">
      <c r="A857" s="6">
        <v>5</v>
      </c>
      <c r="B857" s="6">
        <v>2</v>
      </c>
      <c r="C857" s="6">
        <v>125</v>
      </c>
      <c r="D857" s="6">
        <v>3</v>
      </c>
      <c r="E857" s="62">
        <f>MAX(F762,F714)</f>
        <v>2.8</v>
      </c>
      <c r="F857" s="62">
        <f>MIN(G762,G714)</f>
        <v>3.9</v>
      </c>
      <c r="G857" s="62">
        <f>MAX(0,ROUND((F857-E857),4))</f>
        <v>1.1</v>
      </c>
      <c r="H857" s="9">
        <f>'有効抵抗土圧'!P11</f>
        <v>1170.0</v>
      </c>
      <c r="I857" s="9">
        <f>'有効抵抗土圧'!P12</f>
        <v>1170.0</v>
      </c>
      <c r="J857" s="63">
        <f>((E857-F714)/H714)</f>
        <v>0.0</v>
      </c>
      <c r="K857" s="63">
        <f>((F857-F714)/H714)</f>
        <v>0.37931034482758624</v>
      </c>
      <c r="L857" s="9">
        <f>(((H857+I857)/2)*G857)</f>
        <v>1287.0</v>
      </c>
    </row>
    <row r="858" spans="1:12" ht="23" customHeight="1">
      <c r="A858" s="6">
        <v>5</v>
      </c>
      <c r="B858" s="6">
        <v>2</v>
      </c>
      <c r="C858" s="6">
        <v>126</v>
      </c>
      <c r="D858" s="6">
        <v>3</v>
      </c>
      <c r="E858" s="62">
        <f>MAX(F763,F714)</f>
        <v>3.9</v>
      </c>
      <c r="F858" s="62">
        <f>MIN(G763,G714)</f>
        <v>5.2</v>
      </c>
      <c r="G858" s="62">
        <f>MAX(0,ROUND((F858-E858),4))</f>
        <v>1.3</v>
      </c>
      <c r="H858" s="9">
        <f>'有効抵抗土圧'!P13</f>
        <v>1170.0</v>
      </c>
      <c r="I858" s="9">
        <f>'有効抵抗土圧'!P14</f>
        <v>1170.0</v>
      </c>
      <c r="J858" s="63">
        <f>((E858-F714)/H714)</f>
        <v>0.37931034482758624</v>
      </c>
      <c r="K858" s="63">
        <f>((F858-F714)/H714)</f>
        <v>0.8275862068965518</v>
      </c>
      <c r="L858" s="9">
        <f>(((H858+I858)/2)*G858)</f>
        <v>1521.0</v>
      </c>
    </row>
    <row r="859" spans="1:12" ht="23" customHeight="1">
      <c r="A859" s="6">
        <v>5</v>
      </c>
      <c r="B859" s="6">
        <v>2</v>
      </c>
      <c r="C859" s="6">
        <v>127</v>
      </c>
      <c r="D859" s="6">
        <v>3</v>
      </c>
      <c r="E859" s="62">
        <f>MAX(F764,F714)</f>
        <v>5.2</v>
      </c>
      <c r="F859" s="62">
        <f>MIN(G764,G714)</f>
        <v>5.7</v>
      </c>
      <c r="G859" s="62">
        <f>MAX(0,ROUND((F859-E859),4))</f>
        <v>0.5</v>
      </c>
      <c r="H859" s="9">
        <f>'有効抵抗土圧'!P15</f>
        <v>1170.0</v>
      </c>
      <c r="I859" s="9">
        <f>'有効抵抗土圧'!P16</f>
        <v>1170.0</v>
      </c>
      <c r="J859" s="63">
        <f>((E859-F714)/H714)</f>
        <v>0.8275862068965518</v>
      </c>
      <c r="K859" s="63">
        <f>((F859-F714)/H714)</f>
        <v>1.0000000000000002</v>
      </c>
      <c r="L859" s="9">
        <f>(((H859+I859)/2)*G859)</f>
        <v>585.0</v>
      </c>
    </row>
    <row r="860" spans="1:12" ht="23" customHeight="1">
      <c r="A860" s="6">
        <v>5</v>
      </c>
      <c r="B860" s="6">
        <v>2</v>
      </c>
      <c r="C860" s="6">
        <v>127</v>
      </c>
      <c r="D860" s="6">
        <v>4</v>
      </c>
      <c r="E860" s="62">
        <f>MAX(F764,F715)</f>
        <v>5.7</v>
      </c>
      <c r="F860" s="62">
        <f>MIN(G764,G715)</f>
        <v>6.5</v>
      </c>
      <c r="G860" s="62">
        <f>MAX(0,ROUND((F860-E860),4))</f>
        <v>0.8</v>
      </c>
      <c r="H860" s="9">
        <f>'有効抵抗土圧'!P17</f>
        <v>2030.3</v>
      </c>
      <c r="I860" s="9">
        <f>'有効抵抗土圧'!P18</f>
        <v>2137.1923076923076</v>
      </c>
      <c r="J860" s="63">
        <f>((E860-F715)/H715)</f>
        <v>0.0</v>
      </c>
      <c r="K860" s="63">
        <f>((F860-F715)/H715)</f>
        <v>0.3076923076923076</v>
      </c>
      <c r="L860" s="9">
        <f>(((H860+I860)/2)*G860)</f>
        <v>1666.9969230769232</v>
      </c>
    </row>
    <row r="861" spans="1:12" ht="23" customHeight="1">
      <c r="A861" s="6">
        <v>5</v>
      </c>
      <c r="B861" s="6">
        <v>2</v>
      </c>
      <c r="C861" s="6">
        <v>128</v>
      </c>
      <c r="D861" s="6">
        <v>4</v>
      </c>
      <c r="E861" s="62">
        <f>MAX(F765,F715)</f>
        <v>6.5</v>
      </c>
      <c r="F861" s="62">
        <f>MIN(G765,G715)</f>
        <v>7.8</v>
      </c>
      <c r="G861" s="62">
        <f>MAX(0,ROUND((F861-E861),4))</f>
        <v>1.3</v>
      </c>
      <c r="H861" s="9">
        <f>'有効抵抗土圧'!P19</f>
        <v>2137.1923076923076</v>
      </c>
      <c r="I861" s="9">
        <f>'有効抵抗土圧'!P20</f>
        <v>2310.8923076923074</v>
      </c>
      <c r="J861" s="63">
        <f>((E861-F715)/H715)</f>
        <v>0.3076923076923076</v>
      </c>
      <c r="K861" s="63">
        <f>((F861-F715)/H715)</f>
        <v>0.8076923076923075</v>
      </c>
      <c r="L861" s="9">
        <f>(((H861+I861)/2)*G861)</f>
        <v>2891.255</v>
      </c>
    </row>
    <row r="862" spans="1:12" ht="23" customHeight="1">
      <c r="A862" s="6">
        <v>5</v>
      </c>
      <c r="B862" s="6">
        <v>2</v>
      </c>
      <c r="C862" s="6">
        <v>129</v>
      </c>
      <c r="D862" s="6">
        <v>4</v>
      </c>
      <c r="E862" s="62">
        <f>MAX(F766,F715)</f>
        <v>7.8</v>
      </c>
      <c r="F862" s="62">
        <f>MIN(G766,G715)</f>
        <v>8.3</v>
      </c>
      <c r="G862" s="62">
        <f>MAX(0,ROUND((F862-E862),4))</f>
        <v>0.5</v>
      </c>
      <c r="H862" s="9">
        <f>'有効抵抗土圧'!P21</f>
        <v>2310.8923076923074</v>
      </c>
      <c r="I862" s="9">
        <f>'有効抵抗土圧'!P22</f>
        <v>2377.7</v>
      </c>
      <c r="J862" s="63">
        <f>((E862-F715)/H715)</f>
        <v>0.8076923076923075</v>
      </c>
      <c r="K862" s="63">
        <f>((F862-F715)/H715)</f>
        <v>1.0000000000000002</v>
      </c>
      <c r="L862" s="9">
        <f>(((H862+I862)/2)*G862)</f>
        <v>1172.1480769230768</v>
      </c>
    </row>
    <row r="863" spans="1:12" ht="23" customHeight="1">
      <c r="A863" s="6">
        <v>5</v>
      </c>
      <c r="B863" s="6">
        <v>2</v>
      </c>
      <c r="C863" s="6">
        <v>129</v>
      </c>
      <c r="D863" s="6">
        <v>5</v>
      </c>
      <c r="E863" s="62">
        <f>MAX(F766,F716)</f>
        <v>8.3</v>
      </c>
      <c r="F863" s="62">
        <f>MIN(G766,G716)</f>
        <v>8.9</v>
      </c>
      <c r="G863" s="62">
        <f>MAX(0,ROUND((F863-E863),4))</f>
        <v>0.6</v>
      </c>
      <c r="H863" s="9">
        <f>'有効抵抗土圧'!P23</f>
        <v>4539.6</v>
      </c>
      <c r="I863" s="9">
        <f>'有効抵抗土圧'!P24</f>
        <v>4539.6</v>
      </c>
      <c r="J863" s="63">
        <f>((E863-F716)/H716)</f>
        <v>0.0</v>
      </c>
      <c r="K863" s="63">
        <f>((F863-F716)/H716)</f>
        <v>0.9999999999999994</v>
      </c>
      <c r="L863" s="9">
        <f>(((H863+I863)/2)*G863)</f>
        <v>2723.76</v>
      </c>
    </row>
    <row r="864" spans="1:12" ht="23" customHeight="1">
      <c r="A864" s="6">
        <v>5</v>
      </c>
      <c r="B864" s="6">
        <v>2</v>
      </c>
      <c r="C864" s="6">
        <v>129</v>
      </c>
      <c r="D864" s="6">
        <v>6</v>
      </c>
      <c r="E864" s="62">
        <f>MAX(F766,F717)</f>
        <v>8.9</v>
      </c>
      <c r="F864" s="62">
        <f>MIN(G766,G717)</f>
        <v>9.1</v>
      </c>
      <c r="G864" s="62">
        <f>MAX(0,ROUND((F864-E864),4))</f>
        <v>0.2</v>
      </c>
      <c r="H864" s="9">
        <f>'有効抵抗土圧'!P25</f>
        <v>2548.4</v>
      </c>
      <c r="I864" s="9">
        <f>'有効抵抗土圧'!P26</f>
        <v>2576.3115789473686</v>
      </c>
      <c r="J864" s="63">
        <f>((E864-F717)/H717)</f>
        <v>0.0</v>
      </c>
      <c r="K864" s="63">
        <f>((F864-F717)/H717)</f>
        <v>0.021052631578947295</v>
      </c>
      <c r="L864" s="9">
        <f>(((H864+I864)/2)*G864)</f>
        <v>512.4711578947368</v>
      </c>
    </row>
    <row r="865" spans="1:12" ht="23" customHeight="1">
      <c r="A865" s="6">
        <v>5</v>
      </c>
      <c r="B865" s="6">
        <v>2</v>
      </c>
      <c r="C865" s="6">
        <v>130</v>
      </c>
      <c r="D865" s="6">
        <v>6</v>
      </c>
      <c r="E865" s="62">
        <f>MAX(F767,F717)</f>
        <v>9.1</v>
      </c>
      <c r="F865" s="62">
        <f>MIN(G767,G717)</f>
        <v>10.4</v>
      </c>
      <c r="G865" s="62">
        <f>MAX(0,ROUND((F865-E865),4))</f>
        <v>1.3</v>
      </c>
      <c r="H865" s="9">
        <f>'有効抵抗土圧'!P27</f>
        <v>2576.3115789473686</v>
      </c>
      <c r="I865" s="9">
        <f>'有効抵抗土圧'!P28</f>
        <v>2757.7368421052633</v>
      </c>
      <c r="J865" s="63">
        <f>((E865-F717)/H717)</f>
        <v>0.021052631578947295</v>
      </c>
      <c r="K865" s="63">
        <f>((F865-F717)/H717)</f>
        <v>0.15789473684210525</v>
      </c>
      <c r="L865" s="9">
        <f>(((H865+I865)/2)*G865)</f>
        <v>3467.131473684211</v>
      </c>
    </row>
    <row r="866" spans="1:12" ht="23" customHeight="1">
      <c r="A866" s="6">
        <v>5</v>
      </c>
      <c r="B866" s="6">
        <v>2</v>
      </c>
      <c r="C866" s="6">
        <v>131</v>
      </c>
      <c r="D866" s="6">
        <v>6</v>
      </c>
      <c r="E866" s="62">
        <f>MAX(F768,F717)</f>
        <v>10.4</v>
      </c>
      <c r="F866" s="62">
        <f>MIN(G768,G717)</f>
        <v>11.7</v>
      </c>
      <c r="G866" s="62">
        <f>MAX(0,ROUND((F866-E866),4))</f>
        <v>1.3</v>
      </c>
      <c r="H866" s="9">
        <f>'有効抵抗土圧'!P29</f>
        <v>2757.7368421052633</v>
      </c>
      <c r="I866" s="9">
        <f>'有効抵抗土圧'!P30</f>
        <v>2939.1621052631576</v>
      </c>
      <c r="J866" s="63">
        <f>((E866-F717)/H717)</f>
        <v>0.15789473684210525</v>
      </c>
      <c r="K866" s="63">
        <f>((F866-F717)/H717)</f>
        <v>0.294736842105263</v>
      </c>
      <c r="L866" s="9">
        <f>(((H866+I866)/2)*G866)</f>
        <v>3702.984315789474</v>
      </c>
    </row>
    <row r="867" spans="1:12" ht="23" customHeight="1">
      <c r="A867" s="6">
        <v>5</v>
      </c>
      <c r="B867" s="6">
        <v>2</v>
      </c>
      <c r="C867" s="6">
        <v>132</v>
      </c>
      <c r="D867" s="6">
        <v>6</v>
      </c>
      <c r="E867" s="62">
        <f>MAX(F769,F717)</f>
        <v>11.7</v>
      </c>
      <c r="F867" s="62">
        <f>MIN(G769,G717)</f>
        <v>13.0</v>
      </c>
      <c r="G867" s="62">
        <f>MAX(0,ROUND((F867-E867),4))</f>
        <v>1.3</v>
      </c>
      <c r="H867" s="9">
        <f>'有効抵抗土圧'!P31</f>
        <v>2939.1621052631576</v>
      </c>
      <c r="I867" s="9">
        <f>'有効抵抗土圧'!P32</f>
        <v>3120.587368421053</v>
      </c>
      <c r="J867" s="63">
        <f>((E867-F717)/H717)</f>
        <v>0.294736842105263</v>
      </c>
      <c r="K867" s="63">
        <f>((F867-F717)/H717)</f>
        <v>0.431578947368421</v>
      </c>
      <c r="L867" s="9">
        <f>(((H867+I867)/2)*G867)</f>
        <v>3938.837157894737</v>
      </c>
    </row>
    <row r="868" spans="1:12" ht="23" customHeight="1">
      <c r="A868" s="6">
        <v>5</v>
      </c>
      <c r="B868" s="6">
        <v>2</v>
      </c>
      <c r="C868" s="6">
        <v>133</v>
      </c>
      <c r="D868" s="6">
        <v>6</v>
      </c>
      <c r="E868" s="62">
        <f>MAX(F772,F717)</f>
        <v>13.0</v>
      </c>
      <c r="F868" s="62">
        <f>MIN(G772,G717)</f>
        <v>14.3</v>
      </c>
      <c r="G868" s="62">
        <f>MAX(0,ROUND((F868-E868),4))</f>
        <v>1.3</v>
      </c>
      <c r="H868" s="9">
        <f>'有効抵抗土圧'!P33</f>
        <v>3120.587368421053</v>
      </c>
      <c r="I868" s="9">
        <f>'有効抵抗土圧'!P34</f>
        <v>3302.0126315789475</v>
      </c>
      <c r="J868" s="63">
        <f>((E868-F717)/H717)</f>
        <v>0.431578947368421</v>
      </c>
      <c r="K868" s="63">
        <f>((F868-F717)/H717)</f>
        <v>0.5684210526315789</v>
      </c>
      <c r="L868" s="9">
        <f>(((H868+I868)/2)*G868)</f>
        <v>4174.6900000000005</v>
      </c>
    </row>
    <row r="869" spans="1:12" ht="23" customHeight="1">
      <c r="A869" s="6">
        <v>5</v>
      </c>
      <c r="B869" s="6">
        <v>2</v>
      </c>
      <c r="C869" s="6">
        <v>134</v>
      </c>
      <c r="D869" s="6">
        <v>6</v>
      </c>
      <c r="E869" s="62">
        <f>MAX(F773,F717)</f>
        <v>14.3</v>
      </c>
      <c r="F869" s="62">
        <f>MIN(G773,G717)</f>
        <v>15.6</v>
      </c>
      <c r="G869" s="62">
        <f>MAX(0,ROUND((F869-E869),4))</f>
        <v>1.3</v>
      </c>
      <c r="H869" s="9">
        <f>'有効抵抗土圧'!P35</f>
        <v>3302.0126315789475</v>
      </c>
      <c r="I869" s="9">
        <f>'有効抵抗土圧'!P36</f>
        <v>3483.437894736842</v>
      </c>
      <c r="J869" s="63">
        <f>((E869-F717)/H717)</f>
        <v>0.5684210526315789</v>
      </c>
      <c r="K869" s="63">
        <f>((F869-F717)/H717)</f>
        <v>0.7052631578947368</v>
      </c>
      <c r="L869" s="9">
        <f>(((H869+I869)/2)*G869)</f>
        <v>4410.542842105264</v>
      </c>
    </row>
    <row r="870" spans="1:12" ht="23" customHeight="1">
      <c r="A870" s="6">
        <v>5</v>
      </c>
      <c r="B870" s="6">
        <v>2</v>
      </c>
      <c r="C870" s="6">
        <v>135</v>
      </c>
      <c r="D870" s="6">
        <v>6</v>
      </c>
      <c r="E870" s="62">
        <f>MAX(F774,F717)</f>
        <v>15.6</v>
      </c>
      <c r="F870" s="62">
        <f>MIN(G774,G717)</f>
        <v>16.9</v>
      </c>
      <c r="G870" s="62">
        <f>MAX(0,ROUND((F870-E870),4))</f>
        <v>1.3</v>
      </c>
      <c r="H870" s="9">
        <f>'有効抵抗土圧'!P37</f>
        <v>3483.437894736842</v>
      </c>
      <c r="I870" s="9">
        <f>'有効抵抗土圧'!P38</f>
        <v>3664.8631578947366</v>
      </c>
      <c r="J870" s="63">
        <f>((E870-F717)/H717)</f>
        <v>0.7052631578947368</v>
      </c>
      <c r="K870" s="63">
        <f>((F870-F717)/H717)</f>
        <v>0.8421052631578946</v>
      </c>
      <c r="L870" s="9">
        <f>(((H870+I870)/2)*G870)</f>
        <v>4646.395684210526</v>
      </c>
    </row>
    <row r="871" spans="1:12" ht="24" customHeight="1">
      <c r="A871" s="3" t="s">
        <v>728</v>
      </c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spans="1:12" ht="36" customHeight="1">
      <c r="A872" s="4" t="s">
        <v>8</v>
      </c>
      <c r="B872" s="4" t="s">
        <v>722</v>
      </c>
      <c r="C872" s="4" t="s">
        <v>10</v>
      </c>
      <c r="D872" s="4" t="s">
        <v>562</v>
      </c>
      <c r="E872" s="4" t="s">
        <v>729</v>
      </c>
      <c r="F872" s="4" t="s">
        <v>730</v>
      </c>
      <c r="G872" s="4" t="s">
        <v>731</v>
      </c>
      <c r="H872" s="4" t="s">
        <v>732</v>
      </c>
      <c r="I872" s="4" t="s">
        <v>733</v>
      </c>
      <c r="J872" s="4" t="s">
        <v>734</v>
      </c>
      <c r="K872" s="4" t="s">
        <v>735</v>
      </c>
      <c r="L872" s="4" t="s">
        <v>736</v>
      </c>
    </row>
    <row r="873" spans="1:12" ht="23" customHeight="1">
      <c r="A873" s="6">
        <v>5</v>
      </c>
      <c r="B873" s="6">
        <v>2</v>
      </c>
      <c r="C873" s="6">
        <v>136</v>
      </c>
      <c r="D873" s="6">
        <v>6</v>
      </c>
      <c r="E873" s="62">
        <f>MAX(F775,F717)</f>
        <v>16.9</v>
      </c>
      <c r="F873" s="62">
        <f>MIN(G775,G717)</f>
        <v>18.2</v>
      </c>
      <c r="G873" s="62">
        <f>MAX(0,ROUND((F873-E873),4))</f>
        <v>1.3</v>
      </c>
      <c r="H873" s="9">
        <f>'有効抵抗土圧'!P39</f>
        <v>3664.8631578947366</v>
      </c>
      <c r="I873" s="9">
        <f>'有効抵抗土圧'!P40</f>
        <v>3846.2884210526313</v>
      </c>
      <c r="J873" s="63">
        <f>((E873-F717)/H717)</f>
        <v>0.8421052631578946</v>
      </c>
      <c r="K873" s="63">
        <f>((F873-F717)/H717)</f>
        <v>0.9789473684210526</v>
      </c>
      <c r="L873" s="9">
        <f>(((H873+I873)/2)*G873)</f>
        <v>4882.24852631579</v>
      </c>
    </row>
    <row r="874" spans="1:12" ht="23" customHeight="1">
      <c r="A874" s="6">
        <v>5</v>
      </c>
      <c r="B874" s="6">
        <v>2</v>
      </c>
      <c r="C874" s="6">
        <v>137</v>
      </c>
      <c r="D874" s="6">
        <v>6</v>
      </c>
      <c r="E874" s="62">
        <f>MAX(F776,F717)</f>
        <v>18.2</v>
      </c>
      <c r="F874" s="62">
        <f>MIN(G776,G717)</f>
        <v>18.4</v>
      </c>
      <c r="G874" s="62">
        <f>MAX(0,ROUND((F874-E874),4))</f>
        <v>0.2</v>
      </c>
      <c r="H874" s="9">
        <f>'有効抵抗土圧'!P41</f>
        <v>3846.2884210526313</v>
      </c>
      <c r="I874" s="9">
        <f>'有効抵抗土圧'!P42</f>
        <v>3874.2</v>
      </c>
      <c r="J874" s="63">
        <f>((E874-F717)/H717)</f>
        <v>0.9789473684210526</v>
      </c>
      <c r="K874" s="63">
        <f>((F874-F717)/H717)</f>
        <v>0.9999999999999998</v>
      </c>
      <c r="L874" s="9">
        <f>(((H874+I874)/2)*G874)</f>
        <v>772.0488421052631</v>
      </c>
    </row>
    <row r="875" spans="1:12" ht="23" customHeight="1">
      <c r="A875" s="6">
        <v>5</v>
      </c>
      <c r="B875" s="6">
        <v>2</v>
      </c>
      <c r="C875" s="6">
        <v>137</v>
      </c>
      <c r="D875" s="6">
        <v>7</v>
      </c>
      <c r="E875" s="62">
        <f>MAX(F776,F718)</f>
        <v>18.4</v>
      </c>
      <c r="F875" s="62">
        <f>MIN(G776,G718)</f>
        <v>19.5</v>
      </c>
      <c r="G875" s="62">
        <f>MAX(0,ROUND((F875-E875),4))</f>
        <v>1.1</v>
      </c>
      <c r="H875" s="9">
        <f>'有効抵抗土圧'!P43</f>
        <v>2059.2</v>
      </c>
      <c r="I875" s="9">
        <f>'有効抵抗土圧'!P44</f>
        <v>2059.2</v>
      </c>
      <c r="J875" s="63">
        <f>((E875-F718)/H718)</f>
        <v>0.0</v>
      </c>
      <c r="K875" s="63">
        <f>((F875-F718)/H718)</f>
        <v>0.08730158730158742</v>
      </c>
      <c r="L875" s="9">
        <f>(((H875+I875)/2)*G875)</f>
        <v>2265.12</v>
      </c>
    </row>
    <row r="876" spans="1:12" ht="23" customHeight="1">
      <c r="A876" s="6">
        <v>5</v>
      </c>
      <c r="B876" s="6">
        <v>2</v>
      </c>
      <c r="C876" s="6">
        <v>138</v>
      </c>
      <c r="D876" s="6">
        <v>7</v>
      </c>
      <c r="E876" s="62">
        <f>MAX(F777,F718)</f>
        <v>19.5</v>
      </c>
      <c r="F876" s="62">
        <f>MIN(G777,G718)</f>
        <v>20.8</v>
      </c>
      <c r="G876" s="62">
        <f>MAX(0,ROUND((F876-E876),4))</f>
        <v>1.3</v>
      </c>
      <c r="H876" s="9">
        <f>'有効抵抗土圧'!P45</f>
        <v>2059.2</v>
      </c>
      <c r="I876" s="9">
        <f>'有効抵抗土圧'!P46</f>
        <v>2059.2</v>
      </c>
      <c r="J876" s="63">
        <f>((E876-F718)/H718)</f>
        <v>0.08730158730158742</v>
      </c>
      <c r="K876" s="63">
        <f>((F876-F718)/H718)</f>
        <v>0.19047619047619066</v>
      </c>
      <c r="L876" s="9">
        <f>(((H876+I876)/2)*G876)</f>
        <v>2676.96</v>
      </c>
    </row>
    <row r="877" spans="1:12" ht="23" customHeight="1">
      <c r="A877" s="6">
        <v>5</v>
      </c>
      <c r="B877" s="6">
        <v>2</v>
      </c>
      <c r="C877" s="6">
        <v>139</v>
      </c>
      <c r="D877" s="6">
        <v>7</v>
      </c>
      <c r="E877" s="62">
        <f>MAX(F778,F718)</f>
        <v>20.8</v>
      </c>
      <c r="F877" s="62">
        <f>MIN(G778,G718)</f>
        <v>22.1</v>
      </c>
      <c r="G877" s="62">
        <f>MAX(0,ROUND((F877-E877),4))</f>
        <v>1.3</v>
      </c>
      <c r="H877" s="9">
        <f>'有効抵抗土圧'!P47</f>
        <v>2059.2</v>
      </c>
      <c r="I877" s="9">
        <f>'有効抵抗土圧'!P48</f>
        <v>2059.2</v>
      </c>
      <c r="J877" s="63">
        <f>((E877-F718)/H718)</f>
        <v>0.19047619047619066</v>
      </c>
      <c r="K877" s="63">
        <f>((F877-F718)/H718)</f>
        <v>0.2936507936507939</v>
      </c>
      <c r="L877" s="9">
        <f>(((H877+I877)/2)*G877)</f>
        <v>2676.96</v>
      </c>
    </row>
    <row r="878" spans="1:12" ht="23" customHeight="1">
      <c r="A878" s="6">
        <v>5</v>
      </c>
      <c r="B878" s="6">
        <v>2</v>
      </c>
      <c r="C878" s="6">
        <v>140</v>
      </c>
      <c r="D878" s="6">
        <v>7</v>
      </c>
      <c r="E878" s="62">
        <f>MAX(F779,F718)</f>
        <v>22.1</v>
      </c>
      <c r="F878" s="62">
        <f>MIN(G779,G718)</f>
        <v>23.4</v>
      </c>
      <c r="G878" s="62">
        <f>MAX(0,ROUND((F878-E878),4))</f>
        <v>1.3</v>
      </c>
      <c r="H878" s="9">
        <f>'有効抵抗土圧'!P49</f>
        <v>2059.2</v>
      </c>
      <c r="I878" s="9">
        <f>'有効抵抗土圧'!P50</f>
        <v>2059.2</v>
      </c>
      <c r="J878" s="63">
        <f>((E878-F718)/H718)</f>
        <v>0.2936507936507939</v>
      </c>
      <c r="K878" s="63">
        <f>((F878-F718)/H718)</f>
        <v>0.39682539682539686</v>
      </c>
      <c r="L878" s="9">
        <f>(((H878+I878)/2)*G878)</f>
        <v>2676.96</v>
      </c>
    </row>
    <row r="879" spans="1:12" ht="23" customHeight="1">
      <c r="A879" s="6">
        <v>5</v>
      </c>
      <c r="B879" s="6">
        <v>2</v>
      </c>
      <c r="C879" s="6">
        <v>141</v>
      </c>
      <c r="D879" s="6">
        <v>7</v>
      </c>
      <c r="E879" s="62">
        <f>MAX(F780,F718)</f>
        <v>23.4</v>
      </c>
      <c r="F879" s="62">
        <f>MIN(G780,G718)</f>
        <v>24.7</v>
      </c>
      <c r="G879" s="62">
        <f>MAX(0,ROUND((F879-E879),4))</f>
        <v>1.3</v>
      </c>
      <c r="H879" s="9">
        <f>'有効抵抗土圧'!P51</f>
        <v>2059.2</v>
      </c>
      <c r="I879" s="9">
        <f>'有効抵抗土圧'!P52</f>
        <v>2059.2</v>
      </c>
      <c r="J879" s="63">
        <f>((E879-F718)/H718)</f>
        <v>0.39682539682539686</v>
      </c>
      <c r="K879" s="63">
        <f>((F879-F718)/H718)</f>
        <v>0.5000000000000001</v>
      </c>
      <c r="L879" s="9">
        <f>(((H879+I879)/2)*G879)</f>
        <v>2676.96</v>
      </c>
    </row>
    <row r="880" spans="1:12" ht="23" customHeight="1">
      <c r="A880" s="6">
        <v>5</v>
      </c>
      <c r="B880" s="6">
        <v>2</v>
      </c>
      <c r="C880" s="6">
        <v>142</v>
      </c>
      <c r="D880" s="6">
        <v>7</v>
      </c>
      <c r="E880" s="62">
        <f>MAX(F781,F718)</f>
        <v>24.7</v>
      </c>
      <c r="F880" s="62">
        <f>MIN(G781,G718)</f>
        <v>26.0</v>
      </c>
      <c r="G880" s="62">
        <f>MAX(0,ROUND((F880-E880),4))</f>
        <v>1.3</v>
      </c>
      <c r="H880" s="9">
        <f>'有効抵抗土圧'!P53</f>
        <v>2059.2</v>
      </c>
      <c r="I880" s="9">
        <f>'有効抵抗土圧'!P54</f>
        <v>2059.2</v>
      </c>
      <c r="J880" s="63">
        <f>((E880-F718)/H718)</f>
        <v>0.5000000000000001</v>
      </c>
      <c r="K880" s="63">
        <f>((F880-F718)/H718)</f>
        <v>0.6031746031746033</v>
      </c>
      <c r="L880" s="9">
        <f>(((H880+I880)/2)*G880)</f>
        <v>2676.96</v>
      </c>
    </row>
    <row r="881" spans="1:12" ht="23" customHeight="1">
      <c r="A881" s="6">
        <v>5</v>
      </c>
      <c r="B881" s="6">
        <v>2</v>
      </c>
      <c r="C881" s="6">
        <v>143</v>
      </c>
      <c r="D881" s="6">
        <v>7</v>
      </c>
      <c r="E881" s="62">
        <f>MAX(F782,F718)</f>
        <v>26.0</v>
      </c>
      <c r="F881" s="62">
        <f>MIN(G782,G718)</f>
        <v>27.3</v>
      </c>
      <c r="G881" s="62">
        <f>MAX(0,ROUND((F881-E881),4))</f>
        <v>1.3</v>
      </c>
      <c r="H881" s="9">
        <f>'有効抵抗土圧'!P55</f>
        <v>2059.2</v>
      </c>
      <c r="I881" s="9">
        <f>'有効抵抗土圧'!P56</f>
        <v>2059.2</v>
      </c>
      <c r="J881" s="63">
        <f>((E881-F718)/H718)</f>
        <v>0.6031746031746033</v>
      </c>
      <c r="K881" s="63">
        <f>((F881-F718)/H718)</f>
        <v>0.7063492063492065</v>
      </c>
      <c r="L881" s="9">
        <f>(((H881+I881)/2)*G881)</f>
        <v>2676.96</v>
      </c>
    </row>
    <row r="882" spans="1:12" ht="23" customHeight="1">
      <c r="A882" s="6">
        <v>5</v>
      </c>
      <c r="B882" s="6">
        <v>2</v>
      </c>
      <c r="C882" s="6">
        <v>144</v>
      </c>
      <c r="D882" s="6">
        <v>7</v>
      </c>
      <c r="E882" s="62">
        <f>MAX(F783,F718)</f>
        <v>27.3</v>
      </c>
      <c r="F882" s="62">
        <f>MIN(G783,G718)</f>
        <v>28.6</v>
      </c>
      <c r="G882" s="62">
        <f>MAX(0,ROUND((F882-E882),4))</f>
        <v>1.3</v>
      </c>
      <c r="H882" s="9">
        <f>'有効抵抗土圧'!P57</f>
        <v>2059.2</v>
      </c>
      <c r="I882" s="9">
        <f>'有効抵抗土圧'!P58</f>
        <v>2059.2</v>
      </c>
      <c r="J882" s="63">
        <f>((E882-F718)/H718)</f>
        <v>0.7063492063492065</v>
      </c>
      <c r="K882" s="63">
        <f>((F882-F718)/H718)</f>
        <v>0.8095238095238098</v>
      </c>
      <c r="L882" s="9">
        <f>(((H882+I882)/2)*G882)</f>
        <v>2676.96</v>
      </c>
    </row>
    <row r="883" spans="1:12" ht="23" customHeight="1">
      <c r="A883" s="6">
        <v>5</v>
      </c>
      <c r="B883" s="6">
        <v>2</v>
      </c>
      <c r="C883" s="6">
        <v>145</v>
      </c>
      <c r="D883" s="6">
        <v>7</v>
      </c>
      <c r="E883" s="62">
        <f>MAX(F784,F718)</f>
        <v>28.6</v>
      </c>
      <c r="F883" s="62">
        <f>MIN(G784,G718)</f>
        <v>29.9</v>
      </c>
      <c r="G883" s="62">
        <f>MAX(0,ROUND((F883-E883),4))</f>
        <v>1.3</v>
      </c>
      <c r="H883" s="9">
        <f>'有効抵抗土圧'!P59</f>
        <v>2059.2</v>
      </c>
      <c r="I883" s="9">
        <f>'有効抵抗土圧'!P60</f>
        <v>2059.2</v>
      </c>
      <c r="J883" s="63">
        <f>((E883-F718)/H718)</f>
        <v>0.8095238095238098</v>
      </c>
      <c r="K883" s="63">
        <f>((F883-F718)/H718)</f>
        <v>0.9126984126984127</v>
      </c>
      <c r="L883" s="9">
        <f>(((H883+I883)/2)*G883)</f>
        <v>2676.96</v>
      </c>
    </row>
    <row r="884" spans="1:12" ht="23" customHeight="1">
      <c r="A884" s="6">
        <v>5</v>
      </c>
      <c r="B884" s="6">
        <v>2</v>
      </c>
      <c r="C884" s="6">
        <v>146</v>
      </c>
      <c r="D884" s="6">
        <v>7</v>
      </c>
      <c r="E884" s="62">
        <f>MAX(F785,F718)</f>
        <v>29.9</v>
      </c>
      <c r="F884" s="62">
        <f>MIN(G785,G718)</f>
        <v>31.0</v>
      </c>
      <c r="G884" s="62">
        <f>MAX(0,ROUND((F884-E884),4))</f>
        <v>1.1</v>
      </c>
      <c r="H884" s="9">
        <f>'有効抵抗土圧'!P61</f>
        <v>2059.2</v>
      </c>
      <c r="I884" s="9">
        <f>'有効抵抗土圧'!P62</f>
        <v>2059.2</v>
      </c>
      <c r="J884" s="63">
        <f>((E884-F718)/H718)</f>
        <v>0.9126984126984127</v>
      </c>
      <c r="K884" s="63">
        <f>((F884-F718)/H718)</f>
        <v>1.0000000000000002</v>
      </c>
      <c r="L884" s="9">
        <f>(((H884+I884)/2)*G884)</f>
        <v>2265.12</v>
      </c>
    </row>
    <row r="885" spans="1:12" ht="23" customHeight="1">
      <c r="A885" s="6">
        <v>6</v>
      </c>
      <c r="B885" s="6">
        <v>3</v>
      </c>
      <c r="C885" s="6">
        <v>148</v>
      </c>
      <c r="D885" s="6">
        <v>1</v>
      </c>
      <c r="E885" s="62">
        <f>MAX(F786,F719)</f>
        <v>0.0</v>
      </c>
      <c r="F885" s="62">
        <f>MIN(G786,G719)</f>
        <v>1.3</v>
      </c>
      <c r="G885" s="62">
        <f>MAX(0,ROUND((F885-E885),4))</f>
        <v>1.3</v>
      </c>
      <c r="H885" s="9">
        <f>'有効抵抗土圧'!Y3</f>
        <v>2907.3</v>
      </c>
      <c r="I885" s="9">
        <f>'有効抵抗土圧'!Y4</f>
        <v>3268.7000000000003</v>
      </c>
      <c r="J885" s="63">
        <f>((E885-F719)/H719)</f>
        <v>0.0</v>
      </c>
      <c r="K885" s="63">
        <f>((F885-F719)/H719)</f>
        <v>0.8666666666666667</v>
      </c>
      <c r="L885" s="9">
        <f>(((H885+I885)/2)*G885)</f>
        <v>4014.4</v>
      </c>
    </row>
    <row r="886" spans="1:12" ht="23" customHeight="1">
      <c r="A886" s="6">
        <v>6</v>
      </c>
      <c r="B886" s="6">
        <v>3</v>
      </c>
      <c r="C886" s="6">
        <v>149</v>
      </c>
      <c r="D886" s="6">
        <v>1</v>
      </c>
      <c r="E886" s="62">
        <f>MAX(F789,F719)</f>
        <v>1.3</v>
      </c>
      <c r="F886" s="62">
        <f>MIN(G789,G719)</f>
        <v>1.5</v>
      </c>
      <c r="G886" s="62">
        <f>MAX(0,ROUND((F886-E886),4))</f>
        <v>0.2</v>
      </c>
      <c r="H886" s="9">
        <f>'有効抵抗土圧'!Y5</f>
        <v>3268.7000000000003</v>
      </c>
      <c r="I886" s="9">
        <f>'有効抵抗土圧'!Y6</f>
        <v>3324.3</v>
      </c>
      <c r="J886" s="63">
        <f>((E886-F719)/H719)</f>
        <v>0.8666666666666667</v>
      </c>
      <c r="K886" s="63">
        <f>((F886-F719)/H719)</f>
        <v>1.0</v>
      </c>
      <c r="L886" s="9">
        <f>(((H886+I886)/2)*G886)</f>
        <v>659.3000000000001</v>
      </c>
    </row>
    <row r="887" spans="1:12" ht="23" customHeight="1">
      <c r="A887" s="6">
        <v>6</v>
      </c>
      <c r="B887" s="6">
        <v>3</v>
      </c>
      <c r="C887" s="6">
        <v>149</v>
      </c>
      <c r="D887" s="6">
        <v>2</v>
      </c>
      <c r="E887" s="62">
        <f>MAX(F789,F722)</f>
        <v>1.5</v>
      </c>
      <c r="F887" s="62">
        <f>MIN(G789,G722)</f>
        <v>2.6</v>
      </c>
      <c r="G887" s="62">
        <f>MAX(0,ROUND((F887-E887),4))</f>
        <v>1.1</v>
      </c>
      <c r="H887" s="9">
        <f>'有効抵抗土圧'!Y7</f>
        <v>5045.2</v>
      </c>
      <c r="I887" s="9">
        <f>'有効抵抗土圧'!Y8</f>
        <v>5509.2307692307695</v>
      </c>
      <c r="J887" s="63">
        <f>((E887-F722)/H722)</f>
        <v>0.0</v>
      </c>
      <c r="K887" s="63">
        <f>((F887-F722)/H722)</f>
        <v>0.8461538461538461</v>
      </c>
      <c r="L887" s="9">
        <f>(((H887+I887)/2)*G887)</f>
        <v>5804.936923076924</v>
      </c>
    </row>
    <row r="888" spans="1:12" ht="24" customHeight="1">
      <c r="A888" s="3" t="s">
        <v>728</v>
      </c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spans="1:12" ht="36" customHeight="1">
      <c r="A889" s="4" t="s">
        <v>8</v>
      </c>
      <c r="B889" s="4" t="s">
        <v>722</v>
      </c>
      <c r="C889" s="4" t="s">
        <v>10</v>
      </c>
      <c r="D889" s="4" t="s">
        <v>562</v>
      </c>
      <c r="E889" s="4" t="s">
        <v>729</v>
      </c>
      <c r="F889" s="4" t="s">
        <v>730</v>
      </c>
      <c r="G889" s="4" t="s">
        <v>731</v>
      </c>
      <c r="H889" s="4" t="s">
        <v>732</v>
      </c>
      <c r="I889" s="4" t="s">
        <v>733</v>
      </c>
      <c r="J889" s="4" t="s">
        <v>734</v>
      </c>
      <c r="K889" s="4" t="s">
        <v>735</v>
      </c>
      <c r="L889" s="4" t="s">
        <v>736</v>
      </c>
    </row>
    <row r="890" spans="1:12" ht="23" customHeight="1">
      <c r="A890" s="6">
        <v>6</v>
      </c>
      <c r="B890" s="6">
        <v>3</v>
      </c>
      <c r="C890" s="6">
        <v>150</v>
      </c>
      <c r="D890" s="6">
        <v>2</v>
      </c>
      <c r="E890" s="62">
        <f>MAX(F790,F722)</f>
        <v>2.6</v>
      </c>
      <c r="F890" s="62">
        <f>MIN(G790,G722)</f>
        <v>2.8</v>
      </c>
      <c r="G890" s="62">
        <f>MAX(0,ROUND((F890-E890),4))</f>
        <v>0.2</v>
      </c>
      <c r="H890" s="9">
        <f>'有効抵抗土圧'!Y9</f>
        <v>5509.2307692307695</v>
      </c>
      <c r="I890" s="9">
        <f>'有効抵抗土圧'!Y10</f>
        <v>5593.6</v>
      </c>
      <c r="J890" s="63">
        <f>((E890-F722)/H722)</f>
        <v>0.8461538461538461</v>
      </c>
      <c r="K890" s="63">
        <f>((F890-F722)/H722)</f>
        <v>0.9999999999999998</v>
      </c>
      <c r="L890" s="9">
        <f>(((H890+I890)/2)*G890)</f>
        <v>1110.283076923077</v>
      </c>
    </row>
    <row r="891" spans="1:12" ht="23" customHeight="1">
      <c r="A891" s="6">
        <v>6</v>
      </c>
      <c r="B891" s="6">
        <v>3</v>
      </c>
      <c r="C891" s="6">
        <v>150</v>
      </c>
      <c r="D891" s="6">
        <v>3</v>
      </c>
      <c r="E891" s="62">
        <f>MAX(F790,F723)</f>
        <v>2.8</v>
      </c>
      <c r="F891" s="62">
        <f>MIN(G790,G723)</f>
        <v>3.9</v>
      </c>
      <c r="G891" s="62">
        <f>MAX(0,ROUND((F891-E891),4))</f>
        <v>1.1</v>
      </c>
      <c r="H891" s="9">
        <f>'有効抵抗土圧'!Y11</f>
        <v>1755.0</v>
      </c>
      <c r="I891" s="9">
        <f>'有効抵抗土圧'!Y12</f>
        <v>1755.0</v>
      </c>
      <c r="J891" s="63">
        <f>((E891-F723)/H723)</f>
        <v>0.0</v>
      </c>
      <c r="K891" s="63">
        <f>((F891-F723)/H723)</f>
        <v>0.37931034482758624</v>
      </c>
      <c r="L891" s="9">
        <f>(((H891+I891)/2)*G891)</f>
        <v>1930.5000000000002</v>
      </c>
    </row>
    <row r="892" spans="1:12" ht="23" customHeight="1">
      <c r="A892" s="6">
        <v>6</v>
      </c>
      <c r="B892" s="6">
        <v>3</v>
      </c>
      <c r="C892" s="6">
        <v>151</v>
      </c>
      <c r="D892" s="6">
        <v>3</v>
      </c>
      <c r="E892" s="62">
        <f>MAX(F791,F723)</f>
        <v>3.9</v>
      </c>
      <c r="F892" s="62">
        <f>MIN(G791,G723)</f>
        <v>5.2</v>
      </c>
      <c r="G892" s="62">
        <f>MAX(0,ROUND((F892-E892),4))</f>
        <v>1.3</v>
      </c>
      <c r="H892" s="9">
        <f>'有効抵抗土圧'!Y13</f>
        <v>1755.0</v>
      </c>
      <c r="I892" s="9">
        <f>'有効抵抗土圧'!Y14</f>
        <v>1755.0</v>
      </c>
      <c r="J892" s="63">
        <f>((E892-F723)/H723)</f>
        <v>0.37931034482758624</v>
      </c>
      <c r="K892" s="63">
        <f>((F892-F723)/H723)</f>
        <v>0.8275862068965518</v>
      </c>
      <c r="L892" s="9">
        <f>(((H892+I892)/2)*G892)</f>
        <v>2281.5</v>
      </c>
    </row>
    <row r="893" spans="1:12" ht="23" customHeight="1">
      <c r="A893" s="6">
        <v>6</v>
      </c>
      <c r="B893" s="6">
        <v>3</v>
      </c>
      <c r="C893" s="6">
        <v>152</v>
      </c>
      <c r="D893" s="6">
        <v>3</v>
      </c>
      <c r="E893" s="62">
        <f>MAX(F792,F723)</f>
        <v>5.2</v>
      </c>
      <c r="F893" s="62">
        <f>MIN(G792,G723)</f>
        <v>5.7</v>
      </c>
      <c r="G893" s="62">
        <f>MAX(0,ROUND((F893-E893),4))</f>
        <v>0.5</v>
      </c>
      <c r="H893" s="9">
        <f>'有効抵抗土圧'!Y15</f>
        <v>1755.0</v>
      </c>
      <c r="I893" s="9">
        <f>'有効抵抗土圧'!Y16</f>
        <v>1755.0</v>
      </c>
      <c r="J893" s="63">
        <f>((E893-F723)/H723)</f>
        <v>0.8275862068965518</v>
      </c>
      <c r="K893" s="63">
        <f>((F893-F723)/H723)</f>
        <v>1.0000000000000002</v>
      </c>
      <c r="L893" s="9">
        <f>(((H893+I893)/2)*G893)</f>
        <v>877.5</v>
      </c>
    </row>
    <row r="894" spans="1:12" ht="23" customHeight="1">
      <c r="A894" s="6">
        <v>6</v>
      </c>
      <c r="B894" s="6">
        <v>3</v>
      </c>
      <c r="C894" s="6">
        <v>152</v>
      </c>
      <c r="D894" s="6">
        <v>4</v>
      </c>
      <c r="E894" s="62">
        <f>MAX(F792,F724)</f>
        <v>5.7</v>
      </c>
      <c r="F894" s="62">
        <f>MIN(G792,G724)</f>
        <v>6.5</v>
      </c>
      <c r="G894" s="62">
        <f>MAX(0,ROUND((F894-E894),4))</f>
        <v>0.8</v>
      </c>
      <c r="H894" s="9">
        <f>'有効抵抗土圧'!Y17</f>
        <v>5872.6</v>
      </c>
      <c r="I894" s="9">
        <f>'有効抵抗土圧'!Y18</f>
        <v>6181.83076923077</v>
      </c>
      <c r="J894" s="63">
        <f>((E894-F724)/H724)</f>
        <v>0.0</v>
      </c>
      <c r="K894" s="63">
        <f>((F894-F724)/H724)</f>
        <v>0.3076923076923076</v>
      </c>
      <c r="L894" s="9">
        <f>(((H894+I894)/2)*G894)</f>
        <v>4821.7723076923085</v>
      </c>
    </row>
    <row r="895" spans="1:12" ht="23" customHeight="1">
      <c r="A895" s="6">
        <v>6</v>
      </c>
      <c r="B895" s="6">
        <v>3</v>
      </c>
      <c r="C895" s="6">
        <v>153</v>
      </c>
      <c r="D895" s="6">
        <v>4</v>
      </c>
      <c r="E895" s="62">
        <f>MAX(F793,F724)</f>
        <v>6.5</v>
      </c>
      <c r="F895" s="62">
        <f>MIN(G793,G724)</f>
        <v>7.8</v>
      </c>
      <c r="G895" s="62">
        <f>MAX(0,ROUND((F895-E895),4))</f>
        <v>1.3</v>
      </c>
      <c r="H895" s="9">
        <f>'有効抵抗土圧'!Y19</f>
        <v>6181.83076923077</v>
      </c>
      <c r="I895" s="9">
        <f>'有効抵抗土圧'!Y20</f>
        <v>6684.33076923077</v>
      </c>
      <c r="J895" s="63">
        <f>((E895-F724)/H724)</f>
        <v>0.3076923076923076</v>
      </c>
      <c r="K895" s="63">
        <f>((F895-F724)/H724)</f>
        <v>0.8076923076923075</v>
      </c>
      <c r="L895" s="9">
        <f>(((H895+I895)/2)*G895)</f>
        <v>8363.005000000001</v>
      </c>
    </row>
    <row r="896" spans="1:12" ht="23" customHeight="1">
      <c r="A896" s="6">
        <v>6</v>
      </c>
      <c r="B896" s="6">
        <v>3</v>
      </c>
      <c r="C896" s="6">
        <v>154</v>
      </c>
      <c r="D896" s="6">
        <v>4</v>
      </c>
      <c r="E896" s="62">
        <f>MAX(F794,F724)</f>
        <v>7.8</v>
      </c>
      <c r="F896" s="62">
        <f>MIN(G794,G724)</f>
        <v>8.3</v>
      </c>
      <c r="G896" s="62">
        <f>MAX(0,ROUND((F896-E896),4))</f>
        <v>0.5</v>
      </c>
      <c r="H896" s="9">
        <f>'有効抵抗土圧'!Y21</f>
        <v>6684.33076923077</v>
      </c>
      <c r="I896" s="9">
        <f>'有効抵抗土圧'!Y22</f>
        <v>6877.6</v>
      </c>
      <c r="J896" s="63">
        <f>((E896-F724)/H724)</f>
        <v>0.8076923076923075</v>
      </c>
      <c r="K896" s="63">
        <f>((F896-F724)/H724)</f>
        <v>1.0000000000000002</v>
      </c>
      <c r="L896" s="9">
        <f>(((H896+I896)/2)*G896)</f>
        <v>3390.4826923076926</v>
      </c>
    </row>
    <row r="897" spans="1:12" ht="23" customHeight="1">
      <c r="A897" s="6">
        <v>6</v>
      </c>
      <c r="B897" s="6">
        <v>3</v>
      </c>
      <c r="C897" s="6">
        <v>154</v>
      </c>
      <c r="D897" s="6">
        <v>5</v>
      </c>
      <c r="E897" s="62">
        <f>MAX(F794,F725)</f>
        <v>8.3</v>
      </c>
      <c r="F897" s="62">
        <f>MIN(G794,G725)</f>
        <v>8.9</v>
      </c>
      <c r="G897" s="62">
        <f>MAX(0,ROUND((F897-E897),4))</f>
        <v>0.6</v>
      </c>
      <c r="H897" s="9">
        <f>'有効抵抗土圧'!Y23</f>
        <v>6809.4</v>
      </c>
      <c r="I897" s="9">
        <f>'有効抵抗土圧'!Y24</f>
        <v>6809.4</v>
      </c>
      <c r="J897" s="63">
        <f>((E897-F725)/H725)</f>
        <v>0.0</v>
      </c>
      <c r="K897" s="63">
        <f>((F897-F725)/H725)</f>
        <v>0.9999999999999994</v>
      </c>
      <c r="L897" s="9">
        <f>(((H897+I897)/2)*G897)</f>
        <v>4085.6399999999994</v>
      </c>
    </row>
    <row r="898" spans="1:12" ht="23" customHeight="1">
      <c r="A898" s="6">
        <v>6</v>
      </c>
      <c r="B898" s="6">
        <v>3</v>
      </c>
      <c r="C898" s="6">
        <v>154</v>
      </c>
      <c r="D898" s="6">
        <v>6</v>
      </c>
      <c r="E898" s="62">
        <f>MAX(F794,F726)</f>
        <v>8.9</v>
      </c>
      <c r="F898" s="62">
        <f>MIN(G794,G726)</f>
        <v>9.1</v>
      </c>
      <c r="G898" s="62">
        <f>MAX(0,ROUND((F898-E898),4))</f>
        <v>0.2</v>
      </c>
      <c r="H898" s="9">
        <f>'有効抵抗土圧'!Y25</f>
        <v>7371.2</v>
      </c>
      <c r="I898" s="9">
        <f>'有効抵抗土圧'!Y26</f>
        <v>7451.936842105262</v>
      </c>
      <c r="J898" s="63">
        <f>((E898-F726)/H726)</f>
        <v>0.0</v>
      </c>
      <c r="K898" s="63">
        <f>((F898-F726)/H726)</f>
        <v>0.021052631578947295</v>
      </c>
      <c r="L898" s="9">
        <f>(((H898+I898)/2)*G898)</f>
        <v>1482.3136842105262</v>
      </c>
    </row>
    <row r="899" spans="1:12" ht="23" customHeight="1">
      <c r="A899" s="6">
        <v>6</v>
      </c>
      <c r="B899" s="6">
        <v>3</v>
      </c>
      <c r="C899" s="6">
        <v>155</v>
      </c>
      <c r="D899" s="6">
        <v>6</v>
      </c>
      <c r="E899" s="62">
        <f>MAX(F795,F726)</f>
        <v>9.1</v>
      </c>
      <c r="F899" s="62">
        <f>MIN(G795,G726)</f>
        <v>10.4</v>
      </c>
      <c r="G899" s="62">
        <f>MAX(0,ROUND((F899-E899),4))</f>
        <v>1.3</v>
      </c>
      <c r="H899" s="9">
        <f>'有効抵抗土圧'!Y27</f>
        <v>7451.936842105262</v>
      </c>
      <c r="I899" s="9">
        <f>'有効抵抗土圧'!Y28</f>
        <v>7976.726315789474</v>
      </c>
      <c r="J899" s="63">
        <f>((E899-F726)/H726)</f>
        <v>0.021052631578947295</v>
      </c>
      <c r="K899" s="63">
        <f>((F899-F726)/H726)</f>
        <v>0.15789473684210525</v>
      </c>
      <c r="L899" s="9">
        <f>(((H899+I899)/2)*G899)</f>
        <v>10028.63105263158</v>
      </c>
    </row>
    <row r="900" spans="1:12" ht="23" customHeight="1">
      <c r="A900" s="6">
        <v>6</v>
      </c>
      <c r="B900" s="6">
        <v>3</v>
      </c>
      <c r="C900" s="6">
        <v>156</v>
      </c>
      <c r="D900" s="6">
        <v>6</v>
      </c>
      <c r="E900" s="62">
        <f>MAX(F796,F726)</f>
        <v>10.4</v>
      </c>
      <c r="F900" s="62">
        <f>MIN(G796,G726)</f>
        <v>11.7</v>
      </c>
      <c r="G900" s="62">
        <f>MAX(0,ROUND((F900-E900),4))</f>
        <v>1.3</v>
      </c>
      <c r="H900" s="9">
        <f>'有効抵抗土圧'!Y29</f>
        <v>7976.726315789474</v>
      </c>
      <c r="I900" s="9">
        <f>'有効抵抗土圧'!Y30</f>
        <v>8501.515789473684</v>
      </c>
      <c r="J900" s="63">
        <f>((E900-F726)/H726)</f>
        <v>0.15789473684210525</v>
      </c>
      <c r="K900" s="63">
        <f>((F900-F726)/H726)</f>
        <v>0.294736842105263</v>
      </c>
      <c r="L900" s="9">
        <f>(((H900+I900)/2)*G900)</f>
        <v>10710.857368421053</v>
      </c>
    </row>
    <row r="901" spans="1:12" ht="23" customHeight="1">
      <c r="A901" s="6">
        <v>6</v>
      </c>
      <c r="B901" s="6">
        <v>3</v>
      </c>
      <c r="C901" s="6">
        <v>157</v>
      </c>
      <c r="D901" s="6">
        <v>6</v>
      </c>
      <c r="E901" s="62">
        <f>MAX(F797,F726)</f>
        <v>11.7</v>
      </c>
      <c r="F901" s="62">
        <f>MIN(G797,G726)</f>
        <v>13.0</v>
      </c>
      <c r="G901" s="62">
        <f>MAX(0,ROUND((F901-E901),4))</f>
        <v>1.3</v>
      </c>
      <c r="H901" s="9">
        <f>'有効抵抗土圧'!Y31</f>
        <v>8501.515789473684</v>
      </c>
      <c r="I901" s="9">
        <f>'有効抵抗土圧'!Y32</f>
        <v>9026.305263157894</v>
      </c>
      <c r="J901" s="63">
        <f>((E901-F726)/H726)</f>
        <v>0.294736842105263</v>
      </c>
      <c r="K901" s="63">
        <f>((F901-F726)/H726)</f>
        <v>0.431578947368421</v>
      </c>
      <c r="L901" s="9">
        <f>(((H901+I901)/2)*G901)</f>
        <v>11393.083684210525</v>
      </c>
    </row>
    <row r="902" spans="1:12" ht="23" customHeight="1">
      <c r="A902" s="6">
        <v>6</v>
      </c>
      <c r="B902" s="6">
        <v>3</v>
      </c>
      <c r="C902" s="6">
        <v>158</v>
      </c>
      <c r="D902" s="6">
        <v>6</v>
      </c>
      <c r="E902" s="62">
        <f>MAX(F798,F726)</f>
        <v>13.0</v>
      </c>
      <c r="F902" s="62">
        <f>MIN(G798,G726)</f>
        <v>14.3</v>
      </c>
      <c r="G902" s="62">
        <f>MAX(0,ROUND((F902-E902),4))</f>
        <v>1.3</v>
      </c>
      <c r="H902" s="9">
        <f>'有効抵抗土圧'!Y33</f>
        <v>9026.305263157894</v>
      </c>
      <c r="I902" s="9">
        <f>'有効抵抗土圧'!Y34</f>
        <v>9551.094736842106</v>
      </c>
      <c r="J902" s="63">
        <f>((E902-F726)/H726)</f>
        <v>0.431578947368421</v>
      </c>
      <c r="K902" s="63">
        <f>((F902-F726)/H726)</f>
        <v>0.5684210526315789</v>
      </c>
      <c r="L902" s="9">
        <f>(((H902+I902)/2)*G902)</f>
        <v>12075.310000000001</v>
      </c>
    </row>
    <row r="903" spans="1:12" ht="23" customHeight="1">
      <c r="A903" s="6">
        <v>6</v>
      </c>
      <c r="B903" s="6">
        <v>3</v>
      </c>
      <c r="C903" s="6">
        <v>159</v>
      </c>
      <c r="D903" s="6">
        <v>6</v>
      </c>
      <c r="E903" s="62">
        <f>MAX(F799,F726)</f>
        <v>14.3</v>
      </c>
      <c r="F903" s="62">
        <f>MIN(G799,G726)</f>
        <v>15.6</v>
      </c>
      <c r="G903" s="62">
        <f>MAX(0,ROUND((F903-E903),4))</f>
        <v>1.3</v>
      </c>
      <c r="H903" s="9">
        <f>'有効抵抗土圧'!Y35</f>
        <v>9551.094736842106</v>
      </c>
      <c r="I903" s="9">
        <f>'有効抵抗土圧'!Y36</f>
        <v>10075.884210526316</v>
      </c>
      <c r="J903" s="63">
        <f>((E903-F726)/H726)</f>
        <v>0.5684210526315789</v>
      </c>
      <c r="K903" s="63">
        <f>((F903-F726)/H726)</f>
        <v>0.7052631578947368</v>
      </c>
      <c r="L903" s="9">
        <f>(((H903+I903)/2)*G903)</f>
        <v>12757.536315789474</v>
      </c>
    </row>
    <row r="904" spans="1:12" ht="23" customHeight="1">
      <c r="A904" s="6">
        <v>6</v>
      </c>
      <c r="B904" s="6">
        <v>3</v>
      </c>
      <c r="C904" s="6">
        <v>160</v>
      </c>
      <c r="D904" s="6">
        <v>6</v>
      </c>
      <c r="E904" s="62">
        <f>MAX(F800,F726)</f>
        <v>15.6</v>
      </c>
      <c r="F904" s="62">
        <f>MIN(G800,G726)</f>
        <v>16.9</v>
      </c>
      <c r="G904" s="62">
        <f>MAX(0,ROUND((F904-E904),4))</f>
        <v>1.3</v>
      </c>
      <c r="H904" s="9">
        <f>'有効抵抗土圧'!Y37</f>
        <v>10075.884210526316</v>
      </c>
      <c r="I904" s="9">
        <f>'有効抵抗土圧'!Y38</f>
        <v>10600.673684210526</v>
      </c>
      <c r="J904" s="63">
        <f>((E904-F726)/H726)</f>
        <v>0.7052631578947368</v>
      </c>
      <c r="K904" s="63">
        <f>((F904-F726)/H726)</f>
        <v>0.8421052631578946</v>
      </c>
      <c r="L904" s="9">
        <f>(((H904+I904)/2)*G904)</f>
        <v>13439.762631578948</v>
      </c>
    </row>
    <row r="905" spans="1:12" ht="24" customHeight="1">
      <c r="A905" s="3" t="s">
        <v>728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spans="1:12" ht="36" customHeight="1">
      <c r="A906" s="4" t="s">
        <v>8</v>
      </c>
      <c r="B906" s="4" t="s">
        <v>722</v>
      </c>
      <c r="C906" s="4" t="s">
        <v>10</v>
      </c>
      <c r="D906" s="4" t="s">
        <v>562</v>
      </c>
      <c r="E906" s="4" t="s">
        <v>729</v>
      </c>
      <c r="F906" s="4" t="s">
        <v>730</v>
      </c>
      <c r="G906" s="4" t="s">
        <v>731</v>
      </c>
      <c r="H906" s="4" t="s">
        <v>732</v>
      </c>
      <c r="I906" s="4" t="s">
        <v>733</v>
      </c>
      <c r="J906" s="4" t="s">
        <v>734</v>
      </c>
      <c r="K906" s="4" t="s">
        <v>735</v>
      </c>
      <c r="L906" s="4" t="s">
        <v>736</v>
      </c>
    </row>
    <row r="907" spans="1:12" ht="23" customHeight="1">
      <c r="A907" s="6">
        <v>6</v>
      </c>
      <c r="B907" s="6">
        <v>3</v>
      </c>
      <c r="C907" s="6">
        <v>161</v>
      </c>
      <c r="D907" s="6">
        <v>6</v>
      </c>
      <c r="E907" s="62">
        <f>MAX(F801,F726)</f>
        <v>16.9</v>
      </c>
      <c r="F907" s="62">
        <f>MIN(G801,G726)</f>
        <v>18.2</v>
      </c>
      <c r="G907" s="62">
        <f>MAX(0,ROUND((F907-E907),4))</f>
        <v>1.3</v>
      </c>
      <c r="H907" s="9">
        <f>'有効抵抗土圧'!Y39</f>
        <v>10600.673684210526</v>
      </c>
      <c r="I907" s="9">
        <f>'有効抵抗土圧'!Y40</f>
        <v>11125.463157894737</v>
      </c>
      <c r="J907" s="63">
        <f>((E907-F726)/H726)</f>
        <v>0.8421052631578946</v>
      </c>
      <c r="K907" s="63">
        <f>((F907-F726)/H726)</f>
        <v>0.9789473684210526</v>
      </c>
      <c r="L907" s="9">
        <f>(((H907+I907)/2)*G907)</f>
        <v>14121.98894736842</v>
      </c>
    </row>
    <row r="908" spans="1:12" ht="23" customHeight="1">
      <c r="A908" s="6">
        <v>6</v>
      </c>
      <c r="B908" s="6">
        <v>3</v>
      </c>
      <c r="C908" s="6">
        <v>162</v>
      </c>
      <c r="D908" s="6">
        <v>6</v>
      </c>
      <c r="E908" s="62">
        <f>MAX(F802,F726)</f>
        <v>18.2</v>
      </c>
      <c r="F908" s="62">
        <f>MIN(G802,G726)</f>
        <v>18.4</v>
      </c>
      <c r="G908" s="62">
        <f>MAX(0,ROUND((F908-E908),4))</f>
        <v>0.2</v>
      </c>
      <c r="H908" s="9">
        <f>'有効抵抗土圧'!Y41</f>
        <v>11125.463157894737</v>
      </c>
      <c r="I908" s="9">
        <f>'有効抵抗土圧'!Y42</f>
        <v>11206.2</v>
      </c>
      <c r="J908" s="63">
        <f>((E908-F726)/H726)</f>
        <v>0.9789473684210526</v>
      </c>
      <c r="K908" s="63">
        <f>((F908-F726)/H726)</f>
        <v>0.9999999999999998</v>
      </c>
      <c r="L908" s="9">
        <f>(((H908+I908)/2)*G908)</f>
        <v>2233.166315789474</v>
      </c>
    </row>
    <row r="909" spans="1:12" ht="23" customHeight="1">
      <c r="A909" s="6">
        <v>6</v>
      </c>
      <c r="B909" s="6">
        <v>3</v>
      </c>
      <c r="C909" s="6">
        <v>162</v>
      </c>
      <c r="D909" s="6">
        <v>7</v>
      </c>
      <c r="E909" s="62">
        <f>MAX(F802,F727)</f>
        <v>18.4</v>
      </c>
      <c r="F909" s="62">
        <f>MIN(G802,G727)</f>
        <v>19.5</v>
      </c>
      <c r="G909" s="62">
        <f>MAX(0,ROUND((F909-E909),4))</f>
        <v>1.1</v>
      </c>
      <c r="H909" s="9">
        <f>'有効抵抗土圧'!Y43</f>
        <v>3088.8</v>
      </c>
      <c r="I909" s="9">
        <f>'有効抵抗土圧'!Y44</f>
        <v>3088.8</v>
      </c>
      <c r="J909" s="63">
        <f>((E909-F727)/H727)</f>
        <v>0.0</v>
      </c>
      <c r="K909" s="63">
        <f>((F909-F727)/H727)</f>
        <v>0.08730158730158742</v>
      </c>
      <c r="L909" s="9">
        <f>(((H909+I909)/2)*G909)</f>
        <v>3397.6800000000003</v>
      </c>
    </row>
    <row r="910" spans="1:12" ht="23" customHeight="1">
      <c r="A910" s="6">
        <v>6</v>
      </c>
      <c r="B910" s="6">
        <v>3</v>
      </c>
      <c r="C910" s="6">
        <v>163</v>
      </c>
      <c r="D910" s="6">
        <v>7</v>
      </c>
      <c r="E910" s="62">
        <f>MAX(F803,F727)</f>
        <v>19.5</v>
      </c>
      <c r="F910" s="62">
        <f>MIN(G803,G727)</f>
        <v>20.8</v>
      </c>
      <c r="G910" s="62">
        <f>MAX(0,ROUND((F910-E910),4))</f>
        <v>1.3</v>
      </c>
      <c r="H910" s="9">
        <f>'有効抵抗土圧'!Y45</f>
        <v>3088.8</v>
      </c>
      <c r="I910" s="9">
        <f>'有効抵抗土圧'!Y46</f>
        <v>3088.8</v>
      </c>
      <c r="J910" s="63">
        <f>((E910-F727)/H727)</f>
        <v>0.08730158730158742</v>
      </c>
      <c r="K910" s="63">
        <f>((F910-F727)/H727)</f>
        <v>0.19047619047619066</v>
      </c>
      <c r="L910" s="9">
        <f>(((H910+I910)/2)*G910)</f>
        <v>4015.4400000000005</v>
      </c>
    </row>
    <row r="911" spans="1:12" ht="23" customHeight="1">
      <c r="A911" s="6">
        <v>6</v>
      </c>
      <c r="B911" s="6">
        <v>3</v>
      </c>
      <c r="C911" s="6">
        <v>164</v>
      </c>
      <c r="D911" s="6">
        <v>7</v>
      </c>
      <c r="E911" s="62">
        <f>MAX(F806,F727)</f>
        <v>20.8</v>
      </c>
      <c r="F911" s="62">
        <f>MIN(G806,G727)</f>
        <v>22.1</v>
      </c>
      <c r="G911" s="62">
        <f>MAX(0,ROUND((F911-E911),4))</f>
        <v>1.3</v>
      </c>
      <c r="H911" s="9">
        <f>'有効抵抗土圧'!Y47</f>
        <v>3088.8</v>
      </c>
      <c r="I911" s="9">
        <f>'有効抵抗土圧'!Y48</f>
        <v>3088.8</v>
      </c>
      <c r="J911" s="63">
        <f>((E911-F727)/H727)</f>
        <v>0.19047619047619066</v>
      </c>
      <c r="K911" s="63">
        <f>((F911-F727)/H727)</f>
        <v>0.2936507936507939</v>
      </c>
      <c r="L911" s="9">
        <f>(((H911+I911)/2)*G911)</f>
        <v>4015.4400000000005</v>
      </c>
    </row>
    <row r="912" spans="1:12" ht="23" customHeight="1">
      <c r="A912" s="6">
        <v>6</v>
      </c>
      <c r="B912" s="6">
        <v>3</v>
      </c>
      <c r="C912" s="6">
        <v>165</v>
      </c>
      <c r="D912" s="6">
        <v>7</v>
      </c>
      <c r="E912" s="62">
        <f>MAX(F807,F727)</f>
        <v>22.1</v>
      </c>
      <c r="F912" s="62">
        <f>MIN(G807,G727)</f>
        <v>23.4</v>
      </c>
      <c r="G912" s="62">
        <f>MAX(0,ROUND((F912-E912),4))</f>
        <v>1.3</v>
      </c>
      <c r="H912" s="9">
        <f>'有効抵抗土圧'!Y49</f>
        <v>3088.8</v>
      </c>
      <c r="I912" s="9">
        <f>'有効抵抗土圧'!Y50</f>
        <v>3088.8</v>
      </c>
      <c r="J912" s="63">
        <f>((E912-F727)/H727)</f>
        <v>0.2936507936507939</v>
      </c>
      <c r="K912" s="63">
        <f>((F912-F727)/H727)</f>
        <v>0.39682539682539686</v>
      </c>
      <c r="L912" s="9">
        <f>(((H912+I912)/2)*G912)</f>
        <v>4015.4400000000005</v>
      </c>
    </row>
    <row r="913" spans="1:12" ht="23" customHeight="1">
      <c r="A913" s="6">
        <v>6</v>
      </c>
      <c r="B913" s="6">
        <v>3</v>
      </c>
      <c r="C913" s="6">
        <v>166</v>
      </c>
      <c r="D913" s="6">
        <v>7</v>
      </c>
      <c r="E913" s="62">
        <f>MAX(F808,F727)</f>
        <v>23.4</v>
      </c>
      <c r="F913" s="62">
        <f>MIN(G808,G727)</f>
        <v>24.7</v>
      </c>
      <c r="G913" s="62">
        <f>MAX(0,ROUND((F913-E913),4))</f>
        <v>1.3</v>
      </c>
      <c r="H913" s="9">
        <f>'有効抵抗土圧'!Y51</f>
        <v>3088.8</v>
      </c>
      <c r="I913" s="9">
        <f>'有効抵抗土圧'!Y52</f>
        <v>3088.8</v>
      </c>
      <c r="J913" s="63">
        <f>((E913-F727)/H727)</f>
        <v>0.39682539682539686</v>
      </c>
      <c r="K913" s="63">
        <f>((F913-F727)/H727)</f>
        <v>0.5000000000000001</v>
      </c>
      <c r="L913" s="9">
        <f>(((H913+I913)/2)*G913)</f>
        <v>4015.4400000000005</v>
      </c>
    </row>
    <row r="914" spans="1:12" ht="23" customHeight="1">
      <c r="A914" s="6">
        <v>6</v>
      </c>
      <c r="B914" s="6">
        <v>3</v>
      </c>
      <c r="C914" s="6">
        <v>167</v>
      </c>
      <c r="D914" s="6">
        <v>7</v>
      </c>
      <c r="E914" s="62">
        <f>MAX(F809,F727)</f>
        <v>24.7</v>
      </c>
      <c r="F914" s="62">
        <f>MIN(G809,G727)</f>
        <v>26.0</v>
      </c>
      <c r="G914" s="62">
        <f>MAX(0,ROUND((F914-E914),4))</f>
        <v>1.3</v>
      </c>
      <c r="H914" s="9">
        <f>'有効抵抗土圧'!Y53</f>
        <v>3088.8</v>
      </c>
      <c r="I914" s="9">
        <f>'有効抵抗土圧'!Y54</f>
        <v>3088.8</v>
      </c>
      <c r="J914" s="63">
        <f>((E914-F727)/H727)</f>
        <v>0.5000000000000001</v>
      </c>
      <c r="K914" s="63">
        <f>((F914-F727)/H727)</f>
        <v>0.6031746031746033</v>
      </c>
      <c r="L914" s="9">
        <f>(((H914+I914)/2)*G914)</f>
        <v>4015.4400000000005</v>
      </c>
    </row>
    <row r="915" spans="1:12" ht="23" customHeight="1">
      <c r="A915" s="6">
        <v>6</v>
      </c>
      <c r="B915" s="6">
        <v>3</v>
      </c>
      <c r="C915" s="6">
        <v>168</v>
      </c>
      <c r="D915" s="6">
        <v>7</v>
      </c>
      <c r="E915" s="62">
        <f>MAX(F810,F727)</f>
        <v>26.0</v>
      </c>
      <c r="F915" s="62">
        <f>MIN(G810,G727)</f>
        <v>27.3</v>
      </c>
      <c r="G915" s="62">
        <f>MAX(0,ROUND((F915-E915),4))</f>
        <v>1.3</v>
      </c>
      <c r="H915" s="9">
        <f>'有効抵抗土圧'!Y55</f>
        <v>3088.8</v>
      </c>
      <c r="I915" s="9">
        <f>'有効抵抗土圧'!Y56</f>
        <v>3088.8</v>
      </c>
      <c r="J915" s="63">
        <f>((E915-F727)/H727)</f>
        <v>0.6031746031746033</v>
      </c>
      <c r="K915" s="63">
        <f>((F915-F727)/H727)</f>
        <v>0.7063492063492065</v>
      </c>
      <c r="L915" s="9">
        <f>(((H915+I915)/2)*G915)</f>
        <v>4015.4400000000005</v>
      </c>
    </row>
    <row r="916" spans="1:12" ht="23" customHeight="1">
      <c r="A916" s="6">
        <v>6</v>
      </c>
      <c r="B916" s="6">
        <v>3</v>
      </c>
      <c r="C916" s="6">
        <v>169</v>
      </c>
      <c r="D916" s="6">
        <v>7</v>
      </c>
      <c r="E916" s="62">
        <f>MAX(F811,F727)</f>
        <v>27.3</v>
      </c>
      <c r="F916" s="62">
        <f>MIN(G811,G727)</f>
        <v>28.6</v>
      </c>
      <c r="G916" s="62">
        <f>MAX(0,ROUND((F916-E916),4))</f>
        <v>1.3</v>
      </c>
      <c r="H916" s="9">
        <f>'有効抵抗土圧'!Y57</f>
        <v>3088.8</v>
      </c>
      <c r="I916" s="9">
        <f>'有効抵抗土圧'!Y58</f>
        <v>3088.8</v>
      </c>
      <c r="J916" s="63">
        <f>((E916-F727)/H727)</f>
        <v>0.7063492063492065</v>
      </c>
      <c r="K916" s="63">
        <f>((F916-F727)/H727)</f>
        <v>0.8095238095238098</v>
      </c>
      <c r="L916" s="9">
        <f>(((H916+I916)/2)*G916)</f>
        <v>4015.4400000000005</v>
      </c>
    </row>
    <row r="917" spans="1:12" ht="23" customHeight="1">
      <c r="A917" s="6">
        <v>6</v>
      </c>
      <c r="B917" s="6">
        <v>3</v>
      </c>
      <c r="C917" s="6">
        <v>170</v>
      </c>
      <c r="D917" s="6">
        <v>7</v>
      </c>
      <c r="E917" s="62">
        <f>MAX(F812,F727)</f>
        <v>28.6</v>
      </c>
      <c r="F917" s="62">
        <f>MIN(G812,G727)</f>
        <v>29.9</v>
      </c>
      <c r="G917" s="62">
        <f>MAX(0,ROUND((F917-E917),4))</f>
        <v>1.3</v>
      </c>
      <c r="H917" s="9">
        <f>'有効抵抗土圧'!Y59</f>
        <v>3088.8</v>
      </c>
      <c r="I917" s="9">
        <f>'有効抵抗土圧'!Y60</f>
        <v>3088.8</v>
      </c>
      <c r="J917" s="63">
        <f>((E917-F727)/H727)</f>
        <v>0.8095238095238098</v>
      </c>
      <c r="K917" s="63">
        <f>((F917-F727)/H727)</f>
        <v>0.9126984126984127</v>
      </c>
      <c r="L917" s="9">
        <f>(((H917+I917)/2)*G917)</f>
        <v>4015.4400000000005</v>
      </c>
    </row>
    <row r="918" spans="1:12" ht="23" customHeight="1">
      <c r="A918" s="6">
        <v>6</v>
      </c>
      <c r="B918" s="6">
        <v>3</v>
      </c>
      <c r="C918" s="6">
        <v>171</v>
      </c>
      <c r="D918" s="6">
        <v>7</v>
      </c>
      <c r="E918" s="62">
        <f>MAX(F813,F727)</f>
        <v>29.9</v>
      </c>
      <c r="F918" s="62">
        <f>MIN(G813,G727)</f>
        <v>31.0</v>
      </c>
      <c r="G918" s="62">
        <f>MAX(0,ROUND((F918-E918),4))</f>
        <v>1.1</v>
      </c>
      <c r="H918" s="9">
        <f>'有効抵抗土圧'!Y61</f>
        <v>3088.8</v>
      </c>
      <c r="I918" s="9">
        <f>'有効抵抗土圧'!Y62</f>
        <v>3088.8</v>
      </c>
      <c r="J918" s="63">
        <f>((E918-F727)/H727)</f>
        <v>0.9126984126984127</v>
      </c>
      <c r="K918" s="63">
        <f>((F918-F727)/H727)</f>
        <v>1.0000000000000002</v>
      </c>
      <c r="L918" s="9">
        <f>(((H918+I918)/2)*G918)</f>
        <v>3397.6800000000003</v>
      </c>
    </row>
    <row r="919" spans="1:12" ht="23" customHeight="1"/>
    <row r="920" spans="1:12" ht="24" customHeight="1">
      <c r="A920" s="3" t="s">
        <v>737</v>
      </c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spans="1:12" ht="46" customHeight="1">
      <c r="A921" s="4" t="s">
        <v>8</v>
      </c>
      <c r="B921" s="4" t="s">
        <v>722</v>
      </c>
      <c r="C921" s="4" t="s">
        <v>723</v>
      </c>
      <c r="D921" s="4" t="s">
        <v>738</v>
      </c>
      <c r="E921" s="4" t="s">
        <v>739</v>
      </c>
      <c r="F921" s="4" t="s">
        <v>569</v>
      </c>
      <c r="G921" s="4" t="s">
        <v>740</v>
      </c>
      <c r="H921" s="4" t="s">
        <v>741</v>
      </c>
      <c r="I921" s="4" t="s">
        <v>742</v>
      </c>
      <c r="J921" s="4" t="s">
        <v>743</v>
      </c>
      <c r="K921" s="4" t="s">
        <v>744</v>
      </c>
    </row>
    <row r="922" spans="1:12" ht="23" customHeight="1">
      <c r="A922" s="6">
        <v>4</v>
      </c>
      <c r="B922" s="6">
        <v>1</v>
      </c>
      <c r="C922" s="6">
        <v>3</v>
      </c>
      <c r="D922" s="5" t="s">
        <v>573</v>
      </c>
      <c r="E922" s="9" t="s">
        <v>745</v>
      </c>
      <c r="F922" s="9" t="s">
        <v>746</v>
      </c>
      <c r="G922" s="9">
        <f>'有効抵抗土圧'!I3</f>
        <v>1162.9</v>
      </c>
      <c r="H922" s="64">
        <f>ROUND(G922,1)</f>
        <v>1162.9</v>
      </c>
      <c r="I922" s="65">
        <v>1162.9</v>
      </c>
      <c r="J922" s="9">
        <f>(H922-I922)</f>
        <v>0.0</v>
      </c>
      <c r="K922" s="9" t="s">
        <v>275</v>
      </c>
    </row>
    <row r="923" spans="1:12" ht="23" customHeight="1">
      <c r="A923" s="6">
        <v>4</v>
      </c>
      <c r="B923" s="6">
        <v>1</v>
      </c>
      <c r="C923" s="6">
        <v>3</v>
      </c>
      <c r="D923" s="5" t="s">
        <v>573</v>
      </c>
      <c r="E923" s="9" t="s">
        <v>747</v>
      </c>
      <c r="F923" s="9" t="s">
        <v>746</v>
      </c>
      <c r="G923" s="9">
        <f>'有効抵抗土圧'!I4</f>
        <v>1307.46</v>
      </c>
      <c r="H923" s="64">
        <f>ROUND(G923,1)</f>
        <v>1307.5</v>
      </c>
      <c r="I923" s="65">
        <v>1307.5</v>
      </c>
      <c r="J923" s="9">
        <f>(H923-I923)</f>
        <v>0.0</v>
      </c>
      <c r="K923" s="9" t="s">
        <v>748</v>
      </c>
    </row>
    <row r="924" spans="1:12" ht="60" customHeight="1">
      <c r="A924" s="6">
        <v>4</v>
      </c>
      <c r="B924" s="6">
        <v>1</v>
      </c>
      <c r="C924" s="6">
        <v>3</v>
      </c>
      <c r="D924" s="5" t="s">
        <v>575</v>
      </c>
      <c r="E924" s="9" t="s">
        <v>745</v>
      </c>
      <c r="F924" s="9" t="s">
        <v>749</v>
      </c>
      <c r="G924" s="9">
        <f>'有効抵抗土圧'!I5</f>
        <v>1988.9883431952662</v>
      </c>
      <c r="H924" s="64">
        <f>ROUND(G924,1)</f>
        <v>1989.0</v>
      </c>
      <c r="I924" s="65">
        <v>1989</v>
      </c>
      <c r="J924" s="9">
        <f>(H924-I924)</f>
        <v>0.0</v>
      </c>
      <c r="K924" s="9" t="s">
        <v>750</v>
      </c>
    </row>
    <row r="925" spans="1:12" ht="60" customHeight="1">
      <c r="A925" s="6">
        <v>4</v>
      </c>
      <c r="B925" s="6">
        <v>1</v>
      </c>
      <c r="C925" s="6">
        <v>3</v>
      </c>
      <c r="D925" s="5" t="s">
        <v>575</v>
      </c>
      <c r="E925" s="9" t="s">
        <v>747</v>
      </c>
      <c r="F925" s="9" t="s">
        <v>749</v>
      </c>
      <c r="G925" s="9">
        <f>'有効抵抗土圧'!I8</f>
        <v>1988.9883431952662</v>
      </c>
      <c r="H925" s="64">
        <f>ROUND(G925,1)</f>
        <v>1989.0</v>
      </c>
      <c r="I925" s="65">
        <v>1989</v>
      </c>
      <c r="J925" s="9">
        <f>(H925-I925)</f>
        <v>0.0</v>
      </c>
      <c r="K925" s="9" t="s">
        <v>750</v>
      </c>
    </row>
    <row r="926" spans="1:12" ht="60" customHeight="1">
      <c r="A926" s="6">
        <v>4</v>
      </c>
      <c r="B926" s="6">
        <v>1</v>
      </c>
      <c r="C926" s="6">
        <v>3</v>
      </c>
      <c r="D926" s="5" t="s">
        <v>577</v>
      </c>
      <c r="E926" s="9" t="s">
        <v>745</v>
      </c>
      <c r="F926" s="9" t="s">
        <v>749</v>
      </c>
      <c r="G926" s="9">
        <f>'有効抵抗土圧'!I9</f>
        <v>1826.6201183431954</v>
      </c>
      <c r="H926" s="64">
        <f>ROUND(G926,1)</f>
        <v>1826.6</v>
      </c>
      <c r="I926" s="65">
        <v>1826.6</v>
      </c>
      <c r="J926" s="9">
        <f>(H926-I926)</f>
        <v>0.0</v>
      </c>
      <c r="K926" s="9" t="s">
        <v>751</v>
      </c>
    </row>
    <row r="927" spans="1:12" ht="60" customHeight="1">
      <c r="A927" s="6">
        <v>4</v>
      </c>
      <c r="B927" s="6">
        <v>1</v>
      </c>
      <c r="C927" s="6">
        <v>3</v>
      </c>
      <c r="D927" s="5" t="s">
        <v>577</v>
      </c>
      <c r="E927" s="9" t="s">
        <v>747</v>
      </c>
      <c r="F927" s="9" t="s">
        <v>749</v>
      </c>
      <c r="G927" s="9">
        <f>'有効抵抗土圧'!I12</f>
        <v>1826.6201183431954</v>
      </c>
      <c r="H927" s="64">
        <f>ROUND(G927,1)</f>
        <v>1826.6</v>
      </c>
      <c r="I927" s="65">
        <v>1826.6</v>
      </c>
      <c r="J927" s="9">
        <f>(H927-I927)</f>
        <v>0.0</v>
      </c>
      <c r="K927" s="9" t="s">
        <v>751</v>
      </c>
    </row>
    <row r="928" spans="1:12" ht="23" customHeight="1">
      <c r="A928" s="6">
        <v>4</v>
      </c>
      <c r="B928" s="6">
        <v>1</v>
      </c>
      <c r="C928" s="6">
        <v>3</v>
      </c>
      <c r="D928" s="5" t="s">
        <v>578</v>
      </c>
      <c r="E928" s="9" t="s">
        <v>745</v>
      </c>
      <c r="F928" s="9" t="s">
        <v>746</v>
      </c>
      <c r="G928" s="9">
        <f>'有効抵抗土圧'!I13</f>
        <v>1755.0</v>
      </c>
      <c r="H928" s="64">
        <f>ROUND(G928,1)</f>
        <v>1755.0</v>
      </c>
      <c r="I928" s="65">
        <v>1755</v>
      </c>
      <c r="J928" s="9">
        <f>(H928-I928)</f>
        <v>0.0</v>
      </c>
      <c r="K928" s="9" t="s">
        <v>280</v>
      </c>
    </row>
    <row r="929" spans="1:12" ht="23" customHeight="1">
      <c r="A929" s="6">
        <v>4</v>
      </c>
      <c r="B929" s="6">
        <v>1</v>
      </c>
      <c r="C929" s="6">
        <v>3</v>
      </c>
      <c r="D929" s="5" t="s">
        <v>578</v>
      </c>
      <c r="E929" s="9" t="s">
        <v>747</v>
      </c>
      <c r="F929" s="9" t="s">
        <v>746</v>
      </c>
      <c r="G929" s="9">
        <f>'有効抵抗土圧'!I14</f>
        <v>1755.0</v>
      </c>
      <c r="H929" s="64">
        <f>ROUND(G929,1)</f>
        <v>1755.0</v>
      </c>
      <c r="I929" s="65">
        <v>1755</v>
      </c>
      <c r="J929" s="9">
        <f>(H929-I929)</f>
        <v>0.0</v>
      </c>
      <c r="K929" s="9" t="s">
        <v>280</v>
      </c>
    </row>
    <row r="930" spans="1:12" ht="24" customHeight="1">
      <c r="A930" s="3" t="s">
        <v>737</v>
      </c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spans="1:12" ht="46" customHeight="1">
      <c r="A931" s="4" t="s">
        <v>8</v>
      </c>
      <c r="B931" s="4" t="s">
        <v>722</v>
      </c>
      <c r="C931" s="4" t="s">
        <v>723</v>
      </c>
      <c r="D931" s="4" t="s">
        <v>738</v>
      </c>
      <c r="E931" s="4" t="s">
        <v>739</v>
      </c>
      <c r="F931" s="4" t="s">
        <v>569</v>
      </c>
      <c r="G931" s="4" t="s">
        <v>740</v>
      </c>
      <c r="H931" s="4" t="s">
        <v>741</v>
      </c>
      <c r="I931" s="4" t="s">
        <v>742</v>
      </c>
      <c r="J931" s="4" t="s">
        <v>743</v>
      </c>
      <c r="K931" s="4" t="s">
        <v>744</v>
      </c>
    </row>
    <row r="932" spans="1:12" ht="60" customHeight="1">
      <c r="A932" s="6">
        <v>4</v>
      </c>
      <c r="B932" s="6">
        <v>1</v>
      </c>
      <c r="C932" s="6">
        <v>3</v>
      </c>
      <c r="D932" s="5" t="s">
        <v>579</v>
      </c>
      <c r="E932" s="9" t="s">
        <v>745</v>
      </c>
      <c r="F932" s="9" t="s">
        <v>749</v>
      </c>
      <c r="G932" s="9">
        <f>'有効抵抗土圧'!I15</f>
        <v>2158.649704142012</v>
      </c>
      <c r="H932" s="64">
        <f>ROUND(G932,1)</f>
        <v>2158.6</v>
      </c>
      <c r="I932" s="65">
        <v>2158.6</v>
      </c>
      <c r="J932" s="9">
        <f>(H932-I932)</f>
        <v>0.0</v>
      </c>
      <c r="K932" s="9" t="s">
        <v>752</v>
      </c>
    </row>
    <row r="933" spans="1:12" ht="60" customHeight="1">
      <c r="A933" s="6">
        <v>4</v>
      </c>
      <c r="B933" s="6">
        <v>1</v>
      </c>
      <c r="C933" s="6">
        <v>3</v>
      </c>
      <c r="D933" s="5" t="s">
        <v>579</v>
      </c>
      <c r="E933" s="9" t="s">
        <v>747</v>
      </c>
      <c r="F933" s="9" t="s">
        <v>749</v>
      </c>
      <c r="G933" s="9">
        <f>'有効抵抗土圧'!I18</f>
        <v>2158.649704142012</v>
      </c>
      <c r="H933" s="64">
        <f>ROUND(G933,1)</f>
        <v>2158.6</v>
      </c>
      <c r="I933" s="65">
        <v>2158.6</v>
      </c>
      <c r="J933" s="9">
        <f>(H933-I933)</f>
        <v>0.0</v>
      </c>
      <c r="K933" s="9" t="s">
        <v>752</v>
      </c>
    </row>
    <row r="934" spans="1:12" ht="60" customHeight="1">
      <c r="A934" s="6">
        <v>4</v>
      </c>
      <c r="B934" s="6">
        <v>1</v>
      </c>
      <c r="C934" s="6">
        <v>3</v>
      </c>
      <c r="D934" s="5" t="s">
        <v>580</v>
      </c>
      <c r="E934" s="9" t="s">
        <v>745</v>
      </c>
      <c r="F934" s="9" t="s">
        <v>746</v>
      </c>
      <c r="G934" s="9">
        <f>'有効抵抗土圧'!I19</f>
        <v>2472.7615384615383</v>
      </c>
      <c r="H934" s="64">
        <f>ROUND(G934,1)</f>
        <v>2472.8</v>
      </c>
      <c r="I934" s="65">
        <v>2472.8</v>
      </c>
      <c r="J934" s="9">
        <f>(H934-I934)</f>
        <v>0.0</v>
      </c>
      <c r="K934" s="9" t="s">
        <v>753</v>
      </c>
    </row>
    <row r="935" spans="1:12" ht="60" customHeight="1">
      <c r="A935" s="6">
        <v>4</v>
      </c>
      <c r="B935" s="6">
        <v>1</v>
      </c>
      <c r="C935" s="6">
        <v>3</v>
      </c>
      <c r="D935" s="5" t="s">
        <v>580</v>
      </c>
      <c r="E935" s="9" t="s">
        <v>747</v>
      </c>
      <c r="F935" s="9" t="s">
        <v>746</v>
      </c>
      <c r="G935" s="9">
        <f>'有効抵抗土圧'!I20</f>
        <v>2673.711538461538</v>
      </c>
      <c r="H935" s="64">
        <f>ROUND(G935,1)</f>
        <v>2673.7</v>
      </c>
      <c r="I935" s="65">
        <v>2673.7</v>
      </c>
      <c r="J935" s="9">
        <f>(H935-I935)</f>
        <v>0.0</v>
      </c>
      <c r="K935" s="9" t="s">
        <v>754</v>
      </c>
    </row>
    <row r="936" spans="1:12" ht="60" customHeight="1">
      <c r="A936" s="6">
        <v>4</v>
      </c>
      <c r="B936" s="6">
        <v>1</v>
      </c>
      <c r="C936" s="6">
        <v>3</v>
      </c>
      <c r="D936" s="5" t="s">
        <v>581</v>
      </c>
      <c r="E936" s="9" t="s">
        <v>745</v>
      </c>
      <c r="F936" s="9" t="s">
        <v>749</v>
      </c>
      <c r="G936" s="9">
        <f>'有効抵抗土圧'!I21</f>
        <v>4642.113352538149</v>
      </c>
      <c r="H936" s="64">
        <f>ROUND(G936,1)</f>
        <v>4642.1</v>
      </c>
      <c r="I936" s="65">
        <v>4642.1</v>
      </c>
      <c r="J936" s="9">
        <f>(H936-I936)</f>
        <v>0.0</v>
      </c>
      <c r="K936" s="9" t="s">
        <v>755</v>
      </c>
    </row>
    <row r="937" spans="1:12" ht="24" customHeight="1">
      <c r="A937" s="3" t="s">
        <v>737</v>
      </c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spans="1:12" ht="46" customHeight="1">
      <c r="A938" s="4" t="s">
        <v>8</v>
      </c>
      <c r="B938" s="4" t="s">
        <v>722</v>
      </c>
      <c r="C938" s="4" t="s">
        <v>723</v>
      </c>
      <c r="D938" s="4" t="s">
        <v>738</v>
      </c>
      <c r="E938" s="4" t="s">
        <v>739</v>
      </c>
      <c r="F938" s="4" t="s">
        <v>569</v>
      </c>
      <c r="G938" s="4" t="s">
        <v>740</v>
      </c>
      <c r="H938" s="4" t="s">
        <v>741</v>
      </c>
      <c r="I938" s="4" t="s">
        <v>742</v>
      </c>
      <c r="J938" s="4" t="s">
        <v>743</v>
      </c>
      <c r="K938" s="4" t="s">
        <v>744</v>
      </c>
    </row>
    <row r="939" spans="1:12" ht="60" customHeight="1">
      <c r="A939" s="6">
        <v>4</v>
      </c>
      <c r="B939" s="6">
        <v>1</v>
      </c>
      <c r="C939" s="6">
        <v>3</v>
      </c>
      <c r="D939" s="5" t="s">
        <v>581</v>
      </c>
      <c r="E939" s="9" t="s">
        <v>747</v>
      </c>
      <c r="F939" s="9" t="s">
        <v>749</v>
      </c>
      <c r="G939" s="9">
        <f>'有効抵抗土圧'!I26</f>
        <v>4642.113352538149</v>
      </c>
      <c r="H939" s="64">
        <f>ROUND(G939,1)</f>
        <v>4642.1</v>
      </c>
      <c r="I939" s="65">
        <v>4642.1</v>
      </c>
      <c r="J939" s="9">
        <f>(H939-I939)</f>
        <v>0.0</v>
      </c>
      <c r="K939" s="9" t="s">
        <v>755</v>
      </c>
    </row>
    <row r="940" spans="1:12" ht="60" customHeight="1">
      <c r="A940" s="6">
        <v>4</v>
      </c>
      <c r="B940" s="6">
        <v>1</v>
      </c>
      <c r="C940" s="6">
        <v>3</v>
      </c>
      <c r="D940" s="5" t="s">
        <v>582</v>
      </c>
      <c r="E940" s="9" t="s">
        <v>745</v>
      </c>
      <c r="F940" s="9" t="s">
        <v>746</v>
      </c>
      <c r="G940" s="9">
        <f>'有効抵抗土圧'!I27</f>
        <v>2980.794736842105</v>
      </c>
      <c r="H940" s="64">
        <f>ROUND(G940,1)</f>
        <v>2980.8</v>
      </c>
      <c r="I940" s="65">
        <v>2980.8</v>
      </c>
      <c r="J940" s="9">
        <f>(H940-I940)</f>
        <v>0.0</v>
      </c>
      <c r="K940" s="9" t="s">
        <v>756</v>
      </c>
    </row>
    <row r="941" spans="1:12" ht="60" customHeight="1">
      <c r="A941" s="6">
        <v>4</v>
      </c>
      <c r="B941" s="6">
        <v>1</v>
      </c>
      <c r="C941" s="6">
        <v>3</v>
      </c>
      <c r="D941" s="5" t="s">
        <v>582</v>
      </c>
      <c r="E941" s="9" t="s">
        <v>747</v>
      </c>
      <c r="F941" s="9" t="s">
        <v>746</v>
      </c>
      <c r="G941" s="9">
        <f>'有効抵抗土圧'!I28</f>
        <v>3190.7105263157896</v>
      </c>
      <c r="H941" s="64">
        <f>ROUND(G941,1)</f>
        <v>3190.7</v>
      </c>
      <c r="I941" s="65">
        <v>3190.7</v>
      </c>
      <c r="J941" s="9">
        <f>(H941-I941)</f>
        <v>0.0</v>
      </c>
      <c r="K941" s="9" t="s">
        <v>757</v>
      </c>
    </row>
    <row r="942" spans="1:12" ht="60" customHeight="1">
      <c r="A942" s="6">
        <v>4</v>
      </c>
      <c r="B942" s="6">
        <v>1</v>
      </c>
      <c r="C942" s="6">
        <v>3</v>
      </c>
      <c r="D942" s="5" t="s">
        <v>583</v>
      </c>
      <c r="E942" s="9" t="s">
        <v>745</v>
      </c>
      <c r="F942" s="9" t="s">
        <v>746</v>
      </c>
      <c r="G942" s="9">
        <f>'有効抵抗土圧'!I29</f>
        <v>3190.7105263157896</v>
      </c>
      <c r="H942" s="64">
        <f>ROUND(G942,1)</f>
        <v>3190.7</v>
      </c>
      <c r="I942" s="65">
        <v>3190.7</v>
      </c>
      <c r="J942" s="9">
        <f>(H942-I942)</f>
        <v>0.0</v>
      </c>
      <c r="K942" s="9" t="s">
        <v>757</v>
      </c>
    </row>
    <row r="943" spans="1:12" ht="60" customHeight="1">
      <c r="A943" s="6">
        <v>4</v>
      </c>
      <c r="B943" s="6">
        <v>1</v>
      </c>
      <c r="C943" s="6">
        <v>3</v>
      </c>
      <c r="D943" s="5" t="s">
        <v>583</v>
      </c>
      <c r="E943" s="9" t="s">
        <v>747</v>
      </c>
      <c r="F943" s="9" t="s">
        <v>746</v>
      </c>
      <c r="G943" s="9">
        <f>'有効抵抗土圧'!I30</f>
        <v>3400.6263157894737</v>
      </c>
      <c r="H943" s="64">
        <f>ROUND(G943,1)</f>
        <v>3400.6</v>
      </c>
      <c r="I943" s="65">
        <v>3400.6</v>
      </c>
      <c r="J943" s="9">
        <f>(H943-I943)</f>
        <v>0.0</v>
      </c>
      <c r="K943" s="9" t="s">
        <v>758</v>
      </c>
    </row>
    <row r="944" spans="1:12" ht="24" customHeight="1">
      <c r="A944" s="3" t="s">
        <v>737</v>
      </c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spans="1:12" ht="46" customHeight="1">
      <c r="A945" s="4" t="s">
        <v>8</v>
      </c>
      <c r="B945" s="4" t="s">
        <v>722</v>
      </c>
      <c r="C945" s="4" t="s">
        <v>723</v>
      </c>
      <c r="D945" s="4" t="s">
        <v>738</v>
      </c>
      <c r="E945" s="4" t="s">
        <v>739</v>
      </c>
      <c r="F945" s="4" t="s">
        <v>569</v>
      </c>
      <c r="G945" s="4" t="s">
        <v>740</v>
      </c>
      <c r="H945" s="4" t="s">
        <v>741</v>
      </c>
      <c r="I945" s="4" t="s">
        <v>742</v>
      </c>
      <c r="J945" s="4" t="s">
        <v>743</v>
      </c>
      <c r="K945" s="4" t="s">
        <v>744</v>
      </c>
    </row>
    <row r="946" spans="1:12" ht="60" customHeight="1">
      <c r="A946" s="6">
        <v>4</v>
      </c>
      <c r="B946" s="6">
        <v>1</v>
      </c>
      <c r="C946" s="6">
        <v>3</v>
      </c>
      <c r="D946" s="5" t="s">
        <v>584</v>
      </c>
      <c r="E946" s="9" t="s">
        <v>745</v>
      </c>
      <c r="F946" s="9" t="s">
        <v>746</v>
      </c>
      <c r="G946" s="9">
        <f>'有効抵抗土圧'!I31</f>
        <v>3400.6263157894737</v>
      </c>
      <c r="H946" s="64">
        <f>ROUND(G946,1)</f>
        <v>3400.6</v>
      </c>
      <c r="I946" s="65">
        <v>3400.6</v>
      </c>
      <c r="J946" s="9">
        <f>(H946-I946)</f>
        <v>0.0</v>
      </c>
      <c r="K946" s="9" t="s">
        <v>758</v>
      </c>
    </row>
    <row r="947" spans="1:12" ht="60" customHeight="1">
      <c r="A947" s="6">
        <v>4</v>
      </c>
      <c r="B947" s="6">
        <v>1</v>
      </c>
      <c r="C947" s="6">
        <v>3</v>
      </c>
      <c r="D947" s="5" t="s">
        <v>584</v>
      </c>
      <c r="E947" s="9" t="s">
        <v>747</v>
      </c>
      <c r="F947" s="9" t="s">
        <v>746</v>
      </c>
      <c r="G947" s="9">
        <f>'有効抵抗土圧'!I32</f>
        <v>3610.5421052631577</v>
      </c>
      <c r="H947" s="64">
        <f>ROUND(G947,1)</f>
        <v>3610.5</v>
      </c>
      <c r="I947" s="65">
        <v>3610.5</v>
      </c>
      <c r="J947" s="9">
        <f>(H947-I947)</f>
        <v>0.0</v>
      </c>
      <c r="K947" s="9" t="s">
        <v>759</v>
      </c>
    </row>
    <row r="948" spans="1:12" ht="60" customHeight="1">
      <c r="A948" s="6">
        <v>4</v>
      </c>
      <c r="B948" s="6">
        <v>1</v>
      </c>
      <c r="C948" s="6">
        <v>3</v>
      </c>
      <c r="D948" s="5" t="s">
        <v>585</v>
      </c>
      <c r="E948" s="9" t="s">
        <v>745</v>
      </c>
      <c r="F948" s="9" t="s">
        <v>746</v>
      </c>
      <c r="G948" s="9">
        <f>'有効抵抗土圧'!I33</f>
        <v>3610.5421052631577</v>
      </c>
      <c r="H948" s="64">
        <f>ROUND(G948,1)</f>
        <v>3610.5</v>
      </c>
      <c r="I948" s="65">
        <v>3610.5</v>
      </c>
      <c r="J948" s="9">
        <f>(H948-I948)</f>
        <v>0.0</v>
      </c>
      <c r="K948" s="9" t="s">
        <v>759</v>
      </c>
    </row>
    <row r="949" spans="1:12" ht="60" customHeight="1">
      <c r="A949" s="6">
        <v>4</v>
      </c>
      <c r="B949" s="6">
        <v>1</v>
      </c>
      <c r="C949" s="6">
        <v>3</v>
      </c>
      <c r="D949" s="5" t="s">
        <v>585</v>
      </c>
      <c r="E949" s="9" t="s">
        <v>747</v>
      </c>
      <c r="F949" s="9" t="s">
        <v>746</v>
      </c>
      <c r="G949" s="9">
        <f>'有効抵抗土圧'!I34</f>
        <v>3820.4578947368423</v>
      </c>
      <c r="H949" s="64">
        <f>ROUND(G949,1)</f>
        <v>3820.5</v>
      </c>
      <c r="I949" s="65">
        <v>3820.5</v>
      </c>
      <c r="J949" s="9">
        <f>(H949-I949)</f>
        <v>0.0</v>
      </c>
      <c r="K949" s="9" t="s">
        <v>760</v>
      </c>
    </row>
    <row r="950" spans="1:12" ht="60" customHeight="1">
      <c r="A950" s="6">
        <v>4</v>
      </c>
      <c r="B950" s="6">
        <v>1</v>
      </c>
      <c r="C950" s="6">
        <v>3</v>
      </c>
      <c r="D950" s="5" t="s">
        <v>586</v>
      </c>
      <c r="E950" s="9" t="s">
        <v>745</v>
      </c>
      <c r="F950" s="9" t="s">
        <v>746</v>
      </c>
      <c r="G950" s="9">
        <f>'有効抵抗土圧'!I35</f>
        <v>3820.4578947368423</v>
      </c>
      <c r="H950" s="64">
        <f>ROUND(G950,1)</f>
        <v>3820.5</v>
      </c>
      <c r="I950" s="65">
        <v>3820.5</v>
      </c>
      <c r="J950" s="9">
        <f>(H950-I950)</f>
        <v>0.0</v>
      </c>
      <c r="K950" s="9" t="s">
        <v>760</v>
      </c>
    </row>
    <row r="951" spans="1:12" ht="24" customHeight="1">
      <c r="A951" s="3" t="s">
        <v>737</v>
      </c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spans="1:12" ht="46" customHeight="1">
      <c r="A952" s="4" t="s">
        <v>8</v>
      </c>
      <c r="B952" s="4" t="s">
        <v>722</v>
      </c>
      <c r="C952" s="4" t="s">
        <v>723</v>
      </c>
      <c r="D952" s="4" t="s">
        <v>738</v>
      </c>
      <c r="E952" s="4" t="s">
        <v>739</v>
      </c>
      <c r="F952" s="4" t="s">
        <v>569</v>
      </c>
      <c r="G952" s="4" t="s">
        <v>740</v>
      </c>
      <c r="H952" s="4" t="s">
        <v>741</v>
      </c>
      <c r="I952" s="4" t="s">
        <v>742</v>
      </c>
      <c r="J952" s="4" t="s">
        <v>743</v>
      </c>
      <c r="K952" s="4" t="s">
        <v>744</v>
      </c>
    </row>
    <row r="953" spans="1:12" ht="60" customHeight="1">
      <c r="A953" s="6">
        <v>4</v>
      </c>
      <c r="B953" s="6">
        <v>1</v>
      </c>
      <c r="C953" s="6">
        <v>3</v>
      </c>
      <c r="D953" s="5" t="s">
        <v>586</v>
      </c>
      <c r="E953" s="9" t="s">
        <v>747</v>
      </c>
      <c r="F953" s="9" t="s">
        <v>746</v>
      </c>
      <c r="G953" s="9">
        <f>'有効抵抗土圧'!I36</f>
        <v>4030.3736842105263</v>
      </c>
      <c r="H953" s="64">
        <f>ROUND(G953,1)</f>
        <v>4030.4</v>
      </c>
      <c r="I953" s="65">
        <v>4030.4</v>
      </c>
      <c r="J953" s="9">
        <f>(H953-I953)</f>
        <v>0.0</v>
      </c>
      <c r="K953" s="9" t="s">
        <v>761</v>
      </c>
    </row>
    <row r="954" spans="1:12" ht="60" customHeight="1">
      <c r="A954" s="6">
        <v>4</v>
      </c>
      <c r="B954" s="6">
        <v>1</v>
      </c>
      <c r="C954" s="6">
        <v>3</v>
      </c>
      <c r="D954" s="5" t="s">
        <v>587</v>
      </c>
      <c r="E954" s="9" t="s">
        <v>745</v>
      </c>
      <c r="F954" s="9" t="s">
        <v>746</v>
      </c>
      <c r="G954" s="9">
        <f>'有効抵抗土圧'!I37</f>
        <v>4030.3736842105263</v>
      </c>
      <c r="H954" s="64">
        <f>ROUND(G954,1)</f>
        <v>4030.4</v>
      </c>
      <c r="I954" s="65">
        <v>4030.4</v>
      </c>
      <c r="J954" s="9">
        <f>(H954-I954)</f>
        <v>0.0</v>
      </c>
      <c r="K954" s="9" t="s">
        <v>761</v>
      </c>
    </row>
    <row r="955" spans="1:12" ht="60" customHeight="1">
      <c r="A955" s="6">
        <v>4</v>
      </c>
      <c r="B955" s="6">
        <v>1</v>
      </c>
      <c r="C955" s="6">
        <v>3</v>
      </c>
      <c r="D955" s="5" t="s">
        <v>587</v>
      </c>
      <c r="E955" s="9" t="s">
        <v>747</v>
      </c>
      <c r="F955" s="9" t="s">
        <v>746</v>
      </c>
      <c r="G955" s="9">
        <f>'有効抵抗土圧'!I38</f>
        <v>4240.28947368421</v>
      </c>
      <c r="H955" s="64">
        <f>ROUND(G955,1)</f>
        <v>4240.3</v>
      </c>
      <c r="I955" s="65">
        <v>4240.3</v>
      </c>
      <c r="J955" s="9">
        <f>(H955-I955)</f>
        <v>0.0</v>
      </c>
      <c r="K955" s="9" t="s">
        <v>762</v>
      </c>
    </row>
    <row r="956" spans="1:12" ht="60" customHeight="1">
      <c r="A956" s="6">
        <v>4</v>
      </c>
      <c r="B956" s="6">
        <v>1</v>
      </c>
      <c r="C956" s="6">
        <v>3</v>
      </c>
      <c r="D956" s="5" t="s">
        <v>588</v>
      </c>
      <c r="E956" s="9" t="s">
        <v>745</v>
      </c>
      <c r="F956" s="9" t="s">
        <v>746</v>
      </c>
      <c r="G956" s="9">
        <f>'有効抵抗土圧'!I39</f>
        <v>4240.28947368421</v>
      </c>
      <c r="H956" s="64">
        <f>ROUND(G956,1)</f>
        <v>4240.3</v>
      </c>
      <c r="I956" s="65">
        <v>4240.3</v>
      </c>
      <c r="J956" s="9">
        <f>(H956-I956)</f>
        <v>0.0</v>
      </c>
      <c r="K956" s="9" t="s">
        <v>762</v>
      </c>
    </row>
    <row r="957" spans="1:12" ht="60" customHeight="1">
      <c r="A957" s="6">
        <v>4</v>
      </c>
      <c r="B957" s="6">
        <v>1</v>
      </c>
      <c r="C957" s="6">
        <v>3</v>
      </c>
      <c r="D957" s="5" t="s">
        <v>588</v>
      </c>
      <c r="E957" s="9" t="s">
        <v>747</v>
      </c>
      <c r="F957" s="9" t="s">
        <v>746</v>
      </c>
      <c r="G957" s="9">
        <f>'有効抵抗土圧'!I40</f>
        <v>4450.2052631578945</v>
      </c>
      <c r="H957" s="64">
        <f>ROUND(G957,1)</f>
        <v>4450.2</v>
      </c>
      <c r="I957" s="65">
        <v>4450.2</v>
      </c>
      <c r="J957" s="9">
        <f>(H957-I957)</f>
        <v>0.0</v>
      </c>
      <c r="K957" s="9" t="s">
        <v>763</v>
      </c>
    </row>
    <row r="958" spans="1:12" ht="24" customHeight="1">
      <c r="A958" s="3" t="s">
        <v>737</v>
      </c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spans="1:12" ht="46" customHeight="1">
      <c r="A959" s="4" t="s">
        <v>8</v>
      </c>
      <c r="B959" s="4" t="s">
        <v>722</v>
      </c>
      <c r="C959" s="4" t="s">
        <v>723</v>
      </c>
      <c r="D959" s="4" t="s">
        <v>738</v>
      </c>
      <c r="E959" s="4" t="s">
        <v>739</v>
      </c>
      <c r="F959" s="4" t="s">
        <v>569</v>
      </c>
      <c r="G959" s="4" t="s">
        <v>740</v>
      </c>
      <c r="H959" s="4" t="s">
        <v>741</v>
      </c>
      <c r="I959" s="4" t="s">
        <v>742</v>
      </c>
      <c r="J959" s="4" t="s">
        <v>743</v>
      </c>
      <c r="K959" s="4" t="s">
        <v>744</v>
      </c>
    </row>
    <row r="960" spans="1:12" ht="60" customHeight="1">
      <c r="A960" s="6">
        <v>4</v>
      </c>
      <c r="B960" s="6">
        <v>1</v>
      </c>
      <c r="C960" s="6">
        <v>3</v>
      </c>
      <c r="D960" s="5" t="s">
        <v>589</v>
      </c>
      <c r="E960" s="9" t="s">
        <v>745</v>
      </c>
      <c r="F960" s="9" t="s">
        <v>749</v>
      </c>
      <c r="G960" s="9">
        <f>'有効抵抗土圧'!I41</f>
        <v>3300.731174089069</v>
      </c>
      <c r="H960" s="64">
        <f>ROUND(G960,1)</f>
        <v>3300.7</v>
      </c>
      <c r="I960" s="65">
        <v>3300.7</v>
      </c>
      <c r="J960" s="9">
        <f>(H960-I960)</f>
        <v>0.0</v>
      </c>
      <c r="K960" s="9" t="s">
        <v>764</v>
      </c>
    </row>
    <row r="961" spans="1:12" ht="60" customHeight="1">
      <c r="A961" s="6">
        <v>4</v>
      </c>
      <c r="B961" s="6">
        <v>1</v>
      </c>
      <c r="C961" s="6">
        <v>3</v>
      </c>
      <c r="D961" s="5" t="s">
        <v>589</v>
      </c>
      <c r="E961" s="9" t="s">
        <v>747</v>
      </c>
      <c r="F961" s="9" t="s">
        <v>749</v>
      </c>
      <c r="G961" s="9">
        <f>'有効抵抗土圧'!I44</f>
        <v>3300.731174089069</v>
      </c>
      <c r="H961" s="64">
        <f>ROUND(G961,1)</f>
        <v>3300.7</v>
      </c>
      <c r="I961" s="65">
        <v>3300.7</v>
      </c>
      <c r="J961" s="9">
        <f>(H961-I961)</f>
        <v>0.0</v>
      </c>
      <c r="K961" s="9" t="s">
        <v>764</v>
      </c>
    </row>
    <row r="962" spans="1:12" ht="23" customHeight="1">
      <c r="A962" s="6">
        <v>4</v>
      </c>
      <c r="B962" s="6">
        <v>1</v>
      </c>
      <c r="C962" s="6">
        <v>3</v>
      </c>
      <c r="D962" s="5" t="s">
        <v>590</v>
      </c>
      <c r="E962" s="9" t="s">
        <v>745</v>
      </c>
      <c r="F962" s="9" t="s">
        <v>746</v>
      </c>
      <c r="G962" s="9">
        <f>'有効抵抗土圧'!I45</f>
        <v>3088.8</v>
      </c>
      <c r="H962" s="64">
        <f>ROUND(G962,1)</f>
        <v>3088.8</v>
      </c>
      <c r="I962" s="65">
        <v>3088.8</v>
      </c>
      <c r="J962" s="9">
        <f>(H962-I962)</f>
        <v>0.0</v>
      </c>
      <c r="K962" s="9" t="s">
        <v>286</v>
      </c>
    </row>
    <row r="963" spans="1:12" ht="23" customHeight="1">
      <c r="A963" s="6">
        <v>4</v>
      </c>
      <c r="B963" s="6">
        <v>1</v>
      </c>
      <c r="C963" s="6">
        <v>3</v>
      </c>
      <c r="D963" s="5" t="s">
        <v>590</v>
      </c>
      <c r="E963" s="9" t="s">
        <v>747</v>
      </c>
      <c r="F963" s="9" t="s">
        <v>746</v>
      </c>
      <c r="G963" s="9">
        <f>'有効抵抗土圧'!I46</f>
        <v>3088.8</v>
      </c>
      <c r="H963" s="64">
        <f>ROUND(G963,1)</f>
        <v>3088.8</v>
      </c>
      <c r="I963" s="65">
        <v>3088.8</v>
      </c>
      <c r="J963" s="9">
        <f>(H963-I963)</f>
        <v>0.0</v>
      </c>
      <c r="K963" s="9" t="s">
        <v>286</v>
      </c>
    </row>
    <row r="964" spans="1:12" ht="23" customHeight="1">
      <c r="A964" s="6">
        <v>4</v>
      </c>
      <c r="B964" s="6">
        <v>1</v>
      </c>
      <c r="C964" s="6">
        <v>3</v>
      </c>
      <c r="D964" s="5" t="s">
        <v>591</v>
      </c>
      <c r="E964" s="9" t="s">
        <v>745</v>
      </c>
      <c r="F964" s="9" t="s">
        <v>746</v>
      </c>
      <c r="G964" s="9">
        <f>'有効抵抗土圧'!I47</f>
        <v>3088.8</v>
      </c>
      <c r="H964" s="64">
        <f>ROUND(G964,1)</f>
        <v>3088.8</v>
      </c>
      <c r="I964" s="65">
        <v>3088.8</v>
      </c>
      <c r="J964" s="9">
        <f>(H964-I964)</f>
        <v>0.0</v>
      </c>
      <c r="K964" s="9" t="s">
        <v>286</v>
      </c>
    </row>
    <row r="965" spans="1:12" ht="23" customHeight="1">
      <c r="A965" s="6">
        <v>4</v>
      </c>
      <c r="B965" s="6">
        <v>1</v>
      </c>
      <c r="C965" s="6">
        <v>3</v>
      </c>
      <c r="D965" s="5" t="s">
        <v>591</v>
      </c>
      <c r="E965" s="9" t="s">
        <v>747</v>
      </c>
      <c r="F965" s="9" t="s">
        <v>746</v>
      </c>
      <c r="G965" s="9">
        <f>'有効抵抗土圧'!I48</f>
        <v>3088.8</v>
      </c>
      <c r="H965" s="64">
        <f>ROUND(G965,1)</f>
        <v>3088.8</v>
      </c>
      <c r="I965" s="65">
        <v>3088.8</v>
      </c>
      <c r="J965" s="9">
        <f>(H965-I965)</f>
        <v>0.0</v>
      </c>
      <c r="K965" s="9" t="s">
        <v>286</v>
      </c>
    </row>
    <row r="966" spans="1:12" ht="23" customHeight="1">
      <c r="A966" s="6">
        <v>4</v>
      </c>
      <c r="B966" s="6">
        <v>1</v>
      </c>
      <c r="C966" s="6">
        <v>3</v>
      </c>
      <c r="D966" s="5" t="s">
        <v>592</v>
      </c>
      <c r="E966" s="9" t="s">
        <v>745</v>
      </c>
      <c r="F966" s="9" t="s">
        <v>746</v>
      </c>
      <c r="G966" s="9">
        <f>'有効抵抗土圧'!I49</f>
        <v>3088.8</v>
      </c>
      <c r="H966" s="64">
        <f>ROUND(G966,1)</f>
        <v>3088.8</v>
      </c>
      <c r="I966" s="65">
        <v>3088.8</v>
      </c>
      <c r="J966" s="9">
        <f>(H966-I966)</f>
        <v>0.0</v>
      </c>
      <c r="K966" s="9" t="s">
        <v>286</v>
      </c>
    </row>
    <row r="967" spans="1:12" ht="23" customHeight="1">
      <c r="A967" s="6">
        <v>4</v>
      </c>
      <c r="B967" s="6">
        <v>1</v>
      </c>
      <c r="C967" s="6">
        <v>3</v>
      </c>
      <c r="D967" s="5" t="s">
        <v>592</v>
      </c>
      <c r="E967" s="9" t="s">
        <v>747</v>
      </c>
      <c r="F967" s="9" t="s">
        <v>746</v>
      </c>
      <c r="G967" s="9">
        <f>'有効抵抗土圧'!I50</f>
        <v>3088.8</v>
      </c>
      <c r="H967" s="64">
        <f>ROUND(G967,1)</f>
        <v>3088.8</v>
      </c>
      <c r="I967" s="65">
        <v>3088.8</v>
      </c>
      <c r="J967" s="9">
        <f>(H967-I967)</f>
        <v>0.0</v>
      </c>
      <c r="K967" s="9" t="s">
        <v>286</v>
      </c>
    </row>
    <row r="968" spans="1:12" ht="23" customHeight="1">
      <c r="A968" s="6">
        <v>4</v>
      </c>
      <c r="B968" s="6">
        <v>1</v>
      </c>
      <c r="C968" s="6">
        <v>3</v>
      </c>
      <c r="D968" s="5" t="s">
        <v>593</v>
      </c>
      <c r="E968" s="9" t="s">
        <v>745</v>
      </c>
      <c r="F968" s="9" t="s">
        <v>746</v>
      </c>
      <c r="G968" s="9">
        <f>'有効抵抗土圧'!I51</f>
        <v>3088.8</v>
      </c>
      <c r="H968" s="64">
        <f>ROUND(G968,1)</f>
        <v>3088.8</v>
      </c>
      <c r="I968" s="65">
        <v>3088.8</v>
      </c>
      <c r="J968" s="9">
        <f>(H968-I968)</f>
        <v>0.0</v>
      </c>
      <c r="K968" s="9" t="s">
        <v>286</v>
      </c>
    </row>
    <row r="969" spans="1:12" ht="23" customHeight="1">
      <c r="A969" s="6">
        <v>4</v>
      </c>
      <c r="B969" s="6">
        <v>1</v>
      </c>
      <c r="C969" s="6">
        <v>3</v>
      </c>
      <c r="D969" s="5" t="s">
        <v>593</v>
      </c>
      <c r="E969" s="9" t="s">
        <v>747</v>
      </c>
      <c r="F969" s="9" t="s">
        <v>746</v>
      </c>
      <c r="G969" s="9">
        <f>'有効抵抗土圧'!I52</f>
        <v>3088.8</v>
      </c>
      <c r="H969" s="64">
        <f>ROUND(G969,1)</f>
        <v>3088.8</v>
      </c>
      <c r="I969" s="65">
        <v>3088.8</v>
      </c>
      <c r="J969" s="9">
        <f>(H969-I969)</f>
        <v>0.0</v>
      </c>
      <c r="K969" s="9" t="s">
        <v>286</v>
      </c>
    </row>
    <row r="970" spans="1:12" ht="23" customHeight="1">
      <c r="A970" s="6">
        <v>4</v>
      </c>
      <c r="B970" s="6">
        <v>1</v>
      </c>
      <c r="C970" s="6">
        <v>3</v>
      </c>
      <c r="D970" s="5" t="s">
        <v>594</v>
      </c>
      <c r="E970" s="9" t="s">
        <v>745</v>
      </c>
      <c r="F970" s="9" t="s">
        <v>746</v>
      </c>
      <c r="G970" s="9">
        <f>'有効抵抗土圧'!I53</f>
        <v>3088.8</v>
      </c>
      <c r="H970" s="64">
        <f>ROUND(G970,1)</f>
        <v>3088.8</v>
      </c>
      <c r="I970" s="65">
        <v>3088.8</v>
      </c>
      <c r="J970" s="9">
        <f>(H970-I970)</f>
        <v>0.0</v>
      </c>
      <c r="K970" s="9" t="s">
        <v>286</v>
      </c>
    </row>
    <row r="971" spans="1:12" ht="24" customHeight="1">
      <c r="A971" s="3" t="s">
        <v>737</v>
      </c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spans="1:12" ht="46" customHeight="1">
      <c r="A972" s="4" t="s">
        <v>8</v>
      </c>
      <c r="B972" s="4" t="s">
        <v>722</v>
      </c>
      <c r="C972" s="4" t="s">
        <v>723</v>
      </c>
      <c r="D972" s="4" t="s">
        <v>738</v>
      </c>
      <c r="E972" s="4" t="s">
        <v>739</v>
      </c>
      <c r="F972" s="4" t="s">
        <v>569</v>
      </c>
      <c r="G972" s="4" t="s">
        <v>740</v>
      </c>
      <c r="H972" s="4" t="s">
        <v>741</v>
      </c>
      <c r="I972" s="4" t="s">
        <v>742</v>
      </c>
      <c r="J972" s="4" t="s">
        <v>743</v>
      </c>
      <c r="K972" s="4" t="s">
        <v>744</v>
      </c>
    </row>
    <row r="973" spans="1:12" ht="23" customHeight="1">
      <c r="A973" s="6">
        <v>4</v>
      </c>
      <c r="B973" s="6">
        <v>1</v>
      </c>
      <c r="C973" s="6">
        <v>3</v>
      </c>
      <c r="D973" s="5" t="s">
        <v>594</v>
      </c>
      <c r="E973" s="9" t="s">
        <v>747</v>
      </c>
      <c r="F973" s="9" t="s">
        <v>746</v>
      </c>
      <c r="G973" s="9">
        <f>'有効抵抗土圧'!I54</f>
        <v>3088.8</v>
      </c>
      <c r="H973" s="64">
        <f>ROUND(G973,1)</f>
        <v>3088.8</v>
      </c>
      <c r="I973" s="65">
        <v>3088.8</v>
      </c>
      <c r="J973" s="9">
        <f>(H973-I973)</f>
        <v>0.0</v>
      </c>
      <c r="K973" s="9" t="s">
        <v>286</v>
      </c>
    </row>
    <row r="974" spans="1:12" ht="23" customHeight="1">
      <c r="A974" s="6">
        <v>4</v>
      </c>
      <c r="B974" s="6">
        <v>1</v>
      </c>
      <c r="C974" s="6">
        <v>3</v>
      </c>
      <c r="D974" s="5" t="s">
        <v>595</v>
      </c>
      <c r="E974" s="9" t="s">
        <v>745</v>
      </c>
      <c r="F974" s="9" t="s">
        <v>746</v>
      </c>
      <c r="G974" s="9">
        <f>'有効抵抗土圧'!I55</f>
        <v>3088.8</v>
      </c>
      <c r="H974" s="64">
        <f>ROUND(G974,1)</f>
        <v>3088.8</v>
      </c>
      <c r="I974" s="65">
        <v>3088.8</v>
      </c>
      <c r="J974" s="9">
        <f>(H974-I974)</f>
        <v>0.0</v>
      </c>
      <c r="K974" s="9" t="s">
        <v>286</v>
      </c>
    </row>
    <row r="975" spans="1:12" ht="23" customHeight="1">
      <c r="A975" s="6">
        <v>4</v>
      </c>
      <c r="B975" s="6">
        <v>1</v>
      </c>
      <c r="C975" s="6">
        <v>3</v>
      </c>
      <c r="D975" s="5" t="s">
        <v>595</v>
      </c>
      <c r="E975" s="9" t="s">
        <v>747</v>
      </c>
      <c r="F975" s="9" t="s">
        <v>746</v>
      </c>
      <c r="G975" s="9">
        <f>'有効抵抗土圧'!I56</f>
        <v>3088.8</v>
      </c>
      <c r="H975" s="64">
        <f>ROUND(G975,1)</f>
        <v>3088.8</v>
      </c>
      <c r="I975" s="65">
        <v>3088.8</v>
      </c>
      <c r="J975" s="9">
        <f>(H975-I975)</f>
        <v>0.0</v>
      </c>
      <c r="K975" s="9" t="s">
        <v>286</v>
      </c>
    </row>
    <row r="976" spans="1:12" ht="23" customHeight="1">
      <c r="A976" s="6">
        <v>4</v>
      </c>
      <c r="B976" s="6">
        <v>1</v>
      </c>
      <c r="C976" s="6">
        <v>3</v>
      </c>
      <c r="D976" s="5" t="s">
        <v>596</v>
      </c>
      <c r="E976" s="9" t="s">
        <v>745</v>
      </c>
      <c r="F976" s="9" t="s">
        <v>746</v>
      </c>
      <c r="G976" s="9">
        <f>'有効抵抗土圧'!I57</f>
        <v>3088.8</v>
      </c>
      <c r="H976" s="64">
        <f>ROUND(G976,1)</f>
        <v>3088.8</v>
      </c>
      <c r="I976" s="65">
        <v>3088.8</v>
      </c>
      <c r="J976" s="9">
        <f>(H976-I976)</f>
        <v>0.0</v>
      </c>
      <c r="K976" s="9" t="s">
        <v>286</v>
      </c>
    </row>
    <row r="977" spans="1:12" ht="23" customHeight="1">
      <c r="A977" s="6">
        <v>4</v>
      </c>
      <c r="B977" s="6">
        <v>1</v>
      </c>
      <c r="C977" s="6">
        <v>3</v>
      </c>
      <c r="D977" s="5" t="s">
        <v>596</v>
      </c>
      <c r="E977" s="9" t="s">
        <v>747</v>
      </c>
      <c r="F977" s="9" t="s">
        <v>746</v>
      </c>
      <c r="G977" s="9">
        <f>'有効抵抗土圧'!I58</f>
        <v>3088.8</v>
      </c>
      <c r="H977" s="64">
        <f>ROUND(G977,1)</f>
        <v>3088.8</v>
      </c>
      <c r="I977" s="65">
        <v>3088.8</v>
      </c>
      <c r="J977" s="9">
        <f>(H977-I977)</f>
        <v>0.0</v>
      </c>
      <c r="K977" s="9" t="s">
        <v>286</v>
      </c>
    </row>
    <row r="978" spans="1:12" ht="23" customHeight="1">
      <c r="A978" s="6">
        <v>4</v>
      </c>
      <c r="B978" s="6">
        <v>1</v>
      </c>
      <c r="C978" s="6">
        <v>3</v>
      </c>
      <c r="D978" s="5" t="s">
        <v>597</v>
      </c>
      <c r="E978" s="9" t="s">
        <v>745</v>
      </c>
      <c r="F978" s="9" t="s">
        <v>746</v>
      </c>
      <c r="G978" s="9">
        <f>'有効抵抗土圧'!I59</f>
        <v>3088.8</v>
      </c>
      <c r="H978" s="64">
        <f>ROUND(G978,1)</f>
        <v>3088.8</v>
      </c>
      <c r="I978" s="65">
        <v>3088.8</v>
      </c>
      <c r="J978" s="9">
        <f>(H978-I978)</f>
        <v>0.0</v>
      </c>
      <c r="K978" s="9" t="s">
        <v>286</v>
      </c>
    </row>
    <row r="979" spans="1:12" ht="23" customHeight="1">
      <c r="A979" s="6">
        <v>4</v>
      </c>
      <c r="B979" s="6">
        <v>1</v>
      </c>
      <c r="C979" s="6">
        <v>3</v>
      </c>
      <c r="D979" s="5" t="s">
        <v>597</v>
      </c>
      <c r="E979" s="9" t="s">
        <v>747</v>
      </c>
      <c r="F979" s="9" t="s">
        <v>746</v>
      </c>
      <c r="G979" s="9">
        <f>'有効抵抗土圧'!I60</f>
        <v>3088.8</v>
      </c>
      <c r="H979" s="64">
        <f>ROUND(G979,1)</f>
        <v>3088.8</v>
      </c>
      <c r="I979" s="65">
        <v>3088.8</v>
      </c>
      <c r="J979" s="9">
        <f>(H979-I979)</f>
        <v>0.0</v>
      </c>
      <c r="K979" s="9" t="s">
        <v>286</v>
      </c>
    </row>
    <row r="980" spans="1:12" ht="23" customHeight="1">
      <c r="A980" s="6">
        <v>4</v>
      </c>
      <c r="B980" s="6">
        <v>1</v>
      </c>
      <c r="C980" s="6">
        <v>3</v>
      </c>
      <c r="D980" s="5" t="s">
        <v>598</v>
      </c>
      <c r="E980" s="9" t="s">
        <v>745</v>
      </c>
      <c r="F980" s="9" t="s">
        <v>746</v>
      </c>
      <c r="G980" s="9">
        <f>'有効抵抗土圧'!I61</f>
        <v>3088.8</v>
      </c>
      <c r="H980" s="64">
        <f>ROUND(G980,1)</f>
        <v>3088.8</v>
      </c>
      <c r="I980" s="65">
        <v>3088.8</v>
      </c>
      <c r="J980" s="9">
        <f>(H980-I980)</f>
        <v>0.0</v>
      </c>
      <c r="K980" s="9" t="s">
        <v>286</v>
      </c>
    </row>
    <row r="981" spans="1:12" ht="23" customHeight="1">
      <c r="A981" s="6">
        <v>4</v>
      </c>
      <c r="B981" s="6">
        <v>1</v>
      </c>
      <c r="C981" s="6">
        <v>3</v>
      </c>
      <c r="D981" s="5" t="s">
        <v>598</v>
      </c>
      <c r="E981" s="9" t="s">
        <v>747</v>
      </c>
      <c r="F981" s="9" t="s">
        <v>746</v>
      </c>
      <c r="G981" s="9">
        <f>'有効抵抗土圧'!I62</f>
        <v>3088.8</v>
      </c>
      <c r="H981" s="64">
        <f>ROUND(G981,1)</f>
        <v>3088.8</v>
      </c>
      <c r="I981" s="65">
        <v>3088.8</v>
      </c>
      <c r="J981" s="9">
        <f>(H981-I981)</f>
        <v>0.0</v>
      </c>
      <c r="K981" s="9" t="s">
        <v>286</v>
      </c>
    </row>
    <row r="982" spans="1:12" ht="23" customHeight="1">
      <c r="A982" s="6">
        <v>5</v>
      </c>
      <c r="B982" s="6">
        <v>2</v>
      </c>
      <c r="C982" s="6">
        <v>2</v>
      </c>
      <c r="D982" s="5" t="s">
        <v>599</v>
      </c>
      <c r="E982" s="9" t="s">
        <v>745</v>
      </c>
      <c r="F982" s="9" t="s">
        <v>746</v>
      </c>
      <c r="G982" s="9">
        <f>'有効抵抗土圧'!R3</f>
        <v>1005.1</v>
      </c>
      <c r="H982" s="64">
        <f>ROUND(G982,1)</f>
        <v>1005.1</v>
      </c>
      <c r="I982" s="65">
        <v>1005.1</v>
      </c>
      <c r="J982" s="9">
        <f>(H982-I982)</f>
        <v>0.0</v>
      </c>
      <c r="K982" s="9" t="s">
        <v>288</v>
      </c>
    </row>
    <row r="983" spans="1:12" ht="60" customHeight="1">
      <c r="A983" s="6">
        <v>5</v>
      </c>
      <c r="B983" s="6">
        <v>2</v>
      </c>
      <c r="C983" s="6">
        <v>2</v>
      </c>
      <c r="D983" s="5" t="s">
        <v>599</v>
      </c>
      <c r="E983" s="9" t="s">
        <v>747</v>
      </c>
      <c r="F983" s="9" t="s">
        <v>746</v>
      </c>
      <c r="G983" s="9">
        <f>'有効抵抗土圧'!R4</f>
        <v>1130.0733333333333</v>
      </c>
      <c r="H983" s="64">
        <f>ROUND(G983,1)</f>
        <v>1130.1</v>
      </c>
      <c r="I983" s="65">
        <v>1130.1</v>
      </c>
      <c r="J983" s="9">
        <f>(H983-I983)</f>
        <v>0.0</v>
      </c>
      <c r="K983" s="9" t="s">
        <v>765</v>
      </c>
    </row>
    <row r="984" spans="1:12" ht="24" customHeight="1">
      <c r="A984" s="3" t="s">
        <v>737</v>
      </c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spans="1:12" ht="46" customHeight="1">
      <c r="A985" s="4" t="s">
        <v>8</v>
      </c>
      <c r="B985" s="4" t="s">
        <v>722</v>
      </c>
      <c r="C985" s="4" t="s">
        <v>723</v>
      </c>
      <c r="D985" s="4" t="s">
        <v>738</v>
      </c>
      <c r="E985" s="4" t="s">
        <v>739</v>
      </c>
      <c r="F985" s="4" t="s">
        <v>569</v>
      </c>
      <c r="G985" s="4" t="s">
        <v>740</v>
      </c>
      <c r="H985" s="4" t="s">
        <v>741</v>
      </c>
      <c r="I985" s="4" t="s">
        <v>742</v>
      </c>
      <c r="J985" s="4" t="s">
        <v>743</v>
      </c>
      <c r="K985" s="4" t="s">
        <v>744</v>
      </c>
    </row>
    <row r="986" spans="1:12" ht="60" customHeight="1">
      <c r="A986" s="6">
        <v>5</v>
      </c>
      <c r="B986" s="6">
        <v>2</v>
      </c>
      <c r="C986" s="6">
        <v>2</v>
      </c>
      <c r="D986" s="5" t="s">
        <v>600</v>
      </c>
      <c r="E986" s="9" t="s">
        <v>745</v>
      </c>
      <c r="F986" s="9" t="s">
        <v>749</v>
      </c>
      <c r="G986" s="9">
        <f>'有効抵抗土圧'!R5</f>
        <v>1719.0725049309665</v>
      </c>
      <c r="H986" s="64">
        <f>ROUND(G986,1)</f>
        <v>1719.1</v>
      </c>
      <c r="I986" s="65">
        <v>1719.1</v>
      </c>
      <c r="J986" s="9">
        <f>(H986-I986)</f>
        <v>0.0</v>
      </c>
      <c r="K986" s="9" t="s">
        <v>766</v>
      </c>
    </row>
    <row r="987" spans="1:12" ht="60" customHeight="1">
      <c r="A987" s="6">
        <v>5</v>
      </c>
      <c r="B987" s="6">
        <v>2</v>
      </c>
      <c r="C987" s="6">
        <v>2</v>
      </c>
      <c r="D987" s="5" t="s">
        <v>600</v>
      </c>
      <c r="E987" s="9" t="s">
        <v>747</v>
      </c>
      <c r="F987" s="9" t="s">
        <v>749</v>
      </c>
      <c r="G987" s="9">
        <f>'有効抵抗土圧'!R8</f>
        <v>1719.0725049309665</v>
      </c>
      <c r="H987" s="64">
        <f>ROUND(G987,1)</f>
        <v>1719.1</v>
      </c>
      <c r="I987" s="65">
        <v>1719.1</v>
      </c>
      <c r="J987" s="9">
        <f>(H987-I987)</f>
        <v>0.0</v>
      </c>
      <c r="K987" s="9" t="s">
        <v>766</v>
      </c>
    </row>
    <row r="988" spans="1:12" ht="60" customHeight="1">
      <c r="A988" s="6">
        <v>5</v>
      </c>
      <c r="B988" s="6">
        <v>2</v>
      </c>
      <c r="C988" s="6">
        <v>2</v>
      </c>
      <c r="D988" s="5" t="s">
        <v>601</v>
      </c>
      <c r="E988" s="9" t="s">
        <v>745</v>
      </c>
      <c r="F988" s="9" t="s">
        <v>749</v>
      </c>
      <c r="G988" s="9">
        <f>'有効抵抗土圧'!R9</f>
        <v>1285.2639053254438</v>
      </c>
      <c r="H988" s="64">
        <f>ROUND(G988,1)</f>
        <v>1285.3</v>
      </c>
      <c r="I988" s="65">
        <v>1285.3</v>
      </c>
      <c r="J988" s="9">
        <f>(H988-I988)</f>
        <v>0.0</v>
      </c>
      <c r="K988" s="9" t="s">
        <v>767</v>
      </c>
    </row>
    <row r="989" spans="1:12" ht="60" customHeight="1">
      <c r="A989" s="6">
        <v>5</v>
      </c>
      <c r="B989" s="6">
        <v>2</v>
      </c>
      <c r="C989" s="6">
        <v>2</v>
      </c>
      <c r="D989" s="5" t="s">
        <v>601</v>
      </c>
      <c r="E989" s="9" t="s">
        <v>747</v>
      </c>
      <c r="F989" s="9" t="s">
        <v>749</v>
      </c>
      <c r="G989" s="9">
        <f>'有効抵抗土圧'!R12</f>
        <v>1285.2639053254438</v>
      </c>
      <c r="H989" s="64">
        <f>ROUND(G989,1)</f>
        <v>1285.3</v>
      </c>
      <c r="I989" s="65">
        <v>1285.3</v>
      </c>
      <c r="J989" s="9">
        <f>(H989-I989)</f>
        <v>0.0</v>
      </c>
      <c r="K989" s="9" t="s">
        <v>767</v>
      </c>
    </row>
    <row r="990" spans="1:12" ht="23" customHeight="1">
      <c r="A990" s="6">
        <v>5</v>
      </c>
      <c r="B990" s="6">
        <v>2</v>
      </c>
      <c r="C990" s="6">
        <v>2</v>
      </c>
      <c r="D990" s="5" t="s">
        <v>602</v>
      </c>
      <c r="E990" s="9" t="s">
        <v>745</v>
      </c>
      <c r="F990" s="9" t="s">
        <v>746</v>
      </c>
      <c r="G990" s="9">
        <f>'有効抵抗土圧'!R13</f>
        <v>1170.0</v>
      </c>
      <c r="H990" s="64">
        <f>ROUND(G990,1)</f>
        <v>1170.0</v>
      </c>
      <c r="I990" s="65">
        <v>1170</v>
      </c>
      <c r="J990" s="9">
        <f>(H990-I990)</f>
        <v>0.0</v>
      </c>
      <c r="K990" s="9" t="s">
        <v>293</v>
      </c>
    </row>
    <row r="991" spans="1:12" ht="23" customHeight="1">
      <c r="A991" s="6">
        <v>5</v>
      </c>
      <c r="B991" s="6">
        <v>2</v>
      </c>
      <c r="C991" s="6">
        <v>2</v>
      </c>
      <c r="D991" s="5" t="s">
        <v>602</v>
      </c>
      <c r="E991" s="9" t="s">
        <v>747</v>
      </c>
      <c r="F991" s="9" t="s">
        <v>746</v>
      </c>
      <c r="G991" s="9">
        <f>'有効抵抗土圧'!R14</f>
        <v>1170.0</v>
      </c>
      <c r="H991" s="64">
        <f>ROUND(G991,1)</f>
        <v>1170.0</v>
      </c>
      <c r="I991" s="65">
        <v>1170</v>
      </c>
      <c r="J991" s="9">
        <f>(H991-I991)</f>
        <v>0.0</v>
      </c>
      <c r="K991" s="9" t="s">
        <v>293</v>
      </c>
    </row>
    <row r="992" spans="1:12" ht="24" customHeight="1">
      <c r="A992" s="3" t="s">
        <v>737</v>
      </c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spans="1:12" ht="46" customHeight="1">
      <c r="A993" s="4" t="s">
        <v>8</v>
      </c>
      <c r="B993" s="4" t="s">
        <v>722</v>
      </c>
      <c r="C993" s="4" t="s">
        <v>723</v>
      </c>
      <c r="D993" s="4" t="s">
        <v>738</v>
      </c>
      <c r="E993" s="4" t="s">
        <v>739</v>
      </c>
      <c r="F993" s="4" t="s">
        <v>569</v>
      </c>
      <c r="G993" s="4" t="s">
        <v>740</v>
      </c>
      <c r="H993" s="4" t="s">
        <v>741</v>
      </c>
      <c r="I993" s="4" t="s">
        <v>742</v>
      </c>
      <c r="J993" s="4" t="s">
        <v>743</v>
      </c>
      <c r="K993" s="4" t="s">
        <v>744</v>
      </c>
    </row>
    <row r="994" spans="1:12" ht="60" customHeight="1">
      <c r="A994" s="6">
        <v>5</v>
      </c>
      <c r="B994" s="6">
        <v>2</v>
      </c>
      <c r="C994" s="6">
        <v>2</v>
      </c>
      <c r="D994" s="5" t="s">
        <v>603</v>
      </c>
      <c r="E994" s="9" t="s">
        <v>745</v>
      </c>
      <c r="F994" s="9" t="s">
        <v>749</v>
      </c>
      <c r="G994" s="9">
        <f>'有効抵抗土圧'!R15</f>
        <v>1732.3053254437868</v>
      </c>
      <c r="H994" s="64">
        <f>ROUND(G994,1)</f>
        <v>1732.3</v>
      </c>
      <c r="I994" s="65">
        <v>1732.3</v>
      </c>
      <c r="J994" s="9">
        <f>(H994-I994)</f>
        <v>0.0</v>
      </c>
      <c r="K994" s="9" t="s">
        <v>768</v>
      </c>
    </row>
    <row r="995" spans="1:12" ht="60" customHeight="1">
      <c r="A995" s="6">
        <v>5</v>
      </c>
      <c r="B995" s="6">
        <v>2</v>
      </c>
      <c r="C995" s="6">
        <v>2</v>
      </c>
      <c r="D995" s="5" t="s">
        <v>603</v>
      </c>
      <c r="E995" s="9" t="s">
        <v>747</v>
      </c>
      <c r="F995" s="9" t="s">
        <v>749</v>
      </c>
      <c r="G995" s="9">
        <f>'有効抵抗土圧'!R18</f>
        <v>1732.3053254437868</v>
      </c>
      <c r="H995" s="64">
        <f>ROUND(G995,1)</f>
        <v>1732.3</v>
      </c>
      <c r="I995" s="65">
        <v>1732.3</v>
      </c>
      <c r="J995" s="9">
        <f>(H995-I995)</f>
        <v>0.0</v>
      </c>
      <c r="K995" s="9" t="s">
        <v>768</v>
      </c>
    </row>
    <row r="996" spans="1:12" ht="60" customHeight="1">
      <c r="A996" s="6">
        <v>5</v>
      </c>
      <c r="B996" s="6">
        <v>2</v>
      </c>
      <c r="C996" s="6">
        <v>2</v>
      </c>
      <c r="D996" s="5" t="s">
        <v>604</v>
      </c>
      <c r="E996" s="9" t="s">
        <v>745</v>
      </c>
      <c r="F996" s="9" t="s">
        <v>746</v>
      </c>
      <c r="G996" s="9">
        <f>'有効抵抗土圧'!R19</f>
        <v>2137.1923076923076</v>
      </c>
      <c r="H996" s="64">
        <f>ROUND(G996,1)</f>
        <v>2137.2</v>
      </c>
      <c r="I996" s="65">
        <v>2137.2</v>
      </c>
      <c r="J996" s="9">
        <f>(H996-I996)</f>
        <v>0.0</v>
      </c>
      <c r="K996" s="9" t="s">
        <v>769</v>
      </c>
    </row>
    <row r="997" spans="1:12" ht="60" customHeight="1">
      <c r="A997" s="6">
        <v>5</v>
      </c>
      <c r="B997" s="6">
        <v>2</v>
      </c>
      <c r="C997" s="6">
        <v>2</v>
      </c>
      <c r="D997" s="5" t="s">
        <v>604</v>
      </c>
      <c r="E997" s="9" t="s">
        <v>747</v>
      </c>
      <c r="F997" s="9" t="s">
        <v>746</v>
      </c>
      <c r="G997" s="9">
        <f>'有効抵抗土圧'!R20</f>
        <v>2310.8923076923074</v>
      </c>
      <c r="H997" s="64">
        <f>ROUND(G997,1)</f>
        <v>2310.9</v>
      </c>
      <c r="I997" s="65">
        <v>2310.9</v>
      </c>
      <c r="J997" s="9">
        <f>(H997-I997)</f>
        <v>0.0</v>
      </c>
      <c r="K997" s="9" t="s">
        <v>770</v>
      </c>
    </row>
    <row r="998" spans="1:12" ht="60" customHeight="1">
      <c r="A998" s="6">
        <v>5</v>
      </c>
      <c r="B998" s="6">
        <v>2</v>
      </c>
      <c r="C998" s="6">
        <v>2</v>
      </c>
      <c r="D998" s="5" t="s">
        <v>605</v>
      </c>
      <c r="E998" s="9" t="s">
        <v>745</v>
      </c>
      <c r="F998" s="9" t="s">
        <v>749</v>
      </c>
      <c r="G998" s="9">
        <f>'有効抵抗土圧'!R21</f>
        <v>3391.060949859857</v>
      </c>
      <c r="H998" s="64">
        <f>ROUND(G998,1)</f>
        <v>3391.1</v>
      </c>
      <c r="I998" s="65">
        <v>3391.1</v>
      </c>
      <c r="J998" s="9">
        <f>(H998-I998)</f>
        <v>0.0</v>
      </c>
      <c r="K998" s="9" t="s">
        <v>771</v>
      </c>
    </row>
    <row r="999" spans="1:12" ht="24" customHeight="1">
      <c r="A999" s="3" t="s">
        <v>737</v>
      </c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spans="1:12" ht="46" customHeight="1">
      <c r="A1000" s="4" t="s">
        <v>8</v>
      </c>
      <c r="B1000" s="4" t="s">
        <v>722</v>
      </c>
      <c r="C1000" s="4" t="s">
        <v>723</v>
      </c>
      <c r="D1000" s="4" t="s">
        <v>738</v>
      </c>
      <c r="E1000" s="4" t="s">
        <v>739</v>
      </c>
      <c r="F1000" s="4" t="s">
        <v>569</v>
      </c>
      <c r="G1000" s="4" t="s">
        <v>740</v>
      </c>
      <c r="H1000" s="4" t="s">
        <v>741</v>
      </c>
      <c r="I1000" s="4" t="s">
        <v>742</v>
      </c>
      <c r="J1000" s="4" t="s">
        <v>743</v>
      </c>
      <c r="K1000" s="4" t="s">
        <v>744</v>
      </c>
    </row>
    <row r="1001" spans="1:12" ht="60" customHeight="1">
      <c r="A1001" s="6">
        <v>5</v>
      </c>
      <c r="B1001" s="6">
        <v>2</v>
      </c>
      <c r="C1001" s="6">
        <v>2</v>
      </c>
      <c r="D1001" s="5" t="s">
        <v>605</v>
      </c>
      <c r="E1001" s="9" t="s">
        <v>747</v>
      </c>
      <c r="F1001" s="9" t="s">
        <v>749</v>
      </c>
      <c r="G1001" s="9">
        <f>'有効抵抗土圧'!R26</f>
        <v>3391.060949859857</v>
      </c>
      <c r="H1001" s="64">
        <f>ROUND(G1001,1)</f>
        <v>3391.1</v>
      </c>
      <c r="I1001" s="65">
        <v>3391.1</v>
      </c>
      <c r="J1001" s="9">
        <f>(H1001-I1001)</f>
        <v>0.0</v>
      </c>
      <c r="K1001" s="9" t="s">
        <v>771</v>
      </c>
    </row>
    <row r="1002" spans="1:12" ht="60" customHeight="1">
      <c r="A1002" s="6">
        <v>5</v>
      </c>
      <c r="B1002" s="6">
        <v>2</v>
      </c>
      <c r="C1002" s="6">
        <v>2</v>
      </c>
      <c r="D1002" s="5" t="s">
        <v>606</v>
      </c>
      <c r="E1002" s="9" t="s">
        <v>745</v>
      </c>
      <c r="F1002" s="9" t="s">
        <v>746</v>
      </c>
      <c r="G1002" s="9">
        <f>'有効抵抗土圧'!R27</f>
        <v>2576.3115789473686</v>
      </c>
      <c r="H1002" s="64">
        <f>ROUND(G1002,1)</f>
        <v>2576.3</v>
      </c>
      <c r="I1002" s="65">
        <v>2576.3</v>
      </c>
      <c r="J1002" s="9">
        <f>(H1002-I1002)</f>
        <v>0.0</v>
      </c>
      <c r="K1002" s="9" t="s">
        <v>772</v>
      </c>
    </row>
    <row r="1003" spans="1:12" ht="60" customHeight="1">
      <c r="A1003" s="6">
        <v>5</v>
      </c>
      <c r="B1003" s="6">
        <v>2</v>
      </c>
      <c r="C1003" s="6">
        <v>2</v>
      </c>
      <c r="D1003" s="5" t="s">
        <v>606</v>
      </c>
      <c r="E1003" s="9" t="s">
        <v>747</v>
      </c>
      <c r="F1003" s="9" t="s">
        <v>746</v>
      </c>
      <c r="G1003" s="9">
        <f>'有効抵抗土圧'!R28</f>
        <v>2757.7368421052633</v>
      </c>
      <c r="H1003" s="64">
        <f>ROUND(G1003,1)</f>
        <v>2757.7</v>
      </c>
      <c r="I1003" s="65">
        <v>2757.7</v>
      </c>
      <c r="J1003" s="9">
        <f>(H1003-I1003)</f>
        <v>0.0</v>
      </c>
      <c r="K1003" s="9" t="s">
        <v>773</v>
      </c>
    </row>
    <row r="1004" spans="1:12" ht="60" customHeight="1">
      <c r="A1004" s="6">
        <v>5</v>
      </c>
      <c r="B1004" s="6">
        <v>2</v>
      </c>
      <c r="C1004" s="6">
        <v>2</v>
      </c>
      <c r="D1004" s="5" t="s">
        <v>607</v>
      </c>
      <c r="E1004" s="9" t="s">
        <v>745</v>
      </c>
      <c r="F1004" s="9" t="s">
        <v>746</v>
      </c>
      <c r="G1004" s="9">
        <f>'有効抵抗土圧'!R29</f>
        <v>2757.7368421052633</v>
      </c>
      <c r="H1004" s="64">
        <f>ROUND(G1004,1)</f>
        <v>2757.7</v>
      </c>
      <c r="I1004" s="65">
        <v>2757.7</v>
      </c>
      <c r="J1004" s="9">
        <f>(H1004-I1004)</f>
        <v>0.0</v>
      </c>
      <c r="K1004" s="9" t="s">
        <v>773</v>
      </c>
    </row>
    <row r="1005" spans="1:12" ht="60" customHeight="1">
      <c r="A1005" s="6">
        <v>5</v>
      </c>
      <c r="B1005" s="6">
        <v>2</v>
      </c>
      <c r="C1005" s="6">
        <v>2</v>
      </c>
      <c r="D1005" s="5" t="s">
        <v>607</v>
      </c>
      <c r="E1005" s="9" t="s">
        <v>747</v>
      </c>
      <c r="F1005" s="9" t="s">
        <v>746</v>
      </c>
      <c r="G1005" s="9">
        <f>'有効抵抗土圧'!R30</f>
        <v>2939.1621052631576</v>
      </c>
      <c r="H1005" s="64">
        <f>ROUND(G1005,1)</f>
        <v>2939.2</v>
      </c>
      <c r="I1005" s="65">
        <v>2939.2</v>
      </c>
      <c r="J1005" s="9">
        <f>(H1005-I1005)</f>
        <v>0.0</v>
      </c>
      <c r="K1005" s="9" t="s">
        <v>774</v>
      </c>
    </row>
    <row r="1006" spans="1:12" ht="24" customHeight="1">
      <c r="A1006" s="3" t="s">
        <v>737</v>
      </c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</row>
    <row r="1007" spans="1:12" ht="46" customHeight="1">
      <c r="A1007" s="4" t="s">
        <v>8</v>
      </c>
      <c r="B1007" s="4" t="s">
        <v>722</v>
      </c>
      <c r="C1007" s="4" t="s">
        <v>723</v>
      </c>
      <c r="D1007" s="4" t="s">
        <v>738</v>
      </c>
      <c r="E1007" s="4" t="s">
        <v>739</v>
      </c>
      <c r="F1007" s="4" t="s">
        <v>569</v>
      </c>
      <c r="G1007" s="4" t="s">
        <v>740</v>
      </c>
      <c r="H1007" s="4" t="s">
        <v>741</v>
      </c>
      <c r="I1007" s="4" t="s">
        <v>742</v>
      </c>
      <c r="J1007" s="4" t="s">
        <v>743</v>
      </c>
      <c r="K1007" s="4" t="s">
        <v>744</v>
      </c>
    </row>
    <row r="1008" spans="1:12" ht="60" customHeight="1">
      <c r="A1008" s="6">
        <v>5</v>
      </c>
      <c r="B1008" s="6">
        <v>2</v>
      </c>
      <c r="C1008" s="6">
        <v>2</v>
      </c>
      <c r="D1008" s="5" t="s">
        <v>608</v>
      </c>
      <c r="E1008" s="9" t="s">
        <v>745</v>
      </c>
      <c r="F1008" s="9" t="s">
        <v>746</v>
      </c>
      <c r="G1008" s="9">
        <f>'有効抵抗土圧'!R31</f>
        <v>2939.1621052631576</v>
      </c>
      <c r="H1008" s="64">
        <f>ROUND(G1008,1)</f>
        <v>2939.2</v>
      </c>
      <c r="I1008" s="65">
        <v>2939.2</v>
      </c>
      <c r="J1008" s="9">
        <f>(H1008-I1008)</f>
        <v>0.0</v>
      </c>
      <c r="K1008" s="9" t="s">
        <v>774</v>
      </c>
    </row>
    <row r="1009" spans="1:12" ht="60" customHeight="1">
      <c r="A1009" s="6">
        <v>5</v>
      </c>
      <c r="B1009" s="6">
        <v>2</v>
      </c>
      <c r="C1009" s="6">
        <v>2</v>
      </c>
      <c r="D1009" s="5" t="s">
        <v>608</v>
      </c>
      <c r="E1009" s="9" t="s">
        <v>747</v>
      </c>
      <c r="F1009" s="9" t="s">
        <v>746</v>
      </c>
      <c r="G1009" s="9">
        <f>'有効抵抗土圧'!R32</f>
        <v>3120.587368421053</v>
      </c>
      <c r="H1009" s="64">
        <f>ROUND(G1009,1)</f>
        <v>3120.6</v>
      </c>
      <c r="I1009" s="65">
        <v>3120.6</v>
      </c>
      <c r="J1009" s="9">
        <f>(H1009-I1009)</f>
        <v>0.0</v>
      </c>
      <c r="K1009" s="9" t="s">
        <v>775</v>
      </c>
    </row>
    <row r="1010" spans="1:12" ht="60" customHeight="1">
      <c r="A1010" s="6">
        <v>5</v>
      </c>
      <c r="B1010" s="6">
        <v>2</v>
      </c>
      <c r="C1010" s="6">
        <v>2</v>
      </c>
      <c r="D1010" s="5" t="s">
        <v>609</v>
      </c>
      <c r="E1010" s="9" t="s">
        <v>745</v>
      </c>
      <c r="F1010" s="9" t="s">
        <v>746</v>
      </c>
      <c r="G1010" s="9">
        <f>'有効抵抗土圧'!R33</f>
        <v>3120.587368421053</v>
      </c>
      <c r="H1010" s="64">
        <f>ROUND(G1010,1)</f>
        <v>3120.6</v>
      </c>
      <c r="I1010" s="65">
        <v>3120.6</v>
      </c>
      <c r="J1010" s="9">
        <f>(H1010-I1010)</f>
        <v>0.0</v>
      </c>
      <c r="K1010" s="9" t="s">
        <v>775</v>
      </c>
    </row>
    <row r="1011" spans="1:12" ht="60" customHeight="1">
      <c r="A1011" s="6">
        <v>5</v>
      </c>
      <c r="B1011" s="6">
        <v>2</v>
      </c>
      <c r="C1011" s="6">
        <v>2</v>
      </c>
      <c r="D1011" s="5" t="s">
        <v>609</v>
      </c>
      <c r="E1011" s="9" t="s">
        <v>747</v>
      </c>
      <c r="F1011" s="9" t="s">
        <v>746</v>
      </c>
      <c r="G1011" s="9">
        <f>'有効抵抗土圧'!R34</f>
        <v>3302.0126315789475</v>
      </c>
      <c r="H1011" s="64">
        <f>ROUND(G1011,1)</f>
        <v>3302.0</v>
      </c>
      <c r="I1011" s="65">
        <v>3302</v>
      </c>
      <c r="J1011" s="9">
        <f>(H1011-I1011)</f>
        <v>0.0</v>
      </c>
      <c r="K1011" s="9" t="s">
        <v>776</v>
      </c>
    </row>
    <row r="1012" spans="1:12" ht="60" customHeight="1">
      <c r="A1012" s="6">
        <v>5</v>
      </c>
      <c r="B1012" s="6">
        <v>2</v>
      </c>
      <c r="C1012" s="6">
        <v>2</v>
      </c>
      <c r="D1012" s="5" t="s">
        <v>610</v>
      </c>
      <c r="E1012" s="9" t="s">
        <v>745</v>
      </c>
      <c r="F1012" s="9" t="s">
        <v>746</v>
      </c>
      <c r="G1012" s="9">
        <f>'有効抵抗土圧'!R35</f>
        <v>3302.0126315789475</v>
      </c>
      <c r="H1012" s="64">
        <f>ROUND(G1012,1)</f>
        <v>3302.0</v>
      </c>
      <c r="I1012" s="65">
        <v>3302</v>
      </c>
      <c r="J1012" s="9">
        <f>(H1012-I1012)</f>
        <v>0.0</v>
      </c>
      <c r="K1012" s="9" t="s">
        <v>776</v>
      </c>
    </row>
    <row r="1013" spans="1:12" ht="24" customHeight="1">
      <c r="A1013" s="3" t="s">
        <v>737</v>
      </c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</row>
    <row r="1014" spans="1:12" ht="46" customHeight="1">
      <c r="A1014" s="4" t="s">
        <v>8</v>
      </c>
      <c r="B1014" s="4" t="s">
        <v>722</v>
      </c>
      <c r="C1014" s="4" t="s">
        <v>723</v>
      </c>
      <c r="D1014" s="4" t="s">
        <v>738</v>
      </c>
      <c r="E1014" s="4" t="s">
        <v>739</v>
      </c>
      <c r="F1014" s="4" t="s">
        <v>569</v>
      </c>
      <c r="G1014" s="4" t="s">
        <v>740</v>
      </c>
      <c r="H1014" s="4" t="s">
        <v>741</v>
      </c>
      <c r="I1014" s="4" t="s">
        <v>742</v>
      </c>
      <c r="J1014" s="4" t="s">
        <v>743</v>
      </c>
      <c r="K1014" s="4" t="s">
        <v>744</v>
      </c>
    </row>
    <row r="1015" spans="1:12" ht="60" customHeight="1">
      <c r="A1015" s="6">
        <v>5</v>
      </c>
      <c r="B1015" s="6">
        <v>2</v>
      </c>
      <c r="C1015" s="6">
        <v>2</v>
      </c>
      <c r="D1015" s="5" t="s">
        <v>610</v>
      </c>
      <c r="E1015" s="9" t="s">
        <v>747</v>
      </c>
      <c r="F1015" s="9" t="s">
        <v>746</v>
      </c>
      <c r="G1015" s="9">
        <f>'有効抵抗土圧'!R36</f>
        <v>3483.437894736842</v>
      </c>
      <c r="H1015" s="64">
        <f>ROUND(G1015,1)</f>
        <v>3483.4</v>
      </c>
      <c r="I1015" s="65">
        <v>3483.4</v>
      </c>
      <c r="J1015" s="9">
        <f>(H1015-I1015)</f>
        <v>0.0</v>
      </c>
      <c r="K1015" s="9" t="s">
        <v>777</v>
      </c>
    </row>
    <row r="1016" spans="1:12" ht="60" customHeight="1">
      <c r="A1016" s="6">
        <v>5</v>
      </c>
      <c r="B1016" s="6">
        <v>2</v>
      </c>
      <c r="C1016" s="6">
        <v>2</v>
      </c>
      <c r="D1016" s="5" t="s">
        <v>611</v>
      </c>
      <c r="E1016" s="9" t="s">
        <v>745</v>
      </c>
      <c r="F1016" s="9" t="s">
        <v>746</v>
      </c>
      <c r="G1016" s="9">
        <f>'有効抵抗土圧'!R37</f>
        <v>3483.437894736842</v>
      </c>
      <c r="H1016" s="64">
        <f>ROUND(G1016,1)</f>
        <v>3483.4</v>
      </c>
      <c r="I1016" s="65">
        <v>3483.4</v>
      </c>
      <c r="J1016" s="9">
        <f>(H1016-I1016)</f>
        <v>0.0</v>
      </c>
      <c r="K1016" s="9" t="s">
        <v>777</v>
      </c>
    </row>
    <row r="1017" spans="1:12" ht="60" customHeight="1">
      <c r="A1017" s="6">
        <v>5</v>
      </c>
      <c r="B1017" s="6">
        <v>2</v>
      </c>
      <c r="C1017" s="6">
        <v>2</v>
      </c>
      <c r="D1017" s="5" t="s">
        <v>611</v>
      </c>
      <c r="E1017" s="9" t="s">
        <v>747</v>
      </c>
      <c r="F1017" s="9" t="s">
        <v>746</v>
      </c>
      <c r="G1017" s="9">
        <f>'有効抵抗土圧'!R38</f>
        <v>3664.8631578947366</v>
      </c>
      <c r="H1017" s="64">
        <f>ROUND(G1017,1)</f>
        <v>3664.9</v>
      </c>
      <c r="I1017" s="65">
        <v>3664.9</v>
      </c>
      <c r="J1017" s="9">
        <f>(H1017-I1017)</f>
        <v>0.0</v>
      </c>
      <c r="K1017" s="9" t="s">
        <v>778</v>
      </c>
    </row>
    <row r="1018" spans="1:12" ht="60" customHeight="1">
      <c r="A1018" s="6">
        <v>5</v>
      </c>
      <c r="B1018" s="6">
        <v>2</v>
      </c>
      <c r="C1018" s="6">
        <v>2</v>
      </c>
      <c r="D1018" s="5" t="s">
        <v>612</v>
      </c>
      <c r="E1018" s="9" t="s">
        <v>745</v>
      </c>
      <c r="F1018" s="9" t="s">
        <v>746</v>
      </c>
      <c r="G1018" s="9">
        <f>'有効抵抗土圧'!R39</f>
        <v>3664.8631578947366</v>
      </c>
      <c r="H1018" s="64">
        <f>ROUND(G1018,1)</f>
        <v>3664.9</v>
      </c>
      <c r="I1018" s="65">
        <v>3664.9</v>
      </c>
      <c r="J1018" s="9">
        <f>(H1018-I1018)</f>
        <v>0.0</v>
      </c>
      <c r="K1018" s="9" t="s">
        <v>778</v>
      </c>
    </row>
    <row r="1019" spans="1:12" ht="60" customHeight="1">
      <c r="A1019" s="6">
        <v>5</v>
      </c>
      <c r="B1019" s="6">
        <v>2</v>
      </c>
      <c r="C1019" s="6">
        <v>2</v>
      </c>
      <c r="D1019" s="5" t="s">
        <v>612</v>
      </c>
      <c r="E1019" s="9" t="s">
        <v>747</v>
      </c>
      <c r="F1019" s="9" t="s">
        <v>746</v>
      </c>
      <c r="G1019" s="9">
        <f>'有効抵抗土圧'!R40</f>
        <v>3846.2884210526313</v>
      </c>
      <c r="H1019" s="64">
        <f>ROUND(G1019,1)</f>
        <v>3846.3</v>
      </c>
      <c r="I1019" s="65">
        <v>3846.3</v>
      </c>
      <c r="J1019" s="9">
        <f>(H1019-I1019)</f>
        <v>0.0</v>
      </c>
      <c r="K1019" s="9" t="s">
        <v>779</v>
      </c>
    </row>
    <row r="1020" spans="1:12" ht="24" customHeight="1">
      <c r="A1020" s="3" t="s">
        <v>737</v>
      </c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</row>
    <row r="1021" spans="1:12" ht="46" customHeight="1">
      <c r="A1021" s="4" t="s">
        <v>8</v>
      </c>
      <c r="B1021" s="4" t="s">
        <v>722</v>
      </c>
      <c r="C1021" s="4" t="s">
        <v>723</v>
      </c>
      <c r="D1021" s="4" t="s">
        <v>738</v>
      </c>
      <c r="E1021" s="4" t="s">
        <v>739</v>
      </c>
      <c r="F1021" s="4" t="s">
        <v>569</v>
      </c>
      <c r="G1021" s="4" t="s">
        <v>740</v>
      </c>
      <c r="H1021" s="4" t="s">
        <v>741</v>
      </c>
      <c r="I1021" s="4" t="s">
        <v>742</v>
      </c>
      <c r="J1021" s="4" t="s">
        <v>743</v>
      </c>
      <c r="K1021" s="4" t="s">
        <v>744</v>
      </c>
    </row>
    <row r="1022" spans="1:12" ht="60" customHeight="1">
      <c r="A1022" s="6">
        <v>5</v>
      </c>
      <c r="B1022" s="6">
        <v>2</v>
      </c>
      <c r="C1022" s="6">
        <v>2</v>
      </c>
      <c r="D1022" s="5" t="s">
        <v>613</v>
      </c>
      <c r="E1022" s="9" t="s">
        <v>745</v>
      </c>
      <c r="F1022" s="9" t="s">
        <v>749</v>
      </c>
      <c r="G1022" s="9">
        <f>'有効抵抗土圧'!R41</f>
        <v>2336.2837246963563</v>
      </c>
      <c r="H1022" s="64">
        <f>ROUND(G1022,1)</f>
        <v>2336.3</v>
      </c>
      <c r="I1022" s="65">
        <v>2336.3</v>
      </c>
      <c r="J1022" s="9">
        <f>(H1022-I1022)</f>
        <v>0.0</v>
      </c>
      <c r="K1022" s="9" t="s">
        <v>780</v>
      </c>
    </row>
    <row r="1023" spans="1:12" ht="60" customHeight="1">
      <c r="A1023" s="6">
        <v>5</v>
      </c>
      <c r="B1023" s="6">
        <v>2</v>
      </c>
      <c r="C1023" s="6">
        <v>2</v>
      </c>
      <c r="D1023" s="5" t="s">
        <v>613</v>
      </c>
      <c r="E1023" s="9" t="s">
        <v>747</v>
      </c>
      <c r="F1023" s="9" t="s">
        <v>749</v>
      </c>
      <c r="G1023" s="9">
        <f>'有効抵抗土圧'!R44</f>
        <v>2336.2837246963563</v>
      </c>
      <c r="H1023" s="64">
        <f>ROUND(G1023,1)</f>
        <v>2336.3</v>
      </c>
      <c r="I1023" s="65">
        <v>2336.3</v>
      </c>
      <c r="J1023" s="9">
        <f>(H1023-I1023)</f>
        <v>0.0</v>
      </c>
      <c r="K1023" s="9" t="s">
        <v>780</v>
      </c>
    </row>
    <row r="1024" spans="1:12" ht="23" customHeight="1">
      <c r="A1024" s="6">
        <v>5</v>
      </c>
      <c r="B1024" s="6">
        <v>2</v>
      </c>
      <c r="C1024" s="6">
        <v>2</v>
      </c>
      <c r="D1024" s="5" t="s">
        <v>614</v>
      </c>
      <c r="E1024" s="9" t="s">
        <v>745</v>
      </c>
      <c r="F1024" s="9" t="s">
        <v>746</v>
      </c>
      <c r="G1024" s="9">
        <f>'有効抵抗土圧'!R45</f>
        <v>2059.2</v>
      </c>
      <c r="H1024" s="64">
        <f>ROUND(G1024,1)</f>
        <v>2059.2</v>
      </c>
      <c r="I1024" s="65">
        <v>2059.2</v>
      </c>
      <c r="J1024" s="9">
        <f>(H1024-I1024)</f>
        <v>0.0</v>
      </c>
      <c r="K1024" s="9" t="s">
        <v>299</v>
      </c>
    </row>
    <row r="1025" spans="1:12" ht="23" customHeight="1">
      <c r="A1025" s="6">
        <v>5</v>
      </c>
      <c r="B1025" s="6">
        <v>2</v>
      </c>
      <c r="C1025" s="6">
        <v>2</v>
      </c>
      <c r="D1025" s="5" t="s">
        <v>614</v>
      </c>
      <c r="E1025" s="9" t="s">
        <v>747</v>
      </c>
      <c r="F1025" s="9" t="s">
        <v>746</v>
      </c>
      <c r="G1025" s="9">
        <f>'有効抵抗土圧'!R46</f>
        <v>2059.2</v>
      </c>
      <c r="H1025" s="64">
        <f>ROUND(G1025,1)</f>
        <v>2059.2</v>
      </c>
      <c r="I1025" s="65">
        <v>2059.2</v>
      </c>
      <c r="J1025" s="9">
        <f>(H1025-I1025)</f>
        <v>0.0</v>
      </c>
      <c r="K1025" s="9" t="s">
        <v>299</v>
      </c>
    </row>
    <row r="1026" spans="1:12" ht="23" customHeight="1">
      <c r="A1026" s="6">
        <v>5</v>
      </c>
      <c r="B1026" s="6">
        <v>2</v>
      </c>
      <c r="C1026" s="6">
        <v>2</v>
      </c>
      <c r="D1026" s="5" t="s">
        <v>615</v>
      </c>
      <c r="E1026" s="9" t="s">
        <v>745</v>
      </c>
      <c r="F1026" s="9" t="s">
        <v>746</v>
      </c>
      <c r="G1026" s="9">
        <f>'有効抵抗土圧'!R47</f>
        <v>2059.2</v>
      </c>
      <c r="H1026" s="64">
        <f>ROUND(G1026,1)</f>
        <v>2059.2</v>
      </c>
      <c r="I1026" s="65">
        <v>2059.2</v>
      </c>
      <c r="J1026" s="9">
        <f>(H1026-I1026)</f>
        <v>0.0</v>
      </c>
      <c r="K1026" s="9" t="s">
        <v>299</v>
      </c>
    </row>
    <row r="1027" spans="1:12" ht="23" customHeight="1">
      <c r="A1027" s="6">
        <v>5</v>
      </c>
      <c r="B1027" s="6">
        <v>2</v>
      </c>
      <c r="C1027" s="6">
        <v>2</v>
      </c>
      <c r="D1027" s="5" t="s">
        <v>615</v>
      </c>
      <c r="E1027" s="9" t="s">
        <v>747</v>
      </c>
      <c r="F1027" s="9" t="s">
        <v>746</v>
      </c>
      <c r="G1027" s="9">
        <f>'有効抵抗土圧'!R48</f>
        <v>2059.2</v>
      </c>
      <c r="H1027" s="64">
        <f>ROUND(G1027,1)</f>
        <v>2059.2</v>
      </c>
      <c r="I1027" s="65">
        <v>2059.2</v>
      </c>
      <c r="J1027" s="9">
        <f>(H1027-I1027)</f>
        <v>0.0</v>
      </c>
      <c r="K1027" s="9" t="s">
        <v>299</v>
      </c>
    </row>
    <row r="1028" spans="1:12" ht="23" customHeight="1">
      <c r="A1028" s="6">
        <v>5</v>
      </c>
      <c r="B1028" s="6">
        <v>2</v>
      </c>
      <c r="C1028" s="6">
        <v>2</v>
      </c>
      <c r="D1028" s="5" t="s">
        <v>616</v>
      </c>
      <c r="E1028" s="9" t="s">
        <v>745</v>
      </c>
      <c r="F1028" s="9" t="s">
        <v>746</v>
      </c>
      <c r="G1028" s="9">
        <f>'有効抵抗土圧'!R49</f>
        <v>2059.2</v>
      </c>
      <c r="H1028" s="64">
        <f>ROUND(G1028,1)</f>
        <v>2059.2</v>
      </c>
      <c r="I1028" s="65">
        <v>2059.2</v>
      </c>
      <c r="J1028" s="9">
        <f>(H1028-I1028)</f>
        <v>0.0</v>
      </c>
      <c r="K1028" s="9" t="s">
        <v>299</v>
      </c>
    </row>
    <row r="1029" spans="1:12" ht="23" customHeight="1">
      <c r="A1029" s="6">
        <v>5</v>
      </c>
      <c r="B1029" s="6">
        <v>2</v>
      </c>
      <c r="C1029" s="6">
        <v>2</v>
      </c>
      <c r="D1029" s="5" t="s">
        <v>616</v>
      </c>
      <c r="E1029" s="9" t="s">
        <v>747</v>
      </c>
      <c r="F1029" s="9" t="s">
        <v>746</v>
      </c>
      <c r="G1029" s="9">
        <f>'有効抵抗土圧'!R50</f>
        <v>2059.2</v>
      </c>
      <c r="H1029" s="64">
        <f>ROUND(G1029,1)</f>
        <v>2059.2</v>
      </c>
      <c r="I1029" s="65">
        <v>2059.2</v>
      </c>
      <c r="J1029" s="9">
        <f>(H1029-I1029)</f>
        <v>0.0</v>
      </c>
      <c r="K1029" s="9" t="s">
        <v>299</v>
      </c>
    </row>
    <row r="1030" spans="1:12" ht="23" customHeight="1">
      <c r="A1030" s="6">
        <v>5</v>
      </c>
      <c r="B1030" s="6">
        <v>2</v>
      </c>
      <c r="C1030" s="6">
        <v>2</v>
      </c>
      <c r="D1030" s="5" t="s">
        <v>617</v>
      </c>
      <c r="E1030" s="9" t="s">
        <v>745</v>
      </c>
      <c r="F1030" s="9" t="s">
        <v>746</v>
      </c>
      <c r="G1030" s="9">
        <f>'有効抵抗土圧'!R51</f>
        <v>2059.2</v>
      </c>
      <c r="H1030" s="64">
        <f>ROUND(G1030,1)</f>
        <v>2059.2</v>
      </c>
      <c r="I1030" s="65">
        <v>2059.2</v>
      </c>
      <c r="J1030" s="9">
        <f>(H1030-I1030)</f>
        <v>0.0</v>
      </c>
      <c r="K1030" s="9" t="s">
        <v>299</v>
      </c>
    </row>
    <row r="1031" spans="1:12" ht="23" customHeight="1">
      <c r="A1031" s="6">
        <v>5</v>
      </c>
      <c r="B1031" s="6">
        <v>2</v>
      </c>
      <c r="C1031" s="6">
        <v>2</v>
      </c>
      <c r="D1031" s="5" t="s">
        <v>617</v>
      </c>
      <c r="E1031" s="9" t="s">
        <v>747</v>
      </c>
      <c r="F1031" s="9" t="s">
        <v>746</v>
      </c>
      <c r="G1031" s="9">
        <f>'有効抵抗土圧'!R52</f>
        <v>2059.2</v>
      </c>
      <c r="H1031" s="64">
        <f>ROUND(G1031,1)</f>
        <v>2059.2</v>
      </c>
      <c r="I1031" s="65">
        <v>2059.2</v>
      </c>
      <c r="J1031" s="9">
        <f>(H1031-I1031)</f>
        <v>0.0</v>
      </c>
      <c r="K1031" s="9" t="s">
        <v>299</v>
      </c>
    </row>
    <row r="1032" spans="1:12" ht="23" customHeight="1">
      <c r="A1032" s="6">
        <v>5</v>
      </c>
      <c r="B1032" s="6">
        <v>2</v>
      </c>
      <c r="C1032" s="6">
        <v>2</v>
      </c>
      <c r="D1032" s="5" t="s">
        <v>618</v>
      </c>
      <c r="E1032" s="9" t="s">
        <v>745</v>
      </c>
      <c r="F1032" s="9" t="s">
        <v>746</v>
      </c>
      <c r="G1032" s="9">
        <f>'有効抵抗土圧'!R53</f>
        <v>2059.2</v>
      </c>
      <c r="H1032" s="64">
        <f>ROUND(G1032,1)</f>
        <v>2059.2</v>
      </c>
      <c r="I1032" s="65">
        <v>2059.2</v>
      </c>
      <c r="J1032" s="9">
        <f>(H1032-I1032)</f>
        <v>0.0</v>
      </c>
      <c r="K1032" s="9" t="s">
        <v>299</v>
      </c>
    </row>
    <row r="1033" spans="1:12" ht="24" customHeight="1">
      <c r="A1033" s="3" t="s">
        <v>737</v>
      </c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</row>
    <row r="1034" spans="1:12" ht="46" customHeight="1">
      <c r="A1034" s="4" t="s">
        <v>8</v>
      </c>
      <c r="B1034" s="4" t="s">
        <v>722</v>
      </c>
      <c r="C1034" s="4" t="s">
        <v>723</v>
      </c>
      <c r="D1034" s="4" t="s">
        <v>738</v>
      </c>
      <c r="E1034" s="4" t="s">
        <v>739</v>
      </c>
      <c r="F1034" s="4" t="s">
        <v>569</v>
      </c>
      <c r="G1034" s="4" t="s">
        <v>740</v>
      </c>
      <c r="H1034" s="4" t="s">
        <v>741</v>
      </c>
      <c r="I1034" s="4" t="s">
        <v>742</v>
      </c>
      <c r="J1034" s="4" t="s">
        <v>743</v>
      </c>
      <c r="K1034" s="4" t="s">
        <v>744</v>
      </c>
    </row>
    <row r="1035" spans="1:12" ht="23" customHeight="1">
      <c r="A1035" s="6">
        <v>5</v>
      </c>
      <c r="B1035" s="6">
        <v>2</v>
      </c>
      <c r="C1035" s="6">
        <v>2</v>
      </c>
      <c r="D1035" s="5" t="s">
        <v>618</v>
      </c>
      <c r="E1035" s="9" t="s">
        <v>747</v>
      </c>
      <c r="F1035" s="9" t="s">
        <v>746</v>
      </c>
      <c r="G1035" s="9">
        <f>'有効抵抗土圧'!R54</f>
        <v>2059.2</v>
      </c>
      <c r="H1035" s="64">
        <f>ROUND(G1035,1)</f>
        <v>2059.2</v>
      </c>
      <c r="I1035" s="65">
        <v>2059.2</v>
      </c>
      <c r="J1035" s="9">
        <f>(H1035-I1035)</f>
        <v>0.0</v>
      </c>
      <c r="K1035" s="9" t="s">
        <v>299</v>
      </c>
    </row>
    <row r="1036" spans="1:12" ht="23" customHeight="1">
      <c r="A1036" s="6">
        <v>5</v>
      </c>
      <c r="B1036" s="6">
        <v>2</v>
      </c>
      <c r="C1036" s="6">
        <v>2</v>
      </c>
      <c r="D1036" s="5" t="s">
        <v>619</v>
      </c>
      <c r="E1036" s="9" t="s">
        <v>745</v>
      </c>
      <c r="F1036" s="9" t="s">
        <v>746</v>
      </c>
      <c r="G1036" s="9">
        <f>'有効抵抗土圧'!R55</f>
        <v>2059.2</v>
      </c>
      <c r="H1036" s="64">
        <f>ROUND(G1036,1)</f>
        <v>2059.2</v>
      </c>
      <c r="I1036" s="65">
        <v>2059.2</v>
      </c>
      <c r="J1036" s="9">
        <f>(H1036-I1036)</f>
        <v>0.0</v>
      </c>
      <c r="K1036" s="9" t="s">
        <v>299</v>
      </c>
    </row>
    <row r="1037" spans="1:12" ht="23" customHeight="1">
      <c r="A1037" s="6">
        <v>5</v>
      </c>
      <c r="B1037" s="6">
        <v>2</v>
      </c>
      <c r="C1037" s="6">
        <v>2</v>
      </c>
      <c r="D1037" s="5" t="s">
        <v>619</v>
      </c>
      <c r="E1037" s="9" t="s">
        <v>747</v>
      </c>
      <c r="F1037" s="9" t="s">
        <v>746</v>
      </c>
      <c r="G1037" s="9">
        <f>'有効抵抗土圧'!R56</f>
        <v>2059.2</v>
      </c>
      <c r="H1037" s="64">
        <f>ROUND(G1037,1)</f>
        <v>2059.2</v>
      </c>
      <c r="I1037" s="65">
        <v>2059.2</v>
      </c>
      <c r="J1037" s="9">
        <f>(H1037-I1037)</f>
        <v>0.0</v>
      </c>
      <c r="K1037" s="9" t="s">
        <v>299</v>
      </c>
    </row>
    <row r="1038" spans="1:12" ht="23" customHeight="1">
      <c r="A1038" s="6">
        <v>5</v>
      </c>
      <c r="B1038" s="6">
        <v>2</v>
      </c>
      <c r="C1038" s="6">
        <v>2</v>
      </c>
      <c r="D1038" s="5" t="s">
        <v>620</v>
      </c>
      <c r="E1038" s="9" t="s">
        <v>745</v>
      </c>
      <c r="F1038" s="9" t="s">
        <v>746</v>
      </c>
      <c r="G1038" s="9">
        <f>'有効抵抗土圧'!R57</f>
        <v>2059.2</v>
      </c>
      <c r="H1038" s="64">
        <f>ROUND(G1038,1)</f>
        <v>2059.2</v>
      </c>
      <c r="I1038" s="65">
        <v>2059.2</v>
      </c>
      <c r="J1038" s="9">
        <f>(H1038-I1038)</f>
        <v>0.0</v>
      </c>
      <c r="K1038" s="9" t="s">
        <v>299</v>
      </c>
    </row>
    <row r="1039" spans="1:12" ht="23" customHeight="1">
      <c r="A1039" s="6">
        <v>5</v>
      </c>
      <c r="B1039" s="6">
        <v>2</v>
      </c>
      <c r="C1039" s="6">
        <v>2</v>
      </c>
      <c r="D1039" s="5" t="s">
        <v>620</v>
      </c>
      <c r="E1039" s="9" t="s">
        <v>747</v>
      </c>
      <c r="F1039" s="9" t="s">
        <v>746</v>
      </c>
      <c r="G1039" s="9">
        <f>'有効抵抗土圧'!R58</f>
        <v>2059.2</v>
      </c>
      <c r="H1039" s="64">
        <f>ROUND(G1039,1)</f>
        <v>2059.2</v>
      </c>
      <c r="I1039" s="65">
        <v>2059.2</v>
      </c>
      <c r="J1039" s="9">
        <f>(H1039-I1039)</f>
        <v>0.0</v>
      </c>
      <c r="K1039" s="9" t="s">
        <v>299</v>
      </c>
    </row>
    <row r="1040" spans="1:12" ht="23" customHeight="1">
      <c r="A1040" s="6">
        <v>5</v>
      </c>
      <c r="B1040" s="6">
        <v>2</v>
      </c>
      <c r="C1040" s="6">
        <v>2</v>
      </c>
      <c r="D1040" s="5" t="s">
        <v>621</v>
      </c>
      <c r="E1040" s="9" t="s">
        <v>745</v>
      </c>
      <c r="F1040" s="9" t="s">
        <v>746</v>
      </c>
      <c r="G1040" s="9">
        <f>'有効抵抗土圧'!R59</f>
        <v>2059.2</v>
      </c>
      <c r="H1040" s="64">
        <f>ROUND(G1040,1)</f>
        <v>2059.2</v>
      </c>
      <c r="I1040" s="65">
        <v>2059.2</v>
      </c>
      <c r="J1040" s="9">
        <f>(H1040-I1040)</f>
        <v>0.0</v>
      </c>
      <c r="K1040" s="9" t="s">
        <v>299</v>
      </c>
    </row>
    <row r="1041" spans="1:12" ht="23" customHeight="1">
      <c r="A1041" s="6">
        <v>5</v>
      </c>
      <c r="B1041" s="6">
        <v>2</v>
      </c>
      <c r="C1041" s="6">
        <v>2</v>
      </c>
      <c r="D1041" s="5" t="s">
        <v>621</v>
      </c>
      <c r="E1041" s="9" t="s">
        <v>747</v>
      </c>
      <c r="F1041" s="9" t="s">
        <v>746</v>
      </c>
      <c r="G1041" s="9">
        <f>'有効抵抗土圧'!R60</f>
        <v>2059.2</v>
      </c>
      <c r="H1041" s="64">
        <f>ROUND(G1041,1)</f>
        <v>2059.2</v>
      </c>
      <c r="I1041" s="65">
        <v>2059.2</v>
      </c>
      <c r="J1041" s="9">
        <f>(H1041-I1041)</f>
        <v>0.0</v>
      </c>
      <c r="K1041" s="9" t="s">
        <v>299</v>
      </c>
    </row>
    <row r="1042" spans="1:12" ht="23" customHeight="1">
      <c r="A1042" s="6">
        <v>5</v>
      </c>
      <c r="B1042" s="6">
        <v>2</v>
      </c>
      <c r="C1042" s="6">
        <v>2</v>
      </c>
      <c r="D1042" s="5" t="s">
        <v>622</v>
      </c>
      <c r="E1042" s="9" t="s">
        <v>745</v>
      </c>
      <c r="F1042" s="9" t="s">
        <v>746</v>
      </c>
      <c r="G1042" s="9">
        <f>'有効抵抗土圧'!R61</f>
        <v>2059.2</v>
      </c>
      <c r="H1042" s="64">
        <f>ROUND(G1042,1)</f>
        <v>2059.2</v>
      </c>
      <c r="I1042" s="65">
        <v>2059.2</v>
      </c>
      <c r="J1042" s="9">
        <f>(H1042-I1042)</f>
        <v>0.0</v>
      </c>
      <c r="K1042" s="9" t="s">
        <v>299</v>
      </c>
    </row>
    <row r="1043" spans="1:12" ht="23" customHeight="1">
      <c r="A1043" s="6">
        <v>5</v>
      </c>
      <c r="B1043" s="6">
        <v>2</v>
      </c>
      <c r="C1043" s="6">
        <v>2</v>
      </c>
      <c r="D1043" s="5" t="s">
        <v>622</v>
      </c>
      <c r="E1043" s="9" t="s">
        <v>747</v>
      </c>
      <c r="F1043" s="9" t="s">
        <v>746</v>
      </c>
      <c r="G1043" s="9">
        <f>'有効抵抗土圧'!R62</f>
        <v>2059.2</v>
      </c>
      <c r="H1043" s="64">
        <f>ROUND(G1043,1)</f>
        <v>2059.2</v>
      </c>
      <c r="I1043" s="65">
        <v>2059.2</v>
      </c>
      <c r="J1043" s="9">
        <f>(H1043-I1043)</f>
        <v>0.0</v>
      </c>
      <c r="K1043" s="9" t="s">
        <v>299</v>
      </c>
    </row>
    <row r="1044" spans="1:12" ht="23" customHeight="1">
      <c r="A1044" s="6">
        <v>6</v>
      </c>
      <c r="B1044" s="6">
        <v>3</v>
      </c>
      <c r="C1044" s="6">
        <v>1</v>
      </c>
      <c r="D1044" s="5" t="s">
        <v>623</v>
      </c>
      <c r="E1044" s="9" t="s">
        <v>745</v>
      </c>
      <c r="F1044" s="9" t="s">
        <v>746</v>
      </c>
      <c r="G1044" s="9">
        <f>'有効抵抗土圧'!AA3</f>
        <v>2907.3</v>
      </c>
      <c r="H1044" s="64">
        <f>ROUND(G1044,1)</f>
        <v>2907.3</v>
      </c>
      <c r="I1044" s="65">
        <v>2907.3</v>
      </c>
      <c r="J1044" s="9">
        <f>(H1044-I1044)</f>
        <v>0.0</v>
      </c>
      <c r="K1044" s="9" t="s">
        <v>301</v>
      </c>
    </row>
    <row r="1045" spans="1:12" ht="23" customHeight="1">
      <c r="A1045" s="6">
        <v>6</v>
      </c>
      <c r="B1045" s="6">
        <v>3</v>
      </c>
      <c r="C1045" s="6">
        <v>1</v>
      </c>
      <c r="D1045" s="5" t="s">
        <v>623</v>
      </c>
      <c r="E1045" s="9" t="s">
        <v>747</v>
      </c>
      <c r="F1045" s="9" t="s">
        <v>746</v>
      </c>
      <c r="G1045" s="9">
        <f>'有効抵抗土圧'!AA4</f>
        <v>3268.7000000000003</v>
      </c>
      <c r="H1045" s="64">
        <f>ROUND(G1045,1)</f>
        <v>3268.7</v>
      </c>
      <c r="I1045" s="65">
        <v>3268.7</v>
      </c>
      <c r="J1045" s="9">
        <f>(H1045-I1045)</f>
        <v>0.0</v>
      </c>
      <c r="K1045" s="9" t="s">
        <v>781</v>
      </c>
    </row>
    <row r="1046" spans="1:12" ht="60" customHeight="1">
      <c r="A1046" s="6">
        <v>6</v>
      </c>
      <c r="B1046" s="6">
        <v>3</v>
      </c>
      <c r="C1046" s="6">
        <v>1</v>
      </c>
      <c r="D1046" s="5" t="s">
        <v>624</v>
      </c>
      <c r="E1046" s="9" t="s">
        <v>745</v>
      </c>
      <c r="F1046" s="9" t="s">
        <v>749</v>
      </c>
      <c r="G1046" s="9">
        <f>'有効抵抗土圧'!AA5</f>
        <v>4972.489940828404</v>
      </c>
      <c r="H1046" s="64">
        <f>ROUND(G1046,1)</f>
        <v>4972.5</v>
      </c>
      <c r="I1046" s="65">
        <v>4972.5</v>
      </c>
      <c r="J1046" s="9">
        <f>(H1046-I1046)</f>
        <v>0.0</v>
      </c>
      <c r="K1046" s="9" t="s">
        <v>782</v>
      </c>
    </row>
    <row r="1047" spans="1:12" ht="24" customHeight="1">
      <c r="A1047" s="3" t="s">
        <v>737</v>
      </c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</row>
    <row r="1048" spans="1:12" ht="46" customHeight="1">
      <c r="A1048" s="4" t="s">
        <v>8</v>
      </c>
      <c r="B1048" s="4" t="s">
        <v>722</v>
      </c>
      <c r="C1048" s="4" t="s">
        <v>723</v>
      </c>
      <c r="D1048" s="4" t="s">
        <v>738</v>
      </c>
      <c r="E1048" s="4" t="s">
        <v>739</v>
      </c>
      <c r="F1048" s="4" t="s">
        <v>569</v>
      </c>
      <c r="G1048" s="4" t="s">
        <v>740</v>
      </c>
      <c r="H1048" s="4" t="s">
        <v>741</v>
      </c>
      <c r="I1048" s="4" t="s">
        <v>742</v>
      </c>
      <c r="J1048" s="4" t="s">
        <v>743</v>
      </c>
      <c r="K1048" s="4" t="s">
        <v>744</v>
      </c>
    </row>
    <row r="1049" spans="1:12" ht="60" customHeight="1">
      <c r="A1049" s="6">
        <v>6</v>
      </c>
      <c r="B1049" s="6">
        <v>3</v>
      </c>
      <c r="C1049" s="6">
        <v>1</v>
      </c>
      <c r="D1049" s="5" t="s">
        <v>624</v>
      </c>
      <c r="E1049" s="9" t="s">
        <v>747</v>
      </c>
      <c r="F1049" s="9" t="s">
        <v>749</v>
      </c>
      <c r="G1049" s="9">
        <f>'有効抵抗土圧'!AA8</f>
        <v>4972.489940828404</v>
      </c>
      <c r="H1049" s="64">
        <f>ROUND(G1049,1)</f>
        <v>4972.5</v>
      </c>
      <c r="I1049" s="65">
        <v>4972.5</v>
      </c>
      <c r="J1049" s="9">
        <f>(H1049-I1049)</f>
        <v>0.0</v>
      </c>
      <c r="K1049" s="9" t="s">
        <v>782</v>
      </c>
    </row>
    <row r="1050" spans="1:12" ht="60" customHeight="1">
      <c r="A1050" s="6">
        <v>6</v>
      </c>
      <c r="B1050" s="6">
        <v>3</v>
      </c>
      <c r="C1050" s="6">
        <v>1</v>
      </c>
      <c r="D1050" s="5" t="s">
        <v>625</v>
      </c>
      <c r="E1050" s="9" t="s">
        <v>745</v>
      </c>
      <c r="F1050" s="9" t="s">
        <v>749</v>
      </c>
      <c r="G1050" s="9">
        <f>'有効抵抗土圧'!AA9</f>
        <v>2339.063905325444</v>
      </c>
      <c r="H1050" s="64">
        <f>ROUND(G1050,1)</f>
        <v>2339.1</v>
      </c>
      <c r="I1050" s="65">
        <v>2339.1</v>
      </c>
      <c r="J1050" s="9">
        <f>(H1050-I1050)</f>
        <v>0.0</v>
      </c>
      <c r="K1050" s="9" t="s">
        <v>783</v>
      </c>
    </row>
    <row r="1051" spans="1:12" ht="60" customHeight="1">
      <c r="A1051" s="6">
        <v>6</v>
      </c>
      <c r="B1051" s="6">
        <v>3</v>
      </c>
      <c r="C1051" s="6">
        <v>1</v>
      </c>
      <c r="D1051" s="5" t="s">
        <v>625</v>
      </c>
      <c r="E1051" s="9" t="s">
        <v>747</v>
      </c>
      <c r="F1051" s="9" t="s">
        <v>749</v>
      </c>
      <c r="G1051" s="9">
        <f>'有効抵抗土圧'!AA12</f>
        <v>2339.063905325444</v>
      </c>
      <c r="H1051" s="64">
        <f>ROUND(G1051,1)</f>
        <v>2339.1</v>
      </c>
      <c r="I1051" s="65">
        <v>2339.1</v>
      </c>
      <c r="J1051" s="9">
        <f>(H1051-I1051)</f>
        <v>0.0</v>
      </c>
      <c r="K1051" s="9" t="s">
        <v>783</v>
      </c>
    </row>
    <row r="1052" spans="1:12" ht="23" customHeight="1">
      <c r="A1052" s="6">
        <v>6</v>
      </c>
      <c r="B1052" s="6">
        <v>3</v>
      </c>
      <c r="C1052" s="6">
        <v>1</v>
      </c>
      <c r="D1052" s="5" t="s">
        <v>626</v>
      </c>
      <c r="E1052" s="9" t="s">
        <v>745</v>
      </c>
      <c r="F1052" s="9" t="s">
        <v>746</v>
      </c>
      <c r="G1052" s="9">
        <f>'有効抵抗土圧'!AA13</f>
        <v>1755.0</v>
      </c>
      <c r="H1052" s="64">
        <f>ROUND(G1052,1)</f>
        <v>1755.0</v>
      </c>
      <c r="I1052" s="65">
        <v>1755</v>
      </c>
      <c r="J1052" s="9">
        <f>(H1052-I1052)</f>
        <v>0.0</v>
      </c>
      <c r="K1052" s="9" t="s">
        <v>280</v>
      </c>
    </row>
    <row r="1053" spans="1:12" ht="23" customHeight="1">
      <c r="A1053" s="6">
        <v>6</v>
      </c>
      <c r="B1053" s="6">
        <v>3</v>
      </c>
      <c r="C1053" s="6">
        <v>1</v>
      </c>
      <c r="D1053" s="5" t="s">
        <v>626</v>
      </c>
      <c r="E1053" s="9" t="s">
        <v>747</v>
      </c>
      <c r="F1053" s="9" t="s">
        <v>746</v>
      </c>
      <c r="G1053" s="9">
        <f>'有効抵抗土圧'!AA14</f>
        <v>1755.0</v>
      </c>
      <c r="H1053" s="64">
        <f>ROUND(G1053,1)</f>
        <v>1755.0</v>
      </c>
      <c r="I1053" s="65">
        <v>1755</v>
      </c>
      <c r="J1053" s="9">
        <f>(H1053-I1053)</f>
        <v>0.0</v>
      </c>
      <c r="K1053" s="9" t="s">
        <v>280</v>
      </c>
    </row>
    <row r="1054" spans="1:12" ht="60" customHeight="1">
      <c r="A1054" s="6">
        <v>6</v>
      </c>
      <c r="B1054" s="6">
        <v>3</v>
      </c>
      <c r="C1054" s="6">
        <v>1</v>
      </c>
      <c r="D1054" s="5" t="s">
        <v>627</v>
      </c>
      <c r="E1054" s="9" t="s">
        <v>745</v>
      </c>
      <c r="F1054" s="9" t="s">
        <v>749</v>
      </c>
      <c r="G1054" s="9">
        <f>'有効抵抗土圧'!AA15</f>
        <v>4384.055621301775</v>
      </c>
      <c r="H1054" s="64">
        <f>ROUND(G1054,1)</f>
        <v>4384.1</v>
      </c>
      <c r="I1054" s="65">
        <v>4384.1</v>
      </c>
      <c r="J1054" s="9">
        <f>(H1054-I1054)</f>
        <v>0.0</v>
      </c>
      <c r="K1054" s="9" t="s">
        <v>784</v>
      </c>
    </row>
    <row r="1055" spans="1:12" ht="24" customHeight="1">
      <c r="A1055" s="3" t="s">
        <v>737</v>
      </c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</row>
    <row r="1056" spans="1:12" ht="46" customHeight="1">
      <c r="A1056" s="4" t="s">
        <v>8</v>
      </c>
      <c r="B1056" s="4" t="s">
        <v>722</v>
      </c>
      <c r="C1056" s="4" t="s">
        <v>723</v>
      </c>
      <c r="D1056" s="4" t="s">
        <v>738</v>
      </c>
      <c r="E1056" s="4" t="s">
        <v>739</v>
      </c>
      <c r="F1056" s="4" t="s">
        <v>569</v>
      </c>
      <c r="G1056" s="4" t="s">
        <v>740</v>
      </c>
      <c r="H1056" s="4" t="s">
        <v>741</v>
      </c>
      <c r="I1056" s="4" t="s">
        <v>742</v>
      </c>
      <c r="J1056" s="4" t="s">
        <v>743</v>
      </c>
      <c r="K1056" s="4" t="s">
        <v>744</v>
      </c>
    </row>
    <row r="1057" spans="1:12" ht="60" customHeight="1">
      <c r="A1057" s="6">
        <v>6</v>
      </c>
      <c r="B1057" s="6">
        <v>3</v>
      </c>
      <c r="C1057" s="6">
        <v>1</v>
      </c>
      <c r="D1057" s="5" t="s">
        <v>627</v>
      </c>
      <c r="E1057" s="9" t="s">
        <v>747</v>
      </c>
      <c r="F1057" s="9" t="s">
        <v>749</v>
      </c>
      <c r="G1057" s="9">
        <f>'有効抵抗土圧'!AA18</f>
        <v>4384.055621301775</v>
      </c>
      <c r="H1057" s="64">
        <f>ROUND(G1057,1)</f>
        <v>4384.1</v>
      </c>
      <c r="I1057" s="65">
        <v>4384.1</v>
      </c>
      <c r="J1057" s="9">
        <f>(H1057-I1057)</f>
        <v>0.0</v>
      </c>
      <c r="K1057" s="9" t="s">
        <v>784</v>
      </c>
    </row>
    <row r="1058" spans="1:12" ht="60" customHeight="1">
      <c r="A1058" s="6">
        <v>6</v>
      </c>
      <c r="B1058" s="6">
        <v>3</v>
      </c>
      <c r="C1058" s="6">
        <v>1</v>
      </c>
      <c r="D1058" s="5" t="s">
        <v>628</v>
      </c>
      <c r="E1058" s="9" t="s">
        <v>745</v>
      </c>
      <c r="F1058" s="9" t="s">
        <v>746</v>
      </c>
      <c r="G1058" s="9">
        <f>'有効抵抗土圧'!AA19</f>
        <v>6181.83076923077</v>
      </c>
      <c r="H1058" s="64">
        <f>ROUND(G1058,1)</f>
        <v>6181.8</v>
      </c>
      <c r="I1058" s="65">
        <v>6181.8</v>
      </c>
      <c r="J1058" s="9">
        <f>(H1058-I1058)</f>
        <v>0.0</v>
      </c>
      <c r="K1058" s="9" t="s">
        <v>785</v>
      </c>
    </row>
    <row r="1059" spans="1:12" ht="60" customHeight="1">
      <c r="A1059" s="6">
        <v>6</v>
      </c>
      <c r="B1059" s="6">
        <v>3</v>
      </c>
      <c r="C1059" s="6">
        <v>1</v>
      </c>
      <c r="D1059" s="5" t="s">
        <v>628</v>
      </c>
      <c r="E1059" s="9" t="s">
        <v>747</v>
      </c>
      <c r="F1059" s="9" t="s">
        <v>746</v>
      </c>
      <c r="G1059" s="9">
        <f>'有効抵抗土圧'!AA20</f>
        <v>6684.33076923077</v>
      </c>
      <c r="H1059" s="64">
        <f>ROUND(G1059,1)</f>
        <v>6684.3</v>
      </c>
      <c r="I1059" s="65">
        <v>6684.3</v>
      </c>
      <c r="J1059" s="9">
        <f>(H1059-I1059)</f>
        <v>0.0</v>
      </c>
      <c r="K1059" s="9" t="s">
        <v>786</v>
      </c>
    </row>
    <row r="1060" spans="1:12" ht="60" customHeight="1">
      <c r="A1060" s="6">
        <v>6</v>
      </c>
      <c r="B1060" s="6">
        <v>3</v>
      </c>
      <c r="C1060" s="6">
        <v>1</v>
      </c>
      <c r="D1060" s="5" t="s">
        <v>629</v>
      </c>
      <c r="E1060" s="9" t="s">
        <v>745</v>
      </c>
      <c r="F1060" s="9" t="s">
        <v>749</v>
      </c>
      <c r="G1060" s="9">
        <f>'有効抵抗土圧'!AA21</f>
        <v>6891.104905014015</v>
      </c>
      <c r="H1060" s="64">
        <f>ROUND(G1060,1)</f>
        <v>6891.1</v>
      </c>
      <c r="I1060" s="65">
        <v>6891.1</v>
      </c>
      <c r="J1060" s="9">
        <f>(H1060-I1060)</f>
        <v>0.0</v>
      </c>
      <c r="K1060" s="9" t="s">
        <v>787</v>
      </c>
    </row>
    <row r="1061" spans="1:12" ht="60" customHeight="1">
      <c r="A1061" s="6">
        <v>6</v>
      </c>
      <c r="B1061" s="6">
        <v>3</v>
      </c>
      <c r="C1061" s="6">
        <v>1</v>
      </c>
      <c r="D1061" s="5" t="s">
        <v>629</v>
      </c>
      <c r="E1061" s="9" t="s">
        <v>747</v>
      </c>
      <c r="F1061" s="9" t="s">
        <v>749</v>
      </c>
      <c r="G1061" s="9">
        <f>'有効抵抗土圧'!AA26</f>
        <v>6891.104905014015</v>
      </c>
      <c r="H1061" s="64">
        <f>ROUND(G1061,1)</f>
        <v>6891.1</v>
      </c>
      <c r="I1061" s="65">
        <v>6891.1</v>
      </c>
      <c r="J1061" s="9">
        <f>(H1061-I1061)</f>
        <v>0.0</v>
      </c>
      <c r="K1061" s="9" t="s">
        <v>787</v>
      </c>
    </row>
    <row r="1062" spans="1:12" ht="24" customHeight="1">
      <c r="A1062" s="3" t="s">
        <v>737</v>
      </c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</row>
    <row r="1063" spans="1:12" ht="46" customHeight="1">
      <c r="A1063" s="4" t="s">
        <v>8</v>
      </c>
      <c r="B1063" s="4" t="s">
        <v>722</v>
      </c>
      <c r="C1063" s="4" t="s">
        <v>723</v>
      </c>
      <c r="D1063" s="4" t="s">
        <v>738</v>
      </c>
      <c r="E1063" s="4" t="s">
        <v>739</v>
      </c>
      <c r="F1063" s="4" t="s">
        <v>569</v>
      </c>
      <c r="G1063" s="4" t="s">
        <v>740</v>
      </c>
      <c r="H1063" s="4" t="s">
        <v>741</v>
      </c>
      <c r="I1063" s="4" t="s">
        <v>742</v>
      </c>
      <c r="J1063" s="4" t="s">
        <v>743</v>
      </c>
      <c r="K1063" s="4" t="s">
        <v>744</v>
      </c>
    </row>
    <row r="1064" spans="1:12" ht="60" customHeight="1">
      <c r="A1064" s="6">
        <v>6</v>
      </c>
      <c r="B1064" s="6">
        <v>3</v>
      </c>
      <c r="C1064" s="6">
        <v>1</v>
      </c>
      <c r="D1064" s="5" t="s">
        <v>630</v>
      </c>
      <c r="E1064" s="9" t="s">
        <v>745</v>
      </c>
      <c r="F1064" s="9" t="s">
        <v>746</v>
      </c>
      <c r="G1064" s="9">
        <f>'有効抵抗土圧'!AA27</f>
        <v>7451.936842105262</v>
      </c>
      <c r="H1064" s="64">
        <f>ROUND(G1064,1)</f>
        <v>7451.9</v>
      </c>
      <c r="I1064" s="65">
        <v>7451.9</v>
      </c>
      <c r="J1064" s="9">
        <f>(H1064-I1064)</f>
        <v>0.0</v>
      </c>
      <c r="K1064" s="9" t="s">
        <v>788</v>
      </c>
    </row>
    <row r="1065" spans="1:12" ht="60" customHeight="1">
      <c r="A1065" s="6">
        <v>6</v>
      </c>
      <c r="B1065" s="6">
        <v>3</v>
      </c>
      <c r="C1065" s="6">
        <v>1</v>
      </c>
      <c r="D1065" s="5" t="s">
        <v>630</v>
      </c>
      <c r="E1065" s="9" t="s">
        <v>747</v>
      </c>
      <c r="F1065" s="9" t="s">
        <v>746</v>
      </c>
      <c r="G1065" s="9">
        <f>'有効抵抗土圧'!AA28</f>
        <v>7976.726315789474</v>
      </c>
      <c r="H1065" s="64">
        <f>ROUND(G1065,1)</f>
        <v>7976.7</v>
      </c>
      <c r="I1065" s="65">
        <v>7976.7</v>
      </c>
      <c r="J1065" s="9">
        <f>(H1065-I1065)</f>
        <v>0.0</v>
      </c>
      <c r="K1065" s="9" t="s">
        <v>789</v>
      </c>
    </row>
    <row r="1066" spans="1:12" ht="60" customHeight="1">
      <c r="A1066" s="6">
        <v>6</v>
      </c>
      <c r="B1066" s="6">
        <v>3</v>
      </c>
      <c r="C1066" s="6">
        <v>1</v>
      </c>
      <c r="D1066" s="5" t="s">
        <v>631</v>
      </c>
      <c r="E1066" s="9" t="s">
        <v>745</v>
      </c>
      <c r="F1066" s="9" t="s">
        <v>746</v>
      </c>
      <c r="G1066" s="9">
        <f>'有効抵抗土圧'!AA29</f>
        <v>7976.726315789474</v>
      </c>
      <c r="H1066" s="64">
        <f>ROUND(G1066,1)</f>
        <v>7976.7</v>
      </c>
      <c r="I1066" s="65">
        <v>7976.7</v>
      </c>
      <c r="J1066" s="9">
        <f>(H1066-I1066)</f>
        <v>0.0</v>
      </c>
      <c r="K1066" s="9" t="s">
        <v>789</v>
      </c>
    </row>
    <row r="1067" spans="1:12" ht="60" customHeight="1">
      <c r="A1067" s="6">
        <v>6</v>
      </c>
      <c r="B1067" s="6">
        <v>3</v>
      </c>
      <c r="C1067" s="6">
        <v>1</v>
      </c>
      <c r="D1067" s="5" t="s">
        <v>631</v>
      </c>
      <c r="E1067" s="9" t="s">
        <v>747</v>
      </c>
      <c r="F1067" s="9" t="s">
        <v>746</v>
      </c>
      <c r="G1067" s="9">
        <f>'有効抵抗土圧'!AA30</f>
        <v>8501.515789473684</v>
      </c>
      <c r="H1067" s="64">
        <f>ROUND(G1067,1)</f>
        <v>8501.5</v>
      </c>
      <c r="I1067" s="65">
        <v>8501.5</v>
      </c>
      <c r="J1067" s="9">
        <f>(H1067-I1067)</f>
        <v>0.0</v>
      </c>
      <c r="K1067" s="9" t="s">
        <v>790</v>
      </c>
    </row>
    <row r="1068" spans="1:12" ht="60" customHeight="1">
      <c r="A1068" s="6">
        <v>6</v>
      </c>
      <c r="B1068" s="6">
        <v>3</v>
      </c>
      <c r="C1068" s="6">
        <v>1</v>
      </c>
      <c r="D1068" s="5" t="s">
        <v>632</v>
      </c>
      <c r="E1068" s="9" t="s">
        <v>745</v>
      </c>
      <c r="F1068" s="9" t="s">
        <v>746</v>
      </c>
      <c r="G1068" s="9">
        <f>'有効抵抗土圧'!AA31</f>
        <v>8501.515789473684</v>
      </c>
      <c r="H1068" s="64">
        <f>ROUND(G1068,1)</f>
        <v>8501.5</v>
      </c>
      <c r="I1068" s="65">
        <v>8501.5</v>
      </c>
      <c r="J1068" s="9">
        <f>(H1068-I1068)</f>
        <v>0.0</v>
      </c>
      <c r="K1068" s="9" t="s">
        <v>790</v>
      </c>
    </row>
    <row r="1069" spans="1:12" ht="24" customHeight="1">
      <c r="A1069" s="3" t="s">
        <v>737</v>
      </c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</row>
    <row r="1070" spans="1:12" ht="46" customHeight="1">
      <c r="A1070" s="4" t="s">
        <v>8</v>
      </c>
      <c r="B1070" s="4" t="s">
        <v>722</v>
      </c>
      <c r="C1070" s="4" t="s">
        <v>723</v>
      </c>
      <c r="D1070" s="4" t="s">
        <v>738</v>
      </c>
      <c r="E1070" s="4" t="s">
        <v>739</v>
      </c>
      <c r="F1070" s="4" t="s">
        <v>569</v>
      </c>
      <c r="G1070" s="4" t="s">
        <v>740</v>
      </c>
      <c r="H1070" s="4" t="s">
        <v>741</v>
      </c>
      <c r="I1070" s="4" t="s">
        <v>742</v>
      </c>
      <c r="J1070" s="4" t="s">
        <v>743</v>
      </c>
      <c r="K1070" s="4" t="s">
        <v>744</v>
      </c>
    </row>
    <row r="1071" spans="1:12" ht="60" customHeight="1">
      <c r="A1071" s="6">
        <v>6</v>
      </c>
      <c r="B1071" s="6">
        <v>3</v>
      </c>
      <c r="C1071" s="6">
        <v>1</v>
      </c>
      <c r="D1071" s="5" t="s">
        <v>632</v>
      </c>
      <c r="E1071" s="9" t="s">
        <v>747</v>
      </c>
      <c r="F1071" s="9" t="s">
        <v>746</v>
      </c>
      <c r="G1071" s="9">
        <f>'有効抵抗土圧'!AA32</f>
        <v>9026.305263157894</v>
      </c>
      <c r="H1071" s="64">
        <f>ROUND(G1071,1)</f>
        <v>9026.3</v>
      </c>
      <c r="I1071" s="65">
        <v>9026.299999999999</v>
      </c>
      <c r="J1071" s="9">
        <f>(H1071-I1071)</f>
        <v>0.0</v>
      </c>
      <c r="K1071" s="9" t="s">
        <v>791</v>
      </c>
    </row>
    <row r="1072" spans="1:12" ht="60" customHeight="1">
      <c r="A1072" s="6">
        <v>6</v>
      </c>
      <c r="B1072" s="6">
        <v>3</v>
      </c>
      <c r="C1072" s="6">
        <v>1</v>
      </c>
      <c r="D1072" s="5" t="s">
        <v>633</v>
      </c>
      <c r="E1072" s="9" t="s">
        <v>745</v>
      </c>
      <c r="F1072" s="9" t="s">
        <v>746</v>
      </c>
      <c r="G1072" s="9">
        <f>'有効抵抗土圧'!AA33</f>
        <v>9026.305263157894</v>
      </c>
      <c r="H1072" s="64">
        <f>ROUND(G1072,1)</f>
        <v>9026.3</v>
      </c>
      <c r="I1072" s="65">
        <v>9026.299999999999</v>
      </c>
      <c r="J1072" s="9">
        <f>(H1072-I1072)</f>
        <v>0.0</v>
      </c>
      <c r="K1072" s="9" t="s">
        <v>791</v>
      </c>
    </row>
    <row r="1073" spans="1:12" ht="60" customHeight="1">
      <c r="A1073" s="6">
        <v>6</v>
      </c>
      <c r="B1073" s="6">
        <v>3</v>
      </c>
      <c r="C1073" s="6">
        <v>1</v>
      </c>
      <c r="D1073" s="5" t="s">
        <v>633</v>
      </c>
      <c r="E1073" s="9" t="s">
        <v>747</v>
      </c>
      <c r="F1073" s="9" t="s">
        <v>746</v>
      </c>
      <c r="G1073" s="9">
        <f>'有効抵抗土圧'!AA34</f>
        <v>9551.094736842106</v>
      </c>
      <c r="H1073" s="64">
        <f>ROUND(G1073,1)</f>
        <v>9551.1</v>
      </c>
      <c r="I1073" s="65">
        <v>9551.1</v>
      </c>
      <c r="J1073" s="9">
        <f>(H1073-I1073)</f>
        <v>0.0</v>
      </c>
      <c r="K1073" s="9" t="s">
        <v>792</v>
      </c>
    </row>
    <row r="1074" spans="1:12" ht="60" customHeight="1">
      <c r="A1074" s="6">
        <v>6</v>
      </c>
      <c r="B1074" s="6">
        <v>3</v>
      </c>
      <c r="C1074" s="6">
        <v>1</v>
      </c>
      <c r="D1074" s="5" t="s">
        <v>634</v>
      </c>
      <c r="E1074" s="9" t="s">
        <v>745</v>
      </c>
      <c r="F1074" s="9" t="s">
        <v>746</v>
      </c>
      <c r="G1074" s="9">
        <f>'有効抵抗土圧'!AA35</f>
        <v>9551.094736842106</v>
      </c>
      <c r="H1074" s="64">
        <f>ROUND(G1074,1)</f>
        <v>9551.1</v>
      </c>
      <c r="I1074" s="65">
        <v>9551.1</v>
      </c>
      <c r="J1074" s="9">
        <f>(H1074-I1074)</f>
        <v>0.0</v>
      </c>
      <c r="K1074" s="9" t="s">
        <v>792</v>
      </c>
    </row>
    <row r="1075" spans="1:12" ht="60" customHeight="1">
      <c r="A1075" s="6">
        <v>6</v>
      </c>
      <c r="B1075" s="6">
        <v>3</v>
      </c>
      <c r="C1075" s="6">
        <v>1</v>
      </c>
      <c r="D1075" s="5" t="s">
        <v>634</v>
      </c>
      <c r="E1075" s="9" t="s">
        <v>747</v>
      </c>
      <c r="F1075" s="9" t="s">
        <v>746</v>
      </c>
      <c r="G1075" s="9">
        <f>'有効抵抗土圧'!AA36</f>
        <v>10075.884210526316</v>
      </c>
      <c r="H1075" s="64">
        <f>ROUND(G1075,1)</f>
        <v>10075.9</v>
      </c>
      <c r="I1075" s="65">
        <v>10075.9</v>
      </c>
      <c r="J1075" s="9">
        <f>(H1075-I1075)</f>
        <v>0.0</v>
      </c>
      <c r="K1075" s="9" t="s">
        <v>793</v>
      </c>
    </row>
    <row r="1076" spans="1:12" ht="24" customHeight="1">
      <c r="A1076" s="3" t="s">
        <v>737</v>
      </c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</row>
    <row r="1077" spans="1:12" ht="46" customHeight="1">
      <c r="A1077" s="4" t="s">
        <v>8</v>
      </c>
      <c r="B1077" s="4" t="s">
        <v>722</v>
      </c>
      <c r="C1077" s="4" t="s">
        <v>723</v>
      </c>
      <c r="D1077" s="4" t="s">
        <v>738</v>
      </c>
      <c r="E1077" s="4" t="s">
        <v>739</v>
      </c>
      <c r="F1077" s="4" t="s">
        <v>569</v>
      </c>
      <c r="G1077" s="4" t="s">
        <v>740</v>
      </c>
      <c r="H1077" s="4" t="s">
        <v>741</v>
      </c>
      <c r="I1077" s="4" t="s">
        <v>742</v>
      </c>
      <c r="J1077" s="4" t="s">
        <v>743</v>
      </c>
      <c r="K1077" s="4" t="s">
        <v>744</v>
      </c>
    </row>
    <row r="1078" spans="1:12" ht="60" customHeight="1">
      <c r="A1078" s="6">
        <v>6</v>
      </c>
      <c r="B1078" s="6">
        <v>3</v>
      </c>
      <c r="C1078" s="6">
        <v>1</v>
      </c>
      <c r="D1078" s="5" t="s">
        <v>635</v>
      </c>
      <c r="E1078" s="9" t="s">
        <v>745</v>
      </c>
      <c r="F1078" s="9" t="s">
        <v>746</v>
      </c>
      <c r="G1078" s="9">
        <f>'有効抵抗土圧'!AA37</f>
        <v>10075.884210526316</v>
      </c>
      <c r="H1078" s="64">
        <f>ROUND(G1078,1)</f>
        <v>10075.9</v>
      </c>
      <c r="I1078" s="65">
        <v>10075.9</v>
      </c>
      <c r="J1078" s="9">
        <f>(H1078-I1078)</f>
        <v>0.0</v>
      </c>
      <c r="K1078" s="9" t="s">
        <v>793</v>
      </c>
    </row>
    <row r="1079" spans="1:12" ht="60" customHeight="1">
      <c r="A1079" s="6">
        <v>6</v>
      </c>
      <c r="B1079" s="6">
        <v>3</v>
      </c>
      <c r="C1079" s="6">
        <v>1</v>
      </c>
      <c r="D1079" s="5" t="s">
        <v>635</v>
      </c>
      <c r="E1079" s="9" t="s">
        <v>747</v>
      </c>
      <c r="F1079" s="9" t="s">
        <v>746</v>
      </c>
      <c r="G1079" s="9">
        <f>'有効抵抗土圧'!AA38</f>
        <v>10600.673684210526</v>
      </c>
      <c r="H1079" s="64">
        <f>ROUND(G1079,1)</f>
        <v>10600.7</v>
      </c>
      <c r="I1079" s="65">
        <v>10600.7</v>
      </c>
      <c r="J1079" s="9">
        <f>(H1079-I1079)</f>
        <v>0.0</v>
      </c>
      <c r="K1079" s="9" t="s">
        <v>794</v>
      </c>
    </row>
    <row r="1080" spans="1:12" ht="60" customHeight="1">
      <c r="A1080" s="6">
        <v>6</v>
      </c>
      <c r="B1080" s="6">
        <v>3</v>
      </c>
      <c r="C1080" s="6">
        <v>1</v>
      </c>
      <c r="D1080" s="5" t="s">
        <v>636</v>
      </c>
      <c r="E1080" s="9" t="s">
        <v>745</v>
      </c>
      <c r="F1080" s="9" t="s">
        <v>746</v>
      </c>
      <c r="G1080" s="9">
        <f>'有効抵抗土圧'!AA39</f>
        <v>10600.673684210526</v>
      </c>
      <c r="H1080" s="64">
        <f>ROUND(G1080,1)</f>
        <v>10600.7</v>
      </c>
      <c r="I1080" s="65">
        <v>10600.7</v>
      </c>
      <c r="J1080" s="9">
        <f>(H1080-I1080)</f>
        <v>0.0</v>
      </c>
      <c r="K1080" s="9" t="s">
        <v>794</v>
      </c>
    </row>
    <row r="1081" spans="1:12" ht="60" customHeight="1">
      <c r="A1081" s="6">
        <v>6</v>
      </c>
      <c r="B1081" s="6">
        <v>3</v>
      </c>
      <c r="C1081" s="6">
        <v>1</v>
      </c>
      <c r="D1081" s="5" t="s">
        <v>636</v>
      </c>
      <c r="E1081" s="9" t="s">
        <v>747</v>
      </c>
      <c r="F1081" s="9" t="s">
        <v>746</v>
      </c>
      <c r="G1081" s="9">
        <f>'有効抵抗土圧'!AA40</f>
        <v>11125.463157894737</v>
      </c>
      <c r="H1081" s="64">
        <f>ROUND(G1081,1)</f>
        <v>11125.5</v>
      </c>
      <c r="I1081" s="65">
        <v>11125.5</v>
      </c>
      <c r="J1081" s="9">
        <f>(H1081-I1081)</f>
        <v>0.0</v>
      </c>
      <c r="K1081" s="9" t="s">
        <v>795</v>
      </c>
    </row>
    <row r="1082" spans="1:12" ht="60" customHeight="1">
      <c r="A1082" s="6">
        <v>6</v>
      </c>
      <c r="B1082" s="6">
        <v>3</v>
      </c>
      <c r="C1082" s="6">
        <v>1</v>
      </c>
      <c r="D1082" s="5" t="s">
        <v>637</v>
      </c>
      <c r="E1082" s="9" t="s">
        <v>745</v>
      </c>
      <c r="F1082" s="9" t="s">
        <v>749</v>
      </c>
      <c r="G1082" s="9">
        <f>'有効抵抗土圧'!AA41</f>
        <v>4331.420242914981</v>
      </c>
      <c r="H1082" s="64">
        <f>ROUND(G1082,1)</f>
        <v>4331.4</v>
      </c>
      <c r="I1082" s="65">
        <v>4331.4</v>
      </c>
      <c r="J1082" s="9">
        <f>(H1082-I1082)</f>
        <v>0.0</v>
      </c>
      <c r="K1082" s="9" t="s">
        <v>796</v>
      </c>
    </row>
    <row r="1083" spans="1:12" ht="24" customHeight="1">
      <c r="A1083" s="3" t="s">
        <v>737</v>
      </c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</row>
    <row r="1084" spans="1:12" ht="46" customHeight="1">
      <c r="A1084" s="4" t="s">
        <v>8</v>
      </c>
      <c r="B1084" s="4" t="s">
        <v>722</v>
      </c>
      <c r="C1084" s="4" t="s">
        <v>723</v>
      </c>
      <c r="D1084" s="4" t="s">
        <v>738</v>
      </c>
      <c r="E1084" s="4" t="s">
        <v>739</v>
      </c>
      <c r="F1084" s="4" t="s">
        <v>569</v>
      </c>
      <c r="G1084" s="4" t="s">
        <v>740</v>
      </c>
      <c r="H1084" s="4" t="s">
        <v>741</v>
      </c>
      <c r="I1084" s="4" t="s">
        <v>742</v>
      </c>
      <c r="J1084" s="4" t="s">
        <v>743</v>
      </c>
      <c r="K1084" s="4" t="s">
        <v>744</v>
      </c>
    </row>
    <row r="1085" spans="1:12" ht="60" customHeight="1">
      <c r="A1085" s="6">
        <v>6</v>
      </c>
      <c r="B1085" s="6">
        <v>3</v>
      </c>
      <c r="C1085" s="6">
        <v>1</v>
      </c>
      <c r="D1085" s="5" t="s">
        <v>637</v>
      </c>
      <c r="E1085" s="9" t="s">
        <v>747</v>
      </c>
      <c r="F1085" s="9" t="s">
        <v>749</v>
      </c>
      <c r="G1085" s="9">
        <f>'有効抵抗土圧'!AA44</f>
        <v>4331.420242914981</v>
      </c>
      <c r="H1085" s="64">
        <f>ROUND(G1085,1)</f>
        <v>4331.4</v>
      </c>
      <c r="I1085" s="65">
        <v>4331.4</v>
      </c>
      <c r="J1085" s="9">
        <f>(H1085-I1085)</f>
        <v>0.0</v>
      </c>
      <c r="K1085" s="9" t="s">
        <v>796</v>
      </c>
    </row>
    <row r="1086" spans="1:12" ht="23" customHeight="1">
      <c r="A1086" s="6">
        <v>6</v>
      </c>
      <c r="B1086" s="6">
        <v>3</v>
      </c>
      <c r="C1086" s="6">
        <v>1</v>
      </c>
      <c r="D1086" s="5" t="s">
        <v>638</v>
      </c>
      <c r="E1086" s="9" t="s">
        <v>745</v>
      </c>
      <c r="F1086" s="9" t="s">
        <v>746</v>
      </c>
      <c r="G1086" s="9">
        <f>'有効抵抗土圧'!AA45</f>
        <v>3088.8</v>
      </c>
      <c r="H1086" s="64">
        <f>ROUND(G1086,1)</f>
        <v>3088.8</v>
      </c>
      <c r="I1086" s="65">
        <v>3088.8</v>
      </c>
      <c r="J1086" s="9">
        <f>(H1086-I1086)</f>
        <v>0.0</v>
      </c>
      <c r="K1086" s="9" t="s">
        <v>286</v>
      </c>
    </row>
    <row r="1087" spans="1:12" ht="23" customHeight="1">
      <c r="A1087" s="6">
        <v>6</v>
      </c>
      <c r="B1087" s="6">
        <v>3</v>
      </c>
      <c r="C1087" s="6">
        <v>1</v>
      </c>
      <c r="D1087" s="5" t="s">
        <v>638</v>
      </c>
      <c r="E1087" s="9" t="s">
        <v>747</v>
      </c>
      <c r="F1087" s="9" t="s">
        <v>746</v>
      </c>
      <c r="G1087" s="9">
        <f>'有効抵抗土圧'!AA46</f>
        <v>3088.8</v>
      </c>
      <c r="H1087" s="64">
        <f>ROUND(G1087,1)</f>
        <v>3088.8</v>
      </c>
      <c r="I1087" s="65">
        <v>3088.8</v>
      </c>
      <c r="J1087" s="9">
        <f>(H1087-I1087)</f>
        <v>0.0</v>
      </c>
      <c r="K1087" s="9" t="s">
        <v>286</v>
      </c>
    </row>
    <row r="1088" spans="1:12" ht="23" customHeight="1">
      <c r="A1088" s="6">
        <v>6</v>
      </c>
      <c r="B1088" s="6">
        <v>3</v>
      </c>
      <c r="C1088" s="6">
        <v>1</v>
      </c>
      <c r="D1088" s="5" t="s">
        <v>639</v>
      </c>
      <c r="E1088" s="9" t="s">
        <v>745</v>
      </c>
      <c r="F1088" s="9" t="s">
        <v>746</v>
      </c>
      <c r="G1088" s="9">
        <f>'有効抵抗土圧'!AA47</f>
        <v>3088.8</v>
      </c>
      <c r="H1088" s="64">
        <f>ROUND(G1088,1)</f>
        <v>3088.8</v>
      </c>
      <c r="I1088" s="65">
        <v>3088.8</v>
      </c>
      <c r="J1088" s="9">
        <f>(H1088-I1088)</f>
        <v>0.0</v>
      </c>
      <c r="K1088" s="9" t="s">
        <v>286</v>
      </c>
    </row>
    <row r="1089" spans="1:12" ht="23" customHeight="1">
      <c r="A1089" s="6">
        <v>6</v>
      </c>
      <c r="B1089" s="6">
        <v>3</v>
      </c>
      <c r="C1089" s="6">
        <v>1</v>
      </c>
      <c r="D1089" s="5" t="s">
        <v>639</v>
      </c>
      <c r="E1089" s="9" t="s">
        <v>747</v>
      </c>
      <c r="F1089" s="9" t="s">
        <v>746</v>
      </c>
      <c r="G1089" s="9">
        <f>'有効抵抗土圧'!AA48</f>
        <v>3088.8</v>
      </c>
      <c r="H1089" s="64">
        <f>ROUND(G1089,1)</f>
        <v>3088.8</v>
      </c>
      <c r="I1089" s="65">
        <v>3088.8</v>
      </c>
      <c r="J1089" s="9">
        <f>(H1089-I1089)</f>
        <v>0.0</v>
      </c>
      <c r="K1089" s="9" t="s">
        <v>286</v>
      </c>
    </row>
    <row r="1090" spans="1:12" ht="23" customHeight="1">
      <c r="A1090" s="6">
        <v>6</v>
      </c>
      <c r="B1090" s="6">
        <v>3</v>
      </c>
      <c r="C1090" s="6">
        <v>1</v>
      </c>
      <c r="D1090" s="5" t="s">
        <v>640</v>
      </c>
      <c r="E1090" s="9" t="s">
        <v>745</v>
      </c>
      <c r="F1090" s="9" t="s">
        <v>746</v>
      </c>
      <c r="G1090" s="9">
        <f>'有効抵抗土圧'!AA49</f>
        <v>3088.8</v>
      </c>
      <c r="H1090" s="64">
        <f>ROUND(G1090,1)</f>
        <v>3088.8</v>
      </c>
      <c r="I1090" s="65">
        <v>3088.8</v>
      </c>
      <c r="J1090" s="9">
        <f>(H1090-I1090)</f>
        <v>0.0</v>
      </c>
      <c r="K1090" s="9" t="s">
        <v>286</v>
      </c>
    </row>
    <row r="1091" spans="1:12" ht="23" customHeight="1">
      <c r="A1091" s="6">
        <v>6</v>
      </c>
      <c r="B1091" s="6">
        <v>3</v>
      </c>
      <c r="C1091" s="6">
        <v>1</v>
      </c>
      <c r="D1091" s="5" t="s">
        <v>640</v>
      </c>
      <c r="E1091" s="9" t="s">
        <v>747</v>
      </c>
      <c r="F1091" s="9" t="s">
        <v>746</v>
      </c>
      <c r="G1091" s="9">
        <f>'有効抵抗土圧'!AA50</f>
        <v>3088.8</v>
      </c>
      <c r="H1091" s="64">
        <f>ROUND(G1091,1)</f>
        <v>3088.8</v>
      </c>
      <c r="I1091" s="65">
        <v>3088.8</v>
      </c>
      <c r="J1091" s="9">
        <f>(H1091-I1091)</f>
        <v>0.0</v>
      </c>
      <c r="K1091" s="9" t="s">
        <v>286</v>
      </c>
    </row>
    <row r="1092" spans="1:12" ht="23" customHeight="1">
      <c r="A1092" s="6">
        <v>6</v>
      </c>
      <c r="B1092" s="6">
        <v>3</v>
      </c>
      <c r="C1092" s="6">
        <v>1</v>
      </c>
      <c r="D1092" s="5" t="s">
        <v>641</v>
      </c>
      <c r="E1092" s="9" t="s">
        <v>745</v>
      </c>
      <c r="F1092" s="9" t="s">
        <v>746</v>
      </c>
      <c r="G1092" s="9">
        <f>'有効抵抗土圧'!AA51</f>
        <v>3088.8</v>
      </c>
      <c r="H1092" s="64">
        <f>ROUND(G1092,1)</f>
        <v>3088.8</v>
      </c>
      <c r="I1092" s="65">
        <v>3088.8</v>
      </c>
      <c r="J1092" s="9">
        <f>(H1092-I1092)</f>
        <v>0.0</v>
      </c>
      <c r="K1092" s="9" t="s">
        <v>286</v>
      </c>
    </row>
    <row r="1093" spans="1:12" ht="23" customHeight="1">
      <c r="A1093" s="6">
        <v>6</v>
      </c>
      <c r="B1093" s="6">
        <v>3</v>
      </c>
      <c r="C1093" s="6">
        <v>1</v>
      </c>
      <c r="D1093" s="5" t="s">
        <v>641</v>
      </c>
      <c r="E1093" s="9" t="s">
        <v>747</v>
      </c>
      <c r="F1093" s="9" t="s">
        <v>746</v>
      </c>
      <c r="G1093" s="9">
        <f>'有効抵抗土圧'!AA52</f>
        <v>3088.8</v>
      </c>
      <c r="H1093" s="64">
        <f>ROUND(G1093,1)</f>
        <v>3088.8</v>
      </c>
      <c r="I1093" s="65">
        <v>3088.8</v>
      </c>
      <c r="J1093" s="9">
        <f>(H1093-I1093)</f>
        <v>0.0</v>
      </c>
      <c r="K1093" s="9" t="s">
        <v>286</v>
      </c>
    </row>
    <row r="1094" spans="1:12" ht="23" customHeight="1">
      <c r="A1094" s="6">
        <v>6</v>
      </c>
      <c r="B1094" s="6">
        <v>3</v>
      </c>
      <c r="C1094" s="6">
        <v>1</v>
      </c>
      <c r="D1094" s="5" t="s">
        <v>642</v>
      </c>
      <c r="E1094" s="9" t="s">
        <v>745</v>
      </c>
      <c r="F1094" s="9" t="s">
        <v>746</v>
      </c>
      <c r="G1094" s="9">
        <f>'有効抵抗土圧'!AA53</f>
        <v>3088.8</v>
      </c>
      <c r="H1094" s="64">
        <f>ROUND(G1094,1)</f>
        <v>3088.8</v>
      </c>
      <c r="I1094" s="65">
        <v>3088.8</v>
      </c>
      <c r="J1094" s="9">
        <f>(H1094-I1094)</f>
        <v>0.0</v>
      </c>
      <c r="K1094" s="9" t="s">
        <v>286</v>
      </c>
    </row>
    <row r="1095" spans="1:12" ht="23" customHeight="1">
      <c r="A1095" s="6">
        <v>6</v>
      </c>
      <c r="B1095" s="6">
        <v>3</v>
      </c>
      <c r="C1095" s="6">
        <v>1</v>
      </c>
      <c r="D1095" s="5" t="s">
        <v>642</v>
      </c>
      <c r="E1095" s="9" t="s">
        <v>747</v>
      </c>
      <c r="F1095" s="9" t="s">
        <v>746</v>
      </c>
      <c r="G1095" s="9">
        <f>'有効抵抗土圧'!AA54</f>
        <v>3088.8</v>
      </c>
      <c r="H1095" s="64">
        <f>ROUND(G1095,1)</f>
        <v>3088.8</v>
      </c>
      <c r="I1095" s="65">
        <v>3088.8</v>
      </c>
      <c r="J1095" s="9">
        <f>(H1095-I1095)</f>
        <v>0.0</v>
      </c>
      <c r="K1095" s="9" t="s">
        <v>286</v>
      </c>
    </row>
    <row r="1096" spans="1:12" ht="23" customHeight="1">
      <c r="A1096" s="6">
        <v>6</v>
      </c>
      <c r="B1096" s="6">
        <v>3</v>
      </c>
      <c r="C1096" s="6">
        <v>1</v>
      </c>
      <c r="D1096" s="5" t="s">
        <v>643</v>
      </c>
      <c r="E1096" s="9" t="s">
        <v>745</v>
      </c>
      <c r="F1096" s="9" t="s">
        <v>746</v>
      </c>
      <c r="G1096" s="9">
        <f>'有効抵抗土圧'!AA55</f>
        <v>3088.8</v>
      </c>
      <c r="H1096" s="64">
        <f>ROUND(G1096,1)</f>
        <v>3088.8</v>
      </c>
      <c r="I1096" s="65">
        <v>3088.8</v>
      </c>
      <c r="J1096" s="9">
        <f>(H1096-I1096)</f>
        <v>0.0</v>
      </c>
      <c r="K1096" s="9" t="s">
        <v>286</v>
      </c>
    </row>
    <row r="1097" spans="1:12" ht="23" customHeight="1">
      <c r="A1097" s="6">
        <v>6</v>
      </c>
      <c r="B1097" s="6">
        <v>3</v>
      </c>
      <c r="C1097" s="6">
        <v>1</v>
      </c>
      <c r="D1097" s="5" t="s">
        <v>643</v>
      </c>
      <c r="E1097" s="9" t="s">
        <v>747</v>
      </c>
      <c r="F1097" s="9" t="s">
        <v>746</v>
      </c>
      <c r="G1097" s="9">
        <f>'有効抵抗土圧'!AA56</f>
        <v>3088.8</v>
      </c>
      <c r="H1097" s="64">
        <f>ROUND(G1097,1)</f>
        <v>3088.8</v>
      </c>
      <c r="I1097" s="65">
        <v>3088.8</v>
      </c>
      <c r="J1097" s="9">
        <f>(H1097-I1097)</f>
        <v>0.0</v>
      </c>
      <c r="K1097" s="9" t="s">
        <v>286</v>
      </c>
    </row>
    <row r="1098" spans="1:12" ht="24" customHeight="1">
      <c r="A1098" s="3" t="s">
        <v>737</v>
      </c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</row>
    <row r="1099" spans="1:12" ht="46" customHeight="1">
      <c r="A1099" s="4" t="s">
        <v>8</v>
      </c>
      <c r="B1099" s="4" t="s">
        <v>722</v>
      </c>
      <c r="C1099" s="4" t="s">
        <v>723</v>
      </c>
      <c r="D1099" s="4" t="s">
        <v>738</v>
      </c>
      <c r="E1099" s="4" t="s">
        <v>739</v>
      </c>
      <c r="F1099" s="4" t="s">
        <v>569</v>
      </c>
      <c r="G1099" s="4" t="s">
        <v>740</v>
      </c>
      <c r="H1099" s="4" t="s">
        <v>741</v>
      </c>
      <c r="I1099" s="4" t="s">
        <v>742</v>
      </c>
      <c r="J1099" s="4" t="s">
        <v>743</v>
      </c>
      <c r="K1099" s="4" t="s">
        <v>744</v>
      </c>
    </row>
    <row r="1100" spans="1:12" ht="23" customHeight="1">
      <c r="A1100" s="6">
        <v>6</v>
      </c>
      <c r="B1100" s="6">
        <v>3</v>
      </c>
      <c r="C1100" s="6">
        <v>1</v>
      </c>
      <c r="D1100" s="5" t="s">
        <v>644</v>
      </c>
      <c r="E1100" s="9" t="s">
        <v>745</v>
      </c>
      <c r="F1100" s="9" t="s">
        <v>746</v>
      </c>
      <c r="G1100" s="9">
        <f>'有効抵抗土圧'!AA57</f>
        <v>3088.8</v>
      </c>
      <c r="H1100" s="64">
        <f>ROUND(G1100,1)</f>
        <v>3088.8</v>
      </c>
      <c r="I1100" s="65">
        <v>3088.8</v>
      </c>
      <c r="J1100" s="9">
        <f>(H1100-I1100)</f>
        <v>0.0</v>
      </c>
      <c r="K1100" s="9" t="s">
        <v>286</v>
      </c>
    </row>
    <row r="1101" spans="1:12" ht="23" customHeight="1">
      <c r="A1101" s="6">
        <v>6</v>
      </c>
      <c r="B1101" s="6">
        <v>3</v>
      </c>
      <c r="C1101" s="6">
        <v>1</v>
      </c>
      <c r="D1101" s="5" t="s">
        <v>644</v>
      </c>
      <c r="E1101" s="9" t="s">
        <v>747</v>
      </c>
      <c r="F1101" s="9" t="s">
        <v>746</v>
      </c>
      <c r="G1101" s="9">
        <f>'有効抵抗土圧'!AA58</f>
        <v>3088.8</v>
      </c>
      <c r="H1101" s="64">
        <f>ROUND(G1101,1)</f>
        <v>3088.8</v>
      </c>
      <c r="I1101" s="65">
        <v>3088.8</v>
      </c>
      <c r="J1101" s="9">
        <f>(H1101-I1101)</f>
        <v>0.0</v>
      </c>
      <c r="K1101" s="9" t="s">
        <v>286</v>
      </c>
    </row>
    <row r="1102" spans="1:12" ht="23" customHeight="1">
      <c r="A1102" s="6">
        <v>6</v>
      </c>
      <c r="B1102" s="6">
        <v>3</v>
      </c>
      <c r="C1102" s="6">
        <v>1</v>
      </c>
      <c r="D1102" s="5" t="s">
        <v>645</v>
      </c>
      <c r="E1102" s="9" t="s">
        <v>745</v>
      </c>
      <c r="F1102" s="9" t="s">
        <v>746</v>
      </c>
      <c r="G1102" s="9">
        <f>'有効抵抗土圧'!AA59</f>
        <v>3088.8</v>
      </c>
      <c r="H1102" s="64">
        <f>ROUND(G1102,1)</f>
        <v>3088.8</v>
      </c>
      <c r="I1102" s="65">
        <v>3088.8</v>
      </c>
      <c r="J1102" s="9">
        <f>(H1102-I1102)</f>
        <v>0.0</v>
      </c>
      <c r="K1102" s="9" t="s">
        <v>286</v>
      </c>
    </row>
    <row r="1103" spans="1:12" ht="23" customHeight="1">
      <c r="A1103" s="6">
        <v>6</v>
      </c>
      <c r="B1103" s="6">
        <v>3</v>
      </c>
      <c r="C1103" s="6">
        <v>1</v>
      </c>
      <c r="D1103" s="5" t="s">
        <v>645</v>
      </c>
      <c r="E1103" s="9" t="s">
        <v>747</v>
      </c>
      <c r="F1103" s="9" t="s">
        <v>746</v>
      </c>
      <c r="G1103" s="9">
        <f>'有効抵抗土圧'!AA60</f>
        <v>3088.8</v>
      </c>
      <c r="H1103" s="64">
        <f>ROUND(G1103,1)</f>
        <v>3088.8</v>
      </c>
      <c r="I1103" s="65">
        <v>3088.8</v>
      </c>
      <c r="J1103" s="9">
        <f>(H1103-I1103)</f>
        <v>0.0</v>
      </c>
      <c r="K1103" s="9" t="s">
        <v>286</v>
      </c>
    </row>
    <row r="1104" spans="1:12" ht="23" customHeight="1">
      <c r="A1104" s="6">
        <v>6</v>
      </c>
      <c r="B1104" s="6">
        <v>3</v>
      </c>
      <c r="C1104" s="6">
        <v>1</v>
      </c>
      <c r="D1104" s="5" t="s">
        <v>646</v>
      </c>
      <c r="E1104" s="9" t="s">
        <v>745</v>
      </c>
      <c r="F1104" s="9" t="s">
        <v>746</v>
      </c>
      <c r="G1104" s="9">
        <f>'有効抵抗土圧'!AA61</f>
        <v>3088.8</v>
      </c>
      <c r="H1104" s="64">
        <f>ROUND(G1104,1)</f>
        <v>3088.8</v>
      </c>
      <c r="I1104" s="65">
        <v>3088.8</v>
      </c>
      <c r="J1104" s="9">
        <f>(H1104-I1104)</f>
        <v>0.0</v>
      </c>
      <c r="K1104" s="9" t="s">
        <v>286</v>
      </c>
    </row>
    <row r="1105" spans="1:12" ht="23" customHeight="1">
      <c r="A1105" s="6">
        <v>6</v>
      </c>
      <c r="B1105" s="6">
        <v>3</v>
      </c>
      <c r="C1105" s="6">
        <v>1</v>
      </c>
      <c r="D1105" s="5" t="s">
        <v>646</v>
      </c>
      <c r="E1105" s="9" t="s">
        <v>747</v>
      </c>
      <c r="F1105" s="9" t="s">
        <v>746</v>
      </c>
      <c r="G1105" s="9">
        <f>'有効抵抗土圧'!AA62</f>
        <v>3088.8</v>
      </c>
      <c r="H1105" s="64">
        <f>ROUND(G1105,1)</f>
        <v>3088.8</v>
      </c>
      <c r="I1105" s="65">
        <v>3088.8</v>
      </c>
      <c r="J1105" s="9">
        <f>(H1105-I1105)</f>
        <v>0.0</v>
      </c>
      <c r="K1105" s="9" t="s">
        <v>286</v>
      </c>
    </row>
    <row r="1106" spans="1:12" ht="23" customHeight="1"/>
    <row r="1107" spans="1:12" ht="24" customHeight="1">
      <c r="A1107" s="3" t="s">
        <v>797</v>
      </c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</row>
    <row r="1108" spans="1:12" ht="36" customHeight="1">
      <c r="A1108" s="4" t="s">
        <v>798</v>
      </c>
      <c r="B1108" s="4" t="s">
        <v>799</v>
      </c>
      <c r="C1108" s="4" t="s">
        <v>800</v>
      </c>
      <c r="D1108" s="4" t="s">
        <v>801</v>
      </c>
    </row>
    <row r="1109" spans="1:12" ht="23" customHeight="1">
      <c r="A1109" s="61">
        <v>31</v>
      </c>
      <c r="B1109" s="61">
        <v>4.945</v>
      </c>
      <c r="C1109" s="61">
        <v>1.3</v>
      </c>
      <c r="D1109" s="62">
        <f>ROUND((A1109-C1109),4)</f>
        <v>29.7</v>
      </c>
    </row>
    <row r="1110" spans="1:12" ht="24" customHeight="1">
      <c r="A1110" s="2" t="s">
        <v>802</v>
      </c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</row>
    <row r="1111" spans="1:12" ht="23" customHeight="1"/>
    <row r="1112" spans="1:12" ht="24" customHeight="1">
      <c r="A1112" s="3" t="s">
        <v>803</v>
      </c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</row>
    <row r="1113" spans="1:12" ht="36" customHeight="1">
      <c r="A1113" s="4" t="s">
        <v>8</v>
      </c>
      <c r="B1113" s="4" t="s">
        <v>9</v>
      </c>
      <c r="C1113" s="4" t="s">
        <v>562</v>
      </c>
      <c r="D1113" s="4" t="s">
        <v>804</v>
      </c>
      <c r="E1113" s="4" t="s">
        <v>805</v>
      </c>
      <c r="F1113" s="4" t="s">
        <v>806</v>
      </c>
      <c r="G1113" s="4" t="s">
        <v>807</v>
      </c>
      <c r="H1113" s="4" t="s">
        <v>808</v>
      </c>
      <c r="I1113" s="4" t="s">
        <v>809</v>
      </c>
      <c r="J1113" s="4" t="s">
        <v>810</v>
      </c>
      <c r="K1113" s="4" t="s">
        <v>801</v>
      </c>
      <c r="L1113" s="4" t="s">
        <v>811</v>
      </c>
    </row>
    <row r="1114" spans="1:12" ht="23" customHeight="1">
      <c r="A1114" s="6">
        <v>4</v>
      </c>
      <c r="B1114" s="6">
        <v>1</v>
      </c>
      <c r="C1114" s="6">
        <v>1</v>
      </c>
      <c r="D1114" s="6">
        <v>212</v>
      </c>
      <c r="E1114" s="6">
        <v>244</v>
      </c>
      <c r="F1114" s="61">
        <v>0</v>
      </c>
      <c r="G1114" s="61">
        <v>1.5</v>
      </c>
      <c r="H1114" s="62">
        <f>ROUND((G1114-F1114),4)</f>
        <v>1.5</v>
      </c>
      <c r="I1114" s="61">
        <v>1.5</v>
      </c>
      <c r="J1114" s="62">
        <f>MAX(F1114,B1109)</f>
        <v>4.945</v>
      </c>
      <c r="K1114" s="62">
        <f>MIN(G1114,D1109)</f>
        <v>1.5</v>
      </c>
      <c r="L1114" s="62">
        <f>MAX(0,ROUND((K1114-J1114),4))</f>
        <v>0.0</v>
      </c>
    </row>
    <row r="1115" spans="1:12" ht="23" customHeight="1">
      <c r="A1115" s="6">
        <v>4</v>
      </c>
      <c r="B1115" s="6">
        <v>1</v>
      </c>
      <c r="C1115" s="6">
        <v>2</v>
      </c>
      <c r="D1115" s="6">
        <v>213</v>
      </c>
      <c r="E1115" s="6">
        <v>245</v>
      </c>
      <c r="F1115" s="61">
        <v>1.5</v>
      </c>
      <c r="G1115" s="61">
        <v>2.8</v>
      </c>
      <c r="H1115" s="62">
        <f>ROUND((G1115-F1115),4)</f>
        <v>1.3</v>
      </c>
      <c r="I1115" s="61">
        <v>1.3</v>
      </c>
      <c r="J1115" s="62">
        <f>MAX(F1115,B1109)</f>
        <v>4.945</v>
      </c>
      <c r="K1115" s="62">
        <f>MIN(G1115,D1109)</f>
        <v>2.8</v>
      </c>
      <c r="L1115" s="62">
        <f>MAX(0,ROUND((K1115-J1115),4))</f>
        <v>0.0</v>
      </c>
    </row>
    <row r="1116" spans="1:12" ht="23" customHeight="1">
      <c r="A1116" s="6">
        <v>4</v>
      </c>
      <c r="B1116" s="6">
        <v>1</v>
      </c>
      <c r="C1116" s="6">
        <v>3</v>
      </c>
      <c r="D1116" s="6">
        <v>214</v>
      </c>
      <c r="E1116" s="6">
        <v>246</v>
      </c>
      <c r="F1116" s="61">
        <v>2.8</v>
      </c>
      <c r="G1116" s="61">
        <v>5.7</v>
      </c>
      <c r="H1116" s="62">
        <f>ROUND((G1116-F1116),4)</f>
        <v>2.9</v>
      </c>
      <c r="I1116" s="61">
        <v>2.9</v>
      </c>
      <c r="J1116" s="62">
        <f>MAX(F1116,B1109)</f>
        <v>4.945</v>
      </c>
      <c r="K1116" s="62">
        <f>MIN(G1116,D1109)</f>
        <v>5.7</v>
      </c>
      <c r="L1116" s="62">
        <f>MAX(0,ROUND((K1116-J1116),4))</f>
        <v>0.755</v>
      </c>
    </row>
    <row r="1117" spans="1:12" ht="23" customHeight="1">
      <c r="A1117" s="6">
        <v>4</v>
      </c>
      <c r="B1117" s="6">
        <v>1</v>
      </c>
      <c r="C1117" s="6">
        <v>4</v>
      </c>
      <c r="D1117" s="6">
        <v>215</v>
      </c>
      <c r="E1117" s="6">
        <v>247</v>
      </c>
      <c r="F1117" s="61">
        <v>5.7</v>
      </c>
      <c r="G1117" s="61">
        <v>8.300000000000001</v>
      </c>
      <c r="H1117" s="62">
        <f>ROUND((G1117-F1117),4)</f>
        <v>2.6</v>
      </c>
      <c r="I1117" s="61">
        <v>2.6</v>
      </c>
      <c r="J1117" s="62">
        <f>MAX(F1117,B1109)</f>
        <v>5.7</v>
      </c>
      <c r="K1117" s="62">
        <f>MIN(G1117,D1109)</f>
        <v>8.3</v>
      </c>
      <c r="L1117" s="62">
        <f>MAX(0,ROUND((K1117-J1117),4))</f>
        <v>2.6</v>
      </c>
    </row>
    <row r="1118" spans="1:12" ht="23" customHeight="1">
      <c r="A1118" s="6">
        <v>4</v>
      </c>
      <c r="B1118" s="6">
        <v>1</v>
      </c>
      <c r="C1118" s="6">
        <v>5</v>
      </c>
      <c r="D1118" s="6">
        <v>216</v>
      </c>
      <c r="E1118" s="6">
        <v>248</v>
      </c>
      <c r="F1118" s="61">
        <v>8.300000000000001</v>
      </c>
      <c r="G1118" s="61">
        <v>8.9</v>
      </c>
      <c r="H1118" s="62">
        <f>ROUND((G1118-F1118),4)</f>
        <v>0.6</v>
      </c>
      <c r="I1118" s="61">
        <v>0.6</v>
      </c>
      <c r="J1118" s="62">
        <f>MAX(F1118,B1109)</f>
        <v>8.3</v>
      </c>
      <c r="K1118" s="62">
        <f>MIN(G1118,D1109)</f>
        <v>8.9</v>
      </c>
      <c r="L1118" s="62">
        <f>MAX(0,ROUND((K1118-J1118),4))</f>
        <v>0.6</v>
      </c>
    </row>
    <row r="1119" spans="1:12" ht="23" customHeight="1">
      <c r="A1119" s="6">
        <v>4</v>
      </c>
      <c r="B1119" s="6">
        <v>1</v>
      </c>
      <c r="C1119" s="6">
        <v>6</v>
      </c>
      <c r="D1119" s="6">
        <v>217</v>
      </c>
      <c r="E1119" s="6">
        <v>249</v>
      </c>
      <c r="F1119" s="61">
        <v>8.9</v>
      </c>
      <c r="G1119" s="61">
        <v>18.4</v>
      </c>
      <c r="H1119" s="62">
        <f>ROUND((G1119-F1119),4)</f>
        <v>9.5</v>
      </c>
      <c r="I1119" s="61">
        <v>9.5</v>
      </c>
      <c r="J1119" s="62">
        <f>MAX(F1119,B1109)</f>
        <v>8.9</v>
      </c>
      <c r="K1119" s="62">
        <f>MIN(G1119,D1109)</f>
        <v>18.4</v>
      </c>
      <c r="L1119" s="62">
        <f>MAX(0,ROUND((K1119-J1119),4))</f>
        <v>9.5</v>
      </c>
    </row>
    <row r="1120" spans="1:12" ht="23" customHeight="1">
      <c r="A1120" s="6">
        <v>4</v>
      </c>
      <c r="B1120" s="6">
        <v>1</v>
      </c>
      <c r="C1120" s="6">
        <v>7</v>
      </c>
      <c r="D1120" s="6">
        <v>218</v>
      </c>
      <c r="E1120" s="6">
        <v>250</v>
      </c>
      <c r="F1120" s="61">
        <v>18.4</v>
      </c>
      <c r="G1120" s="61">
        <v>31</v>
      </c>
      <c r="H1120" s="62">
        <f>ROUND((G1120-F1120),4)</f>
        <v>12.6</v>
      </c>
      <c r="I1120" s="61">
        <v>11.3</v>
      </c>
      <c r="J1120" s="62">
        <f>MAX(F1120,B1109)</f>
        <v>18.4</v>
      </c>
      <c r="K1120" s="62">
        <f>MIN(G1120,D1109)</f>
        <v>29.7</v>
      </c>
      <c r="L1120" s="62">
        <f>MAX(0,ROUND((K1120-J1120),4))</f>
        <v>11.3</v>
      </c>
    </row>
    <row r="1121" spans="1:12" ht="23" customHeight="1">
      <c r="A1121" s="6">
        <v>5</v>
      </c>
      <c r="B1121" s="6">
        <v>2</v>
      </c>
      <c r="C1121" s="6">
        <v>1</v>
      </c>
      <c r="D1121" s="6">
        <v>212</v>
      </c>
      <c r="E1121" s="6">
        <v>244</v>
      </c>
      <c r="F1121" s="61">
        <v>0</v>
      </c>
      <c r="G1121" s="61">
        <v>1.5</v>
      </c>
      <c r="H1121" s="62">
        <f>ROUND((G1121-F1121),4)</f>
        <v>1.5</v>
      </c>
      <c r="I1121" s="61">
        <v>1.5</v>
      </c>
      <c r="J1121" s="62">
        <f>MAX(F1121,B1109)</f>
        <v>4.945</v>
      </c>
      <c r="K1121" s="62">
        <f>MIN(G1121,D1109)</f>
        <v>1.5</v>
      </c>
      <c r="L1121" s="62">
        <f>MAX(0,ROUND((K1121-J1121),4))</f>
        <v>0.0</v>
      </c>
    </row>
    <row r="1122" spans="1:12" ht="23" customHeight="1">
      <c r="A1122" s="6">
        <v>5</v>
      </c>
      <c r="B1122" s="6">
        <v>2</v>
      </c>
      <c r="C1122" s="6">
        <v>2</v>
      </c>
      <c r="D1122" s="6">
        <v>213</v>
      </c>
      <c r="E1122" s="6">
        <v>245</v>
      </c>
      <c r="F1122" s="61">
        <v>1.5</v>
      </c>
      <c r="G1122" s="61">
        <v>2.8</v>
      </c>
      <c r="H1122" s="62">
        <f>ROUND((G1122-F1122),4)</f>
        <v>1.3</v>
      </c>
      <c r="I1122" s="61">
        <v>1.3</v>
      </c>
      <c r="J1122" s="62">
        <f>MAX(F1122,B1109)</f>
        <v>4.945</v>
      </c>
      <c r="K1122" s="62">
        <f>MIN(G1122,D1109)</f>
        <v>2.8</v>
      </c>
      <c r="L1122" s="62">
        <f>MAX(0,ROUND((K1122-J1122),4))</f>
        <v>0.0</v>
      </c>
    </row>
    <row r="1123" spans="1:12" ht="23" customHeight="1">
      <c r="A1123" s="6">
        <v>5</v>
      </c>
      <c r="B1123" s="6">
        <v>2</v>
      </c>
      <c r="C1123" s="6">
        <v>3</v>
      </c>
      <c r="D1123" s="6">
        <v>214</v>
      </c>
      <c r="E1123" s="6">
        <v>246</v>
      </c>
      <c r="F1123" s="61">
        <v>2.8</v>
      </c>
      <c r="G1123" s="61">
        <v>5.7</v>
      </c>
      <c r="H1123" s="62">
        <f>ROUND((G1123-F1123),4)</f>
        <v>2.9</v>
      </c>
      <c r="I1123" s="61">
        <v>2.9</v>
      </c>
      <c r="J1123" s="62">
        <f>MAX(F1123,B1109)</f>
        <v>4.945</v>
      </c>
      <c r="K1123" s="62">
        <f>MIN(G1123,D1109)</f>
        <v>5.7</v>
      </c>
      <c r="L1123" s="62">
        <f>MAX(0,ROUND((K1123-J1123),4))</f>
        <v>0.755</v>
      </c>
    </row>
    <row r="1124" spans="1:12" ht="23" customHeight="1">
      <c r="A1124" s="6">
        <v>5</v>
      </c>
      <c r="B1124" s="6">
        <v>2</v>
      </c>
      <c r="C1124" s="6">
        <v>4</v>
      </c>
      <c r="D1124" s="6">
        <v>215</v>
      </c>
      <c r="E1124" s="6">
        <v>247</v>
      </c>
      <c r="F1124" s="61">
        <v>5.7</v>
      </c>
      <c r="G1124" s="61">
        <v>8.300000000000001</v>
      </c>
      <c r="H1124" s="62">
        <f>ROUND((G1124-F1124),4)</f>
        <v>2.6</v>
      </c>
      <c r="I1124" s="61">
        <v>2.6</v>
      </c>
      <c r="J1124" s="62">
        <f>MAX(F1124,B1109)</f>
        <v>5.7</v>
      </c>
      <c r="K1124" s="62">
        <f>MIN(G1124,D1109)</f>
        <v>8.3</v>
      </c>
      <c r="L1124" s="62">
        <f>MAX(0,ROUND((K1124-J1124),4))</f>
        <v>2.6</v>
      </c>
    </row>
    <row r="1125" spans="1:12" ht="23" customHeight="1">
      <c r="A1125" s="6">
        <v>5</v>
      </c>
      <c r="B1125" s="6">
        <v>2</v>
      </c>
      <c r="C1125" s="6">
        <v>5</v>
      </c>
      <c r="D1125" s="6">
        <v>216</v>
      </c>
      <c r="E1125" s="6">
        <v>248</v>
      </c>
      <c r="F1125" s="61">
        <v>8.300000000000001</v>
      </c>
      <c r="G1125" s="61">
        <v>8.9</v>
      </c>
      <c r="H1125" s="62">
        <f>ROUND((G1125-F1125),4)</f>
        <v>0.6</v>
      </c>
      <c r="I1125" s="61">
        <v>0.6</v>
      </c>
      <c r="J1125" s="62">
        <f>MAX(F1125,B1109)</f>
        <v>8.3</v>
      </c>
      <c r="K1125" s="62">
        <f>MIN(G1125,D1109)</f>
        <v>8.9</v>
      </c>
      <c r="L1125" s="62">
        <f>MAX(0,ROUND((K1125-J1125),4))</f>
        <v>0.6</v>
      </c>
    </row>
    <row r="1126" spans="1:12" ht="23" customHeight="1">
      <c r="A1126" s="6">
        <v>5</v>
      </c>
      <c r="B1126" s="6">
        <v>2</v>
      </c>
      <c r="C1126" s="6">
        <v>6</v>
      </c>
      <c r="D1126" s="6">
        <v>217</v>
      </c>
      <c r="E1126" s="6">
        <v>249</v>
      </c>
      <c r="F1126" s="61">
        <v>8.9</v>
      </c>
      <c r="G1126" s="61">
        <v>18.4</v>
      </c>
      <c r="H1126" s="62">
        <f>ROUND((G1126-F1126),4)</f>
        <v>9.5</v>
      </c>
      <c r="I1126" s="61">
        <v>9.5</v>
      </c>
      <c r="J1126" s="62">
        <f>MAX(F1126,B1109)</f>
        <v>8.9</v>
      </c>
      <c r="K1126" s="62">
        <f>MIN(G1126,D1109)</f>
        <v>18.4</v>
      </c>
      <c r="L1126" s="62">
        <f>MAX(0,ROUND((K1126-J1126),4))</f>
        <v>9.5</v>
      </c>
    </row>
    <row r="1127" spans="1:12" ht="23" customHeight="1">
      <c r="A1127" s="6">
        <v>5</v>
      </c>
      <c r="B1127" s="6">
        <v>2</v>
      </c>
      <c r="C1127" s="6">
        <v>7</v>
      </c>
      <c r="D1127" s="6">
        <v>218</v>
      </c>
      <c r="E1127" s="6">
        <v>250</v>
      </c>
      <c r="F1127" s="61">
        <v>18.4</v>
      </c>
      <c r="G1127" s="61">
        <v>31</v>
      </c>
      <c r="H1127" s="62">
        <f>ROUND((G1127-F1127),4)</f>
        <v>12.6</v>
      </c>
      <c r="I1127" s="61">
        <v>11.3</v>
      </c>
      <c r="J1127" s="62">
        <f>MAX(F1127,B1109)</f>
        <v>18.4</v>
      </c>
      <c r="K1127" s="62">
        <f>MIN(G1127,D1109)</f>
        <v>29.7</v>
      </c>
      <c r="L1127" s="62">
        <f>MAX(0,ROUND((K1127-J1127),4))</f>
        <v>11.3</v>
      </c>
    </row>
    <row r="1128" spans="1:12" ht="23" customHeight="1">
      <c r="A1128" s="6">
        <v>6</v>
      </c>
      <c r="B1128" s="6">
        <v>3</v>
      </c>
      <c r="C1128" s="6">
        <v>1</v>
      </c>
      <c r="D1128" s="6">
        <v>212</v>
      </c>
      <c r="E1128" s="6">
        <v>244</v>
      </c>
      <c r="F1128" s="61">
        <v>0</v>
      </c>
      <c r="G1128" s="61">
        <v>1.5</v>
      </c>
      <c r="H1128" s="62">
        <f>ROUND((G1128-F1128),4)</f>
        <v>1.5</v>
      </c>
      <c r="I1128" s="61">
        <v>1.5</v>
      </c>
      <c r="J1128" s="62">
        <f>MAX(F1128,B1109)</f>
        <v>4.945</v>
      </c>
      <c r="K1128" s="62">
        <f>MIN(G1128,D1109)</f>
        <v>1.5</v>
      </c>
      <c r="L1128" s="62">
        <f>MAX(0,ROUND((K1128-J1128),4))</f>
        <v>0.0</v>
      </c>
    </row>
    <row r="1129" spans="1:12" ht="24" customHeight="1">
      <c r="A1129" s="3" t="s">
        <v>803</v>
      </c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</row>
    <row r="1130" spans="1:12" ht="36" customHeight="1">
      <c r="A1130" s="4" t="s">
        <v>8</v>
      </c>
      <c r="B1130" s="4" t="s">
        <v>9</v>
      </c>
      <c r="C1130" s="4" t="s">
        <v>562</v>
      </c>
      <c r="D1130" s="4" t="s">
        <v>804</v>
      </c>
      <c r="E1130" s="4" t="s">
        <v>805</v>
      </c>
      <c r="F1130" s="4" t="s">
        <v>806</v>
      </c>
      <c r="G1130" s="4" t="s">
        <v>807</v>
      </c>
      <c r="H1130" s="4" t="s">
        <v>808</v>
      </c>
      <c r="I1130" s="4" t="s">
        <v>809</v>
      </c>
      <c r="J1130" s="4" t="s">
        <v>810</v>
      </c>
      <c r="K1130" s="4" t="s">
        <v>801</v>
      </c>
      <c r="L1130" s="4" t="s">
        <v>811</v>
      </c>
    </row>
    <row r="1131" spans="1:12" ht="23" customHeight="1">
      <c r="A1131" s="6">
        <v>6</v>
      </c>
      <c r="B1131" s="6">
        <v>3</v>
      </c>
      <c r="C1131" s="6">
        <v>2</v>
      </c>
      <c r="D1131" s="6">
        <v>213</v>
      </c>
      <c r="E1131" s="6">
        <v>245</v>
      </c>
      <c r="F1131" s="61">
        <v>1.5</v>
      </c>
      <c r="G1131" s="61">
        <v>2.8</v>
      </c>
      <c r="H1131" s="62">
        <f>ROUND((G1131-F1131),4)</f>
        <v>1.3</v>
      </c>
      <c r="I1131" s="61">
        <v>1.3</v>
      </c>
      <c r="J1131" s="62">
        <f>MAX(F1131,B1109)</f>
        <v>4.945</v>
      </c>
      <c r="K1131" s="62">
        <f>MIN(G1131,D1109)</f>
        <v>2.8</v>
      </c>
      <c r="L1131" s="62">
        <f>MAX(0,ROUND((K1131-J1131),4))</f>
        <v>0.0</v>
      </c>
    </row>
    <row r="1132" spans="1:12" ht="23" customHeight="1">
      <c r="A1132" s="6">
        <v>6</v>
      </c>
      <c r="B1132" s="6">
        <v>3</v>
      </c>
      <c r="C1132" s="6">
        <v>3</v>
      </c>
      <c r="D1132" s="6">
        <v>214</v>
      </c>
      <c r="E1132" s="6">
        <v>246</v>
      </c>
      <c r="F1132" s="61">
        <v>2.8</v>
      </c>
      <c r="G1132" s="61">
        <v>5.7</v>
      </c>
      <c r="H1132" s="62">
        <f>ROUND((G1132-F1132),4)</f>
        <v>2.9</v>
      </c>
      <c r="I1132" s="61">
        <v>2.9</v>
      </c>
      <c r="J1132" s="62">
        <f>MAX(F1132,B1109)</f>
        <v>4.945</v>
      </c>
      <c r="K1132" s="62">
        <f>MIN(G1132,D1109)</f>
        <v>5.7</v>
      </c>
      <c r="L1132" s="62">
        <f>MAX(0,ROUND((K1132-J1132),4))</f>
        <v>0.755</v>
      </c>
    </row>
    <row r="1133" spans="1:12" ht="23" customHeight="1">
      <c r="A1133" s="6">
        <v>6</v>
      </c>
      <c r="B1133" s="6">
        <v>3</v>
      </c>
      <c r="C1133" s="6">
        <v>4</v>
      </c>
      <c r="D1133" s="6">
        <v>215</v>
      </c>
      <c r="E1133" s="6">
        <v>247</v>
      </c>
      <c r="F1133" s="61">
        <v>5.7</v>
      </c>
      <c r="G1133" s="61">
        <v>8.300000000000001</v>
      </c>
      <c r="H1133" s="62">
        <f>ROUND((G1133-F1133),4)</f>
        <v>2.6</v>
      </c>
      <c r="I1133" s="61">
        <v>2.6</v>
      </c>
      <c r="J1133" s="62">
        <f>MAX(F1133,B1109)</f>
        <v>5.7</v>
      </c>
      <c r="K1133" s="62">
        <f>MIN(G1133,D1109)</f>
        <v>8.3</v>
      </c>
      <c r="L1133" s="62">
        <f>MAX(0,ROUND((K1133-J1133),4))</f>
        <v>2.6</v>
      </c>
    </row>
    <row r="1134" spans="1:12" ht="23" customHeight="1">
      <c r="A1134" s="6">
        <v>6</v>
      </c>
      <c r="B1134" s="6">
        <v>3</v>
      </c>
      <c r="C1134" s="6">
        <v>5</v>
      </c>
      <c r="D1134" s="6">
        <v>216</v>
      </c>
      <c r="E1134" s="6">
        <v>248</v>
      </c>
      <c r="F1134" s="61">
        <v>8.300000000000001</v>
      </c>
      <c r="G1134" s="61">
        <v>8.9</v>
      </c>
      <c r="H1134" s="62">
        <f>ROUND((G1134-F1134),4)</f>
        <v>0.6</v>
      </c>
      <c r="I1134" s="61">
        <v>0.6</v>
      </c>
      <c r="J1134" s="62">
        <f>MAX(F1134,B1109)</f>
        <v>8.3</v>
      </c>
      <c r="K1134" s="62">
        <f>MIN(G1134,D1109)</f>
        <v>8.9</v>
      </c>
      <c r="L1134" s="62">
        <f>MAX(0,ROUND((K1134-J1134),4))</f>
        <v>0.6</v>
      </c>
    </row>
    <row r="1135" spans="1:12" ht="23" customHeight="1">
      <c r="A1135" s="6">
        <v>6</v>
      </c>
      <c r="B1135" s="6">
        <v>3</v>
      </c>
      <c r="C1135" s="6">
        <v>6</v>
      </c>
      <c r="D1135" s="6">
        <v>217</v>
      </c>
      <c r="E1135" s="6">
        <v>249</v>
      </c>
      <c r="F1135" s="61">
        <v>8.9</v>
      </c>
      <c r="G1135" s="61">
        <v>18.4</v>
      </c>
      <c r="H1135" s="62">
        <f>ROUND((G1135-F1135),4)</f>
        <v>9.5</v>
      </c>
      <c r="I1135" s="61">
        <v>9.5</v>
      </c>
      <c r="J1135" s="62">
        <f>MAX(F1135,B1109)</f>
        <v>8.9</v>
      </c>
      <c r="K1135" s="62">
        <f>MIN(G1135,D1109)</f>
        <v>18.4</v>
      </c>
      <c r="L1135" s="62">
        <f>MAX(0,ROUND((K1135-J1135),4))</f>
        <v>9.5</v>
      </c>
    </row>
    <row r="1136" spans="1:12" ht="23" customHeight="1">
      <c r="A1136" s="6">
        <v>6</v>
      </c>
      <c r="B1136" s="6">
        <v>3</v>
      </c>
      <c r="C1136" s="6">
        <v>7</v>
      </c>
      <c r="D1136" s="6">
        <v>218</v>
      </c>
      <c r="E1136" s="6">
        <v>250</v>
      </c>
      <c r="F1136" s="61">
        <v>18.4</v>
      </c>
      <c r="G1136" s="61">
        <v>31</v>
      </c>
      <c r="H1136" s="62">
        <f>ROUND((G1136-F1136),4)</f>
        <v>12.6</v>
      </c>
      <c r="I1136" s="61">
        <v>11.3</v>
      </c>
      <c r="J1136" s="62">
        <f>MAX(F1136,B1109)</f>
        <v>18.4</v>
      </c>
      <c r="K1136" s="62">
        <f>MIN(G1136,D1109)</f>
        <v>29.7</v>
      </c>
      <c r="L1136" s="62">
        <f>MAX(0,ROUND((K1136-J1136),4))</f>
        <v>11.3</v>
      </c>
    </row>
    <row r="1137" spans="1:12" ht="23" customHeight="1"/>
    <row r="1138" spans="1:12" ht="24" customHeight="1">
      <c r="A1138" s="3" t="s">
        <v>812</v>
      </c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</row>
    <row r="1139" spans="1:12" ht="36" customHeight="1">
      <c r="A1139" s="4" t="s">
        <v>8</v>
      </c>
      <c r="B1139" s="4" t="s">
        <v>9</v>
      </c>
      <c r="C1139" s="4" t="s">
        <v>562</v>
      </c>
      <c r="D1139" s="4" t="s">
        <v>813</v>
      </c>
      <c r="E1139" s="4" t="s">
        <v>814</v>
      </c>
      <c r="F1139" s="4" t="s">
        <v>815</v>
      </c>
      <c r="G1139" s="4" t="s">
        <v>816</v>
      </c>
      <c r="H1139" s="4" t="s">
        <v>817</v>
      </c>
      <c r="I1139" s="4" t="s">
        <v>818</v>
      </c>
    </row>
    <row r="1140" spans="1:12" ht="23" customHeight="1">
      <c r="A1140" s="6">
        <v>4</v>
      </c>
      <c r="B1140" s="6">
        <v>1</v>
      </c>
      <c r="C1140" s="6">
        <v>1</v>
      </c>
      <c r="D1140" s="9" t="s">
        <v>819</v>
      </c>
      <c r="E1140" s="62">
        <f>F1114</f>
        <v>0.0</v>
      </c>
      <c r="F1140" s="62">
        <f>G1114</f>
        <v>1.5</v>
      </c>
      <c r="G1140" s="62">
        <f>ROUND((F1140-E1140),4)</f>
        <v>1.5</v>
      </c>
      <c r="H1140" s="6">
        <v>0</v>
      </c>
      <c r="I1140" s="6">
        <v>0</v>
      </c>
    </row>
    <row r="1141" spans="1:12" ht="23" customHeight="1">
      <c r="A1141" s="6">
        <v>4</v>
      </c>
      <c r="B1141" s="6">
        <v>1</v>
      </c>
      <c r="C1141" s="6">
        <v>2</v>
      </c>
      <c r="D1141" s="9" t="s">
        <v>819</v>
      </c>
      <c r="E1141" s="62">
        <f>F1115</f>
        <v>1.5</v>
      </c>
      <c r="F1141" s="62">
        <f>G1115</f>
        <v>2.8</v>
      </c>
      <c r="G1141" s="62">
        <f>ROUND((F1141-E1141),4)</f>
        <v>1.3</v>
      </c>
      <c r="H1141" s="6">
        <v>0</v>
      </c>
      <c r="I1141" s="6">
        <v>0</v>
      </c>
    </row>
    <row r="1142" spans="1:12" ht="23" customHeight="1">
      <c r="A1142" s="6">
        <v>4</v>
      </c>
      <c r="B1142" s="6">
        <v>1</v>
      </c>
      <c r="C1142" s="6">
        <v>3</v>
      </c>
      <c r="D1142" s="9" t="s">
        <v>819</v>
      </c>
      <c r="E1142" s="62">
        <f>F1116</f>
        <v>2.8</v>
      </c>
      <c r="F1142" s="62">
        <f>B1109</f>
        <v>4.945</v>
      </c>
      <c r="G1142" s="62">
        <f>ROUND((F1142-E1142),4)</f>
        <v>2.145</v>
      </c>
      <c r="H1142" s="6">
        <v>0</v>
      </c>
      <c r="I1142" s="6">
        <v>0</v>
      </c>
    </row>
    <row r="1143" spans="1:12" ht="23" customHeight="1">
      <c r="A1143" s="6">
        <v>4</v>
      </c>
      <c r="B1143" s="6">
        <v>1</v>
      </c>
      <c r="C1143" s="6">
        <v>3</v>
      </c>
      <c r="D1143" s="9" t="s">
        <v>820</v>
      </c>
      <c r="E1143" s="62">
        <f>B1109</f>
        <v>4.945</v>
      </c>
      <c r="F1143" s="62">
        <f>G1116</f>
        <v>5.7</v>
      </c>
      <c r="G1143" s="62">
        <f>ROUND((F1143-E1143),4)</f>
        <v>0.755</v>
      </c>
      <c r="H1143" s="9">
        <f>F121</f>
        <v>46127.0</v>
      </c>
      <c r="I1143" s="9">
        <f>F124</f>
        <v>294.1</v>
      </c>
    </row>
    <row r="1144" spans="1:12" ht="23" customHeight="1">
      <c r="A1144" s="6">
        <v>4</v>
      </c>
      <c r="B1144" s="6">
        <v>1</v>
      </c>
      <c r="C1144" s="6">
        <v>4</v>
      </c>
      <c r="D1144" s="9" t="s">
        <v>820</v>
      </c>
      <c r="E1144" s="62">
        <f>F1117</f>
        <v>5.7</v>
      </c>
      <c r="F1144" s="62">
        <f>G1117</f>
        <v>8.3</v>
      </c>
      <c r="G1144" s="62">
        <f>ROUND((F1144-E1144),4)</f>
        <v>2.6</v>
      </c>
      <c r="H1144" s="9">
        <f>F129</f>
        <v>112020.0</v>
      </c>
      <c r="I1144" s="9">
        <f>F130</f>
        <v>1411.5</v>
      </c>
    </row>
    <row r="1145" spans="1:12" ht="24" customHeight="1">
      <c r="A1145" s="3" t="s">
        <v>812</v>
      </c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</row>
    <row r="1146" spans="1:12" ht="36" customHeight="1">
      <c r="A1146" s="4" t="s">
        <v>8</v>
      </c>
      <c r="B1146" s="4" t="s">
        <v>9</v>
      </c>
      <c r="C1146" s="4" t="s">
        <v>562</v>
      </c>
      <c r="D1146" s="4" t="s">
        <v>813</v>
      </c>
      <c r="E1146" s="4" t="s">
        <v>814</v>
      </c>
      <c r="F1146" s="4" t="s">
        <v>815</v>
      </c>
      <c r="G1146" s="4" t="s">
        <v>816</v>
      </c>
      <c r="H1146" s="4" t="s">
        <v>817</v>
      </c>
      <c r="I1146" s="4" t="s">
        <v>818</v>
      </c>
    </row>
    <row r="1147" spans="1:12" ht="23" customHeight="1">
      <c r="A1147" s="6">
        <v>4</v>
      </c>
      <c r="B1147" s="6">
        <v>1</v>
      </c>
      <c r="C1147" s="6">
        <v>5</v>
      </c>
      <c r="D1147" s="9" t="s">
        <v>820</v>
      </c>
      <c r="E1147" s="62">
        <f>F1118</f>
        <v>8.3</v>
      </c>
      <c r="F1147" s="62">
        <f>G1118</f>
        <v>8.9</v>
      </c>
      <c r="G1147" s="62">
        <f>ROUND((F1147-E1147),4)</f>
        <v>0.6</v>
      </c>
      <c r="H1147" s="9">
        <f>F135</f>
        <v>178738.0</v>
      </c>
      <c r="I1147" s="9">
        <f>F136</f>
        <v>1140.9</v>
      </c>
    </row>
    <row r="1148" spans="1:12" ht="23" customHeight="1">
      <c r="A1148" s="6">
        <v>4</v>
      </c>
      <c r="B1148" s="6">
        <v>1</v>
      </c>
      <c r="C1148" s="6">
        <v>6</v>
      </c>
      <c r="D1148" s="9" t="s">
        <v>820</v>
      </c>
      <c r="E1148" s="62">
        <f>F1119</f>
        <v>8.9</v>
      </c>
      <c r="F1148" s="62">
        <f>G1119</f>
        <v>18.4</v>
      </c>
      <c r="G1148" s="62">
        <f>ROUND((F1148-E1148),4)</f>
        <v>9.5</v>
      </c>
      <c r="H1148" s="9">
        <f>F143</f>
        <v>168029.0</v>
      </c>
      <c r="I1148" s="9">
        <f>F144</f>
        <v>2117.2</v>
      </c>
    </row>
    <row r="1149" spans="1:12" ht="23" customHeight="1">
      <c r="A1149" s="6">
        <v>4</v>
      </c>
      <c r="B1149" s="6">
        <v>1</v>
      </c>
      <c r="C1149" s="6">
        <v>7</v>
      </c>
      <c r="D1149" s="9" t="s">
        <v>820</v>
      </c>
      <c r="E1149" s="62">
        <f>F1120</f>
        <v>18.4</v>
      </c>
      <c r="F1149" s="62">
        <f>D1109</f>
        <v>29.7</v>
      </c>
      <c r="G1149" s="62">
        <f>ROUND((F1149-E1149),4)</f>
        <v>11.3</v>
      </c>
      <c r="H1149" s="9">
        <f>F149</f>
        <v>80720.0</v>
      </c>
      <c r="I1149" s="9">
        <f>F150</f>
        <v>517.5</v>
      </c>
    </row>
    <row r="1150" spans="1:12" ht="23" customHeight="1">
      <c r="A1150" s="6">
        <v>4</v>
      </c>
      <c r="B1150" s="6">
        <v>1</v>
      </c>
      <c r="C1150" s="6">
        <v>7</v>
      </c>
      <c r="D1150" s="9" t="s">
        <v>819</v>
      </c>
      <c r="E1150" s="62">
        <f>D1109</f>
        <v>29.7</v>
      </c>
      <c r="F1150" s="62">
        <f>G1120</f>
        <v>31.0</v>
      </c>
      <c r="G1150" s="62">
        <f>ROUND((F1150-E1150),4)</f>
        <v>1.3</v>
      </c>
      <c r="H1150" s="6">
        <v>0</v>
      </c>
      <c r="I1150" s="6">
        <v>0</v>
      </c>
    </row>
    <row r="1151" spans="1:12" ht="23" customHeight="1">
      <c r="A1151" s="6">
        <v>5</v>
      </c>
      <c r="B1151" s="6">
        <v>2</v>
      </c>
      <c r="C1151" s="6">
        <v>1</v>
      </c>
      <c r="D1151" s="9" t="s">
        <v>819</v>
      </c>
      <c r="E1151" s="62">
        <f>F1121</f>
        <v>0.0</v>
      </c>
      <c r="F1151" s="62">
        <f>G1121</f>
        <v>1.5</v>
      </c>
      <c r="G1151" s="62">
        <f>ROUND((F1151-E1151),4)</f>
        <v>1.5</v>
      </c>
      <c r="H1151" s="6">
        <v>0</v>
      </c>
      <c r="I1151" s="6">
        <v>0</v>
      </c>
    </row>
    <row r="1152" spans="1:12" ht="23" customHeight="1">
      <c r="A1152" s="6">
        <v>5</v>
      </c>
      <c r="B1152" s="6">
        <v>2</v>
      </c>
      <c r="C1152" s="6">
        <v>2</v>
      </c>
      <c r="D1152" s="9" t="s">
        <v>819</v>
      </c>
      <c r="E1152" s="62">
        <f>F1122</f>
        <v>1.5</v>
      </c>
      <c r="F1152" s="62">
        <f>G1122</f>
        <v>2.8</v>
      </c>
      <c r="G1152" s="62">
        <f>ROUND((F1152-E1152),4)</f>
        <v>1.3</v>
      </c>
      <c r="H1152" s="6">
        <v>0</v>
      </c>
      <c r="I1152" s="6">
        <v>0</v>
      </c>
    </row>
    <row r="1153" spans="1:12" ht="23" customHeight="1">
      <c r="A1153" s="6">
        <v>5</v>
      </c>
      <c r="B1153" s="6">
        <v>2</v>
      </c>
      <c r="C1153" s="6">
        <v>3</v>
      </c>
      <c r="D1153" s="9" t="s">
        <v>819</v>
      </c>
      <c r="E1153" s="62">
        <f>F1123</f>
        <v>2.8</v>
      </c>
      <c r="F1153" s="62">
        <f>B1109</f>
        <v>4.945</v>
      </c>
      <c r="G1153" s="62">
        <f>ROUND((F1153-E1153),4)</f>
        <v>2.145</v>
      </c>
      <c r="H1153" s="6">
        <v>0</v>
      </c>
      <c r="I1153" s="6">
        <v>0</v>
      </c>
    </row>
    <row r="1154" spans="1:12" ht="23" customHeight="1">
      <c r="A1154" s="6">
        <v>5</v>
      </c>
      <c r="B1154" s="6">
        <v>2</v>
      </c>
      <c r="C1154" s="6">
        <v>3</v>
      </c>
      <c r="D1154" s="9" t="s">
        <v>820</v>
      </c>
      <c r="E1154" s="62">
        <f>B1109</f>
        <v>4.945</v>
      </c>
      <c r="F1154" s="62">
        <f>G1123</f>
        <v>5.7</v>
      </c>
      <c r="G1154" s="62">
        <f>ROUND((F1154-E1154),4)</f>
        <v>0.755</v>
      </c>
      <c r="H1154" s="9">
        <f>F125</f>
        <v>30751.0</v>
      </c>
      <c r="I1154" s="9">
        <f>F126</f>
        <v>196.0</v>
      </c>
    </row>
    <row r="1155" spans="1:12" ht="23" customHeight="1">
      <c r="A1155" s="6">
        <v>5</v>
      </c>
      <c r="B1155" s="6">
        <v>2</v>
      </c>
      <c r="C1155" s="6">
        <v>4</v>
      </c>
      <c r="D1155" s="9" t="s">
        <v>820</v>
      </c>
      <c r="E1155" s="62">
        <f>F1124</f>
        <v>5.7</v>
      </c>
      <c r="F1155" s="62">
        <f>G1124</f>
        <v>8.3</v>
      </c>
      <c r="G1155" s="62">
        <f>ROUND((F1155-E1155),4)</f>
        <v>2.6</v>
      </c>
      <c r="H1155" s="9">
        <f>F131</f>
        <v>74680.0</v>
      </c>
      <c r="I1155" s="9">
        <f>F132</f>
        <v>941.0</v>
      </c>
    </row>
    <row r="1156" spans="1:12" ht="23" customHeight="1">
      <c r="A1156" s="6">
        <v>5</v>
      </c>
      <c r="B1156" s="6">
        <v>2</v>
      </c>
      <c r="C1156" s="6">
        <v>5</v>
      </c>
      <c r="D1156" s="9" t="s">
        <v>820</v>
      </c>
      <c r="E1156" s="62">
        <f>F1125</f>
        <v>8.3</v>
      </c>
      <c r="F1156" s="62">
        <f>G1125</f>
        <v>8.9</v>
      </c>
      <c r="G1156" s="62">
        <f>ROUND((F1156-E1156),4)</f>
        <v>0.6</v>
      </c>
      <c r="H1156" s="9">
        <f>F137</f>
        <v>119158.0</v>
      </c>
      <c r="I1156" s="9">
        <f>F138</f>
        <v>760.6</v>
      </c>
    </row>
    <row r="1157" spans="1:12" ht="23" customHeight="1">
      <c r="A1157" s="6">
        <v>5</v>
      </c>
      <c r="B1157" s="6">
        <v>2</v>
      </c>
      <c r="C1157" s="6">
        <v>6</v>
      </c>
      <c r="D1157" s="9" t="s">
        <v>820</v>
      </c>
      <c r="E1157" s="62">
        <f>F1126</f>
        <v>8.9</v>
      </c>
      <c r="F1157" s="62">
        <f>G1126</f>
        <v>18.4</v>
      </c>
      <c r="G1157" s="62">
        <f>ROUND((F1157-E1157),4)</f>
        <v>9.5</v>
      </c>
      <c r="H1157" s="9">
        <f>F145</f>
        <v>112020.0</v>
      </c>
      <c r="I1157" s="9">
        <f>F146</f>
        <v>1411.5</v>
      </c>
    </row>
    <row r="1158" spans="1:12" ht="23" customHeight="1">
      <c r="A1158" s="6">
        <v>5</v>
      </c>
      <c r="B1158" s="6">
        <v>2</v>
      </c>
      <c r="C1158" s="6">
        <v>7</v>
      </c>
      <c r="D1158" s="9" t="s">
        <v>820</v>
      </c>
      <c r="E1158" s="62">
        <f>F1127</f>
        <v>18.4</v>
      </c>
      <c r="F1158" s="62">
        <f>D1109</f>
        <v>29.7</v>
      </c>
      <c r="G1158" s="62">
        <f>ROUND((F1158-E1158),4)</f>
        <v>11.3</v>
      </c>
      <c r="H1158" s="9">
        <f>F151</f>
        <v>53813.0</v>
      </c>
      <c r="I1158" s="9">
        <f>F152</f>
        <v>345.0</v>
      </c>
    </row>
    <row r="1159" spans="1:12" ht="23" customHeight="1">
      <c r="A1159" s="6">
        <v>5</v>
      </c>
      <c r="B1159" s="6">
        <v>2</v>
      </c>
      <c r="C1159" s="6">
        <v>7</v>
      </c>
      <c r="D1159" s="9" t="s">
        <v>819</v>
      </c>
      <c r="E1159" s="62">
        <f>D1109</f>
        <v>29.7</v>
      </c>
      <c r="F1159" s="62">
        <f>G1127</f>
        <v>31.0</v>
      </c>
      <c r="G1159" s="62">
        <f>ROUND((F1159-E1159),4)</f>
        <v>1.3</v>
      </c>
      <c r="H1159" s="6">
        <v>0</v>
      </c>
      <c r="I1159" s="6">
        <v>0</v>
      </c>
    </row>
    <row r="1160" spans="1:12" ht="23" customHeight="1">
      <c r="A1160" s="6">
        <v>6</v>
      </c>
      <c r="B1160" s="6">
        <v>3</v>
      </c>
      <c r="C1160" s="6">
        <v>1</v>
      </c>
      <c r="D1160" s="9" t="s">
        <v>819</v>
      </c>
      <c r="E1160" s="62">
        <f>F1128</f>
        <v>0.0</v>
      </c>
      <c r="F1160" s="62">
        <f>G1128</f>
        <v>1.5</v>
      </c>
      <c r="G1160" s="62">
        <f>ROUND((F1160-E1160),4)</f>
        <v>1.5</v>
      </c>
      <c r="H1160" s="6">
        <v>0</v>
      </c>
      <c r="I1160" s="6">
        <v>0</v>
      </c>
    </row>
    <row r="1161" spans="1:12" ht="23" customHeight="1">
      <c r="A1161" s="6">
        <v>6</v>
      </c>
      <c r="B1161" s="6">
        <v>3</v>
      </c>
      <c r="C1161" s="6">
        <v>2</v>
      </c>
      <c r="D1161" s="9" t="s">
        <v>819</v>
      </c>
      <c r="E1161" s="62">
        <f>F1131</f>
        <v>1.5</v>
      </c>
      <c r="F1161" s="62">
        <f>G1131</f>
        <v>2.8</v>
      </c>
      <c r="G1161" s="62">
        <f>ROUND((F1161-E1161),4)</f>
        <v>1.3</v>
      </c>
      <c r="H1161" s="6">
        <v>0</v>
      </c>
      <c r="I1161" s="6">
        <v>0</v>
      </c>
    </row>
    <row r="1162" spans="1:12" ht="24" customHeight="1">
      <c r="A1162" s="3" t="s">
        <v>812</v>
      </c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</row>
    <row r="1163" spans="1:12" ht="36" customHeight="1">
      <c r="A1163" s="4" t="s">
        <v>8</v>
      </c>
      <c r="B1163" s="4" t="s">
        <v>9</v>
      </c>
      <c r="C1163" s="4" t="s">
        <v>562</v>
      </c>
      <c r="D1163" s="4" t="s">
        <v>813</v>
      </c>
      <c r="E1163" s="4" t="s">
        <v>814</v>
      </c>
      <c r="F1163" s="4" t="s">
        <v>815</v>
      </c>
      <c r="G1163" s="4" t="s">
        <v>816</v>
      </c>
      <c r="H1163" s="4" t="s">
        <v>817</v>
      </c>
      <c r="I1163" s="4" t="s">
        <v>818</v>
      </c>
    </row>
    <row r="1164" spans="1:12" ht="23" customHeight="1">
      <c r="A1164" s="6">
        <v>6</v>
      </c>
      <c r="B1164" s="6">
        <v>3</v>
      </c>
      <c r="C1164" s="6">
        <v>3</v>
      </c>
      <c r="D1164" s="9" t="s">
        <v>819</v>
      </c>
      <c r="E1164" s="62">
        <f>F1132</f>
        <v>2.8</v>
      </c>
      <c r="F1164" s="62">
        <f>B1109</f>
        <v>4.945</v>
      </c>
      <c r="G1164" s="62">
        <f>ROUND((F1164-E1164),4)</f>
        <v>2.145</v>
      </c>
      <c r="H1164" s="6">
        <v>0</v>
      </c>
      <c r="I1164" s="6">
        <v>0</v>
      </c>
    </row>
    <row r="1165" spans="1:12" ht="23" customHeight="1">
      <c r="A1165" s="6">
        <v>6</v>
      </c>
      <c r="B1165" s="6">
        <v>3</v>
      </c>
      <c r="C1165" s="6">
        <v>3</v>
      </c>
      <c r="D1165" s="9" t="s">
        <v>820</v>
      </c>
      <c r="E1165" s="62">
        <f>B1109</f>
        <v>4.945</v>
      </c>
      <c r="F1165" s="62">
        <f>G1132</f>
        <v>5.7</v>
      </c>
      <c r="G1165" s="62">
        <f>ROUND((F1165-E1165),4)</f>
        <v>0.755</v>
      </c>
      <c r="H1165" s="9">
        <f>F127</f>
        <v>46127.0</v>
      </c>
      <c r="I1165" s="9">
        <f>F128</f>
        <v>294.1</v>
      </c>
    </row>
    <row r="1166" spans="1:12" ht="23" customHeight="1">
      <c r="A1166" s="6">
        <v>6</v>
      </c>
      <c r="B1166" s="6">
        <v>3</v>
      </c>
      <c r="C1166" s="6">
        <v>4</v>
      </c>
      <c r="D1166" s="9" t="s">
        <v>820</v>
      </c>
      <c r="E1166" s="62">
        <f>F1133</f>
        <v>5.7</v>
      </c>
      <c r="F1166" s="62">
        <f>G1133</f>
        <v>8.3</v>
      </c>
      <c r="G1166" s="62">
        <f>ROUND((F1166-E1166),4)</f>
        <v>2.6</v>
      </c>
      <c r="H1166" s="9">
        <f>F133</f>
        <v>112020.0</v>
      </c>
      <c r="I1166" s="9">
        <f>F134</f>
        <v>1411.5</v>
      </c>
    </row>
    <row r="1167" spans="1:12" ht="23" customHeight="1">
      <c r="A1167" s="6">
        <v>6</v>
      </c>
      <c r="B1167" s="6">
        <v>3</v>
      </c>
      <c r="C1167" s="6">
        <v>5</v>
      </c>
      <c r="D1167" s="9" t="s">
        <v>820</v>
      </c>
      <c r="E1167" s="62">
        <f>F1134</f>
        <v>8.3</v>
      </c>
      <c r="F1167" s="62">
        <f>G1134</f>
        <v>8.9</v>
      </c>
      <c r="G1167" s="62">
        <f>ROUND((F1167-E1167),4)</f>
        <v>0.6</v>
      </c>
      <c r="H1167" s="9">
        <f>F141</f>
        <v>178738.0</v>
      </c>
      <c r="I1167" s="9">
        <f>F142</f>
        <v>1140.9</v>
      </c>
    </row>
    <row r="1168" spans="1:12" ht="23" customHeight="1">
      <c r="A1168" s="6">
        <v>6</v>
      </c>
      <c r="B1168" s="6">
        <v>3</v>
      </c>
      <c r="C1168" s="6">
        <v>6</v>
      </c>
      <c r="D1168" s="9" t="s">
        <v>820</v>
      </c>
      <c r="E1168" s="62">
        <f>F1135</f>
        <v>8.9</v>
      </c>
      <c r="F1168" s="62">
        <f>G1135</f>
        <v>18.4</v>
      </c>
      <c r="G1168" s="62">
        <f>ROUND((F1168-E1168),4)</f>
        <v>9.5</v>
      </c>
      <c r="H1168" s="9">
        <f>F147</f>
        <v>168029.0</v>
      </c>
      <c r="I1168" s="9">
        <f>F148</f>
        <v>2117.2</v>
      </c>
    </row>
    <row r="1169" spans="1:12" ht="23" customHeight="1">
      <c r="A1169" s="6">
        <v>6</v>
      </c>
      <c r="B1169" s="6">
        <v>3</v>
      </c>
      <c r="C1169" s="6">
        <v>7</v>
      </c>
      <c r="D1169" s="9" t="s">
        <v>820</v>
      </c>
      <c r="E1169" s="62">
        <f>F1136</f>
        <v>18.4</v>
      </c>
      <c r="F1169" s="62">
        <f>D1109</f>
        <v>29.7</v>
      </c>
      <c r="G1169" s="62">
        <f>ROUND((F1169-E1169),4)</f>
        <v>11.3</v>
      </c>
      <c r="H1169" s="9">
        <f>F153</f>
        <v>80720.0</v>
      </c>
      <c r="I1169" s="9">
        <f>F154</f>
        <v>517.5</v>
      </c>
    </row>
    <row r="1170" spans="1:12" ht="23" customHeight="1">
      <c r="A1170" s="6">
        <v>6</v>
      </c>
      <c r="B1170" s="6">
        <v>3</v>
      </c>
      <c r="C1170" s="6">
        <v>7</v>
      </c>
      <c r="D1170" s="9" t="s">
        <v>819</v>
      </c>
      <c r="E1170" s="62">
        <f>D1109</f>
        <v>29.7</v>
      </c>
      <c r="F1170" s="62">
        <f>G1136</f>
        <v>31.0</v>
      </c>
      <c r="G1170" s="62">
        <f>ROUND((F1170-E1170),4)</f>
        <v>1.3</v>
      </c>
      <c r="H1170" s="6">
        <v>0</v>
      </c>
      <c r="I1170" s="6">
        <v>0</v>
      </c>
    </row>
    <row r="1171" spans="1:12" ht="23" customHeight="1"/>
    <row r="1172" spans="1:12" ht="24" customHeight="1">
      <c r="A1172" s="3" t="s">
        <v>821</v>
      </c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</row>
    <row r="1173" spans="1:12" ht="36" customHeight="1">
      <c r="A1173" s="4" t="s">
        <v>8</v>
      </c>
      <c r="B1173" s="4" t="s">
        <v>9</v>
      </c>
      <c r="C1173" s="4" t="s">
        <v>163</v>
      </c>
      <c r="D1173" s="4" t="s">
        <v>822</v>
      </c>
      <c r="E1173" s="4" t="s">
        <v>823</v>
      </c>
      <c r="F1173" s="4" t="s">
        <v>824</v>
      </c>
      <c r="G1173" s="4" t="s">
        <v>825</v>
      </c>
      <c r="H1173" s="4" t="s">
        <v>826</v>
      </c>
      <c r="I1173" s="4" t="s">
        <v>827</v>
      </c>
      <c r="J1173" s="4" t="s">
        <v>828</v>
      </c>
      <c r="K1173" s="4" t="s">
        <v>829</v>
      </c>
      <c r="L1173" s="4" t="s">
        <v>830</v>
      </c>
    </row>
    <row r="1174" spans="1:12" ht="23" customHeight="1">
      <c r="A1174" s="6">
        <v>4</v>
      </c>
      <c r="B1174" s="6">
        <v>1</v>
      </c>
      <c r="C1174" s="6">
        <v>98</v>
      </c>
      <c r="D1174" s="9"/>
      <c r="E1174" s="6">
        <v>99</v>
      </c>
      <c r="F1174" s="61">
        <v>0</v>
      </c>
      <c r="G1174" s="61">
        <v>0</v>
      </c>
      <c r="H1174" s="61">
        <v>1.3</v>
      </c>
      <c r="I1174" s="62">
        <f>ROUND(((F1174+G1174)/2),4)</f>
        <v>0.0</v>
      </c>
      <c r="J1174" s="62">
        <f>ROUND(((G1174+H1174)/2),4)</f>
        <v>0.65</v>
      </c>
      <c r="K1174" s="62">
        <f>ROUND((J1174-I1174),4)</f>
        <v>0.65</v>
      </c>
      <c r="L1174" s="62">
        <f>MAX(0,ROUND((MIN(J1174,D1109)-MAX(I1174,B1109)),4))</f>
        <v>0.0</v>
      </c>
    </row>
    <row r="1175" spans="1:12" ht="23" customHeight="1">
      <c r="A1175" s="6">
        <v>4</v>
      </c>
      <c r="B1175" s="6">
        <v>1</v>
      </c>
      <c r="C1175" s="6">
        <v>99</v>
      </c>
      <c r="D1175" s="6">
        <v>98</v>
      </c>
      <c r="E1175" s="6">
        <v>100</v>
      </c>
      <c r="F1175" s="61">
        <v>0</v>
      </c>
      <c r="G1175" s="61">
        <v>1.3</v>
      </c>
      <c r="H1175" s="61">
        <v>2.6</v>
      </c>
      <c r="I1175" s="62">
        <f>ROUND(((F1175+G1175)/2),4)</f>
        <v>0.65</v>
      </c>
      <c r="J1175" s="62">
        <f>ROUND(((G1175+H1175)/2),4)</f>
        <v>1.95</v>
      </c>
      <c r="K1175" s="62">
        <f>ROUND((J1175-I1175),4)</f>
        <v>1.3</v>
      </c>
      <c r="L1175" s="62">
        <f>MAX(0,ROUND((MIN(J1175,D1109)-MAX(I1175,B1109)),4))</f>
        <v>0.0</v>
      </c>
    </row>
    <row r="1176" spans="1:12" ht="23" customHeight="1">
      <c r="A1176" s="6">
        <v>4</v>
      </c>
      <c r="B1176" s="6">
        <v>1</v>
      </c>
      <c r="C1176" s="6">
        <v>100</v>
      </c>
      <c r="D1176" s="6">
        <v>99</v>
      </c>
      <c r="E1176" s="6">
        <v>101</v>
      </c>
      <c r="F1176" s="61">
        <v>1.3</v>
      </c>
      <c r="G1176" s="61">
        <v>2.6</v>
      </c>
      <c r="H1176" s="61">
        <v>3.9</v>
      </c>
      <c r="I1176" s="62">
        <f>ROUND(((F1176+G1176)/2),4)</f>
        <v>1.95</v>
      </c>
      <c r="J1176" s="62">
        <f>ROUND(((G1176+H1176)/2),4)</f>
        <v>3.25</v>
      </c>
      <c r="K1176" s="62">
        <f>ROUND((J1176-I1176),4)</f>
        <v>1.3</v>
      </c>
      <c r="L1176" s="62">
        <f>MAX(0,ROUND((MIN(J1176,D1109)-MAX(I1176,B1109)),4))</f>
        <v>0.0</v>
      </c>
    </row>
    <row r="1177" spans="1:12" ht="23" customHeight="1">
      <c r="A1177" s="6">
        <v>4</v>
      </c>
      <c r="B1177" s="6">
        <v>1</v>
      </c>
      <c r="C1177" s="6">
        <v>101</v>
      </c>
      <c r="D1177" s="6">
        <v>100</v>
      </c>
      <c r="E1177" s="6">
        <v>102</v>
      </c>
      <c r="F1177" s="61">
        <v>2.6</v>
      </c>
      <c r="G1177" s="61">
        <v>3.9</v>
      </c>
      <c r="H1177" s="61">
        <v>5.2</v>
      </c>
      <c r="I1177" s="62">
        <f>ROUND(((F1177+G1177)/2),4)</f>
        <v>3.25</v>
      </c>
      <c r="J1177" s="62">
        <f>ROUND(((G1177+H1177)/2),4)</f>
        <v>4.55</v>
      </c>
      <c r="K1177" s="62">
        <f>ROUND((J1177-I1177),4)</f>
        <v>1.3</v>
      </c>
      <c r="L1177" s="62">
        <f>MAX(0,ROUND((MIN(J1177,D1109)-MAX(I1177,B1109)),4))</f>
        <v>0.0</v>
      </c>
    </row>
    <row r="1178" spans="1:12" ht="24" customHeight="1">
      <c r="A1178" s="3" t="s">
        <v>821</v>
      </c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</row>
    <row r="1179" spans="1:12" ht="36" customHeight="1">
      <c r="A1179" s="4" t="s">
        <v>8</v>
      </c>
      <c r="B1179" s="4" t="s">
        <v>9</v>
      </c>
      <c r="C1179" s="4" t="s">
        <v>163</v>
      </c>
      <c r="D1179" s="4" t="s">
        <v>822</v>
      </c>
      <c r="E1179" s="4" t="s">
        <v>823</v>
      </c>
      <c r="F1179" s="4" t="s">
        <v>824</v>
      </c>
      <c r="G1179" s="4" t="s">
        <v>825</v>
      </c>
      <c r="H1179" s="4" t="s">
        <v>826</v>
      </c>
      <c r="I1179" s="4" t="s">
        <v>827</v>
      </c>
      <c r="J1179" s="4" t="s">
        <v>828</v>
      </c>
      <c r="K1179" s="4" t="s">
        <v>829</v>
      </c>
      <c r="L1179" s="4" t="s">
        <v>830</v>
      </c>
    </row>
    <row r="1180" spans="1:12" ht="23" customHeight="1">
      <c r="A1180" s="6">
        <v>4</v>
      </c>
      <c r="B1180" s="6">
        <v>1</v>
      </c>
      <c r="C1180" s="6">
        <v>102</v>
      </c>
      <c r="D1180" s="6">
        <v>101</v>
      </c>
      <c r="E1180" s="6">
        <v>103</v>
      </c>
      <c r="F1180" s="61">
        <v>3.9</v>
      </c>
      <c r="G1180" s="61">
        <v>5.2</v>
      </c>
      <c r="H1180" s="61">
        <v>6.5</v>
      </c>
      <c r="I1180" s="62">
        <f>ROUND(((F1180+G1180)/2),4)</f>
        <v>4.55</v>
      </c>
      <c r="J1180" s="62">
        <f>ROUND(((G1180+H1180)/2),4)</f>
        <v>5.85</v>
      </c>
      <c r="K1180" s="62">
        <f>ROUND((J1180-I1180),4)</f>
        <v>1.3</v>
      </c>
      <c r="L1180" s="62">
        <f>MAX(0,ROUND((MIN(J1180,D1109)-MAX(I1180,B1109)),4))</f>
        <v>0.905</v>
      </c>
    </row>
    <row r="1181" spans="1:12" ht="23" customHeight="1">
      <c r="A1181" s="6">
        <v>4</v>
      </c>
      <c r="B1181" s="6">
        <v>1</v>
      </c>
      <c r="C1181" s="6">
        <v>103</v>
      </c>
      <c r="D1181" s="6">
        <v>102</v>
      </c>
      <c r="E1181" s="6">
        <v>104</v>
      </c>
      <c r="F1181" s="61">
        <v>5.2</v>
      </c>
      <c r="G1181" s="61">
        <v>6.5</v>
      </c>
      <c r="H1181" s="61">
        <v>7.8</v>
      </c>
      <c r="I1181" s="62">
        <f>ROUND(((F1181+G1181)/2),4)</f>
        <v>5.85</v>
      </c>
      <c r="J1181" s="62">
        <f>ROUND(((G1181+H1181)/2),4)</f>
        <v>7.15</v>
      </c>
      <c r="K1181" s="62">
        <f>ROUND((J1181-I1181),4)</f>
        <v>1.3</v>
      </c>
      <c r="L1181" s="62">
        <f>MAX(0,ROUND((MIN(J1181,D1109)-MAX(I1181,B1109)),4))</f>
        <v>1.3</v>
      </c>
    </row>
    <row r="1182" spans="1:12" ht="23" customHeight="1">
      <c r="A1182" s="6">
        <v>4</v>
      </c>
      <c r="B1182" s="6">
        <v>1</v>
      </c>
      <c r="C1182" s="6">
        <v>104</v>
      </c>
      <c r="D1182" s="6">
        <v>103</v>
      </c>
      <c r="E1182" s="6">
        <v>105</v>
      </c>
      <c r="F1182" s="61">
        <v>6.5</v>
      </c>
      <c r="G1182" s="61">
        <v>7.8</v>
      </c>
      <c r="H1182" s="61">
        <v>9.1</v>
      </c>
      <c r="I1182" s="62">
        <f>ROUND(((F1182+G1182)/2),4)</f>
        <v>7.15</v>
      </c>
      <c r="J1182" s="62">
        <f>ROUND(((G1182+H1182)/2),4)</f>
        <v>8.45</v>
      </c>
      <c r="K1182" s="62">
        <f>ROUND((J1182-I1182),4)</f>
        <v>1.3</v>
      </c>
      <c r="L1182" s="62">
        <f>MAX(0,ROUND((MIN(J1182,D1109)-MAX(I1182,B1109)),4))</f>
        <v>1.3</v>
      </c>
    </row>
    <row r="1183" spans="1:12" ht="23" customHeight="1">
      <c r="A1183" s="6">
        <v>4</v>
      </c>
      <c r="B1183" s="6">
        <v>1</v>
      </c>
      <c r="C1183" s="6">
        <v>105</v>
      </c>
      <c r="D1183" s="6">
        <v>104</v>
      </c>
      <c r="E1183" s="6">
        <v>106</v>
      </c>
      <c r="F1183" s="61">
        <v>7.8</v>
      </c>
      <c r="G1183" s="61">
        <v>9.1</v>
      </c>
      <c r="H1183" s="61">
        <v>10.4</v>
      </c>
      <c r="I1183" s="62">
        <f>ROUND(((F1183+G1183)/2),4)</f>
        <v>8.45</v>
      </c>
      <c r="J1183" s="62">
        <f>ROUND(((G1183+H1183)/2),4)</f>
        <v>9.75</v>
      </c>
      <c r="K1183" s="62">
        <f>ROUND((J1183-I1183),4)</f>
        <v>1.3</v>
      </c>
      <c r="L1183" s="62">
        <f>MAX(0,ROUND((MIN(J1183,D1109)-MAX(I1183,B1109)),4))</f>
        <v>1.3</v>
      </c>
    </row>
    <row r="1184" spans="1:12" ht="23" customHeight="1">
      <c r="A1184" s="6">
        <v>4</v>
      </c>
      <c r="B1184" s="6">
        <v>1</v>
      </c>
      <c r="C1184" s="6">
        <v>106</v>
      </c>
      <c r="D1184" s="6">
        <v>105</v>
      </c>
      <c r="E1184" s="6">
        <v>107</v>
      </c>
      <c r="F1184" s="61">
        <v>9.1</v>
      </c>
      <c r="G1184" s="61">
        <v>10.4</v>
      </c>
      <c r="H1184" s="61">
        <v>11.7</v>
      </c>
      <c r="I1184" s="62">
        <f>ROUND(((F1184+G1184)/2),4)</f>
        <v>9.75</v>
      </c>
      <c r="J1184" s="62">
        <f>ROUND(((G1184+H1184)/2),4)</f>
        <v>11.05</v>
      </c>
      <c r="K1184" s="62">
        <f>ROUND((J1184-I1184),4)</f>
        <v>1.3</v>
      </c>
      <c r="L1184" s="62">
        <f>MAX(0,ROUND((MIN(J1184,D1109)-MAX(I1184,B1109)),4))</f>
        <v>1.3</v>
      </c>
    </row>
    <row r="1185" spans="1:12" ht="23" customHeight="1">
      <c r="A1185" s="6">
        <v>4</v>
      </c>
      <c r="B1185" s="6">
        <v>1</v>
      </c>
      <c r="C1185" s="6">
        <v>107</v>
      </c>
      <c r="D1185" s="6">
        <v>106</v>
      </c>
      <c r="E1185" s="6">
        <v>108</v>
      </c>
      <c r="F1185" s="61">
        <v>10.4</v>
      </c>
      <c r="G1185" s="61">
        <v>11.7</v>
      </c>
      <c r="H1185" s="61">
        <v>13</v>
      </c>
      <c r="I1185" s="62">
        <f>ROUND(((F1185+G1185)/2),4)</f>
        <v>11.05</v>
      </c>
      <c r="J1185" s="62">
        <f>ROUND(((G1185+H1185)/2),4)</f>
        <v>12.35</v>
      </c>
      <c r="K1185" s="62">
        <f>ROUND((J1185-I1185),4)</f>
        <v>1.3</v>
      </c>
      <c r="L1185" s="62">
        <f>MAX(0,ROUND((MIN(J1185,D1109)-MAX(I1185,B1109)),4))</f>
        <v>1.3</v>
      </c>
    </row>
    <row r="1186" spans="1:12" ht="23" customHeight="1">
      <c r="A1186" s="6">
        <v>4</v>
      </c>
      <c r="B1186" s="6">
        <v>1</v>
      </c>
      <c r="C1186" s="6">
        <v>108</v>
      </c>
      <c r="D1186" s="6">
        <v>107</v>
      </c>
      <c r="E1186" s="6">
        <v>109</v>
      </c>
      <c r="F1186" s="61">
        <v>11.7</v>
      </c>
      <c r="G1186" s="61">
        <v>13</v>
      </c>
      <c r="H1186" s="61">
        <v>14.3</v>
      </c>
      <c r="I1186" s="62">
        <f>ROUND(((F1186+G1186)/2),4)</f>
        <v>12.35</v>
      </c>
      <c r="J1186" s="62">
        <f>ROUND(((G1186+H1186)/2),4)</f>
        <v>13.65</v>
      </c>
      <c r="K1186" s="62">
        <f>ROUND((J1186-I1186),4)</f>
        <v>1.3</v>
      </c>
      <c r="L1186" s="62">
        <f>MAX(0,ROUND((MIN(J1186,D1109)-MAX(I1186,B1109)),4))</f>
        <v>1.3</v>
      </c>
    </row>
    <row r="1187" spans="1:12" ht="23" customHeight="1">
      <c r="A1187" s="6">
        <v>4</v>
      </c>
      <c r="B1187" s="6">
        <v>1</v>
      </c>
      <c r="C1187" s="6">
        <v>109</v>
      </c>
      <c r="D1187" s="6">
        <v>108</v>
      </c>
      <c r="E1187" s="6">
        <v>110</v>
      </c>
      <c r="F1187" s="61">
        <v>13</v>
      </c>
      <c r="G1187" s="61">
        <v>14.3</v>
      </c>
      <c r="H1187" s="61">
        <v>15.6</v>
      </c>
      <c r="I1187" s="62">
        <f>ROUND(((F1187+G1187)/2),4)</f>
        <v>13.65</v>
      </c>
      <c r="J1187" s="62">
        <f>ROUND(((G1187+H1187)/2),4)</f>
        <v>14.95</v>
      </c>
      <c r="K1187" s="62">
        <f>ROUND((J1187-I1187),4)</f>
        <v>1.3</v>
      </c>
      <c r="L1187" s="62">
        <f>MAX(0,ROUND((MIN(J1187,D1109)-MAX(I1187,B1109)),4))</f>
        <v>1.3</v>
      </c>
    </row>
    <row r="1188" spans="1:12" ht="23" customHeight="1">
      <c r="A1188" s="6">
        <v>4</v>
      </c>
      <c r="B1188" s="6">
        <v>1</v>
      </c>
      <c r="C1188" s="6">
        <v>110</v>
      </c>
      <c r="D1188" s="6">
        <v>109</v>
      </c>
      <c r="E1188" s="6">
        <v>111</v>
      </c>
      <c r="F1188" s="61">
        <v>14.3</v>
      </c>
      <c r="G1188" s="61">
        <v>15.6</v>
      </c>
      <c r="H1188" s="61">
        <v>16.9</v>
      </c>
      <c r="I1188" s="62">
        <f>ROUND(((F1188+G1188)/2),4)</f>
        <v>14.95</v>
      </c>
      <c r="J1188" s="62">
        <f>ROUND(((G1188+H1188)/2),4)</f>
        <v>16.25</v>
      </c>
      <c r="K1188" s="62">
        <f>ROUND((J1188-I1188),4)</f>
        <v>1.3</v>
      </c>
      <c r="L1188" s="62">
        <f>MAX(0,ROUND((MIN(J1188,D1109)-MAX(I1188,B1109)),4))</f>
        <v>1.3</v>
      </c>
    </row>
    <row r="1189" spans="1:12" ht="23" customHeight="1">
      <c r="A1189" s="6">
        <v>4</v>
      </c>
      <c r="B1189" s="6">
        <v>1</v>
      </c>
      <c r="C1189" s="6">
        <v>111</v>
      </c>
      <c r="D1189" s="6">
        <v>110</v>
      </c>
      <c r="E1189" s="6">
        <v>112</v>
      </c>
      <c r="F1189" s="61">
        <v>15.6</v>
      </c>
      <c r="G1189" s="61">
        <v>16.9</v>
      </c>
      <c r="H1189" s="61">
        <v>18.2</v>
      </c>
      <c r="I1189" s="62">
        <f>ROUND(((F1189+G1189)/2),4)</f>
        <v>16.25</v>
      </c>
      <c r="J1189" s="62">
        <f>ROUND(((G1189+H1189)/2),4)</f>
        <v>17.55</v>
      </c>
      <c r="K1189" s="62">
        <f>ROUND((J1189-I1189),4)</f>
        <v>1.3</v>
      </c>
      <c r="L1189" s="62">
        <f>MAX(0,ROUND((MIN(J1189,D1109)-MAX(I1189,B1109)),4))</f>
        <v>1.3</v>
      </c>
    </row>
    <row r="1190" spans="1:12" ht="23" customHeight="1">
      <c r="A1190" s="6">
        <v>4</v>
      </c>
      <c r="B1190" s="6">
        <v>1</v>
      </c>
      <c r="C1190" s="6">
        <v>112</v>
      </c>
      <c r="D1190" s="6">
        <v>111</v>
      </c>
      <c r="E1190" s="6">
        <v>113</v>
      </c>
      <c r="F1190" s="61">
        <v>16.9</v>
      </c>
      <c r="G1190" s="61">
        <v>18.2</v>
      </c>
      <c r="H1190" s="61">
        <v>19.5</v>
      </c>
      <c r="I1190" s="62">
        <f>ROUND(((F1190+G1190)/2),4)</f>
        <v>17.55</v>
      </c>
      <c r="J1190" s="62">
        <f>ROUND(((G1190+H1190)/2),4)</f>
        <v>18.85</v>
      </c>
      <c r="K1190" s="62">
        <f>ROUND((J1190-I1190),4)</f>
        <v>1.3</v>
      </c>
      <c r="L1190" s="62">
        <f>MAX(0,ROUND((MIN(J1190,D1109)-MAX(I1190,B1109)),4))</f>
        <v>1.3</v>
      </c>
    </row>
    <row r="1191" spans="1:12" ht="23" customHeight="1">
      <c r="A1191" s="6">
        <v>4</v>
      </c>
      <c r="B1191" s="6">
        <v>1</v>
      </c>
      <c r="C1191" s="6">
        <v>113</v>
      </c>
      <c r="D1191" s="6">
        <v>112</v>
      </c>
      <c r="E1191" s="6">
        <v>114</v>
      </c>
      <c r="F1191" s="61">
        <v>18.2</v>
      </c>
      <c r="G1191" s="61">
        <v>19.5</v>
      </c>
      <c r="H1191" s="61">
        <v>20.8</v>
      </c>
      <c r="I1191" s="62">
        <f>ROUND(((F1191+G1191)/2),4)</f>
        <v>18.85</v>
      </c>
      <c r="J1191" s="62">
        <f>ROUND(((G1191+H1191)/2),4)</f>
        <v>20.15</v>
      </c>
      <c r="K1191" s="62">
        <f>ROUND((J1191-I1191),4)</f>
        <v>1.3</v>
      </c>
      <c r="L1191" s="62">
        <f>MAX(0,ROUND((MIN(J1191,D1109)-MAX(I1191,B1109)),4))</f>
        <v>1.3</v>
      </c>
    </row>
    <row r="1192" spans="1:12" ht="23" customHeight="1">
      <c r="A1192" s="6">
        <v>4</v>
      </c>
      <c r="B1192" s="6">
        <v>1</v>
      </c>
      <c r="C1192" s="6">
        <v>114</v>
      </c>
      <c r="D1192" s="6">
        <v>113</v>
      </c>
      <c r="E1192" s="6">
        <v>115</v>
      </c>
      <c r="F1192" s="61">
        <v>19.5</v>
      </c>
      <c r="G1192" s="61">
        <v>20.8</v>
      </c>
      <c r="H1192" s="61">
        <v>22.1</v>
      </c>
      <c r="I1192" s="62">
        <f>ROUND(((F1192+G1192)/2),4)</f>
        <v>20.15</v>
      </c>
      <c r="J1192" s="62">
        <f>ROUND(((G1192+H1192)/2),4)</f>
        <v>21.45</v>
      </c>
      <c r="K1192" s="62">
        <f>ROUND((J1192-I1192),4)</f>
        <v>1.3</v>
      </c>
      <c r="L1192" s="62">
        <f>MAX(0,ROUND((MIN(J1192,D1109)-MAX(I1192,B1109)),4))</f>
        <v>1.3</v>
      </c>
    </row>
    <row r="1193" spans="1:12" ht="23" customHeight="1">
      <c r="A1193" s="6">
        <v>4</v>
      </c>
      <c r="B1193" s="6">
        <v>1</v>
      </c>
      <c r="C1193" s="6">
        <v>115</v>
      </c>
      <c r="D1193" s="6">
        <v>114</v>
      </c>
      <c r="E1193" s="6">
        <v>116</v>
      </c>
      <c r="F1193" s="61">
        <v>20.8</v>
      </c>
      <c r="G1193" s="61">
        <v>22.1</v>
      </c>
      <c r="H1193" s="61">
        <v>23.4</v>
      </c>
      <c r="I1193" s="62">
        <f>ROUND(((F1193+G1193)/2),4)</f>
        <v>21.45</v>
      </c>
      <c r="J1193" s="62">
        <f>ROUND(((G1193+H1193)/2),4)</f>
        <v>22.75</v>
      </c>
      <c r="K1193" s="62">
        <f>ROUND((J1193-I1193),4)</f>
        <v>1.3</v>
      </c>
      <c r="L1193" s="62">
        <f>MAX(0,ROUND((MIN(J1193,D1109)-MAX(I1193,B1109)),4))</f>
        <v>1.3</v>
      </c>
    </row>
    <row r="1194" spans="1:12" ht="23" customHeight="1">
      <c r="A1194" s="6">
        <v>4</v>
      </c>
      <c r="B1194" s="6">
        <v>1</v>
      </c>
      <c r="C1194" s="6">
        <v>116</v>
      </c>
      <c r="D1194" s="6">
        <v>115</v>
      </c>
      <c r="E1194" s="6">
        <v>117</v>
      </c>
      <c r="F1194" s="61">
        <v>22.1</v>
      </c>
      <c r="G1194" s="61">
        <v>23.4</v>
      </c>
      <c r="H1194" s="61">
        <v>24.7</v>
      </c>
      <c r="I1194" s="62">
        <f>ROUND(((F1194+G1194)/2),4)</f>
        <v>22.75</v>
      </c>
      <c r="J1194" s="62">
        <f>ROUND(((G1194+H1194)/2),4)</f>
        <v>24.05</v>
      </c>
      <c r="K1194" s="62">
        <f>ROUND((J1194-I1194),4)</f>
        <v>1.3</v>
      </c>
      <c r="L1194" s="62">
        <f>MAX(0,ROUND((MIN(J1194,D1109)-MAX(I1194,B1109)),4))</f>
        <v>1.3</v>
      </c>
    </row>
    <row r="1195" spans="1:12" ht="24" customHeight="1">
      <c r="A1195" s="3" t="s">
        <v>821</v>
      </c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</row>
    <row r="1196" spans="1:12" ht="36" customHeight="1">
      <c r="A1196" s="4" t="s">
        <v>8</v>
      </c>
      <c r="B1196" s="4" t="s">
        <v>9</v>
      </c>
      <c r="C1196" s="4" t="s">
        <v>163</v>
      </c>
      <c r="D1196" s="4" t="s">
        <v>822</v>
      </c>
      <c r="E1196" s="4" t="s">
        <v>823</v>
      </c>
      <c r="F1196" s="4" t="s">
        <v>824</v>
      </c>
      <c r="G1196" s="4" t="s">
        <v>825</v>
      </c>
      <c r="H1196" s="4" t="s">
        <v>826</v>
      </c>
      <c r="I1196" s="4" t="s">
        <v>827</v>
      </c>
      <c r="J1196" s="4" t="s">
        <v>828</v>
      </c>
      <c r="K1196" s="4" t="s">
        <v>829</v>
      </c>
      <c r="L1196" s="4" t="s">
        <v>830</v>
      </c>
    </row>
    <row r="1197" spans="1:12" ht="23" customHeight="1">
      <c r="A1197" s="6">
        <v>4</v>
      </c>
      <c r="B1197" s="6">
        <v>1</v>
      </c>
      <c r="C1197" s="6">
        <v>117</v>
      </c>
      <c r="D1197" s="6">
        <v>116</v>
      </c>
      <c r="E1197" s="6">
        <v>118</v>
      </c>
      <c r="F1197" s="61">
        <v>23.4</v>
      </c>
      <c r="G1197" s="61">
        <v>24.7</v>
      </c>
      <c r="H1197" s="61">
        <v>26</v>
      </c>
      <c r="I1197" s="62">
        <f>ROUND(((F1197+G1197)/2),4)</f>
        <v>24.05</v>
      </c>
      <c r="J1197" s="62">
        <f>ROUND(((G1197+H1197)/2),4)</f>
        <v>25.35</v>
      </c>
      <c r="K1197" s="62">
        <f>ROUND((J1197-I1197),4)</f>
        <v>1.3</v>
      </c>
      <c r="L1197" s="62">
        <f>MAX(0,ROUND((MIN(J1197,D1109)-MAX(I1197,B1109)),4))</f>
        <v>1.3</v>
      </c>
    </row>
    <row r="1198" spans="1:12" ht="23" customHeight="1">
      <c r="A1198" s="6">
        <v>4</v>
      </c>
      <c r="B1198" s="6">
        <v>1</v>
      </c>
      <c r="C1198" s="6">
        <v>118</v>
      </c>
      <c r="D1198" s="6">
        <v>117</v>
      </c>
      <c r="E1198" s="6">
        <v>119</v>
      </c>
      <c r="F1198" s="61">
        <v>24.7</v>
      </c>
      <c r="G1198" s="61">
        <v>26</v>
      </c>
      <c r="H1198" s="61">
        <v>27.3</v>
      </c>
      <c r="I1198" s="62">
        <f>ROUND(((F1198+G1198)/2),4)</f>
        <v>25.35</v>
      </c>
      <c r="J1198" s="62">
        <f>ROUND(((G1198+H1198)/2),4)</f>
        <v>26.65</v>
      </c>
      <c r="K1198" s="62">
        <f>ROUND((J1198-I1198),4)</f>
        <v>1.3</v>
      </c>
      <c r="L1198" s="62">
        <f>MAX(0,ROUND((MIN(J1198,D1109)-MAX(I1198,B1109)),4))</f>
        <v>1.3</v>
      </c>
    </row>
    <row r="1199" spans="1:12" ht="23" customHeight="1">
      <c r="A1199" s="6">
        <v>4</v>
      </c>
      <c r="B1199" s="6">
        <v>1</v>
      </c>
      <c r="C1199" s="6">
        <v>119</v>
      </c>
      <c r="D1199" s="6">
        <v>118</v>
      </c>
      <c r="E1199" s="6">
        <v>120</v>
      </c>
      <c r="F1199" s="61">
        <v>26</v>
      </c>
      <c r="G1199" s="61">
        <v>27.3</v>
      </c>
      <c r="H1199" s="61">
        <v>28.6</v>
      </c>
      <c r="I1199" s="62">
        <f>ROUND(((F1199+G1199)/2),4)</f>
        <v>26.65</v>
      </c>
      <c r="J1199" s="62">
        <f>ROUND(((G1199+H1199)/2),4)</f>
        <v>27.95</v>
      </c>
      <c r="K1199" s="62">
        <f>ROUND((J1199-I1199),4)</f>
        <v>1.3</v>
      </c>
      <c r="L1199" s="62">
        <f>MAX(0,ROUND((MIN(J1199,D1109)-MAX(I1199,B1109)),4))</f>
        <v>1.3</v>
      </c>
    </row>
    <row r="1200" spans="1:12" ht="23" customHeight="1">
      <c r="A1200" s="6">
        <v>4</v>
      </c>
      <c r="B1200" s="6">
        <v>1</v>
      </c>
      <c r="C1200" s="6">
        <v>120</v>
      </c>
      <c r="D1200" s="6">
        <v>119</v>
      </c>
      <c r="E1200" s="6">
        <v>121</v>
      </c>
      <c r="F1200" s="61">
        <v>27.3</v>
      </c>
      <c r="G1200" s="61">
        <v>28.6</v>
      </c>
      <c r="H1200" s="61">
        <v>29.9</v>
      </c>
      <c r="I1200" s="62">
        <f>ROUND(((F1200+G1200)/2),4)</f>
        <v>27.95</v>
      </c>
      <c r="J1200" s="62">
        <f>ROUND(((G1200+H1200)/2),4)</f>
        <v>29.25</v>
      </c>
      <c r="K1200" s="62">
        <f>ROUND((J1200-I1200),4)</f>
        <v>1.3</v>
      </c>
      <c r="L1200" s="62">
        <f>MAX(0,ROUND((MIN(J1200,D1109)-MAX(I1200,B1109)),4))</f>
        <v>1.3</v>
      </c>
    </row>
    <row r="1201" spans="1:12" ht="23" customHeight="1">
      <c r="A1201" s="6">
        <v>4</v>
      </c>
      <c r="B1201" s="6">
        <v>1</v>
      </c>
      <c r="C1201" s="6">
        <v>121</v>
      </c>
      <c r="D1201" s="6">
        <v>120</v>
      </c>
      <c r="E1201" s="6">
        <v>122</v>
      </c>
      <c r="F1201" s="61">
        <v>28.6</v>
      </c>
      <c r="G1201" s="61">
        <v>29.9</v>
      </c>
      <c r="H1201" s="61">
        <v>31</v>
      </c>
      <c r="I1201" s="62">
        <f>ROUND(((F1201+G1201)/2),4)</f>
        <v>29.25</v>
      </c>
      <c r="J1201" s="62">
        <f>ROUND(((G1201+H1201)/2),4)</f>
        <v>30.45</v>
      </c>
      <c r="K1201" s="62">
        <f>ROUND((J1201-I1201),4)</f>
        <v>1.2</v>
      </c>
      <c r="L1201" s="62">
        <f>MAX(0,ROUND((MIN(J1201,D1109)-MAX(I1201,B1109)),4))</f>
        <v>0.45</v>
      </c>
    </row>
    <row r="1202" spans="1:12" ht="23" customHeight="1">
      <c r="A1202" s="6">
        <v>4</v>
      </c>
      <c r="B1202" s="6">
        <v>1</v>
      </c>
      <c r="C1202" s="6">
        <v>122</v>
      </c>
      <c r="D1202" s="6">
        <v>121</v>
      </c>
      <c r="E1202" s="9"/>
      <c r="F1202" s="61">
        <v>29.9</v>
      </c>
      <c r="G1202" s="61">
        <v>31</v>
      </c>
      <c r="H1202" s="61">
        <v>31</v>
      </c>
      <c r="I1202" s="62">
        <f>ROUND(((F1202+G1202)/2),4)</f>
        <v>30.45</v>
      </c>
      <c r="J1202" s="62">
        <f>ROUND(((G1202+H1202)/2),4)</f>
        <v>31.0</v>
      </c>
      <c r="K1202" s="62">
        <f>ROUND((J1202-I1202),4)</f>
        <v>0.55</v>
      </c>
      <c r="L1202" s="62">
        <f>MAX(0,ROUND((MIN(J1202,D1109)-MAX(I1202,B1109)),4))</f>
        <v>0.0</v>
      </c>
    </row>
    <row r="1203" spans="1:12" ht="23" customHeight="1">
      <c r="A1203" s="6">
        <v>5</v>
      </c>
      <c r="B1203" s="6">
        <v>2</v>
      </c>
      <c r="C1203" s="6">
        <v>123</v>
      </c>
      <c r="D1203" s="9"/>
      <c r="E1203" s="6">
        <v>124</v>
      </c>
      <c r="F1203" s="61">
        <v>0</v>
      </c>
      <c r="G1203" s="61">
        <v>0</v>
      </c>
      <c r="H1203" s="61">
        <v>1.3</v>
      </c>
      <c r="I1203" s="62">
        <f>ROUND(((F1203+G1203)/2),4)</f>
        <v>0.0</v>
      </c>
      <c r="J1203" s="62">
        <f>ROUND(((G1203+H1203)/2),4)</f>
        <v>0.65</v>
      </c>
      <c r="K1203" s="62">
        <f>ROUND((J1203-I1203),4)</f>
        <v>0.65</v>
      </c>
      <c r="L1203" s="62">
        <f>MAX(0,ROUND((MIN(J1203,D1109)-MAX(I1203,B1109)),4))</f>
        <v>0.0</v>
      </c>
    </row>
    <row r="1204" spans="1:12" ht="23" customHeight="1">
      <c r="A1204" s="6">
        <v>5</v>
      </c>
      <c r="B1204" s="6">
        <v>2</v>
      </c>
      <c r="C1204" s="6">
        <v>124</v>
      </c>
      <c r="D1204" s="6">
        <v>123</v>
      </c>
      <c r="E1204" s="6">
        <v>125</v>
      </c>
      <c r="F1204" s="61">
        <v>0</v>
      </c>
      <c r="G1204" s="61">
        <v>1.3</v>
      </c>
      <c r="H1204" s="61">
        <v>2.6</v>
      </c>
      <c r="I1204" s="62">
        <f>ROUND(((F1204+G1204)/2),4)</f>
        <v>0.65</v>
      </c>
      <c r="J1204" s="62">
        <f>ROUND(((G1204+H1204)/2),4)</f>
        <v>1.95</v>
      </c>
      <c r="K1204" s="62">
        <f>ROUND((J1204-I1204),4)</f>
        <v>1.3</v>
      </c>
      <c r="L1204" s="62">
        <f>MAX(0,ROUND((MIN(J1204,D1109)-MAX(I1204,B1109)),4))</f>
        <v>0.0</v>
      </c>
    </row>
    <row r="1205" spans="1:12" ht="23" customHeight="1">
      <c r="A1205" s="6">
        <v>5</v>
      </c>
      <c r="B1205" s="6">
        <v>2</v>
      </c>
      <c r="C1205" s="6">
        <v>125</v>
      </c>
      <c r="D1205" s="6">
        <v>124</v>
      </c>
      <c r="E1205" s="6">
        <v>126</v>
      </c>
      <c r="F1205" s="61">
        <v>1.3</v>
      </c>
      <c r="G1205" s="61">
        <v>2.6</v>
      </c>
      <c r="H1205" s="61">
        <v>3.9</v>
      </c>
      <c r="I1205" s="62">
        <f>ROUND(((F1205+G1205)/2),4)</f>
        <v>1.95</v>
      </c>
      <c r="J1205" s="62">
        <f>ROUND(((G1205+H1205)/2),4)</f>
        <v>3.25</v>
      </c>
      <c r="K1205" s="62">
        <f>ROUND((J1205-I1205),4)</f>
        <v>1.3</v>
      </c>
      <c r="L1205" s="62">
        <f>MAX(0,ROUND((MIN(J1205,D1109)-MAX(I1205,B1109)),4))</f>
        <v>0.0</v>
      </c>
    </row>
    <row r="1206" spans="1:12" ht="23" customHeight="1">
      <c r="A1206" s="6">
        <v>5</v>
      </c>
      <c r="B1206" s="6">
        <v>2</v>
      </c>
      <c r="C1206" s="6">
        <v>126</v>
      </c>
      <c r="D1206" s="6">
        <v>125</v>
      </c>
      <c r="E1206" s="6">
        <v>127</v>
      </c>
      <c r="F1206" s="61">
        <v>2.6</v>
      </c>
      <c r="G1206" s="61">
        <v>3.9</v>
      </c>
      <c r="H1206" s="61">
        <v>5.2</v>
      </c>
      <c r="I1206" s="62">
        <f>ROUND(((F1206+G1206)/2),4)</f>
        <v>3.25</v>
      </c>
      <c r="J1206" s="62">
        <f>ROUND(((G1206+H1206)/2),4)</f>
        <v>4.55</v>
      </c>
      <c r="K1206" s="62">
        <f>ROUND((J1206-I1206),4)</f>
        <v>1.3</v>
      </c>
      <c r="L1206" s="62">
        <f>MAX(0,ROUND((MIN(J1206,D1109)-MAX(I1206,B1109)),4))</f>
        <v>0.0</v>
      </c>
    </row>
    <row r="1207" spans="1:12" ht="23" customHeight="1">
      <c r="A1207" s="6">
        <v>5</v>
      </c>
      <c r="B1207" s="6">
        <v>2</v>
      </c>
      <c r="C1207" s="6">
        <v>127</v>
      </c>
      <c r="D1207" s="6">
        <v>126</v>
      </c>
      <c r="E1207" s="6">
        <v>128</v>
      </c>
      <c r="F1207" s="61">
        <v>3.9</v>
      </c>
      <c r="G1207" s="61">
        <v>5.2</v>
      </c>
      <c r="H1207" s="61">
        <v>6.5</v>
      </c>
      <c r="I1207" s="62">
        <f>ROUND(((F1207+G1207)/2),4)</f>
        <v>4.55</v>
      </c>
      <c r="J1207" s="62">
        <f>ROUND(((G1207+H1207)/2),4)</f>
        <v>5.85</v>
      </c>
      <c r="K1207" s="62">
        <f>ROUND((J1207-I1207),4)</f>
        <v>1.3</v>
      </c>
      <c r="L1207" s="62">
        <f>MAX(0,ROUND((MIN(J1207,D1109)-MAX(I1207,B1109)),4))</f>
        <v>0.905</v>
      </c>
    </row>
    <row r="1208" spans="1:12" ht="23" customHeight="1">
      <c r="A1208" s="6">
        <v>5</v>
      </c>
      <c r="B1208" s="6">
        <v>2</v>
      </c>
      <c r="C1208" s="6">
        <v>128</v>
      </c>
      <c r="D1208" s="6">
        <v>127</v>
      </c>
      <c r="E1208" s="6">
        <v>129</v>
      </c>
      <c r="F1208" s="61">
        <v>5.2</v>
      </c>
      <c r="G1208" s="61">
        <v>6.5</v>
      </c>
      <c r="H1208" s="61">
        <v>7.8</v>
      </c>
      <c r="I1208" s="62">
        <f>ROUND(((F1208+G1208)/2),4)</f>
        <v>5.85</v>
      </c>
      <c r="J1208" s="62">
        <f>ROUND(((G1208+H1208)/2),4)</f>
        <v>7.15</v>
      </c>
      <c r="K1208" s="62">
        <f>ROUND((J1208-I1208),4)</f>
        <v>1.3</v>
      </c>
      <c r="L1208" s="62">
        <f>MAX(0,ROUND((MIN(J1208,D1109)-MAX(I1208,B1109)),4))</f>
        <v>1.3</v>
      </c>
    </row>
    <row r="1209" spans="1:12" ht="23" customHeight="1">
      <c r="A1209" s="6">
        <v>5</v>
      </c>
      <c r="B1209" s="6">
        <v>2</v>
      </c>
      <c r="C1209" s="6">
        <v>129</v>
      </c>
      <c r="D1209" s="6">
        <v>128</v>
      </c>
      <c r="E1209" s="6">
        <v>130</v>
      </c>
      <c r="F1209" s="61">
        <v>6.5</v>
      </c>
      <c r="G1209" s="61">
        <v>7.8</v>
      </c>
      <c r="H1209" s="61">
        <v>9.1</v>
      </c>
      <c r="I1209" s="62">
        <f>ROUND(((F1209+G1209)/2),4)</f>
        <v>7.15</v>
      </c>
      <c r="J1209" s="62">
        <f>ROUND(((G1209+H1209)/2),4)</f>
        <v>8.45</v>
      </c>
      <c r="K1209" s="62">
        <f>ROUND((J1209-I1209),4)</f>
        <v>1.3</v>
      </c>
      <c r="L1209" s="62">
        <f>MAX(0,ROUND((MIN(J1209,D1109)-MAX(I1209,B1109)),4))</f>
        <v>1.3</v>
      </c>
    </row>
    <row r="1210" spans="1:12" ht="23" customHeight="1">
      <c r="A1210" s="6">
        <v>5</v>
      </c>
      <c r="B1210" s="6">
        <v>2</v>
      </c>
      <c r="C1210" s="6">
        <v>130</v>
      </c>
      <c r="D1210" s="6">
        <v>129</v>
      </c>
      <c r="E1210" s="6">
        <v>131</v>
      </c>
      <c r="F1210" s="61">
        <v>7.8</v>
      </c>
      <c r="G1210" s="61">
        <v>9.1</v>
      </c>
      <c r="H1210" s="61">
        <v>10.4</v>
      </c>
      <c r="I1210" s="62">
        <f>ROUND(((F1210+G1210)/2),4)</f>
        <v>8.45</v>
      </c>
      <c r="J1210" s="62">
        <f>ROUND(((G1210+H1210)/2),4)</f>
        <v>9.75</v>
      </c>
      <c r="K1210" s="62">
        <f>ROUND((J1210-I1210),4)</f>
        <v>1.3</v>
      </c>
      <c r="L1210" s="62">
        <f>MAX(0,ROUND((MIN(J1210,D1109)-MAX(I1210,B1109)),4))</f>
        <v>1.3</v>
      </c>
    </row>
    <row r="1211" spans="1:12" ht="23" customHeight="1">
      <c r="A1211" s="6">
        <v>5</v>
      </c>
      <c r="B1211" s="6">
        <v>2</v>
      </c>
      <c r="C1211" s="6">
        <v>131</v>
      </c>
      <c r="D1211" s="6">
        <v>130</v>
      </c>
      <c r="E1211" s="6">
        <v>132</v>
      </c>
      <c r="F1211" s="61">
        <v>9.1</v>
      </c>
      <c r="G1211" s="61">
        <v>10.4</v>
      </c>
      <c r="H1211" s="61">
        <v>11.7</v>
      </c>
      <c r="I1211" s="62">
        <f>ROUND(((F1211+G1211)/2),4)</f>
        <v>9.75</v>
      </c>
      <c r="J1211" s="62">
        <f>ROUND(((G1211+H1211)/2),4)</f>
        <v>11.05</v>
      </c>
      <c r="K1211" s="62">
        <f>ROUND((J1211-I1211),4)</f>
        <v>1.3</v>
      </c>
      <c r="L1211" s="62">
        <f>MAX(0,ROUND((MIN(J1211,D1109)-MAX(I1211,B1109)),4))</f>
        <v>1.3</v>
      </c>
    </row>
    <row r="1212" spans="1:12" ht="24" customHeight="1">
      <c r="A1212" s="3" t="s">
        <v>821</v>
      </c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</row>
    <row r="1213" spans="1:12" ht="36" customHeight="1">
      <c r="A1213" s="4" t="s">
        <v>8</v>
      </c>
      <c r="B1213" s="4" t="s">
        <v>9</v>
      </c>
      <c r="C1213" s="4" t="s">
        <v>163</v>
      </c>
      <c r="D1213" s="4" t="s">
        <v>822</v>
      </c>
      <c r="E1213" s="4" t="s">
        <v>823</v>
      </c>
      <c r="F1213" s="4" t="s">
        <v>824</v>
      </c>
      <c r="G1213" s="4" t="s">
        <v>825</v>
      </c>
      <c r="H1213" s="4" t="s">
        <v>826</v>
      </c>
      <c r="I1213" s="4" t="s">
        <v>827</v>
      </c>
      <c r="J1213" s="4" t="s">
        <v>828</v>
      </c>
      <c r="K1213" s="4" t="s">
        <v>829</v>
      </c>
      <c r="L1213" s="4" t="s">
        <v>830</v>
      </c>
    </row>
    <row r="1214" spans="1:12" ht="23" customHeight="1">
      <c r="A1214" s="6">
        <v>5</v>
      </c>
      <c r="B1214" s="6">
        <v>2</v>
      </c>
      <c r="C1214" s="6">
        <v>132</v>
      </c>
      <c r="D1214" s="6">
        <v>131</v>
      </c>
      <c r="E1214" s="6">
        <v>133</v>
      </c>
      <c r="F1214" s="61">
        <v>10.4</v>
      </c>
      <c r="G1214" s="61">
        <v>11.7</v>
      </c>
      <c r="H1214" s="61">
        <v>13</v>
      </c>
      <c r="I1214" s="62">
        <f>ROUND(((F1214+G1214)/2),4)</f>
        <v>11.05</v>
      </c>
      <c r="J1214" s="62">
        <f>ROUND(((G1214+H1214)/2),4)</f>
        <v>12.35</v>
      </c>
      <c r="K1214" s="62">
        <f>ROUND((J1214-I1214),4)</f>
        <v>1.3</v>
      </c>
      <c r="L1214" s="62">
        <f>MAX(0,ROUND((MIN(J1214,D1109)-MAX(I1214,B1109)),4))</f>
        <v>1.3</v>
      </c>
    </row>
    <row r="1215" spans="1:12" ht="23" customHeight="1">
      <c r="A1215" s="6">
        <v>5</v>
      </c>
      <c r="B1215" s="6">
        <v>2</v>
      </c>
      <c r="C1215" s="6">
        <v>133</v>
      </c>
      <c r="D1215" s="6">
        <v>132</v>
      </c>
      <c r="E1215" s="6">
        <v>134</v>
      </c>
      <c r="F1215" s="61">
        <v>11.7</v>
      </c>
      <c r="G1215" s="61">
        <v>13</v>
      </c>
      <c r="H1215" s="61">
        <v>14.3</v>
      </c>
      <c r="I1215" s="62">
        <f>ROUND(((F1215+G1215)/2),4)</f>
        <v>12.35</v>
      </c>
      <c r="J1215" s="62">
        <f>ROUND(((G1215+H1215)/2),4)</f>
        <v>13.65</v>
      </c>
      <c r="K1215" s="62">
        <f>ROUND((J1215-I1215),4)</f>
        <v>1.3</v>
      </c>
      <c r="L1215" s="62">
        <f>MAX(0,ROUND((MIN(J1215,D1109)-MAX(I1215,B1109)),4))</f>
        <v>1.3</v>
      </c>
    </row>
    <row r="1216" spans="1:12" ht="23" customHeight="1">
      <c r="A1216" s="6">
        <v>5</v>
      </c>
      <c r="B1216" s="6">
        <v>2</v>
      </c>
      <c r="C1216" s="6">
        <v>134</v>
      </c>
      <c r="D1216" s="6">
        <v>133</v>
      </c>
      <c r="E1216" s="6">
        <v>135</v>
      </c>
      <c r="F1216" s="61">
        <v>13</v>
      </c>
      <c r="G1216" s="61">
        <v>14.3</v>
      </c>
      <c r="H1216" s="61">
        <v>15.6</v>
      </c>
      <c r="I1216" s="62">
        <f>ROUND(((F1216+G1216)/2),4)</f>
        <v>13.65</v>
      </c>
      <c r="J1216" s="62">
        <f>ROUND(((G1216+H1216)/2),4)</f>
        <v>14.95</v>
      </c>
      <c r="K1216" s="62">
        <f>ROUND((J1216-I1216),4)</f>
        <v>1.3</v>
      </c>
      <c r="L1216" s="62">
        <f>MAX(0,ROUND((MIN(J1216,D1109)-MAX(I1216,B1109)),4))</f>
        <v>1.3</v>
      </c>
    </row>
    <row r="1217" spans="1:12" ht="23" customHeight="1">
      <c r="A1217" s="6">
        <v>5</v>
      </c>
      <c r="B1217" s="6">
        <v>2</v>
      </c>
      <c r="C1217" s="6">
        <v>135</v>
      </c>
      <c r="D1217" s="6">
        <v>134</v>
      </c>
      <c r="E1217" s="6">
        <v>136</v>
      </c>
      <c r="F1217" s="61">
        <v>14.3</v>
      </c>
      <c r="G1217" s="61">
        <v>15.6</v>
      </c>
      <c r="H1217" s="61">
        <v>16.9</v>
      </c>
      <c r="I1217" s="62">
        <f>ROUND(((F1217+G1217)/2),4)</f>
        <v>14.95</v>
      </c>
      <c r="J1217" s="62">
        <f>ROUND(((G1217+H1217)/2),4)</f>
        <v>16.25</v>
      </c>
      <c r="K1217" s="62">
        <f>ROUND((J1217-I1217),4)</f>
        <v>1.3</v>
      </c>
      <c r="L1217" s="62">
        <f>MAX(0,ROUND((MIN(J1217,D1109)-MAX(I1217,B1109)),4))</f>
        <v>1.3</v>
      </c>
    </row>
    <row r="1218" spans="1:12" ht="23" customHeight="1">
      <c r="A1218" s="6">
        <v>5</v>
      </c>
      <c r="B1218" s="6">
        <v>2</v>
      </c>
      <c r="C1218" s="6">
        <v>136</v>
      </c>
      <c r="D1218" s="6">
        <v>135</v>
      </c>
      <c r="E1218" s="6">
        <v>137</v>
      </c>
      <c r="F1218" s="61">
        <v>15.6</v>
      </c>
      <c r="G1218" s="61">
        <v>16.9</v>
      </c>
      <c r="H1218" s="61">
        <v>18.2</v>
      </c>
      <c r="I1218" s="62">
        <f>ROUND(((F1218+G1218)/2),4)</f>
        <v>16.25</v>
      </c>
      <c r="J1218" s="62">
        <f>ROUND(((G1218+H1218)/2),4)</f>
        <v>17.55</v>
      </c>
      <c r="K1218" s="62">
        <f>ROUND((J1218-I1218),4)</f>
        <v>1.3</v>
      </c>
      <c r="L1218" s="62">
        <f>MAX(0,ROUND((MIN(J1218,D1109)-MAX(I1218,B1109)),4))</f>
        <v>1.3</v>
      </c>
    </row>
    <row r="1219" spans="1:12" ht="23" customHeight="1">
      <c r="A1219" s="6">
        <v>5</v>
      </c>
      <c r="B1219" s="6">
        <v>2</v>
      </c>
      <c r="C1219" s="6">
        <v>137</v>
      </c>
      <c r="D1219" s="6">
        <v>136</v>
      </c>
      <c r="E1219" s="6">
        <v>138</v>
      </c>
      <c r="F1219" s="61">
        <v>16.9</v>
      </c>
      <c r="G1219" s="61">
        <v>18.2</v>
      </c>
      <c r="H1219" s="61">
        <v>19.5</v>
      </c>
      <c r="I1219" s="62">
        <f>ROUND(((F1219+G1219)/2),4)</f>
        <v>17.55</v>
      </c>
      <c r="J1219" s="62">
        <f>ROUND(((G1219+H1219)/2),4)</f>
        <v>18.85</v>
      </c>
      <c r="K1219" s="62">
        <f>ROUND((J1219-I1219),4)</f>
        <v>1.3</v>
      </c>
      <c r="L1219" s="62">
        <f>MAX(0,ROUND((MIN(J1219,D1109)-MAX(I1219,B1109)),4))</f>
        <v>1.3</v>
      </c>
    </row>
    <row r="1220" spans="1:12" ht="23" customHeight="1">
      <c r="A1220" s="6">
        <v>5</v>
      </c>
      <c r="B1220" s="6">
        <v>2</v>
      </c>
      <c r="C1220" s="6">
        <v>138</v>
      </c>
      <c r="D1220" s="6">
        <v>137</v>
      </c>
      <c r="E1220" s="6">
        <v>139</v>
      </c>
      <c r="F1220" s="61">
        <v>18.2</v>
      </c>
      <c r="G1220" s="61">
        <v>19.5</v>
      </c>
      <c r="H1220" s="61">
        <v>20.8</v>
      </c>
      <c r="I1220" s="62">
        <f>ROUND(((F1220+G1220)/2),4)</f>
        <v>18.85</v>
      </c>
      <c r="J1220" s="62">
        <f>ROUND(((G1220+H1220)/2),4)</f>
        <v>20.15</v>
      </c>
      <c r="K1220" s="62">
        <f>ROUND((J1220-I1220),4)</f>
        <v>1.3</v>
      </c>
      <c r="L1220" s="62">
        <f>MAX(0,ROUND((MIN(J1220,D1109)-MAX(I1220,B1109)),4))</f>
        <v>1.3</v>
      </c>
    </row>
    <row r="1221" spans="1:12" ht="23" customHeight="1">
      <c r="A1221" s="6">
        <v>5</v>
      </c>
      <c r="B1221" s="6">
        <v>2</v>
      </c>
      <c r="C1221" s="6">
        <v>139</v>
      </c>
      <c r="D1221" s="6">
        <v>138</v>
      </c>
      <c r="E1221" s="6">
        <v>140</v>
      </c>
      <c r="F1221" s="61">
        <v>19.5</v>
      </c>
      <c r="G1221" s="61">
        <v>20.8</v>
      </c>
      <c r="H1221" s="61">
        <v>22.1</v>
      </c>
      <c r="I1221" s="62">
        <f>ROUND(((F1221+G1221)/2),4)</f>
        <v>20.15</v>
      </c>
      <c r="J1221" s="62">
        <f>ROUND(((G1221+H1221)/2),4)</f>
        <v>21.45</v>
      </c>
      <c r="K1221" s="62">
        <f>ROUND((J1221-I1221),4)</f>
        <v>1.3</v>
      </c>
      <c r="L1221" s="62">
        <f>MAX(0,ROUND((MIN(J1221,D1109)-MAX(I1221,B1109)),4))</f>
        <v>1.3</v>
      </c>
    </row>
    <row r="1222" spans="1:12" ht="23" customHeight="1">
      <c r="A1222" s="6">
        <v>5</v>
      </c>
      <c r="B1222" s="6">
        <v>2</v>
      </c>
      <c r="C1222" s="6">
        <v>140</v>
      </c>
      <c r="D1222" s="6">
        <v>139</v>
      </c>
      <c r="E1222" s="6">
        <v>141</v>
      </c>
      <c r="F1222" s="61">
        <v>20.8</v>
      </c>
      <c r="G1222" s="61">
        <v>22.1</v>
      </c>
      <c r="H1222" s="61">
        <v>23.4</v>
      </c>
      <c r="I1222" s="62">
        <f>ROUND(((F1222+G1222)/2),4)</f>
        <v>21.45</v>
      </c>
      <c r="J1222" s="62">
        <f>ROUND(((G1222+H1222)/2),4)</f>
        <v>22.75</v>
      </c>
      <c r="K1222" s="62">
        <f>ROUND((J1222-I1222),4)</f>
        <v>1.3</v>
      </c>
      <c r="L1222" s="62">
        <f>MAX(0,ROUND((MIN(J1222,D1109)-MAX(I1222,B1109)),4))</f>
        <v>1.3</v>
      </c>
    </row>
    <row r="1223" spans="1:12" ht="23" customHeight="1">
      <c r="A1223" s="6">
        <v>5</v>
      </c>
      <c r="B1223" s="6">
        <v>2</v>
      </c>
      <c r="C1223" s="6">
        <v>141</v>
      </c>
      <c r="D1223" s="6">
        <v>140</v>
      </c>
      <c r="E1223" s="6">
        <v>142</v>
      </c>
      <c r="F1223" s="61">
        <v>22.1</v>
      </c>
      <c r="G1223" s="61">
        <v>23.4</v>
      </c>
      <c r="H1223" s="61">
        <v>24.7</v>
      </c>
      <c r="I1223" s="62">
        <f>ROUND(((F1223+G1223)/2),4)</f>
        <v>22.75</v>
      </c>
      <c r="J1223" s="62">
        <f>ROUND(((G1223+H1223)/2),4)</f>
        <v>24.05</v>
      </c>
      <c r="K1223" s="62">
        <f>ROUND((J1223-I1223),4)</f>
        <v>1.3</v>
      </c>
      <c r="L1223" s="62">
        <f>MAX(0,ROUND((MIN(J1223,D1109)-MAX(I1223,B1109)),4))</f>
        <v>1.3</v>
      </c>
    </row>
    <row r="1224" spans="1:12" ht="23" customHeight="1">
      <c r="A1224" s="6">
        <v>5</v>
      </c>
      <c r="B1224" s="6">
        <v>2</v>
      </c>
      <c r="C1224" s="6">
        <v>142</v>
      </c>
      <c r="D1224" s="6">
        <v>141</v>
      </c>
      <c r="E1224" s="6">
        <v>143</v>
      </c>
      <c r="F1224" s="61">
        <v>23.4</v>
      </c>
      <c r="G1224" s="61">
        <v>24.7</v>
      </c>
      <c r="H1224" s="61">
        <v>26</v>
      </c>
      <c r="I1224" s="62">
        <f>ROUND(((F1224+G1224)/2),4)</f>
        <v>24.05</v>
      </c>
      <c r="J1224" s="62">
        <f>ROUND(((G1224+H1224)/2),4)</f>
        <v>25.35</v>
      </c>
      <c r="K1224" s="62">
        <f>ROUND((J1224-I1224),4)</f>
        <v>1.3</v>
      </c>
      <c r="L1224" s="62">
        <f>MAX(0,ROUND((MIN(J1224,D1109)-MAX(I1224,B1109)),4))</f>
        <v>1.3</v>
      </c>
    </row>
    <row r="1225" spans="1:12" ht="23" customHeight="1">
      <c r="A1225" s="6">
        <v>5</v>
      </c>
      <c r="B1225" s="6">
        <v>2</v>
      </c>
      <c r="C1225" s="6">
        <v>143</v>
      </c>
      <c r="D1225" s="6">
        <v>142</v>
      </c>
      <c r="E1225" s="6">
        <v>144</v>
      </c>
      <c r="F1225" s="61">
        <v>24.7</v>
      </c>
      <c r="G1225" s="61">
        <v>26</v>
      </c>
      <c r="H1225" s="61">
        <v>27.3</v>
      </c>
      <c r="I1225" s="62">
        <f>ROUND(((F1225+G1225)/2),4)</f>
        <v>25.35</v>
      </c>
      <c r="J1225" s="62">
        <f>ROUND(((G1225+H1225)/2),4)</f>
        <v>26.65</v>
      </c>
      <c r="K1225" s="62">
        <f>ROUND((J1225-I1225),4)</f>
        <v>1.3</v>
      </c>
      <c r="L1225" s="62">
        <f>MAX(0,ROUND((MIN(J1225,D1109)-MAX(I1225,B1109)),4))</f>
        <v>1.3</v>
      </c>
    </row>
    <row r="1226" spans="1:12" ht="23" customHeight="1">
      <c r="A1226" s="6">
        <v>5</v>
      </c>
      <c r="B1226" s="6">
        <v>2</v>
      </c>
      <c r="C1226" s="6">
        <v>144</v>
      </c>
      <c r="D1226" s="6">
        <v>143</v>
      </c>
      <c r="E1226" s="6">
        <v>145</v>
      </c>
      <c r="F1226" s="61">
        <v>26</v>
      </c>
      <c r="G1226" s="61">
        <v>27.3</v>
      </c>
      <c r="H1226" s="61">
        <v>28.6</v>
      </c>
      <c r="I1226" s="62">
        <f>ROUND(((F1226+G1226)/2),4)</f>
        <v>26.65</v>
      </c>
      <c r="J1226" s="62">
        <f>ROUND(((G1226+H1226)/2),4)</f>
        <v>27.95</v>
      </c>
      <c r="K1226" s="62">
        <f>ROUND((J1226-I1226),4)</f>
        <v>1.3</v>
      </c>
      <c r="L1226" s="62">
        <f>MAX(0,ROUND((MIN(J1226,D1109)-MAX(I1226,B1109)),4))</f>
        <v>1.3</v>
      </c>
    </row>
    <row r="1227" spans="1:12" ht="23" customHeight="1">
      <c r="A1227" s="6">
        <v>5</v>
      </c>
      <c r="B1227" s="6">
        <v>2</v>
      </c>
      <c r="C1227" s="6">
        <v>145</v>
      </c>
      <c r="D1227" s="6">
        <v>144</v>
      </c>
      <c r="E1227" s="6">
        <v>146</v>
      </c>
      <c r="F1227" s="61">
        <v>27.3</v>
      </c>
      <c r="G1227" s="61">
        <v>28.6</v>
      </c>
      <c r="H1227" s="61">
        <v>29.9</v>
      </c>
      <c r="I1227" s="62">
        <f>ROUND(((F1227+G1227)/2),4)</f>
        <v>27.95</v>
      </c>
      <c r="J1227" s="62">
        <f>ROUND(((G1227+H1227)/2),4)</f>
        <v>29.25</v>
      </c>
      <c r="K1227" s="62">
        <f>ROUND((J1227-I1227),4)</f>
        <v>1.3</v>
      </c>
      <c r="L1227" s="62">
        <f>MAX(0,ROUND((MIN(J1227,D1109)-MAX(I1227,B1109)),4))</f>
        <v>1.3</v>
      </c>
    </row>
    <row r="1228" spans="1:12" ht="23" customHeight="1">
      <c r="A1228" s="6">
        <v>5</v>
      </c>
      <c r="B1228" s="6">
        <v>2</v>
      </c>
      <c r="C1228" s="6">
        <v>146</v>
      </c>
      <c r="D1228" s="6">
        <v>145</v>
      </c>
      <c r="E1228" s="6">
        <v>147</v>
      </c>
      <c r="F1228" s="61">
        <v>28.6</v>
      </c>
      <c r="G1228" s="61">
        <v>29.9</v>
      </c>
      <c r="H1228" s="61">
        <v>31</v>
      </c>
      <c r="I1228" s="62">
        <f>ROUND(((F1228+G1228)/2),4)</f>
        <v>29.25</v>
      </c>
      <c r="J1228" s="62">
        <f>ROUND(((G1228+H1228)/2),4)</f>
        <v>30.45</v>
      </c>
      <c r="K1228" s="62">
        <f>ROUND((J1228-I1228),4)</f>
        <v>1.2</v>
      </c>
      <c r="L1228" s="62">
        <f>MAX(0,ROUND((MIN(J1228,D1109)-MAX(I1228,B1109)),4))</f>
        <v>0.45</v>
      </c>
    </row>
    <row r="1229" spans="1:12" ht="24" customHeight="1">
      <c r="A1229" s="3" t="s">
        <v>821</v>
      </c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</row>
    <row r="1230" spans="1:12" ht="36" customHeight="1">
      <c r="A1230" s="4" t="s">
        <v>8</v>
      </c>
      <c r="B1230" s="4" t="s">
        <v>9</v>
      </c>
      <c r="C1230" s="4" t="s">
        <v>163</v>
      </c>
      <c r="D1230" s="4" t="s">
        <v>822</v>
      </c>
      <c r="E1230" s="4" t="s">
        <v>823</v>
      </c>
      <c r="F1230" s="4" t="s">
        <v>824</v>
      </c>
      <c r="G1230" s="4" t="s">
        <v>825</v>
      </c>
      <c r="H1230" s="4" t="s">
        <v>826</v>
      </c>
      <c r="I1230" s="4" t="s">
        <v>827</v>
      </c>
      <c r="J1230" s="4" t="s">
        <v>828</v>
      </c>
      <c r="K1230" s="4" t="s">
        <v>829</v>
      </c>
      <c r="L1230" s="4" t="s">
        <v>830</v>
      </c>
    </row>
    <row r="1231" spans="1:12" ht="23" customHeight="1">
      <c r="A1231" s="6">
        <v>5</v>
      </c>
      <c r="B1231" s="6">
        <v>2</v>
      </c>
      <c r="C1231" s="6">
        <v>147</v>
      </c>
      <c r="D1231" s="6">
        <v>146</v>
      </c>
      <c r="E1231" s="9"/>
      <c r="F1231" s="61">
        <v>29.9</v>
      </c>
      <c r="G1231" s="61">
        <v>31</v>
      </c>
      <c r="H1231" s="61">
        <v>31</v>
      </c>
      <c r="I1231" s="62">
        <f>ROUND(((F1231+G1231)/2),4)</f>
        <v>30.45</v>
      </c>
      <c r="J1231" s="62">
        <f>ROUND(((G1231+H1231)/2),4)</f>
        <v>31.0</v>
      </c>
      <c r="K1231" s="62">
        <f>ROUND((J1231-I1231),4)</f>
        <v>0.55</v>
      </c>
      <c r="L1231" s="62">
        <f>MAX(0,ROUND((MIN(J1231,D1109)-MAX(I1231,B1109)),4))</f>
        <v>0.0</v>
      </c>
    </row>
    <row r="1232" spans="1:12" ht="23" customHeight="1">
      <c r="A1232" s="6">
        <v>6</v>
      </c>
      <c r="B1232" s="6">
        <v>3</v>
      </c>
      <c r="C1232" s="6">
        <v>148</v>
      </c>
      <c r="D1232" s="9"/>
      <c r="E1232" s="6">
        <v>149</v>
      </c>
      <c r="F1232" s="61">
        <v>0</v>
      </c>
      <c r="G1232" s="61">
        <v>0</v>
      </c>
      <c r="H1232" s="61">
        <v>1.3</v>
      </c>
      <c r="I1232" s="62">
        <f>ROUND(((F1232+G1232)/2),4)</f>
        <v>0.0</v>
      </c>
      <c r="J1232" s="62">
        <f>ROUND(((G1232+H1232)/2),4)</f>
        <v>0.65</v>
      </c>
      <c r="K1232" s="62">
        <f>ROUND((J1232-I1232),4)</f>
        <v>0.65</v>
      </c>
      <c r="L1232" s="62">
        <f>MAX(0,ROUND((MIN(J1232,D1109)-MAX(I1232,B1109)),4))</f>
        <v>0.0</v>
      </c>
    </row>
    <row r="1233" spans="1:12" ht="23" customHeight="1">
      <c r="A1233" s="6">
        <v>6</v>
      </c>
      <c r="B1233" s="6">
        <v>3</v>
      </c>
      <c r="C1233" s="6">
        <v>149</v>
      </c>
      <c r="D1233" s="6">
        <v>148</v>
      </c>
      <c r="E1233" s="6">
        <v>150</v>
      </c>
      <c r="F1233" s="61">
        <v>0</v>
      </c>
      <c r="G1233" s="61">
        <v>1.3</v>
      </c>
      <c r="H1233" s="61">
        <v>2.6</v>
      </c>
      <c r="I1233" s="62">
        <f>ROUND(((F1233+G1233)/2),4)</f>
        <v>0.65</v>
      </c>
      <c r="J1233" s="62">
        <f>ROUND(((G1233+H1233)/2),4)</f>
        <v>1.95</v>
      </c>
      <c r="K1233" s="62">
        <f>ROUND((J1233-I1233),4)</f>
        <v>1.3</v>
      </c>
      <c r="L1233" s="62">
        <f>MAX(0,ROUND((MIN(J1233,D1109)-MAX(I1233,B1109)),4))</f>
        <v>0.0</v>
      </c>
    </row>
    <row r="1234" spans="1:12" ht="23" customHeight="1">
      <c r="A1234" s="6">
        <v>6</v>
      </c>
      <c r="B1234" s="6">
        <v>3</v>
      </c>
      <c r="C1234" s="6">
        <v>150</v>
      </c>
      <c r="D1234" s="6">
        <v>149</v>
      </c>
      <c r="E1234" s="6">
        <v>151</v>
      </c>
      <c r="F1234" s="61">
        <v>1.3</v>
      </c>
      <c r="G1234" s="61">
        <v>2.6</v>
      </c>
      <c r="H1234" s="61">
        <v>3.9</v>
      </c>
      <c r="I1234" s="62">
        <f>ROUND(((F1234+G1234)/2),4)</f>
        <v>1.95</v>
      </c>
      <c r="J1234" s="62">
        <f>ROUND(((G1234+H1234)/2),4)</f>
        <v>3.25</v>
      </c>
      <c r="K1234" s="62">
        <f>ROUND((J1234-I1234),4)</f>
        <v>1.3</v>
      </c>
      <c r="L1234" s="62">
        <f>MAX(0,ROUND((MIN(J1234,D1109)-MAX(I1234,B1109)),4))</f>
        <v>0.0</v>
      </c>
    </row>
    <row r="1235" spans="1:12" ht="23" customHeight="1">
      <c r="A1235" s="6">
        <v>6</v>
      </c>
      <c r="B1235" s="6">
        <v>3</v>
      </c>
      <c r="C1235" s="6">
        <v>151</v>
      </c>
      <c r="D1235" s="6">
        <v>150</v>
      </c>
      <c r="E1235" s="6">
        <v>152</v>
      </c>
      <c r="F1235" s="61">
        <v>2.6</v>
      </c>
      <c r="G1235" s="61">
        <v>3.9</v>
      </c>
      <c r="H1235" s="61">
        <v>5.2</v>
      </c>
      <c r="I1235" s="62">
        <f>ROUND(((F1235+G1235)/2),4)</f>
        <v>3.25</v>
      </c>
      <c r="J1235" s="62">
        <f>ROUND(((G1235+H1235)/2),4)</f>
        <v>4.55</v>
      </c>
      <c r="K1235" s="62">
        <f>ROUND((J1235-I1235),4)</f>
        <v>1.3</v>
      </c>
      <c r="L1235" s="62">
        <f>MAX(0,ROUND((MIN(J1235,D1109)-MAX(I1235,B1109)),4))</f>
        <v>0.0</v>
      </c>
    </row>
    <row r="1236" spans="1:12" ht="23" customHeight="1">
      <c r="A1236" s="6">
        <v>6</v>
      </c>
      <c r="B1236" s="6">
        <v>3</v>
      </c>
      <c r="C1236" s="6">
        <v>152</v>
      </c>
      <c r="D1236" s="6">
        <v>151</v>
      </c>
      <c r="E1236" s="6">
        <v>153</v>
      </c>
      <c r="F1236" s="61">
        <v>3.9</v>
      </c>
      <c r="G1236" s="61">
        <v>5.2</v>
      </c>
      <c r="H1236" s="61">
        <v>6.5</v>
      </c>
      <c r="I1236" s="62">
        <f>ROUND(((F1236+G1236)/2),4)</f>
        <v>4.55</v>
      </c>
      <c r="J1236" s="62">
        <f>ROUND(((G1236+H1236)/2),4)</f>
        <v>5.85</v>
      </c>
      <c r="K1236" s="62">
        <f>ROUND((J1236-I1236),4)</f>
        <v>1.3</v>
      </c>
      <c r="L1236" s="62">
        <f>MAX(0,ROUND((MIN(J1236,D1109)-MAX(I1236,B1109)),4))</f>
        <v>0.905</v>
      </c>
    </row>
    <row r="1237" spans="1:12" ht="23" customHeight="1">
      <c r="A1237" s="6">
        <v>6</v>
      </c>
      <c r="B1237" s="6">
        <v>3</v>
      </c>
      <c r="C1237" s="6">
        <v>153</v>
      </c>
      <c r="D1237" s="6">
        <v>152</v>
      </c>
      <c r="E1237" s="6">
        <v>154</v>
      </c>
      <c r="F1237" s="61">
        <v>5.2</v>
      </c>
      <c r="G1237" s="61">
        <v>6.5</v>
      </c>
      <c r="H1237" s="61">
        <v>7.8</v>
      </c>
      <c r="I1237" s="62">
        <f>ROUND(((F1237+G1237)/2),4)</f>
        <v>5.85</v>
      </c>
      <c r="J1237" s="62">
        <f>ROUND(((G1237+H1237)/2),4)</f>
        <v>7.15</v>
      </c>
      <c r="K1237" s="62">
        <f>ROUND((J1237-I1237),4)</f>
        <v>1.3</v>
      </c>
      <c r="L1237" s="62">
        <f>MAX(0,ROUND((MIN(J1237,D1109)-MAX(I1237,B1109)),4))</f>
        <v>1.3</v>
      </c>
    </row>
    <row r="1238" spans="1:12" ht="23" customHeight="1">
      <c r="A1238" s="6">
        <v>6</v>
      </c>
      <c r="B1238" s="6">
        <v>3</v>
      </c>
      <c r="C1238" s="6">
        <v>154</v>
      </c>
      <c r="D1238" s="6">
        <v>153</v>
      </c>
      <c r="E1238" s="6">
        <v>155</v>
      </c>
      <c r="F1238" s="61">
        <v>6.5</v>
      </c>
      <c r="G1238" s="61">
        <v>7.8</v>
      </c>
      <c r="H1238" s="61">
        <v>9.1</v>
      </c>
      <c r="I1238" s="62">
        <f>ROUND(((F1238+G1238)/2),4)</f>
        <v>7.15</v>
      </c>
      <c r="J1238" s="62">
        <f>ROUND(((G1238+H1238)/2),4)</f>
        <v>8.45</v>
      </c>
      <c r="K1238" s="62">
        <f>ROUND((J1238-I1238),4)</f>
        <v>1.3</v>
      </c>
      <c r="L1238" s="62">
        <f>MAX(0,ROUND((MIN(J1238,D1109)-MAX(I1238,B1109)),4))</f>
        <v>1.3</v>
      </c>
    </row>
    <row r="1239" spans="1:12" ht="23" customHeight="1">
      <c r="A1239" s="6">
        <v>6</v>
      </c>
      <c r="B1239" s="6">
        <v>3</v>
      </c>
      <c r="C1239" s="6">
        <v>155</v>
      </c>
      <c r="D1239" s="6">
        <v>154</v>
      </c>
      <c r="E1239" s="6">
        <v>156</v>
      </c>
      <c r="F1239" s="61">
        <v>7.8</v>
      </c>
      <c r="G1239" s="61">
        <v>9.1</v>
      </c>
      <c r="H1239" s="61">
        <v>10.4</v>
      </c>
      <c r="I1239" s="62">
        <f>ROUND(((F1239+G1239)/2),4)</f>
        <v>8.45</v>
      </c>
      <c r="J1239" s="62">
        <f>ROUND(((G1239+H1239)/2),4)</f>
        <v>9.75</v>
      </c>
      <c r="K1239" s="62">
        <f>ROUND((J1239-I1239),4)</f>
        <v>1.3</v>
      </c>
      <c r="L1239" s="62">
        <f>MAX(0,ROUND((MIN(J1239,D1109)-MAX(I1239,B1109)),4))</f>
        <v>1.3</v>
      </c>
    </row>
    <row r="1240" spans="1:12" ht="23" customHeight="1">
      <c r="A1240" s="6">
        <v>6</v>
      </c>
      <c r="B1240" s="6">
        <v>3</v>
      </c>
      <c r="C1240" s="6">
        <v>156</v>
      </c>
      <c r="D1240" s="6">
        <v>155</v>
      </c>
      <c r="E1240" s="6">
        <v>157</v>
      </c>
      <c r="F1240" s="61">
        <v>9.1</v>
      </c>
      <c r="G1240" s="61">
        <v>10.4</v>
      </c>
      <c r="H1240" s="61">
        <v>11.7</v>
      </c>
      <c r="I1240" s="62">
        <f>ROUND(((F1240+G1240)/2),4)</f>
        <v>9.75</v>
      </c>
      <c r="J1240" s="62">
        <f>ROUND(((G1240+H1240)/2),4)</f>
        <v>11.05</v>
      </c>
      <c r="K1240" s="62">
        <f>ROUND((J1240-I1240),4)</f>
        <v>1.3</v>
      </c>
      <c r="L1240" s="62">
        <f>MAX(0,ROUND((MIN(J1240,D1109)-MAX(I1240,B1109)),4))</f>
        <v>1.3</v>
      </c>
    </row>
    <row r="1241" spans="1:12" ht="23" customHeight="1">
      <c r="A1241" s="6">
        <v>6</v>
      </c>
      <c r="B1241" s="6">
        <v>3</v>
      </c>
      <c r="C1241" s="6">
        <v>157</v>
      </c>
      <c r="D1241" s="6">
        <v>156</v>
      </c>
      <c r="E1241" s="6">
        <v>158</v>
      </c>
      <c r="F1241" s="61">
        <v>10.4</v>
      </c>
      <c r="G1241" s="61">
        <v>11.7</v>
      </c>
      <c r="H1241" s="61">
        <v>13</v>
      </c>
      <c r="I1241" s="62">
        <f>ROUND(((F1241+G1241)/2),4)</f>
        <v>11.05</v>
      </c>
      <c r="J1241" s="62">
        <f>ROUND(((G1241+H1241)/2),4)</f>
        <v>12.35</v>
      </c>
      <c r="K1241" s="62">
        <f>ROUND((J1241-I1241),4)</f>
        <v>1.3</v>
      </c>
      <c r="L1241" s="62">
        <f>MAX(0,ROUND((MIN(J1241,D1109)-MAX(I1241,B1109)),4))</f>
        <v>1.3</v>
      </c>
    </row>
    <row r="1242" spans="1:12" ht="23" customHeight="1">
      <c r="A1242" s="6">
        <v>6</v>
      </c>
      <c r="B1242" s="6">
        <v>3</v>
      </c>
      <c r="C1242" s="6">
        <v>158</v>
      </c>
      <c r="D1242" s="6">
        <v>157</v>
      </c>
      <c r="E1242" s="6">
        <v>159</v>
      </c>
      <c r="F1242" s="61">
        <v>11.7</v>
      </c>
      <c r="G1242" s="61">
        <v>13</v>
      </c>
      <c r="H1242" s="61">
        <v>14.3</v>
      </c>
      <c r="I1242" s="62">
        <f>ROUND(((F1242+G1242)/2),4)</f>
        <v>12.35</v>
      </c>
      <c r="J1242" s="62">
        <f>ROUND(((G1242+H1242)/2),4)</f>
        <v>13.65</v>
      </c>
      <c r="K1242" s="62">
        <f>ROUND((J1242-I1242),4)</f>
        <v>1.3</v>
      </c>
      <c r="L1242" s="62">
        <f>MAX(0,ROUND((MIN(J1242,D1109)-MAX(I1242,B1109)),4))</f>
        <v>1.3</v>
      </c>
    </row>
    <row r="1243" spans="1:12" ht="23" customHeight="1">
      <c r="A1243" s="6">
        <v>6</v>
      </c>
      <c r="B1243" s="6">
        <v>3</v>
      </c>
      <c r="C1243" s="6">
        <v>159</v>
      </c>
      <c r="D1243" s="6">
        <v>158</v>
      </c>
      <c r="E1243" s="6">
        <v>160</v>
      </c>
      <c r="F1243" s="61">
        <v>13</v>
      </c>
      <c r="G1243" s="61">
        <v>14.3</v>
      </c>
      <c r="H1243" s="61">
        <v>15.6</v>
      </c>
      <c r="I1243" s="62">
        <f>ROUND(((F1243+G1243)/2),4)</f>
        <v>13.65</v>
      </c>
      <c r="J1243" s="62">
        <f>ROUND(((G1243+H1243)/2),4)</f>
        <v>14.95</v>
      </c>
      <c r="K1243" s="62">
        <f>ROUND((J1243-I1243),4)</f>
        <v>1.3</v>
      </c>
      <c r="L1243" s="62">
        <f>MAX(0,ROUND((MIN(J1243,D1109)-MAX(I1243,B1109)),4))</f>
        <v>1.3</v>
      </c>
    </row>
    <row r="1244" spans="1:12" ht="23" customHeight="1">
      <c r="A1244" s="6">
        <v>6</v>
      </c>
      <c r="B1244" s="6">
        <v>3</v>
      </c>
      <c r="C1244" s="6">
        <v>160</v>
      </c>
      <c r="D1244" s="6">
        <v>159</v>
      </c>
      <c r="E1244" s="6">
        <v>161</v>
      </c>
      <c r="F1244" s="61">
        <v>14.3</v>
      </c>
      <c r="G1244" s="61">
        <v>15.6</v>
      </c>
      <c r="H1244" s="61">
        <v>16.9</v>
      </c>
      <c r="I1244" s="62">
        <f>ROUND(((F1244+G1244)/2),4)</f>
        <v>14.95</v>
      </c>
      <c r="J1244" s="62">
        <f>ROUND(((G1244+H1244)/2),4)</f>
        <v>16.25</v>
      </c>
      <c r="K1244" s="62">
        <f>ROUND((J1244-I1244),4)</f>
        <v>1.3</v>
      </c>
      <c r="L1244" s="62">
        <f>MAX(0,ROUND((MIN(J1244,D1109)-MAX(I1244,B1109)),4))</f>
        <v>1.3</v>
      </c>
    </row>
    <row r="1245" spans="1:12" ht="23" customHeight="1">
      <c r="A1245" s="6">
        <v>6</v>
      </c>
      <c r="B1245" s="6">
        <v>3</v>
      </c>
      <c r="C1245" s="6">
        <v>161</v>
      </c>
      <c r="D1245" s="6">
        <v>160</v>
      </c>
      <c r="E1245" s="6">
        <v>162</v>
      </c>
      <c r="F1245" s="61">
        <v>15.6</v>
      </c>
      <c r="G1245" s="61">
        <v>16.9</v>
      </c>
      <c r="H1245" s="61">
        <v>18.2</v>
      </c>
      <c r="I1245" s="62">
        <f>ROUND(((F1245+G1245)/2),4)</f>
        <v>16.25</v>
      </c>
      <c r="J1245" s="62">
        <f>ROUND(((G1245+H1245)/2),4)</f>
        <v>17.55</v>
      </c>
      <c r="K1245" s="62">
        <f>ROUND((J1245-I1245),4)</f>
        <v>1.3</v>
      </c>
      <c r="L1245" s="62">
        <f>MAX(0,ROUND((MIN(J1245,D1109)-MAX(I1245,B1109)),4))</f>
        <v>1.3</v>
      </c>
    </row>
    <row r="1246" spans="1:12" ht="24" customHeight="1">
      <c r="A1246" s="3" t="s">
        <v>821</v>
      </c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</row>
    <row r="1247" spans="1:12" ht="36" customHeight="1">
      <c r="A1247" s="4" t="s">
        <v>8</v>
      </c>
      <c r="B1247" s="4" t="s">
        <v>9</v>
      </c>
      <c r="C1247" s="4" t="s">
        <v>163</v>
      </c>
      <c r="D1247" s="4" t="s">
        <v>822</v>
      </c>
      <c r="E1247" s="4" t="s">
        <v>823</v>
      </c>
      <c r="F1247" s="4" t="s">
        <v>824</v>
      </c>
      <c r="G1247" s="4" t="s">
        <v>825</v>
      </c>
      <c r="H1247" s="4" t="s">
        <v>826</v>
      </c>
      <c r="I1247" s="4" t="s">
        <v>827</v>
      </c>
      <c r="J1247" s="4" t="s">
        <v>828</v>
      </c>
      <c r="K1247" s="4" t="s">
        <v>829</v>
      </c>
      <c r="L1247" s="4" t="s">
        <v>830</v>
      </c>
    </row>
    <row r="1248" spans="1:12" ht="23" customHeight="1">
      <c r="A1248" s="6">
        <v>6</v>
      </c>
      <c r="B1248" s="6">
        <v>3</v>
      </c>
      <c r="C1248" s="6">
        <v>162</v>
      </c>
      <c r="D1248" s="6">
        <v>161</v>
      </c>
      <c r="E1248" s="6">
        <v>163</v>
      </c>
      <c r="F1248" s="61">
        <v>16.9</v>
      </c>
      <c r="G1248" s="61">
        <v>18.2</v>
      </c>
      <c r="H1248" s="61">
        <v>19.5</v>
      </c>
      <c r="I1248" s="62">
        <f>ROUND(((F1248+G1248)/2),4)</f>
        <v>17.55</v>
      </c>
      <c r="J1248" s="62">
        <f>ROUND(((G1248+H1248)/2),4)</f>
        <v>18.85</v>
      </c>
      <c r="K1248" s="62">
        <f>ROUND((J1248-I1248),4)</f>
        <v>1.3</v>
      </c>
      <c r="L1248" s="62">
        <f>MAX(0,ROUND((MIN(J1248,D1109)-MAX(I1248,B1109)),4))</f>
        <v>1.3</v>
      </c>
    </row>
    <row r="1249" spans="1:12" ht="23" customHeight="1">
      <c r="A1249" s="6">
        <v>6</v>
      </c>
      <c r="B1249" s="6">
        <v>3</v>
      </c>
      <c r="C1249" s="6">
        <v>163</v>
      </c>
      <c r="D1249" s="6">
        <v>162</v>
      </c>
      <c r="E1249" s="6">
        <v>164</v>
      </c>
      <c r="F1249" s="61">
        <v>18.2</v>
      </c>
      <c r="G1249" s="61">
        <v>19.5</v>
      </c>
      <c r="H1249" s="61">
        <v>20.8</v>
      </c>
      <c r="I1249" s="62">
        <f>ROUND(((F1249+G1249)/2),4)</f>
        <v>18.85</v>
      </c>
      <c r="J1249" s="62">
        <f>ROUND(((G1249+H1249)/2),4)</f>
        <v>20.15</v>
      </c>
      <c r="K1249" s="62">
        <f>ROUND((J1249-I1249),4)</f>
        <v>1.3</v>
      </c>
      <c r="L1249" s="62">
        <f>MAX(0,ROUND((MIN(J1249,D1109)-MAX(I1249,B1109)),4))</f>
        <v>1.3</v>
      </c>
    </row>
    <row r="1250" spans="1:12" ht="23" customHeight="1">
      <c r="A1250" s="6">
        <v>6</v>
      </c>
      <c r="B1250" s="6">
        <v>3</v>
      </c>
      <c r="C1250" s="6">
        <v>164</v>
      </c>
      <c r="D1250" s="6">
        <v>163</v>
      </c>
      <c r="E1250" s="6">
        <v>165</v>
      </c>
      <c r="F1250" s="61">
        <v>19.5</v>
      </c>
      <c r="G1250" s="61">
        <v>20.8</v>
      </c>
      <c r="H1250" s="61">
        <v>22.1</v>
      </c>
      <c r="I1250" s="62">
        <f>ROUND(((F1250+G1250)/2),4)</f>
        <v>20.15</v>
      </c>
      <c r="J1250" s="62">
        <f>ROUND(((G1250+H1250)/2),4)</f>
        <v>21.45</v>
      </c>
      <c r="K1250" s="62">
        <f>ROUND((J1250-I1250),4)</f>
        <v>1.3</v>
      </c>
      <c r="L1250" s="62">
        <f>MAX(0,ROUND((MIN(J1250,D1109)-MAX(I1250,B1109)),4))</f>
        <v>1.3</v>
      </c>
    </row>
    <row r="1251" spans="1:12" ht="23" customHeight="1">
      <c r="A1251" s="6">
        <v>6</v>
      </c>
      <c r="B1251" s="6">
        <v>3</v>
      </c>
      <c r="C1251" s="6">
        <v>165</v>
      </c>
      <c r="D1251" s="6">
        <v>164</v>
      </c>
      <c r="E1251" s="6">
        <v>166</v>
      </c>
      <c r="F1251" s="61">
        <v>20.8</v>
      </c>
      <c r="G1251" s="61">
        <v>22.1</v>
      </c>
      <c r="H1251" s="61">
        <v>23.4</v>
      </c>
      <c r="I1251" s="62">
        <f>ROUND(((F1251+G1251)/2),4)</f>
        <v>21.45</v>
      </c>
      <c r="J1251" s="62">
        <f>ROUND(((G1251+H1251)/2),4)</f>
        <v>22.75</v>
      </c>
      <c r="K1251" s="62">
        <f>ROUND((J1251-I1251),4)</f>
        <v>1.3</v>
      </c>
      <c r="L1251" s="62">
        <f>MAX(0,ROUND((MIN(J1251,D1109)-MAX(I1251,B1109)),4))</f>
        <v>1.3</v>
      </c>
    </row>
    <row r="1252" spans="1:12" ht="23" customHeight="1">
      <c r="A1252" s="6">
        <v>6</v>
      </c>
      <c r="B1252" s="6">
        <v>3</v>
      </c>
      <c r="C1252" s="6">
        <v>166</v>
      </c>
      <c r="D1252" s="6">
        <v>165</v>
      </c>
      <c r="E1252" s="6">
        <v>167</v>
      </c>
      <c r="F1252" s="61">
        <v>22.1</v>
      </c>
      <c r="G1252" s="61">
        <v>23.4</v>
      </c>
      <c r="H1252" s="61">
        <v>24.7</v>
      </c>
      <c r="I1252" s="62">
        <f>ROUND(((F1252+G1252)/2),4)</f>
        <v>22.75</v>
      </c>
      <c r="J1252" s="62">
        <f>ROUND(((G1252+H1252)/2),4)</f>
        <v>24.05</v>
      </c>
      <c r="K1252" s="62">
        <f>ROUND((J1252-I1252),4)</f>
        <v>1.3</v>
      </c>
      <c r="L1252" s="62">
        <f>MAX(0,ROUND((MIN(J1252,D1109)-MAX(I1252,B1109)),4))</f>
        <v>1.3</v>
      </c>
    </row>
    <row r="1253" spans="1:12" ht="23" customHeight="1">
      <c r="A1253" s="6">
        <v>6</v>
      </c>
      <c r="B1253" s="6">
        <v>3</v>
      </c>
      <c r="C1253" s="6">
        <v>167</v>
      </c>
      <c r="D1253" s="6">
        <v>166</v>
      </c>
      <c r="E1253" s="6">
        <v>168</v>
      </c>
      <c r="F1253" s="61">
        <v>23.4</v>
      </c>
      <c r="G1253" s="61">
        <v>24.7</v>
      </c>
      <c r="H1253" s="61">
        <v>26</v>
      </c>
      <c r="I1253" s="62">
        <f>ROUND(((F1253+G1253)/2),4)</f>
        <v>24.05</v>
      </c>
      <c r="J1253" s="62">
        <f>ROUND(((G1253+H1253)/2),4)</f>
        <v>25.35</v>
      </c>
      <c r="K1253" s="62">
        <f>ROUND((J1253-I1253),4)</f>
        <v>1.3</v>
      </c>
      <c r="L1253" s="62">
        <f>MAX(0,ROUND((MIN(J1253,D1109)-MAX(I1253,B1109)),4))</f>
        <v>1.3</v>
      </c>
    </row>
    <row r="1254" spans="1:12" ht="23" customHeight="1">
      <c r="A1254" s="6">
        <v>6</v>
      </c>
      <c r="B1254" s="6">
        <v>3</v>
      </c>
      <c r="C1254" s="6">
        <v>168</v>
      </c>
      <c r="D1254" s="6">
        <v>167</v>
      </c>
      <c r="E1254" s="6">
        <v>169</v>
      </c>
      <c r="F1254" s="61">
        <v>24.7</v>
      </c>
      <c r="G1254" s="61">
        <v>26</v>
      </c>
      <c r="H1254" s="61">
        <v>27.3</v>
      </c>
      <c r="I1254" s="62">
        <f>ROUND(((F1254+G1254)/2),4)</f>
        <v>25.35</v>
      </c>
      <c r="J1254" s="62">
        <f>ROUND(((G1254+H1254)/2),4)</f>
        <v>26.65</v>
      </c>
      <c r="K1254" s="62">
        <f>ROUND((J1254-I1254),4)</f>
        <v>1.3</v>
      </c>
      <c r="L1254" s="62">
        <f>MAX(0,ROUND((MIN(J1254,D1109)-MAX(I1254,B1109)),4))</f>
        <v>1.3</v>
      </c>
    </row>
    <row r="1255" spans="1:12" ht="23" customHeight="1">
      <c r="A1255" s="6">
        <v>6</v>
      </c>
      <c r="B1255" s="6">
        <v>3</v>
      </c>
      <c r="C1255" s="6">
        <v>169</v>
      </c>
      <c r="D1255" s="6">
        <v>168</v>
      </c>
      <c r="E1255" s="6">
        <v>170</v>
      </c>
      <c r="F1255" s="61">
        <v>26</v>
      </c>
      <c r="G1255" s="61">
        <v>27.3</v>
      </c>
      <c r="H1255" s="61">
        <v>28.6</v>
      </c>
      <c r="I1255" s="62">
        <f>ROUND(((F1255+G1255)/2),4)</f>
        <v>26.65</v>
      </c>
      <c r="J1255" s="62">
        <f>ROUND(((G1255+H1255)/2),4)</f>
        <v>27.95</v>
      </c>
      <c r="K1255" s="62">
        <f>ROUND((J1255-I1255),4)</f>
        <v>1.3</v>
      </c>
      <c r="L1255" s="62">
        <f>MAX(0,ROUND((MIN(J1255,D1109)-MAX(I1255,B1109)),4))</f>
        <v>1.3</v>
      </c>
    </row>
    <row r="1256" spans="1:12" ht="23" customHeight="1">
      <c r="A1256" s="6">
        <v>6</v>
      </c>
      <c r="B1256" s="6">
        <v>3</v>
      </c>
      <c r="C1256" s="6">
        <v>170</v>
      </c>
      <c r="D1256" s="6">
        <v>169</v>
      </c>
      <c r="E1256" s="6">
        <v>171</v>
      </c>
      <c r="F1256" s="61">
        <v>27.3</v>
      </c>
      <c r="G1256" s="61">
        <v>28.6</v>
      </c>
      <c r="H1256" s="61">
        <v>29.9</v>
      </c>
      <c r="I1256" s="62">
        <f>ROUND(((F1256+G1256)/2),4)</f>
        <v>27.95</v>
      </c>
      <c r="J1256" s="62">
        <f>ROUND(((G1256+H1256)/2),4)</f>
        <v>29.25</v>
      </c>
      <c r="K1256" s="62">
        <f>ROUND((J1256-I1256),4)</f>
        <v>1.3</v>
      </c>
      <c r="L1256" s="62">
        <f>MAX(0,ROUND((MIN(J1256,D1109)-MAX(I1256,B1109)),4))</f>
        <v>1.3</v>
      </c>
    </row>
    <row r="1257" spans="1:12" ht="23" customHeight="1">
      <c r="A1257" s="6">
        <v>6</v>
      </c>
      <c r="B1257" s="6">
        <v>3</v>
      </c>
      <c r="C1257" s="6">
        <v>171</v>
      </c>
      <c r="D1257" s="6">
        <v>170</v>
      </c>
      <c r="E1257" s="6">
        <v>172</v>
      </c>
      <c r="F1257" s="61">
        <v>28.6</v>
      </c>
      <c r="G1257" s="61">
        <v>29.9</v>
      </c>
      <c r="H1257" s="61">
        <v>31</v>
      </c>
      <c r="I1257" s="62">
        <f>ROUND(((F1257+G1257)/2),4)</f>
        <v>29.25</v>
      </c>
      <c r="J1257" s="62">
        <f>ROUND(((G1257+H1257)/2),4)</f>
        <v>30.45</v>
      </c>
      <c r="K1257" s="62">
        <f>ROUND((J1257-I1257),4)</f>
        <v>1.2</v>
      </c>
      <c r="L1257" s="62">
        <f>MAX(0,ROUND((MIN(J1257,D1109)-MAX(I1257,B1109)),4))</f>
        <v>0.45</v>
      </c>
    </row>
    <row r="1258" spans="1:12" ht="23" customHeight="1">
      <c r="A1258" s="6">
        <v>6</v>
      </c>
      <c r="B1258" s="6">
        <v>3</v>
      </c>
      <c r="C1258" s="6">
        <v>172</v>
      </c>
      <c r="D1258" s="6">
        <v>171</v>
      </c>
      <c r="E1258" s="9"/>
      <c r="F1258" s="61">
        <v>29.9</v>
      </c>
      <c r="G1258" s="61">
        <v>31</v>
      </c>
      <c r="H1258" s="61">
        <v>31</v>
      </c>
      <c r="I1258" s="62">
        <f>ROUND(((F1258+G1258)/2),4)</f>
        <v>30.45</v>
      </c>
      <c r="J1258" s="62">
        <f>ROUND(((G1258+H1258)/2),4)</f>
        <v>31.0</v>
      </c>
      <c r="K1258" s="62">
        <f>ROUND((J1258-I1258),4)</f>
        <v>0.55</v>
      </c>
      <c r="L1258" s="62">
        <f>MAX(0,ROUND((MIN(J1258,D1109)-MAX(I1258,B1109)),4))</f>
        <v>0.0</v>
      </c>
    </row>
    <row r="1259" spans="1:12" ht="23" customHeight="1"/>
    <row r="1260" spans="1:12" ht="24" customHeight="1">
      <c r="A1260" s="3" t="s">
        <v>831</v>
      </c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</row>
    <row r="1261" spans="1:12" ht="36" customHeight="1">
      <c r="A1261" s="4" t="s">
        <v>8</v>
      </c>
      <c r="B1261" s="4" t="s">
        <v>163</v>
      </c>
      <c r="C1261" s="4" t="s">
        <v>562</v>
      </c>
      <c r="D1261" s="4" t="s">
        <v>813</v>
      </c>
      <c r="E1261" s="4" t="s">
        <v>832</v>
      </c>
      <c r="F1261" s="4" t="s">
        <v>833</v>
      </c>
      <c r="G1261" s="4" t="s">
        <v>834</v>
      </c>
    </row>
    <row r="1262" spans="1:12" ht="23" customHeight="1">
      <c r="A1262" s="6">
        <v>4</v>
      </c>
      <c r="B1262" s="6">
        <v>98</v>
      </c>
      <c r="C1262" s="6">
        <v>1</v>
      </c>
      <c r="D1262" s="9" t="s">
        <v>819</v>
      </c>
      <c r="E1262" s="62">
        <f>MAX(I1174,E1140)</f>
        <v>0.0</v>
      </c>
      <c r="F1262" s="62">
        <f>MIN(J1174,F1140)</f>
        <v>0.65</v>
      </c>
      <c r="G1262" s="62">
        <f>MAX(0,ROUND((F1262-E1262),4))</f>
        <v>0.65</v>
      </c>
    </row>
    <row r="1263" spans="1:12" ht="23" customHeight="1">
      <c r="A1263" s="6">
        <v>4</v>
      </c>
      <c r="B1263" s="6">
        <v>99</v>
      </c>
      <c r="C1263" s="6">
        <v>1</v>
      </c>
      <c r="D1263" s="9" t="s">
        <v>819</v>
      </c>
      <c r="E1263" s="62">
        <f>MAX(I1175,E1140)</f>
        <v>0.65</v>
      </c>
      <c r="F1263" s="62">
        <f>MIN(J1175,F1140)</f>
        <v>1.5</v>
      </c>
      <c r="G1263" s="62">
        <f>MAX(0,ROUND((F1263-E1263),4))</f>
        <v>0.85</v>
      </c>
    </row>
    <row r="1264" spans="1:12" ht="23" customHeight="1">
      <c r="A1264" s="6">
        <v>4</v>
      </c>
      <c r="B1264" s="6">
        <v>99</v>
      </c>
      <c r="C1264" s="6">
        <v>2</v>
      </c>
      <c r="D1264" s="9" t="s">
        <v>819</v>
      </c>
      <c r="E1264" s="62">
        <f>MAX(I1175,E1141)</f>
        <v>1.5</v>
      </c>
      <c r="F1264" s="62">
        <f>MIN(J1175,F1141)</f>
        <v>1.95</v>
      </c>
      <c r="G1264" s="62">
        <f>MAX(0,ROUND((F1264-E1264),4))</f>
        <v>0.45</v>
      </c>
    </row>
    <row r="1265" spans="1:12" ht="23" customHeight="1">
      <c r="A1265" s="6">
        <v>4</v>
      </c>
      <c r="B1265" s="6">
        <v>100</v>
      </c>
      <c r="C1265" s="6">
        <v>2</v>
      </c>
      <c r="D1265" s="9" t="s">
        <v>819</v>
      </c>
      <c r="E1265" s="62">
        <f>MAX(I1176,E1141)</f>
        <v>1.95</v>
      </c>
      <c r="F1265" s="62">
        <f>MIN(J1176,F1141)</f>
        <v>2.8</v>
      </c>
      <c r="G1265" s="62">
        <f>MAX(0,ROUND((F1265-E1265),4))</f>
        <v>0.85</v>
      </c>
    </row>
    <row r="1266" spans="1:12" ht="23" customHeight="1">
      <c r="A1266" s="6">
        <v>4</v>
      </c>
      <c r="B1266" s="6">
        <v>100</v>
      </c>
      <c r="C1266" s="6">
        <v>3</v>
      </c>
      <c r="D1266" s="9" t="s">
        <v>819</v>
      </c>
      <c r="E1266" s="62">
        <f>MAX(I1176,E1142)</f>
        <v>2.8</v>
      </c>
      <c r="F1266" s="62">
        <f>MIN(J1176,F1142)</f>
        <v>3.25</v>
      </c>
      <c r="G1266" s="62">
        <f>MAX(0,ROUND((F1266-E1266),4))</f>
        <v>0.45</v>
      </c>
    </row>
    <row r="1267" spans="1:12" ht="23" customHeight="1">
      <c r="A1267" s="6">
        <v>4</v>
      </c>
      <c r="B1267" s="6">
        <v>101</v>
      </c>
      <c r="C1267" s="6">
        <v>3</v>
      </c>
      <c r="D1267" s="9" t="s">
        <v>819</v>
      </c>
      <c r="E1267" s="62">
        <f>MAX(I1177,E1142)</f>
        <v>3.25</v>
      </c>
      <c r="F1267" s="62">
        <f>MIN(J1177,F1142)</f>
        <v>4.55</v>
      </c>
      <c r="G1267" s="62">
        <f>MAX(0,ROUND((F1267-E1267),4))</f>
        <v>1.3</v>
      </c>
    </row>
    <row r="1268" spans="1:12" ht="23" customHeight="1">
      <c r="A1268" s="6">
        <v>4</v>
      </c>
      <c r="B1268" s="6">
        <v>102</v>
      </c>
      <c r="C1268" s="6">
        <v>3</v>
      </c>
      <c r="D1268" s="9" t="s">
        <v>819</v>
      </c>
      <c r="E1268" s="62">
        <f>MAX(I1180,E1142)</f>
        <v>4.55</v>
      </c>
      <c r="F1268" s="62">
        <f>MIN(J1180,F1142)</f>
        <v>4.945</v>
      </c>
      <c r="G1268" s="62">
        <f>MAX(0,ROUND((F1268-E1268),4))</f>
        <v>0.395</v>
      </c>
    </row>
    <row r="1269" spans="1:12" ht="23" customHeight="1">
      <c r="A1269" s="6">
        <v>4</v>
      </c>
      <c r="B1269" s="6">
        <v>102</v>
      </c>
      <c r="C1269" s="6">
        <v>3</v>
      </c>
      <c r="D1269" s="9" t="s">
        <v>820</v>
      </c>
      <c r="E1269" s="62">
        <f>MAX(I1180,E1143)</f>
        <v>4.945</v>
      </c>
      <c r="F1269" s="62">
        <f>MIN(J1180,F1143)</f>
        <v>5.7</v>
      </c>
      <c r="G1269" s="62">
        <f>MAX(0,ROUND((F1269-E1269),4))</f>
        <v>0.755</v>
      </c>
    </row>
    <row r="1270" spans="1:12" ht="23" customHeight="1">
      <c r="A1270" s="6">
        <v>4</v>
      </c>
      <c r="B1270" s="6">
        <v>102</v>
      </c>
      <c r="C1270" s="6">
        <v>4</v>
      </c>
      <c r="D1270" s="9" t="s">
        <v>820</v>
      </c>
      <c r="E1270" s="62">
        <f>MAX(I1180,E1144)</f>
        <v>5.7</v>
      </c>
      <c r="F1270" s="62">
        <f>MIN(J1180,F1144)</f>
        <v>5.85</v>
      </c>
      <c r="G1270" s="62">
        <f>MAX(0,ROUND((F1270-E1270),4))</f>
        <v>0.15</v>
      </c>
    </row>
    <row r="1271" spans="1:12" ht="23" customHeight="1">
      <c r="A1271" s="6">
        <v>4</v>
      </c>
      <c r="B1271" s="6">
        <v>103</v>
      </c>
      <c r="C1271" s="6">
        <v>4</v>
      </c>
      <c r="D1271" s="9" t="s">
        <v>820</v>
      </c>
      <c r="E1271" s="62">
        <f>MAX(I1181,E1144)</f>
        <v>5.85</v>
      </c>
      <c r="F1271" s="62">
        <f>MIN(J1181,F1144)</f>
        <v>7.15</v>
      </c>
      <c r="G1271" s="62">
        <f>MAX(0,ROUND((F1271-E1271),4))</f>
        <v>1.3</v>
      </c>
    </row>
    <row r="1272" spans="1:12" ht="23" customHeight="1">
      <c r="A1272" s="6">
        <v>4</v>
      </c>
      <c r="B1272" s="6">
        <v>104</v>
      </c>
      <c r="C1272" s="6">
        <v>4</v>
      </c>
      <c r="D1272" s="9" t="s">
        <v>820</v>
      </c>
      <c r="E1272" s="62">
        <f>MAX(I1182,E1144)</f>
        <v>7.15</v>
      </c>
      <c r="F1272" s="62">
        <f>MIN(J1182,F1144)</f>
        <v>8.3</v>
      </c>
      <c r="G1272" s="62">
        <f>MAX(0,ROUND((F1272-E1272),4))</f>
        <v>1.15</v>
      </c>
    </row>
    <row r="1273" spans="1:12" ht="23" customHeight="1">
      <c r="A1273" s="6">
        <v>4</v>
      </c>
      <c r="B1273" s="6">
        <v>104</v>
      </c>
      <c r="C1273" s="6">
        <v>5</v>
      </c>
      <c r="D1273" s="9" t="s">
        <v>820</v>
      </c>
      <c r="E1273" s="62">
        <f>MAX(I1182,E1147)</f>
        <v>8.3</v>
      </c>
      <c r="F1273" s="62">
        <f>MIN(J1182,F1147)</f>
        <v>8.45</v>
      </c>
      <c r="G1273" s="62">
        <f>MAX(0,ROUND((F1273-E1273),4))</f>
        <v>0.15</v>
      </c>
    </row>
    <row r="1274" spans="1:12" ht="23" customHeight="1">
      <c r="A1274" s="6">
        <v>4</v>
      </c>
      <c r="B1274" s="6">
        <v>105</v>
      </c>
      <c r="C1274" s="6">
        <v>5</v>
      </c>
      <c r="D1274" s="9" t="s">
        <v>820</v>
      </c>
      <c r="E1274" s="62">
        <f>MAX(I1183,E1147)</f>
        <v>8.45</v>
      </c>
      <c r="F1274" s="62">
        <f>MIN(J1183,F1147)</f>
        <v>8.9</v>
      </c>
      <c r="G1274" s="62">
        <f>MAX(0,ROUND((F1274-E1274),4))</f>
        <v>0.45</v>
      </c>
    </row>
    <row r="1275" spans="1:12" ht="23" customHeight="1">
      <c r="A1275" s="6">
        <v>4</v>
      </c>
      <c r="B1275" s="6">
        <v>105</v>
      </c>
      <c r="C1275" s="6">
        <v>6</v>
      </c>
      <c r="D1275" s="9" t="s">
        <v>820</v>
      </c>
      <c r="E1275" s="62">
        <f>MAX(I1183,E1148)</f>
        <v>8.9</v>
      </c>
      <c r="F1275" s="62">
        <f>MIN(J1183,F1148)</f>
        <v>9.75</v>
      </c>
      <c r="G1275" s="62">
        <f>MAX(0,ROUND((F1275-E1275),4))</f>
        <v>0.85</v>
      </c>
    </row>
    <row r="1276" spans="1:12" ht="23" customHeight="1">
      <c r="A1276" s="6">
        <v>4</v>
      </c>
      <c r="B1276" s="6">
        <v>106</v>
      </c>
      <c r="C1276" s="6">
        <v>6</v>
      </c>
      <c r="D1276" s="9" t="s">
        <v>820</v>
      </c>
      <c r="E1276" s="62">
        <f>MAX(I1184,E1148)</f>
        <v>9.75</v>
      </c>
      <c r="F1276" s="62">
        <f>MIN(J1184,F1148)</f>
        <v>11.05</v>
      </c>
      <c r="G1276" s="62">
        <f>MAX(0,ROUND((F1276-E1276),4))</f>
        <v>1.3</v>
      </c>
    </row>
    <row r="1277" spans="1:12" ht="24" customHeight="1">
      <c r="A1277" s="3" t="s">
        <v>831</v>
      </c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</row>
    <row r="1278" spans="1:12" ht="36" customHeight="1">
      <c r="A1278" s="4" t="s">
        <v>8</v>
      </c>
      <c r="B1278" s="4" t="s">
        <v>163</v>
      </c>
      <c r="C1278" s="4" t="s">
        <v>562</v>
      </c>
      <c r="D1278" s="4" t="s">
        <v>813</v>
      </c>
      <c r="E1278" s="4" t="s">
        <v>832</v>
      </c>
      <c r="F1278" s="4" t="s">
        <v>833</v>
      </c>
      <c r="G1278" s="4" t="s">
        <v>834</v>
      </c>
    </row>
    <row r="1279" spans="1:12" ht="23" customHeight="1">
      <c r="A1279" s="6">
        <v>4</v>
      </c>
      <c r="B1279" s="6">
        <v>107</v>
      </c>
      <c r="C1279" s="6">
        <v>6</v>
      </c>
      <c r="D1279" s="9" t="s">
        <v>820</v>
      </c>
      <c r="E1279" s="62">
        <f>MAX(I1185,E1148)</f>
        <v>11.05</v>
      </c>
      <c r="F1279" s="62">
        <f>MIN(J1185,F1148)</f>
        <v>12.35</v>
      </c>
      <c r="G1279" s="62">
        <f>MAX(0,ROUND((F1279-E1279),4))</f>
        <v>1.3</v>
      </c>
    </row>
    <row r="1280" spans="1:12" ht="23" customHeight="1">
      <c r="A1280" s="6">
        <v>4</v>
      </c>
      <c r="B1280" s="6">
        <v>108</v>
      </c>
      <c r="C1280" s="6">
        <v>6</v>
      </c>
      <c r="D1280" s="9" t="s">
        <v>820</v>
      </c>
      <c r="E1280" s="62">
        <f>MAX(I1186,E1148)</f>
        <v>12.35</v>
      </c>
      <c r="F1280" s="62">
        <f>MIN(J1186,F1148)</f>
        <v>13.65</v>
      </c>
      <c r="G1280" s="62">
        <f>MAX(0,ROUND((F1280-E1280),4))</f>
        <v>1.3</v>
      </c>
    </row>
    <row r="1281" spans="1:12" ht="23" customHeight="1">
      <c r="A1281" s="6">
        <v>4</v>
      </c>
      <c r="B1281" s="6">
        <v>109</v>
      </c>
      <c r="C1281" s="6">
        <v>6</v>
      </c>
      <c r="D1281" s="9" t="s">
        <v>820</v>
      </c>
      <c r="E1281" s="62">
        <f>MAX(I1187,E1148)</f>
        <v>13.65</v>
      </c>
      <c r="F1281" s="62">
        <f>MIN(J1187,F1148)</f>
        <v>14.95</v>
      </c>
      <c r="G1281" s="62">
        <f>MAX(0,ROUND((F1281-E1281),4))</f>
        <v>1.3</v>
      </c>
    </row>
    <row r="1282" spans="1:12" ht="23" customHeight="1">
      <c r="A1282" s="6">
        <v>4</v>
      </c>
      <c r="B1282" s="6">
        <v>110</v>
      </c>
      <c r="C1282" s="6">
        <v>6</v>
      </c>
      <c r="D1282" s="9" t="s">
        <v>820</v>
      </c>
      <c r="E1282" s="62">
        <f>MAX(I1188,E1148)</f>
        <v>14.95</v>
      </c>
      <c r="F1282" s="62">
        <f>MIN(J1188,F1148)</f>
        <v>16.25</v>
      </c>
      <c r="G1282" s="62">
        <f>MAX(0,ROUND((F1282-E1282),4))</f>
        <v>1.3</v>
      </c>
    </row>
    <row r="1283" spans="1:12" ht="23" customHeight="1">
      <c r="A1283" s="6">
        <v>4</v>
      </c>
      <c r="B1283" s="6">
        <v>111</v>
      </c>
      <c r="C1283" s="6">
        <v>6</v>
      </c>
      <c r="D1283" s="9" t="s">
        <v>820</v>
      </c>
      <c r="E1283" s="62">
        <f>MAX(I1189,E1148)</f>
        <v>16.25</v>
      </c>
      <c r="F1283" s="62">
        <f>MIN(J1189,F1148)</f>
        <v>17.55</v>
      </c>
      <c r="G1283" s="62">
        <f>MAX(0,ROUND((F1283-E1283),4))</f>
        <v>1.3</v>
      </c>
    </row>
    <row r="1284" spans="1:12" ht="23" customHeight="1">
      <c r="A1284" s="6">
        <v>4</v>
      </c>
      <c r="B1284" s="6">
        <v>112</v>
      </c>
      <c r="C1284" s="6">
        <v>6</v>
      </c>
      <c r="D1284" s="9" t="s">
        <v>820</v>
      </c>
      <c r="E1284" s="62">
        <f>MAX(I1190,E1148)</f>
        <v>17.55</v>
      </c>
      <c r="F1284" s="62">
        <f>MIN(J1190,F1148)</f>
        <v>18.4</v>
      </c>
      <c r="G1284" s="62">
        <f>MAX(0,ROUND((F1284-E1284),4))</f>
        <v>0.85</v>
      </c>
    </row>
    <row r="1285" spans="1:12" ht="23" customHeight="1">
      <c r="A1285" s="6">
        <v>4</v>
      </c>
      <c r="B1285" s="6">
        <v>112</v>
      </c>
      <c r="C1285" s="6">
        <v>7</v>
      </c>
      <c r="D1285" s="9" t="s">
        <v>820</v>
      </c>
      <c r="E1285" s="62">
        <f>MAX(I1190,E1149)</f>
        <v>18.4</v>
      </c>
      <c r="F1285" s="62">
        <f>MIN(J1190,F1149)</f>
        <v>18.85</v>
      </c>
      <c r="G1285" s="62">
        <f>MAX(0,ROUND((F1285-E1285),4))</f>
        <v>0.45</v>
      </c>
    </row>
    <row r="1286" spans="1:12" ht="23" customHeight="1">
      <c r="A1286" s="6">
        <v>4</v>
      </c>
      <c r="B1286" s="6">
        <v>113</v>
      </c>
      <c r="C1286" s="6">
        <v>7</v>
      </c>
      <c r="D1286" s="9" t="s">
        <v>820</v>
      </c>
      <c r="E1286" s="62">
        <f>MAX(I1191,E1149)</f>
        <v>18.85</v>
      </c>
      <c r="F1286" s="62">
        <f>MIN(J1191,F1149)</f>
        <v>20.15</v>
      </c>
      <c r="G1286" s="62">
        <f>MAX(0,ROUND((F1286-E1286),4))</f>
        <v>1.3</v>
      </c>
    </row>
    <row r="1287" spans="1:12" ht="23" customHeight="1">
      <c r="A1287" s="6">
        <v>4</v>
      </c>
      <c r="B1287" s="6">
        <v>114</v>
      </c>
      <c r="C1287" s="6">
        <v>7</v>
      </c>
      <c r="D1287" s="9" t="s">
        <v>820</v>
      </c>
      <c r="E1287" s="62">
        <f>MAX(I1192,E1149)</f>
        <v>20.15</v>
      </c>
      <c r="F1287" s="62">
        <f>MIN(J1192,F1149)</f>
        <v>21.45</v>
      </c>
      <c r="G1287" s="62">
        <f>MAX(0,ROUND((F1287-E1287),4))</f>
        <v>1.3</v>
      </c>
    </row>
    <row r="1288" spans="1:12" ht="23" customHeight="1">
      <c r="A1288" s="6">
        <v>4</v>
      </c>
      <c r="B1288" s="6">
        <v>115</v>
      </c>
      <c r="C1288" s="6">
        <v>7</v>
      </c>
      <c r="D1288" s="9" t="s">
        <v>820</v>
      </c>
      <c r="E1288" s="62">
        <f>MAX(I1193,E1149)</f>
        <v>21.45</v>
      </c>
      <c r="F1288" s="62">
        <f>MIN(J1193,F1149)</f>
        <v>22.75</v>
      </c>
      <c r="G1288" s="62">
        <f>MAX(0,ROUND((F1288-E1288),4))</f>
        <v>1.3</v>
      </c>
    </row>
    <row r="1289" spans="1:12" ht="23" customHeight="1">
      <c r="A1289" s="6">
        <v>4</v>
      </c>
      <c r="B1289" s="6">
        <v>116</v>
      </c>
      <c r="C1289" s="6">
        <v>7</v>
      </c>
      <c r="D1289" s="9" t="s">
        <v>820</v>
      </c>
      <c r="E1289" s="62">
        <f>MAX(I1194,E1149)</f>
        <v>22.75</v>
      </c>
      <c r="F1289" s="62">
        <f>MIN(J1194,F1149)</f>
        <v>24.05</v>
      </c>
      <c r="G1289" s="62">
        <f>MAX(0,ROUND((F1289-E1289),4))</f>
        <v>1.3</v>
      </c>
    </row>
    <row r="1290" spans="1:12" ht="23" customHeight="1">
      <c r="A1290" s="6">
        <v>4</v>
      </c>
      <c r="B1290" s="6">
        <v>117</v>
      </c>
      <c r="C1290" s="6">
        <v>7</v>
      </c>
      <c r="D1290" s="9" t="s">
        <v>820</v>
      </c>
      <c r="E1290" s="62">
        <f>MAX(I1197,E1149)</f>
        <v>24.05</v>
      </c>
      <c r="F1290" s="62">
        <f>MIN(J1197,F1149)</f>
        <v>25.35</v>
      </c>
      <c r="G1290" s="62">
        <f>MAX(0,ROUND((F1290-E1290),4))</f>
        <v>1.3</v>
      </c>
    </row>
    <row r="1291" spans="1:12" ht="23" customHeight="1">
      <c r="A1291" s="6">
        <v>4</v>
      </c>
      <c r="B1291" s="6">
        <v>118</v>
      </c>
      <c r="C1291" s="6">
        <v>7</v>
      </c>
      <c r="D1291" s="9" t="s">
        <v>820</v>
      </c>
      <c r="E1291" s="62">
        <f>MAX(I1198,E1149)</f>
        <v>25.35</v>
      </c>
      <c r="F1291" s="62">
        <f>MIN(J1198,F1149)</f>
        <v>26.65</v>
      </c>
      <c r="G1291" s="62">
        <f>MAX(0,ROUND((F1291-E1291),4))</f>
        <v>1.3</v>
      </c>
    </row>
    <row r="1292" spans="1:12" ht="23" customHeight="1">
      <c r="A1292" s="6">
        <v>4</v>
      </c>
      <c r="B1292" s="6">
        <v>119</v>
      </c>
      <c r="C1292" s="6">
        <v>7</v>
      </c>
      <c r="D1292" s="9" t="s">
        <v>820</v>
      </c>
      <c r="E1292" s="62">
        <f>MAX(I1199,E1149)</f>
        <v>26.65</v>
      </c>
      <c r="F1292" s="62">
        <f>MIN(J1199,F1149)</f>
        <v>27.95</v>
      </c>
      <c r="G1292" s="62">
        <f>MAX(0,ROUND((F1292-E1292),4))</f>
        <v>1.3</v>
      </c>
    </row>
    <row r="1293" spans="1:12" ht="23" customHeight="1">
      <c r="A1293" s="6">
        <v>4</v>
      </c>
      <c r="B1293" s="6">
        <v>120</v>
      </c>
      <c r="C1293" s="6">
        <v>7</v>
      </c>
      <c r="D1293" s="9" t="s">
        <v>820</v>
      </c>
      <c r="E1293" s="62">
        <f>MAX(I1200,E1149)</f>
        <v>27.95</v>
      </c>
      <c r="F1293" s="62">
        <f>MIN(J1200,F1149)</f>
        <v>29.25</v>
      </c>
      <c r="G1293" s="62">
        <f>MAX(0,ROUND((F1293-E1293),4))</f>
        <v>1.3</v>
      </c>
    </row>
    <row r="1294" spans="1:12" ht="24" customHeight="1">
      <c r="A1294" s="3" t="s">
        <v>831</v>
      </c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</row>
    <row r="1295" spans="1:12" ht="36" customHeight="1">
      <c r="A1295" s="4" t="s">
        <v>8</v>
      </c>
      <c r="B1295" s="4" t="s">
        <v>163</v>
      </c>
      <c r="C1295" s="4" t="s">
        <v>562</v>
      </c>
      <c r="D1295" s="4" t="s">
        <v>813</v>
      </c>
      <c r="E1295" s="4" t="s">
        <v>832</v>
      </c>
      <c r="F1295" s="4" t="s">
        <v>833</v>
      </c>
      <c r="G1295" s="4" t="s">
        <v>834</v>
      </c>
    </row>
    <row r="1296" spans="1:12" ht="23" customHeight="1">
      <c r="A1296" s="6">
        <v>4</v>
      </c>
      <c r="B1296" s="6">
        <v>121</v>
      </c>
      <c r="C1296" s="6">
        <v>7</v>
      </c>
      <c r="D1296" s="9" t="s">
        <v>820</v>
      </c>
      <c r="E1296" s="62">
        <f>MAX(I1201,E1149)</f>
        <v>29.25</v>
      </c>
      <c r="F1296" s="62">
        <f>MIN(J1201,F1149)</f>
        <v>29.7</v>
      </c>
      <c r="G1296" s="62">
        <f>MAX(0,ROUND((F1296-E1296),4))</f>
        <v>0.45</v>
      </c>
    </row>
    <row r="1297" spans="1:12" ht="23" customHeight="1">
      <c r="A1297" s="6">
        <v>4</v>
      </c>
      <c r="B1297" s="6">
        <v>121</v>
      </c>
      <c r="C1297" s="6">
        <v>7</v>
      </c>
      <c r="D1297" s="9" t="s">
        <v>819</v>
      </c>
      <c r="E1297" s="62">
        <f>MAX(I1201,E1150)</f>
        <v>29.7</v>
      </c>
      <c r="F1297" s="62">
        <f>MIN(J1201,F1150)</f>
        <v>30.45</v>
      </c>
      <c r="G1297" s="62">
        <f>MAX(0,ROUND((F1297-E1297),4))</f>
        <v>0.75</v>
      </c>
    </row>
    <row r="1298" spans="1:12" ht="23" customHeight="1">
      <c r="A1298" s="6">
        <v>4</v>
      </c>
      <c r="B1298" s="6">
        <v>122</v>
      </c>
      <c r="C1298" s="6">
        <v>7</v>
      </c>
      <c r="D1298" s="9" t="s">
        <v>819</v>
      </c>
      <c r="E1298" s="62">
        <f>MAX(I1202,E1150)</f>
        <v>30.45</v>
      </c>
      <c r="F1298" s="62">
        <f>MIN(J1202,F1150)</f>
        <v>31.0</v>
      </c>
      <c r="G1298" s="62">
        <f>MAX(0,ROUND((F1298-E1298),4))</f>
        <v>0.55</v>
      </c>
    </row>
    <row r="1299" spans="1:12" ht="23" customHeight="1">
      <c r="A1299" s="6">
        <v>5</v>
      </c>
      <c r="B1299" s="6">
        <v>123</v>
      </c>
      <c r="C1299" s="6">
        <v>1</v>
      </c>
      <c r="D1299" s="9" t="s">
        <v>819</v>
      </c>
      <c r="E1299" s="62">
        <f>MAX(I1203,E1151)</f>
        <v>0.0</v>
      </c>
      <c r="F1299" s="62">
        <f>MIN(J1203,F1151)</f>
        <v>0.65</v>
      </c>
      <c r="G1299" s="62">
        <f>MAX(0,ROUND((F1299-E1299),4))</f>
        <v>0.65</v>
      </c>
    </row>
    <row r="1300" spans="1:12" ht="23" customHeight="1">
      <c r="A1300" s="6">
        <v>5</v>
      </c>
      <c r="B1300" s="6">
        <v>124</v>
      </c>
      <c r="C1300" s="6">
        <v>1</v>
      </c>
      <c r="D1300" s="9" t="s">
        <v>819</v>
      </c>
      <c r="E1300" s="62">
        <f>MAX(I1204,E1151)</f>
        <v>0.65</v>
      </c>
      <c r="F1300" s="62">
        <f>MIN(J1204,F1151)</f>
        <v>1.5</v>
      </c>
      <c r="G1300" s="62">
        <f>MAX(0,ROUND((F1300-E1300),4))</f>
        <v>0.85</v>
      </c>
    </row>
    <row r="1301" spans="1:12" ht="23" customHeight="1">
      <c r="A1301" s="6">
        <v>5</v>
      </c>
      <c r="B1301" s="6">
        <v>124</v>
      </c>
      <c r="C1301" s="6">
        <v>2</v>
      </c>
      <c r="D1301" s="9" t="s">
        <v>819</v>
      </c>
      <c r="E1301" s="62">
        <f>MAX(I1204,E1152)</f>
        <v>1.5</v>
      </c>
      <c r="F1301" s="62">
        <f>MIN(J1204,F1152)</f>
        <v>1.95</v>
      </c>
      <c r="G1301" s="62">
        <f>MAX(0,ROUND((F1301-E1301),4))</f>
        <v>0.45</v>
      </c>
    </row>
    <row r="1302" spans="1:12" ht="23" customHeight="1">
      <c r="A1302" s="6">
        <v>5</v>
      </c>
      <c r="B1302" s="6">
        <v>125</v>
      </c>
      <c r="C1302" s="6">
        <v>2</v>
      </c>
      <c r="D1302" s="9" t="s">
        <v>819</v>
      </c>
      <c r="E1302" s="62">
        <f>MAX(I1205,E1152)</f>
        <v>1.95</v>
      </c>
      <c r="F1302" s="62">
        <f>MIN(J1205,F1152)</f>
        <v>2.8</v>
      </c>
      <c r="G1302" s="62">
        <f>MAX(0,ROUND((F1302-E1302),4))</f>
        <v>0.85</v>
      </c>
    </row>
    <row r="1303" spans="1:12" ht="23" customHeight="1">
      <c r="A1303" s="6">
        <v>5</v>
      </c>
      <c r="B1303" s="6">
        <v>125</v>
      </c>
      <c r="C1303" s="6">
        <v>3</v>
      </c>
      <c r="D1303" s="9" t="s">
        <v>819</v>
      </c>
      <c r="E1303" s="62">
        <f>MAX(I1205,E1153)</f>
        <v>2.8</v>
      </c>
      <c r="F1303" s="62">
        <f>MIN(J1205,F1153)</f>
        <v>3.25</v>
      </c>
      <c r="G1303" s="62">
        <f>MAX(0,ROUND((F1303-E1303),4))</f>
        <v>0.45</v>
      </c>
    </row>
    <row r="1304" spans="1:12" ht="23" customHeight="1">
      <c r="A1304" s="6">
        <v>5</v>
      </c>
      <c r="B1304" s="6">
        <v>126</v>
      </c>
      <c r="C1304" s="6">
        <v>3</v>
      </c>
      <c r="D1304" s="9" t="s">
        <v>819</v>
      </c>
      <c r="E1304" s="62">
        <f>MAX(I1206,E1153)</f>
        <v>3.25</v>
      </c>
      <c r="F1304" s="62">
        <f>MIN(J1206,F1153)</f>
        <v>4.55</v>
      </c>
      <c r="G1304" s="62">
        <f>MAX(0,ROUND((F1304-E1304),4))</f>
        <v>1.3</v>
      </c>
    </row>
    <row r="1305" spans="1:12" ht="23" customHeight="1">
      <c r="A1305" s="6">
        <v>5</v>
      </c>
      <c r="B1305" s="6">
        <v>127</v>
      </c>
      <c r="C1305" s="6">
        <v>3</v>
      </c>
      <c r="D1305" s="9" t="s">
        <v>819</v>
      </c>
      <c r="E1305" s="62">
        <f>MAX(I1207,E1153)</f>
        <v>4.55</v>
      </c>
      <c r="F1305" s="62">
        <f>MIN(J1207,F1153)</f>
        <v>4.945</v>
      </c>
      <c r="G1305" s="62">
        <f>MAX(0,ROUND((F1305-E1305),4))</f>
        <v>0.395</v>
      </c>
    </row>
    <row r="1306" spans="1:12" ht="23" customHeight="1">
      <c r="A1306" s="6">
        <v>5</v>
      </c>
      <c r="B1306" s="6">
        <v>127</v>
      </c>
      <c r="C1306" s="6">
        <v>3</v>
      </c>
      <c r="D1306" s="9" t="s">
        <v>820</v>
      </c>
      <c r="E1306" s="62">
        <f>MAX(I1207,E1154)</f>
        <v>4.945</v>
      </c>
      <c r="F1306" s="62">
        <f>MIN(J1207,F1154)</f>
        <v>5.7</v>
      </c>
      <c r="G1306" s="62">
        <f>MAX(0,ROUND((F1306-E1306),4))</f>
        <v>0.755</v>
      </c>
    </row>
    <row r="1307" spans="1:12" ht="23" customHeight="1">
      <c r="A1307" s="6">
        <v>5</v>
      </c>
      <c r="B1307" s="6">
        <v>127</v>
      </c>
      <c r="C1307" s="6">
        <v>4</v>
      </c>
      <c r="D1307" s="9" t="s">
        <v>820</v>
      </c>
      <c r="E1307" s="62">
        <f>MAX(I1207,E1155)</f>
        <v>5.7</v>
      </c>
      <c r="F1307" s="62">
        <f>MIN(J1207,F1155)</f>
        <v>5.85</v>
      </c>
      <c r="G1307" s="62">
        <f>MAX(0,ROUND((F1307-E1307),4))</f>
        <v>0.15</v>
      </c>
    </row>
    <row r="1308" spans="1:12" ht="23" customHeight="1">
      <c r="A1308" s="6">
        <v>5</v>
      </c>
      <c r="B1308" s="6">
        <v>128</v>
      </c>
      <c r="C1308" s="6">
        <v>4</v>
      </c>
      <c r="D1308" s="9" t="s">
        <v>820</v>
      </c>
      <c r="E1308" s="62">
        <f>MAX(I1208,E1155)</f>
        <v>5.85</v>
      </c>
      <c r="F1308" s="62">
        <f>MIN(J1208,F1155)</f>
        <v>7.15</v>
      </c>
      <c r="G1308" s="62">
        <f>MAX(0,ROUND((F1308-E1308),4))</f>
        <v>1.3</v>
      </c>
    </row>
    <row r="1309" spans="1:12" ht="23" customHeight="1">
      <c r="A1309" s="6">
        <v>5</v>
      </c>
      <c r="B1309" s="6">
        <v>129</v>
      </c>
      <c r="C1309" s="6">
        <v>4</v>
      </c>
      <c r="D1309" s="9" t="s">
        <v>820</v>
      </c>
      <c r="E1309" s="62">
        <f>MAX(I1209,E1155)</f>
        <v>7.15</v>
      </c>
      <c r="F1309" s="62">
        <f>MIN(J1209,F1155)</f>
        <v>8.3</v>
      </c>
      <c r="G1309" s="62">
        <f>MAX(0,ROUND((F1309-E1309),4))</f>
        <v>1.15</v>
      </c>
    </row>
    <row r="1310" spans="1:12" ht="23" customHeight="1">
      <c r="A1310" s="6">
        <v>5</v>
      </c>
      <c r="B1310" s="6">
        <v>129</v>
      </c>
      <c r="C1310" s="6">
        <v>5</v>
      </c>
      <c r="D1310" s="9" t="s">
        <v>820</v>
      </c>
      <c r="E1310" s="62">
        <f>MAX(I1209,E1156)</f>
        <v>8.3</v>
      </c>
      <c r="F1310" s="62">
        <f>MIN(J1209,F1156)</f>
        <v>8.45</v>
      </c>
      <c r="G1310" s="62">
        <f>MAX(0,ROUND((F1310-E1310),4))</f>
        <v>0.15</v>
      </c>
    </row>
    <row r="1311" spans="1:12" ht="24" customHeight="1">
      <c r="A1311" s="3" t="s">
        <v>831</v>
      </c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</row>
    <row r="1312" spans="1:12" ht="36" customHeight="1">
      <c r="A1312" s="4" t="s">
        <v>8</v>
      </c>
      <c r="B1312" s="4" t="s">
        <v>163</v>
      </c>
      <c r="C1312" s="4" t="s">
        <v>562</v>
      </c>
      <c r="D1312" s="4" t="s">
        <v>813</v>
      </c>
      <c r="E1312" s="4" t="s">
        <v>832</v>
      </c>
      <c r="F1312" s="4" t="s">
        <v>833</v>
      </c>
      <c r="G1312" s="4" t="s">
        <v>834</v>
      </c>
    </row>
    <row r="1313" spans="1:12" ht="23" customHeight="1">
      <c r="A1313" s="6">
        <v>5</v>
      </c>
      <c r="B1313" s="6">
        <v>130</v>
      </c>
      <c r="C1313" s="6">
        <v>5</v>
      </c>
      <c r="D1313" s="9" t="s">
        <v>820</v>
      </c>
      <c r="E1313" s="62">
        <f>MAX(I1210,E1156)</f>
        <v>8.45</v>
      </c>
      <c r="F1313" s="62">
        <f>MIN(J1210,F1156)</f>
        <v>8.9</v>
      </c>
      <c r="G1313" s="62">
        <f>MAX(0,ROUND((F1313-E1313),4))</f>
        <v>0.45</v>
      </c>
    </row>
    <row r="1314" spans="1:12" ht="23" customHeight="1">
      <c r="A1314" s="6">
        <v>5</v>
      </c>
      <c r="B1314" s="6">
        <v>130</v>
      </c>
      <c r="C1314" s="6">
        <v>6</v>
      </c>
      <c r="D1314" s="9" t="s">
        <v>820</v>
      </c>
      <c r="E1314" s="62">
        <f>MAX(I1210,E1157)</f>
        <v>8.9</v>
      </c>
      <c r="F1314" s="62">
        <f>MIN(J1210,F1157)</f>
        <v>9.75</v>
      </c>
      <c r="G1314" s="62">
        <f>MAX(0,ROUND((F1314-E1314),4))</f>
        <v>0.85</v>
      </c>
    </row>
    <row r="1315" spans="1:12" ht="23" customHeight="1">
      <c r="A1315" s="6">
        <v>5</v>
      </c>
      <c r="B1315" s="6">
        <v>131</v>
      </c>
      <c r="C1315" s="6">
        <v>6</v>
      </c>
      <c r="D1315" s="9" t="s">
        <v>820</v>
      </c>
      <c r="E1315" s="62">
        <f>MAX(I1211,E1157)</f>
        <v>9.75</v>
      </c>
      <c r="F1315" s="62">
        <f>MIN(J1211,F1157)</f>
        <v>11.05</v>
      </c>
      <c r="G1315" s="62">
        <f>MAX(0,ROUND((F1315-E1315),4))</f>
        <v>1.3</v>
      </c>
    </row>
    <row r="1316" spans="1:12" ht="23" customHeight="1">
      <c r="A1316" s="6">
        <v>5</v>
      </c>
      <c r="B1316" s="6">
        <v>132</v>
      </c>
      <c r="C1316" s="6">
        <v>6</v>
      </c>
      <c r="D1316" s="9" t="s">
        <v>820</v>
      </c>
      <c r="E1316" s="62">
        <f>MAX(I1214,E1157)</f>
        <v>11.05</v>
      </c>
      <c r="F1316" s="62">
        <f>MIN(J1214,F1157)</f>
        <v>12.35</v>
      </c>
      <c r="G1316" s="62">
        <f>MAX(0,ROUND((F1316-E1316),4))</f>
        <v>1.3</v>
      </c>
    </row>
    <row r="1317" spans="1:12" ht="23" customHeight="1">
      <c r="A1317" s="6">
        <v>5</v>
      </c>
      <c r="B1317" s="6">
        <v>133</v>
      </c>
      <c r="C1317" s="6">
        <v>6</v>
      </c>
      <c r="D1317" s="9" t="s">
        <v>820</v>
      </c>
      <c r="E1317" s="62">
        <f>MAX(I1215,E1157)</f>
        <v>12.35</v>
      </c>
      <c r="F1317" s="62">
        <f>MIN(J1215,F1157)</f>
        <v>13.65</v>
      </c>
      <c r="G1317" s="62">
        <f>MAX(0,ROUND((F1317-E1317),4))</f>
        <v>1.3</v>
      </c>
    </row>
    <row r="1318" spans="1:12" ht="23" customHeight="1">
      <c r="A1318" s="6">
        <v>5</v>
      </c>
      <c r="B1318" s="6">
        <v>134</v>
      </c>
      <c r="C1318" s="6">
        <v>6</v>
      </c>
      <c r="D1318" s="9" t="s">
        <v>820</v>
      </c>
      <c r="E1318" s="62">
        <f>MAX(I1216,E1157)</f>
        <v>13.65</v>
      </c>
      <c r="F1318" s="62">
        <f>MIN(J1216,F1157)</f>
        <v>14.95</v>
      </c>
      <c r="G1318" s="62">
        <f>MAX(0,ROUND((F1318-E1318),4))</f>
        <v>1.3</v>
      </c>
    </row>
    <row r="1319" spans="1:12" ht="23" customHeight="1">
      <c r="A1319" s="6">
        <v>5</v>
      </c>
      <c r="B1319" s="6">
        <v>135</v>
      </c>
      <c r="C1319" s="6">
        <v>6</v>
      </c>
      <c r="D1319" s="9" t="s">
        <v>820</v>
      </c>
      <c r="E1319" s="62">
        <f>MAX(I1217,E1157)</f>
        <v>14.95</v>
      </c>
      <c r="F1319" s="62">
        <f>MIN(J1217,F1157)</f>
        <v>16.25</v>
      </c>
      <c r="G1319" s="62">
        <f>MAX(0,ROUND((F1319-E1319),4))</f>
        <v>1.3</v>
      </c>
    </row>
    <row r="1320" spans="1:12" ht="23" customHeight="1">
      <c r="A1320" s="6">
        <v>5</v>
      </c>
      <c r="B1320" s="6">
        <v>136</v>
      </c>
      <c r="C1320" s="6">
        <v>6</v>
      </c>
      <c r="D1320" s="9" t="s">
        <v>820</v>
      </c>
      <c r="E1320" s="62">
        <f>MAX(I1218,E1157)</f>
        <v>16.25</v>
      </c>
      <c r="F1320" s="62">
        <f>MIN(J1218,F1157)</f>
        <v>17.55</v>
      </c>
      <c r="G1320" s="62">
        <f>MAX(0,ROUND((F1320-E1320),4))</f>
        <v>1.3</v>
      </c>
    </row>
    <row r="1321" spans="1:12" ht="23" customHeight="1">
      <c r="A1321" s="6">
        <v>5</v>
      </c>
      <c r="B1321" s="6">
        <v>137</v>
      </c>
      <c r="C1321" s="6">
        <v>6</v>
      </c>
      <c r="D1321" s="9" t="s">
        <v>820</v>
      </c>
      <c r="E1321" s="62">
        <f>MAX(I1219,E1157)</f>
        <v>17.55</v>
      </c>
      <c r="F1321" s="62">
        <f>MIN(J1219,F1157)</f>
        <v>18.4</v>
      </c>
      <c r="G1321" s="62">
        <f>MAX(0,ROUND((F1321-E1321),4))</f>
        <v>0.85</v>
      </c>
    </row>
    <row r="1322" spans="1:12" ht="23" customHeight="1">
      <c r="A1322" s="6">
        <v>5</v>
      </c>
      <c r="B1322" s="6">
        <v>137</v>
      </c>
      <c r="C1322" s="6">
        <v>7</v>
      </c>
      <c r="D1322" s="9" t="s">
        <v>820</v>
      </c>
      <c r="E1322" s="62">
        <f>MAX(I1219,E1158)</f>
        <v>18.4</v>
      </c>
      <c r="F1322" s="62">
        <f>MIN(J1219,F1158)</f>
        <v>18.85</v>
      </c>
      <c r="G1322" s="62">
        <f>MAX(0,ROUND((F1322-E1322),4))</f>
        <v>0.45</v>
      </c>
    </row>
    <row r="1323" spans="1:12" ht="23" customHeight="1">
      <c r="A1323" s="6">
        <v>5</v>
      </c>
      <c r="B1323" s="6">
        <v>138</v>
      </c>
      <c r="C1323" s="6">
        <v>7</v>
      </c>
      <c r="D1323" s="9" t="s">
        <v>820</v>
      </c>
      <c r="E1323" s="62">
        <f>MAX(I1220,E1158)</f>
        <v>18.85</v>
      </c>
      <c r="F1323" s="62">
        <f>MIN(J1220,F1158)</f>
        <v>20.15</v>
      </c>
      <c r="G1323" s="62">
        <f>MAX(0,ROUND((F1323-E1323),4))</f>
        <v>1.3</v>
      </c>
    </row>
    <row r="1324" spans="1:12" ht="23" customHeight="1">
      <c r="A1324" s="6">
        <v>5</v>
      </c>
      <c r="B1324" s="6">
        <v>139</v>
      </c>
      <c r="C1324" s="6">
        <v>7</v>
      </c>
      <c r="D1324" s="9" t="s">
        <v>820</v>
      </c>
      <c r="E1324" s="62">
        <f>MAX(I1221,E1158)</f>
        <v>20.15</v>
      </c>
      <c r="F1324" s="62">
        <f>MIN(J1221,F1158)</f>
        <v>21.45</v>
      </c>
      <c r="G1324" s="62">
        <f>MAX(0,ROUND((F1324-E1324),4))</f>
        <v>1.3</v>
      </c>
    </row>
    <row r="1325" spans="1:12" ht="23" customHeight="1">
      <c r="A1325" s="6">
        <v>5</v>
      </c>
      <c r="B1325" s="6">
        <v>140</v>
      </c>
      <c r="C1325" s="6">
        <v>7</v>
      </c>
      <c r="D1325" s="9" t="s">
        <v>820</v>
      </c>
      <c r="E1325" s="62">
        <f>MAX(I1222,E1158)</f>
        <v>21.45</v>
      </c>
      <c r="F1325" s="62">
        <f>MIN(J1222,F1158)</f>
        <v>22.75</v>
      </c>
      <c r="G1325" s="62">
        <f>MAX(0,ROUND((F1325-E1325),4))</f>
        <v>1.3</v>
      </c>
    </row>
    <row r="1326" spans="1:12" ht="23" customHeight="1">
      <c r="A1326" s="6">
        <v>5</v>
      </c>
      <c r="B1326" s="6">
        <v>141</v>
      </c>
      <c r="C1326" s="6">
        <v>7</v>
      </c>
      <c r="D1326" s="9" t="s">
        <v>820</v>
      </c>
      <c r="E1326" s="62">
        <f>MAX(I1223,E1158)</f>
        <v>22.75</v>
      </c>
      <c r="F1326" s="62">
        <f>MIN(J1223,F1158)</f>
        <v>24.05</v>
      </c>
      <c r="G1326" s="62">
        <f>MAX(0,ROUND((F1326-E1326),4))</f>
        <v>1.3</v>
      </c>
    </row>
    <row r="1327" spans="1:12" ht="23" customHeight="1">
      <c r="A1327" s="6">
        <v>5</v>
      </c>
      <c r="B1327" s="6">
        <v>142</v>
      </c>
      <c r="C1327" s="6">
        <v>7</v>
      </c>
      <c r="D1327" s="9" t="s">
        <v>820</v>
      </c>
      <c r="E1327" s="62">
        <f>MAX(I1224,E1158)</f>
        <v>24.05</v>
      </c>
      <c r="F1327" s="62">
        <f>MIN(J1224,F1158)</f>
        <v>25.35</v>
      </c>
      <c r="G1327" s="62">
        <f>MAX(0,ROUND((F1327-E1327),4))</f>
        <v>1.3</v>
      </c>
    </row>
    <row r="1328" spans="1:12" ht="24" customHeight="1">
      <c r="A1328" s="3" t="s">
        <v>831</v>
      </c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</row>
    <row r="1329" spans="1:7" ht="36" customHeight="1">
      <c r="A1329" s="4" t="s">
        <v>8</v>
      </c>
      <c r="B1329" s="4" t="s">
        <v>163</v>
      </c>
      <c r="C1329" s="4" t="s">
        <v>562</v>
      </c>
      <c r="D1329" s="4" t="s">
        <v>813</v>
      </c>
      <c r="E1329" s="4" t="s">
        <v>832</v>
      </c>
      <c r="F1329" s="4" t="s">
        <v>833</v>
      </c>
      <c r="G1329" s="4" t="s">
        <v>834</v>
      </c>
    </row>
    <row r="1330" spans="1:7" ht="23" customHeight="1">
      <c r="A1330" s="6">
        <v>5</v>
      </c>
      <c r="B1330" s="6">
        <v>143</v>
      </c>
      <c r="C1330" s="6">
        <v>7</v>
      </c>
      <c r="D1330" s="9" t="s">
        <v>820</v>
      </c>
      <c r="E1330" s="62">
        <f>MAX(I1225,E1158)</f>
        <v>25.35</v>
      </c>
      <c r="F1330" s="62">
        <f>MIN(J1225,F1158)</f>
        <v>26.65</v>
      </c>
      <c r="G1330" s="62">
        <f>MAX(0,ROUND((F1330-E1330),4))</f>
        <v>1.3</v>
      </c>
    </row>
    <row r="1331" spans="1:7" ht="23" customHeight="1">
      <c r="A1331" s="6">
        <v>5</v>
      </c>
      <c r="B1331" s="6">
        <v>144</v>
      </c>
      <c r="C1331" s="6">
        <v>7</v>
      </c>
      <c r="D1331" s="9" t="s">
        <v>820</v>
      </c>
      <c r="E1331" s="62">
        <f>MAX(I1226,E1158)</f>
        <v>26.65</v>
      </c>
      <c r="F1331" s="62">
        <f>MIN(J1226,F1158)</f>
        <v>27.95</v>
      </c>
      <c r="G1331" s="62">
        <f>MAX(0,ROUND((F1331-E1331),4))</f>
        <v>1.3</v>
      </c>
    </row>
    <row r="1332" spans="1:7" ht="23" customHeight="1">
      <c r="A1332" s="6">
        <v>5</v>
      </c>
      <c r="B1332" s="6">
        <v>145</v>
      </c>
      <c r="C1332" s="6">
        <v>7</v>
      </c>
      <c r="D1332" s="9" t="s">
        <v>820</v>
      </c>
      <c r="E1332" s="62">
        <f>MAX(I1227,E1158)</f>
        <v>27.95</v>
      </c>
      <c r="F1332" s="62">
        <f>MIN(J1227,F1158)</f>
        <v>29.25</v>
      </c>
      <c r="G1332" s="62">
        <f>MAX(0,ROUND((F1332-E1332),4))</f>
        <v>1.3</v>
      </c>
    </row>
    <row r="1333" spans="1:7" ht="23" customHeight="1">
      <c r="A1333" s="6">
        <v>5</v>
      </c>
      <c r="B1333" s="6">
        <v>146</v>
      </c>
      <c r="C1333" s="6">
        <v>7</v>
      </c>
      <c r="D1333" s="9" t="s">
        <v>820</v>
      </c>
      <c r="E1333" s="62">
        <f>MAX(I1228,E1158)</f>
        <v>29.25</v>
      </c>
      <c r="F1333" s="62">
        <f>MIN(J1228,F1158)</f>
        <v>29.7</v>
      </c>
      <c r="G1333" s="62">
        <f>MAX(0,ROUND((F1333-E1333),4))</f>
        <v>0.45</v>
      </c>
    </row>
    <row r="1334" spans="1:7" ht="23" customHeight="1">
      <c r="A1334" s="6">
        <v>5</v>
      </c>
      <c r="B1334" s="6">
        <v>146</v>
      </c>
      <c r="C1334" s="6">
        <v>7</v>
      </c>
      <c r="D1334" s="9" t="s">
        <v>819</v>
      </c>
      <c r="E1334" s="62">
        <f>MAX(I1228,E1159)</f>
        <v>29.7</v>
      </c>
      <c r="F1334" s="62">
        <f>MIN(J1228,F1159)</f>
        <v>30.45</v>
      </c>
      <c r="G1334" s="62">
        <f>MAX(0,ROUND((F1334-E1334),4))</f>
        <v>0.75</v>
      </c>
    </row>
    <row r="1335" spans="1:7" ht="23" customHeight="1">
      <c r="A1335" s="6">
        <v>5</v>
      </c>
      <c r="B1335" s="6">
        <v>147</v>
      </c>
      <c r="C1335" s="6">
        <v>7</v>
      </c>
      <c r="D1335" s="9" t="s">
        <v>819</v>
      </c>
      <c r="E1335" s="62">
        <f>MAX(I1231,E1159)</f>
        <v>30.45</v>
      </c>
      <c r="F1335" s="62">
        <f>MIN(J1231,F1159)</f>
        <v>31.0</v>
      </c>
      <c r="G1335" s="62">
        <f>MAX(0,ROUND((F1335-E1335),4))</f>
        <v>0.55</v>
      </c>
    </row>
    <row r="1336" spans="1:7" ht="23" customHeight="1">
      <c r="A1336" s="6">
        <v>6</v>
      </c>
      <c r="B1336" s="6">
        <v>148</v>
      </c>
      <c r="C1336" s="6">
        <v>1</v>
      </c>
      <c r="D1336" s="9" t="s">
        <v>819</v>
      </c>
      <c r="E1336" s="62">
        <f>MAX(I1232,E1160)</f>
        <v>0.0</v>
      </c>
      <c r="F1336" s="62">
        <f>MIN(J1232,F1160)</f>
        <v>0.65</v>
      </c>
      <c r="G1336" s="62">
        <f>MAX(0,ROUND((F1336-E1336),4))</f>
        <v>0.65</v>
      </c>
    </row>
    <row r="1337" spans="1:7" ht="23" customHeight="1">
      <c r="A1337" s="6">
        <v>6</v>
      </c>
      <c r="B1337" s="6">
        <v>149</v>
      </c>
      <c r="C1337" s="6">
        <v>1</v>
      </c>
      <c r="D1337" s="9" t="s">
        <v>819</v>
      </c>
      <c r="E1337" s="62">
        <f>MAX(I1233,E1160)</f>
        <v>0.65</v>
      </c>
      <c r="F1337" s="62">
        <f>MIN(J1233,F1160)</f>
        <v>1.5</v>
      </c>
      <c r="G1337" s="62">
        <f>MAX(0,ROUND((F1337-E1337),4))</f>
        <v>0.85</v>
      </c>
    </row>
    <row r="1338" spans="1:7" ht="23" customHeight="1">
      <c r="A1338" s="6">
        <v>6</v>
      </c>
      <c r="B1338" s="6">
        <v>149</v>
      </c>
      <c r="C1338" s="6">
        <v>2</v>
      </c>
      <c r="D1338" s="9" t="s">
        <v>819</v>
      </c>
      <c r="E1338" s="62">
        <f>MAX(I1233,E1161)</f>
        <v>1.5</v>
      </c>
      <c r="F1338" s="62">
        <f>MIN(J1233,F1161)</f>
        <v>1.95</v>
      </c>
      <c r="G1338" s="62">
        <f>MAX(0,ROUND((F1338-E1338),4))</f>
        <v>0.45</v>
      </c>
    </row>
    <row r="1339" spans="1:7" ht="23" customHeight="1">
      <c r="A1339" s="6">
        <v>6</v>
      </c>
      <c r="B1339" s="6">
        <v>150</v>
      </c>
      <c r="C1339" s="6">
        <v>2</v>
      </c>
      <c r="D1339" s="9" t="s">
        <v>819</v>
      </c>
      <c r="E1339" s="62">
        <f>MAX(I1234,E1161)</f>
        <v>1.95</v>
      </c>
      <c r="F1339" s="62">
        <f>MIN(J1234,F1161)</f>
        <v>2.8</v>
      </c>
      <c r="G1339" s="62">
        <f>MAX(0,ROUND((F1339-E1339),4))</f>
        <v>0.85</v>
      </c>
    </row>
    <row r="1340" spans="1:7" ht="23" customHeight="1">
      <c r="A1340" s="6">
        <v>6</v>
      </c>
      <c r="B1340" s="6">
        <v>150</v>
      </c>
      <c r="C1340" s="6">
        <v>3</v>
      </c>
      <c r="D1340" s="9" t="s">
        <v>819</v>
      </c>
      <c r="E1340" s="62">
        <f>MAX(I1234,E1164)</f>
        <v>2.8</v>
      </c>
      <c r="F1340" s="62">
        <f>MIN(J1234,F1164)</f>
        <v>3.25</v>
      </c>
      <c r="G1340" s="62">
        <f>MAX(0,ROUND((F1340-E1340),4))</f>
        <v>0.45</v>
      </c>
    </row>
    <row r="1341" spans="1:7" ht="23" customHeight="1">
      <c r="A1341" s="6">
        <v>6</v>
      </c>
      <c r="B1341" s="6">
        <v>151</v>
      </c>
      <c r="C1341" s="6">
        <v>3</v>
      </c>
      <c r="D1341" s="9" t="s">
        <v>819</v>
      </c>
      <c r="E1341" s="62">
        <f>MAX(I1235,E1164)</f>
        <v>3.25</v>
      </c>
      <c r="F1341" s="62">
        <f>MIN(J1235,F1164)</f>
        <v>4.55</v>
      </c>
      <c r="G1341" s="62">
        <f>MAX(0,ROUND((F1341-E1341),4))</f>
        <v>1.3</v>
      </c>
    </row>
    <row r="1342" spans="1:7" ht="23" customHeight="1">
      <c r="A1342" s="6">
        <v>6</v>
      </c>
      <c r="B1342" s="6">
        <v>152</v>
      </c>
      <c r="C1342" s="6">
        <v>3</v>
      </c>
      <c r="D1342" s="9" t="s">
        <v>819</v>
      </c>
      <c r="E1342" s="62">
        <f>MAX(I1236,E1164)</f>
        <v>4.55</v>
      </c>
      <c r="F1342" s="62">
        <f>MIN(J1236,F1164)</f>
        <v>4.945</v>
      </c>
      <c r="G1342" s="62">
        <f>MAX(0,ROUND((F1342-E1342),4))</f>
        <v>0.395</v>
      </c>
    </row>
    <row r="1343" spans="1:7" ht="23" customHeight="1">
      <c r="A1343" s="6">
        <v>6</v>
      </c>
      <c r="B1343" s="6">
        <v>152</v>
      </c>
      <c r="C1343" s="6">
        <v>3</v>
      </c>
      <c r="D1343" s="9" t="s">
        <v>820</v>
      </c>
      <c r="E1343" s="62">
        <f>MAX(I1236,E1165)</f>
        <v>4.945</v>
      </c>
      <c r="F1343" s="62">
        <f>MIN(J1236,F1165)</f>
        <v>5.7</v>
      </c>
      <c r="G1343" s="62">
        <f>MAX(0,ROUND((F1343-E1343),4))</f>
        <v>0.755</v>
      </c>
    </row>
    <row r="1344" spans="1:7" ht="23" customHeight="1">
      <c r="A1344" s="6">
        <v>6</v>
      </c>
      <c r="B1344" s="6">
        <v>152</v>
      </c>
      <c r="C1344" s="6">
        <v>4</v>
      </c>
      <c r="D1344" s="9" t="s">
        <v>820</v>
      </c>
      <c r="E1344" s="62">
        <f>MAX(I1236,E1166)</f>
        <v>5.7</v>
      </c>
      <c r="F1344" s="62">
        <f>MIN(J1236,F1166)</f>
        <v>5.85</v>
      </c>
      <c r="G1344" s="62">
        <f>MAX(0,ROUND((F1344-E1344),4))</f>
        <v>0.15</v>
      </c>
    </row>
    <row r="1345" spans="1:12" ht="24" customHeight="1">
      <c r="A1345" s="3" t="s">
        <v>831</v>
      </c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</row>
    <row r="1346" spans="1:12" ht="36" customHeight="1">
      <c r="A1346" s="4" t="s">
        <v>8</v>
      </c>
      <c r="B1346" s="4" t="s">
        <v>163</v>
      </c>
      <c r="C1346" s="4" t="s">
        <v>562</v>
      </c>
      <c r="D1346" s="4" t="s">
        <v>813</v>
      </c>
      <c r="E1346" s="4" t="s">
        <v>832</v>
      </c>
      <c r="F1346" s="4" t="s">
        <v>833</v>
      </c>
      <c r="G1346" s="4" t="s">
        <v>834</v>
      </c>
    </row>
    <row r="1347" spans="1:12" ht="23" customHeight="1">
      <c r="A1347" s="6">
        <v>6</v>
      </c>
      <c r="B1347" s="6">
        <v>153</v>
      </c>
      <c r="C1347" s="6">
        <v>4</v>
      </c>
      <c r="D1347" s="9" t="s">
        <v>820</v>
      </c>
      <c r="E1347" s="62">
        <f>MAX(I1237,E1166)</f>
        <v>5.85</v>
      </c>
      <c r="F1347" s="62">
        <f>MIN(J1237,F1166)</f>
        <v>7.15</v>
      </c>
      <c r="G1347" s="62">
        <f>MAX(0,ROUND((F1347-E1347),4))</f>
        <v>1.3</v>
      </c>
    </row>
    <row r="1348" spans="1:12" ht="23" customHeight="1">
      <c r="A1348" s="6">
        <v>6</v>
      </c>
      <c r="B1348" s="6">
        <v>154</v>
      </c>
      <c r="C1348" s="6">
        <v>4</v>
      </c>
      <c r="D1348" s="9" t="s">
        <v>820</v>
      </c>
      <c r="E1348" s="62">
        <f>MAX(I1238,E1166)</f>
        <v>7.15</v>
      </c>
      <c r="F1348" s="62">
        <f>MIN(J1238,F1166)</f>
        <v>8.3</v>
      </c>
      <c r="G1348" s="62">
        <f>MAX(0,ROUND((F1348-E1348),4))</f>
        <v>1.15</v>
      </c>
    </row>
    <row r="1349" spans="1:12" ht="23" customHeight="1">
      <c r="A1349" s="6">
        <v>6</v>
      </c>
      <c r="B1349" s="6">
        <v>154</v>
      </c>
      <c r="C1349" s="6">
        <v>5</v>
      </c>
      <c r="D1349" s="9" t="s">
        <v>820</v>
      </c>
      <c r="E1349" s="62">
        <f>MAX(I1238,E1167)</f>
        <v>8.3</v>
      </c>
      <c r="F1349" s="62">
        <f>MIN(J1238,F1167)</f>
        <v>8.45</v>
      </c>
      <c r="G1349" s="62">
        <f>MAX(0,ROUND((F1349-E1349),4))</f>
        <v>0.15</v>
      </c>
    </row>
    <row r="1350" spans="1:12" ht="23" customHeight="1">
      <c r="A1350" s="6">
        <v>6</v>
      </c>
      <c r="B1350" s="6">
        <v>155</v>
      </c>
      <c r="C1350" s="6">
        <v>5</v>
      </c>
      <c r="D1350" s="9" t="s">
        <v>820</v>
      </c>
      <c r="E1350" s="62">
        <f>MAX(I1239,E1167)</f>
        <v>8.45</v>
      </c>
      <c r="F1350" s="62">
        <f>MIN(J1239,F1167)</f>
        <v>8.9</v>
      </c>
      <c r="G1350" s="62">
        <f>MAX(0,ROUND((F1350-E1350),4))</f>
        <v>0.45</v>
      </c>
    </row>
    <row r="1351" spans="1:12" ht="23" customHeight="1">
      <c r="A1351" s="6">
        <v>6</v>
      </c>
      <c r="B1351" s="6">
        <v>155</v>
      </c>
      <c r="C1351" s="6">
        <v>6</v>
      </c>
      <c r="D1351" s="9" t="s">
        <v>820</v>
      </c>
      <c r="E1351" s="62">
        <f>MAX(I1239,E1168)</f>
        <v>8.9</v>
      </c>
      <c r="F1351" s="62">
        <f>MIN(J1239,F1168)</f>
        <v>9.75</v>
      </c>
      <c r="G1351" s="62">
        <f>MAX(0,ROUND((F1351-E1351),4))</f>
        <v>0.85</v>
      </c>
    </row>
    <row r="1352" spans="1:12" ht="23" customHeight="1">
      <c r="A1352" s="6">
        <v>6</v>
      </c>
      <c r="B1352" s="6">
        <v>156</v>
      </c>
      <c r="C1352" s="6">
        <v>6</v>
      </c>
      <c r="D1352" s="9" t="s">
        <v>820</v>
      </c>
      <c r="E1352" s="62">
        <f>MAX(I1240,E1168)</f>
        <v>9.75</v>
      </c>
      <c r="F1352" s="62">
        <f>MIN(J1240,F1168)</f>
        <v>11.05</v>
      </c>
      <c r="G1352" s="62">
        <f>MAX(0,ROUND((F1352-E1352),4))</f>
        <v>1.3</v>
      </c>
    </row>
    <row r="1353" spans="1:12" ht="23" customHeight="1">
      <c r="A1353" s="6">
        <v>6</v>
      </c>
      <c r="B1353" s="6">
        <v>157</v>
      </c>
      <c r="C1353" s="6">
        <v>6</v>
      </c>
      <c r="D1353" s="9" t="s">
        <v>820</v>
      </c>
      <c r="E1353" s="62">
        <f>MAX(I1241,E1168)</f>
        <v>11.05</v>
      </c>
      <c r="F1353" s="62">
        <f>MIN(J1241,F1168)</f>
        <v>12.35</v>
      </c>
      <c r="G1353" s="62">
        <f>MAX(0,ROUND((F1353-E1353),4))</f>
        <v>1.3</v>
      </c>
    </row>
    <row r="1354" spans="1:12" ht="23" customHeight="1">
      <c r="A1354" s="6">
        <v>6</v>
      </c>
      <c r="B1354" s="6">
        <v>158</v>
      </c>
      <c r="C1354" s="6">
        <v>6</v>
      </c>
      <c r="D1354" s="9" t="s">
        <v>820</v>
      </c>
      <c r="E1354" s="62">
        <f>MAX(I1242,E1168)</f>
        <v>12.35</v>
      </c>
      <c r="F1354" s="62">
        <f>MIN(J1242,F1168)</f>
        <v>13.65</v>
      </c>
      <c r="G1354" s="62">
        <f>MAX(0,ROUND((F1354-E1354),4))</f>
        <v>1.3</v>
      </c>
    </row>
    <row r="1355" spans="1:12" ht="23" customHeight="1">
      <c r="A1355" s="6">
        <v>6</v>
      </c>
      <c r="B1355" s="6">
        <v>159</v>
      </c>
      <c r="C1355" s="6">
        <v>6</v>
      </c>
      <c r="D1355" s="9" t="s">
        <v>820</v>
      </c>
      <c r="E1355" s="62">
        <f>MAX(I1243,E1168)</f>
        <v>13.65</v>
      </c>
      <c r="F1355" s="62">
        <f>MIN(J1243,F1168)</f>
        <v>14.95</v>
      </c>
      <c r="G1355" s="62">
        <f>MAX(0,ROUND((F1355-E1355),4))</f>
        <v>1.3</v>
      </c>
    </row>
    <row r="1356" spans="1:12" ht="23" customHeight="1">
      <c r="A1356" s="6">
        <v>6</v>
      </c>
      <c r="B1356" s="6">
        <v>160</v>
      </c>
      <c r="C1356" s="6">
        <v>6</v>
      </c>
      <c r="D1356" s="9" t="s">
        <v>820</v>
      </c>
      <c r="E1356" s="62">
        <f>MAX(I1244,E1168)</f>
        <v>14.95</v>
      </c>
      <c r="F1356" s="62">
        <f>MIN(J1244,F1168)</f>
        <v>16.25</v>
      </c>
      <c r="G1356" s="62">
        <f>MAX(0,ROUND((F1356-E1356),4))</f>
        <v>1.3</v>
      </c>
    </row>
    <row r="1357" spans="1:12" ht="23" customHeight="1">
      <c r="A1357" s="6">
        <v>6</v>
      </c>
      <c r="B1357" s="6">
        <v>161</v>
      </c>
      <c r="C1357" s="6">
        <v>6</v>
      </c>
      <c r="D1357" s="9" t="s">
        <v>820</v>
      </c>
      <c r="E1357" s="62">
        <f>MAX(I1245,E1168)</f>
        <v>16.25</v>
      </c>
      <c r="F1357" s="62">
        <f>MIN(J1245,F1168)</f>
        <v>17.55</v>
      </c>
      <c r="G1357" s="62">
        <f>MAX(0,ROUND((F1357-E1357),4))</f>
        <v>1.3</v>
      </c>
    </row>
    <row r="1358" spans="1:12" ht="23" customHeight="1">
      <c r="A1358" s="6">
        <v>6</v>
      </c>
      <c r="B1358" s="6">
        <v>162</v>
      </c>
      <c r="C1358" s="6">
        <v>6</v>
      </c>
      <c r="D1358" s="9" t="s">
        <v>820</v>
      </c>
      <c r="E1358" s="62">
        <f>MAX(I1248,E1168)</f>
        <v>17.55</v>
      </c>
      <c r="F1358" s="62">
        <f>MIN(J1248,F1168)</f>
        <v>18.4</v>
      </c>
      <c r="G1358" s="62">
        <f>MAX(0,ROUND((F1358-E1358),4))</f>
        <v>0.85</v>
      </c>
    </row>
    <row r="1359" spans="1:12" ht="23" customHeight="1">
      <c r="A1359" s="6">
        <v>6</v>
      </c>
      <c r="B1359" s="6">
        <v>162</v>
      </c>
      <c r="C1359" s="6">
        <v>7</v>
      </c>
      <c r="D1359" s="9" t="s">
        <v>820</v>
      </c>
      <c r="E1359" s="62">
        <f>MAX(I1248,E1169)</f>
        <v>18.4</v>
      </c>
      <c r="F1359" s="62">
        <f>MIN(J1248,F1169)</f>
        <v>18.85</v>
      </c>
      <c r="G1359" s="62">
        <f>MAX(0,ROUND((F1359-E1359),4))</f>
        <v>0.45</v>
      </c>
    </row>
    <row r="1360" spans="1:12" ht="23" customHeight="1">
      <c r="A1360" s="6">
        <v>6</v>
      </c>
      <c r="B1360" s="6">
        <v>163</v>
      </c>
      <c r="C1360" s="6">
        <v>7</v>
      </c>
      <c r="D1360" s="9" t="s">
        <v>820</v>
      </c>
      <c r="E1360" s="62">
        <f>MAX(I1249,E1169)</f>
        <v>18.85</v>
      </c>
      <c r="F1360" s="62">
        <f>MIN(J1249,F1169)</f>
        <v>20.15</v>
      </c>
      <c r="G1360" s="62">
        <f>MAX(0,ROUND((F1360-E1360),4))</f>
        <v>1.3</v>
      </c>
    </row>
    <row r="1361" spans="1:12" ht="23" customHeight="1">
      <c r="A1361" s="6">
        <v>6</v>
      </c>
      <c r="B1361" s="6">
        <v>164</v>
      </c>
      <c r="C1361" s="6">
        <v>7</v>
      </c>
      <c r="D1361" s="9" t="s">
        <v>820</v>
      </c>
      <c r="E1361" s="62">
        <f>MAX(I1250,E1169)</f>
        <v>20.15</v>
      </c>
      <c r="F1361" s="62">
        <f>MIN(J1250,F1169)</f>
        <v>21.45</v>
      </c>
      <c r="G1361" s="62">
        <f>MAX(0,ROUND((F1361-E1361),4))</f>
        <v>1.3</v>
      </c>
    </row>
    <row r="1362" spans="1:12" ht="24" customHeight="1">
      <c r="A1362" s="3" t="s">
        <v>831</v>
      </c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</row>
    <row r="1363" spans="1:12" ht="36" customHeight="1">
      <c r="A1363" s="4" t="s">
        <v>8</v>
      </c>
      <c r="B1363" s="4" t="s">
        <v>163</v>
      </c>
      <c r="C1363" s="4" t="s">
        <v>562</v>
      </c>
      <c r="D1363" s="4" t="s">
        <v>813</v>
      </c>
      <c r="E1363" s="4" t="s">
        <v>832</v>
      </c>
      <c r="F1363" s="4" t="s">
        <v>833</v>
      </c>
      <c r="G1363" s="4" t="s">
        <v>834</v>
      </c>
    </row>
    <row r="1364" spans="1:12" ht="23" customHeight="1">
      <c r="A1364" s="6">
        <v>6</v>
      </c>
      <c r="B1364" s="6">
        <v>165</v>
      </c>
      <c r="C1364" s="6">
        <v>7</v>
      </c>
      <c r="D1364" s="9" t="s">
        <v>820</v>
      </c>
      <c r="E1364" s="62">
        <f>MAX(I1251,E1169)</f>
        <v>21.45</v>
      </c>
      <c r="F1364" s="62">
        <f>MIN(J1251,F1169)</f>
        <v>22.75</v>
      </c>
      <c r="G1364" s="62">
        <f>MAX(0,ROUND((F1364-E1364),4))</f>
        <v>1.3</v>
      </c>
    </row>
    <row r="1365" spans="1:12" ht="23" customHeight="1">
      <c r="A1365" s="6">
        <v>6</v>
      </c>
      <c r="B1365" s="6">
        <v>166</v>
      </c>
      <c r="C1365" s="6">
        <v>7</v>
      </c>
      <c r="D1365" s="9" t="s">
        <v>820</v>
      </c>
      <c r="E1365" s="62">
        <f>MAX(I1252,E1169)</f>
        <v>22.75</v>
      </c>
      <c r="F1365" s="62">
        <f>MIN(J1252,F1169)</f>
        <v>24.05</v>
      </c>
      <c r="G1365" s="62">
        <f>MAX(0,ROUND((F1365-E1365),4))</f>
        <v>1.3</v>
      </c>
    </row>
    <row r="1366" spans="1:12" ht="23" customHeight="1">
      <c r="A1366" s="6">
        <v>6</v>
      </c>
      <c r="B1366" s="6">
        <v>167</v>
      </c>
      <c r="C1366" s="6">
        <v>7</v>
      </c>
      <c r="D1366" s="9" t="s">
        <v>820</v>
      </c>
      <c r="E1366" s="62">
        <f>MAX(I1253,E1169)</f>
        <v>24.05</v>
      </c>
      <c r="F1366" s="62">
        <f>MIN(J1253,F1169)</f>
        <v>25.35</v>
      </c>
      <c r="G1366" s="62">
        <f>MAX(0,ROUND((F1366-E1366),4))</f>
        <v>1.3</v>
      </c>
    </row>
    <row r="1367" spans="1:12" ht="23" customHeight="1">
      <c r="A1367" s="6">
        <v>6</v>
      </c>
      <c r="B1367" s="6">
        <v>168</v>
      </c>
      <c r="C1367" s="6">
        <v>7</v>
      </c>
      <c r="D1367" s="9" t="s">
        <v>820</v>
      </c>
      <c r="E1367" s="62">
        <f>MAX(I1254,E1169)</f>
        <v>25.35</v>
      </c>
      <c r="F1367" s="62">
        <f>MIN(J1254,F1169)</f>
        <v>26.65</v>
      </c>
      <c r="G1367" s="62">
        <f>MAX(0,ROUND((F1367-E1367),4))</f>
        <v>1.3</v>
      </c>
    </row>
    <row r="1368" spans="1:12" ht="23" customHeight="1">
      <c r="A1368" s="6">
        <v>6</v>
      </c>
      <c r="B1368" s="6">
        <v>169</v>
      </c>
      <c r="C1368" s="6">
        <v>7</v>
      </c>
      <c r="D1368" s="9" t="s">
        <v>820</v>
      </c>
      <c r="E1368" s="62">
        <f>MAX(I1255,E1169)</f>
        <v>26.65</v>
      </c>
      <c r="F1368" s="62">
        <f>MIN(J1255,F1169)</f>
        <v>27.95</v>
      </c>
      <c r="G1368" s="62">
        <f>MAX(0,ROUND((F1368-E1368),4))</f>
        <v>1.3</v>
      </c>
    </row>
    <row r="1369" spans="1:12" ht="23" customHeight="1">
      <c r="A1369" s="6">
        <v>6</v>
      </c>
      <c r="B1369" s="6">
        <v>170</v>
      </c>
      <c r="C1369" s="6">
        <v>7</v>
      </c>
      <c r="D1369" s="9" t="s">
        <v>820</v>
      </c>
      <c r="E1369" s="62">
        <f>MAX(I1256,E1169)</f>
        <v>27.95</v>
      </c>
      <c r="F1369" s="62">
        <f>MIN(J1256,F1169)</f>
        <v>29.25</v>
      </c>
      <c r="G1369" s="62">
        <f>MAX(0,ROUND((F1369-E1369),4))</f>
        <v>1.3</v>
      </c>
    </row>
    <row r="1370" spans="1:12" ht="23" customHeight="1">
      <c r="A1370" s="6">
        <v>6</v>
      </c>
      <c r="B1370" s="6">
        <v>171</v>
      </c>
      <c r="C1370" s="6">
        <v>7</v>
      </c>
      <c r="D1370" s="9" t="s">
        <v>820</v>
      </c>
      <c r="E1370" s="62">
        <f>MAX(I1257,E1169)</f>
        <v>29.25</v>
      </c>
      <c r="F1370" s="62">
        <f>MIN(J1257,F1169)</f>
        <v>29.7</v>
      </c>
      <c r="G1370" s="62">
        <f>MAX(0,ROUND((F1370-E1370),4))</f>
        <v>0.45</v>
      </c>
    </row>
    <row r="1371" spans="1:12" ht="23" customHeight="1">
      <c r="A1371" s="6">
        <v>6</v>
      </c>
      <c r="B1371" s="6">
        <v>171</v>
      </c>
      <c r="C1371" s="6">
        <v>7</v>
      </c>
      <c r="D1371" s="9" t="s">
        <v>819</v>
      </c>
      <c r="E1371" s="62">
        <f>MAX(I1257,E1170)</f>
        <v>29.7</v>
      </c>
      <c r="F1371" s="62">
        <f>MIN(J1257,F1170)</f>
        <v>30.45</v>
      </c>
      <c r="G1371" s="62">
        <f>MAX(0,ROUND((F1371-E1371),4))</f>
        <v>0.75</v>
      </c>
    </row>
    <row r="1372" spans="1:12" ht="23" customHeight="1">
      <c r="A1372" s="6">
        <v>6</v>
      </c>
      <c r="B1372" s="6">
        <v>172</v>
      </c>
      <c r="C1372" s="6">
        <v>7</v>
      </c>
      <c r="D1372" s="9" t="s">
        <v>819</v>
      </c>
      <c r="E1372" s="62">
        <f>MAX(I1258,E1170)</f>
        <v>30.45</v>
      </c>
      <c r="F1372" s="62">
        <f>MIN(J1258,F1170)</f>
        <v>31.0</v>
      </c>
      <c r="G1372" s="62">
        <f>MAX(0,ROUND((F1372-E1372),4))</f>
        <v>0.55</v>
      </c>
    </row>
    <row r="1373" spans="1:12" ht="23" customHeight="1"/>
    <row r="1374" spans="1:12" ht="24" customHeight="1">
      <c r="A1374" s="3" t="s">
        <v>835</v>
      </c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</row>
    <row r="1375" spans="1:12" ht="36" customHeight="1">
      <c r="A1375" s="4" t="s">
        <v>8</v>
      </c>
      <c r="B1375" s="4" t="s">
        <v>163</v>
      </c>
      <c r="C1375" s="4" t="s">
        <v>829</v>
      </c>
      <c r="D1375" s="4" t="s">
        <v>836</v>
      </c>
      <c r="E1375" s="4" t="s">
        <v>837</v>
      </c>
      <c r="F1375" s="4" t="s">
        <v>830</v>
      </c>
      <c r="G1375" s="4" t="s">
        <v>838</v>
      </c>
      <c r="H1375" s="4" t="s">
        <v>839</v>
      </c>
      <c r="I1375" s="4" t="s">
        <v>840</v>
      </c>
    </row>
    <row r="1376" spans="1:12" ht="88" customHeight="1">
      <c r="A1376" s="6">
        <v>4</v>
      </c>
      <c r="B1376" s="6">
        <v>98</v>
      </c>
      <c r="C1376" s="62">
        <f>K1174</f>
        <v>0.65</v>
      </c>
      <c r="D1376" s="62">
        <f>ROUND(SUM(G1262),4)</f>
        <v>0.65</v>
      </c>
      <c r="E1376" s="62">
        <f>ROUND((D1376-C1376),4)</f>
        <v>0.0</v>
      </c>
      <c r="F1376" s="62">
        <f>L1174</f>
        <v>0.0</v>
      </c>
      <c r="G1376" s="62">
        <f>ROUND(SUM(0),4)</f>
        <v>0.0</v>
      </c>
      <c r="H1376" s="62">
        <f>ROUND((G1376-F1376),4)</f>
        <v>0.0</v>
      </c>
      <c r="I1376" s="9" t="s">
        <v>841</v>
      </c>
    </row>
    <row r="1377" spans="1:12" ht="88" customHeight="1">
      <c r="A1377" s="6">
        <v>4</v>
      </c>
      <c r="B1377" s="6">
        <v>99</v>
      </c>
      <c r="C1377" s="62">
        <f>K1175</f>
        <v>1.3</v>
      </c>
      <c r="D1377" s="62">
        <f>ROUND(SUM(G1263,G1264),4)</f>
        <v>1.3</v>
      </c>
      <c r="E1377" s="62">
        <f>ROUND((D1377-C1377),4)</f>
        <v>0.0</v>
      </c>
      <c r="F1377" s="62">
        <f>L1175</f>
        <v>0.0</v>
      </c>
      <c r="G1377" s="62">
        <f>ROUND(SUM(0),4)</f>
        <v>0.0</v>
      </c>
      <c r="H1377" s="62">
        <f>ROUND((G1377-F1377),4)</f>
        <v>0.0</v>
      </c>
      <c r="I1377" s="9" t="s">
        <v>841</v>
      </c>
    </row>
    <row r="1378" spans="1:12" ht="88" customHeight="1">
      <c r="A1378" s="6">
        <v>4</v>
      </c>
      <c r="B1378" s="6">
        <v>100</v>
      </c>
      <c r="C1378" s="62">
        <f>K1176</f>
        <v>1.3</v>
      </c>
      <c r="D1378" s="62">
        <f>ROUND(SUM(G1265,G1266),4)</f>
        <v>1.3</v>
      </c>
      <c r="E1378" s="62">
        <f>ROUND((D1378-C1378),4)</f>
        <v>0.0</v>
      </c>
      <c r="F1378" s="62">
        <f>L1176</f>
        <v>0.0</v>
      </c>
      <c r="G1378" s="62">
        <f>ROUND(SUM(0),4)</f>
        <v>0.0</v>
      </c>
      <c r="H1378" s="62">
        <f>ROUND((G1378-F1378),4)</f>
        <v>0.0</v>
      </c>
      <c r="I1378" s="9" t="s">
        <v>841</v>
      </c>
    </row>
    <row r="1379" spans="1:12" ht="24" customHeight="1">
      <c r="A1379" s="3" t="s">
        <v>835</v>
      </c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</row>
    <row r="1380" spans="1:12" ht="36" customHeight="1">
      <c r="A1380" s="4" t="s">
        <v>8</v>
      </c>
      <c r="B1380" s="4" t="s">
        <v>163</v>
      </c>
      <c r="C1380" s="4" t="s">
        <v>829</v>
      </c>
      <c r="D1380" s="4" t="s">
        <v>836</v>
      </c>
      <c r="E1380" s="4" t="s">
        <v>837</v>
      </c>
      <c r="F1380" s="4" t="s">
        <v>830</v>
      </c>
      <c r="G1380" s="4" t="s">
        <v>838</v>
      </c>
      <c r="H1380" s="4" t="s">
        <v>839</v>
      </c>
      <c r="I1380" s="4" t="s">
        <v>840</v>
      </c>
    </row>
    <row r="1381" spans="1:12" ht="88" customHeight="1">
      <c r="A1381" s="6">
        <v>4</v>
      </c>
      <c r="B1381" s="6">
        <v>101</v>
      </c>
      <c r="C1381" s="62">
        <f>K1177</f>
        <v>1.3</v>
      </c>
      <c r="D1381" s="62">
        <f>ROUND(SUM(G1267),4)</f>
        <v>1.3</v>
      </c>
      <c r="E1381" s="62">
        <f>ROUND((D1381-C1381),4)</f>
        <v>0.0</v>
      </c>
      <c r="F1381" s="62">
        <f>L1177</f>
        <v>0.0</v>
      </c>
      <c r="G1381" s="62">
        <f>ROUND(SUM(0),4)</f>
        <v>0.0</v>
      </c>
      <c r="H1381" s="62">
        <f>ROUND((G1381-F1381),4)</f>
        <v>0.0</v>
      </c>
      <c r="I1381" s="9" t="s">
        <v>841</v>
      </c>
    </row>
    <row r="1382" spans="1:12" ht="32" customHeight="1">
      <c r="A1382" s="6">
        <v>4</v>
      </c>
      <c r="B1382" s="6">
        <v>102</v>
      </c>
      <c r="C1382" s="62">
        <f>K1180</f>
        <v>1.3</v>
      </c>
      <c r="D1382" s="62">
        <f>ROUND(SUM(G1268,G1269,G1270),4)</f>
        <v>1.3</v>
      </c>
      <c r="E1382" s="62">
        <f>ROUND((D1382-C1382),4)</f>
        <v>0.0</v>
      </c>
      <c r="F1382" s="62">
        <f>L1180</f>
        <v>0.905</v>
      </c>
      <c r="G1382" s="62">
        <f>ROUND(SUM(0,G1269,G1270),4)</f>
        <v>0.905</v>
      </c>
      <c r="H1382" s="62">
        <f>ROUND((G1382-F1382),4)</f>
        <v>0.0</v>
      </c>
      <c r="I1382" s="9" t="s">
        <v>842</v>
      </c>
    </row>
    <row r="1383" spans="1:12" ht="32" customHeight="1">
      <c r="A1383" s="6">
        <v>4</v>
      </c>
      <c r="B1383" s="6">
        <v>103</v>
      </c>
      <c r="C1383" s="62">
        <f>K1181</f>
        <v>1.3</v>
      </c>
      <c r="D1383" s="62">
        <f>ROUND(SUM(G1271),4)</f>
        <v>1.3</v>
      </c>
      <c r="E1383" s="62">
        <f>ROUND((D1383-C1383),4)</f>
        <v>0.0</v>
      </c>
      <c r="F1383" s="62">
        <f>L1181</f>
        <v>1.3</v>
      </c>
      <c r="G1383" s="62">
        <f>ROUND(SUM(0,G1271),4)</f>
        <v>1.3</v>
      </c>
      <c r="H1383" s="62">
        <f>ROUND((G1383-F1383),4)</f>
        <v>0.0</v>
      </c>
      <c r="I1383" s="9" t="s">
        <v>842</v>
      </c>
    </row>
    <row r="1384" spans="1:12" ht="32" customHeight="1">
      <c r="A1384" s="6">
        <v>4</v>
      </c>
      <c r="B1384" s="6">
        <v>104</v>
      </c>
      <c r="C1384" s="62">
        <f>K1182</f>
        <v>1.3</v>
      </c>
      <c r="D1384" s="62">
        <f>ROUND(SUM(G1272,G1273),4)</f>
        <v>1.3</v>
      </c>
      <c r="E1384" s="62">
        <f>ROUND((D1384-C1384),4)</f>
        <v>0.0</v>
      </c>
      <c r="F1384" s="62">
        <f>L1182</f>
        <v>1.3</v>
      </c>
      <c r="G1384" s="62">
        <f>ROUND(SUM(0,G1272,G1273),4)</f>
        <v>1.3</v>
      </c>
      <c r="H1384" s="62">
        <f>ROUND((G1384-F1384),4)</f>
        <v>0.0</v>
      </c>
      <c r="I1384" s="9" t="s">
        <v>842</v>
      </c>
    </row>
    <row r="1385" spans="1:12" ht="32" customHeight="1">
      <c r="A1385" s="6">
        <v>4</v>
      </c>
      <c r="B1385" s="6">
        <v>105</v>
      </c>
      <c r="C1385" s="62">
        <f>K1183</f>
        <v>1.3</v>
      </c>
      <c r="D1385" s="62">
        <f>ROUND(SUM(G1274,G1275),4)</f>
        <v>1.3</v>
      </c>
      <c r="E1385" s="62">
        <f>ROUND((D1385-C1385),4)</f>
        <v>0.0</v>
      </c>
      <c r="F1385" s="62">
        <f>L1183</f>
        <v>1.3</v>
      </c>
      <c r="G1385" s="62">
        <f>ROUND(SUM(0,G1274,G1275),4)</f>
        <v>1.3</v>
      </c>
      <c r="H1385" s="62">
        <f>ROUND((G1385-F1385),4)</f>
        <v>0.0</v>
      </c>
      <c r="I1385" s="9" t="s">
        <v>842</v>
      </c>
    </row>
    <row r="1386" spans="1:12" ht="32" customHeight="1">
      <c r="A1386" s="6">
        <v>4</v>
      </c>
      <c r="B1386" s="6">
        <v>106</v>
      </c>
      <c r="C1386" s="62">
        <f>K1184</f>
        <v>1.3</v>
      </c>
      <c r="D1386" s="62">
        <f>ROUND(SUM(G1276),4)</f>
        <v>1.3</v>
      </c>
      <c r="E1386" s="62">
        <f>ROUND((D1386-C1386),4)</f>
        <v>0.0</v>
      </c>
      <c r="F1386" s="62">
        <f>L1184</f>
        <v>1.3</v>
      </c>
      <c r="G1386" s="62">
        <f>ROUND(SUM(0,G1276),4)</f>
        <v>1.3</v>
      </c>
      <c r="H1386" s="62">
        <f>ROUND((G1386-F1386),4)</f>
        <v>0.0</v>
      </c>
      <c r="I1386" s="9" t="s">
        <v>842</v>
      </c>
    </row>
    <row r="1387" spans="1:12" ht="32" customHeight="1">
      <c r="A1387" s="6">
        <v>4</v>
      </c>
      <c r="B1387" s="6">
        <v>107</v>
      </c>
      <c r="C1387" s="62">
        <f>K1185</f>
        <v>1.3</v>
      </c>
      <c r="D1387" s="62">
        <f>ROUND(SUM(G1279),4)</f>
        <v>1.3</v>
      </c>
      <c r="E1387" s="62">
        <f>ROUND((D1387-C1387),4)</f>
        <v>0.0</v>
      </c>
      <c r="F1387" s="62">
        <f>L1185</f>
        <v>1.3</v>
      </c>
      <c r="G1387" s="62">
        <f>ROUND(SUM(0,G1279),4)</f>
        <v>1.3</v>
      </c>
      <c r="H1387" s="62">
        <f>ROUND((G1387-F1387),4)</f>
        <v>0.0</v>
      </c>
      <c r="I1387" s="9" t="s">
        <v>842</v>
      </c>
    </row>
    <row r="1388" spans="1:12" ht="32" customHeight="1">
      <c r="A1388" s="6">
        <v>4</v>
      </c>
      <c r="B1388" s="6">
        <v>108</v>
      </c>
      <c r="C1388" s="62">
        <f>K1186</f>
        <v>1.3</v>
      </c>
      <c r="D1388" s="62">
        <f>ROUND(SUM(G1280),4)</f>
        <v>1.3</v>
      </c>
      <c r="E1388" s="62">
        <f>ROUND((D1388-C1388),4)</f>
        <v>0.0</v>
      </c>
      <c r="F1388" s="62">
        <f>L1186</f>
        <v>1.3</v>
      </c>
      <c r="G1388" s="62">
        <f>ROUND(SUM(0,G1280),4)</f>
        <v>1.3</v>
      </c>
      <c r="H1388" s="62">
        <f>ROUND((G1388-F1388),4)</f>
        <v>0.0</v>
      </c>
      <c r="I1388" s="9" t="s">
        <v>842</v>
      </c>
    </row>
    <row r="1389" spans="1:12" ht="32" customHeight="1">
      <c r="A1389" s="6">
        <v>4</v>
      </c>
      <c r="B1389" s="6">
        <v>109</v>
      </c>
      <c r="C1389" s="62">
        <f>K1187</f>
        <v>1.3</v>
      </c>
      <c r="D1389" s="62">
        <f>ROUND(SUM(G1281),4)</f>
        <v>1.3</v>
      </c>
      <c r="E1389" s="62">
        <f>ROUND((D1389-C1389),4)</f>
        <v>0.0</v>
      </c>
      <c r="F1389" s="62">
        <f>L1187</f>
        <v>1.3</v>
      </c>
      <c r="G1389" s="62">
        <f>ROUND(SUM(0,G1281),4)</f>
        <v>1.3</v>
      </c>
      <c r="H1389" s="62">
        <f>ROUND((G1389-F1389),4)</f>
        <v>0.0</v>
      </c>
      <c r="I1389" s="9" t="s">
        <v>842</v>
      </c>
    </row>
    <row r="1390" spans="1:12" ht="24" customHeight="1">
      <c r="A1390" s="3" t="s">
        <v>835</v>
      </c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</row>
    <row r="1391" spans="1:12" ht="36" customHeight="1">
      <c r="A1391" s="4" t="s">
        <v>8</v>
      </c>
      <c r="B1391" s="4" t="s">
        <v>163</v>
      </c>
      <c r="C1391" s="4" t="s">
        <v>829</v>
      </c>
      <c r="D1391" s="4" t="s">
        <v>836</v>
      </c>
      <c r="E1391" s="4" t="s">
        <v>837</v>
      </c>
      <c r="F1391" s="4" t="s">
        <v>830</v>
      </c>
      <c r="G1391" s="4" t="s">
        <v>838</v>
      </c>
      <c r="H1391" s="4" t="s">
        <v>839</v>
      </c>
      <c r="I1391" s="4" t="s">
        <v>840</v>
      </c>
    </row>
    <row r="1392" spans="1:12" ht="32" customHeight="1">
      <c r="A1392" s="6">
        <v>4</v>
      </c>
      <c r="B1392" s="6">
        <v>110</v>
      </c>
      <c r="C1392" s="62">
        <f>K1188</f>
        <v>1.3</v>
      </c>
      <c r="D1392" s="62">
        <f>ROUND(SUM(G1282),4)</f>
        <v>1.3</v>
      </c>
      <c r="E1392" s="62">
        <f>ROUND((D1392-C1392),4)</f>
        <v>0.0</v>
      </c>
      <c r="F1392" s="62">
        <f>L1188</f>
        <v>1.3</v>
      </c>
      <c r="G1392" s="62">
        <f>ROUND(SUM(0,G1282),4)</f>
        <v>1.3</v>
      </c>
      <c r="H1392" s="62">
        <f>ROUND((G1392-F1392),4)</f>
        <v>0.0</v>
      </c>
      <c r="I1392" s="9" t="s">
        <v>842</v>
      </c>
    </row>
    <row r="1393" spans="1:12" ht="32" customHeight="1">
      <c r="A1393" s="6">
        <v>4</v>
      </c>
      <c r="B1393" s="6">
        <v>111</v>
      </c>
      <c r="C1393" s="62">
        <f>K1189</f>
        <v>1.3</v>
      </c>
      <c r="D1393" s="62">
        <f>ROUND(SUM(G1283),4)</f>
        <v>1.3</v>
      </c>
      <c r="E1393" s="62">
        <f>ROUND((D1393-C1393),4)</f>
        <v>0.0</v>
      </c>
      <c r="F1393" s="62">
        <f>L1189</f>
        <v>1.3</v>
      </c>
      <c r="G1393" s="62">
        <f>ROUND(SUM(0,G1283),4)</f>
        <v>1.3</v>
      </c>
      <c r="H1393" s="62">
        <f>ROUND((G1393-F1393),4)</f>
        <v>0.0</v>
      </c>
      <c r="I1393" s="9" t="s">
        <v>842</v>
      </c>
    </row>
    <row r="1394" spans="1:12" ht="32" customHeight="1">
      <c r="A1394" s="6">
        <v>4</v>
      </c>
      <c r="B1394" s="6">
        <v>112</v>
      </c>
      <c r="C1394" s="62">
        <f>K1190</f>
        <v>1.3</v>
      </c>
      <c r="D1394" s="62">
        <f>ROUND(SUM(G1284,G1285),4)</f>
        <v>1.3</v>
      </c>
      <c r="E1394" s="62">
        <f>ROUND((D1394-C1394),4)</f>
        <v>0.0</v>
      </c>
      <c r="F1394" s="62">
        <f>L1190</f>
        <v>1.3</v>
      </c>
      <c r="G1394" s="62">
        <f>ROUND(SUM(0,G1284,G1285),4)</f>
        <v>1.3</v>
      </c>
      <c r="H1394" s="62">
        <f>ROUND((G1394-F1394),4)</f>
        <v>0.0</v>
      </c>
      <c r="I1394" s="9" t="s">
        <v>842</v>
      </c>
    </row>
    <row r="1395" spans="1:12" ht="32" customHeight="1">
      <c r="A1395" s="6">
        <v>4</v>
      </c>
      <c r="B1395" s="6">
        <v>113</v>
      </c>
      <c r="C1395" s="62">
        <f>K1191</f>
        <v>1.3</v>
      </c>
      <c r="D1395" s="62">
        <f>ROUND(SUM(G1286),4)</f>
        <v>1.3</v>
      </c>
      <c r="E1395" s="62">
        <f>ROUND((D1395-C1395),4)</f>
        <v>0.0</v>
      </c>
      <c r="F1395" s="62">
        <f>L1191</f>
        <v>1.3</v>
      </c>
      <c r="G1395" s="62">
        <f>ROUND(SUM(0,G1286),4)</f>
        <v>1.3</v>
      </c>
      <c r="H1395" s="62">
        <f>ROUND((G1395-F1395),4)</f>
        <v>0.0</v>
      </c>
      <c r="I1395" s="9" t="s">
        <v>842</v>
      </c>
    </row>
    <row r="1396" spans="1:12" ht="32" customHeight="1">
      <c r="A1396" s="6">
        <v>4</v>
      </c>
      <c r="B1396" s="6">
        <v>114</v>
      </c>
      <c r="C1396" s="62">
        <f>K1192</f>
        <v>1.3</v>
      </c>
      <c r="D1396" s="62">
        <f>ROUND(SUM(G1287),4)</f>
        <v>1.3</v>
      </c>
      <c r="E1396" s="62">
        <f>ROUND((D1396-C1396),4)</f>
        <v>0.0</v>
      </c>
      <c r="F1396" s="62">
        <f>L1192</f>
        <v>1.3</v>
      </c>
      <c r="G1396" s="62">
        <f>ROUND(SUM(0,G1287),4)</f>
        <v>1.3</v>
      </c>
      <c r="H1396" s="62">
        <f>ROUND((G1396-F1396),4)</f>
        <v>0.0</v>
      </c>
      <c r="I1396" s="9" t="s">
        <v>842</v>
      </c>
    </row>
    <row r="1397" spans="1:12" ht="32" customHeight="1">
      <c r="A1397" s="6">
        <v>4</v>
      </c>
      <c r="B1397" s="6">
        <v>115</v>
      </c>
      <c r="C1397" s="62">
        <f>K1193</f>
        <v>1.3</v>
      </c>
      <c r="D1397" s="62">
        <f>ROUND(SUM(G1288),4)</f>
        <v>1.3</v>
      </c>
      <c r="E1397" s="62">
        <f>ROUND((D1397-C1397),4)</f>
        <v>0.0</v>
      </c>
      <c r="F1397" s="62">
        <f>L1193</f>
        <v>1.3</v>
      </c>
      <c r="G1397" s="62">
        <f>ROUND(SUM(0,G1288),4)</f>
        <v>1.3</v>
      </c>
      <c r="H1397" s="62">
        <f>ROUND((G1397-F1397),4)</f>
        <v>0.0</v>
      </c>
      <c r="I1397" s="9" t="s">
        <v>842</v>
      </c>
    </row>
    <row r="1398" spans="1:12" ht="32" customHeight="1">
      <c r="A1398" s="6">
        <v>4</v>
      </c>
      <c r="B1398" s="6">
        <v>116</v>
      </c>
      <c r="C1398" s="62">
        <f>K1194</f>
        <v>1.3</v>
      </c>
      <c r="D1398" s="62">
        <f>ROUND(SUM(G1289),4)</f>
        <v>1.3</v>
      </c>
      <c r="E1398" s="62">
        <f>ROUND((D1398-C1398),4)</f>
        <v>0.0</v>
      </c>
      <c r="F1398" s="62">
        <f>L1194</f>
        <v>1.3</v>
      </c>
      <c r="G1398" s="62">
        <f>ROUND(SUM(0,G1289),4)</f>
        <v>1.3</v>
      </c>
      <c r="H1398" s="62">
        <f>ROUND((G1398-F1398),4)</f>
        <v>0.0</v>
      </c>
      <c r="I1398" s="9" t="s">
        <v>842</v>
      </c>
    </row>
    <row r="1399" spans="1:12" ht="32" customHeight="1">
      <c r="A1399" s="6">
        <v>4</v>
      </c>
      <c r="B1399" s="6">
        <v>117</v>
      </c>
      <c r="C1399" s="62">
        <f>K1197</f>
        <v>1.3</v>
      </c>
      <c r="D1399" s="62">
        <f>ROUND(SUM(G1290),4)</f>
        <v>1.3</v>
      </c>
      <c r="E1399" s="62">
        <f>ROUND((D1399-C1399),4)</f>
        <v>0.0</v>
      </c>
      <c r="F1399" s="62">
        <f>L1197</f>
        <v>1.3</v>
      </c>
      <c r="G1399" s="62">
        <f>ROUND(SUM(0,G1290),4)</f>
        <v>1.3</v>
      </c>
      <c r="H1399" s="62">
        <f>ROUND((G1399-F1399),4)</f>
        <v>0.0</v>
      </c>
      <c r="I1399" s="9" t="s">
        <v>842</v>
      </c>
    </row>
    <row r="1400" spans="1:12" ht="32" customHeight="1">
      <c r="A1400" s="6">
        <v>4</v>
      </c>
      <c r="B1400" s="6">
        <v>118</v>
      </c>
      <c r="C1400" s="62">
        <f>K1198</f>
        <v>1.3</v>
      </c>
      <c r="D1400" s="62">
        <f>ROUND(SUM(G1291),4)</f>
        <v>1.3</v>
      </c>
      <c r="E1400" s="62">
        <f>ROUND((D1400-C1400),4)</f>
        <v>0.0</v>
      </c>
      <c r="F1400" s="62">
        <f>L1198</f>
        <v>1.3</v>
      </c>
      <c r="G1400" s="62">
        <f>ROUND(SUM(0,G1291),4)</f>
        <v>1.3</v>
      </c>
      <c r="H1400" s="62">
        <f>ROUND((G1400-F1400),4)</f>
        <v>0.0</v>
      </c>
      <c r="I1400" s="9" t="s">
        <v>842</v>
      </c>
    </row>
    <row r="1401" spans="1:12" ht="32" customHeight="1">
      <c r="A1401" s="6">
        <v>4</v>
      </c>
      <c r="B1401" s="6">
        <v>119</v>
      </c>
      <c r="C1401" s="62">
        <f>K1199</f>
        <v>1.3</v>
      </c>
      <c r="D1401" s="62">
        <f>ROUND(SUM(G1292),4)</f>
        <v>1.3</v>
      </c>
      <c r="E1401" s="62">
        <f>ROUND((D1401-C1401),4)</f>
        <v>0.0</v>
      </c>
      <c r="F1401" s="62">
        <f>L1199</f>
        <v>1.3</v>
      </c>
      <c r="G1401" s="62">
        <f>ROUND(SUM(0,G1292),4)</f>
        <v>1.3</v>
      </c>
      <c r="H1401" s="62">
        <f>ROUND((G1401-F1401),4)</f>
        <v>0.0</v>
      </c>
      <c r="I1401" s="9" t="s">
        <v>842</v>
      </c>
    </row>
    <row r="1402" spans="1:12" ht="24" customHeight="1">
      <c r="A1402" s="3" t="s">
        <v>835</v>
      </c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</row>
    <row r="1403" spans="1:12" ht="36" customHeight="1">
      <c r="A1403" s="4" t="s">
        <v>8</v>
      </c>
      <c r="B1403" s="4" t="s">
        <v>163</v>
      </c>
      <c r="C1403" s="4" t="s">
        <v>829</v>
      </c>
      <c r="D1403" s="4" t="s">
        <v>836</v>
      </c>
      <c r="E1403" s="4" t="s">
        <v>837</v>
      </c>
      <c r="F1403" s="4" t="s">
        <v>830</v>
      </c>
      <c r="G1403" s="4" t="s">
        <v>838</v>
      </c>
      <c r="H1403" s="4" t="s">
        <v>839</v>
      </c>
      <c r="I1403" s="4" t="s">
        <v>840</v>
      </c>
    </row>
    <row r="1404" spans="1:12" ht="32" customHeight="1">
      <c r="A1404" s="6">
        <v>4</v>
      </c>
      <c r="B1404" s="6">
        <v>120</v>
      </c>
      <c r="C1404" s="62">
        <f>K1200</f>
        <v>1.3</v>
      </c>
      <c r="D1404" s="62">
        <f>ROUND(SUM(G1293),4)</f>
        <v>1.3</v>
      </c>
      <c r="E1404" s="62">
        <f>ROUND((D1404-C1404),4)</f>
        <v>0.0</v>
      </c>
      <c r="F1404" s="62">
        <f>L1200</f>
        <v>1.3</v>
      </c>
      <c r="G1404" s="62">
        <f>ROUND(SUM(0,G1293),4)</f>
        <v>1.3</v>
      </c>
      <c r="H1404" s="62">
        <f>ROUND((G1404-F1404),4)</f>
        <v>0.0</v>
      </c>
      <c r="I1404" s="9" t="s">
        <v>842</v>
      </c>
    </row>
    <row r="1405" spans="1:12" ht="32" customHeight="1">
      <c r="A1405" s="6">
        <v>4</v>
      </c>
      <c r="B1405" s="6">
        <v>121</v>
      </c>
      <c r="C1405" s="62">
        <f>K1201</f>
        <v>1.2</v>
      </c>
      <c r="D1405" s="62">
        <f>ROUND(SUM(G1296,G1297),4)</f>
        <v>1.2</v>
      </c>
      <c r="E1405" s="62">
        <f>ROUND((D1405-C1405),4)</f>
        <v>0.0</v>
      </c>
      <c r="F1405" s="62">
        <f>L1201</f>
        <v>0.45</v>
      </c>
      <c r="G1405" s="62">
        <f>ROUND(SUM(0,G1296),4)</f>
        <v>0.45</v>
      </c>
      <c r="H1405" s="62">
        <f>ROUND((G1405-F1405),4)</f>
        <v>0.0</v>
      </c>
      <c r="I1405" s="9" t="s">
        <v>842</v>
      </c>
    </row>
    <row r="1406" spans="1:12" ht="32" customHeight="1">
      <c r="A1406" s="6">
        <v>4</v>
      </c>
      <c r="B1406" s="6">
        <v>122</v>
      </c>
      <c r="C1406" s="62">
        <f>K1202</f>
        <v>0.55</v>
      </c>
      <c r="D1406" s="62">
        <f>ROUND(SUM(G1298),4)</f>
        <v>0.55</v>
      </c>
      <c r="E1406" s="62">
        <f>ROUND((D1406-C1406),4)</f>
        <v>0.0</v>
      </c>
      <c r="F1406" s="62">
        <f>L1202</f>
        <v>0.0</v>
      </c>
      <c r="G1406" s="62">
        <f>ROUND(SUM(0),4)</f>
        <v>0.0</v>
      </c>
      <c r="H1406" s="62">
        <f>ROUND((G1406-F1406),4)</f>
        <v>0.0</v>
      </c>
      <c r="I1406" s="9" t="s">
        <v>843</v>
      </c>
    </row>
    <row r="1407" spans="1:12" ht="88" customHeight="1">
      <c r="A1407" s="6">
        <v>5</v>
      </c>
      <c r="B1407" s="6">
        <v>123</v>
      </c>
      <c r="C1407" s="62">
        <f>K1203</f>
        <v>0.65</v>
      </c>
      <c r="D1407" s="62">
        <f>ROUND(SUM(G1299),4)</f>
        <v>0.65</v>
      </c>
      <c r="E1407" s="62">
        <f>ROUND((D1407-C1407),4)</f>
        <v>0.0</v>
      </c>
      <c r="F1407" s="62">
        <f>L1203</f>
        <v>0.0</v>
      </c>
      <c r="G1407" s="62">
        <f>ROUND(SUM(0),4)</f>
        <v>0.0</v>
      </c>
      <c r="H1407" s="62">
        <f>ROUND((G1407-F1407),4)</f>
        <v>0.0</v>
      </c>
      <c r="I1407" s="9" t="s">
        <v>841</v>
      </c>
    </row>
    <row r="1408" spans="1:12" ht="88" customHeight="1">
      <c r="A1408" s="6">
        <v>5</v>
      </c>
      <c r="B1408" s="6">
        <v>124</v>
      </c>
      <c r="C1408" s="62">
        <f>K1204</f>
        <v>1.3</v>
      </c>
      <c r="D1408" s="62">
        <f>ROUND(SUM(G1300,G1301),4)</f>
        <v>1.3</v>
      </c>
      <c r="E1408" s="62">
        <f>ROUND((D1408-C1408),4)</f>
        <v>0.0</v>
      </c>
      <c r="F1408" s="62">
        <f>L1204</f>
        <v>0.0</v>
      </c>
      <c r="G1408" s="62">
        <f>ROUND(SUM(0),4)</f>
        <v>0.0</v>
      </c>
      <c r="H1408" s="62">
        <f>ROUND((G1408-F1408),4)</f>
        <v>0.0</v>
      </c>
      <c r="I1408" s="9" t="s">
        <v>841</v>
      </c>
    </row>
    <row r="1409" spans="1:12" ht="24" customHeight="1">
      <c r="A1409" s="3" t="s">
        <v>835</v>
      </c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</row>
    <row r="1410" spans="1:12" ht="36" customHeight="1">
      <c r="A1410" s="4" t="s">
        <v>8</v>
      </c>
      <c r="B1410" s="4" t="s">
        <v>163</v>
      </c>
      <c r="C1410" s="4" t="s">
        <v>829</v>
      </c>
      <c r="D1410" s="4" t="s">
        <v>836</v>
      </c>
      <c r="E1410" s="4" t="s">
        <v>837</v>
      </c>
      <c r="F1410" s="4" t="s">
        <v>830</v>
      </c>
      <c r="G1410" s="4" t="s">
        <v>838</v>
      </c>
      <c r="H1410" s="4" t="s">
        <v>839</v>
      </c>
      <c r="I1410" s="4" t="s">
        <v>840</v>
      </c>
    </row>
    <row r="1411" spans="1:12" ht="88" customHeight="1">
      <c r="A1411" s="6">
        <v>5</v>
      </c>
      <c r="B1411" s="6">
        <v>125</v>
      </c>
      <c r="C1411" s="62">
        <f>K1205</f>
        <v>1.3</v>
      </c>
      <c r="D1411" s="62">
        <f>ROUND(SUM(G1302,G1303),4)</f>
        <v>1.3</v>
      </c>
      <c r="E1411" s="62">
        <f>ROUND((D1411-C1411),4)</f>
        <v>0.0</v>
      </c>
      <c r="F1411" s="62">
        <f>L1205</f>
        <v>0.0</v>
      </c>
      <c r="G1411" s="62">
        <f>ROUND(SUM(0),4)</f>
        <v>0.0</v>
      </c>
      <c r="H1411" s="62">
        <f>ROUND((G1411-F1411),4)</f>
        <v>0.0</v>
      </c>
      <c r="I1411" s="9" t="s">
        <v>841</v>
      </c>
    </row>
    <row r="1412" spans="1:12" ht="88" customHeight="1">
      <c r="A1412" s="6">
        <v>5</v>
      </c>
      <c r="B1412" s="6">
        <v>126</v>
      </c>
      <c r="C1412" s="62">
        <f>K1206</f>
        <v>1.3</v>
      </c>
      <c r="D1412" s="62">
        <f>ROUND(SUM(G1304),4)</f>
        <v>1.3</v>
      </c>
      <c r="E1412" s="62">
        <f>ROUND((D1412-C1412),4)</f>
        <v>0.0</v>
      </c>
      <c r="F1412" s="62">
        <f>L1206</f>
        <v>0.0</v>
      </c>
      <c r="G1412" s="62">
        <f>ROUND(SUM(0),4)</f>
        <v>0.0</v>
      </c>
      <c r="H1412" s="62">
        <f>ROUND((G1412-F1412),4)</f>
        <v>0.0</v>
      </c>
      <c r="I1412" s="9" t="s">
        <v>841</v>
      </c>
    </row>
    <row r="1413" spans="1:12" ht="32" customHeight="1">
      <c r="A1413" s="6">
        <v>5</v>
      </c>
      <c r="B1413" s="6">
        <v>127</v>
      </c>
      <c r="C1413" s="62">
        <f>K1207</f>
        <v>1.3</v>
      </c>
      <c r="D1413" s="62">
        <f>ROUND(SUM(G1305,G1306,G1307),4)</f>
        <v>1.3</v>
      </c>
      <c r="E1413" s="62">
        <f>ROUND((D1413-C1413),4)</f>
        <v>0.0</v>
      </c>
      <c r="F1413" s="62">
        <f>L1207</f>
        <v>0.905</v>
      </c>
      <c r="G1413" s="62">
        <f>ROUND(SUM(0,G1306,G1307),4)</f>
        <v>0.905</v>
      </c>
      <c r="H1413" s="62">
        <f>ROUND((G1413-F1413),4)</f>
        <v>0.0</v>
      </c>
      <c r="I1413" s="9" t="s">
        <v>842</v>
      </c>
    </row>
    <row r="1414" spans="1:12" ht="32" customHeight="1">
      <c r="A1414" s="6">
        <v>5</v>
      </c>
      <c r="B1414" s="6">
        <v>128</v>
      </c>
      <c r="C1414" s="62">
        <f>K1208</f>
        <v>1.3</v>
      </c>
      <c r="D1414" s="62">
        <f>ROUND(SUM(G1308),4)</f>
        <v>1.3</v>
      </c>
      <c r="E1414" s="62">
        <f>ROUND((D1414-C1414),4)</f>
        <v>0.0</v>
      </c>
      <c r="F1414" s="62">
        <f>L1208</f>
        <v>1.3</v>
      </c>
      <c r="G1414" s="62">
        <f>ROUND(SUM(0,G1308),4)</f>
        <v>1.3</v>
      </c>
      <c r="H1414" s="62">
        <f>ROUND((G1414-F1414),4)</f>
        <v>0.0</v>
      </c>
      <c r="I1414" s="9" t="s">
        <v>842</v>
      </c>
    </row>
    <row r="1415" spans="1:12" ht="32" customHeight="1">
      <c r="A1415" s="6">
        <v>5</v>
      </c>
      <c r="B1415" s="6">
        <v>129</v>
      </c>
      <c r="C1415" s="62">
        <f>K1209</f>
        <v>1.3</v>
      </c>
      <c r="D1415" s="62">
        <f>ROUND(SUM(G1309,G1310),4)</f>
        <v>1.3</v>
      </c>
      <c r="E1415" s="62">
        <f>ROUND((D1415-C1415),4)</f>
        <v>0.0</v>
      </c>
      <c r="F1415" s="62">
        <f>L1209</f>
        <v>1.3</v>
      </c>
      <c r="G1415" s="62">
        <f>ROUND(SUM(0,G1309,G1310),4)</f>
        <v>1.3</v>
      </c>
      <c r="H1415" s="62">
        <f>ROUND((G1415-F1415),4)</f>
        <v>0.0</v>
      </c>
      <c r="I1415" s="9" t="s">
        <v>842</v>
      </c>
    </row>
    <row r="1416" spans="1:12" ht="32" customHeight="1">
      <c r="A1416" s="6">
        <v>5</v>
      </c>
      <c r="B1416" s="6">
        <v>130</v>
      </c>
      <c r="C1416" s="62">
        <f>K1210</f>
        <v>1.3</v>
      </c>
      <c r="D1416" s="62">
        <f>ROUND(SUM(G1313,G1314),4)</f>
        <v>1.3</v>
      </c>
      <c r="E1416" s="62">
        <f>ROUND((D1416-C1416),4)</f>
        <v>0.0</v>
      </c>
      <c r="F1416" s="62">
        <f>L1210</f>
        <v>1.3</v>
      </c>
      <c r="G1416" s="62">
        <f>ROUND(SUM(0,G1313,G1314),4)</f>
        <v>1.3</v>
      </c>
      <c r="H1416" s="62">
        <f>ROUND((G1416-F1416),4)</f>
        <v>0.0</v>
      </c>
      <c r="I1416" s="9" t="s">
        <v>842</v>
      </c>
    </row>
    <row r="1417" spans="1:12" ht="32" customHeight="1">
      <c r="A1417" s="6">
        <v>5</v>
      </c>
      <c r="B1417" s="6">
        <v>131</v>
      </c>
      <c r="C1417" s="62">
        <f>K1211</f>
        <v>1.3</v>
      </c>
      <c r="D1417" s="62">
        <f>ROUND(SUM(G1315),4)</f>
        <v>1.3</v>
      </c>
      <c r="E1417" s="62">
        <f>ROUND((D1417-C1417),4)</f>
        <v>0.0</v>
      </c>
      <c r="F1417" s="62">
        <f>L1211</f>
        <v>1.3</v>
      </c>
      <c r="G1417" s="62">
        <f>ROUND(SUM(0,G1315),4)</f>
        <v>1.3</v>
      </c>
      <c r="H1417" s="62">
        <f>ROUND((G1417-F1417),4)</f>
        <v>0.0</v>
      </c>
      <c r="I1417" s="9" t="s">
        <v>842</v>
      </c>
    </row>
    <row r="1418" spans="1:12" ht="24" customHeight="1">
      <c r="A1418" s="3" t="s">
        <v>835</v>
      </c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</row>
    <row r="1419" spans="1:12" ht="36" customHeight="1">
      <c r="A1419" s="4" t="s">
        <v>8</v>
      </c>
      <c r="B1419" s="4" t="s">
        <v>163</v>
      </c>
      <c r="C1419" s="4" t="s">
        <v>829</v>
      </c>
      <c r="D1419" s="4" t="s">
        <v>836</v>
      </c>
      <c r="E1419" s="4" t="s">
        <v>837</v>
      </c>
      <c r="F1419" s="4" t="s">
        <v>830</v>
      </c>
      <c r="G1419" s="4" t="s">
        <v>838</v>
      </c>
      <c r="H1419" s="4" t="s">
        <v>839</v>
      </c>
      <c r="I1419" s="4" t="s">
        <v>840</v>
      </c>
    </row>
    <row r="1420" spans="1:12" ht="32" customHeight="1">
      <c r="A1420" s="6">
        <v>5</v>
      </c>
      <c r="B1420" s="6">
        <v>132</v>
      </c>
      <c r="C1420" s="62">
        <f>K1214</f>
        <v>1.3</v>
      </c>
      <c r="D1420" s="62">
        <f>ROUND(SUM(G1316),4)</f>
        <v>1.3</v>
      </c>
      <c r="E1420" s="62">
        <f>ROUND((D1420-C1420),4)</f>
        <v>0.0</v>
      </c>
      <c r="F1420" s="62">
        <f>L1214</f>
        <v>1.3</v>
      </c>
      <c r="G1420" s="62">
        <f>ROUND(SUM(0,G1316),4)</f>
        <v>1.3</v>
      </c>
      <c r="H1420" s="62">
        <f>ROUND((G1420-F1420),4)</f>
        <v>0.0</v>
      </c>
      <c r="I1420" s="9" t="s">
        <v>842</v>
      </c>
    </row>
    <row r="1421" spans="1:12" ht="32" customHeight="1">
      <c r="A1421" s="6">
        <v>5</v>
      </c>
      <c r="B1421" s="6">
        <v>133</v>
      </c>
      <c r="C1421" s="62">
        <f>K1215</f>
        <v>1.3</v>
      </c>
      <c r="D1421" s="62">
        <f>ROUND(SUM(G1317),4)</f>
        <v>1.3</v>
      </c>
      <c r="E1421" s="62">
        <f>ROUND((D1421-C1421),4)</f>
        <v>0.0</v>
      </c>
      <c r="F1421" s="62">
        <f>L1215</f>
        <v>1.3</v>
      </c>
      <c r="G1421" s="62">
        <f>ROUND(SUM(0,G1317),4)</f>
        <v>1.3</v>
      </c>
      <c r="H1421" s="62">
        <f>ROUND((G1421-F1421),4)</f>
        <v>0.0</v>
      </c>
      <c r="I1421" s="9" t="s">
        <v>842</v>
      </c>
    </row>
    <row r="1422" spans="1:12" ht="32" customHeight="1">
      <c r="A1422" s="6">
        <v>5</v>
      </c>
      <c r="B1422" s="6">
        <v>134</v>
      </c>
      <c r="C1422" s="62">
        <f>K1216</f>
        <v>1.3</v>
      </c>
      <c r="D1422" s="62">
        <f>ROUND(SUM(G1318),4)</f>
        <v>1.3</v>
      </c>
      <c r="E1422" s="62">
        <f>ROUND((D1422-C1422),4)</f>
        <v>0.0</v>
      </c>
      <c r="F1422" s="62">
        <f>L1216</f>
        <v>1.3</v>
      </c>
      <c r="G1422" s="62">
        <f>ROUND(SUM(0,G1318),4)</f>
        <v>1.3</v>
      </c>
      <c r="H1422" s="62">
        <f>ROUND((G1422-F1422),4)</f>
        <v>0.0</v>
      </c>
      <c r="I1422" s="9" t="s">
        <v>842</v>
      </c>
    </row>
    <row r="1423" spans="1:12" ht="32" customHeight="1">
      <c r="A1423" s="6">
        <v>5</v>
      </c>
      <c r="B1423" s="6">
        <v>135</v>
      </c>
      <c r="C1423" s="62">
        <f>K1217</f>
        <v>1.3</v>
      </c>
      <c r="D1423" s="62">
        <f>ROUND(SUM(G1319),4)</f>
        <v>1.3</v>
      </c>
      <c r="E1423" s="62">
        <f>ROUND((D1423-C1423),4)</f>
        <v>0.0</v>
      </c>
      <c r="F1423" s="62">
        <f>L1217</f>
        <v>1.3</v>
      </c>
      <c r="G1423" s="62">
        <f>ROUND(SUM(0,G1319),4)</f>
        <v>1.3</v>
      </c>
      <c r="H1423" s="62">
        <f>ROUND((G1423-F1423),4)</f>
        <v>0.0</v>
      </c>
      <c r="I1423" s="9" t="s">
        <v>842</v>
      </c>
    </row>
    <row r="1424" spans="1:12" ht="32" customHeight="1">
      <c r="A1424" s="6">
        <v>5</v>
      </c>
      <c r="B1424" s="6">
        <v>136</v>
      </c>
      <c r="C1424" s="62">
        <f>K1218</f>
        <v>1.3</v>
      </c>
      <c r="D1424" s="62">
        <f>ROUND(SUM(G1320),4)</f>
        <v>1.3</v>
      </c>
      <c r="E1424" s="62">
        <f>ROUND((D1424-C1424),4)</f>
        <v>0.0</v>
      </c>
      <c r="F1424" s="62">
        <f>L1218</f>
        <v>1.3</v>
      </c>
      <c r="G1424" s="62">
        <f>ROUND(SUM(0,G1320),4)</f>
        <v>1.3</v>
      </c>
      <c r="H1424" s="62">
        <f>ROUND((G1424-F1424),4)</f>
        <v>0.0</v>
      </c>
      <c r="I1424" s="9" t="s">
        <v>842</v>
      </c>
    </row>
    <row r="1425" spans="1:12" ht="32" customHeight="1">
      <c r="A1425" s="6">
        <v>5</v>
      </c>
      <c r="B1425" s="6">
        <v>137</v>
      </c>
      <c r="C1425" s="62">
        <f>K1219</f>
        <v>1.3</v>
      </c>
      <c r="D1425" s="62">
        <f>ROUND(SUM(G1321,G1322),4)</f>
        <v>1.3</v>
      </c>
      <c r="E1425" s="62">
        <f>ROUND((D1425-C1425),4)</f>
        <v>0.0</v>
      </c>
      <c r="F1425" s="62">
        <f>L1219</f>
        <v>1.3</v>
      </c>
      <c r="G1425" s="62">
        <f>ROUND(SUM(0,G1321,G1322),4)</f>
        <v>1.3</v>
      </c>
      <c r="H1425" s="62">
        <f>ROUND((G1425-F1425),4)</f>
        <v>0.0</v>
      </c>
      <c r="I1425" s="9" t="s">
        <v>842</v>
      </c>
    </row>
    <row r="1426" spans="1:12" ht="32" customHeight="1">
      <c r="A1426" s="6">
        <v>5</v>
      </c>
      <c r="B1426" s="6">
        <v>138</v>
      </c>
      <c r="C1426" s="62">
        <f>K1220</f>
        <v>1.3</v>
      </c>
      <c r="D1426" s="62">
        <f>ROUND(SUM(G1323),4)</f>
        <v>1.3</v>
      </c>
      <c r="E1426" s="62">
        <f>ROUND((D1426-C1426),4)</f>
        <v>0.0</v>
      </c>
      <c r="F1426" s="62">
        <f>L1220</f>
        <v>1.3</v>
      </c>
      <c r="G1426" s="62">
        <f>ROUND(SUM(0,G1323),4)</f>
        <v>1.3</v>
      </c>
      <c r="H1426" s="62">
        <f>ROUND((G1426-F1426),4)</f>
        <v>0.0</v>
      </c>
      <c r="I1426" s="9" t="s">
        <v>842</v>
      </c>
    </row>
    <row r="1427" spans="1:12" ht="32" customHeight="1">
      <c r="A1427" s="6">
        <v>5</v>
      </c>
      <c r="B1427" s="6">
        <v>139</v>
      </c>
      <c r="C1427" s="62">
        <f>K1221</f>
        <v>1.3</v>
      </c>
      <c r="D1427" s="62">
        <f>ROUND(SUM(G1324),4)</f>
        <v>1.3</v>
      </c>
      <c r="E1427" s="62">
        <f>ROUND((D1427-C1427),4)</f>
        <v>0.0</v>
      </c>
      <c r="F1427" s="62">
        <f>L1221</f>
        <v>1.3</v>
      </c>
      <c r="G1427" s="62">
        <f>ROUND(SUM(0,G1324),4)</f>
        <v>1.3</v>
      </c>
      <c r="H1427" s="62">
        <f>ROUND((G1427-F1427),4)</f>
        <v>0.0</v>
      </c>
      <c r="I1427" s="9" t="s">
        <v>842</v>
      </c>
    </row>
    <row r="1428" spans="1:12" ht="32" customHeight="1">
      <c r="A1428" s="6">
        <v>5</v>
      </c>
      <c r="B1428" s="6">
        <v>140</v>
      </c>
      <c r="C1428" s="62">
        <f>K1222</f>
        <v>1.3</v>
      </c>
      <c r="D1428" s="62">
        <f>ROUND(SUM(G1325),4)</f>
        <v>1.3</v>
      </c>
      <c r="E1428" s="62">
        <f>ROUND((D1428-C1428),4)</f>
        <v>0.0</v>
      </c>
      <c r="F1428" s="62">
        <f>L1222</f>
        <v>1.3</v>
      </c>
      <c r="G1428" s="62">
        <f>ROUND(SUM(0,G1325),4)</f>
        <v>1.3</v>
      </c>
      <c r="H1428" s="62">
        <f>ROUND((G1428-F1428),4)</f>
        <v>0.0</v>
      </c>
      <c r="I1428" s="9" t="s">
        <v>842</v>
      </c>
    </row>
    <row r="1429" spans="1:12" ht="32" customHeight="1">
      <c r="A1429" s="6">
        <v>5</v>
      </c>
      <c r="B1429" s="6">
        <v>141</v>
      </c>
      <c r="C1429" s="62">
        <f>K1223</f>
        <v>1.3</v>
      </c>
      <c r="D1429" s="62">
        <f>ROUND(SUM(G1326),4)</f>
        <v>1.3</v>
      </c>
      <c r="E1429" s="62">
        <f>ROUND((D1429-C1429),4)</f>
        <v>0.0</v>
      </c>
      <c r="F1429" s="62">
        <f>L1223</f>
        <v>1.3</v>
      </c>
      <c r="G1429" s="62">
        <f>ROUND(SUM(0,G1326),4)</f>
        <v>1.3</v>
      </c>
      <c r="H1429" s="62">
        <f>ROUND((G1429-F1429),4)</f>
        <v>0.0</v>
      </c>
      <c r="I1429" s="9" t="s">
        <v>842</v>
      </c>
    </row>
    <row r="1430" spans="1:12" ht="24" customHeight="1">
      <c r="A1430" s="3" t="s">
        <v>835</v>
      </c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</row>
    <row r="1431" spans="1:12" ht="36" customHeight="1">
      <c r="A1431" s="4" t="s">
        <v>8</v>
      </c>
      <c r="B1431" s="4" t="s">
        <v>163</v>
      </c>
      <c r="C1431" s="4" t="s">
        <v>829</v>
      </c>
      <c r="D1431" s="4" t="s">
        <v>836</v>
      </c>
      <c r="E1431" s="4" t="s">
        <v>837</v>
      </c>
      <c r="F1431" s="4" t="s">
        <v>830</v>
      </c>
      <c r="G1431" s="4" t="s">
        <v>838</v>
      </c>
      <c r="H1431" s="4" t="s">
        <v>839</v>
      </c>
      <c r="I1431" s="4" t="s">
        <v>840</v>
      </c>
    </row>
    <row r="1432" spans="1:12" ht="32" customHeight="1">
      <c r="A1432" s="6">
        <v>5</v>
      </c>
      <c r="B1432" s="6">
        <v>142</v>
      </c>
      <c r="C1432" s="62">
        <f>K1224</f>
        <v>1.3</v>
      </c>
      <c r="D1432" s="62">
        <f>ROUND(SUM(G1327),4)</f>
        <v>1.3</v>
      </c>
      <c r="E1432" s="62">
        <f>ROUND((D1432-C1432),4)</f>
        <v>0.0</v>
      </c>
      <c r="F1432" s="62">
        <f>L1224</f>
        <v>1.3</v>
      </c>
      <c r="G1432" s="62">
        <f>ROUND(SUM(0,G1327),4)</f>
        <v>1.3</v>
      </c>
      <c r="H1432" s="62">
        <f>ROUND((G1432-F1432),4)</f>
        <v>0.0</v>
      </c>
      <c r="I1432" s="9" t="s">
        <v>842</v>
      </c>
    </row>
    <row r="1433" spans="1:12" ht="32" customHeight="1">
      <c r="A1433" s="6">
        <v>5</v>
      </c>
      <c r="B1433" s="6">
        <v>143</v>
      </c>
      <c r="C1433" s="62">
        <f>K1225</f>
        <v>1.3</v>
      </c>
      <c r="D1433" s="62">
        <f>ROUND(SUM(G1330),4)</f>
        <v>1.3</v>
      </c>
      <c r="E1433" s="62">
        <f>ROUND((D1433-C1433),4)</f>
        <v>0.0</v>
      </c>
      <c r="F1433" s="62">
        <f>L1225</f>
        <v>1.3</v>
      </c>
      <c r="G1433" s="62">
        <f>ROUND(SUM(0,G1330),4)</f>
        <v>1.3</v>
      </c>
      <c r="H1433" s="62">
        <f>ROUND((G1433-F1433),4)</f>
        <v>0.0</v>
      </c>
      <c r="I1433" s="9" t="s">
        <v>842</v>
      </c>
    </row>
    <row r="1434" spans="1:12" ht="32" customHeight="1">
      <c r="A1434" s="6">
        <v>5</v>
      </c>
      <c r="B1434" s="6">
        <v>144</v>
      </c>
      <c r="C1434" s="62">
        <f>K1226</f>
        <v>1.3</v>
      </c>
      <c r="D1434" s="62">
        <f>ROUND(SUM(G1331),4)</f>
        <v>1.3</v>
      </c>
      <c r="E1434" s="62">
        <f>ROUND((D1434-C1434),4)</f>
        <v>0.0</v>
      </c>
      <c r="F1434" s="62">
        <f>L1226</f>
        <v>1.3</v>
      </c>
      <c r="G1434" s="62">
        <f>ROUND(SUM(0,G1331),4)</f>
        <v>1.3</v>
      </c>
      <c r="H1434" s="62">
        <f>ROUND((G1434-F1434),4)</f>
        <v>0.0</v>
      </c>
      <c r="I1434" s="9" t="s">
        <v>842</v>
      </c>
    </row>
    <row r="1435" spans="1:12" ht="32" customHeight="1">
      <c r="A1435" s="6">
        <v>5</v>
      </c>
      <c r="B1435" s="6">
        <v>145</v>
      </c>
      <c r="C1435" s="62">
        <f>K1227</f>
        <v>1.3</v>
      </c>
      <c r="D1435" s="62">
        <f>ROUND(SUM(G1332),4)</f>
        <v>1.3</v>
      </c>
      <c r="E1435" s="62">
        <f>ROUND((D1435-C1435),4)</f>
        <v>0.0</v>
      </c>
      <c r="F1435" s="62">
        <f>L1227</f>
        <v>1.3</v>
      </c>
      <c r="G1435" s="62">
        <f>ROUND(SUM(0,G1332),4)</f>
        <v>1.3</v>
      </c>
      <c r="H1435" s="62">
        <f>ROUND((G1435-F1435),4)</f>
        <v>0.0</v>
      </c>
      <c r="I1435" s="9" t="s">
        <v>842</v>
      </c>
    </row>
    <row r="1436" spans="1:12" ht="32" customHeight="1">
      <c r="A1436" s="6">
        <v>5</v>
      </c>
      <c r="B1436" s="6">
        <v>146</v>
      </c>
      <c r="C1436" s="62">
        <f>K1228</f>
        <v>1.2</v>
      </c>
      <c r="D1436" s="62">
        <f>ROUND(SUM(G1333,G1334),4)</f>
        <v>1.2</v>
      </c>
      <c r="E1436" s="62">
        <f>ROUND((D1436-C1436),4)</f>
        <v>0.0</v>
      </c>
      <c r="F1436" s="62">
        <f>L1228</f>
        <v>0.45</v>
      </c>
      <c r="G1436" s="62">
        <f>ROUND(SUM(0,G1333),4)</f>
        <v>0.45</v>
      </c>
      <c r="H1436" s="62">
        <f>ROUND((G1436-F1436),4)</f>
        <v>0.0</v>
      </c>
      <c r="I1436" s="9" t="s">
        <v>842</v>
      </c>
    </row>
    <row r="1437" spans="1:12" ht="32" customHeight="1">
      <c r="A1437" s="6">
        <v>5</v>
      </c>
      <c r="B1437" s="6">
        <v>147</v>
      </c>
      <c r="C1437" s="62">
        <f>K1231</f>
        <v>0.55</v>
      </c>
      <c r="D1437" s="62">
        <f>ROUND(SUM(G1335),4)</f>
        <v>0.55</v>
      </c>
      <c r="E1437" s="62">
        <f>ROUND((D1437-C1437),4)</f>
        <v>0.0</v>
      </c>
      <c r="F1437" s="62">
        <f>L1231</f>
        <v>0.0</v>
      </c>
      <c r="G1437" s="62">
        <f>ROUND(SUM(0),4)</f>
        <v>0.0</v>
      </c>
      <c r="H1437" s="62">
        <f>ROUND((G1437-F1437),4)</f>
        <v>0.0</v>
      </c>
      <c r="I1437" s="9" t="s">
        <v>843</v>
      </c>
    </row>
    <row r="1438" spans="1:12" ht="88" customHeight="1">
      <c r="A1438" s="6">
        <v>6</v>
      </c>
      <c r="B1438" s="6">
        <v>148</v>
      </c>
      <c r="C1438" s="62">
        <f>K1232</f>
        <v>0.65</v>
      </c>
      <c r="D1438" s="62">
        <f>ROUND(SUM(G1336),4)</f>
        <v>0.65</v>
      </c>
      <c r="E1438" s="62">
        <f>ROUND((D1438-C1438),4)</f>
        <v>0.0</v>
      </c>
      <c r="F1438" s="62">
        <f>L1232</f>
        <v>0.0</v>
      </c>
      <c r="G1438" s="62">
        <f>ROUND(SUM(0),4)</f>
        <v>0.0</v>
      </c>
      <c r="H1438" s="62">
        <f>ROUND((G1438-F1438),4)</f>
        <v>0.0</v>
      </c>
      <c r="I1438" s="9" t="s">
        <v>841</v>
      </c>
    </row>
    <row r="1439" spans="1:12" ht="24" customHeight="1">
      <c r="A1439" s="3" t="s">
        <v>835</v>
      </c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</row>
    <row r="1440" spans="1:12" ht="36" customHeight="1">
      <c r="A1440" s="4" t="s">
        <v>8</v>
      </c>
      <c r="B1440" s="4" t="s">
        <v>163</v>
      </c>
      <c r="C1440" s="4" t="s">
        <v>829</v>
      </c>
      <c r="D1440" s="4" t="s">
        <v>836</v>
      </c>
      <c r="E1440" s="4" t="s">
        <v>837</v>
      </c>
      <c r="F1440" s="4" t="s">
        <v>830</v>
      </c>
      <c r="G1440" s="4" t="s">
        <v>838</v>
      </c>
      <c r="H1440" s="4" t="s">
        <v>839</v>
      </c>
      <c r="I1440" s="4" t="s">
        <v>840</v>
      </c>
    </row>
    <row r="1441" spans="1:12" ht="88" customHeight="1">
      <c r="A1441" s="6">
        <v>6</v>
      </c>
      <c r="B1441" s="6">
        <v>149</v>
      </c>
      <c r="C1441" s="62">
        <f>K1233</f>
        <v>1.3</v>
      </c>
      <c r="D1441" s="62">
        <f>ROUND(SUM(G1337,G1338),4)</f>
        <v>1.3</v>
      </c>
      <c r="E1441" s="62">
        <f>ROUND((D1441-C1441),4)</f>
        <v>0.0</v>
      </c>
      <c r="F1441" s="62">
        <f>L1233</f>
        <v>0.0</v>
      </c>
      <c r="G1441" s="62">
        <f>ROUND(SUM(0),4)</f>
        <v>0.0</v>
      </c>
      <c r="H1441" s="62">
        <f>ROUND((G1441-F1441),4)</f>
        <v>0.0</v>
      </c>
      <c r="I1441" s="9" t="s">
        <v>841</v>
      </c>
    </row>
    <row r="1442" spans="1:12" ht="88" customHeight="1">
      <c r="A1442" s="6">
        <v>6</v>
      </c>
      <c r="B1442" s="6">
        <v>150</v>
      </c>
      <c r="C1442" s="62">
        <f>K1234</f>
        <v>1.3</v>
      </c>
      <c r="D1442" s="62">
        <f>ROUND(SUM(G1339,G1340),4)</f>
        <v>1.3</v>
      </c>
      <c r="E1442" s="62">
        <f>ROUND((D1442-C1442),4)</f>
        <v>0.0</v>
      </c>
      <c r="F1442" s="62">
        <f>L1234</f>
        <v>0.0</v>
      </c>
      <c r="G1442" s="62">
        <f>ROUND(SUM(0),4)</f>
        <v>0.0</v>
      </c>
      <c r="H1442" s="62">
        <f>ROUND((G1442-F1442),4)</f>
        <v>0.0</v>
      </c>
      <c r="I1442" s="9" t="s">
        <v>841</v>
      </c>
    </row>
    <row r="1443" spans="1:12" ht="88" customHeight="1">
      <c r="A1443" s="6">
        <v>6</v>
      </c>
      <c r="B1443" s="6">
        <v>151</v>
      </c>
      <c r="C1443" s="62">
        <f>K1235</f>
        <v>1.3</v>
      </c>
      <c r="D1443" s="62">
        <f>ROUND(SUM(G1341),4)</f>
        <v>1.3</v>
      </c>
      <c r="E1443" s="62">
        <f>ROUND((D1443-C1443),4)</f>
        <v>0.0</v>
      </c>
      <c r="F1443" s="62">
        <f>L1235</f>
        <v>0.0</v>
      </c>
      <c r="G1443" s="62">
        <f>ROUND(SUM(0),4)</f>
        <v>0.0</v>
      </c>
      <c r="H1443" s="62">
        <f>ROUND((G1443-F1443),4)</f>
        <v>0.0</v>
      </c>
      <c r="I1443" s="9" t="s">
        <v>841</v>
      </c>
    </row>
    <row r="1444" spans="1:12" ht="32" customHeight="1">
      <c r="A1444" s="6">
        <v>6</v>
      </c>
      <c r="B1444" s="6">
        <v>152</v>
      </c>
      <c r="C1444" s="62">
        <f>K1236</f>
        <v>1.3</v>
      </c>
      <c r="D1444" s="62">
        <f>ROUND(SUM(G1342,G1343,G1344),4)</f>
        <v>1.3</v>
      </c>
      <c r="E1444" s="62">
        <f>ROUND((D1444-C1444),4)</f>
        <v>0.0</v>
      </c>
      <c r="F1444" s="62">
        <f>L1236</f>
        <v>0.905</v>
      </c>
      <c r="G1444" s="62">
        <f>ROUND(SUM(0,G1343,G1344),4)</f>
        <v>0.905</v>
      </c>
      <c r="H1444" s="62">
        <f>ROUND((G1444-F1444),4)</f>
        <v>0.0</v>
      </c>
      <c r="I1444" s="9" t="s">
        <v>842</v>
      </c>
    </row>
    <row r="1445" spans="1:12" ht="32" customHeight="1">
      <c r="A1445" s="6">
        <v>6</v>
      </c>
      <c r="B1445" s="6">
        <v>153</v>
      </c>
      <c r="C1445" s="62">
        <f>K1237</f>
        <v>1.3</v>
      </c>
      <c r="D1445" s="62">
        <f>ROUND(SUM(G1347),4)</f>
        <v>1.3</v>
      </c>
      <c r="E1445" s="62">
        <f>ROUND((D1445-C1445),4)</f>
        <v>0.0</v>
      </c>
      <c r="F1445" s="62">
        <f>L1237</f>
        <v>1.3</v>
      </c>
      <c r="G1445" s="62">
        <f>ROUND(SUM(0,G1347),4)</f>
        <v>1.3</v>
      </c>
      <c r="H1445" s="62">
        <f>ROUND((G1445-F1445),4)</f>
        <v>0.0</v>
      </c>
      <c r="I1445" s="9" t="s">
        <v>842</v>
      </c>
    </row>
    <row r="1446" spans="1:12" ht="24" customHeight="1">
      <c r="A1446" s="3" t="s">
        <v>835</v>
      </c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</row>
    <row r="1447" spans="1:12" ht="36" customHeight="1">
      <c r="A1447" s="4" t="s">
        <v>8</v>
      </c>
      <c r="B1447" s="4" t="s">
        <v>163</v>
      </c>
      <c r="C1447" s="4" t="s">
        <v>829</v>
      </c>
      <c r="D1447" s="4" t="s">
        <v>836</v>
      </c>
      <c r="E1447" s="4" t="s">
        <v>837</v>
      </c>
      <c r="F1447" s="4" t="s">
        <v>830</v>
      </c>
      <c r="G1447" s="4" t="s">
        <v>838</v>
      </c>
      <c r="H1447" s="4" t="s">
        <v>839</v>
      </c>
      <c r="I1447" s="4" t="s">
        <v>840</v>
      </c>
    </row>
    <row r="1448" spans="1:12" ht="32" customHeight="1">
      <c r="A1448" s="6">
        <v>6</v>
      </c>
      <c r="B1448" s="6">
        <v>154</v>
      </c>
      <c r="C1448" s="62">
        <f>K1238</f>
        <v>1.3</v>
      </c>
      <c r="D1448" s="62">
        <f>ROUND(SUM(G1348,G1349),4)</f>
        <v>1.3</v>
      </c>
      <c r="E1448" s="62">
        <f>ROUND((D1448-C1448),4)</f>
        <v>0.0</v>
      </c>
      <c r="F1448" s="62">
        <f>L1238</f>
        <v>1.3</v>
      </c>
      <c r="G1448" s="62">
        <f>ROUND(SUM(0,G1348,G1349),4)</f>
        <v>1.3</v>
      </c>
      <c r="H1448" s="62">
        <f>ROUND((G1448-F1448),4)</f>
        <v>0.0</v>
      </c>
      <c r="I1448" s="9" t="s">
        <v>842</v>
      </c>
    </row>
    <row r="1449" spans="1:12" ht="32" customHeight="1">
      <c r="A1449" s="6">
        <v>6</v>
      </c>
      <c r="B1449" s="6">
        <v>155</v>
      </c>
      <c r="C1449" s="62">
        <f>K1239</f>
        <v>1.3</v>
      </c>
      <c r="D1449" s="62">
        <f>ROUND(SUM(G1350,G1351),4)</f>
        <v>1.3</v>
      </c>
      <c r="E1449" s="62">
        <f>ROUND((D1449-C1449),4)</f>
        <v>0.0</v>
      </c>
      <c r="F1449" s="62">
        <f>L1239</f>
        <v>1.3</v>
      </c>
      <c r="G1449" s="62">
        <f>ROUND(SUM(0,G1350,G1351),4)</f>
        <v>1.3</v>
      </c>
      <c r="H1449" s="62">
        <f>ROUND((G1449-F1449),4)</f>
        <v>0.0</v>
      </c>
      <c r="I1449" s="9" t="s">
        <v>842</v>
      </c>
    </row>
    <row r="1450" spans="1:12" ht="32" customHeight="1">
      <c r="A1450" s="6">
        <v>6</v>
      </c>
      <c r="B1450" s="6">
        <v>156</v>
      </c>
      <c r="C1450" s="62">
        <f>K1240</f>
        <v>1.3</v>
      </c>
      <c r="D1450" s="62">
        <f>ROUND(SUM(G1352),4)</f>
        <v>1.3</v>
      </c>
      <c r="E1450" s="62">
        <f>ROUND((D1450-C1450),4)</f>
        <v>0.0</v>
      </c>
      <c r="F1450" s="62">
        <f>L1240</f>
        <v>1.3</v>
      </c>
      <c r="G1450" s="62">
        <f>ROUND(SUM(0,G1352),4)</f>
        <v>1.3</v>
      </c>
      <c r="H1450" s="62">
        <f>ROUND((G1450-F1450),4)</f>
        <v>0.0</v>
      </c>
      <c r="I1450" s="9" t="s">
        <v>842</v>
      </c>
    </row>
    <row r="1451" spans="1:12" ht="32" customHeight="1">
      <c r="A1451" s="6">
        <v>6</v>
      </c>
      <c r="B1451" s="6">
        <v>157</v>
      </c>
      <c r="C1451" s="62">
        <f>K1241</f>
        <v>1.3</v>
      </c>
      <c r="D1451" s="62">
        <f>ROUND(SUM(G1353),4)</f>
        <v>1.3</v>
      </c>
      <c r="E1451" s="62">
        <f>ROUND((D1451-C1451),4)</f>
        <v>0.0</v>
      </c>
      <c r="F1451" s="62">
        <f>L1241</f>
        <v>1.3</v>
      </c>
      <c r="G1451" s="62">
        <f>ROUND(SUM(0,G1353),4)</f>
        <v>1.3</v>
      </c>
      <c r="H1451" s="62">
        <f>ROUND((G1451-F1451),4)</f>
        <v>0.0</v>
      </c>
      <c r="I1451" s="9" t="s">
        <v>842</v>
      </c>
    </row>
    <row r="1452" spans="1:12" ht="32" customHeight="1">
      <c r="A1452" s="6">
        <v>6</v>
      </c>
      <c r="B1452" s="6">
        <v>158</v>
      </c>
      <c r="C1452" s="62">
        <f>K1242</f>
        <v>1.3</v>
      </c>
      <c r="D1452" s="62">
        <f>ROUND(SUM(G1354),4)</f>
        <v>1.3</v>
      </c>
      <c r="E1452" s="62">
        <f>ROUND((D1452-C1452),4)</f>
        <v>0.0</v>
      </c>
      <c r="F1452" s="62">
        <f>L1242</f>
        <v>1.3</v>
      </c>
      <c r="G1452" s="62">
        <f>ROUND(SUM(0,G1354),4)</f>
        <v>1.3</v>
      </c>
      <c r="H1452" s="62">
        <f>ROUND((G1452-F1452),4)</f>
        <v>0.0</v>
      </c>
      <c r="I1452" s="9" t="s">
        <v>842</v>
      </c>
    </row>
    <row r="1453" spans="1:12" ht="32" customHeight="1">
      <c r="A1453" s="6">
        <v>6</v>
      </c>
      <c r="B1453" s="6">
        <v>159</v>
      </c>
      <c r="C1453" s="62">
        <f>K1243</f>
        <v>1.3</v>
      </c>
      <c r="D1453" s="62">
        <f>ROUND(SUM(G1355),4)</f>
        <v>1.3</v>
      </c>
      <c r="E1453" s="62">
        <f>ROUND((D1453-C1453),4)</f>
        <v>0.0</v>
      </c>
      <c r="F1453" s="62">
        <f>L1243</f>
        <v>1.3</v>
      </c>
      <c r="G1453" s="62">
        <f>ROUND(SUM(0,G1355),4)</f>
        <v>1.3</v>
      </c>
      <c r="H1453" s="62">
        <f>ROUND((G1453-F1453),4)</f>
        <v>0.0</v>
      </c>
      <c r="I1453" s="9" t="s">
        <v>842</v>
      </c>
    </row>
    <row r="1454" spans="1:12" ht="32" customHeight="1">
      <c r="A1454" s="6">
        <v>6</v>
      </c>
      <c r="B1454" s="6">
        <v>160</v>
      </c>
      <c r="C1454" s="62">
        <f>K1244</f>
        <v>1.3</v>
      </c>
      <c r="D1454" s="62">
        <f>ROUND(SUM(G1356),4)</f>
        <v>1.3</v>
      </c>
      <c r="E1454" s="62">
        <f>ROUND((D1454-C1454),4)</f>
        <v>0.0</v>
      </c>
      <c r="F1454" s="62">
        <f>L1244</f>
        <v>1.3</v>
      </c>
      <c r="G1454" s="62">
        <f>ROUND(SUM(0,G1356),4)</f>
        <v>1.3</v>
      </c>
      <c r="H1454" s="62">
        <f>ROUND((G1454-F1454),4)</f>
        <v>0.0</v>
      </c>
      <c r="I1454" s="9" t="s">
        <v>842</v>
      </c>
    </row>
    <row r="1455" spans="1:12" ht="32" customHeight="1">
      <c r="A1455" s="6">
        <v>6</v>
      </c>
      <c r="B1455" s="6">
        <v>161</v>
      </c>
      <c r="C1455" s="62">
        <f>K1245</f>
        <v>1.3</v>
      </c>
      <c r="D1455" s="62">
        <f>ROUND(SUM(G1357),4)</f>
        <v>1.3</v>
      </c>
      <c r="E1455" s="62">
        <f>ROUND((D1455-C1455),4)</f>
        <v>0.0</v>
      </c>
      <c r="F1455" s="62">
        <f>L1245</f>
        <v>1.3</v>
      </c>
      <c r="G1455" s="62">
        <f>ROUND(SUM(0,G1357),4)</f>
        <v>1.3</v>
      </c>
      <c r="H1455" s="62">
        <f>ROUND((G1455-F1455),4)</f>
        <v>0.0</v>
      </c>
      <c r="I1455" s="9" t="s">
        <v>842</v>
      </c>
    </row>
    <row r="1456" spans="1:12" ht="32" customHeight="1">
      <c r="A1456" s="6">
        <v>6</v>
      </c>
      <c r="B1456" s="6">
        <v>162</v>
      </c>
      <c r="C1456" s="62">
        <f>K1248</f>
        <v>1.3</v>
      </c>
      <c r="D1456" s="62">
        <f>ROUND(SUM(G1358,G1359),4)</f>
        <v>1.3</v>
      </c>
      <c r="E1456" s="62">
        <f>ROUND((D1456-C1456),4)</f>
        <v>0.0</v>
      </c>
      <c r="F1456" s="62">
        <f>L1248</f>
        <v>1.3</v>
      </c>
      <c r="G1456" s="62">
        <f>ROUND(SUM(0,G1358,G1359),4)</f>
        <v>1.3</v>
      </c>
      <c r="H1456" s="62">
        <f>ROUND((G1456-F1456),4)</f>
        <v>0.0</v>
      </c>
      <c r="I1456" s="9" t="s">
        <v>842</v>
      </c>
    </row>
    <row r="1457" spans="1:12" ht="32" customHeight="1">
      <c r="A1457" s="6">
        <v>6</v>
      </c>
      <c r="B1457" s="6">
        <v>163</v>
      </c>
      <c r="C1457" s="62">
        <f>K1249</f>
        <v>1.3</v>
      </c>
      <c r="D1457" s="62">
        <f>ROUND(SUM(G1360),4)</f>
        <v>1.3</v>
      </c>
      <c r="E1457" s="62">
        <f>ROUND((D1457-C1457),4)</f>
        <v>0.0</v>
      </c>
      <c r="F1457" s="62">
        <f>L1249</f>
        <v>1.3</v>
      </c>
      <c r="G1457" s="62">
        <f>ROUND(SUM(0,G1360),4)</f>
        <v>1.3</v>
      </c>
      <c r="H1457" s="62">
        <f>ROUND((G1457-F1457),4)</f>
        <v>0.0</v>
      </c>
      <c r="I1457" s="9" t="s">
        <v>842</v>
      </c>
    </row>
    <row r="1458" spans="1:12" ht="24" customHeight="1">
      <c r="A1458" s="3" t="s">
        <v>835</v>
      </c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</row>
    <row r="1459" spans="1:12" ht="36" customHeight="1">
      <c r="A1459" s="4" t="s">
        <v>8</v>
      </c>
      <c r="B1459" s="4" t="s">
        <v>163</v>
      </c>
      <c r="C1459" s="4" t="s">
        <v>829</v>
      </c>
      <c r="D1459" s="4" t="s">
        <v>836</v>
      </c>
      <c r="E1459" s="4" t="s">
        <v>837</v>
      </c>
      <c r="F1459" s="4" t="s">
        <v>830</v>
      </c>
      <c r="G1459" s="4" t="s">
        <v>838</v>
      </c>
      <c r="H1459" s="4" t="s">
        <v>839</v>
      </c>
      <c r="I1459" s="4" t="s">
        <v>840</v>
      </c>
    </row>
    <row r="1460" spans="1:12" ht="32" customHeight="1">
      <c r="A1460" s="6">
        <v>6</v>
      </c>
      <c r="B1460" s="6">
        <v>164</v>
      </c>
      <c r="C1460" s="62">
        <f>K1250</f>
        <v>1.3</v>
      </c>
      <c r="D1460" s="62">
        <f>ROUND(SUM(G1361),4)</f>
        <v>1.3</v>
      </c>
      <c r="E1460" s="62">
        <f>ROUND((D1460-C1460),4)</f>
        <v>0.0</v>
      </c>
      <c r="F1460" s="62">
        <f>L1250</f>
        <v>1.3</v>
      </c>
      <c r="G1460" s="62">
        <f>ROUND(SUM(0,G1361),4)</f>
        <v>1.3</v>
      </c>
      <c r="H1460" s="62">
        <f>ROUND((G1460-F1460),4)</f>
        <v>0.0</v>
      </c>
      <c r="I1460" s="9" t="s">
        <v>842</v>
      </c>
    </row>
    <row r="1461" spans="1:12" ht="32" customHeight="1">
      <c r="A1461" s="6">
        <v>6</v>
      </c>
      <c r="B1461" s="6">
        <v>165</v>
      </c>
      <c r="C1461" s="62">
        <f>K1251</f>
        <v>1.3</v>
      </c>
      <c r="D1461" s="62">
        <f>ROUND(SUM(G1364),4)</f>
        <v>1.3</v>
      </c>
      <c r="E1461" s="62">
        <f>ROUND((D1461-C1461),4)</f>
        <v>0.0</v>
      </c>
      <c r="F1461" s="62">
        <f>L1251</f>
        <v>1.3</v>
      </c>
      <c r="G1461" s="62">
        <f>ROUND(SUM(0,G1364),4)</f>
        <v>1.3</v>
      </c>
      <c r="H1461" s="62">
        <f>ROUND((G1461-F1461),4)</f>
        <v>0.0</v>
      </c>
      <c r="I1461" s="9" t="s">
        <v>842</v>
      </c>
    </row>
    <row r="1462" spans="1:12" ht="32" customHeight="1">
      <c r="A1462" s="6">
        <v>6</v>
      </c>
      <c r="B1462" s="6">
        <v>166</v>
      </c>
      <c r="C1462" s="62">
        <f>K1252</f>
        <v>1.3</v>
      </c>
      <c r="D1462" s="62">
        <f>ROUND(SUM(G1365),4)</f>
        <v>1.3</v>
      </c>
      <c r="E1462" s="62">
        <f>ROUND((D1462-C1462),4)</f>
        <v>0.0</v>
      </c>
      <c r="F1462" s="62">
        <f>L1252</f>
        <v>1.3</v>
      </c>
      <c r="G1462" s="62">
        <f>ROUND(SUM(0,G1365),4)</f>
        <v>1.3</v>
      </c>
      <c r="H1462" s="62">
        <f>ROUND((G1462-F1462),4)</f>
        <v>0.0</v>
      </c>
      <c r="I1462" s="9" t="s">
        <v>842</v>
      </c>
    </row>
    <row r="1463" spans="1:12" ht="32" customHeight="1">
      <c r="A1463" s="6">
        <v>6</v>
      </c>
      <c r="B1463" s="6">
        <v>167</v>
      </c>
      <c r="C1463" s="62">
        <f>K1253</f>
        <v>1.3</v>
      </c>
      <c r="D1463" s="62">
        <f>ROUND(SUM(G1366),4)</f>
        <v>1.3</v>
      </c>
      <c r="E1463" s="62">
        <f>ROUND((D1463-C1463),4)</f>
        <v>0.0</v>
      </c>
      <c r="F1463" s="62">
        <f>L1253</f>
        <v>1.3</v>
      </c>
      <c r="G1463" s="62">
        <f>ROUND(SUM(0,G1366),4)</f>
        <v>1.3</v>
      </c>
      <c r="H1463" s="62">
        <f>ROUND((G1463-F1463),4)</f>
        <v>0.0</v>
      </c>
      <c r="I1463" s="9" t="s">
        <v>842</v>
      </c>
    </row>
    <row r="1464" spans="1:12" ht="32" customHeight="1">
      <c r="A1464" s="6">
        <v>6</v>
      </c>
      <c r="B1464" s="6">
        <v>168</v>
      </c>
      <c r="C1464" s="62">
        <f>K1254</f>
        <v>1.3</v>
      </c>
      <c r="D1464" s="62">
        <f>ROUND(SUM(G1367),4)</f>
        <v>1.3</v>
      </c>
      <c r="E1464" s="62">
        <f>ROUND((D1464-C1464),4)</f>
        <v>0.0</v>
      </c>
      <c r="F1464" s="62">
        <f>L1254</f>
        <v>1.3</v>
      </c>
      <c r="G1464" s="62">
        <f>ROUND(SUM(0,G1367),4)</f>
        <v>1.3</v>
      </c>
      <c r="H1464" s="62">
        <f>ROUND((G1464-F1464),4)</f>
        <v>0.0</v>
      </c>
      <c r="I1464" s="9" t="s">
        <v>842</v>
      </c>
    </row>
    <row r="1465" spans="1:12" ht="32" customHeight="1">
      <c r="A1465" s="6">
        <v>6</v>
      </c>
      <c r="B1465" s="6">
        <v>169</v>
      </c>
      <c r="C1465" s="62">
        <f>K1255</f>
        <v>1.3</v>
      </c>
      <c r="D1465" s="62">
        <f>ROUND(SUM(G1368),4)</f>
        <v>1.3</v>
      </c>
      <c r="E1465" s="62">
        <f>ROUND((D1465-C1465),4)</f>
        <v>0.0</v>
      </c>
      <c r="F1465" s="62">
        <f>L1255</f>
        <v>1.3</v>
      </c>
      <c r="G1465" s="62">
        <f>ROUND(SUM(0,G1368),4)</f>
        <v>1.3</v>
      </c>
      <c r="H1465" s="62">
        <f>ROUND((G1465-F1465),4)</f>
        <v>0.0</v>
      </c>
      <c r="I1465" s="9" t="s">
        <v>842</v>
      </c>
    </row>
    <row r="1466" spans="1:12" ht="32" customHeight="1">
      <c r="A1466" s="6">
        <v>6</v>
      </c>
      <c r="B1466" s="6">
        <v>170</v>
      </c>
      <c r="C1466" s="62">
        <f>K1256</f>
        <v>1.3</v>
      </c>
      <c r="D1466" s="62">
        <f>ROUND(SUM(G1369),4)</f>
        <v>1.3</v>
      </c>
      <c r="E1466" s="62">
        <f>ROUND((D1466-C1466),4)</f>
        <v>0.0</v>
      </c>
      <c r="F1466" s="62">
        <f>L1256</f>
        <v>1.3</v>
      </c>
      <c r="G1466" s="62">
        <f>ROUND(SUM(0,G1369),4)</f>
        <v>1.3</v>
      </c>
      <c r="H1466" s="62">
        <f>ROUND((G1466-F1466),4)</f>
        <v>0.0</v>
      </c>
      <c r="I1466" s="9" t="s">
        <v>842</v>
      </c>
    </row>
    <row r="1467" spans="1:12" ht="32" customHeight="1">
      <c r="A1467" s="6">
        <v>6</v>
      </c>
      <c r="B1467" s="6">
        <v>171</v>
      </c>
      <c r="C1467" s="62">
        <f>K1257</f>
        <v>1.2</v>
      </c>
      <c r="D1467" s="62">
        <f>ROUND(SUM(G1370,G1371),4)</f>
        <v>1.2</v>
      </c>
      <c r="E1467" s="62">
        <f>ROUND((D1467-C1467),4)</f>
        <v>0.0</v>
      </c>
      <c r="F1467" s="62">
        <f>L1257</f>
        <v>0.45</v>
      </c>
      <c r="G1467" s="62">
        <f>ROUND(SUM(0,G1370),4)</f>
        <v>0.45</v>
      </c>
      <c r="H1467" s="62">
        <f>ROUND((G1467-F1467),4)</f>
        <v>0.0</v>
      </c>
      <c r="I1467" s="9" t="s">
        <v>842</v>
      </c>
    </row>
    <row r="1468" spans="1:12" ht="32" customHeight="1">
      <c r="A1468" s="6">
        <v>6</v>
      </c>
      <c r="B1468" s="6">
        <v>172</v>
      </c>
      <c r="C1468" s="62">
        <f>K1258</f>
        <v>0.55</v>
      </c>
      <c r="D1468" s="62">
        <f>ROUND(SUM(G1372),4)</f>
        <v>0.55</v>
      </c>
      <c r="E1468" s="62">
        <f>ROUND((D1468-C1468),4)</f>
        <v>0.0</v>
      </c>
      <c r="F1468" s="62">
        <f>L1258</f>
        <v>0.0</v>
      </c>
      <c r="G1468" s="62">
        <f>ROUND(SUM(0),4)</f>
        <v>0.0</v>
      </c>
      <c r="H1468" s="62">
        <f>ROUND((G1468-F1468),4)</f>
        <v>0.0</v>
      </c>
      <c r="I1468" s="9" t="s">
        <v>843</v>
      </c>
    </row>
    <row r="1469" spans="1:12" ht="23" customHeight="1"/>
    <row r="1470" spans="1:12" ht="24" customHeight="1">
      <c r="A1470" s="3" t="s">
        <v>844</v>
      </c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</row>
    <row r="1471" spans="1:12" ht="46" customHeight="1">
      <c r="A1471" s="4" t="s">
        <v>8</v>
      </c>
      <c r="B1471" s="4" t="s">
        <v>9</v>
      </c>
      <c r="C1471" s="4" t="s">
        <v>845</v>
      </c>
      <c r="D1471" s="4" t="s">
        <v>846</v>
      </c>
      <c r="E1471" s="4" t="s">
        <v>847</v>
      </c>
      <c r="F1471" s="4" t="s">
        <v>848</v>
      </c>
      <c r="G1471" s="4" t="s">
        <v>849</v>
      </c>
      <c r="H1471" s="4" t="s">
        <v>850</v>
      </c>
      <c r="I1471" s="4" t="s">
        <v>851</v>
      </c>
      <c r="J1471" s="4" t="s">
        <v>852</v>
      </c>
      <c r="K1471" s="4" t="s">
        <v>853</v>
      </c>
      <c r="L1471" s="4" t="s">
        <v>854</v>
      </c>
    </row>
    <row r="1472" spans="1:12" ht="23" customHeight="1">
      <c r="A1472" s="6">
        <v>4</v>
      </c>
      <c r="B1472" s="6">
        <v>1</v>
      </c>
      <c r="C1472" s="5" t="s">
        <v>579</v>
      </c>
      <c r="D1472" s="5" t="s">
        <v>855</v>
      </c>
      <c r="E1472" s="9">
        <f>'杭周面ばね'!G9</f>
        <v>51628.885</v>
      </c>
      <c r="F1472" s="6">
        <f>ROUND(E1472,0)</f>
        <v>51629.0</v>
      </c>
      <c r="G1472" s="7">
        <v>51629</v>
      </c>
      <c r="H1472" s="9">
        <f>(F1472-G1472)</f>
        <v>0.0</v>
      </c>
      <c r="I1472" s="9">
        <f>'杭周面の支持力'!G9</f>
        <v>433.7705</v>
      </c>
      <c r="J1472" s="11">
        <f>ROUND(I1472,1)</f>
        <v>433.8</v>
      </c>
      <c r="K1472" s="8">
        <v>433.8</v>
      </c>
      <c r="L1472" s="9">
        <f>(J1472-K1472)</f>
        <v>0.0</v>
      </c>
    </row>
    <row r="1473" spans="1:12" ht="23" customHeight="1">
      <c r="A1473" s="6">
        <v>4</v>
      </c>
      <c r="B1473" s="6">
        <v>1</v>
      </c>
      <c r="C1473" s="5" t="s">
        <v>580</v>
      </c>
      <c r="D1473" s="5" t="s">
        <v>856</v>
      </c>
      <c r="E1473" s="9">
        <f>'杭周面ばね'!G12</f>
        <v>145626.0</v>
      </c>
      <c r="F1473" s="6">
        <f>ROUND(E1473,0)</f>
        <v>145626.0</v>
      </c>
      <c r="G1473" s="7">
        <v>145626</v>
      </c>
      <c r="H1473" s="9">
        <f>(F1473-G1473)</f>
        <v>0.0</v>
      </c>
      <c r="I1473" s="9">
        <f>'杭周面の支持力'!G12</f>
        <v>1834.95</v>
      </c>
      <c r="J1473" s="11">
        <f>ROUND(I1473,1)</f>
        <v>1835.0</v>
      </c>
      <c r="K1473" s="7">
        <v>1835</v>
      </c>
      <c r="L1473" s="9">
        <f>(J1473-K1473)</f>
        <v>0.0</v>
      </c>
    </row>
    <row r="1474" spans="1:12" ht="23" customHeight="1">
      <c r="A1474" s="6">
        <v>4</v>
      </c>
      <c r="B1474" s="6">
        <v>1</v>
      </c>
      <c r="C1474" s="5" t="s">
        <v>581</v>
      </c>
      <c r="D1474" s="5" t="s">
        <v>857</v>
      </c>
      <c r="E1474" s="9">
        <f>'杭周面ばね'!G13</f>
        <v>155633.69999999998</v>
      </c>
      <c r="F1474" s="6">
        <f>ROUND(E1474,0)</f>
        <v>155634.0</v>
      </c>
      <c r="G1474" s="7">
        <v>155634</v>
      </c>
      <c r="H1474" s="9">
        <f>(F1474-G1474)</f>
        <v>0.0</v>
      </c>
      <c r="I1474" s="9">
        <f>'杭周面の支持力'!G13</f>
        <v>1794.36</v>
      </c>
      <c r="J1474" s="11">
        <f>ROUND(I1474,1)</f>
        <v>1794.4</v>
      </c>
      <c r="K1474" s="8">
        <v>1794.4</v>
      </c>
      <c r="L1474" s="9">
        <f>(J1474-K1474)</f>
        <v>0.0</v>
      </c>
    </row>
    <row r="1475" spans="1:12" ht="23" customHeight="1">
      <c r="A1475" s="6">
        <v>4</v>
      </c>
      <c r="B1475" s="6">
        <v>1</v>
      </c>
      <c r="C1475" s="5" t="s">
        <v>582</v>
      </c>
      <c r="D1475" s="5" t="s">
        <v>858</v>
      </c>
      <c r="E1475" s="9">
        <f>'杭周面ばね'!G15</f>
        <v>223256.75</v>
      </c>
      <c r="F1475" s="6">
        <f>ROUND(E1475,0)</f>
        <v>223257.0</v>
      </c>
      <c r="G1475" s="7">
        <v>223257</v>
      </c>
      <c r="H1475" s="9">
        <f>(F1475-G1475)</f>
        <v>0.0</v>
      </c>
      <c r="I1475" s="9">
        <f>'杭周面の支持力'!G15</f>
        <v>2313.025</v>
      </c>
      <c r="J1475" s="11">
        <f>ROUND(I1475,1)</f>
        <v>2313.0</v>
      </c>
      <c r="K1475" s="7">
        <v>2313</v>
      </c>
      <c r="L1475" s="9">
        <f>(J1475-K1475)</f>
        <v>0.0</v>
      </c>
    </row>
    <row r="1476" spans="1:12" ht="23" customHeight="1">
      <c r="A1476" s="6">
        <v>4</v>
      </c>
      <c r="B1476" s="6">
        <v>1</v>
      </c>
      <c r="C1476" s="5" t="s">
        <v>583</v>
      </c>
      <c r="D1476" s="5" t="s">
        <v>859</v>
      </c>
      <c r="E1476" s="9">
        <f>'杭周面ばね'!G17</f>
        <v>218437.7</v>
      </c>
      <c r="F1476" s="6">
        <f>ROUND(E1476,0)</f>
        <v>218438.0</v>
      </c>
      <c r="G1476" s="7">
        <v>218438</v>
      </c>
      <c r="H1476" s="9">
        <f>(F1476-G1476)</f>
        <v>0.0</v>
      </c>
      <c r="I1476" s="9">
        <f>'杭周面の支持力'!G17</f>
        <v>2752.3599999999997</v>
      </c>
      <c r="J1476" s="11">
        <f>ROUND(I1476,1)</f>
        <v>2752.4</v>
      </c>
      <c r="K1476" s="8">
        <v>2752.4</v>
      </c>
      <c r="L1476" s="9">
        <f>(J1476-K1476)</f>
        <v>0.0</v>
      </c>
    </row>
    <row r="1477" spans="1:12" ht="23" customHeight="1">
      <c r="A1477" s="6">
        <v>4</v>
      </c>
      <c r="B1477" s="6">
        <v>1</v>
      </c>
      <c r="C1477" s="5" t="s">
        <v>584</v>
      </c>
      <c r="D1477" s="5" t="s">
        <v>860</v>
      </c>
      <c r="E1477" s="9">
        <f>'杭周面ばね'!G18</f>
        <v>218437.7</v>
      </c>
      <c r="F1477" s="6">
        <f>ROUND(E1477,0)</f>
        <v>218438.0</v>
      </c>
      <c r="G1477" s="7">
        <v>218438</v>
      </c>
      <c r="H1477" s="9">
        <f>(F1477-G1477)</f>
        <v>0.0</v>
      </c>
      <c r="I1477" s="9">
        <f>'杭周面の支持力'!G18</f>
        <v>2752.3599999999997</v>
      </c>
      <c r="J1477" s="11">
        <f>ROUND(I1477,1)</f>
        <v>2752.4</v>
      </c>
      <c r="K1477" s="8">
        <v>2752.4</v>
      </c>
      <c r="L1477" s="9">
        <f>(J1477-K1477)</f>
        <v>0.0</v>
      </c>
    </row>
    <row r="1478" spans="1:12" ht="23" customHeight="1">
      <c r="A1478" s="6">
        <v>4</v>
      </c>
      <c r="B1478" s="6">
        <v>1</v>
      </c>
      <c r="C1478" s="5" t="s">
        <v>585</v>
      </c>
      <c r="D1478" s="5" t="s">
        <v>861</v>
      </c>
      <c r="E1478" s="9">
        <f>'杭周面ばね'!G19</f>
        <v>218437.7</v>
      </c>
      <c r="F1478" s="6">
        <f>ROUND(E1478,0)</f>
        <v>218438.0</v>
      </c>
      <c r="G1478" s="7">
        <v>218438</v>
      </c>
      <c r="H1478" s="9">
        <f>(F1478-G1478)</f>
        <v>0.0</v>
      </c>
      <c r="I1478" s="9">
        <f>'杭周面の支持力'!G19</f>
        <v>2752.3599999999997</v>
      </c>
      <c r="J1478" s="11">
        <f>ROUND(I1478,1)</f>
        <v>2752.4</v>
      </c>
      <c r="K1478" s="8">
        <v>2752.4</v>
      </c>
      <c r="L1478" s="9">
        <f>(J1478-K1478)</f>
        <v>0.0</v>
      </c>
    </row>
    <row r="1479" spans="1:12" ht="23" customHeight="1">
      <c r="A1479" s="6">
        <v>4</v>
      </c>
      <c r="B1479" s="6">
        <v>1</v>
      </c>
      <c r="C1479" s="5" t="s">
        <v>586</v>
      </c>
      <c r="D1479" s="5" t="s">
        <v>862</v>
      </c>
      <c r="E1479" s="9">
        <f>'杭周面ばね'!G20</f>
        <v>218437.7</v>
      </c>
      <c r="F1479" s="6">
        <f>ROUND(E1479,0)</f>
        <v>218438.0</v>
      </c>
      <c r="G1479" s="7">
        <v>218438</v>
      </c>
      <c r="H1479" s="9">
        <f>(F1479-G1479)</f>
        <v>0.0</v>
      </c>
      <c r="I1479" s="9">
        <f>'杭周面の支持力'!G20</f>
        <v>2752.3599999999997</v>
      </c>
      <c r="J1479" s="11">
        <f>ROUND(I1479,1)</f>
        <v>2752.4</v>
      </c>
      <c r="K1479" s="8">
        <v>2752.4</v>
      </c>
      <c r="L1479" s="9">
        <f>(J1479-K1479)</f>
        <v>0.0</v>
      </c>
    </row>
    <row r="1480" spans="1:12" ht="23" customHeight="1">
      <c r="A1480" s="6">
        <v>4</v>
      </c>
      <c r="B1480" s="6">
        <v>1</v>
      </c>
      <c r="C1480" s="5" t="s">
        <v>587</v>
      </c>
      <c r="D1480" s="5" t="s">
        <v>863</v>
      </c>
      <c r="E1480" s="9">
        <f>'杭周面ばね'!G21</f>
        <v>218437.7</v>
      </c>
      <c r="F1480" s="6">
        <f>ROUND(E1480,0)</f>
        <v>218438.0</v>
      </c>
      <c r="G1480" s="7">
        <v>218438</v>
      </c>
      <c r="H1480" s="9">
        <f>(F1480-G1480)</f>
        <v>0.0</v>
      </c>
      <c r="I1480" s="9">
        <f>'杭周面の支持力'!G21</f>
        <v>2752.3599999999997</v>
      </c>
      <c r="J1480" s="11">
        <f>ROUND(I1480,1)</f>
        <v>2752.4</v>
      </c>
      <c r="K1480" s="8">
        <v>2752.4</v>
      </c>
      <c r="L1480" s="9">
        <f>(J1480-K1480)</f>
        <v>0.0</v>
      </c>
    </row>
    <row r="1481" spans="1:12" ht="23" customHeight="1">
      <c r="A1481" s="6">
        <v>4</v>
      </c>
      <c r="B1481" s="6">
        <v>1</v>
      </c>
      <c r="C1481" s="5" t="s">
        <v>588</v>
      </c>
      <c r="D1481" s="5" t="s">
        <v>864</v>
      </c>
      <c r="E1481" s="9">
        <f>'杭周面ばね'!G22</f>
        <v>218437.7</v>
      </c>
      <c r="F1481" s="6">
        <f>ROUND(E1481,0)</f>
        <v>218438.0</v>
      </c>
      <c r="G1481" s="7">
        <v>218438</v>
      </c>
      <c r="H1481" s="9">
        <f>(F1481-G1481)</f>
        <v>0.0</v>
      </c>
      <c r="I1481" s="9">
        <f>'杭周面の支持力'!G22</f>
        <v>2752.3599999999997</v>
      </c>
      <c r="J1481" s="11">
        <f>ROUND(I1481,1)</f>
        <v>2752.4</v>
      </c>
      <c r="K1481" s="8">
        <v>2752.4</v>
      </c>
      <c r="L1481" s="9">
        <f>(J1481-K1481)</f>
        <v>0.0</v>
      </c>
    </row>
    <row r="1482" spans="1:12" ht="23" customHeight="1">
      <c r="A1482" s="6">
        <v>4</v>
      </c>
      <c r="B1482" s="6">
        <v>1</v>
      </c>
      <c r="C1482" s="5" t="s">
        <v>589</v>
      </c>
      <c r="D1482" s="5" t="s">
        <v>865</v>
      </c>
      <c r="E1482" s="9">
        <f>'杭周面ばね'!G23</f>
        <v>179148.65</v>
      </c>
      <c r="F1482" s="6">
        <f>ROUND(E1482,0)</f>
        <v>179149.0</v>
      </c>
      <c r="G1482" s="7">
        <v>179149</v>
      </c>
      <c r="H1482" s="9">
        <f>(F1482-G1482)</f>
        <v>0.0</v>
      </c>
      <c r="I1482" s="9">
        <f>'杭周面の支持力'!G23</f>
        <v>2032.495</v>
      </c>
      <c r="J1482" s="11">
        <f>ROUND(I1482,1)</f>
        <v>2032.5</v>
      </c>
      <c r="K1482" s="8">
        <v>2032.5</v>
      </c>
      <c r="L1482" s="9">
        <f>(J1482-K1482)</f>
        <v>0.0</v>
      </c>
    </row>
    <row r="1483" spans="1:12" ht="23" customHeight="1">
      <c r="A1483" s="6">
        <v>4</v>
      </c>
      <c r="B1483" s="6">
        <v>1</v>
      </c>
      <c r="C1483" s="5" t="s">
        <v>590</v>
      </c>
      <c r="D1483" s="5" t="s">
        <v>866</v>
      </c>
      <c r="E1483" s="9">
        <f>'杭周面ばね'!G25</f>
        <v>104936.0</v>
      </c>
      <c r="F1483" s="6">
        <f>ROUND(E1483,0)</f>
        <v>104936.0</v>
      </c>
      <c r="G1483" s="7">
        <v>104936</v>
      </c>
      <c r="H1483" s="9">
        <f>(F1483-G1483)</f>
        <v>0.0</v>
      </c>
      <c r="I1483" s="9">
        <f>'杭周面の支持力'!G25</f>
        <v>672.75</v>
      </c>
      <c r="J1483" s="11">
        <f>ROUND(I1483,1)</f>
        <v>672.8</v>
      </c>
      <c r="K1483" s="8">
        <v>672.8</v>
      </c>
      <c r="L1483" s="9">
        <f>(J1483-K1483)</f>
        <v>0.0</v>
      </c>
    </row>
    <row r="1484" spans="1:12" ht="23" customHeight="1">
      <c r="A1484" s="6">
        <v>4</v>
      </c>
      <c r="B1484" s="6">
        <v>1</v>
      </c>
      <c r="C1484" s="5" t="s">
        <v>591</v>
      </c>
      <c r="D1484" s="5" t="s">
        <v>867</v>
      </c>
      <c r="E1484" s="9">
        <f>'杭周面ばね'!G26</f>
        <v>104936.0</v>
      </c>
      <c r="F1484" s="6">
        <f>ROUND(E1484,0)</f>
        <v>104936.0</v>
      </c>
      <c r="G1484" s="7">
        <v>104936</v>
      </c>
      <c r="H1484" s="9">
        <f>(F1484-G1484)</f>
        <v>0.0</v>
      </c>
      <c r="I1484" s="9">
        <f>'杭周面の支持力'!G26</f>
        <v>672.75</v>
      </c>
      <c r="J1484" s="11">
        <f>ROUND(I1484,1)</f>
        <v>672.8</v>
      </c>
      <c r="K1484" s="8">
        <v>672.8</v>
      </c>
      <c r="L1484" s="9">
        <f>(J1484-K1484)</f>
        <v>0.0</v>
      </c>
    </row>
    <row r="1485" spans="1:12" ht="23" customHeight="1">
      <c r="A1485" s="6">
        <v>4</v>
      </c>
      <c r="B1485" s="6">
        <v>1</v>
      </c>
      <c r="C1485" s="5" t="s">
        <v>592</v>
      </c>
      <c r="D1485" s="5" t="s">
        <v>868</v>
      </c>
      <c r="E1485" s="9">
        <f>'杭周面ばね'!G27</f>
        <v>104936.0</v>
      </c>
      <c r="F1485" s="6">
        <f>ROUND(E1485,0)</f>
        <v>104936.0</v>
      </c>
      <c r="G1485" s="7">
        <v>104936</v>
      </c>
      <c r="H1485" s="9">
        <f>(F1485-G1485)</f>
        <v>0.0</v>
      </c>
      <c r="I1485" s="9">
        <f>'杭周面の支持力'!G27</f>
        <v>672.75</v>
      </c>
      <c r="J1485" s="11">
        <f>ROUND(I1485,1)</f>
        <v>672.8</v>
      </c>
      <c r="K1485" s="8">
        <v>672.8</v>
      </c>
      <c r="L1485" s="9">
        <f>(J1485-K1485)</f>
        <v>0.0</v>
      </c>
    </row>
    <row r="1486" spans="1:12" ht="24" customHeight="1">
      <c r="A1486" s="3" t="s">
        <v>844</v>
      </c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</row>
    <row r="1487" spans="1:12" ht="46" customHeight="1">
      <c r="A1487" s="4" t="s">
        <v>8</v>
      </c>
      <c r="B1487" s="4" t="s">
        <v>9</v>
      </c>
      <c r="C1487" s="4" t="s">
        <v>845</v>
      </c>
      <c r="D1487" s="4" t="s">
        <v>846</v>
      </c>
      <c r="E1487" s="4" t="s">
        <v>847</v>
      </c>
      <c r="F1487" s="4" t="s">
        <v>848</v>
      </c>
      <c r="G1487" s="4" t="s">
        <v>849</v>
      </c>
      <c r="H1487" s="4" t="s">
        <v>850</v>
      </c>
      <c r="I1487" s="4" t="s">
        <v>851</v>
      </c>
      <c r="J1487" s="4" t="s">
        <v>852</v>
      </c>
      <c r="K1487" s="4" t="s">
        <v>853</v>
      </c>
      <c r="L1487" s="4" t="s">
        <v>854</v>
      </c>
    </row>
    <row r="1488" spans="1:12" ht="23" customHeight="1">
      <c r="A1488" s="6">
        <v>4</v>
      </c>
      <c r="B1488" s="6">
        <v>1</v>
      </c>
      <c r="C1488" s="5" t="s">
        <v>593</v>
      </c>
      <c r="D1488" s="5" t="s">
        <v>869</v>
      </c>
      <c r="E1488" s="9">
        <f>'杭周面ばね'!G28</f>
        <v>104936.0</v>
      </c>
      <c r="F1488" s="6">
        <f>ROUND(E1488,0)</f>
        <v>104936.0</v>
      </c>
      <c r="G1488" s="7">
        <v>104936</v>
      </c>
      <c r="H1488" s="9">
        <f>(F1488-G1488)</f>
        <v>0.0</v>
      </c>
      <c r="I1488" s="9">
        <f>'杭周面の支持力'!G28</f>
        <v>672.75</v>
      </c>
      <c r="J1488" s="11">
        <f>ROUND(I1488,1)</f>
        <v>672.8</v>
      </c>
      <c r="K1488" s="8">
        <v>672.8</v>
      </c>
      <c r="L1488" s="9">
        <f>(J1488-K1488)</f>
        <v>0.0</v>
      </c>
    </row>
    <row r="1489" spans="1:12" ht="23" customHeight="1">
      <c r="A1489" s="6">
        <v>4</v>
      </c>
      <c r="B1489" s="6">
        <v>1</v>
      </c>
      <c r="C1489" s="5" t="s">
        <v>594</v>
      </c>
      <c r="D1489" s="5" t="s">
        <v>870</v>
      </c>
      <c r="E1489" s="9">
        <f>'杭周面ばね'!G29</f>
        <v>104936.0</v>
      </c>
      <c r="F1489" s="6">
        <f>ROUND(E1489,0)</f>
        <v>104936.0</v>
      </c>
      <c r="G1489" s="7">
        <v>104936</v>
      </c>
      <c r="H1489" s="9">
        <f>(F1489-G1489)</f>
        <v>0.0</v>
      </c>
      <c r="I1489" s="9">
        <f>'杭周面の支持力'!G29</f>
        <v>672.75</v>
      </c>
      <c r="J1489" s="11">
        <f>ROUND(I1489,1)</f>
        <v>672.8</v>
      </c>
      <c r="K1489" s="8">
        <v>672.8</v>
      </c>
      <c r="L1489" s="9">
        <f>(J1489-K1489)</f>
        <v>0.0</v>
      </c>
    </row>
    <row r="1490" spans="1:12" ht="23" customHeight="1">
      <c r="A1490" s="6">
        <v>4</v>
      </c>
      <c r="B1490" s="6">
        <v>1</v>
      </c>
      <c r="C1490" s="5" t="s">
        <v>595</v>
      </c>
      <c r="D1490" s="5" t="s">
        <v>871</v>
      </c>
      <c r="E1490" s="9">
        <f>'杭周面ばね'!G30</f>
        <v>104936.0</v>
      </c>
      <c r="F1490" s="6">
        <f>ROUND(E1490,0)</f>
        <v>104936.0</v>
      </c>
      <c r="G1490" s="7">
        <v>104936</v>
      </c>
      <c r="H1490" s="9">
        <f>(F1490-G1490)</f>
        <v>0.0</v>
      </c>
      <c r="I1490" s="9">
        <f>'杭周面の支持力'!G30</f>
        <v>672.75</v>
      </c>
      <c r="J1490" s="11">
        <f>ROUND(I1490,1)</f>
        <v>672.8</v>
      </c>
      <c r="K1490" s="8">
        <v>672.8</v>
      </c>
      <c r="L1490" s="9">
        <f>(J1490-K1490)</f>
        <v>0.0</v>
      </c>
    </row>
    <row r="1491" spans="1:12" ht="23" customHeight="1">
      <c r="A1491" s="6">
        <v>4</v>
      </c>
      <c r="B1491" s="6">
        <v>1</v>
      </c>
      <c r="C1491" s="5" t="s">
        <v>596</v>
      </c>
      <c r="D1491" s="5" t="s">
        <v>872</v>
      </c>
      <c r="E1491" s="9">
        <f>'杭周面ばね'!G31</f>
        <v>104936.0</v>
      </c>
      <c r="F1491" s="6">
        <f>ROUND(E1491,0)</f>
        <v>104936.0</v>
      </c>
      <c r="G1491" s="7">
        <v>104936</v>
      </c>
      <c r="H1491" s="9">
        <f>(F1491-G1491)</f>
        <v>0.0</v>
      </c>
      <c r="I1491" s="9">
        <f>'杭周面の支持力'!G31</f>
        <v>672.75</v>
      </c>
      <c r="J1491" s="11">
        <f>ROUND(I1491,1)</f>
        <v>672.8</v>
      </c>
      <c r="K1491" s="8">
        <v>672.8</v>
      </c>
      <c r="L1491" s="9">
        <f>(J1491-K1491)</f>
        <v>0.0</v>
      </c>
    </row>
    <row r="1492" spans="1:12" ht="23" customHeight="1">
      <c r="A1492" s="6">
        <v>4</v>
      </c>
      <c r="B1492" s="6">
        <v>1</v>
      </c>
      <c r="C1492" s="5" t="s">
        <v>597</v>
      </c>
      <c r="D1492" s="5" t="s">
        <v>873</v>
      </c>
      <c r="E1492" s="9">
        <f>'杭周面ばね'!G32</f>
        <v>104936.0</v>
      </c>
      <c r="F1492" s="6">
        <f>ROUND(E1492,0)</f>
        <v>104936.0</v>
      </c>
      <c r="G1492" s="7">
        <v>104936</v>
      </c>
      <c r="H1492" s="9">
        <f>(F1492-G1492)</f>
        <v>0.0</v>
      </c>
      <c r="I1492" s="9">
        <f>'杭周面の支持力'!G32</f>
        <v>672.75</v>
      </c>
      <c r="J1492" s="11">
        <f>ROUND(I1492,1)</f>
        <v>672.8</v>
      </c>
      <c r="K1492" s="8">
        <v>672.8</v>
      </c>
      <c r="L1492" s="9">
        <f>(J1492-K1492)</f>
        <v>0.0</v>
      </c>
    </row>
    <row r="1493" spans="1:12" ht="23" customHeight="1">
      <c r="A1493" s="6">
        <v>4</v>
      </c>
      <c r="B1493" s="6">
        <v>1</v>
      </c>
      <c r="C1493" s="5" t="s">
        <v>598</v>
      </c>
      <c r="D1493" s="5" t="s">
        <v>874</v>
      </c>
      <c r="E1493" s="9">
        <f>'杭周面ばね'!G33</f>
        <v>36324.0</v>
      </c>
      <c r="F1493" s="6">
        <f>ROUND(E1493,0)</f>
        <v>36324.0</v>
      </c>
      <c r="G1493" s="7">
        <v>36324</v>
      </c>
      <c r="H1493" s="9">
        <f>(F1493-G1493)</f>
        <v>0.0</v>
      </c>
      <c r="I1493" s="9">
        <f>'杭周面の支持力'!G33</f>
        <v>232.875</v>
      </c>
      <c r="J1493" s="11">
        <f>ROUND(I1493,1)</f>
        <v>232.9</v>
      </c>
      <c r="K1493" s="8">
        <v>232.9</v>
      </c>
      <c r="L1493" s="9">
        <f>(J1493-K1493)</f>
        <v>0.0</v>
      </c>
    </row>
    <row r="1494" spans="1:12" ht="23" customHeight="1">
      <c r="A1494" s="6">
        <v>5</v>
      </c>
      <c r="B1494" s="6">
        <v>2</v>
      </c>
      <c r="C1494" s="5" t="s">
        <v>603</v>
      </c>
      <c r="D1494" s="5" t="s">
        <v>875</v>
      </c>
      <c r="E1494" s="9">
        <f>'杭周面ばね'!N9</f>
        <v>34419.005000000005</v>
      </c>
      <c r="F1494" s="6">
        <f>ROUND(E1494,0)</f>
        <v>34419.0</v>
      </c>
      <c r="G1494" s="7">
        <v>34419</v>
      </c>
      <c r="H1494" s="9">
        <f>(F1494-G1494)</f>
        <v>0.0</v>
      </c>
      <c r="I1494" s="9">
        <f>'杭周面の支持力'!N9</f>
        <v>289.13</v>
      </c>
      <c r="J1494" s="11">
        <f>ROUND(I1494,1)</f>
        <v>289.1</v>
      </c>
      <c r="K1494" s="8">
        <v>289.1</v>
      </c>
      <c r="L1494" s="9">
        <f>(J1494-K1494)</f>
        <v>0.0</v>
      </c>
    </row>
    <row r="1495" spans="1:12" ht="23" customHeight="1">
      <c r="A1495" s="6">
        <v>5</v>
      </c>
      <c r="B1495" s="6">
        <v>2</v>
      </c>
      <c r="C1495" s="5" t="s">
        <v>604</v>
      </c>
      <c r="D1495" s="5" t="s">
        <v>876</v>
      </c>
      <c r="E1495" s="9">
        <f>'杭周面ばね'!N12</f>
        <v>97084.0</v>
      </c>
      <c r="F1495" s="6">
        <f>ROUND(E1495,0)</f>
        <v>97084.0</v>
      </c>
      <c r="G1495" s="7">
        <v>97084</v>
      </c>
      <c r="H1495" s="9">
        <f>(F1495-G1495)</f>
        <v>0.0</v>
      </c>
      <c r="I1495" s="9">
        <f>'杭周面の支持力'!N12</f>
        <v>1223.3</v>
      </c>
      <c r="J1495" s="11">
        <f>ROUND(I1495,1)</f>
        <v>1223.3</v>
      </c>
      <c r="K1495" s="8">
        <v>1223.3</v>
      </c>
      <c r="L1495" s="9">
        <f>(J1495-K1495)</f>
        <v>0.0</v>
      </c>
    </row>
    <row r="1496" spans="1:12" ht="23" customHeight="1">
      <c r="A1496" s="6">
        <v>5</v>
      </c>
      <c r="B1496" s="6">
        <v>2</v>
      </c>
      <c r="C1496" s="5" t="s">
        <v>605</v>
      </c>
      <c r="D1496" s="5" t="s">
        <v>877</v>
      </c>
      <c r="E1496" s="9">
        <f>'杭周面ばね'!N13</f>
        <v>103755.7</v>
      </c>
      <c r="F1496" s="6">
        <f>ROUND(E1496,0)</f>
        <v>103756.0</v>
      </c>
      <c r="G1496" s="7">
        <v>103756</v>
      </c>
      <c r="H1496" s="9">
        <f>(F1496-G1496)</f>
        <v>0.0</v>
      </c>
      <c r="I1496" s="9">
        <f>'杭周面の支持力'!N13</f>
        <v>1196.2399999999998</v>
      </c>
      <c r="J1496" s="11">
        <f>ROUND(I1496,1)</f>
        <v>1196.2</v>
      </c>
      <c r="K1496" s="8">
        <v>1196.2</v>
      </c>
      <c r="L1496" s="9">
        <f>(J1496-K1496)</f>
        <v>0.0</v>
      </c>
    </row>
    <row r="1497" spans="1:12" ht="23" customHeight="1">
      <c r="A1497" s="6">
        <v>5</v>
      </c>
      <c r="B1497" s="6">
        <v>2</v>
      </c>
      <c r="C1497" s="5" t="s">
        <v>606</v>
      </c>
      <c r="D1497" s="5" t="s">
        <v>878</v>
      </c>
      <c r="E1497" s="9">
        <f>'杭周面ばね'!N15</f>
        <v>148838.1</v>
      </c>
      <c r="F1497" s="6">
        <f>ROUND(E1497,0)</f>
        <v>148838.0</v>
      </c>
      <c r="G1497" s="7">
        <v>148838</v>
      </c>
      <c r="H1497" s="9">
        <f>(F1497-G1497)</f>
        <v>0.0</v>
      </c>
      <c r="I1497" s="9">
        <f>'杭周面の支持力'!N15</f>
        <v>1542.0449999999998</v>
      </c>
      <c r="J1497" s="11">
        <f>ROUND(I1497,1)</f>
        <v>1542.0</v>
      </c>
      <c r="K1497" s="7">
        <v>1542</v>
      </c>
      <c r="L1497" s="9">
        <f>(J1497-K1497)</f>
        <v>0.0</v>
      </c>
    </row>
    <row r="1498" spans="1:12" ht="23" customHeight="1">
      <c r="A1498" s="6">
        <v>5</v>
      </c>
      <c r="B1498" s="6">
        <v>2</v>
      </c>
      <c r="C1498" s="5" t="s">
        <v>607</v>
      </c>
      <c r="D1498" s="5" t="s">
        <v>879</v>
      </c>
      <c r="E1498" s="9">
        <f>'杭周面ばね'!N17</f>
        <v>145626.0</v>
      </c>
      <c r="F1498" s="6">
        <f>ROUND(E1498,0)</f>
        <v>145626.0</v>
      </c>
      <c r="G1498" s="7">
        <v>145626</v>
      </c>
      <c r="H1498" s="9">
        <f>(F1498-G1498)</f>
        <v>0.0</v>
      </c>
      <c r="I1498" s="9">
        <f>'杭周面の支持力'!N17</f>
        <v>1834.95</v>
      </c>
      <c r="J1498" s="11">
        <f>ROUND(I1498,1)</f>
        <v>1835.0</v>
      </c>
      <c r="K1498" s="7">
        <v>1835</v>
      </c>
      <c r="L1498" s="9">
        <f>(J1498-K1498)</f>
        <v>0.0</v>
      </c>
    </row>
    <row r="1499" spans="1:12" ht="23" customHeight="1">
      <c r="A1499" s="6">
        <v>5</v>
      </c>
      <c r="B1499" s="6">
        <v>2</v>
      </c>
      <c r="C1499" s="5" t="s">
        <v>608</v>
      </c>
      <c r="D1499" s="5" t="s">
        <v>880</v>
      </c>
      <c r="E1499" s="9">
        <f>'杭周面ばね'!N18</f>
        <v>145626.0</v>
      </c>
      <c r="F1499" s="6">
        <f>ROUND(E1499,0)</f>
        <v>145626.0</v>
      </c>
      <c r="G1499" s="7">
        <v>145626</v>
      </c>
      <c r="H1499" s="9">
        <f>(F1499-G1499)</f>
        <v>0.0</v>
      </c>
      <c r="I1499" s="9">
        <f>'杭周面の支持力'!N18</f>
        <v>1834.95</v>
      </c>
      <c r="J1499" s="11">
        <f>ROUND(I1499,1)</f>
        <v>1835.0</v>
      </c>
      <c r="K1499" s="7">
        <v>1835</v>
      </c>
      <c r="L1499" s="9">
        <f>(J1499-K1499)</f>
        <v>0.0</v>
      </c>
    </row>
    <row r="1500" spans="1:12" ht="23" customHeight="1">
      <c r="A1500" s="6">
        <v>5</v>
      </c>
      <c r="B1500" s="6">
        <v>2</v>
      </c>
      <c r="C1500" s="5" t="s">
        <v>609</v>
      </c>
      <c r="D1500" s="5" t="s">
        <v>881</v>
      </c>
      <c r="E1500" s="9">
        <f>'杭周面ばね'!N19</f>
        <v>145626.0</v>
      </c>
      <c r="F1500" s="6">
        <f>ROUND(E1500,0)</f>
        <v>145626.0</v>
      </c>
      <c r="G1500" s="7">
        <v>145626</v>
      </c>
      <c r="H1500" s="9">
        <f>(F1500-G1500)</f>
        <v>0.0</v>
      </c>
      <c r="I1500" s="9">
        <f>'杭周面の支持力'!N19</f>
        <v>1834.95</v>
      </c>
      <c r="J1500" s="11">
        <f>ROUND(I1500,1)</f>
        <v>1835.0</v>
      </c>
      <c r="K1500" s="7">
        <v>1835</v>
      </c>
      <c r="L1500" s="9">
        <f>(J1500-K1500)</f>
        <v>0.0</v>
      </c>
    </row>
    <row r="1501" spans="1:12" ht="23" customHeight="1">
      <c r="A1501" s="6">
        <v>5</v>
      </c>
      <c r="B1501" s="6">
        <v>2</v>
      </c>
      <c r="C1501" s="5" t="s">
        <v>610</v>
      </c>
      <c r="D1501" s="5" t="s">
        <v>882</v>
      </c>
      <c r="E1501" s="9">
        <f>'杭周面ばね'!N20</f>
        <v>145626.0</v>
      </c>
      <c r="F1501" s="6">
        <f>ROUND(E1501,0)</f>
        <v>145626.0</v>
      </c>
      <c r="G1501" s="7">
        <v>145626</v>
      </c>
      <c r="H1501" s="9">
        <f>(F1501-G1501)</f>
        <v>0.0</v>
      </c>
      <c r="I1501" s="9">
        <f>'杭周面の支持力'!N20</f>
        <v>1834.95</v>
      </c>
      <c r="J1501" s="11">
        <f>ROUND(I1501,1)</f>
        <v>1835.0</v>
      </c>
      <c r="K1501" s="7">
        <v>1835</v>
      </c>
      <c r="L1501" s="9">
        <f>(J1501-K1501)</f>
        <v>0.0</v>
      </c>
    </row>
    <row r="1502" spans="1:12" ht="24" customHeight="1">
      <c r="A1502" s="3" t="s">
        <v>844</v>
      </c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</row>
    <row r="1503" spans="1:12" ht="46" customHeight="1">
      <c r="A1503" s="4" t="s">
        <v>8</v>
      </c>
      <c r="B1503" s="4" t="s">
        <v>9</v>
      </c>
      <c r="C1503" s="4" t="s">
        <v>845</v>
      </c>
      <c r="D1503" s="4" t="s">
        <v>846</v>
      </c>
      <c r="E1503" s="4" t="s">
        <v>847</v>
      </c>
      <c r="F1503" s="4" t="s">
        <v>848</v>
      </c>
      <c r="G1503" s="4" t="s">
        <v>849</v>
      </c>
      <c r="H1503" s="4" t="s">
        <v>850</v>
      </c>
      <c r="I1503" s="4" t="s">
        <v>851</v>
      </c>
      <c r="J1503" s="4" t="s">
        <v>852</v>
      </c>
      <c r="K1503" s="4" t="s">
        <v>853</v>
      </c>
      <c r="L1503" s="4" t="s">
        <v>854</v>
      </c>
    </row>
    <row r="1504" spans="1:12" ht="23" customHeight="1">
      <c r="A1504" s="6">
        <v>5</v>
      </c>
      <c r="B1504" s="6">
        <v>2</v>
      </c>
      <c r="C1504" s="5" t="s">
        <v>611</v>
      </c>
      <c r="D1504" s="5" t="s">
        <v>883</v>
      </c>
      <c r="E1504" s="9">
        <f>'杭周面ばね'!N21</f>
        <v>145626.0</v>
      </c>
      <c r="F1504" s="6">
        <f>ROUND(E1504,0)</f>
        <v>145626.0</v>
      </c>
      <c r="G1504" s="7">
        <v>145626</v>
      </c>
      <c r="H1504" s="9">
        <f>(F1504-G1504)</f>
        <v>0.0</v>
      </c>
      <c r="I1504" s="9">
        <f>'杭周面の支持力'!N21</f>
        <v>1834.95</v>
      </c>
      <c r="J1504" s="11">
        <f>ROUND(I1504,1)</f>
        <v>1835.0</v>
      </c>
      <c r="K1504" s="7">
        <v>1835</v>
      </c>
      <c r="L1504" s="9">
        <f>(J1504-K1504)</f>
        <v>0.0</v>
      </c>
    </row>
    <row r="1505" spans="1:12" ht="23" customHeight="1">
      <c r="A1505" s="6">
        <v>5</v>
      </c>
      <c r="B1505" s="6">
        <v>2</v>
      </c>
      <c r="C1505" s="5" t="s">
        <v>612</v>
      </c>
      <c r="D1505" s="5" t="s">
        <v>884</v>
      </c>
      <c r="E1505" s="9">
        <f>'杭周面ばね'!N22</f>
        <v>145626.0</v>
      </c>
      <c r="F1505" s="6">
        <f>ROUND(E1505,0)</f>
        <v>145626.0</v>
      </c>
      <c r="G1505" s="7">
        <v>145626</v>
      </c>
      <c r="H1505" s="9">
        <f>(F1505-G1505)</f>
        <v>0.0</v>
      </c>
      <c r="I1505" s="9">
        <f>'杭周面の支持力'!N22</f>
        <v>1834.95</v>
      </c>
      <c r="J1505" s="11">
        <f>ROUND(I1505,1)</f>
        <v>1835.0</v>
      </c>
      <c r="K1505" s="7">
        <v>1835</v>
      </c>
      <c r="L1505" s="9">
        <f>(J1505-K1505)</f>
        <v>0.0</v>
      </c>
    </row>
    <row r="1506" spans="1:12" ht="23" customHeight="1">
      <c r="A1506" s="6">
        <v>5</v>
      </c>
      <c r="B1506" s="6">
        <v>2</v>
      </c>
      <c r="C1506" s="5" t="s">
        <v>613</v>
      </c>
      <c r="D1506" s="5" t="s">
        <v>885</v>
      </c>
      <c r="E1506" s="9">
        <f>'杭周面ばね'!N23</f>
        <v>119432.85</v>
      </c>
      <c r="F1506" s="6">
        <f>ROUND(E1506,0)</f>
        <v>119433.0</v>
      </c>
      <c r="G1506" s="7">
        <v>119433</v>
      </c>
      <c r="H1506" s="9">
        <f>(F1506-G1506)</f>
        <v>0.0</v>
      </c>
      <c r="I1506" s="9">
        <f>'杭周面の支持力'!N23</f>
        <v>1355.0249999999999</v>
      </c>
      <c r="J1506" s="11">
        <f>ROUND(I1506,1)</f>
        <v>1355.0</v>
      </c>
      <c r="K1506" s="7">
        <v>1355</v>
      </c>
      <c r="L1506" s="9">
        <f>(J1506-K1506)</f>
        <v>0.0</v>
      </c>
    </row>
    <row r="1507" spans="1:12" ht="23" customHeight="1">
      <c r="A1507" s="6">
        <v>5</v>
      </c>
      <c r="B1507" s="6">
        <v>2</v>
      </c>
      <c r="C1507" s="5" t="s">
        <v>614</v>
      </c>
      <c r="D1507" s="5" t="s">
        <v>886</v>
      </c>
      <c r="E1507" s="9">
        <f>'杭周面ばね'!N25</f>
        <v>69956.90000000001</v>
      </c>
      <c r="F1507" s="6">
        <f>ROUND(E1507,0)</f>
        <v>69957.0</v>
      </c>
      <c r="G1507" s="7">
        <v>69957</v>
      </c>
      <c r="H1507" s="9">
        <f>(F1507-G1507)</f>
        <v>0.0</v>
      </c>
      <c r="I1507" s="9">
        <f>'杭周面の支持力'!N25</f>
        <v>448.5</v>
      </c>
      <c r="J1507" s="11">
        <f>ROUND(I1507,1)</f>
        <v>448.5</v>
      </c>
      <c r="K1507" s="8">
        <v>448.5</v>
      </c>
      <c r="L1507" s="9">
        <f>(J1507-K1507)</f>
        <v>0.0</v>
      </c>
    </row>
    <row r="1508" spans="1:12" ht="23" customHeight="1">
      <c r="A1508" s="6">
        <v>5</v>
      </c>
      <c r="B1508" s="6">
        <v>2</v>
      </c>
      <c r="C1508" s="5" t="s">
        <v>615</v>
      </c>
      <c r="D1508" s="5" t="s">
        <v>887</v>
      </c>
      <c r="E1508" s="9">
        <f>'杭周面ばね'!N26</f>
        <v>69956.90000000001</v>
      </c>
      <c r="F1508" s="6">
        <f>ROUND(E1508,0)</f>
        <v>69957.0</v>
      </c>
      <c r="G1508" s="7">
        <v>69957</v>
      </c>
      <c r="H1508" s="9">
        <f>(F1508-G1508)</f>
        <v>0.0</v>
      </c>
      <c r="I1508" s="9">
        <f>'杭周面の支持力'!N26</f>
        <v>448.5</v>
      </c>
      <c r="J1508" s="11">
        <f>ROUND(I1508,1)</f>
        <v>448.5</v>
      </c>
      <c r="K1508" s="8">
        <v>448.5</v>
      </c>
      <c r="L1508" s="9">
        <f>(J1508-K1508)</f>
        <v>0.0</v>
      </c>
    </row>
    <row r="1509" spans="1:12" ht="23" customHeight="1">
      <c r="A1509" s="6">
        <v>5</v>
      </c>
      <c r="B1509" s="6">
        <v>2</v>
      </c>
      <c r="C1509" s="5" t="s">
        <v>616</v>
      </c>
      <c r="D1509" s="5" t="s">
        <v>888</v>
      </c>
      <c r="E1509" s="9">
        <f>'杭周面ばね'!N27</f>
        <v>69956.90000000001</v>
      </c>
      <c r="F1509" s="6">
        <f>ROUND(E1509,0)</f>
        <v>69957.0</v>
      </c>
      <c r="G1509" s="7">
        <v>69957</v>
      </c>
      <c r="H1509" s="9">
        <f>(F1509-G1509)</f>
        <v>0.0</v>
      </c>
      <c r="I1509" s="9">
        <f>'杭周面の支持力'!N27</f>
        <v>448.5</v>
      </c>
      <c r="J1509" s="11">
        <f>ROUND(I1509,1)</f>
        <v>448.5</v>
      </c>
      <c r="K1509" s="8">
        <v>448.5</v>
      </c>
      <c r="L1509" s="9">
        <f>(J1509-K1509)</f>
        <v>0.0</v>
      </c>
    </row>
    <row r="1510" spans="1:12" ht="23" customHeight="1">
      <c r="A1510" s="6">
        <v>5</v>
      </c>
      <c r="B1510" s="6">
        <v>2</v>
      </c>
      <c r="C1510" s="5" t="s">
        <v>617</v>
      </c>
      <c r="D1510" s="5" t="s">
        <v>889</v>
      </c>
      <c r="E1510" s="9">
        <f>'杭周面ばね'!N28</f>
        <v>69956.90000000001</v>
      </c>
      <c r="F1510" s="6">
        <f>ROUND(E1510,0)</f>
        <v>69957.0</v>
      </c>
      <c r="G1510" s="7">
        <v>69957</v>
      </c>
      <c r="H1510" s="9">
        <f>(F1510-G1510)</f>
        <v>0.0</v>
      </c>
      <c r="I1510" s="9">
        <f>'杭周面の支持力'!N28</f>
        <v>448.5</v>
      </c>
      <c r="J1510" s="11">
        <f>ROUND(I1510,1)</f>
        <v>448.5</v>
      </c>
      <c r="K1510" s="8">
        <v>448.5</v>
      </c>
      <c r="L1510" s="9">
        <f>(J1510-K1510)</f>
        <v>0.0</v>
      </c>
    </row>
    <row r="1511" spans="1:12" ht="23" customHeight="1">
      <c r="A1511" s="6">
        <v>5</v>
      </c>
      <c r="B1511" s="6">
        <v>2</v>
      </c>
      <c r="C1511" s="5" t="s">
        <v>618</v>
      </c>
      <c r="D1511" s="5" t="s">
        <v>890</v>
      </c>
      <c r="E1511" s="9">
        <f>'杭周面ばね'!N29</f>
        <v>69956.90000000001</v>
      </c>
      <c r="F1511" s="6">
        <f>ROUND(E1511,0)</f>
        <v>69957.0</v>
      </c>
      <c r="G1511" s="7">
        <v>69957</v>
      </c>
      <c r="H1511" s="9">
        <f>(F1511-G1511)</f>
        <v>0.0</v>
      </c>
      <c r="I1511" s="9">
        <f>'杭周面の支持力'!N29</f>
        <v>448.5</v>
      </c>
      <c r="J1511" s="11">
        <f>ROUND(I1511,1)</f>
        <v>448.5</v>
      </c>
      <c r="K1511" s="8">
        <v>448.5</v>
      </c>
      <c r="L1511" s="9">
        <f>(J1511-K1511)</f>
        <v>0.0</v>
      </c>
    </row>
    <row r="1512" spans="1:12" ht="23" customHeight="1">
      <c r="A1512" s="6">
        <v>5</v>
      </c>
      <c r="B1512" s="6">
        <v>2</v>
      </c>
      <c r="C1512" s="5" t="s">
        <v>619</v>
      </c>
      <c r="D1512" s="5" t="s">
        <v>891</v>
      </c>
      <c r="E1512" s="9">
        <f>'杭周面ばね'!N30</f>
        <v>69956.90000000001</v>
      </c>
      <c r="F1512" s="6">
        <f>ROUND(E1512,0)</f>
        <v>69957.0</v>
      </c>
      <c r="G1512" s="7">
        <v>69957</v>
      </c>
      <c r="H1512" s="9">
        <f>(F1512-G1512)</f>
        <v>0.0</v>
      </c>
      <c r="I1512" s="9">
        <f>'杭周面の支持力'!N30</f>
        <v>448.5</v>
      </c>
      <c r="J1512" s="11">
        <f>ROUND(I1512,1)</f>
        <v>448.5</v>
      </c>
      <c r="K1512" s="8">
        <v>448.5</v>
      </c>
      <c r="L1512" s="9">
        <f>(J1512-K1512)</f>
        <v>0.0</v>
      </c>
    </row>
    <row r="1513" spans="1:12" ht="23" customHeight="1">
      <c r="A1513" s="6">
        <v>5</v>
      </c>
      <c r="B1513" s="6">
        <v>2</v>
      </c>
      <c r="C1513" s="5" t="s">
        <v>620</v>
      </c>
      <c r="D1513" s="5" t="s">
        <v>892</v>
      </c>
      <c r="E1513" s="9">
        <f>'杭周面ばね'!N31</f>
        <v>69956.90000000001</v>
      </c>
      <c r="F1513" s="6">
        <f>ROUND(E1513,0)</f>
        <v>69957.0</v>
      </c>
      <c r="G1513" s="7">
        <v>69957</v>
      </c>
      <c r="H1513" s="9">
        <f>(F1513-G1513)</f>
        <v>0.0</v>
      </c>
      <c r="I1513" s="9">
        <f>'杭周面の支持力'!N31</f>
        <v>448.5</v>
      </c>
      <c r="J1513" s="11">
        <f>ROUND(I1513,1)</f>
        <v>448.5</v>
      </c>
      <c r="K1513" s="8">
        <v>448.5</v>
      </c>
      <c r="L1513" s="9">
        <f>(J1513-K1513)</f>
        <v>0.0</v>
      </c>
    </row>
    <row r="1514" spans="1:12" ht="23" customHeight="1">
      <c r="A1514" s="6">
        <v>5</v>
      </c>
      <c r="B1514" s="6">
        <v>2</v>
      </c>
      <c r="C1514" s="5" t="s">
        <v>621</v>
      </c>
      <c r="D1514" s="5" t="s">
        <v>893</v>
      </c>
      <c r="E1514" s="9">
        <f>'杭周面ばね'!N32</f>
        <v>69956.90000000001</v>
      </c>
      <c r="F1514" s="6">
        <f>ROUND(E1514,0)</f>
        <v>69957.0</v>
      </c>
      <c r="G1514" s="7">
        <v>69957</v>
      </c>
      <c r="H1514" s="9">
        <f>(F1514-G1514)</f>
        <v>0.0</v>
      </c>
      <c r="I1514" s="9">
        <f>'杭周面の支持力'!N32</f>
        <v>448.5</v>
      </c>
      <c r="J1514" s="11">
        <f>ROUND(I1514,1)</f>
        <v>448.5</v>
      </c>
      <c r="K1514" s="8">
        <v>448.5</v>
      </c>
      <c r="L1514" s="9">
        <f>(J1514-K1514)</f>
        <v>0.0</v>
      </c>
    </row>
    <row r="1515" spans="1:12" ht="23" customHeight="1">
      <c r="A1515" s="6">
        <v>5</v>
      </c>
      <c r="B1515" s="6">
        <v>2</v>
      </c>
      <c r="C1515" s="5" t="s">
        <v>622</v>
      </c>
      <c r="D1515" s="5" t="s">
        <v>894</v>
      </c>
      <c r="E1515" s="9">
        <f>'杭周面ばね'!N33</f>
        <v>24215.850000000002</v>
      </c>
      <c r="F1515" s="6">
        <f>ROUND(E1515,0)</f>
        <v>24216.0</v>
      </c>
      <c r="G1515" s="7">
        <v>24216</v>
      </c>
      <c r="H1515" s="9">
        <f>(F1515-G1515)</f>
        <v>0.0</v>
      </c>
      <c r="I1515" s="9">
        <f>'杭周面の支持力'!N33</f>
        <v>155.25</v>
      </c>
      <c r="J1515" s="11">
        <f>ROUND(I1515,1)</f>
        <v>155.3</v>
      </c>
      <c r="K1515" s="8">
        <v>155.3</v>
      </c>
      <c r="L1515" s="9">
        <f>(J1515-K1515)</f>
        <v>0.0</v>
      </c>
    </row>
    <row r="1516" spans="1:12" ht="23" customHeight="1">
      <c r="A1516" s="6">
        <v>6</v>
      </c>
      <c r="B1516" s="6">
        <v>3</v>
      </c>
      <c r="C1516" s="5" t="s">
        <v>627</v>
      </c>
      <c r="D1516" s="5" t="s">
        <v>895</v>
      </c>
      <c r="E1516" s="9">
        <f>'杭周面ばね'!U9</f>
        <v>51628.885</v>
      </c>
      <c r="F1516" s="6">
        <f>ROUND(E1516,0)</f>
        <v>51629.0</v>
      </c>
      <c r="G1516" s="7">
        <v>51629</v>
      </c>
      <c r="H1516" s="9">
        <f>(F1516-G1516)</f>
        <v>0.0</v>
      </c>
      <c r="I1516" s="9">
        <f>'杭周面の支持力'!U9</f>
        <v>433.7705</v>
      </c>
      <c r="J1516" s="11">
        <f>ROUND(I1516,1)</f>
        <v>433.8</v>
      </c>
      <c r="K1516" s="8">
        <v>433.8</v>
      </c>
      <c r="L1516" s="9">
        <f>(J1516-K1516)</f>
        <v>0.0</v>
      </c>
    </row>
    <row r="1517" spans="1:12" ht="23" customHeight="1">
      <c r="A1517" s="6">
        <v>6</v>
      </c>
      <c r="B1517" s="6">
        <v>3</v>
      </c>
      <c r="C1517" s="5" t="s">
        <v>628</v>
      </c>
      <c r="D1517" s="5" t="s">
        <v>896</v>
      </c>
      <c r="E1517" s="9">
        <f>'杭周面ばね'!U12</f>
        <v>145626.0</v>
      </c>
      <c r="F1517" s="6">
        <f>ROUND(E1517,0)</f>
        <v>145626.0</v>
      </c>
      <c r="G1517" s="7">
        <v>145626</v>
      </c>
      <c r="H1517" s="9">
        <f>(F1517-G1517)</f>
        <v>0.0</v>
      </c>
      <c r="I1517" s="9">
        <f>'杭周面の支持力'!U12</f>
        <v>1834.95</v>
      </c>
      <c r="J1517" s="11">
        <f>ROUND(I1517,1)</f>
        <v>1835.0</v>
      </c>
      <c r="K1517" s="7">
        <v>1835</v>
      </c>
      <c r="L1517" s="9">
        <f>(J1517-K1517)</f>
        <v>0.0</v>
      </c>
    </row>
    <row r="1518" spans="1:12" ht="24" customHeight="1">
      <c r="A1518" s="3" t="s">
        <v>844</v>
      </c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</row>
    <row r="1519" spans="1:12" ht="46" customHeight="1">
      <c r="A1519" s="4" t="s">
        <v>8</v>
      </c>
      <c r="B1519" s="4" t="s">
        <v>9</v>
      </c>
      <c r="C1519" s="4" t="s">
        <v>845</v>
      </c>
      <c r="D1519" s="4" t="s">
        <v>846</v>
      </c>
      <c r="E1519" s="4" t="s">
        <v>847</v>
      </c>
      <c r="F1519" s="4" t="s">
        <v>848</v>
      </c>
      <c r="G1519" s="4" t="s">
        <v>849</v>
      </c>
      <c r="H1519" s="4" t="s">
        <v>850</v>
      </c>
      <c r="I1519" s="4" t="s">
        <v>851</v>
      </c>
      <c r="J1519" s="4" t="s">
        <v>852</v>
      </c>
      <c r="K1519" s="4" t="s">
        <v>853</v>
      </c>
      <c r="L1519" s="4" t="s">
        <v>854</v>
      </c>
    </row>
    <row r="1520" spans="1:12" ht="23" customHeight="1">
      <c r="A1520" s="6">
        <v>6</v>
      </c>
      <c r="B1520" s="6">
        <v>3</v>
      </c>
      <c r="C1520" s="5" t="s">
        <v>629</v>
      </c>
      <c r="D1520" s="5" t="s">
        <v>897</v>
      </c>
      <c r="E1520" s="9">
        <f>'杭周面ばね'!U13</f>
        <v>155633.69999999998</v>
      </c>
      <c r="F1520" s="6">
        <f>ROUND(E1520,0)</f>
        <v>155634.0</v>
      </c>
      <c r="G1520" s="7">
        <v>155634</v>
      </c>
      <c r="H1520" s="9">
        <f>(F1520-G1520)</f>
        <v>0.0</v>
      </c>
      <c r="I1520" s="9">
        <f>'杭周面の支持力'!U13</f>
        <v>1794.36</v>
      </c>
      <c r="J1520" s="11">
        <f>ROUND(I1520,1)</f>
        <v>1794.4</v>
      </c>
      <c r="K1520" s="8">
        <v>1794.4</v>
      </c>
      <c r="L1520" s="9">
        <f>(J1520-K1520)</f>
        <v>0.0</v>
      </c>
    </row>
    <row r="1521" spans="1:12" ht="23" customHeight="1">
      <c r="A1521" s="6">
        <v>6</v>
      </c>
      <c r="B1521" s="6">
        <v>3</v>
      </c>
      <c r="C1521" s="5" t="s">
        <v>630</v>
      </c>
      <c r="D1521" s="5" t="s">
        <v>898</v>
      </c>
      <c r="E1521" s="9">
        <f>'杭周面ばね'!U15</f>
        <v>223256.75</v>
      </c>
      <c r="F1521" s="6">
        <f>ROUND(E1521,0)</f>
        <v>223257.0</v>
      </c>
      <c r="G1521" s="7">
        <v>223257</v>
      </c>
      <c r="H1521" s="9">
        <f>(F1521-G1521)</f>
        <v>0.0</v>
      </c>
      <c r="I1521" s="9">
        <f>'杭周面の支持力'!U15</f>
        <v>2313.025</v>
      </c>
      <c r="J1521" s="11">
        <f>ROUND(I1521,1)</f>
        <v>2313.0</v>
      </c>
      <c r="K1521" s="7">
        <v>2313</v>
      </c>
      <c r="L1521" s="9">
        <f>(J1521-K1521)</f>
        <v>0.0</v>
      </c>
    </row>
    <row r="1522" spans="1:12" ht="23" customHeight="1">
      <c r="A1522" s="6">
        <v>6</v>
      </c>
      <c r="B1522" s="6">
        <v>3</v>
      </c>
      <c r="C1522" s="5" t="s">
        <v>631</v>
      </c>
      <c r="D1522" s="5" t="s">
        <v>899</v>
      </c>
      <c r="E1522" s="9">
        <f>'杭周面ばね'!U17</f>
        <v>218437.7</v>
      </c>
      <c r="F1522" s="6">
        <f>ROUND(E1522,0)</f>
        <v>218438.0</v>
      </c>
      <c r="G1522" s="7">
        <v>218438</v>
      </c>
      <c r="H1522" s="9">
        <f>(F1522-G1522)</f>
        <v>0.0</v>
      </c>
      <c r="I1522" s="9">
        <f>'杭周面の支持力'!U17</f>
        <v>2752.3599999999997</v>
      </c>
      <c r="J1522" s="11">
        <f>ROUND(I1522,1)</f>
        <v>2752.4</v>
      </c>
      <c r="K1522" s="8">
        <v>2752.4</v>
      </c>
      <c r="L1522" s="9">
        <f>(J1522-K1522)</f>
        <v>0.0</v>
      </c>
    </row>
    <row r="1523" spans="1:12" ht="23" customHeight="1">
      <c r="A1523" s="6">
        <v>6</v>
      </c>
      <c r="B1523" s="6">
        <v>3</v>
      </c>
      <c r="C1523" s="5" t="s">
        <v>632</v>
      </c>
      <c r="D1523" s="5" t="s">
        <v>900</v>
      </c>
      <c r="E1523" s="9">
        <f>'杭周面ばね'!U18</f>
        <v>218437.7</v>
      </c>
      <c r="F1523" s="6">
        <f>ROUND(E1523,0)</f>
        <v>218438.0</v>
      </c>
      <c r="G1523" s="7">
        <v>218438</v>
      </c>
      <c r="H1523" s="9">
        <f>(F1523-G1523)</f>
        <v>0.0</v>
      </c>
      <c r="I1523" s="9">
        <f>'杭周面の支持力'!U18</f>
        <v>2752.3599999999997</v>
      </c>
      <c r="J1523" s="11">
        <f>ROUND(I1523,1)</f>
        <v>2752.4</v>
      </c>
      <c r="K1523" s="8">
        <v>2752.4</v>
      </c>
      <c r="L1523" s="9">
        <f>(J1523-K1523)</f>
        <v>0.0</v>
      </c>
    </row>
    <row r="1524" spans="1:12" ht="23" customHeight="1">
      <c r="A1524" s="6">
        <v>6</v>
      </c>
      <c r="B1524" s="6">
        <v>3</v>
      </c>
      <c r="C1524" s="5" t="s">
        <v>633</v>
      </c>
      <c r="D1524" s="5" t="s">
        <v>901</v>
      </c>
      <c r="E1524" s="9">
        <f>'杭周面ばね'!U19</f>
        <v>218437.7</v>
      </c>
      <c r="F1524" s="6">
        <f>ROUND(E1524,0)</f>
        <v>218438.0</v>
      </c>
      <c r="G1524" s="7">
        <v>218438</v>
      </c>
      <c r="H1524" s="9">
        <f>(F1524-G1524)</f>
        <v>0.0</v>
      </c>
      <c r="I1524" s="9">
        <f>'杭周面の支持力'!U19</f>
        <v>2752.3599999999997</v>
      </c>
      <c r="J1524" s="11">
        <f>ROUND(I1524,1)</f>
        <v>2752.4</v>
      </c>
      <c r="K1524" s="8">
        <v>2752.4</v>
      </c>
      <c r="L1524" s="9">
        <f>(J1524-K1524)</f>
        <v>0.0</v>
      </c>
    </row>
    <row r="1525" spans="1:12" ht="23" customHeight="1">
      <c r="A1525" s="6">
        <v>6</v>
      </c>
      <c r="B1525" s="6">
        <v>3</v>
      </c>
      <c r="C1525" s="5" t="s">
        <v>634</v>
      </c>
      <c r="D1525" s="5" t="s">
        <v>902</v>
      </c>
      <c r="E1525" s="9">
        <f>'杭周面ばね'!U20</f>
        <v>218437.7</v>
      </c>
      <c r="F1525" s="6">
        <f>ROUND(E1525,0)</f>
        <v>218438.0</v>
      </c>
      <c r="G1525" s="7">
        <v>218438</v>
      </c>
      <c r="H1525" s="9">
        <f>(F1525-G1525)</f>
        <v>0.0</v>
      </c>
      <c r="I1525" s="9">
        <f>'杭周面の支持力'!U20</f>
        <v>2752.3599999999997</v>
      </c>
      <c r="J1525" s="11">
        <f>ROUND(I1525,1)</f>
        <v>2752.4</v>
      </c>
      <c r="K1525" s="8">
        <v>2752.4</v>
      </c>
      <c r="L1525" s="9">
        <f>(J1525-K1525)</f>
        <v>0.0</v>
      </c>
    </row>
    <row r="1526" spans="1:12" ht="23" customHeight="1">
      <c r="A1526" s="6">
        <v>6</v>
      </c>
      <c r="B1526" s="6">
        <v>3</v>
      </c>
      <c r="C1526" s="5" t="s">
        <v>635</v>
      </c>
      <c r="D1526" s="5" t="s">
        <v>903</v>
      </c>
      <c r="E1526" s="9">
        <f>'杭周面ばね'!U21</f>
        <v>218437.7</v>
      </c>
      <c r="F1526" s="6">
        <f>ROUND(E1526,0)</f>
        <v>218438.0</v>
      </c>
      <c r="G1526" s="7">
        <v>218438</v>
      </c>
      <c r="H1526" s="9">
        <f>(F1526-G1526)</f>
        <v>0.0</v>
      </c>
      <c r="I1526" s="9">
        <f>'杭周面の支持力'!U21</f>
        <v>2752.3599999999997</v>
      </c>
      <c r="J1526" s="11">
        <f>ROUND(I1526,1)</f>
        <v>2752.4</v>
      </c>
      <c r="K1526" s="8">
        <v>2752.4</v>
      </c>
      <c r="L1526" s="9">
        <f>(J1526-K1526)</f>
        <v>0.0</v>
      </c>
    </row>
    <row r="1527" spans="1:12" ht="23" customHeight="1">
      <c r="A1527" s="6">
        <v>6</v>
      </c>
      <c r="B1527" s="6">
        <v>3</v>
      </c>
      <c r="C1527" s="5" t="s">
        <v>636</v>
      </c>
      <c r="D1527" s="5" t="s">
        <v>904</v>
      </c>
      <c r="E1527" s="9">
        <f>'杭周面ばね'!U22</f>
        <v>218437.7</v>
      </c>
      <c r="F1527" s="6">
        <f>ROUND(E1527,0)</f>
        <v>218438.0</v>
      </c>
      <c r="G1527" s="7">
        <v>218438</v>
      </c>
      <c r="H1527" s="9">
        <f>(F1527-G1527)</f>
        <v>0.0</v>
      </c>
      <c r="I1527" s="9">
        <f>'杭周面の支持力'!U22</f>
        <v>2752.3599999999997</v>
      </c>
      <c r="J1527" s="11">
        <f>ROUND(I1527,1)</f>
        <v>2752.4</v>
      </c>
      <c r="K1527" s="8">
        <v>2752.4</v>
      </c>
      <c r="L1527" s="9">
        <f>(J1527-K1527)</f>
        <v>0.0</v>
      </c>
    </row>
    <row r="1528" spans="1:12" ht="23" customHeight="1">
      <c r="A1528" s="6">
        <v>6</v>
      </c>
      <c r="B1528" s="6">
        <v>3</v>
      </c>
      <c r="C1528" s="5" t="s">
        <v>637</v>
      </c>
      <c r="D1528" s="5" t="s">
        <v>905</v>
      </c>
      <c r="E1528" s="9">
        <f>'杭周面ばね'!U23</f>
        <v>179148.65</v>
      </c>
      <c r="F1528" s="6">
        <f>ROUND(E1528,0)</f>
        <v>179149.0</v>
      </c>
      <c r="G1528" s="7">
        <v>179149</v>
      </c>
      <c r="H1528" s="9">
        <f>(F1528-G1528)</f>
        <v>0.0</v>
      </c>
      <c r="I1528" s="9">
        <f>'杭周面の支持力'!U23</f>
        <v>2032.495</v>
      </c>
      <c r="J1528" s="11">
        <f>ROUND(I1528,1)</f>
        <v>2032.5</v>
      </c>
      <c r="K1528" s="8">
        <v>2032.5</v>
      </c>
      <c r="L1528" s="9">
        <f>(J1528-K1528)</f>
        <v>0.0</v>
      </c>
    </row>
    <row r="1529" spans="1:12" ht="23" customHeight="1">
      <c r="A1529" s="6">
        <v>6</v>
      </c>
      <c r="B1529" s="6">
        <v>3</v>
      </c>
      <c r="C1529" s="5" t="s">
        <v>638</v>
      </c>
      <c r="D1529" s="5" t="s">
        <v>906</v>
      </c>
      <c r="E1529" s="9">
        <f>'杭周面ばね'!U25</f>
        <v>104936.0</v>
      </c>
      <c r="F1529" s="6">
        <f>ROUND(E1529,0)</f>
        <v>104936.0</v>
      </c>
      <c r="G1529" s="7">
        <v>104936</v>
      </c>
      <c r="H1529" s="9">
        <f>(F1529-G1529)</f>
        <v>0.0</v>
      </c>
      <c r="I1529" s="9">
        <f>'杭周面の支持力'!U25</f>
        <v>672.75</v>
      </c>
      <c r="J1529" s="11">
        <f>ROUND(I1529,1)</f>
        <v>672.8</v>
      </c>
      <c r="K1529" s="8">
        <v>672.8</v>
      </c>
      <c r="L1529" s="9">
        <f>(J1529-K1529)</f>
        <v>0.0</v>
      </c>
    </row>
    <row r="1530" spans="1:12" ht="23" customHeight="1">
      <c r="A1530" s="6">
        <v>6</v>
      </c>
      <c r="B1530" s="6">
        <v>3</v>
      </c>
      <c r="C1530" s="5" t="s">
        <v>639</v>
      </c>
      <c r="D1530" s="5" t="s">
        <v>907</v>
      </c>
      <c r="E1530" s="9">
        <f>'杭周面ばね'!U26</f>
        <v>104936.0</v>
      </c>
      <c r="F1530" s="6">
        <f>ROUND(E1530,0)</f>
        <v>104936.0</v>
      </c>
      <c r="G1530" s="7">
        <v>104936</v>
      </c>
      <c r="H1530" s="9">
        <f>(F1530-G1530)</f>
        <v>0.0</v>
      </c>
      <c r="I1530" s="9">
        <f>'杭周面の支持力'!U26</f>
        <v>672.75</v>
      </c>
      <c r="J1530" s="11">
        <f>ROUND(I1530,1)</f>
        <v>672.8</v>
      </c>
      <c r="K1530" s="8">
        <v>672.8</v>
      </c>
      <c r="L1530" s="9">
        <f>(J1530-K1530)</f>
        <v>0.0</v>
      </c>
    </row>
    <row r="1531" spans="1:12" ht="23" customHeight="1">
      <c r="A1531" s="6">
        <v>6</v>
      </c>
      <c r="B1531" s="6">
        <v>3</v>
      </c>
      <c r="C1531" s="5" t="s">
        <v>640</v>
      </c>
      <c r="D1531" s="5" t="s">
        <v>908</v>
      </c>
      <c r="E1531" s="9">
        <f>'杭周面ばね'!U27</f>
        <v>104936.0</v>
      </c>
      <c r="F1531" s="6">
        <f>ROUND(E1531,0)</f>
        <v>104936.0</v>
      </c>
      <c r="G1531" s="7">
        <v>104936</v>
      </c>
      <c r="H1531" s="9">
        <f>(F1531-G1531)</f>
        <v>0.0</v>
      </c>
      <c r="I1531" s="9">
        <f>'杭周面の支持力'!U27</f>
        <v>672.75</v>
      </c>
      <c r="J1531" s="11">
        <f>ROUND(I1531,1)</f>
        <v>672.8</v>
      </c>
      <c r="K1531" s="8">
        <v>672.8</v>
      </c>
      <c r="L1531" s="9">
        <f>(J1531-K1531)</f>
        <v>0.0</v>
      </c>
    </row>
    <row r="1532" spans="1:12" ht="23" customHeight="1">
      <c r="A1532" s="6">
        <v>6</v>
      </c>
      <c r="B1532" s="6">
        <v>3</v>
      </c>
      <c r="C1532" s="5" t="s">
        <v>641</v>
      </c>
      <c r="D1532" s="5" t="s">
        <v>909</v>
      </c>
      <c r="E1532" s="9">
        <f>'杭周面ばね'!U28</f>
        <v>104936.0</v>
      </c>
      <c r="F1532" s="6">
        <f>ROUND(E1532,0)</f>
        <v>104936.0</v>
      </c>
      <c r="G1532" s="7">
        <v>104936</v>
      </c>
      <c r="H1532" s="9">
        <f>(F1532-G1532)</f>
        <v>0.0</v>
      </c>
      <c r="I1532" s="9">
        <f>'杭周面の支持力'!U28</f>
        <v>672.75</v>
      </c>
      <c r="J1532" s="11">
        <f>ROUND(I1532,1)</f>
        <v>672.8</v>
      </c>
      <c r="K1532" s="8">
        <v>672.8</v>
      </c>
      <c r="L1532" s="9">
        <f>(J1532-K1532)</f>
        <v>0.0</v>
      </c>
    </row>
    <row r="1533" spans="1:12" ht="23" customHeight="1">
      <c r="A1533" s="6">
        <v>6</v>
      </c>
      <c r="B1533" s="6">
        <v>3</v>
      </c>
      <c r="C1533" s="5" t="s">
        <v>642</v>
      </c>
      <c r="D1533" s="5" t="s">
        <v>910</v>
      </c>
      <c r="E1533" s="9">
        <f>'杭周面ばね'!U29</f>
        <v>104936.0</v>
      </c>
      <c r="F1533" s="6">
        <f>ROUND(E1533,0)</f>
        <v>104936.0</v>
      </c>
      <c r="G1533" s="7">
        <v>104936</v>
      </c>
      <c r="H1533" s="9">
        <f>(F1533-G1533)</f>
        <v>0.0</v>
      </c>
      <c r="I1533" s="9">
        <f>'杭周面の支持力'!U29</f>
        <v>672.75</v>
      </c>
      <c r="J1533" s="11">
        <f>ROUND(I1533,1)</f>
        <v>672.8</v>
      </c>
      <c r="K1533" s="8">
        <v>672.8</v>
      </c>
      <c r="L1533" s="9">
        <f>(J1533-K1533)</f>
        <v>0.0</v>
      </c>
    </row>
    <row r="1534" spans="1:12" ht="24" customHeight="1">
      <c r="A1534" s="3" t="s">
        <v>844</v>
      </c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</row>
    <row r="1535" spans="1:12" ht="46" customHeight="1">
      <c r="A1535" s="4" t="s">
        <v>8</v>
      </c>
      <c r="B1535" s="4" t="s">
        <v>9</v>
      </c>
      <c r="C1535" s="4" t="s">
        <v>845</v>
      </c>
      <c r="D1535" s="4" t="s">
        <v>846</v>
      </c>
      <c r="E1535" s="4" t="s">
        <v>847</v>
      </c>
      <c r="F1535" s="4" t="s">
        <v>848</v>
      </c>
      <c r="G1535" s="4" t="s">
        <v>849</v>
      </c>
      <c r="H1535" s="4" t="s">
        <v>850</v>
      </c>
      <c r="I1535" s="4" t="s">
        <v>851</v>
      </c>
      <c r="J1535" s="4" t="s">
        <v>852</v>
      </c>
      <c r="K1535" s="4" t="s">
        <v>853</v>
      </c>
      <c r="L1535" s="4" t="s">
        <v>854</v>
      </c>
    </row>
    <row r="1536" spans="1:12" ht="23" customHeight="1">
      <c r="A1536" s="6">
        <v>6</v>
      </c>
      <c r="B1536" s="6">
        <v>3</v>
      </c>
      <c r="C1536" s="5" t="s">
        <v>643</v>
      </c>
      <c r="D1536" s="5" t="s">
        <v>911</v>
      </c>
      <c r="E1536" s="9">
        <f>'杭周面ばね'!U30</f>
        <v>104936.0</v>
      </c>
      <c r="F1536" s="6">
        <f>ROUND(E1536,0)</f>
        <v>104936.0</v>
      </c>
      <c r="G1536" s="7">
        <v>104936</v>
      </c>
      <c r="H1536" s="9">
        <f>(F1536-G1536)</f>
        <v>0.0</v>
      </c>
      <c r="I1536" s="9">
        <f>'杭周面の支持力'!U30</f>
        <v>672.75</v>
      </c>
      <c r="J1536" s="11">
        <f>ROUND(I1536,1)</f>
        <v>672.8</v>
      </c>
      <c r="K1536" s="8">
        <v>672.8</v>
      </c>
      <c r="L1536" s="9">
        <f>(J1536-K1536)</f>
        <v>0.0</v>
      </c>
    </row>
    <row r="1537" spans="1:12" ht="23" customHeight="1">
      <c r="A1537" s="6">
        <v>6</v>
      </c>
      <c r="B1537" s="6">
        <v>3</v>
      </c>
      <c r="C1537" s="5" t="s">
        <v>644</v>
      </c>
      <c r="D1537" s="5" t="s">
        <v>912</v>
      </c>
      <c r="E1537" s="9">
        <f>'杭周面ばね'!U31</f>
        <v>104936.0</v>
      </c>
      <c r="F1537" s="6">
        <f>ROUND(E1537,0)</f>
        <v>104936.0</v>
      </c>
      <c r="G1537" s="7">
        <v>104936</v>
      </c>
      <c r="H1537" s="9">
        <f>(F1537-G1537)</f>
        <v>0.0</v>
      </c>
      <c r="I1537" s="9">
        <f>'杭周面の支持力'!U31</f>
        <v>672.75</v>
      </c>
      <c r="J1537" s="11">
        <f>ROUND(I1537,1)</f>
        <v>672.8</v>
      </c>
      <c r="K1537" s="8">
        <v>672.8</v>
      </c>
      <c r="L1537" s="9">
        <f>(J1537-K1537)</f>
        <v>0.0</v>
      </c>
    </row>
    <row r="1538" spans="1:12" ht="23" customHeight="1">
      <c r="A1538" s="6">
        <v>6</v>
      </c>
      <c r="B1538" s="6">
        <v>3</v>
      </c>
      <c r="C1538" s="5" t="s">
        <v>645</v>
      </c>
      <c r="D1538" s="5" t="s">
        <v>913</v>
      </c>
      <c r="E1538" s="9">
        <f>'杭周面ばね'!U32</f>
        <v>104936.0</v>
      </c>
      <c r="F1538" s="6">
        <f>ROUND(E1538,0)</f>
        <v>104936.0</v>
      </c>
      <c r="G1538" s="7">
        <v>104936</v>
      </c>
      <c r="H1538" s="9">
        <f>(F1538-G1538)</f>
        <v>0.0</v>
      </c>
      <c r="I1538" s="9">
        <f>'杭周面の支持力'!U32</f>
        <v>672.75</v>
      </c>
      <c r="J1538" s="11">
        <f>ROUND(I1538,1)</f>
        <v>672.8</v>
      </c>
      <c r="K1538" s="8">
        <v>672.8</v>
      </c>
      <c r="L1538" s="9">
        <f>(J1538-K1538)</f>
        <v>0.0</v>
      </c>
    </row>
    <row r="1539" spans="1:12" ht="23" customHeight="1">
      <c r="A1539" s="6">
        <v>6</v>
      </c>
      <c r="B1539" s="6">
        <v>3</v>
      </c>
      <c r="C1539" s="5" t="s">
        <v>646</v>
      </c>
      <c r="D1539" s="5" t="s">
        <v>914</v>
      </c>
      <c r="E1539" s="9">
        <f>'杭周面ばね'!U33</f>
        <v>36324.0</v>
      </c>
      <c r="F1539" s="6">
        <f>ROUND(E1539,0)</f>
        <v>36324.0</v>
      </c>
      <c r="G1539" s="7">
        <v>36324</v>
      </c>
      <c r="H1539" s="9">
        <f>(F1539-G1539)</f>
        <v>0.0</v>
      </c>
      <c r="I1539" s="9">
        <f>'杭周面の支持力'!U33</f>
        <v>232.875</v>
      </c>
      <c r="J1539" s="11">
        <f>ROUND(I1539,1)</f>
        <v>232.9</v>
      </c>
      <c r="K1539" s="8">
        <v>232.9</v>
      </c>
      <c r="L1539" s="9">
        <f>(J1539-K1539)</f>
        <v>0.0</v>
      </c>
    </row>
    <row r="1540" spans="1:12" ht="23" customHeight="1"/>
    <row r="1541" spans="1:12" ht="24" customHeight="1">
      <c r="A1541" s="3" t="s">
        <v>915</v>
      </c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</row>
    <row r="1542" spans="1:12" ht="36" customHeight="1">
      <c r="A1542" s="4" t="s">
        <v>8</v>
      </c>
      <c r="B1542" s="4" t="s">
        <v>9</v>
      </c>
      <c r="C1542" s="4" t="s">
        <v>163</v>
      </c>
      <c r="D1542" s="4" t="s">
        <v>164</v>
      </c>
      <c r="E1542" s="4" t="s">
        <v>166</v>
      </c>
      <c r="F1542" s="4" t="s">
        <v>167</v>
      </c>
      <c r="G1542" s="4" t="s">
        <v>168</v>
      </c>
      <c r="H1542" s="4" t="s">
        <v>169</v>
      </c>
      <c r="I1542" s="4" t="s">
        <v>170</v>
      </c>
      <c r="J1542" s="4" t="s">
        <v>171</v>
      </c>
    </row>
    <row r="1543" spans="1:12" ht="23" customHeight="1">
      <c r="A1543" s="6">
        <v>4</v>
      </c>
      <c r="B1543" s="6">
        <v>1</v>
      </c>
      <c r="C1543" s="6">
        <v>102</v>
      </c>
      <c r="D1543" s="6">
        <v>1</v>
      </c>
      <c r="E1543" s="7">
        <v>51629</v>
      </c>
      <c r="F1543" s="7">
        <v>51629</v>
      </c>
      <c r="G1543" s="7">
        <v>51629</v>
      </c>
      <c r="H1543" s="7">
        <v>51629</v>
      </c>
      <c r="I1543" s="7">
        <v>51629</v>
      </c>
      <c r="J1543" s="7">
        <v>51629</v>
      </c>
    </row>
    <row r="1544" spans="1:12" ht="23" customHeight="1">
      <c r="A1544" s="6">
        <v>4</v>
      </c>
      <c r="B1544" s="6">
        <v>1</v>
      </c>
      <c r="C1544" s="6">
        <v>103</v>
      </c>
      <c r="D1544" s="6">
        <v>2</v>
      </c>
      <c r="E1544" s="7">
        <v>145626</v>
      </c>
      <c r="F1544" s="7">
        <v>145626</v>
      </c>
      <c r="G1544" s="7">
        <v>145626</v>
      </c>
      <c r="H1544" s="7">
        <v>145626</v>
      </c>
      <c r="I1544" s="7">
        <v>145626</v>
      </c>
      <c r="J1544" s="7">
        <v>145626</v>
      </c>
    </row>
    <row r="1545" spans="1:12" ht="23" customHeight="1">
      <c r="A1545" s="6">
        <v>4</v>
      </c>
      <c r="B1545" s="6">
        <v>1</v>
      </c>
      <c r="C1545" s="6">
        <v>104</v>
      </c>
      <c r="D1545" s="6">
        <v>3</v>
      </c>
      <c r="E1545" s="7">
        <v>155634</v>
      </c>
      <c r="F1545" s="7">
        <v>155634</v>
      </c>
      <c r="G1545" s="7">
        <v>155634</v>
      </c>
      <c r="H1545" s="7">
        <v>155634</v>
      </c>
      <c r="I1545" s="7">
        <v>155634</v>
      </c>
      <c r="J1545" s="7">
        <v>155634</v>
      </c>
    </row>
    <row r="1546" spans="1:12" ht="23" customHeight="1">
      <c r="A1546" s="6">
        <v>4</v>
      </c>
      <c r="B1546" s="6">
        <v>1</v>
      </c>
      <c r="C1546" s="6">
        <v>105</v>
      </c>
      <c r="D1546" s="6">
        <v>4</v>
      </c>
      <c r="E1546" s="7">
        <v>223257</v>
      </c>
      <c r="F1546" s="7">
        <v>223257</v>
      </c>
      <c r="G1546" s="7">
        <v>223257</v>
      </c>
      <c r="H1546" s="7">
        <v>223257</v>
      </c>
      <c r="I1546" s="7">
        <v>223257</v>
      </c>
      <c r="J1546" s="7">
        <v>223257</v>
      </c>
    </row>
    <row r="1547" spans="1:12" ht="23" customHeight="1">
      <c r="A1547" s="6">
        <v>4</v>
      </c>
      <c r="B1547" s="6">
        <v>1</v>
      </c>
      <c r="C1547" s="6">
        <v>106</v>
      </c>
      <c r="D1547" s="6">
        <v>5</v>
      </c>
      <c r="E1547" s="7">
        <v>218438</v>
      </c>
      <c r="F1547" s="7">
        <v>218438</v>
      </c>
      <c r="G1547" s="7">
        <v>218438</v>
      </c>
      <c r="H1547" s="7">
        <v>218438</v>
      </c>
      <c r="I1547" s="7">
        <v>218438</v>
      </c>
      <c r="J1547" s="7">
        <v>218438</v>
      </c>
    </row>
    <row r="1548" spans="1:12" ht="23" customHeight="1">
      <c r="A1548" s="6">
        <v>4</v>
      </c>
      <c r="B1548" s="6">
        <v>1</v>
      </c>
      <c r="C1548" s="6">
        <v>107</v>
      </c>
      <c r="D1548" s="6">
        <v>6</v>
      </c>
      <c r="E1548" s="7">
        <v>218438</v>
      </c>
      <c r="F1548" s="7">
        <v>218438</v>
      </c>
      <c r="G1548" s="7">
        <v>218438</v>
      </c>
      <c r="H1548" s="7">
        <v>218438</v>
      </c>
      <c r="I1548" s="7">
        <v>218438</v>
      </c>
      <c r="J1548" s="7">
        <v>218438</v>
      </c>
    </row>
    <row r="1549" spans="1:12" ht="23" customHeight="1">
      <c r="A1549" s="6">
        <v>4</v>
      </c>
      <c r="B1549" s="6">
        <v>1</v>
      </c>
      <c r="C1549" s="6">
        <v>108</v>
      </c>
      <c r="D1549" s="6">
        <v>7</v>
      </c>
      <c r="E1549" s="7">
        <v>218438</v>
      </c>
      <c r="F1549" s="7">
        <v>218438</v>
      </c>
      <c r="G1549" s="7">
        <v>218438</v>
      </c>
      <c r="H1549" s="7">
        <v>218438</v>
      </c>
      <c r="I1549" s="7">
        <v>218438</v>
      </c>
      <c r="J1549" s="7">
        <v>218438</v>
      </c>
    </row>
    <row r="1550" spans="1:12" ht="24" customHeight="1">
      <c r="A1550" s="3" t="s">
        <v>915</v>
      </c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</row>
    <row r="1551" spans="1:12" ht="36" customHeight="1">
      <c r="A1551" s="4" t="s">
        <v>8</v>
      </c>
      <c r="B1551" s="4" t="s">
        <v>9</v>
      </c>
      <c r="C1551" s="4" t="s">
        <v>163</v>
      </c>
      <c r="D1551" s="4" t="s">
        <v>164</v>
      </c>
      <c r="E1551" s="4" t="s">
        <v>166</v>
      </c>
      <c r="F1551" s="4" t="s">
        <v>167</v>
      </c>
      <c r="G1551" s="4" t="s">
        <v>168</v>
      </c>
      <c r="H1551" s="4" t="s">
        <v>169</v>
      </c>
      <c r="I1551" s="4" t="s">
        <v>170</v>
      </c>
      <c r="J1551" s="4" t="s">
        <v>171</v>
      </c>
    </row>
    <row r="1552" spans="1:12" ht="23" customHeight="1">
      <c r="A1552" s="6">
        <v>4</v>
      </c>
      <c r="B1552" s="6">
        <v>1</v>
      </c>
      <c r="C1552" s="6">
        <v>109</v>
      </c>
      <c r="D1552" s="6">
        <v>8</v>
      </c>
      <c r="E1552" s="7">
        <v>218438</v>
      </c>
      <c r="F1552" s="7">
        <v>218438</v>
      </c>
      <c r="G1552" s="7">
        <v>218438</v>
      </c>
      <c r="H1552" s="7">
        <v>218438</v>
      </c>
      <c r="I1552" s="7">
        <v>218438</v>
      </c>
      <c r="J1552" s="7">
        <v>218438</v>
      </c>
    </row>
    <row r="1553" spans="1:12" ht="23" customHeight="1">
      <c r="A1553" s="6">
        <v>4</v>
      </c>
      <c r="B1553" s="6">
        <v>1</v>
      </c>
      <c r="C1553" s="6">
        <v>110</v>
      </c>
      <c r="D1553" s="6">
        <v>9</v>
      </c>
      <c r="E1553" s="7">
        <v>218438</v>
      </c>
      <c r="F1553" s="7">
        <v>218438</v>
      </c>
      <c r="G1553" s="7">
        <v>218438</v>
      </c>
      <c r="H1553" s="7">
        <v>218438</v>
      </c>
      <c r="I1553" s="7">
        <v>218438</v>
      </c>
      <c r="J1553" s="7">
        <v>218438</v>
      </c>
    </row>
    <row r="1554" spans="1:12" ht="23" customHeight="1">
      <c r="A1554" s="6">
        <v>4</v>
      </c>
      <c r="B1554" s="6">
        <v>1</v>
      </c>
      <c r="C1554" s="6">
        <v>111</v>
      </c>
      <c r="D1554" s="6">
        <v>10</v>
      </c>
      <c r="E1554" s="7">
        <v>218438</v>
      </c>
      <c r="F1554" s="7">
        <v>218438</v>
      </c>
      <c r="G1554" s="7">
        <v>218438</v>
      </c>
      <c r="H1554" s="7">
        <v>218438</v>
      </c>
      <c r="I1554" s="7">
        <v>218438</v>
      </c>
      <c r="J1554" s="7">
        <v>218438</v>
      </c>
    </row>
    <row r="1555" spans="1:12" ht="23" customHeight="1">
      <c r="A1555" s="6">
        <v>4</v>
      </c>
      <c r="B1555" s="6">
        <v>1</v>
      </c>
      <c r="C1555" s="6">
        <v>112</v>
      </c>
      <c r="D1555" s="6">
        <v>11</v>
      </c>
      <c r="E1555" s="7">
        <v>179149</v>
      </c>
      <c r="F1555" s="7">
        <v>179149</v>
      </c>
      <c r="G1555" s="7">
        <v>179149</v>
      </c>
      <c r="H1555" s="7">
        <v>179149</v>
      </c>
      <c r="I1555" s="7">
        <v>179149</v>
      </c>
      <c r="J1555" s="7">
        <v>179149</v>
      </c>
    </row>
    <row r="1556" spans="1:12" ht="23" customHeight="1">
      <c r="A1556" s="6">
        <v>4</v>
      </c>
      <c r="B1556" s="6">
        <v>1</v>
      </c>
      <c r="C1556" s="6">
        <v>113</v>
      </c>
      <c r="D1556" s="6">
        <v>12</v>
      </c>
      <c r="E1556" s="7">
        <v>104936</v>
      </c>
      <c r="F1556" s="7">
        <v>104936</v>
      </c>
      <c r="G1556" s="7">
        <v>104936</v>
      </c>
      <c r="H1556" s="7">
        <v>104936</v>
      </c>
      <c r="I1556" s="7">
        <v>104936</v>
      </c>
      <c r="J1556" s="7">
        <v>104936</v>
      </c>
    </row>
    <row r="1557" spans="1:12" ht="23" customHeight="1">
      <c r="A1557" s="6">
        <v>4</v>
      </c>
      <c r="B1557" s="6">
        <v>1</v>
      </c>
      <c r="C1557" s="6">
        <v>114</v>
      </c>
      <c r="D1557" s="6">
        <v>13</v>
      </c>
      <c r="E1557" s="7">
        <v>104936</v>
      </c>
      <c r="F1557" s="7">
        <v>104936</v>
      </c>
      <c r="G1557" s="7">
        <v>104936</v>
      </c>
      <c r="H1557" s="7">
        <v>104936</v>
      </c>
      <c r="I1557" s="7">
        <v>104936</v>
      </c>
      <c r="J1557" s="7">
        <v>104936</v>
      </c>
    </row>
    <row r="1558" spans="1:12" ht="23" customHeight="1">
      <c r="A1558" s="6">
        <v>4</v>
      </c>
      <c r="B1558" s="6">
        <v>1</v>
      </c>
      <c r="C1558" s="6">
        <v>115</v>
      </c>
      <c r="D1558" s="6">
        <v>14</v>
      </c>
      <c r="E1558" s="7">
        <v>104936</v>
      </c>
      <c r="F1558" s="7">
        <v>104936</v>
      </c>
      <c r="G1558" s="7">
        <v>104936</v>
      </c>
      <c r="H1558" s="7">
        <v>104936</v>
      </c>
      <c r="I1558" s="7">
        <v>104936</v>
      </c>
      <c r="J1558" s="7">
        <v>104936</v>
      </c>
    </row>
    <row r="1559" spans="1:12" ht="23" customHeight="1">
      <c r="A1559" s="6">
        <v>4</v>
      </c>
      <c r="B1559" s="6">
        <v>1</v>
      </c>
      <c r="C1559" s="6">
        <v>116</v>
      </c>
      <c r="D1559" s="6">
        <v>15</v>
      </c>
      <c r="E1559" s="7">
        <v>104936</v>
      </c>
      <c r="F1559" s="7">
        <v>104936</v>
      </c>
      <c r="G1559" s="7">
        <v>104936</v>
      </c>
      <c r="H1559" s="7">
        <v>104936</v>
      </c>
      <c r="I1559" s="7">
        <v>104936</v>
      </c>
      <c r="J1559" s="7">
        <v>104936</v>
      </c>
    </row>
    <row r="1560" spans="1:12" ht="23" customHeight="1">
      <c r="A1560" s="6">
        <v>4</v>
      </c>
      <c r="B1560" s="6">
        <v>1</v>
      </c>
      <c r="C1560" s="6">
        <v>117</v>
      </c>
      <c r="D1560" s="6">
        <v>16</v>
      </c>
      <c r="E1560" s="7">
        <v>104936</v>
      </c>
      <c r="F1560" s="7">
        <v>104936</v>
      </c>
      <c r="G1560" s="7">
        <v>104936</v>
      </c>
      <c r="H1560" s="7">
        <v>104936</v>
      </c>
      <c r="I1560" s="7">
        <v>104936</v>
      </c>
      <c r="J1560" s="7">
        <v>104936</v>
      </c>
    </row>
    <row r="1561" spans="1:12" ht="23" customHeight="1">
      <c r="A1561" s="6">
        <v>4</v>
      </c>
      <c r="B1561" s="6">
        <v>1</v>
      </c>
      <c r="C1561" s="6">
        <v>118</v>
      </c>
      <c r="D1561" s="6">
        <v>17</v>
      </c>
      <c r="E1561" s="7">
        <v>104936</v>
      </c>
      <c r="F1561" s="7">
        <v>104936</v>
      </c>
      <c r="G1561" s="7">
        <v>104936</v>
      </c>
      <c r="H1561" s="7">
        <v>104936</v>
      </c>
      <c r="I1561" s="7">
        <v>104936</v>
      </c>
      <c r="J1561" s="7">
        <v>104936</v>
      </c>
    </row>
    <row r="1562" spans="1:12" ht="23" customHeight="1">
      <c r="A1562" s="6">
        <v>4</v>
      </c>
      <c r="B1562" s="6">
        <v>1</v>
      </c>
      <c r="C1562" s="6">
        <v>119</v>
      </c>
      <c r="D1562" s="6">
        <v>18</v>
      </c>
      <c r="E1562" s="7">
        <v>104936</v>
      </c>
      <c r="F1562" s="7">
        <v>104936</v>
      </c>
      <c r="G1562" s="7">
        <v>104936</v>
      </c>
      <c r="H1562" s="7">
        <v>104936</v>
      </c>
      <c r="I1562" s="7">
        <v>104936</v>
      </c>
      <c r="J1562" s="7">
        <v>104936</v>
      </c>
    </row>
    <row r="1563" spans="1:12" ht="23" customHeight="1">
      <c r="A1563" s="6">
        <v>4</v>
      </c>
      <c r="B1563" s="6">
        <v>1</v>
      </c>
      <c r="C1563" s="6">
        <v>120</v>
      </c>
      <c r="D1563" s="6">
        <v>19</v>
      </c>
      <c r="E1563" s="7">
        <v>104936</v>
      </c>
      <c r="F1563" s="7">
        <v>104936</v>
      </c>
      <c r="G1563" s="7">
        <v>104936</v>
      </c>
      <c r="H1563" s="7">
        <v>104936</v>
      </c>
      <c r="I1563" s="7">
        <v>104936</v>
      </c>
      <c r="J1563" s="7">
        <v>104936</v>
      </c>
    </row>
    <row r="1564" spans="1:12" ht="23" customHeight="1">
      <c r="A1564" s="6">
        <v>4</v>
      </c>
      <c r="B1564" s="6">
        <v>1</v>
      </c>
      <c r="C1564" s="6">
        <v>121</v>
      </c>
      <c r="D1564" s="6">
        <v>20</v>
      </c>
      <c r="E1564" s="7">
        <v>36324</v>
      </c>
      <c r="F1564" s="7">
        <v>36324</v>
      </c>
      <c r="G1564" s="7">
        <v>36324</v>
      </c>
      <c r="H1564" s="7">
        <v>36324</v>
      </c>
      <c r="I1564" s="7">
        <v>36324</v>
      </c>
      <c r="J1564" s="7">
        <v>36324</v>
      </c>
    </row>
    <row r="1565" spans="1:12" ht="23" customHeight="1">
      <c r="A1565" s="6">
        <v>5</v>
      </c>
      <c r="B1565" s="6">
        <v>2</v>
      </c>
      <c r="C1565" s="6">
        <v>127</v>
      </c>
      <c r="D1565" s="6">
        <v>21</v>
      </c>
      <c r="E1565" s="7">
        <v>34419</v>
      </c>
      <c r="F1565" s="7">
        <v>34419</v>
      </c>
      <c r="G1565" s="7">
        <v>34419</v>
      </c>
      <c r="H1565" s="7">
        <v>34419</v>
      </c>
      <c r="I1565" s="7">
        <v>34419</v>
      </c>
      <c r="J1565" s="7">
        <v>34419</v>
      </c>
    </row>
    <row r="1566" spans="1:12" ht="23" customHeight="1">
      <c r="A1566" s="6">
        <v>5</v>
      </c>
      <c r="B1566" s="6">
        <v>2</v>
      </c>
      <c r="C1566" s="6">
        <v>128</v>
      </c>
      <c r="D1566" s="6">
        <v>22</v>
      </c>
      <c r="E1566" s="7">
        <v>97084</v>
      </c>
      <c r="F1566" s="7">
        <v>97084</v>
      </c>
      <c r="G1566" s="7">
        <v>97084</v>
      </c>
      <c r="H1566" s="7">
        <v>97084</v>
      </c>
      <c r="I1566" s="7">
        <v>97084</v>
      </c>
      <c r="J1566" s="7">
        <v>97084</v>
      </c>
    </row>
    <row r="1567" spans="1:12" ht="24" customHeight="1">
      <c r="A1567" s="3" t="s">
        <v>915</v>
      </c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</row>
    <row r="1568" spans="1:12" ht="36" customHeight="1">
      <c r="A1568" s="4" t="s">
        <v>8</v>
      </c>
      <c r="B1568" s="4" t="s">
        <v>9</v>
      </c>
      <c r="C1568" s="4" t="s">
        <v>163</v>
      </c>
      <c r="D1568" s="4" t="s">
        <v>164</v>
      </c>
      <c r="E1568" s="4" t="s">
        <v>166</v>
      </c>
      <c r="F1568" s="4" t="s">
        <v>167</v>
      </c>
      <c r="G1568" s="4" t="s">
        <v>168</v>
      </c>
      <c r="H1568" s="4" t="s">
        <v>169</v>
      </c>
      <c r="I1568" s="4" t="s">
        <v>170</v>
      </c>
      <c r="J1568" s="4" t="s">
        <v>171</v>
      </c>
    </row>
    <row r="1569" spans="1:12" ht="23" customHeight="1">
      <c r="A1569" s="6">
        <v>5</v>
      </c>
      <c r="B1569" s="6">
        <v>2</v>
      </c>
      <c r="C1569" s="6">
        <v>129</v>
      </c>
      <c r="D1569" s="6">
        <v>23</v>
      </c>
      <c r="E1569" s="7">
        <v>103756</v>
      </c>
      <c r="F1569" s="7">
        <v>103756</v>
      </c>
      <c r="G1569" s="7">
        <v>103756</v>
      </c>
      <c r="H1569" s="7">
        <v>103756</v>
      </c>
      <c r="I1569" s="7">
        <v>103756</v>
      </c>
      <c r="J1569" s="7">
        <v>103756</v>
      </c>
    </row>
    <row r="1570" spans="1:12" ht="23" customHeight="1">
      <c r="A1570" s="6">
        <v>5</v>
      </c>
      <c r="B1570" s="6">
        <v>2</v>
      </c>
      <c r="C1570" s="6">
        <v>130</v>
      </c>
      <c r="D1570" s="6">
        <v>24</v>
      </c>
      <c r="E1570" s="7">
        <v>148838</v>
      </c>
      <c r="F1570" s="7">
        <v>148838</v>
      </c>
      <c r="G1570" s="7">
        <v>148838</v>
      </c>
      <c r="H1570" s="7">
        <v>148838</v>
      </c>
      <c r="I1570" s="7">
        <v>148838</v>
      </c>
      <c r="J1570" s="7">
        <v>148838</v>
      </c>
    </row>
    <row r="1571" spans="1:12" ht="23" customHeight="1">
      <c r="A1571" s="6">
        <v>5</v>
      </c>
      <c r="B1571" s="6">
        <v>2</v>
      </c>
      <c r="C1571" s="6">
        <v>131</v>
      </c>
      <c r="D1571" s="6">
        <v>25</v>
      </c>
      <c r="E1571" s="7">
        <v>145626</v>
      </c>
      <c r="F1571" s="7">
        <v>145626</v>
      </c>
      <c r="G1571" s="7">
        <v>145626</v>
      </c>
      <c r="H1571" s="7">
        <v>145626</v>
      </c>
      <c r="I1571" s="7">
        <v>145626</v>
      </c>
      <c r="J1571" s="7">
        <v>145626</v>
      </c>
    </row>
    <row r="1572" spans="1:12" ht="23" customHeight="1">
      <c r="A1572" s="6">
        <v>5</v>
      </c>
      <c r="B1572" s="6">
        <v>2</v>
      </c>
      <c r="C1572" s="6">
        <v>132</v>
      </c>
      <c r="D1572" s="6">
        <v>26</v>
      </c>
      <c r="E1572" s="7">
        <v>145626</v>
      </c>
      <c r="F1572" s="7">
        <v>145626</v>
      </c>
      <c r="G1572" s="7">
        <v>145626</v>
      </c>
      <c r="H1572" s="7">
        <v>145626</v>
      </c>
      <c r="I1572" s="7">
        <v>145626</v>
      </c>
      <c r="J1572" s="7">
        <v>145626</v>
      </c>
    </row>
    <row r="1573" spans="1:12" ht="23" customHeight="1">
      <c r="A1573" s="6">
        <v>5</v>
      </c>
      <c r="B1573" s="6">
        <v>2</v>
      </c>
      <c r="C1573" s="6">
        <v>133</v>
      </c>
      <c r="D1573" s="6">
        <v>27</v>
      </c>
      <c r="E1573" s="7">
        <v>145626</v>
      </c>
      <c r="F1573" s="7">
        <v>145626</v>
      </c>
      <c r="G1573" s="7">
        <v>145626</v>
      </c>
      <c r="H1573" s="7">
        <v>145626</v>
      </c>
      <c r="I1573" s="7">
        <v>145626</v>
      </c>
      <c r="J1573" s="7">
        <v>145626</v>
      </c>
    </row>
    <row r="1574" spans="1:12" ht="23" customHeight="1">
      <c r="A1574" s="6">
        <v>5</v>
      </c>
      <c r="B1574" s="6">
        <v>2</v>
      </c>
      <c r="C1574" s="6">
        <v>134</v>
      </c>
      <c r="D1574" s="6">
        <v>28</v>
      </c>
      <c r="E1574" s="7">
        <v>145626</v>
      </c>
      <c r="F1574" s="7">
        <v>145626</v>
      </c>
      <c r="G1574" s="7">
        <v>145626</v>
      </c>
      <c r="H1574" s="7">
        <v>145626</v>
      </c>
      <c r="I1574" s="7">
        <v>145626</v>
      </c>
      <c r="J1574" s="7">
        <v>145626</v>
      </c>
    </row>
    <row r="1575" spans="1:12" ht="23" customHeight="1">
      <c r="A1575" s="6">
        <v>5</v>
      </c>
      <c r="B1575" s="6">
        <v>2</v>
      </c>
      <c r="C1575" s="6">
        <v>135</v>
      </c>
      <c r="D1575" s="6">
        <v>29</v>
      </c>
      <c r="E1575" s="7">
        <v>145626</v>
      </c>
      <c r="F1575" s="7">
        <v>145626</v>
      </c>
      <c r="G1575" s="7">
        <v>145626</v>
      </c>
      <c r="H1575" s="7">
        <v>145626</v>
      </c>
      <c r="I1575" s="7">
        <v>145626</v>
      </c>
      <c r="J1575" s="7">
        <v>145626</v>
      </c>
    </row>
    <row r="1576" spans="1:12" ht="23" customHeight="1">
      <c r="A1576" s="6">
        <v>5</v>
      </c>
      <c r="B1576" s="6">
        <v>2</v>
      </c>
      <c r="C1576" s="6">
        <v>136</v>
      </c>
      <c r="D1576" s="6">
        <v>30</v>
      </c>
      <c r="E1576" s="7">
        <v>145626</v>
      </c>
      <c r="F1576" s="7">
        <v>145626</v>
      </c>
      <c r="G1576" s="7">
        <v>145626</v>
      </c>
      <c r="H1576" s="7">
        <v>145626</v>
      </c>
      <c r="I1576" s="7">
        <v>145626</v>
      </c>
      <c r="J1576" s="7">
        <v>145626</v>
      </c>
    </row>
    <row r="1577" spans="1:12" ht="23" customHeight="1">
      <c r="A1577" s="6">
        <v>5</v>
      </c>
      <c r="B1577" s="6">
        <v>2</v>
      </c>
      <c r="C1577" s="6">
        <v>137</v>
      </c>
      <c r="D1577" s="6">
        <v>31</v>
      </c>
      <c r="E1577" s="7">
        <v>119433</v>
      </c>
      <c r="F1577" s="7">
        <v>119433</v>
      </c>
      <c r="G1577" s="7">
        <v>119433</v>
      </c>
      <c r="H1577" s="7">
        <v>119433</v>
      </c>
      <c r="I1577" s="7">
        <v>119433</v>
      </c>
      <c r="J1577" s="7">
        <v>119433</v>
      </c>
    </row>
    <row r="1578" spans="1:12" ht="23" customHeight="1">
      <c r="A1578" s="6">
        <v>5</v>
      </c>
      <c r="B1578" s="6">
        <v>2</v>
      </c>
      <c r="C1578" s="6">
        <v>138</v>
      </c>
      <c r="D1578" s="6">
        <v>32</v>
      </c>
      <c r="E1578" s="7">
        <v>69957</v>
      </c>
      <c r="F1578" s="7">
        <v>69957</v>
      </c>
      <c r="G1578" s="7">
        <v>69957</v>
      </c>
      <c r="H1578" s="7">
        <v>69957</v>
      </c>
      <c r="I1578" s="7">
        <v>69957</v>
      </c>
      <c r="J1578" s="7">
        <v>69957</v>
      </c>
    </row>
    <row r="1579" spans="1:12" ht="23" customHeight="1">
      <c r="A1579" s="6">
        <v>5</v>
      </c>
      <c r="B1579" s="6">
        <v>2</v>
      </c>
      <c r="C1579" s="6">
        <v>139</v>
      </c>
      <c r="D1579" s="6">
        <v>33</v>
      </c>
      <c r="E1579" s="7">
        <v>69957</v>
      </c>
      <c r="F1579" s="7">
        <v>69957</v>
      </c>
      <c r="G1579" s="7">
        <v>69957</v>
      </c>
      <c r="H1579" s="7">
        <v>69957</v>
      </c>
      <c r="I1579" s="7">
        <v>69957</v>
      </c>
      <c r="J1579" s="7">
        <v>69957</v>
      </c>
    </row>
    <row r="1580" spans="1:12" ht="23" customHeight="1">
      <c r="A1580" s="6">
        <v>5</v>
      </c>
      <c r="B1580" s="6">
        <v>2</v>
      </c>
      <c r="C1580" s="6">
        <v>140</v>
      </c>
      <c r="D1580" s="6">
        <v>34</v>
      </c>
      <c r="E1580" s="7">
        <v>69957</v>
      </c>
      <c r="F1580" s="7">
        <v>69957</v>
      </c>
      <c r="G1580" s="7">
        <v>69957</v>
      </c>
      <c r="H1580" s="7">
        <v>69957</v>
      </c>
      <c r="I1580" s="7">
        <v>69957</v>
      </c>
      <c r="J1580" s="7">
        <v>69957</v>
      </c>
    </row>
    <row r="1581" spans="1:12" ht="23" customHeight="1">
      <c r="A1581" s="6">
        <v>5</v>
      </c>
      <c r="B1581" s="6">
        <v>2</v>
      </c>
      <c r="C1581" s="6">
        <v>141</v>
      </c>
      <c r="D1581" s="6">
        <v>35</v>
      </c>
      <c r="E1581" s="7">
        <v>69957</v>
      </c>
      <c r="F1581" s="7">
        <v>69957</v>
      </c>
      <c r="G1581" s="7">
        <v>69957</v>
      </c>
      <c r="H1581" s="7">
        <v>69957</v>
      </c>
      <c r="I1581" s="7">
        <v>69957</v>
      </c>
      <c r="J1581" s="7">
        <v>69957</v>
      </c>
    </row>
    <row r="1582" spans="1:12" ht="23" customHeight="1">
      <c r="A1582" s="6">
        <v>5</v>
      </c>
      <c r="B1582" s="6">
        <v>2</v>
      </c>
      <c r="C1582" s="6">
        <v>142</v>
      </c>
      <c r="D1582" s="6">
        <v>36</v>
      </c>
      <c r="E1582" s="7">
        <v>69957</v>
      </c>
      <c r="F1582" s="7">
        <v>69957</v>
      </c>
      <c r="G1582" s="7">
        <v>69957</v>
      </c>
      <c r="H1582" s="7">
        <v>69957</v>
      </c>
      <c r="I1582" s="7">
        <v>69957</v>
      </c>
      <c r="J1582" s="7">
        <v>69957</v>
      </c>
    </row>
    <row r="1583" spans="1:12" ht="23" customHeight="1">
      <c r="A1583" s="6">
        <v>5</v>
      </c>
      <c r="B1583" s="6">
        <v>2</v>
      </c>
      <c r="C1583" s="6">
        <v>143</v>
      </c>
      <c r="D1583" s="6">
        <v>37</v>
      </c>
      <c r="E1583" s="7">
        <v>69957</v>
      </c>
      <c r="F1583" s="7">
        <v>69957</v>
      </c>
      <c r="G1583" s="7">
        <v>69957</v>
      </c>
      <c r="H1583" s="7">
        <v>69957</v>
      </c>
      <c r="I1583" s="7">
        <v>69957</v>
      </c>
      <c r="J1583" s="7">
        <v>69957</v>
      </c>
    </row>
    <row r="1584" spans="1:12" ht="24" customHeight="1">
      <c r="A1584" s="3" t="s">
        <v>915</v>
      </c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</row>
    <row r="1585" spans="1:10" ht="36" customHeight="1">
      <c r="A1585" s="4" t="s">
        <v>8</v>
      </c>
      <c r="B1585" s="4" t="s">
        <v>9</v>
      </c>
      <c r="C1585" s="4" t="s">
        <v>163</v>
      </c>
      <c r="D1585" s="4" t="s">
        <v>164</v>
      </c>
      <c r="E1585" s="4" t="s">
        <v>166</v>
      </c>
      <c r="F1585" s="4" t="s">
        <v>167</v>
      </c>
      <c r="G1585" s="4" t="s">
        <v>168</v>
      </c>
      <c r="H1585" s="4" t="s">
        <v>169</v>
      </c>
      <c r="I1585" s="4" t="s">
        <v>170</v>
      </c>
      <c r="J1585" s="4" t="s">
        <v>171</v>
      </c>
    </row>
    <row r="1586" spans="1:10" ht="23" customHeight="1">
      <c r="A1586" s="6">
        <v>5</v>
      </c>
      <c r="B1586" s="6">
        <v>2</v>
      </c>
      <c r="C1586" s="6">
        <v>144</v>
      </c>
      <c r="D1586" s="6">
        <v>38</v>
      </c>
      <c r="E1586" s="7">
        <v>69957</v>
      </c>
      <c r="F1586" s="7">
        <v>69957</v>
      </c>
      <c r="G1586" s="7">
        <v>69957</v>
      </c>
      <c r="H1586" s="7">
        <v>69957</v>
      </c>
      <c r="I1586" s="7">
        <v>69957</v>
      </c>
      <c r="J1586" s="7">
        <v>69957</v>
      </c>
    </row>
    <row r="1587" spans="1:10" ht="23" customHeight="1">
      <c r="A1587" s="6">
        <v>5</v>
      </c>
      <c r="B1587" s="6">
        <v>2</v>
      </c>
      <c r="C1587" s="6">
        <v>145</v>
      </c>
      <c r="D1587" s="6">
        <v>39</v>
      </c>
      <c r="E1587" s="7">
        <v>69957</v>
      </c>
      <c r="F1587" s="7">
        <v>69957</v>
      </c>
      <c r="G1587" s="7">
        <v>69957</v>
      </c>
      <c r="H1587" s="7">
        <v>69957</v>
      </c>
      <c r="I1587" s="7">
        <v>69957</v>
      </c>
      <c r="J1587" s="7">
        <v>69957</v>
      </c>
    </row>
    <row r="1588" spans="1:10" ht="23" customHeight="1">
      <c r="A1588" s="6">
        <v>5</v>
      </c>
      <c r="B1588" s="6">
        <v>2</v>
      </c>
      <c r="C1588" s="6">
        <v>146</v>
      </c>
      <c r="D1588" s="6">
        <v>40</v>
      </c>
      <c r="E1588" s="7">
        <v>24216</v>
      </c>
      <c r="F1588" s="7">
        <v>24216</v>
      </c>
      <c r="G1588" s="7">
        <v>24216</v>
      </c>
      <c r="H1588" s="7">
        <v>24216</v>
      </c>
      <c r="I1588" s="7">
        <v>24216</v>
      </c>
      <c r="J1588" s="7">
        <v>24216</v>
      </c>
    </row>
    <row r="1589" spans="1:10" ht="23" customHeight="1">
      <c r="A1589" s="6">
        <v>6</v>
      </c>
      <c r="B1589" s="6">
        <v>3</v>
      </c>
      <c r="C1589" s="6">
        <v>152</v>
      </c>
      <c r="D1589" s="6">
        <v>41</v>
      </c>
      <c r="E1589" s="7">
        <v>51629</v>
      </c>
      <c r="F1589" s="7">
        <v>51629</v>
      </c>
      <c r="G1589" s="7">
        <v>51629</v>
      </c>
      <c r="H1589" s="7">
        <v>51629</v>
      </c>
      <c r="I1589" s="7">
        <v>51629</v>
      </c>
      <c r="J1589" s="7">
        <v>51629</v>
      </c>
    </row>
    <row r="1590" spans="1:10" ht="23" customHeight="1">
      <c r="A1590" s="6">
        <v>6</v>
      </c>
      <c r="B1590" s="6">
        <v>3</v>
      </c>
      <c r="C1590" s="6">
        <v>153</v>
      </c>
      <c r="D1590" s="6">
        <v>42</v>
      </c>
      <c r="E1590" s="7">
        <v>145626</v>
      </c>
      <c r="F1590" s="7">
        <v>145626</v>
      </c>
      <c r="G1590" s="7">
        <v>145626</v>
      </c>
      <c r="H1590" s="7">
        <v>145626</v>
      </c>
      <c r="I1590" s="7">
        <v>145626</v>
      </c>
      <c r="J1590" s="7">
        <v>145626</v>
      </c>
    </row>
    <row r="1591" spans="1:10" ht="23" customHeight="1">
      <c r="A1591" s="6">
        <v>6</v>
      </c>
      <c r="B1591" s="6">
        <v>3</v>
      </c>
      <c r="C1591" s="6">
        <v>154</v>
      </c>
      <c r="D1591" s="6">
        <v>43</v>
      </c>
      <c r="E1591" s="7">
        <v>155634</v>
      </c>
      <c r="F1591" s="7">
        <v>155634</v>
      </c>
      <c r="G1591" s="7">
        <v>155634</v>
      </c>
      <c r="H1591" s="7">
        <v>155634</v>
      </c>
      <c r="I1591" s="7">
        <v>155634</v>
      </c>
      <c r="J1591" s="7">
        <v>155634</v>
      </c>
    </row>
    <row r="1592" spans="1:10" ht="23" customHeight="1">
      <c r="A1592" s="6">
        <v>6</v>
      </c>
      <c r="B1592" s="6">
        <v>3</v>
      </c>
      <c r="C1592" s="6">
        <v>155</v>
      </c>
      <c r="D1592" s="6">
        <v>44</v>
      </c>
      <c r="E1592" s="7">
        <v>223257</v>
      </c>
      <c r="F1592" s="7">
        <v>223257</v>
      </c>
      <c r="G1592" s="7">
        <v>223257</v>
      </c>
      <c r="H1592" s="7">
        <v>223257</v>
      </c>
      <c r="I1592" s="7">
        <v>223257</v>
      </c>
      <c r="J1592" s="7">
        <v>223257</v>
      </c>
    </row>
    <row r="1593" spans="1:10" ht="23" customHeight="1">
      <c r="A1593" s="6">
        <v>6</v>
      </c>
      <c r="B1593" s="6">
        <v>3</v>
      </c>
      <c r="C1593" s="6">
        <v>156</v>
      </c>
      <c r="D1593" s="6">
        <v>45</v>
      </c>
      <c r="E1593" s="7">
        <v>218438</v>
      </c>
      <c r="F1593" s="7">
        <v>218438</v>
      </c>
      <c r="G1593" s="7">
        <v>218438</v>
      </c>
      <c r="H1593" s="7">
        <v>218438</v>
      </c>
      <c r="I1593" s="7">
        <v>218438</v>
      </c>
      <c r="J1593" s="7">
        <v>218438</v>
      </c>
    </row>
    <row r="1594" spans="1:10" ht="23" customHeight="1">
      <c r="A1594" s="6">
        <v>6</v>
      </c>
      <c r="B1594" s="6">
        <v>3</v>
      </c>
      <c r="C1594" s="6">
        <v>157</v>
      </c>
      <c r="D1594" s="6">
        <v>46</v>
      </c>
      <c r="E1594" s="7">
        <v>218438</v>
      </c>
      <c r="F1594" s="7">
        <v>218438</v>
      </c>
      <c r="G1594" s="7">
        <v>218438</v>
      </c>
      <c r="H1594" s="7">
        <v>218438</v>
      </c>
      <c r="I1594" s="7">
        <v>218438</v>
      </c>
      <c r="J1594" s="7">
        <v>218438</v>
      </c>
    </row>
    <row r="1595" spans="1:10" ht="23" customHeight="1">
      <c r="A1595" s="6">
        <v>6</v>
      </c>
      <c r="B1595" s="6">
        <v>3</v>
      </c>
      <c r="C1595" s="6">
        <v>158</v>
      </c>
      <c r="D1595" s="6">
        <v>47</v>
      </c>
      <c r="E1595" s="7">
        <v>218438</v>
      </c>
      <c r="F1595" s="7">
        <v>218438</v>
      </c>
      <c r="G1595" s="7">
        <v>218438</v>
      </c>
      <c r="H1595" s="7">
        <v>218438</v>
      </c>
      <c r="I1595" s="7">
        <v>218438</v>
      </c>
      <c r="J1595" s="7">
        <v>218438</v>
      </c>
    </row>
    <row r="1596" spans="1:10" ht="23" customHeight="1">
      <c r="A1596" s="6">
        <v>6</v>
      </c>
      <c r="B1596" s="6">
        <v>3</v>
      </c>
      <c r="C1596" s="6">
        <v>159</v>
      </c>
      <c r="D1596" s="6">
        <v>48</v>
      </c>
      <c r="E1596" s="7">
        <v>218438</v>
      </c>
      <c r="F1596" s="7">
        <v>218438</v>
      </c>
      <c r="G1596" s="7">
        <v>218438</v>
      </c>
      <c r="H1596" s="7">
        <v>218438</v>
      </c>
      <c r="I1596" s="7">
        <v>218438</v>
      </c>
      <c r="J1596" s="7">
        <v>218438</v>
      </c>
    </row>
    <row r="1597" spans="1:10" ht="23" customHeight="1">
      <c r="A1597" s="6">
        <v>6</v>
      </c>
      <c r="B1597" s="6">
        <v>3</v>
      </c>
      <c r="C1597" s="6">
        <v>160</v>
      </c>
      <c r="D1597" s="6">
        <v>49</v>
      </c>
      <c r="E1597" s="7">
        <v>218438</v>
      </c>
      <c r="F1597" s="7">
        <v>218438</v>
      </c>
      <c r="G1597" s="7">
        <v>218438</v>
      </c>
      <c r="H1597" s="7">
        <v>218438</v>
      </c>
      <c r="I1597" s="7">
        <v>218438</v>
      </c>
      <c r="J1597" s="7">
        <v>218438</v>
      </c>
    </row>
    <row r="1598" spans="1:10" ht="23" customHeight="1">
      <c r="A1598" s="6">
        <v>6</v>
      </c>
      <c r="B1598" s="6">
        <v>3</v>
      </c>
      <c r="C1598" s="6">
        <v>161</v>
      </c>
      <c r="D1598" s="6">
        <v>50</v>
      </c>
      <c r="E1598" s="7">
        <v>218438</v>
      </c>
      <c r="F1598" s="7">
        <v>218438</v>
      </c>
      <c r="G1598" s="7">
        <v>218438</v>
      </c>
      <c r="H1598" s="7">
        <v>218438</v>
      </c>
      <c r="I1598" s="7">
        <v>218438</v>
      </c>
      <c r="J1598" s="7">
        <v>218438</v>
      </c>
    </row>
    <row r="1599" spans="1:10" ht="23" customHeight="1">
      <c r="A1599" s="6">
        <v>6</v>
      </c>
      <c r="B1599" s="6">
        <v>3</v>
      </c>
      <c r="C1599" s="6">
        <v>162</v>
      </c>
      <c r="D1599" s="6">
        <v>51</v>
      </c>
      <c r="E1599" s="7">
        <v>179149</v>
      </c>
      <c r="F1599" s="7">
        <v>179149</v>
      </c>
      <c r="G1599" s="7">
        <v>179149</v>
      </c>
      <c r="H1599" s="7">
        <v>179149</v>
      </c>
      <c r="I1599" s="7">
        <v>179149</v>
      </c>
      <c r="J1599" s="7">
        <v>179149</v>
      </c>
    </row>
    <row r="1600" spans="1:10" ht="23" customHeight="1">
      <c r="A1600" s="6">
        <v>6</v>
      </c>
      <c r="B1600" s="6">
        <v>3</v>
      </c>
      <c r="C1600" s="6">
        <v>163</v>
      </c>
      <c r="D1600" s="6">
        <v>52</v>
      </c>
      <c r="E1600" s="7">
        <v>104936</v>
      </c>
      <c r="F1600" s="7">
        <v>104936</v>
      </c>
      <c r="G1600" s="7">
        <v>104936</v>
      </c>
      <c r="H1600" s="7">
        <v>104936</v>
      </c>
      <c r="I1600" s="7">
        <v>104936</v>
      </c>
      <c r="J1600" s="7">
        <v>104936</v>
      </c>
    </row>
    <row r="1601" spans="1:12" ht="24" customHeight="1">
      <c r="A1601" s="3" t="s">
        <v>915</v>
      </c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</row>
    <row r="1602" spans="1:12" ht="36" customHeight="1">
      <c r="A1602" s="4" t="s">
        <v>8</v>
      </c>
      <c r="B1602" s="4" t="s">
        <v>9</v>
      </c>
      <c r="C1602" s="4" t="s">
        <v>163</v>
      </c>
      <c r="D1602" s="4" t="s">
        <v>164</v>
      </c>
      <c r="E1602" s="4" t="s">
        <v>166</v>
      </c>
      <c r="F1602" s="4" t="s">
        <v>167</v>
      </c>
      <c r="G1602" s="4" t="s">
        <v>168</v>
      </c>
      <c r="H1602" s="4" t="s">
        <v>169</v>
      </c>
      <c r="I1602" s="4" t="s">
        <v>170</v>
      </c>
      <c r="J1602" s="4" t="s">
        <v>171</v>
      </c>
    </row>
    <row r="1603" spans="1:12" ht="23" customHeight="1">
      <c r="A1603" s="6">
        <v>6</v>
      </c>
      <c r="B1603" s="6">
        <v>3</v>
      </c>
      <c r="C1603" s="6">
        <v>164</v>
      </c>
      <c r="D1603" s="6">
        <v>53</v>
      </c>
      <c r="E1603" s="7">
        <v>104936</v>
      </c>
      <c r="F1603" s="7">
        <v>104936</v>
      </c>
      <c r="G1603" s="7">
        <v>104936</v>
      </c>
      <c r="H1603" s="7">
        <v>104936</v>
      </c>
      <c r="I1603" s="7">
        <v>104936</v>
      </c>
      <c r="J1603" s="7">
        <v>104936</v>
      </c>
    </row>
    <row r="1604" spans="1:12" ht="23" customHeight="1">
      <c r="A1604" s="6">
        <v>6</v>
      </c>
      <c r="B1604" s="6">
        <v>3</v>
      </c>
      <c r="C1604" s="6">
        <v>165</v>
      </c>
      <c r="D1604" s="6">
        <v>54</v>
      </c>
      <c r="E1604" s="7">
        <v>104936</v>
      </c>
      <c r="F1604" s="7">
        <v>104936</v>
      </c>
      <c r="G1604" s="7">
        <v>104936</v>
      </c>
      <c r="H1604" s="7">
        <v>104936</v>
      </c>
      <c r="I1604" s="7">
        <v>104936</v>
      </c>
      <c r="J1604" s="7">
        <v>104936</v>
      </c>
    </row>
    <row r="1605" spans="1:12" ht="23" customHeight="1">
      <c r="A1605" s="6">
        <v>6</v>
      </c>
      <c r="B1605" s="6">
        <v>3</v>
      </c>
      <c r="C1605" s="6">
        <v>166</v>
      </c>
      <c r="D1605" s="6">
        <v>55</v>
      </c>
      <c r="E1605" s="7">
        <v>104936</v>
      </c>
      <c r="F1605" s="7">
        <v>104936</v>
      </c>
      <c r="G1605" s="7">
        <v>104936</v>
      </c>
      <c r="H1605" s="7">
        <v>104936</v>
      </c>
      <c r="I1605" s="7">
        <v>104936</v>
      </c>
      <c r="J1605" s="7">
        <v>104936</v>
      </c>
    </row>
    <row r="1606" spans="1:12" ht="23" customHeight="1">
      <c r="A1606" s="6">
        <v>6</v>
      </c>
      <c r="B1606" s="6">
        <v>3</v>
      </c>
      <c r="C1606" s="6">
        <v>167</v>
      </c>
      <c r="D1606" s="6">
        <v>56</v>
      </c>
      <c r="E1606" s="7">
        <v>104936</v>
      </c>
      <c r="F1606" s="7">
        <v>104936</v>
      </c>
      <c r="G1606" s="7">
        <v>104936</v>
      </c>
      <c r="H1606" s="7">
        <v>104936</v>
      </c>
      <c r="I1606" s="7">
        <v>104936</v>
      </c>
      <c r="J1606" s="7">
        <v>104936</v>
      </c>
    </row>
    <row r="1607" spans="1:12" ht="23" customHeight="1">
      <c r="A1607" s="6">
        <v>6</v>
      </c>
      <c r="B1607" s="6">
        <v>3</v>
      </c>
      <c r="C1607" s="6">
        <v>168</v>
      </c>
      <c r="D1607" s="6">
        <v>57</v>
      </c>
      <c r="E1607" s="7">
        <v>104936</v>
      </c>
      <c r="F1607" s="7">
        <v>104936</v>
      </c>
      <c r="G1607" s="7">
        <v>104936</v>
      </c>
      <c r="H1607" s="7">
        <v>104936</v>
      </c>
      <c r="I1607" s="7">
        <v>104936</v>
      </c>
      <c r="J1607" s="7">
        <v>104936</v>
      </c>
    </row>
    <row r="1608" spans="1:12" ht="23" customHeight="1">
      <c r="A1608" s="6">
        <v>6</v>
      </c>
      <c r="B1608" s="6">
        <v>3</v>
      </c>
      <c r="C1608" s="6">
        <v>169</v>
      </c>
      <c r="D1608" s="6">
        <v>58</v>
      </c>
      <c r="E1608" s="7">
        <v>104936</v>
      </c>
      <c r="F1608" s="7">
        <v>104936</v>
      </c>
      <c r="G1608" s="7">
        <v>104936</v>
      </c>
      <c r="H1608" s="7">
        <v>104936</v>
      </c>
      <c r="I1608" s="7">
        <v>104936</v>
      </c>
      <c r="J1608" s="7">
        <v>104936</v>
      </c>
    </row>
    <row r="1609" spans="1:12" ht="23" customHeight="1">
      <c r="A1609" s="6">
        <v>6</v>
      </c>
      <c r="B1609" s="6">
        <v>3</v>
      </c>
      <c r="C1609" s="6">
        <v>170</v>
      </c>
      <c r="D1609" s="6">
        <v>59</v>
      </c>
      <c r="E1609" s="7">
        <v>104936</v>
      </c>
      <c r="F1609" s="7">
        <v>104936</v>
      </c>
      <c r="G1609" s="7">
        <v>104936</v>
      </c>
      <c r="H1609" s="7">
        <v>104936</v>
      </c>
      <c r="I1609" s="7">
        <v>104936</v>
      </c>
      <c r="J1609" s="7">
        <v>104936</v>
      </c>
    </row>
    <row r="1610" spans="1:12" ht="23" customHeight="1">
      <c r="A1610" s="6">
        <v>6</v>
      </c>
      <c r="B1610" s="6">
        <v>3</v>
      </c>
      <c r="C1610" s="6">
        <v>171</v>
      </c>
      <c r="D1610" s="6">
        <v>60</v>
      </c>
      <c r="E1610" s="7">
        <v>36324</v>
      </c>
      <c r="F1610" s="7">
        <v>36324</v>
      </c>
      <c r="G1610" s="7">
        <v>36324</v>
      </c>
      <c r="H1610" s="7">
        <v>36324</v>
      </c>
      <c r="I1610" s="7">
        <v>36324</v>
      </c>
      <c r="J1610" s="7">
        <v>36324</v>
      </c>
    </row>
    <row r="1611" spans="1:12" ht="23" customHeight="1"/>
    <row r="1612" spans="1:12" ht="24" customHeight="1">
      <c r="A1612" s="3" t="s">
        <v>916</v>
      </c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</row>
    <row r="1613" spans="1:12" ht="36" customHeight="1">
      <c r="A1613" s="4" t="s">
        <v>8</v>
      </c>
      <c r="B1613" s="4" t="s">
        <v>9</v>
      </c>
      <c r="C1613" s="4" t="s">
        <v>163</v>
      </c>
      <c r="D1613" s="4" t="s">
        <v>164</v>
      </c>
      <c r="E1613" s="4" t="s">
        <v>176</v>
      </c>
      <c r="F1613" s="4" t="s">
        <v>177</v>
      </c>
      <c r="G1613" s="4" t="s">
        <v>178</v>
      </c>
      <c r="H1613" s="4" t="s">
        <v>179</v>
      </c>
    </row>
    <row r="1614" spans="1:12" ht="23" customHeight="1">
      <c r="A1614" s="6">
        <v>4</v>
      </c>
      <c r="B1614" s="6">
        <v>1</v>
      </c>
      <c r="C1614" s="6">
        <v>102</v>
      </c>
      <c r="D1614" s="6">
        <v>1</v>
      </c>
      <c r="E1614" s="8">
        <v>433.8</v>
      </c>
      <c r="F1614" s="8">
        <v>433.8</v>
      </c>
      <c r="G1614" s="8">
        <v>433.8</v>
      </c>
      <c r="H1614" s="8">
        <v>433.8</v>
      </c>
    </row>
    <row r="1615" spans="1:12" ht="23" customHeight="1">
      <c r="A1615" s="6">
        <v>4</v>
      </c>
      <c r="B1615" s="6">
        <v>1</v>
      </c>
      <c r="C1615" s="6">
        <v>103</v>
      </c>
      <c r="D1615" s="6">
        <v>2</v>
      </c>
      <c r="E1615" s="7">
        <v>1835</v>
      </c>
      <c r="F1615" s="7">
        <v>1835</v>
      </c>
      <c r="G1615" s="7">
        <v>1835</v>
      </c>
      <c r="H1615" s="7">
        <v>1835</v>
      </c>
    </row>
    <row r="1616" spans="1:12" ht="23" customHeight="1">
      <c r="A1616" s="6">
        <v>4</v>
      </c>
      <c r="B1616" s="6">
        <v>1</v>
      </c>
      <c r="C1616" s="6">
        <v>104</v>
      </c>
      <c r="D1616" s="6">
        <v>3</v>
      </c>
      <c r="E1616" s="8">
        <v>1794.4</v>
      </c>
      <c r="F1616" s="8">
        <v>1794.4</v>
      </c>
      <c r="G1616" s="8">
        <v>1794.4</v>
      </c>
      <c r="H1616" s="8">
        <v>1794.4</v>
      </c>
    </row>
    <row r="1617" spans="1:12" ht="24" customHeight="1">
      <c r="A1617" s="3" t="s">
        <v>916</v>
      </c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</row>
    <row r="1618" spans="1:12" ht="36" customHeight="1">
      <c r="A1618" s="4" t="s">
        <v>8</v>
      </c>
      <c r="B1618" s="4" t="s">
        <v>9</v>
      </c>
      <c r="C1618" s="4" t="s">
        <v>163</v>
      </c>
      <c r="D1618" s="4" t="s">
        <v>164</v>
      </c>
      <c r="E1618" s="4" t="s">
        <v>176</v>
      </c>
      <c r="F1618" s="4" t="s">
        <v>177</v>
      </c>
      <c r="G1618" s="4" t="s">
        <v>178</v>
      </c>
      <c r="H1618" s="4" t="s">
        <v>179</v>
      </c>
    </row>
    <row r="1619" spans="1:12" ht="23" customHeight="1">
      <c r="A1619" s="6">
        <v>4</v>
      </c>
      <c r="B1619" s="6">
        <v>1</v>
      </c>
      <c r="C1619" s="6">
        <v>105</v>
      </c>
      <c r="D1619" s="6">
        <v>4</v>
      </c>
      <c r="E1619" s="7">
        <v>2313</v>
      </c>
      <c r="F1619" s="7">
        <v>2313</v>
      </c>
      <c r="G1619" s="7">
        <v>2313</v>
      </c>
      <c r="H1619" s="7">
        <v>2313</v>
      </c>
    </row>
    <row r="1620" spans="1:12" ht="23" customHeight="1">
      <c r="A1620" s="6">
        <v>4</v>
      </c>
      <c r="B1620" s="6">
        <v>1</v>
      </c>
      <c r="C1620" s="6">
        <v>106</v>
      </c>
      <c r="D1620" s="6">
        <v>5</v>
      </c>
      <c r="E1620" s="8">
        <v>2752.4</v>
      </c>
      <c r="F1620" s="8">
        <v>2752.4</v>
      </c>
      <c r="G1620" s="8">
        <v>2752.4</v>
      </c>
      <c r="H1620" s="8">
        <v>2752.4</v>
      </c>
    </row>
    <row r="1621" spans="1:12" ht="23" customHeight="1">
      <c r="A1621" s="6">
        <v>4</v>
      </c>
      <c r="B1621" s="6">
        <v>1</v>
      </c>
      <c r="C1621" s="6">
        <v>107</v>
      </c>
      <c r="D1621" s="6">
        <v>6</v>
      </c>
      <c r="E1621" s="8">
        <v>2752.4</v>
      </c>
      <c r="F1621" s="8">
        <v>2752.4</v>
      </c>
      <c r="G1621" s="8">
        <v>2752.4</v>
      </c>
      <c r="H1621" s="8">
        <v>2752.4</v>
      </c>
    </row>
    <row r="1622" spans="1:12" ht="23" customHeight="1">
      <c r="A1622" s="6">
        <v>4</v>
      </c>
      <c r="B1622" s="6">
        <v>1</v>
      </c>
      <c r="C1622" s="6">
        <v>108</v>
      </c>
      <c r="D1622" s="6">
        <v>7</v>
      </c>
      <c r="E1622" s="8">
        <v>2752.4</v>
      </c>
      <c r="F1622" s="8">
        <v>2752.4</v>
      </c>
      <c r="G1622" s="8">
        <v>2752.4</v>
      </c>
      <c r="H1622" s="8">
        <v>2752.4</v>
      </c>
    </row>
    <row r="1623" spans="1:12" ht="23" customHeight="1">
      <c r="A1623" s="6">
        <v>4</v>
      </c>
      <c r="B1623" s="6">
        <v>1</v>
      </c>
      <c r="C1623" s="6">
        <v>109</v>
      </c>
      <c r="D1623" s="6">
        <v>8</v>
      </c>
      <c r="E1623" s="8">
        <v>2752.4</v>
      </c>
      <c r="F1623" s="8">
        <v>2752.4</v>
      </c>
      <c r="G1623" s="8">
        <v>2752.4</v>
      </c>
      <c r="H1623" s="8">
        <v>2752.4</v>
      </c>
    </row>
    <row r="1624" spans="1:12" ht="23" customHeight="1">
      <c r="A1624" s="6">
        <v>4</v>
      </c>
      <c r="B1624" s="6">
        <v>1</v>
      </c>
      <c r="C1624" s="6">
        <v>110</v>
      </c>
      <c r="D1624" s="6">
        <v>9</v>
      </c>
      <c r="E1624" s="8">
        <v>2752.4</v>
      </c>
      <c r="F1624" s="8">
        <v>2752.4</v>
      </c>
      <c r="G1624" s="8">
        <v>2752.4</v>
      </c>
      <c r="H1624" s="8">
        <v>2752.4</v>
      </c>
    </row>
    <row r="1625" spans="1:12" ht="23" customHeight="1">
      <c r="A1625" s="6">
        <v>4</v>
      </c>
      <c r="B1625" s="6">
        <v>1</v>
      </c>
      <c r="C1625" s="6">
        <v>111</v>
      </c>
      <c r="D1625" s="6">
        <v>10</v>
      </c>
      <c r="E1625" s="8">
        <v>2752.4</v>
      </c>
      <c r="F1625" s="8">
        <v>2752.4</v>
      </c>
      <c r="G1625" s="8">
        <v>2752.4</v>
      </c>
      <c r="H1625" s="8">
        <v>2752.4</v>
      </c>
    </row>
    <row r="1626" spans="1:12" ht="23" customHeight="1">
      <c r="A1626" s="6">
        <v>4</v>
      </c>
      <c r="B1626" s="6">
        <v>1</v>
      </c>
      <c r="C1626" s="6">
        <v>112</v>
      </c>
      <c r="D1626" s="6">
        <v>11</v>
      </c>
      <c r="E1626" s="8">
        <v>2032.5</v>
      </c>
      <c r="F1626" s="8">
        <v>2032.5</v>
      </c>
      <c r="G1626" s="8">
        <v>2032.5</v>
      </c>
      <c r="H1626" s="8">
        <v>2032.5</v>
      </c>
    </row>
    <row r="1627" spans="1:12" ht="23" customHeight="1">
      <c r="A1627" s="6">
        <v>4</v>
      </c>
      <c r="B1627" s="6">
        <v>1</v>
      </c>
      <c r="C1627" s="6">
        <v>113</v>
      </c>
      <c r="D1627" s="6">
        <v>12</v>
      </c>
      <c r="E1627" s="8">
        <v>672.8</v>
      </c>
      <c r="F1627" s="8">
        <v>672.8</v>
      </c>
      <c r="G1627" s="8">
        <v>672.8</v>
      </c>
      <c r="H1627" s="8">
        <v>672.8</v>
      </c>
    </row>
    <row r="1628" spans="1:12" ht="23" customHeight="1">
      <c r="A1628" s="6">
        <v>4</v>
      </c>
      <c r="B1628" s="6">
        <v>1</v>
      </c>
      <c r="C1628" s="6">
        <v>114</v>
      </c>
      <c r="D1628" s="6">
        <v>13</v>
      </c>
      <c r="E1628" s="8">
        <v>672.8</v>
      </c>
      <c r="F1628" s="8">
        <v>672.8</v>
      </c>
      <c r="G1628" s="8">
        <v>672.8</v>
      </c>
      <c r="H1628" s="8">
        <v>672.8</v>
      </c>
    </row>
    <row r="1629" spans="1:12" ht="23" customHeight="1">
      <c r="A1629" s="6">
        <v>4</v>
      </c>
      <c r="B1629" s="6">
        <v>1</v>
      </c>
      <c r="C1629" s="6">
        <v>115</v>
      </c>
      <c r="D1629" s="6">
        <v>14</v>
      </c>
      <c r="E1629" s="8">
        <v>672.8</v>
      </c>
      <c r="F1629" s="8">
        <v>672.8</v>
      </c>
      <c r="G1629" s="8">
        <v>672.8</v>
      </c>
      <c r="H1629" s="8">
        <v>672.8</v>
      </c>
    </row>
    <row r="1630" spans="1:12" ht="23" customHeight="1">
      <c r="A1630" s="6">
        <v>4</v>
      </c>
      <c r="B1630" s="6">
        <v>1</v>
      </c>
      <c r="C1630" s="6">
        <v>116</v>
      </c>
      <c r="D1630" s="6">
        <v>15</v>
      </c>
      <c r="E1630" s="8">
        <v>672.8</v>
      </c>
      <c r="F1630" s="8">
        <v>672.8</v>
      </c>
      <c r="G1630" s="8">
        <v>672.8</v>
      </c>
      <c r="H1630" s="8">
        <v>672.8</v>
      </c>
    </row>
    <row r="1631" spans="1:12" ht="23" customHeight="1">
      <c r="A1631" s="6">
        <v>4</v>
      </c>
      <c r="B1631" s="6">
        <v>1</v>
      </c>
      <c r="C1631" s="6">
        <v>117</v>
      </c>
      <c r="D1631" s="6">
        <v>16</v>
      </c>
      <c r="E1631" s="8">
        <v>672.8</v>
      </c>
      <c r="F1631" s="8">
        <v>672.8</v>
      </c>
      <c r="G1631" s="8">
        <v>672.8</v>
      </c>
      <c r="H1631" s="8">
        <v>672.8</v>
      </c>
    </row>
    <row r="1632" spans="1:12" ht="23" customHeight="1">
      <c r="A1632" s="6">
        <v>4</v>
      </c>
      <c r="B1632" s="6">
        <v>1</v>
      </c>
      <c r="C1632" s="6">
        <v>118</v>
      </c>
      <c r="D1632" s="6">
        <v>17</v>
      </c>
      <c r="E1632" s="8">
        <v>672.8</v>
      </c>
      <c r="F1632" s="8">
        <v>672.8</v>
      </c>
      <c r="G1632" s="8">
        <v>672.8</v>
      </c>
      <c r="H1632" s="8">
        <v>672.8</v>
      </c>
    </row>
    <row r="1633" spans="1:12" ht="23" customHeight="1">
      <c r="A1633" s="6">
        <v>4</v>
      </c>
      <c r="B1633" s="6">
        <v>1</v>
      </c>
      <c r="C1633" s="6">
        <v>119</v>
      </c>
      <c r="D1633" s="6">
        <v>18</v>
      </c>
      <c r="E1633" s="8">
        <v>672.8</v>
      </c>
      <c r="F1633" s="8">
        <v>672.8</v>
      </c>
      <c r="G1633" s="8">
        <v>672.8</v>
      </c>
      <c r="H1633" s="8">
        <v>672.8</v>
      </c>
    </row>
    <row r="1634" spans="1:12" ht="24" customHeight="1">
      <c r="A1634" s="3" t="s">
        <v>916</v>
      </c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</row>
    <row r="1635" spans="1:12" ht="36" customHeight="1">
      <c r="A1635" s="4" t="s">
        <v>8</v>
      </c>
      <c r="B1635" s="4" t="s">
        <v>9</v>
      </c>
      <c r="C1635" s="4" t="s">
        <v>163</v>
      </c>
      <c r="D1635" s="4" t="s">
        <v>164</v>
      </c>
      <c r="E1635" s="4" t="s">
        <v>176</v>
      </c>
      <c r="F1635" s="4" t="s">
        <v>177</v>
      </c>
      <c r="G1635" s="4" t="s">
        <v>178</v>
      </c>
      <c r="H1635" s="4" t="s">
        <v>179</v>
      </c>
    </row>
    <row r="1636" spans="1:12" ht="23" customHeight="1">
      <c r="A1636" s="6">
        <v>4</v>
      </c>
      <c r="B1636" s="6">
        <v>1</v>
      </c>
      <c r="C1636" s="6">
        <v>120</v>
      </c>
      <c r="D1636" s="6">
        <v>19</v>
      </c>
      <c r="E1636" s="8">
        <v>672.8</v>
      </c>
      <c r="F1636" s="8">
        <v>672.8</v>
      </c>
      <c r="G1636" s="8">
        <v>672.8</v>
      </c>
      <c r="H1636" s="8">
        <v>672.8</v>
      </c>
    </row>
    <row r="1637" spans="1:12" ht="23" customHeight="1">
      <c r="A1637" s="6">
        <v>4</v>
      </c>
      <c r="B1637" s="6">
        <v>1</v>
      </c>
      <c r="C1637" s="6">
        <v>121</v>
      </c>
      <c r="D1637" s="6">
        <v>20</v>
      </c>
      <c r="E1637" s="8">
        <v>232.9</v>
      </c>
      <c r="F1637" s="8">
        <v>232.9</v>
      </c>
      <c r="G1637" s="8">
        <v>232.9</v>
      </c>
      <c r="H1637" s="8">
        <v>232.9</v>
      </c>
    </row>
    <row r="1638" spans="1:12" ht="23" customHeight="1">
      <c r="A1638" s="6">
        <v>5</v>
      </c>
      <c r="B1638" s="6">
        <v>2</v>
      </c>
      <c r="C1638" s="6">
        <v>127</v>
      </c>
      <c r="D1638" s="6">
        <v>21</v>
      </c>
      <c r="E1638" s="8">
        <v>289.1</v>
      </c>
      <c r="F1638" s="8">
        <v>289.1</v>
      </c>
      <c r="G1638" s="8">
        <v>289.1</v>
      </c>
      <c r="H1638" s="8">
        <v>289.1</v>
      </c>
    </row>
    <row r="1639" spans="1:12" ht="23" customHeight="1">
      <c r="A1639" s="6">
        <v>5</v>
      </c>
      <c r="B1639" s="6">
        <v>2</v>
      </c>
      <c r="C1639" s="6">
        <v>128</v>
      </c>
      <c r="D1639" s="6">
        <v>22</v>
      </c>
      <c r="E1639" s="8">
        <v>1223.3</v>
      </c>
      <c r="F1639" s="8">
        <v>1223.3</v>
      </c>
      <c r="G1639" s="8">
        <v>1223.3</v>
      </c>
      <c r="H1639" s="8">
        <v>1223.3</v>
      </c>
    </row>
    <row r="1640" spans="1:12" ht="23" customHeight="1">
      <c r="A1640" s="6">
        <v>5</v>
      </c>
      <c r="B1640" s="6">
        <v>2</v>
      </c>
      <c r="C1640" s="6">
        <v>129</v>
      </c>
      <c r="D1640" s="6">
        <v>23</v>
      </c>
      <c r="E1640" s="8">
        <v>1196.2</v>
      </c>
      <c r="F1640" s="8">
        <v>1196.2</v>
      </c>
      <c r="G1640" s="8">
        <v>1196.2</v>
      </c>
      <c r="H1640" s="8">
        <v>1196.2</v>
      </c>
    </row>
    <row r="1641" spans="1:12" ht="23" customHeight="1">
      <c r="A1641" s="6">
        <v>5</v>
      </c>
      <c r="B1641" s="6">
        <v>2</v>
      </c>
      <c r="C1641" s="6">
        <v>130</v>
      </c>
      <c r="D1641" s="6">
        <v>24</v>
      </c>
      <c r="E1641" s="7">
        <v>1542</v>
      </c>
      <c r="F1641" s="7">
        <v>1542</v>
      </c>
      <c r="G1641" s="7">
        <v>1542</v>
      </c>
      <c r="H1641" s="7">
        <v>1542</v>
      </c>
    </row>
    <row r="1642" spans="1:12" ht="23" customHeight="1">
      <c r="A1642" s="6">
        <v>5</v>
      </c>
      <c r="B1642" s="6">
        <v>2</v>
      </c>
      <c r="C1642" s="6">
        <v>131</v>
      </c>
      <c r="D1642" s="6">
        <v>25</v>
      </c>
      <c r="E1642" s="7">
        <v>1835</v>
      </c>
      <c r="F1642" s="7">
        <v>1835</v>
      </c>
      <c r="G1642" s="7">
        <v>1835</v>
      </c>
      <c r="H1642" s="7">
        <v>1835</v>
      </c>
    </row>
    <row r="1643" spans="1:12" ht="23" customHeight="1">
      <c r="A1643" s="6">
        <v>5</v>
      </c>
      <c r="B1643" s="6">
        <v>2</v>
      </c>
      <c r="C1643" s="6">
        <v>132</v>
      </c>
      <c r="D1643" s="6">
        <v>26</v>
      </c>
      <c r="E1643" s="7">
        <v>1835</v>
      </c>
      <c r="F1643" s="7">
        <v>1835</v>
      </c>
      <c r="G1643" s="7">
        <v>1835</v>
      </c>
      <c r="H1643" s="7">
        <v>1835</v>
      </c>
    </row>
    <row r="1644" spans="1:12" ht="23" customHeight="1">
      <c r="A1644" s="6">
        <v>5</v>
      </c>
      <c r="B1644" s="6">
        <v>2</v>
      </c>
      <c r="C1644" s="6">
        <v>133</v>
      </c>
      <c r="D1644" s="6">
        <v>27</v>
      </c>
      <c r="E1644" s="7">
        <v>1835</v>
      </c>
      <c r="F1644" s="7">
        <v>1835</v>
      </c>
      <c r="G1644" s="7">
        <v>1835</v>
      </c>
      <c r="H1644" s="7">
        <v>1835</v>
      </c>
    </row>
    <row r="1645" spans="1:12" ht="23" customHeight="1">
      <c r="A1645" s="6">
        <v>5</v>
      </c>
      <c r="B1645" s="6">
        <v>2</v>
      </c>
      <c r="C1645" s="6">
        <v>134</v>
      </c>
      <c r="D1645" s="6">
        <v>28</v>
      </c>
      <c r="E1645" s="7">
        <v>1835</v>
      </c>
      <c r="F1645" s="7">
        <v>1835</v>
      </c>
      <c r="G1645" s="7">
        <v>1835</v>
      </c>
      <c r="H1645" s="7">
        <v>1835</v>
      </c>
    </row>
    <row r="1646" spans="1:12" ht="23" customHeight="1">
      <c r="A1646" s="6">
        <v>5</v>
      </c>
      <c r="B1646" s="6">
        <v>2</v>
      </c>
      <c r="C1646" s="6">
        <v>135</v>
      </c>
      <c r="D1646" s="6">
        <v>29</v>
      </c>
      <c r="E1646" s="7">
        <v>1835</v>
      </c>
      <c r="F1646" s="7">
        <v>1835</v>
      </c>
      <c r="G1646" s="7">
        <v>1835</v>
      </c>
      <c r="H1646" s="7">
        <v>1835</v>
      </c>
    </row>
    <row r="1647" spans="1:12" ht="23" customHeight="1">
      <c r="A1647" s="6">
        <v>5</v>
      </c>
      <c r="B1647" s="6">
        <v>2</v>
      </c>
      <c r="C1647" s="6">
        <v>136</v>
      </c>
      <c r="D1647" s="6">
        <v>30</v>
      </c>
      <c r="E1647" s="7">
        <v>1835</v>
      </c>
      <c r="F1647" s="7">
        <v>1835</v>
      </c>
      <c r="G1647" s="7">
        <v>1835</v>
      </c>
      <c r="H1647" s="7">
        <v>1835</v>
      </c>
    </row>
    <row r="1648" spans="1:12" ht="23" customHeight="1">
      <c r="A1648" s="6">
        <v>5</v>
      </c>
      <c r="B1648" s="6">
        <v>2</v>
      </c>
      <c r="C1648" s="6">
        <v>137</v>
      </c>
      <c r="D1648" s="6">
        <v>31</v>
      </c>
      <c r="E1648" s="7">
        <v>1355</v>
      </c>
      <c r="F1648" s="7">
        <v>1355</v>
      </c>
      <c r="G1648" s="7">
        <v>1355</v>
      </c>
      <c r="H1648" s="7">
        <v>1355</v>
      </c>
    </row>
    <row r="1649" spans="1:12" ht="23" customHeight="1">
      <c r="A1649" s="6">
        <v>5</v>
      </c>
      <c r="B1649" s="6">
        <v>2</v>
      </c>
      <c r="C1649" s="6">
        <v>138</v>
      </c>
      <c r="D1649" s="6">
        <v>32</v>
      </c>
      <c r="E1649" s="8">
        <v>448.5</v>
      </c>
      <c r="F1649" s="8">
        <v>448.5</v>
      </c>
      <c r="G1649" s="8">
        <v>448.5</v>
      </c>
      <c r="H1649" s="8">
        <v>448.5</v>
      </c>
    </row>
    <row r="1650" spans="1:12" ht="23" customHeight="1">
      <c r="A1650" s="6">
        <v>5</v>
      </c>
      <c r="B1650" s="6">
        <v>2</v>
      </c>
      <c r="C1650" s="6">
        <v>139</v>
      </c>
      <c r="D1650" s="6">
        <v>33</v>
      </c>
      <c r="E1650" s="8">
        <v>448.5</v>
      </c>
      <c r="F1650" s="8">
        <v>448.5</v>
      </c>
      <c r="G1650" s="8">
        <v>448.5</v>
      </c>
      <c r="H1650" s="8">
        <v>448.5</v>
      </c>
    </row>
    <row r="1651" spans="1:12" ht="24" customHeight="1">
      <c r="A1651" s="3" t="s">
        <v>916</v>
      </c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</row>
    <row r="1652" spans="1:12" ht="36" customHeight="1">
      <c r="A1652" s="4" t="s">
        <v>8</v>
      </c>
      <c r="B1652" s="4" t="s">
        <v>9</v>
      </c>
      <c r="C1652" s="4" t="s">
        <v>163</v>
      </c>
      <c r="D1652" s="4" t="s">
        <v>164</v>
      </c>
      <c r="E1652" s="4" t="s">
        <v>176</v>
      </c>
      <c r="F1652" s="4" t="s">
        <v>177</v>
      </c>
      <c r="G1652" s="4" t="s">
        <v>178</v>
      </c>
      <c r="H1652" s="4" t="s">
        <v>179</v>
      </c>
    </row>
    <row r="1653" spans="1:12" ht="23" customHeight="1">
      <c r="A1653" s="6">
        <v>5</v>
      </c>
      <c r="B1653" s="6">
        <v>2</v>
      </c>
      <c r="C1653" s="6">
        <v>140</v>
      </c>
      <c r="D1653" s="6">
        <v>34</v>
      </c>
      <c r="E1653" s="8">
        <v>448.5</v>
      </c>
      <c r="F1653" s="8">
        <v>448.5</v>
      </c>
      <c r="G1653" s="8">
        <v>448.5</v>
      </c>
      <c r="H1653" s="8">
        <v>448.5</v>
      </c>
    </row>
    <row r="1654" spans="1:12" ht="23" customHeight="1">
      <c r="A1654" s="6">
        <v>5</v>
      </c>
      <c r="B1654" s="6">
        <v>2</v>
      </c>
      <c r="C1654" s="6">
        <v>141</v>
      </c>
      <c r="D1654" s="6">
        <v>35</v>
      </c>
      <c r="E1654" s="8">
        <v>448.5</v>
      </c>
      <c r="F1654" s="8">
        <v>448.5</v>
      </c>
      <c r="G1654" s="8">
        <v>448.5</v>
      </c>
      <c r="H1654" s="8">
        <v>448.5</v>
      </c>
    </row>
    <row r="1655" spans="1:12" ht="23" customHeight="1">
      <c r="A1655" s="6">
        <v>5</v>
      </c>
      <c r="B1655" s="6">
        <v>2</v>
      </c>
      <c r="C1655" s="6">
        <v>142</v>
      </c>
      <c r="D1655" s="6">
        <v>36</v>
      </c>
      <c r="E1655" s="8">
        <v>448.5</v>
      </c>
      <c r="F1655" s="8">
        <v>448.5</v>
      </c>
      <c r="G1655" s="8">
        <v>448.5</v>
      </c>
      <c r="H1655" s="8">
        <v>448.5</v>
      </c>
    </row>
    <row r="1656" spans="1:12" ht="23" customHeight="1">
      <c r="A1656" s="6">
        <v>5</v>
      </c>
      <c r="B1656" s="6">
        <v>2</v>
      </c>
      <c r="C1656" s="6">
        <v>143</v>
      </c>
      <c r="D1656" s="6">
        <v>37</v>
      </c>
      <c r="E1656" s="8">
        <v>448.5</v>
      </c>
      <c r="F1656" s="8">
        <v>448.5</v>
      </c>
      <c r="G1656" s="8">
        <v>448.5</v>
      </c>
      <c r="H1656" s="8">
        <v>448.5</v>
      </c>
    </row>
    <row r="1657" spans="1:12" ht="23" customHeight="1">
      <c r="A1657" s="6">
        <v>5</v>
      </c>
      <c r="B1657" s="6">
        <v>2</v>
      </c>
      <c r="C1657" s="6">
        <v>144</v>
      </c>
      <c r="D1657" s="6">
        <v>38</v>
      </c>
      <c r="E1657" s="8">
        <v>448.5</v>
      </c>
      <c r="F1657" s="8">
        <v>448.5</v>
      </c>
      <c r="G1657" s="8">
        <v>448.5</v>
      </c>
      <c r="H1657" s="8">
        <v>448.5</v>
      </c>
    </row>
    <row r="1658" spans="1:12" ht="23" customHeight="1">
      <c r="A1658" s="6">
        <v>5</v>
      </c>
      <c r="B1658" s="6">
        <v>2</v>
      </c>
      <c r="C1658" s="6">
        <v>145</v>
      </c>
      <c r="D1658" s="6">
        <v>39</v>
      </c>
      <c r="E1658" s="8">
        <v>448.5</v>
      </c>
      <c r="F1658" s="8">
        <v>448.5</v>
      </c>
      <c r="G1658" s="8">
        <v>448.5</v>
      </c>
      <c r="H1658" s="8">
        <v>448.5</v>
      </c>
    </row>
    <row r="1659" spans="1:12" ht="23" customHeight="1">
      <c r="A1659" s="6">
        <v>5</v>
      </c>
      <c r="B1659" s="6">
        <v>2</v>
      </c>
      <c r="C1659" s="6">
        <v>146</v>
      </c>
      <c r="D1659" s="6">
        <v>40</v>
      </c>
      <c r="E1659" s="8">
        <v>155.3</v>
      </c>
      <c r="F1659" s="8">
        <v>155.3</v>
      </c>
      <c r="G1659" s="8">
        <v>155.3</v>
      </c>
      <c r="H1659" s="8">
        <v>155.3</v>
      </c>
    </row>
    <row r="1660" spans="1:12" ht="23" customHeight="1">
      <c r="A1660" s="6">
        <v>6</v>
      </c>
      <c r="B1660" s="6">
        <v>3</v>
      </c>
      <c r="C1660" s="6">
        <v>152</v>
      </c>
      <c r="D1660" s="6">
        <v>41</v>
      </c>
      <c r="E1660" s="8">
        <v>433.8</v>
      </c>
      <c r="F1660" s="8">
        <v>433.8</v>
      </c>
      <c r="G1660" s="8">
        <v>433.8</v>
      </c>
      <c r="H1660" s="8">
        <v>433.8</v>
      </c>
    </row>
    <row r="1661" spans="1:12" ht="23" customHeight="1">
      <c r="A1661" s="6">
        <v>6</v>
      </c>
      <c r="B1661" s="6">
        <v>3</v>
      </c>
      <c r="C1661" s="6">
        <v>153</v>
      </c>
      <c r="D1661" s="6">
        <v>42</v>
      </c>
      <c r="E1661" s="7">
        <v>1835</v>
      </c>
      <c r="F1661" s="7">
        <v>1835</v>
      </c>
      <c r="G1661" s="7">
        <v>1835</v>
      </c>
      <c r="H1661" s="7">
        <v>1835</v>
      </c>
    </row>
    <row r="1662" spans="1:12" ht="23" customHeight="1">
      <c r="A1662" s="6">
        <v>6</v>
      </c>
      <c r="B1662" s="6">
        <v>3</v>
      </c>
      <c r="C1662" s="6">
        <v>154</v>
      </c>
      <c r="D1662" s="6">
        <v>43</v>
      </c>
      <c r="E1662" s="8">
        <v>1794.4</v>
      </c>
      <c r="F1662" s="8">
        <v>1794.4</v>
      </c>
      <c r="G1662" s="8">
        <v>1794.4</v>
      </c>
      <c r="H1662" s="8">
        <v>1794.4</v>
      </c>
    </row>
    <row r="1663" spans="1:12" ht="23" customHeight="1">
      <c r="A1663" s="6">
        <v>6</v>
      </c>
      <c r="B1663" s="6">
        <v>3</v>
      </c>
      <c r="C1663" s="6">
        <v>155</v>
      </c>
      <c r="D1663" s="6">
        <v>44</v>
      </c>
      <c r="E1663" s="7">
        <v>2313</v>
      </c>
      <c r="F1663" s="7">
        <v>2313</v>
      </c>
      <c r="G1663" s="7">
        <v>2313</v>
      </c>
      <c r="H1663" s="7">
        <v>2313</v>
      </c>
    </row>
    <row r="1664" spans="1:12" ht="23" customHeight="1">
      <c r="A1664" s="6">
        <v>6</v>
      </c>
      <c r="B1664" s="6">
        <v>3</v>
      </c>
      <c r="C1664" s="6">
        <v>156</v>
      </c>
      <c r="D1664" s="6">
        <v>45</v>
      </c>
      <c r="E1664" s="8">
        <v>2752.4</v>
      </c>
      <c r="F1664" s="8">
        <v>2752.4</v>
      </c>
      <c r="G1664" s="8">
        <v>2752.4</v>
      </c>
      <c r="H1664" s="8">
        <v>2752.4</v>
      </c>
    </row>
    <row r="1665" spans="1:12" ht="23" customHeight="1">
      <c r="A1665" s="6">
        <v>6</v>
      </c>
      <c r="B1665" s="6">
        <v>3</v>
      </c>
      <c r="C1665" s="6">
        <v>157</v>
      </c>
      <c r="D1665" s="6">
        <v>46</v>
      </c>
      <c r="E1665" s="8">
        <v>2752.4</v>
      </c>
      <c r="F1665" s="8">
        <v>2752.4</v>
      </c>
      <c r="G1665" s="8">
        <v>2752.4</v>
      </c>
      <c r="H1665" s="8">
        <v>2752.4</v>
      </c>
    </row>
    <row r="1666" spans="1:12" ht="23" customHeight="1">
      <c r="A1666" s="6">
        <v>6</v>
      </c>
      <c r="B1666" s="6">
        <v>3</v>
      </c>
      <c r="C1666" s="6">
        <v>158</v>
      </c>
      <c r="D1666" s="6">
        <v>47</v>
      </c>
      <c r="E1666" s="8">
        <v>2752.4</v>
      </c>
      <c r="F1666" s="8">
        <v>2752.4</v>
      </c>
      <c r="G1666" s="8">
        <v>2752.4</v>
      </c>
      <c r="H1666" s="8">
        <v>2752.4</v>
      </c>
    </row>
    <row r="1667" spans="1:12" ht="23" customHeight="1">
      <c r="A1667" s="6">
        <v>6</v>
      </c>
      <c r="B1667" s="6">
        <v>3</v>
      </c>
      <c r="C1667" s="6">
        <v>159</v>
      </c>
      <c r="D1667" s="6">
        <v>48</v>
      </c>
      <c r="E1667" s="8">
        <v>2752.4</v>
      </c>
      <c r="F1667" s="8">
        <v>2752.4</v>
      </c>
      <c r="G1667" s="8">
        <v>2752.4</v>
      </c>
      <c r="H1667" s="8">
        <v>2752.4</v>
      </c>
    </row>
    <row r="1668" spans="1:12" ht="24" customHeight="1">
      <c r="A1668" s="3" t="s">
        <v>916</v>
      </c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</row>
    <row r="1669" spans="1:12" ht="36" customHeight="1">
      <c r="A1669" s="4" t="s">
        <v>8</v>
      </c>
      <c r="B1669" s="4" t="s">
        <v>9</v>
      </c>
      <c r="C1669" s="4" t="s">
        <v>163</v>
      </c>
      <c r="D1669" s="4" t="s">
        <v>164</v>
      </c>
      <c r="E1669" s="4" t="s">
        <v>176</v>
      </c>
      <c r="F1669" s="4" t="s">
        <v>177</v>
      </c>
      <c r="G1669" s="4" t="s">
        <v>178</v>
      </c>
      <c r="H1669" s="4" t="s">
        <v>179</v>
      </c>
    </row>
    <row r="1670" spans="1:12" ht="23" customHeight="1">
      <c r="A1670" s="6">
        <v>6</v>
      </c>
      <c r="B1670" s="6">
        <v>3</v>
      </c>
      <c r="C1670" s="6">
        <v>160</v>
      </c>
      <c r="D1670" s="6">
        <v>49</v>
      </c>
      <c r="E1670" s="8">
        <v>2752.4</v>
      </c>
      <c r="F1670" s="8">
        <v>2752.4</v>
      </c>
      <c r="G1670" s="8">
        <v>2752.4</v>
      </c>
      <c r="H1670" s="8">
        <v>2752.4</v>
      </c>
    </row>
    <row r="1671" spans="1:12" ht="23" customHeight="1">
      <c r="A1671" s="6">
        <v>6</v>
      </c>
      <c r="B1671" s="6">
        <v>3</v>
      </c>
      <c r="C1671" s="6">
        <v>161</v>
      </c>
      <c r="D1671" s="6">
        <v>50</v>
      </c>
      <c r="E1671" s="8">
        <v>2752.4</v>
      </c>
      <c r="F1671" s="8">
        <v>2752.4</v>
      </c>
      <c r="G1671" s="8">
        <v>2752.4</v>
      </c>
      <c r="H1671" s="8">
        <v>2752.4</v>
      </c>
    </row>
    <row r="1672" spans="1:12" ht="23" customHeight="1">
      <c r="A1672" s="6">
        <v>6</v>
      </c>
      <c r="B1672" s="6">
        <v>3</v>
      </c>
      <c r="C1672" s="6">
        <v>162</v>
      </c>
      <c r="D1672" s="6">
        <v>51</v>
      </c>
      <c r="E1672" s="8">
        <v>2032.5</v>
      </c>
      <c r="F1672" s="8">
        <v>2032.5</v>
      </c>
      <c r="G1672" s="8">
        <v>2032.5</v>
      </c>
      <c r="H1672" s="8">
        <v>2032.5</v>
      </c>
    </row>
    <row r="1673" spans="1:12" ht="23" customHeight="1">
      <c r="A1673" s="6">
        <v>6</v>
      </c>
      <c r="B1673" s="6">
        <v>3</v>
      </c>
      <c r="C1673" s="6">
        <v>163</v>
      </c>
      <c r="D1673" s="6">
        <v>52</v>
      </c>
      <c r="E1673" s="8">
        <v>672.8</v>
      </c>
      <c r="F1673" s="8">
        <v>672.8</v>
      </c>
      <c r="G1673" s="8">
        <v>672.8</v>
      </c>
      <c r="H1673" s="8">
        <v>672.8</v>
      </c>
    </row>
    <row r="1674" spans="1:12" ht="23" customHeight="1">
      <c r="A1674" s="6">
        <v>6</v>
      </c>
      <c r="B1674" s="6">
        <v>3</v>
      </c>
      <c r="C1674" s="6">
        <v>164</v>
      </c>
      <c r="D1674" s="6">
        <v>53</v>
      </c>
      <c r="E1674" s="8">
        <v>672.8</v>
      </c>
      <c r="F1674" s="8">
        <v>672.8</v>
      </c>
      <c r="G1674" s="8">
        <v>672.8</v>
      </c>
      <c r="H1674" s="8">
        <v>672.8</v>
      </c>
    </row>
    <row r="1675" spans="1:12" ht="23" customHeight="1">
      <c r="A1675" s="6">
        <v>6</v>
      </c>
      <c r="B1675" s="6">
        <v>3</v>
      </c>
      <c r="C1675" s="6">
        <v>165</v>
      </c>
      <c r="D1675" s="6">
        <v>54</v>
      </c>
      <c r="E1675" s="8">
        <v>672.8</v>
      </c>
      <c r="F1675" s="8">
        <v>672.8</v>
      </c>
      <c r="G1675" s="8">
        <v>672.8</v>
      </c>
      <c r="H1675" s="8">
        <v>672.8</v>
      </c>
    </row>
    <row r="1676" spans="1:12" ht="23" customHeight="1">
      <c r="A1676" s="6">
        <v>6</v>
      </c>
      <c r="B1676" s="6">
        <v>3</v>
      </c>
      <c r="C1676" s="6">
        <v>166</v>
      </c>
      <c r="D1676" s="6">
        <v>55</v>
      </c>
      <c r="E1676" s="8">
        <v>672.8</v>
      </c>
      <c r="F1676" s="8">
        <v>672.8</v>
      </c>
      <c r="G1676" s="8">
        <v>672.8</v>
      </c>
      <c r="H1676" s="8">
        <v>672.8</v>
      </c>
    </row>
    <row r="1677" spans="1:12" ht="23" customHeight="1">
      <c r="A1677" s="6">
        <v>6</v>
      </c>
      <c r="B1677" s="6">
        <v>3</v>
      </c>
      <c r="C1677" s="6">
        <v>167</v>
      </c>
      <c r="D1677" s="6">
        <v>56</v>
      </c>
      <c r="E1677" s="8">
        <v>672.8</v>
      </c>
      <c r="F1677" s="8">
        <v>672.8</v>
      </c>
      <c r="G1677" s="8">
        <v>672.8</v>
      </c>
      <c r="H1677" s="8">
        <v>672.8</v>
      </c>
    </row>
    <row r="1678" spans="1:12" ht="23" customHeight="1">
      <c r="A1678" s="6">
        <v>6</v>
      </c>
      <c r="B1678" s="6">
        <v>3</v>
      </c>
      <c r="C1678" s="6">
        <v>168</v>
      </c>
      <c r="D1678" s="6">
        <v>57</v>
      </c>
      <c r="E1678" s="8">
        <v>672.8</v>
      </c>
      <c r="F1678" s="8">
        <v>672.8</v>
      </c>
      <c r="G1678" s="8">
        <v>672.8</v>
      </c>
      <c r="H1678" s="8">
        <v>672.8</v>
      </c>
    </row>
    <row r="1679" spans="1:12" ht="23" customHeight="1">
      <c r="A1679" s="6">
        <v>6</v>
      </c>
      <c r="B1679" s="6">
        <v>3</v>
      </c>
      <c r="C1679" s="6">
        <v>169</v>
      </c>
      <c r="D1679" s="6">
        <v>58</v>
      </c>
      <c r="E1679" s="8">
        <v>672.8</v>
      </c>
      <c r="F1679" s="8">
        <v>672.8</v>
      </c>
      <c r="G1679" s="8">
        <v>672.8</v>
      </c>
      <c r="H1679" s="8">
        <v>672.8</v>
      </c>
    </row>
    <row r="1680" spans="1:12" ht="23" customHeight="1">
      <c r="A1680" s="6">
        <v>6</v>
      </c>
      <c r="B1680" s="6">
        <v>3</v>
      </c>
      <c r="C1680" s="6">
        <v>170</v>
      </c>
      <c r="D1680" s="6">
        <v>59</v>
      </c>
      <c r="E1680" s="8">
        <v>672.8</v>
      </c>
      <c r="F1680" s="8">
        <v>672.8</v>
      </c>
      <c r="G1680" s="8">
        <v>672.8</v>
      </c>
      <c r="H1680" s="8">
        <v>672.8</v>
      </c>
    </row>
    <row r="1681" spans="1:12" ht="23" customHeight="1">
      <c r="A1681" s="6">
        <v>6</v>
      </c>
      <c r="B1681" s="6">
        <v>3</v>
      </c>
      <c r="C1681" s="6">
        <v>171</v>
      </c>
      <c r="D1681" s="6">
        <v>60</v>
      </c>
      <c r="E1681" s="8">
        <v>232.9</v>
      </c>
      <c r="F1681" s="8">
        <v>232.9</v>
      </c>
      <c r="G1681" s="8">
        <v>232.9</v>
      </c>
      <c r="H1681" s="8">
        <v>232.9</v>
      </c>
    </row>
    <row r="1682" spans="1:12" ht="23" customHeight="1"/>
    <row r="1683" spans="1:12" ht="24" customHeight="1">
      <c r="A1683" s="3" t="s">
        <v>917</v>
      </c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</row>
    <row r="1684" spans="1:12" ht="36" customHeight="1">
      <c r="A1684" s="4" t="s">
        <v>918</v>
      </c>
    </row>
    <row r="1685" spans="1:12" ht="24" customHeight="1">
      <c r="A1685" s="2" t="s">
        <v>919</v>
      </c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</row>
    <row r="1686" spans="1:12" ht="24" customHeight="1">
      <c r="A1686" s="2" t="s">
        <v>920</v>
      </c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</row>
    <row r="1687" spans="1:12" ht="24" customHeight="1">
      <c r="A1687" s="2" t="s">
        <v>921</v>
      </c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</row>
    <row r="1688" spans="1:12" ht="24" customHeight="1">
      <c r="A1688" s="2" t="s">
        <v>922</v>
      </c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</row>
    <row r="1689" spans="1:12" ht="24" customHeight="1">
      <c r="A1689" s="2" t="s">
        <v>923</v>
      </c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</row>
    <row r="1690" spans="1:12" ht="24" customHeight="1">
      <c r="A1690" s="2" t="s">
        <v>924</v>
      </c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</row>
    <row r="1691" spans="1:12" ht="24" customHeight="1">
      <c r="A1691" s="2" t="s">
        <v>925</v>
      </c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</row>
    <row r="1692" spans="1:12" ht="24" customHeight="1">
      <c r="A1692" s="2" t="s">
        <v>926</v>
      </c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</row>
    <row r="1693" spans="1:12" ht="24" customHeight="1">
      <c r="A1693" s="2" t="s">
        <v>927</v>
      </c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</row>
    <row r="1694" spans="1:12" ht="24" customHeight="1">
      <c r="A1694" s="2" t="s">
        <v>928</v>
      </c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</row>
    <row r="1695" spans="1:12" ht="24" customHeight="1">
      <c r="A1695" s="2" t="s">
        <v>929</v>
      </c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</row>
    <row r="1696" spans="1:12" ht="24" customHeight="1">
      <c r="A1696" s="2" t="s">
        <v>930</v>
      </c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</row>
    <row r="1697" spans="1:12" ht="24" customHeight="1">
      <c r="A1697" s="2" t="s">
        <v>931</v>
      </c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</row>
    <row r="1698" spans="1:12" ht="24" customHeight="1">
      <c r="A1698" s="2" t="s">
        <v>932</v>
      </c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</row>
    <row r="1699" spans="1:12" ht="24" customHeight="1">
      <c r="A1699" s="3" t="s">
        <v>917</v>
      </c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</row>
    <row r="1700" spans="1:12" ht="36" customHeight="1">
      <c r="A1700" s="4" t="s">
        <v>918</v>
      </c>
    </row>
    <row r="1701" spans="1:12" ht="24" customHeight="1">
      <c r="A1701" s="2" t="s">
        <v>933</v>
      </c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</row>
    <row r="1702" spans="1:12" ht="24" customHeight="1">
      <c r="A1702" s="2" t="s">
        <v>934</v>
      </c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</row>
    <row r="1703" spans="1:12" ht="24" customHeight="1">
      <c r="A1703" s="2" t="s">
        <v>935</v>
      </c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</row>
    <row r="1704" spans="1:12" ht="24" customHeight="1">
      <c r="A1704" s="2" t="s">
        <v>936</v>
      </c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</row>
    <row r="1705" spans="1:12" ht="24" customHeight="1">
      <c r="A1705" s="2" t="s">
        <v>937</v>
      </c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</row>
    <row r="1706" spans="1:12" ht="24" customHeight="1">
      <c r="A1706" s="2" t="s">
        <v>938</v>
      </c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</row>
    <row r="1707" spans="1:12" ht="24" customHeight="1">
      <c r="A1707" s="2" t="s">
        <v>939</v>
      </c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</row>
    <row r="1708" spans="1:12" ht="24" customHeight="1">
      <c r="A1708" s="2" t="s">
        <v>940</v>
      </c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</row>
    <row r="1709" spans="1:12" ht="24" customHeight="1">
      <c r="A1709" s="2" t="s">
        <v>941</v>
      </c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</row>
    <row r="1710" spans="1:12" ht="24" customHeight="1">
      <c r="A1710" s="2" t="s">
        <v>942</v>
      </c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</row>
    <row r="1711" spans="1:12" ht="24" customHeight="1">
      <c r="A1711" s="2" t="s">
        <v>943</v>
      </c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</row>
    <row r="1712" spans="1:12" ht="24" customHeight="1">
      <c r="A1712" s="2" t="s">
        <v>944</v>
      </c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</row>
    <row r="1713" spans="1:12" ht="24" customHeight="1">
      <c r="A1713" s="2" t="s">
        <v>945</v>
      </c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</row>
    <row r="1714" spans="1:12" ht="24" customHeight="1">
      <c r="A1714" s="2" t="s">
        <v>946</v>
      </c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</row>
    <row r="1715" spans="1:12" ht="24" customHeight="1">
      <c r="A1715" s="3" t="s">
        <v>917</v>
      </c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</row>
    <row r="1716" spans="1:12" ht="36" customHeight="1">
      <c r="A1716" s="4" t="s">
        <v>918</v>
      </c>
    </row>
    <row r="1717" spans="1:12" ht="24" customHeight="1">
      <c r="A1717" s="2" t="s">
        <v>947</v>
      </c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</row>
    <row r="1718" spans="1:12" ht="24" customHeight="1">
      <c r="A1718" s="2" t="s">
        <v>948</v>
      </c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</row>
    <row r="1719" spans="1:12" ht="24" customHeight="1">
      <c r="A1719" s="2" t="s">
        <v>949</v>
      </c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</row>
    <row r="1720" spans="1:12" ht="24" customHeight="1">
      <c r="A1720" s="2" t="s">
        <v>950</v>
      </c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</row>
    <row r="1721" spans="1:12" ht="24" customHeight="1">
      <c r="A1721" s="2" t="s">
        <v>951</v>
      </c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</row>
    <row r="1722" spans="1:12" ht="24" customHeight="1">
      <c r="A1722" s="2" t="s">
        <v>952</v>
      </c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</row>
    <row r="1723" spans="1:12" ht="24" customHeight="1">
      <c r="A1723" s="2" t="s">
        <v>953</v>
      </c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</row>
    <row r="1724" spans="1:12" ht="24" customHeight="1">
      <c r="A1724" s="2" t="s">
        <v>954</v>
      </c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</row>
    <row r="1725" spans="1:12" ht="24" customHeight="1">
      <c r="A1725" s="2" t="s">
        <v>955</v>
      </c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</row>
    <row r="1726" spans="1:12" ht="24" customHeight="1">
      <c r="A1726" s="2" t="s">
        <v>956</v>
      </c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</row>
    <row r="1727" spans="1:12" ht="24" customHeight="1">
      <c r="A1727" s="2" t="s">
        <v>957</v>
      </c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</row>
    <row r="1728" spans="1:12" ht="24" customHeight="1">
      <c r="A1728" s="2" t="s">
        <v>958</v>
      </c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</row>
    <row r="1729" spans="1:12" ht="24" customHeight="1">
      <c r="A1729" s="2" t="s">
        <v>959</v>
      </c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</row>
    <row r="1730" spans="1:12" ht="24" customHeight="1">
      <c r="A1730" s="2" t="s">
        <v>960</v>
      </c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</row>
    <row r="1731" spans="1:12" ht="24" customHeight="1">
      <c r="A1731" s="3" t="s">
        <v>917</v>
      </c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</row>
    <row r="1732" spans="1:12" ht="36" customHeight="1">
      <c r="A1732" s="4" t="s">
        <v>918</v>
      </c>
    </row>
    <row r="1733" spans="1:12" ht="24" customHeight="1">
      <c r="A1733" s="2" t="s">
        <v>961</v>
      </c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</row>
    <row r="1734" spans="1:12" ht="24" customHeight="1">
      <c r="A1734" s="2" t="s">
        <v>962</v>
      </c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</row>
    <row r="1735" spans="1:12" ht="24" customHeight="1">
      <c r="A1735" s="2" t="s">
        <v>963</v>
      </c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</row>
    <row r="1736" spans="1:12" ht="24" customHeight="1">
      <c r="A1736" s="2" t="s">
        <v>964</v>
      </c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</row>
    <row r="1737" spans="1:12" ht="24" customHeight="1">
      <c r="A1737" s="2" t="s">
        <v>965</v>
      </c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</row>
    <row r="1738" spans="1:12" ht="24" customHeight="1">
      <c r="A1738" s="2" t="s">
        <v>966</v>
      </c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</row>
    <row r="1739" spans="1:12" ht="24" customHeight="1">
      <c r="A1739" s="2" t="s">
        <v>967</v>
      </c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</row>
    <row r="1740" spans="1:12" ht="24" customHeight="1">
      <c r="A1740" s="2" t="s">
        <v>968</v>
      </c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</row>
    <row r="1741" spans="1:12" ht="24" customHeight="1">
      <c r="A1741" s="2" t="s">
        <v>969</v>
      </c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</row>
    <row r="1742" spans="1:12" ht="24" customHeight="1">
      <c r="A1742" s="2" t="s">
        <v>970</v>
      </c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</row>
    <row r="1743" spans="1:12" ht="24" customHeight="1">
      <c r="A1743" s="2" t="s">
        <v>971</v>
      </c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</row>
    <row r="1744" spans="1:12" ht="24" customHeight="1">
      <c r="A1744" s="2" t="s">
        <v>972</v>
      </c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</row>
    <row r="1745" spans="1:12" ht="24" customHeight="1">
      <c r="A1745" s="2" t="s">
        <v>973</v>
      </c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</row>
    <row r="1746" spans="1:12" ht="24" customHeight="1">
      <c r="A1746" s="2" t="s">
        <v>974</v>
      </c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</row>
    <row r="1747" spans="1:12" ht="24" customHeight="1">
      <c r="A1747" s="3" t="s">
        <v>917</v>
      </c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</row>
    <row r="1748" spans="1:12" ht="36" customHeight="1">
      <c r="A1748" s="4" t="s">
        <v>918</v>
      </c>
    </row>
    <row r="1749" spans="1:12" ht="24" customHeight="1">
      <c r="A1749" s="2" t="s">
        <v>975</v>
      </c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</row>
    <row r="1750" spans="1:12" ht="24" customHeight="1">
      <c r="A1750" s="2" t="s">
        <v>976</v>
      </c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</row>
    <row r="1751" spans="1:12" ht="24" customHeight="1">
      <c r="A1751" s="2" t="s">
        <v>977</v>
      </c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</row>
    <row r="1752" spans="1:12" ht="24" customHeight="1">
      <c r="A1752" s="2" t="s">
        <v>978</v>
      </c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</row>
    <row r="1753" spans="1:12" ht="23" customHeight="1"/>
    <row r="1754" spans="1:12" ht="24" customHeight="1">
      <c r="A1754" s="3" t="s">
        <v>979</v>
      </c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</row>
    <row r="1755" spans="1:12" ht="36" customHeight="1">
      <c r="A1755" s="4" t="s">
        <v>8</v>
      </c>
      <c r="B1755" s="4" t="s">
        <v>980</v>
      </c>
      <c r="C1755" s="4" t="s">
        <v>981</v>
      </c>
      <c r="D1755" s="4" t="s">
        <v>982</v>
      </c>
      <c r="E1755" s="4" t="s">
        <v>983</v>
      </c>
      <c r="F1755" s="4" t="s">
        <v>984</v>
      </c>
      <c r="G1755" s="4" t="s">
        <v>985</v>
      </c>
      <c r="H1755" s="4" t="s">
        <v>986</v>
      </c>
      <c r="I1755" s="4" t="s">
        <v>987</v>
      </c>
      <c r="J1755" s="4" t="s">
        <v>988</v>
      </c>
      <c r="K1755" s="4" t="s">
        <v>164</v>
      </c>
      <c r="L1755" s="4" t="s">
        <v>16</v>
      </c>
    </row>
    <row r="1756" spans="1:12" ht="23" customHeight="1">
      <c r="A1756" s="6">
        <v>4</v>
      </c>
      <c r="B1756" s="6">
        <v>1</v>
      </c>
      <c r="C1756" s="6">
        <v>98</v>
      </c>
      <c r="D1756" s="6">
        <v>122</v>
      </c>
      <c r="E1756" s="61">
        <v>29.8</v>
      </c>
      <c r="F1756" s="61">
        <v>13.041</v>
      </c>
      <c r="G1756" s="61">
        <v>44.041</v>
      </c>
      <c r="H1756" s="62">
        <f>ROUND((G1756-F1756),4)</f>
        <v>31.0</v>
      </c>
      <c r="I1756" s="61">
        <v>31</v>
      </c>
      <c r="J1756" s="62">
        <f>ROUND((H1756-I1756),4)</f>
        <v>0.0</v>
      </c>
      <c r="K1756" s="6">
        <v>61</v>
      </c>
      <c r="L1756" s="6">
        <v>1416</v>
      </c>
    </row>
    <row r="1757" spans="1:12" ht="23" customHeight="1">
      <c r="A1757" s="6">
        <v>5</v>
      </c>
      <c r="B1757" s="6">
        <v>2</v>
      </c>
      <c r="C1757" s="6">
        <v>123</v>
      </c>
      <c r="D1757" s="6">
        <v>147</v>
      </c>
      <c r="E1757" s="61">
        <v>33.5</v>
      </c>
      <c r="F1757" s="61">
        <v>13.041</v>
      </c>
      <c r="G1757" s="61">
        <v>44.041</v>
      </c>
      <c r="H1757" s="62">
        <f>ROUND((G1757-F1757),4)</f>
        <v>31.0</v>
      </c>
      <c r="I1757" s="61">
        <v>31</v>
      </c>
      <c r="J1757" s="62">
        <f>ROUND((H1757-I1757),4)</f>
        <v>0.0</v>
      </c>
      <c r="K1757" s="6">
        <v>62</v>
      </c>
      <c r="L1757" s="6">
        <v>1417</v>
      </c>
    </row>
    <row r="1758" spans="1:12" ht="23" customHeight="1">
      <c r="A1758" s="6">
        <v>6</v>
      </c>
      <c r="B1758" s="6">
        <v>3</v>
      </c>
      <c r="C1758" s="6">
        <v>148</v>
      </c>
      <c r="D1758" s="6">
        <v>172</v>
      </c>
      <c r="E1758" s="61">
        <v>37.2</v>
      </c>
      <c r="F1758" s="61">
        <v>13.041</v>
      </c>
      <c r="G1758" s="61">
        <v>44.041</v>
      </c>
      <c r="H1758" s="62">
        <f>ROUND((G1758-F1758),4)</f>
        <v>31.0</v>
      </c>
      <c r="I1758" s="61">
        <v>31</v>
      </c>
      <c r="J1758" s="62">
        <f>ROUND((H1758-I1758),4)</f>
        <v>0.0</v>
      </c>
      <c r="K1758" s="6">
        <v>63</v>
      </c>
      <c r="L1758" s="6">
        <v>1418</v>
      </c>
    </row>
    <row r="1759" spans="1:12" ht="23" customHeight="1"/>
    <row r="1760" spans="1:12" ht="24" customHeight="1">
      <c r="A1760" s="3" t="s">
        <v>989</v>
      </c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</row>
    <row r="1761" spans="1:12" ht="36" customHeight="1">
      <c r="A1761" s="4" t="s">
        <v>8</v>
      </c>
      <c r="B1761" s="4" t="s">
        <v>980</v>
      </c>
      <c r="C1761" s="4" t="s">
        <v>982</v>
      </c>
      <c r="D1761" s="4" t="s">
        <v>164</v>
      </c>
      <c r="E1761" s="4" t="s">
        <v>990</v>
      </c>
      <c r="F1761" s="4" t="s">
        <v>253</v>
      </c>
      <c r="G1761" s="4" t="s">
        <v>991</v>
      </c>
      <c r="H1761" s="4" t="s">
        <v>992</v>
      </c>
      <c r="I1761" s="4" t="s">
        <v>188</v>
      </c>
      <c r="J1761" s="4" t="s">
        <v>251</v>
      </c>
      <c r="K1761" s="4" t="s">
        <v>252</v>
      </c>
      <c r="L1761" s="4" t="s">
        <v>993</v>
      </c>
    </row>
    <row r="1762" spans="1:12" ht="23" customHeight="1">
      <c r="A1762" s="6">
        <v>4</v>
      </c>
      <c r="B1762" s="6">
        <v>1</v>
      </c>
      <c r="C1762" s="6">
        <v>122</v>
      </c>
      <c r="D1762" s="6">
        <v>61</v>
      </c>
      <c r="E1762" s="5" t="s">
        <v>994</v>
      </c>
      <c r="F1762" s="9" t="s">
        <v>274</v>
      </c>
      <c r="G1762" s="66">
        <f>'杭先端ばね'!B4</f>
        <v>327072.0</v>
      </c>
      <c r="H1762" s="67">
        <v>327072</v>
      </c>
      <c r="I1762" s="9">
        <f>(G1762-H1762)</f>
        <v>0.0</v>
      </c>
      <c r="J1762" s="6">
        <v>275</v>
      </c>
      <c r="K1762" s="6">
        <v>4</v>
      </c>
      <c r="L1762" s="6">
        <v>4</v>
      </c>
    </row>
    <row r="1763" spans="1:12" ht="23" customHeight="1">
      <c r="A1763" s="6">
        <v>4</v>
      </c>
      <c r="B1763" s="6">
        <v>1</v>
      </c>
      <c r="C1763" s="6">
        <v>122</v>
      </c>
      <c r="D1763" s="6">
        <v>61</v>
      </c>
      <c r="E1763" s="5" t="s">
        <v>995</v>
      </c>
      <c r="F1763" s="9" t="s">
        <v>274</v>
      </c>
      <c r="G1763" s="66">
        <f>'杭先端ばね'!C4</f>
        <v>88418.0</v>
      </c>
      <c r="H1763" s="67">
        <v>88418</v>
      </c>
      <c r="I1763" s="9">
        <f>(G1763-H1763)</f>
        <v>0.0</v>
      </c>
      <c r="J1763" s="6">
        <v>275</v>
      </c>
      <c r="K1763" s="6">
        <v>7</v>
      </c>
      <c r="L1763" s="6">
        <v>7</v>
      </c>
    </row>
    <row r="1764" spans="1:12" ht="23" customHeight="1">
      <c r="A1764" s="6">
        <v>4</v>
      </c>
      <c r="B1764" s="6">
        <v>1</v>
      </c>
      <c r="C1764" s="6">
        <v>122</v>
      </c>
      <c r="D1764" s="6">
        <v>61</v>
      </c>
      <c r="E1764" s="5" t="s">
        <v>996</v>
      </c>
      <c r="F1764" s="9" t="s">
        <v>336</v>
      </c>
      <c r="G1764" s="64">
        <f>'杭先端ばね'!B12</f>
        <v>7167.5</v>
      </c>
      <c r="H1764" s="65">
        <v>7167.5</v>
      </c>
      <c r="I1764" s="9">
        <f>(G1764-H1764)</f>
        <v>0.0</v>
      </c>
      <c r="J1764" s="6">
        <v>293</v>
      </c>
      <c r="K1764" s="6">
        <v>1</v>
      </c>
      <c r="L1764" s="6">
        <v>5</v>
      </c>
    </row>
    <row r="1765" spans="1:12" ht="23" customHeight="1">
      <c r="A1765" s="6">
        <v>4</v>
      </c>
      <c r="B1765" s="6">
        <v>1</v>
      </c>
      <c r="C1765" s="6">
        <v>122</v>
      </c>
      <c r="D1765" s="6">
        <v>61</v>
      </c>
      <c r="E1765" s="5" t="s">
        <v>997</v>
      </c>
      <c r="F1765" s="9" t="s">
        <v>336</v>
      </c>
      <c r="G1765" s="64">
        <f>'杭先端ばね'!C12</f>
        <v>16724.3</v>
      </c>
      <c r="H1765" s="65">
        <v>16724.3</v>
      </c>
      <c r="I1765" s="9">
        <f>(G1765-H1765)</f>
        <v>0.0</v>
      </c>
      <c r="J1765" s="6">
        <v>293</v>
      </c>
      <c r="K1765" s="6">
        <v>4</v>
      </c>
      <c r="L1765" s="6">
        <v>8</v>
      </c>
    </row>
    <row r="1766" spans="1:12" ht="23" customHeight="1">
      <c r="A1766" s="6">
        <v>5</v>
      </c>
      <c r="B1766" s="6">
        <v>2</v>
      </c>
      <c r="C1766" s="6">
        <v>147</v>
      </c>
      <c r="D1766" s="6">
        <v>62</v>
      </c>
      <c r="E1766" s="5" t="s">
        <v>994</v>
      </c>
      <c r="F1766" s="9" t="s">
        <v>274</v>
      </c>
      <c r="G1766" s="66">
        <f>'杭先端ばね'!B5</f>
        <v>218048.0</v>
      </c>
      <c r="H1766" s="67">
        <v>218048</v>
      </c>
      <c r="I1766" s="9">
        <f>(G1766-H1766)</f>
        <v>0.0</v>
      </c>
      <c r="J1766" s="6">
        <v>275</v>
      </c>
      <c r="K1766" s="6">
        <v>5</v>
      </c>
      <c r="L1766" s="6">
        <v>4</v>
      </c>
    </row>
    <row r="1767" spans="1:12" ht="23" customHeight="1">
      <c r="A1767" s="6">
        <v>5</v>
      </c>
      <c r="B1767" s="6">
        <v>2</v>
      </c>
      <c r="C1767" s="6">
        <v>147</v>
      </c>
      <c r="D1767" s="6">
        <v>62</v>
      </c>
      <c r="E1767" s="5" t="s">
        <v>995</v>
      </c>
      <c r="F1767" s="9" t="s">
        <v>274</v>
      </c>
      <c r="G1767" s="66">
        <f>'杭先端ばね'!C5</f>
        <v>58945.0</v>
      </c>
      <c r="H1767" s="67">
        <v>58945</v>
      </c>
      <c r="I1767" s="9">
        <f>(G1767-H1767)</f>
        <v>0.0</v>
      </c>
      <c r="J1767" s="6">
        <v>275</v>
      </c>
      <c r="K1767" s="6">
        <v>8</v>
      </c>
      <c r="L1767" s="6">
        <v>7</v>
      </c>
    </row>
    <row r="1768" spans="1:12" ht="23" customHeight="1">
      <c r="A1768" s="6">
        <v>5</v>
      </c>
      <c r="B1768" s="6">
        <v>2</v>
      </c>
      <c r="C1768" s="6">
        <v>147</v>
      </c>
      <c r="D1768" s="6">
        <v>62</v>
      </c>
      <c r="E1768" s="5" t="s">
        <v>996</v>
      </c>
      <c r="F1768" s="9" t="s">
        <v>336</v>
      </c>
      <c r="G1768" s="64">
        <f>'杭先端ばね'!B13</f>
        <v>4778.4</v>
      </c>
      <c r="H1768" s="65">
        <v>4778.4</v>
      </c>
      <c r="I1768" s="9">
        <f>(G1768-H1768)</f>
        <v>0.0</v>
      </c>
      <c r="J1768" s="6">
        <v>293</v>
      </c>
      <c r="K1768" s="6">
        <v>2</v>
      </c>
      <c r="L1768" s="6">
        <v>5</v>
      </c>
    </row>
    <row r="1769" spans="1:12" ht="23" customHeight="1">
      <c r="A1769" s="6">
        <v>5</v>
      </c>
      <c r="B1769" s="6">
        <v>2</v>
      </c>
      <c r="C1769" s="6">
        <v>147</v>
      </c>
      <c r="D1769" s="6">
        <v>62</v>
      </c>
      <c r="E1769" s="5" t="s">
        <v>997</v>
      </c>
      <c r="F1769" s="9" t="s">
        <v>336</v>
      </c>
      <c r="G1769" s="64">
        <f>'杭先端ばね'!C13</f>
        <v>11149.5</v>
      </c>
      <c r="H1769" s="65">
        <v>11149.5</v>
      </c>
      <c r="I1769" s="9">
        <f>(G1769-H1769)</f>
        <v>0.0</v>
      </c>
      <c r="J1769" s="6">
        <v>293</v>
      </c>
      <c r="K1769" s="6">
        <v>5</v>
      </c>
      <c r="L1769" s="6">
        <v>8</v>
      </c>
    </row>
    <row r="1770" spans="1:12" ht="23" customHeight="1">
      <c r="A1770" s="6">
        <v>6</v>
      </c>
      <c r="B1770" s="6">
        <v>3</v>
      </c>
      <c r="C1770" s="6">
        <v>172</v>
      </c>
      <c r="D1770" s="6">
        <v>63</v>
      </c>
      <c r="E1770" s="5" t="s">
        <v>994</v>
      </c>
      <c r="F1770" s="9" t="s">
        <v>274</v>
      </c>
      <c r="G1770" s="66">
        <f>'杭先端ばね'!B6</f>
        <v>327072.0</v>
      </c>
      <c r="H1770" s="67">
        <v>327072</v>
      </c>
      <c r="I1770" s="9">
        <f>(G1770-H1770)</f>
        <v>0.0</v>
      </c>
      <c r="J1770" s="6">
        <v>275</v>
      </c>
      <c r="K1770" s="6">
        <v>6</v>
      </c>
      <c r="L1770" s="6">
        <v>4</v>
      </c>
    </row>
    <row r="1771" spans="1:12" ht="23" customHeight="1">
      <c r="A1771" s="6">
        <v>6</v>
      </c>
      <c r="B1771" s="6">
        <v>3</v>
      </c>
      <c r="C1771" s="6">
        <v>172</v>
      </c>
      <c r="D1771" s="6">
        <v>63</v>
      </c>
      <c r="E1771" s="5" t="s">
        <v>995</v>
      </c>
      <c r="F1771" s="9" t="s">
        <v>274</v>
      </c>
      <c r="G1771" s="66">
        <f>'杭先端ばね'!C6</f>
        <v>88418.0</v>
      </c>
      <c r="H1771" s="67">
        <v>88418</v>
      </c>
      <c r="I1771" s="9">
        <f>(G1771-H1771)</f>
        <v>0.0</v>
      </c>
      <c r="J1771" s="6">
        <v>275</v>
      </c>
      <c r="K1771" s="6">
        <v>9</v>
      </c>
      <c r="L1771" s="6">
        <v>7</v>
      </c>
    </row>
    <row r="1772" spans="1:12" ht="23" customHeight="1">
      <c r="A1772" s="6">
        <v>6</v>
      </c>
      <c r="B1772" s="6">
        <v>3</v>
      </c>
      <c r="C1772" s="6">
        <v>172</v>
      </c>
      <c r="D1772" s="6">
        <v>63</v>
      </c>
      <c r="E1772" s="5" t="s">
        <v>996</v>
      </c>
      <c r="F1772" s="9" t="s">
        <v>336</v>
      </c>
      <c r="G1772" s="64">
        <f>'杭先端ばね'!B14</f>
        <v>7167.5</v>
      </c>
      <c r="H1772" s="65">
        <v>7167.5</v>
      </c>
      <c r="I1772" s="9">
        <f>(G1772-H1772)</f>
        <v>0.0</v>
      </c>
      <c r="J1772" s="6">
        <v>293</v>
      </c>
      <c r="K1772" s="6">
        <v>3</v>
      </c>
      <c r="L1772" s="6">
        <v>5</v>
      </c>
    </row>
    <row r="1773" spans="1:12" ht="23" customHeight="1">
      <c r="A1773" s="6">
        <v>6</v>
      </c>
      <c r="B1773" s="6">
        <v>3</v>
      </c>
      <c r="C1773" s="6">
        <v>172</v>
      </c>
      <c r="D1773" s="6">
        <v>63</v>
      </c>
      <c r="E1773" s="5" t="s">
        <v>997</v>
      </c>
      <c r="F1773" s="9" t="s">
        <v>336</v>
      </c>
      <c r="G1773" s="64">
        <f>'杭先端ばね'!C14</f>
        <v>16724.3</v>
      </c>
      <c r="H1773" s="65">
        <v>16724.3</v>
      </c>
      <c r="I1773" s="9">
        <f>(G1773-H1773)</f>
        <v>0.0</v>
      </c>
      <c r="J1773" s="6">
        <v>293</v>
      </c>
      <c r="K1773" s="6">
        <v>6</v>
      </c>
      <c r="L1773" s="6">
        <v>8</v>
      </c>
    </row>
    <row r="1774" spans="1:12" ht="23" customHeight="1"/>
    <row r="1775" spans="1:12" ht="24" customHeight="1">
      <c r="A1775" s="3" t="s">
        <v>998</v>
      </c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</row>
    <row r="1776" spans="1:12" ht="36" customHeight="1">
      <c r="A1776" s="4" t="s">
        <v>8</v>
      </c>
      <c r="B1776" s="4" t="s">
        <v>980</v>
      </c>
      <c r="C1776" s="4" t="s">
        <v>163</v>
      </c>
      <c r="D1776" s="4" t="s">
        <v>164</v>
      </c>
      <c r="E1776" s="4" t="s">
        <v>166</v>
      </c>
      <c r="F1776" s="4" t="s">
        <v>167</v>
      </c>
      <c r="G1776" s="4" t="s">
        <v>168</v>
      </c>
      <c r="H1776" s="4" t="s">
        <v>169</v>
      </c>
      <c r="I1776" s="4" t="s">
        <v>170</v>
      </c>
      <c r="J1776" s="4" t="s">
        <v>171</v>
      </c>
    </row>
    <row r="1777" spans="1:12" ht="23" customHeight="1">
      <c r="A1777" s="6">
        <v>4</v>
      </c>
      <c r="B1777" s="6">
        <v>1</v>
      </c>
      <c r="C1777" s="6">
        <v>122</v>
      </c>
      <c r="D1777" s="6">
        <v>61</v>
      </c>
      <c r="E1777" s="7">
        <v>327072</v>
      </c>
      <c r="F1777" s="7">
        <v>88418</v>
      </c>
      <c r="G1777" s="7">
        <v>88418</v>
      </c>
      <c r="H1777" s="7">
        <v>327072</v>
      </c>
      <c r="I1777" s="7">
        <v>88418</v>
      </c>
      <c r="J1777" s="7">
        <v>88418</v>
      </c>
    </row>
    <row r="1778" spans="1:12" ht="23" customHeight="1">
      <c r="A1778" s="6">
        <v>5</v>
      </c>
      <c r="B1778" s="6">
        <v>2</v>
      </c>
      <c r="C1778" s="6">
        <v>147</v>
      </c>
      <c r="D1778" s="6">
        <v>62</v>
      </c>
      <c r="E1778" s="7">
        <v>218048</v>
      </c>
      <c r="F1778" s="7">
        <v>58945</v>
      </c>
      <c r="G1778" s="7">
        <v>58945</v>
      </c>
      <c r="H1778" s="7">
        <v>218048</v>
      </c>
      <c r="I1778" s="7">
        <v>58945</v>
      </c>
      <c r="J1778" s="7">
        <v>58945</v>
      </c>
    </row>
    <row r="1779" spans="1:12" ht="23" customHeight="1">
      <c r="A1779" s="6">
        <v>6</v>
      </c>
      <c r="B1779" s="6">
        <v>3</v>
      </c>
      <c r="C1779" s="6">
        <v>172</v>
      </c>
      <c r="D1779" s="6">
        <v>63</v>
      </c>
      <c r="E1779" s="7">
        <v>327072</v>
      </c>
      <c r="F1779" s="7">
        <v>88418</v>
      </c>
      <c r="G1779" s="7">
        <v>88418</v>
      </c>
      <c r="H1779" s="7">
        <v>327072</v>
      </c>
      <c r="I1779" s="7">
        <v>88418</v>
      </c>
      <c r="J1779" s="7">
        <v>88418</v>
      </c>
    </row>
    <row r="1780" spans="1:12" ht="23" customHeight="1"/>
    <row r="1781" spans="1:12" ht="24" customHeight="1">
      <c r="A1781" s="3" t="s">
        <v>999</v>
      </c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</row>
    <row r="1782" spans="1:12" ht="36" customHeight="1">
      <c r="A1782" s="4" t="s">
        <v>8</v>
      </c>
      <c r="B1782" s="4" t="s">
        <v>980</v>
      </c>
      <c r="C1782" s="4" t="s">
        <v>163</v>
      </c>
      <c r="D1782" s="4" t="s">
        <v>164</v>
      </c>
      <c r="E1782" s="4" t="s">
        <v>176</v>
      </c>
      <c r="F1782" s="4" t="s">
        <v>177</v>
      </c>
      <c r="G1782" s="4" t="s">
        <v>178</v>
      </c>
      <c r="H1782" s="4" t="s">
        <v>179</v>
      </c>
    </row>
    <row r="1783" spans="1:12" ht="23" customHeight="1">
      <c r="A1783" s="6">
        <v>4</v>
      </c>
      <c r="B1783" s="6">
        <v>1</v>
      </c>
      <c r="C1783" s="6">
        <v>122</v>
      </c>
      <c r="D1783" s="6">
        <v>61</v>
      </c>
      <c r="E1783" s="8">
        <v>7167.5</v>
      </c>
      <c r="F1783" s="10"/>
      <c r="G1783" s="8">
        <v>16724.3</v>
      </c>
      <c r="H1783" s="10"/>
    </row>
    <row r="1784" spans="1:12" ht="23" customHeight="1">
      <c r="A1784" s="6">
        <v>5</v>
      </c>
      <c r="B1784" s="6">
        <v>2</v>
      </c>
      <c r="C1784" s="6">
        <v>147</v>
      </c>
      <c r="D1784" s="6">
        <v>62</v>
      </c>
      <c r="E1784" s="8">
        <v>4778.4</v>
      </c>
      <c r="F1784" s="10"/>
      <c r="G1784" s="8">
        <v>11149.5</v>
      </c>
      <c r="H1784" s="10"/>
    </row>
    <row r="1785" spans="1:12" ht="23" customHeight="1">
      <c r="A1785" s="6">
        <v>6</v>
      </c>
      <c r="B1785" s="6">
        <v>3</v>
      </c>
      <c r="C1785" s="6">
        <v>172</v>
      </c>
      <c r="D1785" s="6">
        <v>63</v>
      </c>
      <c r="E1785" s="8">
        <v>7167.5</v>
      </c>
      <c r="F1785" s="10"/>
      <c r="G1785" s="8">
        <v>16724.3</v>
      </c>
      <c r="H1785" s="10"/>
    </row>
    <row r="1786" spans="1:12" ht="23" customHeight="1"/>
    <row r="1787" spans="1:12" ht="24" customHeight="1">
      <c r="A1787" s="3" t="s">
        <v>1000</v>
      </c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</row>
    <row r="1788" spans="1:12" ht="36" customHeight="1">
      <c r="A1788" s="4" t="s">
        <v>8</v>
      </c>
      <c r="B1788" s="4" t="s">
        <v>982</v>
      </c>
      <c r="C1788" s="4" t="s">
        <v>1001</v>
      </c>
      <c r="D1788" s="4" t="s">
        <v>1002</v>
      </c>
    </row>
    <row r="1789" spans="1:12" ht="23" customHeight="1">
      <c r="A1789" s="6">
        <v>4</v>
      </c>
      <c r="B1789" s="6">
        <v>122</v>
      </c>
      <c r="C1789" s="9" t="s">
        <v>994</v>
      </c>
      <c r="D1789" s="9" t="s">
        <v>332</v>
      </c>
    </row>
    <row r="1790" spans="1:12" ht="23" customHeight="1">
      <c r="A1790" s="6">
        <v>4</v>
      </c>
      <c r="B1790" s="6">
        <v>122</v>
      </c>
      <c r="C1790" s="9" t="s">
        <v>995</v>
      </c>
      <c r="D1790" s="9" t="s">
        <v>334</v>
      </c>
    </row>
    <row r="1791" spans="1:12" ht="24" customHeight="1">
      <c r="A1791" s="3" t="s">
        <v>1000</v>
      </c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</row>
    <row r="1792" spans="1:12" ht="36" customHeight="1">
      <c r="A1792" s="4" t="s">
        <v>8</v>
      </c>
      <c r="B1792" s="4" t="s">
        <v>982</v>
      </c>
      <c r="C1792" s="4" t="s">
        <v>1001</v>
      </c>
      <c r="D1792" s="4" t="s">
        <v>1002</v>
      </c>
    </row>
    <row r="1793" spans="1:12" ht="23" customHeight="1">
      <c r="A1793" s="6">
        <v>4</v>
      </c>
      <c r="B1793" s="6">
        <v>122</v>
      </c>
      <c r="C1793" s="9" t="s">
        <v>996</v>
      </c>
      <c r="D1793" s="9" t="s">
        <v>337</v>
      </c>
    </row>
    <row r="1794" spans="1:12" ht="23" customHeight="1">
      <c r="A1794" s="6">
        <v>4</v>
      </c>
      <c r="B1794" s="6">
        <v>122</v>
      </c>
      <c r="C1794" s="9" t="s">
        <v>997</v>
      </c>
      <c r="D1794" s="9" t="s">
        <v>339</v>
      </c>
    </row>
    <row r="1795" spans="1:12" ht="23" customHeight="1">
      <c r="A1795" s="6">
        <v>5</v>
      </c>
      <c r="B1795" s="6">
        <v>147</v>
      </c>
      <c r="C1795" s="9" t="s">
        <v>994</v>
      </c>
      <c r="D1795" s="9" t="s">
        <v>340</v>
      </c>
    </row>
    <row r="1796" spans="1:12" ht="23" customHeight="1">
      <c r="A1796" s="6">
        <v>5</v>
      </c>
      <c r="B1796" s="6">
        <v>147</v>
      </c>
      <c r="C1796" s="9" t="s">
        <v>995</v>
      </c>
      <c r="D1796" s="9" t="s">
        <v>341</v>
      </c>
    </row>
    <row r="1797" spans="1:12" ht="23" customHeight="1">
      <c r="A1797" s="6">
        <v>5</v>
      </c>
      <c r="B1797" s="6">
        <v>147</v>
      </c>
      <c r="C1797" s="9" t="s">
        <v>996</v>
      </c>
      <c r="D1797" s="9" t="s">
        <v>342</v>
      </c>
    </row>
    <row r="1798" spans="1:12" ht="23" customHeight="1">
      <c r="A1798" s="6">
        <v>5</v>
      </c>
      <c r="B1798" s="6">
        <v>147</v>
      </c>
      <c r="C1798" s="9" t="s">
        <v>997</v>
      </c>
      <c r="D1798" s="9" t="s">
        <v>343</v>
      </c>
    </row>
    <row r="1799" spans="1:12" ht="23" customHeight="1">
      <c r="A1799" s="6">
        <v>6</v>
      </c>
      <c r="B1799" s="6">
        <v>172</v>
      </c>
      <c r="C1799" s="9" t="s">
        <v>994</v>
      </c>
      <c r="D1799" s="9" t="s">
        <v>332</v>
      </c>
    </row>
    <row r="1800" spans="1:12" ht="23" customHeight="1">
      <c r="A1800" s="6">
        <v>6</v>
      </c>
      <c r="B1800" s="6">
        <v>172</v>
      </c>
      <c r="C1800" s="9" t="s">
        <v>995</v>
      </c>
      <c r="D1800" s="9" t="s">
        <v>334</v>
      </c>
    </row>
    <row r="1801" spans="1:12" ht="23" customHeight="1">
      <c r="A1801" s="6">
        <v>6</v>
      </c>
      <c r="B1801" s="6">
        <v>172</v>
      </c>
      <c r="C1801" s="9" t="s">
        <v>996</v>
      </c>
      <c r="D1801" s="9" t="s">
        <v>337</v>
      </c>
    </row>
    <row r="1802" spans="1:12" ht="23" customHeight="1">
      <c r="A1802" s="6">
        <v>6</v>
      </c>
      <c r="B1802" s="6">
        <v>172</v>
      </c>
      <c r="C1802" s="9" t="s">
        <v>997</v>
      </c>
      <c r="D1802" s="9" t="s">
        <v>339</v>
      </c>
    </row>
    <row r="1803" spans="1:12" ht="24" customHeight="1">
      <c r="A1803" s="2" t="s">
        <v>1003</v>
      </c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</row>
    <row r="1804" spans="1:12" ht="24" customHeight="1">
      <c r="A1804" s="2" t="s">
        <v>1004</v>
      </c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</row>
  </sheetData>
  <mergeCells count="515">
    <mergeCell ref="A1:L1"/>
    <mergeCell ref="A2:L2"/>
    <mergeCell ref="A3:L3"/>
    <mergeCell ref="A6:L6"/>
    <mergeCell ref="A8:L8"/>
    <mergeCell ref="A9:L9"/>
    <mergeCell ref="A10:L10"/>
    <mergeCell ref="A11:L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L21"/>
    <mergeCell ref="A23:L23"/>
    <mergeCell ref="A24:L24"/>
    <mergeCell ref="A25:L25"/>
    <mergeCell ref="A26:L26"/>
    <mergeCell ref="A27:L27"/>
    <mergeCell ref="A28:L28"/>
    <mergeCell ref="A29:L29"/>
    <mergeCell ref="A30:L30"/>
    <mergeCell ref="A31:L31"/>
    <mergeCell ref="A32:L32"/>
    <mergeCell ref="A34:L34"/>
    <mergeCell ref="A37:L37"/>
    <mergeCell ref="A54:L54"/>
    <mergeCell ref="A71:L71"/>
    <mergeCell ref="A88:L88"/>
    <mergeCell ref="A105:L105"/>
    <mergeCell ref="A122:L122"/>
    <mergeCell ref="A139:L139"/>
    <mergeCell ref="A156:L156"/>
    <mergeCell ref="A169:L169"/>
    <mergeCell ref="A171:L171"/>
    <mergeCell ref="A173:L173"/>
    <mergeCell ref="A174:L174"/>
    <mergeCell ref="A175:L175"/>
    <mergeCell ref="A176:L176"/>
    <mergeCell ref="A177:L177"/>
    <mergeCell ref="A178:L178"/>
    <mergeCell ref="A179:L179"/>
    <mergeCell ref="A180:L180"/>
    <mergeCell ref="A181:L181"/>
    <mergeCell ref="A182:L182"/>
    <mergeCell ref="A183:L183"/>
    <mergeCell ref="A184:L184"/>
    <mergeCell ref="A185:L185"/>
    <mergeCell ref="A186:L186"/>
    <mergeCell ref="A188:L188"/>
    <mergeCell ref="A189:L189"/>
    <mergeCell ref="A190:L190"/>
    <mergeCell ref="A191:L191"/>
    <mergeCell ref="A192:L192"/>
    <mergeCell ref="A193:L193"/>
    <mergeCell ref="A194:L194"/>
    <mergeCell ref="A195:L195"/>
    <mergeCell ref="A196:L196"/>
    <mergeCell ref="A197:L197"/>
    <mergeCell ref="A198:L198"/>
    <mergeCell ref="A199:L199"/>
    <mergeCell ref="A200:L200"/>
    <mergeCell ref="A201:L201"/>
    <mergeCell ref="A203:L203"/>
    <mergeCell ref="A204:L204"/>
    <mergeCell ref="A205:L205"/>
    <mergeCell ref="A206:L206"/>
    <mergeCell ref="A207:L207"/>
    <mergeCell ref="A208:L208"/>
    <mergeCell ref="A209:L209"/>
    <mergeCell ref="A210:L210"/>
    <mergeCell ref="A211:L211"/>
    <mergeCell ref="A212:L212"/>
    <mergeCell ref="A213:L213"/>
    <mergeCell ref="A214:L214"/>
    <mergeCell ref="A215:L215"/>
    <mergeCell ref="A217:L217"/>
    <mergeCell ref="A218:L218"/>
    <mergeCell ref="A219:L219"/>
    <mergeCell ref="A220:L220"/>
    <mergeCell ref="A221:L221"/>
    <mergeCell ref="A222:L222"/>
    <mergeCell ref="A223:L223"/>
    <mergeCell ref="A224:L224"/>
    <mergeCell ref="A225:L225"/>
    <mergeCell ref="A226:L226"/>
    <mergeCell ref="A227:L227"/>
    <mergeCell ref="A228:L228"/>
    <mergeCell ref="A229:L229"/>
    <mergeCell ref="A230:L230"/>
    <mergeCell ref="A231:L231"/>
    <mergeCell ref="A233:L233"/>
    <mergeCell ref="A234:L234"/>
    <mergeCell ref="A235:L235"/>
    <mergeCell ref="A236:L236"/>
    <mergeCell ref="A237:L237"/>
    <mergeCell ref="A238:L238"/>
    <mergeCell ref="A239:L239"/>
    <mergeCell ref="A240:L240"/>
    <mergeCell ref="A241:L241"/>
    <mergeCell ref="A243:L243"/>
    <mergeCell ref="A245:L245"/>
    <mergeCell ref="A246:L246"/>
    <mergeCell ref="A247:L247"/>
    <mergeCell ref="A249:L249"/>
    <mergeCell ref="A250:L250"/>
    <mergeCell ref="A251:L251"/>
    <mergeCell ref="A252:L252"/>
    <mergeCell ref="A253:L253"/>
    <mergeCell ref="A254:L254"/>
    <mergeCell ref="A255:L255"/>
    <mergeCell ref="A256:L256"/>
    <mergeCell ref="A257:L257"/>
    <mergeCell ref="A258:L258"/>
    <mergeCell ref="A259:L259"/>
    <mergeCell ref="A260:L260"/>
    <mergeCell ref="A261:L261"/>
    <mergeCell ref="A262:L262"/>
    <mergeCell ref="A263:L263"/>
    <mergeCell ref="A265:L265"/>
    <mergeCell ref="A266:L266"/>
    <mergeCell ref="A267:L267"/>
    <mergeCell ref="A268:L268"/>
    <mergeCell ref="A269:L269"/>
    <mergeCell ref="A270:L270"/>
    <mergeCell ref="A271:L271"/>
    <mergeCell ref="A272:L272"/>
    <mergeCell ref="A273:L273"/>
    <mergeCell ref="A274:L274"/>
    <mergeCell ref="A275:L275"/>
    <mergeCell ref="A276:L276"/>
    <mergeCell ref="A277:L277"/>
    <mergeCell ref="A278:L278"/>
    <mergeCell ref="A279:L279"/>
    <mergeCell ref="A281:L281"/>
    <mergeCell ref="A282:L282"/>
    <mergeCell ref="A283:L283"/>
    <mergeCell ref="A284:L284"/>
    <mergeCell ref="A285:L285"/>
    <mergeCell ref="A286:L286"/>
    <mergeCell ref="A287:L287"/>
    <mergeCell ref="A288:L288"/>
    <mergeCell ref="A289:L289"/>
    <mergeCell ref="A290:L290"/>
    <mergeCell ref="A291:L291"/>
    <mergeCell ref="A292:L292"/>
    <mergeCell ref="A293:L293"/>
    <mergeCell ref="A294:L294"/>
    <mergeCell ref="A295:L295"/>
    <mergeCell ref="A297:L297"/>
    <mergeCell ref="A298:L298"/>
    <mergeCell ref="A299:L299"/>
    <mergeCell ref="A300:L300"/>
    <mergeCell ref="A301:L301"/>
    <mergeCell ref="A302:L302"/>
    <mergeCell ref="A303:L303"/>
    <mergeCell ref="A304:L304"/>
    <mergeCell ref="A305:L305"/>
    <mergeCell ref="A306:L306"/>
    <mergeCell ref="A307:L307"/>
    <mergeCell ref="A308:L308"/>
    <mergeCell ref="A309:L309"/>
    <mergeCell ref="A310:L310"/>
    <mergeCell ref="A311:L311"/>
    <mergeCell ref="A313:L313"/>
    <mergeCell ref="A314:L314"/>
    <mergeCell ref="A315:L315"/>
    <mergeCell ref="A316:L316"/>
    <mergeCell ref="A317:L317"/>
    <mergeCell ref="A318:L318"/>
    <mergeCell ref="A319:L319"/>
    <mergeCell ref="A320:L320"/>
    <mergeCell ref="A321:L321"/>
    <mergeCell ref="A322:L322"/>
    <mergeCell ref="A323:L323"/>
    <mergeCell ref="A324:L324"/>
    <mergeCell ref="A325:L325"/>
    <mergeCell ref="A326:L326"/>
    <mergeCell ref="A327:L327"/>
    <mergeCell ref="A329:L329"/>
    <mergeCell ref="A330:L330"/>
    <mergeCell ref="A331:L331"/>
    <mergeCell ref="A332:L332"/>
    <mergeCell ref="A333:L333"/>
    <mergeCell ref="A334:L334"/>
    <mergeCell ref="A335:L335"/>
    <mergeCell ref="A336:L336"/>
    <mergeCell ref="A337:L337"/>
    <mergeCell ref="A338:L338"/>
    <mergeCell ref="A339:L339"/>
    <mergeCell ref="A340:L340"/>
    <mergeCell ref="A341:L341"/>
    <mergeCell ref="A342:L342"/>
    <mergeCell ref="A343:L343"/>
    <mergeCell ref="A345:L345"/>
    <mergeCell ref="A346:L346"/>
    <mergeCell ref="A347:L347"/>
    <mergeCell ref="A348:L348"/>
    <mergeCell ref="A349:L349"/>
    <mergeCell ref="A350:L350"/>
    <mergeCell ref="A351:L351"/>
    <mergeCell ref="A352:L352"/>
    <mergeCell ref="A353:L353"/>
    <mergeCell ref="A354:L354"/>
    <mergeCell ref="A355:L355"/>
    <mergeCell ref="A356:L356"/>
    <mergeCell ref="A357:L357"/>
    <mergeCell ref="A358:L358"/>
    <mergeCell ref="A359:L359"/>
    <mergeCell ref="A361:L361"/>
    <mergeCell ref="A362:L362"/>
    <mergeCell ref="A363:L363"/>
    <mergeCell ref="A364:L364"/>
    <mergeCell ref="A365:L365"/>
    <mergeCell ref="A366:L366"/>
    <mergeCell ref="A367:L367"/>
    <mergeCell ref="A368:L368"/>
    <mergeCell ref="A369:L369"/>
    <mergeCell ref="A370:L370"/>
    <mergeCell ref="A371:L371"/>
    <mergeCell ref="A372:L372"/>
    <mergeCell ref="A373:L373"/>
    <mergeCell ref="A374:L374"/>
    <mergeCell ref="A375:L375"/>
    <mergeCell ref="A377:L377"/>
    <mergeCell ref="A378:L378"/>
    <mergeCell ref="A379:L379"/>
    <mergeCell ref="A380:L380"/>
    <mergeCell ref="A381:L381"/>
    <mergeCell ref="A382:L382"/>
    <mergeCell ref="A383:L383"/>
    <mergeCell ref="A384:L384"/>
    <mergeCell ref="A385:L385"/>
    <mergeCell ref="A386:L386"/>
    <mergeCell ref="A387:L387"/>
    <mergeCell ref="A388:L388"/>
    <mergeCell ref="A389:L389"/>
    <mergeCell ref="A390:L390"/>
    <mergeCell ref="A391:L391"/>
    <mergeCell ref="A393:L393"/>
    <mergeCell ref="A394:L394"/>
    <mergeCell ref="A395:L395"/>
    <mergeCell ref="A396:L396"/>
    <mergeCell ref="A397:L397"/>
    <mergeCell ref="A398:L398"/>
    <mergeCell ref="A399:L399"/>
    <mergeCell ref="A400:L400"/>
    <mergeCell ref="A401:L401"/>
    <mergeCell ref="A402:L402"/>
    <mergeCell ref="A403:L403"/>
    <mergeCell ref="A404:L404"/>
    <mergeCell ref="A405:L405"/>
    <mergeCell ref="A406:L406"/>
    <mergeCell ref="A407:L407"/>
    <mergeCell ref="A409:L409"/>
    <mergeCell ref="A410:L410"/>
    <mergeCell ref="A411:L411"/>
    <mergeCell ref="A412:L412"/>
    <mergeCell ref="A413:L413"/>
    <mergeCell ref="A414:L414"/>
    <mergeCell ref="A415:L415"/>
    <mergeCell ref="A416:L416"/>
    <mergeCell ref="A418:L418"/>
    <mergeCell ref="A420:L420"/>
    <mergeCell ref="A422:L422"/>
    <mergeCell ref="A439:L439"/>
    <mergeCell ref="A448:L448"/>
    <mergeCell ref="A455:L455"/>
    <mergeCell ref="A472:L472"/>
    <mergeCell ref="A489:L489"/>
    <mergeCell ref="A506:L506"/>
    <mergeCell ref="A523:L523"/>
    <mergeCell ref="A533:L533"/>
    <mergeCell ref="A539:L539"/>
    <mergeCell ref="A556:L556"/>
    <mergeCell ref="A573:L573"/>
    <mergeCell ref="A590:L590"/>
    <mergeCell ref="A607:L607"/>
    <mergeCell ref="A618:L618"/>
    <mergeCell ref="A620:L620"/>
    <mergeCell ref="A621:L621"/>
    <mergeCell ref="A622:L622"/>
    <mergeCell ref="A623:L623"/>
    <mergeCell ref="A625:L625"/>
    <mergeCell ref="A626:L626"/>
    <mergeCell ref="A627:L627"/>
    <mergeCell ref="A628:L628"/>
    <mergeCell ref="A629:L629"/>
    <mergeCell ref="A630:L630"/>
    <mergeCell ref="A631:L631"/>
    <mergeCell ref="A632:L632"/>
    <mergeCell ref="A633:L633"/>
    <mergeCell ref="A634:L634"/>
    <mergeCell ref="A635:L635"/>
    <mergeCell ref="A636:L636"/>
    <mergeCell ref="A637:L637"/>
    <mergeCell ref="A638:L638"/>
    <mergeCell ref="A639:L639"/>
    <mergeCell ref="A641:L641"/>
    <mergeCell ref="A642:L642"/>
    <mergeCell ref="A643:L643"/>
    <mergeCell ref="A644:L644"/>
    <mergeCell ref="A645:L645"/>
    <mergeCell ref="A646:L646"/>
    <mergeCell ref="A647:L647"/>
    <mergeCell ref="A648:L648"/>
    <mergeCell ref="A649:L649"/>
    <mergeCell ref="A650:L650"/>
    <mergeCell ref="A651:L651"/>
    <mergeCell ref="A652:L652"/>
    <mergeCell ref="A653:L653"/>
    <mergeCell ref="A654:L654"/>
    <mergeCell ref="A655:L655"/>
    <mergeCell ref="A657:L657"/>
    <mergeCell ref="A658:L658"/>
    <mergeCell ref="A659:L659"/>
    <mergeCell ref="A660:L660"/>
    <mergeCell ref="A661:L661"/>
    <mergeCell ref="A662:L662"/>
    <mergeCell ref="A663:L663"/>
    <mergeCell ref="A664:L664"/>
    <mergeCell ref="A665:L665"/>
    <mergeCell ref="A666:L666"/>
    <mergeCell ref="A667:L667"/>
    <mergeCell ref="A668:L668"/>
    <mergeCell ref="A669:L669"/>
    <mergeCell ref="A670:L670"/>
    <mergeCell ref="A671:L671"/>
    <mergeCell ref="A673:L673"/>
    <mergeCell ref="A674:L674"/>
    <mergeCell ref="A675:L675"/>
    <mergeCell ref="A676:L676"/>
    <mergeCell ref="A677:L677"/>
    <mergeCell ref="A678:L678"/>
    <mergeCell ref="A679:L679"/>
    <mergeCell ref="A680:L680"/>
    <mergeCell ref="A681:L681"/>
    <mergeCell ref="A682:L682"/>
    <mergeCell ref="A683:L683"/>
    <mergeCell ref="A684:L684"/>
    <mergeCell ref="A685:L685"/>
    <mergeCell ref="A686:L686"/>
    <mergeCell ref="A687:L687"/>
    <mergeCell ref="A689:L689"/>
    <mergeCell ref="A690:L690"/>
    <mergeCell ref="A691:L691"/>
    <mergeCell ref="A692:L692"/>
    <mergeCell ref="A693:L693"/>
    <mergeCell ref="A694:L694"/>
    <mergeCell ref="A695:L695"/>
    <mergeCell ref="A696:L696"/>
    <mergeCell ref="A697:L697"/>
    <mergeCell ref="A698:L698"/>
    <mergeCell ref="A699:L699"/>
    <mergeCell ref="A700:L700"/>
    <mergeCell ref="A701:L701"/>
    <mergeCell ref="A703:L703"/>
    <mergeCell ref="A720:L720"/>
    <mergeCell ref="A728:L728"/>
    <mergeCell ref="A730:L730"/>
    <mergeCell ref="A736:L736"/>
    <mergeCell ref="A753:L753"/>
    <mergeCell ref="A770:L770"/>
    <mergeCell ref="A787:L787"/>
    <mergeCell ref="A804:L804"/>
    <mergeCell ref="A815:L815"/>
    <mergeCell ref="A820:L820"/>
    <mergeCell ref="A837:L837"/>
    <mergeCell ref="A854:L854"/>
    <mergeCell ref="A871:L871"/>
    <mergeCell ref="A888:L888"/>
    <mergeCell ref="A905:L905"/>
    <mergeCell ref="A920:L920"/>
    <mergeCell ref="A930:L930"/>
    <mergeCell ref="A937:L937"/>
    <mergeCell ref="A944:L944"/>
    <mergeCell ref="A951:L951"/>
    <mergeCell ref="A958:L958"/>
    <mergeCell ref="A971:L971"/>
    <mergeCell ref="A984:L984"/>
    <mergeCell ref="A992:L992"/>
    <mergeCell ref="A999:L999"/>
    <mergeCell ref="A1006:L1006"/>
    <mergeCell ref="A1013:L1013"/>
    <mergeCell ref="A1020:L1020"/>
    <mergeCell ref="A1033:L1033"/>
    <mergeCell ref="A1047:L1047"/>
    <mergeCell ref="A1055:L1055"/>
    <mergeCell ref="A1062:L1062"/>
    <mergeCell ref="A1069:L1069"/>
    <mergeCell ref="A1076:L1076"/>
    <mergeCell ref="A1083:L1083"/>
    <mergeCell ref="A1098:L1098"/>
    <mergeCell ref="A1107:L1107"/>
    <mergeCell ref="A1110:L1110"/>
    <mergeCell ref="A1112:L1112"/>
    <mergeCell ref="A1129:L1129"/>
    <mergeCell ref="A1138:L1138"/>
    <mergeCell ref="A1145:L1145"/>
    <mergeCell ref="A1162:L1162"/>
    <mergeCell ref="A1172:L1172"/>
    <mergeCell ref="A1178:L1178"/>
    <mergeCell ref="A1195:L1195"/>
    <mergeCell ref="A1212:L1212"/>
    <mergeCell ref="A1229:L1229"/>
    <mergeCell ref="A1246:L1246"/>
    <mergeCell ref="A1260:L1260"/>
    <mergeCell ref="A1277:L1277"/>
    <mergeCell ref="A1294:L1294"/>
    <mergeCell ref="A1311:L1311"/>
    <mergeCell ref="A1328:L1328"/>
    <mergeCell ref="A1345:L1345"/>
    <mergeCell ref="A1362:L1362"/>
    <mergeCell ref="A1374:L1374"/>
    <mergeCell ref="A1379:L1379"/>
    <mergeCell ref="A1390:L1390"/>
    <mergeCell ref="A1402:L1402"/>
    <mergeCell ref="A1409:L1409"/>
    <mergeCell ref="A1418:L1418"/>
    <mergeCell ref="A1430:L1430"/>
    <mergeCell ref="A1439:L1439"/>
    <mergeCell ref="A1446:L1446"/>
    <mergeCell ref="A1458:L1458"/>
    <mergeCell ref="A1470:L1470"/>
    <mergeCell ref="A1486:L1486"/>
    <mergeCell ref="A1502:L1502"/>
    <mergeCell ref="A1518:L1518"/>
    <mergeCell ref="A1534:L1534"/>
    <mergeCell ref="A1541:L1541"/>
    <mergeCell ref="A1550:L1550"/>
    <mergeCell ref="A1567:L1567"/>
    <mergeCell ref="A1584:L1584"/>
    <mergeCell ref="A1601:L1601"/>
    <mergeCell ref="A1612:L1612"/>
    <mergeCell ref="A1617:L1617"/>
    <mergeCell ref="A1634:L1634"/>
    <mergeCell ref="A1651:L1651"/>
    <mergeCell ref="A1668:L1668"/>
    <mergeCell ref="A1683:L1683"/>
    <mergeCell ref="A1685:L1685"/>
    <mergeCell ref="A1686:L1686"/>
    <mergeCell ref="A1687:L1687"/>
    <mergeCell ref="A1688:L1688"/>
    <mergeCell ref="A1689:L1689"/>
    <mergeCell ref="A1690:L1690"/>
    <mergeCell ref="A1691:L1691"/>
    <mergeCell ref="A1692:L1692"/>
    <mergeCell ref="A1693:L1693"/>
    <mergeCell ref="A1694:L1694"/>
    <mergeCell ref="A1695:L1695"/>
    <mergeCell ref="A1696:L1696"/>
    <mergeCell ref="A1697:L1697"/>
    <mergeCell ref="A1698:L1698"/>
    <mergeCell ref="A1699:L1699"/>
    <mergeCell ref="A1701:L1701"/>
    <mergeCell ref="A1702:L1702"/>
    <mergeCell ref="A1703:L1703"/>
    <mergeCell ref="A1704:L1704"/>
    <mergeCell ref="A1705:L1705"/>
    <mergeCell ref="A1706:L1706"/>
    <mergeCell ref="A1707:L1707"/>
    <mergeCell ref="A1708:L1708"/>
    <mergeCell ref="A1709:L1709"/>
    <mergeCell ref="A1710:L1710"/>
    <mergeCell ref="A1711:L1711"/>
    <mergeCell ref="A1712:L1712"/>
    <mergeCell ref="A1713:L1713"/>
    <mergeCell ref="A1714:L1714"/>
    <mergeCell ref="A1715:L1715"/>
    <mergeCell ref="A1717:L1717"/>
    <mergeCell ref="A1718:L1718"/>
    <mergeCell ref="A1719:L1719"/>
    <mergeCell ref="A1720:L1720"/>
    <mergeCell ref="A1721:L1721"/>
    <mergeCell ref="A1722:L1722"/>
    <mergeCell ref="A1723:L1723"/>
    <mergeCell ref="A1724:L1724"/>
    <mergeCell ref="A1725:L1725"/>
    <mergeCell ref="A1726:L1726"/>
    <mergeCell ref="A1727:L1727"/>
    <mergeCell ref="A1728:L1728"/>
    <mergeCell ref="A1729:L1729"/>
    <mergeCell ref="A1730:L1730"/>
    <mergeCell ref="A1731:L1731"/>
    <mergeCell ref="A1733:L1733"/>
    <mergeCell ref="A1734:L1734"/>
    <mergeCell ref="A1735:L1735"/>
    <mergeCell ref="A1736:L1736"/>
    <mergeCell ref="A1737:L1737"/>
    <mergeCell ref="A1738:L1738"/>
    <mergeCell ref="A1739:L1739"/>
    <mergeCell ref="A1740:L1740"/>
    <mergeCell ref="A1741:L1741"/>
    <mergeCell ref="A1742:L1742"/>
    <mergeCell ref="A1743:L1743"/>
    <mergeCell ref="A1744:L1744"/>
    <mergeCell ref="A1745:L1745"/>
    <mergeCell ref="A1746:L1746"/>
    <mergeCell ref="A1747:L1747"/>
    <mergeCell ref="A1749:L1749"/>
    <mergeCell ref="A1750:L1750"/>
    <mergeCell ref="A1751:L1751"/>
    <mergeCell ref="A1752:L1752"/>
    <mergeCell ref="A1754:L1754"/>
    <mergeCell ref="A1760:L1760"/>
    <mergeCell ref="A1775:L1775"/>
    <mergeCell ref="A1781:L1781"/>
    <mergeCell ref="A1787:L1787"/>
    <mergeCell ref="A1791:L1791"/>
    <mergeCell ref="A1803:L1803"/>
    <mergeCell ref="A1804:L1804"/>
  </mergeCells>
  <conditionalFormatting sqref="E1376">
    <cfRule type="cellIs" dxfId="0" priority="217" operator="notEqual">
      <formula>0</formula>
    </cfRule>
  </conditionalFormatting>
  <conditionalFormatting sqref="E1377">
    <cfRule type="cellIs" dxfId="0" priority="219" operator="notEqual">
      <formula>0</formula>
    </cfRule>
  </conditionalFormatting>
  <conditionalFormatting sqref="E1378">
    <cfRule type="cellIs" dxfId="0" priority="221" operator="notEqual">
      <formula>0</formula>
    </cfRule>
  </conditionalFormatting>
  <conditionalFormatting sqref="E1381">
    <cfRule type="cellIs" dxfId="0" priority="223" operator="notEqual">
      <formula>0</formula>
    </cfRule>
  </conditionalFormatting>
  <conditionalFormatting sqref="E1382">
    <cfRule type="cellIs" dxfId="0" priority="225" operator="notEqual">
      <formula>0</formula>
    </cfRule>
  </conditionalFormatting>
  <conditionalFormatting sqref="E1383">
    <cfRule type="cellIs" dxfId="0" priority="227" operator="notEqual">
      <formula>0</formula>
    </cfRule>
  </conditionalFormatting>
  <conditionalFormatting sqref="E1384">
    <cfRule type="cellIs" dxfId="0" priority="229" operator="notEqual">
      <formula>0</formula>
    </cfRule>
  </conditionalFormatting>
  <conditionalFormatting sqref="E1385">
    <cfRule type="cellIs" dxfId="0" priority="231" operator="notEqual">
      <formula>0</formula>
    </cfRule>
  </conditionalFormatting>
  <conditionalFormatting sqref="E1386">
    <cfRule type="cellIs" dxfId="0" priority="233" operator="notEqual">
      <formula>0</formula>
    </cfRule>
  </conditionalFormatting>
  <conditionalFormatting sqref="E1387">
    <cfRule type="cellIs" dxfId="0" priority="235" operator="notEqual">
      <formula>0</formula>
    </cfRule>
  </conditionalFormatting>
  <conditionalFormatting sqref="E1388">
    <cfRule type="cellIs" dxfId="0" priority="237" operator="notEqual">
      <formula>0</formula>
    </cfRule>
  </conditionalFormatting>
  <conditionalFormatting sqref="E1389">
    <cfRule type="cellIs" dxfId="0" priority="239" operator="notEqual">
      <formula>0</formula>
    </cfRule>
  </conditionalFormatting>
  <conditionalFormatting sqref="E1392">
    <cfRule type="cellIs" dxfId="0" priority="241" operator="notEqual">
      <formula>0</formula>
    </cfRule>
  </conditionalFormatting>
  <conditionalFormatting sqref="E1393">
    <cfRule type="cellIs" dxfId="0" priority="243" operator="notEqual">
      <formula>0</formula>
    </cfRule>
  </conditionalFormatting>
  <conditionalFormatting sqref="E1394">
    <cfRule type="cellIs" dxfId="0" priority="245" operator="notEqual">
      <formula>0</formula>
    </cfRule>
  </conditionalFormatting>
  <conditionalFormatting sqref="E1395">
    <cfRule type="cellIs" dxfId="0" priority="247" operator="notEqual">
      <formula>0</formula>
    </cfRule>
  </conditionalFormatting>
  <conditionalFormatting sqref="E1396">
    <cfRule type="cellIs" dxfId="0" priority="249" operator="notEqual">
      <formula>0</formula>
    </cfRule>
  </conditionalFormatting>
  <conditionalFormatting sqref="E1397">
    <cfRule type="cellIs" dxfId="0" priority="251" operator="notEqual">
      <formula>0</formula>
    </cfRule>
  </conditionalFormatting>
  <conditionalFormatting sqref="E1398">
    <cfRule type="cellIs" dxfId="0" priority="253" operator="notEqual">
      <formula>0</formula>
    </cfRule>
  </conditionalFormatting>
  <conditionalFormatting sqref="E1399">
    <cfRule type="cellIs" dxfId="0" priority="255" operator="notEqual">
      <formula>0</formula>
    </cfRule>
  </conditionalFormatting>
  <conditionalFormatting sqref="E1400">
    <cfRule type="cellIs" dxfId="0" priority="257" operator="notEqual">
      <formula>0</formula>
    </cfRule>
  </conditionalFormatting>
  <conditionalFormatting sqref="E1401">
    <cfRule type="cellIs" dxfId="0" priority="259" operator="notEqual">
      <formula>0</formula>
    </cfRule>
  </conditionalFormatting>
  <conditionalFormatting sqref="E1404">
    <cfRule type="cellIs" dxfId="0" priority="261" operator="notEqual">
      <formula>0</formula>
    </cfRule>
  </conditionalFormatting>
  <conditionalFormatting sqref="E1405">
    <cfRule type="cellIs" dxfId="0" priority="263" operator="notEqual">
      <formula>0</formula>
    </cfRule>
  </conditionalFormatting>
  <conditionalFormatting sqref="E1406">
    <cfRule type="cellIs" dxfId="0" priority="265" operator="notEqual">
      <formula>0</formula>
    </cfRule>
  </conditionalFormatting>
  <conditionalFormatting sqref="E1407">
    <cfRule type="cellIs" dxfId="0" priority="267" operator="notEqual">
      <formula>0</formula>
    </cfRule>
  </conditionalFormatting>
  <conditionalFormatting sqref="E1408">
    <cfRule type="cellIs" dxfId="0" priority="269" operator="notEqual">
      <formula>0</formula>
    </cfRule>
  </conditionalFormatting>
  <conditionalFormatting sqref="E1411">
    <cfRule type="cellIs" dxfId="0" priority="271" operator="notEqual">
      <formula>0</formula>
    </cfRule>
  </conditionalFormatting>
  <conditionalFormatting sqref="E1412">
    <cfRule type="cellIs" dxfId="0" priority="273" operator="notEqual">
      <formula>0</formula>
    </cfRule>
  </conditionalFormatting>
  <conditionalFormatting sqref="E1413">
    <cfRule type="cellIs" dxfId="0" priority="275" operator="notEqual">
      <formula>0</formula>
    </cfRule>
  </conditionalFormatting>
  <conditionalFormatting sqref="E1414">
    <cfRule type="cellIs" dxfId="0" priority="277" operator="notEqual">
      <formula>0</formula>
    </cfRule>
  </conditionalFormatting>
  <conditionalFormatting sqref="E1415">
    <cfRule type="cellIs" dxfId="0" priority="279" operator="notEqual">
      <formula>0</formula>
    </cfRule>
  </conditionalFormatting>
  <conditionalFormatting sqref="E1416">
    <cfRule type="cellIs" dxfId="0" priority="281" operator="notEqual">
      <formula>0</formula>
    </cfRule>
  </conditionalFormatting>
  <conditionalFormatting sqref="E1417">
    <cfRule type="cellIs" dxfId="0" priority="283" operator="notEqual">
      <formula>0</formula>
    </cfRule>
  </conditionalFormatting>
  <conditionalFormatting sqref="E1420">
    <cfRule type="cellIs" dxfId="0" priority="285" operator="notEqual">
      <formula>0</formula>
    </cfRule>
  </conditionalFormatting>
  <conditionalFormatting sqref="E1421">
    <cfRule type="cellIs" dxfId="0" priority="287" operator="notEqual">
      <formula>0</formula>
    </cfRule>
  </conditionalFormatting>
  <conditionalFormatting sqref="E1422">
    <cfRule type="cellIs" dxfId="0" priority="289" operator="notEqual">
      <formula>0</formula>
    </cfRule>
  </conditionalFormatting>
  <conditionalFormatting sqref="E1423">
    <cfRule type="cellIs" dxfId="0" priority="291" operator="notEqual">
      <formula>0</formula>
    </cfRule>
  </conditionalFormatting>
  <conditionalFormatting sqref="E1424">
    <cfRule type="cellIs" dxfId="0" priority="293" operator="notEqual">
      <formula>0</formula>
    </cfRule>
  </conditionalFormatting>
  <conditionalFormatting sqref="E1425">
    <cfRule type="cellIs" dxfId="0" priority="295" operator="notEqual">
      <formula>0</formula>
    </cfRule>
  </conditionalFormatting>
  <conditionalFormatting sqref="E1426">
    <cfRule type="cellIs" dxfId="0" priority="297" operator="notEqual">
      <formula>0</formula>
    </cfRule>
  </conditionalFormatting>
  <conditionalFormatting sqref="E1427">
    <cfRule type="cellIs" dxfId="0" priority="299" operator="notEqual">
      <formula>0</formula>
    </cfRule>
  </conditionalFormatting>
  <conditionalFormatting sqref="E1428">
    <cfRule type="cellIs" dxfId="0" priority="301" operator="notEqual">
      <formula>0</formula>
    </cfRule>
  </conditionalFormatting>
  <conditionalFormatting sqref="E1429">
    <cfRule type="cellIs" dxfId="0" priority="303" operator="notEqual">
      <formula>0</formula>
    </cfRule>
  </conditionalFormatting>
  <conditionalFormatting sqref="E1432">
    <cfRule type="cellIs" dxfId="0" priority="305" operator="notEqual">
      <formula>0</formula>
    </cfRule>
  </conditionalFormatting>
  <conditionalFormatting sqref="E1433">
    <cfRule type="cellIs" dxfId="0" priority="307" operator="notEqual">
      <formula>0</formula>
    </cfRule>
  </conditionalFormatting>
  <conditionalFormatting sqref="E1434">
    <cfRule type="cellIs" dxfId="0" priority="309" operator="notEqual">
      <formula>0</formula>
    </cfRule>
  </conditionalFormatting>
  <conditionalFormatting sqref="E1435">
    <cfRule type="cellIs" dxfId="0" priority="311" operator="notEqual">
      <formula>0</formula>
    </cfRule>
  </conditionalFormatting>
  <conditionalFormatting sqref="E1436">
    <cfRule type="cellIs" dxfId="0" priority="313" operator="notEqual">
      <formula>0</formula>
    </cfRule>
  </conditionalFormatting>
  <conditionalFormatting sqref="E1437">
    <cfRule type="cellIs" dxfId="0" priority="315" operator="notEqual">
      <formula>0</formula>
    </cfRule>
  </conditionalFormatting>
  <conditionalFormatting sqref="E1438">
    <cfRule type="cellIs" dxfId="0" priority="317" operator="notEqual">
      <formula>0</formula>
    </cfRule>
  </conditionalFormatting>
  <conditionalFormatting sqref="E1441">
    <cfRule type="cellIs" dxfId="0" priority="319" operator="notEqual">
      <formula>0</formula>
    </cfRule>
  </conditionalFormatting>
  <conditionalFormatting sqref="E1442">
    <cfRule type="cellIs" dxfId="0" priority="321" operator="notEqual">
      <formula>0</formula>
    </cfRule>
  </conditionalFormatting>
  <conditionalFormatting sqref="E1443">
    <cfRule type="cellIs" dxfId="0" priority="323" operator="notEqual">
      <formula>0</formula>
    </cfRule>
  </conditionalFormatting>
  <conditionalFormatting sqref="E1444">
    <cfRule type="cellIs" dxfId="0" priority="325" operator="notEqual">
      <formula>0</formula>
    </cfRule>
  </conditionalFormatting>
  <conditionalFormatting sqref="E1445">
    <cfRule type="cellIs" dxfId="0" priority="327" operator="notEqual">
      <formula>0</formula>
    </cfRule>
  </conditionalFormatting>
  <conditionalFormatting sqref="E1448">
    <cfRule type="cellIs" dxfId="0" priority="329" operator="notEqual">
      <formula>0</formula>
    </cfRule>
  </conditionalFormatting>
  <conditionalFormatting sqref="E1449">
    <cfRule type="cellIs" dxfId="0" priority="331" operator="notEqual">
      <formula>0</formula>
    </cfRule>
  </conditionalFormatting>
  <conditionalFormatting sqref="E1450">
    <cfRule type="cellIs" dxfId="0" priority="333" operator="notEqual">
      <formula>0</formula>
    </cfRule>
  </conditionalFormatting>
  <conditionalFormatting sqref="E1451">
    <cfRule type="cellIs" dxfId="0" priority="335" operator="notEqual">
      <formula>0</formula>
    </cfRule>
  </conditionalFormatting>
  <conditionalFormatting sqref="E1452">
    <cfRule type="cellIs" dxfId="0" priority="337" operator="notEqual">
      <formula>0</formula>
    </cfRule>
  </conditionalFormatting>
  <conditionalFormatting sqref="E1453">
    <cfRule type="cellIs" dxfId="0" priority="339" operator="notEqual">
      <formula>0</formula>
    </cfRule>
  </conditionalFormatting>
  <conditionalFormatting sqref="E1454">
    <cfRule type="cellIs" dxfId="0" priority="341" operator="notEqual">
      <formula>0</formula>
    </cfRule>
  </conditionalFormatting>
  <conditionalFormatting sqref="E1455">
    <cfRule type="cellIs" dxfId="0" priority="343" operator="notEqual">
      <formula>0</formula>
    </cfRule>
  </conditionalFormatting>
  <conditionalFormatting sqref="E1456">
    <cfRule type="cellIs" dxfId="0" priority="345" operator="notEqual">
      <formula>0</formula>
    </cfRule>
  </conditionalFormatting>
  <conditionalFormatting sqref="E1457">
    <cfRule type="cellIs" dxfId="0" priority="347" operator="notEqual">
      <formula>0</formula>
    </cfRule>
  </conditionalFormatting>
  <conditionalFormatting sqref="E1460">
    <cfRule type="cellIs" dxfId="0" priority="349" operator="notEqual">
      <formula>0</formula>
    </cfRule>
  </conditionalFormatting>
  <conditionalFormatting sqref="E1461">
    <cfRule type="cellIs" dxfId="0" priority="351" operator="notEqual">
      <formula>0</formula>
    </cfRule>
  </conditionalFormatting>
  <conditionalFormatting sqref="E1462">
    <cfRule type="cellIs" dxfId="0" priority="353" operator="notEqual">
      <formula>0</formula>
    </cfRule>
  </conditionalFormatting>
  <conditionalFormatting sqref="E1463">
    <cfRule type="cellIs" dxfId="0" priority="355" operator="notEqual">
      <formula>0</formula>
    </cfRule>
  </conditionalFormatting>
  <conditionalFormatting sqref="E1464">
    <cfRule type="cellIs" dxfId="0" priority="357" operator="notEqual">
      <formula>0</formula>
    </cfRule>
  </conditionalFormatting>
  <conditionalFormatting sqref="E1465">
    <cfRule type="cellIs" dxfId="0" priority="359" operator="notEqual">
      <formula>0</formula>
    </cfRule>
  </conditionalFormatting>
  <conditionalFormatting sqref="E1466">
    <cfRule type="cellIs" dxfId="0" priority="361" operator="notEqual">
      <formula>0</formula>
    </cfRule>
  </conditionalFormatting>
  <conditionalFormatting sqref="E1467">
    <cfRule type="cellIs" dxfId="0" priority="363" operator="notEqual">
      <formula>0</formula>
    </cfRule>
  </conditionalFormatting>
  <conditionalFormatting sqref="E1468">
    <cfRule type="cellIs" dxfId="0" priority="365" operator="notEqual">
      <formula>0</formula>
    </cfRule>
  </conditionalFormatting>
  <conditionalFormatting sqref="H1376">
    <cfRule type="cellIs" dxfId="0" priority="218" operator="notEqual">
      <formula>0</formula>
    </cfRule>
  </conditionalFormatting>
  <conditionalFormatting sqref="H1377">
    <cfRule type="cellIs" dxfId="0" priority="220" operator="notEqual">
      <formula>0</formula>
    </cfRule>
  </conditionalFormatting>
  <conditionalFormatting sqref="H1378">
    <cfRule type="cellIs" dxfId="0" priority="222" operator="notEqual">
      <formula>0</formula>
    </cfRule>
  </conditionalFormatting>
  <conditionalFormatting sqref="H1381">
    <cfRule type="cellIs" dxfId="0" priority="224" operator="notEqual">
      <formula>0</formula>
    </cfRule>
  </conditionalFormatting>
  <conditionalFormatting sqref="H1382">
    <cfRule type="cellIs" dxfId="0" priority="226" operator="notEqual">
      <formula>0</formula>
    </cfRule>
  </conditionalFormatting>
  <conditionalFormatting sqref="H1383">
    <cfRule type="cellIs" dxfId="0" priority="228" operator="notEqual">
      <formula>0</formula>
    </cfRule>
  </conditionalFormatting>
  <conditionalFormatting sqref="H1384">
    <cfRule type="cellIs" dxfId="0" priority="230" operator="notEqual">
      <formula>0</formula>
    </cfRule>
  </conditionalFormatting>
  <conditionalFormatting sqref="H1385">
    <cfRule type="cellIs" dxfId="0" priority="232" operator="notEqual">
      <formula>0</formula>
    </cfRule>
  </conditionalFormatting>
  <conditionalFormatting sqref="H1386">
    <cfRule type="cellIs" dxfId="0" priority="234" operator="notEqual">
      <formula>0</formula>
    </cfRule>
  </conditionalFormatting>
  <conditionalFormatting sqref="H1387">
    <cfRule type="cellIs" dxfId="0" priority="236" operator="notEqual">
      <formula>0</formula>
    </cfRule>
  </conditionalFormatting>
  <conditionalFormatting sqref="H1388">
    <cfRule type="cellIs" dxfId="0" priority="238" operator="notEqual">
      <formula>0</formula>
    </cfRule>
  </conditionalFormatting>
  <conditionalFormatting sqref="H1389">
    <cfRule type="cellIs" dxfId="0" priority="240" operator="notEqual">
      <formula>0</formula>
    </cfRule>
  </conditionalFormatting>
  <conditionalFormatting sqref="H1392">
    <cfRule type="cellIs" dxfId="0" priority="242" operator="notEqual">
      <formula>0</formula>
    </cfRule>
  </conditionalFormatting>
  <conditionalFormatting sqref="H1393">
    <cfRule type="cellIs" dxfId="0" priority="244" operator="notEqual">
      <formula>0</formula>
    </cfRule>
  </conditionalFormatting>
  <conditionalFormatting sqref="H1394">
    <cfRule type="cellIs" dxfId="0" priority="246" operator="notEqual">
      <formula>0</formula>
    </cfRule>
  </conditionalFormatting>
  <conditionalFormatting sqref="H1395">
    <cfRule type="cellIs" dxfId="0" priority="248" operator="notEqual">
      <formula>0</formula>
    </cfRule>
  </conditionalFormatting>
  <conditionalFormatting sqref="H1396">
    <cfRule type="cellIs" dxfId="0" priority="250" operator="notEqual">
      <formula>0</formula>
    </cfRule>
  </conditionalFormatting>
  <conditionalFormatting sqref="H1397">
    <cfRule type="cellIs" dxfId="0" priority="252" operator="notEqual">
      <formula>0</formula>
    </cfRule>
  </conditionalFormatting>
  <conditionalFormatting sqref="H1398">
    <cfRule type="cellIs" dxfId="0" priority="254" operator="notEqual">
      <formula>0</formula>
    </cfRule>
  </conditionalFormatting>
  <conditionalFormatting sqref="H1399">
    <cfRule type="cellIs" dxfId="0" priority="256" operator="notEqual">
      <formula>0</formula>
    </cfRule>
  </conditionalFormatting>
  <conditionalFormatting sqref="H1400">
    <cfRule type="cellIs" dxfId="0" priority="258" operator="notEqual">
      <formula>0</formula>
    </cfRule>
  </conditionalFormatting>
  <conditionalFormatting sqref="H1401">
    <cfRule type="cellIs" dxfId="0" priority="260" operator="notEqual">
      <formula>0</formula>
    </cfRule>
  </conditionalFormatting>
  <conditionalFormatting sqref="H1404">
    <cfRule type="cellIs" dxfId="0" priority="262" operator="notEqual">
      <formula>0</formula>
    </cfRule>
  </conditionalFormatting>
  <conditionalFormatting sqref="H1405">
    <cfRule type="cellIs" dxfId="0" priority="264" operator="notEqual">
      <formula>0</formula>
    </cfRule>
  </conditionalFormatting>
  <conditionalFormatting sqref="H1406">
    <cfRule type="cellIs" dxfId="0" priority="266" operator="notEqual">
      <formula>0</formula>
    </cfRule>
  </conditionalFormatting>
  <conditionalFormatting sqref="H1407">
    <cfRule type="cellIs" dxfId="0" priority="268" operator="notEqual">
      <formula>0</formula>
    </cfRule>
  </conditionalFormatting>
  <conditionalFormatting sqref="H1408">
    <cfRule type="cellIs" dxfId="0" priority="270" operator="notEqual">
      <formula>0</formula>
    </cfRule>
  </conditionalFormatting>
  <conditionalFormatting sqref="H1411">
    <cfRule type="cellIs" dxfId="0" priority="272" operator="notEqual">
      <formula>0</formula>
    </cfRule>
  </conditionalFormatting>
  <conditionalFormatting sqref="H1412">
    <cfRule type="cellIs" dxfId="0" priority="274" operator="notEqual">
      <formula>0</formula>
    </cfRule>
  </conditionalFormatting>
  <conditionalFormatting sqref="H1413">
    <cfRule type="cellIs" dxfId="0" priority="276" operator="notEqual">
      <formula>0</formula>
    </cfRule>
  </conditionalFormatting>
  <conditionalFormatting sqref="H1414">
    <cfRule type="cellIs" dxfId="0" priority="278" operator="notEqual">
      <formula>0</formula>
    </cfRule>
  </conditionalFormatting>
  <conditionalFormatting sqref="H1415">
    <cfRule type="cellIs" dxfId="0" priority="280" operator="notEqual">
      <formula>0</formula>
    </cfRule>
  </conditionalFormatting>
  <conditionalFormatting sqref="H1416">
    <cfRule type="cellIs" dxfId="0" priority="282" operator="notEqual">
      <formula>0</formula>
    </cfRule>
  </conditionalFormatting>
  <conditionalFormatting sqref="H1417">
    <cfRule type="cellIs" dxfId="0" priority="284" operator="notEqual">
      <formula>0</formula>
    </cfRule>
  </conditionalFormatting>
  <conditionalFormatting sqref="H1420">
    <cfRule type="cellIs" dxfId="0" priority="286" operator="notEqual">
      <formula>0</formula>
    </cfRule>
  </conditionalFormatting>
  <conditionalFormatting sqref="H1421">
    <cfRule type="cellIs" dxfId="0" priority="288" operator="notEqual">
      <formula>0</formula>
    </cfRule>
  </conditionalFormatting>
  <conditionalFormatting sqref="H1422">
    <cfRule type="cellIs" dxfId="0" priority="290" operator="notEqual">
      <formula>0</formula>
    </cfRule>
  </conditionalFormatting>
  <conditionalFormatting sqref="H1423">
    <cfRule type="cellIs" dxfId="0" priority="292" operator="notEqual">
      <formula>0</formula>
    </cfRule>
  </conditionalFormatting>
  <conditionalFormatting sqref="H1424">
    <cfRule type="cellIs" dxfId="0" priority="294" operator="notEqual">
      <formula>0</formula>
    </cfRule>
  </conditionalFormatting>
  <conditionalFormatting sqref="H1425">
    <cfRule type="cellIs" dxfId="0" priority="296" operator="notEqual">
      <formula>0</formula>
    </cfRule>
  </conditionalFormatting>
  <conditionalFormatting sqref="H1426">
    <cfRule type="cellIs" dxfId="0" priority="298" operator="notEqual">
      <formula>0</formula>
    </cfRule>
  </conditionalFormatting>
  <conditionalFormatting sqref="H1427">
    <cfRule type="cellIs" dxfId="0" priority="300" operator="notEqual">
      <formula>0</formula>
    </cfRule>
  </conditionalFormatting>
  <conditionalFormatting sqref="H1428">
    <cfRule type="cellIs" dxfId="0" priority="302" operator="notEqual">
      <formula>0</formula>
    </cfRule>
  </conditionalFormatting>
  <conditionalFormatting sqref="H1429">
    <cfRule type="cellIs" dxfId="0" priority="304" operator="notEqual">
      <formula>0</formula>
    </cfRule>
  </conditionalFormatting>
  <conditionalFormatting sqref="H1432">
    <cfRule type="cellIs" dxfId="0" priority="306" operator="notEqual">
      <formula>0</formula>
    </cfRule>
  </conditionalFormatting>
  <conditionalFormatting sqref="H1433">
    <cfRule type="cellIs" dxfId="0" priority="308" operator="notEqual">
      <formula>0</formula>
    </cfRule>
  </conditionalFormatting>
  <conditionalFormatting sqref="H1434">
    <cfRule type="cellIs" dxfId="0" priority="310" operator="notEqual">
      <formula>0</formula>
    </cfRule>
  </conditionalFormatting>
  <conditionalFormatting sqref="H1435">
    <cfRule type="cellIs" dxfId="0" priority="312" operator="notEqual">
      <formula>0</formula>
    </cfRule>
  </conditionalFormatting>
  <conditionalFormatting sqref="H1436">
    <cfRule type="cellIs" dxfId="0" priority="314" operator="notEqual">
      <formula>0</formula>
    </cfRule>
  </conditionalFormatting>
  <conditionalFormatting sqref="H1437">
    <cfRule type="cellIs" dxfId="0" priority="316" operator="notEqual">
      <formula>0</formula>
    </cfRule>
  </conditionalFormatting>
  <conditionalFormatting sqref="H1438">
    <cfRule type="cellIs" dxfId="0" priority="318" operator="notEqual">
      <formula>0</formula>
    </cfRule>
  </conditionalFormatting>
  <conditionalFormatting sqref="H1441">
    <cfRule type="cellIs" dxfId="0" priority="320" operator="notEqual">
      <formula>0</formula>
    </cfRule>
  </conditionalFormatting>
  <conditionalFormatting sqref="H1442">
    <cfRule type="cellIs" dxfId="0" priority="322" operator="notEqual">
      <formula>0</formula>
    </cfRule>
  </conditionalFormatting>
  <conditionalFormatting sqref="H1443">
    <cfRule type="cellIs" dxfId="0" priority="324" operator="notEqual">
      <formula>0</formula>
    </cfRule>
  </conditionalFormatting>
  <conditionalFormatting sqref="H1444">
    <cfRule type="cellIs" dxfId="0" priority="326" operator="notEqual">
      <formula>0</formula>
    </cfRule>
  </conditionalFormatting>
  <conditionalFormatting sqref="H1445">
    <cfRule type="cellIs" dxfId="0" priority="328" operator="notEqual">
      <formula>0</formula>
    </cfRule>
  </conditionalFormatting>
  <conditionalFormatting sqref="H1448">
    <cfRule type="cellIs" dxfId="0" priority="330" operator="notEqual">
      <formula>0</formula>
    </cfRule>
  </conditionalFormatting>
  <conditionalFormatting sqref="H1449">
    <cfRule type="cellIs" dxfId="0" priority="332" operator="notEqual">
      <formula>0</formula>
    </cfRule>
  </conditionalFormatting>
  <conditionalFormatting sqref="H1450">
    <cfRule type="cellIs" dxfId="0" priority="334" operator="notEqual">
      <formula>0</formula>
    </cfRule>
  </conditionalFormatting>
  <conditionalFormatting sqref="H1451">
    <cfRule type="cellIs" dxfId="0" priority="336" operator="notEqual">
      <formula>0</formula>
    </cfRule>
  </conditionalFormatting>
  <conditionalFormatting sqref="H1452">
    <cfRule type="cellIs" dxfId="0" priority="338" operator="notEqual">
      <formula>0</formula>
    </cfRule>
  </conditionalFormatting>
  <conditionalFormatting sqref="H1453">
    <cfRule type="cellIs" dxfId="0" priority="340" operator="notEqual">
      <formula>0</formula>
    </cfRule>
  </conditionalFormatting>
  <conditionalFormatting sqref="H1454">
    <cfRule type="cellIs" dxfId="0" priority="342" operator="notEqual">
      <formula>0</formula>
    </cfRule>
  </conditionalFormatting>
  <conditionalFormatting sqref="H1455">
    <cfRule type="cellIs" dxfId="0" priority="344" operator="notEqual">
      <formula>0</formula>
    </cfRule>
  </conditionalFormatting>
  <conditionalFormatting sqref="H1456">
    <cfRule type="cellIs" dxfId="0" priority="346" operator="notEqual">
      <formula>0</formula>
    </cfRule>
  </conditionalFormatting>
  <conditionalFormatting sqref="H1457">
    <cfRule type="cellIs" dxfId="0" priority="348" operator="notEqual">
      <formula>0</formula>
    </cfRule>
  </conditionalFormatting>
  <conditionalFormatting sqref="H1460">
    <cfRule type="cellIs" dxfId="0" priority="350" operator="notEqual">
      <formula>0</formula>
    </cfRule>
  </conditionalFormatting>
  <conditionalFormatting sqref="H1461">
    <cfRule type="cellIs" dxfId="0" priority="352" operator="notEqual">
      <formula>0</formula>
    </cfRule>
  </conditionalFormatting>
  <conditionalFormatting sqref="H1462">
    <cfRule type="cellIs" dxfId="0" priority="354" operator="notEqual">
      <formula>0</formula>
    </cfRule>
  </conditionalFormatting>
  <conditionalFormatting sqref="H1463">
    <cfRule type="cellIs" dxfId="0" priority="356" operator="notEqual">
      <formula>0</formula>
    </cfRule>
  </conditionalFormatting>
  <conditionalFormatting sqref="H1464">
    <cfRule type="cellIs" dxfId="0" priority="358" operator="notEqual">
      <formula>0</formula>
    </cfRule>
  </conditionalFormatting>
  <conditionalFormatting sqref="H1465">
    <cfRule type="cellIs" dxfId="0" priority="360" operator="notEqual">
      <formula>0</formula>
    </cfRule>
  </conditionalFormatting>
  <conditionalFormatting sqref="H1466">
    <cfRule type="cellIs" dxfId="0" priority="362" operator="notEqual">
      <formula>0</formula>
    </cfRule>
  </conditionalFormatting>
  <conditionalFormatting sqref="H1467">
    <cfRule type="cellIs" dxfId="0" priority="364" operator="notEqual">
      <formula>0</formula>
    </cfRule>
  </conditionalFormatting>
  <conditionalFormatting sqref="H1468">
    <cfRule type="cellIs" dxfId="0" priority="366" operator="notEqual">
      <formula>0</formula>
    </cfRule>
  </conditionalFormatting>
  <conditionalFormatting sqref="H1472">
    <cfRule type="cellIs" dxfId="0" priority="367" operator="notEqual">
      <formula>0</formula>
    </cfRule>
  </conditionalFormatting>
  <conditionalFormatting sqref="H1473">
    <cfRule type="cellIs" dxfId="0" priority="369" operator="notEqual">
      <formula>0</formula>
    </cfRule>
  </conditionalFormatting>
  <conditionalFormatting sqref="H1474">
    <cfRule type="cellIs" dxfId="0" priority="371" operator="notEqual">
      <formula>0</formula>
    </cfRule>
  </conditionalFormatting>
  <conditionalFormatting sqref="H1475">
    <cfRule type="cellIs" dxfId="0" priority="373" operator="notEqual">
      <formula>0</formula>
    </cfRule>
  </conditionalFormatting>
  <conditionalFormatting sqref="H1476">
    <cfRule type="cellIs" dxfId="0" priority="375" operator="notEqual">
      <formula>0</formula>
    </cfRule>
  </conditionalFormatting>
  <conditionalFormatting sqref="H1477">
    <cfRule type="cellIs" dxfId="0" priority="377" operator="notEqual">
      <formula>0</formula>
    </cfRule>
  </conditionalFormatting>
  <conditionalFormatting sqref="H1478">
    <cfRule type="cellIs" dxfId="0" priority="379" operator="notEqual">
      <formula>0</formula>
    </cfRule>
  </conditionalFormatting>
  <conditionalFormatting sqref="H1479">
    <cfRule type="cellIs" dxfId="0" priority="381" operator="notEqual">
      <formula>0</formula>
    </cfRule>
  </conditionalFormatting>
  <conditionalFormatting sqref="H1480">
    <cfRule type="cellIs" dxfId="0" priority="383" operator="notEqual">
      <formula>0</formula>
    </cfRule>
  </conditionalFormatting>
  <conditionalFormatting sqref="H1481">
    <cfRule type="cellIs" dxfId="0" priority="385" operator="notEqual">
      <formula>0</formula>
    </cfRule>
  </conditionalFormatting>
  <conditionalFormatting sqref="H1482">
    <cfRule type="cellIs" dxfId="0" priority="387" operator="notEqual">
      <formula>0</formula>
    </cfRule>
  </conditionalFormatting>
  <conditionalFormatting sqref="H1483">
    <cfRule type="cellIs" dxfId="0" priority="389" operator="notEqual">
      <formula>0</formula>
    </cfRule>
  </conditionalFormatting>
  <conditionalFormatting sqref="H1484">
    <cfRule type="cellIs" dxfId="0" priority="391" operator="notEqual">
      <formula>0</formula>
    </cfRule>
  </conditionalFormatting>
  <conditionalFormatting sqref="H1485">
    <cfRule type="cellIs" dxfId="0" priority="393" operator="notEqual">
      <formula>0</formula>
    </cfRule>
  </conditionalFormatting>
  <conditionalFormatting sqref="H1488">
    <cfRule type="cellIs" dxfId="0" priority="395" operator="notEqual">
      <formula>0</formula>
    </cfRule>
  </conditionalFormatting>
  <conditionalFormatting sqref="H1489">
    <cfRule type="cellIs" dxfId="0" priority="397" operator="notEqual">
      <formula>0</formula>
    </cfRule>
  </conditionalFormatting>
  <conditionalFormatting sqref="H1490">
    <cfRule type="cellIs" dxfId="0" priority="399" operator="notEqual">
      <formula>0</formula>
    </cfRule>
  </conditionalFormatting>
  <conditionalFormatting sqref="H1491">
    <cfRule type="cellIs" dxfId="0" priority="401" operator="notEqual">
      <formula>0</formula>
    </cfRule>
  </conditionalFormatting>
  <conditionalFormatting sqref="H1492">
    <cfRule type="cellIs" dxfId="0" priority="403" operator="notEqual">
      <formula>0</formula>
    </cfRule>
  </conditionalFormatting>
  <conditionalFormatting sqref="H1493">
    <cfRule type="cellIs" dxfId="0" priority="405" operator="notEqual">
      <formula>0</formula>
    </cfRule>
  </conditionalFormatting>
  <conditionalFormatting sqref="H1494">
    <cfRule type="cellIs" dxfId="0" priority="407" operator="notEqual">
      <formula>0</formula>
    </cfRule>
  </conditionalFormatting>
  <conditionalFormatting sqref="H1495">
    <cfRule type="cellIs" dxfId="0" priority="409" operator="notEqual">
      <formula>0</formula>
    </cfRule>
  </conditionalFormatting>
  <conditionalFormatting sqref="H1496">
    <cfRule type="cellIs" dxfId="0" priority="411" operator="notEqual">
      <formula>0</formula>
    </cfRule>
  </conditionalFormatting>
  <conditionalFormatting sqref="H1497">
    <cfRule type="cellIs" dxfId="0" priority="413" operator="notEqual">
      <formula>0</formula>
    </cfRule>
  </conditionalFormatting>
  <conditionalFormatting sqref="H1498">
    <cfRule type="cellIs" dxfId="0" priority="415" operator="notEqual">
      <formula>0</formula>
    </cfRule>
  </conditionalFormatting>
  <conditionalFormatting sqref="H1499">
    <cfRule type="cellIs" dxfId="0" priority="417" operator="notEqual">
      <formula>0</formula>
    </cfRule>
  </conditionalFormatting>
  <conditionalFormatting sqref="H1500">
    <cfRule type="cellIs" dxfId="0" priority="419" operator="notEqual">
      <formula>0</formula>
    </cfRule>
  </conditionalFormatting>
  <conditionalFormatting sqref="H1501">
    <cfRule type="cellIs" dxfId="0" priority="421" operator="notEqual">
      <formula>0</formula>
    </cfRule>
  </conditionalFormatting>
  <conditionalFormatting sqref="H1504">
    <cfRule type="cellIs" dxfId="0" priority="423" operator="notEqual">
      <formula>0</formula>
    </cfRule>
  </conditionalFormatting>
  <conditionalFormatting sqref="H1505">
    <cfRule type="cellIs" dxfId="0" priority="425" operator="notEqual">
      <formula>0</formula>
    </cfRule>
  </conditionalFormatting>
  <conditionalFormatting sqref="H1506">
    <cfRule type="cellIs" dxfId="0" priority="427" operator="notEqual">
      <formula>0</formula>
    </cfRule>
  </conditionalFormatting>
  <conditionalFormatting sqref="H1507">
    <cfRule type="cellIs" dxfId="0" priority="429" operator="notEqual">
      <formula>0</formula>
    </cfRule>
  </conditionalFormatting>
  <conditionalFormatting sqref="H1508">
    <cfRule type="cellIs" dxfId="0" priority="431" operator="notEqual">
      <formula>0</formula>
    </cfRule>
  </conditionalFormatting>
  <conditionalFormatting sqref="H1509">
    <cfRule type="cellIs" dxfId="0" priority="433" operator="notEqual">
      <formula>0</formula>
    </cfRule>
  </conditionalFormatting>
  <conditionalFormatting sqref="H1510">
    <cfRule type="cellIs" dxfId="0" priority="435" operator="notEqual">
      <formula>0</formula>
    </cfRule>
  </conditionalFormatting>
  <conditionalFormatting sqref="H1511">
    <cfRule type="cellIs" dxfId="0" priority="437" operator="notEqual">
      <formula>0</formula>
    </cfRule>
  </conditionalFormatting>
  <conditionalFormatting sqref="H1512">
    <cfRule type="cellIs" dxfId="0" priority="439" operator="notEqual">
      <formula>0</formula>
    </cfRule>
  </conditionalFormatting>
  <conditionalFormatting sqref="H1513">
    <cfRule type="cellIs" dxfId="0" priority="441" operator="notEqual">
      <formula>0</formula>
    </cfRule>
  </conditionalFormatting>
  <conditionalFormatting sqref="H1514">
    <cfRule type="cellIs" dxfId="0" priority="443" operator="notEqual">
      <formula>0</formula>
    </cfRule>
  </conditionalFormatting>
  <conditionalFormatting sqref="H1515">
    <cfRule type="cellIs" dxfId="0" priority="445" operator="notEqual">
      <formula>0</formula>
    </cfRule>
  </conditionalFormatting>
  <conditionalFormatting sqref="H1516">
    <cfRule type="cellIs" dxfId="0" priority="447" operator="notEqual">
      <formula>0</formula>
    </cfRule>
  </conditionalFormatting>
  <conditionalFormatting sqref="H1517">
    <cfRule type="cellIs" dxfId="0" priority="449" operator="notEqual">
      <formula>0</formula>
    </cfRule>
  </conditionalFormatting>
  <conditionalFormatting sqref="H1520">
    <cfRule type="cellIs" dxfId="0" priority="451" operator="notEqual">
      <formula>0</formula>
    </cfRule>
  </conditionalFormatting>
  <conditionalFormatting sqref="H1521">
    <cfRule type="cellIs" dxfId="0" priority="453" operator="notEqual">
      <formula>0</formula>
    </cfRule>
  </conditionalFormatting>
  <conditionalFormatting sqref="H1522">
    <cfRule type="cellIs" dxfId="0" priority="455" operator="notEqual">
      <formula>0</formula>
    </cfRule>
  </conditionalFormatting>
  <conditionalFormatting sqref="H1523">
    <cfRule type="cellIs" dxfId="0" priority="457" operator="notEqual">
      <formula>0</formula>
    </cfRule>
  </conditionalFormatting>
  <conditionalFormatting sqref="H1524">
    <cfRule type="cellIs" dxfId="0" priority="459" operator="notEqual">
      <formula>0</formula>
    </cfRule>
  </conditionalFormatting>
  <conditionalFormatting sqref="H1525">
    <cfRule type="cellIs" dxfId="0" priority="461" operator="notEqual">
      <formula>0</formula>
    </cfRule>
  </conditionalFormatting>
  <conditionalFormatting sqref="H1526">
    <cfRule type="cellIs" dxfId="0" priority="463" operator="notEqual">
      <formula>0</formula>
    </cfRule>
  </conditionalFormatting>
  <conditionalFormatting sqref="H1527">
    <cfRule type="cellIs" dxfId="0" priority="465" operator="notEqual">
      <formula>0</formula>
    </cfRule>
  </conditionalFormatting>
  <conditionalFormatting sqref="H1528">
    <cfRule type="cellIs" dxfId="0" priority="467" operator="notEqual">
      <formula>0</formula>
    </cfRule>
  </conditionalFormatting>
  <conditionalFormatting sqref="H1529">
    <cfRule type="cellIs" dxfId="0" priority="469" operator="notEqual">
      <formula>0</formula>
    </cfRule>
  </conditionalFormatting>
  <conditionalFormatting sqref="H1530">
    <cfRule type="cellIs" dxfId="0" priority="471" operator="notEqual">
      <formula>0</formula>
    </cfRule>
  </conditionalFormatting>
  <conditionalFormatting sqref="H1531">
    <cfRule type="cellIs" dxfId="0" priority="473" operator="notEqual">
      <formula>0</formula>
    </cfRule>
  </conditionalFormatting>
  <conditionalFormatting sqref="H1532">
    <cfRule type="cellIs" dxfId="0" priority="475" operator="notEqual">
      <formula>0</formula>
    </cfRule>
  </conditionalFormatting>
  <conditionalFormatting sqref="H1533">
    <cfRule type="cellIs" dxfId="0" priority="477" operator="notEqual">
      <formula>0</formula>
    </cfRule>
  </conditionalFormatting>
  <conditionalFormatting sqref="H1536">
    <cfRule type="cellIs" dxfId="0" priority="479" operator="notEqual">
      <formula>0</formula>
    </cfRule>
  </conditionalFormatting>
  <conditionalFormatting sqref="H1537">
    <cfRule type="cellIs" dxfId="0" priority="481" operator="notEqual">
      <formula>0</formula>
    </cfRule>
  </conditionalFormatting>
  <conditionalFormatting sqref="H1538">
    <cfRule type="cellIs" dxfId="0" priority="483" operator="notEqual">
      <formula>0</formula>
    </cfRule>
  </conditionalFormatting>
  <conditionalFormatting sqref="H1539">
    <cfRule type="cellIs" dxfId="0" priority="485" operator="notEqual">
      <formula>0</formula>
    </cfRule>
  </conditionalFormatting>
  <conditionalFormatting sqref="H535">
    <cfRule type="cellIs" dxfId="0" priority="1" operator="notEqual">
      <formula>0</formula>
    </cfRule>
  </conditionalFormatting>
  <conditionalFormatting sqref="H536">
    <cfRule type="cellIs" dxfId="0" priority="2" operator="notEqual">
      <formula>0</formula>
    </cfRule>
  </conditionalFormatting>
  <conditionalFormatting sqref="H537">
    <cfRule type="cellIs" dxfId="0" priority="3" operator="notEqual">
      <formula>0</formula>
    </cfRule>
  </conditionalFormatting>
  <conditionalFormatting sqref="H538">
    <cfRule type="cellIs" dxfId="0" priority="4" operator="notEqual">
      <formula>0</formula>
    </cfRule>
  </conditionalFormatting>
  <conditionalFormatting sqref="H541">
    <cfRule type="cellIs" dxfId="0" priority="5" operator="notEqual">
      <formula>0</formula>
    </cfRule>
  </conditionalFormatting>
  <conditionalFormatting sqref="H542">
    <cfRule type="cellIs" dxfId="0" priority="6" operator="notEqual">
      <formula>0</formula>
    </cfRule>
  </conditionalFormatting>
  <conditionalFormatting sqref="H543">
    <cfRule type="cellIs" dxfId="0" priority="7" operator="notEqual">
      <formula>0</formula>
    </cfRule>
  </conditionalFormatting>
  <conditionalFormatting sqref="H544">
    <cfRule type="cellIs" dxfId="0" priority="8" operator="notEqual">
      <formula>0</formula>
    </cfRule>
  </conditionalFormatting>
  <conditionalFormatting sqref="H545">
    <cfRule type="cellIs" dxfId="0" priority="9" operator="notEqual">
      <formula>0</formula>
    </cfRule>
  </conditionalFormatting>
  <conditionalFormatting sqref="H546">
    <cfRule type="cellIs" dxfId="0" priority="10" operator="notEqual">
      <formula>0</formula>
    </cfRule>
  </conditionalFormatting>
  <conditionalFormatting sqref="H547">
    <cfRule type="cellIs" dxfId="0" priority="11" operator="notEqual">
      <formula>0</formula>
    </cfRule>
  </conditionalFormatting>
  <conditionalFormatting sqref="H548">
    <cfRule type="cellIs" dxfId="0" priority="12" operator="notEqual">
      <formula>0</formula>
    </cfRule>
  </conditionalFormatting>
  <conditionalFormatting sqref="H549">
    <cfRule type="cellIs" dxfId="0" priority="13" operator="notEqual">
      <formula>0</formula>
    </cfRule>
  </conditionalFormatting>
  <conditionalFormatting sqref="H550">
    <cfRule type="cellIs" dxfId="0" priority="14" operator="notEqual">
      <formula>0</formula>
    </cfRule>
  </conditionalFormatting>
  <conditionalFormatting sqref="H551">
    <cfRule type="cellIs" dxfId="0" priority="15" operator="notEqual">
      <formula>0</formula>
    </cfRule>
  </conditionalFormatting>
  <conditionalFormatting sqref="H552">
    <cfRule type="cellIs" dxfId="0" priority="16" operator="notEqual">
      <formula>0</formula>
    </cfRule>
  </conditionalFormatting>
  <conditionalFormatting sqref="H553">
    <cfRule type="cellIs" dxfId="0" priority="17" operator="notEqual">
      <formula>0</formula>
    </cfRule>
  </conditionalFormatting>
  <conditionalFormatting sqref="H554">
    <cfRule type="cellIs" dxfId="0" priority="18" operator="notEqual">
      <formula>0</formula>
    </cfRule>
  </conditionalFormatting>
  <conditionalFormatting sqref="H555">
    <cfRule type="cellIs" dxfId="0" priority="19" operator="notEqual">
      <formula>0</formula>
    </cfRule>
  </conditionalFormatting>
  <conditionalFormatting sqref="H558">
    <cfRule type="cellIs" dxfId="0" priority="20" operator="notEqual">
      <formula>0</formula>
    </cfRule>
  </conditionalFormatting>
  <conditionalFormatting sqref="H559">
    <cfRule type="cellIs" dxfId="0" priority="21" operator="notEqual">
      <formula>0</formula>
    </cfRule>
  </conditionalFormatting>
  <conditionalFormatting sqref="H560">
    <cfRule type="cellIs" dxfId="0" priority="22" operator="notEqual">
      <formula>0</formula>
    </cfRule>
  </conditionalFormatting>
  <conditionalFormatting sqref="H561">
    <cfRule type="cellIs" dxfId="0" priority="23" operator="notEqual">
      <formula>0</formula>
    </cfRule>
  </conditionalFormatting>
  <conditionalFormatting sqref="H562">
    <cfRule type="cellIs" dxfId="0" priority="24" operator="notEqual">
      <formula>0</formula>
    </cfRule>
  </conditionalFormatting>
  <conditionalFormatting sqref="H563">
    <cfRule type="cellIs" dxfId="0" priority="25" operator="notEqual">
      <formula>0</formula>
    </cfRule>
  </conditionalFormatting>
  <conditionalFormatting sqref="H564">
    <cfRule type="cellIs" dxfId="0" priority="26" operator="notEqual">
      <formula>0</formula>
    </cfRule>
  </conditionalFormatting>
  <conditionalFormatting sqref="H565">
    <cfRule type="cellIs" dxfId="0" priority="27" operator="notEqual">
      <formula>0</formula>
    </cfRule>
  </conditionalFormatting>
  <conditionalFormatting sqref="H566">
    <cfRule type="cellIs" dxfId="0" priority="28" operator="notEqual">
      <formula>0</formula>
    </cfRule>
  </conditionalFormatting>
  <conditionalFormatting sqref="H567">
    <cfRule type="cellIs" dxfId="0" priority="29" operator="notEqual">
      <formula>0</formula>
    </cfRule>
  </conditionalFormatting>
  <conditionalFormatting sqref="H568">
    <cfRule type="cellIs" dxfId="0" priority="30" operator="notEqual">
      <formula>0</formula>
    </cfRule>
  </conditionalFormatting>
  <conditionalFormatting sqref="H569">
    <cfRule type="cellIs" dxfId="0" priority="31" operator="notEqual">
      <formula>0</formula>
    </cfRule>
  </conditionalFormatting>
  <conditionalFormatting sqref="H570">
    <cfRule type="cellIs" dxfId="0" priority="32" operator="notEqual">
      <formula>0</formula>
    </cfRule>
  </conditionalFormatting>
  <conditionalFormatting sqref="H571">
    <cfRule type="cellIs" dxfId="0" priority="33" operator="notEqual">
      <formula>0</formula>
    </cfRule>
  </conditionalFormatting>
  <conditionalFormatting sqref="H572">
    <cfRule type="cellIs" dxfId="0" priority="34" operator="notEqual">
      <formula>0</formula>
    </cfRule>
  </conditionalFormatting>
  <conditionalFormatting sqref="H575">
    <cfRule type="cellIs" dxfId="0" priority="35" operator="notEqual">
      <formula>0</formula>
    </cfRule>
  </conditionalFormatting>
  <conditionalFormatting sqref="H576">
    <cfRule type="cellIs" dxfId="0" priority="36" operator="notEqual">
      <formula>0</formula>
    </cfRule>
  </conditionalFormatting>
  <conditionalFormatting sqref="H577">
    <cfRule type="cellIs" dxfId="0" priority="37" operator="notEqual">
      <formula>0</formula>
    </cfRule>
  </conditionalFormatting>
  <conditionalFormatting sqref="H578">
    <cfRule type="cellIs" dxfId="0" priority="38" operator="notEqual">
      <formula>0</formula>
    </cfRule>
  </conditionalFormatting>
  <conditionalFormatting sqref="H579">
    <cfRule type="cellIs" dxfId="0" priority="39" operator="notEqual">
      <formula>0</formula>
    </cfRule>
  </conditionalFormatting>
  <conditionalFormatting sqref="H580">
    <cfRule type="cellIs" dxfId="0" priority="40" operator="notEqual">
      <formula>0</formula>
    </cfRule>
  </conditionalFormatting>
  <conditionalFormatting sqref="H581">
    <cfRule type="cellIs" dxfId="0" priority="41" operator="notEqual">
      <formula>0</formula>
    </cfRule>
  </conditionalFormatting>
  <conditionalFormatting sqref="H582">
    <cfRule type="cellIs" dxfId="0" priority="42" operator="notEqual">
      <formula>0</formula>
    </cfRule>
  </conditionalFormatting>
  <conditionalFormatting sqref="H583">
    <cfRule type="cellIs" dxfId="0" priority="43" operator="notEqual">
      <formula>0</formula>
    </cfRule>
  </conditionalFormatting>
  <conditionalFormatting sqref="H584">
    <cfRule type="cellIs" dxfId="0" priority="44" operator="notEqual">
      <formula>0</formula>
    </cfRule>
  </conditionalFormatting>
  <conditionalFormatting sqref="H585">
    <cfRule type="cellIs" dxfId="0" priority="45" operator="notEqual">
      <formula>0</formula>
    </cfRule>
  </conditionalFormatting>
  <conditionalFormatting sqref="H586">
    <cfRule type="cellIs" dxfId="0" priority="46" operator="notEqual">
      <formula>0</formula>
    </cfRule>
  </conditionalFormatting>
  <conditionalFormatting sqref="H587">
    <cfRule type="cellIs" dxfId="0" priority="47" operator="notEqual">
      <formula>0</formula>
    </cfRule>
  </conditionalFormatting>
  <conditionalFormatting sqref="H588">
    <cfRule type="cellIs" dxfId="0" priority="48" operator="notEqual">
      <formula>0</formula>
    </cfRule>
  </conditionalFormatting>
  <conditionalFormatting sqref="H589">
    <cfRule type="cellIs" dxfId="0" priority="49" operator="notEqual">
      <formula>0</formula>
    </cfRule>
  </conditionalFormatting>
  <conditionalFormatting sqref="H592">
    <cfRule type="cellIs" dxfId="0" priority="50" operator="notEqual">
      <formula>0</formula>
    </cfRule>
  </conditionalFormatting>
  <conditionalFormatting sqref="H593">
    <cfRule type="cellIs" dxfId="0" priority="51" operator="notEqual">
      <formula>0</formula>
    </cfRule>
  </conditionalFormatting>
  <conditionalFormatting sqref="H594">
    <cfRule type="cellIs" dxfId="0" priority="52" operator="notEqual">
      <formula>0</formula>
    </cfRule>
  </conditionalFormatting>
  <conditionalFormatting sqref="H595">
    <cfRule type="cellIs" dxfId="0" priority="53" operator="notEqual">
      <formula>0</formula>
    </cfRule>
  </conditionalFormatting>
  <conditionalFormatting sqref="H596">
    <cfRule type="cellIs" dxfId="0" priority="54" operator="notEqual">
      <formula>0</formula>
    </cfRule>
  </conditionalFormatting>
  <conditionalFormatting sqref="H597">
    <cfRule type="cellIs" dxfId="0" priority="55" operator="notEqual">
      <formula>0</formula>
    </cfRule>
  </conditionalFormatting>
  <conditionalFormatting sqref="H598">
    <cfRule type="cellIs" dxfId="0" priority="56" operator="notEqual">
      <formula>0</formula>
    </cfRule>
  </conditionalFormatting>
  <conditionalFormatting sqref="H599">
    <cfRule type="cellIs" dxfId="0" priority="57" operator="notEqual">
      <formula>0</formula>
    </cfRule>
  </conditionalFormatting>
  <conditionalFormatting sqref="H600">
    <cfRule type="cellIs" dxfId="0" priority="58" operator="notEqual">
      <formula>0</formula>
    </cfRule>
  </conditionalFormatting>
  <conditionalFormatting sqref="H601">
    <cfRule type="cellIs" dxfId="0" priority="59" operator="notEqual">
      <formula>0</formula>
    </cfRule>
  </conditionalFormatting>
  <conditionalFormatting sqref="H602">
    <cfRule type="cellIs" dxfId="0" priority="60" operator="notEqual">
      <formula>0</formula>
    </cfRule>
  </conditionalFormatting>
  <conditionalFormatting sqref="H603">
    <cfRule type="cellIs" dxfId="0" priority="61" operator="notEqual">
      <formula>0</formula>
    </cfRule>
  </conditionalFormatting>
  <conditionalFormatting sqref="H604">
    <cfRule type="cellIs" dxfId="0" priority="62" operator="notEqual">
      <formula>0</formula>
    </cfRule>
  </conditionalFormatting>
  <conditionalFormatting sqref="H605">
    <cfRule type="cellIs" dxfId="0" priority="63" operator="notEqual">
      <formula>0</formula>
    </cfRule>
  </conditionalFormatting>
  <conditionalFormatting sqref="H606">
    <cfRule type="cellIs" dxfId="0" priority="64" operator="notEqual">
      <formula>0</formula>
    </cfRule>
  </conditionalFormatting>
  <conditionalFormatting sqref="H609">
    <cfRule type="cellIs" dxfId="0" priority="65" operator="notEqual">
      <formula>0</formula>
    </cfRule>
  </conditionalFormatting>
  <conditionalFormatting sqref="H610">
    <cfRule type="cellIs" dxfId="0" priority="66" operator="notEqual">
      <formula>0</formula>
    </cfRule>
  </conditionalFormatting>
  <conditionalFormatting sqref="H611">
    <cfRule type="cellIs" dxfId="0" priority="67" operator="notEqual">
      <formula>0</formula>
    </cfRule>
  </conditionalFormatting>
  <conditionalFormatting sqref="H612">
    <cfRule type="cellIs" dxfId="0" priority="68" operator="notEqual">
      <formula>0</formula>
    </cfRule>
  </conditionalFormatting>
  <conditionalFormatting sqref="H613">
    <cfRule type="cellIs" dxfId="0" priority="69" operator="notEqual">
      <formula>0</formula>
    </cfRule>
  </conditionalFormatting>
  <conditionalFormatting sqref="H614">
    <cfRule type="cellIs" dxfId="0" priority="70" operator="notEqual">
      <formula>0</formula>
    </cfRule>
  </conditionalFormatting>
  <conditionalFormatting sqref="H615">
    <cfRule type="cellIs" dxfId="0" priority="71" operator="notEqual">
      <formula>0</formula>
    </cfRule>
  </conditionalFormatting>
  <conditionalFormatting sqref="H616">
    <cfRule type="cellIs" dxfId="0" priority="72" operator="notEqual">
      <formula>0</formula>
    </cfRule>
  </conditionalFormatting>
  <conditionalFormatting sqref="I1762">
    <cfRule type="cellIs" dxfId="0" priority="490" operator="notEqual">
      <formula>0</formula>
    </cfRule>
  </conditionalFormatting>
  <conditionalFormatting sqref="I1763">
    <cfRule type="cellIs" dxfId="0" priority="491" operator="notEqual">
      <formula>0</formula>
    </cfRule>
  </conditionalFormatting>
  <conditionalFormatting sqref="I1764">
    <cfRule type="cellIs" dxfId="0" priority="492" operator="notEqual">
      <formula>0</formula>
    </cfRule>
  </conditionalFormatting>
  <conditionalFormatting sqref="I1765">
    <cfRule type="cellIs" dxfId="0" priority="493" operator="notEqual">
      <formula>0</formula>
    </cfRule>
  </conditionalFormatting>
  <conditionalFormatting sqref="I1766">
    <cfRule type="cellIs" dxfId="0" priority="494" operator="notEqual">
      <formula>0</formula>
    </cfRule>
  </conditionalFormatting>
  <conditionalFormatting sqref="I1767">
    <cfRule type="cellIs" dxfId="0" priority="495" operator="notEqual">
      <formula>0</formula>
    </cfRule>
  </conditionalFormatting>
  <conditionalFormatting sqref="I1768">
    <cfRule type="cellIs" dxfId="0" priority="496" operator="notEqual">
      <formula>0</formula>
    </cfRule>
  </conditionalFormatting>
  <conditionalFormatting sqref="I1769">
    <cfRule type="cellIs" dxfId="0" priority="497" operator="notEqual">
      <formula>0</formula>
    </cfRule>
  </conditionalFormatting>
  <conditionalFormatting sqref="I1770">
    <cfRule type="cellIs" dxfId="0" priority="498" operator="notEqual">
      <formula>0</formula>
    </cfRule>
  </conditionalFormatting>
  <conditionalFormatting sqref="I1771">
    <cfRule type="cellIs" dxfId="0" priority="499" operator="notEqual">
      <formula>0</formula>
    </cfRule>
  </conditionalFormatting>
  <conditionalFormatting sqref="I1772">
    <cfRule type="cellIs" dxfId="0" priority="500" operator="notEqual">
      <formula>0</formula>
    </cfRule>
  </conditionalFormatting>
  <conditionalFormatting sqref="I1773">
    <cfRule type="cellIs" dxfId="0" priority="501" operator="notEqual">
      <formula>0</formula>
    </cfRule>
  </conditionalFormatting>
  <conditionalFormatting sqref="J1001">
    <cfRule type="cellIs" dxfId="0" priority="134" operator="notEqual">
      <formula>0</formula>
    </cfRule>
  </conditionalFormatting>
  <conditionalFormatting sqref="J1002">
    <cfRule type="cellIs" dxfId="0" priority="135" operator="notEqual">
      <formula>0</formula>
    </cfRule>
  </conditionalFormatting>
  <conditionalFormatting sqref="J1003">
    <cfRule type="cellIs" dxfId="0" priority="136" operator="notEqual">
      <formula>0</formula>
    </cfRule>
  </conditionalFormatting>
  <conditionalFormatting sqref="J1004">
    <cfRule type="cellIs" dxfId="0" priority="137" operator="notEqual">
      <formula>0</formula>
    </cfRule>
  </conditionalFormatting>
  <conditionalFormatting sqref="J1005">
    <cfRule type="cellIs" dxfId="0" priority="138" operator="notEqual">
      <formula>0</formula>
    </cfRule>
  </conditionalFormatting>
  <conditionalFormatting sqref="J1008">
    <cfRule type="cellIs" dxfId="0" priority="139" operator="notEqual">
      <formula>0</formula>
    </cfRule>
  </conditionalFormatting>
  <conditionalFormatting sqref="J1009">
    <cfRule type="cellIs" dxfId="0" priority="140" operator="notEqual">
      <formula>0</formula>
    </cfRule>
  </conditionalFormatting>
  <conditionalFormatting sqref="J1010">
    <cfRule type="cellIs" dxfId="0" priority="141" operator="notEqual">
      <formula>0</formula>
    </cfRule>
  </conditionalFormatting>
  <conditionalFormatting sqref="J1011">
    <cfRule type="cellIs" dxfId="0" priority="142" operator="notEqual">
      <formula>0</formula>
    </cfRule>
  </conditionalFormatting>
  <conditionalFormatting sqref="J1012">
    <cfRule type="cellIs" dxfId="0" priority="143" operator="notEqual">
      <formula>0</formula>
    </cfRule>
  </conditionalFormatting>
  <conditionalFormatting sqref="J1015">
    <cfRule type="cellIs" dxfId="0" priority="144" operator="notEqual">
      <formula>0</formula>
    </cfRule>
  </conditionalFormatting>
  <conditionalFormatting sqref="J1016">
    <cfRule type="cellIs" dxfId="0" priority="145" operator="notEqual">
      <formula>0</formula>
    </cfRule>
  </conditionalFormatting>
  <conditionalFormatting sqref="J1017">
    <cfRule type="cellIs" dxfId="0" priority="146" operator="notEqual">
      <formula>0</formula>
    </cfRule>
  </conditionalFormatting>
  <conditionalFormatting sqref="J1018">
    <cfRule type="cellIs" dxfId="0" priority="147" operator="notEqual">
      <formula>0</formula>
    </cfRule>
  </conditionalFormatting>
  <conditionalFormatting sqref="J1019">
    <cfRule type="cellIs" dxfId="0" priority="148" operator="notEqual">
      <formula>0</formula>
    </cfRule>
  </conditionalFormatting>
  <conditionalFormatting sqref="J1022">
    <cfRule type="cellIs" dxfId="0" priority="149" operator="notEqual">
      <formula>0</formula>
    </cfRule>
  </conditionalFormatting>
  <conditionalFormatting sqref="J1023">
    <cfRule type="cellIs" dxfId="0" priority="150" operator="notEqual">
      <formula>0</formula>
    </cfRule>
  </conditionalFormatting>
  <conditionalFormatting sqref="J1024">
    <cfRule type="cellIs" dxfId="0" priority="151" operator="notEqual">
      <formula>0</formula>
    </cfRule>
  </conditionalFormatting>
  <conditionalFormatting sqref="J1025">
    <cfRule type="cellIs" dxfId="0" priority="152" operator="notEqual">
      <formula>0</formula>
    </cfRule>
  </conditionalFormatting>
  <conditionalFormatting sqref="J1026">
    <cfRule type="cellIs" dxfId="0" priority="153" operator="notEqual">
      <formula>0</formula>
    </cfRule>
  </conditionalFormatting>
  <conditionalFormatting sqref="J1027">
    <cfRule type="cellIs" dxfId="0" priority="154" operator="notEqual">
      <formula>0</formula>
    </cfRule>
  </conditionalFormatting>
  <conditionalFormatting sqref="J1028">
    <cfRule type="cellIs" dxfId="0" priority="155" operator="notEqual">
      <formula>0</formula>
    </cfRule>
  </conditionalFormatting>
  <conditionalFormatting sqref="J1029">
    <cfRule type="cellIs" dxfId="0" priority="156" operator="notEqual">
      <formula>0</formula>
    </cfRule>
  </conditionalFormatting>
  <conditionalFormatting sqref="J1030">
    <cfRule type="cellIs" dxfId="0" priority="157" operator="notEqual">
      <formula>0</formula>
    </cfRule>
  </conditionalFormatting>
  <conditionalFormatting sqref="J1031">
    <cfRule type="cellIs" dxfId="0" priority="158" operator="notEqual">
      <formula>0</formula>
    </cfRule>
  </conditionalFormatting>
  <conditionalFormatting sqref="J1032">
    <cfRule type="cellIs" dxfId="0" priority="159" operator="notEqual">
      <formula>0</formula>
    </cfRule>
  </conditionalFormatting>
  <conditionalFormatting sqref="J1035">
    <cfRule type="cellIs" dxfId="0" priority="160" operator="notEqual">
      <formula>0</formula>
    </cfRule>
  </conditionalFormatting>
  <conditionalFormatting sqref="J1036">
    <cfRule type="cellIs" dxfId="0" priority="161" operator="notEqual">
      <formula>0</formula>
    </cfRule>
  </conditionalFormatting>
  <conditionalFormatting sqref="J1037">
    <cfRule type="cellIs" dxfId="0" priority="162" operator="notEqual">
      <formula>0</formula>
    </cfRule>
  </conditionalFormatting>
  <conditionalFormatting sqref="J1038">
    <cfRule type="cellIs" dxfId="0" priority="163" operator="notEqual">
      <formula>0</formula>
    </cfRule>
  </conditionalFormatting>
  <conditionalFormatting sqref="J1039">
    <cfRule type="cellIs" dxfId="0" priority="164" operator="notEqual">
      <formula>0</formula>
    </cfRule>
  </conditionalFormatting>
  <conditionalFormatting sqref="J1040">
    <cfRule type="cellIs" dxfId="0" priority="165" operator="notEqual">
      <formula>0</formula>
    </cfRule>
  </conditionalFormatting>
  <conditionalFormatting sqref="J1041">
    <cfRule type="cellIs" dxfId="0" priority="166" operator="notEqual">
      <formula>0</formula>
    </cfRule>
  </conditionalFormatting>
  <conditionalFormatting sqref="J1042">
    <cfRule type="cellIs" dxfId="0" priority="167" operator="notEqual">
      <formula>0</formula>
    </cfRule>
  </conditionalFormatting>
  <conditionalFormatting sqref="J1043">
    <cfRule type="cellIs" dxfId="0" priority="168" operator="notEqual">
      <formula>0</formula>
    </cfRule>
  </conditionalFormatting>
  <conditionalFormatting sqref="J1044">
    <cfRule type="cellIs" dxfId="0" priority="169" operator="notEqual">
      <formula>0</formula>
    </cfRule>
  </conditionalFormatting>
  <conditionalFormatting sqref="J1045">
    <cfRule type="cellIs" dxfId="0" priority="170" operator="notEqual">
      <formula>0</formula>
    </cfRule>
  </conditionalFormatting>
  <conditionalFormatting sqref="J1046">
    <cfRule type="cellIs" dxfId="0" priority="171" operator="notEqual">
      <formula>0</formula>
    </cfRule>
  </conditionalFormatting>
  <conditionalFormatting sqref="J1049">
    <cfRule type="cellIs" dxfId="0" priority="172" operator="notEqual">
      <formula>0</formula>
    </cfRule>
  </conditionalFormatting>
  <conditionalFormatting sqref="J1050">
    <cfRule type="cellIs" dxfId="0" priority="173" operator="notEqual">
      <formula>0</formula>
    </cfRule>
  </conditionalFormatting>
  <conditionalFormatting sqref="J1051">
    <cfRule type="cellIs" dxfId="0" priority="174" operator="notEqual">
      <formula>0</formula>
    </cfRule>
  </conditionalFormatting>
  <conditionalFormatting sqref="J1052">
    <cfRule type="cellIs" dxfId="0" priority="175" operator="notEqual">
      <formula>0</formula>
    </cfRule>
  </conditionalFormatting>
  <conditionalFormatting sqref="J1053">
    <cfRule type="cellIs" dxfId="0" priority="176" operator="notEqual">
      <formula>0</formula>
    </cfRule>
  </conditionalFormatting>
  <conditionalFormatting sqref="J1054">
    <cfRule type="cellIs" dxfId="0" priority="177" operator="notEqual">
      <formula>0</formula>
    </cfRule>
  </conditionalFormatting>
  <conditionalFormatting sqref="J1057">
    <cfRule type="cellIs" dxfId="0" priority="178" operator="notEqual">
      <formula>0</formula>
    </cfRule>
  </conditionalFormatting>
  <conditionalFormatting sqref="J1058">
    <cfRule type="cellIs" dxfId="0" priority="179" operator="notEqual">
      <formula>0</formula>
    </cfRule>
  </conditionalFormatting>
  <conditionalFormatting sqref="J1059">
    <cfRule type="cellIs" dxfId="0" priority="180" operator="notEqual">
      <formula>0</formula>
    </cfRule>
  </conditionalFormatting>
  <conditionalFormatting sqref="J1060">
    <cfRule type="cellIs" dxfId="0" priority="181" operator="notEqual">
      <formula>0</formula>
    </cfRule>
  </conditionalFormatting>
  <conditionalFormatting sqref="J1061">
    <cfRule type="cellIs" dxfId="0" priority="182" operator="notEqual">
      <formula>0</formula>
    </cfRule>
  </conditionalFormatting>
  <conditionalFormatting sqref="J1064">
    <cfRule type="cellIs" dxfId="0" priority="183" operator="notEqual">
      <formula>0</formula>
    </cfRule>
  </conditionalFormatting>
  <conditionalFormatting sqref="J1065">
    <cfRule type="cellIs" dxfId="0" priority="184" operator="notEqual">
      <formula>0</formula>
    </cfRule>
  </conditionalFormatting>
  <conditionalFormatting sqref="J1066">
    <cfRule type="cellIs" dxfId="0" priority="185" operator="notEqual">
      <formula>0</formula>
    </cfRule>
  </conditionalFormatting>
  <conditionalFormatting sqref="J1067">
    <cfRule type="cellIs" dxfId="0" priority="186" operator="notEqual">
      <formula>0</formula>
    </cfRule>
  </conditionalFormatting>
  <conditionalFormatting sqref="J1068">
    <cfRule type="cellIs" dxfId="0" priority="187" operator="notEqual">
      <formula>0</formula>
    </cfRule>
  </conditionalFormatting>
  <conditionalFormatting sqref="J1071">
    <cfRule type="cellIs" dxfId="0" priority="188" operator="notEqual">
      <formula>0</formula>
    </cfRule>
  </conditionalFormatting>
  <conditionalFormatting sqref="J1072">
    <cfRule type="cellIs" dxfId="0" priority="189" operator="notEqual">
      <formula>0</formula>
    </cfRule>
  </conditionalFormatting>
  <conditionalFormatting sqref="J1073">
    <cfRule type="cellIs" dxfId="0" priority="190" operator="notEqual">
      <formula>0</formula>
    </cfRule>
  </conditionalFormatting>
  <conditionalFormatting sqref="J1074">
    <cfRule type="cellIs" dxfId="0" priority="191" operator="notEqual">
      <formula>0</formula>
    </cfRule>
  </conditionalFormatting>
  <conditionalFormatting sqref="J1075">
    <cfRule type="cellIs" dxfId="0" priority="192" operator="notEqual">
      <formula>0</formula>
    </cfRule>
  </conditionalFormatting>
  <conditionalFormatting sqref="J1078">
    <cfRule type="cellIs" dxfId="0" priority="193" operator="notEqual">
      <formula>0</formula>
    </cfRule>
  </conditionalFormatting>
  <conditionalFormatting sqref="J1079">
    <cfRule type="cellIs" dxfId="0" priority="194" operator="notEqual">
      <formula>0</formula>
    </cfRule>
  </conditionalFormatting>
  <conditionalFormatting sqref="J1080">
    <cfRule type="cellIs" dxfId="0" priority="195" operator="notEqual">
      <formula>0</formula>
    </cfRule>
  </conditionalFormatting>
  <conditionalFormatting sqref="J1081">
    <cfRule type="cellIs" dxfId="0" priority="196" operator="notEqual">
      <formula>0</formula>
    </cfRule>
  </conditionalFormatting>
  <conditionalFormatting sqref="J1082">
    <cfRule type="cellIs" dxfId="0" priority="197" operator="notEqual">
      <formula>0</formula>
    </cfRule>
  </conditionalFormatting>
  <conditionalFormatting sqref="J1085">
    <cfRule type="cellIs" dxfId="0" priority="198" operator="notEqual">
      <formula>0</formula>
    </cfRule>
  </conditionalFormatting>
  <conditionalFormatting sqref="J1086">
    <cfRule type="cellIs" dxfId="0" priority="199" operator="notEqual">
      <formula>0</formula>
    </cfRule>
  </conditionalFormatting>
  <conditionalFormatting sqref="J1087">
    <cfRule type="cellIs" dxfId="0" priority="200" operator="notEqual">
      <formula>0</formula>
    </cfRule>
  </conditionalFormatting>
  <conditionalFormatting sqref="J1088">
    <cfRule type="cellIs" dxfId="0" priority="201" operator="notEqual">
      <formula>0</formula>
    </cfRule>
  </conditionalFormatting>
  <conditionalFormatting sqref="J1089">
    <cfRule type="cellIs" dxfId="0" priority="202" operator="notEqual">
      <formula>0</formula>
    </cfRule>
  </conditionalFormatting>
  <conditionalFormatting sqref="J1090">
    <cfRule type="cellIs" dxfId="0" priority="203" operator="notEqual">
      <formula>0</formula>
    </cfRule>
  </conditionalFormatting>
  <conditionalFormatting sqref="J1091">
    <cfRule type="cellIs" dxfId="0" priority="204" operator="notEqual">
      <formula>0</formula>
    </cfRule>
  </conditionalFormatting>
  <conditionalFormatting sqref="J1092">
    <cfRule type="cellIs" dxfId="0" priority="205" operator="notEqual">
      <formula>0</formula>
    </cfRule>
  </conditionalFormatting>
  <conditionalFormatting sqref="J1093">
    <cfRule type="cellIs" dxfId="0" priority="206" operator="notEqual">
      <formula>0</formula>
    </cfRule>
  </conditionalFormatting>
  <conditionalFormatting sqref="J1094">
    <cfRule type="cellIs" dxfId="0" priority="207" operator="notEqual">
      <formula>0</formula>
    </cfRule>
  </conditionalFormatting>
  <conditionalFormatting sqref="J1095">
    <cfRule type="cellIs" dxfId="0" priority="208" operator="notEqual">
      <formula>0</formula>
    </cfRule>
  </conditionalFormatting>
  <conditionalFormatting sqref="J1096">
    <cfRule type="cellIs" dxfId="0" priority="209" operator="notEqual">
      <formula>0</formula>
    </cfRule>
  </conditionalFormatting>
  <conditionalFormatting sqref="J1097">
    <cfRule type="cellIs" dxfId="0" priority="210" operator="notEqual">
      <formula>0</formula>
    </cfRule>
  </conditionalFormatting>
  <conditionalFormatting sqref="J1100">
    <cfRule type="cellIs" dxfId="0" priority="211" operator="notEqual">
      <formula>0</formula>
    </cfRule>
  </conditionalFormatting>
  <conditionalFormatting sqref="J1101">
    <cfRule type="cellIs" dxfId="0" priority="212" operator="notEqual">
      <formula>0</formula>
    </cfRule>
  </conditionalFormatting>
  <conditionalFormatting sqref="J1102">
    <cfRule type="cellIs" dxfId="0" priority="213" operator="notEqual">
      <formula>0</formula>
    </cfRule>
  </conditionalFormatting>
  <conditionalFormatting sqref="J1103">
    <cfRule type="cellIs" dxfId="0" priority="214" operator="notEqual">
      <formula>0</formula>
    </cfRule>
  </conditionalFormatting>
  <conditionalFormatting sqref="J1104">
    <cfRule type="cellIs" dxfId="0" priority="215" operator="notEqual">
      <formula>0</formula>
    </cfRule>
  </conditionalFormatting>
  <conditionalFormatting sqref="J1105">
    <cfRule type="cellIs" dxfId="0" priority="216" operator="notEqual">
      <formula>0</formula>
    </cfRule>
  </conditionalFormatting>
  <conditionalFormatting sqref="J1756">
    <cfRule type="cellIs" dxfId="0" priority="487" operator="notEqual">
      <formula>0</formula>
    </cfRule>
  </conditionalFormatting>
  <conditionalFormatting sqref="J1757">
    <cfRule type="cellIs" dxfId="0" priority="488" operator="notEqual">
      <formula>0</formula>
    </cfRule>
  </conditionalFormatting>
  <conditionalFormatting sqref="J1758">
    <cfRule type="cellIs" dxfId="0" priority="489" operator="notEqual">
      <formula>0</formula>
    </cfRule>
  </conditionalFormatting>
  <conditionalFormatting sqref="J922">
    <cfRule type="cellIs" dxfId="0" priority="73" operator="notEqual">
      <formula>0</formula>
    </cfRule>
  </conditionalFormatting>
  <conditionalFormatting sqref="J923">
    <cfRule type="cellIs" dxfId="0" priority="74" operator="notEqual">
      <formula>0</formula>
    </cfRule>
  </conditionalFormatting>
  <conditionalFormatting sqref="J924">
    <cfRule type="cellIs" dxfId="0" priority="75" operator="notEqual">
      <formula>0</formula>
    </cfRule>
  </conditionalFormatting>
  <conditionalFormatting sqref="J925">
    <cfRule type="cellIs" dxfId="0" priority="76" operator="notEqual">
      <formula>0</formula>
    </cfRule>
  </conditionalFormatting>
  <conditionalFormatting sqref="J926">
    <cfRule type="cellIs" dxfId="0" priority="77" operator="notEqual">
      <formula>0</formula>
    </cfRule>
  </conditionalFormatting>
  <conditionalFormatting sqref="J927">
    <cfRule type="cellIs" dxfId="0" priority="78" operator="notEqual">
      <formula>0</formula>
    </cfRule>
  </conditionalFormatting>
  <conditionalFormatting sqref="J928">
    <cfRule type="cellIs" dxfId="0" priority="79" operator="notEqual">
      <formula>0</formula>
    </cfRule>
  </conditionalFormatting>
  <conditionalFormatting sqref="J929">
    <cfRule type="cellIs" dxfId="0" priority="80" operator="notEqual">
      <formula>0</formula>
    </cfRule>
  </conditionalFormatting>
  <conditionalFormatting sqref="J932">
    <cfRule type="cellIs" dxfId="0" priority="81" operator="notEqual">
      <formula>0</formula>
    </cfRule>
  </conditionalFormatting>
  <conditionalFormatting sqref="J933">
    <cfRule type="cellIs" dxfId="0" priority="82" operator="notEqual">
      <formula>0</formula>
    </cfRule>
  </conditionalFormatting>
  <conditionalFormatting sqref="J934">
    <cfRule type="cellIs" dxfId="0" priority="83" operator="notEqual">
      <formula>0</formula>
    </cfRule>
  </conditionalFormatting>
  <conditionalFormatting sqref="J935">
    <cfRule type="cellIs" dxfId="0" priority="84" operator="notEqual">
      <formula>0</formula>
    </cfRule>
  </conditionalFormatting>
  <conditionalFormatting sqref="J936">
    <cfRule type="cellIs" dxfId="0" priority="85" operator="notEqual">
      <formula>0</formula>
    </cfRule>
  </conditionalFormatting>
  <conditionalFormatting sqref="J939">
    <cfRule type="cellIs" dxfId="0" priority="86" operator="notEqual">
      <formula>0</formula>
    </cfRule>
  </conditionalFormatting>
  <conditionalFormatting sqref="J940">
    <cfRule type="cellIs" dxfId="0" priority="87" operator="notEqual">
      <formula>0</formula>
    </cfRule>
  </conditionalFormatting>
  <conditionalFormatting sqref="J941">
    <cfRule type="cellIs" dxfId="0" priority="88" operator="notEqual">
      <formula>0</formula>
    </cfRule>
  </conditionalFormatting>
  <conditionalFormatting sqref="J942">
    <cfRule type="cellIs" dxfId="0" priority="89" operator="notEqual">
      <formula>0</formula>
    </cfRule>
  </conditionalFormatting>
  <conditionalFormatting sqref="J943">
    <cfRule type="cellIs" dxfId="0" priority="90" operator="notEqual">
      <formula>0</formula>
    </cfRule>
  </conditionalFormatting>
  <conditionalFormatting sqref="J946">
    <cfRule type="cellIs" dxfId="0" priority="91" operator="notEqual">
      <formula>0</formula>
    </cfRule>
  </conditionalFormatting>
  <conditionalFormatting sqref="J947">
    <cfRule type="cellIs" dxfId="0" priority="92" operator="notEqual">
      <formula>0</formula>
    </cfRule>
  </conditionalFormatting>
  <conditionalFormatting sqref="J948">
    <cfRule type="cellIs" dxfId="0" priority="93" operator="notEqual">
      <formula>0</formula>
    </cfRule>
  </conditionalFormatting>
  <conditionalFormatting sqref="J949">
    <cfRule type="cellIs" dxfId="0" priority="94" operator="notEqual">
      <formula>0</formula>
    </cfRule>
  </conditionalFormatting>
  <conditionalFormatting sqref="J950">
    <cfRule type="cellIs" dxfId="0" priority="95" operator="notEqual">
      <formula>0</formula>
    </cfRule>
  </conditionalFormatting>
  <conditionalFormatting sqref="J953">
    <cfRule type="cellIs" dxfId="0" priority="96" operator="notEqual">
      <formula>0</formula>
    </cfRule>
  </conditionalFormatting>
  <conditionalFormatting sqref="J954">
    <cfRule type="cellIs" dxfId="0" priority="97" operator="notEqual">
      <formula>0</formula>
    </cfRule>
  </conditionalFormatting>
  <conditionalFormatting sqref="J955">
    <cfRule type="cellIs" dxfId="0" priority="98" operator="notEqual">
      <formula>0</formula>
    </cfRule>
  </conditionalFormatting>
  <conditionalFormatting sqref="J956">
    <cfRule type="cellIs" dxfId="0" priority="99" operator="notEqual">
      <formula>0</formula>
    </cfRule>
  </conditionalFormatting>
  <conditionalFormatting sqref="J957">
    <cfRule type="cellIs" dxfId="0" priority="100" operator="notEqual">
      <formula>0</formula>
    </cfRule>
  </conditionalFormatting>
  <conditionalFormatting sqref="J960">
    <cfRule type="cellIs" dxfId="0" priority="101" operator="notEqual">
      <formula>0</formula>
    </cfRule>
  </conditionalFormatting>
  <conditionalFormatting sqref="J961">
    <cfRule type="cellIs" dxfId="0" priority="102" operator="notEqual">
      <formula>0</formula>
    </cfRule>
  </conditionalFormatting>
  <conditionalFormatting sqref="J962">
    <cfRule type="cellIs" dxfId="0" priority="103" operator="notEqual">
      <formula>0</formula>
    </cfRule>
  </conditionalFormatting>
  <conditionalFormatting sqref="J963">
    <cfRule type="cellIs" dxfId="0" priority="104" operator="notEqual">
      <formula>0</formula>
    </cfRule>
  </conditionalFormatting>
  <conditionalFormatting sqref="J964">
    <cfRule type="cellIs" dxfId="0" priority="105" operator="notEqual">
      <formula>0</formula>
    </cfRule>
  </conditionalFormatting>
  <conditionalFormatting sqref="J965">
    <cfRule type="cellIs" dxfId="0" priority="106" operator="notEqual">
      <formula>0</formula>
    </cfRule>
  </conditionalFormatting>
  <conditionalFormatting sqref="J966">
    <cfRule type="cellIs" dxfId="0" priority="107" operator="notEqual">
      <formula>0</formula>
    </cfRule>
  </conditionalFormatting>
  <conditionalFormatting sqref="J967">
    <cfRule type="cellIs" dxfId="0" priority="108" operator="notEqual">
      <formula>0</formula>
    </cfRule>
  </conditionalFormatting>
  <conditionalFormatting sqref="J968">
    <cfRule type="cellIs" dxfId="0" priority="109" operator="notEqual">
      <formula>0</formula>
    </cfRule>
  </conditionalFormatting>
  <conditionalFormatting sqref="J969">
    <cfRule type="cellIs" dxfId="0" priority="110" operator="notEqual">
      <formula>0</formula>
    </cfRule>
  </conditionalFormatting>
  <conditionalFormatting sqref="J970">
    <cfRule type="cellIs" dxfId="0" priority="111" operator="notEqual">
      <formula>0</formula>
    </cfRule>
  </conditionalFormatting>
  <conditionalFormatting sqref="J973">
    <cfRule type="cellIs" dxfId="0" priority="112" operator="notEqual">
      <formula>0</formula>
    </cfRule>
  </conditionalFormatting>
  <conditionalFormatting sqref="J974">
    <cfRule type="cellIs" dxfId="0" priority="113" operator="notEqual">
      <formula>0</formula>
    </cfRule>
  </conditionalFormatting>
  <conditionalFormatting sqref="J975">
    <cfRule type="cellIs" dxfId="0" priority="114" operator="notEqual">
      <formula>0</formula>
    </cfRule>
  </conditionalFormatting>
  <conditionalFormatting sqref="J976">
    <cfRule type="cellIs" dxfId="0" priority="115" operator="notEqual">
      <formula>0</formula>
    </cfRule>
  </conditionalFormatting>
  <conditionalFormatting sqref="J977">
    <cfRule type="cellIs" dxfId="0" priority="116" operator="notEqual">
      <formula>0</formula>
    </cfRule>
  </conditionalFormatting>
  <conditionalFormatting sqref="J978">
    <cfRule type="cellIs" dxfId="0" priority="117" operator="notEqual">
      <formula>0</formula>
    </cfRule>
  </conditionalFormatting>
  <conditionalFormatting sqref="J979">
    <cfRule type="cellIs" dxfId="0" priority="118" operator="notEqual">
      <formula>0</formula>
    </cfRule>
  </conditionalFormatting>
  <conditionalFormatting sqref="J980">
    <cfRule type="cellIs" dxfId="0" priority="119" operator="notEqual">
      <formula>0</formula>
    </cfRule>
  </conditionalFormatting>
  <conditionalFormatting sqref="J981">
    <cfRule type="cellIs" dxfId="0" priority="120" operator="notEqual">
      <formula>0</formula>
    </cfRule>
  </conditionalFormatting>
  <conditionalFormatting sqref="J982">
    <cfRule type="cellIs" dxfId="0" priority="121" operator="notEqual">
      <formula>0</formula>
    </cfRule>
  </conditionalFormatting>
  <conditionalFormatting sqref="J983">
    <cfRule type="cellIs" dxfId="0" priority="122" operator="notEqual">
      <formula>0</formula>
    </cfRule>
  </conditionalFormatting>
  <conditionalFormatting sqref="J986">
    <cfRule type="cellIs" dxfId="0" priority="123" operator="notEqual">
      <formula>0</formula>
    </cfRule>
  </conditionalFormatting>
  <conditionalFormatting sqref="J987">
    <cfRule type="cellIs" dxfId="0" priority="124" operator="notEqual">
      <formula>0</formula>
    </cfRule>
  </conditionalFormatting>
  <conditionalFormatting sqref="J988">
    <cfRule type="cellIs" dxfId="0" priority="125" operator="notEqual">
      <formula>0</formula>
    </cfRule>
  </conditionalFormatting>
  <conditionalFormatting sqref="J989">
    <cfRule type="cellIs" dxfId="0" priority="126" operator="notEqual">
      <formula>0</formula>
    </cfRule>
  </conditionalFormatting>
  <conditionalFormatting sqref="J990">
    <cfRule type="cellIs" dxfId="0" priority="127" operator="notEqual">
      <formula>0</formula>
    </cfRule>
  </conditionalFormatting>
  <conditionalFormatting sqref="J991">
    <cfRule type="cellIs" dxfId="0" priority="128" operator="notEqual">
      <formula>0</formula>
    </cfRule>
  </conditionalFormatting>
  <conditionalFormatting sqref="J994">
    <cfRule type="cellIs" dxfId="0" priority="129" operator="notEqual">
      <formula>0</formula>
    </cfRule>
  </conditionalFormatting>
  <conditionalFormatting sqref="J995">
    <cfRule type="cellIs" dxfId="0" priority="130" operator="notEqual">
      <formula>0</formula>
    </cfRule>
  </conditionalFormatting>
  <conditionalFormatting sqref="J996">
    <cfRule type="cellIs" dxfId="0" priority="131" operator="notEqual">
      <formula>0</formula>
    </cfRule>
  </conditionalFormatting>
  <conditionalFormatting sqref="J997">
    <cfRule type="cellIs" dxfId="0" priority="132" operator="notEqual">
      <formula>0</formula>
    </cfRule>
  </conditionalFormatting>
  <conditionalFormatting sqref="J998">
    <cfRule type="cellIs" dxfId="0" priority="133" operator="notEqual">
      <formula>0</formula>
    </cfRule>
  </conditionalFormatting>
  <conditionalFormatting sqref="L1472">
    <cfRule type="cellIs" dxfId="0" priority="368" operator="notEqual">
      <formula>0</formula>
    </cfRule>
  </conditionalFormatting>
  <conditionalFormatting sqref="L1473">
    <cfRule type="cellIs" dxfId="0" priority="370" operator="notEqual">
      <formula>0</formula>
    </cfRule>
  </conditionalFormatting>
  <conditionalFormatting sqref="L1474">
    <cfRule type="cellIs" dxfId="0" priority="372" operator="notEqual">
      <formula>0</formula>
    </cfRule>
  </conditionalFormatting>
  <conditionalFormatting sqref="L1475">
    <cfRule type="cellIs" dxfId="0" priority="374" operator="notEqual">
      <formula>0</formula>
    </cfRule>
  </conditionalFormatting>
  <conditionalFormatting sqref="L1476">
    <cfRule type="cellIs" dxfId="0" priority="376" operator="notEqual">
      <formula>0</formula>
    </cfRule>
  </conditionalFormatting>
  <conditionalFormatting sqref="L1477">
    <cfRule type="cellIs" dxfId="0" priority="378" operator="notEqual">
      <formula>0</formula>
    </cfRule>
  </conditionalFormatting>
  <conditionalFormatting sqref="L1478">
    <cfRule type="cellIs" dxfId="0" priority="380" operator="notEqual">
      <formula>0</formula>
    </cfRule>
  </conditionalFormatting>
  <conditionalFormatting sqref="L1479">
    <cfRule type="cellIs" dxfId="0" priority="382" operator="notEqual">
      <formula>0</formula>
    </cfRule>
  </conditionalFormatting>
  <conditionalFormatting sqref="L1480">
    <cfRule type="cellIs" dxfId="0" priority="384" operator="notEqual">
      <formula>0</formula>
    </cfRule>
  </conditionalFormatting>
  <conditionalFormatting sqref="L1481">
    <cfRule type="cellIs" dxfId="0" priority="386" operator="notEqual">
      <formula>0</formula>
    </cfRule>
  </conditionalFormatting>
  <conditionalFormatting sqref="L1482">
    <cfRule type="cellIs" dxfId="0" priority="388" operator="notEqual">
      <formula>0</formula>
    </cfRule>
  </conditionalFormatting>
  <conditionalFormatting sqref="L1483">
    <cfRule type="cellIs" dxfId="0" priority="390" operator="notEqual">
      <formula>0</formula>
    </cfRule>
  </conditionalFormatting>
  <conditionalFormatting sqref="L1484">
    <cfRule type="cellIs" dxfId="0" priority="392" operator="notEqual">
      <formula>0</formula>
    </cfRule>
  </conditionalFormatting>
  <conditionalFormatting sqref="L1485">
    <cfRule type="cellIs" dxfId="0" priority="394" operator="notEqual">
      <formula>0</formula>
    </cfRule>
  </conditionalFormatting>
  <conditionalFormatting sqref="L1488">
    <cfRule type="cellIs" dxfId="0" priority="396" operator="notEqual">
      <formula>0</formula>
    </cfRule>
  </conditionalFormatting>
  <conditionalFormatting sqref="L1489">
    <cfRule type="cellIs" dxfId="0" priority="398" operator="notEqual">
      <formula>0</formula>
    </cfRule>
  </conditionalFormatting>
  <conditionalFormatting sqref="L1490">
    <cfRule type="cellIs" dxfId="0" priority="400" operator="notEqual">
      <formula>0</formula>
    </cfRule>
  </conditionalFormatting>
  <conditionalFormatting sqref="L1491">
    <cfRule type="cellIs" dxfId="0" priority="402" operator="notEqual">
      <formula>0</formula>
    </cfRule>
  </conditionalFormatting>
  <conditionalFormatting sqref="L1492">
    <cfRule type="cellIs" dxfId="0" priority="404" operator="notEqual">
      <formula>0</formula>
    </cfRule>
  </conditionalFormatting>
  <conditionalFormatting sqref="L1493">
    <cfRule type="cellIs" dxfId="0" priority="406" operator="notEqual">
      <formula>0</formula>
    </cfRule>
  </conditionalFormatting>
  <conditionalFormatting sqref="L1494">
    <cfRule type="cellIs" dxfId="0" priority="408" operator="notEqual">
      <formula>0</formula>
    </cfRule>
  </conditionalFormatting>
  <conditionalFormatting sqref="L1495">
    <cfRule type="cellIs" dxfId="0" priority="410" operator="notEqual">
      <formula>0</formula>
    </cfRule>
  </conditionalFormatting>
  <conditionalFormatting sqref="L1496">
    <cfRule type="cellIs" dxfId="0" priority="412" operator="notEqual">
      <formula>0</formula>
    </cfRule>
  </conditionalFormatting>
  <conditionalFormatting sqref="L1497">
    <cfRule type="cellIs" dxfId="0" priority="414" operator="notEqual">
      <formula>0</formula>
    </cfRule>
  </conditionalFormatting>
  <conditionalFormatting sqref="L1498">
    <cfRule type="cellIs" dxfId="0" priority="416" operator="notEqual">
      <formula>0</formula>
    </cfRule>
  </conditionalFormatting>
  <conditionalFormatting sqref="L1499">
    <cfRule type="cellIs" dxfId="0" priority="418" operator="notEqual">
      <formula>0</formula>
    </cfRule>
  </conditionalFormatting>
  <conditionalFormatting sqref="L1500">
    <cfRule type="cellIs" dxfId="0" priority="420" operator="notEqual">
      <formula>0</formula>
    </cfRule>
  </conditionalFormatting>
  <conditionalFormatting sqref="L1501">
    <cfRule type="cellIs" dxfId="0" priority="422" operator="notEqual">
      <formula>0</formula>
    </cfRule>
  </conditionalFormatting>
  <conditionalFormatting sqref="L1504">
    <cfRule type="cellIs" dxfId="0" priority="424" operator="notEqual">
      <formula>0</formula>
    </cfRule>
  </conditionalFormatting>
  <conditionalFormatting sqref="L1505">
    <cfRule type="cellIs" dxfId="0" priority="426" operator="notEqual">
      <formula>0</formula>
    </cfRule>
  </conditionalFormatting>
  <conditionalFormatting sqref="L1506">
    <cfRule type="cellIs" dxfId="0" priority="428" operator="notEqual">
      <formula>0</formula>
    </cfRule>
  </conditionalFormatting>
  <conditionalFormatting sqref="L1507">
    <cfRule type="cellIs" dxfId="0" priority="430" operator="notEqual">
      <formula>0</formula>
    </cfRule>
  </conditionalFormatting>
  <conditionalFormatting sqref="L1508">
    <cfRule type="cellIs" dxfId="0" priority="432" operator="notEqual">
      <formula>0</formula>
    </cfRule>
  </conditionalFormatting>
  <conditionalFormatting sqref="L1509">
    <cfRule type="cellIs" dxfId="0" priority="434" operator="notEqual">
      <formula>0</formula>
    </cfRule>
  </conditionalFormatting>
  <conditionalFormatting sqref="L1510">
    <cfRule type="cellIs" dxfId="0" priority="436" operator="notEqual">
      <formula>0</formula>
    </cfRule>
  </conditionalFormatting>
  <conditionalFormatting sqref="L1511">
    <cfRule type="cellIs" dxfId="0" priority="438" operator="notEqual">
      <formula>0</formula>
    </cfRule>
  </conditionalFormatting>
  <conditionalFormatting sqref="L1512">
    <cfRule type="cellIs" dxfId="0" priority="440" operator="notEqual">
      <formula>0</formula>
    </cfRule>
  </conditionalFormatting>
  <conditionalFormatting sqref="L1513">
    <cfRule type="cellIs" dxfId="0" priority="442" operator="notEqual">
      <formula>0</formula>
    </cfRule>
  </conditionalFormatting>
  <conditionalFormatting sqref="L1514">
    <cfRule type="cellIs" dxfId="0" priority="444" operator="notEqual">
      <formula>0</formula>
    </cfRule>
  </conditionalFormatting>
  <conditionalFormatting sqref="L1515">
    <cfRule type="cellIs" dxfId="0" priority="446" operator="notEqual">
      <formula>0</formula>
    </cfRule>
  </conditionalFormatting>
  <conditionalFormatting sqref="L1516">
    <cfRule type="cellIs" dxfId="0" priority="448" operator="notEqual">
      <formula>0</formula>
    </cfRule>
  </conditionalFormatting>
  <conditionalFormatting sqref="L1517">
    <cfRule type="cellIs" dxfId="0" priority="450" operator="notEqual">
      <formula>0</formula>
    </cfRule>
  </conditionalFormatting>
  <conditionalFormatting sqref="L1520">
    <cfRule type="cellIs" dxfId="0" priority="452" operator="notEqual">
      <formula>0</formula>
    </cfRule>
  </conditionalFormatting>
  <conditionalFormatting sqref="L1521">
    <cfRule type="cellIs" dxfId="0" priority="454" operator="notEqual">
      <formula>0</formula>
    </cfRule>
  </conditionalFormatting>
  <conditionalFormatting sqref="L1522">
    <cfRule type="cellIs" dxfId="0" priority="456" operator="notEqual">
      <formula>0</formula>
    </cfRule>
  </conditionalFormatting>
  <conditionalFormatting sqref="L1523">
    <cfRule type="cellIs" dxfId="0" priority="458" operator="notEqual">
      <formula>0</formula>
    </cfRule>
  </conditionalFormatting>
  <conditionalFormatting sqref="L1524">
    <cfRule type="cellIs" dxfId="0" priority="460" operator="notEqual">
      <formula>0</formula>
    </cfRule>
  </conditionalFormatting>
  <conditionalFormatting sqref="L1525">
    <cfRule type="cellIs" dxfId="0" priority="462" operator="notEqual">
      <formula>0</formula>
    </cfRule>
  </conditionalFormatting>
  <conditionalFormatting sqref="L1526">
    <cfRule type="cellIs" dxfId="0" priority="464" operator="notEqual">
      <formula>0</formula>
    </cfRule>
  </conditionalFormatting>
  <conditionalFormatting sqref="L1527">
    <cfRule type="cellIs" dxfId="0" priority="466" operator="notEqual">
      <formula>0</formula>
    </cfRule>
  </conditionalFormatting>
  <conditionalFormatting sqref="L1528">
    <cfRule type="cellIs" dxfId="0" priority="468" operator="notEqual">
      <formula>0</formula>
    </cfRule>
  </conditionalFormatting>
  <conditionalFormatting sqref="L1529">
    <cfRule type="cellIs" dxfId="0" priority="470" operator="notEqual">
      <formula>0</formula>
    </cfRule>
  </conditionalFormatting>
  <conditionalFormatting sqref="L1530">
    <cfRule type="cellIs" dxfId="0" priority="472" operator="notEqual">
      <formula>0</formula>
    </cfRule>
  </conditionalFormatting>
  <conditionalFormatting sqref="L1531">
    <cfRule type="cellIs" dxfId="0" priority="474" operator="notEqual">
      <formula>0</formula>
    </cfRule>
  </conditionalFormatting>
  <conditionalFormatting sqref="L1532">
    <cfRule type="cellIs" dxfId="0" priority="476" operator="notEqual">
      <formula>0</formula>
    </cfRule>
  </conditionalFormatting>
  <conditionalFormatting sqref="L1533">
    <cfRule type="cellIs" dxfId="0" priority="478" operator="notEqual">
      <formula>0</formula>
    </cfRule>
  </conditionalFormatting>
  <conditionalFormatting sqref="L1536">
    <cfRule type="cellIs" dxfId="0" priority="480" operator="notEqual">
      <formula>0</formula>
    </cfRule>
  </conditionalFormatting>
  <conditionalFormatting sqref="L1537">
    <cfRule type="cellIs" dxfId="0" priority="482" operator="notEqual">
      <formula>0</formula>
    </cfRule>
  </conditionalFormatting>
  <conditionalFormatting sqref="L1538">
    <cfRule type="cellIs" dxfId="0" priority="484" operator="notEqual">
      <formula>0</formula>
    </cfRule>
  </conditionalFormatting>
  <conditionalFormatting sqref="L1539">
    <cfRule type="cellIs" dxfId="0" priority="486" operator="notEqual">
      <formula>0</formula>
    </cfRule>
  </conditionalFormatting>
  <hyperlinks>
    <hyperlink ref="C535" location="'水平地盤ばね'!F3" display="98"/>
    <hyperlink ref="C536" location="'水平地盤ばね'!F4" display="99"/>
    <hyperlink ref="C537" location="'水平地盤ばね'!F6" display="100"/>
    <hyperlink ref="C538" location="'水平地盤ばね'!F8" display="101"/>
    <hyperlink ref="C541" location="'水平地盤ばね'!F9" display="102"/>
    <hyperlink ref="C542" location="'水平地盤ばね'!F11" display="103"/>
    <hyperlink ref="C543" location="'水平地盤ばね'!F12" display="104"/>
    <hyperlink ref="C544" location="'水平地盤ばね'!F15" display="105"/>
    <hyperlink ref="C545" location="'水平地盤ばね'!F16" display="106"/>
    <hyperlink ref="C546" location="'水平地盤ばね'!F17" display="107"/>
    <hyperlink ref="C547" location="'水平地盤ばね'!F18" display="108"/>
    <hyperlink ref="C548" location="'水平地盤ばね'!F19" display="109"/>
    <hyperlink ref="C549" location="'水平地盤ばね'!F20" display="110"/>
    <hyperlink ref="C550" location="'水平地盤ばね'!F21" display="111"/>
    <hyperlink ref="C551" location="'水平地盤ばね'!F22" display="112"/>
    <hyperlink ref="C552" location="'水平地盤ばね'!F24" display="113"/>
    <hyperlink ref="C553" location="'水平地盤ばね'!F25" display="114"/>
    <hyperlink ref="C554" location="'水平地盤ばね'!F26" display="115"/>
    <hyperlink ref="C555" location="'水平地盤ばね'!F27" display="116"/>
    <hyperlink ref="C558" location="'水平地盤ばね'!F28" display="117"/>
    <hyperlink ref="C559" location="'水平地盤ばね'!F29" display="118"/>
    <hyperlink ref="C560" location="'水平地盤ばね'!F30" display="119"/>
    <hyperlink ref="C561" location="'水平地盤ばね'!F31" display="120"/>
    <hyperlink ref="C562" location="'水平地盤ばね'!F32" display="121"/>
    <hyperlink ref="C563" location="'水平地盤ばね'!M3" display="123"/>
    <hyperlink ref="C564" location="'水平地盤ばね'!M4" display="124"/>
    <hyperlink ref="C565" location="'水平地盤ばね'!M6" display="125"/>
    <hyperlink ref="C566" location="'水平地盤ばね'!M8" display="126"/>
    <hyperlink ref="C567" location="'水平地盤ばね'!M9" display="127"/>
    <hyperlink ref="C568" location="'水平地盤ばね'!M11" display="128"/>
    <hyperlink ref="C569" location="'水平地盤ばね'!M12" display="129"/>
    <hyperlink ref="C570" location="'水平地盤ばね'!M15" display="130"/>
    <hyperlink ref="C571" location="'水平地盤ばね'!M16" display="131"/>
    <hyperlink ref="C572" location="'水平地盤ばね'!M17" display="132"/>
    <hyperlink ref="C575" location="'水平地盤ばね'!M18" display="133"/>
    <hyperlink ref="C576" location="'水平地盤ばね'!M19" display="134"/>
    <hyperlink ref="C577" location="'水平地盤ばね'!M20" display="135"/>
    <hyperlink ref="C578" location="'水平地盤ばね'!M21" display="136"/>
    <hyperlink ref="C579" location="'水平地盤ばね'!M22" display="137"/>
    <hyperlink ref="C580" location="'水平地盤ばね'!M24" display="138"/>
    <hyperlink ref="C581" location="'水平地盤ばね'!M25" display="139"/>
    <hyperlink ref="C582" location="'水平地盤ばね'!M26" display="140"/>
    <hyperlink ref="C583" location="'水平地盤ばね'!M27" display="141"/>
    <hyperlink ref="C584" location="'水平地盤ばね'!M28" display="142"/>
    <hyperlink ref="C585" location="'水平地盤ばね'!M29" display="143"/>
    <hyperlink ref="C586" location="'水平地盤ばね'!M30" display="144"/>
    <hyperlink ref="C587" location="'水平地盤ばね'!M31" display="145"/>
    <hyperlink ref="C588" location="'水平地盤ばね'!M32" display="146"/>
    <hyperlink ref="C589" location="'水平地盤ばね'!T3" display="148"/>
    <hyperlink ref="C592" location="'水平地盤ばね'!T4" display="149"/>
    <hyperlink ref="C593" location="'水平地盤ばね'!T6" display="150"/>
    <hyperlink ref="C594" location="'水平地盤ばね'!T8" display="151"/>
    <hyperlink ref="C595" location="'水平地盤ばね'!T9" display="152"/>
    <hyperlink ref="C596" location="'水平地盤ばね'!T11" display="153"/>
    <hyperlink ref="C597" location="'水平地盤ばね'!T12" display="154"/>
    <hyperlink ref="C598" location="'水平地盤ばね'!T15" display="155"/>
    <hyperlink ref="C599" location="'水平地盤ばね'!T16" display="156"/>
    <hyperlink ref="C600" location="'水平地盤ばね'!T17" display="157"/>
    <hyperlink ref="C601" location="'水平地盤ばね'!T18" display="158"/>
    <hyperlink ref="C602" location="'水平地盤ばね'!T19" display="159"/>
    <hyperlink ref="C603" location="'水平地盤ばね'!T20" display="160"/>
    <hyperlink ref="C604" location="'水平地盤ばね'!T21" display="161"/>
    <hyperlink ref="C605" location="'水平地盤ばね'!T22" display="162"/>
    <hyperlink ref="C606" location="'水平地盤ばね'!T24" display="163"/>
    <hyperlink ref="C609" location="'水平地盤ばね'!T25" display="164"/>
    <hyperlink ref="C610" location="'水平地盤ばね'!T26" display="165"/>
    <hyperlink ref="C611" location="'水平地盤ばね'!T27" display="166"/>
    <hyperlink ref="C612" location="'水平地盤ばね'!T28" display="167"/>
    <hyperlink ref="C613" location="'水平地盤ばね'!T29" display="168"/>
    <hyperlink ref="C614" location="'水平地盤ばね'!T30" display="169"/>
    <hyperlink ref="C615" location="'水平地盤ばね'!T31" display="170"/>
    <hyperlink ref="C616" location="'水平地盤ばね'!T32" display="171"/>
    <hyperlink ref="D922" location="'有効抵抗土圧'!H3" display="98"/>
    <hyperlink ref="D923" location="'有効抵抗土圧'!H3" display="98"/>
    <hyperlink ref="D924" location="'有効抵抗土圧'!H5" display="99"/>
    <hyperlink ref="D925" location="'有効抵抗土圧'!H5" display="99"/>
    <hyperlink ref="D926" location="'有効抵抗土圧'!H9" display="100"/>
    <hyperlink ref="D927" location="'有効抵抗土圧'!H9" display="100"/>
    <hyperlink ref="D928" location="'有効抵抗土圧'!H13" display="101"/>
    <hyperlink ref="D929" location="'有効抵抗土圧'!H13" display="101"/>
    <hyperlink ref="D932" location="'有効抵抗土圧'!H15" display="102"/>
    <hyperlink ref="D933" location="'有効抵抗土圧'!H15" display="102"/>
    <hyperlink ref="D934" location="'有効抵抗土圧'!H19" display="103"/>
    <hyperlink ref="D935" location="'有効抵抗土圧'!H19" display="103"/>
    <hyperlink ref="D936" location="'有効抵抗土圧'!H21" display="104"/>
    <hyperlink ref="D939" location="'有効抵抗土圧'!H21" display="104"/>
    <hyperlink ref="D940" location="'有効抵抗土圧'!H27" display="105"/>
    <hyperlink ref="D941" location="'有効抵抗土圧'!H27" display="105"/>
    <hyperlink ref="D942" location="'有効抵抗土圧'!H29" display="106"/>
    <hyperlink ref="D943" location="'有効抵抗土圧'!H29" display="106"/>
    <hyperlink ref="D946" location="'有効抵抗土圧'!H31" display="107"/>
    <hyperlink ref="D947" location="'有効抵抗土圧'!H31" display="107"/>
    <hyperlink ref="D948" location="'有効抵抗土圧'!H33" display="108"/>
    <hyperlink ref="D949" location="'有効抵抗土圧'!H33" display="108"/>
    <hyperlink ref="D950" location="'有効抵抗土圧'!H35" display="109"/>
    <hyperlink ref="D953" location="'有効抵抗土圧'!H35" display="109"/>
    <hyperlink ref="D954" location="'有効抵抗土圧'!H37" display="110"/>
    <hyperlink ref="D955" location="'有効抵抗土圧'!H37" display="110"/>
    <hyperlink ref="D956" location="'有効抵抗土圧'!H39" display="111"/>
    <hyperlink ref="D957" location="'有効抵抗土圧'!H39" display="111"/>
    <hyperlink ref="D960" location="'有効抵抗土圧'!H41" display="112"/>
    <hyperlink ref="D961" location="'有効抵抗土圧'!H41" display="112"/>
    <hyperlink ref="D962" location="'有効抵抗土圧'!H45" display="113"/>
    <hyperlink ref="D963" location="'有効抵抗土圧'!H45" display="113"/>
    <hyperlink ref="D964" location="'有効抵抗土圧'!H47" display="114"/>
    <hyperlink ref="D965" location="'有効抵抗土圧'!H47" display="114"/>
    <hyperlink ref="D966" location="'有効抵抗土圧'!H49" display="115"/>
    <hyperlink ref="D967" location="'有効抵抗土圧'!H49" display="115"/>
    <hyperlink ref="D968" location="'有効抵抗土圧'!H51" display="116"/>
    <hyperlink ref="D969" location="'有効抵抗土圧'!H51" display="116"/>
    <hyperlink ref="D970" location="'有効抵抗土圧'!H53" display="117"/>
    <hyperlink ref="D973" location="'有効抵抗土圧'!H53" display="117"/>
    <hyperlink ref="D974" location="'有効抵抗土圧'!H55" display="118"/>
    <hyperlink ref="D975" location="'有効抵抗土圧'!H55" display="118"/>
    <hyperlink ref="D976" location="'有効抵抗土圧'!H57" display="119"/>
    <hyperlink ref="D977" location="'有効抵抗土圧'!H57" display="119"/>
    <hyperlink ref="D978" location="'有効抵抗土圧'!H59" display="120"/>
    <hyperlink ref="D979" location="'有効抵抗土圧'!H59" display="120"/>
    <hyperlink ref="D980" location="'有効抵抗土圧'!H61" display="121"/>
    <hyperlink ref="D981" location="'有効抵抗土圧'!H61" display="121"/>
    <hyperlink ref="D982" location="'有効抵抗土圧'!Q3" display="123"/>
    <hyperlink ref="D983" location="'有効抵抗土圧'!Q3" display="123"/>
    <hyperlink ref="D986" location="'有効抵抗土圧'!Q5" display="124"/>
    <hyperlink ref="D987" location="'有効抵抗土圧'!Q5" display="124"/>
    <hyperlink ref="D988" location="'有効抵抗土圧'!Q9" display="125"/>
    <hyperlink ref="D989" location="'有効抵抗土圧'!Q9" display="125"/>
    <hyperlink ref="D990" location="'有効抵抗土圧'!Q13" display="126"/>
    <hyperlink ref="D991" location="'有効抵抗土圧'!Q13" display="126"/>
    <hyperlink ref="D994" location="'有効抵抗土圧'!Q15" display="127"/>
    <hyperlink ref="D995" location="'有効抵抗土圧'!Q15" display="127"/>
    <hyperlink ref="D996" location="'有効抵抗土圧'!Q19" display="128"/>
    <hyperlink ref="D997" location="'有効抵抗土圧'!Q19" display="128"/>
    <hyperlink ref="D998" location="'有効抵抗土圧'!Q21" display="129"/>
    <hyperlink ref="D1001" location="'有効抵抗土圧'!Q21" display="129"/>
    <hyperlink ref="D1002" location="'有効抵抗土圧'!Q27" display="130"/>
    <hyperlink ref="D1003" location="'有効抵抗土圧'!Q27" display="130"/>
    <hyperlink ref="D1004" location="'有効抵抗土圧'!Q29" display="131"/>
    <hyperlink ref="D1005" location="'有効抵抗土圧'!Q29" display="131"/>
    <hyperlink ref="D1008" location="'有効抵抗土圧'!Q31" display="132"/>
    <hyperlink ref="D1009" location="'有効抵抗土圧'!Q31" display="132"/>
    <hyperlink ref="D1010" location="'有効抵抗土圧'!Q33" display="133"/>
    <hyperlink ref="D1011" location="'有効抵抗土圧'!Q33" display="133"/>
    <hyperlink ref="D1012" location="'有効抵抗土圧'!Q35" display="134"/>
    <hyperlink ref="D1015" location="'有効抵抗土圧'!Q35" display="134"/>
    <hyperlink ref="D1016" location="'有効抵抗土圧'!Q37" display="135"/>
    <hyperlink ref="D1017" location="'有効抵抗土圧'!Q37" display="135"/>
    <hyperlink ref="D1018" location="'有効抵抗土圧'!Q39" display="136"/>
    <hyperlink ref="D1019" location="'有効抵抗土圧'!Q39" display="136"/>
    <hyperlink ref="D1022" location="'有効抵抗土圧'!Q41" display="137"/>
    <hyperlink ref="D1023" location="'有効抵抗土圧'!Q41" display="137"/>
    <hyperlink ref="D1024" location="'有効抵抗土圧'!Q45" display="138"/>
    <hyperlink ref="D1025" location="'有効抵抗土圧'!Q45" display="138"/>
    <hyperlink ref="D1026" location="'有効抵抗土圧'!Q47" display="139"/>
    <hyperlink ref="D1027" location="'有効抵抗土圧'!Q47" display="139"/>
    <hyperlink ref="D1028" location="'有効抵抗土圧'!Q49" display="140"/>
    <hyperlink ref="D1029" location="'有効抵抗土圧'!Q49" display="140"/>
    <hyperlink ref="D1030" location="'有効抵抗土圧'!Q51" display="141"/>
    <hyperlink ref="D1031" location="'有効抵抗土圧'!Q51" display="141"/>
    <hyperlink ref="D1032" location="'有効抵抗土圧'!Q53" display="142"/>
    <hyperlink ref="D1035" location="'有効抵抗土圧'!Q53" display="142"/>
    <hyperlink ref="D1036" location="'有効抵抗土圧'!Q55" display="143"/>
    <hyperlink ref="D1037" location="'有効抵抗土圧'!Q55" display="143"/>
    <hyperlink ref="D1038" location="'有効抵抗土圧'!Q57" display="144"/>
    <hyperlink ref="D1039" location="'有効抵抗土圧'!Q57" display="144"/>
    <hyperlink ref="D1040" location="'有効抵抗土圧'!Q59" display="145"/>
    <hyperlink ref="D1041" location="'有効抵抗土圧'!Q59" display="145"/>
    <hyperlink ref="D1042" location="'有効抵抗土圧'!Q61" display="146"/>
    <hyperlink ref="D1043" location="'有効抵抗土圧'!Q61" display="146"/>
    <hyperlink ref="D1044" location="'有効抵抗土圧'!Z3" display="148"/>
    <hyperlink ref="D1045" location="'有効抵抗土圧'!Z3" display="148"/>
    <hyperlink ref="D1046" location="'有効抵抗土圧'!Z5" display="149"/>
    <hyperlink ref="D1049" location="'有効抵抗土圧'!Z5" display="149"/>
    <hyperlink ref="D1050" location="'有効抵抗土圧'!Z9" display="150"/>
    <hyperlink ref="D1051" location="'有効抵抗土圧'!Z9" display="150"/>
    <hyperlink ref="D1052" location="'有効抵抗土圧'!Z13" display="151"/>
    <hyperlink ref="D1053" location="'有効抵抗土圧'!Z13" display="151"/>
    <hyperlink ref="D1054" location="'有効抵抗土圧'!Z15" display="152"/>
    <hyperlink ref="D1057" location="'有効抵抗土圧'!Z15" display="152"/>
    <hyperlink ref="D1058" location="'有効抵抗土圧'!Z19" display="153"/>
    <hyperlink ref="D1059" location="'有効抵抗土圧'!Z19" display="153"/>
    <hyperlink ref="D1060" location="'有効抵抗土圧'!Z21" display="154"/>
    <hyperlink ref="D1061" location="'有効抵抗土圧'!Z21" display="154"/>
    <hyperlink ref="D1064" location="'有効抵抗土圧'!Z27" display="155"/>
    <hyperlink ref="D1065" location="'有効抵抗土圧'!Z27" display="155"/>
    <hyperlink ref="D1066" location="'有効抵抗土圧'!Z29" display="156"/>
    <hyperlink ref="D1067" location="'有効抵抗土圧'!Z29" display="156"/>
    <hyperlink ref="D1068" location="'有効抵抗土圧'!Z31" display="157"/>
    <hyperlink ref="D1071" location="'有効抵抗土圧'!Z31" display="157"/>
    <hyperlink ref="D1072" location="'有効抵抗土圧'!Z33" display="158"/>
    <hyperlink ref="D1073" location="'有効抵抗土圧'!Z33" display="158"/>
    <hyperlink ref="D1074" location="'有効抵抗土圧'!Z35" display="159"/>
    <hyperlink ref="D1075" location="'有効抵抗土圧'!Z35" display="159"/>
    <hyperlink ref="D1078" location="'有効抵抗土圧'!Z37" display="160"/>
    <hyperlink ref="D1079" location="'有効抵抗土圧'!Z37" display="160"/>
    <hyperlink ref="D1080" location="'有効抵抗土圧'!Z39" display="161"/>
    <hyperlink ref="D1081" location="'有効抵抗土圧'!Z39" display="161"/>
    <hyperlink ref="D1082" location="'有効抵抗土圧'!Z41" display="162"/>
    <hyperlink ref="D1085" location="'有効抵抗土圧'!Z41" display="162"/>
    <hyperlink ref="D1086" location="'有効抵抗土圧'!Z45" display="163"/>
    <hyperlink ref="D1087" location="'有効抵抗土圧'!Z45" display="163"/>
    <hyperlink ref="D1088" location="'有効抵抗土圧'!Z47" display="164"/>
    <hyperlink ref="D1089" location="'有効抵抗土圧'!Z47" display="164"/>
    <hyperlink ref="D1090" location="'有効抵抗土圧'!Z49" display="165"/>
    <hyperlink ref="D1091" location="'有効抵抗土圧'!Z49" display="165"/>
    <hyperlink ref="D1092" location="'有効抵抗土圧'!Z51" display="166"/>
    <hyperlink ref="D1093" location="'有効抵抗土圧'!Z51" display="166"/>
    <hyperlink ref="D1094" location="'有効抵抗土圧'!Z53" display="167"/>
    <hyperlink ref="D1095" location="'有効抵抗土圧'!Z53" display="167"/>
    <hyperlink ref="D1096" location="'有効抵抗土圧'!Z55" display="168"/>
    <hyperlink ref="D1097" location="'有効抵抗土圧'!Z55" display="168"/>
    <hyperlink ref="D1100" location="'有効抵抗土圧'!Z57" display="169"/>
    <hyperlink ref="D1101" location="'有効抵抗土圧'!Z57" display="169"/>
    <hyperlink ref="D1102" location="'有効抵抗土圧'!Z59" display="170"/>
    <hyperlink ref="D1103" location="'有効抵抗土圧'!Z59" display="170"/>
    <hyperlink ref="D1104" location="'有効抵抗土圧'!Z61" display="171"/>
    <hyperlink ref="D1105" location="'有効抵抗土圧'!Z61" display="171"/>
    <hyperlink ref="C1472" location="'杭周面ばね'!F9" display="102"/>
    <hyperlink ref="D1472" location="'杭周面の支持力'!F9" display="1"/>
    <hyperlink ref="C1473" location="'杭周面ばね'!F12" display="103"/>
    <hyperlink ref="D1473" location="'杭周面の支持力'!F12" display="2"/>
    <hyperlink ref="C1474" location="'杭周面ばね'!F13" display="104"/>
    <hyperlink ref="D1474" location="'杭周面の支持力'!F13" display="3"/>
    <hyperlink ref="C1475" location="'杭周面ばね'!F15" display="105"/>
    <hyperlink ref="D1475" location="'杭周面の支持力'!F15" display="4"/>
    <hyperlink ref="C1476" location="'杭周面ばね'!F17" display="106"/>
    <hyperlink ref="D1476" location="'杭周面の支持力'!F17" display="5"/>
    <hyperlink ref="C1477" location="'杭周面ばね'!F18" display="107"/>
    <hyperlink ref="D1477" location="'杭周面の支持力'!F18" display="6"/>
    <hyperlink ref="C1478" location="'杭周面ばね'!F19" display="108"/>
    <hyperlink ref="D1478" location="'杭周面の支持力'!F19" display="7"/>
    <hyperlink ref="C1479" location="'杭周面ばね'!F20" display="109"/>
    <hyperlink ref="D1479" location="'杭周面の支持力'!F20" display="8"/>
    <hyperlink ref="C1480" location="'杭周面ばね'!F21" display="110"/>
    <hyperlink ref="D1480" location="'杭周面の支持力'!F21" display="9"/>
    <hyperlink ref="C1481" location="'杭周面ばね'!F22" display="111"/>
    <hyperlink ref="D1481" location="'杭周面の支持力'!F22" display="10"/>
    <hyperlink ref="C1482" location="'杭周面ばね'!F23" display="112"/>
    <hyperlink ref="D1482" location="'杭周面の支持力'!F23" display="11"/>
    <hyperlink ref="C1483" location="'杭周面ばね'!F25" display="113"/>
    <hyperlink ref="D1483" location="'杭周面の支持力'!F25" display="12"/>
    <hyperlink ref="C1484" location="'杭周面ばね'!F26" display="114"/>
    <hyperlink ref="D1484" location="'杭周面の支持力'!F26" display="13"/>
    <hyperlink ref="C1485" location="'杭周面ばね'!F27" display="115"/>
    <hyperlink ref="D1485" location="'杭周面の支持力'!F27" display="14"/>
    <hyperlink ref="C1488" location="'杭周面ばね'!F28" display="116"/>
    <hyperlink ref="D1488" location="'杭周面の支持力'!F28" display="15"/>
    <hyperlink ref="C1489" location="'杭周面ばね'!F29" display="117"/>
    <hyperlink ref="D1489" location="'杭周面の支持力'!F29" display="16"/>
    <hyperlink ref="C1490" location="'杭周面ばね'!F30" display="118"/>
    <hyperlink ref="D1490" location="'杭周面の支持力'!F30" display="17"/>
    <hyperlink ref="C1491" location="'杭周面ばね'!F31" display="119"/>
    <hyperlink ref="D1491" location="'杭周面の支持力'!F31" display="18"/>
    <hyperlink ref="C1492" location="'杭周面ばね'!F32" display="120"/>
    <hyperlink ref="D1492" location="'杭周面の支持力'!F32" display="19"/>
    <hyperlink ref="C1493" location="'杭周面ばね'!F33" display="121"/>
    <hyperlink ref="D1493" location="'杭周面の支持力'!F33" display="20"/>
    <hyperlink ref="C1494" location="'杭周面ばね'!M9" display="127"/>
    <hyperlink ref="D1494" location="'杭周面の支持力'!M9" display="21"/>
    <hyperlink ref="C1495" location="'杭周面ばね'!M12" display="128"/>
    <hyperlink ref="D1495" location="'杭周面の支持力'!M12" display="22"/>
    <hyperlink ref="C1496" location="'杭周面ばね'!M13" display="129"/>
    <hyperlink ref="D1496" location="'杭周面の支持力'!M13" display="23"/>
    <hyperlink ref="C1497" location="'杭周面ばね'!M15" display="130"/>
    <hyperlink ref="D1497" location="'杭周面の支持力'!M15" display="24"/>
    <hyperlink ref="C1498" location="'杭周面ばね'!M17" display="131"/>
    <hyperlink ref="D1498" location="'杭周面の支持力'!M17" display="25"/>
    <hyperlink ref="C1499" location="'杭周面ばね'!M18" display="132"/>
    <hyperlink ref="D1499" location="'杭周面の支持力'!M18" display="26"/>
    <hyperlink ref="C1500" location="'杭周面ばね'!M19" display="133"/>
    <hyperlink ref="D1500" location="'杭周面の支持力'!M19" display="27"/>
    <hyperlink ref="C1501" location="'杭周面ばね'!M20" display="134"/>
    <hyperlink ref="D1501" location="'杭周面の支持力'!M20" display="28"/>
    <hyperlink ref="C1504" location="'杭周面ばね'!M21" display="135"/>
    <hyperlink ref="D1504" location="'杭周面の支持力'!M21" display="29"/>
    <hyperlink ref="C1505" location="'杭周面ばね'!M22" display="136"/>
    <hyperlink ref="D1505" location="'杭周面の支持力'!M22" display="30"/>
    <hyperlink ref="C1506" location="'杭周面ばね'!M23" display="137"/>
    <hyperlink ref="D1506" location="'杭周面の支持力'!M23" display="31"/>
    <hyperlink ref="C1507" location="'杭周面ばね'!M25" display="138"/>
    <hyperlink ref="D1507" location="'杭周面の支持力'!M25" display="32"/>
    <hyperlink ref="C1508" location="'杭周面ばね'!M26" display="139"/>
    <hyperlink ref="D1508" location="'杭周面の支持力'!M26" display="33"/>
    <hyperlink ref="C1509" location="'杭周面ばね'!M27" display="140"/>
    <hyperlink ref="D1509" location="'杭周面の支持力'!M27" display="34"/>
    <hyperlink ref="C1510" location="'杭周面ばね'!M28" display="141"/>
    <hyperlink ref="D1510" location="'杭周面の支持力'!M28" display="35"/>
    <hyperlink ref="C1511" location="'杭周面ばね'!M29" display="142"/>
    <hyperlink ref="D1511" location="'杭周面の支持力'!M29" display="36"/>
    <hyperlink ref="C1512" location="'杭周面ばね'!M30" display="143"/>
    <hyperlink ref="D1512" location="'杭周面の支持力'!M30" display="37"/>
    <hyperlink ref="C1513" location="'杭周面ばね'!M31" display="144"/>
    <hyperlink ref="D1513" location="'杭周面の支持力'!M31" display="38"/>
    <hyperlink ref="C1514" location="'杭周面ばね'!M32" display="145"/>
    <hyperlink ref="D1514" location="'杭周面の支持力'!M32" display="39"/>
    <hyperlink ref="C1515" location="'杭周面ばね'!M33" display="146"/>
    <hyperlink ref="D1515" location="'杭周面の支持力'!M33" display="40"/>
    <hyperlink ref="C1516" location="'杭周面ばね'!T9" display="152"/>
    <hyperlink ref="D1516" location="'杭周面の支持力'!T9" display="41"/>
    <hyperlink ref="C1517" location="'杭周面ばね'!T12" display="153"/>
    <hyperlink ref="D1517" location="'杭周面の支持力'!T12" display="42"/>
    <hyperlink ref="C1520" location="'杭周面ばね'!T13" display="154"/>
    <hyperlink ref="D1520" location="'杭周面の支持力'!T13" display="43"/>
    <hyperlink ref="C1521" location="'杭周面ばね'!T15" display="155"/>
    <hyperlink ref="D1521" location="'杭周面の支持力'!T15" display="44"/>
    <hyperlink ref="C1522" location="'杭周面ばね'!T17" display="156"/>
    <hyperlink ref="D1522" location="'杭周面の支持力'!T17" display="45"/>
    <hyperlink ref="C1523" location="'杭周面ばね'!T18" display="157"/>
    <hyperlink ref="D1523" location="'杭周面の支持力'!T18" display="46"/>
    <hyperlink ref="C1524" location="'杭周面ばね'!T19" display="158"/>
    <hyperlink ref="D1524" location="'杭周面の支持力'!T19" display="47"/>
    <hyperlink ref="C1525" location="'杭周面ばね'!T20" display="159"/>
    <hyperlink ref="D1525" location="'杭周面の支持力'!T20" display="48"/>
    <hyperlink ref="C1526" location="'杭周面ばね'!T21" display="160"/>
    <hyperlink ref="D1526" location="'杭周面の支持力'!T21" display="49"/>
    <hyperlink ref="C1527" location="'杭周面ばね'!T22" display="161"/>
    <hyperlink ref="D1527" location="'杭周面の支持力'!T22" display="50"/>
    <hyperlink ref="C1528" location="'杭周面ばね'!T23" display="162"/>
    <hyperlink ref="D1528" location="'杭周面の支持力'!T23" display="51"/>
    <hyperlink ref="C1529" location="'杭周面ばね'!T25" display="163"/>
    <hyperlink ref="D1529" location="'杭周面の支持力'!T25" display="52"/>
    <hyperlink ref="C1530" location="'杭周面ばね'!T26" display="164"/>
    <hyperlink ref="D1530" location="'杭周面の支持力'!T26" display="53"/>
    <hyperlink ref="C1531" location="'杭周面ばね'!T27" display="165"/>
    <hyperlink ref="D1531" location="'杭周面の支持力'!T27" display="54"/>
    <hyperlink ref="C1532" location="'杭周面ばね'!T28" display="166"/>
    <hyperlink ref="D1532" location="'杭周面の支持力'!T28" display="55"/>
    <hyperlink ref="C1533" location="'杭周面ばね'!T29" display="167"/>
    <hyperlink ref="D1533" location="'杭周面の支持力'!T29" display="56"/>
    <hyperlink ref="C1536" location="'杭周面ばね'!T30" display="168"/>
    <hyperlink ref="D1536" location="'杭周面の支持力'!T30" display="57"/>
    <hyperlink ref="C1537" location="'杭周面ばね'!T31" display="169"/>
    <hyperlink ref="D1537" location="'杭周面の支持力'!T31" display="58"/>
    <hyperlink ref="C1538" location="'杭周面ばね'!T32" display="170"/>
    <hyperlink ref="D1538" location="'杭周面の支持力'!T32" display="59"/>
    <hyperlink ref="C1539" location="'杭周面ばね'!T33" display="171"/>
    <hyperlink ref="D1539" location="'杭周面の支持力'!T33" display="60"/>
    <hyperlink ref="E1762" location="'杭先端ばね'!B4" display="K1"/>
    <hyperlink ref="E1763" location="'杭先端ばね'!C4" display="K2"/>
    <hyperlink ref="E1764" location="'杭先端ばね'!B12" display="Fy"/>
    <hyperlink ref="E1765" location="'杭先端ばね'!C12" display="Fu"/>
    <hyperlink ref="E1766" location="'杭先端ばね'!B5" display="K1"/>
    <hyperlink ref="E1767" location="'杭先端ばね'!C5" display="K2"/>
    <hyperlink ref="E1768" location="'杭先端ばね'!B13" display="Fy"/>
    <hyperlink ref="E1769" location="'杭先端ばね'!C13" display="Fu"/>
    <hyperlink ref="E1770" location="'杭先端ばね'!B6" display="K1"/>
    <hyperlink ref="E1771" location="'杭先端ばね'!C6" display="K2"/>
    <hyperlink ref="E1772" location="'杭先端ばね'!B14" display="Fy"/>
    <hyperlink ref="E1773" location="'杭先端ばね'!C14" display="Fu"/>
  </hyperlinks>
  <pageMargins left="0.25" right="0.25" top="0.35" bottom="0.35" header="0.3" footer="0.3"/>
  <pageSetup paperSize="9" scale="76" orientation="landscape"/>
  <headerFooter>
    <oddFooter>&amp;L入力根拠&amp;R&amp;P / &amp;N</oddFooter>
  </headerFooter>
  <rowBreaks count="123" manualBreakCount="123">
    <brk id="20" max="16383" man="1"/>
    <brk id="36" max="16383" man="1"/>
    <brk id="53" max="16383" man="1"/>
    <brk id="70" max="16383" man="1"/>
    <brk id="87" max="16383" man="1"/>
    <brk id="104" max="16383" man="1"/>
    <brk id="121" max="16383" man="1"/>
    <brk id="138" max="16383" man="1"/>
    <brk id="155" max="16383" man="1"/>
    <brk id="170" max="16383" man="1"/>
    <brk id="185" max="16383" man="1"/>
    <brk id="200" max="16383" man="1"/>
    <brk id="214" max="16383" man="1"/>
    <brk id="230" max="16383" man="1"/>
    <brk id="246" max="16383" man="1"/>
    <brk id="262" max="16383" man="1"/>
    <brk id="278" max="16383" man="1"/>
    <brk id="294" max="16383" man="1"/>
    <brk id="310" max="16383" man="1"/>
    <brk id="326" max="16383" man="1"/>
    <brk id="342" max="16383" man="1"/>
    <brk id="358" max="16383" man="1"/>
    <brk id="374" max="16383" man="1"/>
    <brk id="390" max="16383" man="1"/>
    <brk id="406" max="16383" man="1"/>
    <brk id="421" max="16383" man="1"/>
    <brk id="438" max="16383" man="1"/>
    <brk id="454" max="16383" man="1"/>
    <brk id="471" max="16383" man="1"/>
    <brk id="488" max="16383" man="1"/>
    <brk id="505" max="16383" man="1"/>
    <brk id="522" max="16383" man="1"/>
    <brk id="538" max="16383" man="1"/>
    <brk id="555" max="16383" man="1"/>
    <brk id="572" max="16383" man="1"/>
    <brk id="589" max="16383" man="1"/>
    <brk id="606" max="16383" man="1"/>
    <brk id="622" max="16383" man="1"/>
    <brk id="638" max="16383" man="1"/>
    <brk id="654" max="16383" man="1"/>
    <brk id="670" max="16383" man="1"/>
    <brk id="686" max="16383" man="1"/>
    <brk id="702" max="16383" man="1"/>
    <brk id="719" max="16383" man="1"/>
    <brk id="735" max="16383" man="1"/>
    <brk id="752" max="16383" man="1"/>
    <brk id="769" max="16383" man="1"/>
    <brk id="786" max="16383" man="1"/>
    <brk id="803" max="16383" man="1"/>
    <brk id="819" max="16383" man="1"/>
    <brk id="836" max="16383" man="1"/>
    <brk id="853" max="16383" man="1"/>
    <brk id="870" max="16383" man="1"/>
    <brk id="887" max="16383" man="1"/>
    <brk id="904" max="16383" man="1"/>
    <brk id="919" max="16383" man="1"/>
    <brk id="929" max="16383" man="1"/>
    <brk id="936" max="16383" man="1"/>
    <brk id="943" max="16383" man="1"/>
    <brk id="950" max="16383" man="1"/>
    <brk id="957" max="16383" man="1"/>
    <brk id="970" max="16383" man="1"/>
    <brk id="983" max="16383" man="1"/>
    <brk id="991" max="16383" man="1"/>
    <brk id="998" max="16383" man="1"/>
    <brk id="1005" max="16383" man="1"/>
    <brk id="1012" max="16383" man="1"/>
    <brk id="1019" max="16383" man="1"/>
    <brk id="1032" max="16383" man="1"/>
    <brk id="1046" max="16383" man="1"/>
    <brk id="1054" max="16383" man="1"/>
    <brk id="1061" max="16383" man="1"/>
    <brk id="1068" max="16383" man="1"/>
    <brk id="1075" max="16383" man="1"/>
    <brk id="1082" max="16383" man="1"/>
    <brk id="1097" max="16383" man="1"/>
    <brk id="1111" max="16383" man="1"/>
    <brk id="1128" max="16383" man="1"/>
    <brk id="1144" max="16383" man="1"/>
    <brk id="1161" max="16383" man="1"/>
    <brk id="1177" max="16383" man="1"/>
    <brk id="1194" max="16383" man="1"/>
    <brk id="1211" max="16383" man="1"/>
    <brk id="1228" max="16383" man="1"/>
    <brk id="1245" max="16383" man="1"/>
    <brk id="1259" max="16383" man="1"/>
    <brk id="1276" max="16383" man="1"/>
    <brk id="1293" max="16383" man="1"/>
    <brk id="1310" max="16383" man="1"/>
    <brk id="1327" max="16383" man="1"/>
    <brk id="1344" max="16383" man="1"/>
    <brk id="1361" max="16383" man="1"/>
    <brk id="1373" max="16383" man="1"/>
    <brk id="1378" max="16383" man="1"/>
    <brk id="1389" max="16383" man="1"/>
    <brk id="1401" max="16383" man="1"/>
    <brk id="1408" max="16383" man="1"/>
    <brk id="1417" max="16383" man="1"/>
    <brk id="1429" max="16383" man="1"/>
    <brk id="1438" max="16383" man="1"/>
    <brk id="1445" max="16383" man="1"/>
    <brk id="1457" max="16383" man="1"/>
    <brk id="1469" max="16383" man="1"/>
    <brk id="1485" max="16383" man="1"/>
    <brk id="1501" max="16383" man="1"/>
    <brk id="1517" max="16383" man="1"/>
    <brk id="1533" max="16383" man="1"/>
    <brk id="1549" max="16383" man="1"/>
    <brk id="1566" max="16383" man="1"/>
    <brk id="1583" max="16383" man="1"/>
    <brk id="1600" max="16383" man="1"/>
    <brk id="1616" max="16383" man="1"/>
    <brk id="1633" max="16383" man="1"/>
    <brk id="1650" max="16383" man="1"/>
    <brk id="1667" max="16383" man="1"/>
    <brk id="1682" max="16383" man="1"/>
    <brk id="1698" max="16383" man="1"/>
    <brk id="1714" max="16383" man="1"/>
    <brk id="1730" max="16383" man="1"/>
    <brk id="1746" max="16383" man="1"/>
    <brk id="1759" max="16383" man="1"/>
    <brk id="1774" max="16383" man="1"/>
    <brk id="179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13</vt:i4>
      </vt:variant>
    </vt:vector>
  </HeadingPairs>
  <TitlesOfParts>
    <vt:vector size="20" baseType="lpstr">
      <vt:lpstr>変換結果</vt:lpstr>
      <vt:lpstr>水平地盤ばね</vt:lpstr>
      <vt:lpstr>有効抵抗土圧</vt:lpstr>
      <vt:lpstr>杭周面ばね</vt:lpstr>
      <vt:lpstr>杭周面の支持力</vt:lpstr>
      <vt:lpstr>杭先端ばね</vt:lpstr>
      <vt:lpstr>入力根拠</vt:lpstr>
      <vt:lpstr>入力根拠!Print_Area</vt:lpstr>
      <vt:lpstr>変換結果!Print_Area</vt:lpstr>
      <vt:lpstr>有効抵抗土圧!Print_Area</vt:lpstr>
      <vt:lpstr>杭先端ばね!Print_Area</vt:lpstr>
      <vt:lpstr>杭周面の支持力!Print_Area</vt:lpstr>
      <vt:lpstr>杭周面ばね!Print_Area</vt:lpstr>
      <vt:lpstr>水平地盤ばね!Print_Area</vt:lpstr>
      <vt:lpstr>入力根拠!Print_Titles</vt:lpstr>
      <vt:lpstr>変換結果!Print_Titles</vt:lpstr>
      <vt:lpstr>有効抵抗土圧!Print_Titles</vt:lpstr>
      <vt:lpstr>杭周面の支持力!Print_Titles</vt:lpstr>
      <vt:lpstr>杭周面ばね!Print_Titles</vt:lpstr>
      <vt:lpstr>水平地盤ばね!Print_Titles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2026-09-17T15:52:33Z</dcterms:created>
  <dcterms:modified xsi:type="dcterms:W3CDTF">2026-09-17T15:52:33Z</dcterms:modified>
</cp:coreProperties>
</file>