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先端ばね" sheetId="5" r:id="rId5"/>
    <sheet name="入力根拠" sheetId="6" r:id="rId6"/>
  </sheets>
  <definedNames>
    <definedName name="_xlnm.Print_Area" localSheetId="5">入力根拠!$A$1:$L$685</definedName>
    <definedName name="_xlnm.Print_Area" localSheetId="0">変換結果!$A$1:$L$1201</definedName>
    <definedName name="_xlnm.Print_Area" localSheetId="2">有効抵抗土圧!$A$1:$L$545</definedName>
    <definedName name="_xlnm.Print_Area" localSheetId="4">杭先端ばね!$A$1:$L$46</definedName>
    <definedName name="_xlnm.Print_Area" localSheetId="3">杭周面ばね!$A$1:$L$639</definedName>
    <definedName name="_xlnm.Print_Area" localSheetId="1">水平地盤ばね!$A$1:$U$34</definedName>
    <definedName name="_xlnm.Print_Titles" localSheetId="5">入力根拠!$1:$4</definedName>
    <definedName name="_xlnm.Print_Titles" localSheetId="0">変換結果!$1:$4</definedName>
    <definedName name="_xlnm.Print_Titles" localSheetId="2">有効抵抗土圧!$1:$4</definedName>
    <definedName name="_xlnm.Print_Titles" localSheetId="4">杭先端ばね!$1:$4</definedName>
    <definedName name="_xlnm.Print_Titles" localSheetId="3">杭周面ばね!$1:$4</definedName>
    <definedName name="_xlnm.Print_Titles" localSheetId="1">水平地盤ばね!$1:$2</definedName>
  </definedNames>
  <calcPr calcId="124519" fullCalcOnLoad="1"/>
</workbook>
</file>

<file path=xl/sharedStrings.xml><?xml version="1.0" encoding="utf-8"?>
<sst xmlns="http://schemas.openxmlformats.org/spreadsheetml/2006/main" count="7685" uniqueCount="989">
  <si>
    <t>変換結果</t>
  </si>
  <si>
    <t>計算確認・モデル未保存　2026-09-17T20:39:45.520468+09:00</t>
  </si>
  <si>
    <t>青文字：原値　黄色：変換時の実入力（固定）　数式：再計算値。条件変更時はアプリから再実行してください。</t>
  </si>
  <si>
    <t>モデル: C:\Users\sasai\Documents\structural-design\test\今町橋りょう4P(C方向･右押し→).ndu</t>
  </si>
  <si>
    <t>計算対象 207件　変更 0件　追加 0件　同値 207件　保留 0件</t>
  </si>
  <si>
    <t>周面の抵抗0による除外: 12節点</t>
  </si>
  <si>
    <t>部材の実入力</t>
  </si>
  <si>
    <t>計算明細</t>
  </si>
  <si>
    <t>KG</t>
  </si>
  <si>
    <t>列</t>
  </si>
  <si>
    <t>部材</t>
  </si>
  <si>
    <t>上端節点</t>
  </si>
  <si>
    <t>下端節点</t>
  </si>
  <si>
    <t>水平ばね
(kN/m²)</t>
  </si>
  <si>
    <t>上端土圧
(kN/m)</t>
  </si>
  <si>
    <t>下端土圧
(kN/m)</t>
  </si>
  <si>
    <t>NDU行</t>
  </si>
  <si>
    <t>部材98</t>
  </si>
  <si>
    <t>部材99</t>
  </si>
  <si>
    <t>部材100</t>
  </si>
  <si>
    <t>部材101</t>
  </si>
  <si>
    <t>部材102</t>
  </si>
  <si>
    <t>部材103</t>
  </si>
  <si>
    <t>部材104</t>
  </si>
  <si>
    <t>部材105</t>
  </si>
  <si>
    <t>部材106</t>
  </si>
  <si>
    <t>部材107</t>
  </si>
  <si>
    <t>部材108</t>
  </si>
  <si>
    <t>部材109</t>
  </si>
  <si>
    <t>部材110</t>
  </si>
  <si>
    <t>部材111</t>
  </si>
  <si>
    <t>部材112</t>
  </si>
  <si>
    <t>部材113</t>
  </si>
  <si>
    <t>部材114</t>
  </si>
  <si>
    <t>部材115</t>
  </si>
  <si>
    <t>部材116</t>
  </si>
  <si>
    <t>部材117</t>
  </si>
  <si>
    <t>部材118</t>
  </si>
  <si>
    <t>部材119</t>
  </si>
  <si>
    <t>部材120</t>
  </si>
  <si>
    <t>部材121</t>
  </si>
  <si>
    <t>部材123</t>
  </si>
  <si>
    <t>部材124</t>
  </si>
  <si>
    <t>部材125</t>
  </si>
  <si>
    <t>部材126</t>
  </si>
  <si>
    <t>部材127</t>
  </si>
  <si>
    <t>部材128</t>
  </si>
  <si>
    <t>部材129</t>
  </si>
  <si>
    <t>部材130</t>
  </si>
  <si>
    <t>部材131</t>
  </si>
  <si>
    <t>部材132</t>
  </si>
  <si>
    <t>部材133</t>
  </si>
  <si>
    <t>部材134</t>
  </si>
  <si>
    <t>部材135</t>
  </si>
  <si>
    <t>部材136</t>
  </si>
  <si>
    <t>部材137</t>
  </si>
  <si>
    <t>部材138</t>
  </si>
  <si>
    <t>部材139</t>
  </si>
  <si>
    <t>部材140</t>
  </si>
  <si>
    <t>部材141</t>
  </si>
  <si>
    <t>部材142</t>
  </si>
  <si>
    <t>部材143</t>
  </si>
  <si>
    <t>部材144</t>
  </si>
  <si>
    <t>部材145</t>
  </si>
  <si>
    <t>部材146</t>
  </si>
  <si>
    <t>部材148</t>
  </si>
  <si>
    <t>部材149</t>
  </si>
  <si>
    <t>部材150</t>
  </si>
  <si>
    <t>部材151</t>
  </si>
  <si>
    <t>部材152</t>
  </si>
  <si>
    <t>部材153</t>
  </si>
  <si>
    <t>部材154</t>
  </si>
  <si>
    <t>部材155</t>
  </si>
  <si>
    <t>部材156</t>
  </si>
  <si>
    <t>部材157</t>
  </si>
  <si>
    <t>部材158</t>
  </si>
  <si>
    <t>部材159</t>
  </si>
  <si>
    <t>部材160</t>
  </si>
  <si>
    <t>部材161</t>
  </si>
  <si>
    <t>部材162</t>
  </si>
  <si>
    <t>部材163</t>
  </si>
  <si>
    <t>部材164</t>
  </si>
  <si>
    <t>部材165</t>
  </si>
  <si>
    <t>部材166</t>
  </si>
  <si>
    <t>部材167</t>
  </si>
  <si>
    <t>部材168</t>
  </si>
  <si>
    <t>部材169</t>
  </si>
  <si>
    <t>部材170</t>
  </si>
  <si>
    <t>部材171</t>
  </si>
  <si>
    <t>節点ばねの実入力 (kN/m)</t>
  </si>
  <si>
    <t>節点</t>
  </si>
  <si>
    <t>支点項目</t>
  </si>
  <si>
    <t>方向</t>
  </si>
  <si>
    <t>K1+</t>
  </si>
  <si>
    <t>K2+</t>
  </si>
  <si>
    <t>K3+</t>
  </si>
  <si>
    <t>K1-</t>
  </si>
  <si>
    <t>K2-</t>
  </si>
  <si>
    <t>K3-</t>
  </si>
  <si>
    <t>杭周面ばね</t>
  </si>
  <si>
    <t>Y</t>
  </si>
  <si>
    <t>杭先端ばね</t>
  </si>
  <si>
    <t>節点制限値の実入力 (kN)</t>
  </si>
  <si>
    <t>F1+</t>
  </si>
  <si>
    <t>F1-</t>
  </si>
  <si>
    <t>F2+</t>
  </si>
  <si>
    <t>F2-</t>
  </si>
  <si>
    <t>変更前後（空欄と0を区別）</t>
  </si>
  <si>
    <t>処理</t>
  </si>
  <si>
    <t>対象</t>
  </si>
  <si>
    <t>番号</t>
  </si>
  <si>
    <t>入力欄</t>
  </si>
  <si>
    <t>変更前</t>
  </si>
  <si>
    <t>実入力</t>
  </si>
  <si>
    <t>差</t>
  </si>
  <si>
    <t>処理結果</t>
  </si>
  <si>
    <t>空欄の変更</t>
  </si>
  <si>
    <t>水平地盤ばね</t>
  </si>
  <si>
    <t>水平ばね</t>
  </si>
  <si>
    <t>同値</t>
  </si>
  <si>
    <t/>
  </si>
  <si>
    <t>有効抵抗土圧</t>
  </si>
  <si>
    <t>上端土圧</t>
  </si>
  <si>
    <t>下端土圧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</si>
  <si>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</si>
  <si>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</si>
  <si>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</si>
  <si>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</si>
  <si>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</si>
  <si>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</si>
  <si>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</si>
  <si>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部材別の結果</t>
  </si>
  <si>
    <t>モデル列</t>
  </si>
  <si>
    <t>方法</t>
  </si>
  <si>
    <t>土圧列</t>
  </si>
  <si>
    <t>上端再計算
(kN/m)</t>
  </si>
  <si>
    <t>上端実入力
(kN/m)</t>
  </si>
  <si>
    <t>上端差</t>
  </si>
  <si>
    <t>下端再計算
(kN/m)</t>
  </si>
  <si>
    <t>下端実入力
(kN/m)</t>
  </si>
  <si>
    <t>下端差</t>
  </si>
  <si>
    <t>層内線形補間</t>
  </si>
  <si>
    <t>積分平均</t>
  </si>
  <si>
    <t>部材の幾何</t>
  </si>
  <si>
    <t>上端深さ
(m)</t>
  </si>
  <si>
    <t>下端深さ
(m)</t>
  </si>
  <si>
    <t>層別の重なりと原土圧</t>
  </si>
  <si>
    <t>層</t>
  </si>
  <si>
    <t>SDC行</t>
  </si>
  <si>
    <t>層上端
(m)</t>
  </si>
  <si>
    <t>層下端
(m)</t>
  </si>
  <si>
    <t>重なり上端
(m)</t>
  </si>
  <si>
    <t>重なり下端
(m)</t>
  </si>
  <si>
    <t>長さ
(m)</t>
  </si>
  <si>
    <t>原上端土圧
(kN/m)</t>
  </si>
  <si>
    <t>原下端土圧
(kN/m)</t>
  </si>
  <si>
    <t>線形補間と台形積分</t>
  </si>
  <si>
    <t>上端比率</t>
  </si>
  <si>
    <t>下端比率</t>
  </si>
  <si>
    <t>補間上端
(kN/m)</t>
  </si>
  <si>
    <t>補間下端
(kN/m)</t>
  </si>
  <si>
    <t>台形積分
(kN)</t>
  </si>
  <si>
    <t>Python Decimalの丸め前文字列</t>
  </si>
  <si>
    <t>項目</t>
  </si>
  <si>
    <t>正確な計算記録</t>
  </si>
  <si>
    <t>KG4 98 上端: 1162.9</t>
  </si>
  <si>
    <t>KG4 98 下端: 1307.46</t>
  </si>
  <si>
    <t>KG4 99 上端: 1988.988343195266272189349112</t>
  </si>
  <si>
    <t>KG4 99 下端: 1988.988343195266272189349112</t>
  </si>
  <si>
    <t>KG4 100 上端: 1826.620118343195266272189349</t>
  </si>
  <si>
    <t>KG4 100 下端: 1826.620118343195266272189349</t>
  </si>
  <si>
    <t>KG4 101 上端: 1755.0</t>
  </si>
  <si>
    <t>KG4 101 下端: 1755.0</t>
  </si>
  <si>
    <t>KG4 102 上端: 2158.649704142011834319526627</t>
  </si>
  <si>
    <t>KG4 102 下端: 2158.649704142011834319526627</t>
  </si>
  <si>
    <t>KG4 103 上端: 2472.761538461538461538461538</t>
  </si>
  <si>
    <t>KG4 103 下端: 2673.711538461538461538461538</t>
  </si>
  <si>
    <t>KG4 104 上端: 4642.113352538150109000311429</t>
  </si>
  <si>
    <t>KG4 104 下端: 4642.113352538150109000311429</t>
  </si>
  <si>
    <t>KG4 105 上端: 2980.794736842105263157894737</t>
  </si>
  <si>
    <t>KG4 105 下端: 3190.710526315789473684210526</t>
  </si>
  <si>
    <t>KG4 106 上端: 3190.710526315789473684210526</t>
  </si>
  <si>
    <t>KG4 106 下端: 3400.626315789473684210526316</t>
  </si>
  <si>
    <t>KG4 107 上端: 3400.626315789473684210526316</t>
  </si>
  <si>
    <t>KG4 107 下端: 3610.542105263157894736842105</t>
  </si>
  <si>
    <t>KG4 108 上端: 3610.542105263157894736842105</t>
  </si>
  <si>
    <t>KG4 108 下端: 3820.457894736842105263157895</t>
  </si>
  <si>
    <t>KG4 109 上端: 3820.457894736842105263157895</t>
  </si>
  <si>
    <t>KG4 109 下端: 4030.373684210526315789473684</t>
  </si>
  <si>
    <t>KG4 110 上端: 4030.373684210526315789473684</t>
  </si>
  <si>
    <t>KG4 110 下端: 4240.289473684210526315789474</t>
  </si>
  <si>
    <t>KG4 111 上端: 4240.289473684210526315789474</t>
  </si>
  <si>
    <t>KG4 111 下端: 4450.205263157894736842105263</t>
  </si>
  <si>
    <t>KG4 112 上端: 3300.731174089068825910931174</t>
  </si>
  <si>
    <t>KG4 112 下端: 3300.731174089068825910931174</t>
  </si>
  <si>
    <t>KG4 113 上端: 3088.8</t>
  </si>
  <si>
    <t>KG4 113 下端: 3088.8</t>
  </si>
  <si>
    <t>KG4 114 上端: 3088.8</t>
  </si>
  <si>
    <t>KG4 114 下端: 3088.8</t>
  </si>
  <si>
    <t>KG4 115 上端: 3088.8</t>
  </si>
  <si>
    <t>KG4 115 下端: 3088.8</t>
  </si>
  <si>
    <t>KG4 116 上端: 3088.8</t>
  </si>
  <si>
    <t>KG4 116 下端: 3088.8</t>
  </si>
  <si>
    <t>KG4 117 上端: 3088.8</t>
  </si>
  <si>
    <t>KG4 117 下端: 3088.8</t>
  </si>
  <si>
    <t>KG4 118 上端: 3088.8</t>
  </si>
  <si>
    <t>KG4 118 下端: 3088.8</t>
  </si>
  <si>
    <t>KG4 119 上端: 3088.8</t>
  </si>
  <si>
    <t>KG4 119 下端: 3088.8</t>
  </si>
  <si>
    <t>KG4 120 上端: 3088.8</t>
  </si>
  <si>
    <t>KG4 120 下端: 3088.8</t>
  </si>
  <si>
    <t>KG4 121 上端: 3088.8</t>
  </si>
  <si>
    <t>KG4 121 下端: 3088.8</t>
  </si>
  <si>
    <t>KG5 123 上端: 1005.1</t>
  </si>
  <si>
    <t>KG5 123 下端: 1130.073333333333333333333333</t>
  </si>
  <si>
    <t>KG5 124 上端: 1719.072504930966469428007888</t>
  </si>
  <si>
    <t>KG5 124 下端: 1719.072504930966469428007888</t>
  </si>
  <si>
    <t>KG5 125 上端: 1285.263905325443786982248521</t>
  </si>
  <si>
    <t>KG5 125 下端: 1285.263905325443786982248521</t>
  </si>
  <si>
    <t>KG5 126 上端: 1170.0</t>
  </si>
  <si>
    <t>KG5 126 下端: 1170.0</t>
  </si>
  <si>
    <t>KG5 127 上端: 1732.30532544378698224852071</t>
  </si>
  <si>
    <t>KG5 127 下端: 1732.30532544378698224852071</t>
  </si>
  <si>
    <t>KG5 128 上端: 2137.192307692307692307692308</t>
  </si>
  <si>
    <t>KG5 128 下端: 2310.892307692307692307692308</t>
  </si>
  <si>
    <t>KG5 129 上端: 3391.060949859856742447835565</t>
  </si>
  <si>
    <t>KG5 129 下端: 3391.060949859856742447835565</t>
  </si>
  <si>
    <t>KG5 130 上端: 2576.311578947368421052631579</t>
  </si>
  <si>
    <t>KG5 130 下端: 2757.736842105263157894736842</t>
  </si>
  <si>
    <t>KG5 131 上端: 2757.736842105263157894736842</t>
  </si>
  <si>
    <t>KG5 131 下端: 2939.162105263157894736842105</t>
  </si>
  <si>
    <t>KG5 132 上端: 2939.162105263157894736842105</t>
  </si>
  <si>
    <t>KG5 132 下端: 3120.587368421052631578947368</t>
  </si>
  <si>
    <t>KG5 133 上端: 3120.587368421052631578947368</t>
  </si>
  <si>
    <t>KG5 133 下端: 3302.012631578947368421052632</t>
  </si>
  <si>
    <t>KG5 134 上端: 3302.012631578947368421052632</t>
  </si>
  <si>
    <t>KG5 134 下端: 3483.437894736842105263157895</t>
  </si>
  <si>
    <t>KG5 135 上端: 3483.437894736842105263157895</t>
  </si>
  <si>
    <t>KG5 135 下端: 3664.863157894736842105263158</t>
  </si>
  <si>
    <t>KG5 136 上端: 3664.863157894736842105263158</t>
  </si>
  <si>
    <t>KG5 136 下端: 3846.288421052631578947368421</t>
  </si>
  <si>
    <t>KG5 137 上端: 2336.283724696356275303643725</t>
  </si>
  <si>
    <t>KG5 137 下端: 2336.283724696356275303643725</t>
  </si>
  <si>
    <t>KG5 138 上端: 2059.2</t>
  </si>
  <si>
    <t>KG5 138 下端: 2059.2</t>
  </si>
  <si>
    <t>KG5 139 上端: 2059.2</t>
  </si>
  <si>
    <t>KG5 139 下端: 2059.2</t>
  </si>
  <si>
    <t>KG5 140 上端: 2059.2</t>
  </si>
  <si>
    <t>KG5 140 下端: 2059.2</t>
  </si>
  <si>
    <t>KG5 141 上端: 2059.2</t>
  </si>
  <si>
    <t>KG5 141 下端: 2059.2</t>
  </si>
  <si>
    <t>KG5 142 上端: 2059.2</t>
  </si>
  <si>
    <t>KG5 142 下端: 2059.2</t>
  </si>
  <si>
    <t>KG5 143 上端: 2059.2</t>
  </si>
  <si>
    <t>KG5 143 下端: 2059.2</t>
  </si>
  <si>
    <t>KG5 144 上端: 2059.2</t>
  </si>
  <si>
    <t>KG5 144 下端: 2059.2</t>
  </si>
  <si>
    <t>KG5 145 上端: 2059.2</t>
  </si>
  <si>
    <t>KG5 145 下端: 2059.2</t>
  </si>
  <si>
    <t>KG5 146 上端: 2059.2</t>
  </si>
  <si>
    <t>KG5 146 下端: 2059.2</t>
  </si>
  <si>
    <t>KG6 148 上端: 2907.3</t>
  </si>
  <si>
    <t>KG6 148 下端: 3268.7</t>
  </si>
  <si>
    <t>KG6 149 上端: 4972.489940828402366863905326</t>
  </si>
  <si>
    <t>KG6 149 下端: 4972.489940828402366863905326</t>
  </si>
  <si>
    <t>KG6 150 上端: 2339.063905325443786982248521</t>
  </si>
  <si>
    <t>KG6 150 下端: 2339.063905325443786982248521</t>
  </si>
  <si>
    <t>KG6 151 上端: 1755.0</t>
  </si>
  <si>
    <t>KG6 151 下端: 1755.0</t>
  </si>
  <si>
    <t>KG6 152 上端: 4384.055621301775147928994083</t>
  </si>
  <si>
    <t>KG6 152 下端: 4384.055621301775147928994083</t>
  </si>
  <si>
    <t>KG6 153 上端: 6181.830769230769230769230769</t>
  </si>
  <si>
    <t>KG6 153 下端: 6684.330769230769230769230769</t>
  </si>
  <si>
    <t>KG6 154 上端: 6891.104905014014325755216443</t>
  </si>
  <si>
    <t>KG6 154 下端: 6891.104905014014325755216443</t>
  </si>
  <si>
    <t>KG6 155 上端: 7451.936842105263157894736842</t>
  </si>
  <si>
    <t>KG6 155 下端: 7976.726315789473684210526316</t>
  </si>
  <si>
    <t>KG6 156 上端: 7976.726315789473684210526316</t>
  </si>
  <si>
    <t>KG6 156 下端: 8501.515789473684210526315789</t>
  </si>
  <si>
    <t>KG6 157 上端: 8501.515789473684210526315789</t>
  </si>
  <si>
    <t>KG6 157 下端: 9026.305263157894736842105263</t>
  </si>
  <si>
    <t>KG6 158 上端: 9026.305263157894736842105263</t>
  </si>
  <si>
    <t>KG6 158 下端: 9551.094736842105263157894737</t>
  </si>
  <si>
    <t>KG6 159 上端: 9551.094736842105263157894737</t>
  </si>
  <si>
    <t>KG6 159 下端: 10075.88421052631578947368421</t>
  </si>
  <si>
    <t>KG6 160 上端: 10075.88421052631578947368421</t>
  </si>
  <si>
    <t>KG6 160 下端: 10600.67368421052631578947368</t>
  </si>
  <si>
    <t>KG6 161 上端: 10600.67368421052631578947368</t>
  </si>
  <si>
    <t>KG6 161 下端: 11125.46315789473684210526316</t>
  </si>
  <si>
    <t>KG6 162 上端: 4331.420242914979757085020243</t>
  </si>
  <si>
    <t>KG6 162 下端: 4331.420242914979757085020243</t>
  </si>
  <si>
    <t>KG6 163 上端: 3088.8</t>
  </si>
  <si>
    <t>KG6 163 下端: 3088.8</t>
  </si>
  <si>
    <t>KG6 164 上端: 3088.8</t>
  </si>
  <si>
    <t>KG6 164 下端: 3088.8</t>
  </si>
  <si>
    <t>KG6 165 上端: 3088.8</t>
  </si>
  <si>
    <t>KG6 165 下端: 3088.8</t>
  </si>
  <si>
    <t>KG6 166 上端: 3088.8</t>
  </si>
  <si>
    <t>KG6 166 下端: 3088.8</t>
  </si>
  <si>
    <t>KG6 167 上端: 3088.8</t>
  </si>
  <si>
    <t>KG6 167 下端: 3088.8</t>
  </si>
  <si>
    <t>KG6 168 上端: 3088.8</t>
  </si>
  <si>
    <t>KG6 168 下端: 3088.8</t>
  </si>
  <si>
    <t>KG6 169 上端: 3088.8</t>
  </si>
  <si>
    <t>KG6 169 下端: 3088.8</t>
  </si>
  <si>
    <t>KG6 170 上端: 3088.8</t>
  </si>
  <si>
    <t>KG6 170 下端: 3088.8</t>
  </si>
  <si>
    <t>KG6 171 上端: 3088.8</t>
  </si>
  <si>
    <t>KG6 171 下端: 3088.8</t>
  </si>
  <si>
    <t>既存画面方式：押込みK1/Fyを正負へ配置。長さ積分後に丸め、平均の除算・1.2補正・本数の追加乗算はしません。</t>
  </si>
  <si>
    <t>節点別の結果</t>
  </si>
  <si>
    <t>有効長
(m)</t>
  </si>
  <si>
    <t>K丸め前
(kN/m)</t>
  </si>
  <si>
    <t>K再計算
(kN/m)</t>
  </si>
  <si>
    <t>K実入力
(kN/m)</t>
  </si>
  <si>
    <t>K差</t>
  </si>
  <si>
    <t>F丸め前
(kN)</t>
  </si>
  <si>
    <t>F再計算
(kN)</t>
  </si>
  <si>
    <t>F実入力
(kN)</t>
  </si>
  <si>
    <t>F差</t>
  </si>
  <si>
    <t>抵抗を考慮する範囲</t>
  </si>
  <si>
    <t>杭長 (m)</t>
  </si>
  <si>
    <t>1/β (m)</t>
  </si>
  <si>
    <t>根入れ (m)</t>
  </si>
  <si>
    <t>有効下端 (m)</t>
  </si>
  <si>
    <t>節点の負担区間（隣接座標の中点）</t>
  </si>
  <si>
    <t>前節点</t>
  </si>
  <si>
    <t>次節点</t>
  </si>
  <si>
    <t>前深さ
(m)</t>
  </si>
  <si>
    <t>節点深さ
(m)</t>
  </si>
  <si>
    <t>次深さ
(m)</t>
  </si>
  <si>
    <t>負担上端
(m)</t>
  </si>
  <si>
    <t>負担下端
(m)</t>
  </si>
  <si>
    <t>負担長
(m)</t>
  </si>
  <si>
    <t>除外長
(m)</t>
  </si>
  <si>
    <t>地層と有効な重なり</t>
  </si>
  <si>
    <t>全層厚
(m)</t>
  </si>
  <si>
    <t>有効上端
(m)</t>
  </si>
  <si>
    <t>有効下端
(m)</t>
  </si>
  <si>
    <t>周面K1・Fyの区間積分</t>
  </si>
  <si>
    <t>KのSDC行</t>
  </si>
  <si>
    <t>FのSDC行</t>
  </si>
  <si>
    <t>原値K1
(kN/m²)</t>
  </si>
  <si>
    <t>原値Fy
(kN/m)</t>
  </si>
  <si>
    <t>K1×長さ
(kN/m)</t>
  </si>
  <si>
    <t>Fy×長さ
(kN)</t>
  </si>
  <si>
    <t>周面工程の除外節点</t>
  </si>
  <si>
    <t>深さ (m)</t>
  </si>
  <si>
    <t>負担上端 (m)</t>
  </si>
  <si>
    <t>負担下端 (m)</t>
  </si>
  <si>
    <t>上端・先端除外または抵抗0のため支点を作成しない</t>
  </si>
  <si>
    <t>杭先端ばねを入力</t>
  </si>
  <si>
    <t>ばね実入力 (kN/m)</t>
  </si>
  <si>
    <t>制限値実入力 (kN)</t>
  </si>
  <si>
    <t>KG4 102 K: 51628.885</t>
  </si>
  <si>
    <t>KG4 102 F: 433.7705</t>
  </si>
  <si>
    <t>KG4 103 K: 145626.000</t>
  </si>
  <si>
    <t>KG4 103 F: 1834.9500</t>
  </si>
  <si>
    <t>KG4 104 K: 155633.700</t>
  </si>
  <si>
    <t>KG4 104 F: 1794.3600</t>
  </si>
  <si>
    <t>KG4 105 K: 223256.750</t>
  </si>
  <si>
    <t>KG4 105 F: 2313.0250</t>
  </si>
  <si>
    <t>KG4 106 K: 218437.700</t>
  </si>
  <si>
    <t>KG4 106 F: 2752.3600</t>
  </si>
  <si>
    <t>KG4 107 K: 218437.700</t>
  </si>
  <si>
    <t>KG4 107 F: 2752.3600</t>
  </si>
  <si>
    <t>KG4 108 K: 218437.700</t>
  </si>
  <si>
    <t>KG4 108 F: 2752.3600</t>
  </si>
  <si>
    <t>KG4 109 K: 218437.700</t>
  </si>
  <si>
    <t>KG4 109 F: 2752.3600</t>
  </si>
  <si>
    <t>KG4 110 K: 218437.700</t>
  </si>
  <si>
    <t>KG4 110 F: 2752.3600</t>
  </si>
  <si>
    <t>KG4 111 K: 218437.700</t>
  </si>
  <si>
    <t>KG4 111 F: 2752.3600</t>
  </si>
  <si>
    <t>KG4 112 K: 179148.650</t>
  </si>
  <si>
    <t>KG4 112 F: 2032.4950</t>
  </si>
  <si>
    <t>KG4 113 K: 104936.000</t>
  </si>
  <si>
    <t>KG4 113 F: 672.7500</t>
  </si>
  <si>
    <t>KG4 114 K: 104936.000</t>
  </si>
  <si>
    <t>KG4 114 F: 672.7500</t>
  </si>
  <si>
    <t>KG4 115 K: 104936.000</t>
  </si>
  <si>
    <t>KG4 115 F: 672.7500</t>
  </si>
  <si>
    <t>KG4 116 K: 104936.000</t>
  </si>
  <si>
    <t>KG4 116 F: 672.7500</t>
  </si>
  <si>
    <t>KG4 117 K: 104936.000</t>
  </si>
  <si>
    <t>KG4 117 F: 672.7500</t>
  </si>
  <si>
    <t>KG4 118 K: 104936.000</t>
  </si>
  <si>
    <t>KG4 118 F: 672.7500</t>
  </si>
  <si>
    <t>KG4 119 K: 104936.000</t>
  </si>
  <si>
    <t>KG4 119 F: 672.7500</t>
  </si>
  <si>
    <t>KG4 120 K: 104936.000</t>
  </si>
  <si>
    <t>KG4 120 F: 672.7500</t>
  </si>
  <si>
    <t>KG4 121 K: 36324.000</t>
  </si>
  <si>
    <t>KG4 121 F: 232.8750</t>
  </si>
  <si>
    <t>KG5 127 K: 34419.005</t>
  </si>
  <si>
    <t>KG5 127 F: 289.1300</t>
  </si>
  <si>
    <t>KG5 128 K: 97084.000</t>
  </si>
  <si>
    <t>KG5 128 F: 1223.3000</t>
  </si>
  <si>
    <t>KG5 129 K: 103755.700</t>
  </si>
  <si>
    <t>KG5 129 F: 1196.2400</t>
  </si>
  <si>
    <t>KG5 130 K: 148838.100</t>
  </si>
  <si>
    <t>KG5 130 F: 1542.0450</t>
  </si>
  <si>
    <t>KG5 131 K: 145626.000</t>
  </si>
  <si>
    <t>KG5 131 F: 1834.9500</t>
  </si>
  <si>
    <t>KG5 132 K: 145626.000</t>
  </si>
  <si>
    <t>KG5 132 F: 1834.9500</t>
  </si>
  <si>
    <t>KG5 133 K: 145626.000</t>
  </si>
  <si>
    <t>KG5 133 F: 1834.9500</t>
  </si>
  <si>
    <t>KG5 134 K: 145626.000</t>
  </si>
  <si>
    <t>KG5 134 F: 1834.9500</t>
  </si>
  <si>
    <t>KG5 135 K: 145626.000</t>
  </si>
  <si>
    <t>KG5 135 F: 1834.9500</t>
  </si>
  <si>
    <t>KG5 136 K: 145626.000</t>
  </si>
  <si>
    <t>KG5 136 F: 1834.9500</t>
  </si>
  <si>
    <t>KG5 137 K: 119432.850</t>
  </si>
  <si>
    <t>KG5 137 F: 1355.0250</t>
  </si>
  <si>
    <t>KG5 138 K: 69956.900</t>
  </si>
  <si>
    <t>KG5 138 F: 448.5000</t>
  </si>
  <si>
    <t>KG5 139 K: 69956.900</t>
  </si>
  <si>
    <t>KG5 139 F: 448.5000</t>
  </si>
  <si>
    <t>KG5 140 K: 69956.900</t>
  </si>
  <si>
    <t>KG5 140 F: 448.5000</t>
  </si>
  <si>
    <t>KG5 141 K: 69956.900</t>
  </si>
  <si>
    <t>KG5 141 F: 448.5000</t>
  </si>
  <si>
    <t>KG5 142 K: 69956.900</t>
  </si>
  <si>
    <t>KG5 142 F: 448.5000</t>
  </si>
  <si>
    <t>KG5 143 K: 69956.900</t>
  </si>
  <si>
    <t>KG5 143 F: 448.5000</t>
  </si>
  <si>
    <t>KG5 144 K: 69956.900</t>
  </si>
  <si>
    <t>KG5 144 F: 448.5000</t>
  </si>
  <si>
    <t>KG5 145 K: 69956.900</t>
  </si>
  <si>
    <t>KG5 145 F: 448.5000</t>
  </si>
  <si>
    <t>KG5 146 K: 24215.850</t>
  </si>
  <si>
    <t>KG5 146 F: 155.2500</t>
  </si>
  <si>
    <t>KG6 152 K: 51628.885</t>
  </si>
  <si>
    <t>KG6 152 F: 433.7705</t>
  </si>
  <si>
    <t>KG6 153 K: 145626.000</t>
  </si>
  <si>
    <t>KG6 153 F: 1834.9500</t>
  </si>
  <si>
    <t>KG6 154 K: 155633.700</t>
  </si>
  <si>
    <t>KG6 154 F: 1794.3600</t>
  </si>
  <si>
    <t>KG6 155 K: 223256.750</t>
  </si>
  <si>
    <t>KG6 155 F: 2313.0250</t>
  </si>
  <si>
    <t>KG6 156 K: 218437.700</t>
  </si>
  <si>
    <t>KG6 156 F: 2752.3600</t>
  </si>
  <si>
    <t>KG6 157 K: 218437.700</t>
  </si>
  <si>
    <t>KG6 157 F: 2752.3600</t>
  </si>
  <si>
    <t>KG6 158 K: 218437.700</t>
  </si>
  <si>
    <t>KG6 158 F: 2752.3600</t>
  </si>
  <si>
    <t>KG6 159 K: 218437.700</t>
  </si>
  <si>
    <t>KG6 159 F: 2752.3600</t>
  </si>
  <si>
    <t>KG6 160 K: 218437.700</t>
  </si>
  <si>
    <t>KG6 160 F: 2752.3600</t>
  </si>
  <si>
    <t>KG6 161 K: 218437.700</t>
  </si>
  <si>
    <t>KG6 161 F: 2752.3600</t>
  </si>
  <si>
    <t>KG6 162 K: 179148.650</t>
  </si>
  <si>
    <t>KG6 162 F: 2032.4950</t>
  </si>
  <si>
    <t>KG6 163 K: 104936.000</t>
  </si>
  <si>
    <t>KG6 163 F: 672.7500</t>
  </si>
  <si>
    <t>KG6 164 K: 104936.000</t>
  </si>
  <si>
    <t>KG6 164 F: 672.7500</t>
  </si>
  <si>
    <t>KG6 165 K: 104936.000</t>
  </si>
  <si>
    <t>KG6 165 F: 672.7500</t>
  </si>
  <si>
    <t>KG6 166 K: 104936.000</t>
  </si>
  <si>
    <t>KG6 166 F: 672.7500</t>
  </si>
  <si>
    <t>KG6 167 K: 104936.000</t>
  </si>
  <si>
    <t>KG6 167 F: 672.7500</t>
  </si>
  <si>
    <t>KG6 168 K: 104936.000</t>
  </si>
  <si>
    <t>KG6 168 F: 672.7500</t>
  </si>
  <si>
    <t>KG6 169 K: 104936.000</t>
  </si>
  <si>
    <t>KG6 169 F: 672.7500</t>
  </si>
  <si>
    <t>KG6 170 K: 104936.000</t>
  </si>
  <si>
    <t>KG6 170 F: 672.7500</t>
  </si>
  <si>
    <t>KG6 171 K: 36324.000</t>
  </si>
  <si>
    <t>KG6 171 F: 232.8750</t>
  </si>
  <si>
    <t>SDCの短期K1/K2・押込みFy/Fuを転記。負側制限値F1−/F2−は空欄のまま転記します。</t>
  </si>
  <si>
    <t>杭先端の結果</t>
  </si>
  <si>
    <t>先端節点</t>
  </si>
  <si>
    <t>K1再計算
(kN/m)</t>
  </si>
  <si>
    <t>K1実入力
(kN/m)</t>
  </si>
  <si>
    <t>K2再計算
(kN/m)</t>
  </si>
  <si>
    <t>K2実入力
(kN/m)</t>
  </si>
  <si>
    <t>Fy再計算
(kN)</t>
  </si>
  <si>
    <t>Fy実入力
(kN)</t>
  </si>
  <si>
    <t>Fu再計算
(kN)</t>
  </si>
  <si>
    <t>Fu実入力
(kN)</t>
  </si>
  <si>
    <t>杭頭・最深節点と杭長</t>
  </si>
  <si>
    <t>杭頭節点</t>
  </si>
  <si>
    <t>x座標
(m)</t>
  </si>
  <si>
    <t>杭頭y
(m)</t>
  </si>
  <si>
    <t>先端y
(m)</t>
  </si>
  <si>
    <t>座標差
(m)</t>
  </si>
  <si>
    <t>SDC杭長
(m)</t>
  </si>
  <si>
    <t>KG4 122 k1_kN_per_m: 327072</t>
  </si>
  <si>
    <t>KG4 122 k2_kN_per_m: 88418</t>
  </si>
  <si>
    <t>KG4 122 fy_kN: 7167.5</t>
  </si>
  <si>
    <t>KG4 122 fu_kN: 16724.3</t>
  </si>
  <si>
    <t>KG5 147 k1_kN_per_m: 218048</t>
  </si>
  <si>
    <t>KG5 147 k2_kN_per_m: 58945</t>
  </si>
  <si>
    <t>KG5 147 fy_kN: 4778.4</t>
  </si>
  <si>
    <t>KG5 147 fu_kN: 11149.5</t>
  </si>
  <si>
    <t>KG6 172 k1_kN_per_m: 327072</t>
  </si>
  <si>
    <t>KG6 172 k2_kN_per_m: 88418</t>
  </si>
  <si>
    <t>KG6 172 fy_kN: 7167.5</t>
  </si>
  <si>
    <t>KG6 172 fu_kN: 16724.3</t>
  </si>
  <si>
    <t>入力根拠</t>
  </si>
  <si>
    <t>実行・ファイル情報</t>
  </si>
  <si>
    <t>値</t>
  </si>
  <si>
    <t>実行ID: 91599c2d83ee45bcb009aa4d9a63066d</t>
  </si>
  <si>
    <t>アプリ: SDCConverter 1.1.0</t>
  </si>
  <si>
    <t>帳票スキーマ: 1</t>
  </si>
  <si>
    <t>対象モデル: C:\Users\sasai\Documents\structural-design\test\今町橋りょう4P(C方向･右押し→).ndu</t>
  </si>
  <si>
    <t>状態: 計算確認・モデル未保存</t>
  </si>
  <si>
    <t>モデル出力: 未保存</t>
  </si>
  <si>
    <t>出力予定SHA-256: 31e9e85971d07ae1a0b21273f500b0d8d039184ecf9febb6db642fbfabfbd22a</t>
  </si>
  <si>
    <t>JSON: 未保存</t>
  </si>
  <si>
    <t>Excel: C:\Users\sasai\Documents\structural-design\outputs\horizontal-spring-review-20260917-203945\今町橋りょう4P_計算過程_水平地盤ばね修正版.xlsx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</si>
  <si>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</si>
  <si>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</si>
  <si>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</si>
  <si>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</si>
  <si>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</si>
  <si>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</si>
  <si>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</si>
  <si>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</si>
  <si>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</si>
  <si>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</si>
  <si>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C:\Users\sasai\Documents\structural-design\test\今町橋りょう4P(右).sdc</t>
  </si>
  <si>
    <t>SHA-256: 9b9aed2461b87acb5193c8eac79cf07b6d9824bdbd80e096416e197f324f64a7</t>
  </si>
  <si>
    <t>入力: C:\Users\sasai\Documents\structural-design\test\今町橋りょう4P(C方向･右押し→).ndu</t>
  </si>
  <si>
    <t>SHA-256: 31e9e85971d07ae1a0b21273f500b0d8d039184ecf9febb6db642fbfabfbd22a</t>
  </si>
  <si>
    <t>採用したSDC原値</t>
  </si>
  <si>
    <t>CSV欄</t>
  </si>
  <si>
    <t>単位</t>
  </si>
  <si>
    <t>原値</t>
  </si>
  <si>
    <t>正確な十進文字列</t>
  </si>
  <si>
    <t>1列目 短期(非線形)</t>
  </si>
  <si>
    <t>kN/m²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</si>
  <si>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</si>
  <si>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</si>
  <si>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</si>
  <si>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</si>
  <si>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</si>
  <si>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</si>
  <si>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</si>
  <si>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</si>
  <si>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</si>
  <si>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</si>
  <si>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</si>
  <si>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</si>
  <si>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</si>
  <si>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</si>
  <si>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</si>
  <si>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</si>
  <si>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kN/m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</si>
  <si>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</si>
  <si>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</si>
  <si>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</si>
  <si>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</si>
  <si>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</si>
  <si>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</si>
  <si>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</si>
  <si>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</si>
  <si>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</si>
  <si>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</si>
  <si>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</si>
  <si>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</si>
  <si>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</si>
  <si>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</si>
  <si>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</si>
  <si>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</si>
  <si>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</si>
  <si>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</si>
  <si>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</si>
  <si>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</si>
  <si>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</si>
  <si>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</si>
  <si>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</si>
  <si>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</si>
  <si>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</si>
  <si>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</si>
  <si>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</si>
  <si>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</si>
  <si>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</si>
  <si>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</si>
  <si>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</si>
  <si>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</si>
  <si>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</si>
  <si>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</si>
  <si>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</si>
  <si>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</si>
  <si>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46127</t>
  </si>
  <si>
    <t>押込み 降伏点 Fy</t>
  </si>
  <si>
    <t>294.1</t>
  </si>
  <si>
    <t>112020</t>
  </si>
  <si>
    <t>1411.5</t>
  </si>
  <si>
    <t>178738</t>
  </si>
  <si>
    <t>1140.9</t>
  </si>
  <si>
    <t>168029</t>
  </si>
  <si>
    <t>2117.2</t>
  </si>
  <si>
    <t>80720</t>
  </si>
  <si>
    <t>517.5</t>
  </si>
  <si>
    <t>30751</t>
  </si>
  <si>
    <t>196.0</t>
  </si>
  <si>
    <t>74680</t>
  </si>
  <si>
    <t>941.0</t>
  </si>
  <si>
    <t>119158</t>
  </si>
  <si>
    <t>760.6</t>
  </si>
  <si>
    <t>53813</t>
  </si>
  <si>
    <t>345.0</t>
  </si>
  <si>
    <t>短期K1</t>
  </si>
  <si>
    <t>327072</t>
  </si>
  <si>
    <t>短期K2</t>
  </si>
  <si>
    <t>88418</t>
  </si>
  <si>
    <t>押込みFy</t>
  </si>
  <si>
    <t>kN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</si>
  <si>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</si>
  <si>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</si>
  <si>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</si>
  <si>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</si>
  <si>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</si>
  <si>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</si>
  <si>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</si>
  <si>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</si>
  <si>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</si>
  <si>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</si>
  <si>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</si>
  <si>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</si>
  <si>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</si>
  <si>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</si>
  <si>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</si>
  <si>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</si>
  <si>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</si>
  <si>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</si>
  <si>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</si>
  <si>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</si>
  <si>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</si>
  <si>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</si>
  <si>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</si>
  <si>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</si>
  <si>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</si>
  <si>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</si>
  <si>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</si>
  <si>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</si>
  <si>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</si>
  <si>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</si>
  <si>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</si>
  <si>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</si>
  <si>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</si>
  <si>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</si>
  <si>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</si>
  <si>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</si>
  <si>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</si>
  <si>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</si>
  <si>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</si>
  <si>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</si>
  <si>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</si>
  <si>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</si>
  <si>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</si>
  <si>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</si>
  <si>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</si>
  <si>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</si>
  <si>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</si>
  <si>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</si>
  <si>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</si>
  <si>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</si>
  <si>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</si>
  <si>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</si>
  <si>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</si>
  <si>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</si>
  <si>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</si>
  <si>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</si>
  <si>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</si>
  <si>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</si>
  <si>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</si>
  <si>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</si>
  <si>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</si>
  <si>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</si>
  <si>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</si>
  <si>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</si>
  <si>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</si>
  <si>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</si>
  <si>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</si>
  <si>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</si>
  <si>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</si>
  <si>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</si>
  <si>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</si>
  <si>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</si>
  <si>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</si>
  <si>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</si>
  <si>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</si>
  <si>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</si>
  <si>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</si>
  <si>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</si>
  <si>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</si>
  <si>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</si>
  <si>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</si>
  <si>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</si>
  <si>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</si>
  <si>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</si>
  <si>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</si>
  <si>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</si>
  <si>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</si>
  <si>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</si>
  <si>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</si>
  <si>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</si>
  <si>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</si>
  <si>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</si>
  <si>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</si>
  <si>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</si>
  <si>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</si>
  <si>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</si>
  <si>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</si>
  <si>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</si>
  <si>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</si>
  <si>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</si>
  <si>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</si>
  <si>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</si>
  <si>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</si>
  <si>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</si>
  <si>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</si>
  <si>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</si>
  <si>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</si>
  <si>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</si>
  <si>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</si>
  <si>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</si>
  <si>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</si>
  <si>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</si>
  <si>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</si>
  <si>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</si>
  <si>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</si>
  <si>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</si>
  <si>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</si>
  <si>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</si>
  <si>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</si>
  <si>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</si>
  <si>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</si>
  <si>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</si>
  <si>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</si>
  <si>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</si>
  <si>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</si>
  <si>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</si>
  <si>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</si>
  <si>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</si>
  <si>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</si>
  <si>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</si>
  <si>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</si>
  <si>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</si>
  <si>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</si>
  <si>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</si>
  <si>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</si>
  <si>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</si>
  <si>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</si>
  <si>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</si>
  <si>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</si>
  <si>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</si>
  <si>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</si>
  <si>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</si>
  <si>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</si>
  <si>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</t>
  </si>
  <si>
    <t>NDU 383行: KGInfo5=22,123,146</t>
  </si>
  <si>
    <t>NDU 384行: KGInfo6=23,148,171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</si>
  <si>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</si>
  <si>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</si>
  <si>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</si>
  <si>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</si>
  <si>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</si>
  <si>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</si>
  <si>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</si>
  <si>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</si>
  <si>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</si>
  <si>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</si>
  <si>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</si>
  <si>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</si>
  <si>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</si>
  <si>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</si>
  <si>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</si>
  <si>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</si>
  <si>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</si>
  <si>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</si>
  <si>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</si>
  <si>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</si>
  <si>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</si>
  <si>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</si>
  <si>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</si>
  <si>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</si>
  <si>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</si>
  <si>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</si>
  <si>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</si>
  <si>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</si>
  <si>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</si>
  <si>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</si>
  <si>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</si>
  <si>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</si>
  <si>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</si>
  <si>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</si>
  <si>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</si>
  <si>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</si>
  <si>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</si>
  <si>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</si>
  <si>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</si>
  <si>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</si>
  <si>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</si>
  <si>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</si>
  <si>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</si>
  <si>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</si>
  <si>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</si>
  <si>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</si>
  <si>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</si>
  <si>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</si>
  <si>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</si>
  <si>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</si>
  <si>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</si>
  <si>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</si>
  <si>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</si>
  <si>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</si>
  <si>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</si>
  <si>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</si>
  <si>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</si>
  <si>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</si>
  <si>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</si>
  <si>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</si>
  <si>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</si>
  <si>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</si>
  <si>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</si>
  <si>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</si>
  <si>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</si>
  <si>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</si>
  <si>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</si>
  <si>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</si>
  <si>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</si>
  <si>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</si>
  <si>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</si>
  <si>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</si>
  <si>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</si>
  <si>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</si>
  <si>
    <t>水平ばねの地層</t>
  </si>
  <si>
    <t>水平ばねの部材幾何</t>
  </si>
  <si>
    <t>水平ばねの照合</t>
  </si>
  <si>
    <t>主表の値
(kN/m²)</t>
  </si>
  <si>
    <t>採用再計算
(kN/m²)</t>
  </si>
  <si>
    <t>固定実入力
(kN/m²)</t>
  </si>
  <si>
    <t>98</t>
  </si>
  <si>
    <t>単一層転記</t>
  </si>
  <si>
    <t>99</t>
  </si>
  <si>
    <t>長さ加重平均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</si>
  <si>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</si>
  <si>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</si>
  <si>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</si>
  <si>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</si>
  <si>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</si>
  <si>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</si>
  <si>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</si>
  <si>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</si>
  <si>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</si>
  <si>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</si>
  <si>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</si>
  <si>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</si>
  <si>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</si>
  <si>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</si>
  <si>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</si>
  <si>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</si>
  <si>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</si>
  <si>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</si>
  <si>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</si>
  <si>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</si>
  <si>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</si>
  <si>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</si>
  <si>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</si>
  <si>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</si>
  <si>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</si>
  <si>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</si>
  <si>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</si>
  <si>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</si>
  <si>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</si>
  <si>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</si>
  <si>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</si>
  <si>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</si>
  <si>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</si>
  <si>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</si>
  <si>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</si>
  <si>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</si>
  <si>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</si>
  <si>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</si>
  <si>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</si>
  <si>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</si>
  <si>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</si>
  <si>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</si>
  <si>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</si>
  <si>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</si>
  <si>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</si>
  <si>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</si>
  <si>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</si>
  <si>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</si>
  <si>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</si>
  <si>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</si>
  <si>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</si>
  <si>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</si>
  <si>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</si>
  <si>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</si>
  <si>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</si>
  <si>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</si>
  <si>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</si>
  <si>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</si>
  <si>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</si>
  <si>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</si>
  <si>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</si>
  <si>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</si>
  <si>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</si>
  <si>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</si>
  <si>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</si>
  <si>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</si>
  <si>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</si>
  <si>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</si>
  <si>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</si>
  <si>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</si>
  <si>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水平ばねの正確な計算記録</t>
  </si>
  <si>
    <t>部材ごとの丸め前値・採用条件</t>
  </si>
  <si>
    <t>KG4 部材98 丸め前: 58812</t>
  </si>
  <si>
    <t>KG4 部材99 丸め前: 272085.9230769230769230769231</t>
  </si>
  <si>
    <t>KG4 部材100 丸め前: 141501.0769230769230769230769</t>
  </si>
  <si>
    <t>KG4 部材101 丸め前: 110708</t>
  </si>
  <si>
    <t>KG4 部材102 丸め前: 208028.6153846153846153846154</t>
  </si>
  <si>
    <t>KG4 部材103 丸め前: 268854</t>
  </si>
  <si>
    <t>KG4 部材104 丸め前: 363439.6923076923076923076923</t>
  </si>
  <si>
    <t>KG4 部材105 丸め前: 403280</t>
  </si>
  <si>
    <t>KG4 部材106 丸め前: 403280</t>
  </si>
  <si>
    <t>KG4 部材107 丸め前: 403280</t>
  </si>
  <si>
    <t>KG4 部材108 丸め前: 403280</t>
  </si>
  <si>
    <t>KG4 部材109 丸め前: 403280</t>
  </si>
  <si>
    <t>KG4 部材110 丸め前: 403280</t>
  </si>
  <si>
    <t>KG4 部材111 丸め前: 403280</t>
  </si>
  <si>
    <t>KG4 部材112 丸め前: 225971</t>
  </si>
  <si>
    <t>KG4 部材113 丸め前: 193733</t>
  </si>
  <si>
    <t>KG4 部材114 丸め前: 193733</t>
  </si>
  <si>
    <t>KG4 部材115 丸め前: 193733</t>
  </si>
  <si>
    <t>KG4 部材116 丸め前: 193733</t>
  </si>
  <si>
    <t>KG4 部材117 丸め前: 193733</t>
  </si>
  <si>
    <t>KG4 部材118 丸め前: 193733</t>
  </si>
  <si>
    <t>KG4 部材119 丸め前: 193733</t>
  </si>
  <si>
    <t>KG4 部材120 丸め前: 193733</t>
  </si>
  <si>
    <t>KG4 部材121 丸め前: 193733</t>
  </si>
  <si>
    <t>KG5 部材123 丸め前: 39208</t>
  </si>
  <si>
    <t>KG5 部材124 丸め前: 181390.6153846153846153846154</t>
  </si>
  <si>
    <t>KG5 部材125 丸め前: 94333.76923076923076923076923</t>
  </si>
  <si>
    <t>KG5 部材126 丸め前: 73805</t>
  </si>
  <si>
    <t>KG5 部材127 丸め前: 138685.6153846153846153846154</t>
  </si>
  <si>
    <t>KG5 部材128 丸め前: 179236</t>
  </si>
  <si>
    <t>KG5 部材129 丸め前: 242293.0769230769230769230769</t>
  </si>
  <si>
    <t>KG5 部材130 丸め前: 268854</t>
  </si>
  <si>
    <t>KG5 部材131 丸め前: 268854</t>
  </si>
  <si>
    <t>KG5 部材132 丸め前: 268854</t>
  </si>
  <si>
    <t>KG5 部材133 丸め前: 268854</t>
  </si>
  <si>
    <t>KG5 部材134 丸め前: 268854</t>
  </si>
  <si>
    <t>KG5 部材135 丸め前: 268854</t>
  </si>
  <si>
    <t>KG5 部材136 丸め前: 268854</t>
  </si>
  <si>
    <t>KG5 部材137 丸め前: 150647.1538461538461538461538</t>
  </si>
  <si>
    <t>KG5 部材138 丸め前: 129155</t>
  </si>
  <si>
    <t>KG5 部材139 丸め前: 129155</t>
  </si>
  <si>
    <t>KG5 部材140 丸め前: 129155</t>
  </si>
  <si>
    <t>KG5 部材141 丸め前: 129155</t>
  </si>
  <si>
    <t>KG5 部材142 丸め前: 129155</t>
  </si>
  <si>
    <t>KG5 部材143 丸め前: 129155</t>
  </si>
  <si>
    <t>KG5 部材144 丸め前: 129155</t>
  </si>
  <si>
    <t>KG5 部材145 丸め前: 129155</t>
  </si>
  <si>
    <t>KG5 部材146 丸め前: 129155</t>
  </si>
  <si>
    <t>KG6 部材148 丸め前: 58812</t>
  </si>
  <si>
    <t>KG6 部材149 丸め前: 272085.9230769230769230769231</t>
  </si>
  <si>
    <t>KG6 部材150 丸め前: 141501.0769230769230769230769</t>
  </si>
  <si>
    <t>KG6 部材151 丸め前: 110708</t>
  </si>
  <si>
    <t>KG6 部材152 丸め前: 208028.6153846153846153846154</t>
  </si>
  <si>
    <t>KG6 部材153 丸め前: 268854</t>
  </si>
  <si>
    <t>KG6 部材154 丸め前: 363439.6923076923076923076923</t>
  </si>
  <si>
    <t>KG6 部材155 丸め前: 403280</t>
  </si>
  <si>
    <t>KG6 部材156 丸め前: 403280</t>
  </si>
  <si>
    <t>KG6 部材157 丸め前: 403280</t>
  </si>
  <si>
    <t>KG6 部材158 丸め前: 403280</t>
  </si>
  <si>
    <t>KG6 部材159 丸め前: 403280</t>
  </si>
  <si>
    <t>KG6 部材160 丸め前: 403280</t>
  </si>
  <si>
    <t>KG6 部材161 丸め前: 403280</t>
  </si>
  <si>
    <t>KG6 部材162 丸め前: 225971</t>
  </si>
  <si>
    <t>KG6 部材163 丸め前: 193733</t>
  </si>
  <si>
    <t>KG6 部材164 丸め前: 193733</t>
  </si>
  <si>
    <t>KG6 部材165 丸め前: 193733</t>
  </si>
  <si>
    <t>KG6 部材166 丸め前: 193733</t>
  </si>
  <si>
    <t>KG6 部材167 丸め前: 193733</t>
  </si>
  <si>
    <t>KG6 部材168 丸め前: 193733</t>
  </si>
  <si>
    <t>KG6 部材169 丸め前: 193733</t>
  </si>
  <si>
    <t>KG6 部材170 丸め前: 193733</t>
  </si>
  <si>
    <t>KG6 部材171 丸め前: 193733</t>
  </si>
</sst>
</file>

<file path=xl/styles.xml><?xml version="1.0" encoding="utf-8"?>
<styleSheet xmlns="http://schemas.openxmlformats.org/spreadsheetml/2006/main">
  <numFmts count="5">
    <numFmt numFmtId="164" formatCode="#,##0.000"/>
    <numFmt numFmtId="165" formatCode="#,##0"/>
    <numFmt numFmtId="166" formatCode="#,##0.0"/>
    <numFmt numFmtId="167" formatCode="0.000######"/>
    <numFmt numFmtId="168" formatCode="0.000000"/>
  </numFmts>
  <fonts count="9">
    <font>
      <sz val="11"/>
      <color theme="1"/>
      <name val="Calibri"/>
      <family val="2"/>
      <scheme val="none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202B3C"/>
      <name val="ＭＳ 明朝"/>
      <family val="2"/>
    </font>
    <font>
      <sz val="10"/>
      <color rgb="FF175CAD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6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right" vertical="center" wrapText="1"/>
    </xf>
    <xf numFmtId="164" fontId="7" fillId="0" borderId="6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9" xfId="0" applyNumberFormat="1" applyFont="1" applyBorder="1" applyAlignment="1">
      <alignment horizontal="righ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7" fontId="8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8.7109375" customWidth="1"/>
    <col min="2" max="3" width="7.7109375" customWidth="1"/>
    <col min="4" max="4" width="10.7109375" customWidth="1"/>
    <col min="5" max="5" width="11.7109375" customWidth="1"/>
    <col min="6" max="6" width="10.7109375" customWidth="1"/>
    <col min="7" max="12" width="15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" customHeight="1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/>
    <row r="9" spans="1:12" ht="24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</row>
    <row r="11" spans="1:12" ht="23" customHeight="1">
      <c r="A11" s="5" t="s">
        <v>17</v>
      </c>
      <c r="B11" s="6">
        <v>4</v>
      </c>
      <c r="C11" s="6">
        <v>1</v>
      </c>
      <c r="D11" s="6">
        <v>98</v>
      </c>
      <c r="E11" s="6">
        <v>98</v>
      </c>
      <c r="F11" s="6">
        <v>99</v>
      </c>
      <c r="G11" s="7">
        <v>58812</v>
      </c>
      <c r="H11" s="8">
        <v>1162.9</v>
      </c>
      <c r="I11" s="8">
        <v>1307.5</v>
      </c>
      <c r="J11" s="6">
        <v>656</v>
      </c>
    </row>
    <row r="12" spans="1:12" ht="23" customHeight="1">
      <c r="A12" s="5" t="s">
        <v>18</v>
      </c>
      <c r="B12" s="6">
        <v>4</v>
      </c>
      <c r="C12" s="6">
        <v>1</v>
      </c>
      <c r="D12" s="6">
        <v>99</v>
      </c>
      <c r="E12" s="6">
        <v>99</v>
      </c>
      <c r="F12" s="6">
        <v>100</v>
      </c>
      <c r="G12" s="7">
        <v>272086</v>
      </c>
      <c r="H12" s="7">
        <v>1989</v>
      </c>
      <c r="I12" s="7">
        <v>1989</v>
      </c>
      <c r="J12" s="6">
        <v>657</v>
      </c>
    </row>
    <row r="13" spans="1:12" ht="23" customHeight="1">
      <c r="A13" s="5" t="s">
        <v>19</v>
      </c>
      <c r="B13" s="6">
        <v>4</v>
      </c>
      <c r="C13" s="6">
        <v>1</v>
      </c>
      <c r="D13" s="6">
        <v>100</v>
      </c>
      <c r="E13" s="6">
        <v>100</v>
      </c>
      <c r="F13" s="6">
        <v>101</v>
      </c>
      <c r="G13" s="7">
        <v>141501</v>
      </c>
      <c r="H13" s="8">
        <v>1826.6</v>
      </c>
      <c r="I13" s="8">
        <v>1826.6</v>
      </c>
      <c r="J13" s="6">
        <v>658</v>
      </c>
    </row>
    <row r="14" spans="1:12" ht="23" customHeight="1">
      <c r="A14" s="5" t="s">
        <v>20</v>
      </c>
      <c r="B14" s="6">
        <v>4</v>
      </c>
      <c r="C14" s="6">
        <v>1</v>
      </c>
      <c r="D14" s="6">
        <v>101</v>
      </c>
      <c r="E14" s="6">
        <v>101</v>
      </c>
      <c r="F14" s="6">
        <v>102</v>
      </c>
      <c r="G14" s="7">
        <v>110708</v>
      </c>
      <c r="H14" s="7">
        <v>1755</v>
      </c>
      <c r="I14" s="7">
        <v>1755</v>
      </c>
      <c r="J14" s="6">
        <v>659</v>
      </c>
    </row>
    <row r="15" spans="1:12" ht="23" customHeight="1">
      <c r="A15" s="5" t="s">
        <v>21</v>
      </c>
      <c r="B15" s="6">
        <v>4</v>
      </c>
      <c r="C15" s="6">
        <v>1</v>
      </c>
      <c r="D15" s="6">
        <v>102</v>
      </c>
      <c r="E15" s="6">
        <v>102</v>
      </c>
      <c r="F15" s="6">
        <v>103</v>
      </c>
      <c r="G15" s="7">
        <v>208029</v>
      </c>
      <c r="H15" s="8">
        <v>2158.6</v>
      </c>
      <c r="I15" s="8">
        <v>2158.6</v>
      </c>
      <c r="J15" s="6">
        <v>660</v>
      </c>
    </row>
    <row r="16" spans="1:12" ht="23" customHeight="1">
      <c r="A16" s="5" t="s">
        <v>22</v>
      </c>
      <c r="B16" s="6">
        <v>4</v>
      </c>
      <c r="C16" s="6">
        <v>1</v>
      </c>
      <c r="D16" s="6">
        <v>103</v>
      </c>
      <c r="E16" s="6">
        <v>103</v>
      </c>
      <c r="F16" s="6">
        <v>104</v>
      </c>
      <c r="G16" s="7">
        <v>268854</v>
      </c>
      <c r="H16" s="8">
        <v>2472.8</v>
      </c>
      <c r="I16" s="8">
        <v>2673.7</v>
      </c>
      <c r="J16" s="6">
        <v>661</v>
      </c>
    </row>
    <row r="17" spans="1:12" ht="23" customHeight="1">
      <c r="A17" s="5" t="s">
        <v>23</v>
      </c>
      <c r="B17" s="6">
        <v>4</v>
      </c>
      <c r="C17" s="6">
        <v>1</v>
      </c>
      <c r="D17" s="6">
        <v>104</v>
      </c>
      <c r="E17" s="6">
        <v>104</v>
      </c>
      <c r="F17" s="6">
        <v>105</v>
      </c>
      <c r="G17" s="7">
        <v>363440</v>
      </c>
      <c r="H17" s="8">
        <v>4642.1</v>
      </c>
      <c r="I17" s="8">
        <v>4642.1</v>
      </c>
      <c r="J17" s="6">
        <v>662</v>
      </c>
    </row>
    <row r="18" spans="1:12" ht="23" customHeight="1">
      <c r="A18" s="5" t="s">
        <v>24</v>
      </c>
      <c r="B18" s="6">
        <v>4</v>
      </c>
      <c r="C18" s="6">
        <v>1</v>
      </c>
      <c r="D18" s="6">
        <v>105</v>
      </c>
      <c r="E18" s="6">
        <v>105</v>
      </c>
      <c r="F18" s="6">
        <v>106</v>
      </c>
      <c r="G18" s="7">
        <v>403280</v>
      </c>
      <c r="H18" s="8">
        <v>2980.8</v>
      </c>
      <c r="I18" s="8">
        <v>3190.7</v>
      </c>
      <c r="J18" s="6">
        <v>663</v>
      </c>
    </row>
    <row r="19" spans="1:12" ht="23" customHeight="1">
      <c r="A19" s="5" t="s">
        <v>25</v>
      </c>
      <c r="B19" s="6">
        <v>4</v>
      </c>
      <c r="C19" s="6">
        <v>1</v>
      </c>
      <c r="D19" s="6">
        <v>106</v>
      </c>
      <c r="E19" s="6">
        <v>106</v>
      </c>
      <c r="F19" s="6">
        <v>107</v>
      </c>
      <c r="G19" s="7">
        <v>403280</v>
      </c>
      <c r="H19" s="8">
        <v>3190.7</v>
      </c>
      <c r="I19" s="8">
        <v>3400.6</v>
      </c>
      <c r="J19" s="6">
        <v>664</v>
      </c>
    </row>
    <row r="20" spans="1:12" ht="23" customHeight="1">
      <c r="A20" s="5" t="s">
        <v>26</v>
      </c>
      <c r="B20" s="6">
        <v>4</v>
      </c>
      <c r="C20" s="6">
        <v>1</v>
      </c>
      <c r="D20" s="6">
        <v>107</v>
      </c>
      <c r="E20" s="6">
        <v>107</v>
      </c>
      <c r="F20" s="6">
        <v>108</v>
      </c>
      <c r="G20" s="7">
        <v>403280</v>
      </c>
      <c r="H20" s="8">
        <v>3400.6</v>
      </c>
      <c r="I20" s="8">
        <v>3610.5</v>
      </c>
      <c r="J20" s="6">
        <v>665</v>
      </c>
    </row>
    <row r="21" spans="1:12" ht="23" customHeight="1">
      <c r="A21" s="5" t="s">
        <v>27</v>
      </c>
      <c r="B21" s="6">
        <v>4</v>
      </c>
      <c r="C21" s="6">
        <v>1</v>
      </c>
      <c r="D21" s="6">
        <v>108</v>
      </c>
      <c r="E21" s="6">
        <v>108</v>
      </c>
      <c r="F21" s="6">
        <v>109</v>
      </c>
      <c r="G21" s="7">
        <v>403280</v>
      </c>
      <c r="H21" s="8">
        <v>3610.5</v>
      </c>
      <c r="I21" s="8">
        <v>3820.5</v>
      </c>
      <c r="J21" s="6">
        <v>666</v>
      </c>
    </row>
    <row r="22" spans="1:12" ht="24" customHeight="1">
      <c r="A22" s="3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7</v>
      </c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  <c r="I23" s="4" t="s">
        <v>15</v>
      </c>
      <c r="J23" s="4" t="s">
        <v>16</v>
      </c>
    </row>
    <row r="24" spans="1:12" ht="23" customHeight="1">
      <c r="A24" s="5" t="s">
        <v>28</v>
      </c>
      <c r="B24" s="6">
        <v>4</v>
      </c>
      <c r="C24" s="6">
        <v>1</v>
      </c>
      <c r="D24" s="6">
        <v>109</v>
      </c>
      <c r="E24" s="6">
        <v>109</v>
      </c>
      <c r="F24" s="6">
        <v>110</v>
      </c>
      <c r="G24" s="7">
        <v>403280</v>
      </c>
      <c r="H24" s="8">
        <v>3820.5</v>
      </c>
      <c r="I24" s="8">
        <v>4030.4</v>
      </c>
      <c r="J24" s="6">
        <v>667</v>
      </c>
    </row>
    <row r="25" spans="1:12" ht="23" customHeight="1">
      <c r="A25" s="5" t="s">
        <v>29</v>
      </c>
      <c r="B25" s="6">
        <v>4</v>
      </c>
      <c r="C25" s="6">
        <v>1</v>
      </c>
      <c r="D25" s="6">
        <v>110</v>
      </c>
      <c r="E25" s="6">
        <v>110</v>
      </c>
      <c r="F25" s="6">
        <v>111</v>
      </c>
      <c r="G25" s="7">
        <v>403280</v>
      </c>
      <c r="H25" s="8">
        <v>4030.4</v>
      </c>
      <c r="I25" s="8">
        <v>4240.3</v>
      </c>
      <c r="J25" s="6">
        <v>668</v>
      </c>
    </row>
    <row r="26" spans="1:12" ht="23" customHeight="1">
      <c r="A26" s="5" t="s">
        <v>30</v>
      </c>
      <c r="B26" s="6">
        <v>4</v>
      </c>
      <c r="C26" s="6">
        <v>1</v>
      </c>
      <c r="D26" s="6">
        <v>111</v>
      </c>
      <c r="E26" s="6">
        <v>111</v>
      </c>
      <c r="F26" s="6">
        <v>112</v>
      </c>
      <c r="G26" s="7">
        <v>403280</v>
      </c>
      <c r="H26" s="8">
        <v>4240.3</v>
      </c>
      <c r="I26" s="8">
        <v>4450.2</v>
      </c>
      <c r="J26" s="6">
        <v>669</v>
      </c>
    </row>
    <row r="27" spans="1:12" ht="23" customHeight="1">
      <c r="A27" s="5" t="s">
        <v>31</v>
      </c>
      <c r="B27" s="6">
        <v>4</v>
      </c>
      <c r="C27" s="6">
        <v>1</v>
      </c>
      <c r="D27" s="6">
        <v>112</v>
      </c>
      <c r="E27" s="6">
        <v>112</v>
      </c>
      <c r="F27" s="6">
        <v>113</v>
      </c>
      <c r="G27" s="7">
        <v>225971</v>
      </c>
      <c r="H27" s="8">
        <v>3300.7</v>
      </c>
      <c r="I27" s="8">
        <v>3300.7</v>
      </c>
      <c r="J27" s="6">
        <v>670</v>
      </c>
    </row>
    <row r="28" spans="1:12" ht="23" customHeight="1">
      <c r="A28" s="5" t="s">
        <v>32</v>
      </c>
      <c r="B28" s="6">
        <v>4</v>
      </c>
      <c r="C28" s="6">
        <v>1</v>
      </c>
      <c r="D28" s="6">
        <v>113</v>
      </c>
      <c r="E28" s="6">
        <v>113</v>
      </c>
      <c r="F28" s="6">
        <v>114</v>
      </c>
      <c r="G28" s="7">
        <v>193733</v>
      </c>
      <c r="H28" s="8">
        <v>3088.8</v>
      </c>
      <c r="I28" s="8">
        <v>3088.8</v>
      </c>
      <c r="J28" s="6">
        <v>671</v>
      </c>
    </row>
    <row r="29" spans="1:12" ht="23" customHeight="1">
      <c r="A29" s="5" t="s">
        <v>33</v>
      </c>
      <c r="B29" s="6">
        <v>4</v>
      </c>
      <c r="C29" s="6">
        <v>1</v>
      </c>
      <c r="D29" s="6">
        <v>114</v>
      </c>
      <c r="E29" s="6">
        <v>114</v>
      </c>
      <c r="F29" s="6">
        <v>115</v>
      </c>
      <c r="G29" s="7">
        <v>193733</v>
      </c>
      <c r="H29" s="8">
        <v>3088.8</v>
      </c>
      <c r="I29" s="8">
        <v>3088.8</v>
      </c>
      <c r="J29" s="6">
        <v>672</v>
      </c>
    </row>
    <row r="30" spans="1:12" ht="23" customHeight="1">
      <c r="A30" s="5" t="s">
        <v>34</v>
      </c>
      <c r="B30" s="6">
        <v>4</v>
      </c>
      <c r="C30" s="6">
        <v>1</v>
      </c>
      <c r="D30" s="6">
        <v>115</v>
      </c>
      <c r="E30" s="6">
        <v>115</v>
      </c>
      <c r="F30" s="6">
        <v>116</v>
      </c>
      <c r="G30" s="7">
        <v>193733</v>
      </c>
      <c r="H30" s="8">
        <v>3088.8</v>
      </c>
      <c r="I30" s="8">
        <v>3088.8</v>
      </c>
      <c r="J30" s="6">
        <v>673</v>
      </c>
    </row>
    <row r="31" spans="1:12" ht="23" customHeight="1">
      <c r="A31" s="5" t="s">
        <v>35</v>
      </c>
      <c r="B31" s="6">
        <v>4</v>
      </c>
      <c r="C31" s="6">
        <v>1</v>
      </c>
      <c r="D31" s="6">
        <v>116</v>
      </c>
      <c r="E31" s="6">
        <v>116</v>
      </c>
      <c r="F31" s="6">
        <v>117</v>
      </c>
      <c r="G31" s="7">
        <v>193733</v>
      </c>
      <c r="H31" s="8">
        <v>3088.8</v>
      </c>
      <c r="I31" s="8">
        <v>3088.8</v>
      </c>
      <c r="J31" s="6">
        <v>674</v>
      </c>
    </row>
    <row r="32" spans="1:12" ht="23" customHeight="1">
      <c r="A32" s="5" t="s">
        <v>36</v>
      </c>
      <c r="B32" s="6">
        <v>4</v>
      </c>
      <c r="C32" s="6">
        <v>1</v>
      </c>
      <c r="D32" s="6">
        <v>117</v>
      </c>
      <c r="E32" s="6">
        <v>117</v>
      </c>
      <c r="F32" s="6">
        <v>118</v>
      </c>
      <c r="G32" s="7">
        <v>193733</v>
      </c>
      <c r="H32" s="8">
        <v>3088.8</v>
      </c>
      <c r="I32" s="8">
        <v>3088.8</v>
      </c>
      <c r="J32" s="6">
        <v>675</v>
      </c>
    </row>
    <row r="33" spans="1:12" ht="23" customHeight="1">
      <c r="A33" s="5" t="s">
        <v>37</v>
      </c>
      <c r="B33" s="6">
        <v>4</v>
      </c>
      <c r="C33" s="6">
        <v>1</v>
      </c>
      <c r="D33" s="6">
        <v>118</v>
      </c>
      <c r="E33" s="6">
        <v>118</v>
      </c>
      <c r="F33" s="6">
        <v>119</v>
      </c>
      <c r="G33" s="7">
        <v>193733</v>
      </c>
      <c r="H33" s="8">
        <v>3088.8</v>
      </c>
      <c r="I33" s="8">
        <v>3088.8</v>
      </c>
      <c r="J33" s="6">
        <v>676</v>
      </c>
    </row>
    <row r="34" spans="1:12" ht="23" customHeight="1">
      <c r="A34" s="5" t="s">
        <v>38</v>
      </c>
      <c r="B34" s="6">
        <v>4</v>
      </c>
      <c r="C34" s="6">
        <v>1</v>
      </c>
      <c r="D34" s="6">
        <v>119</v>
      </c>
      <c r="E34" s="6">
        <v>119</v>
      </c>
      <c r="F34" s="6">
        <v>120</v>
      </c>
      <c r="G34" s="7">
        <v>193733</v>
      </c>
      <c r="H34" s="8">
        <v>3088.8</v>
      </c>
      <c r="I34" s="8">
        <v>3088.8</v>
      </c>
      <c r="J34" s="6">
        <v>677</v>
      </c>
    </row>
    <row r="35" spans="1:12" ht="23" customHeight="1">
      <c r="A35" s="5" t="s">
        <v>39</v>
      </c>
      <c r="B35" s="6">
        <v>4</v>
      </c>
      <c r="C35" s="6">
        <v>1</v>
      </c>
      <c r="D35" s="6">
        <v>120</v>
      </c>
      <c r="E35" s="6">
        <v>120</v>
      </c>
      <c r="F35" s="6">
        <v>121</v>
      </c>
      <c r="G35" s="7">
        <v>193733</v>
      </c>
      <c r="H35" s="8">
        <v>3088.8</v>
      </c>
      <c r="I35" s="8">
        <v>3088.8</v>
      </c>
      <c r="J35" s="6">
        <v>678</v>
      </c>
    </row>
    <row r="36" spans="1:12" ht="23" customHeight="1">
      <c r="A36" s="5" t="s">
        <v>40</v>
      </c>
      <c r="B36" s="6">
        <v>4</v>
      </c>
      <c r="C36" s="6">
        <v>1</v>
      </c>
      <c r="D36" s="6">
        <v>121</v>
      </c>
      <c r="E36" s="6">
        <v>121</v>
      </c>
      <c r="F36" s="6">
        <v>122</v>
      </c>
      <c r="G36" s="7">
        <v>193733</v>
      </c>
      <c r="H36" s="8">
        <v>3088.8</v>
      </c>
      <c r="I36" s="8">
        <v>3088.8</v>
      </c>
      <c r="J36" s="6">
        <v>679</v>
      </c>
    </row>
    <row r="37" spans="1:12" ht="23" customHeight="1">
      <c r="A37" s="5" t="s">
        <v>41</v>
      </c>
      <c r="B37" s="6">
        <v>5</v>
      </c>
      <c r="C37" s="6">
        <v>2</v>
      </c>
      <c r="D37" s="6">
        <v>123</v>
      </c>
      <c r="E37" s="6">
        <v>123</v>
      </c>
      <c r="F37" s="6">
        <v>124</v>
      </c>
      <c r="G37" s="7">
        <v>39208</v>
      </c>
      <c r="H37" s="8">
        <v>1005.1</v>
      </c>
      <c r="I37" s="8">
        <v>1130.1</v>
      </c>
      <c r="J37" s="6">
        <v>681</v>
      </c>
    </row>
    <row r="38" spans="1:12" ht="23" customHeight="1">
      <c r="A38" s="5" t="s">
        <v>42</v>
      </c>
      <c r="B38" s="6">
        <v>5</v>
      </c>
      <c r="C38" s="6">
        <v>2</v>
      </c>
      <c r="D38" s="6">
        <v>124</v>
      </c>
      <c r="E38" s="6">
        <v>124</v>
      </c>
      <c r="F38" s="6">
        <v>125</v>
      </c>
      <c r="G38" s="7">
        <v>181391</v>
      </c>
      <c r="H38" s="8">
        <v>1719.1</v>
      </c>
      <c r="I38" s="8">
        <v>1719.1</v>
      </c>
      <c r="J38" s="6">
        <v>682</v>
      </c>
    </row>
    <row r="39" spans="1:12" ht="24" customHeight="1">
      <c r="A39" s="3" t="s">
        <v>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  <c r="H40" s="4" t="s">
        <v>14</v>
      </c>
      <c r="I40" s="4" t="s">
        <v>15</v>
      </c>
      <c r="J40" s="4" t="s">
        <v>16</v>
      </c>
    </row>
    <row r="41" spans="1:12" ht="23" customHeight="1">
      <c r="A41" s="5" t="s">
        <v>43</v>
      </c>
      <c r="B41" s="6">
        <v>5</v>
      </c>
      <c r="C41" s="6">
        <v>2</v>
      </c>
      <c r="D41" s="6">
        <v>125</v>
      </c>
      <c r="E41" s="6">
        <v>125</v>
      </c>
      <c r="F41" s="6">
        <v>126</v>
      </c>
      <c r="G41" s="7">
        <v>94334</v>
      </c>
      <c r="H41" s="8">
        <v>1285.3</v>
      </c>
      <c r="I41" s="8">
        <v>1285.3</v>
      </c>
      <c r="J41" s="6">
        <v>683</v>
      </c>
    </row>
    <row r="42" spans="1:12" ht="23" customHeight="1">
      <c r="A42" s="5" t="s">
        <v>44</v>
      </c>
      <c r="B42" s="6">
        <v>5</v>
      </c>
      <c r="C42" s="6">
        <v>2</v>
      </c>
      <c r="D42" s="6">
        <v>126</v>
      </c>
      <c r="E42" s="6">
        <v>126</v>
      </c>
      <c r="F42" s="6">
        <v>127</v>
      </c>
      <c r="G42" s="7">
        <v>73805</v>
      </c>
      <c r="H42" s="7">
        <v>1170</v>
      </c>
      <c r="I42" s="7">
        <v>1170</v>
      </c>
      <c r="J42" s="6">
        <v>684</v>
      </c>
    </row>
    <row r="43" spans="1:12" ht="23" customHeight="1">
      <c r="A43" s="5" t="s">
        <v>45</v>
      </c>
      <c r="B43" s="6">
        <v>5</v>
      </c>
      <c r="C43" s="6">
        <v>2</v>
      </c>
      <c r="D43" s="6">
        <v>127</v>
      </c>
      <c r="E43" s="6">
        <v>127</v>
      </c>
      <c r="F43" s="6">
        <v>128</v>
      </c>
      <c r="G43" s="7">
        <v>138686</v>
      </c>
      <c r="H43" s="8">
        <v>1732.3</v>
      </c>
      <c r="I43" s="8">
        <v>1732.3</v>
      </c>
      <c r="J43" s="6">
        <v>685</v>
      </c>
    </row>
    <row r="44" spans="1:12" ht="23" customHeight="1">
      <c r="A44" s="5" t="s">
        <v>46</v>
      </c>
      <c r="B44" s="6">
        <v>5</v>
      </c>
      <c r="C44" s="6">
        <v>2</v>
      </c>
      <c r="D44" s="6">
        <v>128</v>
      </c>
      <c r="E44" s="6">
        <v>128</v>
      </c>
      <c r="F44" s="6">
        <v>129</v>
      </c>
      <c r="G44" s="7">
        <v>179236</v>
      </c>
      <c r="H44" s="8">
        <v>2137.2</v>
      </c>
      <c r="I44" s="8">
        <v>2310.9</v>
      </c>
      <c r="J44" s="6">
        <v>686</v>
      </c>
    </row>
    <row r="45" spans="1:12" ht="23" customHeight="1">
      <c r="A45" s="5" t="s">
        <v>47</v>
      </c>
      <c r="B45" s="6">
        <v>5</v>
      </c>
      <c r="C45" s="6">
        <v>2</v>
      </c>
      <c r="D45" s="6">
        <v>129</v>
      </c>
      <c r="E45" s="6">
        <v>129</v>
      </c>
      <c r="F45" s="6">
        <v>130</v>
      </c>
      <c r="G45" s="7">
        <v>242293</v>
      </c>
      <c r="H45" s="8">
        <v>3391.1</v>
      </c>
      <c r="I45" s="8">
        <v>3391.1</v>
      </c>
      <c r="J45" s="6">
        <v>687</v>
      </c>
    </row>
    <row r="46" spans="1:12" ht="23" customHeight="1">
      <c r="A46" s="5" t="s">
        <v>48</v>
      </c>
      <c r="B46" s="6">
        <v>5</v>
      </c>
      <c r="C46" s="6">
        <v>2</v>
      </c>
      <c r="D46" s="6">
        <v>130</v>
      </c>
      <c r="E46" s="6">
        <v>130</v>
      </c>
      <c r="F46" s="6">
        <v>131</v>
      </c>
      <c r="G46" s="7">
        <v>268854</v>
      </c>
      <c r="H46" s="8">
        <v>2576.3</v>
      </c>
      <c r="I46" s="8">
        <v>2757.7</v>
      </c>
      <c r="J46" s="6">
        <v>688</v>
      </c>
    </row>
    <row r="47" spans="1:12" ht="23" customHeight="1">
      <c r="A47" s="5" t="s">
        <v>49</v>
      </c>
      <c r="B47" s="6">
        <v>5</v>
      </c>
      <c r="C47" s="6">
        <v>2</v>
      </c>
      <c r="D47" s="6">
        <v>131</v>
      </c>
      <c r="E47" s="6">
        <v>131</v>
      </c>
      <c r="F47" s="6">
        <v>132</v>
      </c>
      <c r="G47" s="7">
        <v>268854</v>
      </c>
      <c r="H47" s="8">
        <v>2757.7</v>
      </c>
      <c r="I47" s="8">
        <v>2939.2</v>
      </c>
      <c r="J47" s="6">
        <v>689</v>
      </c>
    </row>
    <row r="48" spans="1:12" ht="23" customHeight="1">
      <c r="A48" s="5" t="s">
        <v>50</v>
      </c>
      <c r="B48" s="6">
        <v>5</v>
      </c>
      <c r="C48" s="6">
        <v>2</v>
      </c>
      <c r="D48" s="6">
        <v>132</v>
      </c>
      <c r="E48" s="6">
        <v>132</v>
      </c>
      <c r="F48" s="6">
        <v>133</v>
      </c>
      <c r="G48" s="7">
        <v>268854</v>
      </c>
      <c r="H48" s="8">
        <v>2939.2</v>
      </c>
      <c r="I48" s="8">
        <v>3120.6</v>
      </c>
      <c r="J48" s="6">
        <v>690</v>
      </c>
    </row>
    <row r="49" spans="1:12" ht="23" customHeight="1">
      <c r="A49" s="5" t="s">
        <v>51</v>
      </c>
      <c r="B49" s="6">
        <v>5</v>
      </c>
      <c r="C49" s="6">
        <v>2</v>
      </c>
      <c r="D49" s="6">
        <v>133</v>
      </c>
      <c r="E49" s="6">
        <v>133</v>
      </c>
      <c r="F49" s="6">
        <v>134</v>
      </c>
      <c r="G49" s="7">
        <v>268854</v>
      </c>
      <c r="H49" s="8">
        <v>3120.6</v>
      </c>
      <c r="I49" s="7">
        <v>3302</v>
      </c>
      <c r="J49" s="6">
        <v>691</v>
      </c>
    </row>
    <row r="50" spans="1:12" ht="23" customHeight="1">
      <c r="A50" s="5" t="s">
        <v>52</v>
      </c>
      <c r="B50" s="6">
        <v>5</v>
      </c>
      <c r="C50" s="6">
        <v>2</v>
      </c>
      <c r="D50" s="6">
        <v>134</v>
      </c>
      <c r="E50" s="6">
        <v>134</v>
      </c>
      <c r="F50" s="6">
        <v>135</v>
      </c>
      <c r="G50" s="7">
        <v>268854</v>
      </c>
      <c r="H50" s="7">
        <v>3302</v>
      </c>
      <c r="I50" s="8">
        <v>3483.4</v>
      </c>
      <c r="J50" s="6">
        <v>692</v>
      </c>
    </row>
    <row r="51" spans="1:12" ht="23" customHeight="1">
      <c r="A51" s="5" t="s">
        <v>53</v>
      </c>
      <c r="B51" s="6">
        <v>5</v>
      </c>
      <c r="C51" s="6">
        <v>2</v>
      </c>
      <c r="D51" s="6">
        <v>135</v>
      </c>
      <c r="E51" s="6">
        <v>135</v>
      </c>
      <c r="F51" s="6">
        <v>136</v>
      </c>
      <c r="G51" s="7">
        <v>268854</v>
      </c>
      <c r="H51" s="8">
        <v>3483.4</v>
      </c>
      <c r="I51" s="8">
        <v>3664.9</v>
      </c>
      <c r="J51" s="6">
        <v>693</v>
      </c>
    </row>
    <row r="52" spans="1:12" ht="23" customHeight="1">
      <c r="A52" s="5" t="s">
        <v>54</v>
      </c>
      <c r="B52" s="6">
        <v>5</v>
      </c>
      <c r="C52" s="6">
        <v>2</v>
      </c>
      <c r="D52" s="6">
        <v>136</v>
      </c>
      <c r="E52" s="6">
        <v>136</v>
      </c>
      <c r="F52" s="6">
        <v>137</v>
      </c>
      <c r="G52" s="7">
        <v>268854</v>
      </c>
      <c r="H52" s="8">
        <v>3664.9</v>
      </c>
      <c r="I52" s="8">
        <v>3846.3</v>
      </c>
      <c r="J52" s="6">
        <v>694</v>
      </c>
    </row>
    <row r="53" spans="1:12" ht="23" customHeight="1">
      <c r="A53" s="5" t="s">
        <v>55</v>
      </c>
      <c r="B53" s="6">
        <v>5</v>
      </c>
      <c r="C53" s="6">
        <v>2</v>
      </c>
      <c r="D53" s="6">
        <v>137</v>
      </c>
      <c r="E53" s="6">
        <v>137</v>
      </c>
      <c r="F53" s="6">
        <v>138</v>
      </c>
      <c r="G53" s="7">
        <v>150647</v>
      </c>
      <c r="H53" s="8">
        <v>2336.3</v>
      </c>
      <c r="I53" s="8">
        <v>2336.3</v>
      </c>
      <c r="J53" s="6">
        <v>695</v>
      </c>
    </row>
    <row r="54" spans="1:12" ht="23" customHeight="1">
      <c r="A54" s="5" t="s">
        <v>56</v>
      </c>
      <c r="B54" s="6">
        <v>5</v>
      </c>
      <c r="C54" s="6">
        <v>2</v>
      </c>
      <c r="D54" s="6">
        <v>138</v>
      </c>
      <c r="E54" s="6">
        <v>138</v>
      </c>
      <c r="F54" s="6">
        <v>139</v>
      </c>
      <c r="G54" s="7">
        <v>129155</v>
      </c>
      <c r="H54" s="8">
        <v>2059.2</v>
      </c>
      <c r="I54" s="8">
        <v>2059.2</v>
      </c>
      <c r="J54" s="6">
        <v>696</v>
      </c>
    </row>
    <row r="55" spans="1:12" ht="23" customHeight="1">
      <c r="A55" s="5" t="s">
        <v>57</v>
      </c>
      <c r="B55" s="6">
        <v>5</v>
      </c>
      <c r="C55" s="6">
        <v>2</v>
      </c>
      <c r="D55" s="6">
        <v>139</v>
      </c>
      <c r="E55" s="6">
        <v>139</v>
      </c>
      <c r="F55" s="6">
        <v>140</v>
      </c>
      <c r="G55" s="7">
        <v>129155</v>
      </c>
      <c r="H55" s="8">
        <v>2059.2</v>
      </c>
      <c r="I55" s="8">
        <v>2059.2</v>
      </c>
      <c r="J55" s="6">
        <v>697</v>
      </c>
    </row>
    <row r="56" spans="1:12" ht="24" customHeight="1">
      <c r="A56" s="3" t="s">
        <v>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7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  <c r="H57" s="4" t="s">
        <v>14</v>
      </c>
      <c r="I57" s="4" t="s">
        <v>15</v>
      </c>
      <c r="J57" s="4" t="s">
        <v>16</v>
      </c>
    </row>
    <row r="58" spans="1:12" ht="23" customHeight="1">
      <c r="A58" s="5" t="s">
        <v>58</v>
      </c>
      <c r="B58" s="6">
        <v>5</v>
      </c>
      <c r="C58" s="6">
        <v>2</v>
      </c>
      <c r="D58" s="6">
        <v>140</v>
      </c>
      <c r="E58" s="6">
        <v>140</v>
      </c>
      <c r="F58" s="6">
        <v>141</v>
      </c>
      <c r="G58" s="7">
        <v>129155</v>
      </c>
      <c r="H58" s="8">
        <v>2059.2</v>
      </c>
      <c r="I58" s="8">
        <v>2059.2</v>
      </c>
      <c r="J58" s="6">
        <v>698</v>
      </c>
    </row>
    <row r="59" spans="1:12" ht="23" customHeight="1">
      <c r="A59" s="5" t="s">
        <v>59</v>
      </c>
      <c r="B59" s="6">
        <v>5</v>
      </c>
      <c r="C59" s="6">
        <v>2</v>
      </c>
      <c r="D59" s="6">
        <v>141</v>
      </c>
      <c r="E59" s="6">
        <v>141</v>
      </c>
      <c r="F59" s="6">
        <v>142</v>
      </c>
      <c r="G59" s="7">
        <v>129155</v>
      </c>
      <c r="H59" s="8">
        <v>2059.2</v>
      </c>
      <c r="I59" s="8">
        <v>2059.2</v>
      </c>
      <c r="J59" s="6">
        <v>699</v>
      </c>
    </row>
    <row r="60" spans="1:12" ht="23" customHeight="1">
      <c r="A60" s="5" t="s">
        <v>60</v>
      </c>
      <c r="B60" s="6">
        <v>5</v>
      </c>
      <c r="C60" s="6">
        <v>2</v>
      </c>
      <c r="D60" s="6">
        <v>142</v>
      </c>
      <c r="E60" s="6">
        <v>142</v>
      </c>
      <c r="F60" s="6">
        <v>143</v>
      </c>
      <c r="G60" s="7">
        <v>129155</v>
      </c>
      <c r="H60" s="8">
        <v>2059.2</v>
      </c>
      <c r="I60" s="8">
        <v>2059.2</v>
      </c>
      <c r="J60" s="6">
        <v>700</v>
      </c>
    </row>
    <row r="61" spans="1:12" ht="23" customHeight="1">
      <c r="A61" s="5" t="s">
        <v>61</v>
      </c>
      <c r="B61" s="6">
        <v>5</v>
      </c>
      <c r="C61" s="6">
        <v>2</v>
      </c>
      <c r="D61" s="6">
        <v>143</v>
      </c>
      <c r="E61" s="6">
        <v>143</v>
      </c>
      <c r="F61" s="6">
        <v>144</v>
      </c>
      <c r="G61" s="7">
        <v>129155</v>
      </c>
      <c r="H61" s="8">
        <v>2059.2</v>
      </c>
      <c r="I61" s="8">
        <v>2059.2</v>
      </c>
      <c r="J61" s="6">
        <v>701</v>
      </c>
    </row>
    <row r="62" spans="1:12" ht="23" customHeight="1">
      <c r="A62" s="5" t="s">
        <v>62</v>
      </c>
      <c r="B62" s="6">
        <v>5</v>
      </c>
      <c r="C62" s="6">
        <v>2</v>
      </c>
      <c r="D62" s="6">
        <v>144</v>
      </c>
      <c r="E62" s="6">
        <v>144</v>
      </c>
      <c r="F62" s="6">
        <v>145</v>
      </c>
      <c r="G62" s="7">
        <v>129155</v>
      </c>
      <c r="H62" s="8">
        <v>2059.2</v>
      </c>
      <c r="I62" s="8">
        <v>2059.2</v>
      </c>
      <c r="J62" s="6">
        <v>702</v>
      </c>
    </row>
    <row r="63" spans="1:12" ht="23" customHeight="1">
      <c r="A63" s="5" t="s">
        <v>63</v>
      </c>
      <c r="B63" s="6">
        <v>5</v>
      </c>
      <c r="C63" s="6">
        <v>2</v>
      </c>
      <c r="D63" s="6">
        <v>145</v>
      </c>
      <c r="E63" s="6">
        <v>145</v>
      </c>
      <c r="F63" s="6">
        <v>146</v>
      </c>
      <c r="G63" s="7">
        <v>129155</v>
      </c>
      <c r="H63" s="8">
        <v>2059.2</v>
      </c>
      <c r="I63" s="8">
        <v>2059.2</v>
      </c>
      <c r="J63" s="6">
        <v>703</v>
      </c>
    </row>
    <row r="64" spans="1:12" ht="23" customHeight="1">
      <c r="A64" s="5" t="s">
        <v>64</v>
      </c>
      <c r="B64" s="6">
        <v>5</v>
      </c>
      <c r="C64" s="6">
        <v>2</v>
      </c>
      <c r="D64" s="6">
        <v>146</v>
      </c>
      <c r="E64" s="6">
        <v>146</v>
      </c>
      <c r="F64" s="6">
        <v>147</v>
      </c>
      <c r="G64" s="7">
        <v>129155</v>
      </c>
      <c r="H64" s="8">
        <v>2059.2</v>
      </c>
      <c r="I64" s="8">
        <v>2059.2</v>
      </c>
      <c r="J64" s="6">
        <v>704</v>
      </c>
    </row>
    <row r="65" spans="1:12" ht="23" customHeight="1">
      <c r="A65" s="5" t="s">
        <v>65</v>
      </c>
      <c r="B65" s="6">
        <v>6</v>
      </c>
      <c r="C65" s="6">
        <v>3</v>
      </c>
      <c r="D65" s="6">
        <v>148</v>
      </c>
      <c r="E65" s="6">
        <v>148</v>
      </c>
      <c r="F65" s="6">
        <v>149</v>
      </c>
      <c r="G65" s="7">
        <v>58812</v>
      </c>
      <c r="H65" s="8">
        <v>2907.3</v>
      </c>
      <c r="I65" s="8">
        <v>3268.7</v>
      </c>
      <c r="J65" s="6">
        <v>706</v>
      </c>
    </row>
    <row r="66" spans="1:12" ht="23" customHeight="1">
      <c r="A66" s="5" t="s">
        <v>66</v>
      </c>
      <c r="B66" s="6">
        <v>6</v>
      </c>
      <c r="C66" s="6">
        <v>3</v>
      </c>
      <c r="D66" s="6">
        <v>149</v>
      </c>
      <c r="E66" s="6">
        <v>149</v>
      </c>
      <c r="F66" s="6">
        <v>150</v>
      </c>
      <c r="G66" s="7">
        <v>272086</v>
      </c>
      <c r="H66" s="8">
        <v>4972.5</v>
      </c>
      <c r="I66" s="8">
        <v>4972.5</v>
      </c>
      <c r="J66" s="6">
        <v>707</v>
      </c>
    </row>
    <row r="67" spans="1:12" ht="23" customHeight="1">
      <c r="A67" s="5" t="s">
        <v>67</v>
      </c>
      <c r="B67" s="6">
        <v>6</v>
      </c>
      <c r="C67" s="6">
        <v>3</v>
      </c>
      <c r="D67" s="6">
        <v>150</v>
      </c>
      <c r="E67" s="6">
        <v>150</v>
      </c>
      <c r="F67" s="6">
        <v>151</v>
      </c>
      <c r="G67" s="7">
        <v>141501</v>
      </c>
      <c r="H67" s="8">
        <v>2339.1</v>
      </c>
      <c r="I67" s="8">
        <v>2339.1</v>
      </c>
      <c r="J67" s="6">
        <v>708</v>
      </c>
    </row>
    <row r="68" spans="1:12" ht="23" customHeight="1">
      <c r="A68" s="5" t="s">
        <v>68</v>
      </c>
      <c r="B68" s="6">
        <v>6</v>
      </c>
      <c r="C68" s="6">
        <v>3</v>
      </c>
      <c r="D68" s="6">
        <v>151</v>
      </c>
      <c r="E68" s="6">
        <v>151</v>
      </c>
      <c r="F68" s="6">
        <v>152</v>
      </c>
      <c r="G68" s="7">
        <v>110708</v>
      </c>
      <c r="H68" s="7">
        <v>1755</v>
      </c>
      <c r="I68" s="7">
        <v>1755</v>
      </c>
      <c r="J68" s="6">
        <v>709</v>
      </c>
    </row>
    <row r="69" spans="1:12" ht="23" customHeight="1">
      <c r="A69" s="5" t="s">
        <v>69</v>
      </c>
      <c r="B69" s="6">
        <v>6</v>
      </c>
      <c r="C69" s="6">
        <v>3</v>
      </c>
      <c r="D69" s="6">
        <v>152</v>
      </c>
      <c r="E69" s="6">
        <v>152</v>
      </c>
      <c r="F69" s="6">
        <v>153</v>
      </c>
      <c r="G69" s="7">
        <v>208029</v>
      </c>
      <c r="H69" s="8">
        <v>4384.1</v>
      </c>
      <c r="I69" s="8">
        <v>4384.1</v>
      </c>
      <c r="J69" s="6">
        <v>710</v>
      </c>
    </row>
    <row r="70" spans="1:12" ht="23" customHeight="1">
      <c r="A70" s="5" t="s">
        <v>70</v>
      </c>
      <c r="B70" s="6">
        <v>6</v>
      </c>
      <c r="C70" s="6">
        <v>3</v>
      </c>
      <c r="D70" s="6">
        <v>153</v>
      </c>
      <c r="E70" s="6">
        <v>153</v>
      </c>
      <c r="F70" s="6">
        <v>154</v>
      </c>
      <c r="G70" s="7">
        <v>268854</v>
      </c>
      <c r="H70" s="8">
        <v>6181.8</v>
      </c>
      <c r="I70" s="8">
        <v>6684.3</v>
      </c>
      <c r="J70" s="6">
        <v>711</v>
      </c>
    </row>
    <row r="71" spans="1:12" ht="23" customHeight="1">
      <c r="A71" s="5" t="s">
        <v>71</v>
      </c>
      <c r="B71" s="6">
        <v>6</v>
      </c>
      <c r="C71" s="6">
        <v>3</v>
      </c>
      <c r="D71" s="6">
        <v>154</v>
      </c>
      <c r="E71" s="6">
        <v>154</v>
      </c>
      <c r="F71" s="6">
        <v>155</v>
      </c>
      <c r="G71" s="7">
        <v>363440</v>
      </c>
      <c r="H71" s="8">
        <v>6891.1</v>
      </c>
      <c r="I71" s="8">
        <v>6891.1</v>
      </c>
      <c r="J71" s="6">
        <v>712</v>
      </c>
    </row>
    <row r="72" spans="1:12" ht="23" customHeight="1">
      <c r="A72" s="5" t="s">
        <v>72</v>
      </c>
      <c r="B72" s="6">
        <v>6</v>
      </c>
      <c r="C72" s="6">
        <v>3</v>
      </c>
      <c r="D72" s="6">
        <v>155</v>
      </c>
      <c r="E72" s="6">
        <v>155</v>
      </c>
      <c r="F72" s="6">
        <v>156</v>
      </c>
      <c r="G72" s="7">
        <v>403280</v>
      </c>
      <c r="H72" s="8">
        <v>7451.9</v>
      </c>
      <c r="I72" s="8">
        <v>7976.7</v>
      </c>
      <c r="J72" s="6">
        <v>713</v>
      </c>
    </row>
    <row r="73" spans="1:12" ht="24" customHeight="1">
      <c r="A73" s="3" t="s">
        <v>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7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  <c r="I74" s="4" t="s">
        <v>15</v>
      </c>
      <c r="J74" s="4" t="s">
        <v>16</v>
      </c>
    </row>
    <row r="75" spans="1:12" ht="23" customHeight="1">
      <c r="A75" s="5" t="s">
        <v>73</v>
      </c>
      <c r="B75" s="6">
        <v>6</v>
      </c>
      <c r="C75" s="6">
        <v>3</v>
      </c>
      <c r="D75" s="6">
        <v>156</v>
      </c>
      <c r="E75" s="6">
        <v>156</v>
      </c>
      <c r="F75" s="6">
        <v>157</v>
      </c>
      <c r="G75" s="7">
        <v>403280</v>
      </c>
      <c r="H75" s="8">
        <v>7976.7</v>
      </c>
      <c r="I75" s="8">
        <v>8501.5</v>
      </c>
      <c r="J75" s="6">
        <v>714</v>
      </c>
    </row>
    <row r="76" spans="1:12" ht="23" customHeight="1">
      <c r="A76" s="5" t="s">
        <v>74</v>
      </c>
      <c r="B76" s="6">
        <v>6</v>
      </c>
      <c r="C76" s="6">
        <v>3</v>
      </c>
      <c r="D76" s="6">
        <v>157</v>
      </c>
      <c r="E76" s="6">
        <v>157</v>
      </c>
      <c r="F76" s="6">
        <v>158</v>
      </c>
      <c r="G76" s="7">
        <v>403280</v>
      </c>
      <c r="H76" s="8">
        <v>8501.5</v>
      </c>
      <c r="I76" s="8">
        <v>9026.299999999999</v>
      </c>
      <c r="J76" s="6">
        <v>715</v>
      </c>
    </row>
    <row r="77" spans="1:12" ht="23" customHeight="1">
      <c r="A77" s="5" t="s">
        <v>75</v>
      </c>
      <c r="B77" s="6">
        <v>6</v>
      </c>
      <c r="C77" s="6">
        <v>3</v>
      </c>
      <c r="D77" s="6">
        <v>158</v>
      </c>
      <c r="E77" s="6">
        <v>158</v>
      </c>
      <c r="F77" s="6">
        <v>159</v>
      </c>
      <c r="G77" s="7">
        <v>403280</v>
      </c>
      <c r="H77" s="8">
        <v>9026.299999999999</v>
      </c>
      <c r="I77" s="8">
        <v>9551.1</v>
      </c>
      <c r="J77" s="6">
        <v>716</v>
      </c>
    </row>
    <row r="78" spans="1:12" ht="23" customHeight="1">
      <c r="A78" s="5" t="s">
        <v>76</v>
      </c>
      <c r="B78" s="6">
        <v>6</v>
      </c>
      <c r="C78" s="6">
        <v>3</v>
      </c>
      <c r="D78" s="6">
        <v>159</v>
      </c>
      <c r="E78" s="6">
        <v>159</v>
      </c>
      <c r="F78" s="6">
        <v>160</v>
      </c>
      <c r="G78" s="7">
        <v>403280</v>
      </c>
      <c r="H78" s="8">
        <v>9551.1</v>
      </c>
      <c r="I78" s="8">
        <v>10075.9</v>
      </c>
      <c r="J78" s="6">
        <v>717</v>
      </c>
    </row>
    <row r="79" spans="1:12" ht="23" customHeight="1">
      <c r="A79" s="5" t="s">
        <v>77</v>
      </c>
      <c r="B79" s="6">
        <v>6</v>
      </c>
      <c r="C79" s="6">
        <v>3</v>
      </c>
      <c r="D79" s="6">
        <v>160</v>
      </c>
      <c r="E79" s="6">
        <v>160</v>
      </c>
      <c r="F79" s="6">
        <v>161</v>
      </c>
      <c r="G79" s="7">
        <v>403280</v>
      </c>
      <c r="H79" s="8">
        <v>10075.9</v>
      </c>
      <c r="I79" s="8">
        <v>10600.7</v>
      </c>
      <c r="J79" s="6">
        <v>718</v>
      </c>
    </row>
    <row r="80" spans="1:12" ht="23" customHeight="1">
      <c r="A80" s="5" t="s">
        <v>78</v>
      </c>
      <c r="B80" s="6">
        <v>6</v>
      </c>
      <c r="C80" s="6">
        <v>3</v>
      </c>
      <c r="D80" s="6">
        <v>161</v>
      </c>
      <c r="E80" s="6">
        <v>161</v>
      </c>
      <c r="F80" s="6">
        <v>162</v>
      </c>
      <c r="G80" s="7">
        <v>403280</v>
      </c>
      <c r="H80" s="8">
        <v>10600.7</v>
      </c>
      <c r="I80" s="8">
        <v>11125.5</v>
      </c>
      <c r="J80" s="6">
        <v>719</v>
      </c>
    </row>
    <row r="81" spans="1:12" ht="23" customHeight="1">
      <c r="A81" s="5" t="s">
        <v>79</v>
      </c>
      <c r="B81" s="6">
        <v>6</v>
      </c>
      <c r="C81" s="6">
        <v>3</v>
      </c>
      <c r="D81" s="6">
        <v>162</v>
      </c>
      <c r="E81" s="6">
        <v>162</v>
      </c>
      <c r="F81" s="6">
        <v>163</v>
      </c>
      <c r="G81" s="7">
        <v>225971</v>
      </c>
      <c r="H81" s="8">
        <v>4331.4</v>
      </c>
      <c r="I81" s="8">
        <v>4331.4</v>
      </c>
      <c r="J81" s="6">
        <v>720</v>
      </c>
    </row>
    <row r="82" spans="1:12" ht="23" customHeight="1">
      <c r="A82" s="5" t="s">
        <v>80</v>
      </c>
      <c r="B82" s="6">
        <v>6</v>
      </c>
      <c r="C82" s="6">
        <v>3</v>
      </c>
      <c r="D82" s="6">
        <v>163</v>
      </c>
      <c r="E82" s="6">
        <v>163</v>
      </c>
      <c r="F82" s="6">
        <v>164</v>
      </c>
      <c r="G82" s="7">
        <v>193733</v>
      </c>
      <c r="H82" s="8">
        <v>3088.8</v>
      </c>
      <c r="I82" s="8">
        <v>3088.8</v>
      </c>
      <c r="J82" s="6">
        <v>721</v>
      </c>
    </row>
    <row r="83" spans="1:12" ht="23" customHeight="1">
      <c r="A83" s="5" t="s">
        <v>81</v>
      </c>
      <c r="B83" s="6">
        <v>6</v>
      </c>
      <c r="C83" s="6">
        <v>3</v>
      </c>
      <c r="D83" s="6">
        <v>164</v>
      </c>
      <c r="E83" s="6">
        <v>164</v>
      </c>
      <c r="F83" s="6">
        <v>165</v>
      </c>
      <c r="G83" s="7">
        <v>193733</v>
      </c>
      <c r="H83" s="8">
        <v>3088.8</v>
      </c>
      <c r="I83" s="8">
        <v>3088.8</v>
      </c>
      <c r="J83" s="6">
        <v>722</v>
      </c>
    </row>
    <row r="84" spans="1:12" ht="23" customHeight="1">
      <c r="A84" s="5" t="s">
        <v>82</v>
      </c>
      <c r="B84" s="6">
        <v>6</v>
      </c>
      <c r="C84" s="6">
        <v>3</v>
      </c>
      <c r="D84" s="6">
        <v>165</v>
      </c>
      <c r="E84" s="6">
        <v>165</v>
      </c>
      <c r="F84" s="6">
        <v>166</v>
      </c>
      <c r="G84" s="7">
        <v>193733</v>
      </c>
      <c r="H84" s="8">
        <v>3088.8</v>
      </c>
      <c r="I84" s="8">
        <v>3088.8</v>
      </c>
      <c r="J84" s="6">
        <v>723</v>
      </c>
    </row>
    <row r="85" spans="1:12" ht="23" customHeight="1">
      <c r="A85" s="5" t="s">
        <v>83</v>
      </c>
      <c r="B85" s="6">
        <v>6</v>
      </c>
      <c r="C85" s="6">
        <v>3</v>
      </c>
      <c r="D85" s="6">
        <v>166</v>
      </c>
      <c r="E85" s="6">
        <v>166</v>
      </c>
      <c r="F85" s="6">
        <v>167</v>
      </c>
      <c r="G85" s="7">
        <v>193733</v>
      </c>
      <c r="H85" s="8">
        <v>3088.8</v>
      </c>
      <c r="I85" s="8">
        <v>3088.8</v>
      </c>
      <c r="J85" s="6">
        <v>724</v>
      </c>
    </row>
    <row r="86" spans="1:12" ht="23" customHeight="1">
      <c r="A86" s="5" t="s">
        <v>84</v>
      </c>
      <c r="B86" s="6">
        <v>6</v>
      </c>
      <c r="C86" s="6">
        <v>3</v>
      </c>
      <c r="D86" s="6">
        <v>167</v>
      </c>
      <c r="E86" s="6">
        <v>167</v>
      </c>
      <c r="F86" s="6">
        <v>168</v>
      </c>
      <c r="G86" s="7">
        <v>193733</v>
      </c>
      <c r="H86" s="8">
        <v>3088.8</v>
      </c>
      <c r="I86" s="8">
        <v>3088.8</v>
      </c>
      <c r="J86" s="6">
        <v>725</v>
      </c>
    </row>
    <row r="87" spans="1:12" ht="23" customHeight="1">
      <c r="A87" s="5" t="s">
        <v>85</v>
      </c>
      <c r="B87" s="6">
        <v>6</v>
      </c>
      <c r="C87" s="6">
        <v>3</v>
      </c>
      <c r="D87" s="6">
        <v>168</v>
      </c>
      <c r="E87" s="6">
        <v>168</v>
      </c>
      <c r="F87" s="6">
        <v>169</v>
      </c>
      <c r="G87" s="7">
        <v>193733</v>
      </c>
      <c r="H87" s="8">
        <v>3088.8</v>
      </c>
      <c r="I87" s="8">
        <v>3088.8</v>
      </c>
      <c r="J87" s="6">
        <v>726</v>
      </c>
    </row>
    <row r="88" spans="1:12" ht="23" customHeight="1">
      <c r="A88" s="5" t="s">
        <v>86</v>
      </c>
      <c r="B88" s="6">
        <v>6</v>
      </c>
      <c r="C88" s="6">
        <v>3</v>
      </c>
      <c r="D88" s="6">
        <v>169</v>
      </c>
      <c r="E88" s="6">
        <v>169</v>
      </c>
      <c r="F88" s="6">
        <v>170</v>
      </c>
      <c r="G88" s="7">
        <v>193733</v>
      </c>
      <c r="H88" s="8">
        <v>3088.8</v>
      </c>
      <c r="I88" s="8">
        <v>3088.8</v>
      </c>
      <c r="J88" s="6">
        <v>727</v>
      </c>
    </row>
    <row r="89" spans="1:12" ht="23" customHeight="1">
      <c r="A89" s="5" t="s">
        <v>87</v>
      </c>
      <c r="B89" s="6">
        <v>6</v>
      </c>
      <c r="C89" s="6">
        <v>3</v>
      </c>
      <c r="D89" s="6">
        <v>170</v>
      </c>
      <c r="E89" s="6">
        <v>170</v>
      </c>
      <c r="F89" s="6">
        <v>171</v>
      </c>
      <c r="G89" s="7">
        <v>193733</v>
      </c>
      <c r="H89" s="8">
        <v>3088.8</v>
      </c>
      <c r="I89" s="8">
        <v>3088.8</v>
      </c>
      <c r="J89" s="6">
        <v>728</v>
      </c>
    </row>
    <row r="90" spans="1:12" ht="24" customHeight="1">
      <c r="A90" s="3" t="s">
        <v>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36" customHeight="1">
      <c r="A91" s="4" t="s">
        <v>7</v>
      </c>
      <c r="B91" s="4" t="s">
        <v>8</v>
      </c>
      <c r="C91" s="4" t="s">
        <v>9</v>
      </c>
      <c r="D91" s="4" t="s">
        <v>10</v>
      </c>
      <c r="E91" s="4" t="s">
        <v>11</v>
      </c>
      <c r="F91" s="4" t="s">
        <v>12</v>
      </c>
      <c r="G91" s="4" t="s">
        <v>13</v>
      </c>
      <c r="H91" s="4" t="s">
        <v>14</v>
      </c>
      <c r="I91" s="4" t="s">
        <v>15</v>
      </c>
      <c r="J91" s="4" t="s">
        <v>16</v>
      </c>
    </row>
    <row r="92" spans="1:12" ht="23" customHeight="1">
      <c r="A92" s="5" t="s">
        <v>88</v>
      </c>
      <c r="B92" s="6">
        <v>6</v>
      </c>
      <c r="C92" s="6">
        <v>3</v>
      </c>
      <c r="D92" s="6">
        <v>171</v>
      </c>
      <c r="E92" s="6">
        <v>171</v>
      </c>
      <c r="F92" s="6">
        <v>172</v>
      </c>
      <c r="G92" s="7">
        <v>193733</v>
      </c>
      <c r="H92" s="8">
        <v>3088.8</v>
      </c>
      <c r="I92" s="8">
        <v>3088.8</v>
      </c>
      <c r="J92" s="6">
        <v>729</v>
      </c>
    </row>
    <row r="93" spans="1:12" ht="23" customHeight="1"/>
    <row r="94" spans="1:12" ht="24" customHeight="1">
      <c r="A94" s="3" t="s">
        <v>89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36" customHeight="1">
      <c r="A95" s="4" t="s">
        <v>7</v>
      </c>
      <c r="B95" s="4" t="s">
        <v>8</v>
      </c>
      <c r="C95" s="4" t="s">
        <v>9</v>
      </c>
      <c r="D95" s="4" t="s">
        <v>90</v>
      </c>
      <c r="E95" s="4" t="s">
        <v>91</v>
      </c>
      <c r="F95" s="4" t="s">
        <v>92</v>
      </c>
      <c r="G95" s="4" t="s">
        <v>93</v>
      </c>
      <c r="H95" s="4" t="s">
        <v>94</v>
      </c>
      <c r="I95" s="4" t="s">
        <v>95</v>
      </c>
      <c r="J95" s="4" t="s">
        <v>96</v>
      </c>
      <c r="K95" s="4" t="s">
        <v>97</v>
      </c>
      <c r="L95" s="4" t="s">
        <v>98</v>
      </c>
    </row>
    <row r="96" spans="1:12" ht="23" customHeight="1">
      <c r="A96" s="5" t="s">
        <v>99</v>
      </c>
      <c r="B96" s="6">
        <v>4</v>
      </c>
      <c r="C96" s="6">
        <v>1</v>
      </c>
      <c r="D96" s="6">
        <v>102</v>
      </c>
      <c r="E96" s="6">
        <v>1</v>
      </c>
      <c r="F96" s="9" t="s">
        <v>100</v>
      </c>
      <c r="G96" s="7">
        <v>51629</v>
      </c>
      <c r="H96" s="7">
        <v>51629</v>
      </c>
      <c r="I96" s="7">
        <v>51629</v>
      </c>
      <c r="J96" s="7">
        <v>51629</v>
      </c>
      <c r="K96" s="7">
        <v>51629</v>
      </c>
      <c r="L96" s="7">
        <v>51629</v>
      </c>
    </row>
    <row r="97" spans="1:12" ht="23" customHeight="1">
      <c r="A97" s="5" t="s">
        <v>99</v>
      </c>
      <c r="B97" s="6">
        <v>4</v>
      </c>
      <c r="C97" s="6">
        <v>1</v>
      </c>
      <c r="D97" s="6">
        <v>103</v>
      </c>
      <c r="E97" s="6">
        <v>2</v>
      </c>
      <c r="F97" s="9" t="s">
        <v>100</v>
      </c>
      <c r="G97" s="7">
        <v>145626</v>
      </c>
      <c r="H97" s="7">
        <v>145626</v>
      </c>
      <c r="I97" s="7">
        <v>145626</v>
      </c>
      <c r="J97" s="7">
        <v>145626</v>
      </c>
      <c r="K97" s="7">
        <v>145626</v>
      </c>
      <c r="L97" s="7">
        <v>145626</v>
      </c>
    </row>
    <row r="98" spans="1:12" ht="23" customHeight="1">
      <c r="A98" s="5" t="s">
        <v>99</v>
      </c>
      <c r="B98" s="6">
        <v>4</v>
      </c>
      <c r="C98" s="6">
        <v>1</v>
      </c>
      <c r="D98" s="6">
        <v>104</v>
      </c>
      <c r="E98" s="6">
        <v>3</v>
      </c>
      <c r="F98" s="9" t="s">
        <v>100</v>
      </c>
      <c r="G98" s="7">
        <v>155634</v>
      </c>
      <c r="H98" s="7">
        <v>155634</v>
      </c>
      <c r="I98" s="7">
        <v>155634</v>
      </c>
      <c r="J98" s="7">
        <v>155634</v>
      </c>
      <c r="K98" s="7">
        <v>155634</v>
      </c>
      <c r="L98" s="7">
        <v>155634</v>
      </c>
    </row>
    <row r="99" spans="1:12" ht="23" customHeight="1">
      <c r="A99" s="5" t="s">
        <v>99</v>
      </c>
      <c r="B99" s="6">
        <v>4</v>
      </c>
      <c r="C99" s="6">
        <v>1</v>
      </c>
      <c r="D99" s="6">
        <v>105</v>
      </c>
      <c r="E99" s="6">
        <v>4</v>
      </c>
      <c r="F99" s="9" t="s">
        <v>100</v>
      </c>
      <c r="G99" s="7">
        <v>223257</v>
      </c>
      <c r="H99" s="7">
        <v>223257</v>
      </c>
      <c r="I99" s="7">
        <v>223257</v>
      </c>
      <c r="J99" s="7">
        <v>223257</v>
      </c>
      <c r="K99" s="7">
        <v>223257</v>
      </c>
      <c r="L99" s="7">
        <v>223257</v>
      </c>
    </row>
    <row r="100" spans="1:12" ht="23" customHeight="1">
      <c r="A100" s="5" t="s">
        <v>99</v>
      </c>
      <c r="B100" s="6">
        <v>4</v>
      </c>
      <c r="C100" s="6">
        <v>1</v>
      </c>
      <c r="D100" s="6">
        <v>106</v>
      </c>
      <c r="E100" s="6">
        <v>5</v>
      </c>
      <c r="F100" s="9" t="s">
        <v>100</v>
      </c>
      <c r="G100" s="7">
        <v>218438</v>
      </c>
      <c r="H100" s="7">
        <v>218438</v>
      </c>
      <c r="I100" s="7">
        <v>218438</v>
      </c>
      <c r="J100" s="7">
        <v>218438</v>
      </c>
      <c r="K100" s="7">
        <v>218438</v>
      </c>
      <c r="L100" s="7">
        <v>218438</v>
      </c>
    </row>
    <row r="101" spans="1:12" ht="23" customHeight="1">
      <c r="A101" s="5" t="s">
        <v>99</v>
      </c>
      <c r="B101" s="6">
        <v>4</v>
      </c>
      <c r="C101" s="6">
        <v>1</v>
      </c>
      <c r="D101" s="6">
        <v>107</v>
      </c>
      <c r="E101" s="6">
        <v>6</v>
      </c>
      <c r="F101" s="9" t="s">
        <v>100</v>
      </c>
      <c r="G101" s="7">
        <v>218438</v>
      </c>
      <c r="H101" s="7">
        <v>218438</v>
      </c>
      <c r="I101" s="7">
        <v>218438</v>
      </c>
      <c r="J101" s="7">
        <v>218438</v>
      </c>
      <c r="K101" s="7">
        <v>218438</v>
      </c>
      <c r="L101" s="7">
        <v>218438</v>
      </c>
    </row>
    <row r="102" spans="1:12" ht="23" customHeight="1">
      <c r="A102" s="5" t="s">
        <v>99</v>
      </c>
      <c r="B102" s="6">
        <v>4</v>
      </c>
      <c r="C102" s="6">
        <v>1</v>
      </c>
      <c r="D102" s="6">
        <v>108</v>
      </c>
      <c r="E102" s="6">
        <v>7</v>
      </c>
      <c r="F102" s="9" t="s">
        <v>100</v>
      </c>
      <c r="G102" s="7">
        <v>218438</v>
      </c>
      <c r="H102" s="7">
        <v>218438</v>
      </c>
      <c r="I102" s="7">
        <v>218438</v>
      </c>
      <c r="J102" s="7">
        <v>218438</v>
      </c>
      <c r="K102" s="7">
        <v>218438</v>
      </c>
      <c r="L102" s="7">
        <v>218438</v>
      </c>
    </row>
    <row r="103" spans="1:12" ht="23" customHeight="1">
      <c r="A103" s="5" t="s">
        <v>99</v>
      </c>
      <c r="B103" s="6">
        <v>4</v>
      </c>
      <c r="C103" s="6">
        <v>1</v>
      </c>
      <c r="D103" s="6">
        <v>109</v>
      </c>
      <c r="E103" s="6">
        <v>8</v>
      </c>
      <c r="F103" s="9" t="s">
        <v>100</v>
      </c>
      <c r="G103" s="7">
        <v>218438</v>
      </c>
      <c r="H103" s="7">
        <v>218438</v>
      </c>
      <c r="I103" s="7">
        <v>218438</v>
      </c>
      <c r="J103" s="7">
        <v>218438</v>
      </c>
      <c r="K103" s="7">
        <v>218438</v>
      </c>
      <c r="L103" s="7">
        <v>218438</v>
      </c>
    </row>
    <row r="104" spans="1:12" ht="23" customHeight="1">
      <c r="A104" s="5" t="s">
        <v>99</v>
      </c>
      <c r="B104" s="6">
        <v>4</v>
      </c>
      <c r="C104" s="6">
        <v>1</v>
      </c>
      <c r="D104" s="6">
        <v>110</v>
      </c>
      <c r="E104" s="6">
        <v>9</v>
      </c>
      <c r="F104" s="9" t="s">
        <v>100</v>
      </c>
      <c r="G104" s="7">
        <v>218438</v>
      </c>
      <c r="H104" s="7">
        <v>218438</v>
      </c>
      <c r="I104" s="7">
        <v>218438</v>
      </c>
      <c r="J104" s="7">
        <v>218438</v>
      </c>
      <c r="K104" s="7">
        <v>218438</v>
      </c>
      <c r="L104" s="7">
        <v>218438</v>
      </c>
    </row>
    <row r="105" spans="1:12" ht="23" customHeight="1">
      <c r="A105" s="5" t="s">
        <v>99</v>
      </c>
      <c r="B105" s="6">
        <v>4</v>
      </c>
      <c r="C105" s="6">
        <v>1</v>
      </c>
      <c r="D105" s="6">
        <v>111</v>
      </c>
      <c r="E105" s="6">
        <v>10</v>
      </c>
      <c r="F105" s="9" t="s">
        <v>100</v>
      </c>
      <c r="G105" s="7">
        <v>218438</v>
      </c>
      <c r="H105" s="7">
        <v>218438</v>
      </c>
      <c r="I105" s="7">
        <v>218438</v>
      </c>
      <c r="J105" s="7">
        <v>218438</v>
      </c>
      <c r="K105" s="7">
        <v>218438</v>
      </c>
      <c r="L105" s="7">
        <v>218438</v>
      </c>
    </row>
    <row r="106" spans="1:12" ht="24" customHeight="1">
      <c r="A106" s="3" t="s">
        <v>89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7</v>
      </c>
      <c r="B107" s="4" t="s">
        <v>8</v>
      </c>
      <c r="C107" s="4" t="s">
        <v>9</v>
      </c>
      <c r="D107" s="4" t="s">
        <v>90</v>
      </c>
      <c r="E107" s="4" t="s">
        <v>91</v>
      </c>
      <c r="F107" s="4" t="s">
        <v>92</v>
      </c>
      <c r="G107" s="4" t="s">
        <v>93</v>
      </c>
      <c r="H107" s="4" t="s">
        <v>94</v>
      </c>
      <c r="I107" s="4" t="s">
        <v>95</v>
      </c>
      <c r="J107" s="4" t="s">
        <v>96</v>
      </c>
      <c r="K107" s="4" t="s">
        <v>97</v>
      </c>
      <c r="L107" s="4" t="s">
        <v>98</v>
      </c>
    </row>
    <row r="108" spans="1:12" ht="23" customHeight="1">
      <c r="A108" s="5" t="s">
        <v>99</v>
      </c>
      <c r="B108" s="6">
        <v>4</v>
      </c>
      <c r="C108" s="6">
        <v>1</v>
      </c>
      <c r="D108" s="6">
        <v>112</v>
      </c>
      <c r="E108" s="6">
        <v>11</v>
      </c>
      <c r="F108" s="9" t="s">
        <v>100</v>
      </c>
      <c r="G108" s="7">
        <v>179149</v>
      </c>
      <c r="H108" s="7">
        <v>179149</v>
      </c>
      <c r="I108" s="7">
        <v>179149</v>
      </c>
      <c r="J108" s="7">
        <v>179149</v>
      </c>
      <c r="K108" s="7">
        <v>179149</v>
      </c>
      <c r="L108" s="7">
        <v>179149</v>
      </c>
    </row>
    <row r="109" spans="1:12" ht="23" customHeight="1">
      <c r="A109" s="5" t="s">
        <v>99</v>
      </c>
      <c r="B109" s="6">
        <v>4</v>
      </c>
      <c r="C109" s="6">
        <v>1</v>
      </c>
      <c r="D109" s="6">
        <v>113</v>
      </c>
      <c r="E109" s="6">
        <v>12</v>
      </c>
      <c r="F109" s="9" t="s">
        <v>100</v>
      </c>
      <c r="G109" s="7">
        <v>104936</v>
      </c>
      <c r="H109" s="7">
        <v>104936</v>
      </c>
      <c r="I109" s="7">
        <v>104936</v>
      </c>
      <c r="J109" s="7">
        <v>104936</v>
      </c>
      <c r="K109" s="7">
        <v>104936</v>
      </c>
      <c r="L109" s="7">
        <v>104936</v>
      </c>
    </row>
    <row r="110" spans="1:12" ht="23" customHeight="1">
      <c r="A110" s="5" t="s">
        <v>99</v>
      </c>
      <c r="B110" s="6">
        <v>4</v>
      </c>
      <c r="C110" s="6">
        <v>1</v>
      </c>
      <c r="D110" s="6">
        <v>114</v>
      </c>
      <c r="E110" s="6">
        <v>13</v>
      </c>
      <c r="F110" s="9" t="s">
        <v>100</v>
      </c>
      <c r="G110" s="7">
        <v>104936</v>
      </c>
      <c r="H110" s="7">
        <v>104936</v>
      </c>
      <c r="I110" s="7">
        <v>104936</v>
      </c>
      <c r="J110" s="7">
        <v>104936</v>
      </c>
      <c r="K110" s="7">
        <v>104936</v>
      </c>
      <c r="L110" s="7">
        <v>104936</v>
      </c>
    </row>
    <row r="111" spans="1:12" ht="23" customHeight="1">
      <c r="A111" s="5" t="s">
        <v>99</v>
      </c>
      <c r="B111" s="6">
        <v>4</v>
      </c>
      <c r="C111" s="6">
        <v>1</v>
      </c>
      <c r="D111" s="6">
        <v>115</v>
      </c>
      <c r="E111" s="6">
        <v>14</v>
      </c>
      <c r="F111" s="9" t="s">
        <v>100</v>
      </c>
      <c r="G111" s="7">
        <v>104936</v>
      </c>
      <c r="H111" s="7">
        <v>104936</v>
      </c>
      <c r="I111" s="7">
        <v>104936</v>
      </c>
      <c r="J111" s="7">
        <v>104936</v>
      </c>
      <c r="K111" s="7">
        <v>104936</v>
      </c>
      <c r="L111" s="7">
        <v>104936</v>
      </c>
    </row>
    <row r="112" spans="1:12" ht="23" customHeight="1">
      <c r="A112" s="5" t="s">
        <v>99</v>
      </c>
      <c r="B112" s="6">
        <v>4</v>
      </c>
      <c r="C112" s="6">
        <v>1</v>
      </c>
      <c r="D112" s="6">
        <v>116</v>
      </c>
      <c r="E112" s="6">
        <v>15</v>
      </c>
      <c r="F112" s="9" t="s">
        <v>100</v>
      </c>
      <c r="G112" s="7">
        <v>104936</v>
      </c>
      <c r="H112" s="7">
        <v>104936</v>
      </c>
      <c r="I112" s="7">
        <v>104936</v>
      </c>
      <c r="J112" s="7">
        <v>104936</v>
      </c>
      <c r="K112" s="7">
        <v>104936</v>
      </c>
      <c r="L112" s="7">
        <v>104936</v>
      </c>
    </row>
    <row r="113" spans="1:12" ht="23" customHeight="1">
      <c r="A113" s="5" t="s">
        <v>99</v>
      </c>
      <c r="B113" s="6">
        <v>4</v>
      </c>
      <c r="C113" s="6">
        <v>1</v>
      </c>
      <c r="D113" s="6">
        <v>117</v>
      </c>
      <c r="E113" s="6">
        <v>16</v>
      </c>
      <c r="F113" s="9" t="s">
        <v>100</v>
      </c>
      <c r="G113" s="7">
        <v>104936</v>
      </c>
      <c r="H113" s="7">
        <v>104936</v>
      </c>
      <c r="I113" s="7">
        <v>104936</v>
      </c>
      <c r="J113" s="7">
        <v>104936</v>
      </c>
      <c r="K113" s="7">
        <v>104936</v>
      </c>
      <c r="L113" s="7">
        <v>104936</v>
      </c>
    </row>
    <row r="114" spans="1:12" ht="23" customHeight="1">
      <c r="A114" s="5" t="s">
        <v>99</v>
      </c>
      <c r="B114" s="6">
        <v>4</v>
      </c>
      <c r="C114" s="6">
        <v>1</v>
      </c>
      <c r="D114" s="6">
        <v>118</v>
      </c>
      <c r="E114" s="6">
        <v>17</v>
      </c>
      <c r="F114" s="9" t="s">
        <v>100</v>
      </c>
      <c r="G114" s="7">
        <v>104936</v>
      </c>
      <c r="H114" s="7">
        <v>104936</v>
      </c>
      <c r="I114" s="7">
        <v>104936</v>
      </c>
      <c r="J114" s="7">
        <v>104936</v>
      </c>
      <c r="K114" s="7">
        <v>104936</v>
      </c>
      <c r="L114" s="7">
        <v>104936</v>
      </c>
    </row>
    <row r="115" spans="1:12" ht="23" customHeight="1">
      <c r="A115" s="5" t="s">
        <v>99</v>
      </c>
      <c r="B115" s="6">
        <v>4</v>
      </c>
      <c r="C115" s="6">
        <v>1</v>
      </c>
      <c r="D115" s="6">
        <v>119</v>
      </c>
      <c r="E115" s="6">
        <v>18</v>
      </c>
      <c r="F115" s="9" t="s">
        <v>100</v>
      </c>
      <c r="G115" s="7">
        <v>104936</v>
      </c>
      <c r="H115" s="7">
        <v>104936</v>
      </c>
      <c r="I115" s="7">
        <v>104936</v>
      </c>
      <c r="J115" s="7">
        <v>104936</v>
      </c>
      <c r="K115" s="7">
        <v>104936</v>
      </c>
      <c r="L115" s="7">
        <v>104936</v>
      </c>
    </row>
    <row r="116" spans="1:12" ht="23" customHeight="1">
      <c r="A116" s="5" t="s">
        <v>99</v>
      </c>
      <c r="B116" s="6">
        <v>4</v>
      </c>
      <c r="C116" s="6">
        <v>1</v>
      </c>
      <c r="D116" s="6">
        <v>120</v>
      </c>
      <c r="E116" s="6">
        <v>19</v>
      </c>
      <c r="F116" s="9" t="s">
        <v>100</v>
      </c>
      <c r="G116" s="7">
        <v>104936</v>
      </c>
      <c r="H116" s="7">
        <v>104936</v>
      </c>
      <c r="I116" s="7">
        <v>104936</v>
      </c>
      <c r="J116" s="7">
        <v>104936</v>
      </c>
      <c r="K116" s="7">
        <v>104936</v>
      </c>
      <c r="L116" s="7">
        <v>104936</v>
      </c>
    </row>
    <row r="117" spans="1:12" ht="23" customHeight="1">
      <c r="A117" s="5" t="s">
        <v>99</v>
      </c>
      <c r="B117" s="6">
        <v>4</v>
      </c>
      <c r="C117" s="6">
        <v>1</v>
      </c>
      <c r="D117" s="6">
        <v>121</v>
      </c>
      <c r="E117" s="6">
        <v>20</v>
      </c>
      <c r="F117" s="9" t="s">
        <v>100</v>
      </c>
      <c r="G117" s="7">
        <v>36324</v>
      </c>
      <c r="H117" s="7">
        <v>36324</v>
      </c>
      <c r="I117" s="7">
        <v>36324</v>
      </c>
      <c r="J117" s="7">
        <v>36324</v>
      </c>
      <c r="K117" s="7">
        <v>36324</v>
      </c>
      <c r="L117" s="7">
        <v>36324</v>
      </c>
    </row>
    <row r="118" spans="1:12" ht="23" customHeight="1">
      <c r="A118" s="5" t="s">
        <v>99</v>
      </c>
      <c r="B118" s="6">
        <v>5</v>
      </c>
      <c r="C118" s="6">
        <v>2</v>
      </c>
      <c r="D118" s="6">
        <v>127</v>
      </c>
      <c r="E118" s="6">
        <v>21</v>
      </c>
      <c r="F118" s="9" t="s">
        <v>100</v>
      </c>
      <c r="G118" s="7">
        <v>34419</v>
      </c>
      <c r="H118" s="7">
        <v>34419</v>
      </c>
      <c r="I118" s="7">
        <v>34419</v>
      </c>
      <c r="J118" s="7">
        <v>34419</v>
      </c>
      <c r="K118" s="7">
        <v>34419</v>
      </c>
      <c r="L118" s="7">
        <v>34419</v>
      </c>
    </row>
    <row r="119" spans="1:12" ht="23" customHeight="1">
      <c r="A119" s="5" t="s">
        <v>99</v>
      </c>
      <c r="B119" s="6">
        <v>5</v>
      </c>
      <c r="C119" s="6">
        <v>2</v>
      </c>
      <c r="D119" s="6">
        <v>128</v>
      </c>
      <c r="E119" s="6">
        <v>22</v>
      </c>
      <c r="F119" s="9" t="s">
        <v>100</v>
      </c>
      <c r="G119" s="7">
        <v>97084</v>
      </c>
      <c r="H119" s="7">
        <v>97084</v>
      </c>
      <c r="I119" s="7">
        <v>97084</v>
      </c>
      <c r="J119" s="7">
        <v>97084</v>
      </c>
      <c r="K119" s="7">
        <v>97084</v>
      </c>
      <c r="L119" s="7">
        <v>97084</v>
      </c>
    </row>
    <row r="120" spans="1:12" ht="23" customHeight="1">
      <c r="A120" s="5" t="s">
        <v>99</v>
      </c>
      <c r="B120" s="6">
        <v>5</v>
      </c>
      <c r="C120" s="6">
        <v>2</v>
      </c>
      <c r="D120" s="6">
        <v>129</v>
      </c>
      <c r="E120" s="6">
        <v>23</v>
      </c>
      <c r="F120" s="9" t="s">
        <v>100</v>
      </c>
      <c r="G120" s="7">
        <v>103756</v>
      </c>
      <c r="H120" s="7">
        <v>103756</v>
      </c>
      <c r="I120" s="7">
        <v>103756</v>
      </c>
      <c r="J120" s="7">
        <v>103756</v>
      </c>
      <c r="K120" s="7">
        <v>103756</v>
      </c>
      <c r="L120" s="7">
        <v>103756</v>
      </c>
    </row>
    <row r="121" spans="1:12" ht="23" customHeight="1">
      <c r="A121" s="5" t="s">
        <v>99</v>
      </c>
      <c r="B121" s="6">
        <v>5</v>
      </c>
      <c r="C121" s="6">
        <v>2</v>
      </c>
      <c r="D121" s="6">
        <v>130</v>
      </c>
      <c r="E121" s="6">
        <v>24</v>
      </c>
      <c r="F121" s="9" t="s">
        <v>100</v>
      </c>
      <c r="G121" s="7">
        <v>148838</v>
      </c>
      <c r="H121" s="7">
        <v>148838</v>
      </c>
      <c r="I121" s="7">
        <v>148838</v>
      </c>
      <c r="J121" s="7">
        <v>148838</v>
      </c>
      <c r="K121" s="7">
        <v>148838</v>
      </c>
      <c r="L121" s="7">
        <v>148838</v>
      </c>
    </row>
    <row r="122" spans="1:12" ht="23" customHeight="1">
      <c r="A122" s="5" t="s">
        <v>99</v>
      </c>
      <c r="B122" s="6">
        <v>5</v>
      </c>
      <c r="C122" s="6">
        <v>2</v>
      </c>
      <c r="D122" s="6">
        <v>131</v>
      </c>
      <c r="E122" s="6">
        <v>25</v>
      </c>
      <c r="F122" s="9" t="s">
        <v>100</v>
      </c>
      <c r="G122" s="7">
        <v>145626</v>
      </c>
      <c r="H122" s="7">
        <v>145626</v>
      </c>
      <c r="I122" s="7">
        <v>145626</v>
      </c>
      <c r="J122" s="7">
        <v>145626</v>
      </c>
      <c r="K122" s="7">
        <v>145626</v>
      </c>
      <c r="L122" s="7">
        <v>145626</v>
      </c>
    </row>
    <row r="123" spans="1:12" ht="24" customHeight="1">
      <c r="A123" s="3" t="s">
        <v>89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7</v>
      </c>
      <c r="B124" s="4" t="s">
        <v>8</v>
      </c>
      <c r="C124" s="4" t="s">
        <v>9</v>
      </c>
      <c r="D124" s="4" t="s">
        <v>90</v>
      </c>
      <c r="E124" s="4" t="s">
        <v>91</v>
      </c>
      <c r="F124" s="4" t="s">
        <v>92</v>
      </c>
      <c r="G124" s="4" t="s">
        <v>93</v>
      </c>
      <c r="H124" s="4" t="s">
        <v>94</v>
      </c>
      <c r="I124" s="4" t="s">
        <v>95</v>
      </c>
      <c r="J124" s="4" t="s">
        <v>96</v>
      </c>
      <c r="K124" s="4" t="s">
        <v>97</v>
      </c>
      <c r="L124" s="4" t="s">
        <v>98</v>
      </c>
    </row>
    <row r="125" spans="1:12" ht="23" customHeight="1">
      <c r="A125" s="5" t="s">
        <v>99</v>
      </c>
      <c r="B125" s="6">
        <v>5</v>
      </c>
      <c r="C125" s="6">
        <v>2</v>
      </c>
      <c r="D125" s="6">
        <v>132</v>
      </c>
      <c r="E125" s="6">
        <v>26</v>
      </c>
      <c r="F125" s="9" t="s">
        <v>100</v>
      </c>
      <c r="G125" s="7">
        <v>145626</v>
      </c>
      <c r="H125" s="7">
        <v>145626</v>
      </c>
      <c r="I125" s="7">
        <v>145626</v>
      </c>
      <c r="J125" s="7">
        <v>145626</v>
      </c>
      <c r="K125" s="7">
        <v>145626</v>
      </c>
      <c r="L125" s="7">
        <v>145626</v>
      </c>
    </row>
    <row r="126" spans="1:12" ht="23" customHeight="1">
      <c r="A126" s="5" t="s">
        <v>99</v>
      </c>
      <c r="B126" s="6">
        <v>5</v>
      </c>
      <c r="C126" s="6">
        <v>2</v>
      </c>
      <c r="D126" s="6">
        <v>133</v>
      </c>
      <c r="E126" s="6">
        <v>27</v>
      </c>
      <c r="F126" s="9" t="s">
        <v>100</v>
      </c>
      <c r="G126" s="7">
        <v>145626</v>
      </c>
      <c r="H126" s="7">
        <v>145626</v>
      </c>
      <c r="I126" s="7">
        <v>145626</v>
      </c>
      <c r="J126" s="7">
        <v>145626</v>
      </c>
      <c r="K126" s="7">
        <v>145626</v>
      </c>
      <c r="L126" s="7">
        <v>145626</v>
      </c>
    </row>
    <row r="127" spans="1:12" ht="23" customHeight="1">
      <c r="A127" s="5" t="s">
        <v>99</v>
      </c>
      <c r="B127" s="6">
        <v>5</v>
      </c>
      <c r="C127" s="6">
        <v>2</v>
      </c>
      <c r="D127" s="6">
        <v>134</v>
      </c>
      <c r="E127" s="6">
        <v>28</v>
      </c>
      <c r="F127" s="9" t="s">
        <v>100</v>
      </c>
      <c r="G127" s="7">
        <v>145626</v>
      </c>
      <c r="H127" s="7">
        <v>145626</v>
      </c>
      <c r="I127" s="7">
        <v>145626</v>
      </c>
      <c r="J127" s="7">
        <v>145626</v>
      </c>
      <c r="K127" s="7">
        <v>145626</v>
      </c>
      <c r="L127" s="7">
        <v>145626</v>
      </c>
    </row>
    <row r="128" spans="1:12" ht="23" customHeight="1">
      <c r="A128" s="5" t="s">
        <v>99</v>
      </c>
      <c r="B128" s="6">
        <v>5</v>
      </c>
      <c r="C128" s="6">
        <v>2</v>
      </c>
      <c r="D128" s="6">
        <v>135</v>
      </c>
      <c r="E128" s="6">
        <v>29</v>
      </c>
      <c r="F128" s="9" t="s">
        <v>100</v>
      </c>
      <c r="G128" s="7">
        <v>145626</v>
      </c>
      <c r="H128" s="7">
        <v>145626</v>
      </c>
      <c r="I128" s="7">
        <v>145626</v>
      </c>
      <c r="J128" s="7">
        <v>145626</v>
      </c>
      <c r="K128" s="7">
        <v>145626</v>
      </c>
      <c r="L128" s="7">
        <v>145626</v>
      </c>
    </row>
    <row r="129" spans="1:12" ht="23" customHeight="1">
      <c r="A129" s="5" t="s">
        <v>99</v>
      </c>
      <c r="B129" s="6">
        <v>5</v>
      </c>
      <c r="C129" s="6">
        <v>2</v>
      </c>
      <c r="D129" s="6">
        <v>136</v>
      </c>
      <c r="E129" s="6">
        <v>30</v>
      </c>
      <c r="F129" s="9" t="s">
        <v>100</v>
      </c>
      <c r="G129" s="7">
        <v>145626</v>
      </c>
      <c r="H129" s="7">
        <v>145626</v>
      </c>
      <c r="I129" s="7">
        <v>145626</v>
      </c>
      <c r="J129" s="7">
        <v>145626</v>
      </c>
      <c r="K129" s="7">
        <v>145626</v>
      </c>
      <c r="L129" s="7">
        <v>145626</v>
      </c>
    </row>
    <row r="130" spans="1:12" ht="23" customHeight="1">
      <c r="A130" s="5" t="s">
        <v>99</v>
      </c>
      <c r="B130" s="6">
        <v>5</v>
      </c>
      <c r="C130" s="6">
        <v>2</v>
      </c>
      <c r="D130" s="6">
        <v>137</v>
      </c>
      <c r="E130" s="6">
        <v>31</v>
      </c>
      <c r="F130" s="9" t="s">
        <v>100</v>
      </c>
      <c r="G130" s="7">
        <v>119433</v>
      </c>
      <c r="H130" s="7">
        <v>119433</v>
      </c>
      <c r="I130" s="7">
        <v>119433</v>
      </c>
      <c r="J130" s="7">
        <v>119433</v>
      </c>
      <c r="K130" s="7">
        <v>119433</v>
      </c>
      <c r="L130" s="7">
        <v>119433</v>
      </c>
    </row>
    <row r="131" spans="1:12" ht="23" customHeight="1">
      <c r="A131" s="5" t="s">
        <v>99</v>
      </c>
      <c r="B131" s="6">
        <v>5</v>
      </c>
      <c r="C131" s="6">
        <v>2</v>
      </c>
      <c r="D131" s="6">
        <v>138</v>
      </c>
      <c r="E131" s="6">
        <v>32</v>
      </c>
      <c r="F131" s="9" t="s">
        <v>100</v>
      </c>
      <c r="G131" s="7">
        <v>69957</v>
      </c>
      <c r="H131" s="7">
        <v>69957</v>
      </c>
      <c r="I131" s="7">
        <v>69957</v>
      </c>
      <c r="J131" s="7">
        <v>69957</v>
      </c>
      <c r="K131" s="7">
        <v>69957</v>
      </c>
      <c r="L131" s="7">
        <v>69957</v>
      </c>
    </row>
    <row r="132" spans="1:12" ht="23" customHeight="1">
      <c r="A132" s="5" t="s">
        <v>99</v>
      </c>
      <c r="B132" s="6">
        <v>5</v>
      </c>
      <c r="C132" s="6">
        <v>2</v>
      </c>
      <c r="D132" s="6">
        <v>139</v>
      </c>
      <c r="E132" s="6">
        <v>33</v>
      </c>
      <c r="F132" s="9" t="s">
        <v>100</v>
      </c>
      <c r="G132" s="7">
        <v>69957</v>
      </c>
      <c r="H132" s="7">
        <v>69957</v>
      </c>
      <c r="I132" s="7">
        <v>69957</v>
      </c>
      <c r="J132" s="7">
        <v>69957</v>
      </c>
      <c r="K132" s="7">
        <v>69957</v>
      </c>
      <c r="L132" s="7">
        <v>69957</v>
      </c>
    </row>
    <row r="133" spans="1:12" ht="23" customHeight="1">
      <c r="A133" s="5" t="s">
        <v>99</v>
      </c>
      <c r="B133" s="6">
        <v>5</v>
      </c>
      <c r="C133" s="6">
        <v>2</v>
      </c>
      <c r="D133" s="6">
        <v>140</v>
      </c>
      <c r="E133" s="6">
        <v>34</v>
      </c>
      <c r="F133" s="9" t="s">
        <v>100</v>
      </c>
      <c r="G133" s="7">
        <v>69957</v>
      </c>
      <c r="H133" s="7">
        <v>69957</v>
      </c>
      <c r="I133" s="7">
        <v>69957</v>
      </c>
      <c r="J133" s="7">
        <v>69957</v>
      </c>
      <c r="K133" s="7">
        <v>69957</v>
      </c>
      <c r="L133" s="7">
        <v>69957</v>
      </c>
    </row>
    <row r="134" spans="1:12" ht="23" customHeight="1">
      <c r="A134" s="5" t="s">
        <v>99</v>
      </c>
      <c r="B134" s="6">
        <v>5</v>
      </c>
      <c r="C134" s="6">
        <v>2</v>
      </c>
      <c r="D134" s="6">
        <v>141</v>
      </c>
      <c r="E134" s="6">
        <v>35</v>
      </c>
      <c r="F134" s="9" t="s">
        <v>100</v>
      </c>
      <c r="G134" s="7">
        <v>69957</v>
      </c>
      <c r="H134" s="7">
        <v>69957</v>
      </c>
      <c r="I134" s="7">
        <v>69957</v>
      </c>
      <c r="J134" s="7">
        <v>69957</v>
      </c>
      <c r="K134" s="7">
        <v>69957</v>
      </c>
      <c r="L134" s="7">
        <v>69957</v>
      </c>
    </row>
    <row r="135" spans="1:12" ht="23" customHeight="1">
      <c r="A135" s="5" t="s">
        <v>99</v>
      </c>
      <c r="B135" s="6">
        <v>5</v>
      </c>
      <c r="C135" s="6">
        <v>2</v>
      </c>
      <c r="D135" s="6">
        <v>142</v>
      </c>
      <c r="E135" s="6">
        <v>36</v>
      </c>
      <c r="F135" s="9" t="s">
        <v>100</v>
      </c>
      <c r="G135" s="7">
        <v>69957</v>
      </c>
      <c r="H135" s="7">
        <v>69957</v>
      </c>
      <c r="I135" s="7">
        <v>69957</v>
      </c>
      <c r="J135" s="7">
        <v>69957</v>
      </c>
      <c r="K135" s="7">
        <v>69957</v>
      </c>
      <c r="L135" s="7">
        <v>69957</v>
      </c>
    </row>
    <row r="136" spans="1:12" ht="23" customHeight="1">
      <c r="A136" s="5" t="s">
        <v>99</v>
      </c>
      <c r="B136" s="6">
        <v>5</v>
      </c>
      <c r="C136" s="6">
        <v>2</v>
      </c>
      <c r="D136" s="6">
        <v>143</v>
      </c>
      <c r="E136" s="6">
        <v>37</v>
      </c>
      <c r="F136" s="9" t="s">
        <v>100</v>
      </c>
      <c r="G136" s="7">
        <v>69957</v>
      </c>
      <c r="H136" s="7">
        <v>69957</v>
      </c>
      <c r="I136" s="7">
        <v>69957</v>
      </c>
      <c r="J136" s="7">
        <v>69957</v>
      </c>
      <c r="K136" s="7">
        <v>69957</v>
      </c>
      <c r="L136" s="7">
        <v>69957</v>
      </c>
    </row>
    <row r="137" spans="1:12" ht="23" customHeight="1">
      <c r="A137" s="5" t="s">
        <v>99</v>
      </c>
      <c r="B137" s="6">
        <v>5</v>
      </c>
      <c r="C137" s="6">
        <v>2</v>
      </c>
      <c r="D137" s="6">
        <v>144</v>
      </c>
      <c r="E137" s="6">
        <v>38</v>
      </c>
      <c r="F137" s="9" t="s">
        <v>100</v>
      </c>
      <c r="G137" s="7">
        <v>69957</v>
      </c>
      <c r="H137" s="7">
        <v>69957</v>
      </c>
      <c r="I137" s="7">
        <v>69957</v>
      </c>
      <c r="J137" s="7">
        <v>69957</v>
      </c>
      <c r="K137" s="7">
        <v>69957</v>
      </c>
      <c r="L137" s="7">
        <v>69957</v>
      </c>
    </row>
    <row r="138" spans="1:12" ht="23" customHeight="1">
      <c r="A138" s="5" t="s">
        <v>99</v>
      </c>
      <c r="B138" s="6">
        <v>5</v>
      </c>
      <c r="C138" s="6">
        <v>2</v>
      </c>
      <c r="D138" s="6">
        <v>145</v>
      </c>
      <c r="E138" s="6">
        <v>39</v>
      </c>
      <c r="F138" s="9" t="s">
        <v>100</v>
      </c>
      <c r="G138" s="7">
        <v>69957</v>
      </c>
      <c r="H138" s="7">
        <v>69957</v>
      </c>
      <c r="I138" s="7">
        <v>69957</v>
      </c>
      <c r="J138" s="7">
        <v>69957</v>
      </c>
      <c r="K138" s="7">
        <v>69957</v>
      </c>
      <c r="L138" s="7">
        <v>69957</v>
      </c>
    </row>
    <row r="139" spans="1:12" ht="23" customHeight="1">
      <c r="A139" s="5" t="s">
        <v>99</v>
      </c>
      <c r="B139" s="6">
        <v>5</v>
      </c>
      <c r="C139" s="6">
        <v>2</v>
      </c>
      <c r="D139" s="6">
        <v>146</v>
      </c>
      <c r="E139" s="6">
        <v>40</v>
      </c>
      <c r="F139" s="9" t="s">
        <v>100</v>
      </c>
      <c r="G139" s="7">
        <v>24216</v>
      </c>
      <c r="H139" s="7">
        <v>24216</v>
      </c>
      <c r="I139" s="7">
        <v>24216</v>
      </c>
      <c r="J139" s="7">
        <v>24216</v>
      </c>
      <c r="K139" s="7">
        <v>24216</v>
      </c>
      <c r="L139" s="7">
        <v>24216</v>
      </c>
    </row>
    <row r="140" spans="1:12" ht="24" customHeight="1">
      <c r="A140" s="3" t="s">
        <v>89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7</v>
      </c>
      <c r="B141" s="4" t="s">
        <v>8</v>
      </c>
      <c r="C141" s="4" t="s">
        <v>9</v>
      </c>
      <c r="D141" s="4" t="s">
        <v>90</v>
      </c>
      <c r="E141" s="4" t="s">
        <v>91</v>
      </c>
      <c r="F141" s="4" t="s">
        <v>92</v>
      </c>
      <c r="G141" s="4" t="s">
        <v>93</v>
      </c>
      <c r="H141" s="4" t="s">
        <v>94</v>
      </c>
      <c r="I141" s="4" t="s">
        <v>95</v>
      </c>
      <c r="J141" s="4" t="s">
        <v>96</v>
      </c>
      <c r="K141" s="4" t="s">
        <v>97</v>
      </c>
      <c r="L141" s="4" t="s">
        <v>98</v>
      </c>
    </row>
    <row r="142" spans="1:12" ht="23" customHeight="1">
      <c r="A142" s="5" t="s">
        <v>99</v>
      </c>
      <c r="B142" s="6">
        <v>6</v>
      </c>
      <c r="C142" s="6">
        <v>3</v>
      </c>
      <c r="D142" s="6">
        <v>152</v>
      </c>
      <c r="E142" s="6">
        <v>41</v>
      </c>
      <c r="F142" s="9" t="s">
        <v>100</v>
      </c>
      <c r="G142" s="7">
        <v>51629</v>
      </c>
      <c r="H142" s="7">
        <v>51629</v>
      </c>
      <c r="I142" s="7">
        <v>51629</v>
      </c>
      <c r="J142" s="7">
        <v>51629</v>
      </c>
      <c r="K142" s="7">
        <v>51629</v>
      </c>
      <c r="L142" s="7">
        <v>51629</v>
      </c>
    </row>
    <row r="143" spans="1:12" ht="23" customHeight="1">
      <c r="A143" s="5" t="s">
        <v>99</v>
      </c>
      <c r="B143" s="6">
        <v>6</v>
      </c>
      <c r="C143" s="6">
        <v>3</v>
      </c>
      <c r="D143" s="6">
        <v>153</v>
      </c>
      <c r="E143" s="6">
        <v>42</v>
      </c>
      <c r="F143" s="9" t="s">
        <v>100</v>
      </c>
      <c r="G143" s="7">
        <v>145626</v>
      </c>
      <c r="H143" s="7">
        <v>145626</v>
      </c>
      <c r="I143" s="7">
        <v>145626</v>
      </c>
      <c r="J143" s="7">
        <v>145626</v>
      </c>
      <c r="K143" s="7">
        <v>145626</v>
      </c>
      <c r="L143" s="7">
        <v>145626</v>
      </c>
    </row>
    <row r="144" spans="1:12" ht="23" customHeight="1">
      <c r="A144" s="5" t="s">
        <v>99</v>
      </c>
      <c r="B144" s="6">
        <v>6</v>
      </c>
      <c r="C144" s="6">
        <v>3</v>
      </c>
      <c r="D144" s="6">
        <v>154</v>
      </c>
      <c r="E144" s="6">
        <v>43</v>
      </c>
      <c r="F144" s="9" t="s">
        <v>100</v>
      </c>
      <c r="G144" s="7">
        <v>155634</v>
      </c>
      <c r="H144" s="7">
        <v>155634</v>
      </c>
      <c r="I144" s="7">
        <v>155634</v>
      </c>
      <c r="J144" s="7">
        <v>155634</v>
      </c>
      <c r="K144" s="7">
        <v>155634</v>
      </c>
      <c r="L144" s="7">
        <v>155634</v>
      </c>
    </row>
    <row r="145" spans="1:12" ht="23" customHeight="1">
      <c r="A145" s="5" t="s">
        <v>99</v>
      </c>
      <c r="B145" s="6">
        <v>6</v>
      </c>
      <c r="C145" s="6">
        <v>3</v>
      </c>
      <c r="D145" s="6">
        <v>155</v>
      </c>
      <c r="E145" s="6">
        <v>44</v>
      </c>
      <c r="F145" s="9" t="s">
        <v>100</v>
      </c>
      <c r="G145" s="7">
        <v>223257</v>
      </c>
      <c r="H145" s="7">
        <v>223257</v>
      </c>
      <c r="I145" s="7">
        <v>223257</v>
      </c>
      <c r="J145" s="7">
        <v>223257</v>
      </c>
      <c r="K145" s="7">
        <v>223257</v>
      </c>
      <c r="L145" s="7">
        <v>223257</v>
      </c>
    </row>
    <row r="146" spans="1:12" ht="23" customHeight="1">
      <c r="A146" s="5" t="s">
        <v>99</v>
      </c>
      <c r="B146" s="6">
        <v>6</v>
      </c>
      <c r="C146" s="6">
        <v>3</v>
      </c>
      <c r="D146" s="6">
        <v>156</v>
      </c>
      <c r="E146" s="6">
        <v>45</v>
      </c>
      <c r="F146" s="9" t="s">
        <v>100</v>
      </c>
      <c r="G146" s="7">
        <v>218438</v>
      </c>
      <c r="H146" s="7">
        <v>218438</v>
      </c>
      <c r="I146" s="7">
        <v>218438</v>
      </c>
      <c r="J146" s="7">
        <v>218438</v>
      </c>
      <c r="K146" s="7">
        <v>218438</v>
      </c>
      <c r="L146" s="7">
        <v>218438</v>
      </c>
    </row>
    <row r="147" spans="1:12" ht="23" customHeight="1">
      <c r="A147" s="5" t="s">
        <v>99</v>
      </c>
      <c r="B147" s="6">
        <v>6</v>
      </c>
      <c r="C147" s="6">
        <v>3</v>
      </c>
      <c r="D147" s="6">
        <v>157</v>
      </c>
      <c r="E147" s="6">
        <v>46</v>
      </c>
      <c r="F147" s="9" t="s">
        <v>100</v>
      </c>
      <c r="G147" s="7">
        <v>218438</v>
      </c>
      <c r="H147" s="7">
        <v>218438</v>
      </c>
      <c r="I147" s="7">
        <v>218438</v>
      </c>
      <c r="J147" s="7">
        <v>218438</v>
      </c>
      <c r="K147" s="7">
        <v>218438</v>
      </c>
      <c r="L147" s="7">
        <v>218438</v>
      </c>
    </row>
    <row r="148" spans="1:12" ht="23" customHeight="1">
      <c r="A148" s="5" t="s">
        <v>99</v>
      </c>
      <c r="B148" s="6">
        <v>6</v>
      </c>
      <c r="C148" s="6">
        <v>3</v>
      </c>
      <c r="D148" s="6">
        <v>158</v>
      </c>
      <c r="E148" s="6">
        <v>47</v>
      </c>
      <c r="F148" s="9" t="s">
        <v>100</v>
      </c>
      <c r="G148" s="7">
        <v>218438</v>
      </c>
      <c r="H148" s="7">
        <v>218438</v>
      </c>
      <c r="I148" s="7">
        <v>218438</v>
      </c>
      <c r="J148" s="7">
        <v>218438</v>
      </c>
      <c r="K148" s="7">
        <v>218438</v>
      </c>
      <c r="L148" s="7">
        <v>218438</v>
      </c>
    </row>
    <row r="149" spans="1:12" ht="23" customHeight="1">
      <c r="A149" s="5" t="s">
        <v>99</v>
      </c>
      <c r="B149" s="6">
        <v>6</v>
      </c>
      <c r="C149" s="6">
        <v>3</v>
      </c>
      <c r="D149" s="6">
        <v>159</v>
      </c>
      <c r="E149" s="6">
        <v>48</v>
      </c>
      <c r="F149" s="9" t="s">
        <v>100</v>
      </c>
      <c r="G149" s="7">
        <v>218438</v>
      </c>
      <c r="H149" s="7">
        <v>218438</v>
      </c>
      <c r="I149" s="7">
        <v>218438</v>
      </c>
      <c r="J149" s="7">
        <v>218438</v>
      </c>
      <c r="K149" s="7">
        <v>218438</v>
      </c>
      <c r="L149" s="7">
        <v>218438</v>
      </c>
    </row>
    <row r="150" spans="1:12" ht="23" customHeight="1">
      <c r="A150" s="5" t="s">
        <v>99</v>
      </c>
      <c r="B150" s="6">
        <v>6</v>
      </c>
      <c r="C150" s="6">
        <v>3</v>
      </c>
      <c r="D150" s="6">
        <v>160</v>
      </c>
      <c r="E150" s="6">
        <v>49</v>
      </c>
      <c r="F150" s="9" t="s">
        <v>100</v>
      </c>
      <c r="G150" s="7">
        <v>218438</v>
      </c>
      <c r="H150" s="7">
        <v>218438</v>
      </c>
      <c r="I150" s="7">
        <v>218438</v>
      </c>
      <c r="J150" s="7">
        <v>218438</v>
      </c>
      <c r="K150" s="7">
        <v>218438</v>
      </c>
      <c r="L150" s="7">
        <v>218438</v>
      </c>
    </row>
    <row r="151" spans="1:12" ht="23" customHeight="1">
      <c r="A151" s="5" t="s">
        <v>99</v>
      </c>
      <c r="B151" s="6">
        <v>6</v>
      </c>
      <c r="C151" s="6">
        <v>3</v>
      </c>
      <c r="D151" s="6">
        <v>161</v>
      </c>
      <c r="E151" s="6">
        <v>50</v>
      </c>
      <c r="F151" s="9" t="s">
        <v>100</v>
      </c>
      <c r="G151" s="7">
        <v>218438</v>
      </c>
      <c r="H151" s="7">
        <v>218438</v>
      </c>
      <c r="I151" s="7">
        <v>218438</v>
      </c>
      <c r="J151" s="7">
        <v>218438</v>
      </c>
      <c r="K151" s="7">
        <v>218438</v>
      </c>
      <c r="L151" s="7">
        <v>218438</v>
      </c>
    </row>
    <row r="152" spans="1:12" ht="23" customHeight="1">
      <c r="A152" s="5" t="s">
        <v>99</v>
      </c>
      <c r="B152" s="6">
        <v>6</v>
      </c>
      <c r="C152" s="6">
        <v>3</v>
      </c>
      <c r="D152" s="6">
        <v>162</v>
      </c>
      <c r="E152" s="6">
        <v>51</v>
      </c>
      <c r="F152" s="9" t="s">
        <v>100</v>
      </c>
      <c r="G152" s="7">
        <v>179149</v>
      </c>
      <c r="H152" s="7">
        <v>179149</v>
      </c>
      <c r="I152" s="7">
        <v>179149</v>
      </c>
      <c r="J152" s="7">
        <v>179149</v>
      </c>
      <c r="K152" s="7">
        <v>179149</v>
      </c>
      <c r="L152" s="7">
        <v>179149</v>
      </c>
    </row>
    <row r="153" spans="1:12" ht="23" customHeight="1">
      <c r="A153" s="5" t="s">
        <v>99</v>
      </c>
      <c r="B153" s="6">
        <v>6</v>
      </c>
      <c r="C153" s="6">
        <v>3</v>
      </c>
      <c r="D153" s="6">
        <v>163</v>
      </c>
      <c r="E153" s="6">
        <v>52</v>
      </c>
      <c r="F153" s="9" t="s">
        <v>100</v>
      </c>
      <c r="G153" s="7">
        <v>104936</v>
      </c>
      <c r="H153" s="7">
        <v>104936</v>
      </c>
      <c r="I153" s="7">
        <v>104936</v>
      </c>
      <c r="J153" s="7">
        <v>104936</v>
      </c>
      <c r="K153" s="7">
        <v>104936</v>
      </c>
      <c r="L153" s="7">
        <v>104936</v>
      </c>
    </row>
    <row r="154" spans="1:12" ht="23" customHeight="1">
      <c r="A154" s="5" t="s">
        <v>99</v>
      </c>
      <c r="B154" s="6">
        <v>6</v>
      </c>
      <c r="C154" s="6">
        <v>3</v>
      </c>
      <c r="D154" s="6">
        <v>164</v>
      </c>
      <c r="E154" s="6">
        <v>53</v>
      </c>
      <c r="F154" s="9" t="s">
        <v>100</v>
      </c>
      <c r="G154" s="7">
        <v>104936</v>
      </c>
      <c r="H154" s="7">
        <v>104936</v>
      </c>
      <c r="I154" s="7">
        <v>104936</v>
      </c>
      <c r="J154" s="7">
        <v>104936</v>
      </c>
      <c r="K154" s="7">
        <v>104936</v>
      </c>
      <c r="L154" s="7">
        <v>104936</v>
      </c>
    </row>
    <row r="155" spans="1:12" ht="23" customHeight="1">
      <c r="A155" s="5" t="s">
        <v>99</v>
      </c>
      <c r="B155" s="6">
        <v>6</v>
      </c>
      <c r="C155" s="6">
        <v>3</v>
      </c>
      <c r="D155" s="6">
        <v>165</v>
      </c>
      <c r="E155" s="6">
        <v>54</v>
      </c>
      <c r="F155" s="9" t="s">
        <v>100</v>
      </c>
      <c r="G155" s="7">
        <v>104936</v>
      </c>
      <c r="H155" s="7">
        <v>104936</v>
      </c>
      <c r="I155" s="7">
        <v>104936</v>
      </c>
      <c r="J155" s="7">
        <v>104936</v>
      </c>
      <c r="K155" s="7">
        <v>104936</v>
      </c>
      <c r="L155" s="7">
        <v>104936</v>
      </c>
    </row>
    <row r="156" spans="1:12" ht="23" customHeight="1">
      <c r="A156" s="5" t="s">
        <v>99</v>
      </c>
      <c r="B156" s="6">
        <v>6</v>
      </c>
      <c r="C156" s="6">
        <v>3</v>
      </c>
      <c r="D156" s="6">
        <v>166</v>
      </c>
      <c r="E156" s="6">
        <v>55</v>
      </c>
      <c r="F156" s="9" t="s">
        <v>100</v>
      </c>
      <c r="G156" s="7">
        <v>104936</v>
      </c>
      <c r="H156" s="7">
        <v>104936</v>
      </c>
      <c r="I156" s="7">
        <v>104936</v>
      </c>
      <c r="J156" s="7">
        <v>104936</v>
      </c>
      <c r="K156" s="7">
        <v>104936</v>
      </c>
      <c r="L156" s="7">
        <v>104936</v>
      </c>
    </row>
    <row r="157" spans="1:12" ht="24" customHeight="1">
      <c r="A157" s="3" t="s">
        <v>89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7</v>
      </c>
      <c r="B158" s="4" t="s">
        <v>8</v>
      </c>
      <c r="C158" s="4" t="s">
        <v>9</v>
      </c>
      <c r="D158" s="4" t="s">
        <v>90</v>
      </c>
      <c r="E158" s="4" t="s">
        <v>91</v>
      </c>
      <c r="F158" s="4" t="s">
        <v>92</v>
      </c>
      <c r="G158" s="4" t="s">
        <v>93</v>
      </c>
      <c r="H158" s="4" t="s">
        <v>94</v>
      </c>
      <c r="I158" s="4" t="s">
        <v>95</v>
      </c>
      <c r="J158" s="4" t="s">
        <v>96</v>
      </c>
      <c r="K158" s="4" t="s">
        <v>97</v>
      </c>
      <c r="L158" s="4" t="s">
        <v>98</v>
      </c>
    </row>
    <row r="159" spans="1:12" ht="23" customHeight="1">
      <c r="A159" s="5" t="s">
        <v>99</v>
      </c>
      <c r="B159" s="6">
        <v>6</v>
      </c>
      <c r="C159" s="6">
        <v>3</v>
      </c>
      <c r="D159" s="6">
        <v>167</v>
      </c>
      <c r="E159" s="6">
        <v>56</v>
      </c>
      <c r="F159" s="9" t="s">
        <v>100</v>
      </c>
      <c r="G159" s="7">
        <v>104936</v>
      </c>
      <c r="H159" s="7">
        <v>104936</v>
      </c>
      <c r="I159" s="7">
        <v>104936</v>
      </c>
      <c r="J159" s="7">
        <v>104936</v>
      </c>
      <c r="K159" s="7">
        <v>104936</v>
      </c>
      <c r="L159" s="7">
        <v>104936</v>
      </c>
    </row>
    <row r="160" spans="1:12" ht="23" customHeight="1">
      <c r="A160" s="5" t="s">
        <v>99</v>
      </c>
      <c r="B160" s="6">
        <v>6</v>
      </c>
      <c r="C160" s="6">
        <v>3</v>
      </c>
      <c r="D160" s="6">
        <v>168</v>
      </c>
      <c r="E160" s="6">
        <v>57</v>
      </c>
      <c r="F160" s="9" t="s">
        <v>100</v>
      </c>
      <c r="G160" s="7">
        <v>104936</v>
      </c>
      <c r="H160" s="7">
        <v>104936</v>
      </c>
      <c r="I160" s="7">
        <v>104936</v>
      </c>
      <c r="J160" s="7">
        <v>104936</v>
      </c>
      <c r="K160" s="7">
        <v>104936</v>
      </c>
      <c r="L160" s="7">
        <v>104936</v>
      </c>
    </row>
    <row r="161" spans="1:12" ht="23" customHeight="1">
      <c r="A161" s="5" t="s">
        <v>99</v>
      </c>
      <c r="B161" s="6">
        <v>6</v>
      </c>
      <c r="C161" s="6">
        <v>3</v>
      </c>
      <c r="D161" s="6">
        <v>169</v>
      </c>
      <c r="E161" s="6">
        <v>58</v>
      </c>
      <c r="F161" s="9" t="s">
        <v>100</v>
      </c>
      <c r="G161" s="7">
        <v>104936</v>
      </c>
      <c r="H161" s="7">
        <v>104936</v>
      </c>
      <c r="I161" s="7">
        <v>104936</v>
      </c>
      <c r="J161" s="7">
        <v>104936</v>
      </c>
      <c r="K161" s="7">
        <v>104936</v>
      </c>
      <c r="L161" s="7">
        <v>104936</v>
      </c>
    </row>
    <row r="162" spans="1:12" ht="23" customHeight="1">
      <c r="A162" s="5" t="s">
        <v>99</v>
      </c>
      <c r="B162" s="6">
        <v>6</v>
      </c>
      <c r="C162" s="6">
        <v>3</v>
      </c>
      <c r="D162" s="6">
        <v>170</v>
      </c>
      <c r="E162" s="6">
        <v>59</v>
      </c>
      <c r="F162" s="9" t="s">
        <v>100</v>
      </c>
      <c r="G162" s="7">
        <v>104936</v>
      </c>
      <c r="H162" s="7">
        <v>104936</v>
      </c>
      <c r="I162" s="7">
        <v>104936</v>
      </c>
      <c r="J162" s="7">
        <v>104936</v>
      </c>
      <c r="K162" s="7">
        <v>104936</v>
      </c>
      <c r="L162" s="7">
        <v>104936</v>
      </c>
    </row>
    <row r="163" spans="1:12" ht="23" customHeight="1">
      <c r="A163" s="5" t="s">
        <v>99</v>
      </c>
      <c r="B163" s="6">
        <v>6</v>
      </c>
      <c r="C163" s="6">
        <v>3</v>
      </c>
      <c r="D163" s="6">
        <v>171</v>
      </c>
      <c r="E163" s="6">
        <v>60</v>
      </c>
      <c r="F163" s="9" t="s">
        <v>100</v>
      </c>
      <c r="G163" s="7">
        <v>36324</v>
      </c>
      <c r="H163" s="7">
        <v>36324</v>
      </c>
      <c r="I163" s="7">
        <v>36324</v>
      </c>
      <c r="J163" s="7">
        <v>36324</v>
      </c>
      <c r="K163" s="7">
        <v>36324</v>
      </c>
      <c r="L163" s="7">
        <v>36324</v>
      </c>
    </row>
    <row r="164" spans="1:12" ht="23" customHeight="1">
      <c r="A164" s="5" t="s">
        <v>101</v>
      </c>
      <c r="B164" s="6">
        <v>4</v>
      </c>
      <c r="C164" s="6">
        <v>1</v>
      </c>
      <c r="D164" s="6">
        <v>122</v>
      </c>
      <c r="E164" s="6">
        <v>61</v>
      </c>
      <c r="F164" s="9" t="s">
        <v>100</v>
      </c>
      <c r="G164" s="7">
        <v>327072</v>
      </c>
      <c r="H164" s="7">
        <v>88418</v>
      </c>
      <c r="I164" s="7">
        <v>88418</v>
      </c>
      <c r="J164" s="7">
        <v>327072</v>
      </c>
      <c r="K164" s="7">
        <v>88418</v>
      </c>
      <c r="L164" s="7">
        <v>88418</v>
      </c>
    </row>
    <row r="165" spans="1:12" ht="23" customHeight="1">
      <c r="A165" s="5" t="s">
        <v>101</v>
      </c>
      <c r="B165" s="6">
        <v>5</v>
      </c>
      <c r="C165" s="6">
        <v>2</v>
      </c>
      <c r="D165" s="6">
        <v>147</v>
      </c>
      <c r="E165" s="6">
        <v>62</v>
      </c>
      <c r="F165" s="9" t="s">
        <v>100</v>
      </c>
      <c r="G165" s="7">
        <v>218048</v>
      </c>
      <c r="H165" s="7">
        <v>58945</v>
      </c>
      <c r="I165" s="7">
        <v>58945</v>
      </c>
      <c r="J165" s="7">
        <v>218048</v>
      </c>
      <c r="K165" s="7">
        <v>58945</v>
      </c>
      <c r="L165" s="7">
        <v>58945</v>
      </c>
    </row>
    <row r="166" spans="1:12" ht="23" customHeight="1">
      <c r="A166" s="5" t="s">
        <v>101</v>
      </c>
      <c r="B166" s="6">
        <v>6</v>
      </c>
      <c r="C166" s="6">
        <v>3</v>
      </c>
      <c r="D166" s="6">
        <v>172</v>
      </c>
      <c r="E166" s="6">
        <v>63</v>
      </c>
      <c r="F166" s="9" t="s">
        <v>100</v>
      </c>
      <c r="G166" s="7">
        <v>327072</v>
      </c>
      <c r="H166" s="7">
        <v>88418</v>
      </c>
      <c r="I166" s="7">
        <v>88418</v>
      </c>
      <c r="J166" s="7">
        <v>327072</v>
      </c>
      <c r="K166" s="7">
        <v>88418</v>
      </c>
      <c r="L166" s="7">
        <v>88418</v>
      </c>
    </row>
    <row r="167" spans="1:12" ht="23" customHeight="1"/>
    <row r="168" spans="1:12" ht="24" customHeight="1">
      <c r="A168" s="3" t="s">
        <v>102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36" customHeight="1">
      <c r="A169" s="4" t="s">
        <v>7</v>
      </c>
      <c r="B169" s="4" t="s">
        <v>8</v>
      </c>
      <c r="C169" s="4" t="s">
        <v>9</v>
      </c>
      <c r="D169" s="4" t="s">
        <v>90</v>
      </c>
      <c r="E169" s="4" t="s">
        <v>91</v>
      </c>
      <c r="F169" s="4" t="s">
        <v>92</v>
      </c>
      <c r="G169" s="4" t="s">
        <v>103</v>
      </c>
      <c r="H169" s="4" t="s">
        <v>104</v>
      </c>
      <c r="I169" s="4" t="s">
        <v>105</v>
      </c>
      <c r="J169" s="4" t="s">
        <v>106</v>
      </c>
    </row>
    <row r="170" spans="1:12" ht="23" customHeight="1">
      <c r="A170" s="5" t="s">
        <v>99</v>
      </c>
      <c r="B170" s="6">
        <v>4</v>
      </c>
      <c r="C170" s="6">
        <v>1</v>
      </c>
      <c r="D170" s="6">
        <v>102</v>
      </c>
      <c r="E170" s="6">
        <v>1</v>
      </c>
      <c r="F170" s="9" t="s">
        <v>100</v>
      </c>
      <c r="G170" s="8">
        <v>433.8</v>
      </c>
      <c r="H170" s="8">
        <v>433.8</v>
      </c>
      <c r="I170" s="8">
        <v>433.8</v>
      </c>
      <c r="J170" s="8">
        <v>433.8</v>
      </c>
    </row>
    <row r="171" spans="1:12" ht="23" customHeight="1">
      <c r="A171" s="5" t="s">
        <v>99</v>
      </c>
      <c r="B171" s="6">
        <v>4</v>
      </c>
      <c r="C171" s="6">
        <v>1</v>
      </c>
      <c r="D171" s="6">
        <v>103</v>
      </c>
      <c r="E171" s="6">
        <v>2</v>
      </c>
      <c r="F171" s="9" t="s">
        <v>100</v>
      </c>
      <c r="G171" s="7">
        <v>1835</v>
      </c>
      <c r="H171" s="7">
        <v>1835</v>
      </c>
      <c r="I171" s="7">
        <v>1835</v>
      </c>
      <c r="J171" s="7">
        <v>1835</v>
      </c>
    </row>
    <row r="172" spans="1:12" ht="23" customHeight="1">
      <c r="A172" s="5" t="s">
        <v>99</v>
      </c>
      <c r="B172" s="6">
        <v>4</v>
      </c>
      <c r="C172" s="6">
        <v>1</v>
      </c>
      <c r="D172" s="6">
        <v>104</v>
      </c>
      <c r="E172" s="6">
        <v>3</v>
      </c>
      <c r="F172" s="9" t="s">
        <v>100</v>
      </c>
      <c r="G172" s="8">
        <v>1794.4</v>
      </c>
      <c r="H172" s="8">
        <v>1794.4</v>
      </c>
      <c r="I172" s="8">
        <v>1794.4</v>
      </c>
      <c r="J172" s="8">
        <v>1794.4</v>
      </c>
    </row>
    <row r="173" spans="1:12" ht="24" customHeight="1">
      <c r="A173" s="3" t="s">
        <v>102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7</v>
      </c>
      <c r="B174" s="4" t="s">
        <v>8</v>
      </c>
      <c r="C174" s="4" t="s">
        <v>9</v>
      </c>
      <c r="D174" s="4" t="s">
        <v>90</v>
      </c>
      <c r="E174" s="4" t="s">
        <v>91</v>
      </c>
      <c r="F174" s="4" t="s">
        <v>92</v>
      </c>
      <c r="G174" s="4" t="s">
        <v>103</v>
      </c>
      <c r="H174" s="4" t="s">
        <v>104</v>
      </c>
      <c r="I174" s="4" t="s">
        <v>105</v>
      </c>
      <c r="J174" s="4" t="s">
        <v>106</v>
      </c>
    </row>
    <row r="175" spans="1:12" ht="23" customHeight="1">
      <c r="A175" s="5" t="s">
        <v>99</v>
      </c>
      <c r="B175" s="6">
        <v>4</v>
      </c>
      <c r="C175" s="6">
        <v>1</v>
      </c>
      <c r="D175" s="6">
        <v>105</v>
      </c>
      <c r="E175" s="6">
        <v>4</v>
      </c>
      <c r="F175" s="9" t="s">
        <v>100</v>
      </c>
      <c r="G175" s="7">
        <v>2313</v>
      </c>
      <c r="H175" s="7">
        <v>2313</v>
      </c>
      <c r="I175" s="7">
        <v>2313</v>
      </c>
      <c r="J175" s="7">
        <v>2313</v>
      </c>
    </row>
    <row r="176" spans="1:12" ht="23" customHeight="1">
      <c r="A176" s="5" t="s">
        <v>99</v>
      </c>
      <c r="B176" s="6">
        <v>4</v>
      </c>
      <c r="C176" s="6">
        <v>1</v>
      </c>
      <c r="D176" s="6">
        <v>106</v>
      </c>
      <c r="E176" s="6">
        <v>5</v>
      </c>
      <c r="F176" s="9" t="s">
        <v>100</v>
      </c>
      <c r="G176" s="8">
        <v>2752.4</v>
      </c>
      <c r="H176" s="8">
        <v>2752.4</v>
      </c>
      <c r="I176" s="8">
        <v>2752.4</v>
      </c>
      <c r="J176" s="8">
        <v>2752.4</v>
      </c>
    </row>
    <row r="177" spans="1:12" ht="23" customHeight="1">
      <c r="A177" s="5" t="s">
        <v>99</v>
      </c>
      <c r="B177" s="6">
        <v>4</v>
      </c>
      <c r="C177" s="6">
        <v>1</v>
      </c>
      <c r="D177" s="6">
        <v>107</v>
      </c>
      <c r="E177" s="6">
        <v>6</v>
      </c>
      <c r="F177" s="9" t="s">
        <v>100</v>
      </c>
      <c r="G177" s="8">
        <v>2752.4</v>
      </c>
      <c r="H177" s="8">
        <v>2752.4</v>
      </c>
      <c r="I177" s="8">
        <v>2752.4</v>
      </c>
      <c r="J177" s="8">
        <v>2752.4</v>
      </c>
    </row>
    <row r="178" spans="1:12" ht="23" customHeight="1">
      <c r="A178" s="5" t="s">
        <v>99</v>
      </c>
      <c r="B178" s="6">
        <v>4</v>
      </c>
      <c r="C178" s="6">
        <v>1</v>
      </c>
      <c r="D178" s="6">
        <v>108</v>
      </c>
      <c r="E178" s="6">
        <v>7</v>
      </c>
      <c r="F178" s="9" t="s">
        <v>100</v>
      </c>
      <c r="G178" s="8">
        <v>2752.4</v>
      </c>
      <c r="H178" s="8">
        <v>2752.4</v>
      </c>
      <c r="I178" s="8">
        <v>2752.4</v>
      </c>
      <c r="J178" s="8">
        <v>2752.4</v>
      </c>
    </row>
    <row r="179" spans="1:12" ht="23" customHeight="1">
      <c r="A179" s="5" t="s">
        <v>99</v>
      </c>
      <c r="B179" s="6">
        <v>4</v>
      </c>
      <c r="C179" s="6">
        <v>1</v>
      </c>
      <c r="D179" s="6">
        <v>109</v>
      </c>
      <c r="E179" s="6">
        <v>8</v>
      </c>
      <c r="F179" s="9" t="s">
        <v>100</v>
      </c>
      <c r="G179" s="8">
        <v>2752.4</v>
      </c>
      <c r="H179" s="8">
        <v>2752.4</v>
      </c>
      <c r="I179" s="8">
        <v>2752.4</v>
      </c>
      <c r="J179" s="8">
        <v>2752.4</v>
      </c>
    </row>
    <row r="180" spans="1:12" ht="23" customHeight="1">
      <c r="A180" s="5" t="s">
        <v>99</v>
      </c>
      <c r="B180" s="6">
        <v>4</v>
      </c>
      <c r="C180" s="6">
        <v>1</v>
      </c>
      <c r="D180" s="6">
        <v>110</v>
      </c>
      <c r="E180" s="6">
        <v>9</v>
      </c>
      <c r="F180" s="9" t="s">
        <v>100</v>
      </c>
      <c r="G180" s="8">
        <v>2752.4</v>
      </c>
      <c r="H180" s="8">
        <v>2752.4</v>
      </c>
      <c r="I180" s="8">
        <v>2752.4</v>
      </c>
      <c r="J180" s="8">
        <v>2752.4</v>
      </c>
    </row>
    <row r="181" spans="1:12" ht="23" customHeight="1">
      <c r="A181" s="5" t="s">
        <v>99</v>
      </c>
      <c r="B181" s="6">
        <v>4</v>
      </c>
      <c r="C181" s="6">
        <v>1</v>
      </c>
      <c r="D181" s="6">
        <v>111</v>
      </c>
      <c r="E181" s="6">
        <v>10</v>
      </c>
      <c r="F181" s="9" t="s">
        <v>100</v>
      </c>
      <c r="G181" s="8">
        <v>2752.4</v>
      </c>
      <c r="H181" s="8">
        <v>2752.4</v>
      </c>
      <c r="I181" s="8">
        <v>2752.4</v>
      </c>
      <c r="J181" s="8">
        <v>2752.4</v>
      </c>
    </row>
    <row r="182" spans="1:12" ht="23" customHeight="1">
      <c r="A182" s="5" t="s">
        <v>99</v>
      </c>
      <c r="B182" s="6">
        <v>4</v>
      </c>
      <c r="C182" s="6">
        <v>1</v>
      </c>
      <c r="D182" s="6">
        <v>112</v>
      </c>
      <c r="E182" s="6">
        <v>11</v>
      </c>
      <c r="F182" s="9" t="s">
        <v>100</v>
      </c>
      <c r="G182" s="8">
        <v>2032.5</v>
      </c>
      <c r="H182" s="8">
        <v>2032.5</v>
      </c>
      <c r="I182" s="8">
        <v>2032.5</v>
      </c>
      <c r="J182" s="8">
        <v>2032.5</v>
      </c>
    </row>
    <row r="183" spans="1:12" ht="23" customHeight="1">
      <c r="A183" s="5" t="s">
        <v>99</v>
      </c>
      <c r="B183" s="6">
        <v>4</v>
      </c>
      <c r="C183" s="6">
        <v>1</v>
      </c>
      <c r="D183" s="6">
        <v>113</v>
      </c>
      <c r="E183" s="6">
        <v>12</v>
      </c>
      <c r="F183" s="9" t="s">
        <v>100</v>
      </c>
      <c r="G183" s="8">
        <v>672.8</v>
      </c>
      <c r="H183" s="8">
        <v>672.8</v>
      </c>
      <c r="I183" s="8">
        <v>672.8</v>
      </c>
      <c r="J183" s="8">
        <v>672.8</v>
      </c>
    </row>
    <row r="184" spans="1:12" ht="23" customHeight="1">
      <c r="A184" s="5" t="s">
        <v>99</v>
      </c>
      <c r="B184" s="6">
        <v>4</v>
      </c>
      <c r="C184" s="6">
        <v>1</v>
      </c>
      <c r="D184" s="6">
        <v>114</v>
      </c>
      <c r="E184" s="6">
        <v>13</v>
      </c>
      <c r="F184" s="9" t="s">
        <v>100</v>
      </c>
      <c r="G184" s="8">
        <v>672.8</v>
      </c>
      <c r="H184" s="8">
        <v>672.8</v>
      </c>
      <c r="I184" s="8">
        <v>672.8</v>
      </c>
      <c r="J184" s="8">
        <v>672.8</v>
      </c>
    </row>
    <row r="185" spans="1:12" ht="23" customHeight="1">
      <c r="A185" s="5" t="s">
        <v>99</v>
      </c>
      <c r="B185" s="6">
        <v>4</v>
      </c>
      <c r="C185" s="6">
        <v>1</v>
      </c>
      <c r="D185" s="6">
        <v>115</v>
      </c>
      <c r="E185" s="6">
        <v>14</v>
      </c>
      <c r="F185" s="9" t="s">
        <v>100</v>
      </c>
      <c r="G185" s="8">
        <v>672.8</v>
      </c>
      <c r="H185" s="8">
        <v>672.8</v>
      </c>
      <c r="I185" s="8">
        <v>672.8</v>
      </c>
      <c r="J185" s="8">
        <v>672.8</v>
      </c>
    </row>
    <row r="186" spans="1:12" ht="23" customHeight="1">
      <c r="A186" s="5" t="s">
        <v>99</v>
      </c>
      <c r="B186" s="6">
        <v>4</v>
      </c>
      <c r="C186" s="6">
        <v>1</v>
      </c>
      <c r="D186" s="6">
        <v>116</v>
      </c>
      <c r="E186" s="6">
        <v>15</v>
      </c>
      <c r="F186" s="9" t="s">
        <v>100</v>
      </c>
      <c r="G186" s="8">
        <v>672.8</v>
      </c>
      <c r="H186" s="8">
        <v>672.8</v>
      </c>
      <c r="I186" s="8">
        <v>672.8</v>
      </c>
      <c r="J186" s="8">
        <v>672.8</v>
      </c>
    </row>
    <row r="187" spans="1:12" ht="23" customHeight="1">
      <c r="A187" s="5" t="s">
        <v>99</v>
      </c>
      <c r="B187" s="6">
        <v>4</v>
      </c>
      <c r="C187" s="6">
        <v>1</v>
      </c>
      <c r="D187" s="6">
        <v>117</v>
      </c>
      <c r="E187" s="6">
        <v>16</v>
      </c>
      <c r="F187" s="9" t="s">
        <v>100</v>
      </c>
      <c r="G187" s="8">
        <v>672.8</v>
      </c>
      <c r="H187" s="8">
        <v>672.8</v>
      </c>
      <c r="I187" s="8">
        <v>672.8</v>
      </c>
      <c r="J187" s="8">
        <v>672.8</v>
      </c>
    </row>
    <row r="188" spans="1:12" ht="23" customHeight="1">
      <c r="A188" s="5" t="s">
        <v>99</v>
      </c>
      <c r="B188" s="6">
        <v>4</v>
      </c>
      <c r="C188" s="6">
        <v>1</v>
      </c>
      <c r="D188" s="6">
        <v>118</v>
      </c>
      <c r="E188" s="6">
        <v>17</v>
      </c>
      <c r="F188" s="9" t="s">
        <v>100</v>
      </c>
      <c r="G188" s="8">
        <v>672.8</v>
      </c>
      <c r="H188" s="8">
        <v>672.8</v>
      </c>
      <c r="I188" s="8">
        <v>672.8</v>
      </c>
      <c r="J188" s="8">
        <v>672.8</v>
      </c>
    </row>
    <row r="189" spans="1:12" ht="23" customHeight="1">
      <c r="A189" s="5" t="s">
        <v>99</v>
      </c>
      <c r="B189" s="6">
        <v>4</v>
      </c>
      <c r="C189" s="6">
        <v>1</v>
      </c>
      <c r="D189" s="6">
        <v>119</v>
      </c>
      <c r="E189" s="6">
        <v>18</v>
      </c>
      <c r="F189" s="9" t="s">
        <v>100</v>
      </c>
      <c r="G189" s="8">
        <v>672.8</v>
      </c>
      <c r="H189" s="8">
        <v>672.8</v>
      </c>
      <c r="I189" s="8">
        <v>672.8</v>
      </c>
      <c r="J189" s="8">
        <v>672.8</v>
      </c>
    </row>
    <row r="190" spans="1:12" ht="24" customHeight="1">
      <c r="A190" s="3" t="s">
        <v>102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7</v>
      </c>
      <c r="B191" s="4" t="s">
        <v>8</v>
      </c>
      <c r="C191" s="4" t="s">
        <v>9</v>
      </c>
      <c r="D191" s="4" t="s">
        <v>90</v>
      </c>
      <c r="E191" s="4" t="s">
        <v>91</v>
      </c>
      <c r="F191" s="4" t="s">
        <v>92</v>
      </c>
      <c r="G191" s="4" t="s">
        <v>103</v>
      </c>
      <c r="H191" s="4" t="s">
        <v>104</v>
      </c>
      <c r="I191" s="4" t="s">
        <v>105</v>
      </c>
      <c r="J191" s="4" t="s">
        <v>106</v>
      </c>
    </row>
    <row r="192" spans="1:12" ht="23" customHeight="1">
      <c r="A192" s="5" t="s">
        <v>99</v>
      </c>
      <c r="B192" s="6">
        <v>4</v>
      </c>
      <c r="C192" s="6">
        <v>1</v>
      </c>
      <c r="D192" s="6">
        <v>120</v>
      </c>
      <c r="E192" s="6">
        <v>19</v>
      </c>
      <c r="F192" s="9" t="s">
        <v>100</v>
      </c>
      <c r="G192" s="8">
        <v>672.8</v>
      </c>
      <c r="H192" s="8">
        <v>672.8</v>
      </c>
      <c r="I192" s="8">
        <v>672.8</v>
      </c>
      <c r="J192" s="8">
        <v>672.8</v>
      </c>
    </row>
    <row r="193" spans="1:12" ht="23" customHeight="1">
      <c r="A193" s="5" t="s">
        <v>99</v>
      </c>
      <c r="B193" s="6">
        <v>4</v>
      </c>
      <c r="C193" s="6">
        <v>1</v>
      </c>
      <c r="D193" s="6">
        <v>121</v>
      </c>
      <c r="E193" s="6">
        <v>20</v>
      </c>
      <c r="F193" s="9" t="s">
        <v>100</v>
      </c>
      <c r="G193" s="8">
        <v>232.9</v>
      </c>
      <c r="H193" s="8">
        <v>232.9</v>
      </c>
      <c r="I193" s="8">
        <v>232.9</v>
      </c>
      <c r="J193" s="8">
        <v>232.9</v>
      </c>
    </row>
    <row r="194" spans="1:12" ht="23" customHeight="1">
      <c r="A194" s="5" t="s">
        <v>99</v>
      </c>
      <c r="B194" s="6">
        <v>5</v>
      </c>
      <c r="C194" s="6">
        <v>2</v>
      </c>
      <c r="D194" s="6">
        <v>127</v>
      </c>
      <c r="E194" s="6">
        <v>21</v>
      </c>
      <c r="F194" s="9" t="s">
        <v>100</v>
      </c>
      <c r="G194" s="8">
        <v>289.1</v>
      </c>
      <c r="H194" s="8">
        <v>289.1</v>
      </c>
      <c r="I194" s="8">
        <v>289.1</v>
      </c>
      <c r="J194" s="8">
        <v>289.1</v>
      </c>
    </row>
    <row r="195" spans="1:12" ht="23" customHeight="1">
      <c r="A195" s="5" t="s">
        <v>99</v>
      </c>
      <c r="B195" s="6">
        <v>5</v>
      </c>
      <c r="C195" s="6">
        <v>2</v>
      </c>
      <c r="D195" s="6">
        <v>128</v>
      </c>
      <c r="E195" s="6">
        <v>22</v>
      </c>
      <c r="F195" s="9" t="s">
        <v>100</v>
      </c>
      <c r="G195" s="8">
        <v>1223.3</v>
      </c>
      <c r="H195" s="8">
        <v>1223.3</v>
      </c>
      <c r="I195" s="8">
        <v>1223.3</v>
      </c>
      <c r="J195" s="8">
        <v>1223.3</v>
      </c>
    </row>
    <row r="196" spans="1:12" ht="23" customHeight="1">
      <c r="A196" s="5" t="s">
        <v>99</v>
      </c>
      <c r="B196" s="6">
        <v>5</v>
      </c>
      <c r="C196" s="6">
        <v>2</v>
      </c>
      <c r="D196" s="6">
        <v>129</v>
      </c>
      <c r="E196" s="6">
        <v>23</v>
      </c>
      <c r="F196" s="9" t="s">
        <v>100</v>
      </c>
      <c r="G196" s="8">
        <v>1196.2</v>
      </c>
      <c r="H196" s="8">
        <v>1196.2</v>
      </c>
      <c r="I196" s="8">
        <v>1196.2</v>
      </c>
      <c r="J196" s="8">
        <v>1196.2</v>
      </c>
    </row>
    <row r="197" spans="1:12" ht="23" customHeight="1">
      <c r="A197" s="5" t="s">
        <v>99</v>
      </c>
      <c r="B197" s="6">
        <v>5</v>
      </c>
      <c r="C197" s="6">
        <v>2</v>
      </c>
      <c r="D197" s="6">
        <v>130</v>
      </c>
      <c r="E197" s="6">
        <v>24</v>
      </c>
      <c r="F197" s="9" t="s">
        <v>100</v>
      </c>
      <c r="G197" s="7">
        <v>1542</v>
      </c>
      <c r="H197" s="7">
        <v>1542</v>
      </c>
      <c r="I197" s="7">
        <v>1542</v>
      </c>
      <c r="J197" s="7">
        <v>1542</v>
      </c>
    </row>
    <row r="198" spans="1:12" ht="23" customHeight="1">
      <c r="A198" s="5" t="s">
        <v>99</v>
      </c>
      <c r="B198" s="6">
        <v>5</v>
      </c>
      <c r="C198" s="6">
        <v>2</v>
      </c>
      <c r="D198" s="6">
        <v>131</v>
      </c>
      <c r="E198" s="6">
        <v>25</v>
      </c>
      <c r="F198" s="9" t="s">
        <v>100</v>
      </c>
      <c r="G198" s="7">
        <v>1835</v>
      </c>
      <c r="H198" s="7">
        <v>1835</v>
      </c>
      <c r="I198" s="7">
        <v>1835</v>
      </c>
      <c r="J198" s="7">
        <v>1835</v>
      </c>
    </row>
    <row r="199" spans="1:12" ht="23" customHeight="1">
      <c r="A199" s="5" t="s">
        <v>99</v>
      </c>
      <c r="B199" s="6">
        <v>5</v>
      </c>
      <c r="C199" s="6">
        <v>2</v>
      </c>
      <c r="D199" s="6">
        <v>132</v>
      </c>
      <c r="E199" s="6">
        <v>26</v>
      </c>
      <c r="F199" s="9" t="s">
        <v>100</v>
      </c>
      <c r="G199" s="7">
        <v>1835</v>
      </c>
      <c r="H199" s="7">
        <v>1835</v>
      </c>
      <c r="I199" s="7">
        <v>1835</v>
      </c>
      <c r="J199" s="7">
        <v>1835</v>
      </c>
    </row>
    <row r="200" spans="1:12" ht="23" customHeight="1">
      <c r="A200" s="5" t="s">
        <v>99</v>
      </c>
      <c r="B200" s="6">
        <v>5</v>
      </c>
      <c r="C200" s="6">
        <v>2</v>
      </c>
      <c r="D200" s="6">
        <v>133</v>
      </c>
      <c r="E200" s="6">
        <v>27</v>
      </c>
      <c r="F200" s="9" t="s">
        <v>100</v>
      </c>
      <c r="G200" s="7">
        <v>1835</v>
      </c>
      <c r="H200" s="7">
        <v>1835</v>
      </c>
      <c r="I200" s="7">
        <v>1835</v>
      </c>
      <c r="J200" s="7">
        <v>1835</v>
      </c>
    </row>
    <row r="201" spans="1:12" ht="23" customHeight="1">
      <c r="A201" s="5" t="s">
        <v>99</v>
      </c>
      <c r="B201" s="6">
        <v>5</v>
      </c>
      <c r="C201" s="6">
        <v>2</v>
      </c>
      <c r="D201" s="6">
        <v>134</v>
      </c>
      <c r="E201" s="6">
        <v>28</v>
      </c>
      <c r="F201" s="9" t="s">
        <v>100</v>
      </c>
      <c r="G201" s="7">
        <v>1835</v>
      </c>
      <c r="H201" s="7">
        <v>1835</v>
      </c>
      <c r="I201" s="7">
        <v>1835</v>
      </c>
      <c r="J201" s="7">
        <v>1835</v>
      </c>
    </row>
    <row r="202" spans="1:12" ht="23" customHeight="1">
      <c r="A202" s="5" t="s">
        <v>99</v>
      </c>
      <c r="B202" s="6">
        <v>5</v>
      </c>
      <c r="C202" s="6">
        <v>2</v>
      </c>
      <c r="D202" s="6">
        <v>135</v>
      </c>
      <c r="E202" s="6">
        <v>29</v>
      </c>
      <c r="F202" s="9" t="s">
        <v>100</v>
      </c>
      <c r="G202" s="7">
        <v>1835</v>
      </c>
      <c r="H202" s="7">
        <v>1835</v>
      </c>
      <c r="I202" s="7">
        <v>1835</v>
      </c>
      <c r="J202" s="7">
        <v>1835</v>
      </c>
    </row>
    <row r="203" spans="1:12" ht="23" customHeight="1">
      <c r="A203" s="5" t="s">
        <v>99</v>
      </c>
      <c r="B203" s="6">
        <v>5</v>
      </c>
      <c r="C203" s="6">
        <v>2</v>
      </c>
      <c r="D203" s="6">
        <v>136</v>
      </c>
      <c r="E203" s="6">
        <v>30</v>
      </c>
      <c r="F203" s="9" t="s">
        <v>100</v>
      </c>
      <c r="G203" s="7">
        <v>1835</v>
      </c>
      <c r="H203" s="7">
        <v>1835</v>
      </c>
      <c r="I203" s="7">
        <v>1835</v>
      </c>
      <c r="J203" s="7">
        <v>1835</v>
      </c>
    </row>
    <row r="204" spans="1:12" ht="23" customHeight="1">
      <c r="A204" s="5" t="s">
        <v>99</v>
      </c>
      <c r="B204" s="6">
        <v>5</v>
      </c>
      <c r="C204" s="6">
        <v>2</v>
      </c>
      <c r="D204" s="6">
        <v>137</v>
      </c>
      <c r="E204" s="6">
        <v>31</v>
      </c>
      <c r="F204" s="9" t="s">
        <v>100</v>
      </c>
      <c r="G204" s="7">
        <v>1355</v>
      </c>
      <c r="H204" s="7">
        <v>1355</v>
      </c>
      <c r="I204" s="7">
        <v>1355</v>
      </c>
      <c r="J204" s="7">
        <v>1355</v>
      </c>
    </row>
    <row r="205" spans="1:12" ht="23" customHeight="1">
      <c r="A205" s="5" t="s">
        <v>99</v>
      </c>
      <c r="B205" s="6">
        <v>5</v>
      </c>
      <c r="C205" s="6">
        <v>2</v>
      </c>
      <c r="D205" s="6">
        <v>138</v>
      </c>
      <c r="E205" s="6">
        <v>32</v>
      </c>
      <c r="F205" s="9" t="s">
        <v>100</v>
      </c>
      <c r="G205" s="8">
        <v>448.5</v>
      </c>
      <c r="H205" s="8">
        <v>448.5</v>
      </c>
      <c r="I205" s="8">
        <v>448.5</v>
      </c>
      <c r="J205" s="8">
        <v>448.5</v>
      </c>
    </row>
    <row r="206" spans="1:12" ht="23" customHeight="1">
      <c r="A206" s="5" t="s">
        <v>99</v>
      </c>
      <c r="B206" s="6">
        <v>5</v>
      </c>
      <c r="C206" s="6">
        <v>2</v>
      </c>
      <c r="D206" s="6">
        <v>139</v>
      </c>
      <c r="E206" s="6">
        <v>33</v>
      </c>
      <c r="F206" s="9" t="s">
        <v>100</v>
      </c>
      <c r="G206" s="8">
        <v>448.5</v>
      </c>
      <c r="H206" s="8">
        <v>448.5</v>
      </c>
      <c r="I206" s="8">
        <v>448.5</v>
      </c>
      <c r="J206" s="8">
        <v>448.5</v>
      </c>
    </row>
    <row r="207" spans="1:12" ht="24" customHeight="1">
      <c r="A207" s="3" t="s">
        <v>102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7</v>
      </c>
      <c r="B208" s="4" t="s">
        <v>8</v>
      </c>
      <c r="C208" s="4" t="s">
        <v>9</v>
      </c>
      <c r="D208" s="4" t="s">
        <v>90</v>
      </c>
      <c r="E208" s="4" t="s">
        <v>91</v>
      </c>
      <c r="F208" s="4" t="s">
        <v>92</v>
      </c>
      <c r="G208" s="4" t="s">
        <v>103</v>
      </c>
      <c r="H208" s="4" t="s">
        <v>104</v>
      </c>
      <c r="I208" s="4" t="s">
        <v>105</v>
      </c>
      <c r="J208" s="4" t="s">
        <v>106</v>
      </c>
    </row>
    <row r="209" spans="1:12" ht="23" customHeight="1">
      <c r="A209" s="5" t="s">
        <v>99</v>
      </c>
      <c r="B209" s="6">
        <v>5</v>
      </c>
      <c r="C209" s="6">
        <v>2</v>
      </c>
      <c r="D209" s="6">
        <v>140</v>
      </c>
      <c r="E209" s="6">
        <v>34</v>
      </c>
      <c r="F209" s="9" t="s">
        <v>100</v>
      </c>
      <c r="G209" s="8">
        <v>448.5</v>
      </c>
      <c r="H209" s="8">
        <v>448.5</v>
      </c>
      <c r="I209" s="8">
        <v>448.5</v>
      </c>
      <c r="J209" s="8">
        <v>448.5</v>
      </c>
    </row>
    <row r="210" spans="1:12" ht="23" customHeight="1">
      <c r="A210" s="5" t="s">
        <v>99</v>
      </c>
      <c r="B210" s="6">
        <v>5</v>
      </c>
      <c r="C210" s="6">
        <v>2</v>
      </c>
      <c r="D210" s="6">
        <v>141</v>
      </c>
      <c r="E210" s="6">
        <v>35</v>
      </c>
      <c r="F210" s="9" t="s">
        <v>100</v>
      </c>
      <c r="G210" s="8">
        <v>448.5</v>
      </c>
      <c r="H210" s="8">
        <v>448.5</v>
      </c>
      <c r="I210" s="8">
        <v>448.5</v>
      </c>
      <c r="J210" s="8">
        <v>448.5</v>
      </c>
    </row>
    <row r="211" spans="1:12" ht="23" customHeight="1">
      <c r="A211" s="5" t="s">
        <v>99</v>
      </c>
      <c r="B211" s="6">
        <v>5</v>
      </c>
      <c r="C211" s="6">
        <v>2</v>
      </c>
      <c r="D211" s="6">
        <v>142</v>
      </c>
      <c r="E211" s="6">
        <v>36</v>
      </c>
      <c r="F211" s="9" t="s">
        <v>100</v>
      </c>
      <c r="G211" s="8">
        <v>448.5</v>
      </c>
      <c r="H211" s="8">
        <v>448.5</v>
      </c>
      <c r="I211" s="8">
        <v>448.5</v>
      </c>
      <c r="J211" s="8">
        <v>448.5</v>
      </c>
    </row>
    <row r="212" spans="1:12" ht="23" customHeight="1">
      <c r="A212" s="5" t="s">
        <v>99</v>
      </c>
      <c r="B212" s="6">
        <v>5</v>
      </c>
      <c r="C212" s="6">
        <v>2</v>
      </c>
      <c r="D212" s="6">
        <v>143</v>
      </c>
      <c r="E212" s="6">
        <v>37</v>
      </c>
      <c r="F212" s="9" t="s">
        <v>100</v>
      </c>
      <c r="G212" s="8">
        <v>448.5</v>
      </c>
      <c r="H212" s="8">
        <v>448.5</v>
      </c>
      <c r="I212" s="8">
        <v>448.5</v>
      </c>
      <c r="J212" s="8">
        <v>448.5</v>
      </c>
    </row>
    <row r="213" spans="1:12" ht="23" customHeight="1">
      <c r="A213" s="5" t="s">
        <v>99</v>
      </c>
      <c r="B213" s="6">
        <v>5</v>
      </c>
      <c r="C213" s="6">
        <v>2</v>
      </c>
      <c r="D213" s="6">
        <v>144</v>
      </c>
      <c r="E213" s="6">
        <v>38</v>
      </c>
      <c r="F213" s="9" t="s">
        <v>100</v>
      </c>
      <c r="G213" s="8">
        <v>448.5</v>
      </c>
      <c r="H213" s="8">
        <v>448.5</v>
      </c>
      <c r="I213" s="8">
        <v>448.5</v>
      </c>
      <c r="J213" s="8">
        <v>448.5</v>
      </c>
    </row>
    <row r="214" spans="1:12" ht="23" customHeight="1">
      <c r="A214" s="5" t="s">
        <v>99</v>
      </c>
      <c r="B214" s="6">
        <v>5</v>
      </c>
      <c r="C214" s="6">
        <v>2</v>
      </c>
      <c r="D214" s="6">
        <v>145</v>
      </c>
      <c r="E214" s="6">
        <v>39</v>
      </c>
      <c r="F214" s="9" t="s">
        <v>100</v>
      </c>
      <c r="G214" s="8">
        <v>448.5</v>
      </c>
      <c r="H214" s="8">
        <v>448.5</v>
      </c>
      <c r="I214" s="8">
        <v>448.5</v>
      </c>
      <c r="J214" s="8">
        <v>448.5</v>
      </c>
    </row>
    <row r="215" spans="1:12" ht="23" customHeight="1">
      <c r="A215" s="5" t="s">
        <v>99</v>
      </c>
      <c r="B215" s="6">
        <v>5</v>
      </c>
      <c r="C215" s="6">
        <v>2</v>
      </c>
      <c r="D215" s="6">
        <v>146</v>
      </c>
      <c r="E215" s="6">
        <v>40</v>
      </c>
      <c r="F215" s="9" t="s">
        <v>100</v>
      </c>
      <c r="G215" s="8">
        <v>155.3</v>
      </c>
      <c r="H215" s="8">
        <v>155.3</v>
      </c>
      <c r="I215" s="8">
        <v>155.3</v>
      </c>
      <c r="J215" s="8">
        <v>155.3</v>
      </c>
    </row>
    <row r="216" spans="1:12" ht="23" customHeight="1">
      <c r="A216" s="5" t="s">
        <v>99</v>
      </c>
      <c r="B216" s="6">
        <v>6</v>
      </c>
      <c r="C216" s="6">
        <v>3</v>
      </c>
      <c r="D216" s="6">
        <v>152</v>
      </c>
      <c r="E216" s="6">
        <v>41</v>
      </c>
      <c r="F216" s="9" t="s">
        <v>100</v>
      </c>
      <c r="G216" s="8">
        <v>433.8</v>
      </c>
      <c r="H216" s="8">
        <v>433.8</v>
      </c>
      <c r="I216" s="8">
        <v>433.8</v>
      </c>
      <c r="J216" s="8">
        <v>433.8</v>
      </c>
    </row>
    <row r="217" spans="1:12" ht="23" customHeight="1">
      <c r="A217" s="5" t="s">
        <v>99</v>
      </c>
      <c r="B217" s="6">
        <v>6</v>
      </c>
      <c r="C217" s="6">
        <v>3</v>
      </c>
      <c r="D217" s="6">
        <v>153</v>
      </c>
      <c r="E217" s="6">
        <v>42</v>
      </c>
      <c r="F217" s="9" t="s">
        <v>100</v>
      </c>
      <c r="G217" s="7">
        <v>1835</v>
      </c>
      <c r="H217" s="7">
        <v>1835</v>
      </c>
      <c r="I217" s="7">
        <v>1835</v>
      </c>
      <c r="J217" s="7">
        <v>1835</v>
      </c>
    </row>
    <row r="218" spans="1:12" ht="23" customHeight="1">
      <c r="A218" s="5" t="s">
        <v>99</v>
      </c>
      <c r="B218" s="6">
        <v>6</v>
      </c>
      <c r="C218" s="6">
        <v>3</v>
      </c>
      <c r="D218" s="6">
        <v>154</v>
      </c>
      <c r="E218" s="6">
        <v>43</v>
      </c>
      <c r="F218" s="9" t="s">
        <v>100</v>
      </c>
      <c r="G218" s="8">
        <v>1794.4</v>
      </c>
      <c r="H218" s="8">
        <v>1794.4</v>
      </c>
      <c r="I218" s="8">
        <v>1794.4</v>
      </c>
      <c r="J218" s="8">
        <v>1794.4</v>
      </c>
    </row>
    <row r="219" spans="1:12" ht="23" customHeight="1">
      <c r="A219" s="5" t="s">
        <v>99</v>
      </c>
      <c r="B219" s="6">
        <v>6</v>
      </c>
      <c r="C219" s="6">
        <v>3</v>
      </c>
      <c r="D219" s="6">
        <v>155</v>
      </c>
      <c r="E219" s="6">
        <v>44</v>
      </c>
      <c r="F219" s="9" t="s">
        <v>100</v>
      </c>
      <c r="G219" s="7">
        <v>2313</v>
      </c>
      <c r="H219" s="7">
        <v>2313</v>
      </c>
      <c r="I219" s="7">
        <v>2313</v>
      </c>
      <c r="J219" s="7">
        <v>2313</v>
      </c>
    </row>
    <row r="220" spans="1:12" ht="23" customHeight="1">
      <c r="A220" s="5" t="s">
        <v>99</v>
      </c>
      <c r="B220" s="6">
        <v>6</v>
      </c>
      <c r="C220" s="6">
        <v>3</v>
      </c>
      <c r="D220" s="6">
        <v>156</v>
      </c>
      <c r="E220" s="6">
        <v>45</v>
      </c>
      <c r="F220" s="9" t="s">
        <v>100</v>
      </c>
      <c r="G220" s="8">
        <v>2752.4</v>
      </c>
      <c r="H220" s="8">
        <v>2752.4</v>
      </c>
      <c r="I220" s="8">
        <v>2752.4</v>
      </c>
      <c r="J220" s="8">
        <v>2752.4</v>
      </c>
    </row>
    <row r="221" spans="1:12" ht="23" customHeight="1">
      <c r="A221" s="5" t="s">
        <v>99</v>
      </c>
      <c r="B221" s="6">
        <v>6</v>
      </c>
      <c r="C221" s="6">
        <v>3</v>
      </c>
      <c r="D221" s="6">
        <v>157</v>
      </c>
      <c r="E221" s="6">
        <v>46</v>
      </c>
      <c r="F221" s="9" t="s">
        <v>100</v>
      </c>
      <c r="G221" s="8">
        <v>2752.4</v>
      </c>
      <c r="H221" s="8">
        <v>2752.4</v>
      </c>
      <c r="I221" s="8">
        <v>2752.4</v>
      </c>
      <c r="J221" s="8">
        <v>2752.4</v>
      </c>
    </row>
    <row r="222" spans="1:12" ht="23" customHeight="1">
      <c r="A222" s="5" t="s">
        <v>99</v>
      </c>
      <c r="B222" s="6">
        <v>6</v>
      </c>
      <c r="C222" s="6">
        <v>3</v>
      </c>
      <c r="D222" s="6">
        <v>158</v>
      </c>
      <c r="E222" s="6">
        <v>47</v>
      </c>
      <c r="F222" s="9" t="s">
        <v>100</v>
      </c>
      <c r="G222" s="8">
        <v>2752.4</v>
      </c>
      <c r="H222" s="8">
        <v>2752.4</v>
      </c>
      <c r="I222" s="8">
        <v>2752.4</v>
      </c>
      <c r="J222" s="8">
        <v>2752.4</v>
      </c>
    </row>
    <row r="223" spans="1:12" ht="23" customHeight="1">
      <c r="A223" s="5" t="s">
        <v>99</v>
      </c>
      <c r="B223" s="6">
        <v>6</v>
      </c>
      <c r="C223" s="6">
        <v>3</v>
      </c>
      <c r="D223" s="6">
        <v>159</v>
      </c>
      <c r="E223" s="6">
        <v>48</v>
      </c>
      <c r="F223" s="9" t="s">
        <v>100</v>
      </c>
      <c r="G223" s="8">
        <v>2752.4</v>
      </c>
      <c r="H223" s="8">
        <v>2752.4</v>
      </c>
      <c r="I223" s="8">
        <v>2752.4</v>
      </c>
      <c r="J223" s="8">
        <v>2752.4</v>
      </c>
    </row>
    <row r="224" spans="1:12" ht="24" customHeight="1">
      <c r="A224" s="3" t="s">
        <v>102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0" ht="36" customHeight="1">
      <c r="A225" s="4" t="s">
        <v>7</v>
      </c>
      <c r="B225" s="4" t="s">
        <v>8</v>
      </c>
      <c r="C225" s="4" t="s">
        <v>9</v>
      </c>
      <c r="D225" s="4" t="s">
        <v>90</v>
      </c>
      <c r="E225" s="4" t="s">
        <v>91</v>
      </c>
      <c r="F225" s="4" t="s">
        <v>92</v>
      </c>
      <c r="G225" s="4" t="s">
        <v>103</v>
      </c>
      <c r="H225" s="4" t="s">
        <v>104</v>
      </c>
      <c r="I225" s="4" t="s">
        <v>105</v>
      </c>
      <c r="J225" s="4" t="s">
        <v>106</v>
      </c>
    </row>
    <row r="226" spans="1:10" ht="23" customHeight="1">
      <c r="A226" s="5" t="s">
        <v>99</v>
      </c>
      <c r="B226" s="6">
        <v>6</v>
      </c>
      <c r="C226" s="6">
        <v>3</v>
      </c>
      <c r="D226" s="6">
        <v>160</v>
      </c>
      <c r="E226" s="6">
        <v>49</v>
      </c>
      <c r="F226" s="9" t="s">
        <v>100</v>
      </c>
      <c r="G226" s="8">
        <v>2752.4</v>
      </c>
      <c r="H226" s="8">
        <v>2752.4</v>
      </c>
      <c r="I226" s="8">
        <v>2752.4</v>
      </c>
      <c r="J226" s="8">
        <v>2752.4</v>
      </c>
    </row>
    <row r="227" spans="1:10" ht="23" customHeight="1">
      <c r="A227" s="5" t="s">
        <v>99</v>
      </c>
      <c r="B227" s="6">
        <v>6</v>
      </c>
      <c r="C227" s="6">
        <v>3</v>
      </c>
      <c r="D227" s="6">
        <v>161</v>
      </c>
      <c r="E227" s="6">
        <v>50</v>
      </c>
      <c r="F227" s="9" t="s">
        <v>100</v>
      </c>
      <c r="G227" s="8">
        <v>2752.4</v>
      </c>
      <c r="H227" s="8">
        <v>2752.4</v>
      </c>
      <c r="I227" s="8">
        <v>2752.4</v>
      </c>
      <c r="J227" s="8">
        <v>2752.4</v>
      </c>
    </row>
    <row r="228" spans="1:10" ht="23" customHeight="1">
      <c r="A228" s="5" t="s">
        <v>99</v>
      </c>
      <c r="B228" s="6">
        <v>6</v>
      </c>
      <c r="C228" s="6">
        <v>3</v>
      </c>
      <c r="D228" s="6">
        <v>162</v>
      </c>
      <c r="E228" s="6">
        <v>51</v>
      </c>
      <c r="F228" s="9" t="s">
        <v>100</v>
      </c>
      <c r="G228" s="8">
        <v>2032.5</v>
      </c>
      <c r="H228" s="8">
        <v>2032.5</v>
      </c>
      <c r="I228" s="8">
        <v>2032.5</v>
      </c>
      <c r="J228" s="8">
        <v>2032.5</v>
      </c>
    </row>
    <row r="229" spans="1:10" ht="23" customHeight="1">
      <c r="A229" s="5" t="s">
        <v>99</v>
      </c>
      <c r="B229" s="6">
        <v>6</v>
      </c>
      <c r="C229" s="6">
        <v>3</v>
      </c>
      <c r="D229" s="6">
        <v>163</v>
      </c>
      <c r="E229" s="6">
        <v>52</v>
      </c>
      <c r="F229" s="9" t="s">
        <v>100</v>
      </c>
      <c r="G229" s="8">
        <v>672.8</v>
      </c>
      <c r="H229" s="8">
        <v>672.8</v>
      </c>
      <c r="I229" s="8">
        <v>672.8</v>
      </c>
      <c r="J229" s="8">
        <v>672.8</v>
      </c>
    </row>
    <row r="230" spans="1:10" ht="23" customHeight="1">
      <c r="A230" s="5" t="s">
        <v>99</v>
      </c>
      <c r="B230" s="6">
        <v>6</v>
      </c>
      <c r="C230" s="6">
        <v>3</v>
      </c>
      <c r="D230" s="6">
        <v>164</v>
      </c>
      <c r="E230" s="6">
        <v>53</v>
      </c>
      <c r="F230" s="9" t="s">
        <v>100</v>
      </c>
      <c r="G230" s="8">
        <v>672.8</v>
      </c>
      <c r="H230" s="8">
        <v>672.8</v>
      </c>
      <c r="I230" s="8">
        <v>672.8</v>
      </c>
      <c r="J230" s="8">
        <v>672.8</v>
      </c>
    </row>
    <row r="231" spans="1:10" ht="23" customHeight="1">
      <c r="A231" s="5" t="s">
        <v>99</v>
      </c>
      <c r="B231" s="6">
        <v>6</v>
      </c>
      <c r="C231" s="6">
        <v>3</v>
      </c>
      <c r="D231" s="6">
        <v>165</v>
      </c>
      <c r="E231" s="6">
        <v>54</v>
      </c>
      <c r="F231" s="9" t="s">
        <v>100</v>
      </c>
      <c r="G231" s="8">
        <v>672.8</v>
      </c>
      <c r="H231" s="8">
        <v>672.8</v>
      </c>
      <c r="I231" s="8">
        <v>672.8</v>
      </c>
      <c r="J231" s="8">
        <v>672.8</v>
      </c>
    </row>
    <row r="232" spans="1:10" ht="23" customHeight="1">
      <c r="A232" s="5" t="s">
        <v>99</v>
      </c>
      <c r="B232" s="6">
        <v>6</v>
      </c>
      <c r="C232" s="6">
        <v>3</v>
      </c>
      <c r="D232" s="6">
        <v>166</v>
      </c>
      <c r="E232" s="6">
        <v>55</v>
      </c>
      <c r="F232" s="9" t="s">
        <v>100</v>
      </c>
      <c r="G232" s="8">
        <v>672.8</v>
      </c>
      <c r="H232" s="8">
        <v>672.8</v>
      </c>
      <c r="I232" s="8">
        <v>672.8</v>
      </c>
      <c r="J232" s="8">
        <v>672.8</v>
      </c>
    </row>
    <row r="233" spans="1:10" ht="23" customHeight="1">
      <c r="A233" s="5" t="s">
        <v>99</v>
      </c>
      <c r="B233" s="6">
        <v>6</v>
      </c>
      <c r="C233" s="6">
        <v>3</v>
      </c>
      <c r="D233" s="6">
        <v>167</v>
      </c>
      <c r="E233" s="6">
        <v>56</v>
      </c>
      <c r="F233" s="9" t="s">
        <v>100</v>
      </c>
      <c r="G233" s="8">
        <v>672.8</v>
      </c>
      <c r="H233" s="8">
        <v>672.8</v>
      </c>
      <c r="I233" s="8">
        <v>672.8</v>
      </c>
      <c r="J233" s="8">
        <v>672.8</v>
      </c>
    </row>
    <row r="234" spans="1:10" ht="23" customHeight="1">
      <c r="A234" s="5" t="s">
        <v>99</v>
      </c>
      <c r="B234" s="6">
        <v>6</v>
      </c>
      <c r="C234" s="6">
        <v>3</v>
      </c>
      <c r="D234" s="6">
        <v>168</v>
      </c>
      <c r="E234" s="6">
        <v>57</v>
      </c>
      <c r="F234" s="9" t="s">
        <v>100</v>
      </c>
      <c r="G234" s="8">
        <v>672.8</v>
      </c>
      <c r="H234" s="8">
        <v>672.8</v>
      </c>
      <c r="I234" s="8">
        <v>672.8</v>
      </c>
      <c r="J234" s="8">
        <v>672.8</v>
      </c>
    </row>
    <row r="235" spans="1:10" ht="23" customHeight="1">
      <c r="A235" s="5" t="s">
        <v>99</v>
      </c>
      <c r="B235" s="6">
        <v>6</v>
      </c>
      <c r="C235" s="6">
        <v>3</v>
      </c>
      <c r="D235" s="6">
        <v>169</v>
      </c>
      <c r="E235" s="6">
        <v>58</v>
      </c>
      <c r="F235" s="9" t="s">
        <v>100</v>
      </c>
      <c r="G235" s="8">
        <v>672.8</v>
      </c>
      <c r="H235" s="8">
        <v>672.8</v>
      </c>
      <c r="I235" s="8">
        <v>672.8</v>
      </c>
      <c r="J235" s="8">
        <v>672.8</v>
      </c>
    </row>
    <row r="236" spans="1:10" ht="23" customHeight="1">
      <c r="A236" s="5" t="s">
        <v>99</v>
      </c>
      <c r="B236" s="6">
        <v>6</v>
      </c>
      <c r="C236" s="6">
        <v>3</v>
      </c>
      <c r="D236" s="6">
        <v>170</v>
      </c>
      <c r="E236" s="6">
        <v>59</v>
      </c>
      <c r="F236" s="9" t="s">
        <v>100</v>
      </c>
      <c r="G236" s="8">
        <v>672.8</v>
      </c>
      <c r="H236" s="8">
        <v>672.8</v>
      </c>
      <c r="I236" s="8">
        <v>672.8</v>
      </c>
      <c r="J236" s="8">
        <v>672.8</v>
      </c>
    </row>
    <row r="237" spans="1:10" ht="23" customHeight="1">
      <c r="A237" s="5" t="s">
        <v>99</v>
      </c>
      <c r="B237" s="6">
        <v>6</v>
      </c>
      <c r="C237" s="6">
        <v>3</v>
      </c>
      <c r="D237" s="6">
        <v>171</v>
      </c>
      <c r="E237" s="6">
        <v>60</v>
      </c>
      <c r="F237" s="9" t="s">
        <v>100</v>
      </c>
      <c r="G237" s="8">
        <v>232.9</v>
      </c>
      <c r="H237" s="8">
        <v>232.9</v>
      </c>
      <c r="I237" s="8">
        <v>232.9</v>
      </c>
      <c r="J237" s="8">
        <v>232.9</v>
      </c>
    </row>
    <row r="238" spans="1:10" ht="23" customHeight="1">
      <c r="A238" s="5" t="s">
        <v>101</v>
      </c>
      <c r="B238" s="6">
        <v>4</v>
      </c>
      <c r="C238" s="6">
        <v>1</v>
      </c>
      <c r="D238" s="6">
        <v>122</v>
      </c>
      <c r="E238" s="6">
        <v>61</v>
      </c>
      <c r="F238" s="9" t="s">
        <v>100</v>
      </c>
      <c r="G238" s="8">
        <v>7167.5</v>
      </c>
      <c r="H238" s="10"/>
      <c r="I238" s="8">
        <v>16724.3</v>
      </c>
      <c r="J238" s="10"/>
    </row>
    <row r="239" spans="1:10" ht="23" customHeight="1">
      <c r="A239" s="5" t="s">
        <v>101</v>
      </c>
      <c r="B239" s="6">
        <v>5</v>
      </c>
      <c r="C239" s="6">
        <v>2</v>
      </c>
      <c r="D239" s="6">
        <v>147</v>
      </c>
      <c r="E239" s="6">
        <v>62</v>
      </c>
      <c r="F239" s="9" t="s">
        <v>100</v>
      </c>
      <c r="G239" s="8">
        <v>4778.4</v>
      </c>
      <c r="H239" s="10"/>
      <c r="I239" s="8">
        <v>11149.5</v>
      </c>
      <c r="J239" s="10"/>
    </row>
    <row r="240" spans="1:10" ht="23" customHeight="1">
      <c r="A240" s="5" t="s">
        <v>101</v>
      </c>
      <c r="B240" s="6">
        <v>6</v>
      </c>
      <c r="C240" s="6">
        <v>3</v>
      </c>
      <c r="D240" s="6">
        <v>172</v>
      </c>
      <c r="E240" s="6">
        <v>63</v>
      </c>
      <c r="F240" s="9" t="s">
        <v>100</v>
      </c>
      <c r="G240" s="8">
        <v>7167.5</v>
      </c>
      <c r="H240" s="10"/>
      <c r="I240" s="8">
        <v>16724.3</v>
      </c>
      <c r="J240" s="10"/>
    </row>
    <row r="241" spans="1:12" ht="23" customHeight="1"/>
    <row r="242" spans="1:12" ht="24" customHeight="1">
      <c r="A242" s="3" t="s">
        <v>107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36" customHeight="1">
      <c r="A243" s="4" t="s">
        <v>108</v>
      </c>
      <c r="B243" s="4" t="s">
        <v>8</v>
      </c>
      <c r="C243" s="4" t="s">
        <v>109</v>
      </c>
      <c r="D243" s="4" t="s">
        <v>110</v>
      </c>
      <c r="E243" s="4" t="s">
        <v>111</v>
      </c>
      <c r="F243" s="4" t="s">
        <v>112</v>
      </c>
      <c r="G243" s="4" t="s">
        <v>113</v>
      </c>
      <c r="H243" s="4" t="s">
        <v>114</v>
      </c>
      <c r="I243" s="4" t="s">
        <v>115</v>
      </c>
      <c r="J243" s="4" t="s">
        <v>116</v>
      </c>
    </row>
    <row r="244" spans="1:12" ht="23" customHeight="1">
      <c r="A244" s="9" t="s">
        <v>117</v>
      </c>
      <c r="B244" s="6">
        <v>4</v>
      </c>
      <c r="C244" s="9" t="s">
        <v>10</v>
      </c>
      <c r="D244" s="6">
        <v>98</v>
      </c>
      <c r="E244" s="9" t="s">
        <v>118</v>
      </c>
      <c r="F244" s="6">
        <v>58812</v>
      </c>
      <c r="G244" s="7">
        <v>58812</v>
      </c>
      <c r="H244" s="9">
        <f>(G244-F244)</f>
        <v>0.0</v>
      </c>
      <c r="I244" s="9" t="s">
        <v>119</v>
      </c>
      <c r="J244" s="9" t="s">
        <v>120</v>
      </c>
    </row>
    <row r="245" spans="1:12" ht="23" customHeight="1">
      <c r="A245" s="9" t="s">
        <v>117</v>
      </c>
      <c r="B245" s="6">
        <v>4</v>
      </c>
      <c r="C245" s="9" t="s">
        <v>10</v>
      </c>
      <c r="D245" s="6">
        <v>99</v>
      </c>
      <c r="E245" s="9" t="s">
        <v>118</v>
      </c>
      <c r="F245" s="6">
        <v>272086</v>
      </c>
      <c r="G245" s="7">
        <v>272086</v>
      </c>
      <c r="H245" s="9">
        <f>(G245-F245)</f>
        <v>0.0</v>
      </c>
      <c r="I245" s="9" t="s">
        <v>119</v>
      </c>
      <c r="J245" s="9" t="s">
        <v>120</v>
      </c>
    </row>
    <row r="246" spans="1:12" ht="23" customHeight="1">
      <c r="A246" s="9" t="s">
        <v>117</v>
      </c>
      <c r="B246" s="6">
        <v>4</v>
      </c>
      <c r="C246" s="9" t="s">
        <v>10</v>
      </c>
      <c r="D246" s="6">
        <v>100</v>
      </c>
      <c r="E246" s="9" t="s">
        <v>118</v>
      </c>
      <c r="F246" s="6">
        <v>141501</v>
      </c>
      <c r="G246" s="7">
        <v>141501</v>
      </c>
      <c r="H246" s="9">
        <f>(G246-F246)</f>
        <v>0.0</v>
      </c>
      <c r="I246" s="9" t="s">
        <v>119</v>
      </c>
      <c r="J246" s="9" t="s">
        <v>120</v>
      </c>
    </row>
    <row r="247" spans="1:12" ht="23" customHeight="1">
      <c r="A247" s="9" t="s">
        <v>117</v>
      </c>
      <c r="B247" s="6">
        <v>4</v>
      </c>
      <c r="C247" s="9" t="s">
        <v>10</v>
      </c>
      <c r="D247" s="6">
        <v>101</v>
      </c>
      <c r="E247" s="9" t="s">
        <v>118</v>
      </c>
      <c r="F247" s="6">
        <v>110708</v>
      </c>
      <c r="G247" s="7">
        <v>110708</v>
      </c>
      <c r="H247" s="9">
        <f>(G247-F247)</f>
        <v>0.0</v>
      </c>
      <c r="I247" s="9" t="s">
        <v>119</v>
      </c>
      <c r="J247" s="9" t="s">
        <v>120</v>
      </c>
    </row>
    <row r="248" spans="1:12" ht="23" customHeight="1">
      <c r="A248" s="9" t="s">
        <v>117</v>
      </c>
      <c r="B248" s="6">
        <v>4</v>
      </c>
      <c r="C248" s="9" t="s">
        <v>10</v>
      </c>
      <c r="D248" s="6">
        <v>102</v>
      </c>
      <c r="E248" s="9" t="s">
        <v>118</v>
      </c>
      <c r="F248" s="6">
        <v>208029</v>
      </c>
      <c r="G248" s="7">
        <v>208029</v>
      </c>
      <c r="H248" s="9">
        <f>(G248-F248)</f>
        <v>0.0</v>
      </c>
      <c r="I248" s="9" t="s">
        <v>119</v>
      </c>
      <c r="J248" s="9" t="s">
        <v>120</v>
      </c>
    </row>
    <row r="249" spans="1:12" ht="23" customHeight="1">
      <c r="A249" s="9" t="s">
        <v>117</v>
      </c>
      <c r="B249" s="6">
        <v>4</v>
      </c>
      <c r="C249" s="9" t="s">
        <v>10</v>
      </c>
      <c r="D249" s="6">
        <v>103</v>
      </c>
      <c r="E249" s="9" t="s">
        <v>118</v>
      </c>
      <c r="F249" s="6">
        <v>268854</v>
      </c>
      <c r="G249" s="7">
        <v>268854</v>
      </c>
      <c r="H249" s="9">
        <f>(G249-F249)</f>
        <v>0.0</v>
      </c>
      <c r="I249" s="9" t="s">
        <v>119</v>
      </c>
      <c r="J249" s="9" t="s">
        <v>120</v>
      </c>
    </row>
    <row r="250" spans="1:12" ht="23" customHeight="1">
      <c r="A250" s="9" t="s">
        <v>117</v>
      </c>
      <c r="B250" s="6">
        <v>4</v>
      </c>
      <c r="C250" s="9" t="s">
        <v>10</v>
      </c>
      <c r="D250" s="6">
        <v>104</v>
      </c>
      <c r="E250" s="9" t="s">
        <v>118</v>
      </c>
      <c r="F250" s="6">
        <v>363440</v>
      </c>
      <c r="G250" s="7">
        <v>363440</v>
      </c>
      <c r="H250" s="9">
        <f>(G250-F250)</f>
        <v>0.0</v>
      </c>
      <c r="I250" s="9" t="s">
        <v>119</v>
      </c>
      <c r="J250" s="9" t="s">
        <v>120</v>
      </c>
    </row>
    <row r="251" spans="1:12" ht="23" customHeight="1">
      <c r="A251" s="9" t="s">
        <v>117</v>
      </c>
      <c r="B251" s="6">
        <v>4</v>
      </c>
      <c r="C251" s="9" t="s">
        <v>10</v>
      </c>
      <c r="D251" s="6">
        <v>105</v>
      </c>
      <c r="E251" s="9" t="s">
        <v>118</v>
      </c>
      <c r="F251" s="6">
        <v>403280</v>
      </c>
      <c r="G251" s="7">
        <v>403280</v>
      </c>
      <c r="H251" s="9">
        <f>(G251-F251)</f>
        <v>0.0</v>
      </c>
      <c r="I251" s="9" t="s">
        <v>119</v>
      </c>
      <c r="J251" s="9" t="s">
        <v>120</v>
      </c>
    </row>
    <row r="252" spans="1:12" ht="23" customHeight="1">
      <c r="A252" s="9" t="s">
        <v>117</v>
      </c>
      <c r="B252" s="6">
        <v>4</v>
      </c>
      <c r="C252" s="9" t="s">
        <v>10</v>
      </c>
      <c r="D252" s="6">
        <v>106</v>
      </c>
      <c r="E252" s="9" t="s">
        <v>118</v>
      </c>
      <c r="F252" s="6">
        <v>403280</v>
      </c>
      <c r="G252" s="7">
        <v>403280</v>
      </c>
      <c r="H252" s="9">
        <f>(G252-F252)</f>
        <v>0.0</v>
      </c>
      <c r="I252" s="9" t="s">
        <v>119</v>
      </c>
      <c r="J252" s="9" t="s">
        <v>120</v>
      </c>
    </row>
    <row r="253" spans="1:12" ht="23" customHeight="1">
      <c r="A253" s="9" t="s">
        <v>117</v>
      </c>
      <c r="B253" s="6">
        <v>4</v>
      </c>
      <c r="C253" s="9" t="s">
        <v>10</v>
      </c>
      <c r="D253" s="6">
        <v>107</v>
      </c>
      <c r="E253" s="9" t="s">
        <v>118</v>
      </c>
      <c r="F253" s="6">
        <v>403280</v>
      </c>
      <c r="G253" s="7">
        <v>403280</v>
      </c>
      <c r="H253" s="9">
        <f>(G253-F253)</f>
        <v>0.0</v>
      </c>
      <c r="I253" s="9" t="s">
        <v>119</v>
      </c>
      <c r="J253" s="9" t="s">
        <v>120</v>
      </c>
    </row>
    <row r="254" spans="1:12" ht="23" customHeight="1">
      <c r="A254" s="9" t="s">
        <v>117</v>
      </c>
      <c r="B254" s="6">
        <v>4</v>
      </c>
      <c r="C254" s="9" t="s">
        <v>10</v>
      </c>
      <c r="D254" s="6">
        <v>108</v>
      </c>
      <c r="E254" s="9" t="s">
        <v>118</v>
      </c>
      <c r="F254" s="6">
        <v>403280</v>
      </c>
      <c r="G254" s="7">
        <v>403280</v>
      </c>
      <c r="H254" s="9">
        <f>(G254-F254)</f>
        <v>0.0</v>
      </c>
      <c r="I254" s="9" t="s">
        <v>119</v>
      </c>
      <c r="J254" s="9" t="s">
        <v>120</v>
      </c>
    </row>
    <row r="255" spans="1:12" ht="23" customHeight="1">
      <c r="A255" s="9" t="s">
        <v>117</v>
      </c>
      <c r="B255" s="6">
        <v>4</v>
      </c>
      <c r="C255" s="9" t="s">
        <v>10</v>
      </c>
      <c r="D255" s="6">
        <v>109</v>
      </c>
      <c r="E255" s="9" t="s">
        <v>118</v>
      </c>
      <c r="F255" s="6">
        <v>403280</v>
      </c>
      <c r="G255" s="7">
        <v>403280</v>
      </c>
      <c r="H255" s="9">
        <f>(G255-F255)</f>
        <v>0.0</v>
      </c>
      <c r="I255" s="9" t="s">
        <v>119</v>
      </c>
      <c r="J255" s="9" t="s">
        <v>120</v>
      </c>
    </row>
    <row r="256" spans="1:12" ht="23" customHeight="1">
      <c r="A256" s="9" t="s">
        <v>117</v>
      </c>
      <c r="B256" s="6">
        <v>4</v>
      </c>
      <c r="C256" s="9" t="s">
        <v>10</v>
      </c>
      <c r="D256" s="6">
        <v>110</v>
      </c>
      <c r="E256" s="9" t="s">
        <v>118</v>
      </c>
      <c r="F256" s="6">
        <v>403280</v>
      </c>
      <c r="G256" s="7">
        <v>403280</v>
      </c>
      <c r="H256" s="9">
        <f>(G256-F256)</f>
        <v>0.0</v>
      </c>
      <c r="I256" s="9" t="s">
        <v>119</v>
      </c>
      <c r="J256" s="9" t="s">
        <v>120</v>
      </c>
    </row>
    <row r="257" spans="1:12" ht="23" customHeight="1">
      <c r="A257" s="9" t="s">
        <v>117</v>
      </c>
      <c r="B257" s="6">
        <v>4</v>
      </c>
      <c r="C257" s="9" t="s">
        <v>10</v>
      </c>
      <c r="D257" s="6">
        <v>111</v>
      </c>
      <c r="E257" s="9" t="s">
        <v>118</v>
      </c>
      <c r="F257" s="6">
        <v>403280</v>
      </c>
      <c r="G257" s="7">
        <v>403280</v>
      </c>
      <c r="H257" s="9">
        <f>(G257-F257)</f>
        <v>0.0</v>
      </c>
      <c r="I257" s="9" t="s">
        <v>119</v>
      </c>
      <c r="J257" s="9" t="s">
        <v>120</v>
      </c>
    </row>
    <row r="258" spans="1:12" ht="24" customHeight="1">
      <c r="A258" s="3" t="s">
        <v>107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36" customHeight="1">
      <c r="A259" s="4" t="s">
        <v>108</v>
      </c>
      <c r="B259" s="4" t="s">
        <v>8</v>
      </c>
      <c r="C259" s="4" t="s">
        <v>109</v>
      </c>
      <c r="D259" s="4" t="s">
        <v>110</v>
      </c>
      <c r="E259" s="4" t="s">
        <v>111</v>
      </c>
      <c r="F259" s="4" t="s">
        <v>112</v>
      </c>
      <c r="G259" s="4" t="s">
        <v>113</v>
      </c>
      <c r="H259" s="4" t="s">
        <v>114</v>
      </c>
      <c r="I259" s="4" t="s">
        <v>115</v>
      </c>
      <c r="J259" s="4" t="s">
        <v>116</v>
      </c>
    </row>
    <row r="260" spans="1:12" ht="23" customHeight="1">
      <c r="A260" s="9" t="s">
        <v>117</v>
      </c>
      <c r="B260" s="6">
        <v>4</v>
      </c>
      <c r="C260" s="9" t="s">
        <v>10</v>
      </c>
      <c r="D260" s="6">
        <v>112</v>
      </c>
      <c r="E260" s="9" t="s">
        <v>118</v>
      </c>
      <c r="F260" s="6">
        <v>225971</v>
      </c>
      <c r="G260" s="7">
        <v>225971</v>
      </c>
      <c r="H260" s="9">
        <f>(G260-F260)</f>
        <v>0.0</v>
      </c>
      <c r="I260" s="9" t="s">
        <v>119</v>
      </c>
      <c r="J260" s="9" t="s">
        <v>120</v>
      </c>
    </row>
    <row r="261" spans="1:12" ht="23" customHeight="1">
      <c r="A261" s="9" t="s">
        <v>117</v>
      </c>
      <c r="B261" s="6">
        <v>4</v>
      </c>
      <c r="C261" s="9" t="s">
        <v>10</v>
      </c>
      <c r="D261" s="6">
        <v>113</v>
      </c>
      <c r="E261" s="9" t="s">
        <v>118</v>
      </c>
      <c r="F261" s="6">
        <v>193733</v>
      </c>
      <c r="G261" s="7">
        <v>193733</v>
      </c>
      <c r="H261" s="9">
        <f>(G261-F261)</f>
        <v>0.0</v>
      </c>
      <c r="I261" s="9" t="s">
        <v>119</v>
      </c>
      <c r="J261" s="9" t="s">
        <v>120</v>
      </c>
    </row>
    <row r="262" spans="1:12" ht="23" customHeight="1">
      <c r="A262" s="9" t="s">
        <v>117</v>
      </c>
      <c r="B262" s="6">
        <v>4</v>
      </c>
      <c r="C262" s="9" t="s">
        <v>10</v>
      </c>
      <c r="D262" s="6">
        <v>114</v>
      </c>
      <c r="E262" s="9" t="s">
        <v>118</v>
      </c>
      <c r="F262" s="6">
        <v>193733</v>
      </c>
      <c r="G262" s="7">
        <v>193733</v>
      </c>
      <c r="H262" s="9">
        <f>(G262-F262)</f>
        <v>0.0</v>
      </c>
      <c r="I262" s="9" t="s">
        <v>119</v>
      </c>
      <c r="J262" s="9" t="s">
        <v>120</v>
      </c>
    </row>
    <row r="263" spans="1:12" ht="23" customHeight="1">
      <c r="A263" s="9" t="s">
        <v>117</v>
      </c>
      <c r="B263" s="6">
        <v>4</v>
      </c>
      <c r="C263" s="9" t="s">
        <v>10</v>
      </c>
      <c r="D263" s="6">
        <v>115</v>
      </c>
      <c r="E263" s="9" t="s">
        <v>118</v>
      </c>
      <c r="F263" s="6">
        <v>193733</v>
      </c>
      <c r="G263" s="7">
        <v>193733</v>
      </c>
      <c r="H263" s="9">
        <f>(G263-F263)</f>
        <v>0.0</v>
      </c>
      <c r="I263" s="9" t="s">
        <v>119</v>
      </c>
      <c r="J263" s="9" t="s">
        <v>120</v>
      </c>
    </row>
    <row r="264" spans="1:12" ht="23" customHeight="1">
      <c r="A264" s="9" t="s">
        <v>117</v>
      </c>
      <c r="B264" s="6">
        <v>4</v>
      </c>
      <c r="C264" s="9" t="s">
        <v>10</v>
      </c>
      <c r="D264" s="6">
        <v>116</v>
      </c>
      <c r="E264" s="9" t="s">
        <v>118</v>
      </c>
      <c r="F264" s="6">
        <v>193733</v>
      </c>
      <c r="G264" s="7">
        <v>193733</v>
      </c>
      <c r="H264" s="9">
        <f>(G264-F264)</f>
        <v>0.0</v>
      </c>
      <c r="I264" s="9" t="s">
        <v>119</v>
      </c>
      <c r="J264" s="9" t="s">
        <v>120</v>
      </c>
    </row>
    <row r="265" spans="1:12" ht="23" customHeight="1">
      <c r="A265" s="9" t="s">
        <v>117</v>
      </c>
      <c r="B265" s="6">
        <v>4</v>
      </c>
      <c r="C265" s="9" t="s">
        <v>10</v>
      </c>
      <c r="D265" s="6">
        <v>117</v>
      </c>
      <c r="E265" s="9" t="s">
        <v>118</v>
      </c>
      <c r="F265" s="6">
        <v>193733</v>
      </c>
      <c r="G265" s="7">
        <v>193733</v>
      </c>
      <c r="H265" s="9">
        <f>(G265-F265)</f>
        <v>0.0</v>
      </c>
      <c r="I265" s="9" t="s">
        <v>119</v>
      </c>
      <c r="J265" s="9" t="s">
        <v>120</v>
      </c>
    </row>
    <row r="266" spans="1:12" ht="23" customHeight="1">
      <c r="A266" s="9" t="s">
        <v>117</v>
      </c>
      <c r="B266" s="6">
        <v>4</v>
      </c>
      <c r="C266" s="9" t="s">
        <v>10</v>
      </c>
      <c r="D266" s="6">
        <v>118</v>
      </c>
      <c r="E266" s="9" t="s">
        <v>118</v>
      </c>
      <c r="F266" s="6">
        <v>193733</v>
      </c>
      <c r="G266" s="7">
        <v>193733</v>
      </c>
      <c r="H266" s="9">
        <f>(G266-F266)</f>
        <v>0.0</v>
      </c>
      <c r="I266" s="9" t="s">
        <v>119</v>
      </c>
      <c r="J266" s="9" t="s">
        <v>120</v>
      </c>
    </row>
    <row r="267" spans="1:12" ht="23" customHeight="1">
      <c r="A267" s="9" t="s">
        <v>117</v>
      </c>
      <c r="B267" s="6">
        <v>4</v>
      </c>
      <c r="C267" s="9" t="s">
        <v>10</v>
      </c>
      <c r="D267" s="6">
        <v>119</v>
      </c>
      <c r="E267" s="9" t="s">
        <v>118</v>
      </c>
      <c r="F267" s="6">
        <v>193733</v>
      </c>
      <c r="G267" s="7">
        <v>193733</v>
      </c>
      <c r="H267" s="9">
        <f>(G267-F267)</f>
        <v>0.0</v>
      </c>
      <c r="I267" s="9" t="s">
        <v>119</v>
      </c>
      <c r="J267" s="9" t="s">
        <v>120</v>
      </c>
    </row>
    <row r="268" spans="1:12" ht="23" customHeight="1">
      <c r="A268" s="9" t="s">
        <v>117</v>
      </c>
      <c r="B268" s="6">
        <v>4</v>
      </c>
      <c r="C268" s="9" t="s">
        <v>10</v>
      </c>
      <c r="D268" s="6">
        <v>120</v>
      </c>
      <c r="E268" s="9" t="s">
        <v>118</v>
      </c>
      <c r="F268" s="6">
        <v>193733</v>
      </c>
      <c r="G268" s="7">
        <v>193733</v>
      </c>
      <c r="H268" s="9">
        <f>(G268-F268)</f>
        <v>0.0</v>
      </c>
      <c r="I268" s="9" t="s">
        <v>119</v>
      </c>
      <c r="J268" s="9" t="s">
        <v>120</v>
      </c>
    </row>
    <row r="269" spans="1:12" ht="23" customHeight="1">
      <c r="A269" s="9" t="s">
        <v>117</v>
      </c>
      <c r="B269" s="6">
        <v>4</v>
      </c>
      <c r="C269" s="9" t="s">
        <v>10</v>
      </c>
      <c r="D269" s="6">
        <v>121</v>
      </c>
      <c r="E269" s="9" t="s">
        <v>118</v>
      </c>
      <c r="F269" s="6">
        <v>193733</v>
      </c>
      <c r="G269" s="7">
        <v>193733</v>
      </c>
      <c r="H269" s="9">
        <f>(G269-F269)</f>
        <v>0.0</v>
      </c>
      <c r="I269" s="9" t="s">
        <v>119</v>
      </c>
      <c r="J269" s="9" t="s">
        <v>120</v>
      </c>
    </row>
    <row r="270" spans="1:12" ht="23" customHeight="1">
      <c r="A270" s="9" t="s">
        <v>117</v>
      </c>
      <c r="B270" s="6">
        <v>5</v>
      </c>
      <c r="C270" s="9" t="s">
        <v>10</v>
      </c>
      <c r="D270" s="6">
        <v>123</v>
      </c>
      <c r="E270" s="9" t="s">
        <v>118</v>
      </c>
      <c r="F270" s="6">
        <v>39208</v>
      </c>
      <c r="G270" s="7">
        <v>39208</v>
      </c>
      <c r="H270" s="9">
        <f>(G270-F270)</f>
        <v>0.0</v>
      </c>
      <c r="I270" s="9" t="s">
        <v>119</v>
      </c>
      <c r="J270" s="9" t="s">
        <v>120</v>
      </c>
    </row>
    <row r="271" spans="1:12" ht="23" customHeight="1">
      <c r="A271" s="9" t="s">
        <v>117</v>
      </c>
      <c r="B271" s="6">
        <v>5</v>
      </c>
      <c r="C271" s="9" t="s">
        <v>10</v>
      </c>
      <c r="D271" s="6">
        <v>124</v>
      </c>
      <c r="E271" s="9" t="s">
        <v>118</v>
      </c>
      <c r="F271" s="6">
        <v>181391</v>
      </c>
      <c r="G271" s="7">
        <v>181391</v>
      </c>
      <c r="H271" s="9">
        <f>(G271-F271)</f>
        <v>0.0</v>
      </c>
      <c r="I271" s="9" t="s">
        <v>119</v>
      </c>
      <c r="J271" s="9" t="s">
        <v>120</v>
      </c>
    </row>
    <row r="272" spans="1:12" ht="23" customHeight="1">
      <c r="A272" s="9" t="s">
        <v>117</v>
      </c>
      <c r="B272" s="6">
        <v>5</v>
      </c>
      <c r="C272" s="9" t="s">
        <v>10</v>
      </c>
      <c r="D272" s="6">
        <v>125</v>
      </c>
      <c r="E272" s="9" t="s">
        <v>118</v>
      </c>
      <c r="F272" s="6">
        <v>94334</v>
      </c>
      <c r="G272" s="7">
        <v>94334</v>
      </c>
      <c r="H272" s="9">
        <f>(G272-F272)</f>
        <v>0.0</v>
      </c>
      <c r="I272" s="9" t="s">
        <v>119</v>
      </c>
      <c r="J272" s="9" t="s">
        <v>120</v>
      </c>
    </row>
    <row r="273" spans="1:12" ht="23" customHeight="1">
      <c r="A273" s="9" t="s">
        <v>117</v>
      </c>
      <c r="B273" s="6">
        <v>5</v>
      </c>
      <c r="C273" s="9" t="s">
        <v>10</v>
      </c>
      <c r="D273" s="6">
        <v>126</v>
      </c>
      <c r="E273" s="9" t="s">
        <v>118</v>
      </c>
      <c r="F273" s="6">
        <v>73805</v>
      </c>
      <c r="G273" s="7">
        <v>73805</v>
      </c>
      <c r="H273" s="9">
        <f>(G273-F273)</f>
        <v>0.0</v>
      </c>
      <c r="I273" s="9" t="s">
        <v>119</v>
      </c>
      <c r="J273" s="9" t="s">
        <v>120</v>
      </c>
    </row>
    <row r="274" spans="1:12" ht="23" customHeight="1">
      <c r="A274" s="9" t="s">
        <v>117</v>
      </c>
      <c r="B274" s="6">
        <v>5</v>
      </c>
      <c r="C274" s="9" t="s">
        <v>10</v>
      </c>
      <c r="D274" s="6">
        <v>127</v>
      </c>
      <c r="E274" s="9" t="s">
        <v>118</v>
      </c>
      <c r="F274" s="6">
        <v>138686</v>
      </c>
      <c r="G274" s="7">
        <v>138686</v>
      </c>
      <c r="H274" s="9">
        <f>(G274-F274)</f>
        <v>0.0</v>
      </c>
      <c r="I274" s="9" t="s">
        <v>119</v>
      </c>
      <c r="J274" s="9" t="s">
        <v>120</v>
      </c>
    </row>
    <row r="275" spans="1:12" ht="24" customHeight="1">
      <c r="A275" s="3" t="s">
        <v>107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36" customHeight="1">
      <c r="A276" s="4" t="s">
        <v>108</v>
      </c>
      <c r="B276" s="4" t="s">
        <v>8</v>
      </c>
      <c r="C276" s="4" t="s">
        <v>109</v>
      </c>
      <c r="D276" s="4" t="s">
        <v>110</v>
      </c>
      <c r="E276" s="4" t="s">
        <v>111</v>
      </c>
      <c r="F276" s="4" t="s">
        <v>112</v>
      </c>
      <c r="G276" s="4" t="s">
        <v>113</v>
      </c>
      <c r="H276" s="4" t="s">
        <v>114</v>
      </c>
      <c r="I276" s="4" t="s">
        <v>115</v>
      </c>
      <c r="J276" s="4" t="s">
        <v>116</v>
      </c>
    </row>
    <row r="277" spans="1:12" ht="23" customHeight="1">
      <c r="A277" s="9" t="s">
        <v>117</v>
      </c>
      <c r="B277" s="6">
        <v>5</v>
      </c>
      <c r="C277" s="9" t="s">
        <v>10</v>
      </c>
      <c r="D277" s="6">
        <v>128</v>
      </c>
      <c r="E277" s="9" t="s">
        <v>118</v>
      </c>
      <c r="F277" s="6">
        <v>179236</v>
      </c>
      <c r="G277" s="7">
        <v>179236</v>
      </c>
      <c r="H277" s="9">
        <f>(G277-F277)</f>
        <v>0.0</v>
      </c>
      <c r="I277" s="9" t="s">
        <v>119</v>
      </c>
      <c r="J277" s="9" t="s">
        <v>120</v>
      </c>
    </row>
    <row r="278" spans="1:12" ht="23" customHeight="1">
      <c r="A278" s="9" t="s">
        <v>117</v>
      </c>
      <c r="B278" s="6">
        <v>5</v>
      </c>
      <c r="C278" s="9" t="s">
        <v>10</v>
      </c>
      <c r="D278" s="6">
        <v>129</v>
      </c>
      <c r="E278" s="9" t="s">
        <v>118</v>
      </c>
      <c r="F278" s="6">
        <v>242293</v>
      </c>
      <c r="G278" s="7">
        <v>242293</v>
      </c>
      <c r="H278" s="9">
        <f>(G278-F278)</f>
        <v>0.0</v>
      </c>
      <c r="I278" s="9" t="s">
        <v>119</v>
      </c>
      <c r="J278" s="9" t="s">
        <v>120</v>
      </c>
    </row>
    <row r="279" spans="1:12" ht="23" customHeight="1">
      <c r="A279" s="9" t="s">
        <v>117</v>
      </c>
      <c r="B279" s="6">
        <v>5</v>
      </c>
      <c r="C279" s="9" t="s">
        <v>10</v>
      </c>
      <c r="D279" s="6">
        <v>130</v>
      </c>
      <c r="E279" s="9" t="s">
        <v>118</v>
      </c>
      <c r="F279" s="6">
        <v>268854</v>
      </c>
      <c r="G279" s="7">
        <v>268854</v>
      </c>
      <c r="H279" s="9">
        <f>(G279-F279)</f>
        <v>0.0</v>
      </c>
      <c r="I279" s="9" t="s">
        <v>119</v>
      </c>
      <c r="J279" s="9" t="s">
        <v>120</v>
      </c>
    </row>
    <row r="280" spans="1:12" ht="23" customHeight="1">
      <c r="A280" s="9" t="s">
        <v>117</v>
      </c>
      <c r="B280" s="6">
        <v>5</v>
      </c>
      <c r="C280" s="9" t="s">
        <v>10</v>
      </c>
      <c r="D280" s="6">
        <v>131</v>
      </c>
      <c r="E280" s="9" t="s">
        <v>118</v>
      </c>
      <c r="F280" s="6">
        <v>268854</v>
      </c>
      <c r="G280" s="7">
        <v>268854</v>
      </c>
      <c r="H280" s="9">
        <f>(G280-F280)</f>
        <v>0.0</v>
      </c>
      <c r="I280" s="9" t="s">
        <v>119</v>
      </c>
      <c r="J280" s="9" t="s">
        <v>120</v>
      </c>
    </row>
    <row r="281" spans="1:12" ht="23" customHeight="1">
      <c r="A281" s="9" t="s">
        <v>117</v>
      </c>
      <c r="B281" s="6">
        <v>5</v>
      </c>
      <c r="C281" s="9" t="s">
        <v>10</v>
      </c>
      <c r="D281" s="6">
        <v>132</v>
      </c>
      <c r="E281" s="9" t="s">
        <v>118</v>
      </c>
      <c r="F281" s="6">
        <v>268854</v>
      </c>
      <c r="G281" s="7">
        <v>268854</v>
      </c>
      <c r="H281" s="9">
        <f>(G281-F281)</f>
        <v>0.0</v>
      </c>
      <c r="I281" s="9" t="s">
        <v>119</v>
      </c>
      <c r="J281" s="9" t="s">
        <v>120</v>
      </c>
    </row>
    <row r="282" spans="1:12" ht="23" customHeight="1">
      <c r="A282" s="9" t="s">
        <v>117</v>
      </c>
      <c r="B282" s="6">
        <v>5</v>
      </c>
      <c r="C282" s="9" t="s">
        <v>10</v>
      </c>
      <c r="D282" s="6">
        <v>133</v>
      </c>
      <c r="E282" s="9" t="s">
        <v>118</v>
      </c>
      <c r="F282" s="6">
        <v>268854</v>
      </c>
      <c r="G282" s="7">
        <v>268854</v>
      </c>
      <c r="H282" s="9">
        <f>(G282-F282)</f>
        <v>0.0</v>
      </c>
      <c r="I282" s="9" t="s">
        <v>119</v>
      </c>
      <c r="J282" s="9" t="s">
        <v>120</v>
      </c>
    </row>
    <row r="283" spans="1:12" ht="23" customHeight="1">
      <c r="A283" s="9" t="s">
        <v>117</v>
      </c>
      <c r="B283" s="6">
        <v>5</v>
      </c>
      <c r="C283" s="9" t="s">
        <v>10</v>
      </c>
      <c r="D283" s="6">
        <v>134</v>
      </c>
      <c r="E283" s="9" t="s">
        <v>118</v>
      </c>
      <c r="F283" s="6">
        <v>268854</v>
      </c>
      <c r="G283" s="7">
        <v>268854</v>
      </c>
      <c r="H283" s="9">
        <f>(G283-F283)</f>
        <v>0.0</v>
      </c>
      <c r="I283" s="9" t="s">
        <v>119</v>
      </c>
      <c r="J283" s="9" t="s">
        <v>120</v>
      </c>
    </row>
    <row r="284" spans="1:12" ht="23" customHeight="1">
      <c r="A284" s="9" t="s">
        <v>117</v>
      </c>
      <c r="B284" s="6">
        <v>5</v>
      </c>
      <c r="C284" s="9" t="s">
        <v>10</v>
      </c>
      <c r="D284" s="6">
        <v>135</v>
      </c>
      <c r="E284" s="9" t="s">
        <v>118</v>
      </c>
      <c r="F284" s="6">
        <v>268854</v>
      </c>
      <c r="G284" s="7">
        <v>268854</v>
      </c>
      <c r="H284" s="9">
        <f>(G284-F284)</f>
        <v>0.0</v>
      </c>
      <c r="I284" s="9" t="s">
        <v>119</v>
      </c>
      <c r="J284" s="9" t="s">
        <v>120</v>
      </c>
    </row>
    <row r="285" spans="1:12" ht="23" customHeight="1">
      <c r="A285" s="9" t="s">
        <v>117</v>
      </c>
      <c r="B285" s="6">
        <v>5</v>
      </c>
      <c r="C285" s="9" t="s">
        <v>10</v>
      </c>
      <c r="D285" s="6">
        <v>136</v>
      </c>
      <c r="E285" s="9" t="s">
        <v>118</v>
      </c>
      <c r="F285" s="6">
        <v>268854</v>
      </c>
      <c r="G285" s="7">
        <v>268854</v>
      </c>
      <c r="H285" s="9">
        <f>(G285-F285)</f>
        <v>0.0</v>
      </c>
      <c r="I285" s="9" t="s">
        <v>119</v>
      </c>
      <c r="J285" s="9" t="s">
        <v>120</v>
      </c>
    </row>
    <row r="286" spans="1:12" ht="23" customHeight="1">
      <c r="A286" s="9" t="s">
        <v>117</v>
      </c>
      <c r="B286" s="6">
        <v>5</v>
      </c>
      <c r="C286" s="9" t="s">
        <v>10</v>
      </c>
      <c r="D286" s="6">
        <v>137</v>
      </c>
      <c r="E286" s="9" t="s">
        <v>118</v>
      </c>
      <c r="F286" s="6">
        <v>150647</v>
      </c>
      <c r="G286" s="7">
        <v>150647</v>
      </c>
      <c r="H286" s="9">
        <f>(G286-F286)</f>
        <v>0.0</v>
      </c>
      <c r="I286" s="9" t="s">
        <v>119</v>
      </c>
      <c r="J286" s="9" t="s">
        <v>120</v>
      </c>
    </row>
    <row r="287" spans="1:12" ht="23" customHeight="1">
      <c r="A287" s="9" t="s">
        <v>117</v>
      </c>
      <c r="B287" s="6">
        <v>5</v>
      </c>
      <c r="C287" s="9" t="s">
        <v>10</v>
      </c>
      <c r="D287" s="6">
        <v>138</v>
      </c>
      <c r="E287" s="9" t="s">
        <v>118</v>
      </c>
      <c r="F287" s="6">
        <v>129155</v>
      </c>
      <c r="G287" s="7">
        <v>129155</v>
      </c>
      <c r="H287" s="9">
        <f>(G287-F287)</f>
        <v>0.0</v>
      </c>
      <c r="I287" s="9" t="s">
        <v>119</v>
      </c>
      <c r="J287" s="9" t="s">
        <v>120</v>
      </c>
    </row>
    <row r="288" spans="1:12" ht="23" customHeight="1">
      <c r="A288" s="9" t="s">
        <v>117</v>
      </c>
      <c r="B288" s="6">
        <v>5</v>
      </c>
      <c r="C288" s="9" t="s">
        <v>10</v>
      </c>
      <c r="D288" s="6">
        <v>139</v>
      </c>
      <c r="E288" s="9" t="s">
        <v>118</v>
      </c>
      <c r="F288" s="6">
        <v>129155</v>
      </c>
      <c r="G288" s="7">
        <v>129155</v>
      </c>
      <c r="H288" s="9">
        <f>(G288-F288)</f>
        <v>0.0</v>
      </c>
      <c r="I288" s="9" t="s">
        <v>119</v>
      </c>
      <c r="J288" s="9" t="s">
        <v>120</v>
      </c>
    </row>
    <row r="289" spans="1:12" ht="23" customHeight="1">
      <c r="A289" s="9" t="s">
        <v>117</v>
      </c>
      <c r="B289" s="6">
        <v>5</v>
      </c>
      <c r="C289" s="9" t="s">
        <v>10</v>
      </c>
      <c r="D289" s="6">
        <v>140</v>
      </c>
      <c r="E289" s="9" t="s">
        <v>118</v>
      </c>
      <c r="F289" s="6">
        <v>129155</v>
      </c>
      <c r="G289" s="7">
        <v>129155</v>
      </c>
      <c r="H289" s="9">
        <f>(G289-F289)</f>
        <v>0.0</v>
      </c>
      <c r="I289" s="9" t="s">
        <v>119</v>
      </c>
      <c r="J289" s="9" t="s">
        <v>120</v>
      </c>
    </row>
    <row r="290" spans="1:12" ht="23" customHeight="1">
      <c r="A290" s="9" t="s">
        <v>117</v>
      </c>
      <c r="B290" s="6">
        <v>5</v>
      </c>
      <c r="C290" s="9" t="s">
        <v>10</v>
      </c>
      <c r="D290" s="6">
        <v>141</v>
      </c>
      <c r="E290" s="9" t="s">
        <v>118</v>
      </c>
      <c r="F290" s="6">
        <v>129155</v>
      </c>
      <c r="G290" s="7">
        <v>129155</v>
      </c>
      <c r="H290" s="9">
        <f>(G290-F290)</f>
        <v>0.0</v>
      </c>
      <c r="I290" s="9" t="s">
        <v>119</v>
      </c>
      <c r="J290" s="9" t="s">
        <v>120</v>
      </c>
    </row>
    <row r="291" spans="1:12" ht="23" customHeight="1">
      <c r="A291" s="9" t="s">
        <v>117</v>
      </c>
      <c r="B291" s="6">
        <v>5</v>
      </c>
      <c r="C291" s="9" t="s">
        <v>10</v>
      </c>
      <c r="D291" s="6">
        <v>142</v>
      </c>
      <c r="E291" s="9" t="s">
        <v>118</v>
      </c>
      <c r="F291" s="6">
        <v>129155</v>
      </c>
      <c r="G291" s="7">
        <v>129155</v>
      </c>
      <c r="H291" s="9">
        <f>(G291-F291)</f>
        <v>0.0</v>
      </c>
      <c r="I291" s="9" t="s">
        <v>119</v>
      </c>
      <c r="J291" s="9" t="s">
        <v>120</v>
      </c>
    </row>
    <row r="292" spans="1:12" ht="24" customHeight="1">
      <c r="A292" s="3" t="s">
        <v>107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36" customHeight="1">
      <c r="A293" s="4" t="s">
        <v>108</v>
      </c>
      <c r="B293" s="4" t="s">
        <v>8</v>
      </c>
      <c r="C293" s="4" t="s">
        <v>109</v>
      </c>
      <c r="D293" s="4" t="s">
        <v>110</v>
      </c>
      <c r="E293" s="4" t="s">
        <v>111</v>
      </c>
      <c r="F293" s="4" t="s">
        <v>112</v>
      </c>
      <c r="G293" s="4" t="s">
        <v>113</v>
      </c>
      <c r="H293" s="4" t="s">
        <v>114</v>
      </c>
      <c r="I293" s="4" t="s">
        <v>115</v>
      </c>
      <c r="J293" s="4" t="s">
        <v>116</v>
      </c>
    </row>
    <row r="294" spans="1:12" ht="23" customHeight="1">
      <c r="A294" s="9" t="s">
        <v>117</v>
      </c>
      <c r="B294" s="6">
        <v>5</v>
      </c>
      <c r="C294" s="9" t="s">
        <v>10</v>
      </c>
      <c r="D294" s="6">
        <v>143</v>
      </c>
      <c r="E294" s="9" t="s">
        <v>118</v>
      </c>
      <c r="F294" s="6">
        <v>129155</v>
      </c>
      <c r="G294" s="7">
        <v>129155</v>
      </c>
      <c r="H294" s="9">
        <f>(G294-F294)</f>
        <v>0.0</v>
      </c>
      <c r="I294" s="9" t="s">
        <v>119</v>
      </c>
      <c r="J294" s="9" t="s">
        <v>120</v>
      </c>
    </row>
    <row r="295" spans="1:12" ht="23" customHeight="1">
      <c r="A295" s="9" t="s">
        <v>117</v>
      </c>
      <c r="B295" s="6">
        <v>5</v>
      </c>
      <c r="C295" s="9" t="s">
        <v>10</v>
      </c>
      <c r="D295" s="6">
        <v>144</v>
      </c>
      <c r="E295" s="9" t="s">
        <v>118</v>
      </c>
      <c r="F295" s="6">
        <v>129155</v>
      </c>
      <c r="G295" s="7">
        <v>129155</v>
      </c>
      <c r="H295" s="9">
        <f>(G295-F295)</f>
        <v>0.0</v>
      </c>
      <c r="I295" s="9" t="s">
        <v>119</v>
      </c>
      <c r="J295" s="9" t="s">
        <v>120</v>
      </c>
    </row>
    <row r="296" spans="1:12" ht="23" customHeight="1">
      <c r="A296" s="9" t="s">
        <v>117</v>
      </c>
      <c r="B296" s="6">
        <v>5</v>
      </c>
      <c r="C296" s="9" t="s">
        <v>10</v>
      </c>
      <c r="D296" s="6">
        <v>145</v>
      </c>
      <c r="E296" s="9" t="s">
        <v>118</v>
      </c>
      <c r="F296" s="6">
        <v>129155</v>
      </c>
      <c r="G296" s="7">
        <v>129155</v>
      </c>
      <c r="H296" s="9">
        <f>(G296-F296)</f>
        <v>0.0</v>
      </c>
      <c r="I296" s="9" t="s">
        <v>119</v>
      </c>
      <c r="J296" s="9" t="s">
        <v>120</v>
      </c>
    </row>
    <row r="297" spans="1:12" ht="23" customHeight="1">
      <c r="A297" s="9" t="s">
        <v>117</v>
      </c>
      <c r="B297" s="6">
        <v>5</v>
      </c>
      <c r="C297" s="9" t="s">
        <v>10</v>
      </c>
      <c r="D297" s="6">
        <v>146</v>
      </c>
      <c r="E297" s="9" t="s">
        <v>118</v>
      </c>
      <c r="F297" s="6">
        <v>129155</v>
      </c>
      <c r="G297" s="7">
        <v>129155</v>
      </c>
      <c r="H297" s="9">
        <f>(G297-F297)</f>
        <v>0.0</v>
      </c>
      <c r="I297" s="9" t="s">
        <v>119</v>
      </c>
      <c r="J297" s="9" t="s">
        <v>120</v>
      </c>
    </row>
    <row r="298" spans="1:12" ht="23" customHeight="1">
      <c r="A298" s="9" t="s">
        <v>117</v>
      </c>
      <c r="B298" s="6">
        <v>6</v>
      </c>
      <c r="C298" s="9" t="s">
        <v>10</v>
      </c>
      <c r="D298" s="6">
        <v>148</v>
      </c>
      <c r="E298" s="9" t="s">
        <v>118</v>
      </c>
      <c r="F298" s="6">
        <v>58812</v>
      </c>
      <c r="G298" s="7">
        <v>58812</v>
      </c>
      <c r="H298" s="9">
        <f>(G298-F298)</f>
        <v>0.0</v>
      </c>
      <c r="I298" s="9" t="s">
        <v>119</v>
      </c>
      <c r="J298" s="9" t="s">
        <v>120</v>
      </c>
    </row>
    <row r="299" spans="1:12" ht="23" customHeight="1">
      <c r="A299" s="9" t="s">
        <v>117</v>
      </c>
      <c r="B299" s="6">
        <v>6</v>
      </c>
      <c r="C299" s="9" t="s">
        <v>10</v>
      </c>
      <c r="D299" s="6">
        <v>149</v>
      </c>
      <c r="E299" s="9" t="s">
        <v>118</v>
      </c>
      <c r="F299" s="6">
        <v>272086</v>
      </c>
      <c r="G299" s="7">
        <v>272086</v>
      </c>
      <c r="H299" s="9">
        <f>(G299-F299)</f>
        <v>0.0</v>
      </c>
      <c r="I299" s="9" t="s">
        <v>119</v>
      </c>
      <c r="J299" s="9" t="s">
        <v>120</v>
      </c>
    </row>
    <row r="300" spans="1:12" ht="23" customHeight="1">
      <c r="A300" s="9" t="s">
        <v>117</v>
      </c>
      <c r="B300" s="6">
        <v>6</v>
      </c>
      <c r="C300" s="9" t="s">
        <v>10</v>
      </c>
      <c r="D300" s="6">
        <v>150</v>
      </c>
      <c r="E300" s="9" t="s">
        <v>118</v>
      </c>
      <c r="F300" s="6">
        <v>141501</v>
      </c>
      <c r="G300" s="7">
        <v>141501</v>
      </c>
      <c r="H300" s="9">
        <f>(G300-F300)</f>
        <v>0.0</v>
      </c>
      <c r="I300" s="9" t="s">
        <v>119</v>
      </c>
      <c r="J300" s="9" t="s">
        <v>120</v>
      </c>
    </row>
    <row r="301" spans="1:12" ht="23" customHeight="1">
      <c r="A301" s="9" t="s">
        <v>117</v>
      </c>
      <c r="B301" s="6">
        <v>6</v>
      </c>
      <c r="C301" s="9" t="s">
        <v>10</v>
      </c>
      <c r="D301" s="6">
        <v>151</v>
      </c>
      <c r="E301" s="9" t="s">
        <v>118</v>
      </c>
      <c r="F301" s="6">
        <v>110708</v>
      </c>
      <c r="G301" s="7">
        <v>110708</v>
      </c>
      <c r="H301" s="9">
        <f>(G301-F301)</f>
        <v>0.0</v>
      </c>
      <c r="I301" s="9" t="s">
        <v>119</v>
      </c>
      <c r="J301" s="9" t="s">
        <v>120</v>
      </c>
    </row>
    <row r="302" spans="1:12" ht="23" customHeight="1">
      <c r="A302" s="9" t="s">
        <v>117</v>
      </c>
      <c r="B302" s="6">
        <v>6</v>
      </c>
      <c r="C302" s="9" t="s">
        <v>10</v>
      </c>
      <c r="D302" s="6">
        <v>152</v>
      </c>
      <c r="E302" s="9" t="s">
        <v>118</v>
      </c>
      <c r="F302" s="6">
        <v>208029</v>
      </c>
      <c r="G302" s="7">
        <v>208029</v>
      </c>
      <c r="H302" s="9">
        <f>(G302-F302)</f>
        <v>0.0</v>
      </c>
      <c r="I302" s="9" t="s">
        <v>119</v>
      </c>
      <c r="J302" s="9" t="s">
        <v>120</v>
      </c>
    </row>
    <row r="303" spans="1:12" ht="23" customHeight="1">
      <c r="A303" s="9" t="s">
        <v>117</v>
      </c>
      <c r="B303" s="6">
        <v>6</v>
      </c>
      <c r="C303" s="9" t="s">
        <v>10</v>
      </c>
      <c r="D303" s="6">
        <v>153</v>
      </c>
      <c r="E303" s="9" t="s">
        <v>118</v>
      </c>
      <c r="F303" s="6">
        <v>268854</v>
      </c>
      <c r="G303" s="7">
        <v>268854</v>
      </c>
      <c r="H303" s="9">
        <f>(G303-F303)</f>
        <v>0.0</v>
      </c>
      <c r="I303" s="9" t="s">
        <v>119</v>
      </c>
      <c r="J303" s="9" t="s">
        <v>120</v>
      </c>
    </row>
    <row r="304" spans="1:12" ht="23" customHeight="1">
      <c r="A304" s="9" t="s">
        <v>117</v>
      </c>
      <c r="B304" s="6">
        <v>6</v>
      </c>
      <c r="C304" s="9" t="s">
        <v>10</v>
      </c>
      <c r="D304" s="6">
        <v>154</v>
      </c>
      <c r="E304" s="9" t="s">
        <v>118</v>
      </c>
      <c r="F304" s="6">
        <v>363440</v>
      </c>
      <c r="G304" s="7">
        <v>363440</v>
      </c>
      <c r="H304" s="9">
        <f>(G304-F304)</f>
        <v>0.0</v>
      </c>
      <c r="I304" s="9" t="s">
        <v>119</v>
      </c>
      <c r="J304" s="9" t="s">
        <v>120</v>
      </c>
    </row>
    <row r="305" spans="1:12" ht="23" customHeight="1">
      <c r="A305" s="9" t="s">
        <v>117</v>
      </c>
      <c r="B305" s="6">
        <v>6</v>
      </c>
      <c r="C305" s="9" t="s">
        <v>10</v>
      </c>
      <c r="D305" s="6">
        <v>155</v>
      </c>
      <c r="E305" s="9" t="s">
        <v>118</v>
      </c>
      <c r="F305" s="6">
        <v>403280</v>
      </c>
      <c r="G305" s="7">
        <v>403280</v>
      </c>
      <c r="H305" s="9">
        <f>(G305-F305)</f>
        <v>0.0</v>
      </c>
      <c r="I305" s="9" t="s">
        <v>119</v>
      </c>
      <c r="J305" s="9" t="s">
        <v>120</v>
      </c>
    </row>
    <row r="306" spans="1:12" ht="23" customHeight="1">
      <c r="A306" s="9" t="s">
        <v>117</v>
      </c>
      <c r="B306" s="6">
        <v>6</v>
      </c>
      <c r="C306" s="9" t="s">
        <v>10</v>
      </c>
      <c r="D306" s="6">
        <v>156</v>
      </c>
      <c r="E306" s="9" t="s">
        <v>118</v>
      </c>
      <c r="F306" s="6">
        <v>403280</v>
      </c>
      <c r="G306" s="7">
        <v>403280</v>
      </c>
      <c r="H306" s="9">
        <f>(G306-F306)</f>
        <v>0.0</v>
      </c>
      <c r="I306" s="9" t="s">
        <v>119</v>
      </c>
      <c r="J306" s="9" t="s">
        <v>120</v>
      </c>
    </row>
    <row r="307" spans="1:12" ht="23" customHeight="1">
      <c r="A307" s="9" t="s">
        <v>117</v>
      </c>
      <c r="B307" s="6">
        <v>6</v>
      </c>
      <c r="C307" s="9" t="s">
        <v>10</v>
      </c>
      <c r="D307" s="6">
        <v>157</v>
      </c>
      <c r="E307" s="9" t="s">
        <v>118</v>
      </c>
      <c r="F307" s="6">
        <v>403280</v>
      </c>
      <c r="G307" s="7">
        <v>403280</v>
      </c>
      <c r="H307" s="9">
        <f>(G307-F307)</f>
        <v>0.0</v>
      </c>
      <c r="I307" s="9" t="s">
        <v>119</v>
      </c>
      <c r="J307" s="9" t="s">
        <v>120</v>
      </c>
    </row>
    <row r="308" spans="1:12" ht="23" customHeight="1">
      <c r="A308" s="9" t="s">
        <v>117</v>
      </c>
      <c r="B308" s="6">
        <v>6</v>
      </c>
      <c r="C308" s="9" t="s">
        <v>10</v>
      </c>
      <c r="D308" s="6">
        <v>158</v>
      </c>
      <c r="E308" s="9" t="s">
        <v>118</v>
      </c>
      <c r="F308" s="6">
        <v>403280</v>
      </c>
      <c r="G308" s="7">
        <v>403280</v>
      </c>
      <c r="H308" s="9">
        <f>(G308-F308)</f>
        <v>0.0</v>
      </c>
      <c r="I308" s="9" t="s">
        <v>119</v>
      </c>
      <c r="J308" s="9" t="s">
        <v>120</v>
      </c>
    </row>
    <row r="309" spans="1:12" ht="24" customHeight="1">
      <c r="A309" s="3" t="s">
        <v>107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36" customHeight="1">
      <c r="A310" s="4" t="s">
        <v>108</v>
      </c>
      <c r="B310" s="4" t="s">
        <v>8</v>
      </c>
      <c r="C310" s="4" t="s">
        <v>109</v>
      </c>
      <c r="D310" s="4" t="s">
        <v>110</v>
      </c>
      <c r="E310" s="4" t="s">
        <v>111</v>
      </c>
      <c r="F310" s="4" t="s">
        <v>112</v>
      </c>
      <c r="G310" s="4" t="s">
        <v>113</v>
      </c>
      <c r="H310" s="4" t="s">
        <v>114</v>
      </c>
      <c r="I310" s="4" t="s">
        <v>115</v>
      </c>
      <c r="J310" s="4" t="s">
        <v>116</v>
      </c>
    </row>
    <row r="311" spans="1:12" ht="23" customHeight="1">
      <c r="A311" s="9" t="s">
        <v>117</v>
      </c>
      <c r="B311" s="6">
        <v>6</v>
      </c>
      <c r="C311" s="9" t="s">
        <v>10</v>
      </c>
      <c r="D311" s="6">
        <v>159</v>
      </c>
      <c r="E311" s="9" t="s">
        <v>118</v>
      </c>
      <c r="F311" s="6">
        <v>403280</v>
      </c>
      <c r="G311" s="7">
        <v>403280</v>
      </c>
      <c r="H311" s="9">
        <f>(G311-F311)</f>
        <v>0.0</v>
      </c>
      <c r="I311" s="9" t="s">
        <v>119</v>
      </c>
      <c r="J311" s="9" t="s">
        <v>120</v>
      </c>
    </row>
    <row r="312" spans="1:12" ht="23" customHeight="1">
      <c r="A312" s="9" t="s">
        <v>117</v>
      </c>
      <c r="B312" s="6">
        <v>6</v>
      </c>
      <c r="C312" s="9" t="s">
        <v>10</v>
      </c>
      <c r="D312" s="6">
        <v>160</v>
      </c>
      <c r="E312" s="9" t="s">
        <v>118</v>
      </c>
      <c r="F312" s="6">
        <v>403280</v>
      </c>
      <c r="G312" s="7">
        <v>403280</v>
      </c>
      <c r="H312" s="9">
        <f>(G312-F312)</f>
        <v>0.0</v>
      </c>
      <c r="I312" s="9" t="s">
        <v>119</v>
      </c>
      <c r="J312" s="9" t="s">
        <v>120</v>
      </c>
    </row>
    <row r="313" spans="1:12" ht="23" customHeight="1">
      <c r="A313" s="9" t="s">
        <v>117</v>
      </c>
      <c r="B313" s="6">
        <v>6</v>
      </c>
      <c r="C313" s="9" t="s">
        <v>10</v>
      </c>
      <c r="D313" s="6">
        <v>161</v>
      </c>
      <c r="E313" s="9" t="s">
        <v>118</v>
      </c>
      <c r="F313" s="6">
        <v>403280</v>
      </c>
      <c r="G313" s="7">
        <v>403280</v>
      </c>
      <c r="H313" s="9">
        <f>(G313-F313)</f>
        <v>0.0</v>
      </c>
      <c r="I313" s="9" t="s">
        <v>119</v>
      </c>
      <c r="J313" s="9" t="s">
        <v>120</v>
      </c>
    </row>
    <row r="314" spans="1:12" ht="23" customHeight="1">
      <c r="A314" s="9" t="s">
        <v>117</v>
      </c>
      <c r="B314" s="6">
        <v>6</v>
      </c>
      <c r="C314" s="9" t="s">
        <v>10</v>
      </c>
      <c r="D314" s="6">
        <v>162</v>
      </c>
      <c r="E314" s="9" t="s">
        <v>118</v>
      </c>
      <c r="F314" s="6">
        <v>225971</v>
      </c>
      <c r="G314" s="7">
        <v>225971</v>
      </c>
      <c r="H314" s="9">
        <f>(G314-F314)</f>
        <v>0.0</v>
      </c>
      <c r="I314" s="9" t="s">
        <v>119</v>
      </c>
      <c r="J314" s="9" t="s">
        <v>120</v>
      </c>
    </row>
    <row r="315" spans="1:12" ht="23" customHeight="1">
      <c r="A315" s="9" t="s">
        <v>117</v>
      </c>
      <c r="B315" s="6">
        <v>6</v>
      </c>
      <c r="C315" s="9" t="s">
        <v>10</v>
      </c>
      <c r="D315" s="6">
        <v>163</v>
      </c>
      <c r="E315" s="9" t="s">
        <v>118</v>
      </c>
      <c r="F315" s="6">
        <v>193733</v>
      </c>
      <c r="G315" s="7">
        <v>193733</v>
      </c>
      <c r="H315" s="9">
        <f>(G315-F315)</f>
        <v>0.0</v>
      </c>
      <c r="I315" s="9" t="s">
        <v>119</v>
      </c>
      <c r="J315" s="9" t="s">
        <v>120</v>
      </c>
    </row>
    <row r="316" spans="1:12" ht="23" customHeight="1">
      <c r="A316" s="9" t="s">
        <v>117</v>
      </c>
      <c r="B316" s="6">
        <v>6</v>
      </c>
      <c r="C316" s="9" t="s">
        <v>10</v>
      </c>
      <c r="D316" s="6">
        <v>164</v>
      </c>
      <c r="E316" s="9" t="s">
        <v>118</v>
      </c>
      <c r="F316" s="6">
        <v>193733</v>
      </c>
      <c r="G316" s="7">
        <v>193733</v>
      </c>
      <c r="H316" s="9">
        <f>(G316-F316)</f>
        <v>0.0</v>
      </c>
      <c r="I316" s="9" t="s">
        <v>119</v>
      </c>
      <c r="J316" s="9" t="s">
        <v>120</v>
      </c>
    </row>
    <row r="317" spans="1:12" ht="23" customHeight="1">
      <c r="A317" s="9" t="s">
        <v>117</v>
      </c>
      <c r="B317" s="6">
        <v>6</v>
      </c>
      <c r="C317" s="9" t="s">
        <v>10</v>
      </c>
      <c r="D317" s="6">
        <v>165</v>
      </c>
      <c r="E317" s="9" t="s">
        <v>118</v>
      </c>
      <c r="F317" s="6">
        <v>193733</v>
      </c>
      <c r="G317" s="7">
        <v>193733</v>
      </c>
      <c r="H317" s="9">
        <f>(G317-F317)</f>
        <v>0.0</v>
      </c>
      <c r="I317" s="9" t="s">
        <v>119</v>
      </c>
      <c r="J317" s="9" t="s">
        <v>120</v>
      </c>
    </row>
    <row r="318" spans="1:12" ht="23" customHeight="1">
      <c r="A318" s="9" t="s">
        <v>117</v>
      </c>
      <c r="B318" s="6">
        <v>6</v>
      </c>
      <c r="C318" s="9" t="s">
        <v>10</v>
      </c>
      <c r="D318" s="6">
        <v>166</v>
      </c>
      <c r="E318" s="9" t="s">
        <v>118</v>
      </c>
      <c r="F318" s="6">
        <v>193733</v>
      </c>
      <c r="G318" s="7">
        <v>193733</v>
      </c>
      <c r="H318" s="9">
        <f>(G318-F318)</f>
        <v>0.0</v>
      </c>
      <c r="I318" s="9" t="s">
        <v>119</v>
      </c>
      <c r="J318" s="9" t="s">
        <v>120</v>
      </c>
    </row>
    <row r="319" spans="1:12" ht="23" customHeight="1">
      <c r="A319" s="9" t="s">
        <v>117</v>
      </c>
      <c r="B319" s="6">
        <v>6</v>
      </c>
      <c r="C319" s="9" t="s">
        <v>10</v>
      </c>
      <c r="D319" s="6">
        <v>167</v>
      </c>
      <c r="E319" s="9" t="s">
        <v>118</v>
      </c>
      <c r="F319" s="6">
        <v>193733</v>
      </c>
      <c r="G319" s="7">
        <v>193733</v>
      </c>
      <c r="H319" s="9">
        <f>(G319-F319)</f>
        <v>0.0</v>
      </c>
      <c r="I319" s="9" t="s">
        <v>119</v>
      </c>
      <c r="J319" s="9" t="s">
        <v>120</v>
      </c>
    </row>
    <row r="320" spans="1:12" ht="23" customHeight="1">
      <c r="A320" s="9" t="s">
        <v>117</v>
      </c>
      <c r="B320" s="6">
        <v>6</v>
      </c>
      <c r="C320" s="9" t="s">
        <v>10</v>
      </c>
      <c r="D320" s="6">
        <v>168</v>
      </c>
      <c r="E320" s="9" t="s">
        <v>118</v>
      </c>
      <c r="F320" s="6">
        <v>193733</v>
      </c>
      <c r="G320" s="7">
        <v>193733</v>
      </c>
      <c r="H320" s="9">
        <f>(G320-F320)</f>
        <v>0.0</v>
      </c>
      <c r="I320" s="9" t="s">
        <v>119</v>
      </c>
      <c r="J320" s="9" t="s">
        <v>120</v>
      </c>
    </row>
    <row r="321" spans="1:12" ht="23" customHeight="1">
      <c r="A321" s="9" t="s">
        <v>117</v>
      </c>
      <c r="B321" s="6">
        <v>6</v>
      </c>
      <c r="C321" s="9" t="s">
        <v>10</v>
      </c>
      <c r="D321" s="6">
        <v>169</v>
      </c>
      <c r="E321" s="9" t="s">
        <v>118</v>
      </c>
      <c r="F321" s="6">
        <v>193733</v>
      </c>
      <c r="G321" s="7">
        <v>193733</v>
      </c>
      <c r="H321" s="9">
        <f>(G321-F321)</f>
        <v>0.0</v>
      </c>
      <c r="I321" s="9" t="s">
        <v>119</v>
      </c>
      <c r="J321" s="9" t="s">
        <v>120</v>
      </c>
    </row>
    <row r="322" spans="1:12" ht="23" customHeight="1">
      <c r="A322" s="9" t="s">
        <v>117</v>
      </c>
      <c r="B322" s="6">
        <v>6</v>
      </c>
      <c r="C322" s="9" t="s">
        <v>10</v>
      </c>
      <c r="D322" s="6">
        <v>170</v>
      </c>
      <c r="E322" s="9" t="s">
        <v>118</v>
      </c>
      <c r="F322" s="6">
        <v>193733</v>
      </c>
      <c r="G322" s="7">
        <v>193733</v>
      </c>
      <c r="H322" s="9">
        <f>(G322-F322)</f>
        <v>0.0</v>
      </c>
      <c r="I322" s="9" t="s">
        <v>119</v>
      </c>
      <c r="J322" s="9" t="s">
        <v>120</v>
      </c>
    </row>
    <row r="323" spans="1:12" ht="23" customHeight="1">
      <c r="A323" s="9" t="s">
        <v>117</v>
      </c>
      <c r="B323" s="6">
        <v>6</v>
      </c>
      <c r="C323" s="9" t="s">
        <v>10</v>
      </c>
      <c r="D323" s="6">
        <v>171</v>
      </c>
      <c r="E323" s="9" t="s">
        <v>118</v>
      </c>
      <c r="F323" s="6">
        <v>193733</v>
      </c>
      <c r="G323" s="7">
        <v>193733</v>
      </c>
      <c r="H323" s="9">
        <f>(G323-F323)</f>
        <v>0.0</v>
      </c>
      <c r="I323" s="9" t="s">
        <v>119</v>
      </c>
      <c r="J323" s="9" t="s">
        <v>120</v>
      </c>
    </row>
    <row r="324" spans="1:12" ht="23" customHeight="1">
      <c r="A324" s="9" t="s">
        <v>121</v>
      </c>
      <c r="B324" s="6">
        <v>4</v>
      </c>
      <c r="C324" s="9" t="s">
        <v>10</v>
      </c>
      <c r="D324" s="6">
        <v>98</v>
      </c>
      <c r="E324" s="9" t="s">
        <v>122</v>
      </c>
      <c r="F324" s="11">
        <v>1162.9</v>
      </c>
      <c r="G324" s="8">
        <v>1162.9</v>
      </c>
      <c r="H324" s="9">
        <f>(G324-F324)</f>
        <v>0.0</v>
      </c>
      <c r="I324" s="9" t="s">
        <v>119</v>
      </c>
      <c r="J324" s="9" t="s">
        <v>120</v>
      </c>
    </row>
    <row r="325" spans="1:12" ht="23" customHeight="1">
      <c r="A325" s="9" t="s">
        <v>121</v>
      </c>
      <c r="B325" s="6">
        <v>4</v>
      </c>
      <c r="C325" s="9" t="s">
        <v>10</v>
      </c>
      <c r="D325" s="6">
        <v>98</v>
      </c>
      <c r="E325" s="9" t="s">
        <v>123</v>
      </c>
      <c r="F325" s="11">
        <v>1307.5</v>
      </c>
      <c r="G325" s="8">
        <v>1307.5</v>
      </c>
      <c r="H325" s="9">
        <f>(G325-F325)</f>
        <v>0.0</v>
      </c>
      <c r="I325" s="9" t="s">
        <v>119</v>
      </c>
      <c r="J325" s="9" t="s">
        <v>120</v>
      </c>
    </row>
    <row r="326" spans="1:12" ht="24" customHeight="1">
      <c r="A326" s="3" t="s">
        <v>107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36" customHeight="1">
      <c r="A327" s="4" t="s">
        <v>108</v>
      </c>
      <c r="B327" s="4" t="s">
        <v>8</v>
      </c>
      <c r="C327" s="4" t="s">
        <v>109</v>
      </c>
      <c r="D327" s="4" t="s">
        <v>110</v>
      </c>
      <c r="E327" s="4" t="s">
        <v>111</v>
      </c>
      <c r="F327" s="4" t="s">
        <v>112</v>
      </c>
      <c r="G327" s="4" t="s">
        <v>113</v>
      </c>
      <c r="H327" s="4" t="s">
        <v>114</v>
      </c>
      <c r="I327" s="4" t="s">
        <v>115</v>
      </c>
      <c r="J327" s="4" t="s">
        <v>116</v>
      </c>
    </row>
    <row r="328" spans="1:12" ht="23" customHeight="1">
      <c r="A328" s="9" t="s">
        <v>121</v>
      </c>
      <c r="B328" s="6">
        <v>4</v>
      </c>
      <c r="C328" s="9" t="s">
        <v>10</v>
      </c>
      <c r="D328" s="6">
        <v>99</v>
      </c>
      <c r="E328" s="9" t="s">
        <v>122</v>
      </c>
      <c r="F328" s="6">
        <v>1989</v>
      </c>
      <c r="G328" s="7">
        <v>1989</v>
      </c>
      <c r="H328" s="9">
        <f>(G328-F328)</f>
        <v>0.0</v>
      </c>
      <c r="I328" s="9" t="s">
        <v>119</v>
      </c>
      <c r="J328" s="9" t="s">
        <v>120</v>
      </c>
    </row>
    <row r="329" spans="1:12" ht="23" customHeight="1">
      <c r="A329" s="9" t="s">
        <v>121</v>
      </c>
      <c r="B329" s="6">
        <v>4</v>
      </c>
      <c r="C329" s="9" t="s">
        <v>10</v>
      </c>
      <c r="D329" s="6">
        <v>99</v>
      </c>
      <c r="E329" s="9" t="s">
        <v>123</v>
      </c>
      <c r="F329" s="6">
        <v>1989</v>
      </c>
      <c r="G329" s="7">
        <v>1989</v>
      </c>
      <c r="H329" s="9">
        <f>(G329-F329)</f>
        <v>0.0</v>
      </c>
      <c r="I329" s="9" t="s">
        <v>119</v>
      </c>
      <c r="J329" s="9" t="s">
        <v>120</v>
      </c>
    </row>
    <row r="330" spans="1:12" ht="23" customHeight="1">
      <c r="A330" s="9" t="s">
        <v>121</v>
      </c>
      <c r="B330" s="6">
        <v>4</v>
      </c>
      <c r="C330" s="9" t="s">
        <v>10</v>
      </c>
      <c r="D330" s="6">
        <v>100</v>
      </c>
      <c r="E330" s="9" t="s">
        <v>122</v>
      </c>
      <c r="F330" s="11">
        <v>1826.6</v>
      </c>
      <c r="G330" s="8">
        <v>1826.6</v>
      </c>
      <c r="H330" s="9">
        <f>(G330-F330)</f>
        <v>0.0</v>
      </c>
      <c r="I330" s="9" t="s">
        <v>119</v>
      </c>
      <c r="J330" s="9" t="s">
        <v>120</v>
      </c>
    </row>
    <row r="331" spans="1:12" ht="23" customHeight="1">
      <c r="A331" s="9" t="s">
        <v>121</v>
      </c>
      <c r="B331" s="6">
        <v>4</v>
      </c>
      <c r="C331" s="9" t="s">
        <v>10</v>
      </c>
      <c r="D331" s="6">
        <v>100</v>
      </c>
      <c r="E331" s="9" t="s">
        <v>123</v>
      </c>
      <c r="F331" s="11">
        <v>1826.6</v>
      </c>
      <c r="G331" s="8">
        <v>1826.6</v>
      </c>
      <c r="H331" s="9">
        <f>(G331-F331)</f>
        <v>0.0</v>
      </c>
      <c r="I331" s="9" t="s">
        <v>119</v>
      </c>
      <c r="J331" s="9" t="s">
        <v>120</v>
      </c>
    </row>
    <row r="332" spans="1:12" ht="23" customHeight="1">
      <c r="A332" s="9" t="s">
        <v>121</v>
      </c>
      <c r="B332" s="6">
        <v>4</v>
      </c>
      <c r="C332" s="9" t="s">
        <v>10</v>
      </c>
      <c r="D332" s="6">
        <v>101</v>
      </c>
      <c r="E332" s="9" t="s">
        <v>122</v>
      </c>
      <c r="F332" s="6">
        <v>1755</v>
      </c>
      <c r="G332" s="7">
        <v>1755</v>
      </c>
      <c r="H332" s="9">
        <f>(G332-F332)</f>
        <v>0.0</v>
      </c>
      <c r="I332" s="9" t="s">
        <v>119</v>
      </c>
      <c r="J332" s="9" t="s">
        <v>120</v>
      </c>
    </row>
    <row r="333" spans="1:12" ht="23" customHeight="1">
      <c r="A333" s="9" t="s">
        <v>121</v>
      </c>
      <c r="B333" s="6">
        <v>4</v>
      </c>
      <c r="C333" s="9" t="s">
        <v>10</v>
      </c>
      <c r="D333" s="6">
        <v>101</v>
      </c>
      <c r="E333" s="9" t="s">
        <v>123</v>
      </c>
      <c r="F333" s="6">
        <v>1755</v>
      </c>
      <c r="G333" s="7">
        <v>1755</v>
      </c>
      <c r="H333" s="9">
        <f>(G333-F333)</f>
        <v>0.0</v>
      </c>
      <c r="I333" s="9" t="s">
        <v>119</v>
      </c>
      <c r="J333" s="9" t="s">
        <v>120</v>
      </c>
    </row>
    <row r="334" spans="1:12" ht="23" customHeight="1">
      <c r="A334" s="9" t="s">
        <v>121</v>
      </c>
      <c r="B334" s="6">
        <v>4</v>
      </c>
      <c r="C334" s="9" t="s">
        <v>10</v>
      </c>
      <c r="D334" s="6">
        <v>102</v>
      </c>
      <c r="E334" s="9" t="s">
        <v>122</v>
      </c>
      <c r="F334" s="11">
        <v>2158.6</v>
      </c>
      <c r="G334" s="8">
        <v>2158.6</v>
      </c>
      <c r="H334" s="9">
        <f>(G334-F334)</f>
        <v>0.0</v>
      </c>
      <c r="I334" s="9" t="s">
        <v>119</v>
      </c>
      <c r="J334" s="9" t="s">
        <v>120</v>
      </c>
    </row>
    <row r="335" spans="1:12" ht="23" customHeight="1">
      <c r="A335" s="9" t="s">
        <v>121</v>
      </c>
      <c r="B335" s="6">
        <v>4</v>
      </c>
      <c r="C335" s="9" t="s">
        <v>10</v>
      </c>
      <c r="D335" s="6">
        <v>102</v>
      </c>
      <c r="E335" s="9" t="s">
        <v>123</v>
      </c>
      <c r="F335" s="11">
        <v>2158.6</v>
      </c>
      <c r="G335" s="8">
        <v>2158.6</v>
      </c>
      <c r="H335" s="9">
        <f>(G335-F335)</f>
        <v>0.0</v>
      </c>
      <c r="I335" s="9" t="s">
        <v>119</v>
      </c>
      <c r="J335" s="9" t="s">
        <v>120</v>
      </c>
    </row>
    <row r="336" spans="1:12" ht="23" customHeight="1">
      <c r="A336" s="9" t="s">
        <v>121</v>
      </c>
      <c r="B336" s="6">
        <v>4</v>
      </c>
      <c r="C336" s="9" t="s">
        <v>10</v>
      </c>
      <c r="D336" s="6">
        <v>103</v>
      </c>
      <c r="E336" s="9" t="s">
        <v>122</v>
      </c>
      <c r="F336" s="11">
        <v>2472.8</v>
      </c>
      <c r="G336" s="8">
        <v>2472.8</v>
      </c>
      <c r="H336" s="9">
        <f>(G336-F336)</f>
        <v>0.0</v>
      </c>
      <c r="I336" s="9" t="s">
        <v>119</v>
      </c>
      <c r="J336" s="9" t="s">
        <v>120</v>
      </c>
    </row>
    <row r="337" spans="1:12" ht="23" customHeight="1">
      <c r="A337" s="9" t="s">
        <v>121</v>
      </c>
      <c r="B337" s="6">
        <v>4</v>
      </c>
      <c r="C337" s="9" t="s">
        <v>10</v>
      </c>
      <c r="D337" s="6">
        <v>103</v>
      </c>
      <c r="E337" s="9" t="s">
        <v>123</v>
      </c>
      <c r="F337" s="11">
        <v>2673.7</v>
      </c>
      <c r="G337" s="8">
        <v>2673.7</v>
      </c>
      <c r="H337" s="9">
        <f>(G337-F337)</f>
        <v>0.0</v>
      </c>
      <c r="I337" s="9" t="s">
        <v>119</v>
      </c>
      <c r="J337" s="9" t="s">
        <v>120</v>
      </c>
    </row>
    <row r="338" spans="1:12" ht="23" customHeight="1">
      <c r="A338" s="9" t="s">
        <v>121</v>
      </c>
      <c r="B338" s="6">
        <v>4</v>
      </c>
      <c r="C338" s="9" t="s">
        <v>10</v>
      </c>
      <c r="D338" s="6">
        <v>104</v>
      </c>
      <c r="E338" s="9" t="s">
        <v>122</v>
      </c>
      <c r="F338" s="11">
        <v>4642.1</v>
      </c>
      <c r="G338" s="8">
        <v>4642.1</v>
      </c>
      <c r="H338" s="9">
        <f>(G338-F338)</f>
        <v>0.0</v>
      </c>
      <c r="I338" s="9" t="s">
        <v>119</v>
      </c>
      <c r="J338" s="9" t="s">
        <v>120</v>
      </c>
    </row>
    <row r="339" spans="1:12" ht="23" customHeight="1">
      <c r="A339" s="9" t="s">
        <v>121</v>
      </c>
      <c r="B339" s="6">
        <v>4</v>
      </c>
      <c r="C339" s="9" t="s">
        <v>10</v>
      </c>
      <c r="D339" s="6">
        <v>104</v>
      </c>
      <c r="E339" s="9" t="s">
        <v>123</v>
      </c>
      <c r="F339" s="11">
        <v>4642.1</v>
      </c>
      <c r="G339" s="8">
        <v>4642.1</v>
      </c>
      <c r="H339" s="9">
        <f>(G339-F339)</f>
        <v>0.0</v>
      </c>
      <c r="I339" s="9" t="s">
        <v>119</v>
      </c>
      <c r="J339" s="9" t="s">
        <v>120</v>
      </c>
    </row>
    <row r="340" spans="1:12" ht="23" customHeight="1">
      <c r="A340" s="9" t="s">
        <v>121</v>
      </c>
      <c r="B340" s="6">
        <v>4</v>
      </c>
      <c r="C340" s="9" t="s">
        <v>10</v>
      </c>
      <c r="D340" s="6">
        <v>105</v>
      </c>
      <c r="E340" s="9" t="s">
        <v>122</v>
      </c>
      <c r="F340" s="11">
        <v>2980.8</v>
      </c>
      <c r="G340" s="8">
        <v>2980.8</v>
      </c>
      <c r="H340" s="9">
        <f>(G340-F340)</f>
        <v>0.0</v>
      </c>
      <c r="I340" s="9" t="s">
        <v>119</v>
      </c>
      <c r="J340" s="9" t="s">
        <v>120</v>
      </c>
    </row>
    <row r="341" spans="1:12" ht="23" customHeight="1">
      <c r="A341" s="9" t="s">
        <v>121</v>
      </c>
      <c r="B341" s="6">
        <v>4</v>
      </c>
      <c r="C341" s="9" t="s">
        <v>10</v>
      </c>
      <c r="D341" s="6">
        <v>105</v>
      </c>
      <c r="E341" s="9" t="s">
        <v>123</v>
      </c>
      <c r="F341" s="11">
        <v>3190.7</v>
      </c>
      <c r="G341" s="8">
        <v>3190.7</v>
      </c>
      <c r="H341" s="9">
        <f>(G341-F341)</f>
        <v>0.0</v>
      </c>
      <c r="I341" s="9" t="s">
        <v>119</v>
      </c>
      <c r="J341" s="9" t="s">
        <v>120</v>
      </c>
    </row>
    <row r="342" spans="1:12" ht="23" customHeight="1">
      <c r="A342" s="9" t="s">
        <v>121</v>
      </c>
      <c r="B342" s="6">
        <v>4</v>
      </c>
      <c r="C342" s="9" t="s">
        <v>10</v>
      </c>
      <c r="D342" s="6">
        <v>106</v>
      </c>
      <c r="E342" s="9" t="s">
        <v>122</v>
      </c>
      <c r="F342" s="11">
        <v>3190.7</v>
      </c>
      <c r="G342" s="8">
        <v>3190.7</v>
      </c>
      <c r="H342" s="9">
        <f>(G342-F342)</f>
        <v>0.0</v>
      </c>
      <c r="I342" s="9" t="s">
        <v>119</v>
      </c>
      <c r="J342" s="9" t="s">
        <v>120</v>
      </c>
    </row>
    <row r="343" spans="1:12" ht="24" customHeight="1">
      <c r="A343" s="3" t="s">
        <v>107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108</v>
      </c>
      <c r="B344" s="4" t="s">
        <v>8</v>
      </c>
      <c r="C344" s="4" t="s">
        <v>109</v>
      </c>
      <c r="D344" s="4" t="s">
        <v>110</v>
      </c>
      <c r="E344" s="4" t="s">
        <v>111</v>
      </c>
      <c r="F344" s="4" t="s">
        <v>112</v>
      </c>
      <c r="G344" s="4" t="s">
        <v>113</v>
      </c>
      <c r="H344" s="4" t="s">
        <v>114</v>
      </c>
      <c r="I344" s="4" t="s">
        <v>115</v>
      </c>
      <c r="J344" s="4" t="s">
        <v>116</v>
      </c>
    </row>
    <row r="345" spans="1:12" ht="23" customHeight="1">
      <c r="A345" s="9" t="s">
        <v>121</v>
      </c>
      <c r="B345" s="6">
        <v>4</v>
      </c>
      <c r="C345" s="9" t="s">
        <v>10</v>
      </c>
      <c r="D345" s="6">
        <v>106</v>
      </c>
      <c r="E345" s="9" t="s">
        <v>123</v>
      </c>
      <c r="F345" s="11">
        <v>3400.6</v>
      </c>
      <c r="G345" s="8">
        <v>3400.6</v>
      </c>
      <c r="H345" s="9">
        <f>(G345-F345)</f>
        <v>0.0</v>
      </c>
      <c r="I345" s="9" t="s">
        <v>119</v>
      </c>
      <c r="J345" s="9" t="s">
        <v>120</v>
      </c>
    </row>
    <row r="346" spans="1:12" ht="23" customHeight="1">
      <c r="A346" s="9" t="s">
        <v>121</v>
      </c>
      <c r="B346" s="6">
        <v>4</v>
      </c>
      <c r="C346" s="9" t="s">
        <v>10</v>
      </c>
      <c r="D346" s="6">
        <v>107</v>
      </c>
      <c r="E346" s="9" t="s">
        <v>122</v>
      </c>
      <c r="F346" s="11">
        <v>3400.6</v>
      </c>
      <c r="G346" s="8">
        <v>3400.6</v>
      </c>
      <c r="H346" s="9">
        <f>(G346-F346)</f>
        <v>0.0</v>
      </c>
      <c r="I346" s="9" t="s">
        <v>119</v>
      </c>
      <c r="J346" s="9" t="s">
        <v>120</v>
      </c>
    </row>
    <row r="347" spans="1:12" ht="23" customHeight="1">
      <c r="A347" s="9" t="s">
        <v>121</v>
      </c>
      <c r="B347" s="6">
        <v>4</v>
      </c>
      <c r="C347" s="9" t="s">
        <v>10</v>
      </c>
      <c r="D347" s="6">
        <v>107</v>
      </c>
      <c r="E347" s="9" t="s">
        <v>123</v>
      </c>
      <c r="F347" s="11">
        <v>3610.5</v>
      </c>
      <c r="G347" s="8">
        <v>3610.5</v>
      </c>
      <c r="H347" s="9">
        <f>(G347-F347)</f>
        <v>0.0</v>
      </c>
      <c r="I347" s="9" t="s">
        <v>119</v>
      </c>
      <c r="J347" s="9" t="s">
        <v>120</v>
      </c>
    </row>
    <row r="348" spans="1:12" ht="23" customHeight="1">
      <c r="A348" s="9" t="s">
        <v>121</v>
      </c>
      <c r="B348" s="6">
        <v>4</v>
      </c>
      <c r="C348" s="9" t="s">
        <v>10</v>
      </c>
      <c r="D348" s="6">
        <v>108</v>
      </c>
      <c r="E348" s="9" t="s">
        <v>122</v>
      </c>
      <c r="F348" s="11">
        <v>3610.5</v>
      </c>
      <c r="G348" s="8">
        <v>3610.5</v>
      </c>
      <c r="H348" s="9">
        <f>(G348-F348)</f>
        <v>0.0</v>
      </c>
      <c r="I348" s="9" t="s">
        <v>119</v>
      </c>
      <c r="J348" s="9" t="s">
        <v>120</v>
      </c>
    </row>
    <row r="349" spans="1:12" ht="23" customHeight="1">
      <c r="A349" s="9" t="s">
        <v>121</v>
      </c>
      <c r="B349" s="6">
        <v>4</v>
      </c>
      <c r="C349" s="9" t="s">
        <v>10</v>
      </c>
      <c r="D349" s="6">
        <v>108</v>
      </c>
      <c r="E349" s="9" t="s">
        <v>123</v>
      </c>
      <c r="F349" s="11">
        <v>3820.5</v>
      </c>
      <c r="G349" s="8">
        <v>3820.5</v>
      </c>
      <c r="H349" s="9">
        <f>(G349-F349)</f>
        <v>0.0</v>
      </c>
      <c r="I349" s="9" t="s">
        <v>119</v>
      </c>
      <c r="J349" s="9" t="s">
        <v>120</v>
      </c>
    </row>
    <row r="350" spans="1:12" ht="23" customHeight="1">
      <c r="A350" s="9" t="s">
        <v>121</v>
      </c>
      <c r="B350" s="6">
        <v>4</v>
      </c>
      <c r="C350" s="9" t="s">
        <v>10</v>
      </c>
      <c r="D350" s="6">
        <v>109</v>
      </c>
      <c r="E350" s="9" t="s">
        <v>122</v>
      </c>
      <c r="F350" s="11">
        <v>3820.5</v>
      </c>
      <c r="G350" s="8">
        <v>3820.5</v>
      </c>
      <c r="H350" s="9">
        <f>(G350-F350)</f>
        <v>0.0</v>
      </c>
      <c r="I350" s="9" t="s">
        <v>119</v>
      </c>
      <c r="J350" s="9" t="s">
        <v>120</v>
      </c>
    </row>
    <row r="351" spans="1:12" ht="23" customHeight="1">
      <c r="A351" s="9" t="s">
        <v>121</v>
      </c>
      <c r="B351" s="6">
        <v>4</v>
      </c>
      <c r="C351" s="9" t="s">
        <v>10</v>
      </c>
      <c r="D351" s="6">
        <v>109</v>
      </c>
      <c r="E351" s="9" t="s">
        <v>123</v>
      </c>
      <c r="F351" s="11">
        <v>4030.4</v>
      </c>
      <c r="G351" s="8">
        <v>4030.4</v>
      </c>
      <c r="H351" s="9">
        <f>(G351-F351)</f>
        <v>0.0</v>
      </c>
      <c r="I351" s="9" t="s">
        <v>119</v>
      </c>
      <c r="J351" s="9" t="s">
        <v>120</v>
      </c>
    </row>
    <row r="352" spans="1:12" ht="23" customHeight="1">
      <c r="A352" s="9" t="s">
        <v>121</v>
      </c>
      <c r="B352" s="6">
        <v>4</v>
      </c>
      <c r="C352" s="9" t="s">
        <v>10</v>
      </c>
      <c r="D352" s="6">
        <v>110</v>
      </c>
      <c r="E352" s="9" t="s">
        <v>122</v>
      </c>
      <c r="F352" s="11">
        <v>4030.4</v>
      </c>
      <c r="G352" s="8">
        <v>4030.4</v>
      </c>
      <c r="H352" s="9">
        <f>(G352-F352)</f>
        <v>0.0</v>
      </c>
      <c r="I352" s="9" t="s">
        <v>119</v>
      </c>
      <c r="J352" s="9" t="s">
        <v>120</v>
      </c>
    </row>
    <row r="353" spans="1:12" ht="23" customHeight="1">
      <c r="A353" s="9" t="s">
        <v>121</v>
      </c>
      <c r="B353" s="6">
        <v>4</v>
      </c>
      <c r="C353" s="9" t="s">
        <v>10</v>
      </c>
      <c r="D353" s="6">
        <v>110</v>
      </c>
      <c r="E353" s="9" t="s">
        <v>123</v>
      </c>
      <c r="F353" s="11">
        <v>4240.3</v>
      </c>
      <c r="G353" s="8">
        <v>4240.3</v>
      </c>
      <c r="H353" s="9">
        <f>(G353-F353)</f>
        <v>0.0</v>
      </c>
      <c r="I353" s="9" t="s">
        <v>119</v>
      </c>
      <c r="J353" s="9" t="s">
        <v>120</v>
      </c>
    </row>
    <row r="354" spans="1:12" ht="23" customHeight="1">
      <c r="A354" s="9" t="s">
        <v>121</v>
      </c>
      <c r="B354" s="6">
        <v>4</v>
      </c>
      <c r="C354" s="9" t="s">
        <v>10</v>
      </c>
      <c r="D354" s="6">
        <v>111</v>
      </c>
      <c r="E354" s="9" t="s">
        <v>122</v>
      </c>
      <c r="F354" s="11">
        <v>4240.3</v>
      </c>
      <c r="G354" s="8">
        <v>4240.3</v>
      </c>
      <c r="H354" s="9">
        <f>(G354-F354)</f>
        <v>0.0</v>
      </c>
      <c r="I354" s="9" t="s">
        <v>119</v>
      </c>
      <c r="J354" s="9" t="s">
        <v>120</v>
      </c>
    </row>
    <row r="355" spans="1:12" ht="23" customHeight="1">
      <c r="A355" s="9" t="s">
        <v>121</v>
      </c>
      <c r="B355" s="6">
        <v>4</v>
      </c>
      <c r="C355" s="9" t="s">
        <v>10</v>
      </c>
      <c r="D355" s="6">
        <v>111</v>
      </c>
      <c r="E355" s="9" t="s">
        <v>123</v>
      </c>
      <c r="F355" s="11">
        <v>4450.2</v>
      </c>
      <c r="G355" s="8">
        <v>4450.2</v>
      </c>
      <c r="H355" s="9">
        <f>(G355-F355)</f>
        <v>0.0</v>
      </c>
      <c r="I355" s="9" t="s">
        <v>119</v>
      </c>
      <c r="J355" s="9" t="s">
        <v>120</v>
      </c>
    </row>
    <row r="356" spans="1:12" ht="23" customHeight="1">
      <c r="A356" s="9" t="s">
        <v>121</v>
      </c>
      <c r="B356" s="6">
        <v>4</v>
      </c>
      <c r="C356" s="9" t="s">
        <v>10</v>
      </c>
      <c r="D356" s="6">
        <v>112</v>
      </c>
      <c r="E356" s="9" t="s">
        <v>122</v>
      </c>
      <c r="F356" s="11">
        <v>3300.7</v>
      </c>
      <c r="G356" s="8">
        <v>3300.7</v>
      </c>
      <c r="H356" s="9">
        <f>(G356-F356)</f>
        <v>0.0</v>
      </c>
      <c r="I356" s="9" t="s">
        <v>119</v>
      </c>
      <c r="J356" s="9" t="s">
        <v>120</v>
      </c>
    </row>
    <row r="357" spans="1:12" ht="23" customHeight="1">
      <c r="A357" s="9" t="s">
        <v>121</v>
      </c>
      <c r="B357" s="6">
        <v>4</v>
      </c>
      <c r="C357" s="9" t="s">
        <v>10</v>
      </c>
      <c r="D357" s="6">
        <v>112</v>
      </c>
      <c r="E357" s="9" t="s">
        <v>123</v>
      </c>
      <c r="F357" s="11">
        <v>3300.7</v>
      </c>
      <c r="G357" s="8">
        <v>3300.7</v>
      </c>
      <c r="H357" s="9">
        <f>(G357-F357)</f>
        <v>0.0</v>
      </c>
      <c r="I357" s="9" t="s">
        <v>119</v>
      </c>
      <c r="J357" s="9" t="s">
        <v>120</v>
      </c>
    </row>
    <row r="358" spans="1:12" ht="23" customHeight="1">
      <c r="A358" s="9" t="s">
        <v>121</v>
      </c>
      <c r="B358" s="6">
        <v>4</v>
      </c>
      <c r="C358" s="9" t="s">
        <v>10</v>
      </c>
      <c r="D358" s="6">
        <v>113</v>
      </c>
      <c r="E358" s="9" t="s">
        <v>122</v>
      </c>
      <c r="F358" s="11">
        <v>3088.8</v>
      </c>
      <c r="G358" s="8">
        <v>3088.8</v>
      </c>
      <c r="H358" s="9">
        <f>(G358-F358)</f>
        <v>0.0</v>
      </c>
      <c r="I358" s="9" t="s">
        <v>119</v>
      </c>
      <c r="J358" s="9" t="s">
        <v>120</v>
      </c>
    </row>
    <row r="359" spans="1:12" ht="23" customHeight="1">
      <c r="A359" s="9" t="s">
        <v>121</v>
      </c>
      <c r="B359" s="6">
        <v>4</v>
      </c>
      <c r="C359" s="9" t="s">
        <v>10</v>
      </c>
      <c r="D359" s="6">
        <v>113</v>
      </c>
      <c r="E359" s="9" t="s">
        <v>123</v>
      </c>
      <c r="F359" s="11">
        <v>3088.8</v>
      </c>
      <c r="G359" s="8">
        <v>3088.8</v>
      </c>
      <c r="H359" s="9">
        <f>(G359-F359)</f>
        <v>0.0</v>
      </c>
      <c r="I359" s="9" t="s">
        <v>119</v>
      </c>
      <c r="J359" s="9" t="s">
        <v>120</v>
      </c>
    </row>
    <row r="360" spans="1:12" ht="24" customHeight="1">
      <c r="A360" s="3" t="s">
        <v>107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108</v>
      </c>
      <c r="B361" s="4" t="s">
        <v>8</v>
      </c>
      <c r="C361" s="4" t="s">
        <v>109</v>
      </c>
      <c r="D361" s="4" t="s">
        <v>110</v>
      </c>
      <c r="E361" s="4" t="s">
        <v>111</v>
      </c>
      <c r="F361" s="4" t="s">
        <v>112</v>
      </c>
      <c r="G361" s="4" t="s">
        <v>113</v>
      </c>
      <c r="H361" s="4" t="s">
        <v>114</v>
      </c>
      <c r="I361" s="4" t="s">
        <v>115</v>
      </c>
      <c r="J361" s="4" t="s">
        <v>116</v>
      </c>
    </row>
    <row r="362" spans="1:12" ht="23" customHeight="1">
      <c r="A362" s="9" t="s">
        <v>121</v>
      </c>
      <c r="B362" s="6">
        <v>4</v>
      </c>
      <c r="C362" s="9" t="s">
        <v>10</v>
      </c>
      <c r="D362" s="6">
        <v>114</v>
      </c>
      <c r="E362" s="9" t="s">
        <v>122</v>
      </c>
      <c r="F362" s="11">
        <v>3088.8</v>
      </c>
      <c r="G362" s="8">
        <v>3088.8</v>
      </c>
      <c r="H362" s="9">
        <f>(G362-F362)</f>
        <v>0.0</v>
      </c>
      <c r="I362" s="9" t="s">
        <v>119</v>
      </c>
      <c r="J362" s="9" t="s">
        <v>120</v>
      </c>
    </row>
    <row r="363" spans="1:12" ht="23" customHeight="1">
      <c r="A363" s="9" t="s">
        <v>121</v>
      </c>
      <c r="B363" s="6">
        <v>4</v>
      </c>
      <c r="C363" s="9" t="s">
        <v>10</v>
      </c>
      <c r="D363" s="6">
        <v>114</v>
      </c>
      <c r="E363" s="9" t="s">
        <v>123</v>
      </c>
      <c r="F363" s="11">
        <v>3088.8</v>
      </c>
      <c r="G363" s="8">
        <v>3088.8</v>
      </c>
      <c r="H363" s="9">
        <f>(G363-F363)</f>
        <v>0.0</v>
      </c>
      <c r="I363" s="9" t="s">
        <v>119</v>
      </c>
      <c r="J363" s="9" t="s">
        <v>120</v>
      </c>
    </row>
    <row r="364" spans="1:12" ht="23" customHeight="1">
      <c r="A364" s="9" t="s">
        <v>121</v>
      </c>
      <c r="B364" s="6">
        <v>4</v>
      </c>
      <c r="C364" s="9" t="s">
        <v>10</v>
      </c>
      <c r="D364" s="6">
        <v>115</v>
      </c>
      <c r="E364" s="9" t="s">
        <v>122</v>
      </c>
      <c r="F364" s="11">
        <v>3088.8</v>
      </c>
      <c r="G364" s="8">
        <v>3088.8</v>
      </c>
      <c r="H364" s="9">
        <f>(G364-F364)</f>
        <v>0.0</v>
      </c>
      <c r="I364" s="9" t="s">
        <v>119</v>
      </c>
      <c r="J364" s="9" t="s">
        <v>120</v>
      </c>
    </row>
    <row r="365" spans="1:12" ht="23" customHeight="1">
      <c r="A365" s="9" t="s">
        <v>121</v>
      </c>
      <c r="B365" s="6">
        <v>4</v>
      </c>
      <c r="C365" s="9" t="s">
        <v>10</v>
      </c>
      <c r="D365" s="6">
        <v>115</v>
      </c>
      <c r="E365" s="9" t="s">
        <v>123</v>
      </c>
      <c r="F365" s="11">
        <v>3088.8</v>
      </c>
      <c r="G365" s="8">
        <v>3088.8</v>
      </c>
      <c r="H365" s="9">
        <f>(G365-F365)</f>
        <v>0.0</v>
      </c>
      <c r="I365" s="9" t="s">
        <v>119</v>
      </c>
      <c r="J365" s="9" t="s">
        <v>120</v>
      </c>
    </row>
    <row r="366" spans="1:12" ht="23" customHeight="1">
      <c r="A366" s="9" t="s">
        <v>121</v>
      </c>
      <c r="B366" s="6">
        <v>4</v>
      </c>
      <c r="C366" s="9" t="s">
        <v>10</v>
      </c>
      <c r="D366" s="6">
        <v>116</v>
      </c>
      <c r="E366" s="9" t="s">
        <v>122</v>
      </c>
      <c r="F366" s="11">
        <v>3088.8</v>
      </c>
      <c r="G366" s="8">
        <v>3088.8</v>
      </c>
      <c r="H366" s="9">
        <f>(G366-F366)</f>
        <v>0.0</v>
      </c>
      <c r="I366" s="9" t="s">
        <v>119</v>
      </c>
      <c r="J366" s="9" t="s">
        <v>120</v>
      </c>
    </row>
    <row r="367" spans="1:12" ht="23" customHeight="1">
      <c r="A367" s="9" t="s">
        <v>121</v>
      </c>
      <c r="B367" s="6">
        <v>4</v>
      </c>
      <c r="C367" s="9" t="s">
        <v>10</v>
      </c>
      <c r="D367" s="6">
        <v>116</v>
      </c>
      <c r="E367" s="9" t="s">
        <v>123</v>
      </c>
      <c r="F367" s="11">
        <v>3088.8</v>
      </c>
      <c r="G367" s="8">
        <v>3088.8</v>
      </c>
      <c r="H367" s="9">
        <f>(G367-F367)</f>
        <v>0.0</v>
      </c>
      <c r="I367" s="9" t="s">
        <v>119</v>
      </c>
      <c r="J367" s="9" t="s">
        <v>120</v>
      </c>
    </row>
    <row r="368" spans="1:12" ht="23" customHeight="1">
      <c r="A368" s="9" t="s">
        <v>121</v>
      </c>
      <c r="B368" s="6">
        <v>4</v>
      </c>
      <c r="C368" s="9" t="s">
        <v>10</v>
      </c>
      <c r="D368" s="6">
        <v>117</v>
      </c>
      <c r="E368" s="9" t="s">
        <v>122</v>
      </c>
      <c r="F368" s="11">
        <v>3088.8</v>
      </c>
      <c r="G368" s="8">
        <v>3088.8</v>
      </c>
      <c r="H368" s="9">
        <f>(G368-F368)</f>
        <v>0.0</v>
      </c>
      <c r="I368" s="9" t="s">
        <v>119</v>
      </c>
      <c r="J368" s="9" t="s">
        <v>120</v>
      </c>
    </row>
    <row r="369" spans="1:12" ht="23" customHeight="1">
      <c r="A369" s="9" t="s">
        <v>121</v>
      </c>
      <c r="B369" s="6">
        <v>4</v>
      </c>
      <c r="C369" s="9" t="s">
        <v>10</v>
      </c>
      <c r="D369" s="6">
        <v>117</v>
      </c>
      <c r="E369" s="9" t="s">
        <v>123</v>
      </c>
      <c r="F369" s="11">
        <v>3088.8</v>
      </c>
      <c r="G369" s="8">
        <v>3088.8</v>
      </c>
      <c r="H369" s="9">
        <f>(G369-F369)</f>
        <v>0.0</v>
      </c>
      <c r="I369" s="9" t="s">
        <v>119</v>
      </c>
      <c r="J369" s="9" t="s">
        <v>120</v>
      </c>
    </row>
    <row r="370" spans="1:12" ht="23" customHeight="1">
      <c r="A370" s="9" t="s">
        <v>121</v>
      </c>
      <c r="B370" s="6">
        <v>4</v>
      </c>
      <c r="C370" s="9" t="s">
        <v>10</v>
      </c>
      <c r="D370" s="6">
        <v>118</v>
      </c>
      <c r="E370" s="9" t="s">
        <v>122</v>
      </c>
      <c r="F370" s="11">
        <v>3088.8</v>
      </c>
      <c r="G370" s="8">
        <v>3088.8</v>
      </c>
      <c r="H370" s="9">
        <f>(G370-F370)</f>
        <v>0.0</v>
      </c>
      <c r="I370" s="9" t="s">
        <v>119</v>
      </c>
      <c r="J370" s="9" t="s">
        <v>120</v>
      </c>
    </row>
    <row r="371" spans="1:12" ht="23" customHeight="1">
      <c r="A371" s="9" t="s">
        <v>121</v>
      </c>
      <c r="B371" s="6">
        <v>4</v>
      </c>
      <c r="C371" s="9" t="s">
        <v>10</v>
      </c>
      <c r="D371" s="6">
        <v>118</v>
      </c>
      <c r="E371" s="9" t="s">
        <v>123</v>
      </c>
      <c r="F371" s="11">
        <v>3088.8</v>
      </c>
      <c r="G371" s="8">
        <v>3088.8</v>
      </c>
      <c r="H371" s="9">
        <f>(G371-F371)</f>
        <v>0.0</v>
      </c>
      <c r="I371" s="9" t="s">
        <v>119</v>
      </c>
      <c r="J371" s="9" t="s">
        <v>120</v>
      </c>
    </row>
    <row r="372" spans="1:12" ht="23" customHeight="1">
      <c r="A372" s="9" t="s">
        <v>121</v>
      </c>
      <c r="B372" s="6">
        <v>4</v>
      </c>
      <c r="C372" s="9" t="s">
        <v>10</v>
      </c>
      <c r="D372" s="6">
        <v>119</v>
      </c>
      <c r="E372" s="9" t="s">
        <v>122</v>
      </c>
      <c r="F372" s="11">
        <v>3088.8</v>
      </c>
      <c r="G372" s="8">
        <v>3088.8</v>
      </c>
      <c r="H372" s="9">
        <f>(G372-F372)</f>
        <v>0.0</v>
      </c>
      <c r="I372" s="9" t="s">
        <v>119</v>
      </c>
      <c r="J372" s="9" t="s">
        <v>120</v>
      </c>
    </row>
    <row r="373" spans="1:12" ht="23" customHeight="1">
      <c r="A373" s="9" t="s">
        <v>121</v>
      </c>
      <c r="B373" s="6">
        <v>4</v>
      </c>
      <c r="C373" s="9" t="s">
        <v>10</v>
      </c>
      <c r="D373" s="6">
        <v>119</v>
      </c>
      <c r="E373" s="9" t="s">
        <v>123</v>
      </c>
      <c r="F373" s="11">
        <v>3088.8</v>
      </c>
      <c r="G373" s="8">
        <v>3088.8</v>
      </c>
      <c r="H373" s="9">
        <f>(G373-F373)</f>
        <v>0.0</v>
      </c>
      <c r="I373" s="9" t="s">
        <v>119</v>
      </c>
      <c r="J373" s="9" t="s">
        <v>120</v>
      </c>
    </row>
    <row r="374" spans="1:12" ht="23" customHeight="1">
      <c r="A374" s="9" t="s">
        <v>121</v>
      </c>
      <c r="B374" s="6">
        <v>4</v>
      </c>
      <c r="C374" s="9" t="s">
        <v>10</v>
      </c>
      <c r="D374" s="6">
        <v>120</v>
      </c>
      <c r="E374" s="9" t="s">
        <v>122</v>
      </c>
      <c r="F374" s="11">
        <v>3088.8</v>
      </c>
      <c r="G374" s="8">
        <v>3088.8</v>
      </c>
      <c r="H374" s="9">
        <f>(G374-F374)</f>
        <v>0.0</v>
      </c>
      <c r="I374" s="9" t="s">
        <v>119</v>
      </c>
      <c r="J374" s="9" t="s">
        <v>120</v>
      </c>
    </row>
    <row r="375" spans="1:12" ht="23" customHeight="1">
      <c r="A375" s="9" t="s">
        <v>121</v>
      </c>
      <c r="B375" s="6">
        <v>4</v>
      </c>
      <c r="C375" s="9" t="s">
        <v>10</v>
      </c>
      <c r="D375" s="6">
        <v>120</v>
      </c>
      <c r="E375" s="9" t="s">
        <v>123</v>
      </c>
      <c r="F375" s="11">
        <v>3088.8</v>
      </c>
      <c r="G375" s="8">
        <v>3088.8</v>
      </c>
      <c r="H375" s="9">
        <f>(G375-F375)</f>
        <v>0.0</v>
      </c>
      <c r="I375" s="9" t="s">
        <v>119</v>
      </c>
      <c r="J375" s="9" t="s">
        <v>120</v>
      </c>
    </row>
    <row r="376" spans="1:12" ht="23" customHeight="1">
      <c r="A376" s="9" t="s">
        <v>121</v>
      </c>
      <c r="B376" s="6">
        <v>4</v>
      </c>
      <c r="C376" s="9" t="s">
        <v>10</v>
      </c>
      <c r="D376" s="6">
        <v>121</v>
      </c>
      <c r="E376" s="9" t="s">
        <v>122</v>
      </c>
      <c r="F376" s="11">
        <v>3088.8</v>
      </c>
      <c r="G376" s="8">
        <v>3088.8</v>
      </c>
      <c r="H376" s="9">
        <f>(G376-F376)</f>
        <v>0.0</v>
      </c>
      <c r="I376" s="9" t="s">
        <v>119</v>
      </c>
      <c r="J376" s="9" t="s">
        <v>120</v>
      </c>
    </row>
    <row r="377" spans="1:12" ht="24" customHeight="1">
      <c r="A377" s="3" t="s">
        <v>107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36" customHeight="1">
      <c r="A378" s="4" t="s">
        <v>108</v>
      </c>
      <c r="B378" s="4" t="s">
        <v>8</v>
      </c>
      <c r="C378" s="4" t="s">
        <v>109</v>
      </c>
      <c r="D378" s="4" t="s">
        <v>110</v>
      </c>
      <c r="E378" s="4" t="s">
        <v>111</v>
      </c>
      <c r="F378" s="4" t="s">
        <v>112</v>
      </c>
      <c r="G378" s="4" t="s">
        <v>113</v>
      </c>
      <c r="H378" s="4" t="s">
        <v>114</v>
      </c>
      <c r="I378" s="4" t="s">
        <v>115</v>
      </c>
      <c r="J378" s="4" t="s">
        <v>116</v>
      </c>
    </row>
    <row r="379" spans="1:12" ht="23" customHeight="1">
      <c r="A379" s="9" t="s">
        <v>121</v>
      </c>
      <c r="B379" s="6">
        <v>4</v>
      </c>
      <c r="C379" s="9" t="s">
        <v>10</v>
      </c>
      <c r="D379" s="6">
        <v>121</v>
      </c>
      <c r="E379" s="9" t="s">
        <v>123</v>
      </c>
      <c r="F379" s="11">
        <v>3088.8</v>
      </c>
      <c r="G379" s="8">
        <v>3088.8</v>
      </c>
      <c r="H379" s="9">
        <f>(G379-F379)</f>
        <v>0.0</v>
      </c>
      <c r="I379" s="9" t="s">
        <v>119</v>
      </c>
      <c r="J379" s="9" t="s">
        <v>120</v>
      </c>
    </row>
    <row r="380" spans="1:12" ht="23" customHeight="1">
      <c r="A380" s="9" t="s">
        <v>121</v>
      </c>
      <c r="B380" s="6">
        <v>5</v>
      </c>
      <c r="C380" s="9" t="s">
        <v>10</v>
      </c>
      <c r="D380" s="6">
        <v>123</v>
      </c>
      <c r="E380" s="9" t="s">
        <v>122</v>
      </c>
      <c r="F380" s="11">
        <v>1005.1</v>
      </c>
      <c r="G380" s="8">
        <v>1005.1</v>
      </c>
      <c r="H380" s="9">
        <f>(G380-F380)</f>
        <v>0.0</v>
      </c>
      <c r="I380" s="9" t="s">
        <v>119</v>
      </c>
      <c r="J380" s="9" t="s">
        <v>120</v>
      </c>
    </row>
    <row r="381" spans="1:12" ht="23" customHeight="1">
      <c r="A381" s="9" t="s">
        <v>121</v>
      </c>
      <c r="B381" s="6">
        <v>5</v>
      </c>
      <c r="C381" s="9" t="s">
        <v>10</v>
      </c>
      <c r="D381" s="6">
        <v>123</v>
      </c>
      <c r="E381" s="9" t="s">
        <v>123</v>
      </c>
      <c r="F381" s="11">
        <v>1130.1</v>
      </c>
      <c r="G381" s="8">
        <v>1130.1</v>
      </c>
      <c r="H381" s="9">
        <f>(G381-F381)</f>
        <v>0.0</v>
      </c>
      <c r="I381" s="9" t="s">
        <v>119</v>
      </c>
      <c r="J381" s="9" t="s">
        <v>120</v>
      </c>
    </row>
    <row r="382" spans="1:12" ht="23" customHeight="1">
      <c r="A382" s="9" t="s">
        <v>121</v>
      </c>
      <c r="B382" s="6">
        <v>5</v>
      </c>
      <c r="C382" s="9" t="s">
        <v>10</v>
      </c>
      <c r="D382" s="6">
        <v>124</v>
      </c>
      <c r="E382" s="9" t="s">
        <v>122</v>
      </c>
      <c r="F382" s="11">
        <v>1719.1</v>
      </c>
      <c r="G382" s="8">
        <v>1719.1</v>
      </c>
      <c r="H382" s="9">
        <f>(G382-F382)</f>
        <v>0.0</v>
      </c>
      <c r="I382" s="9" t="s">
        <v>119</v>
      </c>
      <c r="J382" s="9" t="s">
        <v>120</v>
      </c>
    </row>
    <row r="383" spans="1:12" ht="23" customHeight="1">
      <c r="A383" s="9" t="s">
        <v>121</v>
      </c>
      <c r="B383" s="6">
        <v>5</v>
      </c>
      <c r="C383" s="9" t="s">
        <v>10</v>
      </c>
      <c r="D383" s="6">
        <v>124</v>
      </c>
      <c r="E383" s="9" t="s">
        <v>123</v>
      </c>
      <c r="F383" s="11">
        <v>1719.1</v>
      </c>
      <c r="G383" s="8">
        <v>1719.1</v>
      </c>
      <c r="H383" s="9">
        <f>(G383-F383)</f>
        <v>0.0</v>
      </c>
      <c r="I383" s="9" t="s">
        <v>119</v>
      </c>
      <c r="J383" s="9" t="s">
        <v>120</v>
      </c>
    </row>
    <row r="384" spans="1:12" ht="23" customHeight="1">
      <c r="A384" s="9" t="s">
        <v>121</v>
      </c>
      <c r="B384" s="6">
        <v>5</v>
      </c>
      <c r="C384" s="9" t="s">
        <v>10</v>
      </c>
      <c r="D384" s="6">
        <v>125</v>
      </c>
      <c r="E384" s="9" t="s">
        <v>122</v>
      </c>
      <c r="F384" s="11">
        <v>1285.3</v>
      </c>
      <c r="G384" s="8">
        <v>1285.3</v>
      </c>
      <c r="H384" s="9">
        <f>(G384-F384)</f>
        <v>0.0</v>
      </c>
      <c r="I384" s="9" t="s">
        <v>119</v>
      </c>
      <c r="J384" s="9" t="s">
        <v>120</v>
      </c>
    </row>
    <row r="385" spans="1:12" ht="23" customHeight="1">
      <c r="A385" s="9" t="s">
        <v>121</v>
      </c>
      <c r="B385" s="6">
        <v>5</v>
      </c>
      <c r="C385" s="9" t="s">
        <v>10</v>
      </c>
      <c r="D385" s="6">
        <v>125</v>
      </c>
      <c r="E385" s="9" t="s">
        <v>123</v>
      </c>
      <c r="F385" s="11">
        <v>1285.3</v>
      </c>
      <c r="G385" s="8">
        <v>1285.3</v>
      </c>
      <c r="H385" s="9">
        <f>(G385-F385)</f>
        <v>0.0</v>
      </c>
      <c r="I385" s="9" t="s">
        <v>119</v>
      </c>
      <c r="J385" s="9" t="s">
        <v>120</v>
      </c>
    </row>
    <row r="386" spans="1:12" ht="23" customHeight="1">
      <c r="A386" s="9" t="s">
        <v>121</v>
      </c>
      <c r="B386" s="6">
        <v>5</v>
      </c>
      <c r="C386" s="9" t="s">
        <v>10</v>
      </c>
      <c r="D386" s="6">
        <v>126</v>
      </c>
      <c r="E386" s="9" t="s">
        <v>122</v>
      </c>
      <c r="F386" s="6">
        <v>1170</v>
      </c>
      <c r="G386" s="7">
        <v>1170</v>
      </c>
      <c r="H386" s="9">
        <f>(G386-F386)</f>
        <v>0.0</v>
      </c>
      <c r="I386" s="9" t="s">
        <v>119</v>
      </c>
      <c r="J386" s="9" t="s">
        <v>120</v>
      </c>
    </row>
    <row r="387" spans="1:12" ht="23" customHeight="1">
      <c r="A387" s="9" t="s">
        <v>121</v>
      </c>
      <c r="B387" s="6">
        <v>5</v>
      </c>
      <c r="C387" s="9" t="s">
        <v>10</v>
      </c>
      <c r="D387" s="6">
        <v>126</v>
      </c>
      <c r="E387" s="9" t="s">
        <v>123</v>
      </c>
      <c r="F387" s="6">
        <v>1170</v>
      </c>
      <c r="G387" s="7">
        <v>1170</v>
      </c>
      <c r="H387" s="9">
        <f>(G387-F387)</f>
        <v>0.0</v>
      </c>
      <c r="I387" s="9" t="s">
        <v>119</v>
      </c>
      <c r="J387" s="9" t="s">
        <v>120</v>
      </c>
    </row>
    <row r="388" spans="1:12" ht="23" customHeight="1">
      <c r="A388" s="9" t="s">
        <v>121</v>
      </c>
      <c r="B388" s="6">
        <v>5</v>
      </c>
      <c r="C388" s="9" t="s">
        <v>10</v>
      </c>
      <c r="D388" s="6">
        <v>127</v>
      </c>
      <c r="E388" s="9" t="s">
        <v>122</v>
      </c>
      <c r="F388" s="11">
        <v>1732.3</v>
      </c>
      <c r="G388" s="8">
        <v>1732.3</v>
      </c>
      <c r="H388" s="9">
        <f>(G388-F388)</f>
        <v>0.0</v>
      </c>
      <c r="I388" s="9" t="s">
        <v>119</v>
      </c>
      <c r="J388" s="9" t="s">
        <v>120</v>
      </c>
    </row>
    <row r="389" spans="1:12" ht="23" customHeight="1">
      <c r="A389" s="9" t="s">
        <v>121</v>
      </c>
      <c r="B389" s="6">
        <v>5</v>
      </c>
      <c r="C389" s="9" t="s">
        <v>10</v>
      </c>
      <c r="D389" s="6">
        <v>127</v>
      </c>
      <c r="E389" s="9" t="s">
        <v>123</v>
      </c>
      <c r="F389" s="11">
        <v>1732.3</v>
      </c>
      <c r="G389" s="8">
        <v>1732.3</v>
      </c>
      <c r="H389" s="9">
        <f>(G389-F389)</f>
        <v>0.0</v>
      </c>
      <c r="I389" s="9" t="s">
        <v>119</v>
      </c>
      <c r="J389" s="9" t="s">
        <v>120</v>
      </c>
    </row>
    <row r="390" spans="1:12" ht="23" customHeight="1">
      <c r="A390" s="9" t="s">
        <v>121</v>
      </c>
      <c r="B390" s="6">
        <v>5</v>
      </c>
      <c r="C390" s="9" t="s">
        <v>10</v>
      </c>
      <c r="D390" s="6">
        <v>128</v>
      </c>
      <c r="E390" s="9" t="s">
        <v>122</v>
      </c>
      <c r="F390" s="11">
        <v>2137.2</v>
      </c>
      <c r="G390" s="8">
        <v>2137.2</v>
      </c>
      <c r="H390" s="9">
        <f>(G390-F390)</f>
        <v>0.0</v>
      </c>
      <c r="I390" s="9" t="s">
        <v>119</v>
      </c>
      <c r="J390" s="9" t="s">
        <v>120</v>
      </c>
    </row>
    <row r="391" spans="1:12" ht="23" customHeight="1">
      <c r="A391" s="9" t="s">
        <v>121</v>
      </c>
      <c r="B391" s="6">
        <v>5</v>
      </c>
      <c r="C391" s="9" t="s">
        <v>10</v>
      </c>
      <c r="D391" s="6">
        <v>128</v>
      </c>
      <c r="E391" s="9" t="s">
        <v>123</v>
      </c>
      <c r="F391" s="11">
        <v>2310.9</v>
      </c>
      <c r="G391" s="8">
        <v>2310.9</v>
      </c>
      <c r="H391" s="9">
        <f>(G391-F391)</f>
        <v>0.0</v>
      </c>
      <c r="I391" s="9" t="s">
        <v>119</v>
      </c>
      <c r="J391" s="9" t="s">
        <v>120</v>
      </c>
    </row>
    <row r="392" spans="1:12" ht="23" customHeight="1">
      <c r="A392" s="9" t="s">
        <v>121</v>
      </c>
      <c r="B392" s="6">
        <v>5</v>
      </c>
      <c r="C392" s="9" t="s">
        <v>10</v>
      </c>
      <c r="D392" s="6">
        <v>129</v>
      </c>
      <c r="E392" s="9" t="s">
        <v>122</v>
      </c>
      <c r="F392" s="11">
        <v>3391.1</v>
      </c>
      <c r="G392" s="8">
        <v>3391.1</v>
      </c>
      <c r="H392" s="9">
        <f>(G392-F392)</f>
        <v>0.0</v>
      </c>
      <c r="I392" s="9" t="s">
        <v>119</v>
      </c>
      <c r="J392" s="9" t="s">
        <v>120</v>
      </c>
    </row>
    <row r="393" spans="1:12" ht="23" customHeight="1">
      <c r="A393" s="9" t="s">
        <v>121</v>
      </c>
      <c r="B393" s="6">
        <v>5</v>
      </c>
      <c r="C393" s="9" t="s">
        <v>10</v>
      </c>
      <c r="D393" s="6">
        <v>129</v>
      </c>
      <c r="E393" s="9" t="s">
        <v>123</v>
      </c>
      <c r="F393" s="11">
        <v>3391.1</v>
      </c>
      <c r="G393" s="8">
        <v>3391.1</v>
      </c>
      <c r="H393" s="9">
        <f>(G393-F393)</f>
        <v>0.0</v>
      </c>
      <c r="I393" s="9" t="s">
        <v>119</v>
      </c>
      <c r="J393" s="9" t="s">
        <v>120</v>
      </c>
    </row>
    <row r="394" spans="1:12" ht="24" customHeight="1">
      <c r="A394" s="3" t="s">
        <v>107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36" customHeight="1">
      <c r="A395" s="4" t="s">
        <v>108</v>
      </c>
      <c r="B395" s="4" t="s">
        <v>8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4" t="s">
        <v>113</v>
      </c>
      <c r="H395" s="4" t="s">
        <v>114</v>
      </c>
      <c r="I395" s="4" t="s">
        <v>115</v>
      </c>
      <c r="J395" s="4" t="s">
        <v>116</v>
      </c>
    </row>
    <row r="396" spans="1:12" ht="23" customHeight="1">
      <c r="A396" s="9" t="s">
        <v>121</v>
      </c>
      <c r="B396" s="6">
        <v>5</v>
      </c>
      <c r="C396" s="9" t="s">
        <v>10</v>
      </c>
      <c r="D396" s="6">
        <v>130</v>
      </c>
      <c r="E396" s="9" t="s">
        <v>122</v>
      </c>
      <c r="F396" s="11">
        <v>2576.3</v>
      </c>
      <c r="G396" s="8">
        <v>2576.3</v>
      </c>
      <c r="H396" s="9">
        <f>(G396-F396)</f>
        <v>0.0</v>
      </c>
      <c r="I396" s="9" t="s">
        <v>119</v>
      </c>
      <c r="J396" s="9" t="s">
        <v>120</v>
      </c>
    </row>
    <row r="397" spans="1:12" ht="23" customHeight="1">
      <c r="A397" s="9" t="s">
        <v>121</v>
      </c>
      <c r="B397" s="6">
        <v>5</v>
      </c>
      <c r="C397" s="9" t="s">
        <v>10</v>
      </c>
      <c r="D397" s="6">
        <v>130</v>
      </c>
      <c r="E397" s="9" t="s">
        <v>123</v>
      </c>
      <c r="F397" s="11">
        <v>2757.7</v>
      </c>
      <c r="G397" s="8">
        <v>2757.7</v>
      </c>
      <c r="H397" s="9">
        <f>(G397-F397)</f>
        <v>0.0</v>
      </c>
      <c r="I397" s="9" t="s">
        <v>119</v>
      </c>
      <c r="J397" s="9" t="s">
        <v>120</v>
      </c>
    </row>
    <row r="398" spans="1:12" ht="23" customHeight="1">
      <c r="A398" s="9" t="s">
        <v>121</v>
      </c>
      <c r="B398" s="6">
        <v>5</v>
      </c>
      <c r="C398" s="9" t="s">
        <v>10</v>
      </c>
      <c r="D398" s="6">
        <v>131</v>
      </c>
      <c r="E398" s="9" t="s">
        <v>122</v>
      </c>
      <c r="F398" s="11">
        <v>2757.7</v>
      </c>
      <c r="G398" s="8">
        <v>2757.7</v>
      </c>
      <c r="H398" s="9">
        <f>(G398-F398)</f>
        <v>0.0</v>
      </c>
      <c r="I398" s="9" t="s">
        <v>119</v>
      </c>
      <c r="J398" s="9" t="s">
        <v>120</v>
      </c>
    </row>
    <row r="399" spans="1:12" ht="23" customHeight="1">
      <c r="A399" s="9" t="s">
        <v>121</v>
      </c>
      <c r="B399" s="6">
        <v>5</v>
      </c>
      <c r="C399" s="9" t="s">
        <v>10</v>
      </c>
      <c r="D399" s="6">
        <v>131</v>
      </c>
      <c r="E399" s="9" t="s">
        <v>123</v>
      </c>
      <c r="F399" s="11">
        <v>2939.2</v>
      </c>
      <c r="G399" s="8">
        <v>2939.2</v>
      </c>
      <c r="H399" s="9">
        <f>(G399-F399)</f>
        <v>0.0</v>
      </c>
      <c r="I399" s="9" t="s">
        <v>119</v>
      </c>
      <c r="J399" s="9" t="s">
        <v>120</v>
      </c>
    </row>
    <row r="400" spans="1:12" ht="23" customHeight="1">
      <c r="A400" s="9" t="s">
        <v>121</v>
      </c>
      <c r="B400" s="6">
        <v>5</v>
      </c>
      <c r="C400" s="9" t="s">
        <v>10</v>
      </c>
      <c r="D400" s="6">
        <v>132</v>
      </c>
      <c r="E400" s="9" t="s">
        <v>122</v>
      </c>
      <c r="F400" s="11">
        <v>2939.2</v>
      </c>
      <c r="G400" s="8">
        <v>2939.2</v>
      </c>
      <c r="H400" s="9">
        <f>(G400-F400)</f>
        <v>0.0</v>
      </c>
      <c r="I400" s="9" t="s">
        <v>119</v>
      </c>
      <c r="J400" s="9" t="s">
        <v>120</v>
      </c>
    </row>
    <row r="401" spans="1:12" ht="23" customHeight="1">
      <c r="A401" s="9" t="s">
        <v>121</v>
      </c>
      <c r="B401" s="6">
        <v>5</v>
      </c>
      <c r="C401" s="9" t="s">
        <v>10</v>
      </c>
      <c r="D401" s="6">
        <v>132</v>
      </c>
      <c r="E401" s="9" t="s">
        <v>123</v>
      </c>
      <c r="F401" s="11">
        <v>3120.6</v>
      </c>
      <c r="G401" s="8">
        <v>3120.6</v>
      </c>
      <c r="H401" s="9">
        <f>(G401-F401)</f>
        <v>0.0</v>
      </c>
      <c r="I401" s="9" t="s">
        <v>119</v>
      </c>
      <c r="J401" s="9" t="s">
        <v>120</v>
      </c>
    </row>
    <row r="402" spans="1:12" ht="23" customHeight="1">
      <c r="A402" s="9" t="s">
        <v>121</v>
      </c>
      <c r="B402" s="6">
        <v>5</v>
      </c>
      <c r="C402" s="9" t="s">
        <v>10</v>
      </c>
      <c r="D402" s="6">
        <v>133</v>
      </c>
      <c r="E402" s="9" t="s">
        <v>122</v>
      </c>
      <c r="F402" s="11">
        <v>3120.6</v>
      </c>
      <c r="G402" s="8">
        <v>3120.6</v>
      </c>
      <c r="H402" s="9">
        <f>(G402-F402)</f>
        <v>0.0</v>
      </c>
      <c r="I402" s="9" t="s">
        <v>119</v>
      </c>
      <c r="J402" s="9" t="s">
        <v>120</v>
      </c>
    </row>
    <row r="403" spans="1:12" ht="23" customHeight="1">
      <c r="A403" s="9" t="s">
        <v>121</v>
      </c>
      <c r="B403" s="6">
        <v>5</v>
      </c>
      <c r="C403" s="9" t="s">
        <v>10</v>
      </c>
      <c r="D403" s="6">
        <v>133</v>
      </c>
      <c r="E403" s="9" t="s">
        <v>123</v>
      </c>
      <c r="F403" s="6">
        <v>3302</v>
      </c>
      <c r="G403" s="7">
        <v>3302</v>
      </c>
      <c r="H403" s="9">
        <f>(G403-F403)</f>
        <v>0.0</v>
      </c>
      <c r="I403" s="9" t="s">
        <v>119</v>
      </c>
      <c r="J403" s="9" t="s">
        <v>120</v>
      </c>
    </row>
    <row r="404" spans="1:12" ht="23" customHeight="1">
      <c r="A404" s="9" t="s">
        <v>121</v>
      </c>
      <c r="B404" s="6">
        <v>5</v>
      </c>
      <c r="C404" s="9" t="s">
        <v>10</v>
      </c>
      <c r="D404" s="6">
        <v>134</v>
      </c>
      <c r="E404" s="9" t="s">
        <v>122</v>
      </c>
      <c r="F404" s="6">
        <v>3302</v>
      </c>
      <c r="G404" s="7">
        <v>3302</v>
      </c>
      <c r="H404" s="9">
        <f>(G404-F404)</f>
        <v>0.0</v>
      </c>
      <c r="I404" s="9" t="s">
        <v>119</v>
      </c>
      <c r="J404" s="9" t="s">
        <v>120</v>
      </c>
    </row>
    <row r="405" spans="1:12" ht="23" customHeight="1">
      <c r="A405" s="9" t="s">
        <v>121</v>
      </c>
      <c r="B405" s="6">
        <v>5</v>
      </c>
      <c r="C405" s="9" t="s">
        <v>10</v>
      </c>
      <c r="D405" s="6">
        <v>134</v>
      </c>
      <c r="E405" s="9" t="s">
        <v>123</v>
      </c>
      <c r="F405" s="11">
        <v>3483.4</v>
      </c>
      <c r="G405" s="8">
        <v>3483.4</v>
      </c>
      <c r="H405" s="9">
        <f>(G405-F405)</f>
        <v>0.0</v>
      </c>
      <c r="I405" s="9" t="s">
        <v>119</v>
      </c>
      <c r="J405" s="9" t="s">
        <v>120</v>
      </c>
    </row>
    <row r="406" spans="1:12" ht="23" customHeight="1">
      <c r="A406" s="9" t="s">
        <v>121</v>
      </c>
      <c r="B406" s="6">
        <v>5</v>
      </c>
      <c r="C406" s="9" t="s">
        <v>10</v>
      </c>
      <c r="D406" s="6">
        <v>135</v>
      </c>
      <c r="E406" s="9" t="s">
        <v>122</v>
      </c>
      <c r="F406" s="11">
        <v>3483.4</v>
      </c>
      <c r="G406" s="8">
        <v>3483.4</v>
      </c>
      <c r="H406" s="9">
        <f>(G406-F406)</f>
        <v>0.0</v>
      </c>
      <c r="I406" s="9" t="s">
        <v>119</v>
      </c>
      <c r="J406" s="9" t="s">
        <v>120</v>
      </c>
    </row>
    <row r="407" spans="1:12" ht="23" customHeight="1">
      <c r="A407" s="9" t="s">
        <v>121</v>
      </c>
      <c r="B407" s="6">
        <v>5</v>
      </c>
      <c r="C407" s="9" t="s">
        <v>10</v>
      </c>
      <c r="D407" s="6">
        <v>135</v>
      </c>
      <c r="E407" s="9" t="s">
        <v>123</v>
      </c>
      <c r="F407" s="11">
        <v>3664.9</v>
      </c>
      <c r="G407" s="8">
        <v>3664.9</v>
      </c>
      <c r="H407" s="9">
        <f>(G407-F407)</f>
        <v>0.0</v>
      </c>
      <c r="I407" s="9" t="s">
        <v>119</v>
      </c>
      <c r="J407" s="9" t="s">
        <v>120</v>
      </c>
    </row>
    <row r="408" spans="1:12" ht="23" customHeight="1">
      <c r="A408" s="9" t="s">
        <v>121</v>
      </c>
      <c r="B408" s="6">
        <v>5</v>
      </c>
      <c r="C408" s="9" t="s">
        <v>10</v>
      </c>
      <c r="D408" s="6">
        <v>136</v>
      </c>
      <c r="E408" s="9" t="s">
        <v>122</v>
      </c>
      <c r="F408" s="11">
        <v>3664.9</v>
      </c>
      <c r="G408" s="8">
        <v>3664.9</v>
      </c>
      <c r="H408" s="9">
        <f>(G408-F408)</f>
        <v>0.0</v>
      </c>
      <c r="I408" s="9" t="s">
        <v>119</v>
      </c>
      <c r="J408" s="9" t="s">
        <v>120</v>
      </c>
    </row>
    <row r="409" spans="1:12" ht="23" customHeight="1">
      <c r="A409" s="9" t="s">
        <v>121</v>
      </c>
      <c r="B409" s="6">
        <v>5</v>
      </c>
      <c r="C409" s="9" t="s">
        <v>10</v>
      </c>
      <c r="D409" s="6">
        <v>136</v>
      </c>
      <c r="E409" s="9" t="s">
        <v>123</v>
      </c>
      <c r="F409" s="11">
        <v>3846.3</v>
      </c>
      <c r="G409" s="8">
        <v>3846.3</v>
      </c>
      <c r="H409" s="9">
        <f>(G409-F409)</f>
        <v>0.0</v>
      </c>
      <c r="I409" s="9" t="s">
        <v>119</v>
      </c>
      <c r="J409" s="9" t="s">
        <v>120</v>
      </c>
    </row>
    <row r="410" spans="1:12" ht="23" customHeight="1">
      <c r="A410" s="9" t="s">
        <v>121</v>
      </c>
      <c r="B410" s="6">
        <v>5</v>
      </c>
      <c r="C410" s="9" t="s">
        <v>10</v>
      </c>
      <c r="D410" s="6">
        <v>137</v>
      </c>
      <c r="E410" s="9" t="s">
        <v>122</v>
      </c>
      <c r="F410" s="11">
        <v>2336.3</v>
      </c>
      <c r="G410" s="8">
        <v>2336.3</v>
      </c>
      <c r="H410" s="9">
        <f>(G410-F410)</f>
        <v>0.0</v>
      </c>
      <c r="I410" s="9" t="s">
        <v>119</v>
      </c>
      <c r="J410" s="9" t="s">
        <v>120</v>
      </c>
    </row>
    <row r="411" spans="1:12" ht="24" customHeight="1">
      <c r="A411" s="3" t="s">
        <v>107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36" customHeight="1">
      <c r="A412" s="4" t="s">
        <v>108</v>
      </c>
      <c r="B412" s="4" t="s">
        <v>8</v>
      </c>
      <c r="C412" s="4" t="s">
        <v>109</v>
      </c>
      <c r="D412" s="4" t="s">
        <v>110</v>
      </c>
      <c r="E412" s="4" t="s">
        <v>111</v>
      </c>
      <c r="F412" s="4" t="s">
        <v>112</v>
      </c>
      <c r="G412" s="4" t="s">
        <v>113</v>
      </c>
      <c r="H412" s="4" t="s">
        <v>114</v>
      </c>
      <c r="I412" s="4" t="s">
        <v>115</v>
      </c>
      <c r="J412" s="4" t="s">
        <v>116</v>
      </c>
    </row>
    <row r="413" spans="1:12" ht="23" customHeight="1">
      <c r="A413" s="9" t="s">
        <v>121</v>
      </c>
      <c r="B413" s="6">
        <v>5</v>
      </c>
      <c r="C413" s="9" t="s">
        <v>10</v>
      </c>
      <c r="D413" s="6">
        <v>137</v>
      </c>
      <c r="E413" s="9" t="s">
        <v>123</v>
      </c>
      <c r="F413" s="11">
        <v>2336.3</v>
      </c>
      <c r="G413" s="8">
        <v>2336.3</v>
      </c>
      <c r="H413" s="9">
        <f>(G413-F413)</f>
        <v>0.0</v>
      </c>
      <c r="I413" s="9" t="s">
        <v>119</v>
      </c>
      <c r="J413" s="9" t="s">
        <v>120</v>
      </c>
    </row>
    <row r="414" spans="1:12" ht="23" customHeight="1">
      <c r="A414" s="9" t="s">
        <v>121</v>
      </c>
      <c r="B414" s="6">
        <v>5</v>
      </c>
      <c r="C414" s="9" t="s">
        <v>10</v>
      </c>
      <c r="D414" s="6">
        <v>138</v>
      </c>
      <c r="E414" s="9" t="s">
        <v>122</v>
      </c>
      <c r="F414" s="11">
        <v>2059.2</v>
      </c>
      <c r="G414" s="8">
        <v>2059.2</v>
      </c>
      <c r="H414" s="9">
        <f>(G414-F414)</f>
        <v>0.0</v>
      </c>
      <c r="I414" s="9" t="s">
        <v>119</v>
      </c>
      <c r="J414" s="9" t="s">
        <v>120</v>
      </c>
    </row>
    <row r="415" spans="1:12" ht="23" customHeight="1">
      <c r="A415" s="9" t="s">
        <v>121</v>
      </c>
      <c r="B415" s="6">
        <v>5</v>
      </c>
      <c r="C415" s="9" t="s">
        <v>10</v>
      </c>
      <c r="D415" s="6">
        <v>138</v>
      </c>
      <c r="E415" s="9" t="s">
        <v>123</v>
      </c>
      <c r="F415" s="11">
        <v>2059.2</v>
      </c>
      <c r="G415" s="8">
        <v>2059.2</v>
      </c>
      <c r="H415" s="9">
        <f>(G415-F415)</f>
        <v>0.0</v>
      </c>
      <c r="I415" s="9" t="s">
        <v>119</v>
      </c>
      <c r="J415" s="9" t="s">
        <v>120</v>
      </c>
    </row>
    <row r="416" spans="1:12" ht="23" customHeight="1">
      <c r="A416" s="9" t="s">
        <v>121</v>
      </c>
      <c r="B416" s="6">
        <v>5</v>
      </c>
      <c r="C416" s="9" t="s">
        <v>10</v>
      </c>
      <c r="D416" s="6">
        <v>139</v>
      </c>
      <c r="E416" s="9" t="s">
        <v>122</v>
      </c>
      <c r="F416" s="11">
        <v>2059.2</v>
      </c>
      <c r="G416" s="8">
        <v>2059.2</v>
      </c>
      <c r="H416" s="9">
        <f>(G416-F416)</f>
        <v>0.0</v>
      </c>
      <c r="I416" s="9" t="s">
        <v>119</v>
      </c>
      <c r="J416" s="9" t="s">
        <v>120</v>
      </c>
    </row>
    <row r="417" spans="1:12" ht="23" customHeight="1">
      <c r="A417" s="9" t="s">
        <v>121</v>
      </c>
      <c r="B417" s="6">
        <v>5</v>
      </c>
      <c r="C417" s="9" t="s">
        <v>10</v>
      </c>
      <c r="D417" s="6">
        <v>139</v>
      </c>
      <c r="E417" s="9" t="s">
        <v>123</v>
      </c>
      <c r="F417" s="11">
        <v>2059.2</v>
      </c>
      <c r="G417" s="8">
        <v>2059.2</v>
      </c>
      <c r="H417" s="9">
        <f>(G417-F417)</f>
        <v>0.0</v>
      </c>
      <c r="I417" s="9" t="s">
        <v>119</v>
      </c>
      <c r="J417" s="9" t="s">
        <v>120</v>
      </c>
    </row>
    <row r="418" spans="1:12" ht="23" customHeight="1">
      <c r="A418" s="9" t="s">
        <v>121</v>
      </c>
      <c r="B418" s="6">
        <v>5</v>
      </c>
      <c r="C418" s="9" t="s">
        <v>10</v>
      </c>
      <c r="D418" s="6">
        <v>140</v>
      </c>
      <c r="E418" s="9" t="s">
        <v>122</v>
      </c>
      <c r="F418" s="11">
        <v>2059.2</v>
      </c>
      <c r="G418" s="8">
        <v>2059.2</v>
      </c>
      <c r="H418" s="9">
        <f>(G418-F418)</f>
        <v>0.0</v>
      </c>
      <c r="I418" s="9" t="s">
        <v>119</v>
      </c>
      <c r="J418" s="9" t="s">
        <v>120</v>
      </c>
    </row>
    <row r="419" spans="1:12" ht="23" customHeight="1">
      <c r="A419" s="9" t="s">
        <v>121</v>
      </c>
      <c r="B419" s="6">
        <v>5</v>
      </c>
      <c r="C419" s="9" t="s">
        <v>10</v>
      </c>
      <c r="D419" s="6">
        <v>140</v>
      </c>
      <c r="E419" s="9" t="s">
        <v>123</v>
      </c>
      <c r="F419" s="11">
        <v>2059.2</v>
      </c>
      <c r="G419" s="8">
        <v>2059.2</v>
      </c>
      <c r="H419" s="9">
        <f>(G419-F419)</f>
        <v>0.0</v>
      </c>
      <c r="I419" s="9" t="s">
        <v>119</v>
      </c>
      <c r="J419" s="9" t="s">
        <v>120</v>
      </c>
    </row>
    <row r="420" spans="1:12" ht="23" customHeight="1">
      <c r="A420" s="9" t="s">
        <v>121</v>
      </c>
      <c r="B420" s="6">
        <v>5</v>
      </c>
      <c r="C420" s="9" t="s">
        <v>10</v>
      </c>
      <c r="D420" s="6">
        <v>141</v>
      </c>
      <c r="E420" s="9" t="s">
        <v>122</v>
      </c>
      <c r="F420" s="11">
        <v>2059.2</v>
      </c>
      <c r="G420" s="8">
        <v>2059.2</v>
      </c>
      <c r="H420" s="9">
        <f>(G420-F420)</f>
        <v>0.0</v>
      </c>
      <c r="I420" s="9" t="s">
        <v>119</v>
      </c>
      <c r="J420" s="9" t="s">
        <v>120</v>
      </c>
    </row>
    <row r="421" spans="1:12" ht="23" customHeight="1">
      <c r="A421" s="9" t="s">
        <v>121</v>
      </c>
      <c r="B421" s="6">
        <v>5</v>
      </c>
      <c r="C421" s="9" t="s">
        <v>10</v>
      </c>
      <c r="D421" s="6">
        <v>141</v>
      </c>
      <c r="E421" s="9" t="s">
        <v>123</v>
      </c>
      <c r="F421" s="11">
        <v>2059.2</v>
      </c>
      <c r="G421" s="8">
        <v>2059.2</v>
      </c>
      <c r="H421" s="9">
        <f>(G421-F421)</f>
        <v>0.0</v>
      </c>
      <c r="I421" s="9" t="s">
        <v>119</v>
      </c>
      <c r="J421" s="9" t="s">
        <v>120</v>
      </c>
    </row>
    <row r="422" spans="1:12" ht="23" customHeight="1">
      <c r="A422" s="9" t="s">
        <v>121</v>
      </c>
      <c r="B422" s="6">
        <v>5</v>
      </c>
      <c r="C422" s="9" t="s">
        <v>10</v>
      </c>
      <c r="D422" s="6">
        <v>142</v>
      </c>
      <c r="E422" s="9" t="s">
        <v>122</v>
      </c>
      <c r="F422" s="11">
        <v>2059.2</v>
      </c>
      <c r="G422" s="8">
        <v>2059.2</v>
      </c>
      <c r="H422" s="9">
        <f>(G422-F422)</f>
        <v>0.0</v>
      </c>
      <c r="I422" s="9" t="s">
        <v>119</v>
      </c>
      <c r="J422" s="9" t="s">
        <v>120</v>
      </c>
    </row>
    <row r="423" spans="1:12" ht="23" customHeight="1">
      <c r="A423" s="9" t="s">
        <v>121</v>
      </c>
      <c r="B423" s="6">
        <v>5</v>
      </c>
      <c r="C423" s="9" t="s">
        <v>10</v>
      </c>
      <c r="D423" s="6">
        <v>142</v>
      </c>
      <c r="E423" s="9" t="s">
        <v>123</v>
      </c>
      <c r="F423" s="11">
        <v>2059.2</v>
      </c>
      <c r="G423" s="8">
        <v>2059.2</v>
      </c>
      <c r="H423" s="9">
        <f>(G423-F423)</f>
        <v>0.0</v>
      </c>
      <c r="I423" s="9" t="s">
        <v>119</v>
      </c>
      <c r="J423" s="9" t="s">
        <v>120</v>
      </c>
    </row>
    <row r="424" spans="1:12" ht="23" customHeight="1">
      <c r="A424" s="9" t="s">
        <v>121</v>
      </c>
      <c r="B424" s="6">
        <v>5</v>
      </c>
      <c r="C424" s="9" t="s">
        <v>10</v>
      </c>
      <c r="D424" s="6">
        <v>143</v>
      </c>
      <c r="E424" s="9" t="s">
        <v>122</v>
      </c>
      <c r="F424" s="11">
        <v>2059.2</v>
      </c>
      <c r="G424" s="8">
        <v>2059.2</v>
      </c>
      <c r="H424" s="9">
        <f>(G424-F424)</f>
        <v>0.0</v>
      </c>
      <c r="I424" s="9" t="s">
        <v>119</v>
      </c>
      <c r="J424" s="9" t="s">
        <v>120</v>
      </c>
    </row>
    <row r="425" spans="1:12" ht="23" customHeight="1">
      <c r="A425" s="9" t="s">
        <v>121</v>
      </c>
      <c r="B425" s="6">
        <v>5</v>
      </c>
      <c r="C425" s="9" t="s">
        <v>10</v>
      </c>
      <c r="D425" s="6">
        <v>143</v>
      </c>
      <c r="E425" s="9" t="s">
        <v>123</v>
      </c>
      <c r="F425" s="11">
        <v>2059.2</v>
      </c>
      <c r="G425" s="8">
        <v>2059.2</v>
      </c>
      <c r="H425" s="9">
        <f>(G425-F425)</f>
        <v>0.0</v>
      </c>
      <c r="I425" s="9" t="s">
        <v>119</v>
      </c>
      <c r="J425" s="9" t="s">
        <v>120</v>
      </c>
    </row>
    <row r="426" spans="1:12" ht="23" customHeight="1">
      <c r="A426" s="9" t="s">
        <v>121</v>
      </c>
      <c r="B426" s="6">
        <v>5</v>
      </c>
      <c r="C426" s="9" t="s">
        <v>10</v>
      </c>
      <c r="D426" s="6">
        <v>144</v>
      </c>
      <c r="E426" s="9" t="s">
        <v>122</v>
      </c>
      <c r="F426" s="11">
        <v>2059.2</v>
      </c>
      <c r="G426" s="8">
        <v>2059.2</v>
      </c>
      <c r="H426" s="9">
        <f>(G426-F426)</f>
        <v>0.0</v>
      </c>
      <c r="I426" s="9" t="s">
        <v>119</v>
      </c>
      <c r="J426" s="9" t="s">
        <v>120</v>
      </c>
    </row>
    <row r="427" spans="1:12" ht="23" customHeight="1">
      <c r="A427" s="9" t="s">
        <v>121</v>
      </c>
      <c r="B427" s="6">
        <v>5</v>
      </c>
      <c r="C427" s="9" t="s">
        <v>10</v>
      </c>
      <c r="D427" s="6">
        <v>144</v>
      </c>
      <c r="E427" s="9" t="s">
        <v>123</v>
      </c>
      <c r="F427" s="11">
        <v>2059.2</v>
      </c>
      <c r="G427" s="8">
        <v>2059.2</v>
      </c>
      <c r="H427" s="9">
        <f>(G427-F427)</f>
        <v>0.0</v>
      </c>
      <c r="I427" s="9" t="s">
        <v>119</v>
      </c>
      <c r="J427" s="9" t="s">
        <v>120</v>
      </c>
    </row>
    <row r="428" spans="1:12" ht="24" customHeight="1">
      <c r="A428" s="3" t="s">
        <v>107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36" customHeight="1">
      <c r="A429" s="4" t="s">
        <v>108</v>
      </c>
      <c r="B429" s="4" t="s">
        <v>8</v>
      </c>
      <c r="C429" s="4" t="s">
        <v>109</v>
      </c>
      <c r="D429" s="4" t="s">
        <v>110</v>
      </c>
      <c r="E429" s="4" t="s">
        <v>111</v>
      </c>
      <c r="F429" s="4" t="s">
        <v>112</v>
      </c>
      <c r="G429" s="4" t="s">
        <v>113</v>
      </c>
      <c r="H429" s="4" t="s">
        <v>114</v>
      </c>
      <c r="I429" s="4" t="s">
        <v>115</v>
      </c>
      <c r="J429" s="4" t="s">
        <v>116</v>
      </c>
    </row>
    <row r="430" spans="1:12" ht="23" customHeight="1">
      <c r="A430" s="9" t="s">
        <v>121</v>
      </c>
      <c r="B430" s="6">
        <v>5</v>
      </c>
      <c r="C430" s="9" t="s">
        <v>10</v>
      </c>
      <c r="D430" s="6">
        <v>145</v>
      </c>
      <c r="E430" s="9" t="s">
        <v>122</v>
      </c>
      <c r="F430" s="11">
        <v>2059.2</v>
      </c>
      <c r="G430" s="8">
        <v>2059.2</v>
      </c>
      <c r="H430" s="9">
        <f>(G430-F430)</f>
        <v>0.0</v>
      </c>
      <c r="I430" s="9" t="s">
        <v>119</v>
      </c>
      <c r="J430" s="9" t="s">
        <v>120</v>
      </c>
    </row>
    <row r="431" spans="1:12" ht="23" customHeight="1">
      <c r="A431" s="9" t="s">
        <v>121</v>
      </c>
      <c r="B431" s="6">
        <v>5</v>
      </c>
      <c r="C431" s="9" t="s">
        <v>10</v>
      </c>
      <c r="D431" s="6">
        <v>145</v>
      </c>
      <c r="E431" s="9" t="s">
        <v>123</v>
      </c>
      <c r="F431" s="11">
        <v>2059.2</v>
      </c>
      <c r="G431" s="8">
        <v>2059.2</v>
      </c>
      <c r="H431" s="9">
        <f>(G431-F431)</f>
        <v>0.0</v>
      </c>
      <c r="I431" s="9" t="s">
        <v>119</v>
      </c>
      <c r="J431" s="9" t="s">
        <v>120</v>
      </c>
    </row>
    <row r="432" spans="1:12" ht="23" customHeight="1">
      <c r="A432" s="9" t="s">
        <v>121</v>
      </c>
      <c r="B432" s="6">
        <v>5</v>
      </c>
      <c r="C432" s="9" t="s">
        <v>10</v>
      </c>
      <c r="D432" s="6">
        <v>146</v>
      </c>
      <c r="E432" s="9" t="s">
        <v>122</v>
      </c>
      <c r="F432" s="11">
        <v>2059.2</v>
      </c>
      <c r="G432" s="8">
        <v>2059.2</v>
      </c>
      <c r="H432" s="9">
        <f>(G432-F432)</f>
        <v>0.0</v>
      </c>
      <c r="I432" s="9" t="s">
        <v>119</v>
      </c>
      <c r="J432" s="9" t="s">
        <v>120</v>
      </c>
    </row>
    <row r="433" spans="1:12" ht="23" customHeight="1">
      <c r="A433" s="9" t="s">
        <v>121</v>
      </c>
      <c r="B433" s="6">
        <v>5</v>
      </c>
      <c r="C433" s="9" t="s">
        <v>10</v>
      </c>
      <c r="D433" s="6">
        <v>146</v>
      </c>
      <c r="E433" s="9" t="s">
        <v>123</v>
      </c>
      <c r="F433" s="11">
        <v>2059.2</v>
      </c>
      <c r="G433" s="8">
        <v>2059.2</v>
      </c>
      <c r="H433" s="9">
        <f>(G433-F433)</f>
        <v>0.0</v>
      </c>
      <c r="I433" s="9" t="s">
        <v>119</v>
      </c>
      <c r="J433" s="9" t="s">
        <v>120</v>
      </c>
    </row>
    <row r="434" spans="1:12" ht="23" customHeight="1">
      <c r="A434" s="9" t="s">
        <v>121</v>
      </c>
      <c r="B434" s="6">
        <v>6</v>
      </c>
      <c r="C434" s="9" t="s">
        <v>10</v>
      </c>
      <c r="D434" s="6">
        <v>148</v>
      </c>
      <c r="E434" s="9" t="s">
        <v>122</v>
      </c>
      <c r="F434" s="11">
        <v>2907.3</v>
      </c>
      <c r="G434" s="8">
        <v>2907.3</v>
      </c>
      <c r="H434" s="9">
        <f>(G434-F434)</f>
        <v>0.0</v>
      </c>
      <c r="I434" s="9" t="s">
        <v>119</v>
      </c>
      <c r="J434" s="9" t="s">
        <v>120</v>
      </c>
    </row>
    <row r="435" spans="1:12" ht="23" customHeight="1">
      <c r="A435" s="9" t="s">
        <v>121</v>
      </c>
      <c r="B435" s="6">
        <v>6</v>
      </c>
      <c r="C435" s="9" t="s">
        <v>10</v>
      </c>
      <c r="D435" s="6">
        <v>148</v>
      </c>
      <c r="E435" s="9" t="s">
        <v>123</v>
      </c>
      <c r="F435" s="11">
        <v>3268.7</v>
      </c>
      <c r="G435" s="8">
        <v>3268.7</v>
      </c>
      <c r="H435" s="9">
        <f>(G435-F435)</f>
        <v>0.0</v>
      </c>
      <c r="I435" s="9" t="s">
        <v>119</v>
      </c>
      <c r="J435" s="9" t="s">
        <v>120</v>
      </c>
    </row>
    <row r="436" spans="1:12" ht="23" customHeight="1">
      <c r="A436" s="9" t="s">
        <v>121</v>
      </c>
      <c r="B436" s="6">
        <v>6</v>
      </c>
      <c r="C436" s="9" t="s">
        <v>10</v>
      </c>
      <c r="D436" s="6">
        <v>149</v>
      </c>
      <c r="E436" s="9" t="s">
        <v>122</v>
      </c>
      <c r="F436" s="11">
        <v>4972.5</v>
      </c>
      <c r="G436" s="8">
        <v>4972.5</v>
      </c>
      <c r="H436" s="9">
        <f>(G436-F436)</f>
        <v>0.0</v>
      </c>
      <c r="I436" s="9" t="s">
        <v>119</v>
      </c>
      <c r="J436" s="9" t="s">
        <v>120</v>
      </c>
    </row>
    <row r="437" spans="1:12" ht="23" customHeight="1">
      <c r="A437" s="9" t="s">
        <v>121</v>
      </c>
      <c r="B437" s="6">
        <v>6</v>
      </c>
      <c r="C437" s="9" t="s">
        <v>10</v>
      </c>
      <c r="D437" s="6">
        <v>149</v>
      </c>
      <c r="E437" s="9" t="s">
        <v>123</v>
      </c>
      <c r="F437" s="11">
        <v>4972.5</v>
      </c>
      <c r="G437" s="8">
        <v>4972.5</v>
      </c>
      <c r="H437" s="9">
        <f>(G437-F437)</f>
        <v>0.0</v>
      </c>
      <c r="I437" s="9" t="s">
        <v>119</v>
      </c>
      <c r="J437" s="9" t="s">
        <v>120</v>
      </c>
    </row>
    <row r="438" spans="1:12" ht="23" customHeight="1">
      <c r="A438" s="9" t="s">
        <v>121</v>
      </c>
      <c r="B438" s="6">
        <v>6</v>
      </c>
      <c r="C438" s="9" t="s">
        <v>10</v>
      </c>
      <c r="D438" s="6">
        <v>150</v>
      </c>
      <c r="E438" s="9" t="s">
        <v>122</v>
      </c>
      <c r="F438" s="11">
        <v>2339.1</v>
      </c>
      <c r="G438" s="8">
        <v>2339.1</v>
      </c>
      <c r="H438" s="9">
        <f>(G438-F438)</f>
        <v>0.0</v>
      </c>
      <c r="I438" s="9" t="s">
        <v>119</v>
      </c>
      <c r="J438" s="9" t="s">
        <v>120</v>
      </c>
    </row>
    <row r="439" spans="1:12" ht="23" customHeight="1">
      <c r="A439" s="9" t="s">
        <v>121</v>
      </c>
      <c r="B439" s="6">
        <v>6</v>
      </c>
      <c r="C439" s="9" t="s">
        <v>10</v>
      </c>
      <c r="D439" s="6">
        <v>150</v>
      </c>
      <c r="E439" s="9" t="s">
        <v>123</v>
      </c>
      <c r="F439" s="11">
        <v>2339.1</v>
      </c>
      <c r="G439" s="8">
        <v>2339.1</v>
      </c>
      <c r="H439" s="9">
        <f>(G439-F439)</f>
        <v>0.0</v>
      </c>
      <c r="I439" s="9" t="s">
        <v>119</v>
      </c>
      <c r="J439" s="9" t="s">
        <v>120</v>
      </c>
    </row>
    <row r="440" spans="1:12" ht="23" customHeight="1">
      <c r="A440" s="9" t="s">
        <v>121</v>
      </c>
      <c r="B440" s="6">
        <v>6</v>
      </c>
      <c r="C440" s="9" t="s">
        <v>10</v>
      </c>
      <c r="D440" s="6">
        <v>151</v>
      </c>
      <c r="E440" s="9" t="s">
        <v>122</v>
      </c>
      <c r="F440" s="6">
        <v>1755</v>
      </c>
      <c r="G440" s="7">
        <v>1755</v>
      </c>
      <c r="H440" s="9">
        <f>(G440-F440)</f>
        <v>0.0</v>
      </c>
      <c r="I440" s="9" t="s">
        <v>119</v>
      </c>
      <c r="J440" s="9" t="s">
        <v>120</v>
      </c>
    </row>
    <row r="441" spans="1:12" ht="23" customHeight="1">
      <c r="A441" s="9" t="s">
        <v>121</v>
      </c>
      <c r="B441" s="6">
        <v>6</v>
      </c>
      <c r="C441" s="9" t="s">
        <v>10</v>
      </c>
      <c r="D441" s="6">
        <v>151</v>
      </c>
      <c r="E441" s="9" t="s">
        <v>123</v>
      </c>
      <c r="F441" s="6">
        <v>1755</v>
      </c>
      <c r="G441" s="7">
        <v>1755</v>
      </c>
      <c r="H441" s="9">
        <f>(G441-F441)</f>
        <v>0.0</v>
      </c>
      <c r="I441" s="9" t="s">
        <v>119</v>
      </c>
      <c r="J441" s="9" t="s">
        <v>120</v>
      </c>
    </row>
    <row r="442" spans="1:12" ht="23" customHeight="1">
      <c r="A442" s="9" t="s">
        <v>121</v>
      </c>
      <c r="B442" s="6">
        <v>6</v>
      </c>
      <c r="C442" s="9" t="s">
        <v>10</v>
      </c>
      <c r="D442" s="6">
        <v>152</v>
      </c>
      <c r="E442" s="9" t="s">
        <v>122</v>
      </c>
      <c r="F442" s="11">
        <v>4384.1</v>
      </c>
      <c r="G442" s="8">
        <v>4384.1</v>
      </c>
      <c r="H442" s="9">
        <f>(G442-F442)</f>
        <v>0.0</v>
      </c>
      <c r="I442" s="9" t="s">
        <v>119</v>
      </c>
      <c r="J442" s="9" t="s">
        <v>120</v>
      </c>
    </row>
    <row r="443" spans="1:12" ht="23" customHeight="1">
      <c r="A443" s="9" t="s">
        <v>121</v>
      </c>
      <c r="B443" s="6">
        <v>6</v>
      </c>
      <c r="C443" s="9" t="s">
        <v>10</v>
      </c>
      <c r="D443" s="6">
        <v>152</v>
      </c>
      <c r="E443" s="9" t="s">
        <v>123</v>
      </c>
      <c r="F443" s="11">
        <v>4384.1</v>
      </c>
      <c r="G443" s="8">
        <v>4384.1</v>
      </c>
      <c r="H443" s="9">
        <f>(G443-F443)</f>
        <v>0.0</v>
      </c>
      <c r="I443" s="9" t="s">
        <v>119</v>
      </c>
      <c r="J443" s="9" t="s">
        <v>120</v>
      </c>
    </row>
    <row r="444" spans="1:12" ht="23" customHeight="1">
      <c r="A444" s="9" t="s">
        <v>121</v>
      </c>
      <c r="B444" s="6">
        <v>6</v>
      </c>
      <c r="C444" s="9" t="s">
        <v>10</v>
      </c>
      <c r="D444" s="6">
        <v>153</v>
      </c>
      <c r="E444" s="9" t="s">
        <v>122</v>
      </c>
      <c r="F444" s="11">
        <v>6181.8</v>
      </c>
      <c r="G444" s="8">
        <v>6181.8</v>
      </c>
      <c r="H444" s="9">
        <f>(G444-F444)</f>
        <v>0.0</v>
      </c>
      <c r="I444" s="9" t="s">
        <v>119</v>
      </c>
      <c r="J444" s="9" t="s">
        <v>120</v>
      </c>
    </row>
    <row r="445" spans="1:12" ht="24" customHeight="1">
      <c r="A445" s="3" t="s">
        <v>107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36" customHeight="1">
      <c r="A446" s="4" t="s">
        <v>108</v>
      </c>
      <c r="B446" s="4" t="s">
        <v>8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4" t="s">
        <v>113</v>
      </c>
      <c r="H446" s="4" t="s">
        <v>114</v>
      </c>
      <c r="I446" s="4" t="s">
        <v>115</v>
      </c>
      <c r="J446" s="4" t="s">
        <v>116</v>
      </c>
    </row>
    <row r="447" spans="1:12" ht="23" customHeight="1">
      <c r="A447" s="9" t="s">
        <v>121</v>
      </c>
      <c r="B447" s="6">
        <v>6</v>
      </c>
      <c r="C447" s="9" t="s">
        <v>10</v>
      </c>
      <c r="D447" s="6">
        <v>153</v>
      </c>
      <c r="E447" s="9" t="s">
        <v>123</v>
      </c>
      <c r="F447" s="11">
        <v>6684.3</v>
      </c>
      <c r="G447" s="8">
        <v>6684.3</v>
      </c>
      <c r="H447" s="9">
        <f>(G447-F447)</f>
        <v>0.0</v>
      </c>
      <c r="I447" s="9" t="s">
        <v>119</v>
      </c>
      <c r="J447" s="9" t="s">
        <v>120</v>
      </c>
    </row>
    <row r="448" spans="1:12" ht="23" customHeight="1">
      <c r="A448" s="9" t="s">
        <v>121</v>
      </c>
      <c r="B448" s="6">
        <v>6</v>
      </c>
      <c r="C448" s="9" t="s">
        <v>10</v>
      </c>
      <c r="D448" s="6">
        <v>154</v>
      </c>
      <c r="E448" s="9" t="s">
        <v>122</v>
      </c>
      <c r="F448" s="11">
        <v>6891.1</v>
      </c>
      <c r="G448" s="8">
        <v>6891.1</v>
      </c>
      <c r="H448" s="9">
        <f>(G448-F448)</f>
        <v>0.0</v>
      </c>
      <c r="I448" s="9" t="s">
        <v>119</v>
      </c>
      <c r="J448" s="9" t="s">
        <v>120</v>
      </c>
    </row>
    <row r="449" spans="1:12" ht="23" customHeight="1">
      <c r="A449" s="9" t="s">
        <v>121</v>
      </c>
      <c r="B449" s="6">
        <v>6</v>
      </c>
      <c r="C449" s="9" t="s">
        <v>10</v>
      </c>
      <c r="D449" s="6">
        <v>154</v>
      </c>
      <c r="E449" s="9" t="s">
        <v>123</v>
      </c>
      <c r="F449" s="11">
        <v>6891.1</v>
      </c>
      <c r="G449" s="8">
        <v>6891.1</v>
      </c>
      <c r="H449" s="9">
        <f>(G449-F449)</f>
        <v>0.0</v>
      </c>
      <c r="I449" s="9" t="s">
        <v>119</v>
      </c>
      <c r="J449" s="9" t="s">
        <v>120</v>
      </c>
    </row>
    <row r="450" spans="1:12" ht="23" customHeight="1">
      <c r="A450" s="9" t="s">
        <v>121</v>
      </c>
      <c r="B450" s="6">
        <v>6</v>
      </c>
      <c r="C450" s="9" t="s">
        <v>10</v>
      </c>
      <c r="D450" s="6">
        <v>155</v>
      </c>
      <c r="E450" s="9" t="s">
        <v>122</v>
      </c>
      <c r="F450" s="11">
        <v>7451.9</v>
      </c>
      <c r="G450" s="8">
        <v>7451.9</v>
      </c>
      <c r="H450" s="9">
        <f>(G450-F450)</f>
        <v>0.0</v>
      </c>
      <c r="I450" s="9" t="s">
        <v>119</v>
      </c>
      <c r="J450" s="9" t="s">
        <v>120</v>
      </c>
    </row>
    <row r="451" spans="1:12" ht="23" customHeight="1">
      <c r="A451" s="9" t="s">
        <v>121</v>
      </c>
      <c r="B451" s="6">
        <v>6</v>
      </c>
      <c r="C451" s="9" t="s">
        <v>10</v>
      </c>
      <c r="D451" s="6">
        <v>155</v>
      </c>
      <c r="E451" s="9" t="s">
        <v>123</v>
      </c>
      <c r="F451" s="11">
        <v>7976.7</v>
      </c>
      <c r="G451" s="8">
        <v>7976.7</v>
      </c>
      <c r="H451" s="9">
        <f>(G451-F451)</f>
        <v>0.0</v>
      </c>
      <c r="I451" s="9" t="s">
        <v>119</v>
      </c>
      <c r="J451" s="9" t="s">
        <v>120</v>
      </c>
    </row>
    <row r="452" spans="1:12" ht="23" customHeight="1">
      <c r="A452" s="9" t="s">
        <v>121</v>
      </c>
      <c r="B452" s="6">
        <v>6</v>
      </c>
      <c r="C452" s="9" t="s">
        <v>10</v>
      </c>
      <c r="D452" s="6">
        <v>156</v>
      </c>
      <c r="E452" s="9" t="s">
        <v>122</v>
      </c>
      <c r="F452" s="11">
        <v>7976.7</v>
      </c>
      <c r="G452" s="8">
        <v>7976.7</v>
      </c>
      <c r="H452" s="9">
        <f>(G452-F452)</f>
        <v>0.0</v>
      </c>
      <c r="I452" s="9" t="s">
        <v>119</v>
      </c>
      <c r="J452" s="9" t="s">
        <v>120</v>
      </c>
    </row>
    <row r="453" spans="1:12" ht="23" customHeight="1">
      <c r="A453" s="9" t="s">
        <v>121</v>
      </c>
      <c r="B453" s="6">
        <v>6</v>
      </c>
      <c r="C453" s="9" t="s">
        <v>10</v>
      </c>
      <c r="D453" s="6">
        <v>156</v>
      </c>
      <c r="E453" s="9" t="s">
        <v>123</v>
      </c>
      <c r="F453" s="11">
        <v>8501.5</v>
      </c>
      <c r="G453" s="8">
        <v>8501.5</v>
      </c>
      <c r="H453" s="9">
        <f>(G453-F453)</f>
        <v>0.0</v>
      </c>
      <c r="I453" s="9" t="s">
        <v>119</v>
      </c>
      <c r="J453" s="9" t="s">
        <v>120</v>
      </c>
    </row>
    <row r="454" spans="1:12" ht="23" customHeight="1">
      <c r="A454" s="9" t="s">
        <v>121</v>
      </c>
      <c r="B454" s="6">
        <v>6</v>
      </c>
      <c r="C454" s="9" t="s">
        <v>10</v>
      </c>
      <c r="D454" s="6">
        <v>157</v>
      </c>
      <c r="E454" s="9" t="s">
        <v>122</v>
      </c>
      <c r="F454" s="11">
        <v>8501.5</v>
      </c>
      <c r="G454" s="8">
        <v>8501.5</v>
      </c>
      <c r="H454" s="9">
        <f>(G454-F454)</f>
        <v>0.0</v>
      </c>
      <c r="I454" s="9" t="s">
        <v>119</v>
      </c>
      <c r="J454" s="9" t="s">
        <v>120</v>
      </c>
    </row>
    <row r="455" spans="1:12" ht="23" customHeight="1">
      <c r="A455" s="9" t="s">
        <v>121</v>
      </c>
      <c r="B455" s="6">
        <v>6</v>
      </c>
      <c r="C455" s="9" t="s">
        <v>10</v>
      </c>
      <c r="D455" s="6">
        <v>157</v>
      </c>
      <c r="E455" s="9" t="s">
        <v>123</v>
      </c>
      <c r="F455" s="11">
        <v>9026.299999999999</v>
      </c>
      <c r="G455" s="8">
        <v>9026.299999999999</v>
      </c>
      <c r="H455" s="9">
        <f>(G455-F455)</f>
        <v>0.0</v>
      </c>
      <c r="I455" s="9" t="s">
        <v>119</v>
      </c>
      <c r="J455" s="9" t="s">
        <v>120</v>
      </c>
    </row>
    <row r="456" spans="1:12" ht="23" customHeight="1">
      <c r="A456" s="9" t="s">
        <v>121</v>
      </c>
      <c r="B456" s="6">
        <v>6</v>
      </c>
      <c r="C456" s="9" t="s">
        <v>10</v>
      </c>
      <c r="D456" s="6">
        <v>158</v>
      </c>
      <c r="E456" s="9" t="s">
        <v>122</v>
      </c>
      <c r="F456" s="11">
        <v>9026.299999999999</v>
      </c>
      <c r="G456" s="8">
        <v>9026.299999999999</v>
      </c>
      <c r="H456" s="9">
        <f>(G456-F456)</f>
        <v>0.0</v>
      </c>
      <c r="I456" s="9" t="s">
        <v>119</v>
      </c>
      <c r="J456" s="9" t="s">
        <v>120</v>
      </c>
    </row>
    <row r="457" spans="1:12" ht="23" customHeight="1">
      <c r="A457" s="9" t="s">
        <v>121</v>
      </c>
      <c r="B457" s="6">
        <v>6</v>
      </c>
      <c r="C457" s="9" t="s">
        <v>10</v>
      </c>
      <c r="D457" s="6">
        <v>158</v>
      </c>
      <c r="E457" s="9" t="s">
        <v>123</v>
      </c>
      <c r="F457" s="11">
        <v>9551.1</v>
      </c>
      <c r="G457" s="8">
        <v>9551.1</v>
      </c>
      <c r="H457" s="9">
        <f>(G457-F457)</f>
        <v>0.0</v>
      </c>
      <c r="I457" s="9" t="s">
        <v>119</v>
      </c>
      <c r="J457" s="9" t="s">
        <v>120</v>
      </c>
    </row>
    <row r="458" spans="1:12" ht="23" customHeight="1">
      <c r="A458" s="9" t="s">
        <v>121</v>
      </c>
      <c r="B458" s="6">
        <v>6</v>
      </c>
      <c r="C458" s="9" t="s">
        <v>10</v>
      </c>
      <c r="D458" s="6">
        <v>159</v>
      </c>
      <c r="E458" s="9" t="s">
        <v>122</v>
      </c>
      <c r="F458" s="11">
        <v>9551.1</v>
      </c>
      <c r="G458" s="8">
        <v>9551.1</v>
      </c>
      <c r="H458" s="9">
        <f>(G458-F458)</f>
        <v>0.0</v>
      </c>
      <c r="I458" s="9" t="s">
        <v>119</v>
      </c>
      <c r="J458" s="9" t="s">
        <v>120</v>
      </c>
    </row>
    <row r="459" spans="1:12" ht="23" customHeight="1">
      <c r="A459" s="9" t="s">
        <v>121</v>
      </c>
      <c r="B459" s="6">
        <v>6</v>
      </c>
      <c r="C459" s="9" t="s">
        <v>10</v>
      </c>
      <c r="D459" s="6">
        <v>159</v>
      </c>
      <c r="E459" s="9" t="s">
        <v>123</v>
      </c>
      <c r="F459" s="11">
        <v>10075.9</v>
      </c>
      <c r="G459" s="8">
        <v>10075.9</v>
      </c>
      <c r="H459" s="9">
        <f>(G459-F459)</f>
        <v>0.0</v>
      </c>
      <c r="I459" s="9" t="s">
        <v>119</v>
      </c>
      <c r="J459" s="9" t="s">
        <v>120</v>
      </c>
    </row>
    <row r="460" spans="1:12" ht="23" customHeight="1">
      <c r="A460" s="9" t="s">
        <v>121</v>
      </c>
      <c r="B460" s="6">
        <v>6</v>
      </c>
      <c r="C460" s="9" t="s">
        <v>10</v>
      </c>
      <c r="D460" s="6">
        <v>160</v>
      </c>
      <c r="E460" s="9" t="s">
        <v>122</v>
      </c>
      <c r="F460" s="11">
        <v>10075.9</v>
      </c>
      <c r="G460" s="8">
        <v>10075.9</v>
      </c>
      <c r="H460" s="9">
        <f>(G460-F460)</f>
        <v>0.0</v>
      </c>
      <c r="I460" s="9" t="s">
        <v>119</v>
      </c>
      <c r="J460" s="9" t="s">
        <v>120</v>
      </c>
    </row>
    <row r="461" spans="1:12" ht="23" customHeight="1">
      <c r="A461" s="9" t="s">
        <v>121</v>
      </c>
      <c r="B461" s="6">
        <v>6</v>
      </c>
      <c r="C461" s="9" t="s">
        <v>10</v>
      </c>
      <c r="D461" s="6">
        <v>160</v>
      </c>
      <c r="E461" s="9" t="s">
        <v>123</v>
      </c>
      <c r="F461" s="11">
        <v>10600.7</v>
      </c>
      <c r="G461" s="8">
        <v>10600.7</v>
      </c>
      <c r="H461" s="9">
        <f>(G461-F461)</f>
        <v>0.0</v>
      </c>
      <c r="I461" s="9" t="s">
        <v>119</v>
      </c>
      <c r="J461" s="9" t="s">
        <v>120</v>
      </c>
    </row>
    <row r="462" spans="1:12" ht="24" customHeight="1">
      <c r="A462" s="3" t="s">
        <v>107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36" customHeight="1">
      <c r="A463" s="4" t="s">
        <v>108</v>
      </c>
      <c r="B463" s="4" t="s">
        <v>8</v>
      </c>
      <c r="C463" s="4" t="s">
        <v>109</v>
      </c>
      <c r="D463" s="4" t="s">
        <v>110</v>
      </c>
      <c r="E463" s="4" t="s">
        <v>111</v>
      </c>
      <c r="F463" s="4" t="s">
        <v>112</v>
      </c>
      <c r="G463" s="4" t="s">
        <v>113</v>
      </c>
      <c r="H463" s="4" t="s">
        <v>114</v>
      </c>
      <c r="I463" s="4" t="s">
        <v>115</v>
      </c>
      <c r="J463" s="4" t="s">
        <v>116</v>
      </c>
    </row>
    <row r="464" spans="1:12" ht="23" customHeight="1">
      <c r="A464" s="9" t="s">
        <v>121</v>
      </c>
      <c r="B464" s="6">
        <v>6</v>
      </c>
      <c r="C464" s="9" t="s">
        <v>10</v>
      </c>
      <c r="D464" s="6">
        <v>161</v>
      </c>
      <c r="E464" s="9" t="s">
        <v>122</v>
      </c>
      <c r="F464" s="11">
        <v>10600.7</v>
      </c>
      <c r="G464" s="8">
        <v>10600.7</v>
      </c>
      <c r="H464" s="9">
        <f>(G464-F464)</f>
        <v>0.0</v>
      </c>
      <c r="I464" s="9" t="s">
        <v>119</v>
      </c>
      <c r="J464" s="9" t="s">
        <v>120</v>
      </c>
    </row>
    <row r="465" spans="1:12" ht="23" customHeight="1">
      <c r="A465" s="9" t="s">
        <v>121</v>
      </c>
      <c r="B465" s="6">
        <v>6</v>
      </c>
      <c r="C465" s="9" t="s">
        <v>10</v>
      </c>
      <c r="D465" s="6">
        <v>161</v>
      </c>
      <c r="E465" s="9" t="s">
        <v>123</v>
      </c>
      <c r="F465" s="11">
        <v>11125.5</v>
      </c>
      <c r="G465" s="8">
        <v>11125.5</v>
      </c>
      <c r="H465" s="9">
        <f>(G465-F465)</f>
        <v>0.0</v>
      </c>
      <c r="I465" s="9" t="s">
        <v>119</v>
      </c>
      <c r="J465" s="9" t="s">
        <v>120</v>
      </c>
    </row>
    <row r="466" spans="1:12" ht="23" customHeight="1">
      <c r="A466" s="9" t="s">
        <v>121</v>
      </c>
      <c r="B466" s="6">
        <v>6</v>
      </c>
      <c r="C466" s="9" t="s">
        <v>10</v>
      </c>
      <c r="D466" s="6">
        <v>162</v>
      </c>
      <c r="E466" s="9" t="s">
        <v>122</v>
      </c>
      <c r="F466" s="11">
        <v>4331.4</v>
      </c>
      <c r="G466" s="8">
        <v>4331.4</v>
      </c>
      <c r="H466" s="9">
        <f>(G466-F466)</f>
        <v>0.0</v>
      </c>
      <c r="I466" s="9" t="s">
        <v>119</v>
      </c>
      <c r="J466" s="9" t="s">
        <v>120</v>
      </c>
    </row>
    <row r="467" spans="1:12" ht="23" customHeight="1">
      <c r="A467" s="9" t="s">
        <v>121</v>
      </c>
      <c r="B467" s="6">
        <v>6</v>
      </c>
      <c r="C467" s="9" t="s">
        <v>10</v>
      </c>
      <c r="D467" s="6">
        <v>162</v>
      </c>
      <c r="E467" s="9" t="s">
        <v>123</v>
      </c>
      <c r="F467" s="11">
        <v>4331.4</v>
      </c>
      <c r="G467" s="8">
        <v>4331.4</v>
      </c>
      <c r="H467" s="9">
        <f>(G467-F467)</f>
        <v>0.0</v>
      </c>
      <c r="I467" s="9" t="s">
        <v>119</v>
      </c>
      <c r="J467" s="9" t="s">
        <v>120</v>
      </c>
    </row>
    <row r="468" spans="1:12" ht="23" customHeight="1">
      <c r="A468" s="9" t="s">
        <v>121</v>
      </c>
      <c r="B468" s="6">
        <v>6</v>
      </c>
      <c r="C468" s="9" t="s">
        <v>10</v>
      </c>
      <c r="D468" s="6">
        <v>163</v>
      </c>
      <c r="E468" s="9" t="s">
        <v>122</v>
      </c>
      <c r="F468" s="11">
        <v>3088.8</v>
      </c>
      <c r="G468" s="8">
        <v>3088.8</v>
      </c>
      <c r="H468" s="9">
        <f>(G468-F468)</f>
        <v>0.0</v>
      </c>
      <c r="I468" s="9" t="s">
        <v>119</v>
      </c>
      <c r="J468" s="9" t="s">
        <v>120</v>
      </c>
    </row>
    <row r="469" spans="1:12" ht="23" customHeight="1">
      <c r="A469" s="9" t="s">
        <v>121</v>
      </c>
      <c r="B469" s="6">
        <v>6</v>
      </c>
      <c r="C469" s="9" t="s">
        <v>10</v>
      </c>
      <c r="D469" s="6">
        <v>163</v>
      </c>
      <c r="E469" s="9" t="s">
        <v>123</v>
      </c>
      <c r="F469" s="11">
        <v>3088.8</v>
      </c>
      <c r="G469" s="8">
        <v>3088.8</v>
      </c>
      <c r="H469" s="9">
        <f>(G469-F469)</f>
        <v>0.0</v>
      </c>
      <c r="I469" s="9" t="s">
        <v>119</v>
      </c>
      <c r="J469" s="9" t="s">
        <v>120</v>
      </c>
    </row>
    <row r="470" spans="1:12" ht="23" customHeight="1">
      <c r="A470" s="9" t="s">
        <v>121</v>
      </c>
      <c r="B470" s="6">
        <v>6</v>
      </c>
      <c r="C470" s="9" t="s">
        <v>10</v>
      </c>
      <c r="D470" s="6">
        <v>164</v>
      </c>
      <c r="E470" s="9" t="s">
        <v>122</v>
      </c>
      <c r="F470" s="11">
        <v>3088.8</v>
      </c>
      <c r="G470" s="8">
        <v>3088.8</v>
      </c>
      <c r="H470" s="9">
        <f>(G470-F470)</f>
        <v>0.0</v>
      </c>
      <c r="I470" s="9" t="s">
        <v>119</v>
      </c>
      <c r="J470" s="9" t="s">
        <v>120</v>
      </c>
    </row>
    <row r="471" spans="1:12" ht="23" customHeight="1">
      <c r="A471" s="9" t="s">
        <v>121</v>
      </c>
      <c r="B471" s="6">
        <v>6</v>
      </c>
      <c r="C471" s="9" t="s">
        <v>10</v>
      </c>
      <c r="D471" s="6">
        <v>164</v>
      </c>
      <c r="E471" s="9" t="s">
        <v>123</v>
      </c>
      <c r="F471" s="11">
        <v>3088.8</v>
      </c>
      <c r="G471" s="8">
        <v>3088.8</v>
      </c>
      <c r="H471" s="9">
        <f>(G471-F471)</f>
        <v>0.0</v>
      </c>
      <c r="I471" s="9" t="s">
        <v>119</v>
      </c>
      <c r="J471" s="9" t="s">
        <v>120</v>
      </c>
    </row>
    <row r="472" spans="1:12" ht="23" customHeight="1">
      <c r="A472" s="9" t="s">
        <v>121</v>
      </c>
      <c r="B472" s="6">
        <v>6</v>
      </c>
      <c r="C472" s="9" t="s">
        <v>10</v>
      </c>
      <c r="D472" s="6">
        <v>165</v>
      </c>
      <c r="E472" s="9" t="s">
        <v>122</v>
      </c>
      <c r="F472" s="11">
        <v>3088.8</v>
      </c>
      <c r="G472" s="8">
        <v>3088.8</v>
      </c>
      <c r="H472" s="9">
        <f>(G472-F472)</f>
        <v>0.0</v>
      </c>
      <c r="I472" s="9" t="s">
        <v>119</v>
      </c>
      <c r="J472" s="9" t="s">
        <v>120</v>
      </c>
    </row>
    <row r="473" spans="1:12" ht="23" customHeight="1">
      <c r="A473" s="9" t="s">
        <v>121</v>
      </c>
      <c r="B473" s="6">
        <v>6</v>
      </c>
      <c r="C473" s="9" t="s">
        <v>10</v>
      </c>
      <c r="D473" s="6">
        <v>165</v>
      </c>
      <c r="E473" s="9" t="s">
        <v>123</v>
      </c>
      <c r="F473" s="11">
        <v>3088.8</v>
      </c>
      <c r="G473" s="8">
        <v>3088.8</v>
      </c>
      <c r="H473" s="9">
        <f>(G473-F473)</f>
        <v>0.0</v>
      </c>
      <c r="I473" s="9" t="s">
        <v>119</v>
      </c>
      <c r="J473" s="9" t="s">
        <v>120</v>
      </c>
    </row>
    <row r="474" spans="1:12" ht="23" customHeight="1">
      <c r="A474" s="9" t="s">
        <v>121</v>
      </c>
      <c r="B474" s="6">
        <v>6</v>
      </c>
      <c r="C474" s="9" t="s">
        <v>10</v>
      </c>
      <c r="D474" s="6">
        <v>166</v>
      </c>
      <c r="E474" s="9" t="s">
        <v>122</v>
      </c>
      <c r="F474" s="11">
        <v>3088.8</v>
      </c>
      <c r="G474" s="8">
        <v>3088.8</v>
      </c>
      <c r="H474" s="9">
        <f>(G474-F474)</f>
        <v>0.0</v>
      </c>
      <c r="I474" s="9" t="s">
        <v>119</v>
      </c>
      <c r="J474" s="9" t="s">
        <v>120</v>
      </c>
    </row>
    <row r="475" spans="1:12" ht="23" customHeight="1">
      <c r="A475" s="9" t="s">
        <v>121</v>
      </c>
      <c r="B475" s="6">
        <v>6</v>
      </c>
      <c r="C475" s="9" t="s">
        <v>10</v>
      </c>
      <c r="D475" s="6">
        <v>166</v>
      </c>
      <c r="E475" s="9" t="s">
        <v>123</v>
      </c>
      <c r="F475" s="11">
        <v>3088.8</v>
      </c>
      <c r="G475" s="8">
        <v>3088.8</v>
      </c>
      <c r="H475" s="9">
        <f>(G475-F475)</f>
        <v>0.0</v>
      </c>
      <c r="I475" s="9" t="s">
        <v>119</v>
      </c>
      <c r="J475" s="9" t="s">
        <v>120</v>
      </c>
    </row>
    <row r="476" spans="1:12" ht="23" customHeight="1">
      <c r="A476" s="9" t="s">
        <v>121</v>
      </c>
      <c r="B476" s="6">
        <v>6</v>
      </c>
      <c r="C476" s="9" t="s">
        <v>10</v>
      </c>
      <c r="D476" s="6">
        <v>167</v>
      </c>
      <c r="E476" s="9" t="s">
        <v>122</v>
      </c>
      <c r="F476" s="11">
        <v>3088.8</v>
      </c>
      <c r="G476" s="8">
        <v>3088.8</v>
      </c>
      <c r="H476" s="9">
        <f>(G476-F476)</f>
        <v>0.0</v>
      </c>
      <c r="I476" s="9" t="s">
        <v>119</v>
      </c>
      <c r="J476" s="9" t="s">
        <v>120</v>
      </c>
    </row>
    <row r="477" spans="1:12" ht="23" customHeight="1">
      <c r="A477" s="9" t="s">
        <v>121</v>
      </c>
      <c r="B477" s="6">
        <v>6</v>
      </c>
      <c r="C477" s="9" t="s">
        <v>10</v>
      </c>
      <c r="D477" s="6">
        <v>167</v>
      </c>
      <c r="E477" s="9" t="s">
        <v>123</v>
      </c>
      <c r="F477" s="11">
        <v>3088.8</v>
      </c>
      <c r="G477" s="8">
        <v>3088.8</v>
      </c>
      <c r="H477" s="9">
        <f>(G477-F477)</f>
        <v>0.0</v>
      </c>
      <c r="I477" s="9" t="s">
        <v>119</v>
      </c>
      <c r="J477" s="9" t="s">
        <v>120</v>
      </c>
    </row>
    <row r="478" spans="1:12" ht="23" customHeight="1">
      <c r="A478" s="9" t="s">
        <v>121</v>
      </c>
      <c r="B478" s="6">
        <v>6</v>
      </c>
      <c r="C478" s="9" t="s">
        <v>10</v>
      </c>
      <c r="D478" s="6">
        <v>168</v>
      </c>
      <c r="E478" s="9" t="s">
        <v>122</v>
      </c>
      <c r="F478" s="11">
        <v>3088.8</v>
      </c>
      <c r="G478" s="8">
        <v>3088.8</v>
      </c>
      <c r="H478" s="9">
        <f>(G478-F478)</f>
        <v>0.0</v>
      </c>
      <c r="I478" s="9" t="s">
        <v>119</v>
      </c>
      <c r="J478" s="9" t="s">
        <v>120</v>
      </c>
    </row>
    <row r="479" spans="1:12" ht="24" customHeight="1">
      <c r="A479" s="3" t="s">
        <v>107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36" customHeight="1">
      <c r="A480" s="4" t="s">
        <v>108</v>
      </c>
      <c r="B480" s="4" t="s">
        <v>8</v>
      </c>
      <c r="C480" s="4" t="s">
        <v>109</v>
      </c>
      <c r="D480" s="4" t="s">
        <v>110</v>
      </c>
      <c r="E480" s="4" t="s">
        <v>111</v>
      </c>
      <c r="F480" s="4" t="s">
        <v>112</v>
      </c>
      <c r="G480" s="4" t="s">
        <v>113</v>
      </c>
      <c r="H480" s="4" t="s">
        <v>114</v>
      </c>
      <c r="I480" s="4" t="s">
        <v>115</v>
      </c>
      <c r="J480" s="4" t="s">
        <v>116</v>
      </c>
    </row>
    <row r="481" spans="1:12" ht="23" customHeight="1">
      <c r="A481" s="9" t="s">
        <v>121</v>
      </c>
      <c r="B481" s="6">
        <v>6</v>
      </c>
      <c r="C481" s="9" t="s">
        <v>10</v>
      </c>
      <c r="D481" s="6">
        <v>168</v>
      </c>
      <c r="E481" s="9" t="s">
        <v>123</v>
      </c>
      <c r="F481" s="11">
        <v>3088.8</v>
      </c>
      <c r="G481" s="8">
        <v>3088.8</v>
      </c>
      <c r="H481" s="9">
        <f>(G481-F481)</f>
        <v>0.0</v>
      </c>
      <c r="I481" s="9" t="s">
        <v>119</v>
      </c>
      <c r="J481" s="9" t="s">
        <v>120</v>
      </c>
    </row>
    <row r="482" spans="1:12" ht="23" customHeight="1">
      <c r="A482" s="9" t="s">
        <v>121</v>
      </c>
      <c r="B482" s="6">
        <v>6</v>
      </c>
      <c r="C482" s="9" t="s">
        <v>10</v>
      </c>
      <c r="D482" s="6">
        <v>169</v>
      </c>
      <c r="E482" s="9" t="s">
        <v>122</v>
      </c>
      <c r="F482" s="11">
        <v>3088.8</v>
      </c>
      <c r="G482" s="8">
        <v>3088.8</v>
      </c>
      <c r="H482" s="9">
        <f>(G482-F482)</f>
        <v>0.0</v>
      </c>
      <c r="I482" s="9" t="s">
        <v>119</v>
      </c>
      <c r="J482" s="9" t="s">
        <v>120</v>
      </c>
    </row>
    <row r="483" spans="1:12" ht="23" customHeight="1">
      <c r="A483" s="9" t="s">
        <v>121</v>
      </c>
      <c r="B483" s="6">
        <v>6</v>
      </c>
      <c r="C483" s="9" t="s">
        <v>10</v>
      </c>
      <c r="D483" s="6">
        <v>169</v>
      </c>
      <c r="E483" s="9" t="s">
        <v>123</v>
      </c>
      <c r="F483" s="11">
        <v>3088.8</v>
      </c>
      <c r="G483" s="8">
        <v>3088.8</v>
      </c>
      <c r="H483" s="9">
        <f>(G483-F483)</f>
        <v>0.0</v>
      </c>
      <c r="I483" s="9" t="s">
        <v>119</v>
      </c>
      <c r="J483" s="9" t="s">
        <v>120</v>
      </c>
    </row>
    <row r="484" spans="1:12" ht="23" customHeight="1">
      <c r="A484" s="9" t="s">
        <v>121</v>
      </c>
      <c r="B484" s="6">
        <v>6</v>
      </c>
      <c r="C484" s="9" t="s">
        <v>10</v>
      </c>
      <c r="D484" s="6">
        <v>170</v>
      </c>
      <c r="E484" s="9" t="s">
        <v>122</v>
      </c>
      <c r="F484" s="11">
        <v>3088.8</v>
      </c>
      <c r="G484" s="8">
        <v>3088.8</v>
      </c>
      <c r="H484" s="9">
        <f>(G484-F484)</f>
        <v>0.0</v>
      </c>
      <c r="I484" s="9" t="s">
        <v>119</v>
      </c>
      <c r="J484" s="9" t="s">
        <v>120</v>
      </c>
    </row>
    <row r="485" spans="1:12" ht="23" customHeight="1">
      <c r="A485" s="9" t="s">
        <v>121</v>
      </c>
      <c r="B485" s="6">
        <v>6</v>
      </c>
      <c r="C485" s="9" t="s">
        <v>10</v>
      </c>
      <c r="D485" s="6">
        <v>170</v>
      </c>
      <c r="E485" s="9" t="s">
        <v>123</v>
      </c>
      <c r="F485" s="11">
        <v>3088.8</v>
      </c>
      <c r="G485" s="8">
        <v>3088.8</v>
      </c>
      <c r="H485" s="9">
        <f>(G485-F485)</f>
        <v>0.0</v>
      </c>
      <c r="I485" s="9" t="s">
        <v>119</v>
      </c>
      <c r="J485" s="9" t="s">
        <v>120</v>
      </c>
    </row>
    <row r="486" spans="1:12" ht="23" customHeight="1">
      <c r="A486" s="9" t="s">
        <v>121</v>
      </c>
      <c r="B486" s="6">
        <v>6</v>
      </c>
      <c r="C486" s="9" t="s">
        <v>10</v>
      </c>
      <c r="D486" s="6">
        <v>171</v>
      </c>
      <c r="E486" s="9" t="s">
        <v>122</v>
      </c>
      <c r="F486" s="11">
        <v>3088.8</v>
      </c>
      <c r="G486" s="8">
        <v>3088.8</v>
      </c>
      <c r="H486" s="9">
        <f>(G486-F486)</f>
        <v>0.0</v>
      </c>
      <c r="I486" s="9" t="s">
        <v>119</v>
      </c>
      <c r="J486" s="9" t="s">
        <v>120</v>
      </c>
    </row>
    <row r="487" spans="1:12" ht="23" customHeight="1">
      <c r="A487" s="9" t="s">
        <v>121</v>
      </c>
      <c r="B487" s="6">
        <v>6</v>
      </c>
      <c r="C487" s="9" t="s">
        <v>10</v>
      </c>
      <c r="D487" s="6">
        <v>171</v>
      </c>
      <c r="E487" s="9" t="s">
        <v>123</v>
      </c>
      <c r="F487" s="11">
        <v>3088.8</v>
      </c>
      <c r="G487" s="8">
        <v>3088.8</v>
      </c>
      <c r="H487" s="9">
        <f>(G487-F487)</f>
        <v>0.0</v>
      </c>
      <c r="I487" s="9" t="s">
        <v>119</v>
      </c>
      <c r="J487" s="9" t="s">
        <v>120</v>
      </c>
    </row>
    <row r="488" spans="1:12" ht="23" customHeight="1">
      <c r="A488" s="9" t="s">
        <v>99</v>
      </c>
      <c r="B488" s="6">
        <v>4</v>
      </c>
      <c r="C488" s="9" t="s">
        <v>90</v>
      </c>
      <c r="D488" s="6">
        <v>102</v>
      </c>
      <c r="E488" s="9" t="s">
        <v>93</v>
      </c>
      <c r="F488" s="6">
        <v>51629</v>
      </c>
      <c r="G488" s="7">
        <v>51629</v>
      </c>
      <c r="H488" s="9">
        <f>(G488-F488)</f>
        <v>0.0</v>
      </c>
      <c r="I488" s="9" t="s">
        <v>119</v>
      </c>
      <c r="J488" s="9" t="s">
        <v>120</v>
      </c>
    </row>
    <row r="489" spans="1:12" ht="23" customHeight="1">
      <c r="A489" s="9" t="s">
        <v>99</v>
      </c>
      <c r="B489" s="6">
        <v>4</v>
      </c>
      <c r="C489" s="9" t="s">
        <v>90</v>
      </c>
      <c r="D489" s="6">
        <v>102</v>
      </c>
      <c r="E489" s="9" t="s">
        <v>103</v>
      </c>
      <c r="F489" s="11">
        <v>433.8</v>
      </c>
      <c r="G489" s="8">
        <v>433.8</v>
      </c>
      <c r="H489" s="9">
        <f>(G489-F489)</f>
        <v>0.0</v>
      </c>
      <c r="I489" s="9" t="s">
        <v>119</v>
      </c>
      <c r="J489" s="9" t="s">
        <v>120</v>
      </c>
    </row>
    <row r="490" spans="1:12" ht="23" customHeight="1">
      <c r="A490" s="9" t="s">
        <v>99</v>
      </c>
      <c r="B490" s="6">
        <v>4</v>
      </c>
      <c r="C490" s="9" t="s">
        <v>90</v>
      </c>
      <c r="D490" s="6">
        <v>102</v>
      </c>
      <c r="E490" s="9" t="s">
        <v>104</v>
      </c>
      <c r="F490" s="11">
        <v>433.8</v>
      </c>
      <c r="G490" s="8">
        <v>433.8</v>
      </c>
      <c r="H490" s="9">
        <f>(G490-F490)</f>
        <v>0.0</v>
      </c>
      <c r="I490" s="9" t="s">
        <v>119</v>
      </c>
      <c r="J490" s="9" t="s">
        <v>120</v>
      </c>
    </row>
    <row r="491" spans="1:12" ht="23" customHeight="1">
      <c r="A491" s="9" t="s">
        <v>99</v>
      </c>
      <c r="B491" s="6">
        <v>4</v>
      </c>
      <c r="C491" s="9" t="s">
        <v>90</v>
      </c>
      <c r="D491" s="6">
        <v>102</v>
      </c>
      <c r="E491" s="9" t="s">
        <v>94</v>
      </c>
      <c r="F491" s="6">
        <v>51629</v>
      </c>
      <c r="G491" s="7">
        <v>51629</v>
      </c>
      <c r="H491" s="9">
        <f>(G491-F491)</f>
        <v>0.0</v>
      </c>
      <c r="I491" s="9" t="s">
        <v>119</v>
      </c>
      <c r="J491" s="9" t="s">
        <v>120</v>
      </c>
    </row>
    <row r="492" spans="1:12" ht="23" customHeight="1">
      <c r="A492" s="9" t="s">
        <v>99</v>
      </c>
      <c r="B492" s="6">
        <v>4</v>
      </c>
      <c r="C492" s="9" t="s">
        <v>90</v>
      </c>
      <c r="D492" s="6">
        <v>102</v>
      </c>
      <c r="E492" s="9" t="s">
        <v>105</v>
      </c>
      <c r="F492" s="11">
        <v>433.8</v>
      </c>
      <c r="G492" s="8">
        <v>433.8</v>
      </c>
      <c r="H492" s="9">
        <f>(G492-F492)</f>
        <v>0.0</v>
      </c>
      <c r="I492" s="9" t="s">
        <v>119</v>
      </c>
      <c r="J492" s="9" t="s">
        <v>120</v>
      </c>
    </row>
    <row r="493" spans="1:12" ht="23" customHeight="1">
      <c r="A493" s="9" t="s">
        <v>99</v>
      </c>
      <c r="B493" s="6">
        <v>4</v>
      </c>
      <c r="C493" s="9" t="s">
        <v>90</v>
      </c>
      <c r="D493" s="6">
        <v>102</v>
      </c>
      <c r="E493" s="9" t="s">
        <v>106</v>
      </c>
      <c r="F493" s="11">
        <v>433.8</v>
      </c>
      <c r="G493" s="8">
        <v>433.8</v>
      </c>
      <c r="H493" s="9">
        <f>(G493-F493)</f>
        <v>0.0</v>
      </c>
      <c r="I493" s="9" t="s">
        <v>119</v>
      </c>
      <c r="J493" s="9" t="s">
        <v>120</v>
      </c>
    </row>
    <row r="494" spans="1:12" ht="23" customHeight="1">
      <c r="A494" s="9" t="s">
        <v>99</v>
      </c>
      <c r="B494" s="6">
        <v>4</v>
      </c>
      <c r="C494" s="9" t="s">
        <v>90</v>
      </c>
      <c r="D494" s="6">
        <v>102</v>
      </c>
      <c r="E494" s="9" t="s">
        <v>95</v>
      </c>
      <c r="F494" s="6">
        <v>51629</v>
      </c>
      <c r="G494" s="7">
        <v>51629</v>
      </c>
      <c r="H494" s="9">
        <f>(G494-F494)</f>
        <v>0.0</v>
      </c>
      <c r="I494" s="9" t="s">
        <v>119</v>
      </c>
      <c r="J494" s="9" t="s">
        <v>120</v>
      </c>
    </row>
    <row r="495" spans="1:12" ht="23" customHeight="1">
      <c r="A495" s="9" t="s">
        <v>99</v>
      </c>
      <c r="B495" s="6">
        <v>4</v>
      </c>
      <c r="C495" s="9" t="s">
        <v>90</v>
      </c>
      <c r="D495" s="6">
        <v>102</v>
      </c>
      <c r="E495" s="9" t="s">
        <v>96</v>
      </c>
      <c r="F495" s="6">
        <v>51629</v>
      </c>
      <c r="G495" s="7">
        <v>51629</v>
      </c>
      <c r="H495" s="9">
        <f>(G495-F495)</f>
        <v>0.0</v>
      </c>
      <c r="I495" s="9" t="s">
        <v>119</v>
      </c>
      <c r="J495" s="9" t="s">
        <v>120</v>
      </c>
    </row>
    <row r="496" spans="1:12" ht="24" customHeight="1">
      <c r="A496" s="3" t="s">
        <v>107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0" ht="36" customHeight="1">
      <c r="A497" s="4" t="s">
        <v>108</v>
      </c>
      <c r="B497" s="4" t="s">
        <v>8</v>
      </c>
      <c r="C497" s="4" t="s">
        <v>109</v>
      </c>
      <c r="D497" s="4" t="s">
        <v>110</v>
      </c>
      <c r="E497" s="4" t="s">
        <v>111</v>
      </c>
      <c r="F497" s="4" t="s">
        <v>112</v>
      </c>
      <c r="G497" s="4" t="s">
        <v>113</v>
      </c>
      <c r="H497" s="4" t="s">
        <v>114</v>
      </c>
      <c r="I497" s="4" t="s">
        <v>115</v>
      </c>
      <c r="J497" s="4" t="s">
        <v>116</v>
      </c>
    </row>
    <row r="498" spans="1:10" ht="23" customHeight="1">
      <c r="A498" s="9" t="s">
        <v>99</v>
      </c>
      <c r="B498" s="6">
        <v>4</v>
      </c>
      <c r="C498" s="9" t="s">
        <v>90</v>
      </c>
      <c r="D498" s="6">
        <v>102</v>
      </c>
      <c r="E498" s="9" t="s">
        <v>97</v>
      </c>
      <c r="F498" s="6">
        <v>51629</v>
      </c>
      <c r="G498" s="7">
        <v>51629</v>
      </c>
      <c r="H498" s="9">
        <f>(G498-F498)</f>
        <v>0.0</v>
      </c>
      <c r="I498" s="9" t="s">
        <v>119</v>
      </c>
      <c r="J498" s="9" t="s">
        <v>120</v>
      </c>
    </row>
    <row r="499" spans="1:10" ht="23" customHeight="1">
      <c r="A499" s="9" t="s">
        <v>99</v>
      </c>
      <c r="B499" s="6">
        <v>4</v>
      </c>
      <c r="C499" s="9" t="s">
        <v>90</v>
      </c>
      <c r="D499" s="6">
        <v>102</v>
      </c>
      <c r="E499" s="9" t="s">
        <v>98</v>
      </c>
      <c r="F499" s="6">
        <v>51629</v>
      </c>
      <c r="G499" s="7">
        <v>51629</v>
      </c>
      <c r="H499" s="9">
        <f>(G499-F499)</f>
        <v>0.0</v>
      </c>
      <c r="I499" s="9" t="s">
        <v>119</v>
      </c>
      <c r="J499" s="9" t="s">
        <v>120</v>
      </c>
    </row>
    <row r="500" spans="1:10" ht="23" customHeight="1">
      <c r="A500" s="9" t="s">
        <v>99</v>
      </c>
      <c r="B500" s="6">
        <v>4</v>
      </c>
      <c r="C500" s="9" t="s">
        <v>90</v>
      </c>
      <c r="D500" s="6">
        <v>103</v>
      </c>
      <c r="E500" s="9" t="s">
        <v>93</v>
      </c>
      <c r="F500" s="6">
        <v>145626</v>
      </c>
      <c r="G500" s="7">
        <v>145626</v>
      </c>
      <c r="H500" s="9">
        <f>(G500-F500)</f>
        <v>0.0</v>
      </c>
      <c r="I500" s="9" t="s">
        <v>119</v>
      </c>
      <c r="J500" s="9" t="s">
        <v>120</v>
      </c>
    </row>
    <row r="501" spans="1:10" ht="23" customHeight="1">
      <c r="A501" s="9" t="s">
        <v>99</v>
      </c>
      <c r="B501" s="6">
        <v>4</v>
      </c>
      <c r="C501" s="9" t="s">
        <v>90</v>
      </c>
      <c r="D501" s="6">
        <v>103</v>
      </c>
      <c r="E501" s="9" t="s">
        <v>103</v>
      </c>
      <c r="F501" s="6">
        <v>1835</v>
      </c>
      <c r="G501" s="7">
        <v>1835</v>
      </c>
      <c r="H501" s="9">
        <f>(G501-F501)</f>
        <v>0.0</v>
      </c>
      <c r="I501" s="9" t="s">
        <v>119</v>
      </c>
      <c r="J501" s="9" t="s">
        <v>120</v>
      </c>
    </row>
    <row r="502" spans="1:10" ht="23" customHeight="1">
      <c r="A502" s="9" t="s">
        <v>99</v>
      </c>
      <c r="B502" s="6">
        <v>4</v>
      </c>
      <c r="C502" s="9" t="s">
        <v>90</v>
      </c>
      <c r="D502" s="6">
        <v>103</v>
      </c>
      <c r="E502" s="9" t="s">
        <v>104</v>
      </c>
      <c r="F502" s="6">
        <v>1835</v>
      </c>
      <c r="G502" s="7">
        <v>1835</v>
      </c>
      <c r="H502" s="9">
        <f>(G502-F502)</f>
        <v>0.0</v>
      </c>
      <c r="I502" s="9" t="s">
        <v>119</v>
      </c>
      <c r="J502" s="9" t="s">
        <v>120</v>
      </c>
    </row>
    <row r="503" spans="1:10" ht="23" customHeight="1">
      <c r="A503" s="9" t="s">
        <v>99</v>
      </c>
      <c r="B503" s="6">
        <v>4</v>
      </c>
      <c r="C503" s="9" t="s">
        <v>90</v>
      </c>
      <c r="D503" s="6">
        <v>103</v>
      </c>
      <c r="E503" s="9" t="s">
        <v>94</v>
      </c>
      <c r="F503" s="6">
        <v>145626</v>
      </c>
      <c r="G503" s="7">
        <v>145626</v>
      </c>
      <c r="H503" s="9">
        <f>(G503-F503)</f>
        <v>0.0</v>
      </c>
      <c r="I503" s="9" t="s">
        <v>119</v>
      </c>
      <c r="J503" s="9" t="s">
        <v>120</v>
      </c>
    </row>
    <row r="504" spans="1:10" ht="23" customHeight="1">
      <c r="A504" s="9" t="s">
        <v>99</v>
      </c>
      <c r="B504" s="6">
        <v>4</v>
      </c>
      <c r="C504" s="9" t="s">
        <v>90</v>
      </c>
      <c r="D504" s="6">
        <v>103</v>
      </c>
      <c r="E504" s="9" t="s">
        <v>105</v>
      </c>
      <c r="F504" s="6">
        <v>1835</v>
      </c>
      <c r="G504" s="7">
        <v>1835</v>
      </c>
      <c r="H504" s="9">
        <f>(G504-F504)</f>
        <v>0.0</v>
      </c>
      <c r="I504" s="9" t="s">
        <v>119</v>
      </c>
      <c r="J504" s="9" t="s">
        <v>120</v>
      </c>
    </row>
    <row r="505" spans="1:10" ht="23" customHeight="1">
      <c r="A505" s="9" t="s">
        <v>99</v>
      </c>
      <c r="B505" s="6">
        <v>4</v>
      </c>
      <c r="C505" s="9" t="s">
        <v>90</v>
      </c>
      <c r="D505" s="6">
        <v>103</v>
      </c>
      <c r="E505" s="9" t="s">
        <v>106</v>
      </c>
      <c r="F505" s="6">
        <v>1835</v>
      </c>
      <c r="G505" s="7">
        <v>1835</v>
      </c>
      <c r="H505" s="9">
        <f>(G505-F505)</f>
        <v>0.0</v>
      </c>
      <c r="I505" s="9" t="s">
        <v>119</v>
      </c>
      <c r="J505" s="9" t="s">
        <v>120</v>
      </c>
    </row>
    <row r="506" spans="1:10" ht="23" customHeight="1">
      <c r="A506" s="9" t="s">
        <v>99</v>
      </c>
      <c r="B506" s="6">
        <v>4</v>
      </c>
      <c r="C506" s="9" t="s">
        <v>90</v>
      </c>
      <c r="D506" s="6">
        <v>103</v>
      </c>
      <c r="E506" s="9" t="s">
        <v>95</v>
      </c>
      <c r="F506" s="6">
        <v>145626</v>
      </c>
      <c r="G506" s="7">
        <v>145626</v>
      </c>
      <c r="H506" s="9">
        <f>(G506-F506)</f>
        <v>0.0</v>
      </c>
      <c r="I506" s="9" t="s">
        <v>119</v>
      </c>
      <c r="J506" s="9" t="s">
        <v>120</v>
      </c>
    </row>
    <row r="507" spans="1:10" ht="23" customHeight="1">
      <c r="A507" s="9" t="s">
        <v>99</v>
      </c>
      <c r="B507" s="6">
        <v>4</v>
      </c>
      <c r="C507" s="9" t="s">
        <v>90</v>
      </c>
      <c r="D507" s="6">
        <v>103</v>
      </c>
      <c r="E507" s="9" t="s">
        <v>96</v>
      </c>
      <c r="F507" s="6">
        <v>145626</v>
      </c>
      <c r="G507" s="7">
        <v>145626</v>
      </c>
      <c r="H507" s="9">
        <f>(G507-F507)</f>
        <v>0.0</v>
      </c>
      <c r="I507" s="9" t="s">
        <v>119</v>
      </c>
      <c r="J507" s="9" t="s">
        <v>120</v>
      </c>
    </row>
    <row r="508" spans="1:10" ht="23" customHeight="1">
      <c r="A508" s="9" t="s">
        <v>99</v>
      </c>
      <c r="B508" s="6">
        <v>4</v>
      </c>
      <c r="C508" s="9" t="s">
        <v>90</v>
      </c>
      <c r="D508" s="6">
        <v>103</v>
      </c>
      <c r="E508" s="9" t="s">
        <v>97</v>
      </c>
      <c r="F508" s="6">
        <v>145626</v>
      </c>
      <c r="G508" s="7">
        <v>145626</v>
      </c>
      <c r="H508" s="9">
        <f>(G508-F508)</f>
        <v>0.0</v>
      </c>
      <c r="I508" s="9" t="s">
        <v>119</v>
      </c>
      <c r="J508" s="9" t="s">
        <v>120</v>
      </c>
    </row>
    <row r="509" spans="1:10" ht="23" customHeight="1">
      <c r="A509" s="9" t="s">
        <v>99</v>
      </c>
      <c r="B509" s="6">
        <v>4</v>
      </c>
      <c r="C509" s="9" t="s">
        <v>90</v>
      </c>
      <c r="D509" s="6">
        <v>103</v>
      </c>
      <c r="E509" s="9" t="s">
        <v>98</v>
      </c>
      <c r="F509" s="6">
        <v>145626</v>
      </c>
      <c r="G509" s="7">
        <v>145626</v>
      </c>
      <c r="H509" s="9">
        <f>(G509-F509)</f>
        <v>0.0</v>
      </c>
      <c r="I509" s="9" t="s">
        <v>119</v>
      </c>
      <c r="J509" s="9" t="s">
        <v>120</v>
      </c>
    </row>
    <row r="510" spans="1:10" ht="23" customHeight="1">
      <c r="A510" s="9" t="s">
        <v>99</v>
      </c>
      <c r="B510" s="6">
        <v>4</v>
      </c>
      <c r="C510" s="9" t="s">
        <v>90</v>
      </c>
      <c r="D510" s="6">
        <v>104</v>
      </c>
      <c r="E510" s="9" t="s">
        <v>93</v>
      </c>
      <c r="F510" s="6">
        <v>155634</v>
      </c>
      <c r="G510" s="7">
        <v>155634</v>
      </c>
      <c r="H510" s="9">
        <f>(G510-F510)</f>
        <v>0.0</v>
      </c>
      <c r="I510" s="9" t="s">
        <v>119</v>
      </c>
      <c r="J510" s="9" t="s">
        <v>120</v>
      </c>
    </row>
    <row r="511" spans="1:10" ht="23" customHeight="1">
      <c r="A511" s="9" t="s">
        <v>99</v>
      </c>
      <c r="B511" s="6">
        <v>4</v>
      </c>
      <c r="C511" s="9" t="s">
        <v>90</v>
      </c>
      <c r="D511" s="6">
        <v>104</v>
      </c>
      <c r="E511" s="9" t="s">
        <v>103</v>
      </c>
      <c r="F511" s="11">
        <v>1794.4</v>
      </c>
      <c r="G511" s="8">
        <v>1794.4</v>
      </c>
      <c r="H511" s="9">
        <f>(G511-F511)</f>
        <v>0.0</v>
      </c>
      <c r="I511" s="9" t="s">
        <v>119</v>
      </c>
      <c r="J511" s="9" t="s">
        <v>120</v>
      </c>
    </row>
    <row r="512" spans="1:10" ht="23" customHeight="1">
      <c r="A512" s="9" t="s">
        <v>99</v>
      </c>
      <c r="B512" s="6">
        <v>4</v>
      </c>
      <c r="C512" s="9" t="s">
        <v>90</v>
      </c>
      <c r="D512" s="6">
        <v>104</v>
      </c>
      <c r="E512" s="9" t="s">
        <v>104</v>
      </c>
      <c r="F512" s="11">
        <v>1794.4</v>
      </c>
      <c r="G512" s="8">
        <v>1794.4</v>
      </c>
      <c r="H512" s="9">
        <f>(G512-F512)</f>
        <v>0.0</v>
      </c>
      <c r="I512" s="9" t="s">
        <v>119</v>
      </c>
      <c r="J512" s="9" t="s">
        <v>120</v>
      </c>
    </row>
    <row r="513" spans="1:12" ht="24" customHeight="1">
      <c r="A513" s="3" t="s">
        <v>107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36" customHeight="1">
      <c r="A514" s="4" t="s">
        <v>108</v>
      </c>
      <c r="B514" s="4" t="s">
        <v>8</v>
      </c>
      <c r="C514" s="4" t="s">
        <v>109</v>
      </c>
      <c r="D514" s="4" t="s">
        <v>110</v>
      </c>
      <c r="E514" s="4" t="s">
        <v>111</v>
      </c>
      <c r="F514" s="4" t="s">
        <v>112</v>
      </c>
      <c r="G514" s="4" t="s">
        <v>113</v>
      </c>
      <c r="H514" s="4" t="s">
        <v>114</v>
      </c>
      <c r="I514" s="4" t="s">
        <v>115</v>
      </c>
      <c r="J514" s="4" t="s">
        <v>116</v>
      </c>
    </row>
    <row r="515" spans="1:12" ht="23" customHeight="1">
      <c r="A515" s="9" t="s">
        <v>99</v>
      </c>
      <c r="B515" s="6">
        <v>4</v>
      </c>
      <c r="C515" s="9" t="s">
        <v>90</v>
      </c>
      <c r="D515" s="6">
        <v>104</v>
      </c>
      <c r="E515" s="9" t="s">
        <v>94</v>
      </c>
      <c r="F515" s="6">
        <v>155634</v>
      </c>
      <c r="G515" s="7">
        <v>155634</v>
      </c>
      <c r="H515" s="9">
        <f>(G515-F515)</f>
        <v>0.0</v>
      </c>
      <c r="I515" s="9" t="s">
        <v>119</v>
      </c>
      <c r="J515" s="9" t="s">
        <v>120</v>
      </c>
    </row>
    <row r="516" spans="1:12" ht="23" customHeight="1">
      <c r="A516" s="9" t="s">
        <v>99</v>
      </c>
      <c r="B516" s="6">
        <v>4</v>
      </c>
      <c r="C516" s="9" t="s">
        <v>90</v>
      </c>
      <c r="D516" s="6">
        <v>104</v>
      </c>
      <c r="E516" s="9" t="s">
        <v>105</v>
      </c>
      <c r="F516" s="11">
        <v>1794.4</v>
      </c>
      <c r="G516" s="8">
        <v>1794.4</v>
      </c>
      <c r="H516" s="9">
        <f>(G516-F516)</f>
        <v>0.0</v>
      </c>
      <c r="I516" s="9" t="s">
        <v>119</v>
      </c>
      <c r="J516" s="9" t="s">
        <v>120</v>
      </c>
    </row>
    <row r="517" spans="1:12" ht="23" customHeight="1">
      <c r="A517" s="9" t="s">
        <v>99</v>
      </c>
      <c r="B517" s="6">
        <v>4</v>
      </c>
      <c r="C517" s="9" t="s">
        <v>90</v>
      </c>
      <c r="D517" s="6">
        <v>104</v>
      </c>
      <c r="E517" s="9" t="s">
        <v>106</v>
      </c>
      <c r="F517" s="11">
        <v>1794.4</v>
      </c>
      <c r="G517" s="8">
        <v>1794.4</v>
      </c>
      <c r="H517" s="9">
        <f>(G517-F517)</f>
        <v>0.0</v>
      </c>
      <c r="I517" s="9" t="s">
        <v>119</v>
      </c>
      <c r="J517" s="9" t="s">
        <v>120</v>
      </c>
    </row>
    <row r="518" spans="1:12" ht="23" customHeight="1">
      <c r="A518" s="9" t="s">
        <v>99</v>
      </c>
      <c r="B518" s="6">
        <v>4</v>
      </c>
      <c r="C518" s="9" t="s">
        <v>90</v>
      </c>
      <c r="D518" s="6">
        <v>104</v>
      </c>
      <c r="E518" s="9" t="s">
        <v>95</v>
      </c>
      <c r="F518" s="6">
        <v>155634</v>
      </c>
      <c r="G518" s="7">
        <v>155634</v>
      </c>
      <c r="H518" s="9">
        <f>(G518-F518)</f>
        <v>0.0</v>
      </c>
      <c r="I518" s="9" t="s">
        <v>119</v>
      </c>
      <c r="J518" s="9" t="s">
        <v>120</v>
      </c>
    </row>
    <row r="519" spans="1:12" ht="23" customHeight="1">
      <c r="A519" s="9" t="s">
        <v>99</v>
      </c>
      <c r="B519" s="6">
        <v>4</v>
      </c>
      <c r="C519" s="9" t="s">
        <v>90</v>
      </c>
      <c r="D519" s="6">
        <v>104</v>
      </c>
      <c r="E519" s="9" t="s">
        <v>96</v>
      </c>
      <c r="F519" s="6">
        <v>155634</v>
      </c>
      <c r="G519" s="7">
        <v>155634</v>
      </c>
      <c r="H519" s="9">
        <f>(G519-F519)</f>
        <v>0.0</v>
      </c>
      <c r="I519" s="9" t="s">
        <v>119</v>
      </c>
      <c r="J519" s="9" t="s">
        <v>120</v>
      </c>
    </row>
    <row r="520" spans="1:12" ht="23" customHeight="1">
      <c r="A520" s="9" t="s">
        <v>99</v>
      </c>
      <c r="B520" s="6">
        <v>4</v>
      </c>
      <c r="C520" s="9" t="s">
        <v>90</v>
      </c>
      <c r="D520" s="6">
        <v>104</v>
      </c>
      <c r="E520" s="9" t="s">
        <v>97</v>
      </c>
      <c r="F520" s="6">
        <v>155634</v>
      </c>
      <c r="G520" s="7">
        <v>155634</v>
      </c>
      <c r="H520" s="9">
        <f>(G520-F520)</f>
        <v>0.0</v>
      </c>
      <c r="I520" s="9" t="s">
        <v>119</v>
      </c>
      <c r="J520" s="9" t="s">
        <v>120</v>
      </c>
    </row>
    <row r="521" spans="1:12" ht="23" customHeight="1">
      <c r="A521" s="9" t="s">
        <v>99</v>
      </c>
      <c r="B521" s="6">
        <v>4</v>
      </c>
      <c r="C521" s="9" t="s">
        <v>90</v>
      </c>
      <c r="D521" s="6">
        <v>104</v>
      </c>
      <c r="E521" s="9" t="s">
        <v>98</v>
      </c>
      <c r="F521" s="6">
        <v>155634</v>
      </c>
      <c r="G521" s="7">
        <v>155634</v>
      </c>
      <c r="H521" s="9">
        <f>(G521-F521)</f>
        <v>0.0</v>
      </c>
      <c r="I521" s="9" t="s">
        <v>119</v>
      </c>
      <c r="J521" s="9" t="s">
        <v>120</v>
      </c>
    </row>
    <row r="522" spans="1:12" ht="23" customHeight="1">
      <c r="A522" s="9" t="s">
        <v>99</v>
      </c>
      <c r="B522" s="6">
        <v>4</v>
      </c>
      <c r="C522" s="9" t="s">
        <v>90</v>
      </c>
      <c r="D522" s="6">
        <v>105</v>
      </c>
      <c r="E522" s="9" t="s">
        <v>93</v>
      </c>
      <c r="F522" s="6">
        <v>223257</v>
      </c>
      <c r="G522" s="7">
        <v>223257</v>
      </c>
      <c r="H522" s="9">
        <f>(G522-F522)</f>
        <v>0.0</v>
      </c>
      <c r="I522" s="9" t="s">
        <v>119</v>
      </c>
      <c r="J522" s="9" t="s">
        <v>120</v>
      </c>
    </row>
    <row r="523" spans="1:12" ht="23" customHeight="1">
      <c r="A523" s="9" t="s">
        <v>99</v>
      </c>
      <c r="B523" s="6">
        <v>4</v>
      </c>
      <c r="C523" s="9" t="s">
        <v>90</v>
      </c>
      <c r="D523" s="6">
        <v>105</v>
      </c>
      <c r="E523" s="9" t="s">
        <v>103</v>
      </c>
      <c r="F523" s="6">
        <v>2313</v>
      </c>
      <c r="G523" s="7">
        <v>2313</v>
      </c>
      <c r="H523" s="9">
        <f>(G523-F523)</f>
        <v>0.0</v>
      </c>
      <c r="I523" s="9" t="s">
        <v>119</v>
      </c>
      <c r="J523" s="9" t="s">
        <v>120</v>
      </c>
    </row>
    <row r="524" spans="1:12" ht="23" customHeight="1">
      <c r="A524" s="9" t="s">
        <v>99</v>
      </c>
      <c r="B524" s="6">
        <v>4</v>
      </c>
      <c r="C524" s="9" t="s">
        <v>90</v>
      </c>
      <c r="D524" s="6">
        <v>105</v>
      </c>
      <c r="E524" s="9" t="s">
        <v>104</v>
      </c>
      <c r="F524" s="6">
        <v>2313</v>
      </c>
      <c r="G524" s="7">
        <v>2313</v>
      </c>
      <c r="H524" s="9">
        <f>(G524-F524)</f>
        <v>0.0</v>
      </c>
      <c r="I524" s="9" t="s">
        <v>119</v>
      </c>
      <c r="J524" s="9" t="s">
        <v>120</v>
      </c>
    </row>
    <row r="525" spans="1:12" ht="23" customHeight="1">
      <c r="A525" s="9" t="s">
        <v>99</v>
      </c>
      <c r="B525" s="6">
        <v>4</v>
      </c>
      <c r="C525" s="9" t="s">
        <v>90</v>
      </c>
      <c r="D525" s="6">
        <v>105</v>
      </c>
      <c r="E525" s="9" t="s">
        <v>94</v>
      </c>
      <c r="F525" s="6">
        <v>223257</v>
      </c>
      <c r="G525" s="7">
        <v>223257</v>
      </c>
      <c r="H525" s="9">
        <f>(G525-F525)</f>
        <v>0.0</v>
      </c>
      <c r="I525" s="9" t="s">
        <v>119</v>
      </c>
      <c r="J525" s="9" t="s">
        <v>120</v>
      </c>
    </row>
    <row r="526" spans="1:12" ht="23" customHeight="1">
      <c r="A526" s="9" t="s">
        <v>99</v>
      </c>
      <c r="B526" s="6">
        <v>4</v>
      </c>
      <c r="C526" s="9" t="s">
        <v>90</v>
      </c>
      <c r="D526" s="6">
        <v>105</v>
      </c>
      <c r="E526" s="9" t="s">
        <v>105</v>
      </c>
      <c r="F526" s="6">
        <v>2313</v>
      </c>
      <c r="G526" s="7">
        <v>2313</v>
      </c>
      <c r="H526" s="9">
        <f>(G526-F526)</f>
        <v>0.0</v>
      </c>
      <c r="I526" s="9" t="s">
        <v>119</v>
      </c>
      <c r="J526" s="9" t="s">
        <v>120</v>
      </c>
    </row>
    <row r="527" spans="1:12" ht="23" customHeight="1">
      <c r="A527" s="9" t="s">
        <v>99</v>
      </c>
      <c r="B527" s="6">
        <v>4</v>
      </c>
      <c r="C527" s="9" t="s">
        <v>90</v>
      </c>
      <c r="D527" s="6">
        <v>105</v>
      </c>
      <c r="E527" s="9" t="s">
        <v>106</v>
      </c>
      <c r="F527" s="6">
        <v>2313</v>
      </c>
      <c r="G527" s="7">
        <v>2313</v>
      </c>
      <c r="H527" s="9">
        <f>(G527-F527)</f>
        <v>0.0</v>
      </c>
      <c r="I527" s="9" t="s">
        <v>119</v>
      </c>
      <c r="J527" s="9" t="s">
        <v>120</v>
      </c>
    </row>
    <row r="528" spans="1:12" ht="23" customHeight="1">
      <c r="A528" s="9" t="s">
        <v>99</v>
      </c>
      <c r="B528" s="6">
        <v>4</v>
      </c>
      <c r="C528" s="9" t="s">
        <v>90</v>
      </c>
      <c r="D528" s="6">
        <v>105</v>
      </c>
      <c r="E528" s="9" t="s">
        <v>95</v>
      </c>
      <c r="F528" s="6">
        <v>223257</v>
      </c>
      <c r="G528" s="7">
        <v>223257</v>
      </c>
      <c r="H528" s="9">
        <f>(G528-F528)</f>
        <v>0.0</v>
      </c>
      <c r="I528" s="9" t="s">
        <v>119</v>
      </c>
      <c r="J528" s="9" t="s">
        <v>120</v>
      </c>
    </row>
    <row r="529" spans="1:12" ht="23" customHeight="1">
      <c r="A529" s="9" t="s">
        <v>99</v>
      </c>
      <c r="B529" s="6">
        <v>4</v>
      </c>
      <c r="C529" s="9" t="s">
        <v>90</v>
      </c>
      <c r="D529" s="6">
        <v>105</v>
      </c>
      <c r="E529" s="9" t="s">
        <v>96</v>
      </c>
      <c r="F529" s="6">
        <v>223257</v>
      </c>
      <c r="G529" s="7">
        <v>223257</v>
      </c>
      <c r="H529" s="9">
        <f>(G529-F529)</f>
        <v>0.0</v>
      </c>
      <c r="I529" s="9" t="s">
        <v>119</v>
      </c>
      <c r="J529" s="9" t="s">
        <v>120</v>
      </c>
    </row>
    <row r="530" spans="1:12" ht="24" customHeight="1">
      <c r="A530" s="3" t="s">
        <v>107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36" customHeight="1">
      <c r="A531" s="4" t="s">
        <v>108</v>
      </c>
      <c r="B531" s="4" t="s">
        <v>8</v>
      </c>
      <c r="C531" s="4" t="s">
        <v>109</v>
      </c>
      <c r="D531" s="4" t="s">
        <v>110</v>
      </c>
      <c r="E531" s="4" t="s">
        <v>111</v>
      </c>
      <c r="F531" s="4" t="s">
        <v>112</v>
      </c>
      <c r="G531" s="4" t="s">
        <v>113</v>
      </c>
      <c r="H531" s="4" t="s">
        <v>114</v>
      </c>
      <c r="I531" s="4" t="s">
        <v>115</v>
      </c>
      <c r="J531" s="4" t="s">
        <v>116</v>
      </c>
    </row>
    <row r="532" spans="1:12" ht="23" customHeight="1">
      <c r="A532" s="9" t="s">
        <v>99</v>
      </c>
      <c r="B532" s="6">
        <v>4</v>
      </c>
      <c r="C532" s="9" t="s">
        <v>90</v>
      </c>
      <c r="D532" s="6">
        <v>105</v>
      </c>
      <c r="E532" s="9" t="s">
        <v>97</v>
      </c>
      <c r="F532" s="6">
        <v>223257</v>
      </c>
      <c r="G532" s="7">
        <v>223257</v>
      </c>
      <c r="H532" s="9">
        <f>(G532-F532)</f>
        <v>0.0</v>
      </c>
      <c r="I532" s="9" t="s">
        <v>119</v>
      </c>
      <c r="J532" s="9" t="s">
        <v>120</v>
      </c>
    </row>
    <row r="533" spans="1:12" ht="23" customHeight="1">
      <c r="A533" s="9" t="s">
        <v>99</v>
      </c>
      <c r="B533" s="6">
        <v>4</v>
      </c>
      <c r="C533" s="9" t="s">
        <v>90</v>
      </c>
      <c r="D533" s="6">
        <v>105</v>
      </c>
      <c r="E533" s="9" t="s">
        <v>98</v>
      </c>
      <c r="F533" s="6">
        <v>223257</v>
      </c>
      <c r="G533" s="7">
        <v>223257</v>
      </c>
      <c r="H533" s="9">
        <f>(G533-F533)</f>
        <v>0.0</v>
      </c>
      <c r="I533" s="9" t="s">
        <v>119</v>
      </c>
      <c r="J533" s="9" t="s">
        <v>120</v>
      </c>
    </row>
    <row r="534" spans="1:12" ht="23" customHeight="1">
      <c r="A534" s="9" t="s">
        <v>99</v>
      </c>
      <c r="B534" s="6">
        <v>4</v>
      </c>
      <c r="C534" s="9" t="s">
        <v>90</v>
      </c>
      <c r="D534" s="6">
        <v>106</v>
      </c>
      <c r="E534" s="9" t="s">
        <v>93</v>
      </c>
      <c r="F534" s="6">
        <v>218438</v>
      </c>
      <c r="G534" s="7">
        <v>218438</v>
      </c>
      <c r="H534" s="9">
        <f>(G534-F534)</f>
        <v>0.0</v>
      </c>
      <c r="I534" s="9" t="s">
        <v>119</v>
      </c>
      <c r="J534" s="9" t="s">
        <v>120</v>
      </c>
    </row>
    <row r="535" spans="1:12" ht="23" customHeight="1">
      <c r="A535" s="9" t="s">
        <v>99</v>
      </c>
      <c r="B535" s="6">
        <v>4</v>
      </c>
      <c r="C535" s="9" t="s">
        <v>90</v>
      </c>
      <c r="D535" s="6">
        <v>106</v>
      </c>
      <c r="E535" s="9" t="s">
        <v>103</v>
      </c>
      <c r="F535" s="11">
        <v>2752.4</v>
      </c>
      <c r="G535" s="8">
        <v>2752.4</v>
      </c>
      <c r="H535" s="9">
        <f>(G535-F535)</f>
        <v>0.0</v>
      </c>
      <c r="I535" s="9" t="s">
        <v>119</v>
      </c>
      <c r="J535" s="9" t="s">
        <v>120</v>
      </c>
    </row>
    <row r="536" spans="1:12" ht="23" customHeight="1">
      <c r="A536" s="9" t="s">
        <v>99</v>
      </c>
      <c r="B536" s="6">
        <v>4</v>
      </c>
      <c r="C536" s="9" t="s">
        <v>90</v>
      </c>
      <c r="D536" s="6">
        <v>106</v>
      </c>
      <c r="E536" s="9" t="s">
        <v>104</v>
      </c>
      <c r="F536" s="11">
        <v>2752.4</v>
      </c>
      <c r="G536" s="8">
        <v>2752.4</v>
      </c>
      <c r="H536" s="9">
        <f>(G536-F536)</f>
        <v>0.0</v>
      </c>
      <c r="I536" s="9" t="s">
        <v>119</v>
      </c>
      <c r="J536" s="9" t="s">
        <v>120</v>
      </c>
    </row>
    <row r="537" spans="1:12" ht="23" customHeight="1">
      <c r="A537" s="9" t="s">
        <v>99</v>
      </c>
      <c r="B537" s="6">
        <v>4</v>
      </c>
      <c r="C537" s="9" t="s">
        <v>90</v>
      </c>
      <c r="D537" s="6">
        <v>106</v>
      </c>
      <c r="E537" s="9" t="s">
        <v>94</v>
      </c>
      <c r="F537" s="6">
        <v>218438</v>
      </c>
      <c r="G537" s="7">
        <v>218438</v>
      </c>
      <c r="H537" s="9">
        <f>(G537-F537)</f>
        <v>0.0</v>
      </c>
      <c r="I537" s="9" t="s">
        <v>119</v>
      </c>
      <c r="J537" s="9" t="s">
        <v>120</v>
      </c>
    </row>
    <row r="538" spans="1:12" ht="23" customHeight="1">
      <c r="A538" s="9" t="s">
        <v>99</v>
      </c>
      <c r="B538" s="6">
        <v>4</v>
      </c>
      <c r="C538" s="9" t="s">
        <v>90</v>
      </c>
      <c r="D538" s="6">
        <v>106</v>
      </c>
      <c r="E538" s="9" t="s">
        <v>105</v>
      </c>
      <c r="F538" s="11">
        <v>2752.4</v>
      </c>
      <c r="G538" s="8">
        <v>2752.4</v>
      </c>
      <c r="H538" s="9">
        <f>(G538-F538)</f>
        <v>0.0</v>
      </c>
      <c r="I538" s="9" t="s">
        <v>119</v>
      </c>
      <c r="J538" s="9" t="s">
        <v>120</v>
      </c>
    </row>
    <row r="539" spans="1:12" ht="23" customHeight="1">
      <c r="A539" s="9" t="s">
        <v>99</v>
      </c>
      <c r="B539" s="6">
        <v>4</v>
      </c>
      <c r="C539" s="9" t="s">
        <v>90</v>
      </c>
      <c r="D539" s="6">
        <v>106</v>
      </c>
      <c r="E539" s="9" t="s">
        <v>106</v>
      </c>
      <c r="F539" s="11">
        <v>2752.4</v>
      </c>
      <c r="G539" s="8">
        <v>2752.4</v>
      </c>
      <c r="H539" s="9">
        <f>(G539-F539)</f>
        <v>0.0</v>
      </c>
      <c r="I539" s="9" t="s">
        <v>119</v>
      </c>
      <c r="J539" s="9" t="s">
        <v>120</v>
      </c>
    </row>
    <row r="540" spans="1:12" ht="23" customHeight="1">
      <c r="A540" s="9" t="s">
        <v>99</v>
      </c>
      <c r="B540" s="6">
        <v>4</v>
      </c>
      <c r="C540" s="9" t="s">
        <v>90</v>
      </c>
      <c r="D540" s="6">
        <v>106</v>
      </c>
      <c r="E540" s="9" t="s">
        <v>95</v>
      </c>
      <c r="F540" s="6">
        <v>218438</v>
      </c>
      <c r="G540" s="7">
        <v>218438</v>
      </c>
      <c r="H540" s="9">
        <f>(G540-F540)</f>
        <v>0.0</v>
      </c>
      <c r="I540" s="9" t="s">
        <v>119</v>
      </c>
      <c r="J540" s="9" t="s">
        <v>120</v>
      </c>
    </row>
    <row r="541" spans="1:12" ht="23" customHeight="1">
      <c r="A541" s="9" t="s">
        <v>99</v>
      </c>
      <c r="B541" s="6">
        <v>4</v>
      </c>
      <c r="C541" s="9" t="s">
        <v>90</v>
      </c>
      <c r="D541" s="6">
        <v>106</v>
      </c>
      <c r="E541" s="9" t="s">
        <v>96</v>
      </c>
      <c r="F541" s="6">
        <v>218438</v>
      </c>
      <c r="G541" s="7">
        <v>218438</v>
      </c>
      <c r="H541" s="9">
        <f>(G541-F541)</f>
        <v>0.0</v>
      </c>
      <c r="I541" s="9" t="s">
        <v>119</v>
      </c>
      <c r="J541" s="9" t="s">
        <v>120</v>
      </c>
    </row>
    <row r="542" spans="1:12" ht="23" customHeight="1">
      <c r="A542" s="9" t="s">
        <v>99</v>
      </c>
      <c r="B542" s="6">
        <v>4</v>
      </c>
      <c r="C542" s="9" t="s">
        <v>90</v>
      </c>
      <c r="D542" s="6">
        <v>106</v>
      </c>
      <c r="E542" s="9" t="s">
        <v>97</v>
      </c>
      <c r="F542" s="6">
        <v>218438</v>
      </c>
      <c r="G542" s="7">
        <v>218438</v>
      </c>
      <c r="H542" s="9">
        <f>(G542-F542)</f>
        <v>0.0</v>
      </c>
      <c r="I542" s="9" t="s">
        <v>119</v>
      </c>
      <c r="J542" s="9" t="s">
        <v>120</v>
      </c>
    </row>
    <row r="543" spans="1:12" ht="23" customHeight="1">
      <c r="A543" s="9" t="s">
        <v>99</v>
      </c>
      <c r="B543" s="6">
        <v>4</v>
      </c>
      <c r="C543" s="9" t="s">
        <v>90</v>
      </c>
      <c r="D543" s="6">
        <v>106</v>
      </c>
      <c r="E543" s="9" t="s">
        <v>98</v>
      </c>
      <c r="F543" s="6">
        <v>218438</v>
      </c>
      <c r="G543" s="7">
        <v>218438</v>
      </c>
      <c r="H543" s="9">
        <f>(G543-F543)</f>
        <v>0.0</v>
      </c>
      <c r="I543" s="9" t="s">
        <v>119</v>
      </c>
      <c r="J543" s="9" t="s">
        <v>120</v>
      </c>
    </row>
    <row r="544" spans="1:12" ht="23" customHeight="1">
      <c r="A544" s="9" t="s">
        <v>99</v>
      </c>
      <c r="B544" s="6">
        <v>4</v>
      </c>
      <c r="C544" s="9" t="s">
        <v>90</v>
      </c>
      <c r="D544" s="6">
        <v>107</v>
      </c>
      <c r="E544" s="9" t="s">
        <v>93</v>
      </c>
      <c r="F544" s="6">
        <v>218438</v>
      </c>
      <c r="G544" s="7">
        <v>218438</v>
      </c>
      <c r="H544" s="9">
        <f>(G544-F544)</f>
        <v>0.0</v>
      </c>
      <c r="I544" s="9" t="s">
        <v>119</v>
      </c>
      <c r="J544" s="9" t="s">
        <v>120</v>
      </c>
    </row>
    <row r="545" spans="1:12" ht="23" customHeight="1">
      <c r="A545" s="9" t="s">
        <v>99</v>
      </c>
      <c r="B545" s="6">
        <v>4</v>
      </c>
      <c r="C545" s="9" t="s">
        <v>90</v>
      </c>
      <c r="D545" s="6">
        <v>107</v>
      </c>
      <c r="E545" s="9" t="s">
        <v>103</v>
      </c>
      <c r="F545" s="11">
        <v>2752.4</v>
      </c>
      <c r="G545" s="8">
        <v>2752.4</v>
      </c>
      <c r="H545" s="9">
        <f>(G545-F545)</f>
        <v>0.0</v>
      </c>
      <c r="I545" s="9" t="s">
        <v>119</v>
      </c>
      <c r="J545" s="9" t="s">
        <v>120</v>
      </c>
    </row>
    <row r="546" spans="1:12" ht="23" customHeight="1">
      <c r="A546" s="9" t="s">
        <v>99</v>
      </c>
      <c r="B546" s="6">
        <v>4</v>
      </c>
      <c r="C546" s="9" t="s">
        <v>90</v>
      </c>
      <c r="D546" s="6">
        <v>107</v>
      </c>
      <c r="E546" s="9" t="s">
        <v>104</v>
      </c>
      <c r="F546" s="11">
        <v>2752.4</v>
      </c>
      <c r="G546" s="8">
        <v>2752.4</v>
      </c>
      <c r="H546" s="9">
        <f>(G546-F546)</f>
        <v>0.0</v>
      </c>
      <c r="I546" s="9" t="s">
        <v>119</v>
      </c>
      <c r="J546" s="9" t="s">
        <v>120</v>
      </c>
    </row>
    <row r="547" spans="1:12" ht="24" customHeight="1">
      <c r="A547" s="3" t="s">
        <v>107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36" customHeight="1">
      <c r="A548" s="4" t="s">
        <v>108</v>
      </c>
      <c r="B548" s="4" t="s">
        <v>8</v>
      </c>
      <c r="C548" s="4" t="s">
        <v>109</v>
      </c>
      <c r="D548" s="4" t="s">
        <v>110</v>
      </c>
      <c r="E548" s="4" t="s">
        <v>111</v>
      </c>
      <c r="F548" s="4" t="s">
        <v>112</v>
      </c>
      <c r="G548" s="4" t="s">
        <v>113</v>
      </c>
      <c r="H548" s="4" t="s">
        <v>114</v>
      </c>
      <c r="I548" s="4" t="s">
        <v>115</v>
      </c>
      <c r="J548" s="4" t="s">
        <v>116</v>
      </c>
    </row>
    <row r="549" spans="1:12" ht="23" customHeight="1">
      <c r="A549" s="9" t="s">
        <v>99</v>
      </c>
      <c r="B549" s="6">
        <v>4</v>
      </c>
      <c r="C549" s="9" t="s">
        <v>90</v>
      </c>
      <c r="D549" s="6">
        <v>107</v>
      </c>
      <c r="E549" s="9" t="s">
        <v>94</v>
      </c>
      <c r="F549" s="6">
        <v>218438</v>
      </c>
      <c r="G549" s="7">
        <v>218438</v>
      </c>
      <c r="H549" s="9">
        <f>(G549-F549)</f>
        <v>0.0</v>
      </c>
      <c r="I549" s="9" t="s">
        <v>119</v>
      </c>
      <c r="J549" s="9" t="s">
        <v>120</v>
      </c>
    </row>
    <row r="550" spans="1:12" ht="23" customHeight="1">
      <c r="A550" s="9" t="s">
        <v>99</v>
      </c>
      <c r="B550" s="6">
        <v>4</v>
      </c>
      <c r="C550" s="9" t="s">
        <v>90</v>
      </c>
      <c r="D550" s="6">
        <v>107</v>
      </c>
      <c r="E550" s="9" t="s">
        <v>105</v>
      </c>
      <c r="F550" s="11">
        <v>2752.4</v>
      </c>
      <c r="G550" s="8">
        <v>2752.4</v>
      </c>
      <c r="H550" s="9">
        <f>(G550-F550)</f>
        <v>0.0</v>
      </c>
      <c r="I550" s="9" t="s">
        <v>119</v>
      </c>
      <c r="J550" s="9" t="s">
        <v>120</v>
      </c>
    </row>
    <row r="551" spans="1:12" ht="23" customHeight="1">
      <c r="A551" s="9" t="s">
        <v>99</v>
      </c>
      <c r="B551" s="6">
        <v>4</v>
      </c>
      <c r="C551" s="9" t="s">
        <v>90</v>
      </c>
      <c r="D551" s="6">
        <v>107</v>
      </c>
      <c r="E551" s="9" t="s">
        <v>106</v>
      </c>
      <c r="F551" s="11">
        <v>2752.4</v>
      </c>
      <c r="G551" s="8">
        <v>2752.4</v>
      </c>
      <c r="H551" s="9">
        <f>(G551-F551)</f>
        <v>0.0</v>
      </c>
      <c r="I551" s="9" t="s">
        <v>119</v>
      </c>
      <c r="J551" s="9" t="s">
        <v>120</v>
      </c>
    </row>
    <row r="552" spans="1:12" ht="23" customHeight="1">
      <c r="A552" s="9" t="s">
        <v>99</v>
      </c>
      <c r="B552" s="6">
        <v>4</v>
      </c>
      <c r="C552" s="9" t="s">
        <v>90</v>
      </c>
      <c r="D552" s="6">
        <v>107</v>
      </c>
      <c r="E552" s="9" t="s">
        <v>95</v>
      </c>
      <c r="F552" s="6">
        <v>218438</v>
      </c>
      <c r="G552" s="7">
        <v>218438</v>
      </c>
      <c r="H552" s="9">
        <f>(G552-F552)</f>
        <v>0.0</v>
      </c>
      <c r="I552" s="9" t="s">
        <v>119</v>
      </c>
      <c r="J552" s="9" t="s">
        <v>120</v>
      </c>
    </row>
    <row r="553" spans="1:12" ht="23" customHeight="1">
      <c r="A553" s="9" t="s">
        <v>99</v>
      </c>
      <c r="B553" s="6">
        <v>4</v>
      </c>
      <c r="C553" s="9" t="s">
        <v>90</v>
      </c>
      <c r="D553" s="6">
        <v>107</v>
      </c>
      <c r="E553" s="9" t="s">
        <v>96</v>
      </c>
      <c r="F553" s="6">
        <v>218438</v>
      </c>
      <c r="G553" s="7">
        <v>218438</v>
      </c>
      <c r="H553" s="9">
        <f>(G553-F553)</f>
        <v>0.0</v>
      </c>
      <c r="I553" s="9" t="s">
        <v>119</v>
      </c>
      <c r="J553" s="9" t="s">
        <v>120</v>
      </c>
    </row>
    <row r="554" spans="1:12" ht="23" customHeight="1">
      <c r="A554" s="9" t="s">
        <v>99</v>
      </c>
      <c r="B554" s="6">
        <v>4</v>
      </c>
      <c r="C554" s="9" t="s">
        <v>90</v>
      </c>
      <c r="D554" s="6">
        <v>107</v>
      </c>
      <c r="E554" s="9" t="s">
        <v>97</v>
      </c>
      <c r="F554" s="6">
        <v>218438</v>
      </c>
      <c r="G554" s="7">
        <v>218438</v>
      </c>
      <c r="H554" s="9">
        <f>(G554-F554)</f>
        <v>0.0</v>
      </c>
      <c r="I554" s="9" t="s">
        <v>119</v>
      </c>
      <c r="J554" s="9" t="s">
        <v>120</v>
      </c>
    </row>
    <row r="555" spans="1:12" ht="23" customHeight="1">
      <c r="A555" s="9" t="s">
        <v>99</v>
      </c>
      <c r="B555" s="6">
        <v>4</v>
      </c>
      <c r="C555" s="9" t="s">
        <v>90</v>
      </c>
      <c r="D555" s="6">
        <v>107</v>
      </c>
      <c r="E555" s="9" t="s">
        <v>98</v>
      </c>
      <c r="F555" s="6">
        <v>218438</v>
      </c>
      <c r="G555" s="7">
        <v>218438</v>
      </c>
      <c r="H555" s="9">
        <f>(G555-F555)</f>
        <v>0.0</v>
      </c>
      <c r="I555" s="9" t="s">
        <v>119</v>
      </c>
      <c r="J555" s="9" t="s">
        <v>120</v>
      </c>
    </row>
    <row r="556" spans="1:12" ht="23" customHeight="1">
      <c r="A556" s="9" t="s">
        <v>99</v>
      </c>
      <c r="B556" s="6">
        <v>4</v>
      </c>
      <c r="C556" s="9" t="s">
        <v>90</v>
      </c>
      <c r="D556" s="6">
        <v>108</v>
      </c>
      <c r="E556" s="9" t="s">
        <v>93</v>
      </c>
      <c r="F556" s="6">
        <v>218438</v>
      </c>
      <c r="G556" s="7">
        <v>218438</v>
      </c>
      <c r="H556" s="9">
        <f>(G556-F556)</f>
        <v>0.0</v>
      </c>
      <c r="I556" s="9" t="s">
        <v>119</v>
      </c>
      <c r="J556" s="9" t="s">
        <v>120</v>
      </c>
    </row>
    <row r="557" spans="1:12" ht="23" customHeight="1">
      <c r="A557" s="9" t="s">
        <v>99</v>
      </c>
      <c r="B557" s="6">
        <v>4</v>
      </c>
      <c r="C557" s="9" t="s">
        <v>90</v>
      </c>
      <c r="D557" s="6">
        <v>108</v>
      </c>
      <c r="E557" s="9" t="s">
        <v>103</v>
      </c>
      <c r="F557" s="11">
        <v>2752.4</v>
      </c>
      <c r="G557" s="8">
        <v>2752.4</v>
      </c>
      <c r="H557" s="9">
        <f>(G557-F557)</f>
        <v>0.0</v>
      </c>
      <c r="I557" s="9" t="s">
        <v>119</v>
      </c>
      <c r="J557" s="9" t="s">
        <v>120</v>
      </c>
    </row>
    <row r="558" spans="1:12" ht="23" customHeight="1">
      <c r="A558" s="9" t="s">
        <v>99</v>
      </c>
      <c r="B558" s="6">
        <v>4</v>
      </c>
      <c r="C558" s="9" t="s">
        <v>90</v>
      </c>
      <c r="D558" s="6">
        <v>108</v>
      </c>
      <c r="E558" s="9" t="s">
        <v>104</v>
      </c>
      <c r="F558" s="11">
        <v>2752.4</v>
      </c>
      <c r="G558" s="8">
        <v>2752.4</v>
      </c>
      <c r="H558" s="9">
        <f>(G558-F558)</f>
        <v>0.0</v>
      </c>
      <c r="I558" s="9" t="s">
        <v>119</v>
      </c>
      <c r="J558" s="9" t="s">
        <v>120</v>
      </c>
    </row>
    <row r="559" spans="1:12" ht="23" customHeight="1">
      <c r="A559" s="9" t="s">
        <v>99</v>
      </c>
      <c r="B559" s="6">
        <v>4</v>
      </c>
      <c r="C559" s="9" t="s">
        <v>90</v>
      </c>
      <c r="D559" s="6">
        <v>108</v>
      </c>
      <c r="E559" s="9" t="s">
        <v>94</v>
      </c>
      <c r="F559" s="6">
        <v>218438</v>
      </c>
      <c r="G559" s="7">
        <v>218438</v>
      </c>
      <c r="H559" s="9">
        <f>(G559-F559)</f>
        <v>0.0</v>
      </c>
      <c r="I559" s="9" t="s">
        <v>119</v>
      </c>
      <c r="J559" s="9" t="s">
        <v>120</v>
      </c>
    </row>
    <row r="560" spans="1:12" ht="23" customHeight="1">
      <c r="A560" s="9" t="s">
        <v>99</v>
      </c>
      <c r="B560" s="6">
        <v>4</v>
      </c>
      <c r="C560" s="9" t="s">
        <v>90</v>
      </c>
      <c r="D560" s="6">
        <v>108</v>
      </c>
      <c r="E560" s="9" t="s">
        <v>105</v>
      </c>
      <c r="F560" s="11">
        <v>2752.4</v>
      </c>
      <c r="G560" s="8">
        <v>2752.4</v>
      </c>
      <c r="H560" s="9">
        <f>(G560-F560)</f>
        <v>0.0</v>
      </c>
      <c r="I560" s="9" t="s">
        <v>119</v>
      </c>
      <c r="J560" s="9" t="s">
        <v>120</v>
      </c>
    </row>
    <row r="561" spans="1:12" ht="23" customHeight="1">
      <c r="A561" s="9" t="s">
        <v>99</v>
      </c>
      <c r="B561" s="6">
        <v>4</v>
      </c>
      <c r="C561" s="9" t="s">
        <v>90</v>
      </c>
      <c r="D561" s="6">
        <v>108</v>
      </c>
      <c r="E561" s="9" t="s">
        <v>106</v>
      </c>
      <c r="F561" s="11">
        <v>2752.4</v>
      </c>
      <c r="G561" s="8">
        <v>2752.4</v>
      </c>
      <c r="H561" s="9">
        <f>(G561-F561)</f>
        <v>0.0</v>
      </c>
      <c r="I561" s="9" t="s">
        <v>119</v>
      </c>
      <c r="J561" s="9" t="s">
        <v>120</v>
      </c>
    </row>
    <row r="562" spans="1:12" ht="23" customHeight="1">
      <c r="A562" s="9" t="s">
        <v>99</v>
      </c>
      <c r="B562" s="6">
        <v>4</v>
      </c>
      <c r="C562" s="9" t="s">
        <v>90</v>
      </c>
      <c r="D562" s="6">
        <v>108</v>
      </c>
      <c r="E562" s="9" t="s">
        <v>95</v>
      </c>
      <c r="F562" s="6">
        <v>218438</v>
      </c>
      <c r="G562" s="7">
        <v>218438</v>
      </c>
      <c r="H562" s="9">
        <f>(G562-F562)</f>
        <v>0.0</v>
      </c>
      <c r="I562" s="9" t="s">
        <v>119</v>
      </c>
      <c r="J562" s="9" t="s">
        <v>120</v>
      </c>
    </row>
    <row r="563" spans="1:12" ht="23" customHeight="1">
      <c r="A563" s="9" t="s">
        <v>99</v>
      </c>
      <c r="B563" s="6">
        <v>4</v>
      </c>
      <c r="C563" s="9" t="s">
        <v>90</v>
      </c>
      <c r="D563" s="6">
        <v>108</v>
      </c>
      <c r="E563" s="9" t="s">
        <v>96</v>
      </c>
      <c r="F563" s="6">
        <v>218438</v>
      </c>
      <c r="G563" s="7">
        <v>218438</v>
      </c>
      <c r="H563" s="9">
        <f>(G563-F563)</f>
        <v>0.0</v>
      </c>
      <c r="I563" s="9" t="s">
        <v>119</v>
      </c>
      <c r="J563" s="9" t="s">
        <v>120</v>
      </c>
    </row>
    <row r="564" spans="1:12" ht="24" customHeight="1">
      <c r="A564" s="3" t="s">
        <v>107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36" customHeight="1">
      <c r="A565" s="4" t="s">
        <v>108</v>
      </c>
      <c r="B565" s="4" t="s">
        <v>8</v>
      </c>
      <c r="C565" s="4" t="s">
        <v>109</v>
      </c>
      <c r="D565" s="4" t="s">
        <v>110</v>
      </c>
      <c r="E565" s="4" t="s">
        <v>111</v>
      </c>
      <c r="F565" s="4" t="s">
        <v>112</v>
      </c>
      <c r="G565" s="4" t="s">
        <v>113</v>
      </c>
      <c r="H565" s="4" t="s">
        <v>114</v>
      </c>
      <c r="I565" s="4" t="s">
        <v>115</v>
      </c>
      <c r="J565" s="4" t="s">
        <v>116</v>
      </c>
    </row>
    <row r="566" spans="1:12" ht="23" customHeight="1">
      <c r="A566" s="9" t="s">
        <v>99</v>
      </c>
      <c r="B566" s="6">
        <v>4</v>
      </c>
      <c r="C566" s="9" t="s">
        <v>90</v>
      </c>
      <c r="D566" s="6">
        <v>108</v>
      </c>
      <c r="E566" s="9" t="s">
        <v>97</v>
      </c>
      <c r="F566" s="6">
        <v>218438</v>
      </c>
      <c r="G566" s="7">
        <v>218438</v>
      </c>
      <c r="H566" s="9">
        <f>(G566-F566)</f>
        <v>0.0</v>
      </c>
      <c r="I566" s="9" t="s">
        <v>119</v>
      </c>
      <c r="J566" s="9" t="s">
        <v>120</v>
      </c>
    </row>
    <row r="567" spans="1:12" ht="23" customHeight="1">
      <c r="A567" s="9" t="s">
        <v>99</v>
      </c>
      <c r="B567" s="6">
        <v>4</v>
      </c>
      <c r="C567" s="9" t="s">
        <v>90</v>
      </c>
      <c r="D567" s="6">
        <v>108</v>
      </c>
      <c r="E567" s="9" t="s">
        <v>98</v>
      </c>
      <c r="F567" s="6">
        <v>218438</v>
      </c>
      <c r="G567" s="7">
        <v>218438</v>
      </c>
      <c r="H567" s="9">
        <f>(G567-F567)</f>
        <v>0.0</v>
      </c>
      <c r="I567" s="9" t="s">
        <v>119</v>
      </c>
      <c r="J567" s="9" t="s">
        <v>120</v>
      </c>
    </row>
    <row r="568" spans="1:12" ht="23" customHeight="1">
      <c r="A568" s="9" t="s">
        <v>99</v>
      </c>
      <c r="B568" s="6">
        <v>4</v>
      </c>
      <c r="C568" s="9" t="s">
        <v>90</v>
      </c>
      <c r="D568" s="6">
        <v>109</v>
      </c>
      <c r="E568" s="9" t="s">
        <v>93</v>
      </c>
      <c r="F568" s="6">
        <v>218438</v>
      </c>
      <c r="G568" s="7">
        <v>218438</v>
      </c>
      <c r="H568" s="9">
        <f>(G568-F568)</f>
        <v>0.0</v>
      </c>
      <c r="I568" s="9" t="s">
        <v>119</v>
      </c>
      <c r="J568" s="9" t="s">
        <v>120</v>
      </c>
    </row>
    <row r="569" spans="1:12" ht="23" customHeight="1">
      <c r="A569" s="9" t="s">
        <v>99</v>
      </c>
      <c r="B569" s="6">
        <v>4</v>
      </c>
      <c r="C569" s="9" t="s">
        <v>90</v>
      </c>
      <c r="D569" s="6">
        <v>109</v>
      </c>
      <c r="E569" s="9" t="s">
        <v>103</v>
      </c>
      <c r="F569" s="11">
        <v>2752.4</v>
      </c>
      <c r="G569" s="8">
        <v>2752.4</v>
      </c>
      <c r="H569" s="9">
        <f>(G569-F569)</f>
        <v>0.0</v>
      </c>
      <c r="I569" s="9" t="s">
        <v>119</v>
      </c>
      <c r="J569" s="9" t="s">
        <v>120</v>
      </c>
    </row>
    <row r="570" spans="1:12" ht="23" customHeight="1">
      <c r="A570" s="9" t="s">
        <v>99</v>
      </c>
      <c r="B570" s="6">
        <v>4</v>
      </c>
      <c r="C570" s="9" t="s">
        <v>90</v>
      </c>
      <c r="D570" s="6">
        <v>109</v>
      </c>
      <c r="E570" s="9" t="s">
        <v>104</v>
      </c>
      <c r="F570" s="11">
        <v>2752.4</v>
      </c>
      <c r="G570" s="8">
        <v>2752.4</v>
      </c>
      <c r="H570" s="9">
        <f>(G570-F570)</f>
        <v>0.0</v>
      </c>
      <c r="I570" s="9" t="s">
        <v>119</v>
      </c>
      <c r="J570" s="9" t="s">
        <v>120</v>
      </c>
    </row>
    <row r="571" spans="1:12" ht="23" customHeight="1">
      <c r="A571" s="9" t="s">
        <v>99</v>
      </c>
      <c r="B571" s="6">
        <v>4</v>
      </c>
      <c r="C571" s="9" t="s">
        <v>90</v>
      </c>
      <c r="D571" s="6">
        <v>109</v>
      </c>
      <c r="E571" s="9" t="s">
        <v>94</v>
      </c>
      <c r="F571" s="6">
        <v>218438</v>
      </c>
      <c r="G571" s="7">
        <v>218438</v>
      </c>
      <c r="H571" s="9">
        <f>(G571-F571)</f>
        <v>0.0</v>
      </c>
      <c r="I571" s="9" t="s">
        <v>119</v>
      </c>
      <c r="J571" s="9" t="s">
        <v>120</v>
      </c>
    </row>
    <row r="572" spans="1:12" ht="23" customHeight="1">
      <c r="A572" s="9" t="s">
        <v>99</v>
      </c>
      <c r="B572" s="6">
        <v>4</v>
      </c>
      <c r="C572" s="9" t="s">
        <v>90</v>
      </c>
      <c r="D572" s="6">
        <v>109</v>
      </c>
      <c r="E572" s="9" t="s">
        <v>105</v>
      </c>
      <c r="F572" s="11">
        <v>2752.4</v>
      </c>
      <c r="G572" s="8">
        <v>2752.4</v>
      </c>
      <c r="H572" s="9">
        <f>(G572-F572)</f>
        <v>0.0</v>
      </c>
      <c r="I572" s="9" t="s">
        <v>119</v>
      </c>
      <c r="J572" s="9" t="s">
        <v>120</v>
      </c>
    </row>
    <row r="573" spans="1:12" ht="23" customHeight="1">
      <c r="A573" s="9" t="s">
        <v>99</v>
      </c>
      <c r="B573" s="6">
        <v>4</v>
      </c>
      <c r="C573" s="9" t="s">
        <v>90</v>
      </c>
      <c r="D573" s="6">
        <v>109</v>
      </c>
      <c r="E573" s="9" t="s">
        <v>106</v>
      </c>
      <c r="F573" s="11">
        <v>2752.4</v>
      </c>
      <c r="G573" s="8">
        <v>2752.4</v>
      </c>
      <c r="H573" s="9">
        <f>(G573-F573)</f>
        <v>0.0</v>
      </c>
      <c r="I573" s="9" t="s">
        <v>119</v>
      </c>
      <c r="J573" s="9" t="s">
        <v>120</v>
      </c>
    </row>
    <row r="574" spans="1:12" ht="23" customHeight="1">
      <c r="A574" s="9" t="s">
        <v>99</v>
      </c>
      <c r="B574" s="6">
        <v>4</v>
      </c>
      <c r="C574" s="9" t="s">
        <v>90</v>
      </c>
      <c r="D574" s="6">
        <v>109</v>
      </c>
      <c r="E574" s="9" t="s">
        <v>95</v>
      </c>
      <c r="F574" s="6">
        <v>218438</v>
      </c>
      <c r="G574" s="7">
        <v>218438</v>
      </c>
      <c r="H574" s="9">
        <f>(G574-F574)</f>
        <v>0.0</v>
      </c>
      <c r="I574" s="9" t="s">
        <v>119</v>
      </c>
      <c r="J574" s="9" t="s">
        <v>120</v>
      </c>
    </row>
    <row r="575" spans="1:12" ht="23" customHeight="1">
      <c r="A575" s="9" t="s">
        <v>99</v>
      </c>
      <c r="B575" s="6">
        <v>4</v>
      </c>
      <c r="C575" s="9" t="s">
        <v>90</v>
      </c>
      <c r="D575" s="6">
        <v>109</v>
      </c>
      <c r="E575" s="9" t="s">
        <v>96</v>
      </c>
      <c r="F575" s="6">
        <v>218438</v>
      </c>
      <c r="G575" s="7">
        <v>218438</v>
      </c>
      <c r="H575" s="9">
        <f>(G575-F575)</f>
        <v>0.0</v>
      </c>
      <c r="I575" s="9" t="s">
        <v>119</v>
      </c>
      <c r="J575" s="9" t="s">
        <v>120</v>
      </c>
    </row>
    <row r="576" spans="1:12" ht="23" customHeight="1">
      <c r="A576" s="9" t="s">
        <v>99</v>
      </c>
      <c r="B576" s="6">
        <v>4</v>
      </c>
      <c r="C576" s="9" t="s">
        <v>90</v>
      </c>
      <c r="D576" s="6">
        <v>109</v>
      </c>
      <c r="E576" s="9" t="s">
        <v>97</v>
      </c>
      <c r="F576" s="6">
        <v>218438</v>
      </c>
      <c r="G576" s="7">
        <v>218438</v>
      </c>
      <c r="H576" s="9">
        <f>(G576-F576)</f>
        <v>0.0</v>
      </c>
      <c r="I576" s="9" t="s">
        <v>119</v>
      </c>
      <c r="J576" s="9" t="s">
        <v>120</v>
      </c>
    </row>
    <row r="577" spans="1:12" ht="23" customHeight="1">
      <c r="A577" s="9" t="s">
        <v>99</v>
      </c>
      <c r="B577" s="6">
        <v>4</v>
      </c>
      <c r="C577" s="9" t="s">
        <v>90</v>
      </c>
      <c r="D577" s="6">
        <v>109</v>
      </c>
      <c r="E577" s="9" t="s">
        <v>98</v>
      </c>
      <c r="F577" s="6">
        <v>218438</v>
      </c>
      <c r="G577" s="7">
        <v>218438</v>
      </c>
      <c r="H577" s="9">
        <f>(G577-F577)</f>
        <v>0.0</v>
      </c>
      <c r="I577" s="9" t="s">
        <v>119</v>
      </c>
      <c r="J577" s="9" t="s">
        <v>120</v>
      </c>
    </row>
    <row r="578" spans="1:12" ht="23" customHeight="1">
      <c r="A578" s="9" t="s">
        <v>99</v>
      </c>
      <c r="B578" s="6">
        <v>4</v>
      </c>
      <c r="C578" s="9" t="s">
        <v>90</v>
      </c>
      <c r="D578" s="6">
        <v>110</v>
      </c>
      <c r="E578" s="9" t="s">
        <v>93</v>
      </c>
      <c r="F578" s="6">
        <v>218438</v>
      </c>
      <c r="G578" s="7">
        <v>218438</v>
      </c>
      <c r="H578" s="9">
        <f>(G578-F578)</f>
        <v>0.0</v>
      </c>
      <c r="I578" s="9" t="s">
        <v>119</v>
      </c>
      <c r="J578" s="9" t="s">
        <v>120</v>
      </c>
    </row>
    <row r="579" spans="1:12" ht="23" customHeight="1">
      <c r="A579" s="9" t="s">
        <v>99</v>
      </c>
      <c r="B579" s="6">
        <v>4</v>
      </c>
      <c r="C579" s="9" t="s">
        <v>90</v>
      </c>
      <c r="D579" s="6">
        <v>110</v>
      </c>
      <c r="E579" s="9" t="s">
        <v>103</v>
      </c>
      <c r="F579" s="11">
        <v>2752.4</v>
      </c>
      <c r="G579" s="8">
        <v>2752.4</v>
      </c>
      <c r="H579" s="9">
        <f>(G579-F579)</f>
        <v>0.0</v>
      </c>
      <c r="I579" s="9" t="s">
        <v>119</v>
      </c>
      <c r="J579" s="9" t="s">
        <v>120</v>
      </c>
    </row>
    <row r="580" spans="1:12" ht="23" customHeight="1">
      <c r="A580" s="9" t="s">
        <v>99</v>
      </c>
      <c r="B580" s="6">
        <v>4</v>
      </c>
      <c r="C580" s="9" t="s">
        <v>90</v>
      </c>
      <c r="D580" s="6">
        <v>110</v>
      </c>
      <c r="E580" s="9" t="s">
        <v>104</v>
      </c>
      <c r="F580" s="11">
        <v>2752.4</v>
      </c>
      <c r="G580" s="8">
        <v>2752.4</v>
      </c>
      <c r="H580" s="9">
        <f>(G580-F580)</f>
        <v>0.0</v>
      </c>
      <c r="I580" s="9" t="s">
        <v>119</v>
      </c>
      <c r="J580" s="9" t="s">
        <v>120</v>
      </c>
    </row>
    <row r="581" spans="1:12" ht="24" customHeight="1">
      <c r="A581" s="3" t="s">
        <v>107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36" customHeight="1">
      <c r="A582" s="4" t="s">
        <v>108</v>
      </c>
      <c r="B582" s="4" t="s">
        <v>8</v>
      </c>
      <c r="C582" s="4" t="s">
        <v>109</v>
      </c>
      <c r="D582" s="4" t="s">
        <v>110</v>
      </c>
      <c r="E582" s="4" t="s">
        <v>111</v>
      </c>
      <c r="F582" s="4" t="s">
        <v>112</v>
      </c>
      <c r="G582" s="4" t="s">
        <v>113</v>
      </c>
      <c r="H582" s="4" t="s">
        <v>114</v>
      </c>
      <c r="I582" s="4" t="s">
        <v>115</v>
      </c>
      <c r="J582" s="4" t="s">
        <v>116</v>
      </c>
    </row>
    <row r="583" spans="1:12" ht="23" customHeight="1">
      <c r="A583" s="9" t="s">
        <v>99</v>
      </c>
      <c r="B583" s="6">
        <v>4</v>
      </c>
      <c r="C583" s="9" t="s">
        <v>90</v>
      </c>
      <c r="D583" s="6">
        <v>110</v>
      </c>
      <c r="E583" s="9" t="s">
        <v>94</v>
      </c>
      <c r="F583" s="6">
        <v>218438</v>
      </c>
      <c r="G583" s="7">
        <v>218438</v>
      </c>
      <c r="H583" s="9">
        <f>(G583-F583)</f>
        <v>0.0</v>
      </c>
      <c r="I583" s="9" t="s">
        <v>119</v>
      </c>
      <c r="J583" s="9" t="s">
        <v>120</v>
      </c>
    </row>
    <row r="584" spans="1:12" ht="23" customHeight="1">
      <c r="A584" s="9" t="s">
        <v>99</v>
      </c>
      <c r="B584" s="6">
        <v>4</v>
      </c>
      <c r="C584" s="9" t="s">
        <v>90</v>
      </c>
      <c r="D584" s="6">
        <v>110</v>
      </c>
      <c r="E584" s="9" t="s">
        <v>105</v>
      </c>
      <c r="F584" s="11">
        <v>2752.4</v>
      </c>
      <c r="G584" s="8">
        <v>2752.4</v>
      </c>
      <c r="H584" s="9">
        <f>(G584-F584)</f>
        <v>0.0</v>
      </c>
      <c r="I584" s="9" t="s">
        <v>119</v>
      </c>
      <c r="J584" s="9" t="s">
        <v>120</v>
      </c>
    </row>
    <row r="585" spans="1:12" ht="23" customHeight="1">
      <c r="A585" s="9" t="s">
        <v>99</v>
      </c>
      <c r="B585" s="6">
        <v>4</v>
      </c>
      <c r="C585" s="9" t="s">
        <v>90</v>
      </c>
      <c r="D585" s="6">
        <v>110</v>
      </c>
      <c r="E585" s="9" t="s">
        <v>106</v>
      </c>
      <c r="F585" s="11">
        <v>2752.4</v>
      </c>
      <c r="G585" s="8">
        <v>2752.4</v>
      </c>
      <c r="H585" s="9">
        <f>(G585-F585)</f>
        <v>0.0</v>
      </c>
      <c r="I585" s="9" t="s">
        <v>119</v>
      </c>
      <c r="J585" s="9" t="s">
        <v>120</v>
      </c>
    </row>
    <row r="586" spans="1:12" ht="23" customHeight="1">
      <c r="A586" s="9" t="s">
        <v>99</v>
      </c>
      <c r="B586" s="6">
        <v>4</v>
      </c>
      <c r="C586" s="9" t="s">
        <v>90</v>
      </c>
      <c r="D586" s="6">
        <v>110</v>
      </c>
      <c r="E586" s="9" t="s">
        <v>95</v>
      </c>
      <c r="F586" s="6">
        <v>218438</v>
      </c>
      <c r="G586" s="7">
        <v>218438</v>
      </c>
      <c r="H586" s="9">
        <f>(G586-F586)</f>
        <v>0.0</v>
      </c>
      <c r="I586" s="9" t="s">
        <v>119</v>
      </c>
      <c r="J586" s="9" t="s">
        <v>120</v>
      </c>
    </row>
    <row r="587" spans="1:12" ht="23" customHeight="1">
      <c r="A587" s="9" t="s">
        <v>99</v>
      </c>
      <c r="B587" s="6">
        <v>4</v>
      </c>
      <c r="C587" s="9" t="s">
        <v>90</v>
      </c>
      <c r="D587" s="6">
        <v>110</v>
      </c>
      <c r="E587" s="9" t="s">
        <v>96</v>
      </c>
      <c r="F587" s="6">
        <v>218438</v>
      </c>
      <c r="G587" s="7">
        <v>218438</v>
      </c>
      <c r="H587" s="9">
        <f>(G587-F587)</f>
        <v>0.0</v>
      </c>
      <c r="I587" s="9" t="s">
        <v>119</v>
      </c>
      <c r="J587" s="9" t="s">
        <v>120</v>
      </c>
    </row>
    <row r="588" spans="1:12" ht="23" customHeight="1">
      <c r="A588" s="9" t="s">
        <v>99</v>
      </c>
      <c r="B588" s="6">
        <v>4</v>
      </c>
      <c r="C588" s="9" t="s">
        <v>90</v>
      </c>
      <c r="D588" s="6">
        <v>110</v>
      </c>
      <c r="E588" s="9" t="s">
        <v>97</v>
      </c>
      <c r="F588" s="6">
        <v>218438</v>
      </c>
      <c r="G588" s="7">
        <v>218438</v>
      </c>
      <c r="H588" s="9">
        <f>(G588-F588)</f>
        <v>0.0</v>
      </c>
      <c r="I588" s="9" t="s">
        <v>119</v>
      </c>
      <c r="J588" s="9" t="s">
        <v>120</v>
      </c>
    </row>
    <row r="589" spans="1:12" ht="23" customHeight="1">
      <c r="A589" s="9" t="s">
        <v>99</v>
      </c>
      <c r="B589" s="6">
        <v>4</v>
      </c>
      <c r="C589" s="9" t="s">
        <v>90</v>
      </c>
      <c r="D589" s="6">
        <v>110</v>
      </c>
      <c r="E589" s="9" t="s">
        <v>98</v>
      </c>
      <c r="F589" s="6">
        <v>218438</v>
      </c>
      <c r="G589" s="7">
        <v>218438</v>
      </c>
      <c r="H589" s="9">
        <f>(G589-F589)</f>
        <v>0.0</v>
      </c>
      <c r="I589" s="9" t="s">
        <v>119</v>
      </c>
      <c r="J589" s="9" t="s">
        <v>120</v>
      </c>
    </row>
    <row r="590" spans="1:12" ht="23" customHeight="1">
      <c r="A590" s="9" t="s">
        <v>99</v>
      </c>
      <c r="B590" s="6">
        <v>4</v>
      </c>
      <c r="C590" s="9" t="s">
        <v>90</v>
      </c>
      <c r="D590" s="6">
        <v>111</v>
      </c>
      <c r="E590" s="9" t="s">
        <v>93</v>
      </c>
      <c r="F590" s="6">
        <v>218438</v>
      </c>
      <c r="G590" s="7">
        <v>218438</v>
      </c>
      <c r="H590" s="9">
        <f>(G590-F590)</f>
        <v>0.0</v>
      </c>
      <c r="I590" s="9" t="s">
        <v>119</v>
      </c>
      <c r="J590" s="9" t="s">
        <v>120</v>
      </c>
    </row>
    <row r="591" spans="1:12" ht="23" customHeight="1">
      <c r="A591" s="9" t="s">
        <v>99</v>
      </c>
      <c r="B591" s="6">
        <v>4</v>
      </c>
      <c r="C591" s="9" t="s">
        <v>90</v>
      </c>
      <c r="D591" s="6">
        <v>111</v>
      </c>
      <c r="E591" s="9" t="s">
        <v>103</v>
      </c>
      <c r="F591" s="11">
        <v>2752.4</v>
      </c>
      <c r="G591" s="8">
        <v>2752.4</v>
      </c>
      <c r="H591" s="9">
        <f>(G591-F591)</f>
        <v>0.0</v>
      </c>
      <c r="I591" s="9" t="s">
        <v>119</v>
      </c>
      <c r="J591" s="9" t="s">
        <v>120</v>
      </c>
    </row>
    <row r="592" spans="1:12" ht="23" customHeight="1">
      <c r="A592" s="9" t="s">
        <v>99</v>
      </c>
      <c r="B592" s="6">
        <v>4</v>
      </c>
      <c r="C592" s="9" t="s">
        <v>90</v>
      </c>
      <c r="D592" s="6">
        <v>111</v>
      </c>
      <c r="E592" s="9" t="s">
        <v>104</v>
      </c>
      <c r="F592" s="11">
        <v>2752.4</v>
      </c>
      <c r="G592" s="8">
        <v>2752.4</v>
      </c>
      <c r="H592" s="9">
        <f>(G592-F592)</f>
        <v>0.0</v>
      </c>
      <c r="I592" s="9" t="s">
        <v>119</v>
      </c>
      <c r="J592" s="9" t="s">
        <v>120</v>
      </c>
    </row>
    <row r="593" spans="1:12" ht="23" customHeight="1">
      <c r="A593" s="9" t="s">
        <v>99</v>
      </c>
      <c r="B593" s="6">
        <v>4</v>
      </c>
      <c r="C593" s="9" t="s">
        <v>90</v>
      </c>
      <c r="D593" s="6">
        <v>111</v>
      </c>
      <c r="E593" s="9" t="s">
        <v>94</v>
      </c>
      <c r="F593" s="6">
        <v>218438</v>
      </c>
      <c r="G593" s="7">
        <v>218438</v>
      </c>
      <c r="H593" s="9">
        <f>(G593-F593)</f>
        <v>0.0</v>
      </c>
      <c r="I593" s="9" t="s">
        <v>119</v>
      </c>
      <c r="J593" s="9" t="s">
        <v>120</v>
      </c>
    </row>
    <row r="594" spans="1:12" ht="23" customHeight="1">
      <c r="A594" s="9" t="s">
        <v>99</v>
      </c>
      <c r="B594" s="6">
        <v>4</v>
      </c>
      <c r="C594" s="9" t="s">
        <v>90</v>
      </c>
      <c r="D594" s="6">
        <v>111</v>
      </c>
      <c r="E594" s="9" t="s">
        <v>105</v>
      </c>
      <c r="F594" s="11">
        <v>2752.4</v>
      </c>
      <c r="G594" s="8">
        <v>2752.4</v>
      </c>
      <c r="H594" s="9">
        <f>(G594-F594)</f>
        <v>0.0</v>
      </c>
      <c r="I594" s="9" t="s">
        <v>119</v>
      </c>
      <c r="J594" s="9" t="s">
        <v>120</v>
      </c>
    </row>
    <row r="595" spans="1:12" ht="23" customHeight="1">
      <c r="A595" s="9" t="s">
        <v>99</v>
      </c>
      <c r="B595" s="6">
        <v>4</v>
      </c>
      <c r="C595" s="9" t="s">
        <v>90</v>
      </c>
      <c r="D595" s="6">
        <v>111</v>
      </c>
      <c r="E595" s="9" t="s">
        <v>106</v>
      </c>
      <c r="F595" s="11">
        <v>2752.4</v>
      </c>
      <c r="G595" s="8">
        <v>2752.4</v>
      </c>
      <c r="H595" s="9">
        <f>(G595-F595)</f>
        <v>0.0</v>
      </c>
      <c r="I595" s="9" t="s">
        <v>119</v>
      </c>
      <c r="J595" s="9" t="s">
        <v>120</v>
      </c>
    </row>
    <row r="596" spans="1:12" ht="23" customHeight="1">
      <c r="A596" s="9" t="s">
        <v>99</v>
      </c>
      <c r="B596" s="6">
        <v>4</v>
      </c>
      <c r="C596" s="9" t="s">
        <v>90</v>
      </c>
      <c r="D596" s="6">
        <v>111</v>
      </c>
      <c r="E596" s="9" t="s">
        <v>95</v>
      </c>
      <c r="F596" s="6">
        <v>218438</v>
      </c>
      <c r="G596" s="7">
        <v>218438</v>
      </c>
      <c r="H596" s="9">
        <f>(G596-F596)</f>
        <v>0.0</v>
      </c>
      <c r="I596" s="9" t="s">
        <v>119</v>
      </c>
      <c r="J596" s="9" t="s">
        <v>120</v>
      </c>
    </row>
    <row r="597" spans="1:12" ht="23" customHeight="1">
      <c r="A597" s="9" t="s">
        <v>99</v>
      </c>
      <c r="B597" s="6">
        <v>4</v>
      </c>
      <c r="C597" s="9" t="s">
        <v>90</v>
      </c>
      <c r="D597" s="6">
        <v>111</v>
      </c>
      <c r="E597" s="9" t="s">
        <v>96</v>
      </c>
      <c r="F597" s="6">
        <v>218438</v>
      </c>
      <c r="G597" s="7">
        <v>218438</v>
      </c>
      <c r="H597" s="9">
        <f>(G597-F597)</f>
        <v>0.0</v>
      </c>
      <c r="I597" s="9" t="s">
        <v>119</v>
      </c>
      <c r="J597" s="9" t="s">
        <v>120</v>
      </c>
    </row>
    <row r="598" spans="1:12" ht="24" customHeight="1">
      <c r="A598" s="3" t="s">
        <v>107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36" customHeight="1">
      <c r="A599" s="4" t="s">
        <v>108</v>
      </c>
      <c r="B599" s="4" t="s">
        <v>8</v>
      </c>
      <c r="C599" s="4" t="s">
        <v>109</v>
      </c>
      <c r="D599" s="4" t="s">
        <v>110</v>
      </c>
      <c r="E599" s="4" t="s">
        <v>111</v>
      </c>
      <c r="F599" s="4" t="s">
        <v>112</v>
      </c>
      <c r="G599" s="4" t="s">
        <v>113</v>
      </c>
      <c r="H599" s="4" t="s">
        <v>114</v>
      </c>
      <c r="I599" s="4" t="s">
        <v>115</v>
      </c>
      <c r="J599" s="4" t="s">
        <v>116</v>
      </c>
    </row>
    <row r="600" spans="1:12" ht="23" customHeight="1">
      <c r="A600" s="9" t="s">
        <v>99</v>
      </c>
      <c r="B600" s="6">
        <v>4</v>
      </c>
      <c r="C600" s="9" t="s">
        <v>90</v>
      </c>
      <c r="D600" s="6">
        <v>111</v>
      </c>
      <c r="E600" s="9" t="s">
        <v>97</v>
      </c>
      <c r="F600" s="6">
        <v>218438</v>
      </c>
      <c r="G600" s="7">
        <v>218438</v>
      </c>
      <c r="H600" s="9">
        <f>(G600-F600)</f>
        <v>0.0</v>
      </c>
      <c r="I600" s="9" t="s">
        <v>119</v>
      </c>
      <c r="J600" s="9" t="s">
        <v>120</v>
      </c>
    </row>
    <row r="601" spans="1:12" ht="23" customHeight="1">
      <c r="A601" s="9" t="s">
        <v>99</v>
      </c>
      <c r="B601" s="6">
        <v>4</v>
      </c>
      <c r="C601" s="9" t="s">
        <v>90</v>
      </c>
      <c r="D601" s="6">
        <v>111</v>
      </c>
      <c r="E601" s="9" t="s">
        <v>98</v>
      </c>
      <c r="F601" s="6">
        <v>218438</v>
      </c>
      <c r="G601" s="7">
        <v>218438</v>
      </c>
      <c r="H601" s="9">
        <f>(G601-F601)</f>
        <v>0.0</v>
      </c>
      <c r="I601" s="9" t="s">
        <v>119</v>
      </c>
      <c r="J601" s="9" t="s">
        <v>120</v>
      </c>
    </row>
    <row r="602" spans="1:12" ht="23" customHeight="1">
      <c r="A602" s="9" t="s">
        <v>99</v>
      </c>
      <c r="B602" s="6">
        <v>4</v>
      </c>
      <c r="C602" s="9" t="s">
        <v>90</v>
      </c>
      <c r="D602" s="6">
        <v>112</v>
      </c>
      <c r="E602" s="9" t="s">
        <v>93</v>
      </c>
      <c r="F602" s="6">
        <v>179149</v>
      </c>
      <c r="G602" s="7">
        <v>179149</v>
      </c>
      <c r="H602" s="9">
        <f>(G602-F602)</f>
        <v>0.0</v>
      </c>
      <c r="I602" s="9" t="s">
        <v>119</v>
      </c>
      <c r="J602" s="9" t="s">
        <v>120</v>
      </c>
    </row>
    <row r="603" spans="1:12" ht="23" customHeight="1">
      <c r="A603" s="9" t="s">
        <v>99</v>
      </c>
      <c r="B603" s="6">
        <v>4</v>
      </c>
      <c r="C603" s="9" t="s">
        <v>90</v>
      </c>
      <c r="D603" s="6">
        <v>112</v>
      </c>
      <c r="E603" s="9" t="s">
        <v>103</v>
      </c>
      <c r="F603" s="11">
        <v>2032.5</v>
      </c>
      <c r="G603" s="8">
        <v>2032.5</v>
      </c>
      <c r="H603" s="9">
        <f>(G603-F603)</f>
        <v>0.0</v>
      </c>
      <c r="I603" s="9" t="s">
        <v>119</v>
      </c>
      <c r="J603" s="9" t="s">
        <v>120</v>
      </c>
    </row>
    <row r="604" spans="1:12" ht="23" customHeight="1">
      <c r="A604" s="9" t="s">
        <v>99</v>
      </c>
      <c r="B604" s="6">
        <v>4</v>
      </c>
      <c r="C604" s="9" t="s">
        <v>90</v>
      </c>
      <c r="D604" s="6">
        <v>112</v>
      </c>
      <c r="E604" s="9" t="s">
        <v>104</v>
      </c>
      <c r="F604" s="11">
        <v>2032.5</v>
      </c>
      <c r="G604" s="8">
        <v>2032.5</v>
      </c>
      <c r="H604" s="9">
        <f>(G604-F604)</f>
        <v>0.0</v>
      </c>
      <c r="I604" s="9" t="s">
        <v>119</v>
      </c>
      <c r="J604" s="9" t="s">
        <v>120</v>
      </c>
    </row>
    <row r="605" spans="1:12" ht="23" customHeight="1">
      <c r="A605" s="9" t="s">
        <v>99</v>
      </c>
      <c r="B605" s="6">
        <v>4</v>
      </c>
      <c r="C605" s="9" t="s">
        <v>90</v>
      </c>
      <c r="D605" s="6">
        <v>112</v>
      </c>
      <c r="E605" s="9" t="s">
        <v>94</v>
      </c>
      <c r="F605" s="6">
        <v>179149</v>
      </c>
      <c r="G605" s="7">
        <v>179149</v>
      </c>
      <c r="H605" s="9">
        <f>(G605-F605)</f>
        <v>0.0</v>
      </c>
      <c r="I605" s="9" t="s">
        <v>119</v>
      </c>
      <c r="J605" s="9" t="s">
        <v>120</v>
      </c>
    </row>
    <row r="606" spans="1:12" ht="23" customHeight="1">
      <c r="A606" s="9" t="s">
        <v>99</v>
      </c>
      <c r="B606" s="6">
        <v>4</v>
      </c>
      <c r="C606" s="9" t="s">
        <v>90</v>
      </c>
      <c r="D606" s="6">
        <v>112</v>
      </c>
      <c r="E606" s="9" t="s">
        <v>105</v>
      </c>
      <c r="F606" s="11">
        <v>2032.5</v>
      </c>
      <c r="G606" s="8">
        <v>2032.5</v>
      </c>
      <c r="H606" s="9">
        <f>(G606-F606)</f>
        <v>0.0</v>
      </c>
      <c r="I606" s="9" t="s">
        <v>119</v>
      </c>
      <c r="J606" s="9" t="s">
        <v>120</v>
      </c>
    </row>
    <row r="607" spans="1:12" ht="23" customHeight="1">
      <c r="A607" s="9" t="s">
        <v>99</v>
      </c>
      <c r="B607" s="6">
        <v>4</v>
      </c>
      <c r="C607" s="9" t="s">
        <v>90</v>
      </c>
      <c r="D607" s="6">
        <v>112</v>
      </c>
      <c r="E607" s="9" t="s">
        <v>106</v>
      </c>
      <c r="F607" s="11">
        <v>2032.5</v>
      </c>
      <c r="G607" s="8">
        <v>2032.5</v>
      </c>
      <c r="H607" s="9">
        <f>(G607-F607)</f>
        <v>0.0</v>
      </c>
      <c r="I607" s="9" t="s">
        <v>119</v>
      </c>
      <c r="J607" s="9" t="s">
        <v>120</v>
      </c>
    </row>
    <row r="608" spans="1:12" ht="23" customHeight="1">
      <c r="A608" s="9" t="s">
        <v>99</v>
      </c>
      <c r="B608" s="6">
        <v>4</v>
      </c>
      <c r="C608" s="9" t="s">
        <v>90</v>
      </c>
      <c r="D608" s="6">
        <v>112</v>
      </c>
      <c r="E608" s="9" t="s">
        <v>95</v>
      </c>
      <c r="F608" s="6">
        <v>179149</v>
      </c>
      <c r="G608" s="7">
        <v>179149</v>
      </c>
      <c r="H608" s="9">
        <f>(G608-F608)</f>
        <v>0.0</v>
      </c>
      <c r="I608" s="9" t="s">
        <v>119</v>
      </c>
      <c r="J608" s="9" t="s">
        <v>120</v>
      </c>
    </row>
    <row r="609" spans="1:12" ht="23" customHeight="1">
      <c r="A609" s="9" t="s">
        <v>99</v>
      </c>
      <c r="B609" s="6">
        <v>4</v>
      </c>
      <c r="C609" s="9" t="s">
        <v>90</v>
      </c>
      <c r="D609" s="6">
        <v>112</v>
      </c>
      <c r="E609" s="9" t="s">
        <v>96</v>
      </c>
      <c r="F609" s="6">
        <v>179149</v>
      </c>
      <c r="G609" s="7">
        <v>179149</v>
      </c>
      <c r="H609" s="9">
        <f>(G609-F609)</f>
        <v>0.0</v>
      </c>
      <c r="I609" s="9" t="s">
        <v>119</v>
      </c>
      <c r="J609" s="9" t="s">
        <v>120</v>
      </c>
    </row>
    <row r="610" spans="1:12" ht="23" customHeight="1">
      <c r="A610" s="9" t="s">
        <v>99</v>
      </c>
      <c r="B610" s="6">
        <v>4</v>
      </c>
      <c r="C610" s="9" t="s">
        <v>90</v>
      </c>
      <c r="D610" s="6">
        <v>112</v>
      </c>
      <c r="E610" s="9" t="s">
        <v>97</v>
      </c>
      <c r="F610" s="6">
        <v>179149</v>
      </c>
      <c r="G610" s="7">
        <v>179149</v>
      </c>
      <c r="H610" s="9">
        <f>(G610-F610)</f>
        <v>0.0</v>
      </c>
      <c r="I610" s="9" t="s">
        <v>119</v>
      </c>
      <c r="J610" s="9" t="s">
        <v>120</v>
      </c>
    </row>
    <row r="611" spans="1:12" ht="23" customHeight="1">
      <c r="A611" s="9" t="s">
        <v>99</v>
      </c>
      <c r="B611" s="6">
        <v>4</v>
      </c>
      <c r="C611" s="9" t="s">
        <v>90</v>
      </c>
      <c r="D611" s="6">
        <v>112</v>
      </c>
      <c r="E611" s="9" t="s">
        <v>98</v>
      </c>
      <c r="F611" s="6">
        <v>179149</v>
      </c>
      <c r="G611" s="7">
        <v>179149</v>
      </c>
      <c r="H611" s="9">
        <f>(G611-F611)</f>
        <v>0.0</v>
      </c>
      <c r="I611" s="9" t="s">
        <v>119</v>
      </c>
      <c r="J611" s="9" t="s">
        <v>120</v>
      </c>
    </row>
    <row r="612" spans="1:12" ht="23" customHeight="1">
      <c r="A612" s="9" t="s">
        <v>99</v>
      </c>
      <c r="B612" s="6">
        <v>4</v>
      </c>
      <c r="C612" s="9" t="s">
        <v>90</v>
      </c>
      <c r="D612" s="6">
        <v>113</v>
      </c>
      <c r="E612" s="9" t="s">
        <v>93</v>
      </c>
      <c r="F612" s="6">
        <v>104936</v>
      </c>
      <c r="G612" s="7">
        <v>104936</v>
      </c>
      <c r="H612" s="9">
        <f>(G612-F612)</f>
        <v>0.0</v>
      </c>
      <c r="I612" s="9" t="s">
        <v>119</v>
      </c>
      <c r="J612" s="9" t="s">
        <v>120</v>
      </c>
    </row>
    <row r="613" spans="1:12" ht="23" customHeight="1">
      <c r="A613" s="9" t="s">
        <v>99</v>
      </c>
      <c r="B613" s="6">
        <v>4</v>
      </c>
      <c r="C613" s="9" t="s">
        <v>90</v>
      </c>
      <c r="D613" s="6">
        <v>113</v>
      </c>
      <c r="E613" s="9" t="s">
        <v>103</v>
      </c>
      <c r="F613" s="11">
        <v>672.8</v>
      </c>
      <c r="G613" s="8">
        <v>672.8</v>
      </c>
      <c r="H613" s="9">
        <f>(G613-F613)</f>
        <v>0.0</v>
      </c>
      <c r="I613" s="9" t="s">
        <v>119</v>
      </c>
      <c r="J613" s="9" t="s">
        <v>120</v>
      </c>
    </row>
    <row r="614" spans="1:12" ht="23" customHeight="1">
      <c r="A614" s="9" t="s">
        <v>99</v>
      </c>
      <c r="B614" s="6">
        <v>4</v>
      </c>
      <c r="C614" s="9" t="s">
        <v>90</v>
      </c>
      <c r="D614" s="6">
        <v>113</v>
      </c>
      <c r="E614" s="9" t="s">
        <v>104</v>
      </c>
      <c r="F614" s="11">
        <v>672.8</v>
      </c>
      <c r="G614" s="8">
        <v>672.8</v>
      </c>
      <c r="H614" s="9">
        <f>(G614-F614)</f>
        <v>0.0</v>
      </c>
      <c r="I614" s="9" t="s">
        <v>119</v>
      </c>
      <c r="J614" s="9" t="s">
        <v>120</v>
      </c>
    </row>
    <row r="615" spans="1:12" ht="24" customHeight="1">
      <c r="A615" s="3" t="s">
        <v>107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108</v>
      </c>
      <c r="B616" s="4" t="s">
        <v>8</v>
      </c>
      <c r="C616" s="4" t="s">
        <v>109</v>
      </c>
      <c r="D616" s="4" t="s">
        <v>110</v>
      </c>
      <c r="E616" s="4" t="s">
        <v>111</v>
      </c>
      <c r="F616" s="4" t="s">
        <v>112</v>
      </c>
      <c r="G616" s="4" t="s">
        <v>113</v>
      </c>
      <c r="H616" s="4" t="s">
        <v>114</v>
      </c>
      <c r="I616" s="4" t="s">
        <v>115</v>
      </c>
      <c r="J616" s="4" t="s">
        <v>116</v>
      </c>
    </row>
    <row r="617" spans="1:12" ht="23" customHeight="1">
      <c r="A617" s="9" t="s">
        <v>99</v>
      </c>
      <c r="B617" s="6">
        <v>4</v>
      </c>
      <c r="C617" s="9" t="s">
        <v>90</v>
      </c>
      <c r="D617" s="6">
        <v>113</v>
      </c>
      <c r="E617" s="9" t="s">
        <v>94</v>
      </c>
      <c r="F617" s="6">
        <v>104936</v>
      </c>
      <c r="G617" s="7">
        <v>104936</v>
      </c>
      <c r="H617" s="9">
        <f>(G617-F617)</f>
        <v>0.0</v>
      </c>
      <c r="I617" s="9" t="s">
        <v>119</v>
      </c>
      <c r="J617" s="9" t="s">
        <v>120</v>
      </c>
    </row>
    <row r="618" spans="1:12" ht="23" customHeight="1">
      <c r="A618" s="9" t="s">
        <v>99</v>
      </c>
      <c r="B618" s="6">
        <v>4</v>
      </c>
      <c r="C618" s="9" t="s">
        <v>90</v>
      </c>
      <c r="D618" s="6">
        <v>113</v>
      </c>
      <c r="E618" s="9" t="s">
        <v>105</v>
      </c>
      <c r="F618" s="11">
        <v>672.8</v>
      </c>
      <c r="G618" s="8">
        <v>672.8</v>
      </c>
      <c r="H618" s="9">
        <f>(G618-F618)</f>
        <v>0.0</v>
      </c>
      <c r="I618" s="9" t="s">
        <v>119</v>
      </c>
      <c r="J618" s="9" t="s">
        <v>120</v>
      </c>
    </row>
    <row r="619" spans="1:12" ht="23" customHeight="1">
      <c r="A619" s="9" t="s">
        <v>99</v>
      </c>
      <c r="B619" s="6">
        <v>4</v>
      </c>
      <c r="C619" s="9" t="s">
        <v>90</v>
      </c>
      <c r="D619" s="6">
        <v>113</v>
      </c>
      <c r="E619" s="9" t="s">
        <v>106</v>
      </c>
      <c r="F619" s="11">
        <v>672.8</v>
      </c>
      <c r="G619" s="8">
        <v>672.8</v>
      </c>
      <c r="H619" s="9">
        <f>(G619-F619)</f>
        <v>0.0</v>
      </c>
      <c r="I619" s="9" t="s">
        <v>119</v>
      </c>
      <c r="J619" s="9" t="s">
        <v>120</v>
      </c>
    </row>
    <row r="620" spans="1:12" ht="23" customHeight="1">
      <c r="A620" s="9" t="s">
        <v>99</v>
      </c>
      <c r="B620" s="6">
        <v>4</v>
      </c>
      <c r="C620" s="9" t="s">
        <v>90</v>
      </c>
      <c r="D620" s="6">
        <v>113</v>
      </c>
      <c r="E620" s="9" t="s">
        <v>95</v>
      </c>
      <c r="F620" s="6">
        <v>104936</v>
      </c>
      <c r="G620" s="7">
        <v>104936</v>
      </c>
      <c r="H620" s="9">
        <f>(G620-F620)</f>
        <v>0.0</v>
      </c>
      <c r="I620" s="9" t="s">
        <v>119</v>
      </c>
      <c r="J620" s="9" t="s">
        <v>120</v>
      </c>
    </row>
    <row r="621" spans="1:12" ht="23" customHeight="1">
      <c r="A621" s="9" t="s">
        <v>99</v>
      </c>
      <c r="B621" s="6">
        <v>4</v>
      </c>
      <c r="C621" s="9" t="s">
        <v>90</v>
      </c>
      <c r="D621" s="6">
        <v>113</v>
      </c>
      <c r="E621" s="9" t="s">
        <v>96</v>
      </c>
      <c r="F621" s="6">
        <v>104936</v>
      </c>
      <c r="G621" s="7">
        <v>104936</v>
      </c>
      <c r="H621" s="9">
        <f>(G621-F621)</f>
        <v>0.0</v>
      </c>
      <c r="I621" s="9" t="s">
        <v>119</v>
      </c>
      <c r="J621" s="9" t="s">
        <v>120</v>
      </c>
    </row>
    <row r="622" spans="1:12" ht="23" customHeight="1">
      <c r="A622" s="9" t="s">
        <v>99</v>
      </c>
      <c r="B622" s="6">
        <v>4</v>
      </c>
      <c r="C622" s="9" t="s">
        <v>90</v>
      </c>
      <c r="D622" s="6">
        <v>113</v>
      </c>
      <c r="E622" s="9" t="s">
        <v>97</v>
      </c>
      <c r="F622" s="6">
        <v>104936</v>
      </c>
      <c r="G622" s="7">
        <v>104936</v>
      </c>
      <c r="H622" s="9">
        <f>(G622-F622)</f>
        <v>0.0</v>
      </c>
      <c r="I622" s="9" t="s">
        <v>119</v>
      </c>
      <c r="J622" s="9" t="s">
        <v>120</v>
      </c>
    </row>
    <row r="623" spans="1:12" ht="23" customHeight="1">
      <c r="A623" s="9" t="s">
        <v>99</v>
      </c>
      <c r="B623" s="6">
        <v>4</v>
      </c>
      <c r="C623" s="9" t="s">
        <v>90</v>
      </c>
      <c r="D623" s="6">
        <v>113</v>
      </c>
      <c r="E623" s="9" t="s">
        <v>98</v>
      </c>
      <c r="F623" s="6">
        <v>104936</v>
      </c>
      <c r="G623" s="7">
        <v>104936</v>
      </c>
      <c r="H623" s="9">
        <f>(G623-F623)</f>
        <v>0.0</v>
      </c>
      <c r="I623" s="9" t="s">
        <v>119</v>
      </c>
      <c r="J623" s="9" t="s">
        <v>120</v>
      </c>
    </row>
    <row r="624" spans="1:12" ht="23" customHeight="1">
      <c r="A624" s="9" t="s">
        <v>99</v>
      </c>
      <c r="B624" s="6">
        <v>4</v>
      </c>
      <c r="C624" s="9" t="s">
        <v>90</v>
      </c>
      <c r="D624" s="6">
        <v>114</v>
      </c>
      <c r="E624" s="9" t="s">
        <v>93</v>
      </c>
      <c r="F624" s="6">
        <v>104936</v>
      </c>
      <c r="G624" s="7">
        <v>104936</v>
      </c>
      <c r="H624" s="9">
        <f>(G624-F624)</f>
        <v>0.0</v>
      </c>
      <c r="I624" s="9" t="s">
        <v>119</v>
      </c>
      <c r="J624" s="9" t="s">
        <v>120</v>
      </c>
    </row>
    <row r="625" spans="1:12" ht="23" customHeight="1">
      <c r="A625" s="9" t="s">
        <v>99</v>
      </c>
      <c r="B625" s="6">
        <v>4</v>
      </c>
      <c r="C625" s="9" t="s">
        <v>90</v>
      </c>
      <c r="D625" s="6">
        <v>114</v>
      </c>
      <c r="E625" s="9" t="s">
        <v>103</v>
      </c>
      <c r="F625" s="11">
        <v>672.8</v>
      </c>
      <c r="G625" s="8">
        <v>672.8</v>
      </c>
      <c r="H625" s="9">
        <f>(G625-F625)</f>
        <v>0.0</v>
      </c>
      <c r="I625" s="9" t="s">
        <v>119</v>
      </c>
      <c r="J625" s="9" t="s">
        <v>120</v>
      </c>
    </row>
    <row r="626" spans="1:12" ht="23" customHeight="1">
      <c r="A626" s="9" t="s">
        <v>99</v>
      </c>
      <c r="B626" s="6">
        <v>4</v>
      </c>
      <c r="C626" s="9" t="s">
        <v>90</v>
      </c>
      <c r="D626" s="6">
        <v>114</v>
      </c>
      <c r="E626" s="9" t="s">
        <v>104</v>
      </c>
      <c r="F626" s="11">
        <v>672.8</v>
      </c>
      <c r="G626" s="8">
        <v>672.8</v>
      </c>
      <c r="H626" s="9">
        <f>(G626-F626)</f>
        <v>0.0</v>
      </c>
      <c r="I626" s="9" t="s">
        <v>119</v>
      </c>
      <c r="J626" s="9" t="s">
        <v>120</v>
      </c>
    </row>
    <row r="627" spans="1:12" ht="23" customHeight="1">
      <c r="A627" s="9" t="s">
        <v>99</v>
      </c>
      <c r="B627" s="6">
        <v>4</v>
      </c>
      <c r="C627" s="9" t="s">
        <v>90</v>
      </c>
      <c r="D627" s="6">
        <v>114</v>
      </c>
      <c r="E627" s="9" t="s">
        <v>94</v>
      </c>
      <c r="F627" s="6">
        <v>104936</v>
      </c>
      <c r="G627" s="7">
        <v>104936</v>
      </c>
      <c r="H627" s="9">
        <f>(G627-F627)</f>
        <v>0.0</v>
      </c>
      <c r="I627" s="9" t="s">
        <v>119</v>
      </c>
      <c r="J627" s="9" t="s">
        <v>120</v>
      </c>
    </row>
    <row r="628" spans="1:12" ht="23" customHeight="1">
      <c r="A628" s="9" t="s">
        <v>99</v>
      </c>
      <c r="B628" s="6">
        <v>4</v>
      </c>
      <c r="C628" s="9" t="s">
        <v>90</v>
      </c>
      <c r="D628" s="6">
        <v>114</v>
      </c>
      <c r="E628" s="9" t="s">
        <v>105</v>
      </c>
      <c r="F628" s="11">
        <v>672.8</v>
      </c>
      <c r="G628" s="8">
        <v>672.8</v>
      </c>
      <c r="H628" s="9">
        <f>(G628-F628)</f>
        <v>0.0</v>
      </c>
      <c r="I628" s="9" t="s">
        <v>119</v>
      </c>
      <c r="J628" s="9" t="s">
        <v>120</v>
      </c>
    </row>
    <row r="629" spans="1:12" ht="23" customHeight="1">
      <c r="A629" s="9" t="s">
        <v>99</v>
      </c>
      <c r="B629" s="6">
        <v>4</v>
      </c>
      <c r="C629" s="9" t="s">
        <v>90</v>
      </c>
      <c r="D629" s="6">
        <v>114</v>
      </c>
      <c r="E629" s="9" t="s">
        <v>106</v>
      </c>
      <c r="F629" s="11">
        <v>672.8</v>
      </c>
      <c r="G629" s="8">
        <v>672.8</v>
      </c>
      <c r="H629" s="9">
        <f>(G629-F629)</f>
        <v>0.0</v>
      </c>
      <c r="I629" s="9" t="s">
        <v>119</v>
      </c>
      <c r="J629" s="9" t="s">
        <v>120</v>
      </c>
    </row>
    <row r="630" spans="1:12" ht="23" customHeight="1">
      <c r="A630" s="9" t="s">
        <v>99</v>
      </c>
      <c r="B630" s="6">
        <v>4</v>
      </c>
      <c r="C630" s="9" t="s">
        <v>90</v>
      </c>
      <c r="D630" s="6">
        <v>114</v>
      </c>
      <c r="E630" s="9" t="s">
        <v>95</v>
      </c>
      <c r="F630" s="6">
        <v>104936</v>
      </c>
      <c r="G630" s="7">
        <v>104936</v>
      </c>
      <c r="H630" s="9">
        <f>(G630-F630)</f>
        <v>0.0</v>
      </c>
      <c r="I630" s="9" t="s">
        <v>119</v>
      </c>
      <c r="J630" s="9" t="s">
        <v>120</v>
      </c>
    </row>
    <row r="631" spans="1:12" ht="23" customHeight="1">
      <c r="A631" s="9" t="s">
        <v>99</v>
      </c>
      <c r="B631" s="6">
        <v>4</v>
      </c>
      <c r="C631" s="9" t="s">
        <v>90</v>
      </c>
      <c r="D631" s="6">
        <v>114</v>
      </c>
      <c r="E631" s="9" t="s">
        <v>96</v>
      </c>
      <c r="F631" s="6">
        <v>104936</v>
      </c>
      <c r="G631" s="7">
        <v>104936</v>
      </c>
      <c r="H631" s="9">
        <f>(G631-F631)</f>
        <v>0.0</v>
      </c>
      <c r="I631" s="9" t="s">
        <v>119</v>
      </c>
      <c r="J631" s="9" t="s">
        <v>120</v>
      </c>
    </row>
    <row r="632" spans="1:12" ht="24" customHeight="1">
      <c r="A632" s="3" t="s">
        <v>107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36" customHeight="1">
      <c r="A633" s="4" t="s">
        <v>108</v>
      </c>
      <c r="B633" s="4" t="s">
        <v>8</v>
      </c>
      <c r="C633" s="4" t="s">
        <v>109</v>
      </c>
      <c r="D633" s="4" t="s">
        <v>110</v>
      </c>
      <c r="E633" s="4" t="s">
        <v>111</v>
      </c>
      <c r="F633" s="4" t="s">
        <v>112</v>
      </c>
      <c r="G633" s="4" t="s">
        <v>113</v>
      </c>
      <c r="H633" s="4" t="s">
        <v>114</v>
      </c>
      <c r="I633" s="4" t="s">
        <v>115</v>
      </c>
      <c r="J633" s="4" t="s">
        <v>116</v>
      </c>
    </row>
    <row r="634" spans="1:12" ht="23" customHeight="1">
      <c r="A634" s="9" t="s">
        <v>99</v>
      </c>
      <c r="B634" s="6">
        <v>4</v>
      </c>
      <c r="C634" s="9" t="s">
        <v>90</v>
      </c>
      <c r="D634" s="6">
        <v>114</v>
      </c>
      <c r="E634" s="9" t="s">
        <v>97</v>
      </c>
      <c r="F634" s="6">
        <v>104936</v>
      </c>
      <c r="G634" s="7">
        <v>104936</v>
      </c>
      <c r="H634" s="9">
        <f>(G634-F634)</f>
        <v>0.0</v>
      </c>
      <c r="I634" s="9" t="s">
        <v>119</v>
      </c>
      <c r="J634" s="9" t="s">
        <v>120</v>
      </c>
    </row>
    <row r="635" spans="1:12" ht="23" customHeight="1">
      <c r="A635" s="9" t="s">
        <v>99</v>
      </c>
      <c r="B635" s="6">
        <v>4</v>
      </c>
      <c r="C635" s="9" t="s">
        <v>90</v>
      </c>
      <c r="D635" s="6">
        <v>114</v>
      </c>
      <c r="E635" s="9" t="s">
        <v>98</v>
      </c>
      <c r="F635" s="6">
        <v>104936</v>
      </c>
      <c r="G635" s="7">
        <v>104936</v>
      </c>
      <c r="H635" s="9">
        <f>(G635-F635)</f>
        <v>0.0</v>
      </c>
      <c r="I635" s="9" t="s">
        <v>119</v>
      </c>
      <c r="J635" s="9" t="s">
        <v>120</v>
      </c>
    </row>
    <row r="636" spans="1:12" ht="23" customHeight="1">
      <c r="A636" s="9" t="s">
        <v>99</v>
      </c>
      <c r="B636" s="6">
        <v>4</v>
      </c>
      <c r="C636" s="9" t="s">
        <v>90</v>
      </c>
      <c r="D636" s="6">
        <v>115</v>
      </c>
      <c r="E636" s="9" t="s">
        <v>93</v>
      </c>
      <c r="F636" s="6">
        <v>104936</v>
      </c>
      <c r="G636" s="7">
        <v>104936</v>
      </c>
      <c r="H636" s="9">
        <f>(G636-F636)</f>
        <v>0.0</v>
      </c>
      <c r="I636" s="9" t="s">
        <v>119</v>
      </c>
      <c r="J636" s="9" t="s">
        <v>120</v>
      </c>
    </row>
    <row r="637" spans="1:12" ht="23" customHeight="1">
      <c r="A637" s="9" t="s">
        <v>99</v>
      </c>
      <c r="B637" s="6">
        <v>4</v>
      </c>
      <c r="C637" s="9" t="s">
        <v>90</v>
      </c>
      <c r="D637" s="6">
        <v>115</v>
      </c>
      <c r="E637" s="9" t="s">
        <v>103</v>
      </c>
      <c r="F637" s="11">
        <v>672.8</v>
      </c>
      <c r="G637" s="8">
        <v>672.8</v>
      </c>
      <c r="H637" s="9">
        <f>(G637-F637)</f>
        <v>0.0</v>
      </c>
      <c r="I637" s="9" t="s">
        <v>119</v>
      </c>
      <c r="J637" s="9" t="s">
        <v>120</v>
      </c>
    </row>
    <row r="638" spans="1:12" ht="23" customHeight="1">
      <c r="A638" s="9" t="s">
        <v>99</v>
      </c>
      <c r="B638" s="6">
        <v>4</v>
      </c>
      <c r="C638" s="9" t="s">
        <v>90</v>
      </c>
      <c r="D638" s="6">
        <v>115</v>
      </c>
      <c r="E638" s="9" t="s">
        <v>104</v>
      </c>
      <c r="F638" s="11">
        <v>672.8</v>
      </c>
      <c r="G638" s="8">
        <v>672.8</v>
      </c>
      <c r="H638" s="9">
        <f>(G638-F638)</f>
        <v>0.0</v>
      </c>
      <c r="I638" s="9" t="s">
        <v>119</v>
      </c>
      <c r="J638" s="9" t="s">
        <v>120</v>
      </c>
    </row>
    <row r="639" spans="1:12" ht="23" customHeight="1">
      <c r="A639" s="9" t="s">
        <v>99</v>
      </c>
      <c r="B639" s="6">
        <v>4</v>
      </c>
      <c r="C639" s="9" t="s">
        <v>90</v>
      </c>
      <c r="D639" s="6">
        <v>115</v>
      </c>
      <c r="E639" s="9" t="s">
        <v>94</v>
      </c>
      <c r="F639" s="6">
        <v>104936</v>
      </c>
      <c r="G639" s="7">
        <v>104936</v>
      </c>
      <c r="H639" s="9">
        <f>(G639-F639)</f>
        <v>0.0</v>
      </c>
      <c r="I639" s="9" t="s">
        <v>119</v>
      </c>
      <c r="J639" s="9" t="s">
        <v>120</v>
      </c>
    </row>
    <row r="640" spans="1:12" ht="23" customHeight="1">
      <c r="A640" s="9" t="s">
        <v>99</v>
      </c>
      <c r="B640" s="6">
        <v>4</v>
      </c>
      <c r="C640" s="9" t="s">
        <v>90</v>
      </c>
      <c r="D640" s="6">
        <v>115</v>
      </c>
      <c r="E640" s="9" t="s">
        <v>105</v>
      </c>
      <c r="F640" s="11">
        <v>672.8</v>
      </c>
      <c r="G640" s="8">
        <v>672.8</v>
      </c>
      <c r="H640" s="9">
        <f>(G640-F640)</f>
        <v>0.0</v>
      </c>
      <c r="I640" s="9" t="s">
        <v>119</v>
      </c>
      <c r="J640" s="9" t="s">
        <v>120</v>
      </c>
    </row>
    <row r="641" spans="1:12" ht="23" customHeight="1">
      <c r="A641" s="9" t="s">
        <v>99</v>
      </c>
      <c r="B641" s="6">
        <v>4</v>
      </c>
      <c r="C641" s="9" t="s">
        <v>90</v>
      </c>
      <c r="D641" s="6">
        <v>115</v>
      </c>
      <c r="E641" s="9" t="s">
        <v>106</v>
      </c>
      <c r="F641" s="11">
        <v>672.8</v>
      </c>
      <c r="G641" s="8">
        <v>672.8</v>
      </c>
      <c r="H641" s="9">
        <f>(G641-F641)</f>
        <v>0.0</v>
      </c>
      <c r="I641" s="9" t="s">
        <v>119</v>
      </c>
      <c r="J641" s="9" t="s">
        <v>120</v>
      </c>
    </row>
    <row r="642" spans="1:12" ht="23" customHeight="1">
      <c r="A642" s="9" t="s">
        <v>99</v>
      </c>
      <c r="B642" s="6">
        <v>4</v>
      </c>
      <c r="C642" s="9" t="s">
        <v>90</v>
      </c>
      <c r="D642" s="6">
        <v>115</v>
      </c>
      <c r="E642" s="9" t="s">
        <v>95</v>
      </c>
      <c r="F642" s="6">
        <v>104936</v>
      </c>
      <c r="G642" s="7">
        <v>104936</v>
      </c>
      <c r="H642" s="9">
        <f>(G642-F642)</f>
        <v>0.0</v>
      </c>
      <c r="I642" s="9" t="s">
        <v>119</v>
      </c>
      <c r="J642" s="9" t="s">
        <v>120</v>
      </c>
    </row>
    <row r="643" spans="1:12" ht="23" customHeight="1">
      <c r="A643" s="9" t="s">
        <v>99</v>
      </c>
      <c r="B643" s="6">
        <v>4</v>
      </c>
      <c r="C643" s="9" t="s">
        <v>90</v>
      </c>
      <c r="D643" s="6">
        <v>115</v>
      </c>
      <c r="E643" s="9" t="s">
        <v>96</v>
      </c>
      <c r="F643" s="6">
        <v>104936</v>
      </c>
      <c r="G643" s="7">
        <v>104936</v>
      </c>
      <c r="H643" s="9">
        <f>(G643-F643)</f>
        <v>0.0</v>
      </c>
      <c r="I643" s="9" t="s">
        <v>119</v>
      </c>
      <c r="J643" s="9" t="s">
        <v>120</v>
      </c>
    </row>
    <row r="644" spans="1:12" ht="23" customHeight="1">
      <c r="A644" s="9" t="s">
        <v>99</v>
      </c>
      <c r="B644" s="6">
        <v>4</v>
      </c>
      <c r="C644" s="9" t="s">
        <v>90</v>
      </c>
      <c r="D644" s="6">
        <v>115</v>
      </c>
      <c r="E644" s="9" t="s">
        <v>97</v>
      </c>
      <c r="F644" s="6">
        <v>104936</v>
      </c>
      <c r="G644" s="7">
        <v>104936</v>
      </c>
      <c r="H644" s="9">
        <f>(G644-F644)</f>
        <v>0.0</v>
      </c>
      <c r="I644" s="9" t="s">
        <v>119</v>
      </c>
      <c r="J644" s="9" t="s">
        <v>120</v>
      </c>
    </row>
    <row r="645" spans="1:12" ht="23" customHeight="1">
      <c r="A645" s="9" t="s">
        <v>99</v>
      </c>
      <c r="B645" s="6">
        <v>4</v>
      </c>
      <c r="C645" s="9" t="s">
        <v>90</v>
      </c>
      <c r="D645" s="6">
        <v>115</v>
      </c>
      <c r="E645" s="9" t="s">
        <v>98</v>
      </c>
      <c r="F645" s="6">
        <v>104936</v>
      </c>
      <c r="G645" s="7">
        <v>104936</v>
      </c>
      <c r="H645" s="9">
        <f>(G645-F645)</f>
        <v>0.0</v>
      </c>
      <c r="I645" s="9" t="s">
        <v>119</v>
      </c>
      <c r="J645" s="9" t="s">
        <v>120</v>
      </c>
    </row>
    <row r="646" spans="1:12" ht="23" customHeight="1">
      <c r="A646" s="9" t="s">
        <v>99</v>
      </c>
      <c r="B646" s="6">
        <v>4</v>
      </c>
      <c r="C646" s="9" t="s">
        <v>90</v>
      </c>
      <c r="D646" s="6">
        <v>116</v>
      </c>
      <c r="E646" s="9" t="s">
        <v>93</v>
      </c>
      <c r="F646" s="6">
        <v>104936</v>
      </c>
      <c r="G646" s="7">
        <v>104936</v>
      </c>
      <c r="H646" s="9">
        <f>(G646-F646)</f>
        <v>0.0</v>
      </c>
      <c r="I646" s="9" t="s">
        <v>119</v>
      </c>
      <c r="J646" s="9" t="s">
        <v>120</v>
      </c>
    </row>
    <row r="647" spans="1:12" ht="23" customHeight="1">
      <c r="A647" s="9" t="s">
        <v>99</v>
      </c>
      <c r="B647" s="6">
        <v>4</v>
      </c>
      <c r="C647" s="9" t="s">
        <v>90</v>
      </c>
      <c r="D647" s="6">
        <v>116</v>
      </c>
      <c r="E647" s="9" t="s">
        <v>103</v>
      </c>
      <c r="F647" s="11">
        <v>672.8</v>
      </c>
      <c r="G647" s="8">
        <v>672.8</v>
      </c>
      <c r="H647" s="9">
        <f>(G647-F647)</f>
        <v>0.0</v>
      </c>
      <c r="I647" s="9" t="s">
        <v>119</v>
      </c>
      <c r="J647" s="9" t="s">
        <v>120</v>
      </c>
    </row>
    <row r="648" spans="1:12" ht="23" customHeight="1">
      <c r="A648" s="9" t="s">
        <v>99</v>
      </c>
      <c r="B648" s="6">
        <v>4</v>
      </c>
      <c r="C648" s="9" t="s">
        <v>90</v>
      </c>
      <c r="D648" s="6">
        <v>116</v>
      </c>
      <c r="E648" s="9" t="s">
        <v>104</v>
      </c>
      <c r="F648" s="11">
        <v>672.8</v>
      </c>
      <c r="G648" s="8">
        <v>672.8</v>
      </c>
      <c r="H648" s="9">
        <f>(G648-F648)</f>
        <v>0.0</v>
      </c>
      <c r="I648" s="9" t="s">
        <v>119</v>
      </c>
      <c r="J648" s="9" t="s">
        <v>120</v>
      </c>
    </row>
    <row r="649" spans="1:12" ht="24" customHeight="1">
      <c r="A649" s="3" t="s">
        <v>107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36" customHeight="1">
      <c r="A650" s="4" t="s">
        <v>108</v>
      </c>
      <c r="B650" s="4" t="s">
        <v>8</v>
      </c>
      <c r="C650" s="4" t="s">
        <v>109</v>
      </c>
      <c r="D650" s="4" t="s">
        <v>110</v>
      </c>
      <c r="E650" s="4" t="s">
        <v>111</v>
      </c>
      <c r="F650" s="4" t="s">
        <v>112</v>
      </c>
      <c r="G650" s="4" t="s">
        <v>113</v>
      </c>
      <c r="H650" s="4" t="s">
        <v>114</v>
      </c>
      <c r="I650" s="4" t="s">
        <v>115</v>
      </c>
      <c r="J650" s="4" t="s">
        <v>116</v>
      </c>
    </row>
    <row r="651" spans="1:12" ht="23" customHeight="1">
      <c r="A651" s="9" t="s">
        <v>99</v>
      </c>
      <c r="B651" s="6">
        <v>4</v>
      </c>
      <c r="C651" s="9" t="s">
        <v>90</v>
      </c>
      <c r="D651" s="6">
        <v>116</v>
      </c>
      <c r="E651" s="9" t="s">
        <v>94</v>
      </c>
      <c r="F651" s="6">
        <v>104936</v>
      </c>
      <c r="G651" s="7">
        <v>104936</v>
      </c>
      <c r="H651" s="9">
        <f>(G651-F651)</f>
        <v>0.0</v>
      </c>
      <c r="I651" s="9" t="s">
        <v>119</v>
      </c>
      <c r="J651" s="9" t="s">
        <v>120</v>
      </c>
    </row>
    <row r="652" spans="1:12" ht="23" customHeight="1">
      <c r="A652" s="9" t="s">
        <v>99</v>
      </c>
      <c r="B652" s="6">
        <v>4</v>
      </c>
      <c r="C652" s="9" t="s">
        <v>90</v>
      </c>
      <c r="D652" s="6">
        <v>116</v>
      </c>
      <c r="E652" s="9" t="s">
        <v>105</v>
      </c>
      <c r="F652" s="11">
        <v>672.8</v>
      </c>
      <c r="G652" s="8">
        <v>672.8</v>
      </c>
      <c r="H652" s="9">
        <f>(G652-F652)</f>
        <v>0.0</v>
      </c>
      <c r="I652" s="9" t="s">
        <v>119</v>
      </c>
      <c r="J652" s="9" t="s">
        <v>120</v>
      </c>
    </row>
    <row r="653" spans="1:12" ht="23" customHeight="1">
      <c r="A653" s="9" t="s">
        <v>99</v>
      </c>
      <c r="B653" s="6">
        <v>4</v>
      </c>
      <c r="C653" s="9" t="s">
        <v>90</v>
      </c>
      <c r="D653" s="6">
        <v>116</v>
      </c>
      <c r="E653" s="9" t="s">
        <v>106</v>
      </c>
      <c r="F653" s="11">
        <v>672.8</v>
      </c>
      <c r="G653" s="8">
        <v>672.8</v>
      </c>
      <c r="H653" s="9">
        <f>(G653-F653)</f>
        <v>0.0</v>
      </c>
      <c r="I653" s="9" t="s">
        <v>119</v>
      </c>
      <c r="J653" s="9" t="s">
        <v>120</v>
      </c>
    </row>
    <row r="654" spans="1:12" ht="23" customHeight="1">
      <c r="A654" s="9" t="s">
        <v>99</v>
      </c>
      <c r="B654" s="6">
        <v>4</v>
      </c>
      <c r="C654" s="9" t="s">
        <v>90</v>
      </c>
      <c r="D654" s="6">
        <v>116</v>
      </c>
      <c r="E654" s="9" t="s">
        <v>95</v>
      </c>
      <c r="F654" s="6">
        <v>104936</v>
      </c>
      <c r="G654" s="7">
        <v>104936</v>
      </c>
      <c r="H654" s="9">
        <f>(G654-F654)</f>
        <v>0.0</v>
      </c>
      <c r="I654" s="9" t="s">
        <v>119</v>
      </c>
      <c r="J654" s="9" t="s">
        <v>120</v>
      </c>
    </row>
    <row r="655" spans="1:12" ht="23" customHeight="1">
      <c r="A655" s="9" t="s">
        <v>99</v>
      </c>
      <c r="B655" s="6">
        <v>4</v>
      </c>
      <c r="C655" s="9" t="s">
        <v>90</v>
      </c>
      <c r="D655" s="6">
        <v>116</v>
      </c>
      <c r="E655" s="9" t="s">
        <v>96</v>
      </c>
      <c r="F655" s="6">
        <v>104936</v>
      </c>
      <c r="G655" s="7">
        <v>104936</v>
      </c>
      <c r="H655" s="9">
        <f>(G655-F655)</f>
        <v>0.0</v>
      </c>
      <c r="I655" s="9" t="s">
        <v>119</v>
      </c>
      <c r="J655" s="9" t="s">
        <v>120</v>
      </c>
    </row>
    <row r="656" spans="1:12" ht="23" customHeight="1">
      <c r="A656" s="9" t="s">
        <v>99</v>
      </c>
      <c r="B656" s="6">
        <v>4</v>
      </c>
      <c r="C656" s="9" t="s">
        <v>90</v>
      </c>
      <c r="D656" s="6">
        <v>116</v>
      </c>
      <c r="E656" s="9" t="s">
        <v>97</v>
      </c>
      <c r="F656" s="6">
        <v>104936</v>
      </c>
      <c r="G656" s="7">
        <v>104936</v>
      </c>
      <c r="H656" s="9">
        <f>(G656-F656)</f>
        <v>0.0</v>
      </c>
      <c r="I656" s="9" t="s">
        <v>119</v>
      </c>
      <c r="J656" s="9" t="s">
        <v>120</v>
      </c>
    </row>
    <row r="657" spans="1:12" ht="23" customHeight="1">
      <c r="A657" s="9" t="s">
        <v>99</v>
      </c>
      <c r="B657" s="6">
        <v>4</v>
      </c>
      <c r="C657" s="9" t="s">
        <v>90</v>
      </c>
      <c r="D657" s="6">
        <v>116</v>
      </c>
      <c r="E657" s="9" t="s">
        <v>98</v>
      </c>
      <c r="F657" s="6">
        <v>104936</v>
      </c>
      <c r="G657" s="7">
        <v>104936</v>
      </c>
      <c r="H657" s="9">
        <f>(G657-F657)</f>
        <v>0.0</v>
      </c>
      <c r="I657" s="9" t="s">
        <v>119</v>
      </c>
      <c r="J657" s="9" t="s">
        <v>120</v>
      </c>
    </row>
    <row r="658" spans="1:12" ht="23" customHeight="1">
      <c r="A658" s="9" t="s">
        <v>99</v>
      </c>
      <c r="B658" s="6">
        <v>4</v>
      </c>
      <c r="C658" s="9" t="s">
        <v>90</v>
      </c>
      <c r="D658" s="6">
        <v>117</v>
      </c>
      <c r="E658" s="9" t="s">
        <v>93</v>
      </c>
      <c r="F658" s="6">
        <v>104936</v>
      </c>
      <c r="G658" s="7">
        <v>104936</v>
      </c>
      <c r="H658" s="9">
        <f>(G658-F658)</f>
        <v>0.0</v>
      </c>
      <c r="I658" s="9" t="s">
        <v>119</v>
      </c>
      <c r="J658" s="9" t="s">
        <v>120</v>
      </c>
    </row>
    <row r="659" spans="1:12" ht="23" customHeight="1">
      <c r="A659" s="9" t="s">
        <v>99</v>
      </c>
      <c r="B659" s="6">
        <v>4</v>
      </c>
      <c r="C659" s="9" t="s">
        <v>90</v>
      </c>
      <c r="D659" s="6">
        <v>117</v>
      </c>
      <c r="E659" s="9" t="s">
        <v>103</v>
      </c>
      <c r="F659" s="11">
        <v>672.8</v>
      </c>
      <c r="G659" s="8">
        <v>672.8</v>
      </c>
      <c r="H659" s="9">
        <f>(G659-F659)</f>
        <v>0.0</v>
      </c>
      <c r="I659" s="9" t="s">
        <v>119</v>
      </c>
      <c r="J659" s="9" t="s">
        <v>120</v>
      </c>
    </row>
    <row r="660" spans="1:12" ht="23" customHeight="1">
      <c r="A660" s="9" t="s">
        <v>99</v>
      </c>
      <c r="B660" s="6">
        <v>4</v>
      </c>
      <c r="C660" s="9" t="s">
        <v>90</v>
      </c>
      <c r="D660" s="6">
        <v>117</v>
      </c>
      <c r="E660" s="9" t="s">
        <v>104</v>
      </c>
      <c r="F660" s="11">
        <v>672.8</v>
      </c>
      <c r="G660" s="8">
        <v>672.8</v>
      </c>
      <c r="H660" s="9">
        <f>(G660-F660)</f>
        <v>0.0</v>
      </c>
      <c r="I660" s="9" t="s">
        <v>119</v>
      </c>
      <c r="J660" s="9" t="s">
        <v>120</v>
      </c>
    </row>
    <row r="661" spans="1:12" ht="23" customHeight="1">
      <c r="A661" s="9" t="s">
        <v>99</v>
      </c>
      <c r="B661" s="6">
        <v>4</v>
      </c>
      <c r="C661" s="9" t="s">
        <v>90</v>
      </c>
      <c r="D661" s="6">
        <v>117</v>
      </c>
      <c r="E661" s="9" t="s">
        <v>94</v>
      </c>
      <c r="F661" s="6">
        <v>104936</v>
      </c>
      <c r="G661" s="7">
        <v>104936</v>
      </c>
      <c r="H661" s="9">
        <f>(G661-F661)</f>
        <v>0.0</v>
      </c>
      <c r="I661" s="9" t="s">
        <v>119</v>
      </c>
      <c r="J661" s="9" t="s">
        <v>120</v>
      </c>
    </row>
    <row r="662" spans="1:12" ht="23" customHeight="1">
      <c r="A662" s="9" t="s">
        <v>99</v>
      </c>
      <c r="B662" s="6">
        <v>4</v>
      </c>
      <c r="C662" s="9" t="s">
        <v>90</v>
      </c>
      <c r="D662" s="6">
        <v>117</v>
      </c>
      <c r="E662" s="9" t="s">
        <v>105</v>
      </c>
      <c r="F662" s="11">
        <v>672.8</v>
      </c>
      <c r="G662" s="8">
        <v>672.8</v>
      </c>
      <c r="H662" s="9">
        <f>(G662-F662)</f>
        <v>0.0</v>
      </c>
      <c r="I662" s="9" t="s">
        <v>119</v>
      </c>
      <c r="J662" s="9" t="s">
        <v>120</v>
      </c>
    </row>
    <row r="663" spans="1:12" ht="23" customHeight="1">
      <c r="A663" s="9" t="s">
        <v>99</v>
      </c>
      <c r="B663" s="6">
        <v>4</v>
      </c>
      <c r="C663" s="9" t="s">
        <v>90</v>
      </c>
      <c r="D663" s="6">
        <v>117</v>
      </c>
      <c r="E663" s="9" t="s">
        <v>106</v>
      </c>
      <c r="F663" s="11">
        <v>672.8</v>
      </c>
      <c r="G663" s="8">
        <v>672.8</v>
      </c>
      <c r="H663" s="9">
        <f>(G663-F663)</f>
        <v>0.0</v>
      </c>
      <c r="I663" s="9" t="s">
        <v>119</v>
      </c>
      <c r="J663" s="9" t="s">
        <v>120</v>
      </c>
    </row>
    <row r="664" spans="1:12" ht="23" customHeight="1">
      <c r="A664" s="9" t="s">
        <v>99</v>
      </c>
      <c r="B664" s="6">
        <v>4</v>
      </c>
      <c r="C664" s="9" t="s">
        <v>90</v>
      </c>
      <c r="D664" s="6">
        <v>117</v>
      </c>
      <c r="E664" s="9" t="s">
        <v>95</v>
      </c>
      <c r="F664" s="6">
        <v>104936</v>
      </c>
      <c r="G664" s="7">
        <v>104936</v>
      </c>
      <c r="H664" s="9">
        <f>(G664-F664)</f>
        <v>0.0</v>
      </c>
      <c r="I664" s="9" t="s">
        <v>119</v>
      </c>
      <c r="J664" s="9" t="s">
        <v>120</v>
      </c>
    </row>
    <row r="665" spans="1:12" ht="23" customHeight="1">
      <c r="A665" s="9" t="s">
        <v>99</v>
      </c>
      <c r="B665" s="6">
        <v>4</v>
      </c>
      <c r="C665" s="9" t="s">
        <v>90</v>
      </c>
      <c r="D665" s="6">
        <v>117</v>
      </c>
      <c r="E665" s="9" t="s">
        <v>96</v>
      </c>
      <c r="F665" s="6">
        <v>104936</v>
      </c>
      <c r="G665" s="7">
        <v>104936</v>
      </c>
      <c r="H665" s="9">
        <f>(G665-F665)</f>
        <v>0.0</v>
      </c>
      <c r="I665" s="9" t="s">
        <v>119</v>
      </c>
      <c r="J665" s="9" t="s">
        <v>120</v>
      </c>
    </row>
    <row r="666" spans="1:12" ht="24" customHeight="1">
      <c r="A666" s="3" t="s">
        <v>107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36" customHeight="1">
      <c r="A667" s="4" t="s">
        <v>108</v>
      </c>
      <c r="B667" s="4" t="s">
        <v>8</v>
      </c>
      <c r="C667" s="4" t="s">
        <v>109</v>
      </c>
      <c r="D667" s="4" t="s">
        <v>110</v>
      </c>
      <c r="E667" s="4" t="s">
        <v>111</v>
      </c>
      <c r="F667" s="4" t="s">
        <v>112</v>
      </c>
      <c r="G667" s="4" t="s">
        <v>113</v>
      </c>
      <c r="H667" s="4" t="s">
        <v>114</v>
      </c>
      <c r="I667" s="4" t="s">
        <v>115</v>
      </c>
      <c r="J667" s="4" t="s">
        <v>116</v>
      </c>
    </row>
    <row r="668" spans="1:12" ht="23" customHeight="1">
      <c r="A668" s="9" t="s">
        <v>99</v>
      </c>
      <c r="B668" s="6">
        <v>4</v>
      </c>
      <c r="C668" s="9" t="s">
        <v>90</v>
      </c>
      <c r="D668" s="6">
        <v>117</v>
      </c>
      <c r="E668" s="9" t="s">
        <v>97</v>
      </c>
      <c r="F668" s="6">
        <v>104936</v>
      </c>
      <c r="G668" s="7">
        <v>104936</v>
      </c>
      <c r="H668" s="9">
        <f>(G668-F668)</f>
        <v>0.0</v>
      </c>
      <c r="I668" s="9" t="s">
        <v>119</v>
      </c>
      <c r="J668" s="9" t="s">
        <v>120</v>
      </c>
    </row>
    <row r="669" spans="1:12" ht="23" customHeight="1">
      <c r="A669" s="9" t="s">
        <v>99</v>
      </c>
      <c r="B669" s="6">
        <v>4</v>
      </c>
      <c r="C669" s="9" t="s">
        <v>90</v>
      </c>
      <c r="D669" s="6">
        <v>117</v>
      </c>
      <c r="E669" s="9" t="s">
        <v>98</v>
      </c>
      <c r="F669" s="6">
        <v>104936</v>
      </c>
      <c r="G669" s="7">
        <v>104936</v>
      </c>
      <c r="H669" s="9">
        <f>(G669-F669)</f>
        <v>0.0</v>
      </c>
      <c r="I669" s="9" t="s">
        <v>119</v>
      </c>
      <c r="J669" s="9" t="s">
        <v>120</v>
      </c>
    </row>
    <row r="670" spans="1:12" ht="23" customHeight="1">
      <c r="A670" s="9" t="s">
        <v>99</v>
      </c>
      <c r="B670" s="6">
        <v>4</v>
      </c>
      <c r="C670" s="9" t="s">
        <v>90</v>
      </c>
      <c r="D670" s="6">
        <v>118</v>
      </c>
      <c r="E670" s="9" t="s">
        <v>93</v>
      </c>
      <c r="F670" s="6">
        <v>104936</v>
      </c>
      <c r="G670" s="7">
        <v>104936</v>
      </c>
      <c r="H670" s="9">
        <f>(G670-F670)</f>
        <v>0.0</v>
      </c>
      <c r="I670" s="9" t="s">
        <v>119</v>
      </c>
      <c r="J670" s="9" t="s">
        <v>120</v>
      </c>
    </row>
    <row r="671" spans="1:12" ht="23" customHeight="1">
      <c r="A671" s="9" t="s">
        <v>99</v>
      </c>
      <c r="B671" s="6">
        <v>4</v>
      </c>
      <c r="C671" s="9" t="s">
        <v>90</v>
      </c>
      <c r="D671" s="6">
        <v>118</v>
      </c>
      <c r="E671" s="9" t="s">
        <v>103</v>
      </c>
      <c r="F671" s="11">
        <v>672.8</v>
      </c>
      <c r="G671" s="8">
        <v>672.8</v>
      </c>
      <c r="H671" s="9">
        <f>(G671-F671)</f>
        <v>0.0</v>
      </c>
      <c r="I671" s="9" t="s">
        <v>119</v>
      </c>
      <c r="J671" s="9" t="s">
        <v>120</v>
      </c>
    </row>
    <row r="672" spans="1:12" ht="23" customHeight="1">
      <c r="A672" s="9" t="s">
        <v>99</v>
      </c>
      <c r="B672" s="6">
        <v>4</v>
      </c>
      <c r="C672" s="9" t="s">
        <v>90</v>
      </c>
      <c r="D672" s="6">
        <v>118</v>
      </c>
      <c r="E672" s="9" t="s">
        <v>104</v>
      </c>
      <c r="F672" s="11">
        <v>672.8</v>
      </c>
      <c r="G672" s="8">
        <v>672.8</v>
      </c>
      <c r="H672" s="9">
        <f>(G672-F672)</f>
        <v>0.0</v>
      </c>
      <c r="I672" s="9" t="s">
        <v>119</v>
      </c>
      <c r="J672" s="9" t="s">
        <v>120</v>
      </c>
    </row>
    <row r="673" spans="1:12" ht="23" customHeight="1">
      <c r="A673" s="9" t="s">
        <v>99</v>
      </c>
      <c r="B673" s="6">
        <v>4</v>
      </c>
      <c r="C673" s="9" t="s">
        <v>90</v>
      </c>
      <c r="D673" s="6">
        <v>118</v>
      </c>
      <c r="E673" s="9" t="s">
        <v>94</v>
      </c>
      <c r="F673" s="6">
        <v>104936</v>
      </c>
      <c r="G673" s="7">
        <v>104936</v>
      </c>
      <c r="H673" s="9">
        <f>(G673-F673)</f>
        <v>0.0</v>
      </c>
      <c r="I673" s="9" t="s">
        <v>119</v>
      </c>
      <c r="J673" s="9" t="s">
        <v>120</v>
      </c>
    </row>
    <row r="674" spans="1:12" ht="23" customHeight="1">
      <c r="A674" s="9" t="s">
        <v>99</v>
      </c>
      <c r="B674" s="6">
        <v>4</v>
      </c>
      <c r="C674" s="9" t="s">
        <v>90</v>
      </c>
      <c r="D674" s="6">
        <v>118</v>
      </c>
      <c r="E674" s="9" t="s">
        <v>105</v>
      </c>
      <c r="F674" s="11">
        <v>672.8</v>
      </c>
      <c r="G674" s="8">
        <v>672.8</v>
      </c>
      <c r="H674" s="9">
        <f>(G674-F674)</f>
        <v>0.0</v>
      </c>
      <c r="I674" s="9" t="s">
        <v>119</v>
      </c>
      <c r="J674" s="9" t="s">
        <v>120</v>
      </c>
    </row>
    <row r="675" spans="1:12" ht="23" customHeight="1">
      <c r="A675" s="9" t="s">
        <v>99</v>
      </c>
      <c r="B675" s="6">
        <v>4</v>
      </c>
      <c r="C675" s="9" t="s">
        <v>90</v>
      </c>
      <c r="D675" s="6">
        <v>118</v>
      </c>
      <c r="E675" s="9" t="s">
        <v>106</v>
      </c>
      <c r="F675" s="11">
        <v>672.8</v>
      </c>
      <c r="G675" s="8">
        <v>672.8</v>
      </c>
      <c r="H675" s="9">
        <f>(G675-F675)</f>
        <v>0.0</v>
      </c>
      <c r="I675" s="9" t="s">
        <v>119</v>
      </c>
      <c r="J675" s="9" t="s">
        <v>120</v>
      </c>
    </row>
    <row r="676" spans="1:12" ht="23" customHeight="1">
      <c r="A676" s="9" t="s">
        <v>99</v>
      </c>
      <c r="B676" s="6">
        <v>4</v>
      </c>
      <c r="C676" s="9" t="s">
        <v>90</v>
      </c>
      <c r="D676" s="6">
        <v>118</v>
      </c>
      <c r="E676" s="9" t="s">
        <v>95</v>
      </c>
      <c r="F676" s="6">
        <v>104936</v>
      </c>
      <c r="G676" s="7">
        <v>104936</v>
      </c>
      <c r="H676" s="9">
        <f>(G676-F676)</f>
        <v>0.0</v>
      </c>
      <c r="I676" s="9" t="s">
        <v>119</v>
      </c>
      <c r="J676" s="9" t="s">
        <v>120</v>
      </c>
    </row>
    <row r="677" spans="1:12" ht="23" customHeight="1">
      <c r="A677" s="9" t="s">
        <v>99</v>
      </c>
      <c r="B677" s="6">
        <v>4</v>
      </c>
      <c r="C677" s="9" t="s">
        <v>90</v>
      </c>
      <c r="D677" s="6">
        <v>118</v>
      </c>
      <c r="E677" s="9" t="s">
        <v>96</v>
      </c>
      <c r="F677" s="6">
        <v>104936</v>
      </c>
      <c r="G677" s="7">
        <v>104936</v>
      </c>
      <c r="H677" s="9">
        <f>(G677-F677)</f>
        <v>0.0</v>
      </c>
      <c r="I677" s="9" t="s">
        <v>119</v>
      </c>
      <c r="J677" s="9" t="s">
        <v>120</v>
      </c>
    </row>
    <row r="678" spans="1:12" ht="23" customHeight="1">
      <c r="A678" s="9" t="s">
        <v>99</v>
      </c>
      <c r="B678" s="6">
        <v>4</v>
      </c>
      <c r="C678" s="9" t="s">
        <v>90</v>
      </c>
      <c r="D678" s="6">
        <v>118</v>
      </c>
      <c r="E678" s="9" t="s">
        <v>97</v>
      </c>
      <c r="F678" s="6">
        <v>104936</v>
      </c>
      <c r="G678" s="7">
        <v>104936</v>
      </c>
      <c r="H678" s="9">
        <f>(G678-F678)</f>
        <v>0.0</v>
      </c>
      <c r="I678" s="9" t="s">
        <v>119</v>
      </c>
      <c r="J678" s="9" t="s">
        <v>120</v>
      </c>
    </row>
    <row r="679" spans="1:12" ht="23" customHeight="1">
      <c r="A679" s="9" t="s">
        <v>99</v>
      </c>
      <c r="B679" s="6">
        <v>4</v>
      </c>
      <c r="C679" s="9" t="s">
        <v>90</v>
      </c>
      <c r="D679" s="6">
        <v>118</v>
      </c>
      <c r="E679" s="9" t="s">
        <v>98</v>
      </c>
      <c r="F679" s="6">
        <v>104936</v>
      </c>
      <c r="G679" s="7">
        <v>104936</v>
      </c>
      <c r="H679" s="9">
        <f>(G679-F679)</f>
        <v>0.0</v>
      </c>
      <c r="I679" s="9" t="s">
        <v>119</v>
      </c>
      <c r="J679" s="9" t="s">
        <v>120</v>
      </c>
    </row>
    <row r="680" spans="1:12" ht="23" customHeight="1">
      <c r="A680" s="9" t="s">
        <v>99</v>
      </c>
      <c r="B680" s="6">
        <v>4</v>
      </c>
      <c r="C680" s="9" t="s">
        <v>90</v>
      </c>
      <c r="D680" s="6">
        <v>119</v>
      </c>
      <c r="E680" s="9" t="s">
        <v>93</v>
      </c>
      <c r="F680" s="6">
        <v>104936</v>
      </c>
      <c r="G680" s="7">
        <v>104936</v>
      </c>
      <c r="H680" s="9">
        <f>(G680-F680)</f>
        <v>0.0</v>
      </c>
      <c r="I680" s="9" t="s">
        <v>119</v>
      </c>
      <c r="J680" s="9" t="s">
        <v>120</v>
      </c>
    </row>
    <row r="681" spans="1:12" ht="23" customHeight="1">
      <c r="A681" s="9" t="s">
        <v>99</v>
      </c>
      <c r="B681" s="6">
        <v>4</v>
      </c>
      <c r="C681" s="9" t="s">
        <v>90</v>
      </c>
      <c r="D681" s="6">
        <v>119</v>
      </c>
      <c r="E681" s="9" t="s">
        <v>103</v>
      </c>
      <c r="F681" s="11">
        <v>672.8</v>
      </c>
      <c r="G681" s="8">
        <v>672.8</v>
      </c>
      <c r="H681" s="9">
        <f>(G681-F681)</f>
        <v>0.0</v>
      </c>
      <c r="I681" s="9" t="s">
        <v>119</v>
      </c>
      <c r="J681" s="9" t="s">
        <v>120</v>
      </c>
    </row>
    <row r="682" spans="1:12" ht="23" customHeight="1">
      <c r="A682" s="9" t="s">
        <v>99</v>
      </c>
      <c r="B682" s="6">
        <v>4</v>
      </c>
      <c r="C682" s="9" t="s">
        <v>90</v>
      </c>
      <c r="D682" s="6">
        <v>119</v>
      </c>
      <c r="E682" s="9" t="s">
        <v>104</v>
      </c>
      <c r="F682" s="11">
        <v>672.8</v>
      </c>
      <c r="G682" s="8">
        <v>672.8</v>
      </c>
      <c r="H682" s="9">
        <f>(G682-F682)</f>
        <v>0.0</v>
      </c>
      <c r="I682" s="9" t="s">
        <v>119</v>
      </c>
      <c r="J682" s="9" t="s">
        <v>120</v>
      </c>
    </row>
    <row r="683" spans="1:12" ht="24" customHeight="1">
      <c r="A683" s="3" t="s">
        <v>107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36" customHeight="1">
      <c r="A684" s="4" t="s">
        <v>108</v>
      </c>
      <c r="B684" s="4" t="s">
        <v>8</v>
      </c>
      <c r="C684" s="4" t="s">
        <v>109</v>
      </c>
      <c r="D684" s="4" t="s">
        <v>110</v>
      </c>
      <c r="E684" s="4" t="s">
        <v>111</v>
      </c>
      <c r="F684" s="4" t="s">
        <v>112</v>
      </c>
      <c r="G684" s="4" t="s">
        <v>113</v>
      </c>
      <c r="H684" s="4" t="s">
        <v>114</v>
      </c>
      <c r="I684" s="4" t="s">
        <v>115</v>
      </c>
      <c r="J684" s="4" t="s">
        <v>116</v>
      </c>
    </row>
    <row r="685" spans="1:12" ht="23" customHeight="1">
      <c r="A685" s="9" t="s">
        <v>99</v>
      </c>
      <c r="B685" s="6">
        <v>4</v>
      </c>
      <c r="C685" s="9" t="s">
        <v>90</v>
      </c>
      <c r="D685" s="6">
        <v>119</v>
      </c>
      <c r="E685" s="9" t="s">
        <v>94</v>
      </c>
      <c r="F685" s="6">
        <v>104936</v>
      </c>
      <c r="G685" s="7">
        <v>104936</v>
      </c>
      <c r="H685" s="9">
        <f>(G685-F685)</f>
        <v>0.0</v>
      </c>
      <c r="I685" s="9" t="s">
        <v>119</v>
      </c>
      <c r="J685" s="9" t="s">
        <v>120</v>
      </c>
    </row>
    <row r="686" spans="1:12" ht="23" customHeight="1">
      <c r="A686" s="9" t="s">
        <v>99</v>
      </c>
      <c r="B686" s="6">
        <v>4</v>
      </c>
      <c r="C686" s="9" t="s">
        <v>90</v>
      </c>
      <c r="D686" s="6">
        <v>119</v>
      </c>
      <c r="E686" s="9" t="s">
        <v>105</v>
      </c>
      <c r="F686" s="11">
        <v>672.8</v>
      </c>
      <c r="G686" s="8">
        <v>672.8</v>
      </c>
      <c r="H686" s="9">
        <f>(G686-F686)</f>
        <v>0.0</v>
      </c>
      <c r="I686" s="9" t="s">
        <v>119</v>
      </c>
      <c r="J686" s="9" t="s">
        <v>120</v>
      </c>
    </row>
    <row r="687" spans="1:12" ht="23" customHeight="1">
      <c r="A687" s="9" t="s">
        <v>99</v>
      </c>
      <c r="B687" s="6">
        <v>4</v>
      </c>
      <c r="C687" s="9" t="s">
        <v>90</v>
      </c>
      <c r="D687" s="6">
        <v>119</v>
      </c>
      <c r="E687" s="9" t="s">
        <v>106</v>
      </c>
      <c r="F687" s="11">
        <v>672.8</v>
      </c>
      <c r="G687" s="8">
        <v>672.8</v>
      </c>
      <c r="H687" s="9">
        <f>(G687-F687)</f>
        <v>0.0</v>
      </c>
      <c r="I687" s="9" t="s">
        <v>119</v>
      </c>
      <c r="J687" s="9" t="s">
        <v>120</v>
      </c>
    </row>
    <row r="688" spans="1:12" ht="23" customHeight="1">
      <c r="A688" s="9" t="s">
        <v>99</v>
      </c>
      <c r="B688" s="6">
        <v>4</v>
      </c>
      <c r="C688" s="9" t="s">
        <v>90</v>
      </c>
      <c r="D688" s="6">
        <v>119</v>
      </c>
      <c r="E688" s="9" t="s">
        <v>95</v>
      </c>
      <c r="F688" s="6">
        <v>104936</v>
      </c>
      <c r="G688" s="7">
        <v>104936</v>
      </c>
      <c r="H688" s="9">
        <f>(G688-F688)</f>
        <v>0.0</v>
      </c>
      <c r="I688" s="9" t="s">
        <v>119</v>
      </c>
      <c r="J688" s="9" t="s">
        <v>120</v>
      </c>
    </row>
    <row r="689" spans="1:12" ht="23" customHeight="1">
      <c r="A689" s="9" t="s">
        <v>99</v>
      </c>
      <c r="B689" s="6">
        <v>4</v>
      </c>
      <c r="C689" s="9" t="s">
        <v>90</v>
      </c>
      <c r="D689" s="6">
        <v>119</v>
      </c>
      <c r="E689" s="9" t="s">
        <v>96</v>
      </c>
      <c r="F689" s="6">
        <v>104936</v>
      </c>
      <c r="G689" s="7">
        <v>104936</v>
      </c>
      <c r="H689" s="9">
        <f>(G689-F689)</f>
        <v>0.0</v>
      </c>
      <c r="I689" s="9" t="s">
        <v>119</v>
      </c>
      <c r="J689" s="9" t="s">
        <v>120</v>
      </c>
    </row>
    <row r="690" spans="1:12" ht="23" customHeight="1">
      <c r="A690" s="9" t="s">
        <v>99</v>
      </c>
      <c r="B690" s="6">
        <v>4</v>
      </c>
      <c r="C690" s="9" t="s">
        <v>90</v>
      </c>
      <c r="D690" s="6">
        <v>119</v>
      </c>
      <c r="E690" s="9" t="s">
        <v>97</v>
      </c>
      <c r="F690" s="6">
        <v>104936</v>
      </c>
      <c r="G690" s="7">
        <v>104936</v>
      </c>
      <c r="H690" s="9">
        <f>(G690-F690)</f>
        <v>0.0</v>
      </c>
      <c r="I690" s="9" t="s">
        <v>119</v>
      </c>
      <c r="J690" s="9" t="s">
        <v>120</v>
      </c>
    </row>
    <row r="691" spans="1:12" ht="23" customHeight="1">
      <c r="A691" s="9" t="s">
        <v>99</v>
      </c>
      <c r="B691" s="6">
        <v>4</v>
      </c>
      <c r="C691" s="9" t="s">
        <v>90</v>
      </c>
      <c r="D691" s="6">
        <v>119</v>
      </c>
      <c r="E691" s="9" t="s">
        <v>98</v>
      </c>
      <c r="F691" s="6">
        <v>104936</v>
      </c>
      <c r="G691" s="7">
        <v>104936</v>
      </c>
      <c r="H691" s="9">
        <f>(G691-F691)</f>
        <v>0.0</v>
      </c>
      <c r="I691" s="9" t="s">
        <v>119</v>
      </c>
      <c r="J691" s="9" t="s">
        <v>120</v>
      </c>
    </row>
    <row r="692" spans="1:12" ht="23" customHeight="1">
      <c r="A692" s="9" t="s">
        <v>99</v>
      </c>
      <c r="B692" s="6">
        <v>4</v>
      </c>
      <c r="C692" s="9" t="s">
        <v>90</v>
      </c>
      <c r="D692" s="6">
        <v>120</v>
      </c>
      <c r="E692" s="9" t="s">
        <v>93</v>
      </c>
      <c r="F692" s="6">
        <v>104936</v>
      </c>
      <c r="G692" s="7">
        <v>104936</v>
      </c>
      <c r="H692" s="9">
        <f>(G692-F692)</f>
        <v>0.0</v>
      </c>
      <c r="I692" s="9" t="s">
        <v>119</v>
      </c>
      <c r="J692" s="9" t="s">
        <v>120</v>
      </c>
    </row>
    <row r="693" spans="1:12" ht="23" customHeight="1">
      <c r="A693" s="9" t="s">
        <v>99</v>
      </c>
      <c r="B693" s="6">
        <v>4</v>
      </c>
      <c r="C693" s="9" t="s">
        <v>90</v>
      </c>
      <c r="D693" s="6">
        <v>120</v>
      </c>
      <c r="E693" s="9" t="s">
        <v>103</v>
      </c>
      <c r="F693" s="11">
        <v>672.8</v>
      </c>
      <c r="G693" s="8">
        <v>672.8</v>
      </c>
      <c r="H693" s="9">
        <f>(G693-F693)</f>
        <v>0.0</v>
      </c>
      <c r="I693" s="9" t="s">
        <v>119</v>
      </c>
      <c r="J693" s="9" t="s">
        <v>120</v>
      </c>
    </row>
    <row r="694" spans="1:12" ht="23" customHeight="1">
      <c r="A694" s="9" t="s">
        <v>99</v>
      </c>
      <c r="B694" s="6">
        <v>4</v>
      </c>
      <c r="C694" s="9" t="s">
        <v>90</v>
      </c>
      <c r="D694" s="6">
        <v>120</v>
      </c>
      <c r="E694" s="9" t="s">
        <v>104</v>
      </c>
      <c r="F694" s="11">
        <v>672.8</v>
      </c>
      <c r="G694" s="8">
        <v>672.8</v>
      </c>
      <c r="H694" s="9">
        <f>(G694-F694)</f>
        <v>0.0</v>
      </c>
      <c r="I694" s="9" t="s">
        <v>119</v>
      </c>
      <c r="J694" s="9" t="s">
        <v>120</v>
      </c>
    </row>
    <row r="695" spans="1:12" ht="23" customHeight="1">
      <c r="A695" s="9" t="s">
        <v>99</v>
      </c>
      <c r="B695" s="6">
        <v>4</v>
      </c>
      <c r="C695" s="9" t="s">
        <v>90</v>
      </c>
      <c r="D695" s="6">
        <v>120</v>
      </c>
      <c r="E695" s="9" t="s">
        <v>94</v>
      </c>
      <c r="F695" s="6">
        <v>104936</v>
      </c>
      <c r="G695" s="7">
        <v>104936</v>
      </c>
      <c r="H695" s="9">
        <f>(G695-F695)</f>
        <v>0.0</v>
      </c>
      <c r="I695" s="9" t="s">
        <v>119</v>
      </c>
      <c r="J695" s="9" t="s">
        <v>120</v>
      </c>
    </row>
    <row r="696" spans="1:12" ht="23" customHeight="1">
      <c r="A696" s="9" t="s">
        <v>99</v>
      </c>
      <c r="B696" s="6">
        <v>4</v>
      </c>
      <c r="C696" s="9" t="s">
        <v>90</v>
      </c>
      <c r="D696" s="6">
        <v>120</v>
      </c>
      <c r="E696" s="9" t="s">
        <v>105</v>
      </c>
      <c r="F696" s="11">
        <v>672.8</v>
      </c>
      <c r="G696" s="8">
        <v>672.8</v>
      </c>
      <c r="H696" s="9">
        <f>(G696-F696)</f>
        <v>0.0</v>
      </c>
      <c r="I696" s="9" t="s">
        <v>119</v>
      </c>
      <c r="J696" s="9" t="s">
        <v>120</v>
      </c>
    </row>
    <row r="697" spans="1:12" ht="23" customHeight="1">
      <c r="A697" s="9" t="s">
        <v>99</v>
      </c>
      <c r="B697" s="6">
        <v>4</v>
      </c>
      <c r="C697" s="9" t="s">
        <v>90</v>
      </c>
      <c r="D697" s="6">
        <v>120</v>
      </c>
      <c r="E697" s="9" t="s">
        <v>106</v>
      </c>
      <c r="F697" s="11">
        <v>672.8</v>
      </c>
      <c r="G697" s="8">
        <v>672.8</v>
      </c>
      <c r="H697" s="9">
        <f>(G697-F697)</f>
        <v>0.0</v>
      </c>
      <c r="I697" s="9" t="s">
        <v>119</v>
      </c>
      <c r="J697" s="9" t="s">
        <v>120</v>
      </c>
    </row>
    <row r="698" spans="1:12" ht="23" customHeight="1">
      <c r="A698" s="9" t="s">
        <v>99</v>
      </c>
      <c r="B698" s="6">
        <v>4</v>
      </c>
      <c r="C698" s="9" t="s">
        <v>90</v>
      </c>
      <c r="D698" s="6">
        <v>120</v>
      </c>
      <c r="E698" s="9" t="s">
        <v>95</v>
      </c>
      <c r="F698" s="6">
        <v>104936</v>
      </c>
      <c r="G698" s="7">
        <v>104936</v>
      </c>
      <c r="H698" s="9">
        <f>(G698-F698)</f>
        <v>0.0</v>
      </c>
      <c r="I698" s="9" t="s">
        <v>119</v>
      </c>
      <c r="J698" s="9" t="s">
        <v>120</v>
      </c>
    </row>
    <row r="699" spans="1:12" ht="23" customHeight="1">
      <c r="A699" s="9" t="s">
        <v>99</v>
      </c>
      <c r="B699" s="6">
        <v>4</v>
      </c>
      <c r="C699" s="9" t="s">
        <v>90</v>
      </c>
      <c r="D699" s="6">
        <v>120</v>
      </c>
      <c r="E699" s="9" t="s">
        <v>96</v>
      </c>
      <c r="F699" s="6">
        <v>104936</v>
      </c>
      <c r="G699" s="7">
        <v>104936</v>
      </c>
      <c r="H699" s="9">
        <f>(G699-F699)</f>
        <v>0.0</v>
      </c>
      <c r="I699" s="9" t="s">
        <v>119</v>
      </c>
      <c r="J699" s="9" t="s">
        <v>120</v>
      </c>
    </row>
    <row r="700" spans="1:12" ht="24" customHeight="1">
      <c r="A700" s="3" t="s">
        <v>107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36" customHeight="1">
      <c r="A701" s="4" t="s">
        <v>108</v>
      </c>
      <c r="B701" s="4" t="s">
        <v>8</v>
      </c>
      <c r="C701" s="4" t="s">
        <v>109</v>
      </c>
      <c r="D701" s="4" t="s">
        <v>110</v>
      </c>
      <c r="E701" s="4" t="s">
        <v>111</v>
      </c>
      <c r="F701" s="4" t="s">
        <v>112</v>
      </c>
      <c r="G701" s="4" t="s">
        <v>113</v>
      </c>
      <c r="H701" s="4" t="s">
        <v>114</v>
      </c>
      <c r="I701" s="4" t="s">
        <v>115</v>
      </c>
      <c r="J701" s="4" t="s">
        <v>116</v>
      </c>
    </row>
    <row r="702" spans="1:12" ht="23" customHeight="1">
      <c r="A702" s="9" t="s">
        <v>99</v>
      </c>
      <c r="B702" s="6">
        <v>4</v>
      </c>
      <c r="C702" s="9" t="s">
        <v>90</v>
      </c>
      <c r="D702" s="6">
        <v>120</v>
      </c>
      <c r="E702" s="9" t="s">
        <v>97</v>
      </c>
      <c r="F702" s="6">
        <v>104936</v>
      </c>
      <c r="G702" s="7">
        <v>104936</v>
      </c>
      <c r="H702" s="9">
        <f>(G702-F702)</f>
        <v>0.0</v>
      </c>
      <c r="I702" s="9" t="s">
        <v>119</v>
      </c>
      <c r="J702" s="9" t="s">
        <v>120</v>
      </c>
    </row>
    <row r="703" spans="1:12" ht="23" customHeight="1">
      <c r="A703" s="9" t="s">
        <v>99</v>
      </c>
      <c r="B703" s="6">
        <v>4</v>
      </c>
      <c r="C703" s="9" t="s">
        <v>90</v>
      </c>
      <c r="D703" s="6">
        <v>120</v>
      </c>
      <c r="E703" s="9" t="s">
        <v>98</v>
      </c>
      <c r="F703" s="6">
        <v>104936</v>
      </c>
      <c r="G703" s="7">
        <v>104936</v>
      </c>
      <c r="H703" s="9">
        <f>(G703-F703)</f>
        <v>0.0</v>
      </c>
      <c r="I703" s="9" t="s">
        <v>119</v>
      </c>
      <c r="J703" s="9" t="s">
        <v>120</v>
      </c>
    </row>
    <row r="704" spans="1:12" ht="23" customHeight="1">
      <c r="A704" s="9" t="s">
        <v>99</v>
      </c>
      <c r="B704" s="6">
        <v>4</v>
      </c>
      <c r="C704" s="9" t="s">
        <v>90</v>
      </c>
      <c r="D704" s="6">
        <v>121</v>
      </c>
      <c r="E704" s="9" t="s">
        <v>93</v>
      </c>
      <c r="F704" s="6">
        <v>36324</v>
      </c>
      <c r="G704" s="7">
        <v>36324</v>
      </c>
      <c r="H704" s="9">
        <f>(G704-F704)</f>
        <v>0.0</v>
      </c>
      <c r="I704" s="9" t="s">
        <v>119</v>
      </c>
      <c r="J704" s="9" t="s">
        <v>120</v>
      </c>
    </row>
    <row r="705" spans="1:12" ht="23" customHeight="1">
      <c r="A705" s="9" t="s">
        <v>99</v>
      </c>
      <c r="B705" s="6">
        <v>4</v>
      </c>
      <c r="C705" s="9" t="s">
        <v>90</v>
      </c>
      <c r="D705" s="6">
        <v>121</v>
      </c>
      <c r="E705" s="9" t="s">
        <v>103</v>
      </c>
      <c r="F705" s="11">
        <v>232.9</v>
      </c>
      <c r="G705" s="8">
        <v>232.9</v>
      </c>
      <c r="H705" s="9">
        <f>(G705-F705)</f>
        <v>0.0</v>
      </c>
      <c r="I705" s="9" t="s">
        <v>119</v>
      </c>
      <c r="J705" s="9" t="s">
        <v>120</v>
      </c>
    </row>
    <row r="706" spans="1:12" ht="23" customHeight="1">
      <c r="A706" s="9" t="s">
        <v>99</v>
      </c>
      <c r="B706" s="6">
        <v>4</v>
      </c>
      <c r="C706" s="9" t="s">
        <v>90</v>
      </c>
      <c r="D706" s="6">
        <v>121</v>
      </c>
      <c r="E706" s="9" t="s">
        <v>104</v>
      </c>
      <c r="F706" s="11">
        <v>232.9</v>
      </c>
      <c r="G706" s="8">
        <v>232.9</v>
      </c>
      <c r="H706" s="9">
        <f>(G706-F706)</f>
        <v>0.0</v>
      </c>
      <c r="I706" s="9" t="s">
        <v>119</v>
      </c>
      <c r="J706" s="9" t="s">
        <v>120</v>
      </c>
    </row>
    <row r="707" spans="1:12" ht="23" customHeight="1">
      <c r="A707" s="9" t="s">
        <v>99</v>
      </c>
      <c r="B707" s="6">
        <v>4</v>
      </c>
      <c r="C707" s="9" t="s">
        <v>90</v>
      </c>
      <c r="D707" s="6">
        <v>121</v>
      </c>
      <c r="E707" s="9" t="s">
        <v>94</v>
      </c>
      <c r="F707" s="6">
        <v>36324</v>
      </c>
      <c r="G707" s="7">
        <v>36324</v>
      </c>
      <c r="H707" s="9">
        <f>(G707-F707)</f>
        <v>0.0</v>
      </c>
      <c r="I707" s="9" t="s">
        <v>119</v>
      </c>
      <c r="J707" s="9" t="s">
        <v>120</v>
      </c>
    </row>
    <row r="708" spans="1:12" ht="23" customHeight="1">
      <c r="A708" s="9" t="s">
        <v>99</v>
      </c>
      <c r="B708" s="6">
        <v>4</v>
      </c>
      <c r="C708" s="9" t="s">
        <v>90</v>
      </c>
      <c r="D708" s="6">
        <v>121</v>
      </c>
      <c r="E708" s="9" t="s">
        <v>105</v>
      </c>
      <c r="F708" s="11">
        <v>232.9</v>
      </c>
      <c r="G708" s="8">
        <v>232.9</v>
      </c>
      <c r="H708" s="9">
        <f>(G708-F708)</f>
        <v>0.0</v>
      </c>
      <c r="I708" s="9" t="s">
        <v>119</v>
      </c>
      <c r="J708" s="9" t="s">
        <v>120</v>
      </c>
    </row>
    <row r="709" spans="1:12" ht="23" customHeight="1">
      <c r="A709" s="9" t="s">
        <v>99</v>
      </c>
      <c r="B709" s="6">
        <v>4</v>
      </c>
      <c r="C709" s="9" t="s">
        <v>90</v>
      </c>
      <c r="D709" s="6">
        <v>121</v>
      </c>
      <c r="E709" s="9" t="s">
        <v>106</v>
      </c>
      <c r="F709" s="11">
        <v>232.9</v>
      </c>
      <c r="G709" s="8">
        <v>232.9</v>
      </c>
      <c r="H709" s="9">
        <f>(G709-F709)</f>
        <v>0.0</v>
      </c>
      <c r="I709" s="9" t="s">
        <v>119</v>
      </c>
      <c r="J709" s="9" t="s">
        <v>120</v>
      </c>
    </row>
    <row r="710" spans="1:12" ht="23" customHeight="1">
      <c r="A710" s="9" t="s">
        <v>99</v>
      </c>
      <c r="B710" s="6">
        <v>4</v>
      </c>
      <c r="C710" s="9" t="s">
        <v>90</v>
      </c>
      <c r="D710" s="6">
        <v>121</v>
      </c>
      <c r="E710" s="9" t="s">
        <v>95</v>
      </c>
      <c r="F710" s="6">
        <v>36324</v>
      </c>
      <c r="G710" s="7">
        <v>36324</v>
      </c>
      <c r="H710" s="9">
        <f>(G710-F710)</f>
        <v>0.0</v>
      </c>
      <c r="I710" s="9" t="s">
        <v>119</v>
      </c>
      <c r="J710" s="9" t="s">
        <v>120</v>
      </c>
    </row>
    <row r="711" spans="1:12" ht="23" customHeight="1">
      <c r="A711" s="9" t="s">
        <v>99</v>
      </c>
      <c r="B711" s="6">
        <v>4</v>
      </c>
      <c r="C711" s="9" t="s">
        <v>90</v>
      </c>
      <c r="D711" s="6">
        <v>121</v>
      </c>
      <c r="E711" s="9" t="s">
        <v>96</v>
      </c>
      <c r="F711" s="6">
        <v>36324</v>
      </c>
      <c r="G711" s="7">
        <v>36324</v>
      </c>
      <c r="H711" s="9">
        <f>(G711-F711)</f>
        <v>0.0</v>
      </c>
      <c r="I711" s="9" t="s">
        <v>119</v>
      </c>
      <c r="J711" s="9" t="s">
        <v>120</v>
      </c>
    </row>
    <row r="712" spans="1:12" ht="23" customHeight="1">
      <c r="A712" s="9" t="s">
        <v>99</v>
      </c>
      <c r="B712" s="6">
        <v>4</v>
      </c>
      <c r="C712" s="9" t="s">
        <v>90</v>
      </c>
      <c r="D712" s="6">
        <v>121</v>
      </c>
      <c r="E712" s="9" t="s">
        <v>97</v>
      </c>
      <c r="F712" s="6">
        <v>36324</v>
      </c>
      <c r="G712" s="7">
        <v>36324</v>
      </c>
      <c r="H712" s="9">
        <f>(G712-F712)</f>
        <v>0.0</v>
      </c>
      <c r="I712" s="9" t="s">
        <v>119</v>
      </c>
      <c r="J712" s="9" t="s">
        <v>120</v>
      </c>
    </row>
    <row r="713" spans="1:12" ht="23" customHeight="1">
      <c r="A713" s="9" t="s">
        <v>99</v>
      </c>
      <c r="B713" s="6">
        <v>4</v>
      </c>
      <c r="C713" s="9" t="s">
        <v>90</v>
      </c>
      <c r="D713" s="6">
        <v>121</v>
      </c>
      <c r="E713" s="9" t="s">
        <v>98</v>
      </c>
      <c r="F713" s="6">
        <v>36324</v>
      </c>
      <c r="G713" s="7">
        <v>36324</v>
      </c>
      <c r="H713" s="9">
        <f>(G713-F713)</f>
        <v>0.0</v>
      </c>
      <c r="I713" s="9" t="s">
        <v>119</v>
      </c>
      <c r="J713" s="9" t="s">
        <v>120</v>
      </c>
    </row>
    <row r="714" spans="1:12" ht="23" customHeight="1">
      <c r="A714" s="9" t="s">
        <v>99</v>
      </c>
      <c r="B714" s="6">
        <v>5</v>
      </c>
      <c r="C714" s="9" t="s">
        <v>90</v>
      </c>
      <c r="D714" s="6">
        <v>127</v>
      </c>
      <c r="E714" s="9" t="s">
        <v>93</v>
      </c>
      <c r="F714" s="6">
        <v>34419</v>
      </c>
      <c r="G714" s="7">
        <v>34419</v>
      </c>
      <c r="H714" s="9">
        <f>(G714-F714)</f>
        <v>0.0</v>
      </c>
      <c r="I714" s="9" t="s">
        <v>119</v>
      </c>
      <c r="J714" s="9" t="s">
        <v>120</v>
      </c>
    </row>
    <row r="715" spans="1:12" ht="23" customHeight="1">
      <c r="A715" s="9" t="s">
        <v>99</v>
      </c>
      <c r="B715" s="6">
        <v>5</v>
      </c>
      <c r="C715" s="9" t="s">
        <v>90</v>
      </c>
      <c r="D715" s="6">
        <v>127</v>
      </c>
      <c r="E715" s="9" t="s">
        <v>103</v>
      </c>
      <c r="F715" s="11">
        <v>289.1</v>
      </c>
      <c r="G715" s="8">
        <v>289.1</v>
      </c>
      <c r="H715" s="9">
        <f>(G715-F715)</f>
        <v>0.0</v>
      </c>
      <c r="I715" s="9" t="s">
        <v>119</v>
      </c>
      <c r="J715" s="9" t="s">
        <v>120</v>
      </c>
    </row>
    <row r="716" spans="1:12" ht="23" customHeight="1">
      <c r="A716" s="9" t="s">
        <v>99</v>
      </c>
      <c r="B716" s="6">
        <v>5</v>
      </c>
      <c r="C716" s="9" t="s">
        <v>90</v>
      </c>
      <c r="D716" s="6">
        <v>127</v>
      </c>
      <c r="E716" s="9" t="s">
        <v>104</v>
      </c>
      <c r="F716" s="11">
        <v>289.1</v>
      </c>
      <c r="G716" s="8">
        <v>289.1</v>
      </c>
      <c r="H716" s="9">
        <f>(G716-F716)</f>
        <v>0.0</v>
      </c>
      <c r="I716" s="9" t="s">
        <v>119</v>
      </c>
      <c r="J716" s="9" t="s">
        <v>120</v>
      </c>
    </row>
    <row r="717" spans="1:12" ht="24" customHeight="1">
      <c r="A717" s="3" t="s">
        <v>107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36" customHeight="1">
      <c r="A718" s="4" t="s">
        <v>108</v>
      </c>
      <c r="B718" s="4" t="s">
        <v>8</v>
      </c>
      <c r="C718" s="4" t="s">
        <v>109</v>
      </c>
      <c r="D718" s="4" t="s">
        <v>110</v>
      </c>
      <c r="E718" s="4" t="s">
        <v>111</v>
      </c>
      <c r="F718" s="4" t="s">
        <v>112</v>
      </c>
      <c r="G718" s="4" t="s">
        <v>113</v>
      </c>
      <c r="H718" s="4" t="s">
        <v>114</v>
      </c>
      <c r="I718" s="4" t="s">
        <v>115</v>
      </c>
      <c r="J718" s="4" t="s">
        <v>116</v>
      </c>
    </row>
    <row r="719" spans="1:12" ht="23" customHeight="1">
      <c r="A719" s="9" t="s">
        <v>99</v>
      </c>
      <c r="B719" s="6">
        <v>5</v>
      </c>
      <c r="C719" s="9" t="s">
        <v>90</v>
      </c>
      <c r="D719" s="6">
        <v>127</v>
      </c>
      <c r="E719" s="9" t="s">
        <v>94</v>
      </c>
      <c r="F719" s="6">
        <v>34419</v>
      </c>
      <c r="G719" s="7">
        <v>34419</v>
      </c>
      <c r="H719" s="9">
        <f>(G719-F719)</f>
        <v>0.0</v>
      </c>
      <c r="I719" s="9" t="s">
        <v>119</v>
      </c>
      <c r="J719" s="9" t="s">
        <v>120</v>
      </c>
    </row>
    <row r="720" spans="1:12" ht="23" customHeight="1">
      <c r="A720" s="9" t="s">
        <v>99</v>
      </c>
      <c r="B720" s="6">
        <v>5</v>
      </c>
      <c r="C720" s="9" t="s">
        <v>90</v>
      </c>
      <c r="D720" s="6">
        <v>127</v>
      </c>
      <c r="E720" s="9" t="s">
        <v>105</v>
      </c>
      <c r="F720" s="11">
        <v>289.1</v>
      </c>
      <c r="G720" s="8">
        <v>289.1</v>
      </c>
      <c r="H720" s="9">
        <f>(G720-F720)</f>
        <v>0.0</v>
      </c>
      <c r="I720" s="9" t="s">
        <v>119</v>
      </c>
      <c r="J720" s="9" t="s">
        <v>120</v>
      </c>
    </row>
    <row r="721" spans="1:12" ht="23" customHeight="1">
      <c r="A721" s="9" t="s">
        <v>99</v>
      </c>
      <c r="B721" s="6">
        <v>5</v>
      </c>
      <c r="C721" s="9" t="s">
        <v>90</v>
      </c>
      <c r="D721" s="6">
        <v>127</v>
      </c>
      <c r="E721" s="9" t="s">
        <v>106</v>
      </c>
      <c r="F721" s="11">
        <v>289.1</v>
      </c>
      <c r="G721" s="8">
        <v>289.1</v>
      </c>
      <c r="H721" s="9">
        <f>(G721-F721)</f>
        <v>0.0</v>
      </c>
      <c r="I721" s="9" t="s">
        <v>119</v>
      </c>
      <c r="J721" s="9" t="s">
        <v>120</v>
      </c>
    </row>
    <row r="722" spans="1:12" ht="23" customHeight="1">
      <c r="A722" s="9" t="s">
        <v>99</v>
      </c>
      <c r="B722" s="6">
        <v>5</v>
      </c>
      <c r="C722" s="9" t="s">
        <v>90</v>
      </c>
      <c r="D722" s="6">
        <v>127</v>
      </c>
      <c r="E722" s="9" t="s">
        <v>95</v>
      </c>
      <c r="F722" s="6">
        <v>34419</v>
      </c>
      <c r="G722" s="7">
        <v>34419</v>
      </c>
      <c r="H722" s="9">
        <f>(G722-F722)</f>
        <v>0.0</v>
      </c>
      <c r="I722" s="9" t="s">
        <v>119</v>
      </c>
      <c r="J722" s="9" t="s">
        <v>120</v>
      </c>
    </row>
    <row r="723" spans="1:12" ht="23" customHeight="1">
      <c r="A723" s="9" t="s">
        <v>99</v>
      </c>
      <c r="B723" s="6">
        <v>5</v>
      </c>
      <c r="C723" s="9" t="s">
        <v>90</v>
      </c>
      <c r="D723" s="6">
        <v>127</v>
      </c>
      <c r="E723" s="9" t="s">
        <v>96</v>
      </c>
      <c r="F723" s="6">
        <v>34419</v>
      </c>
      <c r="G723" s="7">
        <v>34419</v>
      </c>
      <c r="H723" s="9">
        <f>(G723-F723)</f>
        <v>0.0</v>
      </c>
      <c r="I723" s="9" t="s">
        <v>119</v>
      </c>
      <c r="J723" s="9" t="s">
        <v>120</v>
      </c>
    </row>
    <row r="724" spans="1:12" ht="23" customHeight="1">
      <c r="A724" s="9" t="s">
        <v>99</v>
      </c>
      <c r="B724" s="6">
        <v>5</v>
      </c>
      <c r="C724" s="9" t="s">
        <v>90</v>
      </c>
      <c r="D724" s="6">
        <v>127</v>
      </c>
      <c r="E724" s="9" t="s">
        <v>97</v>
      </c>
      <c r="F724" s="6">
        <v>34419</v>
      </c>
      <c r="G724" s="7">
        <v>34419</v>
      </c>
      <c r="H724" s="9">
        <f>(G724-F724)</f>
        <v>0.0</v>
      </c>
      <c r="I724" s="9" t="s">
        <v>119</v>
      </c>
      <c r="J724" s="9" t="s">
        <v>120</v>
      </c>
    </row>
    <row r="725" spans="1:12" ht="23" customHeight="1">
      <c r="A725" s="9" t="s">
        <v>99</v>
      </c>
      <c r="B725" s="6">
        <v>5</v>
      </c>
      <c r="C725" s="9" t="s">
        <v>90</v>
      </c>
      <c r="D725" s="6">
        <v>127</v>
      </c>
      <c r="E725" s="9" t="s">
        <v>98</v>
      </c>
      <c r="F725" s="6">
        <v>34419</v>
      </c>
      <c r="G725" s="7">
        <v>34419</v>
      </c>
      <c r="H725" s="9">
        <f>(G725-F725)</f>
        <v>0.0</v>
      </c>
      <c r="I725" s="9" t="s">
        <v>119</v>
      </c>
      <c r="J725" s="9" t="s">
        <v>120</v>
      </c>
    </row>
    <row r="726" spans="1:12" ht="23" customHeight="1">
      <c r="A726" s="9" t="s">
        <v>99</v>
      </c>
      <c r="B726" s="6">
        <v>5</v>
      </c>
      <c r="C726" s="9" t="s">
        <v>90</v>
      </c>
      <c r="D726" s="6">
        <v>128</v>
      </c>
      <c r="E726" s="9" t="s">
        <v>93</v>
      </c>
      <c r="F726" s="6">
        <v>97084</v>
      </c>
      <c r="G726" s="7">
        <v>97084</v>
      </c>
      <c r="H726" s="9">
        <f>(G726-F726)</f>
        <v>0.0</v>
      </c>
      <c r="I726" s="9" t="s">
        <v>119</v>
      </c>
      <c r="J726" s="9" t="s">
        <v>120</v>
      </c>
    </row>
    <row r="727" spans="1:12" ht="23" customHeight="1">
      <c r="A727" s="9" t="s">
        <v>99</v>
      </c>
      <c r="B727" s="6">
        <v>5</v>
      </c>
      <c r="C727" s="9" t="s">
        <v>90</v>
      </c>
      <c r="D727" s="6">
        <v>128</v>
      </c>
      <c r="E727" s="9" t="s">
        <v>103</v>
      </c>
      <c r="F727" s="11">
        <v>1223.3</v>
      </c>
      <c r="G727" s="8">
        <v>1223.3</v>
      </c>
      <c r="H727" s="9">
        <f>(G727-F727)</f>
        <v>0.0</v>
      </c>
      <c r="I727" s="9" t="s">
        <v>119</v>
      </c>
      <c r="J727" s="9" t="s">
        <v>120</v>
      </c>
    </row>
    <row r="728" spans="1:12" ht="23" customHeight="1">
      <c r="A728" s="9" t="s">
        <v>99</v>
      </c>
      <c r="B728" s="6">
        <v>5</v>
      </c>
      <c r="C728" s="9" t="s">
        <v>90</v>
      </c>
      <c r="D728" s="6">
        <v>128</v>
      </c>
      <c r="E728" s="9" t="s">
        <v>104</v>
      </c>
      <c r="F728" s="11">
        <v>1223.3</v>
      </c>
      <c r="G728" s="8">
        <v>1223.3</v>
      </c>
      <c r="H728" s="9">
        <f>(G728-F728)</f>
        <v>0.0</v>
      </c>
      <c r="I728" s="9" t="s">
        <v>119</v>
      </c>
      <c r="J728" s="9" t="s">
        <v>120</v>
      </c>
    </row>
    <row r="729" spans="1:12" ht="23" customHeight="1">
      <c r="A729" s="9" t="s">
        <v>99</v>
      </c>
      <c r="B729" s="6">
        <v>5</v>
      </c>
      <c r="C729" s="9" t="s">
        <v>90</v>
      </c>
      <c r="D729" s="6">
        <v>128</v>
      </c>
      <c r="E729" s="9" t="s">
        <v>94</v>
      </c>
      <c r="F729" s="6">
        <v>97084</v>
      </c>
      <c r="G729" s="7">
        <v>97084</v>
      </c>
      <c r="H729" s="9">
        <f>(G729-F729)</f>
        <v>0.0</v>
      </c>
      <c r="I729" s="9" t="s">
        <v>119</v>
      </c>
      <c r="J729" s="9" t="s">
        <v>120</v>
      </c>
    </row>
    <row r="730" spans="1:12" ht="23" customHeight="1">
      <c r="A730" s="9" t="s">
        <v>99</v>
      </c>
      <c r="B730" s="6">
        <v>5</v>
      </c>
      <c r="C730" s="9" t="s">
        <v>90</v>
      </c>
      <c r="D730" s="6">
        <v>128</v>
      </c>
      <c r="E730" s="9" t="s">
        <v>105</v>
      </c>
      <c r="F730" s="11">
        <v>1223.3</v>
      </c>
      <c r="G730" s="8">
        <v>1223.3</v>
      </c>
      <c r="H730" s="9">
        <f>(G730-F730)</f>
        <v>0.0</v>
      </c>
      <c r="I730" s="9" t="s">
        <v>119</v>
      </c>
      <c r="J730" s="9" t="s">
        <v>120</v>
      </c>
    </row>
    <row r="731" spans="1:12" ht="23" customHeight="1">
      <c r="A731" s="9" t="s">
        <v>99</v>
      </c>
      <c r="B731" s="6">
        <v>5</v>
      </c>
      <c r="C731" s="9" t="s">
        <v>90</v>
      </c>
      <c r="D731" s="6">
        <v>128</v>
      </c>
      <c r="E731" s="9" t="s">
        <v>106</v>
      </c>
      <c r="F731" s="11">
        <v>1223.3</v>
      </c>
      <c r="G731" s="8">
        <v>1223.3</v>
      </c>
      <c r="H731" s="9">
        <f>(G731-F731)</f>
        <v>0.0</v>
      </c>
      <c r="I731" s="9" t="s">
        <v>119</v>
      </c>
      <c r="J731" s="9" t="s">
        <v>120</v>
      </c>
    </row>
    <row r="732" spans="1:12" ht="23" customHeight="1">
      <c r="A732" s="9" t="s">
        <v>99</v>
      </c>
      <c r="B732" s="6">
        <v>5</v>
      </c>
      <c r="C732" s="9" t="s">
        <v>90</v>
      </c>
      <c r="D732" s="6">
        <v>128</v>
      </c>
      <c r="E732" s="9" t="s">
        <v>95</v>
      </c>
      <c r="F732" s="6">
        <v>97084</v>
      </c>
      <c r="G732" s="7">
        <v>97084</v>
      </c>
      <c r="H732" s="9">
        <f>(G732-F732)</f>
        <v>0.0</v>
      </c>
      <c r="I732" s="9" t="s">
        <v>119</v>
      </c>
      <c r="J732" s="9" t="s">
        <v>120</v>
      </c>
    </row>
    <row r="733" spans="1:12" ht="23" customHeight="1">
      <c r="A733" s="9" t="s">
        <v>99</v>
      </c>
      <c r="B733" s="6">
        <v>5</v>
      </c>
      <c r="C733" s="9" t="s">
        <v>90</v>
      </c>
      <c r="D733" s="6">
        <v>128</v>
      </c>
      <c r="E733" s="9" t="s">
        <v>96</v>
      </c>
      <c r="F733" s="6">
        <v>97084</v>
      </c>
      <c r="G733" s="7">
        <v>97084</v>
      </c>
      <c r="H733" s="9">
        <f>(G733-F733)</f>
        <v>0.0</v>
      </c>
      <c r="I733" s="9" t="s">
        <v>119</v>
      </c>
      <c r="J733" s="9" t="s">
        <v>120</v>
      </c>
    </row>
    <row r="734" spans="1:12" ht="24" customHeight="1">
      <c r="A734" s="3" t="s">
        <v>107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36" customHeight="1">
      <c r="A735" s="4" t="s">
        <v>108</v>
      </c>
      <c r="B735" s="4" t="s">
        <v>8</v>
      </c>
      <c r="C735" s="4" t="s">
        <v>109</v>
      </c>
      <c r="D735" s="4" t="s">
        <v>110</v>
      </c>
      <c r="E735" s="4" t="s">
        <v>111</v>
      </c>
      <c r="F735" s="4" t="s">
        <v>112</v>
      </c>
      <c r="G735" s="4" t="s">
        <v>113</v>
      </c>
      <c r="H735" s="4" t="s">
        <v>114</v>
      </c>
      <c r="I735" s="4" t="s">
        <v>115</v>
      </c>
      <c r="J735" s="4" t="s">
        <v>116</v>
      </c>
    </row>
    <row r="736" spans="1:12" ht="23" customHeight="1">
      <c r="A736" s="9" t="s">
        <v>99</v>
      </c>
      <c r="B736" s="6">
        <v>5</v>
      </c>
      <c r="C736" s="9" t="s">
        <v>90</v>
      </c>
      <c r="D736" s="6">
        <v>128</v>
      </c>
      <c r="E736" s="9" t="s">
        <v>97</v>
      </c>
      <c r="F736" s="6">
        <v>97084</v>
      </c>
      <c r="G736" s="7">
        <v>97084</v>
      </c>
      <c r="H736" s="9">
        <f>(G736-F736)</f>
        <v>0.0</v>
      </c>
      <c r="I736" s="9" t="s">
        <v>119</v>
      </c>
      <c r="J736" s="9" t="s">
        <v>120</v>
      </c>
    </row>
    <row r="737" spans="1:12" ht="23" customHeight="1">
      <c r="A737" s="9" t="s">
        <v>99</v>
      </c>
      <c r="B737" s="6">
        <v>5</v>
      </c>
      <c r="C737" s="9" t="s">
        <v>90</v>
      </c>
      <c r="D737" s="6">
        <v>128</v>
      </c>
      <c r="E737" s="9" t="s">
        <v>98</v>
      </c>
      <c r="F737" s="6">
        <v>97084</v>
      </c>
      <c r="G737" s="7">
        <v>97084</v>
      </c>
      <c r="H737" s="9">
        <f>(G737-F737)</f>
        <v>0.0</v>
      </c>
      <c r="I737" s="9" t="s">
        <v>119</v>
      </c>
      <c r="J737" s="9" t="s">
        <v>120</v>
      </c>
    </row>
    <row r="738" spans="1:12" ht="23" customHeight="1">
      <c r="A738" s="9" t="s">
        <v>99</v>
      </c>
      <c r="B738" s="6">
        <v>5</v>
      </c>
      <c r="C738" s="9" t="s">
        <v>90</v>
      </c>
      <c r="D738" s="6">
        <v>129</v>
      </c>
      <c r="E738" s="9" t="s">
        <v>93</v>
      </c>
      <c r="F738" s="6">
        <v>103756</v>
      </c>
      <c r="G738" s="7">
        <v>103756</v>
      </c>
      <c r="H738" s="9">
        <f>(G738-F738)</f>
        <v>0.0</v>
      </c>
      <c r="I738" s="9" t="s">
        <v>119</v>
      </c>
      <c r="J738" s="9" t="s">
        <v>120</v>
      </c>
    </row>
    <row r="739" spans="1:12" ht="23" customHeight="1">
      <c r="A739" s="9" t="s">
        <v>99</v>
      </c>
      <c r="B739" s="6">
        <v>5</v>
      </c>
      <c r="C739" s="9" t="s">
        <v>90</v>
      </c>
      <c r="D739" s="6">
        <v>129</v>
      </c>
      <c r="E739" s="9" t="s">
        <v>103</v>
      </c>
      <c r="F739" s="11">
        <v>1196.2</v>
      </c>
      <c r="G739" s="8">
        <v>1196.2</v>
      </c>
      <c r="H739" s="9">
        <f>(G739-F739)</f>
        <v>0.0</v>
      </c>
      <c r="I739" s="9" t="s">
        <v>119</v>
      </c>
      <c r="J739" s="9" t="s">
        <v>120</v>
      </c>
    </row>
    <row r="740" spans="1:12" ht="23" customHeight="1">
      <c r="A740" s="9" t="s">
        <v>99</v>
      </c>
      <c r="B740" s="6">
        <v>5</v>
      </c>
      <c r="C740" s="9" t="s">
        <v>90</v>
      </c>
      <c r="D740" s="6">
        <v>129</v>
      </c>
      <c r="E740" s="9" t="s">
        <v>104</v>
      </c>
      <c r="F740" s="11">
        <v>1196.2</v>
      </c>
      <c r="G740" s="8">
        <v>1196.2</v>
      </c>
      <c r="H740" s="9">
        <f>(G740-F740)</f>
        <v>0.0</v>
      </c>
      <c r="I740" s="9" t="s">
        <v>119</v>
      </c>
      <c r="J740" s="9" t="s">
        <v>120</v>
      </c>
    </row>
    <row r="741" spans="1:12" ht="23" customHeight="1">
      <c r="A741" s="9" t="s">
        <v>99</v>
      </c>
      <c r="B741" s="6">
        <v>5</v>
      </c>
      <c r="C741" s="9" t="s">
        <v>90</v>
      </c>
      <c r="D741" s="6">
        <v>129</v>
      </c>
      <c r="E741" s="9" t="s">
        <v>94</v>
      </c>
      <c r="F741" s="6">
        <v>103756</v>
      </c>
      <c r="G741" s="7">
        <v>103756</v>
      </c>
      <c r="H741" s="9">
        <f>(G741-F741)</f>
        <v>0.0</v>
      </c>
      <c r="I741" s="9" t="s">
        <v>119</v>
      </c>
      <c r="J741" s="9" t="s">
        <v>120</v>
      </c>
    </row>
    <row r="742" spans="1:12" ht="23" customHeight="1">
      <c r="A742" s="9" t="s">
        <v>99</v>
      </c>
      <c r="B742" s="6">
        <v>5</v>
      </c>
      <c r="C742" s="9" t="s">
        <v>90</v>
      </c>
      <c r="D742" s="6">
        <v>129</v>
      </c>
      <c r="E742" s="9" t="s">
        <v>105</v>
      </c>
      <c r="F742" s="11">
        <v>1196.2</v>
      </c>
      <c r="G742" s="8">
        <v>1196.2</v>
      </c>
      <c r="H742" s="9">
        <f>(G742-F742)</f>
        <v>0.0</v>
      </c>
      <c r="I742" s="9" t="s">
        <v>119</v>
      </c>
      <c r="J742" s="9" t="s">
        <v>120</v>
      </c>
    </row>
    <row r="743" spans="1:12" ht="23" customHeight="1">
      <c r="A743" s="9" t="s">
        <v>99</v>
      </c>
      <c r="B743" s="6">
        <v>5</v>
      </c>
      <c r="C743" s="9" t="s">
        <v>90</v>
      </c>
      <c r="D743" s="6">
        <v>129</v>
      </c>
      <c r="E743" s="9" t="s">
        <v>106</v>
      </c>
      <c r="F743" s="11">
        <v>1196.2</v>
      </c>
      <c r="G743" s="8">
        <v>1196.2</v>
      </c>
      <c r="H743" s="9">
        <f>(G743-F743)</f>
        <v>0.0</v>
      </c>
      <c r="I743" s="9" t="s">
        <v>119</v>
      </c>
      <c r="J743" s="9" t="s">
        <v>120</v>
      </c>
    </row>
    <row r="744" spans="1:12" ht="23" customHeight="1">
      <c r="A744" s="9" t="s">
        <v>99</v>
      </c>
      <c r="B744" s="6">
        <v>5</v>
      </c>
      <c r="C744" s="9" t="s">
        <v>90</v>
      </c>
      <c r="D744" s="6">
        <v>129</v>
      </c>
      <c r="E744" s="9" t="s">
        <v>95</v>
      </c>
      <c r="F744" s="6">
        <v>103756</v>
      </c>
      <c r="G744" s="7">
        <v>103756</v>
      </c>
      <c r="H744" s="9">
        <f>(G744-F744)</f>
        <v>0.0</v>
      </c>
      <c r="I744" s="9" t="s">
        <v>119</v>
      </c>
      <c r="J744" s="9" t="s">
        <v>120</v>
      </c>
    </row>
    <row r="745" spans="1:12" ht="23" customHeight="1">
      <c r="A745" s="9" t="s">
        <v>99</v>
      </c>
      <c r="B745" s="6">
        <v>5</v>
      </c>
      <c r="C745" s="9" t="s">
        <v>90</v>
      </c>
      <c r="D745" s="6">
        <v>129</v>
      </c>
      <c r="E745" s="9" t="s">
        <v>96</v>
      </c>
      <c r="F745" s="6">
        <v>103756</v>
      </c>
      <c r="G745" s="7">
        <v>103756</v>
      </c>
      <c r="H745" s="9">
        <f>(G745-F745)</f>
        <v>0.0</v>
      </c>
      <c r="I745" s="9" t="s">
        <v>119</v>
      </c>
      <c r="J745" s="9" t="s">
        <v>120</v>
      </c>
    </row>
    <row r="746" spans="1:12" ht="23" customHeight="1">
      <c r="A746" s="9" t="s">
        <v>99</v>
      </c>
      <c r="B746" s="6">
        <v>5</v>
      </c>
      <c r="C746" s="9" t="s">
        <v>90</v>
      </c>
      <c r="D746" s="6">
        <v>129</v>
      </c>
      <c r="E746" s="9" t="s">
        <v>97</v>
      </c>
      <c r="F746" s="6">
        <v>103756</v>
      </c>
      <c r="G746" s="7">
        <v>103756</v>
      </c>
      <c r="H746" s="9">
        <f>(G746-F746)</f>
        <v>0.0</v>
      </c>
      <c r="I746" s="9" t="s">
        <v>119</v>
      </c>
      <c r="J746" s="9" t="s">
        <v>120</v>
      </c>
    </row>
    <row r="747" spans="1:12" ht="23" customHeight="1">
      <c r="A747" s="9" t="s">
        <v>99</v>
      </c>
      <c r="B747" s="6">
        <v>5</v>
      </c>
      <c r="C747" s="9" t="s">
        <v>90</v>
      </c>
      <c r="D747" s="6">
        <v>129</v>
      </c>
      <c r="E747" s="9" t="s">
        <v>98</v>
      </c>
      <c r="F747" s="6">
        <v>103756</v>
      </c>
      <c r="G747" s="7">
        <v>103756</v>
      </c>
      <c r="H747" s="9">
        <f>(G747-F747)</f>
        <v>0.0</v>
      </c>
      <c r="I747" s="9" t="s">
        <v>119</v>
      </c>
      <c r="J747" s="9" t="s">
        <v>120</v>
      </c>
    </row>
    <row r="748" spans="1:12" ht="23" customHeight="1">
      <c r="A748" s="9" t="s">
        <v>99</v>
      </c>
      <c r="B748" s="6">
        <v>5</v>
      </c>
      <c r="C748" s="9" t="s">
        <v>90</v>
      </c>
      <c r="D748" s="6">
        <v>130</v>
      </c>
      <c r="E748" s="9" t="s">
        <v>93</v>
      </c>
      <c r="F748" s="6">
        <v>148838</v>
      </c>
      <c r="G748" s="7">
        <v>148838</v>
      </c>
      <c r="H748" s="9">
        <f>(G748-F748)</f>
        <v>0.0</v>
      </c>
      <c r="I748" s="9" t="s">
        <v>119</v>
      </c>
      <c r="J748" s="9" t="s">
        <v>120</v>
      </c>
    </row>
    <row r="749" spans="1:12" ht="23" customHeight="1">
      <c r="A749" s="9" t="s">
        <v>99</v>
      </c>
      <c r="B749" s="6">
        <v>5</v>
      </c>
      <c r="C749" s="9" t="s">
        <v>90</v>
      </c>
      <c r="D749" s="6">
        <v>130</v>
      </c>
      <c r="E749" s="9" t="s">
        <v>103</v>
      </c>
      <c r="F749" s="6">
        <v>1542</v>
      </c>
      <c r="G749" s="7">
        <v>1542</v>
      </c>
      <c r="H749" s="9">
        <f>(G749-F749)</f>
        <v>0.0</v>
      </c>
      <c r="I749" s="9" t="s">
        <v>119</v>
      </c>
      <c r="J749" s="9" t="s">
        <v>120</v>
      </c>
    </row>
    <row r="750" spans="1:12" ht="23" customHeight="1">
      <c r="A750" s="9" t="s">
        <v>99</v>
      </c>
      <c r="B750" s="6">
        <v>5</v>
      </c>
      <c r="C750" s="9" t="s">
        <v>90</v>
      </c>
      <c r="D750" s="6">
        <v>130</v>
      </c>
      <c r="E750" s="9" t="s">
        <v>104</v>
      </c>
      <c r="F750" s="6">
        <v>1542</v>
      </c>
      <c r="G750" s="7">
        <v>1542</v>
      </c>
      <c r="H750" s="9">
        <f>(G750-F750)</f>
        <v>0.0</v>
      </c>
      <c r="I750" s="9" t="s">
        <v>119</v>
      </c>
      <c r="J750" s="9" t="s">
        <v>120</v>
      </c>
    </row>
    <row r="751" spans="1:12" ht="24" customHeight="1">
      <c r="A751" s="3" t="s">
        <v>107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36" customHeight="1">
      <c r="A752" s="4" t="s">
        <v>108</v>
      </c>
      <c r="B752" s="4" t="s">
        <v>8</v>
      </c>
      <c r="C752" s="4" t="s">
        <v>109</v>
      </c>
      <c r="D752" s="4" t="s">
        <v>110</v>
      </c>
      <c r="E752" s="4" t="s">
        <v>111</v>
      </c>
      <c r="F752" s="4" t="s">
        <v>112</v>
      </c>
      <c r="G752" s="4" t="s">
        <v>113</v>
      </c>
      <c r="H752" s="4" t="s">
        <v>114</v>
      </c>
      <c r="I752" s="4" t="s">
        <v>115</v>
      </c>
      <c r="J752" s="4" t="s">
        <v>116</v>
      </c>
    </row>
    <row r="753" spans="1:12" ht="23" customHeight="1">
      <c r="A753" s="9" t="s">
        <v>99</v>
      </c>
      <c r="B753" s="6">
        <v>5</v>
      </c>
      <c r="C753" s="9" t="s">
        <v>90</v>
      </c>
      <c r="D753" s="6">
        <v>130</v>
      </c>
      <c r="E753" s="9" t="s">
        <v>94</v>
      </c>
      <c r="F753" s="6">
        <v>148838</v>
      </c>
      <c r="G753" s="7">
        <v>148838</v>
      </c>
      <c r="H753" s="9">
        <f>(G753-F753)</f>
        <v>0.0</v>
      </c>
      <c r="I753" s="9" t="s">
        <v>119</v>
      </c>
      <c r="J753" s="9" t="s">
        <v>120</v>
      </c>
    </row>
    <row r="754" spans="1:12" ht="23" customHeight="1">
      <c r="A754" s="9" t="s">
        <v>99</v>
      </c>
      <c r="B754" s="6">
        <v>5</v>
      </c>
      <c r="C754" s="9" t="s">
        <v>90</v>
      </c>
      <c r="D754" s="6">
        <v>130</v>
      </c>
      <c r="E754" s="9" t="s">
        <v>105</v>
      </c>
      <c r="F754" s="6">
        <v>1542</v>
      </c>
      <c r="G754" s="7">
        <v>1542</v>
      </c>
      <c r="H754" s="9">
        <f>(G754-F754)</f>
        <v>0.0</v>
      </c>
      <c r="I754" s="9" t="s">
        <v>119</v>
      </c>
      <c r="J754" s="9" t="s">
        <v>120</v>
      </c>
    </row>
    <row r="755" spans="1:12" ht="23" customHeight="1">
      <c r="A755" s="9" t="s">
        <v>99</v>
      </c>
      <c r="B755" s="6">
        <v>5</v>
      </c>
      <c r="C755" s="9" t="s">
        <v>90</v>
      </c>
      <c r="D755" s="6">
        <v>130</v>
      </c>
      <c r="E755" s="9" t="s">
        <v>106</v>
      </c>
      <c r="F755" s="6">
        <v>1542</v>
      </c>
      <c r="G755" s="7">
        <v>1542</v>
      </c>
      <c r="H755" s="9">
        <f>(G755-F755)</f>
        <v>0.0</v>
      </c>
      <c r="I755" s="9" t="s">
        <v>119</v>
      </c>
      <c r="J755" s="9" t="s">
        <v>120</v>
      </c>
    </row>
    <row r="756" spans="1:12" ht="23" customHeight="1">
      <c r="A756" s="9" t="s">
        <v>99</v>
      </c>
      <c r="B756" s="6">
        <v>5</v>
      </c>
      <c r="C756" s="9" t="s">
        <v>90</v>
      </c>
      <c r="D756" s="6">
        <v>130</v>
      </c>
      <c r="E756" s="9" t="s">
        <v>95</v>
      </c>
      <c r="F756" s="6">
        <v>148838</v>
      </c>
      <c r="G756" s="7">
        <v>148838</v>
      </c>
      <c r="H756" s="9">
        <f>(G756-F756)</f>
        <v>0.0</v>
      </c>
      <c r="I756" s="9" t="s">
        <v>119</v>
      </c>
      <c r="J756" s="9" t="s">
        <v>120</v>
      </c>
    </row>
    <row r="757" spans="1:12" ht="23" customHeight="1">
      <c r="A757" s="9" t="s">
        <v>99</v>
      </c>
      <c r="B757" s="6">
        <v>5</v>
      </c>
      <c r="C757" s="9" t="s">
        <v>90</v>
      </c>
      <c r="D757" s="6">
        <v>130</v>
      </c>
      <c r="E757" s="9" t="s">
        <v>96</v>
      </c>
      <c r="F757" s="6">
        <v>148838</v>
      </c>
      <c r="G757" s="7">
        <v>148838</v>
      </c>
      <c r="H757" s="9">
        <f>(G757-F757)</f>
        <v>0.0</v>
      </c>
      <c r="I757" s="9" t="s">
        <v>119</v>
      </c>
      <c r="J757" s="9" t="s">
        <v>120</v>
      </c>
    </row>
    <row r="758" spans="1:12" ht="23" customHeight="1">
      <c r="A758" s="9" t="s">
        <v>99</v>
      </c>
      <c r="B758" s="6">
        <v>5</v>
      </c>
      <c r="C758" s="9" t="s">
        <v>90</v>
      </c>
      <c r="D758" s="6">
        <v>130</v>
      </c>
      <c r="E758" s="9" t="s">
        <v>97</v>
      </c>
      <c r="F758" s="6">
        <v>148838</v>
      </c>
      <c r="G758" s="7">
        <v>148838</v>
      </c>
      <c r="H758" s="9">
        <f>(G758-F758)</f>
        <v>0.0</v>
      </c>
      <c r="I758" s="9" t="s">
        <v>119</v>
      </c>
      <c r="J758" s="9" t="s">
        <v>120</v>
      </c>
    </row>
    <row r="759" spans="1:12" ht="23" customHeight="1">
      <c r="A759" s="9" t="s">
        <v>99</v>
      </c>
      <c r="B759" s="6">
        <v>5</v>
      </c>
      <c r="C759" s="9" t="s">
        <v>90</v>
      </c>
      <c r="D759" s="6">
        <v>130</v>
      </c>
      <c r="E759" s="9" t="s">
        <v>98</v>
      </c>
      <c r="F759" s="6">
        <v>148838</v>
      </c>
      <c r="G759" s="7">
        <v>148838</v>
      </c>
      <c r="H759" s="9">
        <f>(G759-F759)</f>
        <v>0.0</v>
      </c>
      <c r="I759" s="9" t="s">
        <v>119</v>
      </c>
      <c r="J759" s="9" t="s">
        <v>120</v>
      </c>
    </row>
    <row r="760" spans="1:12" ht="23" customHeight="1">
      <c r="A760" s="9" t="s">
        <v>99</v>
      </c>
      <c r="B760" s="6">
        <v>5</v>
      </c>
      <c r="C760" s="9" t="s">
        <v>90</v>
      </c>
      <c r="D760" s="6">
        <v>131</v>
      </c>
      <c r="E760" s="9" t="s">
        <v>93</v>
      </c>
      <c r="F760" s="6">
        <v>145626</v>
      </c>
      <c r="G760" s="7">
        <v>145626</v>
      </c>
      <c r="H760" s="9">
        <f>(G760-F760)</f>
        <v>0.0</v>
      </c>
      <c r="I760" s="9" t="s">
        <v>119</v>
      </c>
      <c r="J760" s="9" t="s">
        <v>120</v>
      </c>
    </row>
    <row r="761" spans="1:12" ht="23" customHeight="1">
      <c r="A761" s="9" t="s">
        <v>99</v>
      </c>
      <c r="B761" s="6">
        <v>5</v>
      </c>
      <c r="C761" s="9" t="s">
        <v>90</v>
      </c>
      <c r="D761" s="6">
        <v>131</v>
      </c>
      <c r="E761" s="9" t="s">
        <v>103</v>
      </c>
      <c r="F761" s="6">
        <v>1835</v>
      </c>
      <c r="G761" s="7">
        <v>1835</v>
      </c>
      <c r="H761" s="9">
        <f>(G761-F761)</f>
        <v>0.0</v>
      </c>
      <c r="I761" s="9" t="s">
        <v>119</v>
      </c>
      <c r="J761" s="9" t="s">
        <v>120</v>
      </c>
    </row>
    <row r="762" spans="1:12" ht="23" customHeight="1">
      <c r="A762" s="9" t="s">
        <v>99</v>
      </c>
      <c r="B762" s="6">
        <v>5</v>
      </c>
      <c r="C762" s="9" t="s">
        <v>90</v>
      </c>
      <c r="D762" s="6">
        <v>131</v>
      </c>
      <c r="E762" s="9" t="s">
        <v>104</v>
      </c>
      <c r="F762" s="6">
        <v>1835</v>
      </c>
      <c r="G762" s="7">
        <v>1835</v>
      </c>
      <c r="H762" s="9">
        <f>(G762-F762)</f>
        <v>0.0</v>
      </c>
      <c r="I762" s="9" t="s">
        <v>119</v>
      </c>
      <c r="J762" s="9" t="s">
        <v>120</v>
      </c>
    </row>
    <row r="763" spans="1:12" ht="23" customHeight="1">
      <c r="A763" s="9" t="s">
        <v>99</v>
      </c>
      <c r="B763" s="6">
        <v>5</v>
      </c>
      <c r="C763" s="9" t="s">
        <v>90</v>
      </c>
      <c r="D763" s="6">
        <v>131</v>
      </c>
      <c r="E763" s="9" t="s">
        <v>94</v>
      </c>
      <c r="F763" s="6">
        <v>145626</v>
      </c>
      <c r="G763" s="7">
        <v>145626</v>
      </c>
      <c r="H763" s="9">
        <f>(G763-F763)</f>
        <v>0.0</v>
      </c>
      <c r="I763" s="9" t="s">
        <v>119</v>
      </c>
      <c r="J763" s="9" t="s">
        <v>120</v>
      </c>
    </row>
    <row r="764" spans="1:12" ht="23" customHeight="1">
      <c r="A764" s="9" t="s">
        <v>99</v>
      </c>
      <c r="B764" s="6">
        <v>5</v>
      </c>
      <c r="C764" s="9" t="s">
        <v>90</v>
      </c>
      <c r="D764" s="6">
        <v>131</v>
      </c>
      <c r="E764" s="9" t="s">
        <v>105</v>
      </c>
      <c r="F764" s="6">
        <v>1835</v>
      </c>
      <c r="G764" s="7">
        <v>1835</v>
      </c>
      <c r="H764" s="9">
        <f>(G764-F764)</f>
        <v>0.0</v>
      </c>
      <c r="I764" s="9" t="s">
        <v>119</v>
      </c>
      <c r="J764" s="9" t="s">
        <v>120</v>
      </c>
    </row>
    <row r="765" spans="1:12" ht="23" customHeight="1">
      <c r="A765" s="9" t="s">
        <v>99</v>
      </c>
      <c r="B765" s="6">
        <v>5</v>
      </c>
      <c r="C765" s="9" t="s">
        <v>90</v>
      </c>
      <c r="D765" s="6">
        <v>131</v>
      </c>
      <c r="E765" s="9" t="s">
        <v>106</v>
      </c>
      <c r="F765" s="6">
        <v>1835</v>
      </c>
      <c r="G765" s="7">
        <v>1835</v>
      </c>
      <c r="H765" s="9">
        <f>(G765-F765)</f>
        <v>0.0</v>
      </c>
      <c r="I765" s="9" t="s">
        <v>119</v>
      </c>
      <c r="J765" s="9" t="s">
        <v>120</v>
      </c>
    </row>
    <row r="766" spans="1:12" ht="23" customHeight="1">
      <c r="A766" s="9" t="s">
        <v>99</v>
      </c>
      <c r="B766" s="6">
        <v>5</v>
      </c>
      <c r="C766" s="9" t="s">
        <v>90</v>
      </c>
      <c r="D766" s="6">
        <v>131</v>
      </c>
      <c r="E766" s="9" t="s">
        <v>95</v>
      </c>
      <c r="F766" s="6">
        <v>145626</v>
      </c>
      <c r="G766" s="7">
        <v>145626</v>
      </c>
      <c r="H766" s="9">
        <f>(G766-F766)</f>
        <v>0.0</v>
      </c>
      <c r="I766" s="9" t="s">
        <v>119</v>
      </c>
      <c r="J766" s="9" t="s">
        <v>120</v>
      </c>
    </row>
    <row r="767" spans="1:12" ht="23" customHeight="1">
      <c r="A767" s="9" t="s">
        <v>99</v>
      </c>
      <c r="B767" s="6">
        <v>5</v>
      </c>
      <c r="C767" s="9" t="s">
        <v>90</v>
      </c>
      <c r="D767" s="6">
        <v>131</v>
      </c>
      <c r="E767" s="9" t="s">
        <v>96</v>
      </c>
      <c r="F767" s="6">
        <v>145626</v>
      </c>
      <c r="G767" s="7">
        <v>145626</v>
      </c>
      <c r="H767" s="9">
        <f>(G767-F767)</f>
        <v>0.0</v>
      </c>
      <c r="I767" s="9" t="s">
        <v>119</v>
      </c>
      <c r="J767" s="9" t="s">
        <v>120</v>
      </c>
    </row>
    <row r="768" spans="1:12" ht="24" customHeight="1">
      <c r="A768" s="3" t="s">
        <v>107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0" ht="36" customHeight="1">
      <c r="A769" s="4" t="s">
        <v>108</v>
      </c>
      <c r="B769" s="4" t="s">
        <v>8</v>
      </c>
      <c r="C769" s="4" t="s">
        <v>109</v>
      </c>
      <c r="D769" s="4" t="s">
        <v>110</v>
      </c>
      <c r="E769" s="4" t="s">
        <v>111</v>
      </c>
      <c r="F769" s="4" t="s">
        <v>112</v>
      </c>
      <c r="G769" s="4" t="s">
        <v>113</v>
      </c>
      <c r="H769" s="4" t="s">
        <v>114</v>
      </c>
      <c r="I769" s="4" t="s">
        <v>115</v>
      </c>
      <c r="J769" s="4" t="s">
        <v>116</v>
      </c>
    </row>
    <row r="770" spans="1:10" ht="23" customHeight="1">
      <c r="A770" s="9" t="s">
        <v>99</v>
      </c>
      <c r="B770" s="6">
        <v>5</v>
      </c>
      <c r="C770" s="9" t="s">
        <v>90</v>
      </c>
      <c r="D770" s="6">
        <v>131</v>
      </c>
      <c r="E770" s="9" t="s">
        <v>97</v>
      </c>
      <c r="F770" s="6">
        <v>145626</v>
      </c>
      <c r="G770" s="7">
        <v>145626</v>
      </c>
      <c r="H770" s="9">
        <f>(G770-F770)</f>
        <v>0.0</v>
      </c>
      <c r="I770" s="9" t="s">
        <v>119</v>
      </c>
      <c r="J770" s="9" t="s">
        <v>120</v>
      </c>
    </row>
    <row r="771" spans="1:10" ht="23" customHeight="1">
      <c r="A771" s="9" t="s">
        <v>99</v>
      </c>
      <c r="B771" s="6">
        <v>5</v>
      </c>
      <c r="C771" s="9" t="s">
        <v>90</v>
      </c>
      <c r="D771" s="6">
        <v>131</v>
      </c>
      <c r="E771" s="9" t="s">
        <v>98</v>
      </c>
      <c r="F771" s="6">
        <v>145626</v>
      </c>
      <c r="G771" s="7">
        <v>145626</v>
      </c>
      <c r="H771" s="9">
        <f>(G771-F771)</f>
        <v>0.0</v>
      </c>
      <c r="I771" s="9" t="s">
        <v>119</v>
      </c>
      <c r="J771" s="9" t="s">
        <v>120</v>
      </c>
    </row>
    <row r="772" spans="1:10" ht="23" customHeight="1">
      <c r="A772" s="9" t="s">
        <v>99</v>
      </c>
      <c r="B772" s="6">
        <v>5</v>
      </c>
      <c r="C772" s="9" t="s">
        <v>90</v>
      </c>
      <c r="D772" s="6">
        <v>132</v>
      </c>
      <c r="E772" s="9" t="s">
        <v>93</v>
      </c>
      <c r="F772" s="6">
        <v>145626</v>
      </c>
      <c r="G772" s="7">
        <v>145626</v>
      </c>
      <c r="H772" s="9">
        <f>(G772-F772)</f>
        <v>0.0</v>
      </c>
      <c r="I772" s="9" t="s">
        <v>119</v>
      </c>
      <c r="J772" s="9" t="s">
        <v>120</v>
      </c>
    </row>
    <row r="773" spans="1:10" ht="23" customHeight="1">
      <c r="A773" s="9" t="s">
        <v>99</v>
      </c>
      <c r="B773" s="6">
        <v>5</v>
      </c>
      <c r="C773" s="9" t="s">
        <v>90</v>
      </c>
      <c r="D773" s="6">
        <v>132</v>
      </c>
      <c r="E773" s="9" t="s">
        <v>103</v>
      </c>
      <c r="F773" s="6">
        <v>1835</v>
      </c>
      <c r="G773" s="7">
        <v>1835</v>
      </c>
      <c r="H773" s="9">
        <f>(G773-F773)</f>
        <v>0.0</v>
      </c>
      <c r="I773" s="9" t="s">
        <v>119</v>
      </c>
      <c r="J773" s="9" t="s">
        <v>120</v>
      </c>
    </row>
    <row r="774" spans="1:10" ht="23" customHeight="1">
      <c r="A774" s="9" t="s">
        <v>99</v>
      </c>
      <c r="B774" s="6">
        <v>5</v>
      </c>
      <c r="C774" s="9" t="s">
        <v>90</v>
      </c>
      <c r="D774" s="6">
        <v>132</v>
      </c>
      <c r="E774" s="9" t="s">
        <v>104</v>
      </c>
      <c r="F774" s="6">
        <v>1835</v>
      </c>
      <c r="G774" s="7">
        <v>1835</v>
      </c>
      <c r="H774" s="9">
        <f>(G774-F774)</f>
        <v>0.0</v>
      </c>
      <c r="I774" s="9" t="s">
        <v>119</v>
      </c>
      <c r="J774" s="9" t="s">
        <v>120</v>
      </c>
    </row>
    <row r="775" spans="1:10" ht="23" customHeight="1">
      <c r="A775" s="9" t="s">
        <v>99</v>
      </c>
      <c r="B775" s="6">
        <v>5</v>
      </c>
      <c r="C775" s="9" t="s">
        <v>90</v>
      </c>
      <c r="D775" s="6">
        <v>132</v>
      </c>
      <c r="E775" s="9" t="s">
        <v>94</v>
      </c>
      <c r="F775" s="6">
        <v>145626</v>
      </c>
      <c r="G775" s="7">
        <v>145626</v>
      </c>
      <c r="H775" s="9">
        <f>(G775-F775)</f>
        <v>0.0</v>
      </c>
      <c r="I775" s="9" t="s">
        <v>119</v>
      </c>
      <c r="J775" s="9" t="s">
        <v>120</v>
      </c>
    </row>
    <row r="776" spans="1:10" ht="23" customHeight="1">
      <c r="A776" s="9" t="s">
        <v>99</v>
      </c>
      <c r="B776" s="6">
        <v>5</v>
      </c>
      <c r="C776" s="9" t="s">
        <v>90</v>
      </c>
      <c r="D776" s="6">
        <v>132</v>
      </c>
      <c r="E776" s="9" t="s">
        <v>105</v>
      </c>
      <c r="F776" s="6">
        <v>1835</v>
      </c>
      <c r="G776" s="7">
        <v>1835</v>
      </c>
      <c r="H776" s="9">
        <f>(G776-F776)</f>
        <v>0.0</v>
      </c>
      <c r="I776" s="9" t="s">
        <v>119</v>
      </c>
      <c r="J776" s="9" t="s">
        <v>120</v>
      </c>
    </row>
    <row r="777" spans="1:10" ht="23" customHeight="1">
      <c r="A777" s="9" t="s">
        <v>99</v>
      </c>
      <c r="B777" s="6">
        <v>5</v>
      </c>
      <c r="C777" s="9" t="s">
        <v>90</v>
      </c>
      <c r="D777" s="6">
        <v>132</v>
      </c>
      <c r="E777" s="9" t="s">
        <v>106</v>
      </c>
      <c r="F777" s="6">
        <v>1835</v>
      </c>
      <c r="G777" s="7">
        <v>1835</v>
      </c>
      <c r="H777" s="9">
        <f>(G777-F777)</f>
        <v>0.0</v>
      </c>
      <c r="I777" s="9" t="s">
        <v>119</v>
      </c>
      <c r="J777" s="9" t="s">
        <v>120</v>
      </c>
    </row>
    <row r="778" spans="1:10" ht="23" customHeight="1">
      <c r="A778" s="9" t="s">
        <v>99</v>
      </c>
      <c r="B778" s="6">
        <v>5</v>
      </c>
      <c r="C778" s="9" t="s">
        <v>90</v>
      </c>
      <c r="D778" s="6">
        <v>132</v>
      </c>
      <c r="E778" s="9" t="s">
        <v>95</v>
      </c>
      <c r="F778" s="6">
        <v>145626</v>
      </c>
      <c r="G778" s="7">
        <v>145626</v>
      </c>
      <c r="H778" s="9">
        <f>(G778-F778)</f>
        <v>0.0</v>
      </c>
      <c r="I778" s="9" t="s">
        <v>119</v>
      </c>
      <c r="J778" s="9" t="s">
        <v>120</v>
      </c>
    </row>
    <row r="779" spans="1:10" ht="23" customHeight="1">
      <c r="A779" s="9" t="s">
        <v>99</v>
      </c>
      <c r="B779" s="6">
        <v>5</v>
      </c>
      <c r="C779" s="9" t="s">
        <v>90</v>
      </c>
      <c r="D779" s="6">
        <v>132</v>
      </c>
      <c r="E779" s="9" t="s">
        <v>96</v>
      </c>
      <c r="F779" s="6">
        <v>145626</v>
      </c>
      <c r="G779" s="7">
        <v>145626</v>
      </c>
      <c r="H779" s="9">
        <f>(G779-F779)</f>
        <v>0.0</v>
      </c>
      <c r="I779" s="9" t="s">
        <v>119</v>
      </c>
      <c r="J779" s="9" t="s">
        <v>120</v>
      </c>
    </row>
    <row r="780" spans="1:10" ht="23" customHeight="1">
      <c r="A780" s="9" t="s">
        <v>99</v>
      </c>
      <c r="B780" s="6">
        <v>5</v>
      </c>
      <c r="C780" s="9" t="s">
        <v>90</v>
      </c>
      <c r="D780" s="6">
        <v>132</v>
      </c>
      <c r="E780" s="9" t="s">
        <v>97</v>
      </c>
      <c r="F780" s="6">
        <v>145626</v>
      </c>
      <c r="G780" s="7">
        <v>145626</v>
      </c>
      <c r="H780" s="9">
        <f>(G780-F780)</f>
        <v>0.0</v>
      </c>
      <c r="I780" s="9" t="s">
        <v>119</v>
      </c>
      <c r="J780" s="9" t="s">
        <v>120</v>
      </c>
    </row>
    <row r="781" spans="1:10" ht="23" customHeight="1">
      <c r="A781" s="9" t="s">
        <v>99</v>
      </c>
      <c r="B781" s="6">
        <v>5</v>
      </c>
      <c r="C781" s="9" t="s">
        <v>90</v>
      </c>
      <c r="D781" s="6">
        <v>132</v>
      </c>
      <c r="E781" s="9" t="s">
        <v>98</v>
      </c>
      <c r="F781" s="6">
        <v>145626</v>
      </c>
      <c r="G781" s="7">
        <v>145626</v>
      </c>
      <c r="H781" s="9">
        <f>(G781-F781)</f>
        <v>0.0</v>
      </c>
      <c r="I781" s="9" t="s">
        <v>119</v>
      </c>
      <c r="J781" s="9" t="s">
        <v>120</v>
      </c>
    </row>
    <row r="782" spans="1:10" ht="23" customHeight="1">
      <c r="A782" s="9" t="s">
        <v>99</v>
      </c>
      <c r="B782" s="6">
        <v>5</v>
      </c>
      <c r="C782" s="9" t="s">
        <v>90</v>
      </c>
      <c r="D782" s="6">
        <v>133</v>
      </c>
      <c r="E782" s="9" t="s">
        <v>93</v>
      </c>
      <c r="F782" s="6">
        <v>145626</v>
      </c>
      <c r="G782" s="7">
        <v>145626</v>
      </c>
      <c r="H782" s="9">
        <f>(G782-F782)</f>
        <v>0.0</v>
      </c>
      <c r="I782" s="9" t="s">
        <v>119</v>
      </c>
      <c r="J782" s="9" t="s">
        <v>120</v>
      </c>
    </row>
    <row r="783" spans="1:10" ht="23" customHeight="1">
      <c r="A783" s="9" t="s">
        <v>99</v>
      </c>
      <c r="B783" s="6">
        <v>5</v>
      </c>
      <c r="C783" s="9" t="s">
        <v>90</v>
      </c>
      <c r="D783" s="6">
        <v>133</v>
      </c>
      <c r="E783" s="9" t="s">
        <v>103</v>
      </c>
      <c r="F783" s="6">
        <v>1835</v>
      </c>
      <c r="G783" s="7">
        <v>1835</v>
      </c>
      <c r="H783" s="9">
        <f>(G783-F783)</f>
        <v>0.0</v>
      </c>
      <c r="I783" s="9" t="s">
        <v>119</v>
      </c>
      <c r="J783" s="9" t="s">
        <v>120</v>
      </c>
    </row>
    <row r="784" spans="1:10" ht="23" customHeight="1">
      <c r="A784" s="9" t="s">
        <v>99</v>
      </c>
      <c r="B784" s="6">
        <v>5</v>
      </c>
      <c r="C784" s="9" t="s">
        <v>90</v>
      </c>
      <c r="D784" s="6">
        <v>133</v>
      </c>
      <c r="E784" s="9" t="s">
        <v>104</v>
      </c>
      <c r="F784" s="6">
        <v>1835</v>
      </c>
      <c r="G784" s="7">
        <v>1835</v>
      </c>
      <c r="H784" s="9">
        <f>(G784-F784)</f>
        <v>0.0</v>
      </c>
      <c r="I784" s="9" t="s">
        <v>119</v>
      </c>
      <c r="J784" s="9" t="s">
        <v>120</v>
      </c>
    </row>
    <row r="785" spans="1:12" ht="24" customHeight="1">
      <c r="A785" s="3" t="s">
        <v>107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36" customHeight="1">
      <c r="A786" s="4" t="s">
        <v>108</v>
      </c>
      <c r="B786" s="4" t="s">
        <v>8</v>
      </c>
      <c r="C786" s="4" t="s">
        <v>109</v>
      </c>
      <c r="D786" s="4" t="s">
        <v>110</v>
      </c>
      <c r="E786" s="4" t="s">
        <v>111</v>
      </c>
      <c r="F786" s="4" t="s">
        <v>112</v>
      </c>
      <c r="G786" s="4" t="s">
        <v>113</v>
      </c>
      <c r="H786" s="4" t="s">
        <v>114</v>
      </c>
      <c r="I786" s="4" t="s">
        <v>115</v>
      </c>
      <c r="J786" s="4" t="s">
        <v>116</v>
      </c>
    </row>
    <row r="787" spans="1:12" ht="23" customHeight="1">
      <c r="A787" s="9" t="s">
        <v>99</v>
      </c>
      <c r="B787" s="6">
        <v>5</v>
      </c>
      <c r="C787" s="9" t="s">
        <v>90</v>
      </c>
      <c r="D787" s="6">
        <v>133</v>
      </c>
      <c r="E787" s="9" t="s">
        <v>94</v>
      </c>
      <c r="F787" s="6">
        <v>145626</v>
      </c>
      <c r="G787" s="7">
        <v>145626</v>
      </c>
      <c r="H787" s="9">
        <f>(G787-F787)</f>
        <v>0.0</v>
      </c>
      <c r="I787" s="9" t="s">
        <v>119</v>
      </c>
      <c r="J787" s="9" t="s">
        <v>120</v>
      </c>
    </row>
    <row r="788" spans="1:12" ht="23" customHeight="1">
      <c r="A788" s="9" t="s">
        <v>99</v>
      </c>
      <c r="B788" s="6">
        <v>5</v>
      </c>
      <c r="C788" s="9" t="s">
        <v>90</v>
      </c>
      <c r="D788" s="6">
        <v>133</v>
      </c>
      <c r="E788" s="9" t="s">
        <v>105</v>
      </c>
      <c r="F788" s="6">
        <v>1835</v>
      </c>
      <c r="G788" s="7">
        <v>1835</v>
      </c>
      <c r="H788" s="9">
        <f>(G788-F788)</f>
        <v>0.0</v>
      </c>
      <c r="I788" s="9" t="s">
        <v>119</v>
      </c>
      <c r="J788" s="9" t="s">
        <v>120</v>
      </c>
    </row>
    <row r="789" spans="1:12" ht="23" customHeight="1">
      <c r="A789" s="9" t="s">
        <v>99</v>
      </c>
      <c r="B789" s="6">
        <v>5</v>
      </c>
      <c r="C789" s="9" t="s">
        <v>90</v>
      </c>
      <c r="D789" s="6">
        <v>133</v>
      </c>
      <c r="E789" s="9" t="s">
        <v>106</v>
      </c>
      <c r="F789" s="6">
        <v>1835</v>
      </c>
      <c r="G789" s="7">
        <v>1835</v>
      </c>
      <c r="H789" s="9">
        <f>(G789-F789)</f>
        <v>0.0</v>
      </c>
      <c r="I789" s="9" t="s">
        <v>119</v>
      </c>
      <c r="J789" s="9" t="s">
        <v>120</v>
      </c>
    </row>
    <row r="790" spans="1:12" ht="23" customHeight="1">
      <c r="A790" s="9" t="s">
        <v>99</v>
      </c>
      <c r="B790" s="6">
        <v>5</v>
      </c>
      <c r="C790" s="9" t="s">
        <v>90</v>
      </c>
      <c r="D790" s="6">
        <v>133</v>
      </c>
      <c r="E790" s="9" t="s">
        <v>95</v>
      </c>
      <c r="F790" s="6">
        <v>145626</v>
      </c>
      <c r="G790" s="7">
        <v>145626</v>
      </c>
      <c r="H790" s="9">
        <f>(G790-F790)</f>
        <v>0.0</v>
      </c>
      <c r="I790" s="9" t="s">
        <v>119</v>
      </c>
      <c r="J790" s="9" t="s">
        <v>120</v>
      </c>
    </row>
    <row r="791" spans="1:12" ht="23" customHeight="1">
      <c r="A791" s="9" t="s">
        <v>99</v>
      </c>
      <c r="B791" s="6">
        <v>5</v>
      </c>
      <c r="C791" s="9" t="s">
        <v>90</v>
      </c>
      <c r="D791" s="6">
        <v>133</v>
      </c>
      <c r="E791" s="9" t="s">
        <v>96</v>
      </c>
      <c r="F791" s="6">
        <v>145626</v>
      </c>
      <c r="G791" s="7">
        <v>145626</v>
      </c>
      <c r="H791" s="9">
        <f>(G791-F791)</f>
        <v>0.0</v>
      </c>
      <c r="I791" s="9" t="s">
        <v>119</v>
      </c>
      <c r="J791" s="9" t="s">
        <v>120</v>
      </c>
    </row>
    <row r="792" spans="1:12" ht="23" customHeight="1">
      <c r="A792" s="9" t="s">
        <v>99</v>
      </c>
      <c r="B792" s="6">
        <v>5</v>
      </c>
      <c r="C792" s="9" t="s">
        <v>90</v>
      </c>
      <c r="D792" s="6">
        <v>133</v>
      </c>
      <c r="E792" s="9" t="s">
        <v>97</v>
      </c>
      <c r="F792" s="6">
        <v>145626</v>
      </c>
      <c r="G792" s="7">
        <v>145626</v>
      </c>
      <c r="H792" s="9">
        <f>(G792-F792)</f>
        <v>0.0</v>
      </c>
      <c r="I792" s="9" t="s">
        <v>119</v>
      </c>
      <c r="J792" s="9" t="s">
        <v>120</v>
      </c>
    </row>
    <row r="793" spans="1:12" ht="23" customHeight="1">
      <c r="A793" s="9" t="s">
        <v>99</v>
      </c>
      <c r="B793" s="6">
        <v>5</v>
      </c>
      <c r="C793" s="9" t="s">
        <v>90</v>
      </c>
      <c r="D793" s="6">
        <v>133</v>
      </c>
      <c r="E793" s="9" t="s">
        <v>98</v>
      </c>
      <c r="F793" s="6">
        <v>145626</v>
      </c>
      <c r="G793" s="7">
        <v>145626</v>
      </c>
      <c r="H793" s="9">
        <f>(G793-F793)</f>
        <v>0.0</v>
      </c>
      <c r="I793" s="9" t="s">
        <v>119</v>
      </c>
      <c r="J793" s="9" t="s">
        <v>120</v>
      </c>
    </row>
    <row r="794" spans="1:12" ht="23" customHeight="1">
      <c r="A794" s="9" t="s">
        <v>99</v>
      </c>
      <c r="B794" s="6">
        <v>5</v>
      </c>
      <c r="C794" s="9" t="s">
        <v>90</v>
      </c>
      <c r="D794" s="6">
        <v>134</v>
      </c>
      <c r="E794" s="9" t="s">
        <v>93</v>
      </c>
      <c r="F794" s="6">
        <v>145626</v>
      </c>
      <c r="G794" s="7">
        <v>145626</v>
      </c>
      <c r="H794" s="9">
        <f>(G794-F794)</f>
        <v>0.0</v>
      </c>
      <c r="I794" s="9" t="s">
        <v>119</v>
      </c>
      <c r="J794" s="9" t="s">
        <v>120</v>
      </c>
    </row>
    <row r="795" spans="1:12" ht="23" customHeight="1">
      <c r="A795" s="9" t="s">
        <v>99</v>
      </c>
      <c r="B795" s="6">
        <v>5</v>
      </c>
      <c r="C795" s="9" t="s">
        <v>90</v>
      </c>
      <c r="D795" s="6">
        <v>134</v>
      </c>
      <c r="E795" s="9" t="s">
        <v>103</v>
      </c>
      <c r="F795" s="6">
        <v>1835</v>
      </c>
      <c r="G795" s="7">
        <v>1835</v>
      </c>
      <c r="H795" s="9">
        <f>(G795-F795)</f>
        <v>0.0</v>
      </c>
      <c r="I795" s="9" t="s">
        <v>119</v>
      </c>
      <c r="J795" s="9" t="s">
        <v>120</v>
      </c>
    </row>
    <row r="796" spans="1:12" ht="23" customHeight="1">
      <c r="A796" s="9" t="s">
        <v>99</v>
      </c>
      <c r="B796" s="6">
        <v>5</v>
      </c>
      <c r="C796" s="9" t="s">
        <v>90</v>
      </c>
      <c r="D796" s="6">
        <v>134</v>
      </c>
      <c r="E796" s="9" t="s">
        <v>104</v>
      </c>
      <c r="F796" s="6">
        <v>1835</v>
      </c>
      <c r="G796" s="7">
        <v>1835</v>
      </c>
      <c r="H796" s="9">
        <f>(G796-F796)</f>
        <v>0.0</v>
      </c>
      <c r="I796" s="9" t="s">
        <v>119</v>
      </c>
      <c r="J796" s="9" t="s">
        <v>120</v>
      </c>
    </row>
    <row r="797" spans="1:12" ht="23" customHeight="1">
      <c r="A797" s="9" t="s">
        <v>99</v>
      </c>
      <c r="B797" s="6">
        <v>5</v>
      </c>
      <c r="C797" s="9" t="s">
        <v>90</v>
      </c>
      <c r="D797" s="6">
        <v>134</v>
      </c>
      <c r="E797" s="9" t="s">
        <v>94</v>
      </c>
      <c r="F797" s="6">
        <v>145626</v>
      </c>
      <c r="G797" s="7">
        <v>145626</v>
      </c>
      <c r="H797" s="9">
        <f>(G797-F797)</f>
        <v>0.0</v>
      </c>
      <c r="I797" s="9" t="s">
        <v>119</v>
      </c>
      <c r="J797" s="9" t="s">
        <v>120</v>
      </c>
    </row>
    <row r="798" spans="1:12" ht="23" customHeight="1">
      <c r="A798" s="9" t="s">
        <v>99</v>
      </c>
      <c r="B798" s="6">
        <v>5</v>
      </c>
      <c r="C798" s="9" t="s">
        <v>90</v>
      </c>
      <c r="D798" s="6">
        <v>134</v>
      </c>
      <c r="E798" s="9" t="s">
        <v>105</v>
      </c>
      <c r="F798" s="6">
        <v>1835</v>
      </c>
      <c r="G798" s="7">
        <v>1835</v>
      </c>
      <c r="H798" s="9">
        <f>(G798-F798)</f>
        <v>0.0</v>
      </c>
      <c r="I798" s="9" t="s">
        <v>119</v>
      </c>
      <c r="J798" s="9" t="s">
        <v>120</v>
      </c>
    </row>
    <row r="799" spans="1:12" ht="23" customHeight="1">
      <c r="A799" s="9" t="s">
        <v>99</v>
      </c>
      <c r="B799" s="6">
        <v>5</v>
      </c>
      <c r="C799" s="9" t="s">
        <v>90</v>
      </c>
      <c r="D799" s="6">
        <v>134</v>
      </c>
      <c r="E799" s="9" t="s">
        <v>106</v>
      </c>
      <c r="F799" s="6">
        <v>1835</v>
      </c>
      <c r="G799" s="7">
        <v>1835</v>
      </c>
      <c r="H799" s="9">
        <f>(G799-F799)</f>
        <v>0.0</v>
      </c>
      <c r="I799" s="9" t="s">
        <v>119</v>
      </c>
      <c r="J799" s="9" t="s">
        <v>120</v>
      </c>
    </row>
    <row r="800" spans="1:12" ht="23" customHeight="1">
      <c r="A800" s="9" t="s">
        <v>99</v>
      </c>
      <c r="B800" s="6">
        <v>5</v>
      </c>
      <c r="C800" s="9" t="s">
        <v>90</v>
      </c>
      <c r="D800" s="6">
        <v>134</v>
      </c>
      <c r="E800" s="9" t="s">
        <v>95</v>
      </c>
      <c r="F800" s="6">
        <v>145626</v>
      </c>
      <c r="G800" s="7">
        <v>145626</v>
      </c>
      <c r="H800" s="9">
        <f>(G800-F800)</f>
        <v>0.0</v>
      </c>
      <c r="I800" s="9" t="s">
        <v>119</v>
      </c>
      <c r="J800" s="9" t="s">
        <v>120</v>
      </c>
    </row>
    <row r="801" spans="1:12" ht="23" customHeight="1">
      <c r="A801" s="9" t="s">
        <v>99</v>
      </c>
      <c r="B801" s="6">
        <v>5</v>
      </c>
      <c r="C801" s="9" t="s">
        <v>90</v>
      </c>
      <c r="D801" s="6">
        <v>134</v>
      </c>
      <c r="E801" s="9" t="s">
        <v>96</v>
      </c>
      <c r="F801" s="6">
        <v>145626</v>
      </c>
      <c r="G801" s="7">
        <v>145626</v>
      </c>
      <c r="H801" s="9">
        <f>(G801-F801)</f>
        <v>0.0</v>
      </c>
      <c r="I801" s="9" t="s">
        <v>119</v>
      </c>
      <c r="J801" s="9" t="s">
        <v>120</v>
      </c>
    </row>
    <row r="802" spans="1:12" ht="24" customHeight="1">
      <c r="A802" s="3" t="s">
        <v>107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36" customHeight="1">
      <c r="A803" s="4" t="s">
        <v>108</v>
      </c>
      <c r="B803" s="4" t="s">
        <v>8</v>
      </c>
      <c r="C803" s="4" t="s">
        <v>109</v>
      </c>
      <c r="D803" s="4" t="s">
        <v>110</v>
      </c>
      <c r="E803" s="4" t="s">
        <v>111</v>
      </c>
      <c r="F803" s="4" t="s">
        <v>112</v>
      </c>
      <c r="G803" s="4" t="s">
        <v>113</v>
      </c>
      <c r="H803" s="4" t="s">
        <v>114</v>
      </c>
      <c r="I803" s="4" t="s">
        <v>115</v>
      </c>
      <c r="J803" s="4" t="s">
        <v>116</v>
      </c>
    </row>
    <row r="804" spans="1:12" ht="23" customHeight="1">
      <c r="A804" s="9" t="s">
        <v>99</v>
      </c>
      <c r="B804" s="6">
        <v>5</v>
      </c>
      <c r="C804" s="9" t="s">
        <v>90</v>
      </c>
      <c r="D804" s="6">
        <v>134</v>
      </c>
      <c r="E804" s="9" t="s">
        <v>97</v>
      </c>
      <c r="F804" s="6">
        <v>145626</v>
      </c>
      <c r="G804" s="7">
        <v>145626</v>
      </c>
      <c r="H804" s="9">
        <f>(G804-F804)</f>
        <v>0.0</v>
      </c>
      <c r="I804" s="9" t="s">
        <v>119</v>
      </c>
      <c r="J804" s="9" t="s">
        <v>120</v>
      </c>
    </row>
    <row r="805" spans="1:12" ht="23" customHeight="1">
      <c r="A805" s="9" t="s">
        <v>99</v>
      </c>
      <c r="B805" s="6">
        <v>5</v>
      </c>
      <c r="C805" s="9" t="s">
        <v>90</v>
      </c>
      <c r="D805" s="6">
        <v>134</v>
      </c>
      <c r="E805" s="9" t="s">
        <v>98</v>
      </c>
      <c r="F805" s="6">
        <v>145626</v>
      </c>
      <c r="G805" s="7">
        <v>145626</v>
      </c>
      <c r="H805" s="9">
        <f>(G805-F805)</f>
        <v>0.0</v>
      </c>
      <c r="I805" s="9" t="s">
        <v>119</v>
      </c>
      <c r="J805" s="9" t="s">
        <v>120</v>
      </c>
    </row>
    <row r="806" spans="1:12" ht="23" customHeight="1">
      <c r="A806" s="9" t="s">
        <v>99</v>
      </c>
      <c r="B806" s="6">
        <v>5</v>
      </c>
      <c r="C806" s="9" t="s">
        <v>90</v>
      </c>
      <c r="D806" s="6">
        <v>135</v>
      </c>
      <c r="E806" s="9" t="s">
        <v>93</v>
      </c>
      <c r="F806" s="6">
        <v>145626</v>
      </c>
      <c r="G806" s="7">
        <v>145626</v>
      </c>
      <c r="H806" s="9">
        <f>(G806-F806)</f>
        <v>0.0</v>
      </c>
      <c r="I806" s="9" t="s">
        <v>119</v>
      </c>
      <c r="J806" s="9" t="s">
        <v>120</v>
      </c>
    </row>
    <row r="807" spans="1:12" ht="23" customHeight="1">
      <c r="A807" s="9" t="s">
        <v>99</v>
      </c>
      <c r="B807" s="6">
        <v>5</v>
      </c>
      <c r="C807" s="9" t="s">
        <v>90</v>
      </c>
      <c r="D807" s="6">
        <v>135</v>
      </c>
      <c r="E807" s="9" t="s">
        <v>103</v>
      </c>
      <c r="F807" s="6">
        <v>1835</v>
      </c>
      <c r="G807" s="7">
        <v>1835</v>
      </c>
      <c r="H807" s="9">
        <f>(G807-F807)</f>
        <v>0.0</v>
      </c>
      <c r="I807" s="9" t="s">
        <v>119</v>
      </c>
      <c r="J807" s="9" t="s">
        <v>120</v>
      </c>
    </row>
    <row r="808" spans="1:12" ht="23" customHeight="1">
      <c r="A808" s="9" t="s">
        <v>99</v>
      </c>
      <c r="B808" s="6">
        <v>5</v>
      </c>
      <c r="C808" s="9" t="s">
        <v>90</v>
      </c>
      <c r="D808" s="6">
        <v>135</v>
      </c>
      <c r="E808" s="9" t="s">
        <v>104</v>
      </c>
      <c r="F808" s="6">
        <v>1835</v>
      </c>
      <c r="G808" s="7">
        <v>1835</v>
      </c>
      <c r="H808" s="9">
        <f>(G808-F808)</f>
        <v>0.0</v>
      </c>
      <c r="I808" s="9" t="s">
        <v>119</v>
      </c>
      <c r="J808" s="9" t="s">
        <v>120</v>
      </c>
    </row>
    <row r="809" spans="1:12" ht="23" customHeight="1">
      <c r="A809" s="9" t="s">
        <v>99</v>
      </c>
      <c r="B809" s="6">
        <v>5</v>
      </c>
      <c r="C809" s="9" t="s">
        <v>90</v>
      </c>
      <c r="D809" s="6">
        <v>135</v>
      </c>
      <c r="E809" s="9" t="s">
        <v>94</v>
      </c>
      <c r="F809" s="6">
        <v>145626</v>
      </c>
      <c r="G809" s="7">
        <v>145626</v>
      </c>
      <c r="H809" s="9">
        <f>(G809-F809)</f>
        <v>0.0</v>
      </c>
      <c r="I809" s="9" t="s">
        <v>119</v>
      </c>
      <c r="J809" s="9" t="s">
        <v>120</v>
      </c>
    </row>
    <row r="810" spans="1:12" ht="23" customHeight="1">
      <c r="A810" s="9" t="s">
        <v>99</v>
      </c>
      <c r="B810" s="6">
        <v>5</v>
      </c>
      <c r="C810" s="9" t="s">
        <v>90</v>
      </c>
      <c r="D810" s="6">
        <v>135</v>
      </c>
      <c r="E810" s="9" t="s">
        <v>105</v>
      </c>
      <c r="F810" s="6">
        <v>1835</v>
      </c>
      <c r="G810" s="7">
        <v>1835</v>
      </c>
      <c r="H810" s="9">
        <f>(G810-F810)</f>
        <v>0.0</v>
      </c>
      <c r="I810" s="9" t="s">
        <v>119</v>
      </c>
      <c r="J810" s="9" t="s">
        <v>120</v>
      </c>
    </row>
    <row r="811" spans="1:12" ht="23" customHeight="1">
      <c r="A811" s="9" t="s">
        <v>99</v>
      </c>
      <c r="B811" s="6">
        <v>5</v>
      </c>
      <c r="C811" s="9" t="s">
        <v>90</v>
      </c>
      <c r="D811" s="6">
        <v>135</v>
      </c>
      <c r="E811" s="9" t="s">
        <v>106</v>
      </c>
      <c r="F811" s="6">
        <v>1835</v>
      </c>
      <c r="G811" s="7">
        <v>1835</v>
      </c>
      <c r="H811" s="9">
        <f>(G811-F811)</f>
        <v>0.0</v>
      </c>
      <c r="I811" s="9" t="s">
        <v>119</v>
      </c>
      <c r="J811" s="9" t="s">
        <v>120</v>
      </c>
    </row>
    <row r="812" spans="1:12" ht="23" customHeight="1">
      <c r="A812" s="9" t="s">
        <v>99</v>
      </c>
      <c r="B812" s="6">
        <v>5</v>
      </c>
      <c r="C812" s="9" t="s">
        <v>90</v>
      </c>
      <c r="D812" s="6">
        <v>135</v>
      </c>
      <c r="E812" s="9" t="s">
        <v>95</v>
      </c>
      <c r="F812" s="6">
        <v>145626</v>
      </c>
      <c r="G812" s="7">
        <v>145626</v>
      </c>
      <c r="H812" s="9">
        <f>(G812-F812)</f>
        <v>0.0</v>
      </c>
      <c r="I812" s="9" t="s">
        <v>119</v>
      </c>
      <c r="J812" s="9" t="s">
        <v>120</v>
      </c>
    </row>
    <row r="813" spans="1:12" ht="23" customHeight="1">
      <c r="A813" s="9" t="s">
        <v>99</v>
      </c>
      <c r="B813" s="6">
        <v>5</v>
      </c>
      <c r="C813" s="9" t="s">
        <v>90</v>
      </c>
      <c r="D813" s="6">
        <v>135</v>
      </c>
      <c r="E813" s="9" t="s">
        <v>96</v>
      </c>
      <c r="F813" s="6">
        <v>145626</v>
      </c>
      <c r="G813" s="7">
        <v>145626</v>
      </c>
      <c r="H813" s="9">
        <f>(G813-F813)</f>
        <v>0.0</v>
      </c>
      <c r="I813" s="9" t="s">
        <v>119</v>
      </c>
      <c r="J813" s="9" t="s">
        <v>120</v>
      </c>
    </row>
    <row r="814" spans="1:12" ht="23" customHeight="1">
      <c r="A814" s="9" t="s">
        <v>99</v>
      </c>
      <c r="B814" s="6">
        <v>5</v>
      </c>
      <c r="C814" s="9" t="s">
        <v>90</v>
      </c>
      <c r="D814" s="6">
        <v>135</v>
      </c>
      <c r="E814" s="9" t="s">
        <v>97</v>
      </c>
      <c r="F814" s="6">
        <v>145626</v>
      </c>
      <c r="G814" s="7">
        <v>145626</v>
      </c>
      <c r="H814" s="9">
        <f>(G814-F814)</f>
        <v>0.0</v>
      </c>
      <c r="I814" s="9" t="s">
        <v>119</v>
      </c>
      <c r="J814" s="9" t="s">
        <v>120</v>
      </c>
    </row>
    <row r="815" spans="1:12" ht="23" customHeight="1">
      <c r="A815" s="9" t="s">
        <v>99</v>
      </c>
      <c r="B815" s="6">
        <v>5</v>
      </c>
      <c r="C815" s="9" t="s">
        <v>90</v>
      </c>
      <c r="D815" s="6">
        <v>135</v>
      </c>
      <c r="E815" s="9" t="s">
        <v>98</v>
      </c>
      <c r="F815" s="6">
        <v>145626</v>
      </c>
      <c r="G815" s="7">
        <v>145626</v>
      </c>
      <c r="H815" s="9">
        <f>(G815-F815)</f>
        <v>0.0</v>
      </c>
      <c r="I815" s="9" t="s">
        <v>119</v>
      </c>
      <c r="J815" s="9" t="s">
        <v>120</v>
      </c>
    </row>
    <row r="816" spans="1:12" ht="23" customHeight="1">
      <c r="A816" s="9" t="s">
        <v>99</v>
      </c>
      <c r="B816" s="6">
        <v>5</v>
      </c>
      <c r="C816" s="9" t="s">
        <v>90</v>
      </c>
      <c r="D816" s="6">
        <v>136</v>
      </c>
      <c r="E816" s="9" t="s">
        <v>93</v>
      </c>
      <c r="F816" s="6">
        <v>145626</v>
      </c>
      <c r="G816" s="7">
        <v>145626</v>
      </c>
      <c r="H816" s="9">
        <f>(G816-F816)</f>
        <v>0.0</v>
      </c>
      <c r="I816" s="9" t="s">
        <v>119</v>
      </c>
      <c r="J816" s="9" t="s">
        <v>120</v>
      </c>
    </row>
    <row r="817" spans="1:12" ht="23" customHeight="1">
      <c r="A817" s="9" t="s">
        <v>99</v>
      </c>
      <c r="B817" s="6">
        <v>5</v>
      </c>
      <c r="C817" s="9" t="s">
        <v>90</v>
      </c>
      <c r="D817" s="6">
        <v>136</v>
      </c>
      <c r="E817" s="9" t="s">
        <v>103</v>
      </c>
      <c r="F817" s="6">
        <v>1835</v>
      </c>
      <c r="G817" s="7">
        <v>1835</v>
      </c>
      <c r="H817" s="9">
        <f>(G817-F817)</f>
        <v>0.0</v>
      </c>
      <c r="I817" s="9" t="s">
        <v>119</v>
      </c>
      <c r="J817" s="9" t="s">
        <v>120</v>
      </c>
    </row>
    <row r="818" spans="1:12" ht="23" customHeight="1">
      <c r="A818" s="9" t="s">
        <v>99</v>
      </c>
      <c r="B818" s="6">
        <v>5</v>
      </c>
      <c r="C818" s="9" t="s">
        <v>90</v>
      </c>
      <c r="D818" s="6">
        <v>136</v>
      </c>
      <c r="E818" s="9" t="s">
        <v>104</v>
      </c>
      <c r="F818" s="6">
        <v>1835</v>
      </c>
      <c r="G818" s="7">
        <v>1835</v>
      </c>
      <c r="H818" s="9">
        <f>(G818-F818)</f>
        <v>0.0</v>
      </c>
      <c r="I818" s="9" t="s">
        <v>119</v>
      </c>
      <c r="J818" s="9" t="s">
        <v>120</v>
      </c>
    </row>
    <row r="819" spans="1:12" ht="24" customHeight="1">
      <c r="A819" s="3" t="s">
        <v>107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36" customHeight="1">
      <c r="A820" s="4" t="s">
        <v>108</v>
      </c>
      <c r="B820" s="4" t="s">
        <v>8</v>
      </c>
      <c r="C820" s="4" t="s">
        <v>109</v>
      </c>
      <c r="D820" s="4" t="s">
        <v>110</v>
      </c>
      <c r="E820" s="4" t="s">
        <v>111</v>
      </c>
      <c r="F820" s="4" t="s">
        <v>112</v>
      </c>
      <c r="G820" s="4" t="s">
        <v>113</v>
      </c>
      <c r="H820" s="4" t="s">
        <v>114</v>
      </c>
      <c r="I820" s="4" t="s">
        <v>115</v>
      </c>
      <c r="J820" s="4" t="s">
        <v>116</v>
      </c>
    </row>
    <row r="821" spans="1:12" ht="23" customHeight="1">
      <c r="A821" s="9" t="s">
        <v>99</v>
      </c>
      <c r="B821" s="6">
        <v>5</v>
      </c>
      <c r="C821" s="9" t="s">
        <v>90</v>
      </c>
      <c r="D821" s="6">
        <v>136</v>
      </c>
      <c r="E821" s="9" t="s">
        <v>94</v>
      </c>
      <c r="F821" s="6">
        <v>145626</v>
      </c>
      <c r="G821" s="7">
        <v>145626</v>
      </c>
      <c r="H821" s="9">
        <f>(G821-F821)</f>
        <v>0.0</v>
      </c>
      <c r="I821" s="9" t="s">
        <v>119</v>
      </c>
      <c r="J821" s="9" t="s">
        <v>120</v>
      </c>
    </row>
    <row r="822" spans="1:12" ht="23" customHeight="1">
      <c r="A822" s="9" t="s">
        <v>99</v>
      </c>
      <c r="B822" s="6">
        <v>5</v>
      </c>
      <c r="C822" s="9" t="s">
        <v>90</v>
      </c>
      <c r="D822" s="6">
        <v>136</v>
      </c>
      <c r="E822" s="9" t="s">
        <v>105</v>
      </c>
      <c r="F822" s="6">
        <v>1835</v>
      </c>
      <c r="G822" s="7">
        <v>1835</v>
      </c>
      <c r="H822" s="9">
        <f>(G822-F822)</f>
        <v>0.0</v>
      </c>
      <c r="I822" s="9" t="s">
        <v>119</v>
      </c>
      <c r="J822" s="9" t="s">
        <v>120</v>
      </c>
    </row>
    <row r="823" spans="1:12" ht="23" customHeight="1">
      <c r="A823" s="9" t="s">
        <v>99</v>
      </c>
      <c r="B823" s="6">
        <v>5</v>
      </c>
      <c r="C823" s="9" t="s">
        <v>90</v>
      </c>
      <c r="D823" s="6">
        <v>136</v>
      </c>
      <c r="E823" s="9" t="s">
        <v>106</v>
      </c>
      <c r="F823" s="6">
        <v>1835</v>
      </c>
      <c r="G823" s="7">
        <v>1835</v>
      </c>
      <c r="H823" s="9">
        <f>(G823-F823)</f>
        <v>0.0</v>
      </c>
      <c r="I823" s="9" t="s">
        <v>119</v>
      </c>
      <c r="J823" s="9" t="s">
        <v>120</v>
      </c>
    </row>
    <row r="824" spans="1:12" ht="23" customHeight="1">
      <c r="A824" s="9" t="s">
        <v>99</v>
      </c>
      <c r="B824" s="6">
        <v>5</v>
      </c>
      <c r="C824" s="9" t="s">
        <v>90</v>
      </c>
      <c r="D824" s="6">
        <v>136</v>
      </c>
      <c r="E824" s="9" t="s">
        <v>95</v>
      </c>
      <c r="F824" s="6">
        <v>145626</v>
      </c>
      <c r="G824" s="7">
        <v>145626</v>
      </c>
      <c r="H824" s="9">
        <f>(G824-F824)</f>
        <v>0.0</v>
      </c>
      <c r="I824" s="9" t="s">
        <v>119</v>
      </c>
      <c r="J824" s="9" t="s">
        <v>120</v>
      </c>
    </row>
    <row r="825" spans="1:12" ht="23" customHeight="1">
      <c r="A825" s="9" t="s">
        <v>99</v>
      </c>
      <c r="B825" s="6">
        <v>5</v>
      </c>
      <c r="C825" s="9" t="s">
        <v>90</v>
      </c>
      <c r="D825" s="6">
        <v>136</v>
      </c>
      <c r="E825" s="9" t="s">
        <v>96</v>
      </c>
      <c r="F825" s="6">
        <v>145626</v>
      </c>
      <c r="G825" s="7">
        <v>145626</v>
      </c>
      <c r="H825" s="9">
        <f>(G825-F825)</f>
        <v>0.0</v>
      </c>
      <c r="I825" s="9" t="s">
        <v>119</v>
      </c>
      <c r="J825" s="9" t="s">
        <v>120</v>
      </c>
    </row>
    <row r="826" spans="1:12" ht="23" customHeight="1">
      <c r="A826" s="9" t="s">
        <v>99</v>
      </c>
      <c r="B826" s="6">
        <v>5</v>
      </c>
      <c r="C826" s="9" t="s">
        <v>90</v>
      </c>
      <c r="D826" s="6">
        <v>136</v>
      </c>
      <c r="E826" s="9" t="s">
        <v>97</v>
      </c>
      <c r="F826" s="6">
        <v>145626</v>
      </c>
      <c r="G826" s="7">
        <v>145626</v>
      </c>
      <c r="H826" s="9">
        <f>(G826-F826)</f>
        <v>0.0</v>
      </c>
      <c r="I826" s="9" t="s">
        <v>119</v>
      </c>
      <c r="J826" s="9" t="s">
        <v>120</v>
      </c>
    </row>
    <row r="827" spans="1:12" ht="23" customHeight="1">
      <c r="A827" s="9" t="s">
        <v>99</v>
      </c>
      <c r="B827" s="6">
        <v>5</v>
      </c>
      <c r="C827" s="9" t="s">
        <v>90</v>
      </c>
      <c r="D827" s="6">
        <v>136</v>
      </c>
      <c r="E827" s="9" t="s">
        <v>98</v>
      </c>
      <c r="F827" s="6">
        <v>145626</v>
      </c>
      <c r="G827" s="7">
        <v>145626</v>
      </c>
      <c r="H827" s="9">
        <f>(G827-F827)</f>
        <v>0.0</v>
      </c>
      <c r="I827" s="9" t="s">
        <v>119</v>
      </c>
      <c r="J827" s="9" t="s">
        <v>120</v>
      </c>
    </row>
    <row r="828" spans="1:12" ht="23" customHeight="1">
      <c r="A828" s="9" t="s">
        <v>99</v>
      </c>
      <c r="B828" s="6">
        <v>5</v>
      </c>
      <c r="C828" s="9" t="s">
        <v>90</v>
      </c>
      <c r="D828" s="6">
        <v>137</v>
      </c>
      <c r="E828" s="9" t="s">
        <v>93</v>
      </c>
      <c r="F828" s="6">
        <v>119433</v>
      </c>
      <c r="G828" s="7">
        <v>119433</v>
      </c>
      <c r="H828" s="9">
        <f>(G828-F828)</f>
        <v>0.0</v>
      </c>
      <c r="I828" s="9" t="s">
        <v>119</v>
      </c>
      <c r="J828" s="9" t="s">
        <v>120</v>
      </c>
    </row>
    <row r="829" spans="1:12" ht="23" customHeight="1">
      <c r="A829" s="9" t="s">
        <v>99</v>
      </c>
      <c r="B829" s="6">
        <v>5</v>
      </c>
      <c r="C829" s="9" t="s">
        <v>90</v>
      </c>
      <c r="D829" s="6">
        <v>137</v>
      </c>
      <c r="E829" s="9" t="s">
        <v>103</v>
      </c>
      <c r="F829" s="6">
        <v>1355</v>
      </c>
      <c r="G829" s="7">
        <v>1355</v>
      </c>
      <c r="H829" s="9">
        <f>(G829-F829)</f>
        <v>0.0</v>
      </c>
      <c r="I829" s="9" t="s">
        <v>119</v>
      </c>
      <c r="J829" s="9" t="s">
        <v>120</v>
      </c>
    </row>
    <row r="830" spans="1:12" ht="23" customHeight="1">
      <c r="A830" s="9" t="s">
        <v>99</v>
      </c>
      <c r="B830" s="6">
        <v>5</v>
      </c>
      <c r="C830" s="9" t="s">
        <v>90</v>
      </c>
      <c r="D830" s="6">
        <v>137</v>
      </c>
      <c r="E830" s="9" t="s">
        <v>104</v>
      </c>
      <c r="F830" s="6">
        <v>1355</v>
      </c>
      <c r="G830" s="7">
        <v>1355</v>
      </c>
      <c r="H830" s="9">
        <f>(G830-F830)</f>
        <v>0.0</v>
      </c>
      <c r="I830" s="9" t="s">
        <v>119</v>
      </c>
      <c r="J830" s="9" t="s">
        <v>120</v>
      </c>
    </row>
    <row r="831" spans="1:12" ht="23" customHeight="1">
      <c r="A831" s="9" t="s">
        <v>99</v>
      </c>
      <c r="B831" s="6">
        <v>5</v>
      </c>
      <c r="C831" s="9" t="s">
        <v>90</v>
      </c>
      <c r="D831" s="6">
        <v>137</v>
      </c>
      <c r="E831" s="9" t="s">
        <v>94</v>
      </c>
      <c r="F831" s="6">
        <v>119433</v>
      </c>
      <c r="G831" s="7">
        <v>119433</v>
      </c>
      <c r="H831" s="9">
        <f>(G831-F831)</f>
        <v>0.0</v>
      </c>
      <c r="I831" s="9" t="s">
        <v>119</v>
      </c>
      <c r="J831" s="9" t="s">
        <v>120</v>
      </c>
    </row>
    <row r="832" spans="1:12" ht="23" customHeight="1">
      <c r="A832" s="9" t="s">
        <v>99</v>
      </c>
      <c r="B832" s="6">
        <v>5</v>
      </c>
      <c r="C832" s="9" t="s">
        <v>90</v>
      </c>
      <c r="D832" s="6">
        <v>137</v>
      </c>
      <c r="E832" s="9" t="s">
        <v>105</v>
      </c>
      <c r="F832" s="6">
        <v>1355</v>
      </c>
      <c r="G832" s="7">
        <v>1355</v>
      </c>
      <c r="H832" s="9">
        <f>(G832-F832)</f>
        <v>0.0</v>
      </c>
      <c r="I832" s="9" t="s">
        <v>119</v>
      </c>
      <c r="J832" s="9" t="s">
        <v>120</v>
      </c>
    </row>
    <row r="833" spans="1:12" ht="23" customHeight="1">
      <c r="A833" s="9" t="s">
        <v>99</v>
      </c>
      <c r="B833" s="6">
        <v>5</v>
      </c>
      <c r="C833" s="9" t="s">
        <v>90</v>
      </c>
      <c r="D833" s="6">
        <v>137</v>
      </c>
      <c r="E833" s="9" t="s">
        <v>106</v>
      </c>
      <c r="F833" s="6">
        <v>1355</v>
      </c>
      <c r="G833" s="7">
        <v>1355</v>
      </c>
      <c r="H833" s="9">
        <f>(G833-F833)</f>
        <v>0.0</v>
      </c>
      <c r="I833" s="9" t="s">
        <v>119</v>
      </c>
      <c r="J833" s="9" t="s">
        <v>120</v>
      </c>
    </row>
    <row r="834" spans="1:12" ht="23" customHeight="1">
      <c r="A834" s="9" t="s">
        <v>99</v>
      </c>
      <c r="B834" s="6">
        <v>5</v>
      </c>
      <c r="C834" s="9" t="s">
        <v>90</v>
      </c>
      <c r="D834" s="6">
        <v>137</v>
      </c>
      <c r="E834" s="9" t="s">
        <v>95</v>
      </c>
      <c r="F834" s="6">
        <v>119433</v>
      </c>
      <c r="G834" s="7">
        <v>119433</v>
      </c>
      <c r="H834" s="9">
        <f>(G834-F834)</f>
        <v>0.0</v>
      </c>
      <c r="I834" s="9" t="s">
        <v>119</v>
      </c>
      <c r="J834" s="9" t="s">
        <v>120</v>
      </c>
    </row>
    <row r="835" spans="1:12" ht="23" customHeight="1">
      <c r="A835" s="9" t="s">
        <v>99</v>
      </c>
      <c r="B835" s="6">
        <v>5</v>
      </c>
      <c r="C835" s="9" t="s">
        <v>90</v>
      </c>
      <c r="D835" s="6">
        <v>137</v>
      </c>
      <c r="E835" s="9" t="s">
        <v>96</v>
      </c>
      <c r="F835" s="6">
        <v>119433</v>
      </c>
      <c r="G835" s="7">
        <v>119433</v>
      </c>
      <c r="H835" s="9">
        <f>(G835-F835)</f>
        <v>0.0</v>
      </c>
      <c r="I835" s="9" t="s">
        <v>119</v>
      </c>
      <c r="J835" s="9" t="s">
        <v>120</v>
      </c>
    </row>
    <row r="836" spans="1:12" ht="24" customHeight="1">
      <c r="A836" s="3" t="s">
        <v>107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36" customHeight="1">
      <c r="A837" s="4" t="s">
        <v>108</v>
      </c>
      <c r="B837" s="4" t="s">
        <v>8</v>
      </c>
      <c r="C837" s="4" t="s">
        <v>109</v>
      </c>
      <c r="D837" s="4" t="s">
        <v>110</v>
      </c>
      <c r="E837" s="4" t="s">
        <v>111</v>
      </c>
      <c r="F837" s="4" t="s">
        <v>112</v>
      </c>
      <c r="G837" s="4" t="s">
        <v>113</v>
      </c>
      <c r="H837" s="4" t="s">
        <v>114</v>
      </c>
      <c r="I837" s="4" t="s">
        <v>115</v>
      </c>
      <c r="J837" s="4" t="s">
        <v>116</v>
      </c>
    </row>
    <row r="838" spans="1:12" ht="23" customHeight="1">
      <c r="A838" s="9" t="s">
        <v>99</v>
      </c>
      <c r="B838" s="6">
        <v>5</v>
      </c>
      <c r="C838" s="9" t="s">
        <v>90</v>
      </c>
      <c r="D838" s="6">
        <v>137</v>
      </c>
      <c r="E838" s="9" t="s">
        <v>97</v>
      </c>
      <c r="F838" s="6">
        <v>119433</v>
      </c>
      <c r="G838" s="7">
        <v>119433</v>
      </c>
      <c r="H838" s="9">
        <f>(G838-F838)</f>
        <v>0.0</v>
      </c>
      <c r="I838" s="9" t="s">
        <v>119</v>
      </c>
      <c r="J838" s="9" t="s">
        <v>120</v>
      </c>
    </row>
    <row r="839" spans="1:12" ht="23" customHeight="1">
      <c r="A839" s="9" t="s">
        <v>99</v>
      </c>
      <c r="B839" s="6">
        <v>5</v>
      </c>
      <c r="C839" s="9" t="s">
        <v>90</v>
      </c>
      <c r="D839" s="6">
        <v>137</v>
      </c>
      <c r="E839" s="9" t="s">
        <v>98</v>
      </c>
      <c r="F839" s="6">
        <v>119433</v>
      </c>
      <c r="G839" s="7">
        <v>119433</v>
      </c>
      <c r="H839" s="9">
        <f>(G839-F839)</f>
        <v>0.0</v>
      </c>
      <c r="I839" s="9" t="s">
        <v>119</v>
      </c>
      <c r="J839" s="9" t="s">
        <v>120</v>
      </c>
    </row>
    <row r="840" spans="1:12" ht="23" customHeight="1">
      <c r="A840" s="9" t="s">
        <v>99</v>
      </c>
      <c r="B840" s="6">
        <v>5</v>
      </c>
      <c r="C840" s="9" t="s">
        <v>90</v>
      </c>
      <c r="D840" s="6">
        <v>138</v>
      </c>
      <c r="E840" s="9" t="s">
        <v>93</v>
      </c>
      <c r="F840" s="6">
        <v>69957</v>
      </c>
      <c r="G840" s="7">
        <v>69957</v>
      </c>
      <c r="H840" s="9">
        <f>(G840-F840)</f>
        <v>0.0</v>
      </c>
      <c r="I840" s="9" t="s">
        <v>119</v>
      </c>
      <c r="J840" s="9" t="s">
        <v>120</v>
      </c>
    </row>
    <row r="841" spans="1:12" ht="23" customHeight="1">
      <c r="A841" s="9" t="s">
        <v>99</v>
      </c>
      <c r="B841" s="6">
        <v>5</v>
      </c>
      <c r="C841" s="9" t="s">
        <v>90</v>
      </c>
      <c r="D841" s="6">
        <v>138</v>
      </c>
      <c r="E841" s="9" t="s">
        <v>103</v>
      </c>
      <c r="F841" s="11">
        <v>448.5</v>
      </c>
      <c r="G841" s="8">
        <v>448.5</v>
      </c>
      <c r="H841" s="9">
        <f>(G841-F841)</f>
        <v>0.0</v>
      </c>
      <c r="I841" s="9" t="s">
        <v>119</v>
      </c>
      <c r="J841" s="9" t="s">
        <v>120</v>
      </c>
    </row>
    <row r="842" spans="1:12" ht="23" customHeight="1">
      <c r="A842" s="9" t="s">
        <v>99</v>
      </c>
      <c r="B842" s="6">
        <v>5</v>
      </c>
      <c r="C842" s="9" t="s">
        <v>90</v>
      </c>
      <c r="D842" s="6">
        <v>138</v>
      </c>
      <c r="E842" s="9" t="s">
        <v>104</v>
      </c>
      <c r="F842" s="11">
        <v>448.5</v>
      </c>
      <c r="G842" s="8">
        <v>448.5</v>
      </c>
      <c r="H842" s="9">
        <f>(G842-F842)</f>
        <v>0.0</v>
      </c>
      <c r="I842" s="9" t="s">
        <v>119</v>
      </c>
      <c r="J842" s="9" t="s">
        <v>120</v>
      </c>
    </row>
    <row r="843" spans="1:12" ht="23" customHeight="1">
      <c r="A843" s="9" t="s">
        <v>99</v>
      </c>
      <c r="B843" s="6">
        <v>5</v>
      </c>
      <c r="C843" s="9" t="s">
        <v>90</v>
      </c>
      <c r="D843" s="6">
        <v>138</v>
      </c>
      <c r="E843" s="9" t="s">
        <v>94</v>
      </c>
      <c r="F843" s="6">
        <v>69957</v>
      </c>
      <c r="G843" s="7">
        <v>69957</v>
      </c>
      <c r="H843" s="9">
        <f>(G843-F843)</f>
        <v>0.0</v>
      </c>
      <c r="I843" s="9" t="s">
        <v>119</v>
      </c>
      <c r="J843" s="9" t="s">
        <v>120</v>
      </c>
    </row>
    <row r="844" spans="1:12" ht="23" customHeight="1">
      <c r="A844" s="9" t="s">
        <v>99</v>
      </c>
      <c r="B844" s="6">
        <v>5</v>
      </c>
      <c r="C844" s="9" t="s">
        <v>90</v>
      </c>
      <c r="D844" s="6">
        <v>138</v>
      </c>
      <c r="E844" s="9" t="s">
        <v>105</v>
      </c>
      <c r="F844" s="11">
        <v>448.5</v>
      </c>
      <c r="G844" s="8">
        <v>448.5</v>
      </c>
      <c r="H844" s="9">
        <f>(G844-F844)</f>
        <v>0.0</v>
      </c>
      <c r="I844" s="9" t="s">
        <v>119</v>
      </c>
      <c r="J844" s="9" t="s">
        <v>120</v>
      </c>
    </row>
    <row r="845" spans="1:12" ht="23" customHeight="1">
      <c r="A845" s="9" t="s">
        <v>99</v>
      </c>
      <c r="B845" s="6">
        <v>5</v>
      </c>
      <c r="C845" s="9" t="s">
        <v>90</v>
      </c>
      <c r="D845" s="6">
        <v>138</v>
      </c>
      <c r="E845" s="9" t="s">
        <v>106</v>
      </c>
      <c r="F845" s="11">
        <v>448.5</v>
      </c>
      <c r="G845" s="8">
        <v>448.5</v>
      </c>
      <c r="H845" s="9">
        <f>(G845-F845)</f>
        <v>0.0</v>
      </c>
      <c r="I845" s="9" t="s">
        <v>119</v>
      </c>
      <c r="J845" s="9" t="s">
        <v>120</v>
      </c>
    </row>
    <row r="846" spans="1:12" ht="23" customHeight="1">
      <c r="A846" s="9" t="s">
        <v>99</v>
      </c>
      <c r="B846" s="6">
        <v>5</v>
      </c>
      <c r="C846" s="9" t="s">
        <v>90</v>
      </c>
      <c r="D846" s="6">
        <v>138</v>
      </c>
      <c r="E846" s="9" t="s">
        <v>95</v>
      </c>
      <c r="F846" s="6">
        <v>69957</v>
      </c>
      <c r="G846" s="7">
        <v>69957</v>
      </c>
      <c r="H846" s="9">
        <f>(G846-F846)</f>
        <v>0.0</v>
      </c>
      <c r="I846" s="9" t="s">
        <v>119</v>
      </c>
      <c r="J846" s="9" t="s">
        <v>120</v>
      </c>
    </row>
    <row r="847" spans="1:12" ht="23" customHeight="1">
      <c r="A847" s="9" t="s">
        <v>99</v>
      </c>
      <c r="B847" s="6">
        <v>5</v>
      </c>
      <c r="C847" s="9" t="s">
        <v>90</v>
      </c>
      <c r="D847" s="6">
        <v>138</v>
      </c>
      <c r="E847" s="9" t="s">
        <v>96</v>
      </c>
      <c r="F847" s="6">
        <v>69957</v>
      </c>
      <c r="G847" s="7">
        <v>69957</v>
      </c>
      <c r="H847" s="9">
        <f>(G847-F847)</f>
        <v>0.0</v>
      </c>
      <c r="I847" s="9" t="s">
        <v>119</v>
      </c>
      <c r="J847" s="9" t="s">
        <v>120</v>
      </c>
    </row>
    <row r="848" spans="1:12" ht="23" customHeight="1">
      <c r="A848" s="9" t="s">
        <v>99</v>
      </c>
      <c r="B848" s="6">
        <v>5</v>
      </c>
      <c r="C848" s="9" t="s">
        <v>90</v>
      </c>
      <c r="D848" s="6">
        <v>138</v>
      </c>
      <c r="E848" s="9" t="s">
        <v>97</v>
      </c>
      <c r="F848" s="6">
        <v>69957</v>
      </c>
      <c r="G848" s="7">
        <v>69957</v>
      </c>
      <c r="H848" s="9">
        <f>(G848-F848)</f>
        <v>0.0</v>
      </c>
      <c r="I848" s="9" t="s">
        <v>119</v>
      </c>
      <c r="J848" s="9" t="s">
        <v>120</v>
      </c>
    </row>
    <row r="849" spans="1:12" ht="23" customHeight="1">
      <c r="A849" s="9" t="s">
        <v>99</v>
      </c>
      <c r="B849" s="6">
        <v>5</v>
      </c>
      <c r="C849" s="9" t="s">
        <v>90</v>
      </c>
      <c r="D849" s="6">
        <v>138</v>
      </c>
      <c r="E849" s="9" t="s">
        <v>98</v>
      </c>
      <c r="F849" s="6">
        <v>69957</v>
      </c>
      <c r="G849" s="7">
        <v>69957</v>
      </c>
      <c r="H849" s="9">
        <f>(G849-F849)</f>
        <v>0.0</v>
      </c>
      <c r="I849" s="9" t="s">
        <v>119</v>
      </c>
      <c r="J849" s="9" t="s">
        <v>120</v>
      </c>
    </row>
    <row r="850" spans="1:12" ht="23" customHeight="1">
      <c r="A850" s="9" t="s">
        <v>99</v>
      </c>
      <c r="B850" s="6">
        <v>5</v>
      </c>
      <c r="C850" s="9" t="s">
        <v>90</v>
      </c>
      <c r="D850" s="6">
        <v>139</v>
      </c>
      <c r="E850" s="9" t="s">
        <v>93</v>
      </c>
      <c r="F850" s="6">
        <v>69957</v>
      </c>
      <c r="G850" s="7">
        <v>69957</v>
      </c>
      <c r="H850" s="9">
        <f>(G850-F850)</f>
        <v>0.0</v>
      </c>
      <c r="I850" s="9" t="s">
        <v>119</v>
      </c>
      <c r="J850" s="9" t="s">
        <v>120</v>
      </c>
    </row>
    <row r="851" spans="1:12" ht="23" customHeight="1">
      <c r="A851" s="9" t="s">
        <v>99</v>
      </c>
      <c r="B851" s="6">
        <v>5</v>
      </c>
      <c r="C851" s="9" t="s">
        <v>90</v>
      </c>
      <c r="D851" s="6">
        <v>139</v>
      </c>
      <c r="E851" s="9" t="s">
        <v>103</v>
      </c>
      <c r="F851" s="11">
        <v>448.5</v>
      </c>
      <c r="G851" s="8">
        <v>448.5</v>
      </c>
      <c r="H851" s="9">
        <f>(G851-F851)</f>
        <v>0.0</v>
      </c>
      <c r="I851" s="9" t="s">
        <v>119</v>
      </c>
      <c r="J851" s="9" t="s">
        <v>120</v>
      </c>
    </row>
    <row r="852" spans="1:12" ht="23" customHeight="1">
      <c r="A852" s="9" t="s">
        <v>99</v>
      </c>
      <c r="B852" s="6">
        <v>5</v>
      </c>
      <c r="C852" s="9" t="s">
        <v>90</v>
      </c>
      <c r="D852" s="6">
        <v>139</v>
      </c>
      <c r="E852" s="9" t="s">
        <v>104</v>
      </c>
      <c r="F852" s="11">
        <v>448.5</v>
      </c>
      <c r="G852" s="8">
        <v>448.5</v>
      </c>
      <c r="H852" s="9">
        <f>(G852-F852)</f>
        <v>0.0</v>
      </c>
      <c r="I852" s="9" t="s">
        <v>119</v>
      </c>
      <c r="J852" s="9" t="s">
        <v>120</v>
      </c>
    </row>
    <row r="853" spans="1:12" ht="24" customHeight="1">
      <c r="A853" s="3" t="s">
        <v>107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36" customHeight="1">
      <c r="A854" s="4" t="s">
        <v>108</v>
      </c>
      <c r="B854" s="4" t="s">
        <v>8</v>
      </c>
      <c r="C854" s="4" t="s">
        <v>109</v>
      </c>
      <c r="D854" s="4" t="s">
        <v>110</v>
      </c>
      <c r="E854" s="4" t="s">
        <v>111</v>
      </c>
      <c r="F854" s="4" t="s">
        <v>112</v>
      </c>
      <c r="G854" s="4" t="s">
        <v>113</v>
      </c>
      <c r="H854" s="4" t="s">
        <v>114</v>
      </c>
      <c r="I854" s="4" t="s">
        <v>115</v>
      </c>
      <c r="J854" s="4" t="s">
        <v>116</v>
      </c>
    </row>
    <row r="855" spans="1:12" ht="23" customHeight="1">
      <c r="A855" s="9" t="s">
        <v>99</v>
      </c>
      <c r="B855" s="6">
        <v>5</v>
      </c>
      <c r="C855" s="9" t="s">
        <v>90</v>
      </c>
      <c r="D855" s="6">
        <v>139</v>
      </c>
      <c r="E855" s="9" t="s">
        <v>94</v>
      </c>
      <c r="F855" s="6">
        <v>69957</v>
      </c>
      <c r="G855" s="7">
        <v>69957</v>
      </c>
      <c r="H855" s="9">
        <f>(G855-F855)</f>
        <v>0.0</v>
      </c>
      <c r="I855" s="9" t="s">
        <v>119</v>
      </c>
      <c r="J855" s="9" t="s">
        <v>120</v>
      </c>
    </row>
    <row r="856" spans="1:12" ht="23" customHeight="1">
      <c r="A856" s="9" t="s">
        <v>99</v>
      </c>
      <c r="B856" s="6">
        <v>5</v>
      </c>
      <c r="C856" s="9" t="s">
        <v>90</v>
      </c>
      <c r="D856" s="6">
        <v>139</v>
      </c>
      <c r="E856" s="9" t="s">
        <v>105</v>
      </c>
      <c r="F856" s="11">
        <v>448.5</v>
      </c>
      <c r="G856" s="8">
        <v>448.5</v>
      </c>
      <c r="H856" s="9">
        <f>(G856-F856)</f>
        <v>0.0</v>
      </c>
      <c r="I856" s="9" t="s">
        <v>119</v>
      </c>
      <c r="J856" s="9" t="s">
        <v>120</v>
      </c>
    </row>
    <row r="857" spans="1:12" ht="23" customHeight="1">
      <c r="A857" s="9" t="s">
        <v>99</v>
      </c>
      <c r="B857" s="6">
        <v>5</v>
      </c>
      <c r="C857" s="9" t="s">
        <v>90</v>
      </c>
      <c r="D857" s="6">
        <v>139</v>
      </c>
      <c r="E857" s="9" t="s">
        <v>106</v>
      </c>
      <c r="F857" s="11">
        <v>448.5</v>
      </c>
      <c r="G857" s="8">
        <v>448.5</v>
      </c>
      <c r="H857" s="9">
        <f>(G857-F857)</f>
        <v>0.0</v>
      </c>
      <c r="I857" s="9" t="s">
        <v>119</v>
      </c>
      <c r="J857" s="9" t="s">
        <v>120</v>
      </c>
    </row>
    <row r="858" spans="1:12" ht="23" customHeight="1">
      <c r="A858" s="9" t="s">
        <v>99</v>
      </c>
      <c r="B858" s="6">
        <v>5</v>
      </c>
      <c r="C858" s="9" t="s">
        <v>90</v>
      </c>
      <c r="D858" s="6">
        <v>139</v>
      </c>
      <c r="E858" s="9" t="s">
        <v>95</v>
      </c>
      <c r="F858" s="6">
        <v>69957</v>
      </c>
      <c r="G858" s="7">
        <v>69957</v>
      </c>
      <c r="H858" s="9">
        <f>(G858-F858)</f>
        <v>0.0</v>
      </c>
      <c r="I858" s="9" t="s">
        <v>119</v>
      </c>
      <c r="J858" s="9" t="s">
        <v>120</v>
      </c>
    </row>
    <row r="859" spans="1:12" ht="23" customHeight="1">
      <c r="A859" s="9" t="s">
        <v>99</v>
      </c>
      <c r="B859" s="6">
        <v>5</v>
      </c>
      <c r="C859" s="9" t="s">
        <v>90</v>
      </c>
      <c r="D859" s="6">
        <v>139</v>
      </c>
      <c r="E859" s="9" t="s">
        <v>96</v>
      </c>
      <c r="F859" s="6">
        <v>69957</v>
      </c>
      <c r="G859" s="7">
        <v>69957</v>
      </c>
      <c r="H859" s="9">
        <f>(G859-F859)</f>
        <v>0.0</v>
      </c>
      <c r="I859" s="9" t="s">
        <v>119</v>
      </c>
      <c r="J859" s="9" t="s">
        <v>120</v>
      </c>
    </row>
    <row r="860" spans="1:12" ht="23" customHeight="1">
      <c r="A860" s="9" t="s">
        <v>99</v>
      </c>
      <c r="B860" s="6">
        <v>5</v>
      </c>
      <c r="C860" s="9" t="s">
        <v>90</v>
      </c>
      <c r="D860" s="6">
        <v>139</v>
      </c>
      <c r="E860" s="9" t="s">
        <v>97</v>
      </c>
      <c r="F860" s="6">
        <v>69957</v>
      </c>
      <c r="G860" s="7">
        <v>69957</v>
      </c>
      <c r="H860" s="9">
        <f>(G860-F860)</f>
        <v>0.0</v>
      </c>
      <c r="I860" s="9" t="s">
        <v>119</v>
      </c>
      <c r="J860" s="9" t="s">
        <v>120</v>
      </c>
    </row>
    <row r="861" spans="1:12" ht="23" customHeight="1">
      <c r="A861" s="9" t="s">
        <v>99</v>
      </c>
      <c r="B861" s="6">
        <v>5</v>
      </c>
      <c r="C861" s="9" t="s">
        <v>90</v>
      </c>
      <c r="D861" s="6">
        <v>139</v>
      </c>
      <c r="E861" s="9" t="s">
        <v>98</v>
      </c>
      <c r="F861" s="6">
        <v>69957</v>
      </c>
      <c r="G861" s="7">
        <v>69957</v>
      </c>
      <c r="H861" s="9">
        <f>(G861-F861)</f>
        <v>0.0</v>
      </c>
      <c r="I861" s="9" t="s">
        <v>119</v>
      </c>
      <c r="J861" s="9" t="s">
        <v>120</v>
      </c>
    </row>
    <row r="862" spans="1:12" ht="23" customHeight="1">
      <c r="A862" s="9" t="s">
        <v>99</v>
      </c>
      <c r="B862" s="6">
        <v>5</v>
      </c>
      <c r="C862" s="9" t="s">
        <v>90</v>
      </c>
      <c r="D862" s="6">
        <v>140</v>
      </c>
      <c r="E862" s="9" t="s">
        <v>93</v>
      </c>
      <c r="F862" s="6">
        <v>69957</v>
      </c>
      <c r="G862" s="7">
        <v>69957</v>
      </c>
      <c r="H862" s="9">
        <f>(G862-F862)</f>
        <v>0.0</v>
      </c>
      <c r="I862" s="9" t="s">
        <v>119</v>
      </c>
      <c r="J862" s="9" t="s">
        <v>120</v>
      </c>
    </row>
    <row r="863" spans="1:12" ht="23" customHeight="1">
      <c r="A863" s="9" t="s">
        <v>99</v>
      </c>
      <c r="B863" s="6">
        <v>5</v>
      </c>
      <c r="C863" s="9" t="s">
        <v>90</v>
      </c>
      <c r="D863" s="6">
        <v>140</v>
      </c>
      <c r="E863" s="9" t="s">
        <v>103</v>
      </c>
      <c r="F863" s="11">
        <v>448.5</v>
      </c>
      <c r="G863" s="8">
        <v>448.5</v>
      </c>
      <c r="H863" s="9">
        <f>(G863-F863)</f>
        <v>0.0</v>
      </c>
      <c r="I863" s="9" t="s">
        <v>119</v>
      </c>
      <c r="J863" s="9" t="s">
        <v>120</v>
      </c>
    </row>
    <row r="864" spans="1:12" ht="23" customHeight="1">
      <c r="A864" s="9" t="s">
        <v>99</v>
      </c>
      <c r="B864" s="6">
        <v>5</v>
      </c>
      <c r="C864" s="9" t="s">
        <v>90</v>
      </c>
      <c r="D864" s="6">
        <v>140</v>
      </c>
      <c r="E864" s="9" t="s">
        <v>104</v>
      </c>
      <c r="F864" s="11">
        <v>448.5</v>
      </c>
      <c r="G864" s="8">
        <v>448.5</v>
      </c>
      <c r="H864" s="9">
        <f>(G864-F864)</f>
        <v>0.0</v>
      </c>
      <c r="I864" s="9" t="s">
        <v>119</v>
      </c>
      <c r="J864" s="9" t="s">
        <v>120</v>
      </c>
    </row>
    <row r="865" spans="1:12" ht="23" customHeight="1">
      <c r="A865" s="9" t="s">
        <v>99</v>
      </c>
      <c r="B865" s="6">
        <v>5</v>
      </c>
      <c r="C865" s="9" t="s">
        <v>90</v>
      </c>
      <c r="D865" s="6">
        <v>140</v>
      </c>
      <c r="E865" s="9" t="s">
        <v>94</v>
      </c>
      <c r="F865" s="6">
        <v>69957</v>
      </c>
      <c r="G865" s="7">
        <v>69957</v>
      </c>
      <c r="H865" s="9">
        <f>(G865-F865)</f>
        <v>0.0</v>
      </c>
      <c r="I865" s="9" t="s">
        <v>119</v>
      </c>
      <c r="J865" s="9" t="s">
        <v>120</v>
      </c>
    </row>
    <row r="866" spans="1:12" ht="23" customHeight="1">
      <c r="A866" s="9" t="s">
        <v>99</v>
      </c>
      <c r="B866" s="6">
        <v>5</v>
      </c>
      <c r="C866" s="9" t="s">
        <v>90</v>
      </c>
      <c r="D866" s="6">
        <v>140</v>
      </c>
      <c r="E866" s="9" t="s">
        <v>105</v>
      </c>
      <c r="F866" s="11">
        <v>448.5</v>
      </c>
      <c r="G866" s="8">
        <v>448.5</v>
      </c>
      <c r="H866" s="9">
        <f>(G866-F866)</f>
        <v>0.0</v>
      </c>
      <c r="I866" s="9" t="s">
        <v>119</v>
      </c>
      <c r="J866" s="9" t="s">
        <v>120</v>
      </c>
    </row>
    <row r="867" spans="1:12" ht="23" customHeight="1">
      <c r="A867" s="9" t="s">
        <v>99</v>
      </c>
      <c r="B867" s="6">
        <v>5</v>
      </c>
      <c r="C867" s="9" t="s">
        <v>90</v>
      </c>
      <c r="D867" s="6">
        <v>140</v>
      </c>
      <c r="E867" s="9" t="s">
        <v>106</v>
      </c>
      <c r="F867" s="11">
        <v>448.5</v>
      </c>
      <c r="G867" s="8">
        <v>448.5</v>
      </c>
      <c r="H867" s="9">
        <f>(G867-F867)</f>
        <v>0.0</v>
      </c>
      <c r="I867" s="9" t="s">
        <v>119</v>
      </c>
      <c r="J867" s="9" t="s">
        <v>120</v>
      </c>
    </row>
    <row r="868" spans="1:12" ht="23" customHeight="1">
      <c r="A868" s="9" t="s">
        <v>99</v>
      </c>
      <c r="B868" s="6">
        <v>5</v>
      </c>
      <c r="C868" s="9" t="s">
        <v>90</v>
      </c>
      <c r="D868" s="6">
        <v>140</v>
      </c>
      <c r="E868" s="9" t="s">
        <v>95</v>
      </c>
      <c r="F868" s="6">
        <v>69957</v>
      </c>
      <c r="G868" s="7">
        <v>69957</v>
      </c>
      <c r="H868" s="9">
        <f>(G868-F868)</f>
        <v>0.0</v>
      </c>
      <c r="I868" s="9" t="s">
        <v>119</v>
      </c>
      <c r="J868" s="9" t="s">
        <v>120</v>
      </c>
    </row>
    <row r="869" spans="1:12" ht="23" customHeight="1">
      <c r="A869" s="9" t="s">
        <v>99</v>
      </c>
      <c r="B869" s="6">
        <v>5</v>
      </c>
      <c r="C869" s="9" t="s">
        <v>90</v>
      </c>
      <c r="D869" s="6">
        <v>140</v>
      </c>
      <c r="E869" s="9" t="s">
        <v>96</v>
      </c>
      <c r="F869" s="6">
        <v>69957</v>
      </c>
      <c r="G869" s="7">
        <v>69957</v>
      </c>
      <c r="H869" s="9">
        <f>(G869-F869)</f>
        <v>0.0</v>
      </c>
      <c r="I869" s="9" t="s">
        <v>119</v>
      </c>
      <c r="J869" s="9" t="s">
        <v>120</v>
      </c>
    </row>
    <row r="870" spans="1:12" ht="24" customHeight="1">
      <c r="A870" s="3" t="s">
        <v>107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36" customHeight="1">
      <c r="A871" s="4" t="s">
        <v>108</v>
      </c>
      <c r="B871" s="4" t="s">
        <v>8</v>
      </c>
      <c r="C871" s="4" t="s">
        <v>109</v>
      </c>
      <c r="D871" s="4" t="s">
        <v>110</v>
      </c>
      <c r="E871" s="4" t="s">
        <v>111</v>
      </c>
      <c r="F871" s="4" t="s">
        <v>112</v>
      </c>
      <c r="G871" s="4" t="s">
        <v>113</v>
      </c>
      <c r="H871" s="4" t="s">
        <v>114</v>
      </c>
      <c r="I871" s="4" t="s">
        <v>115</v>
      </c>
      <c r="J871" s="4" t="s">
        <v>116</v>
      </c>
    </row>
    <row r="872" spans="1:12" ht="23" customHeight="1">
      <c r="A872" s="9" t="s">
        <v>99</v>
      </c>
      <c r="B872" s="6">
        <v>5</v>
      </c>
      <c r="C872" s="9" t="s">
        <v>90</v>
      </c>
      <c r="D872" s="6">
        <v>140</v>
      </c>
      <c r="E872" s="9" t="s">
        <v>97</v>
      </c>
      <c r="F872" s="6">
        <v>69957</v>
      </c>
      <c r="G872" s="7">
        <v>69957</v>
      </c>
      <c r="H872" s="9">
        <f>(G872-F872)</f>
        <v>0.0</v>
      </c>
      <c r="I872" s="9" t="s">
        <v>119</v>
      </c>
      <c r="J872" s="9" t="s">
        <v>120</v>
      </c>
    </row>
    <row r="873" spans="1:12" ht="23" customHeight="1">
      <c r="A873" s="9" t="s">
        <v>99</v>
      </c>
      <c r="B873" s="6">
        <v>5</v>
      </c>
      <c r="C873" s="9" t="s">
        <v>90</v>
      </c>
      <c r="D873" s="6">
        <v>140</v>
      </c>
      <c r="E873" s="9" t="s">
        <v>98</v>
      </c>
      <c r="F873" s="6">
        <v>69957</v>
      </c>
      <c r="G873" s="7">
        <v>69957</v>
      </c>
      <c r="H873" s="9">
        <f>(G873-F873)</f>
        <v>0.0</v>
      </c>
      <c r="I873" s="9" t="s">
        <v>119</v>
      </c>
      <c r="J873" s="9" t="s">
        <v>120</v>
      </c>
    </row>
    <row r="874" spans="1:12" ht="23" customHeight="1">
      <c r="A874" s="9" t="s">
        <v>99</v>
      </c>
      <c r="B874" s="6">
        <v>5</v>
      </c>
      <c r="C874" s="9" t="s">
        <v>90</v>
      </c>
      <c r="D874" s="6">
        <v>141</v>
      </c>
      <c r="E874" s="9" t="s">
        <v>93</v>
      </c>
      <c r="F874" s="6">
        <v>69957</v>
      </c>
      <c r="G874" s="7">
        <v>69957</v>
      </c>
      <c r="H874" s="9">
        <f>(G874-F874)</f>
        <v>0.0</v>
      </c>
      <c r="I874" s="9" t="s">
        <v>119</v>
      </c>
      <c r="J874" s="9" t="s">
        <v>120</v>
      </c>
    </row>
    <row r="875" spans="1:12" ht="23" customHeight="1">
      <c r="A875" s="9" t="s">
        <v>99</v>
      </c>
      <c r="B875" s="6">
        <v>5</v>
      </c>
      <c r="C875" s="9" t="s">
        <v>90</v>
      </c>
      <c r="D875" s="6">
        <v>141</v>
      </c>
      <c r="E875" s="9" t="s">
        <v>103</v>
      </c>
      <c r="F875" s="11">
        <v>448.5</v>
      </c>
      <c r="G875" s="8">
        <v>448.5</v>
      </c>
      <c r="H875" s="9">
        <f>(G875-F875)</f>
        <v>0.0</v>
      </c>
      <c r="I875" s="9" t="s">
        <v>119</v>
      </c>
      <c r="J875" s="9" t="s">
        <v>120</v>
      </c>
    </row>
    <row r="876" spans="1:12" ht="23" customHeight="1">
      <c r="A876" s="9" t="s">
        <v>99</v>
      </c>
      <c r="B876" s="6">
        <v>5</v>
      </c>
      <c r="C876" s="9" t="s">
        <v>90</v>
      </c>
      <c r="D876" s="6">
        <v>141</v>
      </c>
      <c r="E876" s="9" t="s">
        <v>104</v>
      </c>
      <c r="F876" s="11">
        <v>448.5</v>
      </c>
      <c r="G876" s="8">
        <v>448.5</v>
      </c>
      <c r="H876" s="9">
        <f>(G876-F876)</f>
        <v>0.0</v>
      </c>
      <c r="I876" s="9" t="s">
        <v>119</v>
      </c>
      <c r="J876" s="9" t="s">
        <v>120</v>
      </c>
    </row>
    <row r="877" spans="1:12" ht="23" customHeight="1">
      <c r="A877" s="9" t="s">
        <v>99</v>
      </c>
      <c r="B877" s="6">
        <v>5</v>
      </c>
      <c r="C877" s="9" t="s">
        <v>90</v>
      </c>
      <c r="D877" s="6">
        <v>141</v>
      </c>
      <c r="E877" s="9" t="s">
        <v>94</v>
      </c>
      <c r="F877" s="6">
        <v>69957</v>
      </c>
      <c r="G877" s="7">
        <v>69957</v>
      </c>
      <c r="H877" s="9">
        <f>(G877-F877)</f>
        <v>0.0</v>
      </c>
      <c r="I877" s="9" t="s">
        <v>119</v>
      </c>
      <c r="J877" s="9" t="s">
        <v>120</v>
      </c>
    </row>
    <row r="878" spans="1:12" ht="23" customHeight="1">
      <c r="A878" s="9" t="s">
        <v>99</v>
      </c>
      <c r="B878" s="6">
        <v>5</v>
      </c>
      <c r="C878" s="9" t="s">
        <v>90</v>
      </c>
      <c r="D878" s="6">
        <v>141</v>
      </c>
      <c r="E878" s="9" t="s">
        <v>105</v>
      </c>
      <c r="F878" s="11">
        <v>448.5</v>
      </c>
      <c r="G878" s="8">
        <v>448.5</v>
      </c>
      <c r="H878" s="9">
        <f>(G878-F878)</f>
        <v>0.0</v>
      </c>
      <c r="I878" s="9" t="s">
        <v>119</v>
      </c>
      <c r="J878" s="9" t="s">
        <v>120</v>
      </c>
    </row>
    <row r="879" spans="1:12" ht="23" customHeight="1">
      <c r="A879" s="9" t="s">
        <v>99</v>
      </c>
      <c r="B879" s="6">
        <v>5</v>
      </c>
      <c r="C879" s="9" t="s">
        <v>90</v>
      </c>
      <c r="D879" s="6">
        <v>141</v>
      </c>
      <c r="E879" s="9" t="s">
        <v>106</v>
      </c>
      <c r="F879" s="11">
        <v>448.5</v>
      </c>
      <c r="G879" s="8">
        <v>448.5</v>
      </c>
      <c r="H879" s="9">
        <f>(G879-F879)</f>
        <v>0.0</v>
      </c>
      <c r="I879" s="9" t="s">
        <v>119</v>
      </c>
      <c r="J879" s="9" t="s">
        <v>120</v>
      </c>
    </row>
    <row r="880" spans="1:12" ht="23" customHeight="1">
      <c r="A880" s="9" t="s">
        <v>99</v>
      </c>
      <c r="B880" s="6">
        <v>5</v>
      </c>
      <c r="C880" s="9" t="s">
        <v>90</v>
      </c>
      <c r="D880" s="6">
        <v>141</v>
      </c>
      <c r="E880" s="9" t="s">
        <v>95</v>
      </c>
      <c r="F880" s="6">
        <v>69957</v>
      </c>
      <c r="G880" s="7">
        <v>69957</v>
      </c>
      <c r="H880" s="9">
        <f>(G880-F880)</f>
        <v>0.0</v>
      </c>
      <c r="I880" s="9" t="s">
        <v>119</v>
      </c>
      <c r="J880" s="9" t="s">
        <v>120</v>
      </c>
    </row>
    <row r="881" spans="1:12" ht="23" customHeight="1">
      <c r="A881" s="9" t="s">
        <v>99</v>
      </c>
      <c r="B881" s="6">
        <v>5</v>
      </c>
      <c r="C881" s="9" t="s">
        <v>90</v>
      </c>
      <c r="D881" s="6">
        <v>141</v>
      </c>
      <c r="E881" s="9" t="s">
        <v>96</v>
      </c>
      <c r="F881" s="6">
        <v>69957</v>
      </c>
      <c r="G881" s="7">
        <v>69957</v>
      </c>
      <c r="H881" s="9">
        <f>(G881-F881)</f>
        <v>0.0</v>
      </c>
      <c r="I881" s="9" t="s">
        <v>119</v>
      </c>
      <c r="J881" s="9" t="s">
        <v>120</v>
      </c>
    </row>
    <row r="882" spans="1:12" ht="23" customHeight="1">
      <c r="A882" s="9" t="s">
        <v>99</v>
      </c>
      <c r="B882" s="6">
        <v>5</v>
      </c>
      <c r="C882" s="9" t="s">
        <v>90</v>
      </c>
      <c r="D882" s="6">
        <v>141</v>
      </c>
      <c r="E882" s="9" t="s">
        <v>97</v>
      </c>
      <c r="F882" s="6">
        <v>69957</v>
      </c>
      <c r="G882" s="7">
        <v>69957</v>
      </c>
      <c r="H882" s="9">
        <f>(G882-F882)</f>
        <v>0.0</v>
      </c>
      <c r="I882" s="9" t="s">
        <v>119</v>
      </c>
      <c r="J882" s="9" t="s">
        <v>120</v>
      </c>
    </row>
    <row r="883" spans="1:12" ht="23" customHeight="1">
      <c r="A883" s="9" t="s">
        <v>99</v>
      </c>
      <c r="B883" s="6">
        <v>5</v>
      </c>
      <c r="C883" s="9" t="s">
        <v>90</v>
      </c>
      <c r="D883" s="6">
        <v>141</v>
      </c>
      <c r="E883" s="9" t="s">
        <v>98</v>
      </c>
      <c r="F883" s="6">
        <v>69957</v>
      </c>
      <c r="G883" s="7">
        <v>69957</v>
      </c>
      <c r="H883" s="9">
        <f>(G883-F883)</f>
        <v>0.0</v>
      </c>
      <c r="I883" s="9" t="s">
        <v>119</v>
      </c>
      <c r="J883" s="9" t="s">
        <v>120</v>
      </c>
    </row>
    <row r="884" spans="1:12" ht="23" customHeight="1">
      <c r="A884" s="9" t="s">
        <v>99</v>
      </c>
      <c r="B884" s="6">
        <v>5</v>
      </c>
      <c r="C884" s="9" t="s">
        <v>90</v>
      </c>
      <c r="D884" s="6">
        <v>142</v>
      </c>
      <c r="E884" s="9" t="s">
        <v>93</v>
      </c>
      <c r="F884" s="6">
        <v>69957</v>
      </c>
      <c r="G884" s="7">
        <v>69957</v>
      </c>
      <c r="H884" s="9">
        <f>(G884-F884)</f>
        <v>0.0</v>
      </c>
      <c r="I884" s="9" t="s">
        <v>119</v>
      </c>
      <c r="J884" s="9" t="s">
        <v>120</v>
      </c>
    </row>
    <row r="885" spans="1:12" ht="23" customHeight="1">
      <c r="A885" s="9" t="s">
        <v>99</v>
      </c>
      <c r="B885" s="6">
        <v>5</v>
      </c>
      <c r="C885" s="9" t="s">
        <v>90</v>
      </c>
      <c r="D885" s="6">
        <v>142</v>
      </c>
      <c r="E885" s="9" t="s">
        <v>103</v>
      </c>
      <c r="F885" s="11">
        <v>448.5</v>
      </c>
      <c r="G885" s="8">
        <v>448.5</v>
      </c>
      <c r="H885" s="9">
        <f>(G885-F885)</f>
        <v>0.0</v>
      </c>
      <c r="I885" s="9" t="s">
        <v>119</v>
      </c>
      <c r="J885" s="9" t="s">
        <v>120</v>
      </c>
    </row>
    <row r="886" spans="1:12" ht="23" customHeight="1">
      <c r="A886" s="9" t="s">
        <v>99</v>
      </c>
      <c r="B886" s="6">
        <v>5</v>
      </c>
      <c r="C886" s="9" t="s">
        <v>90</v>
      </c>
      <c r="D886" s="6">
        <v>142</v>
      </c>
      <c r="E886" s="9" t="s">
        <v>104</v>
      </c>
      <c r="F886" s="11">
        <v>448.5</v>
      </c>
      <c r="G886" s="8">
        <v>448.5</v>
      </c>
      <c r="H886" s="9">
        <f>(G886-F886)</f>
        <v>0.0</v>
      </c>
      <c r="I886" s="9" t="s">
        <v>119</v>
      </c>
      <c r="J886" s="9" t="s">
        <v>120</v>
      </c>
    </row>
    <row r="887" spans="1:12" ht="24" customHeight="1">
      <c r="A887" s="3" t="s">
        <v>107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36" customHeight="1">
      <c r="A888" s="4" t="s">
        <v>108</v>
      </c>
      <c r="B888" s="4" t="s">
        <v>8</v>
      </c>
      <c r="C888" s="4" t="s">
        <v>109</v>
      </c>
      <c r="D888" s="4" t="s">
        <v>110</v>
      </c>
      <c r="E888" s="4" t="s">
        <v>111</v>
      </c>
      <c r="F888" s="4" t="s">
        <v>112</v>
      </c>
      <c r="G888" s="4" t="s">
        <v>113</v>
      </c>
      <c r="H888" s="4" t="s">
        <v>114</v>
      </c>
      <c r="I888" s="4" t="s">
        <v>115</v>
      </c>
      <c r="J888" s="4" t="s">
        <v>116</v>
      </c>
    </row>
    <row r="889" spans="1:12" ht="23" customHeight="1">
      <c r="A889" s="9" t="s">
        <v>99</v>
      </c>
      <c r="B889" s="6">
        <v>5</v>
      </c>
      <c r="C889" s="9" t="s">
        <v>90</v>
      </c>
      <c r="D889" s="6">
        <v>142</v>
      </c>
      <c r="E889" s="9" t="s">
        <v>94</v>
      </c>
      <c r="F889" s="6">
        <v>69957</v>
      </c>
      <c r="G889" s="7">
        <v>69957</v>
      </c>
      <c r="H889" s="9">
        <f>(G889-F889)</f>
        <v>0.0</v>
      </c>
      <c r="I889" s="9" t="s">
        <v>119</v>
      </c>
      <c r="J889" s="9" t="s">
        <v>120</v>
      </c>
    </row>
    <row r="890" spans="1:12" ht="23" customHeight="1">
      <c r="A890" s="9" t="s">
        <v>99</v>
      </c>
      <c r="B890" s="6">
        <v>5</v>
      </c>
      <c r="C890" s="9" t="s">
        <v>90</v>
      </c>
      <c r="D890" s="6">
        <v>142</v>
      </c>
      <c r="E890" s="9" t="s">
        <v>105</v>
      </c>
      <c r="F890" s="11">
        <v>448.5</v>
      </c>
      <c r="G890" s="8">
        <v>448.5</v>
      </c>
      <c r="H890" s="9">
        <f>(G890-F890)</f>
        <v>0.0</v>
      </c>
      <c r="I890" s="9" t="s">
        <v>119</v>
      </c>
      <c r="J890" s="9" t="s">
        <v>120</v>
      </c>
    </row>
    <row r="891" spans="1:12" ht="23" customHeight="1">
      <c r="A891" s="9" t="s">
        <v>99</v>
      </c>
      <c r="B891" s="6">
        <v>5</v>
      </c>
      <c r="C891" s="9" t="s">
        <v>90</v>
      </c>
      <c r="D891" s="6">
        <v>142</v>
      </c>
      <c r="E891" s="9" t="s">
        <v>106</v>
      </c>
      <c r="F891" s="11">
        <v>448.5</v>
      </c>
      <c r="G891" s="8">
        <v>448.5</v>
      </c>
      <c r="H891" s="9">
        <f>(G891-F891)</f>
        <v>0.0</v>
      </c>
      <c r="I891" s="9" t="s">
        <v>119</v>
      </c>
      <c r="J891" s="9" t="s">
        <v>120</v>
      </c>
    </row>
    <row r="892" spans="1:12" ht="23" customHeight="1">
      <c r="A892" s="9" t="s">
        <v>99</v>
      </c>
      <c r="B892" s="6">
        <v>5</v>
      </c>
      <c r="C892" s="9" t="s">
        <v>90</v>
      </c>
      <c r="D892" s="6">
        <v>142</v>
      </c>
      <c r="E892" s="9" t="s">
        <v>95</v>
      </c>
      <c r="F892" s="6">
        <v>69957</v>
      </c>
      <c r="G892" s="7">
        <v>69957</v>
      </c>
      <c r="H892" s="9">
        <f>(G892-F892)</f>
        <v>0.0</v>
      </c>
      <c r="I892" s="9" t="s">
        <v>119</v>
      </c>
      <c r="J892" s="9" t="s">
        <v>120</v>
      </c>
    </row>
    <row r="893" spans="1:12" ht="23" customHeight="1">
      <c r="A893" s="9" t="s">
        <v>99</v>
      </c>
      <c r="B893" s="6">
        <v>5</v>
      </c>
      <c r="C893" s="9" t="s">
        <v>90</v>
      </c>
      <c r="D893" s="6">
        <v>142</v>
      </c>
      <c r="E893" s="9" t="s">
        <v>96</v>
      </c>
      <c r="F893" s="6">
        <v>69957</v>
      </c>
      <c r="G893" s="7">
        <v>69957</v>
      </c>
      <c r="H893" s="9">
        <f>(G893-F893)</f>
        <v>0.0</v>
      </c>
      <c r="I893" s="9" t="s">
        <v>119</v>
      </c>
      <c r="J893" s="9" t="s">
        <v>120</v>
      </c>
    </row>
    <row r="894" spans="1:12" ht="23" customHeight="1">
      <c r="A894" s="9" t="s">
        <v>99</v>
      </c>
      <c r="B894" s="6">
        <v>5</v>
      </c>
      <c r="C894" s="9" t="s">
        <v>90</v>
      </c>
      <c r="D894" s="6">
        <v>142</v>
      </c>
      <c r="E894" s="9" t="s">
        <v>97</v>
      </c>
      <c r="F894" s="6">
        <v>69957</v>
      </c>
      <c r="G894" s="7">
        <v>69957</v>
      </c>
      <c r="H894" s="9">
        <f>(G894-F894)</f>
        <v>0.0</v>
      </c>
      <c r="I894" s="9" t="s">
        <v>119</v>
      </c>
      <c r="J894" s="9" t="s">
        <v>120</v>
      </c>
    </row>
    <row r="895" spans="1:12" ht="23" customHeight="1">
      <c r="A895" s="9" t="s">
        <v>99</v>
      </c>
      <c r="B895" s="6">
        <v>5</v>
      </c>
      <c r="C895" s="9" t="s">
        <v>90</v>
      </c>
      <c r="D895" s="6">
        <v>142</v>
      </c>
      <c r="E895" s="9" t="s">
        <v>98</v>
      </c>
      <c r="F895" s="6">
        <v>69957</v>
      </c>
      <c r="G895" s="7">
        <v>69957</v>
      </c>
      <c r="H895" s="9">
        <f>(G895-F895)</f>
        <v>0.0</v>
      </c>
      <c r="I895" s="9" t="s">
        <v>119</v>
      </c>
      <c r="J895" s="9" t="s">
        <v>120</v>
      </c>
    </row>
    <row r="896" spans="1:12" ht="23" customHeight="1">
      <c r="A896" s="9" t="s">
        <v>99</v>
      </c>
      <c r="B896" s="6">
        <v>5</v>
      </c>
      <c r="C896" s="9" t="s">
        <v>90</v>
      </c>
      <c r="D896" s="6">
        <v>143</v>
      </c>
      <c r="E896" s="9" t="s">
        <v>93</v>
      </c>
      <c r="F896" s="6">
        <v>69957</v>
      </c>
      <c r="G896" s="7">
        <v>69957</v>
      </c>
      <c r="H896" s="9">
        <f>(G896-F896)</f>
        <v>0.0</v>
      </c>
      <c r="I896" s="9" t="s">
        <v>119</v>
      </c>
      <c r="J896" s="9" t="s">
        <v>120</v>
      </c>
    </row>
    <row r="897" spans="1:12" ht="23" customHeight="1">
      <c r="A897" s="9" t="s">
        <v>99</v>
      </c>
      <c r="B897" s="6">
        <v>5</v>
      </c>
      <c r="C897" s="9" t="s">
        <v>90</v>
      </c>
      <c r="D897" s="6">
        <v>143</v>
      </c>
      <c r="E897" s="9" t="s">
        <v>103</v>
      </c>
      <c r="F897" s="11">
        <v>448.5</v>
      </c>
      <c r="G897" s="8">
        <v>448.5</v>
      </c>
      <c r="H897" s="9">
        <f>(G897-F897)</f>
        <v>0.0</v>
      </c>
      <c r="I897" s="9" t="s">
        <v>119</v>
      </c>
      <c r="J897" s="9" t="s">
        <v>120</v>
      </c>
    </row>
    <row r="898" spans="1:12" ht="23" customHeight="1">
      <c r="A898" s="9" t="s">
        <v>99</v>
      </c>
      <c r="B898" s="6">
        <v>5</v>
      </c>
      <c r="C898" s="9" t="s">
        <v>90</v>
      </c>
      <c r="D898" s="6">
        <v>143</v>
      </c>
      <c r="E898" s="9" t="s">
        <v>104</v>
      </c>
      <c r="F898" s="11">
        <v>448.5</v>
      </c>
      <c r="G898" s="8">
        <v>448.5</v>
      </c>
      <c r="H898" s="9">
        <f>(G898-F898)</f>
        <v>0.0</v>
      </c>
      <c r="I898" s="9" t="s">
        <v>119</v>
      </c>
      <c r="J898" s="9" t="s">
        <v>120</v>
      </c>
    </row>
    <row r="899" spans="1:12" ht="23" customHeight="1">
      <c r="A899" s="9" t="s">
        <v>99</v>
      </c>
      <c r="B899" s="6">
        <v>5</v>
      </c>
      <c r="C899" s="9" t="s">
        <v>90</v>
      </c>
      <c r="D899" s="6">
        <v>143</v>
      </c>
      <c r="E899" s="9" t="s">
        <v>94</v>
      </c>
      <c r="F899" s="6">
        <v>69957</v>
      </c>
      <c r="G899" s="7">
        <v>69957</v>
      </c>
      <c r="H899" s="9">
        <f>(G899-F899)</f>
        <v>0.0</v>
      </c>
      <c r="I899" s="9" t="s">
        <v>119</v>
      </c>
      <c r="J899" s="9" t="s">
        <v>120</v>
      </c>
    </row>
    <row r="900" spans="1:12" ht="23" customHeight="1">
      <c r="A900" s="9" t="s">
        <v>99</v>
      </c>
      <c r="B900" s="6">
        <v>5</v>
      </c>
      <c r="C900" s="9" t="s">
        <v>90</v>
      </c>
      <c r="D900" s="6">
        <v>143</v>
      </c>
      <c r="E900" s="9" t="s">
        <v>105</v>
      </c>
      <c r="F900" s="11">
        <v>448.5</v>
      </c>
      <c r="G900" s="8">
        <v>448.5</v>
      </c>
      <c r="H900" s="9">
        <f>(G900-F900)</f>
        <v>0.0</v>
      </c>
      <c r="I900" s="9" t="s">
        <v>119</v>
      </c>
      <c r="J900" s="9" t="s">
        <v>120</v>
      </c>
    </row>
    <row r="901" spans="1:12" ht="23" customHeight="1">
      <c r="A901" s="9" t="s">
        <v>99</v>
      </c>
      <c r="B901" s="6">
        <v>5</v>
      </c>
      <c r="C901" s="9" t="s">
        <v>90</v>
      </c>
      <c r="D901" s="6">
        <v>143</v>
      </c>
      <c r="E901" s="9" t="s">
        <v>106</v>
      </c>
      <c r="F901" s="11">
        <v>448.5</v>
      </c>
      <c r="G901" s="8">
        <v>448.5</v>
      </c>
      <c r="H901" s="9">
        <f>(G901-F901)</f>
        <v>0.0</v>
      </c>
      <c r="I901" s="9" t="s">
        <v>119</v>
      </c>
      <c r="J901" s="9" t="s">
        <v>120</v>
      </c>
    </row>
    <row r="902" spans="1:12" ht="23" customHeight="1">
      <c r="A902" s="9" t="s">
        <v>99</v>
      </c>
      <c r="B902" s="6">
        <v>5</v>
      </c>
      <c r="C902" s="9" t="s">
        <v>90</v>
      </c>
      <c r="D902" s="6">
        <v>143</v>
      </c>
      <c r="E902" s="9" t="s">
        <v>95</v>
      </c>
      <c r="F902" s="6">
        <v>69957</v>
      </c>
      <c r="G902" s="7">
        <v>69957</v>
      </c>
      <c r="H902" s="9">
        <f>(G902-F902)</f>
        <v>0.0</v>
      </c>
      <c r="I902" s="9" t="s">
        <v>119</v>
      </c>
      <c r="J902" s="9" t="s">
        <v>120</v>
      </c>
    </row>
    <row r="903" spans="1:12" ht="23" customHeight="1">
      <c r="A903" s="9" t="s">
        <v>99</v>
      </c>
      <c r="B903" s="6">
        <v>5</v>
      </c>
      <c r="C903" s="9" t="s">
        <v>90</v>
      </c>
      <c r="D903" s="6">
        <v>143</v>
      </c>
      <c r="E903" s="9" t="s">
        <v>96</v>
      </c>
      <c r="F903" s="6">
        <v>69957</v>
      </c>
      <c r="G903" s="7">
        <v>69957</v>
      </c>
      <c r="H903" s="9">
        <f>(G903-F903)</f>
        <v>0.0</v>
      </c>
      <c r="I903" s="9" t="s">
        <v>119</v>
      </c>
      <c r="J903" s="9" t="s">
        <v>120</v>
      </c>
    </row>
    <row r="904" spans="1:12" ht="24" customHeight="1">
      <c r="A904" s="3" t="s">
        <v>107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36" customHeight="1">
      <c r="A905" s="4" t="s">
        <v>108</v>
      </c>
      <c r="B905" s="4" t="s">
        <v>8</v>
      </c>
      <c r="C905" s="4" t="s">
        <v>109</v>
      </c>
      <c r="D905" s="4" t="s">
        <v>110</v>
      </c>
      <c r="E905" s="4" t="s">
        <v>111</v>
      </c>
      <c r="F905" s="4" t="s">
        <v>112</v>
      </c>
      <c r="G905" s="4" t="s">
        <v>113</v>
      </c>
      <c r="H905" s="4" t="s">
        <v>114</v>
      </c>
      <c r="I905" s="4" t="s">
        <v>115</v>
      </c>
      <c r="J905" s="4" t="s">
        <v>116</v>
      </c>
    </row>
    <row r="906" spans="1:12" ht="23" customHeight="1">
      <c r="A906" s="9" t="s">
        <v>99</v>
      </c>
      <c r="B906" s="6">
        <v>5</v>
      </c>
      <c r="C906" s="9" t="s">
        <v>90</v>
      </c>
      <c r="D906" s="6">
        <v>143</v>
      </c>
      <c r="E906" s="9" t="s">
        <v>97</v>
      </c>
      <c r="F906" s="6">
        <v>69957</v>
      </c>
      <c r="G906" s="7">
        <v>69957</v>
      </c>
      <c r="H906" s="9">
        <f>(G906-F906)</f>
        <v>0.0</v>
      </c>
      <c r="I906" s="9" t="s">
        <v>119</v>
      </c>
      <c r="J906" s="9" t="s">
        <v>120</v>
      </c>
    </row>
    <row r="907" spans="1:12" ht="23" customHeight="1">
      <c r="A907" s="9" t="s">
        <v>99</v>
      </c>
      <c r="B907" s="6">
        <v>5</v>
      </c>
      <c r="C907" s="9" t="s">
        <v>90</v>
      </c>
      <c r="D907" s="6">
        <v>143</v>
      </c>
      <c r="E907" s="9" t="s">
        <v>98</v>
      </c>
      <c r="F907" s="6">
        <v>69957</v>
      </c>
      <c r="G907" s="7">
        <v>69957</v>
      </c>
      <c r="H907" s="9">
        <f>(G907-F907)</f>
        <v>0.0</v>
      </c>
      <c r="I907" s="9" t="s">
        <v>119</v>
      </c>
      <c r="J907" s="9" t="s">
        <v>120</v>
      </c>
    </row>
    <row r="908" spans="1:12" ht="23" customHeight="1">
      <c r="A908" s="9" t="s">
        <v>99</v>
      </c>
      <c r="B908" s="6">
        <v>5</v>
      </c>
      <c r="C908" s="9" t="s">
        <v>90</v>
      </c>
      <c r="D908" s="6">
        <v>144</v>
      </c>
      <c r="E908" s="9" t="s">
        <v>93</v>
      </c>
      <c r="F908" s="6">
        <v>69957</v>
      </c>
      <c r="G908" s="7">
        <v>69957</v>
      </c>
      <c r="H908" s="9">
        <f>(G908-F908)</f>
        <v>0.0</v>
      </c>
      <c r="I908" s="9" t="s">
        <v>119</v>
      </c>
      <c r="J908" s="9" t="s">
        <v>120</v>
      </c>
    </row>
    <row r="909" spans="1:12" ht="23" customHeight="1">
      <c r="A909" s="9" t="s">
        <v>99</v>
      </c>
      <c r="B909" s="6">
        <v>5</v>
      </c>
      <c r="C909" s="9" t="s">
        <v>90</v>
      </c>
      <c r="D909" s="6">
        <v>144</v>
      </c>
      <c r="E909" s="9" t="s">
        <v>103</v>
      </c>
      <c r="F909" s="11">
        <v>448.5</v>
      </c>
      <c r="G909" s="8">
        <v>448.5</v>
      </c>
      <c r="H909" s="9">
        <f>(G909-F909)</f>
        <v>0.0</v>
      </c>
      <c r="I909" s="9" t="s">
        <v>119</v>
      </c>
      <c r="J909" s="9" t="s">
        <v>120</v>
      </c>
    </row>
    <row r="910" spans="1:12" ht="23" customHeight="1">
      <c r="A910" s="9" t="s">
        <v>99</v>
      </c>
      <c r="B910" s="6">
        <v>5</v>
      </c>
      <c r="C910" s="9" t="s">
        <v>90</v>
      </c>
      <c r="D910" s="6">
        <v>144</v>
      </c>
      <c r="E910" s="9" t="s">
        <v>104</v>
      </c>
      <c r="F910" s="11">
        <v>448.5</v>
      </c>
      <c r="G910" s="8">
        <v>448.5</v>
      </c>
      <c r="H910" s="9">
        <f>(G910-F910)</f>
        <v>0.0</v>
      </c>
      <c r="I910" s="9" t="s">
        <v>119</v>
      </c>
      <c r="J910" s="9" t="s">
        <v>120</v>
      </c>
    </row>
    <row r="911" spans="1:12" ht="23" customHeight="1">
      <c r="A911" s="9" t="s">
        <v>99</v>
      </c>
      <c r="B911" s="6">
        <v>5</v>
      </c>
      <c r="C911" s="9" t="s">
        <v>90</v>
      </c>
      <c r="D911" s="6">
        <v>144</v>
      </c>
      <c r="E911" s="9" t="s">
        <v>94</v>
      </c>
      <c r="F911" s="6">
        <v>69957</v>
      </c>
      <c r="G911" s="7">
        <v>69957</v>
      </c>
      <c r="H911" s="9">
        <f>(G911-F911)</f>
        <v>0.0</v>
      </c>
      <c r="I911" s="9" t="s">
        <v>119</v>
      </c>
      <c r="J911" s="9" t="s">
        <v>120</v>
      </c>
    </row>
    <row r="912" spans="1:12" ht="23" customHeight="1">
      <c r="A912" s="9" t="s">
        <v>99</v>
      </c>
      <c r="B912" s="6">
        <v>5</v>
      </c>
      <c r="C912" s="9" t="s">
        <v>90</v>
      </c>
      <c r="D912" s="6">
        <v>144</v>
      </c>
      <c r="E912" s="9" t="s">
        <v>105</v>
      </c>
      <c r="F912" s="11">
        <v>448.5</v>
      </c>
      <c r="G912" s="8">
        <v>448.5</v>
      </c>
      <c r="H912" s="9">
        <f>(G912-F912)</f>
        <v>0.0</v>
      </c>
      <c r="I912" s="9" t="s">
        <v>119</v>
      </c>
      <c r="J912" s="9" t="s">
        <v>120</v>
      </c>
    </row>
    <row r="913" spans="1:12" ht="23" customHeight="1">
      <c r="A913" s="9" t="s">
        <v>99</v>
      </c>
      <c r="B913" s="6">
        <v>5</v>
      </c>
      <c r="C913" s="9" t="s">
        <v>90</v>
      </c>
      <c r="D913" s="6">
        <v>144</v>
      </c>
      <c r="E913" s="9" t="s">
        <v>106</v>
      </c>
      <c r="F913" s="11">
        <v>448.5</v>
      </c>
      <c r="G913" s="8">
        <v>448.5</v>
      </c>
      <c r="H913" s="9">
        <f>(G913-F913)</f>
        <v>0.0</v>
      </c>
      <c r="I913" s="9" t="s">
        <v>119</v>
      </c>
      <c r="J913" s="9" t="s">
        <v>120</v>
      </c>
    </row>
    <row r="914" spans="1:12" ht="23" customHeight="1">
      <c r="A914" s="9" t="s">
        <v>99</v>
      </c>
      <c r="B914" s="6">
        <v>5</v>
      </c>
      <c r="C914" s="9" t="s">
        <v>90</v>
      </c>
      <c r="D914" s="6">
        <v>144</v>
      </c>
      <c r="E914" s="9" t="s">
        <v>95</v>
      </c>
      <c r="F914" s="6">
        <v>69957</v>
      </c>
      <c r="G914" s="7">
        <v>69957</v>
      </c>
      <c r="H914" s="9">
        <f>(G914-F914)</f>
        <v>0.0</v>
      </c>
      <c r="I914" s="9" t="s">
        <v>119</v>
      </c>
      <c r="J914" s="9" t="s">
        <v>120</v>
      </c>
    </row>
    <row r="915" spans="1:12" ht="23" customHeight="1">
      <c r="A915" s="9" t="s">
        <v>99</v>
      </c>
      <c r="B915" s="6">
        <v>5</v>
      </c>
      <c r="C915" s="9" t="s">
        <v>90</v>
      </c>
      <c r="D915" s="6">
        <v>144</v>
      </c>
      <c r="E915" s="9" t="s">
        <v>96</v>
      </c>
      <c r="F915" s="6">
        <v>69957</v>
      </c>
      <c r="G915" s="7">
        <v>69957</v>
      </c>
      <c r="H915" s="9">
        <f>(G915-F915)</f>
        <v>0.0</v>
      </c>
      <c r="I915" s="9" t="s">
        <v>119</v>
      </c>
      <c r="J915" s="9" t="s">
        <v>120</v>
      </c>
    </row>
    <row r="916" spans="1:12" ht="23" customHeight="1">
      <c r="A916" s="9" t="s">
        <v>99</v>
      </c>
      <c r="B916" s="6">
        <v>5</v>
      </c>
      <c r="C916" s="9" t="s">
        <v>90</v>
      </c>
      <c r="D916" s="6">
        <v>144</v>
      </c>
      <c r="E916" s="9" t="s">
        <v>97</v>
      </c>
      <c r="F916" s="6">
        <v>69957</v>
      </c>
      <c r="G916" s="7">
        <v>69957</v>
      </c>
      <c r="H916" s="9">
        <f>(G916-F916)</f>
        <v>0.0</v>
      </c>
      <c r="I916" s="9" t="s">
        <v>119</v>
      </c>
      <c r="J916" s="9" t="s">
        <v>120</v>
      </c>
    </row>
    <row r="917" spans="1:12" ht="23" customHeight="1">
      <c r="A917" s="9" t="s">
        <v>99</v>
      </c>
      <c r="B917" s="6">
        <v>5</v>
      </c>
      <c r="C917" s="9" t="s">
        <v>90</v>
      </c>
      <c r="D917" s="6">
        <v>144</v>
      </c>
      <c r="E917" s="9" t="s">
        <v>98</v>
      </c>
      <c r="F917" s="6">
        <v>69957</v>
      </c>
      <c r="G917" s="7">
        <v>69957</v>
      </c>
      <c r="H917" s="9">
        <f>(G917-F917)</f>
        <v>0.0</v>
      </c>
      <c r="I917" s="9" t="s">
        <v>119</v>
      </c>
      <c r="J917" s="9" t="s">
        <v>120</v>
      </c>
    </row>
    <row r="918" spans="1:12" ht="23" customHeight="1">
      <c r="A918" s="9" t="s">
        <v>99</v>
      </c>
      <c r="B918" s="6">
        <v>5</v>
      </c>
      <c r="C918" s="9" t="s">
        <v>90</v>
      </c>
      <c r="D918" s="6">
        <v>145</v>
      </c>
      <c r="E918" s="9" t="s">
        <v>93</v>
      </c>
      <c r="F918" s="6">
        <v>69957</v>
      </c>
      <c r="G918" s="7">
        <v>69957</v>
      </c>
      <c r="H918" s="9">
        <f>(G918-F918)</f>
        <v>0.0</v>
      </c>
      <c r="I918" s="9" t="s">
        <v>119</v>
      </c>
      <c r="J918" s="9" t="s">
        <v>120</v>
      </c>
    </row>
    <row r="919" spans="1:12" ht="23" customHeight="1">
      <c r="A919" s="9" t="s">
        <v>99</v>
      </c>
      <c r="B919" s="6">
        <v>5</v>
      </c>
      <c r="C919" s="9" t="s">
        <v>90</v>
      </c>
      <c r="D919" s="6">
        <v>145</v>
      </c>
      <c r="E919" s="9" t="s">
        <v>103</v>
      </c>
      <c r="F919" s="11">
        <v>448.5</v>
      </c>
      <c r="G919" s="8">
        <v>448.5</v>
      </c>
      <c r="H919" s="9">
        <f>(G919-F919)</f>
        <v>0.0</v>
      </c>
      <c r="I919" s="9" t="s">
        <v>119</v>
      </c>
      <c r="J919" s="9" t="s">
        <v>120</v>
      </c>
    </row>
    <row r="920" spans="1:12" ht="23" customHeight="1">
      <c r="A920" s="9" t="s">
        <v>99</v>
      </c>
      <c r="B920" s="6">
        <v>5</v>
      </c>
      <c r="C920" s="9" t="s">
        <v>90</v>
      </c>
      <c r="D920" s="6">
        <v>145</v>
      </c>
      <c r="E920" s="9" t="s">
        <v>104</v>
      </c>
      <c r="F920" s="11">
        <v>448.5</v>
      </c>
      <c r="G920" s="8">
        <v>448.5</v>
      </c>
      <c r="H920" s="9">
        <f>(G920-F920)</f>
        <v>0.0</v>
      </c>
      <c r="I920" s="9" t="s">
        <v>119</v>
      </c>
      <c r="J920" s="9" t="s">
        <v>120</v>
      </c>
    </row>
    <row r="921" spans="1:12" ht="24" customHeight="1">
      <c r="A921" s="3" t="s">
        <v>107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36" customHeight="1">
      <c r="A922" s="4" t="s">
        <v>108</v>
      </c>
      <c r="B922" s="4" t="s">
        <v>8</v>
      </c>
      <c r="C922" s="4" t="s">
        <v>109</v>
      </c>
      <c r="D922" s="4" t="s">
        <v>110</v>
      </c>
      <c r="E922" s="4" t="s">
        <v>111</v>
      </c>
      <c r="F922" s="4" t="s">
        <v>112</v>
      </c>
      <c r="G922" s="4" t="s">
        <v>113</v>
      </c>
      <c r="H922" s="4" t="s">
        <v>114</v>
      </c>
      <c r="I922" s="4" t="s">
        <v>115</v>
      </c>
      <c r="J922" s="4" t="s">
        <v>116</v>
      </c>
    </row>
    <row r="923" spans="1:12" ht="23" customHeight="1">
      <c r="A923" s="9" t="s">
        <v>99</v>
      </c>
      <c r="B923" s="6">
        <v>5</v>
      </c>
      <c r="C923" s="9" t="s">
        <v>90</v>
      </c>
      <c r="D923" s="6">
        <v>145</v>
      </c>
      <c r="E923" s="9" t="s">
        <v>94</v>
      </c>
      <c r="F923" s="6">
        <v>69957</v>
      </c>
      <c r="G923" s="7">
        <v>69957</v>
      </c>
      <c r="H923" s="9">
        <f>(G923-F923)</f>
        <v>0.0</v>
      </c>
      <c r="I923" s="9" t="s">
        <v>119</v>
      </c>
      <c r="J923" s="9" t="s">
        <v>120</v>
      </c>
    </row>
    <row r="924" spans="1:12" ht="23" customHeight="1">
      <c r="A924" s="9" t="s">
        <v>99</v>
      </c>
      <c r="B924" s="6">
        <v>5</v>
      </c>
      <c r="C924" s="9" t="s">
        <v>90</v>
      </c>
      <c r="D924" s="6">
        <v>145</v>
      </c>
      <c r="E924" s="9" t="s">
        <v>105</v>
      </c>
      <c r="F924" s="11">
        <v>448.5</v>
      </c>
      <c r="G924" s="8">
        <v>448.5</v>
      </c>
      <c r="H924" s="9">
        <f>(G924-F924)</f>
        <v>0.0</v>
      </c>
      <c r="I924" s="9" t="s">
        <v>119</v>
      </c>
      <c r="J924" s="9" t="s">
        <v>120</v>
      </c>
    </row>
    <row r="925" spans="1:12" ht="23" customHeight="1">
      <c r="A925" s="9" t="s">
        <v>99</v>
      </c>
      <c r="B925" s="6">
        <v>5</v>
      </c>
      <c r="C925" s="9" t="s">
        <v>90</v>
      </c>
      <c r="D925" s="6">
        <v>145</v>
      </c>
      <c r="E925" s="9" t="s">
        <v>106</v>
      </c>
      <c r="F925" s="11">
        <v>448.5</v>
      </c>
      <c r="G925" s="8">
        <v>448.5</v>
      </c>
      <c r="H925" s="9">
        <f>(G925-F925)</f>
        <v>0.0</v>
      </c>
      <c r="I925" s="9" t="s">
        <v>119</v>
      </c>
      <c r="J925" s="9" t="s">
        <v>120</v>
      </c>
    </row>
    <row r="926" spans="1:12" ht="23" customHeight="1">
      <c r="A926" s="9" t="s">
        <v>99</v>
      </c>
      <c r="B926" s="6">
        <v>5</v>
      </c>
      <c r="C926" s="9" t="s">
        <v>90</v>
      </c>
      <c r="D926" s="6">
        <v>145</v>
      </c>
      <c r="E926" s="9" t="s">
        <v>95</v>
      </c>
      <c r="F926" s="6">
        <v>69957</v>
      </c>
      <c r="G926" s="7">
        <v>69957</v>
      </c>
      <c r="H926" s="9">
        <f>(G926-F926)</f>
        <v>0.0</v>
      </c>
      <c r="I926" s="9" t="s">
        <v>119</v>
      </c>
      <c r="J926" s="9" t="s">
        <v>120</v>
      </c>
    </row>
    <row r="927" spans="1:12" ht="23" customHeight="1">
      <c r="A927" s="9" t="s">
        <v>99</v>
      </c>
      <c r="B927" s="6">
        <v>5</v>
      </c>
      <c r="C927" s="9" t="s">
        <v>90</v>
      </c>
      <c r="D927" s="6">
        <v>145</v>
      </c>
      <c r="E927" s="9" t="s">
        <v>96</v>
      </c>
      <c r="F927" s="6">
        <v>69957</v>
      </c>
      <c r="G927" s="7">
        <v>69957</v>
      </c>
      <c r="H927" s="9">
        <f>(G927-F927)</f>
        <v>0.0</v>
      </c>
      <c r="I927" s="9" t="s">
        <v>119</v>
      </c>
      <c r="J927" s="9" t="s">
        <v>120</v>
      </c>
    </row>
    <row r="928" spans="1:12" ht="23" customHeight="1">
      <c r="A928" s="9" t="s">
        <v>99</v>
      </c>
      <c r="B928" s="6">
        <v>5</v>
      </c>
      <c r="C928" s="9" t="s">
        <v>90</v>
      </c>
      <c r="D928" s="6">
        <v>145</v>
      </c>
      <c r="E928" s="9" t="s">
        <v>97</v>
      </c>
      <c r="F928" s="6">
        <v>69957</v>
      </c>
      <c r="G928" s="7">
        <v>69957</v>
      </c>
      <c r="H928" s="9">
        <f>(G928-F928)</f>
        <v>0.0</v>
      </c>
      <c r="I928" s="9" t="s">
        <v>119</v>
      </c>
      <c r="J928" s="9" t="s">
        <v>120</v>
      </c>
    </row>
    <row r="929" spans="1:12" ht="23" customHeight="1">
      <c r="A929" s="9" t="s">
        <v>99</v>
      </c>
      <c r="B929" s="6">
        <v>5</v>
      </c>
      <c r="C929" s="9" t="s">
        <v>90</v>
      </c>
      <c r="D929" s="6">
        <v>145</v>
      </c>
      <c r="E929" s="9" t="s">
        <v>98</v>
      </c>
      <c r="F929" s="6">
        <v>69957</v>
      </c>
      <c r="G929" s="7">
        <v>69957</v>
      </c>
      <c r="H929" s="9">
        <f>(G929-F929)</f>
        <v>0.0</v>
      </c>
      <c r="I929" s="9" t="s">
        <v>119</v>
      </c>
      <c r="J929" s="9" t="s">
        <v>120</v>
      </c>
    </row>
    <row r="930" spans="1:12" ht="23" customHeight="1">
      <c r="A930" s="9" t="s">
        <v>99</v>
      </c>
      <c r="B930" s="6">
        <v>5</v>
      </c>
      <c r="C930" s="9" t="s">
        <v>90</v>
      </c>
      <c r="D930" s="6">
        <v>146</v>
      </c>
      <c r="E930" s="9" t="s">
        <v>93</v>
      </c>
      <c r="F930" s="6">
        <v>24216</v>
      </c>
      <c r="G930" s="7">
        <v>24216</v>
      </c>
      <c r="H930" s="9">
        <f>(G930-F930)</f>
        <v>0.0</v>
      </c>
      <c r="I930" s="9" t="s">
        <v>119</v>
      </c>
      <c r="J930" s="9" t="s">
        <v>120</v>
      </c>
    </row>
    <row r="931" spans="1:12" ht="23" customHeight="1">
      <c r="A931" s="9" t="s">
        <v>99</v>
      </c>
      <c r="B931" s="6">
        <v>5</v>
      </c>
      <c r="C931" s="9" t="s">
        <v>90</v>
      </c>
      <c r="D931" s="6">
        <v>146</v>
      </c>
      <c r="E931" s="9" t="s">
        <v>103</v>
      </c>
      <c r="F931" s="11">
        <v>155.3</v>
      </c>
      <c r="G931" s="8">
        <v>155.3</v>
      </c>
      <c r="H931" s="9">
        <f>(G931-F931)</f>
        <v>0.0</v>
      </c>
      <c r="I931" s="9" t="s">
        <v>119</v>
      </c>
      <c r="J931" s="9" t="s">
        <v>120</v>
      </c>
    </row>
    <row r="932" spans="1:12" ht="23" customHeight="1">
      <c r="A932" s="9" t="s">
        <v>99</v>
      </c>
      <c r="B932" s="6">
        <v>5</v>
      </c>
      <c r="C932" s="9" t="s">
        <v>90</v>
      </c>
      <c r="D932" s="6">
        <v>146</v>
      </c>
      <c r="E932" s="9" t="s">
        <v>104</v>
      </c>
      <c r="F932" s="11">
        <v>155.3</v>
      </c>
      <c r="G932" s="8">
        <v>155.3</v>
      </c>
      <c r="H932" s="9">
        <f>(G932-F932)</f>
        <v>0.0</v>
      </c>
      <c r="I932" s="9" t="s">
        <v>119</v>
      </c>
      <c r="J932" s="9" t="s">
        <v>120</v>
      </c>
    </row>
    <row r="933" spans="1:12" ht="23" customHeight="1">
      <c r="A933" s="9" t="s">
        <v>99</v>
      </c>
      <c r="B933" s="6">
        <v>5</v>
      </c>
      <c r="C933" s="9" t="s">
        <v>90</v>
      </c>
      <c r="D933" s="6">
        <v>146</v>
      </c>
      <c r="E933" s="9" t="s">
        <v>94</v>
      </c>
      <c r="F933" s="6">
        <v>24216</v>
      </c>
      <c r="G933" s="7">
        <v>24216</v>
      </c>
      <c r="H933" s="9">
        <f>(G933-F933)</f>
        <v>0.0</v>
      </c>
      <c r="I933" s="9" t="s">
        <v>119</v>
      </c>
      <c r="J933" s="9" t="s">
        <v>120</v>
      </c>
    </row>
    <row r="934" spans="1:12" ht="23" customHeight="1">
      <c r="A934" s="9" t="s">
        <v>99</v>
      </c>
      <c r="B934" s="6">
        <v>5</v>
      </c>
      <c r="C934" s="9" t="s">
        <v>90</v>
      </c>
      <c r="D934" s="6">
        <v>146</v>
      </c>
      <c r="E934" s="9" t="s">
        <v>105</v>
      </c>
      <c r="F934" s="11">
        <v>155.3</v>
      </c>
      <c r="G934" s="8">
        <v>155.3</v>
      </c>
      <c r="H934" s="9">
        <f>(G934-F934)</f>
        <v>0.0</v>
      </c>
      <c r="I934" s="9" t="s">
        <v>119</v>
      </c>
      <c r="J934" s="9" t="s">
        <v>120</v>
      </c>
    </row>
    <row r="935" spans="1:12" ht="23" customHeight="1">
      <c r="A935" s="9" t="s">
        <v>99</v>
      </c>
      <c r="B935" s="6">
        <v>5</v>
      </c>
      <c r="C935" s="9" t="s">
        <v>90</v>
      </c>
      <c r="D935" s="6">
        <v>146</v>
      </c>
      <c r="E935" s="9" t="s">
        <v>106</v>
      </c>
      <c r="F935" s="11">
        <v>155.3</v>
      </c>
      <c r="G935" s="8">
        <v>155.3</v>
      </c>
      <c r="H935" s="9">
        <f>(G935-F935)</f>
        <v>0.0</v>
      </c>
      <c r="I935" s="9" t="s">
        <v>119</v>
      </c>
      <c r="J935" s="9" t="s">
        <v>120</v>
      </c>
    </row>
    <row r="936" spans="1:12" ht="23" customHeight="1">
      <c r="A936" s="9" t="s">
        <v>99</v>
      </c>
      <c r="B936" s="6">
        <v>5</v>
      </c>
      <c r="C936" s="9" t="s">
        <v>90</v>
      </c>
      <c r="D936" s="6">
        <v>146</v>
      </c>
      <c r="E936" s="9" t="s">
        <v>95</v>
      </c>
      <c r="F936" s="6">
        <v>24216</v>
      </c>
      <c r="G936" s="7">
        <v>24216</v>
      </c>
      <c r="H936" s="9">
        <f>(G936-F936)</f>
        <v>0.0</v>
      </c>
      <c r="I936" s="9" t="s">
        <v>119</v>
      </c>
      <c r="J936" s="9" t="s">
        <v>120</v>
      </c>
    </row>
    <row r="937" spans="1:12" ht="23" customHeight="1">
      <c r="A937" s="9" t="s">
        <v>99</v>
      </c>
      <c r="B937" s="6">
        <v>5</v>
      </c>
      <c r="C937" s="9" t="s">
        <v>90</v>
      </c>
      <c r="D937" s="6">
        <v>146</v>
      </c>
      <c r="E937" s="9" t="s">
        <v>96</v>
      </c>
      <c r="F937" s="6">
        <v>24216</v>
      </c>
      <c r="G937" s="7">
        <v>24216</v>
      </c>
      <c r="H937" s="9">
        <f>(G937-F937)</f>
        <v>0.0</v>
      </c>
      <c r="I937" s="9" t="s">
        <v>119</v>
      </c>
      <c r="J937" s="9" t="s">
        <v>120</v>
      </c>
    </row>
    <row r="938" spans="1:12" ht="24" customHeight="1">
      <c r="A938" s="3" t="s">
        <v>107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36" customHeight="1">
      <c r="A939" s="4" t="s">
        <v>108</v>
      </c>
      <c r="B939" s="4" t="s">
        <v>8</v>
      </c>
      <c r="C939" s="4" t="s">
        <v>109</v>
      </c>
      <c r="D939" s="4" t="s">
        <v>110</v>
      </c>
      <c r="E939" s="4" t="s">
        <v>111</v>
      </c>
      <c r="F939" s="4" t="s">
        <v>112</v>
      </c>
      <c r="G939" s="4" t="s">
        <v>113</v>
      </c>
      <c r="H939" s="4" t="s">
        <v>114</v>
      </c>
      <c r="I939" s="4" t="s">
        <v>115</v>
      </c>
      <c r="J939" s="4" t="s">
        <v>116</v>
      </c>
    </row>
    <row r="940" spans="1:12" ht="23" customHeight="1">
      <c r="A940" s="9" t="s">
        <v>99</v>
      </c>
      <c r="B940" s="6">
        <v>5</v>
      </c>
      <c r="C940" s="9" t="s">
        <v>90</v>
      </c>
      <c r="D940" s="6">
        <v>146</v>
      </c>
      <c r="E940" s="9" t="s">
        <v>97</v>
      </c>
      <c r="F940" s="6">
        <v>24216</v>
      </c>
      <c r="G940" s="7">
        <v>24216</v>
      </c>
      <c r="H940" s="9">
        <f>(G940-F940)</f>
        <v>0.0</v>
      </c>
      <c r="I940" s="9" t="s">
        <v>119</v>
      </c>
      <c r="J940" s="9" t="s">
        <v>120</v>
      </c>
    </row>
    <row r="941" spans="1:12" ht="23" customHeight="1">
      <c r="A941" s="9" t="s">
        <v>99</v>
      </c>
      <c r="B941" s="6">
        <v>5</v>
      </c>
      <c r="C941" s="9" t="s">
        <v>90</v>
      </c>
      <c r="D941" s="6">
        <v>146</v>
      </c>
      <c r="E941" s="9" t="s">
        <v>98</v>
      </c>
      <c r="F941" s="6">
        <v>24216</v>
      </c>
      <c r="G941" s="7">
        <v>24216</v>
      </c>
      <c r="H941" s="9">
        <f>(G941-F941)</f>
        <v>0.0</v>
      </c>
      <c r="I941" s="9" t="s">
        <v>119</v>
      </c>
      <c r="J941" s="9" t="s">
        <v>120</v>
      </c>
    </row>
    <row r="942" spans="1:12" ht="23" customHeight="1">
      <c r="A942" s="9" t="s">
        <v>99</v>
      </c>
      <c r="B942" s="6">
        <v>6</v>
      </c>
      <c r="C942" s="9" t="s">
        <v>90</v>
      </c>
      <c r="D942" s="6">
        <v>152</v>
      </c>
      <c r="E942" s="9" t="s">
        <v>93</v>
      </c>
      <c r="F942" s="6">
        <v>51629</v>
      </c>
      <c r="G942" s="7">
        <v>51629</v>
      </c>
      <c r="H942" s="9">
        <f>(G942-F942)</f>
        <v>0.0</v>
      </c>
      <c r="I942" s="9" t="s">
        <v>119</v>
      </c>
      <c r="J942" s="9" t="s">
        <v>120</v>
      </c>
    </row>
    <row r="943" spans="1:12" ht="23" customHeight="1">
      <c r="A943" s="9" t="s">
        <v>99</v>
      </c>
      <c r="B943" s="6">
        <v>6</v>
      </c>
      <c r="C943" s="9" t="s">
        <v>90</v>
      </c>
      <c r="D943" s="6">
        <v>152</v>
      </c>
      <c r="E943" s="9" t="s">
        <v>103</v>
      </c>
      <c r="F943" s="11">
        <v>433.8</v>
      </c>
      <c r="G943" s="8">
        <v>433.8</v>
      </c>
      <c r="H943" s="9">
        <f>(G943-F943)</f>
        <v>0.0</v>
      </c>
      <c r="I943" s="9" t="s">
        <v>119</v>
      </c>
      <c r="J943" s="9" t="s">
        <v>120</v>
      </c>
    </row>
    <row r="944" spans="1:12" ht="23" customHeight="1">
      <c r="A944" s="9" t="s">
        <v>99</v>
      </c>
      <c r="B944" s="6">
        <v>6</v>
      </c>
      <c r="C944" s="9" t="s">
        <v>90</v>
      </c>
      <c r="D944" s="6">
        <v>152</v>
      </c>
      <c r="E944" s="9" t="s">
        <v>104</v>
      </c>
      <c r="F944" s="11">
        <v>433.8</v>
      </c>
      <c r="G944" s="8">
        <v>433.8</v>
      </c>
      <c r="H944" s="9">
        <f>(G944-F944)</f>
        <v>0.0</v>
      </c>
      <c r="I944" s="9" t="s">
        <v>119</v>
      </c>
      <c r="J944" s="9" t="s">
        <v>120</v>
      </c>
    </row>
    <row r="945" spans="1:12" ht="23" customHeight="1">
      <c r="A945" s="9" t="s">
        <v>99</v>
      </c>
      <c r="B945" s="6">
        <v>6</v>
      </c>
      <c r="C945" s="9" t="s">
        <v>90</v>
      </c>
      <c r="D945" s="6">
        <v>152</v>
      </c>
      <c r="E945" s="9" t="s">
        <v>94</v>
      </c>
      <c r="F945" s="6">
        <v>51629</v>
      </c>
      <c r="G945" s="7">
        <v>51629</v>
      </c>
      <c r="H945" s="9">
        <f>(G945-F945)</f>
        <v>0.0</v>
      </c>
      <c r="I945" s="9" t="s">
        <v>119</v>
      </c>
      <c r="J945" s="9" t="s">
        <v>120</v>
      </c>
    </row>
    <row r="946" spans="1:12" ht="23" customHeight="1">
      <c r="A946" s="9" t="s">
        <v>99</v>
      </c>
      <c r="B946" s="6">
        <v>6</v>
      </c>
      <c r="C946" s="9" t="s">
        <v>90</v>
      </c>
      <c r="D946" s="6">
        <v>152</v>
      </c>
      <c r="E946" s="9" t="s">
        <v>105</v>
      </c>
      <c r="F946" s="11">
        <v>433.8</v>
      </c>
      <c r="G946" s="8">
        <v>433.8</v>
      </c>
      <c r="H946" s="9">
        <f>(G946-F946)</f>
        <v>0.0</v>
      </c>
      <c r="I946" s="9" t="s">
        <v>119</v>
      </c>
      <c r="J946" s="9" t="s">
        <v>120</v>
      </c>
    </row>
    <row r="947" spans="1:12" ht="23" customHeight="1">
      <c r="A947" s="9" t="s">
        <v>99</v>
      </c>
      <c r="B947" s="6">
        <v>6</v>
      </c>
      <c r="C947" s="9" t="s">
        <v>90</v>
      </c>
      <c r="D947" s="6">
        <v>152</v>
      </c>
      <c r="E947" s="9" t="s">
        <v>106</v>
      </c>
      <c r="F947" s="11">
        <v>433.8</v>
      </c>
      <c r="G947" s="8">
        <v>433.8</v>
      </c>
      <c r="H947" s="9">
        <f>(G947-F947)</f>
        <v>0.0</v>
      </c>
      <c r="I947" s="9" t="s">
        <v>119</v>
      </c>
      <c r="J947" s="9" t="s">
        <v>120</v>
      </c>
    </row>
    <row r="948" spans="1:12" ht="23" customHeight="1">
      <c r="A948" s="9" t="s">
        <v>99</v>
      </c>
      <c r="B948" s="6">
        <v>6</v>
      </c>
      <c r="C948" s="9" t="s">
        <v>90</v>
      </c>
      <c r="D948" s="6">
        <v>152</v>
      </c>
      <c r="E948" s="9" t="s">
        <v>95</v>
      </c>
      <c r="F948" s="6">
        <v>51629</v>
      </c>
      <c r="G948" s="7">
        <v>51629</v>
      </c>
      <c r="H948" s="9">
        <f>(G948-F948)</f>
        <v>0.0</v>
      </c>
      <c r="I948" s="9" t="s">
        <v>119</v>
      </c>
      <c r="J948" s="9" t="s">
        <v>120</v>
      </c>
    </row>
    <row r="949" spans="1:12" ht="23" customHeight="1">
      <c r="A949" s="9" t="s">
        <v>99</v>
      </c>
      <c r="B949" s="6">
        <v>6</v>
      </c>
      <c r="C949" s="9" t="s">
        <v>90</v>
      </c>
      <c r="D949" s="6">
        <v>152</v>
      </c>
      <c r="E949" s="9" t="s">
        <v>96</v>
      </c>
      <c r="F949" s="6">
        <v>51629</v>
      </c>
      <c r="G949" s="7">
        <v>51629</v>
      </c>
      <c r="H949" s="9">
        <f>(G949-F949)</f>
        <v>0.0</v>
      </c>
      <c r="I949" s="9" t="s">
        <v>119</v>
      </c>
      <c r="J949" s="9" t="s">
        <v>120</v>
      </c>
    </row>
    <row r="950" spans="1:12" ht="23" customHeight="1">
      <c r="A950" s="9" t="s">
        <v>99</v>
      </c>
      <c r="B950" s="6">
        <v>6</v>
      </c>
      <c r="C950" s="9" t="s">
        <v>90</v>
      </c>
      <c r="D950" s="6">
        <v>152</v>
      </c>
      <c r="E950" s="9" t="s">
        <v>97</v>
      </c>
      <c r="F950" s="6">
        <v>51629</v>
      </c>
      <c r="G950" s="7">
        <v>51629</v>
      </c>
      <c r="H950" s="9">
        <f>(G950-F950)</f>
        <v>0.0</v>
      </c>
      <c r="I950" s="9" t="s">
        <v>119</v>
      </c>
      <c r="J950" s="9" t="s">
        <v>120</v>
      </c>
    </row>
    <row r="951" spans="1:12" ht="23" customHeight="1">
      <c r="A951" s="9" t="s">
        <v>99</v>
      </c>
      <c r="B951" s="6">
        <v>6</v>
      </c>
      <c r="C951" s="9" t="s">
        <v>90</v>
      </c>
      <c r="D951" s="6">
        <v>152</v>
      </c>
      <c r="E951" s="9" t="s">
        <v>98</v>
      </c>
      <c r="F951" s="6">
        <v>51629</v>
      </c>
      <c r="G951" s="7">
        <v>51629</v>
      </c>
      <c r="H951" s="9">
        <f>(G951-F951)</f>
        <v>0.0</v>
      </c>
      <c r="I951" s="9" t="s">
        <v>119</v>
      </c>
      <c r="J951" s="9" t="s">
        <v>120</v>
      </c>
    </row>
    <row r="952" spans="1:12" ht="23" customHeight="1">
      <c r="A952" s="9" t="s">
        <v>99</v>
      </c>
      <c r="B952" s="6">
        <v>6</v>
      </c>
      <c r="C952" s="9" t="s">
        <v>90</v>
      </c>
      <c r="D952" s="6">
        <v>153</v>
      </c>
      <c r="E952" s="9" t="s">
        <v>93</v>
      </c>
      <c r="F952" s="6">
        <v>145626</v>
      </c>
      <c r="G952" s="7">
        <v>145626</v>
      </c>
      <c r="H952" s="9">
        <f>(G952-F952)</f>
        <v>0.0</v>
      </c>
      <c r="I952" s="9" t="s">
        <v>119</v>
      </c>
      <c r="J952" s="9" t="s">
        <v>120</v>
      </c>
    </row>
    <row r="953" spans="1:12" ht="23" customHeight="1">
      <c r="A953" s="9" t="s">
        <v>99</v>
      </c>
      <c r="B953" s="6">
        <v>6</v>
      </c>
      <c r="C953" s="9" t="s">
        <v>90</v>
      </c>
      <c r="D953" s="6">
        <v>153</v>
      </c>
      <c r="E953" s="9" t="s">
        <v>103</v>
      </c>
      <c r="F953" s="6">
        <v>1835</v>
      </c>
      <c r="G953" s="7">
        <v>1835</v>
      </c>
      <c r="H953" s="9">
        <f>(G953-F953)</f>
        <v>0.0</v>
      </c>
      <c r="I953" s="9" t="s">
        <v>119</v>
      </c>
      <c r="J953" s="9" t="s">
        <v>120</v>
      </c>
    </row>
    <row r="954" spans="1:12" ht="23" customHeight="1">
      <c r="A954" s="9" t="s">
        <v>99</v>
      </c>
      <c r="B954" s="6">
        <v>6</v>
      </c>
      <c r="C954" s="9" t="s">
        <v>90</v>
      </c>
      <c r="D954" s="6">
        <v>153</v>
      </c>
      <c r="E954" s="9" t="s">
        <v>104</v>
      </c>
      <c r="F954" s="6">
        <v>1835</v>
      </c>
      <c r="G954" s="7">
        <v>1835</v>
      </c>
      <c r="H954" s="9">
        <f>(G954-F954)</f>
        <v>0.0</v>
      </c>
      <c r="I954" s="9" t="s">
        <v>119</v>
      </c>
      <c r="J954" s="9" t="s">
        <v>120</v>
      </c>
    </row>
    <row r="955" spans="1:12" ht="24" customHeight="1">
      <c r="A955" s="3" t="s">
        <v>107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36" customHeight="1">
      <c r="A956" s="4" t="s">
        <v>108</v>
      </c>
      <c r="B956" s="4" t="s">
        <v>8</v>
      </c>
      <c r="C956" s="4" t="s">
        <v>109</v>
      </c>
      <c r="D956" s="4" t="s">
        <v>110</v>
      </c>
      <c r="E956" s="4" t="s">
        <v>111</v>
      </c>
      <c r="F956" s="4" t="s">
        <v>112</v>
      </c>
      <c r="G956" s="4" t="s">
        <v>113</v>
      </c>
      <c r="H956" s="4" t="s">
        <v>114</v>
      </c>
      <c r="I956" s="4" t="s">
        <v>115</v>
      </c>
      <c r="J956" s="4" t="s">
        <v>116</v>
      </c>
    </row>
    <row r="957" spans="1:12" ht="23" customHeight="1">
      <c r="A957" s="9" t="s">
        <v>99</v>
      </c>
      <c r="B957" s="6">
        <v>6</v>
      </c>
      <c r="C957" s="9" t="s">
        <v>90</v>
      </c>
      <c r="D957" s="6">
        <v>153</v>
      </c>
      <c r="E957" s="9" t="s">
        <v>94</v>
      </c>
      <c r="F957" s="6">
        <v>145626</v>
      </c>
      <c r="G957" s="7">
        <v>145626</v>
      </c>
      <c r="H957" s="9">
        <f>(G957-F957)</f>
        <v>0.0</v>
      </c>
      <c r="I957" s="9" t="s">
        <v>119</v>
      </c>
      <c r="J957" s="9" t="s">
        <v>120</v>
      </c>
    </row>
    <row r="958" spans="1:12" ht="23" customHeight="1">
      <c r="A958" s="9" t="s">
        <v>99</v>
      </c>
      <c r="B958" s="6">
        <v>6</v>
      </c>
      <c r="C958" s="9" t="s">
        <v>90</v>
      </c>
      <c r="D958" s="6">
        <v>153</v>
      </c>
      <c r="E958" s="9" t="s">
        <v>105</v>
      </c>
      <c r="F958" s="6">
        <v>1835</v>
      </c>
      <c r="G958" s="7">
        <v>1835</v>
      </c>
      <c r="H958" s="9">
        <f>(G958-F958)</f>
        <v>0.0</v>
      </c>
      <c r="I958" s="9" t="s">
        <v>119</v>
      </c>
      <c r="J958" s="9" t="s">
        <v>120</v>
      </c>
    </row>
    <row r="959" spans="1:12" ht="23" customHeight="1">
      <c r="A959" s="9" t="s">
        <v>99</v>
      </c>
      <c r="B959" s="6">
        <v>6</v>
      </c>
      <c r="C959" s="9" t="s">
        <v>90</v>
      </c>
      <c r="D959" s="6">
        <v>153</v>
      </c>
      <c r="E959" s="9" t="s">
        <v>106</v>
      </c>
      <c r="F959" s="6">
        <v>1835</v>
      </c>
      <c r="G959" s="7">
        <v>1835</v>
      </c>
      <c r="H959" s="9">
        <f>(G959-F959)</f>
        <v>0.0</v>
      </c>
      <c r="I959" s="9" t="s">
        <v>119</v>
      </c>
      <c r="J959" s="9" t="s">
        <v>120</v>
      </c>
    </row>
    <row r="960" spans="1:12" ht="23" customHeight="1">
      <c r="A960" s="9" t="s">
        <v>99</v>
      </c>
      <c r="B960" s="6">
        <v>6</v>
      </c>
      <c r="C960" s="9" t="s">
        <v>90</v>
      </c>
      <c r="D960" s="6">
        <v>153</v>
      </c>
      <c r="E960" s="9" t="s">
        <v>95</v>
      </c>
      <c r="F960" s="6">
        <v>145626</v>
      </c>
      <c r="G960" s="7">
        <v>145626</v>
      </c>
      <c r="H960" s="9">
        <f>(G960-F960)</f>
        <v>0.0</v>
      </c>
      <c r="I960" s="9" t="s">
        <v>119</v>
      </c>
      <c r="J960" s="9" t="s">
        <v>120</v>
      </c>
    </row>
    <row r="961" spans="1:12" ht="23" customHeight="1">
      <c r="A961" s="9" t="s">
        <v>99</v>
      </c>
      <c r="B961" s="6">
        <v>6</v>
      </c>
      <c r="C961" s="9" t="s">
        <v>90</v>
      </c>
      <c r="D961" s="6">
        <v>153</v>
      </c>
      <c r="E961" s="9" t="s">
        <v>96</v>
      </c>
      <c r="F961" s="6">
        <v>145626</v>
      </c>
      <c r="G961" s="7">
        <v>145626</v>
      </c>
      <c r="H961" s="9">
        <f>(G961-F961)</f>
        <v>0.0</v>
      </c>
      <c r="I961" s="9" t="s">
        <v>119</v>
      </c>
      <c r="J961" s="9" t="s">
        <v>120</v>
      </c>
    </row>
    <row r="962" spans="1:12" ht="23" customHeight="1">
      <c r="A962" s="9" t="s">
        <v>99</v>
      </c>
      <c r="B962" s="6">
        <v>6</v>
      </c>
      <c r="C962" s="9" t="s">
        <v>90</v>
      </c>
      <c r="D962" s="6">
        <v>153</v>
      </c>
      <c r="E962" s="9" t="s">
        <v>97</v>
      </c>
      <c r="F962" s="6">
        <v>145626</v>
      </c>
      <c r="G962" s="7">
        <v>145626</v>
      </c>
      <c r="H962" s="9">
        <f>(G962-F962)</f>
        <v>0.0</v>
      </c>
      <c r="I962" s="9" t="s">
        <v>119</v>
      </c>
      <c r="J962" s="9" t="s">
        <v>120</v>
      </c>
    </row>
    <row r="963" spans="1:12" ht="23" customHeight="1">
      <c r="A963" s="9" t="s">
        <v>99</v>
      </c>
      <c r="B963" s="6">
        <v>6</v>
      </c>
      <c r="C963" s="9" t="s">
        <v>90</v>
      </c>
      <c r="D963" s="6">
        <v>153</v>
      </c>
      <c r="E963" s="9" t="s">
        <v>98</v>
      </c>
      <c r="F963" s="6">
        <v>145626</v>
      </c>
      <c r="G963" s="7">
        <v>145626</v>
      </c>
      <c r="H963" s="9">
        <f>(G963-F963)</f>
        <v>0.0</v>
      </c>
      <c r="I963" s="9" t="s">
        <v>119</v>
      </c>
      <c r="J963" s="9" t="s">
        <v>120</v>
      </c>
    </row>
    <row r="964" spans="1:12" ht="23" customHeight="1">
      <c r="A964" s="9" t="s">
        <v>99</v>
      </c>
      <c r="B964" s="6">
        <v>6</v>
      </c>
      <c r="C964" s="9" t="s">
        <v>90</v>
      </c>
      <c r="D964" s="6">
        <v>154</v>
      </c>
      <c r="E964" s="9" t="s">
        <v>93</v>
      </c>
      <c r="F964" s="6">
        <v>155634</v>
      </c>
      <c r="G964" s="7">
        <v>155634</v>
      </c>
      <c r="H964" s="9">
        <f>(G964-F964)</f>
        <v>0.0</v>
      </c>
      <c r="I964" s="9" t="s">
        <v>119</v>
      </c>
      <c r="J964" s="9" t="s">
        <v>120</v>
      </c>
    </row>
    <row r="965" spans="1:12" ht="23" customHeight="1">
      <c r="A965" s="9" t="s">
        <v>99</v>
      </c>
      <c r="B965" s="6">
        <v>6</v>
      </c>
      <c r="C965" s="9" t="s">
        <v>90</v>
      </c>
      <c r="D965" s="6">
        <v>154</v>
      </c>
      <c r="E965" s="9" t="s">
        <v>103</v>
      </c>
      <c r="F965" s="11">
        <v>1794.4</v>
      </c>
      <c r="G965" s="8">
        <v>1794.4</v>
      </c>
      <c r="H965" s="9">
        <f>(G965-F965)</f>
        <v>0.0</v>
      </c>
      <c r="I965" s="9" t="s">
        <v>119</v>
      </c>
      <c r="J965" s="9" t="s">
        <v>120</v>
      </c>
    </row>
    <row r="966" spans="1:12" ht="23" customHeight="1">
      <c r="A966" s="9" t="s">
        <v>99</v>
      </c>
      <c r="B966" s="6">
        <v>6</v>
      </c>
      <c r="C966" s="9" t="s">
        <v>90</v>
      </c>
      <c r="D966" s="6">
        <v>154</v>
      </c>
      <c r="E966" s="9" t="s">
        <v>104</v>
      </c>
      <c r="F966" s="11">
        <v>1794.4</v>
      </c>
      <c r="G966" s="8">
        <v>1794.4</v>
      </c>
      <c r="H966" s="9">
        <f>(G966-F966)</f>
        <v>0.0</v>
      </c>
      <c r="I966" s="9" t="s">
        <v>119</v>
      </c>
      <c r="J966" s="9" t="s">
        <v>120</v>
      </c>
    </row>
    <row r="967" spans="1:12" ht="23" customHeight="1">
      <c r="A967" s="9" t="s">
        <v>99</v>
      </c>
      <c r="B967" s="6">
        <v>6</v>
      </c>
      <c r="C967" s="9" t="s">
        <v>90</v>
      </c>
      <c r="D967" s="6">
        <v>154</v>
      </c>
      <c r="E967" s="9" t="s">
        <v>94</v>
      </c>
      <c r="F967" s="6">
        <v>155634</v>
      </c>
      <c r="G967" s="7">
        <v>155634</v>
      </c>
      <c r="H967" s="9">
        <f>(G967-F967)</f>
        <v>0.0</v>
      </c>
      <c r="I967" s="9" t="s">
        <v>119</v>
      </c>
      <c r="J967" s="9" t="s">
        <v>120</v>
      </c>
    </row>
    <row r="968" spans="1:12" ht="23" customHeight="1">
      <c r="A968" s="9" t="s">
        <v>99</v>
      </c>
      <c r="B968" s="6">
        <v>6</v>
      </c>
      <c r="C968" s="9" t="s">
        <v>90</v>
      </c>
      <c r="D968" s="6">
        <v>154</v>
      </c>
      <c r="E968" s="9" t="s">
        <v>105</v>
      </c>
      <c r="F968" s="11">
        <v>1794.4</v>
      </c>
      <c r="G968" s="8">
        <v>1794.4</v>
      </c>
      <c r="H968" s="9">
        <f>(G968-F968)</f>
        <v>0.0</v>
      </c>
      <c r="I968" s="9" t="s">
        <v>119</v>
      </c>
      <c r="J968" s="9" t="s">
        <v>120</v>
      </c>
    </row>
    <row r="969" spans="1:12" ht="23" customHeight="1">
      <c r="A969" s="9" t="s">
        <v>99</v>
      </c>
      <c r="B969" s="6">
        <v>6</v>
      </c>
      <c r="C969" s="9" t="s">
        <v>90</v>
      </c>
      <c r="D969" s="6">
        <v>154</v>
      </c>
      <c r="E969" s="9" t="s">
        <v>106</v>
      </c>
      <c r="F969" s="11">
        <v>1794.4</v>
      </c>
      <c r="G969" s="8">
        <v>1794.4</v>
      </c>
      <c r="H969" s="9">
        <f>(G969-F969)</f>
        <v>0.0</v>
      </c>
      <c r="I969" s="9" t="s">
        <v>119</v>
      </c>
      <c r="J969" s="9" t="s">
        <v>120</v>
      </c>
    </row>
    <row r="970" spans="1:12" ht="23" customHeight="1">
      <c r="A970" s="9" t="s">
        <v>99</v>
      </c>
      <c r="B970" s="6">
        <v>6</v>
      </c>
      <c r="C970" s="9" t="s">
        <v>90</v>
      </c>
      <c r="D970" s="6">
        <v>154</v>
      </c>
      <c r="E970" s="9" t="s">
        <v>95</v>
      </c>
      <c r="F970" s="6">
        <v>155634</v>
      </c>
      <c r="G970" s="7">
        <v>155634</v>
      </c>
      <c r="H970" s="9">
        <f>(G970-F970)</f>
        <v>0.0</v>
      </c>
      <c r="I970" s="9" t="s">
        <v>119</v>
      </c>
      <c r="J970" s="9" t="s">
        <v>120</v>
      </c>
    </row>
    <row r="971" spans="1:12" ht="23" customHeight="1">
      <c r="A971" s="9" t="s">
        <v>99</v>
      </c>
      <c r="B971" s="6">
        <v>6</v>
      </c>
      <c r="C971" s="9" t="s">
        <v>90</v>
      </c>
      <c r="D971" s="6">
        <v>154</v>
      </c>
      <c r="E971" s="9" t="s">
        <v>96</v>
      </c>
      <c r="F971" s="6">
        <v>155634</v>
      </c>
      <c r="G971" s="7">
        <v>155634</v>
      </c>
      <c r="H971" s="9">
        <f>(G971-F971)</f>
        <v>0.0</v>
      </c>
      <c r="I971" s="9" t="s">
        <v>119</v>
      </c>
      <c r="J971" s="9" t="s">
        <v>120</v>
      </c>
    </row>
    <row r="972" spans="1:12" ht="24" customHeight="1">
      <c r="A972" s="3" t="s">
        <v>107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36" customHeight="1">
      <c r="A973" s="4" t="s">
        <v>108</v>
      </c>
      <c r="B973" s="4" t="s">
        <v>8</v>
      </c>
      <c r="C973" s="4" t="s">
        <v>109</v>
      </c>
      <c r="D973" s="4" t="s">
        <v>110</v>
      </c>
      <c r="E973" s="4" t="s">
        <v>111</v>
      </c>
      <c r="F973" s="4" t="s">
        <v>112</v>
      </c>
      <c r="G973" s="4" t="s">
        <v>113</v>
      </c>
      <c r="H973" s="4" t="s">
        <v>114</v>
      </c>
      <c r="I973" s="4" t="s">
        <v>115</v>
      </c>
      <c r="J973" s="4" t="s">
        <v>116</v>
      </c>
    </row>
    <row r="974" spans="1:12" ht="23" customHeight="1">
      <c r="A974" s="9" t="s">
        <v>99</v>
      </c>
      <c r="B974" s="6">
        <v>6</v>
      </c>
      <c r="C974" s="9" t="s">
        <v>90</v>
      </c>
      <c r="D974" s="6">
        <v>154</v>
      </c>
      <c r="E974" s="9" t="s">
        <v>97</v>
      </c>
      <c r="F974" s="6">
        <v>155634</v>
      </c>
      <c r="G974" s="7">
        <v>155634</v>
      </c>
      <c r="H974" s="9">
        <f>(G974-F974)</f>
        <v>0.0</v>
      </c>
      <c r="I974" s="9" t="s">
        <v>119</v>
      </c>
      <c r="J974" s="9" t="s">
        <v>120</v>
      </c>
    </row>
    <row r="975" spans="1:12" ht="23" customHeight="1">
      <c r="A975" s="9" t="s">
        <v>99</v>
      </c>
      <c r="B975" s="6">
        <v>6</v>
      </c>
      <c r="C975" s="9" t="s">
        <v>90</v>
      </c>
      <c r="D975" s="6">
        <v>154</v>
      </c>
      <c r="E975" s="9" t="s">
        <v>98</v>
      </c>
      <c r="F975" s="6">
        <v>155634</v>
      </c>
      <c r="G975" s="7">
        <v>155634</v>
      </c>
      <c r="H975" s="9">
        <f>(G975-F975)</f>
        <v>0.0</v>
      </c>
      <c r="I975" s="9" t="s">
        <v>119</v>
      </c>
      <c r="J975" s="9" t="s">
        <v>120</v>
      </c>
    </row>
    <row r="976" spans="1:12" ht="23" customHeight="1">
      <c r="A976" s="9" t="s">
        <v>99</v>
      </c>
      <c r="B976" s="6">
        <v>6</v>
      </c>
      <c r="C976" s="9" t="s">
        <v>90</v>
      </c>
      <c r="D976" s="6">
        <v>155</v>
      </c>
      <c r="E976" s="9" t="s">
        <v>93</v>
      </c>
      <c r="F976" s="6">
        <v>223257</v>
      </c>
      <c r="G976" s="7">
        <v>223257</v>
      </c>
      <c r="H976" s="9">
        <f>(G976-F976)</f>
        <v>0.0</v>
      </c>
      <c r="I976" s="9" t="s">
        <v>119</v>
      </c>
      <c r="J976" s="9" t="s">
        <v>120</v>
      </c>
    </row>
    <row r="977" spans="1:12" ht="23" customHeight="1">
      <c r="A977" s="9" t="s">
        <v>99</v>
      </c>
      <c r="B977" s="6">
        <v>6</v>
      </c>
      <c r="C977" s="9" t="s">
        <v>90</v>
      </c>
      <c r="D977" s="6">
        <v>155</v>
      </c>
      <c r="E977" s="9" t="s">
        <v>103</v>
      </c>
      <c r="F977" s="6">
        <v>2313</v>
      </c>
      <c r="G977" s="7">
        <v>2313</v>
      </c>
      <c r="H977" s="9">
        <f>(G977-F977)</f>
        <v>0.0</v>
      </c>
      <c r="I977" s="9" t="s">
        <v>119</v>
      </c>
      <c r="J977" s="9" t="s">
        <v>120</v>
      </c>
    </row>
    <row r="978" spans="1:12" ht="23" customHeight="1">
      <c r="A978" s="9" t="s">
        <v>99</v>
      </c>
      <c r="B978" s="6">
        <v>6</v>
      </c>
      <c r="C978" s="9" t="s">
        <v>90</v>
      </c>
      <c r="D978" s="6">
        <v>155</v>
      </c>
      <c r="E978" s="9" t="s">
        <v>104</v>
      </c>
      <c r="F978" s="6">
        <v>2313</v>
      </c>
      <c r="G978" s="7">
        <v>2313</v>
      </c>
      <c r="H978" s="9">
        <f>(G978-F978)</f>
        <v>0.0</v>
      </c>
      <c r="I978" s="9" t="s">
        <v>119</v>
      </c>
      <c r="J978" s="9" t="s">
        <v>120</v>
      </c>
    </row>
    <row r="979" spans="1:12" ht="23" customHeight="1">
      <c r="A979" s="9" t="s">
        <v>99</v>
      </c>
      <c r="B979" s="6">
        <v>6</v>
      </c>
      <c r="C979" s="9" t="s">
        <v>90</v>
      </c>
      <c r="D979" s="6">
        <v>155</v>
      </c>
      <c r="E979" s="9" t="s">
        <v>94</v>
      </c>
      <c r="F979" s="6">
        <v>223257</v>
      </c>
      <c r="G979" s="7">
        <v>223257</v>
      </c>
      <c r="H979" s="9">
        <f>(G979-F979)</f>
        <v>0.0</v>
      </c>
      <c r="I979" s="9" t="s">
        <v>119</v>
      </c>
      <c r="J979" s="9" t="s">
        <v>120</v>
      </c>
    </row>
    <row r="980" spans="1:12" ht="23" customHeight="1">
      <c r="A980" s="9" t="s">
        <v>99</v>
      </c>
      <c r="B980" s="6">
        <v>6</v>
      </c>
      <c r="C980" s="9" t="s">
        <v>90</v>
      </c>
      <c r="D980" s="6">
        <v>155</v>
      </c>
      <c r="E980" s="9" t="s">
        <v>105</v>
      </c>
      <c r="F980" s="6">
        <v>2313</v>
      </c>
      <c r="G980" s="7">
        <v>2313</v>
      </c>
      <c r="H980" s="9">
        <f>(G980-F980)</f>
        <v>0.0</v>
      </c>
      <c r="I980" s="9" t="s">
        <v>119</v>
      </c>
      <c r="J980" s="9" t="s">
        <v>120</v>
      </c>
    </row>
    <row r="981" spans="1:12" ht="23" customHeight="1">
      <c r="A981" s="9" t="s">
        <v>99</v>
      </c>
      <c r="B981" s="6">
        <v>6</v>
      </c>
      <c r="C981" s="9" t="s">
        <v>90</v>
      </c>
      <c r="D981" s="6">
        <v>155</v>
      </c>
      <c r="E981" s="9" t="s">
        <v>106</v>
      </c>
      <c r="F981" s="6">
        <v>2313</v>
      </c>
      <c r="G981" s="7">
        <v>2313</v>
      </c>
      <c r="H981" s="9">
        <f>(G981-F981)</f>
        <v>0.0</v>
      </c>
      <c r="I981" s="9" t="s">
        <v>119</v>
      </c>
      <c r="J981" s="9" t="s">
        <v>120</v>
      </c>
    </row>
    <row r="982" spans="1:12" ht="23" customHeight="1">
      <c r="A982" s="9" t="s">
        <v>99</v>
      </c>
      <c r="B982" s="6">
        <v>6</v>
      </c>
      <c r="C982" s="9" t="s">
        <v>90</v>
      </c>
      <c r="D982" s="6">
        <v>155</v>
      </c>
      <c r="E982" s="9" t="s">
        <v>95</v>
      </c>
      <c r="F982" s="6">
        <v>223257</v>
      </c>
      <c r="G982" s="7">
        <v>223257</v>
      </c>
      <c r="H982" s="9">
        <f>(G982-F982)</f>
        <v>0.0</v>
      </c>
      <c r="I982" s="9" t="s">
        <v>119</v>
      </c>
      <c r="J982" s="9" t="s">
        <v>120</v>
      </c>
    </row>
    <row r="983" spans="1:12" ht="23" customHeight="1">
      <c r="A983" s="9" t="s">
        <v>99</v>
      </c>
      <c r="B983" s="6">
        <v>6</v>
      </c>
      <c r="C983" s="9" t="s">
        <v>90</v>
      </c>
      <c r="D983" s="6">
        <v>155</v>
      </c>
      <c r="E983" s="9" t="s">
        <v>96</v>
      </c>
      <c r="F983" s="6">
        <v>223257</v>
      </c>
      <c r="G983" s="7">
        <v>223257</v>
      </c>
      <c r="H983" s="9">
        <f>(G983-F983)</f>
        <v>0.0</v>
      </c>
      <c r="I983" s="9" t="s">
        <v>119</v>
      </c>
      <c r="J983" s="9" t="s">
        <v>120</v>
      </c>
    </row>
    <row r="984" spans="1:12" ht="23" customHeight="1">
      <c r="A984" s="9" t="s">
        <v>99</v>
      </c>
      <c r="B984" s="6">
        <v>6</v>
      </c>
      <c r="C984" s="9" t="s">
        <v>90</v>
      </c>
      <c r="D984" s="6">
        <v>155</v>
      </c>
      <c r="E984" s="9" t="s">
        <v>97</v>
      </c>
      <c r="F984" s="6">
        <v>223257</v>
      </c>
      <c r="G984" s="7">
        <v>223257</v>
      </c>
      <c r="H984" s="9">
        <f>(G984-F984)</f>
        <v>0.0</v>
      </c>
      <c r="I984" s="9" t="s">
        <v>119</v>
      </c>
      <c r="J984" s="9" t="s">
        <v>120</v>
      </c>
    </row>
    <row r="985" spans="1:12" ht="23" customHeight="1">
      <c r="A985" s="9" t="s">
        <v>99</v>
      </c>
      <c r="B985" s="6">
        <v>6</v>
      </c>
      <c r="C985" s="9" t="s">
        <v>90</v>
      </c>
      <c r="D985" s="6">
        <v>155</v>
      </c>
      <c r="E985" s="9" t="s">
        <v>98</v>
      </c>
      <c r="F985" s="6">
        <v>223257</v>
      </c>
      <c r="G985" s="7">
        <v>223257</v>
      </c>
      <c r="H985" s="9">
        <f>(G985-F985)</f>
        <v>0.0</v>
      </c>
      <c r="I985" s="9" t="s">
        <v>119</v>
      </c>
      <c r="J985" s="9" t="s">
        <v>120</v>
      </c>
    </row>
    <row r="986" spans="1:12" ht="23" customHeight="1">
      <c r="A986" s="9" t="s">
        <v>99</v>
      </c>
      <c r="B986" s="6">
        <v>6</v>
      </c>
      <c r="C986" s="9" t="s">
        <v>90</v>
      </c>
      <c r="D986" s="6">
        <v>156</v>
      </c>
      <c r="E986" s="9" t="s">
        <v>93</v>
      </c>
      <c r="F986" s="6">
        <v>218438</v>
      </c>
      <c r="G986" s="7">
        <v>218438</v>
      </c>
      <c r="H986" s="9">
        <f>(G986-F986)</f>
        <v>0.0</v>
      </c>
      <c r="I986" s="9" t="s">
        <v>119</v>
      </c>
      <c r="J986" s="9" t="s">
        <v>120</v>
      </c>
    </row>
    <row r="987" spans="1:12" ht="23" customHeight="1">
      <c r="A987" s="9" t="s">
        <v>99</v>
      </c>
      <c r="B987" s="6">
        <v>6</v>
      </c>
      <c r="C987" s="9" t="s">
        <v>90</v>
      </c>
      <c r="D987" s="6">
        <v>156</v>
      </c>
      <c r="E987" s="9" t="s">
        <v>103</v>
      </c>
      <c r="F987" s="11">
        <v>2752.4</v>
      </c>
      <c r="G987" s="8">
        <v>2752.4</v>
      </c>
      <c r="H987" s="9">
        <f>(G987-F987)</f>
        <v>0.0</v>
      </c>
      <c r="I987" s="9" t="s">
        <v>119</v>
      </c>
      <c r="J987" s="9" t="s">
        <v>120</v>
      </c>
    </row>
    <row r="988" spans="1:12" ht="23" customHeight="1">
      <c r="A988" s="9" t="s">
        <v>99</v>
      </c>
      <c r="B988" s="6">
        <v>6</v>
      </c>
      <c r="C988" s="9" t="s">
        <v>90</v>
      </c>
      <c r="D988" s="6">
        <v>156</v>
      </c>
      <c r="E988" s="9" t="s">
        <v>104</v>
      </c>
      <c r="F988" s="11">
        <v>2752.4</v>
      </c>
      <c r="G988" s="8">
        <v>2752.4</v>
      </c>
      <c r="H988" s="9">
        <f>(G988-F988)</f>
        <v>0.0</v>
      </c>
      <c r="I988" s="9" t="s">
        <v>119</v>
      </c>
      <c r="J988" s="9" t="s">
        <v>120</v>
      </c>
    </row>
    <row r="989" spans="1:12" ht="24" customHeight="1">
      <c r="A989" s="3" t="s">
        <v>107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36" customHeight="1">
      <c r="A990" s="4" t="s">
        <v>108</v>
      </c>
      <c r="B990" s="4" t="s">
        <v>8</v>
      </c>
      <c r="C990" s="4" t="s">
        <v>109</v>
      </c>
      <c r="D990" s="4" t="s">
        <v>110</v>
      </c>
      <c r="E990" s="4" t="s">
        <v>111</v>
      </c>
      <c r="F990" s="4" t="s">
        <v>112</v>
      </c>
      <c r="G990" s="4" t="s">
        <v>113</v>
      </c>
      <c r="H990" s="4" t="s">
        <v>114</v>
      </c>
      <c r="I990" s="4" t="s">
        <v>115</v>
      </c>
      <c r="J990" s="4" t="s">
        <v>116</v>
      </c>
    </row>
    <row r="991" spans="1:12" ht="23" customHeight="1">
      <c r="A991" s="9" t="s">
        <v>99</v>
      </c>
      <c r="B991" s="6">
        <v>6</v>
      </c>
      <c r="C991" s="9" t="s">
        <v>90</v>
      </c>
      <c r="D991" s="6">
        <v>156</v>
      </c>
      <c r="E991" s="9" t="s">
        <v>94</v>
      </c>
      <c r="F991" s="6">
        <v>218438</v>
      </c>
      <c r="G991" s="7">
        <v>218438</v>
      </c>
      <c r="H991" s="9">
        <f>(G991-F991)</f>
        <v>0.0</v>
      </c>
      <c r="I991" s="9" t="s">
        <v>119</v>
      </c>
      <c r="J991" s="9" t="s">
        <v>120</v>
      </c>
    </row>
    <row r="992" spans="1:12" ht="23" customHeight="1">
      <c r="A992" s="9" t="s">
        <v>99</v>
      </c>
      <c r="B992" s="6">
        <v>6</v>
      </c>
      <c r="C992" s="9" t="s">
        <v>90</v>
      </c>
      <c r="D992" s="6">
        <v>156</v>
      </c>
      <c r="E992" s="9" t="s">
        <v>105</v>
      </c>
      <c r="F992" s="11">
        <v>2752.4</v>
      </c>
      <c r="G992" s="8">
        <v>2752.4</v>
      </c>
      <c r="H992" s="9">
        <f>(G992-F992)</f>
        <v>0.0</v>
      </c>
      <c r="I992" s="9" t="s">
        <v>119</v>
      </c>
      <c r="J992" s="9" t="s">
        <v>120</v>
      </c>
    </row>
    <row r="993" spans="1:12" ht="23" customHeight="1">
      <c r="A993" s="9" t="s">
        <v>99</v>
      </c>
      <c r="B993" s="6">
        <v>6</v>
      </c>
      <c r="C993" s="9" t="s">
        <v>90</v>
      </c>
      <c r="D993" s="6">
        <v>156</v>
      </c>
      <c r="E993" s="9" t="s">
        <v>106</v>
      </c>
      <c r="F993" s="11">
        <v>2752.4</v>
      </c>
      <c r="G993" s="8">
        <v>2752.4</v>
      </c>
      <c r="H993" s="9">
        <f>(G993-F993)</f>
        <v>0.0</v>
      </c>
      <c r="I993" s="9" t="s">
        <v>119</v>
      </c>
      <c r="J993" s="9" t="s">
        <v>120</v>
      </c>
    </row>
    <row r="994" spans="1:12" ht="23" customHeight="1">
      <c r="A994" s="9" t="s">
        <v>99</v>
      </c>
      <c r="B994" s="6">
        <v>6</v>
      </c>
      <c r="C994" s="9" t="s">
        <v>90</v>
      </c>
      <c r="D994" s="6">
        <v>156</v>
      </c>
      <c r="E994" s="9" t="s">
        <v>95</v>
      </c>
      <c r="F994" s="6">
        <v>218438</v>
      </c>
      <c r="G994" s="7">
        <v>218438</v>
      </c>
      <c r="H994" s="9">
        <f>(G994-F994)</f>
        <v>0.0</v>
      </c>
      <c r="I994" s="9" t="s">
        <v>119</v>
      </c>
      <c r="J994" s="9" t="s">
        <v>120</v>
      </c>
    </row>
    <row r="995" spans="1:12" ht="23" customHeight="1">
      <c r="A995" s="9" t="s">
        <v>99</v>
      </c>
      <c r="B995" s="6">
        <v>6</v>
      </c>
      <c r="C995" s="9" t="s">
        <v>90</v>
      </c>
      <c r="D995" s="6">
        <v>156</v>
      </c>
      <c r="E995" s="9" t="s">
        <v>96</v>
      </c>
      <c r="F995" s="6">
        <v>218438</v>
      </c>
      <c r="G995" s="7">
        <v>218438</v>
      </c>
      <c r="H995" s="9">
        <f>(G995-F995)</f>
        <v>0.0</v>
      </c>
      <c r="I995" s="9" t="s">
        <v>119</v>
      </c>
      <c r="J995" s="9" t="s">
        <v>120</v>
      </c>
    </row>
    <row r="996" spans="1:12" ht="23" customHeight="1">
      <c r="A996" s="9" t="s">
        <v>99</v>
      </c>
      <c r="B996" s="6">
        <v>6</v>
      </c>
      <c r="C996" s="9" t="s">
        <v>90</v>
      </c>
      <c r="D996" s="6">
        <v>156</v>
      </c>
      <c r="E996" s="9" t="s">
        <v>97</v>
      </c>
      <c r="F996" s="6">
        <v>218438</v>
      </c>
      <c r="G996" s="7">
        <v>218438</v>
      </c>
      <c r="H996" s="9">
        <f>(G996-F996)</f>
        <v>0.0</v>
      </c>
      <c r="I996" s="9" t="s">
        <v>119</v>
      </c>
      <c r="J996" s="9" t="s">
        <v>120</v>
      </c>
    </row>
    <row r="997" spans="1:12" ht="23" customHeight="1">
      <c r="A997" s="9" t="s">
        <v>99</v>
      </c>
      <c r="B997" s="6">
        <v>6</v>
      </c>
      <c r="C997" s="9" t="s">
        <v>90</v>
      </c>
      <c r="D997" s="6">
        <v>156</v>
      </c>
      <c r="E997" s="9" t="s">
        <v>98</v>
      </c>
      <c r="F997" s="6">
        <v>218438</v>
      </c>
      <c r="G997" s="7">
        <v>218438</v>
      </c>
      <c r="H997" s="9">
        <f>(G997-F997)</f>
        <v>0.0</v>
      </c>
      <c r="I997" s="9" t="s">
        <v>119</v>
      </c>
      <c r="J997" s="9" t="s">
        <v>120</v>
      </c>
    </row>
    <row r="998" spans="1:12" ht="23" customHeight="1">
      <c r="A998" s="9" t="s">
        <v>99</v>
      </c>
      <c r="B998" s="6">
        <v>6</v>
      </c>
      <c r="C998" s="9" t="s">
        <v>90</v>
      </c>
      <c r="D998" s="6">
        <v>157</v>
      </c>
      <c r="E998" s="9" t="s">
        <v>93</v>
      </c>
      <c r="F998" s="6">
        <v>218438</v>
      </c>
      <c r="G998" s="7">
        <v>218438</v>
      </c>
      <c r="H998" s="9">
        <f>(G998-F998)</f>
        <v>0.0</v>
      </c>
      <c r="I998" s="9" t="s">
        <v>119</v>
      </c>
      <c r="J998" s="9" t="s">
        <v>120</v>
      </c>
    </row>
    <row r="999" spans="1:12" ht="23" customHeight="1">
      <c r="A999" s="9" t="s">
        <v>99</v>
      </c>
      <c r="B999" s="6">
        <v>6</v>
      </c>
      <c r="C999" s="9" t="s">
        <v>90</v>
      </c>
      <c r="D999" s="6">
        <v>157</v>
      </c>
      <c r="E999" s="9" t="s">
        <v>103</v>
      </c>
      <c r="F999" s="11">
        <v>2752.4</v>
      </c>
      <c r="G999" s="8">
        <v>2752.4</v>
      </c>
      <c r="H999" s="9">
        <f>(G999-F999)</f>
        <v>0.0</v>
      </c>
      <c r="I999" s="9" t="s">
        <v>119</v>
      </c>
      <c r="J999" s="9" t="s">
        <v>120</v>
      </c>
    </row>
    <row r="1000" spans="1:12" ht="23" customHeight="1">
      <c r="A1000" s="9" t="s">
        <v>99</v>
      </c>
      <c r="B1000" s="6">
        <v>6</v>
      </c>
      <c r="C1000" s="9" t="s">
        <v>90</v>
      </c>
      <c r="D1000" s="6">
        <v>157</v>
      </c>
      <c r="E1000" s="9" t="s">
        <v>104</v>
      </c>
      <c r="F1000" s="11">
        <v>2752.4</v>
      </c>
      <c r="G1000" s="8">
        <v>2752.4</v>
      </c>
      <c r="H1000" s="9">
        <f>(G1000-F1000)</f>
        <v>0.0</v>
      </c>
      <c r="I1000" s="9" t="s">
        <v>119</v>
      </c>
      <c r="J1000" s="9" t="s">
        <v>120</v>
      </c>
    </row>
    <row r="1001" spans="1:12" ht="23" customHeight="1">
      <c r="A1001" s="9" t="s">
        <v>99</v>
      </c>
      <c r="B1001" s="6">
        <v>6</v>
      </c>
      <c r="C1001" s="9" t="s">
        <v>90</v>
      </c>
      <c r="D1001" s="6">
        <v>157</v>
      </c>
      <c r="E1001" s="9" t="s">
        <v>94</v>
      </c>
      <c r="F1001" s="6">
        <v>218438</v>
      </c>
      <c r="G1001" s="7">
        <v>218438</v>
      </c>
      <c r="H1001" s="9">
        <f>(G1001-F1001)</f>
        <v>0.0</v>
      </c>
      <c r="I1001" s="9" t="s">
        <v>119</v>
      </c>
      <c r="J1001" s="9" t="s">
        <v>120</v>
      </c>
    </row>
    <row r="1002" spans="1:12" ht="23" customHeight="1">
      <c r="A1002" s="9" t="s">
        <v>99</v>
      </c>
      <c r="B1002" s="6">
        <v>6</v>
      </c>
      <c r="C1002" s="9" t="s">
        <v>90</v>
      </c>
      <c r="D1002" s="6">
        <v>157</v>
      </c>
      <c r="E1002" s="9" t="s">
        <v>105</v>
      </c>
      <c r="F1002" s="11">
        <v>2752.4</v>
      </c>
      <c r="G1002" s="8">
        <v>2752.4</v>
      </c>
      <c r="H1002" s="9">
        <f>(G1002-F1002)</f>
        <v>0.0</v>
      </c>
      <c r="I1002" s="9" t="s">
        <v>119</v>
      </c>
      <c r="J1002" s="9" t="s">
        <v>120</v>
      </c>
    </row>
    <row r="1003" spans="1:12" ht="23" customHeight="1">
      <c r="A1003" s="9" t="s">
        <v>99</v>
      </c>
      <c r="B1003" s="6">
        <v>6</v>
      </c>
      <c r="C1003" s="9" t="s">
        <v>90</v>
      </c>
      <c r="D1003" s="6">
        <v>157</v>
      </c>
      <c r="E1003" s="9" t="s">
        <v>106</v>
      </c>
      <c r="F1003" s="11">
        <v>2752.4</v>
      </c>
      <c r="G1003" s="8">
        <v>2752.4</v>
      </c>
      <c r="H1003" s="9">
        <f>(G1003-F1003)</f>
        <v>0.0</v>
      </c>
      <c r="I1003" s="9" t="s">
        <v>119</v>
      </c>
      <c r="J1003" s="9" t="s">
        <v>120</v>
      </c>
    </row>
    <row r="1004" spans="1:12" ht="23" customHeight="1">
      <c r="A1004" s="9" t="s">
        <v>99</v>
      </c>
      <c r="B1004" s="6">
        <v>6</v>
      </c>
      <c r="C1004" s="9" t="s">
        <v>90</v>
      </c>
      <c r="D1004" s="6">
        <v>157</v>
      </c>
      <c r="E1004" s="9" t="s">
        <v>95</v>
      </c>
      <c r="F1004" s="6">
        <v>218438</v>
      </c>
      <c r="G1004" s="7">
        <v>218438</v>
      </c>
      <c r="H1004" s="9">
        <f>(G1004-F1004)</f>
        <v>0.0</v>
      </c>
      <c r="I1004" s="9" t="s">
        <v>119</v>
      </c>
      <c r="J1004" s="9" t="s">
        <v>120</v>
      </c>
    </row>
    <row r="1005" spans="1:12" ht="23" customHeight="1">
      <c r="A1005" s="9" t="s">
        <v>99</v>
      </c>
      <c r="B1005" s="6">
        <v>6</v>
      </c>
      <c r="C1005" s="9" t="s">
        <v>90</v>
      </c>
      <c r="D1005" s="6">
        <v>157</v>
      </c>
      <c r="E1005" s="9" t="s">
        <v>96</v>
      </c>
      <c r="F1005" s="6">
        <v>218438</v>
      </c>
      <c r="G1005" s="7">
        <v>218438</v>
      </c>
      <c r="H1005" s="9">
        <f>(G1005-F1005)</f>
        <v>0.0</v>
      </c>
      <c r="I1005" s="9" t="s">
        <v>119</v>
      </c>
      <c r="J1005" s="9" t="s">
        <v>120</v>
      </c>
    </row>
    <row r="1006" spans="1:12" ht="24" customHeight="1">
      <c r="A1006" s="3" t="s">
        <v>107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36" customHeight="1">
      <c r="A1007" s="4" t="s">
        <v>108</v>
      </c>
      <c r="B1007" s="4" t="s">
        <v>8</v>
      </c>
      <c r="C1007" s="4" t="s">
        <v>109</v>
      </c>
      <c r="D1007" s="4" t="s">
        <v>110</v>
      </c>
      <c r="E1007" s="4" t="s">
        <v>111</v>
      </c>
      <c r="F1007" s="4" t="s">
        <v>112</v>
      </c>
      <c r="G1007" s="4" t="s">
        <v>113</v>
      </c>
      <c r="H1007" s="4" t="s">
        <v>114</v>
      </c>
      <c r="I1007" s="4" t="s">
        <v>115</v>
      </c>
      <c r="J1007" s="4" t="s">
        <v>116</v>
      </c>
    </row>
    <row r="1008" spans="1:12" ht="23" customHeight="1">
      <c r="A1008" s="9" t="s">
        <v>99</v>
      </c>
      <c r="B1008" s="6">
        <v>6</v>
      </c>
      <c r="C1008" s="9" t="s">
        <v>90</v>
      </c>
      <c r="D1008" s="6">
        <v>157</v>
      </c>
      <c r="E1008" s="9" t="s">
        <v>97</v>
      </c>
      <c r="F1008" s="6">
        <v>218438</v>
      </c>
      <c r="G1008" s="7">
        <v>218438</v>
      </c>
      <c r="H1008" s="9">
        <f>(G1008-F1008)</f>
        <v>0.0</v>
      </c>
      <c r="I1008" s="9" t="s">
        <v>119</v>
      </c>
      <c r="J1008" s="9" t="s">
        <v>120</v>
      </c>
    </row>
    <row r="1009" spans="1:12" ht="23" customHeight="1">
      <c r="A1009" s="9" t="s">
        <v>99</v>
      </c>
      <c r="B1009" s="6">
        <v>6</v>
      </c>
      <c r="C1009" s="9" t="s">
        <v>90</v>
      </c>
      <c r="D1009" s="6">
        <v>157</v>
      </c>
      <c r="E1009" s="9" t="s">
        <v>98</v>
      </c>
      <c r="F1009" s="6">
        <v>218438</v>
      </c>
      <c r="G1009" s="7">
        <v>218438</v>
      </c>
      <c r="H1009" s="9">
        <f>(G1009-F1009)</f>
        <v>0.0</v>
      </c>
      <c r="I1009" s="9" t="s">
        <v>119</v>
      </c>
      <c r="J1009" s="9" t="s">
        <v>120</v>
      </c>
    </row>
    <row r="1010" spans="1:12" ht="23" customHeight="1">
      <c r="A1010" s="9" t="s">
        <v>99</v>
      </c>
      <c r="B1010" s="6">
        <v>6</v>
      </c>
      <c r="C1010" s="9" t="s">
        <v>90</v>
      </c>
      <c r="D1010" s="6">
        <v>158</v>
      </c>
      <c r="E1010" s="9" t="s">
        <v>93</v>
      </c>
      <c r="F1010" s="6">
        <v>218438</v>
      </c>
      <c r="G1010" s="7">
        <v>218438</v>
      </c>
      <c r="H1010" s="9">
        <f>(G1010-F1010)</f>
        <v>0.0</v>
      </c>
      <c r="I1010" s="9" t="s">
        <v>119</v>
      </c>
      <c r="J1010" s="9" t="s">
        <v>120</v>
      </c>
    </row>
    <row r="1011" spans="1:12" ht="23" customHeight="1">
      <c r="A1011" s="9" t="s">
        <v>99</v>
      </c>
      <c r="B1011" s="6">
        <v>6</v>
      </c>
      <c r="C1011" s="9" t="s">
        <v>90</v>
      </c>
      <c r="D1011" s="6">
        <v>158</v>
      </c>
      <c r="E1011" s="9" t="s">
        <v>103</v>
      </c>
      <c r="F1011" s="11">
        <v>2752.4</v>
      </c>
      <c r="G1011" s="8">
        <v>2752.4</v>
      </c>
      <c r="H1011" s="9">
        <f>(G1011-F1011)</f>
        <v>0.0</v>
      </c>
      <c r="I1011" s="9" t="s">
        <v>119</v>
      </c>
      <c r="J1011" s="9" t="s">
        <v>120</v>
      </c>
    </row>
    <row r="1012" spans="1:12" ht="23" customHeight="1">
      <c r="A1012" s="9" t="s">
        <v>99</v>
      </c>
      <c r="B1012" s="6">
        <v>6</v>
      </c>
      <c r="C1012" s="9" t="s">
        <v>90</v>
      </c>
      <c r="D1012" s="6">
        <v>158</v>
      </c>
      <c r="E1012" s="9" t="s">
        <v>104</v>
      </c>
      <c r="F1012" s="11">
        <v>2752.4</v>
      </c>
      <c r="G1012" s="8">
        <v>2752.4</v>
      </c>
      <c r="H1012" s="9">
        <f>(G1012-F1012)</f>
        <v>0.0</v>
      </c>
      <c r="I1012" s="9" t="s">
        <v>119</v>
      </c>
      <c r="J1012" s="9" t="s">
        <v>120</v>
      </c>
    </row>
    <row r="1013" spans="1:12" ht="23" customHeight="1">
      <c r="A1013" s="9" t="s">
        <v>99</v>
      </c>
      <c r="B1013" s="6">
        <v>6</v>
      </c>
      <c r="C1013" s="9" t="s">
        <v>90</v>
      </c>
      <c r="D1013" s="6">
        <v>158</v>
      </c>
      <c r="E1013" s="9" t="s">
        <v>94</v>
      </c>
      <c r="F1013" s="6">
        <v>218438</v>
      </c>
      <c r="G1013" s="7">
        <v>218438</v>
      </c>
      <c r="H1013" s="9">
        <f>(G1013-F1013)</f>
        <v>0.0</v>
      </c>
      <c r="I1013" s="9" t="s">
        <v>119</v>
      </c>
      <c r="J1013" s="9" t="s">
        <v>120</v>
      </c>
    </row>
    <row r="1014" spans="1:12" ht="23" customHeight="1">
      <c r="A1014" s="9" t="s">
        <v>99</v>
      </c>
      <c r="B1014" s="6">
        <v>6</v>
      </c>
      <c r="C1014" s="9" t="s">
        <v>90</v>
      </c>
      <c r="D1014" s="6">
        <v>158</v>
      </c>
      <c r="E1014" s="9" t="s">
        <v>105</v>
      </c>
      <c r="F1014" s="11">
        <v>2752.4</v>
      </c>
      <c r="G1014" s="8">
        <v>2752.4</v>
      </c>
      <c r="H1014" s="9">
        <f>(G1014-F1014)</f>
        <v>0.0</v>
      </c>
      <c r="I1014" s="9" t="s">
        <v>119</v>
      </c>
      <c r="J1014" s="9" t="s">
        <v>120</v>
      </c>
    </row>
    <row r="1015" spans="1:12" ht="23" customHeight="1">
      <c r="A1015" s="9" t="s">
        <v>99</v>
      </c>
      <c r="B1015" s="6">
        <v>6</v>
      </c>
      <c r="C1015" s="9" t="s">
        <v>90</v>
      </c>
      <c r="D1015" s="6">
        <v>158</v>
      </c>
      <c r="E1015" s="9" t="s">
        <v>106</v>
      </c>
      <c r="F1015" s="11">
        <v>2752.4</v>
      </c>
      <c r="G1015" s="8">
        <v>2752.4</v>
      </c>
      <c r="H1015" s="9">
        <f>(G1015-F1015)</f>
        <v>0.0</v>
      </c>
      <c r="I1015" s="9" t="s">
        <v>119</v>
      </c>
      <c r="J1015" s="9" t="s">
        <v>120</v>
      </c>
    </row>
    <row r="1016" spans="1:12" ht="23" customHeight="1">
      <c r="A1016" s="9" t="s">
        <v>99</v>
      </c>
      <c r="B1016" s="6">
        <v>6</v>
      </c>
      <c r="C1016" s="9" t="s">
        <v>90</v>
      </c>
      <c r="D1016" s="6">
        <v>158</v>
      </c>
      <c r="E1016" s="9" t="s">
        <v>95</v>
      </c>
      <c r="F1016" s="6">
        <v>218438</v>
      </c>
      <c r="G1016" s="7">
        <v>218438</v>
      </c>
      <c r="H1016" s="9">
        <f>(G1016-F1016)</f>
        <v>0.0</v>
      </c>
      <c r="I1016" s="9" t="s">
        <v>119</v>
      </c>
      <c r="J1016" s="9" t="s">
        <v>120</v>
      </c>
    </row>
    <row r="1017" spans="1:12" ht="23" customHeight="1">
      <c r="A1017" s="9" t="s">
        <v>99</v>
      </c>
      <c r="B1017" s="6">
        <v>6</v>
      </c>
      <c r="C1017" s="9" t="s">
        <v>90</v>
      </c>
      <c r="D1017" s="6">
        <v>158</v>
      </c>
      <c r="E1017" s="9" t="s">
        <v>96</v>
      </c>
      <c r="F1017" s="6">
        <v>218438</v>
      </c>
      <c r="G1017" s="7">
        <v>218438</v>
      </c>
      <c r="H1017" s="9">
        <f>(G1017-F1017)</f>
        <v>0.0</v>
      </c>
      <c r="I1017" s="9" t="s">
        <v>119</v>
      </c>
      <c r="J1017" s="9" t="s">
        <v>120</v>
      </c>
    </row>
    <row r="1018" spans="1:12" ht="23" customHeight="1">
      <c r="A1018" s="9" t="s">
        <v>99</v>
      </c>
      <c r="B1018" s="6">
        <v>6</v>
      </c>
      <c r="C1018" s="9" t="s">
        <v>90</v>
      </c>
      <c r="D1018" s="6">
        <v>158</v>
      </c>
      <c r="E1018" s="9" t="s">
        <v>97</v>
      </c>
      <c r="F1018" s="6">
        <v>218438</v>
      </c>
      <c r="G1018" s="7">
        <v>218438</v>
      </c>
      <c r="H1018" s="9">
        <f>(G1018-F1018)</f>
        <v>0.0</v>
      </c>
      <c r="I1018" s="9" t="s">
        <v>119</v>
      </c>
      <c r="J1018" s="9" t="s">
        <v>120</v>
      </c>
    </row>
    <row r="1019" spans="1:12" ht="23" customHeight="1">
      <c r="A1019" s="9" t="s">
        <v>99</v>
      </c>
      <c r="B1019" s="6">
        <v>6</v>
      </c>
      <c r="C1019" s="9" t="s">
        <v>90</v>
      </c>
      <c r="D1019" s="6">
        <v>158</v>
      </c>
      <c r="E1019" s="9" t="s">
        <v>98</v>
      </c>
      <c r="F1019" s="6">
        <v>218438</v>
      </c>
      <c r="G1019" s="7">
        <v>218438</v>
      </c>
      <c r="H1019" s="9">
        <f>(G1019-F1019)</f>
        <v>0.0</v>
      </c>
      <c r="I1019" s="9" t="s">
        <v>119</v>
      </c>
      <c r="J1019" s="9" t="s">
        <v>120</v>
      </c>
    </row>
    <row r="1020" spans="1:12" ht="23" customHeight="1">
      <c r="A1020" s="9" t="s">
        <v>99</v>
      </c>
      <c r="B1020" s="6">
        <v>6</v>
      </c>
      <c r="C1020" s="9" t="s">
        <v>90</v>
      </c>
      <c r="D1020" s="6">
        <v>159</v>
      </c>
      <c r="E1020" s="9" t="s">
        <v>93</v>
      </c>
      <c r="F1020" s="6">
        <v>218438</v>
      </c>
      <c r="G1020" s="7">
        <v>218438</v>
      </c>
      <c r="H1020" s="9">
        <f>(G1020-F1020)</f>
        <v>0.0</v>
      </c>
      <c r="I1020" s="9" t="s">
        <v>119</v>
      </c>
      <c r="J1020" s="9" t="s">
        <v>120</v>
      </c>
    </row>
    <row r="1021" spans="1:12" ht="23" customHeight="1">
      <c r="A1021" s="9" t="s">
        <v>99</v>
      </c>
      <c r="B1021" s="6">
        <v>6</v>
      </c>
      <c r="C1021" s="9" t="s">
        <v>90</v>
      </c>
      <c r="D1021" s="6">
        <v>159</v>
      </c>
      <c r="E1021" s="9" t="s">
        <v>103</v>
      </c>
      <c r="F1021" s="11">
        <v>2752.4</v>
      </c>
      <c r="G1021" s="8">
        <v>2752.4</v>
      </c>
      <c r="H1021" s="9">
        <f>(G1021-F1021)</f>
        <v>0.0</v>
      </c>
      <c r="I1021" s="9" t="s">
        <v>119</v>
      </c>
      <c r="J1021" s="9" t="s">
        <v>120</v>
      </c>
    </row>
    <row r="1022" spans="1:12" ht="23" customHeight="1">
      <c r="A1022" s="9" t="s">
        <v>99</v>
      </c>
      <c r="B1022" s="6">
        <v>6</v>
      </c>
      <c r="C1022" s="9" t="s">
        <v>90</v>
      </c>
      <c r="D1022" s="6">
        <v>159</v>
      </c>
      <c r="E1022" s="9" t="s">
        <v>104</v>
      </c>
      <c r="F1022" s="11">
        <v>2752.4</v>
      </c>
      <c r="G1022" s="8">
        <v>2752.4</v>
      </c>
      <c r="H1022" s="9">
        <f>(G1022-F1022)</f>
        <v>0.0</v>
      </c>
      <c r="I1022" s="9" t="s">
        <v>119</v>
      </c>
      <c r="J1022" s="9" t="s">
        <v>120</v>
      </c>
    </row>
    <row r="1023" spans="1:12" ht="24" customHeight="1">
      <c r="A1023" s="3" t="s">
        <v>107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36" customHeight="1">
      <c r="A1024" s="4" t="s">
        <v>108</v>
      </c>
      <c r="B1024" s="4" t="s">
        <v>8</v>
      </c>
      <c r="C1024" s="4" t="s">
        <v>109</v>
      </c>
      <c r="D1024" s="4" t="s">
        <v>110</v>
      </c>
      <c r="E1024" s="4" t="s">
        <v>111</v>
      </c>
      <c r="F1024" s="4" t="s">
        <v>112</v>
      </c>
      <c r="G1024" s="4" t="s">
        <v>113</v>
      </c>
      <c r="H1024" s="4" t="s">
        <v>114</v>
      </c>
      <c r="I1024" s="4" t="s">
        <v>115</v>
      </c>
      <c r="J1024" s="4" t="s">
        <v>116</v>
      </c>
    </row>
    <row r="1025" spans="1:12" ht="23" customHeight="1">
      <c r="A1025" s="9" t="s">
        <v>99</v>
      </c>
      <c r="B1025" s="6">
        <v>6</v>
      </c>
      <c r="C1025" s="9" t="s">
        <v>90</v>
      </c>
      <c r="D1025" s="6">
        <v>159</v>
      </c>
      <c r="E1025" s="9" t="s">
        <v>94</v>
      </c>
      <c r="F1025" s="6">
        <v>218438</v>
      </c>
      <c r="G1025" s="7">
        <v>218438</v>
      </c>
      <c r="H1025" s="9">
        <f>(G1025-F1025)</f>
        <v>0.0</v>
      </c>
      <c r="I1025" s="9" t="s">
        <v>119</v>
      </c>
      <c r="J1025" s="9" t="s">
        <v>120</v>
      </c>
    </row>
    <row r="1026" spans="1:12" ht="23" customHeight="1">
      <c r="A1026" s="9" t="s">
        <v>99</v>
      </c>
      <c r="B1026" s="6">
        <v>6</v>
      </c>
      <c r="C1026" s="9" t="s">
        <v>90</v>
      </c>
      <c r="D1026" s="6">
        <v>159</v>
      </c>
      <c r="E1026" s="9" t="s">
        <v>105</v>
      </c>
      <c r="F1026" s="11">
        <v>2752.4</v>
      </c>
      <c r="G1026" s="8">
        <v>2752.4</v>
      </c>
      <c r="H1026" s="9">
        <f>(G1026-F1026)</f>
        <v>0.0</v>
      </c>
      <c r="I1026" s="9" t="s">
        <v>119</v>
      </c>
      <c r="J1026" s="9" t="s">
        <v>120</v>
      </c>
    </row>
    <row r="1027" spans="1:12" ht="23" customHeight="1">
      <c r="A1027" s="9" t="s">
        <v>99</v>
      </c>
      <c r="B1027" s="6">
        <v>6</v>
      </c>
      <c r="C1027" s="9" t="s">
        <v>90</v>
      </c>
      <c r="D1027" s="6">
        <v>159</v>
      </c>
      <c r="E1027" s="9" t="s">
        <v>106</v>
      </c>
      <c r="F1027" s="11">
        <v>2752.4</v>
      </c>
      <c r="G1027" s="8">
        <v>2752.4</v>
      </c>
      <c r="H1027" s="9">
        <f>(G1027-F1027)</f>
        <v>0.0</v>
      </c>
      <c r="I1027" s="9" t="s">
        <v>119</v>
      </c>
      <c r="J1027" s="9" t="s">
        <v>120</v>
      </c>
    </row>
    <row r="1028" spans="1:12" ht="23" customHeight="1">
      <c r="A1028" s="9" t="s">
        <v>99</v>
      </c>
      <c r="B1028" s="6">
        <v>6</v>
      </c>
      <c r="C1028" s="9" t="s">
        <v>90</v>
      </c>
      <c r="D1028" s="6">
        <v>159</v>
      </c>
      <c r="E1028" s="9" t="s">
        <v>95</v>
      </c>
      <c r="F1028" s="6">
        <v>218438</v>
      </c>
      <c r="G1028" s="7">
        <v>218438</v>
      </c>
      <c r="H1028" s="9">
        <f>(G1028-F1028)</f>
        <v>0.0</v>
      </c>
      <c r="I1028" s="9" t="s">
        <v>119</v>
      </c>
      <c r="J1028" s="9" t="s">
        <v>120</v>
      </c>
    </row>
    <row r="1029" spans="1:12" ht="23" customHeight="1">
      <c r="A1029" s="9" t="s">
        <v>99</v>
      </c>
      <c r="B1029" s="6">
        <v>6</v>
      </c>
      <c r="C1029" s="9" t="s">
        <v>90</v>
      </c>
      <c r="D1029" s="6">
        <v>159</v>
      </c>
      <c r="E1029" s="9" t="s">
        <v>96</v>
      </c>
      <c r="F1029" s="6">
        <v>218438</v>
      </c>
      <c r="G1029" s="7">
        <v>218438</v>
      </c>
      <c r="H1029" s="9">
        <f>(G1029-F1029)</f>
        <v>0.0</v>
      </c>
      <c r="I1029" s="9" t="s">
        <v>119</v>
      </c>
      <c r="J1029" s="9" t="s">
        <v>120</v>
      </c>
    </row>
    <row r="1030" spans="1:12" ht="23" customHeight="1">
      <c r="A1030" s="9" t="s">
        <v>99</v>
      </c>
      <c r="B1030" s="6">
        <v>6</v>
      </c>
      <c r="C1030" s="9" t="s">
        <v>90</v>
      </c>
      <c r="D1030" s="6">
        <v>159</v>
      </c>
      <c r="E1030" s="9" t="s">
        <v>97</v>
      </c>
      <c r="F1030" s="6">
        <v>218438</v>
      </c>
      <c r="G1030" s="7">
        <v>218438</v>
      </c>
      <c r="H1030" s="9">
        <f>(G1030-F1030)</f>
        <v>0.0</v>
      </c>
      <c r="I1030" s="9" t="s">
        <v>119</v>
      </c>
      <c r="J1030" s="9" t="s">
        <v>120</v>
      </c>
    </row>
    <row r="1031" spans="1:12" ht="23" customHeight="1">
      <c r="A1031" s="9" t="s">
        <v>99</v>
      </c>
      <c r="B1031" s="6">
        <v>6</v>
      </c>
      <c r="C1031" s="9" t="s">
        <v>90</v>
      </c>
      <c r="D1031" s="6">
        <v>159</v>
      </c>
      <c r="E1031" s="9" t="s">
        <v>98</v>
      </c>
      <c r="F1031" s="6">
        <v>218438</v>
      </c>
      <c r="G1031" s="7">
        <v>218438</v>
      </c>
      <c r="H1031" s="9">
        <f>(G1031-F1031)</f>
        <v>0.0</v>
      </c>
      <c r="I1031" s="9" t="s">
        <v>119</v>
      </c>
      <c r="J1031" s="9" t="s">
        <v>120</v>
      </c>
    </row>
    <row r="1032" spans="1:12" ht="23" customHeight="1">
      <c r="A1032" s="9" t="s">
        <v>99</v>
      </c>
      <c r="B1032" s="6">
        <v>6</v>
      </c>
      <c r="C1032" s="9" t="s">
        <v>90</v>
      </c>
      <c r="D1032" s="6">
        <v>160</v>
      </c>
      <c r="E1032" s="9" t="s">
        <v>93</v>
      </c>
      <c r="F1032" s="6">
        <v>218438</v>
      </c>
      <c r="G1032" s="7">
        <v>218438</v>
      </c>
      <c r="H1032" s="9">
        <f>(G1032-F1032)</f>
        <v>0.0</v>
      </c>
      <c r="I1032" s="9" t="s">
        <v>119</v>
      </c>
      <c r="J1032" s="9" t="s">
        <v>120</v>
      </c>
    </row>
    <row r="1033" spans="1:12" ht="23" customHeight="1">
      <c r="A1033" s="9" t="s">
        <v>99</v>
      </c>
      <c r="B1033" s="6">
        <v>6</v>
      </c>
      <c r="C1033" s="9" t="s">
        <v>90</v>
      </c>
      <c r="D1033" s="6">
        <v>160</v>
      </c>
      <c r="E1033" s="9" t="s">
        <v>103</v>
      </c>
      <c r="F1033" s="11">
        <v>2752.4</v>
      </c>
      <c r="G1033" s="8">
        <v>2752.4</v>
      </c>
      <c r="H1033" s="9">
        <f>(G1033-F1033)</f>
        <v>0.0</v>
      </c>
      <c r="I1033" s="9" t="s">
        <v>119</v>
      </c>
      <c r="J1033" s="9" t="s">
        <v>120</v>
      </c>
    </row>
    <row r="1034" spans="1:12" ht="23" customHeight="1">
      <c r="A1034" s="9" t="s">
        <v>99</v>
      </c>
      <c r="B1034" s="6">
        <v>6</v>
      </c>
      <c r="C1034" s="9" t="s">
        <v>90</v>
      </c>
      <c r="D1034" s="6">
        <v>160</v>
      </c>
      <c r="E1034" s="9" t="s">
        <v>104</v>
      </c>
      <c r="F1034" s="11">
        <v>2752.4</v>
      </c>
      <c r="G1034" s="8">
        <v>2752.4</v>
      </c>
      <c r="H1034" s="9">
        <f>(G1034-F1034)</f>
        <v>0.0</v>
      </c>
      <c r="I1034" s="9" t="s">
        <v>119</v>
      </c>
      <c r="J1034" s="9" t="s">
        <v>120</v>
      </c>
    </row>
    <row r="1035" spans="1:12" ht="23" customHeight="1">
      <c r="A1035" s="9" t="s">
        <v>99</v>
      </c>
      <c r="B1035" s="6">
        <v>6</v>
      </c>
      <c r="C1035" s="9" t="s">
        <v>90</v>
      </c>
      <c r="D1035" s="6">
        <v>160</v>
      </c>
      <c r="E1035" s="9" t="s">
        <v>94</v>
      </c>
      <c r="F1035" s="6">
        <v>218438</v>
      </c>
      <c r="G1035" s="7">
        <v>218438</v>
      </c>
      <c r="H1035" s="9">
        <f>(G1035-F1035)</f>
        <v>0.0</v>
      </c>
      <c r="I1035" s="9" t="s">
        <v>119</v>
      </c>
      <c r="J1035" s="9" t="s">
        <v>120</v>
      </c>
    </row>
    <row r="1036" spans="1:12" ht="23" customHeight="1">
      <c r="A1036" s="9" t="s">
        <v>99</v>
      </c>
      <c r="B1036" s="6">
        <v>6</v>
      </c>
      <c r="C1036" s="9" t="s">
        <v>90</v>
      </c>
      <c r="D1036" s="6">
        <v>160</v>
      </c>
      <c r="E1036" s="9" t="s">
        <v>105</v>
      </c>
      <c r="F1036" s="11">
        <v>2752.4</v>
      </c>
      <c r="G1036" s="8">
        <v>2752.4</v>
      </c>
      <c r="H1036" s="9">
        <f>(G1036-F1036)</f>
        <v>0.0</v>
      </c>
      <c r="I1036" s="9" t="s">
        <v>119</v>
      </c>
      <c r="J1036" s="9" t="s">
        <v>120</v>
      </c>
    </row>
    <row r="1037" spans="1:12" ht="23" customHeight="1">
      <c r="A1037" s="9" t="s">
        <v>99</v>
      </c>
      <c r="B1037" s="6">
        <v>6</v>
      </c>
      <c r="C1037" s="9" t="s">
        <v>90</v>
      </c>
      <c r="D1037" s="6">
        <v>160</v>
      </c>
      <c r="E1037" s="9" t="s">
        <v>106</v>
      </c>
      <c r="F1037" s="11">
        <v>2752.4</v>
      </c>
      <c r="G1037" s="8">
        <v>2752.4</v>
      </c>
      <c r="H1037" s="9">
        <f>(G1037-F1037)</f>
        <v>0.0</v>
      </c>
      <c r="I1037" s="9" t="s">
        <v>119</v>
      </c>
      <c r="J1037" s="9" t="s">
        <v>120</v>
      </c>
    </row>
    <row r="1038" spans="1:12" ht="23" customHeight="1">
      <c r="A1038" s="9" t="s">
        <v>99</v>
      </c>
      <c r="B1038" s="6">
        <v>6</v>
      </c>
      <c r="C1038" s="9" t="s">
        <v>90</v>
      </c>
      <c r="D1038" s="6">
        <v>160</v>
      </c>
      <c r="E1038" s="9" t="s">
        <v>95</v>
      </c>
      <c r="F1038" s="6">
        <v>218438</v>
      </c>
      <c r="G1038" s="7">
        <v>218438</v>
      </c>
      <c r="H1038" s="9">
        <f>(G1038-F1038)</f>
        <v>0.0</v>
      </c>
      <c r="I1038" s="9" t="s">
        <v>119</v>
      </c>
      <c r="J1038" s="9" t="s">
        <v>120</v>
      </c>
    </row>
    <row r="1039" spans="1:12" ht="23" customHeight="1">
      <c r="A1039" s="9" t="s">
        <v>99</v>
      </c>
      <c r="B1039" s="6">
        <v>6</v>
      </c>
      <c r="C1039" s="9" t="s">
        <v>90</v>
      </c>
      <c r="D1039" s="6">
        <v>160</v>
      </c>
      <c r="E1039" s="9" t="s">
        <v>96</v>
      </c>
      <c r="F1039" s="6">
        <v>218438</v>
      </c>
      <c r="G1039" s="7">
        <v>218438</v>
      </c>
      <c r="H1039" s="9">
        <f>(G1039-F1039)</f>
        <v>0.0</v>
      </c>
      <c r="I1039" s="9" t="s">
        <v>119</v>
      </c>
      <c r="J1039" s="9" t="s">
        <v>120</v>
      </c>
    </row>
    <row r="1040" spans="1:12" ht="24" customHeight="1">
      <c r="A1040" s="3" t="s">
        <v>107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0" ht="36" customHeight="1">
      <c r="A1041" s="4" t="s">
        <v>108</v>
      </c>
      <c r="B1041" s="4" t="s">
        <v>8</v>
      </c>
      <c r="C1041" s="4" t="s">
        <v>109</v>
      </c>
      <c r="D1041" s="4" t="s">
        <v>110</v>
      </c>
      <c r="E1041" s="4" t="s">
        <v>111</v>
      </c>
      <c r="F1041" s="4" t="s">
        <v>112</v>
      </c>
      <c r="G1041" s="4" t="s">
        <v>113</v>
      </c>
      <c r="H1041" s="4" t="s">
        <v>114</v>
      </c>
      <c r="I1041" s="4" t="s">
        <v>115</v>
      </c>
      <c r="J1041" s="4" t="s">
        <v>116</v>
      </c>
    </row>
    <row r="1042" spans="1:10" ht="23" customHeight="1">
      <c r="A1042" s="9" t="s">
        <v>99</v>
      </c>
      <c r="B1042" s="6">
        <v>6</v>
      </c>
      <c r="C1042" s="9" t="s">
        <v>90</v>
      </c>
      <c r="D1042" s="6">
        <v>160</v>
      </c>
      <c r="E1042" s="9" t="s">
        <v>97</v>
      </c>
      <c r="F1042" s="6">
        <v>218438</v>
      </c>
      <c r="G1042" s="7">
        <v>218438</v>
      </c>
      <c r="H1042" s="9">
        <f>(G1042-F1042)</f>
        <v>0.0</v>
      </c>
      <c r="I1042" s="9" t="s">
        <v>119</v>
      </c>
      <c r="J1042" s="9" t="s">
        <v>120</v>
      </c>
    </row>
    <row r="1043" spans="1:10" ht="23" customHeight="1">
      <c r="A1043" s="9" t="s">
        <v>99</v>
      </c>
      <c r="B1043" s="6">
        <v>6</v>
      </c>
      <c r="C1043" s="9" t="s">
        <v>90</v>
      </c>
      <c r="D1043" s="6">
        <v>160</v>
      </c>
      <c r="E1043" s="9" t="s">
        <v>98</v>
      </c>
      <c r="F1043" s="6">
        <v>218438</v>
      </c>
      <c r="G1043" s="7">
        <v>218438</v>
      </c>
      <c r="H1043" s="9">
        <f>(G1043-F1043)</f>
        <v>0.0</v>
      </c>
      <c r="I1043" s="9" t="s">
        <v>119</v>
      </c>
      <c r="J1043" s="9" t="s">
        <v>120</v>
      </c>
    </row>
    <row r="1044" spans="1:10" ht="23" customHeight="1">
      <c r="A1044" s="9" t="s">
        <v>99</v>
      </c>
      <c r="B1044" s="6">
        <v>6</v>
      </c>
      <c r="C1044" s="9" t="s">
        <v>90</v>
      </c>
      <c r="D1044" s="6">
        <v>161</v>
      </c>
      <c r="E1044" s="9" t="s">
        <v>93</v>
      </c>
      <c r="F1044" s="6">
        <v>218438</v>
      </c>
      <c r="G1044" s="7">
        <v>218438</v>
      </c>
      <c r="H1044" s="9">
        <f>(G1044-F1044)</f>
        <v>0.0</v>
      </c>
      <c r="I1044" s="9" t="s">
        <v>119</v>
      </c>
      <c r="J1044" s="9" t="s">
        <v>120</v>
      </c>
    </row>
    <row r="1045" spans="1:10" ht="23" customHeight="1">
      <c r="A1045" s="9" t="s">
        <v>99</v>
      </c>
      <c r="B1045" s="6">
        <v>6</v>
      </c>
      <c r="C1045" s="9" t="s">
        <v>90</v>
      </c>
      <c r="D1045" s="6">
        <v>161</v>
      </c>
      <c r="E1045" s="9" t="s">
        <v>103</v>
      </c>
      <c r="F1045" s="11">
        <v>2752.4</v>
      </c>
      <c r="G1045" s="8">
        <v>2752.4</v>
      </c>
      <c r="H1045" s="9">
        <f>(G1045-F1045)</f>
        <v>0.0</v>
      </c>
      <c r="I1045" s="9" t="s">
        <v>119</v>
      </c>
      <c r="J1045" s="9" t="s">
        <v>120</v>
      </c>
    </row>
    <row r="1046" spans="1:10" ht="23" customHeight="1">
      <c r="A1046" s="9" t="s">
        <v>99</v>
      </c>
      <c r="B1046" s="6">
        <v>6</v>
      </c>
      <c r="C1046" s="9" t="s">
        <v>90</v>
      </c>
      <c r="D1046" s="6">
        <v>161</v>
      </c>
      <c r="E1046" s="9" t="s">
        <v>104</v>
      </c>
      <c r="F1046" s="11">
        <v>2752.4</v>
      </c>
      <c r="G1046" s="8">
        <v>2752.4</v>
      </c>
      <c r="H1046" s="9">
        <f>(G1046-F1046)</f>
        <v>0.0</v>
      </c>
      <c r="I1046" s="9" t="s">
        <v>119</v>
      </c>
      <c r="J1046" s="9" t="s">
        <v>120</v>
      </c>
    </row>
    <row r="1047" spans="1:10" ht="23" customHeight="1">
      <c r="A1047" s="9" t="s">
        <v>99</v>
      </c>
      <c r="B1047" s="6">
        <v>6</v>
      </c>
      <c r="C1047" s="9" t="s">
        <v>90</v>
      </c>
      <c r="D1047" s="6">
        <v>161</v>
      </c>
      <c r="E1047" s="9" t="s">
        <v>94</v>
      </c>
      <c r="F1047" s="6">
        <v>218438</v>
      </c>
      <c r="G1047" s="7">
        <v>218438</v>
      </c>
      <c r="H1047" s="9">
        <f>(G1047-F1047)</f>
        <v>0.0</v>
      </c>
      <c r="I1047" s="9" t="s">
        <v>119</v>
      </c>
      <c r="J1047" s="9" t="s">
        <v>120</v>
      </c>
    </row>
    <row r="1048" spans="1:10" ht="23" customHeight="1">
      <c r="A1048" s="9" t="s">
        <v>99</v>
      </c>
      <c r="B1048" s="6">
        <v>6</v>
      </c>
      <c r="C1048" s="9" t="s">
        <v>90</v>
      </c>
      <c r="D1048" s="6">
        <v>161</v>
      </c>
      <c r="E1048" s="9" t="s">
        <v>105</v>
      </c>
      <c r="F1048" s="11">
        <v>2752.4</v>
      </c>
      <c r="G1048" s="8">
        <v>2752.4</v>
      </c>
      <c r="H1048" s="9">
        <f>(G1048-F1048)</f>
        <v>0.0</v>
      </c>
      <c r="I1048" s="9" t="s">
        <v>119</v>
      </c>
      <c r="J1048" s="9" t="s">
        <v>120</v>
      </c>
    </row>
    <row r="1049" spans="1:10" ht="23" customHeight="1">
      <c r="A1049" s="9" t="s">
        <v>99</v>
      </c>
      <c r="B1049" s="6">
        <v>6</v>
      </c>
      <c r="C1049" s="9" t="s">
        <v>90</v>
      </c>
      <c r="D1049" s="6">
        <v>161</v>
      </c>
      <c r="E1049" s="9" t="s">
        <v>106</v>
      </c>
      <c r="F1049" s="11">
        <v>2752.4</v>
      </c>
      <c r="G1049" s="8">
        <v>2752.4</v>
      </c>
      <c r="H1049" s="9">
        <f>(G1049-F1049)</f>
        <v>0.0</v>
      </c>
      <c r="I1049" s="9" t="s">
        <v>119</v>
      </c>
      <c r="J1049" s="9" t="s">
        <v>120</v>
      </c>
    </row>
    <row r="1050" spans="1:10" ht="23" customHeight="1">
      <c r="A1050" s="9" t="s">
        <v>99</v>
      </c>
      <c r="B1050" s="6">
        <v>6</v>
      </c>
      <c r="C1050" s="9" t="s">
        <v>90</v>
      </c>
      <c r="D1050" s="6">
        <v>161</v>
      </c>
      <c r="E1050" s="9" t="s">
        <v>95</v>
      </c>
      <c r="F1050" s="6">
        <v>218438</v>
      </c>
      <c r="G1050" s="7">
        <v>218438</v>
      </c>
      <c r="H1050" s="9">
        <f>(G1050-F1050)</f>
        <v>0.0</v>
      </c>
      <c r="I1050" s="9" t="s">
        <v>119</v>
      </c>
      <c r="J1050" s="9" t="s">
        <v>120</v>
      </c>
    </row>
    <row r="1051" spans="1:10" ht="23" customHeight="1">
      <c r="A1051" s="9" t="s">
        <v>99</v>
      </c>
      <c r="B1051" s="6">
        <v>6</v>
      </c>
      <c r="C1051" s="9" t="s">
        <v>90</v>
      </c>
      <c r="D1051" s="6">
        <v>161</v>
      </c>
      <c r="E1051" s="9" t="s">
        <v>96</v>
      </c>
      <c r="F1051" s="6">
        <v>218438</v>
      </c>
      <c r="G1051" s="7">
        <v>218438</v>
      </c>
      <c r="H1051" s="9">
        <f>(G1051-F1051)</f>
        <v>0.0</v>
      </c>
      <c r="I1051" s="9" t="s">
        <v>119</v>
      </c>
      <c r="J1051" s="9" t="s">
        <v>120</v>
      </c>
    </row>
    <row r="1052" spans="1:10" ht="23" customHeight="1">
      <c r="A1052" s="9" t="s">
        <v>99</v>
      </c>
      <c r="B1052" s="6">
        <v>6</v>
      </c>
      <c r="C1052" s="9" t="s">
        <v>90</v>
      </c>
      <c r="D1052" s="6">
        <v>161</v>
      </c>
      <c r="E1052" s="9" t="s">
        <v>97</v>
      </c>
      <c r="F1052" s="6">
        <v>218438</v>
      </c>
      <c r="G1052" s="7">
        <v>218438</v>
      </c>
      <c r="H1052" s="9">
        <f>(G1052-F1052)</f>
        <v>0.0</v>
      </c>
      <c r="I1052" s="9" t="s">
        <v>119</v>
      </c>
      <c r="J1052" s="9" t="s">
        <v>120</v>
      </c>
    </row>
    <row r="1053" spans="1:10" ht="23" customHeight="1">
      <c r="A1053" s="9" t="s">
        <v>99</v>
      </c>
      <c r="B1053" s="6">
        <v>6</v>
      </c>
      <c r="C1053" s="9" t="s">
        <v>90</v>
      </c>
      <c r="D1053" s="6">
        <v>161</v>
      </c>
      <c r="E1053" s="9" t="s">
        <v>98</v>
      </c>
      <c r="F1053" s="6">
        <v>218438</v>
      </c>
      <c r="G1053" s="7">
        <v>218438</v>
      </c>
      <c r="H1053" s="9">
        <f>(G1053-F1053)</f>
        <v>0.0</v>
      </c>
      <c r="I1053" s="9" t="s">
        <v>119</v>
      </c>
      <c r="J1053" s="9" t="s">
        <v>120</v>
      </c>
    </row>
    <row r="1054" spans="1:10" ht="23" customHeight="1">
      <c r="A1054" s="9" t="s">
        <v>99</v>
      </c>
      <c r="B1054" s="6">
        <v>6</v>
      </c>
      <c r="C1054" s="9" t="s">
        <v>90</v>
      </c>
      <c r="D1054" s="6">
        <v>162</v>
      </c>
      <c r="E1054" s="9" t="s">
        <v>93</v>
      </c>
      <c r="F1054" s="6">
        <v>179149</v>
      </c>
      <c r="G1054" s="7">
        <v>179149</v>
      </c>
      <c r="H1054" s="9">
        <f>(G1054-F1054)</f>
        <v>0.0</v>
      </c>
      <c r="I1054" s="9" t="s">
        <v>119</v>
      </c>
      <c r="J1054" s="9" t="s">
        <v>120</v>
      </c>
    </row>
    <row r="1055" spans="1:10" ht="23" customHeight="1">
      <c r="A1055" s="9" t="s">
        <v>99</v>
      </c>
      <c r="B1055" s="6">
        <v>6</v>
      </c>
      <c r="C1055" s="9" t="s">
        <v>90</v>
      </c>
      <c r="D1055" s="6">
        <v>162</v>
      </c>
      <c r="E1055" s="9" t="s">
        <v>103</v>
      </c>
      <c r="F1055" s="11">
        <v>2032.5</v>
      </c>
      <c r="G1055" s="8">
        <v>2032.5</v>
      </c>
      <c r="H1055" s="9">
        <f>(G1055-F1055)</f>
        <v>0.0</v>
      </c>
      <c r="I1055" s="9" t="s">
        <v>119</v>
      </c>
      <c r="J1055" s="9" t="s">
        <v>120</v>
      </c>
    </row>
    <row r="1056" spans="1:10" ht="23" customHeight="1">
      <c r="A1056" s="9" t="s">
        <v>99</v>
      </c>
      <c r="B1056" s="6">
        <v>6</v>
      </c>
      <c r="C1056" s="9" t="s">
        <v>90</v>
      </c>
      <c r="D1056" s="6">
        <v>162</v>
      </c>
      <c r="E1056" s="9" t="s">
        <v>104</v>
      </c>
      <c r="F1056" s="11">
        <v>2032.5</v>
      </c>
      <c r="G1056" s="8">
        <v>2032.5</v>
      </c>
      <c r="H1056" s="9">
        <f>(G1056-F1056)</f>
        <v>0.0</v>
      </c>
      <c r="I1056" s="9" t="s">
        <v>119</v>
      </c>
      <c r="J1056" s="9" t="s">
        <v>120</v>
      </c>
    </row>
    <row r="1057" spans="1:12" ht="24" customHeight="1">
      <c r="A1057" s="3" t="s">
        <v>107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ht="36" customHeight="1">
      <c r="A1058" s="4" t="s">
        <v>108</v>
      </c>
      <c r="B1058" s="4" t="s">
        <v>8</v>
      </c>
      <c r="C1058" s="4" t="s">
        <v>109</v>
      </c>
      <c r="D1058" s="4" t="s">
        <v>110</v>
      </c>
      <c r="E1058" s="4" t="s">
        <v>111</v>
      </c>
      <c r="F1058" s="4" t="s">
        <v>112</v>
      </c>
      <c r="G1058" s="4" t="s">
        <v>113</v>
      </c>
      <c r="H1058" s="4" t="s">
        <v>114</v>
      </c>
      <c r="I1058" s="4" t="s">
        <v>115</v>
      </c>
      <c r="J1058" s="4" t="s">
        <v>116</v>
      </c>
    </row>
    <row r="1059" spans="1:12" ht="23" customHeight="1">
      <c r="A1059" s="9" t="s">
        <v>99</v>
      </c>
      <c r="B1059" s="6">
        <v>6</v>
      </c>
      <c r="C1059" s="9" t="s">
        <v>90</v>
      </c>
      <c r="D1059" s="6">
        <v>162</v>
      </c>
      <c r="E1059" s="9" t="s">
        <v>94</v>
      </c>
      <c r="F1059" s="6">
        <v>179149</v>
      </c>
      <c r="G1059" s="7">
        <v>179149</v>
      </c>
      <c r="H1059" s="9">
        <f>(G1059-F1059)</f>
        <v>0.0</v>
      </c>
      <c r="I1059" s="9" t="s">
        <v>119</v>
      </c>
      <c r="J1059" s="9" t="s">
        <v>120</v>
      </c>
    </row>
    <row r="1060" spans="1:12" ht="23" customHeight="1">
      <c r="A1060" s="9" t="s">
        <v>99</v>
      </c>
      <c r="B1060" s="6">
        <v>6</v>
      </c>
      <c r="C1060" s="9" t="s">
        <v>90</v>
      </c>
      <c r="D1060" s="6">
        <v>162</v>
      </c>
      <c r="E1060" s="9" t="s">
        <v>105</v>
      </c>
      <c r="F1060" s="11">
        <v>2032.5</v>
      </c>
      <c r="G1060" s="8">
        <v>2032.5</v>
      </c>
      <c r="H1060" s="9">
        <f>(G1060-F1060)</f>
        <v>0.0</v>
      </c>
      <c r="I1060" s="9" t="s">
        <v>119</v>
      </c>
      <c r="J1060" s="9" t="s">
        <v>120</v>
      </c>
    </row>
    <row r="1061" spans="1:12" ht="23" customHeight="1">
      <c r="A1061" s="9" t="s">
        <v>99</v>
      </c>
      <c r="B1061" s="6">
        <v>6</v>
      </c>
      <c r="C1061" s="9" t="s">
        <v>90</v>
      </c>
      <c r="D1061" s="6">
        <v>162</v>
      </c>
      <c r="E1061" s="9" t="s">
        <v>106</v>
      </c>
      <c r="F1061" s="11">
        <v>2032.5</v>
      </c>
      <c r="G1061" s="8">
        <v>2032.5</v>
      </c>
      <c r="H1061" s="9">
        <f>(G1061-F1061)</f>
        <v>0.0</v>
      </c>
      <c r="I1061" s="9" t="s">
        <v>119</v>
      </c>
      <c r="J1061" s="9" t="s">
        <v>120</v>
      </c>
    </row>
    <row r="1062" spans="1:12" ht="23" customHeight="1">
      <c r="A1062" s="9" t="s">
        <v>99</v>
      </c>
      <c r="B1062" s="6">
        <v>6</v>
      </c>
      <c r="C1062" s="9" t="s">
        <v>90</v>
      </c>
      <c r="D1062" s="6">
        <v>162</v>
      </c>
      <c r="E1062" s="9" t="s">
        <v>95</v>
      </c>
      <c r="F1062" s="6">
        <v>179149</v>
      </c>
      <c r="G1062" s="7">
        <v>179149</v>
      </c>
      <c r="H1062" s="9">
        <f>(G1062-F1062)</f>
        <v>0.0</v>
      </c>
      <c r="I1062" s="9" t="s">
        <v>119</v>
      </c>
      <c r="J1062" s="9" t="s">
        <v>120</v>
      </c>
    </row>
    <row r="1063" spans="1:12" ht="23" customHeight="1">
      <c r="A1063" s="9" t="s">
        <v>99</v>
      </c>
      <c r="B1063" s="6">
        <v>6</v>
      </c>
      <c r="C1063" s="9" t="s">
        <v>90</v>
      </c>
      <c r="D1063" s="6">
        <v>162</v>
      </c>
      <c r="E1063" s="9" t="s">
        <v>96</v>
      </c>
      <c r="F1063" s="6">
        <v>179149</v>
      </c>
      <c r="G1063" s="7">
        <v>179149</v>
      </c>
      <c r="H1063" s="9">
        <f>(G1063-F1063)</f>
        <v>0.0</v>
      </c>
      <c r="I1063" s="9" t="s">
        <v>119</v>
      </c>
      <c r="J1063" s="9" t="s">
        <v>120</v>
      </c>
    </row>
    <row r="1064" spans="1:12" ht="23" customHeight="1">
      <c r="A1064" s="9" t="s">
        <v>99</v>
      </c>
      <c r="B1064" s="6">
        <v>6</v>
      </c>
      <c r="C1064" s="9" t="s">
        <v>90</v>
      </c>
      <c r="D1064" s="6">
        <v>162</v>
      </c>
      <c r="E1064" s="9" t="s">
        <v>97</v>
      </c>
      <c r="F1064" s="6">
        <v>179149</v>
      </c>
      <c r="G1064" s="7">
        <v>179149</v>
      </c>
      <c r="H1064" s="9">
        <f>(G1064-F1064)</f>
        <v>0.0</v>
      </c>
      <c r="I1064" s="9" t="s">
        <v>119</v>
      </c>
      <c r="J1064" s="9" t="s">
        <v>120</v>
      </c>
    </row>
    <row r="1065" spans="1:12" ht="23" customHeight="1">
      <c r="A1065" s="9" t="s">
        <v>99</v>
      </c>
      <c r="B1065" s="6">
        <v>6</v>
      </c>
      <c r="C1065" s="9" t="s">
        <v>90</v>
      </c>
      <c r="D1065" s="6">
        <v>162</v>
      </c>
      <c r="E1065" s="9" t="s">
        <v>98</v>
      </c>
      <c r="F1065" s="6">
        <v>179149</v>
      </c>
      <c r="G1065" s="7">
        <v>179149</v>
      </c>
      <c r="H1065" s="9">
        <f>(G1065-F1065)</f>
        <v>0.0</v>
      </c>
      <c r="I1065" s="9" t="s">
        <v>119</v>
      </c>
      <c r="J1065" s="9" t="s">
        <v>120</v>
      </c>
    </row>
    <row r="1066" spans="1:12" ht="23" customHeight="1">
      <c r="A1066" s="9" t="s">
        <v>99</v>
      </c>
      <c r="B1066" s="6">
        <v>6</v>
      </c>
      <c r="C1066" s="9" t="s">
        <v>90</v>
      </c>
      <c r="D1066" s="6">
        <v>163</v>
      </c>
      <c r="E1066" s="9" t="s">
        <v>93</v>
      </c>
      <c r="F1066" s="6">
        <v>104936</v>
      </c>
      <c r="G1066" s="7">
        <v>104936</v>
      </c>
      <c r="H1066" s="9">
        <f>(G1066-F1066)</f>
        <v>0.0</v>
      </c>
      <c r="I1066" s="9" t="s">
        <v>119</v>
      </c>
      <c r="J1066" s="9" t="s">
        <v>120</v>
      </c>
    </row>
    <row r="1067" spans="1:12" ht="23" customHeight="1">
      <c r="A1067" s="9" t="s">
        <v>99</v>
      </c>
      <c r="B1067" s="6">
        <v>6</v>
      </c>
      <c r="C1067" s="9" t="s">
        <v>90</v>
      </c>
      <c r="D1067" s="6">
        <v>163</v>
      </c>
      <c r="E1067" s="9" t="s">
        <v>103</v>
      </c>
      <c r="F1067" s="11">
        <v>672.8</v>
      </c>
      <c r="G1067" s="8">
        <v>672.8</v>
      </c>
      <c r="H1067" s="9">
        <f>(G1067-F1067)</f>
        <v>0.0</v>
      </c>
      <c r="I1067" s="9" t="s">
        <v>119</v>
      </c>
      <c r="J1067" s="9" t="s">
        <v>120</v>
      </c>
    </row>
    <row r="1068" spans="1:12" ht="23" customHeight="1">
      <c r="A1068" s="9" t="s">
        <v>99</v>
      </c>
      <c r="B1068" s="6">
        <v>6</v>
      </c>
      <c r="C1068" s="9" t="s">
        <v>90</v>
      </c>
      <c r="D1068" s="6">
        <v>163</v>
      </c>
      <c r="E1068" s="9" t="s">
        <v>104</v>
      </c>
      <c r="F1068" s="11">
        <v>672.8</v>
      </c>
      <c r="G1068" s="8">
        <v>672.8</v>
      </c>
      <c r="H1068" s="9">
        <f>(G1068-F1068)</f>
        <v>0.0</v>
      </c>
      <c r="I1068" s="9" t="s">
        <v>119</v>
      </c>
      <c r="J1068" s="9" t="s">
        <v>120</v>
      </c>
    </row>
    <row r="1069" spans="1:12" ht="23" customHeight="1">
      <c r="A1069" s="9" t="s">
        <v>99</v>
      </c>
      <c r="B1069" s="6">
        <v>6</v>
      </c>
      <c r="C1069" s="9" t="s">
        <v>90</v>
      </c>
      <c r="D1069" s="6">
        <v>163</v>
      </c>
      <c r="E1069" s="9" t="s">
        <v>94</v>
      </c>
      <c r="F1069" s="6">
        <v>104936</v>
      </c>
      <c r="G1069" s="7">
        <v>104936</v>
      </c>
      <c r="H1069" s="9">
        <f>(G1069-F1069)</f>
        <v>0.0</v>
      </c>
      <c r="I1069" s="9" t="s">
        <v>119</v>
      </c>
      <c r="J1069" s="9" t="s">
        <v>120</v>
      </c>
    </row>
    <row r="1070" spans="1:12" ht="23" customHeight="1">
      <c r="A1070" s="9" t="s">
        <v>99</v>
      </c>
      <c r="B1070" s="6">
        <v>6</v>
      </c>
      <c r="C1070" s="9" t="s">
        <v>90</v>
      </c>
      <c r="D1070" s="6">
        <v>163</v>
      </c>
      <c r="E1070" s="9" t="s">
        <v>105</v>
      </c>
      <c r="F1070" s="11">
        <v>672.8</v>
      </c>
      <c r="G1070" s="8">
        <v>672.8</v>
      </c>
      <c r="H1070" s="9">
        <f>(G1070-F1070)</f>
        <v>0.0</v>
      </c>
      <c r="I1070" s="9" t="s">
        <v>119</v>
      </c>
      <c r="J1070" s="9" t="s">
        <v>120</v>
      </c>
    </row>
    <row r="1071" spans="1:12" ht="23" customHeight="1">
      <c r="A1071" s="9" t="s">
        <v>99</v>
      </c>
      <c r="B1071" s="6">
        <v>6</v>
      </c>
      <c r="C1071" s="9" t="s">
        <v>90</v>
      </c>
      <c r="D1071" s="6">
        <v>163</v>
      </c>
      <c r="E1071" s="9" t="s">
        <v>106</v>
      </c>
      <c r="F1071" s="11">
        <v>672.8</v>
      </c>
      <c r="G1071" s="8">
        <v>672.8</v>
      </c>
      <c r="H1071" s="9">
        <f>(G1071-F1071)</f>
        <v>0.0</v>
      </c>
      <c r="I1071" s="9" t="s">
        <v>119</v>
      </c>
      <c r="J1071" s="9" t="s">
        <v>120</v>
      </c>
    </row>
    <row r="1072" spans="1:12" ht="23" customHeight="1">
      <c r="A1072" s="9" t="s">
        <v>99</v>
      </c>
      <c r="B1072" s="6">
        <v>6</v>
      </c>
      <c r="C1072" s="9" t="s">
        <v>90</v>
      </c>
      <c r="D1072" s="6">
        <v>163</v>
      </c>
      <c r="E1072" s="9" t="s">
        <v>95</v>
      </c>
      <c r="F1072" s="6">
        <v>104936</v>
      </c>
      <c r="G1072" s="7">
        <v>104936</v>
      </c>
      <c r="H1072" s="9">
        <f>(G1072-F1072)</f>
        <v>0.0</v>
      </c>
      <c r="I1072" s="9" t="s">
        <v>119</v>
      </c>
      <c r="J1072" s="9" t="s">
        <v>120</v>
      </c>
    </row>
    <row r="1073" spans="1:12" ht="23" customHeight="1">
      <c r="A1073" s="9" t="s">
        <v>99</v>
      </c>
      <c r="B1073" s="6">
        <v>6</v>
      </c>
      <c r="C1073" s="9" t="s">
        <v>90</v>
      </c>
      <c r="D1073" s="6">
        <v>163</v>
      </c>
      <c r="E1073" s="9" t="s">
        <v>96</v>
      </c>
      <c r="F1073" s="6">
        <v>104936</v>
      </c>
      <c r="G1073" s="7">
        <v>104936</v>
      </c>
      <c r="H1073" s="9">
        <f>(G1073-F1073)</f>
        <v>0.0</v>
      </c>
      <c r="I1073" s="9" t="s">
        <v>119</v>
      </c>
      <c r="J1073" s="9" t="s">
        <v>120</v>
      </c>
    </row>
    <row r="1074" spans="1:12" ht="24" customHeight="1">
      <c r="A1074" s="3" t="s">
        <v>107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ht="36" customHeight="1">
      <c r="A1075" s="4" t="s">
        <v>108</v>
      </c>
      <c r="B1075" s="4" t="s">
        <v>8</v>
      </c>
      <c r="C1075" s="4" t="s">
        <v>109</v>
      </c>
      <c r="D1075" s="4" t="s">
        <v>110</v>
      </c>
      <c r="E1075" s="4" t="s">
        <v>111</v>
      </c>
      <c r="F1075" s="4" t="s">
        <v>112</v>
      </c>
      <c r="G1075" s="4" t="s">
        <v>113</v>
      </c>
      <c r="H1075" s="4" t="s">
        <v>114</v>
      </c>
      <c r="I1075" s="4" t="s">
        <v>115</v>
      </c>
      <c r="J1075" s="4" t="s">
        <v>116</v>
      </c>
    </row>
    <row r="1076" spans="1:12" ht="23" customHeight="1">
      <c r="A1076" s="9" t="s">
        <v>99</v>
      </c>
      <c r="B1076" s="6">
        <v>6</v>
      </c>
      <c r="C1076" s="9" t="s">
        <v>90</v>
      </c>
      <c r="D1076" s="6">
        <v>163</v>
      </c>
      <c r="E1076" s="9" t="s">
        <v>97</v>
      </c>
      <c r="F1076" s="6">
        <v>104936</v>
      </c>
      <c r="G1076" s="7">
        <v>104936</v>
      </c>
      <c r="H1076" s="9">
        <f>(G1076-F1076)</f>
        <v>0.0</v>
      </c>
      <c r="I1076" s="9" t="s">
        <v>119</v>
      </c>
      <c r="J1076" s="9" t="s">
        <v>120</v>
      </c>
    </row>
    <row r="1077" spans="1:12" ht="23" customHeight="1">
      <c r="A1077" s="9" t="s">
        <v>99</v>
      </c>
      <c r="B1077" s="6">
        <v>6</v>
      </c>
      <c r="C1077" s="9" t="s">
        <v>90</v>
      </c>
      <c r="D1077" s="6">
        <v>163</v>
      </c>
      <c r="E1077" s="9" t="s">
        <v>98</v>
      </c>
      <c r="F1077" s="6">
        <v>104936</v>
      </c>
      <c r="G1077" s="7">
        <v>104936</v>
      </c>
      <c r="H1077" s="9">
        <f>(G1077-F1077)</f>
        <v>0.0</v>
      </c>
      <c r="I1077" s="9" t="s">
        <v>119</v>
      </c>
      <c r="J1077" s="9" t="s">
        <v>120</v>
      </c>
    </row>
    <row r="1078" spans="1:12" ht="23" customHeight="1">
      <c r="A1078" s="9" t="s">
        <v>99</v>
      </c>
      <c r="B1078" s="6">
        <v>6</v>
      </c>
      <c r="C1078" s="9" t="s">
        <v>90</v>
      </c>
      <c r="D1078" s="6">
        <v>164</v>
      </c>
      <c r="E1078" s="9" t="s">
        <v>93</v>
      </c>
      <c r="F1078" s="6">
        <v>104936</v>
      </c>
      <c r="G1078" s="7">
        <v>104936</v>
      </c>
      <c r="H1078" s="9">
        <f>(G1078-F1078)</f>
        <v>0.0</v>
      </c>
      <c r="I1078" s="9" t="s">
        <v>119</v>
      </c>
      <c r="J1078" s="9" t="s">
        <v>120</v>
      </c>
    </row>
    <row r="1079" spans="1:12" ht="23" customHeight="1">
      <c r="A1079" s="9" t="s">
        <v>99</v>
      </c>
      <c r="B1079" s="6">
        <v>6</v>
      </c>
      <c r="C1079" s="9" t="s">
        <v>90</v>
      </c>
      <c r="D1079" s="6">
        <v>164</v>
      </c>
      <c r="E1079" s="9" t="s">
        <v>103</v>
      </c>
      <c r="F1079" s="11">
        <v>672.8</v>
      </c>
      <c r="G1079" s="8">
        <v>672.8</v>
      </c>
      <c r="H1079" s="9">
        <f>(G1079-F1079)</f>
        <v>0.0</v>
      </c>
      <c r="I1079" s="9" t="s">
        <v>119</v>
      </c>
      <c r="J1079" s="9" t="s">
        <v>120</v>
      </c>
    </row>
    <row r="1080" spans="1:12" ht="23" customHeight="1">
      <c r="A1080" s="9" t="s">
        <v>99</v>
      </c>
      <c r="B1080" s="6">
        <v>6</v>
      </c>
      <c r="C1080" s="9" t="s">
        <v>90</v>
      </c>
      <c r="D1080" s="6">
        <v>164</v>
      </c>
      <c r="E1080" s="9" t="s">
        <v>104</v>
      </c>
      <c r="F1080" s="11">
        <v>672.8</v>
      </c>
      <c r="G1080" s="8">
        <v>672.8</v>
      </c>
      <c r="H1080" s="9">
        <f>(G1080-F1080)</f>
        <v>0.0</v>
      </c>
      <c r="I1080" s="9" t="s">
        <v>119</v>
      </c>
      <c r="J1080" s="9" t="s">
        <v>120</v>
      </c>
    </row>
    <row r="1081" spans="1:12" ht="23" customHeight="1">
      <c r="A1081" s="9" t="s">
        <v>99</v>
      </c>
      <c r="B1081" s="6">
        <v>6</v>
      </c>
      <c r="C1081" s="9" t="s">
        <v>90</v>
      </c>
      <c r="D1081" s="6">
        <v>164</v>
      </c>
      <c r="E1081" s="9" t="s">
        <v>94</v>
      </c>
      <c r="F1081" s="6">
        <v>104936</v>
      </c>
      <c r="G1081" s="7">
        <v>104936</v>
      </c>
      <c r="H1081" s="9">
        <f>(G1081-F1081)</f>
        <v>0.0</v>
      </c>
      <c r="I1081" s="9" t="s">
        <v>119</v>
      </c>
      <c r="J1081" s="9" t="s">
        <v>120</v>
      </c>
    </row>
    <row r="1082" spans="1:12" ht="23" customHeight="1">
      <c r="A1082" s="9" t="s">
        <v>99</v>
      </c>
      <c r="B1082" s="6">
        <v>6</v>
      </c>
      <c r="C1082" s="9" t="s">
        <v>90</v>
      </c>
      <c r="D1082" s="6">
        <v>164</v>
      </c>
      <c r="E1082" s="9" t="s">
        <v>105</v>
      </c>
      <c r="F1082" s="11">
        <v>672.8</v>
      </c>
      <c r="G1082" s="8">
        <v>672.8</v>
      </c>
      <c r="H1082" s="9">
        <f>(G1082-F1082)</f>
        <v>0.0</v>
      </c>
      <c r="I1082" s="9" t="s">
        <v>119</v>
      </c>
      <c r="J1082" s="9" t="s">
        <v>120</v>
      </c>
    </row>
    <row r="1083" spans="1:12" ht="23" customHeight="1">
      <c r="A1083" s="9" t="s">
        <v>99</v>
      </c>
      <c r="B1083" s="6">
        <v>6</v>
      </c>
      <c r="C1083" s="9" t="s">
        <v>90</v>
      </c>
      <c r="D1083" s="6">
        <v>164</v>
      </c>
      <c r="E1083" s="9" t="s">
        <v>106</v>
      </c>
      <c r="F1083" s="11">
        <v>672.8</v>
      </c>
      <c r="G1083" s="8">
        <v>672.8</v>
      </c>
      <c r="H1083" s="9">
        <f>(G1083-F1083)</f>
        <v>0.0</v>
      </c>
      <c r="I1083" s="9" t="s">
        <v>119</v>
      </c>
      <c r="J1083" s="9" t="s">
        <v>120</v>
      </c>
    </row>
    <row r="1084" spans="1:12" ht="23" customHeight="1">
      <c r="A1084" s="9" t="s">
        <v>99</v>
      </c>
      <c r="B1084" s="6">
        <v>6</v>
      </c>
      <c r="C1084" s="9" t="s">
        <v>90</v>
      </c>
      <c r="D1084" s="6">
        <v>164</v>
      </c>
      <c r="E1084" s="9" t="s">
        <v>95</v>
      </c>
      <c r="F1084" s="6">
        <v>104936</v>
      </c>
      <c r="G1084" s="7">
        <v>104936</v>
      </c>
      <c r="H1084" s="9">
        <f>(G1084-F1084)</f>
        <v>0.0</v>
      </c>
      <c r="I1084" s="9" t="s">
        <v>119</v>
      </c>
      <c r="J1084" s="9" t="s">
        <v>120</v>
      </c>
    </row>
    <row r="1085" spans="1:12" ht="23" customHeight="1">
      <c r="A1085" s="9" t="s">
        <v>99</v>
      </c>
      <c r="B1085" s="6">
        <v>6</v>
      </c>
      <c r="C1085" s="9" t="s">
        <v>90</v>
      </c>
      <c r="D1085" s="6">
        <v>164</v>
      </c>
      <c r="E1085" s="9" t="s">
        <v>96</v>
      </c>
      <c r="F1085" s="6">
        <v>104936</v>
      </c>
      <c r="G1085" s="7">
        <v>104936</v>
      </c>
      <c r="H1085" s="9">
        <f>(G1085-F1085)</f>
        <v>0.0</v>
      </c>
      <c r="I1085" s="9" t="s">
        <v>119</v>
      </c>
      <c r="J1085" s="9" t="s">
        <v>120</v>
      </c>
    </row>
    <row r="1086" spans="1:12" ht="23" customHeight="1">
      <c r="A1086" s="9" t="s">
        <v>99</v>
      </c>
      <c r="B1086" s="6">
        <v>6</v>
      </c>
      <c r="C1086" s="9" t="s">
        <v>90</v>
      </c>
      <c r="D1086" s="6">
        <v>164</v>
      </c>
      <c r="E1086" s="9" t="s">
        <v>97</v>
      </c>
      <c r="F1086" s="6">
        <v>104936</v>
      </c>
      <c r="G1086" s="7">
        <v>104936</v>
      </c>
      <c r="H1086" s="9">
        <f>(G1086-F1086)</f>
        <v>0.0</v>
      </c>
      <c r="I1086" s="9" t="s">
        <v>119</v>
      </c>
      <c r="J1086" s="9" t="s">
        <v>120</v>
      </c>
    </row>
    <row r="1087" spans="1:12" ht="23" customHeight="1">
      <c r="A1087" s="9" t="s">
        <v>99</v>
      </c>
      <c r="B1087" s="6">
        <v>6</v>
      </c>
      <c r="C1087" s="9" t="s">
        <v>90</v>
      </c>
      <c r="D1087" s="6">
        <v>164</v>
      </c>
      <c r="E1087" s="9" t="s">
        <v>98</v>
      </c>
      <c r="F1087" s="6">
        <v>104936</v>
      </c>
      <c r="G1087" s="7">
        <v>104936</v>
      </c>
      <c r="H1087" s="9">
        <f>(G1087-F1087)</f>
        <v>0.0</v>
      </c>
      <c r="I1087" s="9" t="s">
        <v>119</v>
      </c>
      <c r="J1087" s="9" t="s">
        <v>120</v>
      </c>
    </row>
    <row r="1088" spans="1:12" ht="23" customHeight="1">
      <c r="A1088" s="9" t="s">
        <v>99</v>
      </c>
      <c r="B1088" s="6">
        <v>6</v>
      </c>
      <c r="C1088" s="9" t="s">
        <v>90</v>
      </c>
      <c r="D1088" s="6">
        <v>165</v>
      </c>
      <c r="E1088" s="9" t="s">
        <v>93</v>
      </c>
      <c r="F1088" s="6">
        <v>104936</v>
      </c>
      <c r="G1088" s="7">
        <v>104936</v>
      </c>
      <c r="H1088" s="9">
        <f>(G1088-F1088)</f>
        <v>0.0</v>
      </c>
      <c r="I1088" s="9" t="s">
        <v>119</v>
      </c>
      <c r="J1088" s="9" t="s">
        <v>120</v>
      </c>
    </row>
    <row r="1089" spans="1:12" ht="23" customHeight="1">
      <c r="A1089" s="9" t="s">
        <v>99</v>
      </c>
      <c r="B1089" s="6">
        <v>6</v>
      </c>
      <c r="C1089" s="9" t="s">
        <v>90</v>
      </c>
      <c r="D1089" s="6">
        <v>165</v>
      </c>
      <c r="E1089" s="9" t="s">
        <v>103</v>
      </c>
      <c r="F1089" s="11">
        <v>672.8</v>
      </c>
      <c r="G1089" s="8">
        <v>672.8</v>
      </c>
      <c r="H1089" s="9">
        <f>(G1089-F1089)</f>
        <v>0.0</v>
      </c>
      <c r="I1089" s="9" t="s">
        <v>119</v>
      </c>
      <c r="J1089" s="9" t="s">
        <v>120</v>
      </c>
    </row>
    <row r="1090" spans="1:12" ht="23" customHeight="1">
      <c r="A1090" s="9" t="s">
        <v>99</v>
      </c>
      <c r="B1090" s="6">
        <v>6</v>
      </c>
      <c r="C1090" s="9" t="s">
        <v>90</v>
      </c>
      <c r="D1090" s="6">
        <v>165</v>
      </c>
      <c r="E1090" s="9" t="s">
        <v>104</v>
      </c>
      <c r="F1090" s="11">
        <v>672.8</v>
      </c>
      <c r="G1090" s="8">
        <v>672.8</v>
      </c>
      <c r="H1090" s="9">
        <f>(G1090-F1090)</f>
        <v>0.0</v>
      </c>
      <c r="I1090" s="9" t="s">
        <v>119</v>
      </c>
      <c r="J1090" s="9" t="s">
        <v>120</v>
      </c>
    </row>
    <row r="1091" spans="1:12" ht="24" customHeight="1">
      <c r="A1091" s="3" t="s">
        <v>107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ht="36" customHeight="1">
      <c r="A1092" s="4" t="s">
        <v>108</v>
      </c>
      <c r="B1092" s="4" t="s">
        <v>8</v>
      </c>
      <c r="C1092" s="4" t="s">
        <v>109</v>
      </c>
      <c r="D1092" s="4" t="s">
        <v>110</v>
      </c>
      <c r="E1092" s="4" t="s">
        <v>111</v>
      </c>
      <c r="F1092" s="4" t="s">
        <v>112</v>
      </c>
      <c r="G1092" s="4" t="s">
        <v>113</v>
      </c>
      <c r="H1092" s="4" t="s">
        <v>114</v>
      </c>
      <c r="I1092" s="4" t="s">
        <v>115</v>
      </c>
      <c r="J1092" s="4" t="s">
        <v>116</v>
      </c>
    </row>
    <row r="1093" spans="1:12" ht="23" customHeight="1">
      <c r="A1093" s="9" t="s">
        <v>99</v>
      </c>
      <c r="B1093" s="6">
        <v>6</v>
      </c>
      <c r="C1093" s="9" t="s">
        <v>90</v>
      </c>
      <c r="D1093" s="6">
        <v>165</v>
      </c>
      <c r="E1093" s="9" t="s">
        <v>94</v>
      </c>
      <c r="F1093" s="6">
        <v>104936</v>
      </c>
      <c r="G1093" s="7">
        <v>104936</v>
      </c>
      <c r="H1093" s="9">
        <f>(G1093-F1093)</f>
        <v>0.0</v>
      </c>
      <c r="I1093" s="9" t="s">
        <v>119</v>
      </c>
      <c r="J1093" s="9" t="s">
        <v>120</v>
      </c>
    </row>
    <row r="1094" spans="1:12" ht="23" customHeight="1">
      <c r="A1094" s="9" t="s">
        <v>99</v>
      </c>
      <c r="B1094" s="6">
        <v>6</v>
      </c>
      <c r="C1094" s="9" t="s">
        <v>90</v>
      </c>
      <c r="D1094" s="6">
        <v>165</v>
      </c>
      <c r="E1094" s="9" t="s">
        <v>105</v>
      </c>
      <c r="F1094" s="11">
        <v>672.8</v>
      </c>
      <c r="G1094" s="8">
        <v>672.8</v>
      </c>
      <c r="H1094" s="9">
        <f>(G1094-F1094)</f>
        <v>0.0</v>
      </c>
      <c r="I1094" s="9" t="s">
        <v>119</v>
      </c>
      <c r="J1094" s="9" t="s">
        <v>120</v>
      </c>
    </row>
    <row r="1095" spans="1:12" ht="23" customHeight="1">
      <c r="A1095" s="9" t="s">
        <v>99</v>
      </c>
      <c r="B1095" s="6">
        <v>6</v>
      </c>
      <c r="C1095" s="9" t="s">
        <v>90</v>
      </c>
      <c r="D1095" s="6">
        <v>165</v>
      </c>
      <c r="E1095" s="9" t="s">
        <v>106</v>
      </c>
      <c r="F1095" s="11">
        <v>672.8</v>
      </c>
      <c r="G1095" s="8">
        <v>672.8</v>
      </c>
      <c r="H1095" s="9">
        <f>(G1095-F1095)</f>
        <v>0.0</v>
      </c>
      <c r="I1095" s="9" t="s">
        <v>119</v>
      </c>
      <c r="J1095" s="9" t="s">
        <v>120</v>
      </c>
    </row>
    <row r="1096" spans="1:12" ht="23" customHeight="1">
      <c r="A1096" s="9" t="s">
        <v>99</v>
      </c>
      <c r="B1096" s="6">
        <v>6</v>
      </c>
      <c r="C1096" s="9" t="s">
        <v>90</v>
      </c>
      <c r="D1096" s="6">
        <v>165</v>
      </c>
      <c r="E1096" s="9" t="s">
        <v>95</v>
      </c>
      <c r="F1096" s="6">
        <v>104936</v>
      </c>
      <c r="G1096" s="7">
        <v>104936</v>
      </c>
      <c r="H1096" s="9">
        <f>(G1096-F1096)</f>
        <v>0.0</v>
      </c>
      <c r="I1096" s="9" t="s">
        <v>119</v>
      </c>
      <c r="J1096" s="9" t="s">
        <v>120</v>
      </c>
    </row>
    <row r="1097" spans="1:12" ht="23" customHeight="1">
      <c r="A1097" s="9" t="s">
        <v>99</v>
      </c>
      <c r="B1097" s="6">
        <v>6</v>
      </c>
      <c r="C1097" s="9" t="s">
        <v>90</v>
      </c>
      <c r="D1097" s="6">
        <v>165</v>
      </c>
      <c r="E1097" s="9" t="s">
        <v>96</v>
      </c>
      <c r="F1097" s="6">
        <v>104936</v>
      </c>
      <c r="G1097" s="7">
        <v>104936</v>
      </c>
      <c r="H1097" s="9">
        <f>(G1097-F1097)</f>
        <v>0.0</v>
      </c>
      <c r="I1097" s="9" t="s">
        <v>119</v>
      </c>
      <c r="J1097" s="9" t="s">
        <v>120</v>
      </c>
    </row>
    <row r="1098" spans="1:12" ht="23" customHeight="1">
      <c r="A1098" s="9" t="s">
        <v>99</v>
      </c>
      <c r="B1098" s="6">
        <v>6</v>
      </c>
      <c r="C1098" s="9" t="s">
        <v>90</v>
      </c>
      <c r="D1098" s="6">
        <v>165</v>
      </c>
      <c r="E1098" s="9" t="s">
        <v>97</v>
      </c>
      <c r="F1098" s="6">
        <v>104936</v>
      </c>
      <c r="G1098" s="7">
        <v>104936</v>
      </c>
      <c r="H1098" s="9">
        <f>(G1098-F1098)</f>
        <v>0.0</v>
      </c>
      <c r="I1098" s="9" t="s">
        <v>119</v>
      </c>
      <c r="J1098" s="9" t="s">
        <v>120</v>
      </c>
    </row>
    <row r="1099" spans="1:12" ht="23" customHeight="1">
      <c r="A1099" s="9" t="s">
        <v>99</v>
      </c>
      <c r="B1099" s="6">
        <v>6</v>
      </c>
      <c r="C1099" s="9" t="s">
        <v>90</v>
      </c>
      <c r="D1099" s="6">
        <v>165</v>
      </c>
      <c r="E1099" s="9" t="s">
        <v>98</v>
      </c>
      <c r="F1099" s="6">
        <v>104936</v>
      </c>
      <c r="G1099" s="7">
        <v>104936</v>
      </c>
      <c r="H1099" s="9">
        <f>(G1099-F1099)</f>
        <v>0.0</v>
      </c>
      <c r="I1099" s="9" t="s">
        <v>119</v>
      </c>
      <c r="J1099" s="9" t="s">
        <v>120</v>
      </c>
    </row>
    <row r="1100" spans="1:12" ht="23" customHeight="1">
      <c r="A1100" s="9" t="s">
        <v>99</v>
      </c>
      <c r="B1100" s="6">
        <v>6</v>
      </c>
      <c r="C1100" s="9" t="s">
        <v>90</v>
      </c>
      <c r="D1100" s="6">
        <v>166</v>
      </c>
      <c r="E1100" s="9" t="s">
        <v>93</v>
      </c>
      <c r="F1100" s="6">
        <v>104936</v>
      </c>
      <c r="G1100" s="7">
        <v>104936</v>
      </c>
      <c r="H1100" s="9">
        <f>(G1100-F1100)</f>
        <v>0.0</v>
      </c>
      <c r="I1100" s="9" t="s">
        <v>119</v>
      </c>
      <c r="J1100" s="9" t="s">
        <v>120</v>
      </c>
    </row>
    <row r="1101" spans="1:12" ht="23" customHeight="1">
      <c r="A1101" s="9" t="s">
        <v>99</v>
      </c>
      <c r="B1101" s="6">
        <v>6</v>
      </c>
      <c r="C1101" s="9" t="s">
        <v>90</v>
      </c>
      <c r="D1101" s="6">
        <v>166</v>
      </c>
      <c r="E1101" s="9" t="s">
        <v>103</v>
      </c>
      <c r="F1101" s="11">
        <v>672.8</v>
      </c>
      <c r="G1101" s="8">
        <v>672.8</v>
      </c>
      <c r="H1101" s="9">
        <f>(G1101-F1101)</f>
        <v>0.0</v>
      </c>
      <c r="I1101" s="9" t="s">
        <v>119</v>
      </c>
      <c r="J1101" s="9" t="s">
        <v>120</v>
      </c>
    </row>
    <row r="1102" spans="1:12" ht="23" customHeight="1">
      <c r="A1102" s="9" t="s">
        <v>99</v>
      </c>
      <c r="B1102" s="6">
        <v>6</v>
      </c>
      <c r="C1102" s="9" t="s">
        <v>90</v>
      </c>
      <c r="D1102" s="6">
        <v>166</v>
      </c>
      <c r="E1102" s="9" t="s">
        <v>104</v>
      </c>
      <c r="F1102" s="11">
        <v>672.8</v>
      </c>
      <c r="G1102" s="8">
        <v>672.8</v>
      </c>
      <c r="H1102" s="9">
        <f>(G1102-F1102)</f>
        <v>0.0</v>
      </c>
      <c r="I1102" s="9" t="s">
        <v>119</v>
      </c>
      <c r="J1102" s="9" t="s">
        <v>120</v>
      </c>
    </row>
    <row r="1103" spans="1:12" ht="23" customHeight="1">
      <c r="A1103" s="9" t="s">
        <v>99</v>
      </c>
      <c r="B1103" s="6">
        <v>6</v>
      </c>
      <c r="C1103" s="9" t="s">
        <v>90</v>
      </c>
      <c r="D1103" s="6">
        <v>166</v>
      </c>
      <c r="E1103" s="9" t="s">
        <v>94</v>
      </c>
      <c r="F1103" s="6">
        <v>104936</v>
      </c>
      <c r="G1103" s="7">
        <v>104936</v>
      </c>
      <c r="H1103" s="9">
        <f>(G1103-F1103)</f>
        <v>0.0</v>
      </c>
      <c r="I1103" s="9" t="s">
        <v>119</v>
      </c>
      <c r="J1103" s="9" t="s">
        <v>120</v>
      </c>
    </row>
    <row r="1104" spans="1:12" ht="23" customHeight="1">
      <c r="A1104" s="9" t="s">
        <v>99</v>
      </c>
      <c r="B1104" s="6">
        <v>6</v>
      </c>
      <c r="C1104" s="9" t="s">
        <v>90</v>
      </c>
      <c r="D1104" s="6">
        <v>166</v>
      </c>
      <c r="E1104" s="9" t="s">
        <v>105</v>
      </c>
      <c r="F1104" s="11">
        <v>672.8</v>
      </c>
      <c r="G1104" s="8">
        <v>672.8</v>
      </c>
      <c r="H1104" s="9">
        <f>(G1104-F1104)</f>
        <v>0.0</v>
      </c>
      <c r="I1104" s="9" t="s">
        <v>119</v>
      </c>
      <c r="J1104" s="9" t="s">
        <v>120</v>
      </c>
    </row>
    <row r="1105" spans="1:12" ht="23" customHeight="1">
      <c r="A1105" s="9" t="s">
        <v>99</v>
      </c>
      <c r="B1105" s="6">
        <v>6</v>
      </c>
      <c r="C1105" s="9" t="s">
        <v>90</v>
      </c>
      <c r="D1105" s="6">
        <v>166</v>
      </c>
      <c r="E1105" s="9" t="s">
        <v>106</v>
      </c>
      <c r="F1105" s="11">
        <v>672.8</v>
      </c>
      <c r="G1105" s="8">
        <v>672.8</v>
      </c>
      <c r="H1105" s="9">
        <f>(G1105-F1105)</f>
        <v>0.0</v>
      </c>
      <c r="I1105" s="9" t="s">
        <v>119</v>
      </c>
      <c r="J1105" s="9" t="s">
        <v>120</v>
      </c>
    </row>
    <row r="1106" spans="1:12" ht="23" customHeight="1">
      <c r="A1106" s="9" t="s">
        <v>99</v>
      </c>
      <c r="B1106" s="6">
        <v>6</v>
      </c>
      <c r="C1106" s="9" t="s">
        <v>90</v>
      </c>
      <c r="D1106" s="6">
        <v>166</v>
      </c>
      <c r="E1106" s="9" t="s">
        <v>95</v>
      </c>
      <c r="F1106" s="6">
        <v>104936</v>
      </c>
      <c r="G1106" s="7">
        <v>104936</v>
      </c>
      <c r="H1106" s="9">
        <f>(G1106-F1106)</f>
        <v>0.0</v>
      </c>
      <c r="I1106" s="9" t="s">
        <v>119</v>
      </c>
      <c r="J1106" s="9" t="s">
        <v>120</v>
      </c>
    </row>
    <row r="1107" spans="1:12" ht="23" customHeight="1">
      <c r="A1107" s="9" t="s">
        <v>99</v>
      </c>
      <c r="B1107" s="6">
        <v>6</v>
      </c>
      <c r="C1107" s="9" t="s">
        <v>90</v>
      </c>
      <c r="D1107" s="6">
        <v>166</v>
      </c>
      <c r="E1107" s="9" t="s">
        <v>96</v>
      </c>
      <c r="F1107" s="6">
        <v>104936</v>
      </c>
      <c r="G1107" s="7">
        <v>104936</v>
      </c>
      <c r="H1107" s="9">
        <f>(G1107-F1107)</f>
        <v>0.0</v>
      </c>
      <c r="I1107" s="9" t="s">
        <v>119</v>
      </c>
      <c r="J1107" s="9" t="s">
        <v>120</v>
      </c>
    </row>
    <row r="1108" spans="1:12" ht="24" customHeight="1">
      <c r="A1108" s="3" t="s">
        <v>107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ht="36" customHeight="1">
      <c r="A1109" s="4" t="s">
        <v>108</v>
      </c>
      <c r="B1109" s="4" t="s">
        <v>8</v>
      </c>
      <c r="C1109" s="4" t="s">
        <v>109</v>
      </c>
      <c r="D1109" s="4" t="s">
        <v>110</v>
      </c>
      <c r="E1109" s="4" t="s">
        <v>111</v>
      </c>
      <c r="F1109" s="4" t="s">
        <v>112</v>
      </c>
      <c r="G1109" s="4" t="s">
        <v>113</v>
      </c>
      <c r="H1109" s="4" t="s">
        <v>114</v>
      </c>
      <c r="I1109" s="4" t="s">
        <v>115</v>
      </c>
      <c r="J1109" s="4" t="s">
        <v>116</v>
      </c>
    </row>
    <row r="1110" spans="1:12" ht="23" customHeight="1">
      <c r="A1110" s="9" t="s">
        <v>99</v>
      </c>
      <c r="B1110" s="6">
        <v>6</v>
      </c>
      <c r="C1110" s="9" t="s">
        <v>90</v>
      </c>
      <c r="D1110" s="6">
        <v>166</v>
      </c>
      <c r="E1110" s="9" t="s">
        <v>97</v>
      </c>
      <c r="F1110" s="6">
        <v>104936</v>
      </c>
      <c r="G1110" s="7">
        <v>104936</v>
      </c>
      <c r="H1110" s="9">
        <f>(G1110-F1110)</f>
        <v>0.0</v>
      </c>
      <c r="I1110" s="9" t="s">
        <v>119</v>
      </c>
      <c r="J1110" s="9" t="s">
        <v>120</v>
      </c>
    </row>
    <row r="1111" spans="1:12" ht="23" customHeight="1">
      <c r="A1111" s="9" t="s">
        <v>99</v>
      </c>
      <c r="B1111" s="6">
        <v>6</v>
      </c>
      <c r="C1111" s="9" t="s">
        <v>90</v>
      </c>
      <c r="D1111" s="6">
        <v>166</v>
      </c>
      <c r="E1111" s="9" t="s">
        <v>98</v>
      </c>
      <c r="F1111" s="6">
        <v>104936</v>
      </c>
      <c r="G1111" s="7">
        <v>104936</v>
      </c>
      <c r="H1111" s="9">
        <f>(G1111-F1111)</f>
        <v>0.0</v>
      </c>
      <c r="I1111" s="9" t="s">
        <v>119</v>
      </c>
      <c r="J1111" s="9" t="s">
        <v>120</v>
      </c>
    </row>
    <row r="1112" spans="1:12" ht="23" customHeight="1">
      <c r="A1112" s="9" t="s">
        <v>99</v>
      </c>
      <c r="B1112" s="6">
        <v>6</v>
      </c>
      <c r="C1112" s="9" t="s">
        <v>90</v>
      </c>
      <c r="D1112" s="6">
        <v>167</v>
      </c>
      <c r="E1112" s="9" t="s">
        <v>93</v>
      </c>
      <c r="F1112" s="6">
        <v>104936</v>
      </c>
      <c r="G1112" s="7">
        <v>104936</v>
      </c>
      <c r="H1112" s="9">
        <f>(G1112-F1112)</f>
        <v>0.0</v>
      </c>
      <c r="I1112" s="9" t="s">
        <v>119</v>
      </c>
      <c r="J1112" s="9" t="s">
        <v>120</v>
      </c>
    </row>
    <row r="1113" spans="1:12" ht="23" customHeight="1">
      <c r="A1113" s="9" t="s">
        <v>99</v>
      </c>
      <c r="B1113" s="6">
        <v>6</v>
      </c>
      <c r="C1113" s="9" t="s">
        <v>90</v>
      </c>
      <c r="D1113" s="6">
        <v>167</v>
      </c>
      <c r="E1113" s="9" t="s">
        <v>103</v>
      </c>
      <c r="F1113" s="11">
        <v>672.8</v>
      </c>
      <c r="G1113" s="8">
        <v>672.8</v>
      </c>
      <c r="H1113" s="9">
        <f>(G1113-F1113)</f>
        <v>0.0</v>
      </c>
      <c r="I1113" s="9" t="s">
        <v>119</v>
      </c>
      <c r="J1113" s="9" t="s">
        <v>120</v>
      </c>
    </row>
    <row r="1114" spans="1:12" ht="23" customHeight="1">
      <c r="A1114" s="9" t="s">
        <v>99</v>
      </c>
      <c r="B1114" s="6">
        <v>6</v>
      </c>
      <c r="C1114" s="9" t="s">
        <v>90</v>
      </c>
      <c r="D1114" s="6">
        <v>167</v>
      </c>
      <c r="E1114" s="9" t="s">
        <v>104</v>
      </c>
      <c r="F1114" s="11">
        <v>672.8</v>
      </c>
      <c r="G1114" s="8">
        <v>672.8</v>
      </c>
      <c r="H1114" s="9">
        <f>(G1114-F1114)</f>
        <v>0.0</v>
      </c>
      <c r="I1114" s="9" t="s">
        <v>119</v>
      </c>
      <c r="J1114" s="9" t="s">
        <v>120</v>
      </c>
    </row>
    <row r="1115" spans="1:12" ht="23" customHeight="1">
      <c r="A1115" s="9" t="s">
        <v>99</v>
      </c>
      <c r="B1115" s="6">
        <v>6</v>
      </c>
      <c r="C1115" s="9" t="s">
        <v>90</v>
      </c>
      <c r="D1115" s="6">
        <v>167</v>
      </c>
      <c r="E1115" s="9" t="s">
        <v>94</v>
      </c>
      <c r="F1115" s="6">
        <v>104936</v>
      </c>
      <c r="G1115" s="7">
        <v>104936</v>
      </c>
      <c r="H1115" s="9">
        <f>(G1115-F1115)</f>
        <v>0.0</v>
      </c>
      <c r="I1115" s="9" t="s">
        <v>119</v>
      </c>
      <c r="J1115" s="9" t="s">
        <v>120</v>
      </c>
    </row>
    <row r="1116" spans="1:12" ht="23" customHeight="1">
      <c r="A1116" s="9" t="s">
        <v>99</v>
      </c>
      <c r="B1116" s="6">
        <v>6</v>
      </c>
      <c r="C1116" s="9" t="s">
        <v>90</v>
      </c>
      <c r="D1116" s="6">
        <v>167</v>
      </c>
      <c r="E1116" s="9" t="s">
        <v>105</v>
      </c>
      <c r="F1116" s="11">
        <v>672.8</v>
      </c>
      <c r="G1116" s="8">
        <v>672.8</v>
      </c>
      <c r="H1116" s="9">
        <f>(G1116-F1116)</f>
        <v>0.0</v>
      </c>
      <c r="I1116" s="9" t="s">
        <v>119</v>
      </c>
      <c r="J1116" s="9" t="s">
        <v>120</v>
      </c>
    </row>
    <row r="1117" spans="1:12" ht="23" customHeight="1">
      <c r="A1117" s="9" t="s">
        <v>99</v>
      </c>
      <c r="B1117" s="6">
        <v>6</v>
      </c>
      <c r="C1117" s="9" t="s">
        <v>90</v>
      </c>
      <c r="D1117" s="6">
        <v>167</v>
      </c>
      <c r="E1117" s="9" t="s">
        <v>106</v>
      </c>
      <c r="F1117" s="11">
        <v>672.8</v>
      </c>
      <c r="G1117" s="8">
        <v>672.8</v>
      </c>
      <c r="H1117" s="9">
        <f>(G1117-F1117)</f>
        <v>0.0</v>
      </c>
      <c r="I1117" s="9" t="s">
        <v>119</v>
      </c>
      <c r="J1117" s="9" t="s">
        <v>120</v>
      </c>
    </row>
    <row r="1118" spans="1:12" ht="23" customHeight="1">
      <c r="A1118" s="9" t="s">
        <v>99</v>
      </c>
      <c r="B1118" s="6">
        <v>6</v>
      </c>
      <c r="C1118" s="9" t="s">
        <v>90</v>
      </c>
      <c r="D1118" s="6">
        <v>167</v>
      </c>
      <c r="E1118" s="9" t="s">
        <v>95</v>
      </c>
      <c r="F1118" s="6">
        <v>104936</v>
      </c>
      <c r="G1118" s="7">
        <v>104936</v>
      </c>
      <c r="H1118" s="9">
        <f>(G1118-F1118)</f>
        <v>0.0</v>
      </c>
      <c r="I1118" s="9" t="s">
        <v>119</v>
      </c>
      <c r="J1118" s="9" t="s">
        <v>120</v>
      </c>
    </row>
    <row r="1119" spans="1:12" ht="23" customHeight="1">
      <c r="A1119" s="9" t="s">
        <v>99</v>
      </c>
      <c r="B1119" s="6">
        <v>6</v>
      </c>
      <c r="C1119" s="9" t="s">
        <v>90</v>
      </c>
      <c r="D1119" s="6">
        <v>167</v>
      </c>
      <c r="E1119" s="9" t="s">
        <v>96</v>
      </c>
      <c r="F1119" s="6">
        <v>104936</v>
      </c>
      <c r="G1119" s="7">
        <v>104936</v>
      </c>
      <c r="H1119" s="9">
        <f>(G1119-F1119)</f>
        <v>0.0</v>
      </c>
      <c r="I1119" s="9" t="s">
        <v>119</v>
      </c>
      <c r="J1119" s="9" t="s">
        <v>120</v>
      </c>
    </row>
    <row r="1120" spans="1:12" ht="23" customHeight="1">
      <c r="A1120" s="9" t="s">
        <v>99</v>
      </c>
      <c r="B1120" s="6">
        <v>6</v>
      </c>
      <c r="C1120" s="9" t="s">
        <v>90</v>
      </c>
      <c r="D1120" s="6">
        <v>167</v>
      </c>
      <c r="E1120" s="9" t="s">
        <v>97</v>
      </c>
      <c r="F1120" s="6">
        <v>104936</v>
      </c>
      <c r="G1120" s="7">
        <v>104936</v>
      </c>
      <c r="H1120" s="9">
        <f>(G1120-F1120)</f>
        <v>0.0</v>
      </c>
      <c r="I1120" s="9" t="s">
        <v>119</v>
      </c>
      <c r="J1120" s="9" t="s">
        <v>120</v>
      </c>
    </row>
    <row r="1121" spans="1:12" ht="23" customHeight="1">
      <c r="A1121" s="9" t="s">
        <v>99</v>
      </c>
      <c r="B1121" s="6">
        <v>6</v>
      </c>
      <c r="C1121" s="9" t="s">
        <v>90</v>
      </c>
      <c r="D1121" s="6">
        <v>167</v>
      </c>
      <c r="E1121" s="9" t="s">
        <v>98</v>
      </c>
      <c r="F1121" s="6">
        <v>104936</v>
      </c>
      <c r="G1121" s="7">
        <v>104936</v>
      </c>
      <c r="H1121" s="9">
        <f>(G1121-F1121)</f>
        <v>0.0</v>
      </c>
      <c r="I1121" s="9" t="s">
        <v>119</v>
      </c>
      <c r="J1121" s="9" t="s">
        <v>120</v>
      </c>
    </row>
    <row r="1122" spans="1:12" ht="23" customHeight="1">
      <c r="A1122" s="9" t="s">
        <v>99</v>
      </c>
      <c r="B1122" s="6">
        <v>6</v>
      </c>
      <c r="C1122" s="9" t="s">
        <v>90</v>
      </c>
      <c r="D1122" s="6">
        <v>168</v>
      </c>
      <c r="E1122" s="9" t="s">
        <v>93</v>
      </c>
      <c r="F1122" s="6">
        <v>104936</v>
      </c>
      <c r="G1122" s="7">
        <v>104936</v>
      </c>
      <c r="H1122" s="9">
        <f>(G1122-F1122)</f>
        <v>0.0</v>
      </c>
      <c r="I1122" s="9" t="s">
        <v>119</v>
      </c>
      <c r="J1122" s="9" t="s">
        <v>120</v>
      </c>
    </row>
    <row r="1123" spans="1:12" ht="23" customHeight="1">
      <c r="A1123" s="9" t="s">
        <v>99</v>
      </c>
      <c r="B1123" s="6">
        <v>6</v>
      </c>
      <c r="C1123" s="9" t="s">
        <v>90</v>
      </c>
      <c r="D1123" s="6">
        <v>168</v>
      </c>
      <c r="E1123" s="9" t="s">
        <v>103</v>
      </c>
      <c r="F1123" s="11">
        <v>672.8</v>
      </c>
      <c r="G1123" s="8">
        <v>672.8</v>
      </c>
      <c r="H1123" s="9">
        <f>(G1123-F1123)</f>
        <v>0.0</v>
      </c>
      <c r="I1123" s="9" t="s">
        <v>119</v>
      </c>
      <c r="J1123" s="9" t="s">
        <v>120</v>
      </c>
    </row>
    <row r="1124" spans="1:12" ht="23" customHeight="1">
      <c r="A1124" s="9" t="s">
        <v>99</v>
      </c>
      <c r="B1124" s="6">
        <v>6</v>
      </c>
      <c r="C1124" s="9" t="s">
        <v>90</v>
      </c>
      <c r="D1124" s="6">
        <v>168</v>
      </c>
      <c r="E1124" s="9" t="s">
        <v>104</v>
      </c>
      <c r="F1124" s="11">
        <v>672.8</v>
      </c>
      <c r="G1124" s="8">
        <v>672.8</v>
      </c>
      <c r="H1124" s="9">
        <f>(G1124-F1124)</f>
        <v>0.0</v>
      </c>
      <c r="I1124" s="9" t="s">
        <v>119</v>
      </c>
      <c r="J1124" s="9" t="s">
        <v>120</v>
      </c>
    </row>
    <row r="1125" spans="1:12" ht="24" customHeight="1">
      <c r="A1125" s="3" t="s">
        <v>107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1:12" ht="36" customHeight="1">
      <c r="A1126" s="4" t="s">
        <v>108</v>
      </c>
      <c r="B1126" s="4" t="s">
        <v>8</v>
      </c>
      <c r="C1126" s="4" t="s">
        <v>109</v>
      </c>
      <c r="D1126" s="4" t="s">
        <v>110</v>
      </c>
      <c r="E1126" s="4" t="s">
        <v>111</v>
      </c>
      <c r="F1126" s="4" t="s">
        <v>112</v>
      </c>
      <c r="G1126" s="4" t="s">
        <v>113</v>
      </c>
      <c r="H1126" s="4" t="s">
        <v>114</v>
      </c>
      <c r="I1126" s="4" t="s">
        <v>115</v>
      </c>
      <c r="J1126" s="4" t="s">
        <v>116</v>
      </c>
    </row>
    <row r="1127" spans="1:12" ht="23" customHeight="1">
      <c r="A1127" s="9" t="s">
        <v>99</v>
      </c>
      <c r="B1127" s="6">
        <v>6</v>
      </c>
      <c r="C1127" s="9" t="s">
        <v>90</v>
      </c>
      <c r="D1127" s="6">
        <v>168</v>
      </c>
      <c r="E1127" s="9" t="s">
        <v>94</v>
      </c>
      <c r="F1127" s="6">
        <v>104936</v>
      </c>
      <c r="G1127" s="7">
        <v>104936</v>
      </c>
      <c r="H1127" s="9">
        <f>(G1127-F1127)</f>
        <v>0.0</v>
      </c>
      <c r="I1127" s="9" t="s">
        <v>119</v>
      </c>
      <c r="J1127" s="9" t="s">
        <v>120</v>
      </c>
    </row>
    <row r="1128" spans="1:12" ht="23" customHeight="1">
      <c r="A1128" s="9" t="s">
        <v>99</v>
      </c>
      <c r="B1128" s="6">
        <v>6</v>
      </c>
      <c r="C1128" s="9" t="s">
        <v>90</v>
      </c>
      <c r="D1128" s="6">
        <v>168</v>
      </c>
      <c r="E1128" s="9" t="s">
        <v>105</v>
      </c>
      <c r="F1128" s="11">
        <v>672.8</v>
      </c>
      <c r="G1128" s="8">
        <v>672.8</v>
      </c>
      <c r="H1128" s="9">
        <f>(G1128-F1128)</f>
        <v>0.0</v>
      </c>
      <c r="I1128" s="9" t="s">
        <v>119</v>
      </c>
      <c r="J1128" s="9" t="s">
        <v>120</v>
      </c>
    </row>
    <row r="1129" spans="1:12" ht="23" customHeight="1">
      <c r="A1129" s="9" t="s">
        <v>99</v>
      </c>
      <c r="B1129" s="6">
        <v>6</v>
      </c>
      <c r="C1129" s="9" t="s">
        <v>90</v>
      </c>
      <c r="D1129" s="6">
        <v>168</v>
      </c>
      <c r="E1129" s="9" t="s">
        <v>106</v>
      </c>
      <c r="F1129" s="11">
        <v>672.8</v>
      </c>
      <c r="G1129" s="8">
        <v>672.8</v>
      </c>
      <c r="H1129" s="9">
        <f>(G1129-F1129)</f>
        <v>0.0</v>
      </c>
      <c r="I1129" s="9" t="s">
        <v>119</v>
      </c>
      <c r="J1129" s="9" t="s">
        <v>120</v>
      </c>
    </row>
    <row r="1130" spans="1:12" ht="23" customHeight="1">
      <c r="A1130" s="9" t="s">
        <v>99</v>
      </c>
      <c r="B1130" s="6">
        <v>6</v>
      </c>
      <c r="C1130" s="9" t="s">
        <v>90</v>
      </c>
      <c r="D1130" s="6">
        <v>168</v>
      </c>
      <c r="E1130" s="9" t="s">
        <v>95</v>
      </c>
      <c r="F1130" s="6">
        <v>104936</v>
      </c>
      <c r="G1130" s="7">
        <v>104936</v>
      </c>
      <c r="H1130" s="9">
        <f>(G1130-F1130)</f>
        <v>0.0</v>
      </c>
      <c r="I1130" s="9" t="s">
        <v>119</v>
      </c>
      <c r="J1130" s="9" t="s">
        <v>120</v>
      </c>
    </row>
    <row r="1131" spans="1:12" ht="23" customHeight="1">
      <c r="A1131" s="9" t="s">
        <v>99</v>
      </c>
      <c r="B1131" s="6">
        <v>6</v>
      </c>
      <c r="C1131" s="9" t="s">
        <v>90</v>
      </c>
      <c r="D1131" s="6">
        <v>168</v>
      </c>
      <c r="E1131" s="9" t="s">
        <v>96</v>
      </c>
      <c r="F1131" s="6">
        <v>104936</v>
      </c>
      <c r="G1131" s="7">
        <v>104936</v>
      </c>
      <c r="H1131" s="9">
        <f>(G1131-F1131)</f>
        <v>0.0</v>
      </c>
      <c r="I1131" s="9" t="s">
        <v>119</v>
      </c>
      <c r="J1131" s="9" t="s">
        <v>120</v>
      </c>
    </row>
    <row r="1132" spans="1:12" ht="23" customHeight="1">
      <c r="A1132" s="9" t="s">
        <v>99</v>
      </c>
      <c r="B1132" s="6">
        <v>6</v>
      </c>
      <c r="C1132" s="9" t="s">
        <v>90</v>
      </c>
      <c r="D1132" s="6">
        <v>168</v>
      </c>
      <c r="E1132" s="9" t="s">
        <v>97</v>
      </c>
      <c r="F1132" s="6">
        <v>104936</v>
      </c>
      <c r="G1132" s="7">
        <v>104936</v>
      </c>
      <c r="H1132" s="9">
        <f>(G1132-F1132)</f>
        <v>0.0</v>
      </c>
      <c r="I1132" s="9" t="s">
        <v>119</v>
      </c>
      <c r="J1132" s="9" t="s">
        <v>120</v>
      </c>
    </row>
    <row r="1133" spans="1:12" ht="23" customHeight="1">
      <c r="A1133" s="9" t="s">
        <v>99</v>
      </c>
      <c r="B1133" s="6">
        <v>6</v>
      </c>
      <c r="C1133" s="9" t="s">
        <v>90</v>
      </c>
      <c r="D1133" s="6">
        <v>168</v>
      </c>
      <c r="E1133" s="9" t="s">
        <v>98</v>
      </c>
      <c r="F1133" s="6">
        <v>104936</v>
      </c>
      <c r="G1133" s="7">
        <v>104936</v>
      </c>
      <c r="H1133" s="9">
        <f>(G1133-F1133)</f>
        <v>0.0</v>
      </c>
      <c r="I1133" s="9" t="s">
        <v>119</v>
      </c>
      <c r="J1133" s="9" t="s">
        <v>120</v>
      </c>
    </row>
    <row r="1134" spans="1:12" ht="23" customHeight="1">
      <c r="A1134" s="9" t="s">
        <v>99</v>
      </c>
      <c r="B1134" s="6">
        <v>6</v>
      </c>
      <c r="C1134" s="9" t="s">
        <v>90</v>
      </c>
      <c r="D1134" s="6">
        <v>169</v>
      </c>
      <c r="E1134" s="9" t="s">
        <v>93</v>
      </c>
      <c r="F1134" s="6">
        <v>104936</v>
      </c>
      <c r="G1134" s="7">
        <v>104936</v>
      </c>
      <c r="H1134" s="9">
        <f>(G1134-F1134)</f>
        <v>0.0</v>
      </c>
      <c r="I1134" s="9" t="s">
        <v>119</v>
      </c>
      <c r="J1134" s="9" t="s">
        <v>120</v>
      </c>
    </row>
    <row r="1135" spans="1:12" ht="23" customHeight="1">
      <c r="A1135" s="9" t="s">
        <v>99</v>
      </c>
      <c r="B1135" s="6">
        <v>6</v>
      </c>
      <c r="C1135" s="9" t="s">
        <v>90</v>
      </c>
      <c r="D1135" s="6">
        <v>169</v>
      </c>
      <c r="E1135" s="9" t="s">
        <v>103</v>
      </c>
      <c r="F1135" s="11">
        <v>672.8</v>
      </c>
      <c r="G1135" s="8">
        <v>672.8</v>
      </c>
      <c r="H1135" s="9">
        <f>(G1135-F1135)</f>
        <v>0.0</v>
      </c>
      <c r="I1135" s="9" t="s">
        <v>119</v>
      </c>
      <c r="J1135" s="9" t="s">
        <v>120</v>
      </c>
    </row>
    <row r="1136" spans="1:12" ht="23" customHeight="1">
      <c r="A1136" s="9" t="s">
        <v>99</v>
      </c>
      <c r="B1136" s="6">
        <v>6</v>
      </c>
      <c r="C1136" s="9" t="s">
        <v>90</v>
      </c>
      <c r="D1136" s="6">
        <v>169</v>
      </c>
      <c r="E1136" s="9" t="s">
        <v>104</v>
      </c>
      <c r="F1136" s="11">
        <v>672.8</v>
      </c>
      <c r="G1136" s="8">
        <v>672.8</v>
      </c>
      <c r="H1136" s="9">
        <f>(G1136-F1136)</f>
        <v>0.0</v>
      </c>
      <c r="I1136" s="9" t="s">
        <v>119</v>
      </c>
      <c r="J1136" s="9" t="s">
        <v>120</v>
      </c>
    </row>
    <row r="1137" spans="1:12" ht="23" customHeight="1">
      <c r="A1137" s="9" t="s">
        <v>99</v>
      </c>
      <c r="B1137" s="6">
        <v>6</v>
      </c>
      <c r="C1137" s="9" t="s">
        <v>90</v>
      </c>
      <c r="D1137" s="6">
        <v>169</v>
      </c>
      <c r="E1137" s="9" t="s">
        <v>94</v>
      </c>
      <c r="F1137" s="6">
        <v>104936</v>
      </c>
      <c r="G1137" s="7">
        <v>104936</v>
      </c>
      <c r="H1137" s="9">
        <f>(G1137-F1137)</f>
        <v>0.0</v>
      </c>
      <c r="I1137" s="9" t="s">
        <v>119</v>
      </c>
      <c r="J1137" s="9" t="s">
        <v>120</v>
      </c>
    </row>
    <row r="1138" spans="1:12" ht="23" customHeight="1">
      <c r="A1138" s="9" t="s">
        <v>99</v>
      </c>
      <c r="B1138" s="6">
        <v>6</v>
      </c>
      <c r="C1138" s="9" t="s">
        <v>90</v>
      </c>
      <c r="D1138" s="6">
        <v>169</v>
      </c>
      <c r="E1138" s="9" t="s">
        <v>105</v>
      </c>
      <c r="F1138" s="11">
        <v>672.8</v>
      </c>
      <c r="G1138" s="8">
        <v>672.8</v>
      </c>
      <c r="H1138" s="9">
        <f>(G1138-F1138)</f>
        <v>0.0</v>
      </c>
      <c r="I1138" s="9" t="s">
        <v>119</v>
      </c>
      <c r="J1138" s="9" t="s">
        <v>120</v>
      </c>
    </row>
    <row r="1139" spans="1:12" ht="23" customHeight="1">
      <c r="A1139" s="9" t="s">
        <v>99</v>
      </c>
      <c r="B1139" s="6">
        <v>6</v>
      </c>
      <c r="C1139" s="9" t="s">
        <v>90</v>
      </c>
      <c r="D1139" s="6">
        <v>169</v>
      </c>
      <c r="E1139" s="9" t="s">
        <v>106</v>
      </c>
      <c r="F1139" s="11">
        <v>672.8</v>
      </c>
      <c r="G1139" s="8">
        <v>672.8</v>
      </c>
      <c r="H1139" s="9">
        <f>(G1139-F1139)</f>
        <v>0.0</v>
      </c>
      <c r="I1139" s="9" t="s">
        <v>119</v>
      </c>
      <c r="J1139" s="9" t="s">
        <v>120</v>
      </c>
    </row>
    <row r="1140" spans="1:12" ht="23" customHeight="1">
      <c r="A1140" s="9" t="s">
        <v>99</v>
      </c>
      <c r="B1140" s="6">
        <v>6</v>
      </c>
      <c r="C1140" s="9" t="s">
        <v>90</v>
      </c>
      <c r="D1140" s="6">
        <v>169</v>
      </c>
      <c r="E1140" s="9" t="s">
        <v>95</v>
      </c>
      <c r="F1140" s="6">
        <v>104936</v>
      </c>
      <c r="G1140" s="7">
        <v>104936</v>
      </c>
      <c r="H1140" s="9">
        <f>(G1140-F1140)</f>
        <v>0.0</v>
      </c>
      <c r="I1140" s="9" t="s">
        <v>119</v>
      </c>
      <c r="J1140" s="9" t="s">
        <v>120</v>
      </c>
    </row>
    <row r="1141" spans="1:12" ht="23" customHeight="1">
      <c r="A1141" s="9" t="s">
        <v>99</v>
      </c>
      <c r="B1141" s="6">
        <v>6</v>
      </c>
      <c r="C1141" s="9" t="s">
        <v>90</v>
      </c>
      <c r="D1141" s="6">
        <v>169</v>
      </c>
      <c r="E1141" s="9" t="s">
        <v>96</v>
      </c>
      <c r="F1141" s="6">
        <v>104936</v>
      </c>
      <c r="G1141" s="7">
        <v>104936</v>
      </c>
      <c r="H1141" s="9">
        <f>(G1141-F1141)</f>
        <v>0.0</v>
      </c>
      <c r="I1141" s="9" t="s">
        <v>119</v>
      </c>
      <c r="J1141" s="9" t="s">
        <v>120</v>
      </c>
    </row>
    <row r="1142" spans="1:12" ht="24" customHeight="1">
      <c r="A1142" s="3" t="s">
        <v>107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</row>
    <row r="1143" spans="1:12" ht="36" customHeight="1">
      <c r="A1143" s="4" t="s">
        <v>108</v>
      </c>
      <c r="B1143" s="4" t="s">
        <v>8</v>
      </c>
      <c r="C1143" s="4" t="s">
        <v>109</v>
      </c>
      <c r="D1143" s="4" t="s">
        <v>110</v>
      </c>
      <c r="E1143" s="4" t="s">
        <v>111</v>
      </c>
      <c r="F1143" s="4" t="s">
        <v>112</v>
      </c>
      <c r="G1143" s="4" t="s">
        <v>113</v>
      </c>
      <c r="H1143" s="4" t="s">
        <v>114</v>
      </c>
      <c r="I1143" s="4" t="s">
        <v>115</v>
      </c>
      <c r="J1143" s="4" t="s">
        <v>116</v>
      </c>
    </row>
    <row r="1144" spans="1:12" ht="23" customHeight="1">
      <c r="A1144" s="9" t="s">
        <v>99</v>
      </c>
      <c r="B1144" s="6">
        <v>6</v>
      </c>
      <c r="C1144" s="9" t="s">
        <v>90</v>
      </c>
      <c r="D1144" s="6">
        <v>169</v>
      </c>
      <c r="E1144" s="9" t="s">
        <v>97</v>
      </c>
      <c r="F1144" s="6">
        <v>104936</v>
      </c>
      <c r="G1144" s="7">
        <v>104936</v>
      </c>
      <c r="H1144" s="9">
        <f>(G1144-F1144)</f>
        <v>0.0</v>
      </c>
      <c r="I1144" s="9" t="s">
        <v>119</v>
      </c>
      <c r="J1144" s="9" t="s">
        <v>120</v>
      </c>
    </row>
    <row r="1145" spans="1:12" ht="23" customHeight="1">
      <c r="A1145" s="9" t="s">
        <v>99</v>
      </c>
      <c r="B1145" s="6">
        <v>6</v>
      </c>
      <c r="C1145" s="9" t="s">
        <v>90</v>
      </c>
      <c r="D1145" s="6">
        <v>169</v>
      </c>
      <c r="E1145" s="9" t="s">
        <v>98</v>
      </c>
      <c r="F1145" s="6">
        <v>104936</v>
      </c>
      <c r="G1145" s="7">
        <v>104936</v>
      </c>
      <c r="H1145" s="9">
        <f>(G1145-F1145)</f>
        <v>0.0</v>
      </c>
      <c r="I1145" s="9" t="s">
        <v>119</v>
      </c>
      <c r="J1145" s="9" t="s">
        <v>120</v>
      </c>
    </row>
    <row r="1146" spans="1:12" ht="23" customHeight="1">
      <c r="A1146" s="9" t="s">
        <v>99</v>
      </c>
      <c r="B1146" s="6">
        <v>6</v>
      </c>
      <c r="C1146" s="9" t="s">
        <v>90</v>
      </c>
      <c r="D1146" s="6">
        <v>170</v>
      </c>
      <c r="E1146" s="9" t="s">
        <v>93</v>
      </c>
      <c r="F1146" s="6">
        <v>104936</v>
      </c>
      <c r="G1146" s="7">
        <v>104936</v>
      </c>
      <c r="H1146" s="9">
        <f>(G1146-F1146)</f>
        <v>0.0</v>
      </c>
      <c r="I1146" s="9" t="s">
        <v>119</v>
      </c>
      <c r="J1146" s="9" t="s">
        <v>120</v>
      </c>
    </row>
    <row r="1147" spans="1:12" ht="23" customHeight="1">
      <c r="A1147" s="9" t="s">
        <v>99</v>
      </c>
      <c r="B1147" s="6">
        <v>6</v>
      </c>
      <c r="C1147" s="9" t="s">
        <v>90</v>
      </c>
      <c r="D1147" s="6">
        <v>170</v>
      </c>
      <c r="E1147" s="9" t="s">
        <v>103</v>
      </c>
      <c r="F1147" s="11">
        <v>672.8</v>
      </c>
      <c r="G1147" s="8">
        <v>672.8</v>
      </c>
      <c r="H1147" s="9">
        <f>(G1147-F1147)</f>
        <v>0.0</v>
      </c>
      <c r="I1147" s="9" t="s">
        <v>119</v>
      </c>
      <c r="J1147" s="9" t="s">
        <v>120</v>
      </c>
    </row>
    <row r="1148" spans="1:12" ht="23" customHeight="1">
      <c r="A1148" s="9" t="s">
        <v>99</v>
      </c>
      <c r="B1148" s="6">
        <v>6</v>
      </c>
      <c r="C1148" s="9" t="s">
        <v>90</v>
      </c>
      <c r="D1148" s="6">
        <v>170</v>
      </c>
      <c r="E1148" s="9" t="s">
        <v>104</v>
      </c>
      <c r="F1148" s="11">
        <v>672.8</v>
      </c>
      <c r="G1148" s="8">
        <v>672.8</v>
      </c>
      <c r="H1148" s="9">
        <f>(G1148-F1148)</f>
        <v>0.0</v>
      </c>
      <c r="I1148" s="9" t="s">
        <v>119</v>
      </c>
      <c r="J1148" s="9" t="s">
        <v>120</v>
      </c>
    </row>
    <row r="1149" spans="1:12" ht="23" customHeight="1">
      <c r="A1149" s="9" t="s">
        <v>99</v>
      </c>
      <c r="B1149" s="6">
        <v>6</v>
      </c>
      <c r="C1149" s="9" t="s">
        <v>90</v>
      </c>
      <c r="D1149" s="6">
        <v>170</v>
      </c>
      <c r="E1149" s="9" t="s">
        <v>94</v>
      </c>
      <c r="F1149" s="6">
        <v>104936</v>
      </c>
      <c r="G1149" s="7">
        <v>104936</v>
      </c>
      <c r="H1149" s="9">
        <f>(G1149-F1149)</f>
        <v>0.0</v>
      </c>
      <c r="I1149" s="9" t="s">
        <v>119</v>
      </c>
      <c r="J1149" s="9" t="s">
        <v>120</v>
      </c>
    </row>
    <row r="1150" spans="1:12" ht="23" customHeight="1">
      <c r="A1150" s="9" t="s">
        <v>99</v>
      </c>
      <c r="B1150" s="6">
        <v>6</v>
      </c>
      <c r="C1150" s="9" t="s">
        <v>90</v>
      </c>
      <c r="D1150" s="6">
        <v>170</v>
      </c>
      <c r="E1150" s="9" t="s">
        <v>105</v>
      </c>
      <c r="F1150" s="11">
        <v>672.8</v>
      </c>
      <c r="G1150" s="8">
        <v>672.8</v>
      </c>
      <c r="H1150" s="9">
        <f>(G1150-F1150)</f>
        <v>0.0</v>
      </c>
      <c r="I1150" s="9" t="s">
        <v>119</v>
      </c>
      <c r="J1150" s="9" t="s">
        <v>120</v>
      </c>
    </row>
    <row r="1151" spans="1:12" ht="23" customHeight="1">
      <c r="A1151" s="9" t="s">
        <v>99</v>
      </c>
      <c r="B1151" s="6">
        <v>6</v>
      </c>
      <c r="C1151" s="9" t="s">
        <v>90</v>
      </c>
      <c r="D1151" s="6">
        <v>170</v>
      </c>
      <c r="E1151" s="9" t="s">
        <v>106</v>
      </c>
      <c r="F1151" s="11">
        <v>672.8</v>
      </c>
      <c r="G1151" s="8">
        <v>672.8</v>
      </c>
      <c r="H1151" s="9">
        <f>(G1151-F1151)</f>
        <v>0.0</v>
      </c>
      <c r="I1151" s="9" t="s">
        <v>119</v>
      </c>
      <c r="J1151" s="9" t="s">
        <v>120</v>
      </c>
    </row>
    <row r="1152" spans="1:12" ht="23" customHeight="1">
      <c r="A1152" s="9" t="s">
        <v>99</v>
      </c>
      <c r="B1152" s="6">
        <v>6</v>
      </c>
      <c r="C1152" s="9" t="s">
        <v>90</v>
      </c>
      <c r="D1152" s="6">
        <v>170</v>
      </c>
      <c r="E1152" s="9" t="s">
        <v>95</v>
      </c>
      <c r="F1152" s="6">
        <v>104936</v>
      </c>
      <c r="G1152" s="7">
        <v>104936</v>
      </c>
      <c r="H1152" s="9">
        <f>(G1152-F1152)</f>
        <v>0.0</v>
      </c>
      <c r="I1152" s="9" t="s">
        <v>119</v>
      </c>
      <c r="J1152" s="9" t="s">
        <v>120</v>
      </c>
    </row>
    <row r="1153" spans="1:12" ht="23" customHeight="1">
      <c r="A1153" s="9" t="s">
        <v>99</v>
      </c>
      <c r="B1153" s="6">
        <v>6</v>
      </c>
      <c r="C1153" s="9" t="s">
        <v>90</v>
      </c>
      <c r="D1153" s="6">
        <v>170</v>
      </c>
      <c r="E1153" s="9" t="s">
        <v>96</v>
      </c>
      <c r="F1153" s="6">
        <v>104936</v>
      </c>
      <c r="G1153" s="7">
        <v>104936</v>
      </c>
      <c r="H1153" s="9">
        <f>(G1153-F1153)</f>
        <v>0.0</v>
      </c>
      <c r="I1153" s="9" t="s">
        <v>119</v>
      </c>
      <c r="J1153" s="9" t="s">
        <v>120</v>
      </c>
    </row>
    <row r="1154" spans="1:12" ht="23" customHeight="1">
      <c r="A1154" s="9" t="s">
        <v>99</v>
      </c>
      <c r="B1154" s="6">
        <v>6</v>
      </c>
      <c r="C1154" s="9" t="s">
        <v>90</v>
      </c>
      <c r="D1154" s="6">
        <v>170</v>
      </c>
      <c r="E1154" s="9" t="s">
        <v>97</v>
      </c>
      <c r="F1154" s="6">
        <v>104936</v>
      </c>
      <c r="G1154" s="7">
        <v>104936</v>
      </c>
      <c r="H1154" s="9">
        <f>(G1154-F1154)</f>
        <v>0.0</v>
      </c>
      <c r="I1154" s="9" t="s">
        <v>119</v>
      </c>
      <c r="J1154" s="9" t="s">
        <v>120</v>
      </c>
    </row>
    <row r="1155" spans="1:12" ht="23" customHeight="1">
      <c r="A1155" s="9" t="s">
        <v>99</v>
      </c>
      <c r="B1155" s="6">
        <v>6</v>
      </c>
      <c r="C1155" s="9" t="s">
        <v>90</v>
      </c>
      <c r="D1155" s="6">
        <v>170</v>
      </c>
      <c r="E1155" s="9" t="s">
        <v>98</v>
      </c>
      <c r="F1155" s="6">
        <v>104936</v>
      </c>
      <c r="G1155" s="7">
        <v>104936</v>
      </c>
      <c r="H1155" s="9">
        <f>(G1155-F1155)</f>
        <v>0.0</v>
      </c>
      <c r="I1155" s="9" t="s">
        <v>119</v>
      </c>
      <c r="J1155" s="9" t="s">
        <v>120</v>
      </c>
    </row>
    <row r="1156" spans="1:12" ht="23" customHeight="1">
      <c r="A1156" s="9" t="s">
        <v>99</v>
      </c>
      <c r="B1156" s="6">
        <v>6</v>
      </c>
      <c r="C1156" s="9" t="s">
        <v>90</v>
      </c>
      <c r="D1156" s="6">
        <v>171</v>
      </c>
      <c r="E1156" s="9" t="s">
        <v>93</v>
      </c>
      <c r="F1156" s="6">
        <v>36324</v>
      </c>
      <c r="G1156" s="7">
        <v>36324</v>
      </c>
      <c r="H1156" s="9">
        <f>(G1156-F1156)</f>
        <v>0.0</v>
      </c>
      <c r="I1156" s="9" t="s">
        <v>119</v>
      </c>
      <c r="J1156" s="9" t="s">
        <v>120</v>
      </c>
    </row>
    <row r="1157" spans="1:12" ht="23" customHeight="1">
      <c r="A1157" s="9" t="s">
        <v>99</v>
      </c>
      <c r="B1157" s="6">
        <v>6</v>
      </c>
      <c r="C1157" s="9" t="s">
        <v>90</v>
      </c>
      <c r="D1157" s="6">
        <v>171</v>
      </c>
      <c r="E1157" s="9" t="s">
        <v>103</v>
      </c>
      <c r="F1157" s="11">
        <v>232.9</v>
      </c>
      <c r="G1157" s="8">
        <v>232.9</v>
      </c>
      <c r="H1157" s="9">
        <f>(G1157-F1157)</f>
        <v>0.0</v>
      </c>
      <c r="I1157" s="9" t="s">
        <v>119</v>
      </c>
      <c r="J1157" s="9" t="s">
        <v>120</v>
      </c>
    </row>
    <row r="1158" spans="1:12" ht="23" customHeight="1">
      <c r="A1158" s="9" t="s">
        <v>99</v>
      </c>
      <c r="B1158" s="6">
        <v>6</v>
      </c>
      <c r="C1158" s="9" t="s">
        <v>90</v>
      </c>
      <c r="D1158" s="6">
        <v>171</v>
      </c>
      <c r="E1158" s="9" t="s">
        <v>104</v>
      </c>
      <c r="F1158" s="11">
        <v>232.9</v>
      </c>
      <c r="G1158" s="8">
        <v>232.9</v>
      </c>
      <c r="H1158" s="9">
        <f>(G1158-F1158)</f>
        <v>0.0</v>
      </c>
      <c r="I1158" s="9" t="s">
        <v>119</v>
      </c>
      <c r="J1158" s="9" t="s">
        <v>120</v>
      </c>
    </row>
    <row r="1159" spans="1:12" ht="24" customHeight="1">
      <c r="A1159" s="3" t="s">
        <v>107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ht="36" customHeight="1">
      <c r="A1160" s="4" t="s">
        <v>108</v>
      </c>
      <c r="B1160" s="4" t="s">
        <v>8</v>
      </c>
      <c r="C1160" s="4" t="s">
        <v>109</v>
      </c>
      <c r="D1160" s="4" t="s">
        <v>110</v>
      </c>
      <c r="E1160" s="4" t="s">
        <v>111</v>
      </c>
      <c r="F1160" s="4" t="s">
        <v>112</v>
      </c>
      <c r="G1160" s="4" t="s">
        <v>113</v>
      </c>
      <c r="H1160" s="4" t="s">
        <v>114</v>
      </c>
      <c r="I1160" s="4" t="s">
        <v>115</v>
      </c>
      <c r="J1160" s="4" t="s">
        <v>116</v>
      </c>
    </row>
    <row r="1161" spans="1:12" ht="23" customHeight="1">
      <c r="A1161" s="9" t="s">
        <v>99</v>
      </c>
      <c r="B1161" s="6">
        <v>6</v>
      </c>
      <c r="C1161" s="9" t="s">
        <v>90</v>
      </c>
      <c r="D1161" s="6">
        <v>171</v>
      </c>
      <c r="E1161" s="9" t="s">
        <v>94</v>
      </c>
      <c r="F1161" s="6">
        <v>36324</v>
      </c>
      <c r="G1161" s="7">
        <v>36324</v>
      </c>
      <c r="H1161" s="9">
        <f>(G1161-F1161)</f>
        <v>0.0</v>
      </c>
      <c r="I1161" s="9" t="s">
        <v>119</v>
      </c>
      <c r="J1161" s="9" t="s">
        <v>120</v>
      </c>
    </row>
    <row r="1162" spans="1:12" ht="23" customHeight="1">
      <c r="A1162" s="9" t="s">
        <v>99</v>
      </c>
      <c r="B1162" s="6">
        <v>6</v>
      </c>
      <c r="C1162" s="9" t="s">
        <v>90</v>
      </c>
      <c r="D1162" s="6">
        <v>171</v>
      </c>
      <c r="E1162" s="9" t="s">
        <v>105</v>
      </c>
      <c r="F1162" s="11">
        <v>232.9</v>
      </c>
      <c r="G1162" s="8">
        <v>232.9</v>
      </c>
      <c r="H1162" s="9">
        <f>(G1162-F1162)</f>
        <v>0.0</v>
      </c>
      <c r="I1162" s="9" t="s">
        <v>119</v>
      </c>
      <c r="J1162" s="9" t="s">
        <v>120</v>
      </c>
    </row>
    <row r="1163" spans="1:12" ht="23" customHeight="1">
      <c r="A1163" s="9" t="s">
        <v>99</v>
      </c>
      <c r="B1163" s="6">
        <v>6</v>
      </c>
      <c r="C1163" s="9" t="s">
        <v>90</v>
      </c>
      <c r="D1163" s="6">
        <v>171</v>
      </c>
      <c r="E1163" s="9" t="s">
        <v>106</v>
      </c>
      <c r="F1163" s="11">
        <v>232.9</v>
      </c>
      <c r="G1163" s="8">
        <v>232.9</v>
      </c>
      <c r="H1163" s="9">
        <f>(G1163-F1163)</f>
        <v>0.0</v>
      </c>
      <c r="I1163" s="9" t="s">
        <v>119</v>
      </c>
      <c r="J1163" s="9" t="s">
        <v>120</v>
      </c>
    </row>
    <row r="1164" spans="1:12" ht="23" customHeight="1">
      <c r="A1164" s="9" t="s">
        <v>99</v>
      </c>
      <c r="B1164" s="6">
        <v>6</v>
      </c>
      <c r="C1164" s="9" t="s">
        <v>90</v>
      </c>
      <c r="D1164" s="6">
        <v>171</v>
      </c>
      <c r="E1164" s="9" t="s">
        <v>95</v>
      </c>
      <c r="F1164" s="6">
        <v>36324</v>
      </c>
      <c r="G1164" s="7">
        <v>36324</v>
      </c>
      <c r="H1164" s="9">
        <f>(G1164-F1164)</f>
        <v>0.0</v>
      </c>
      <c r="I1164" s="9" t="s">
        <v>119</v>
      </c>
      <c r="J1164" s="9" t="s">
        <v>120</v>
      </c>
    </row>
    <row r="1165" spans="1:12" ht="23" customHeight="1">
      <c r="A1165" s="9" t="s">
        <v>99</v>
      </c>
      <c r="B1165" s="6">
        <v>6</v>
      </c>
      <c r="C1165" s="9" t="s">
        <v>90</v>
      </c>
      <c r="D1165" s="6">
        <v>171</v>
      </c>
      <c r="E1165" s="9" t="s">
        <v>96</v>
      </c>
      <c r="F1165" s="6">
        <v>36324</v>
      </c>
      <c r="G1165" s="7">
        <v>36324</v>
      </c>
      <c r="H1165" s="9">
        <f>(G1165-F1165)</f>
        <v>0.0</v>
      </c>
      <c r="I1165" s="9" t="s">
        <v>119</v>
      </c>
      <c r="J1165" s="9" t="s">
        <v>120</v>
      </c>
    </row>
    <row r="1166" spans="1:12" ht="23" customHeight="1">
      <c r="A1166" s="9" t="s">
        <v>99</v>
      </c>
      <c r="B1166" s="6">
        <v>6</v>
      </c>
      <c r="C1166" s="9" t="s">
        <v>90</v>
      </c>
      <c r="D1166" s="6">
        <v>171</v>
      </c>
      <c r="E1166" s="9" t="s">
        <v>97</v>
      </c>
      <c r="F1166" s="6">
        <v>36324</v>
      </c>
      <c r="G1166" s="7">
        <v>36324</v>
      </c>
      <c r="H1166" s="9">
        <f>(G1166-F1166)</f>
        <v>0.0</v>
      </c>
      <c r="I1166" s="9" t="s">
        <v>119</v>
      </c>
      <c r="J1166" s="9" t="s">
        <v>120</v>
      </c>
    </row>
    <row r="1167" spans="1:12" ht="23" customHeight="1">
      <c r="A1167" s="9" t="s">
        <v>99</v>
      </c>
      <c r="B1167" s="6">
        <v>6</v>
      </c>
      <c r="C1167" s="9" t="s">
        <v>90</v>
      </c>
      <c r="D1167" s="6">
        <v>171</v>
      </c>
      <c r="E1167" s="9" t="s">
        <v>98</v>
      </c>
      <c r="F1167" s="6">
        <v>36324</v>
      </c>
      <c r="G1167" s="7">
        <v>36324</v>
      </c>
      <c r="H1167" s="9">
        <f>(G1167-F1167)</f>
        <v>0.0</v>
      </c>
      <c r="I1167" s="9" t="s">
        <v>119</v>
      </c>
      <c r="J1167" s="9" t="s">
        <v>120</v>
      </c>
    </row>
    <row r="1168" spans="1:12" ht="23" customHeight="1">
      <c r="A1168" s="9" t="s">
        <v>101</v>
      </c>
      <c r="B1168" s="6">
        <v>4</v>
      </c>
      <c r="C1168" s="9" t="s">
        <v>90</v>
      </c>
      <c r="D1168" s="6">
        <v>122</v>
      </c>
      <c r="E1168" s="9" t="s">
        <v>93</v>
      </c>
      <c r="F1168" s="6">
        <v>327072</v>
      </c>
      <c r="G1168" s="7">
        <v>327072</v>
      </c>
      <c r="H1168" s="9">
        <f>(G1168-F1168)</f>
        <v>0.0</v>
      </c>
      <c r="I1168" s="9" t="s">
        <v>119</v>
      </c>
      <c r="J1168" s="9" t="s">
        <v>120</v>
      </c>
    </row>
    <row r="1169" spans="1:12" ht="23" customHeight="1">
      <c r="A1169" s="9" t="s">
        <v>101</v>
      </c>
      <c r="B1169" s="6">
        <v>4</v>
      </c>
      <c r="C1169" s="9" t="s">
        <v>90</v>
      </c>
      <c r="D1169" s="6">
        <v>122</v>
      </c>
      <c r="E1169" s="9" t="s">
        <v>103</v>
      </c>
      <c r="F1169" s="11">
        <v>7167.5</v>
      </c>
      <c r="G1169" s="8">
        <v>7167.5</v>
      </c>
      <c r="H1169" s="9">
        <f>(G1169-F1169)</f>
        <v>0.0</v>
      </c>
      <c r="I1169" s="9" t="s">
        <v>119</v>
      </c>
      <c r="J1169" s="9" t="s">
        <v>120</v>
      </c>
    </row>
    <row r="1170" spans="1:12" ht="23" customHeight="1">
      <c r="A1170" s="9" t="s">
        <v>101</v>
      </c>
      <c r="B1170" s="6">
        <v>4</v>
      </c>
      <c r="C1170" s="9" t="s">
        <v>90</v>
      </c>
      <c r="D1170" s="6">
        <v>122</v>
      </c>
      <c r="E1170" s="9" t="s">
        <v>104</v>
      </c>
      <c r="F1170" s="9"/>
      <c r="G1170" s="10"/>
      <c r="H1170" s="9"/>
      <c r="I1170" s="9" t="s">
        <v>119</v>
      </c>
      <c r="J1170" s="9" t="s">
        <v>120</v>
      </c>
    </row>
    <row r="1171" spans="1:12" ht="23" customHeight="1">
      <c r="A1171" s="9" t="s">
        <v>101</v>
      </c>
      <c r="B1171" s="6">
        <v>4</v>
      </c>
      <c r="C1171" s="9" t="s">
        <v>90</v>
      </c>
      <c r="D1171" s="6">
        <v>122</v>
      </c>
      <c r="E1171" s="9" t="s">
        <v>94</v>
      </c>
      <c r="F1171" s="6">
        <v>88418</v>
      </c>
      <c r="G1171" s="7">
        <v>88418</v>
      </c>
      <c r="H1171" s="9">
        <f>(G1171-F1171)</f>
        <v>0.0</v>
      </c>
      <c r="I1171" s="9" t="s">
        <v>119</v>
      </c>
      <c r="J1171" s="9" t="s">
        <v>120</v>
      </c>
    </row>
    <row r="1172" spans="1:12" ht="23" customHeight="1">
      <c r="A1172" s="9" t="s">
        <v>101</v>
      </c>
      <c r="B1172" s="6">
        <v>4</v>
      </c>
      <c r="C1172" s="9" t="s">
        <v>90</v>
      </c>
      <c r="D1172" s="6">
        <v>122</v>
      </c>
      <c r="E1172" s="9" t="s">
        <v>105</v>
      </c>
      <c r="F1172" s="11">
        <v>16724.3</v>
      </c>
      <c r="G1172" s="8">
        <v>16724.3</v>
      </c>
      <c r="H1172" s="9">
        <f>(G1172-F1172)</f>
        <v>0.0</v>
      </c>
      <c r="I1172" s="9" t="s">
        <v>119</v>
      </c>
      <c r="J1172" s="9" t="s">
        <v>120</v>
      </c>
    </row>
    <row r="1173" spans="1:12" ht="23" customHeight="1">
      <c r="A1173" s="9" t="s">
        <v>101</v>
      </c>
      <c r="B1173" s="6">
        <v>4</v>
      </c>
      <c r="C1173" s="9" t="s">
        <v>90</v>
      </c>
      <c r="D1173" s="6">
        <v>122</v>
      </c>
      <c r="E1173" s="9" t="s">
        <v>106</v>
      </c>
      <c r="F1173" s="9"/>
      <c r="G1173" s="10"/>
      <c r="H1173" s="9"/>
      <c r="I1173" s="9" t="s">
        <v>119</v>
      </c>
      <c r="J1173" s="9" t="s">
        <v>120</v>
      </c>
    </row>
    <row r="1174" spans="1:12" ht="23" customHeight="1">
      <c r="A1174" s="9" t="s">
        <v>101</v>
      </c>
      <c r="B1174" s="6">
        <v>4</v>
      </c>
      <c r="C1174" s="9" t="s">
        <v>90</v>
      </c>
      <c r="D1174" s="6">
        <v>122</v>
      </c>
      <c r="E1174" s="9" t="s">
        <v>95</v>
      </c>
      <c r="F1174" s="6">
        <v>88418</v>
      </c>
      <c r="G1174" s="7">
        <v>88418</v>
      </c>
      <c r="H1174" s="9">
        <f>(G1174-F1174)</f>
        <v>0.0</v>
      </c>
      <c r="I1174" s="9" t="s">
        <v>119</v>
      </c>
      <c r="J1174" s="9" t="s">
        <v>120</v>
      </c>
    </row>
    <row r="1175" spans="1:12" ht="23" customHeight="1">
      <c r="A1175" s="9" t="s">
        <v>101</v>
      </c>
      <c r="B1175" s="6">
        <v>4</v>
      </c>
      <c r="C1175" s="9" t="s">
        <v>90</v>
      </c>
      <c r="D1175" s="6">
        <v>122</v>
      </c>
      <c r="E1175" s="9" t="s">
        <v>96</v>
      </c>
      <c r="F1175" s="6">
        <v>327072</v>
      </c>
      <c r="G1175" s="7">
        <v>327072</v>
      </c>
      <c r="H1175" s="9">
        <f>(G1175-F1175)</f>
        <v>0.0</v>
      </c>
      <c r="I1175" s="9" t="s">
        <v>119</v>
      </c>
      <c r="J1175" s="9" t="s">
        <v>120</v>
      </c>
    </row>
    <row r="1176" spans="1:12" ht="24" customHeight="1">
      <c r="A1176" s="3" t="s">
        <v>107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</row>
    <row r="1177" spans="1:12" ht="36" customHeight="1">
      <c r="A1177" s="4" t="s">
        <v>108</v>
      </c>
      <c r="B1177" s="4" t="s">
        <v>8</v>
      </c>
      <c r="C1177" s="4" t="s">
        <v>109</v>
      </c>
      <c r="D1177" s="4" t="s">
        <v>110</v>
      </c>
      <c r="E1177" s="4" t="s">
        <v>111</v>
      </c>
      <c r="F1177" s="4" t="s">
        <v>112</v>
      </c>
      <c r="G1177" s="4" t="s">
        <v>113</v>
      </c>
      <c r="H1177" s="4" t="s">
        <v>114</v>
      </c>
      <c r="I1177" s="4" t="s">
        <v>115</v>
      </c>
      <c r="J1177" s="4" t="s">
        <v>116</v>
      </c>
    </row>
    <row r="1178" spans="1:12" ht="23" customHeight="1">
      <c r="A1178" s="9" t="s">
        <v>101</v>
      </c>
      <c r="B1178" s="6">
        <v>4</v>
      </c>
      <c r="C1178" s="9" t="s">
        <v>90</v>
      </c>
      <c r="D1178" s="6">
        <v>122</v>
      </c>
      <c r="E1178" s="9" t="s">
        <v>97</v>
      </c>
      <c r="F1178" s="6">
        <v>88418</v>
      </c>
      <c r="G1178" s="7">
        <v>88418</v>
      </c>
      <c r="H1178" s="9">
        <f>(G1178-F1178)</f>
        <v>0.0</v>
      </c>
      <c r="I1178" s="9" t="s">
        <v>119</v>
      </c>
      <c r="J1178" s="9" t="s">
        <v>120</v>
      </c>
    </row>
    <row r="1179" spans="1:12" ht="23" customHeight="1">
      <c r="A1179" s="9" t="s">
        <v>101</v>
      </c>
      <c r="B1179" s="6">
        <v>4</v>
      </c>
      <c r="C1179" s="9" t="s">
        <v>90</v>
      </c>
      <c r="D1179" s="6">
        <v>122</v>
      </c>
      <c r="E1179" s="9" t="s">
        <v>98</v>
      </c>
      <c r="F1179" s="6">
        <v>88418</v>
      </c>
      <c r="G1179" s="7">
        <v>88418</v>
      </c>
      <c r="H1179" s="9">
        <f>(G1179-F1179)</f>
        <v>0.0</v>
      </c>
      <c r="I1179" s="9" t="s">
        <v>119</v>
      </c>
      <c r="J1179" s="9" t="s">
        <v>120</v>
      </c>
    </row>
    <row r="1180" spans="1:12" ht="23" customHeight="1">
      <c r="A1180" s="9" t="s">
        <v>101</v>
      </c>
      <c r="B1180" s="6">
        <v>5</v>
      </c>
      <c r="C1180" s="9" t="s">
        <v>90</v>
      </c>
      <c r="D1180" s="6">
        <v>147</v>
      </c>
      <c r="E1180" s="9" t="s">
        <v>93</v>
      </c>
      <c r="F1180" s="6">
        <v>218048</v>
      </c>
      <c r="G1180" s="7">
        <v>218048</v>
      </c>
      <c r="H1180" s="9">
        <f>(G1180-F1180)</f>
        <v>0.0</v>
      </c>
      <c r="I1180" s="9" t="s">
        <v>119</v>
      </c>
      <c r="J1180" s="9" t="s">
        <v>120</v>
      </c>
    </row>
    <row r="1181" spans="1:12" ht="23" customHeight="1">
      <c r="A1181" s="9" t="s">
        <v>101</v>
      </c>
      <c r="B1181" s="6">
        <v>5</v>
      </c>
      <c r="C1181" s="9" t="s">
        <v>90</v>
      </c>
      <c r="D1181" s="6">
        <v>147</v>
      </c>
      <c r="E1181" s="9" t="s">
        <v>103</v>
      </c>
      <c r="F1181" s="11">
        <v>4778.4</v>
      </c>
      <c r="G1181" s="8">
        <v>4778.4</v>
      </c>
      <c r="H1181" s="9">
        <f>(G1181-F1181)</f>
        <v>0.0</v>
      </c>
      <c r="I1181" s="9" t="s">
        <v>119</v>
      </c>
      <c r="J1181" s="9" t="s">
        <v>120</v>
      </c>
    </row>
    <row r="1182" spans="1:12" ht="23" customHeight="1">
      <c r="A1182" s="9" t="s">
        <v>101</v>
      </c>
      <c r="B1182" s="6">
        <v>5</v>
      </c>
      <c r="C1182" s="9" t="s">
        <v>90</v>
      </c>
      <c r="D1182" s="6">
        <v>147</v>
      </c>
      <c r="E1182" s="9" t="s">
        <v>104</v>
      </c>
      <c r="F1182" s="9"/>
      <c r="G1182" s="10"/>
      <c r="H1182" s="9"/>
      <c r="I1182" s="9" t="s">
        <v>119</v>
      </c>
      <c r="J1182" s="9" t="s">
        <v>120</v>
      </c>
    </row>
    <row r="1183" spans="1:12" ht="23" customHeight="1">
      <c r="A1183" s="9" t="s">
        <v>101</v>
      </c>
      <c r="B1183" s="6">
        <v>5</v>
      </c>
      <c r="C1183" s="9" t="s">
        <v>90</v>
      </c>
      <c r="D1183" s="6">
        <v>147</v>
      </c>
      <c r="E1183" s="9" t="s">
        <v>94</v>
      </c>
      <c r="F1183" s="6">
        <v>58945</v>
      </c>
      <c r="G1183" s="7">
        <v>58945</v>
      </c>
      <c r="H1183" s="9">
        <f>(G1183-F1183)</f>
        <v>0.0</v>
      </c>
      <c r="I1183" s="9" t="s">
        <v>119</v>
      </c>
      <c r="J1183" s="9" t="s">
        <v>120</v>
      </c>
    </row>
    <row r="1184" spans="1:12" ht="23" customHeight="1">
      <c r="A1184" s="9" t="s">
        <v>101</v>
      </c>
      <c r="B1184" s="6">
        <v>5</v>
      </c>
      <c r="C1184" s="9" t="s">
        <v>90</v>
      </c>
      <c r="D1184" s="6">
        <v>147</v>
      </c>
      <c r="E1184" s="9" t="s">
        <v>105</v>
      </c>
      <c r="F1184" s="11">
        <v>11149.5</v>
      </c>
      <c r="G1184" s="8">
        <v>11149.5</v>
      </c>
      <c r="H1184" s="9">
        <f>(G1184-F1184)</f>
        <v>0.0</v>
      </c>
      <c r="I1184" s="9" t="s">
        <v>119</v>
      </c>
      <c r="J1184" s="9" t="s">
        <v>120</v>
      </c>
    </row>
    <row r="1185" spans="1:12" ht="23" customHeight="1">
      <c r="A1185" s="9" t="s">
        <v>101</v>
      </c>
      <c r="B1185" s="6">
        <v>5</v>
      </c>
      <c r="C1185" s="9" t="s">
        <v>90</v>
      </c>
      <c r="D1185" s="6">
        <v>147</v>
      </c>
      <c r="E1185" s="9" t="s">
        <v>106</v>
      </c>
      <c r="F1185" s="9"/>
      <c r="G1185" s="10"/>
      <c r="H1185" s="9"/>
      <c r="I1185" s="9" t="s">
        <v>119</v>
      </c>
      <c r="J1185" s="9" t="s">
        <v>120</v>
      </c>
    </row>
    <row r="1186" spans="1:12" ht="23" customHeight="1">
      <c r="A1186" s="9" t="s">
        <v>101</v>
      </c>
      <c r="B1186" s="6">
        <v>5</v>
      </c>
      <c r="C1186" s="9" t="s">
        <v>90</v>
      </c>
      <c r="D1186" s="6">
        <v>147</v>
      </c>
      <c r="E1186" s="9" t="s">
        <v>95</v>
      </c>
      <c r="F1186" s="6">
        <v>58945</v>
      </c>
      <c r="G1186" s="7">
        <v>58945</v>
      </c>
      <c r="H1186" s="9">
        <f>(G1186-F1186)</f>
        <v>0.0</v>
      </c>
      <c r="I1186" s="9" t="s">
        <v>119</v>
      </c>
      <c r="J1186" s="9" t="s">
        <v>120</v>
      </c>
    </row>
    <row r="1187" spans="1:12" ht="23" customHeight="1">
      <c r="A1187" s="9" t="s">
        <v>101</v>
      </c>
      <c r="B1187" s="6">
        <v>5</v>
      </c>
      <c r="C1187" s="9" t="s">
        <v>90</v>
      </c>
      <c r="D1187" s="6">
        <v>147</v>
      </c>
      <c r="E1187" s="9" t="s">
        <v>96</v>
      </c>
      <c r="F1187" s="6">
        <v>218048</v>
      </c>
      <c r="G1187" s="7">
        <v>218048</v>
      </c>
      <c r="H1187" s="9">
        <f>(G1187-F1187)</f>
        <v>0.0</v>
      </c>
      <c r="I1187" s="9" t="s">
        <v>119</v>
      </c>
      <c r="J1187" s="9" t="s">
        <v>120</v>
      </c>
    </row>
    <row r="1188" spans="1:12" ht="23" customHeight="1">
      <c r="A1188" s="9" t="s">
        <v>101</v>
      </c>
      <c r="B1188" s="6">
        <v>5</v>
      </c>
      <c r="C1188" s="9" t="s">
        <v>90</v>
      </c>
      <c r="D1188" s="6">
        <v>147</v>
      </c>
      <c r="E1188" s="9" t="s">
        <v>97</v>
      </c>
      <c r="F1188" s="6">
        <v>58945</v>
      </c>
      <c r="G1188" s="7">
        <v>58945</v>
      </c>
      <c r="H1188" s="9">
        <f>(G1188-F1188)</f>
        <v>0.0</v>
      </c>
      <c r="I1188" s="9" t="s">
        <v>119</v>
      </c>
      <c r="J1188" s="9" t="s">
        <v>120</v>
      </c>
    </row>
    <row r="1189" spans="1:12" ht="23" customHeight="1">
      <c r="A1189" s="9" t="s">
        <v>101</v>
      </c>
      <c r="B1189" s="6">
        <v>5</v>
      </c>
      <c r="C1189" s="9" t="s">
        <v>90</v>
      </c>
      <c r="D1189" s="6">
        <v>147</v>
      </c>
      <c r="E1189" s="9" t="s">
        <v>98</v>
      </c>
      <c r="F1189" s="6">
        <v>58945</v>
      </c>
      <c r="G1189" s="7">
        <v>58945</v>
      </c>
      <c r="H1189" s="9">
        <f>(G1189-F1189)</f>
        <v>0.0</v>
      </c>
      <c r="I1189" s="9" t="s">
        <v>119</v>
      </c>
      <c r="J1189" s="9" t="s">
        <v>120</v>
      </c>
    </row>
    <row r="1190" spans="1:12" ht="23" customHeight="1">
      <c r="A1190" s="9" t="s">
        <v>101</v>
      </c>
      <c r="B1190" s="6">
        <v>6</v>
      </c>
      <c r="C1190" s="9" t="s">
        <v>90</v>
      </c>
      <c r="D1190" s="6">
        <v>172</v>
      </c>
      <c r="E1190" s="9" t="s">
        <v>93</v>
      </c>
      <c r="F1190" s="6">
        <v>327072</v>
      </c>
      <c r="G1190" s="7">
        <v>327072</v>
      </c>
      <c r="H1190" s="9">
        <f>(G1190-F1190)</f>
        <v>0.0</v>
      </c>
      <c r="I1190" s="9" t="s">
        <v>119</v>
      </c>
      <c r="J1190" s="9" t="s">
        <v>120</v>
      </c>
    </row>
    <row r="1191" spans="1:12" ht="23" customHeight="1">
      <c r="A1191" s="9" t="s">
        <v>101</v>
      </c>
      <c r="B1191" s="6">
        <v>6</v>
      </c>
      <c r="C1191" s="9" t="s">
        <v>90</v>
      </c>
      <c r="D1191" s="6">
        <v>172</v>
      </c>
      <c r="E1191" s="9" t="s">
        <v>103</v>
      </c>
      <c r="F1191" s="11">
        <v>7167.5</v>
      </c>
      <c r="G1191" s="8">
        <v>7167.5</v>
      </c>
      <c r="H1191" s="9">
        <f>(G1191-F1191)</f>
        <v>0.0</v>
      </c>
      <c r="I1191" s="9" t="s">
        <v>119</v>
      </c>
      <c r="J1191" s="9" t="s">
        <v>120</v>
      </c>
    </row>
    <row r="1192" spans="1:12" ht="23" customHeight="1">
      <c r="A1192" s="9" t="s">
        <v>101</v>
      </c>
      <c r="B1192" s="6">
        <v>6</v>
      </c>
      <c r="C1192" s="9" t="s">
        <v>90</v>
      </c>
      <c r="D1192" s="6">
        <v>172</v>
      </c>
      <c r="E1192" s="9" t="s">
        <v>104</v>
      </c>
      <c r="F1192" s="9"/>
      <c r="G1192" s="10"/>
      <c r="H1192" s="9"/>
      <c r="I1192" s="9" t="s">
        <v>119</v>
      </c>
      <c r="J1192" s="9" t="s">
        <v>120</v>
      </c>
    </row>
    <row r="1193" spans="1:12" ht="24" customHeight="1">
      <c r="A1193" s="3" t="s">
        <v>107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</row>
    <row r="1194" spans="1:12" ht="36" customHeight="1">
      <c r="A1194" s="4" t="s">
        <v>108</v>
      </c>
      <c r="B1194" s="4" t="s">
        <v>8</v>
      </c>
      <c r="C1194" s="4" t="s">
        <v>109</v>
      </c>
      <c r="D1194" s="4" t="s">
        <v>110</v>
      </c>
      <c r="E1194" s="4" t="s">
        <v>111</v>
      </c>
      <c r="F1194" s="4" t="s">
        <v>112</v>
      </c>
      <c r="G1194" s="4" t="s">
        <v>113</v>
      </c>
      <c r="H1194" s="4" t="s">
        <v>114</v>
      </c>
      <c r="I1194" s="4" t="s">
        <v>115</v>
      </c>
      <c r="J1194" s="4" t="s">
        <v>116</v>
      </c>
    </row>
    <row r="1195" spans="1:12" ht="23" customHeight="1">
      <c r="A1195" s="9" t="s">
        <v>101</v>
      </c>
      <c r="B1195" s="6">
        <v>6</v>
      </c>
      <c r="C1195" s="9" t="s">
        <v>90</v>
      </c>
      <c r="D1195" s="6">
        <v>172</v>
      </c>
      <c r="E1195" s="9" t="s">
        <v>94</v>
      </c>
      <c r="F1195" s="6">
        <v>88418</v>
      </c>
      <c r="G1195" s="7">
        <v>88418</v>
      </c>
      <c r="H1195" s="9">
        <f>(G1195-F1195)</f>
        <v>0.0</v>
      </c>
      <c r="I1195" s="9" t="s">
        <v>119</v>
      </c>
      <c r="J1195" s="9" t="s">
        <v>120</v>
      </c>
    </row>
    <row r="1196" spans="1:12" ht="23" customHeight="1">
      <c r="A1196" s="9" t="s">
        <v>101</v>
      </c>
      <c r="B1196" s="6">
        <v>6</v>
      </c>
      <c r="C1196" s="9" t="s">
        <v>90</v>
      </c>
      <c r="D1196" s="6">
        <v>172</v>
      </c>
      <c r="E1196" s="9" t="s">
        <v>105</v>
      </c>
      <c r="F1196" s="11">
        <v>16724.3</v>
      </c>
      <c r="G1196" s="8">
        <v>16724.3</v>
      </c>
      <c r="H1196" s="9">
        <f>(G1196-F1196)</f>
        <v>0.0</v>
      </c>
      <c r="I1196" s="9" t="s">
        <v>119</v>
      </c>
      <c r="J1196" s="9" t="s">
        <v>120</v>
      </c>
    </row>
    <row r="1197" spans="1:12" ht="23" customHeight="1">
      <c r="A1197" s="9" t="s">
        <v>101</v>
      </c>
      <c r="B1197" s="6">
        <v>6</v>
      </c>
      <c r="C1197" s="9" t="s">
        <v>90</v>
      </c>
      <c r="D1197" s="6">
        <v>172</v>
      </c>
      <c r="E1197" s="9" t="s">
        <v>106</v>
      </c>
      <c r="F1197" s="9"/>
      <c r="G1197" s="10"/>
      <c r="H1197" s="9"/>
      <c r="I1197" s="9" t="s">
        <v>119</v>
      </c>
      <c r="J1197" s="9" t="s">
        <v>120</v>
      </c>
    </row>
    <row r="1198" spans="1:12" ht="23" customHeight="1">
      <c r="A1198" s="9" t="s">
        <v>101</v>
      </c>
      <c r="B1198" s="6">
        <v>6</v>
      </c>
      <c r="C1198" s="9" t="s">
        <v>90</v>
      </c>
      <c r="D1198" s="6">
        <v>172</v>
      </c>
      <c r="E1198" s="9" t="s">
        <v>95</v>
      </c>
      <c r="F1198" s="6">
        <v>88418</v>
      </c>
      <c r="G1198" s="7">
        <v>88418</v>
      </c>
      <c r="H1198" s="9">
        <f>(G1198-F1198)</f>
        <v>0.0</v>
      </c>
      <c r="I1198" s="9" t="s">
        <v>119</v>
      </c>
      <c r="J1198" s="9" t="s">
        <v>120</v>
      </c>
    </row>
    <row r="1199" spans="1:12" ht="23" customHeight="1">
      <c r="A1199" s="9" t="s">
        <v>101</v>
      </c>
      <c r="B1199" s="6">
        <v>6</v>
      </c>
      <c r="C1199" s="9" t="s">
        <v>90</v>
      </c>
      <c r="D1199" s="6">
        <v>172</v>
      </c>
      <c r="E1199" s="9" t="s">
        <v>96</v>
      </c>
      <c r="F1199" s="6">
        <v>327072</v>
      </c>
      <c r="G1199" s="7">
        <v>327072</v>
      </c>
      <c r="H1199" s="9">
        <f>(G1199-F1199)</f>
        <v>0.0</v>
      </c>
      <c r="I1199" s="9" t="s">
        <v>119</v>
      </c>
      <c r="J1199" s="9" t="s">
        <v>120</v>
      </c>
    </row>
    <row r="1200" spans="1:12" ht="23" customHeight="1">
      <c r="A1200" s="9" t="s">
        <v>101</v>
      </c>
      <c r="B1200" s="6">
        <v>6</v>
      </c>
      <c r="C1200" s="9" t="s">
        <v>90</v>
      </c>
      <c r="D1200" s="6">
        <v>172</v>
      </c>
      <c r="E1200" s="9" t="s">
        <v>97</v>
      </c>
      <c r="F1200" s="6">
        <v>88418</v>
      </c>
      <c r="G1200" s="7">
        <v>88418</v>
      </c>
      <c r="H1200" s="9">
        <f>(G1200-F1200)</f>
        <v>0.0</v>
      </c>
      <c r="I1200" s="9" t="s">
        <v>119</v>
      </c>
      <c r="J1200" s="9" t="s">
        <v>120</v>
      </c>
    </row>
    <row r="1201" spans="1:10" ht="23" customHeight="1">
      <c r="A1201" s="9" t="s">
        <v>101</v>
      </c>
      <c r="B1201" s="6">
        <v>6</v>
      </c>
      <c r="C1201" s="9" t="s">
        <v>90</v>
      </c>
      <c r="D1201" s="6">
        <v>172</v>
      </c>
      <c r="E1201" s="9" t="s">
        <v>98</v>
      </c>
      <c r="F1201" s="6">
        <v>88418</v>
      </c>
      <c r="G1201" s="7">
        <v>88418</v>
      </c>
      <c r="H1201" s="9">
        <f>(G1201-F1201)</f>
        <v>0.0</v>
      </c>
      <c r="I1201" s="9" t="s">
        <v>119</v>
      </c>
      <c r="J1201" s="9" t="s">
        <v>120</v>
      </c>
    </row>
  </sheetData>
  <mergeCells count="79">
    <mergeCell ref="A1:L1"/>
    <mergeCell ref="A2:L2"/>
    <mergeCell ref="A3:L3"/>
    <mergeCell ref="A5:L5"/>
    <mergeCell ref="A6:L6"/>
    <mergeCell ref="A7:L7"/>
    <mergeCell ref="A9:L9"/>
    <mergeCell ref="A22:L22"/>
    <mergeCell ref="A39:L39"/>
    <mergeCell ref="A56:L56"/>
    <mergeCell ref="A73:L73"/>
    <mergeCell ref="A90:L90"/>
    <mergeCell ref="A94:L94"/>
    <mergeCell ref="A106:L106"/>
    <mergeCell ref="A123:L123"/>
    <mergeCell ref="A140:L140"/>
    <mergeCell ref="A157:L157"/>
    <mergeCell ref="A168:L168"/>
    <mergeCell ref="A173:L173"/>
    <mergeCell ref="A190:L190"/>
    <mergeCell ref="A207:L207"/>
    <mergeCell ref="A224:L224"/>
    <mergeCell ref="A242:L242"/>
    <mergeCell ref="A258:L258"/>
    <mergeCell ref="A275:L275"/>
    <mergeCell ref="A292:L292"/>
    <mergeCell ref="A309:L309"/>
    <mergeCell ref="A326:L326"/>
    <mergeCell ref="A343:L343"/>
    <mergeCell ref="A360:L360"/>
    <mergeCell ref="A377:L377"/>
    <mergeCell ref="A394:L394"/>
    <mergeCell ref="A411:L411"/>
    <mergeCell ref="A428:L428"/>
    <mergeCell ref="A445:L445"/>
    <mergeCell ref="A462:L462"/>
    <mergeCell ref="A479:L479"/>
    <mergeCell ref="A496:L496"/>
    <mergeCell ref="A513:L513"/>
    <mergeCell ref="A530:L530"/>
    <mergeCell ref="A547:L547"/>
    <mergeCell ref="A564:L564"/>
    <mergeCell ref="A581:L581"/>
    <mergeCell ref="A598:L598"/>
    <mergeCell ref="A615:L615"/>
    <mergeCell ref="A632:L632"/>
    <mergeCell ref="A649:L649"/>
    <mergeCell ref="A666:L666"/>
    <mergeCell ref="A683:L683"/>
    <mergeCell ref="A700:L700"/>
    <mergeCell ref="A717:L717"/>
    <mergeCell ref="A734:L734"/>
    <mergeCell ref="A751:L751"/>
    <mergeCell ref="A768:L768"/>
    <mergeCell ref="A785:L785"/>
    <mergeCell ref="A802:L802"/>
    <mergeCell ref="A819:L819"/>
    <mergeCell ref="A836:L836"/>
    <mergeCell ref="A853:L853"/>
    <mergeCell ref="A870:L870"/>
    <mergeCell ref="A887:L887"/>
    <mergeCell ref="A904:L904"/>
    <mergeCell ref="A921:L921"/>
    <mergeCell ref="A938:L938"/>
    <mergeCell ref="A955:L955"/>
    <mergeCell ref="A972:L972"/>
    <mergeCell ref="A989:L989"/>
    <mergeCell ref="A1006:L1006"/>
    <mergeCell ref="A1023:L1023"/>
    <mergeCell ref="A1040:L1040"/>
    <mergeCell ref="A1057:L1057"/>
    <mergeCell ref="A1074:L1074"/>
    <mergeCell ref="A1091:L1091"/>
    <mergeCell ref="A1108:L1108"/>
    <mergeCell ref="A1125:L1125"/>
    <mergeCell ref="A1142:L1142"/>
    <mergeCell ref="A1159:L1159"/>
    <mergeCell ref="A1176:L1176"/>
    <mergeCell ref="A1193:L1193"/>
  </mergeCells>
  <hyperlinks>
    <hyperlink ref="A11" location="'水平地盤ばね'!F3" display="部材98"/>
    <hyperlink ref="A12" location="'水平地盤ばね'!F4" display="部材99"/>
    <hyperlink ref="A13" location="'水平地盤ばね'!F6" display="部材100"/>
    <hyperlink ref="A14" location="'水平地盤ばね'!F8" display="部材101"/>
    <hyperlink ref="A15" location="'水平地盤ばね'!F9" display="部材102"/>
    <hyperlink ref="A16" location="'水平地盤ばね'!F11" display="部材103"/>
    <hyperlink ref="A17" location="'水平地盤ばね'!F12" display="部材104"/>
    <hyperlink ref="A18" location="'水平地盤ばね'!F15" display="部材105"/>
    <hyperlink ref="A19" location="'水平地盤ばね'!F16" display="部材106"/>
    <hyperlink ref="A20" location="'水平地盤ばね'!F17" display="部材107"/>
    <hyperlink ref="A21" location="'水平地盤ばね'!F18" display="部材108"/>
    <hyperlink ref="A24" location="'水平地盤ばね'!F19" display="部材109"/>
    <hyperlink ref="A25" location="'水平地盤ばね'!F20" display="部材110"/>
    <hyperlink ref="A26" location="'水平地盤ばね'!F21" display="部材111"/>
    <hyperlink ref="A27" location="'水平地盤ばね'!F22" display="部材112"/>
    <hyperlink ref="A28" location="'水平地盤ばね'!F24" display="部材113"/>
    <hyperlink ref="A29" location="'水平地盤ばね'!F25" display="部材114"/>
    <hyperlink ref="A30" location="'水平地盤ばね'!F26" display="部材115"/>
    <hyperlink ref="A31" location="'水平地盤ばね'!F27" display="部材116"/>
    <hyperlink ref="A32" location="'水平地盤ばね'!F28" display="部材117"/>
    <hyperlink ref="A33" location="'水平地盤ばね'!F29" display="部材118"/>
    <hyperlink ref="A34" location="'水平地盤ばね'!F30" display="部材119"/>
    <hyperlink ref="A35" location="'水平地盤ばね'!F31" display="部材120"/>
    <hyperlink ref="A36" location="'水平地盤ばね'!F32" display="部材121"/>
    <hyperlink ref="A37" location="'水平地盤ばね'!M3" display="部材123"/>
    <hyperlink ref="A38" location="'水平地盤ばね'!M4" display="部材124"/>
    <hyperlink ref="A41" location="'水平地盤ばね'!M6" display="部材125"/>
    <hyperlink ref="A42" location="'水平地盤ばね'!M8" display="部材126"/>
    <hyperlink ref="A43" location="'水平地盤ばね'!M9" display="部材127"/>
    <hyperlink ref="A44" location="'水平地盤ばね'!M11" display="部材128"/>
    <hyperlink ref="A45" location="'水平地盤ばね'!M12" display="部材129"/>
    <hyperlink ref="A46" location="'水平地盤ばね'!M15" display="部材130"/>
    <hyperlink ref="A47" location="'水平地盤ばね'!M16" display="部材131"/>
    <hyperlink ref="A48" location="'水平地盤ばね'!M17" display="部材132"/>
    <hyperlink ref="A49" location="'水平地盤ばね'!M18" display="部材133"/>
    <hyperlink ref="A50" location="'水平地盤ばね'!M19" display="部材134"/>
    <hyperlink ref="A51" location="'水平地盤ばね'!M20" display="部材135"/>
    <hyperlink ref="A52" location="'水平地盤ばね'!M21" display="部材136"/>
    <hyperlink ref="A53" location="'水平地盤ばね'!M22" display="部材137"/>
    <hyperlink ref="A54" location="'水平地盤ばね'!M24" display="部材138"/>
    <hyperlink ref="A55" location="'水平地盤ばね'!M25" display="部材139"/>
    <hyperlink ref="A58" location="'水平地盤ばね'!M26" display="部材140"/>
    <hyperlink ref="A59" location="'水平地盤ばね'!M27" display="部材141"/>
    <hyperlink ref="A60" location="'水平地盤ばね'!M28" display="部材142"/>
    <hyperlink ref="A61" location="'水平地盤ばね'!M29" display="部材143"/>
    <hyperlink ref="A62" location="'水平地盤ばね'!M30" display="部材144"/>
    <hyperlink ref="A63" location="'水平地盤ばね'!M31" display="部材145"/>
    <hyperlink ref="A64" location="'水平地盤ばね'!M32" display="部材146"/>
    <hyperlink ref="A65" location="'水平地盤ばね'!T3" display="部材148"/>
    <hyperlink ref="A66" location="'水平地盤ばね'!T4" display="部材149"/>
    <hyperlink ref="A67" location="'水平地盤ばね'!T6" display="部材150"/>
    <hyperlink ref="A68" location="'水平地盤ばね'!T8" display="部材151"/>
    <hyperlink ref="A69" location="'水平地盤ばね'!T9" display="部材152"/>
    <hyperlink ref="A70" location="'水平地盤ばね'!T11" display="部材153"/>
    <hyperlink ref="A71" location="'水平地盤ばね'!T12" display="部材154"/>
    <hyperlink ref="A72" location="'水平地盤ばね'!T15" display="部材155"/>
    <hyperlink ref="A75" location="'水平地盤ばね'!T16" display="部材156"/>
    <hyperlink ref="A76" location="'水平地盤ばね'!T17" display="部材157"/>
    <hyperlink ref="A77" location="'水平地盤ばね'!T18" display="部材158"/>
    <hyperlink ref="A78" location="'水平地盤ばね'!T19" display="部材159"/>
    <hyperlink ref="A79" location="'水平地盤ばね'!T20" display="部材160"/>
    <hyperlink ref="A80" location="'水平地盤ばね'!T21" display="部材161"/>
    <hyperlink ref="A81" location="'水平地盤ばね'!T22" display="部材162"/>
    <hyperlink ref="A82" location="'水平地盤ばね'!T24" display="部材163"/>
    <hyperlink ref="A83" location="'水平地盤ばね'!T25" display="部材164"/>
    <hyperlink ref="A84" location="'水平地盤ばね'!T26" display="部材165"/>
    <hyperlink ref="A85" location="'水平地盤ばね'!T27" display="部材166"/>
    <hyperlink ref="A86" location="'水平地盤ばね'!T28" display="部材167"/>
    <hyperlink ref="A87" location="'水平地盤ばね'!T29" display="部材168"/>
    <hyperlink ref="A88" location="'水平地盤ばね'!T30" display="部材169"/>
    <hyperlink ref="A89" location="'水平地盤ばね'!T31" display="部材170"/>
    <hyperlink ref="A92" location="'水平地盤ばね'!T32" display="部材171"/>
    <hyperlink ref="A96" location="'杭周面ばね'!A9" display="杭周面ばね"/>
    <hyperlink ref="A97" location="'杭周面ばね'!A10" display="杭周面ばね"/>
    <hyperlink ref="A98" location="'杭周面ばね'!A11" display="杭周面ばね"/>
    <hyperlink ref="A99" location="'杭周面ばね'!A12" display="杭周面ばね"/>
    <hyperlink ref="A100" location="'杭周面ばね'!A13" display="杭周面ばね"/>
    <hyperlink ref="A101" location="'杭周面ばね'!A14" display="杭周面ばね"/>
    <hyperlink ref="A102" location="'杭周面ばね'!A15" display="杭周面ばね"/>
    <hyperlink ref="A103" location="'杭周面ばね'!A16" display="杭周面ばね"/>
    <hyperlink ref="A104" location="'杭周面ばね'!A17" display="杭周面ばね"/>
    <hyperlink ref="A105" location="'杭周面ばね'!A18" display="杭周面ばね"/>
    <hyperlink ref="A108" location="'杭周面ばね'!A19" display="杭周面ばね"/>
    <hyperlink ref="A109" location="'杭周面ばね'!A20" display="杭周面ばね"/>
    <hyperlink ref="A110" location="'杭周面ばね'!A21" display="杭周面ばね"/>
    <hyperlink ref="A111" location="'杭周面ばね'!A24" display="杭周面ばね"/>
    <hyperlink ref="A112" location="'杭周面ばね'!A25" display="杭周面ばね"/>
    <hyperlink ref="A113" location="'杭周面ばね'!A26" display="杭周面ばね"/>
    <hyperlink ref="A114" location="'杭周面ばね'!A27" display="杭周面ばね"/>
    <hyperlink ref="A115" location="'杭周面ばね'!A28" display="杭周面ばね"/>
    <hyperlink ref="A116" location="'杭周面ばね'!A29" display="杭周面ばね"/>
    <hyperlink ref="A117" location="'杭周面ばね'!A30" display="杭周面ばね"/>
    <hyperlink ref="A118" location="'杭周面ばね'!A31" display="杭周面ばね"/>
    <hyperlink ref="A119" location="'杭周面ばね'!A32" display="杭周面ばね"/>
    <hyperlink ref="A120" location="'杭周面ばね'!A33" display="杭周面ばね"/>
    <hyperlink ref="A121" location="'杭周面ばね'!A34" display="杭周面ばね"/>
    <hyperlink ref="A122" location="'杭周面ばね'!A35" display="杭周面ばね"/>
    <hyperlink ref="A125" location="'杭周面ばね'!A36" display="杭周面ばね"/>
    <hyperlink ref="A126" location="'杭周面ばね'!A37" display="杭周面ばね"/>
    <hyperlink ref="A127" location="'杭周面ばね'!A38" display="杭周面ばね"/>
    <hyperlink ref="A128" location="'杭周面ばね'!A41" display="杭周面ばね"/>
    <hyperlink ref="A129" location="'杭周面ばね'!A42" display="杭周面ばね"/>
    <hyperlink ref="A130" location="'杭周面ばね'!A43" display="杭周面ばね"/>
    <hyperlink ref="A131" location="'杭周面ばね'!A44" display="杭周面ばね"/>
    <hyperlink ref="A132" location="'杭周面ばね'!A45" display="杭周面ばね"/>
    <hyperlink ref="A133" location="'杭周面ばね'!A46" display="杭周面ばね"/>
    <hyperlink ref="A134" location="'杭周面ばね'!A47" display="杭周面ばね"/>
    <hyperlink ref="A135" location="'杭周面ばね'!A48" display="杭周面ばね"/>
    <hyperlink ref="A136" location="'杭周面ばね'!A49" display="杭周面ばね"/>
    <hyperlink ref="A137" location="'杭周面ばね'!A50" display="杭周面ばね"/>
    <hyperlink ref="A138" location="'杭周面ばね'!A51" display="杭周面ばね"/>
    <hyperlink ref="A139" location="'杭周面ばね'!A52" display="杭周面ばね"/>
    <hyperlink ref="A142" location="'杭周面ばね'!A53" display="杭周面ばね"/>
    <hyperlink ref="A143" location="'杭周面ばね'!A54" display="杭周面ばね"/>
    <hyperlink ref="A144" location="'杭周面ばね'!A55" display="杭周面ばね"/>
    <hyperlink ref="A145" location="'杭周面ばね'!A58" display="杭周面ばね"/>
    <hyperlink ref="A146" location="'杭周面ばね'!A59" display="杭周面ばね"/>
    <hyperlink ref="A147" location="'杭周面ばね'!A60" display="杭周面ばね"/>
    <hyperlink ref="A148" location="'杭周面ばね'!A61" display="杭周面ばね"/>
    <hyperlink ref="A149" location="'杭周面ばね'!A62" display="杭周面ばね"/>
    <hyperlink ref="A150" location="'杭周面ばね'!A63" display="杭周面ばね"/>
    <hyperlink ref="A151" location="'杭周面ばね'!A64" display="杭周面ばね"/>
    <hyperlink ref="A152" location="'杭周面ばね'!A65" display="杭周面ばね"/>
    <hyperlink ref="A153" location="'杭周面ばね'!A66" display="杭周面ばね"/>
    <hyperlink ref="A154" location="'杭周面ばね'!A67" display="杭周面ばね"/>
    <hyperlink ref="A155" location="'杭周面ばね'!A68" display="杭周面ばね"/>
    <hyperlink ref="A156" location="'杭周面ばね'!A69" display="杭周面ばね"/>
    <hyperlink ref="A159" location="'杭周面ばね'!A70" display="杭周面ばね"/>
    <hyperlink ref="A160" location="'杭周面ばね'!A71" display="杭周面ばね"/>
    <hyperlink ref="A161" location="'杭周面ばね'!A72" display="杭周面ばね"/>
    <hyperlink ref="A162" location="'杭周面ばね'!A75" display="杭周面ばね"/>
    <hyperlink ref="A163" location="'杭周面ばね'!A76" display="杭周面ばね"/>
    <hyperlink ref="A164" location="'杭先端ばね'!A9" display="杭先端ばね"/>
    <hyperlink ref="A165" location="'杭先端ばね'!A10" display="杭先端ばね"/>
    <hyperlink ref="A166" location="'杭先端ばね'!A11" display="杭先端ばね"/>
    <hyperlink ref="A170" location="'杭周面ばね'!A9" display="杭周面ばね"/>
    <hyperlink ref="A171" location="'杭周面ばね'!A10" display="杭周面ばね"/>
    <hyperlink ref="A172" location="'杭周面ばね'!A11" display="杭周面ばね"/>
    <hyperlink ref="A175" location="'杭周面ばね'!A12" display="杭周面ばね"/>
    <hyperlink ref="A176" location="'杭周面ばね'!A13" display="杭周面ばね"/>
    <hyperlink ref="A177" location="'杭周面ばね'!A14" display="杭周面ばね"/>
    <hyperlink ref="A178" location="'杭周面ばね'!A15" display="杭周面ばね"/>
    <hyperlink ref="A179" location="'杭周面ばね'!A16" display="杭周面ばね"/>
    <hyperlink ref="A180" location="'杭周面ばね'!A17" display="杭周面ばね"/>
    <hyperlink ref="A181" location="'杭周面ばね'!A18" display="杭周面ばね"/>
    <hyperlink ref="A182" location="'杭周面ばね'!A19" display="杭周面ばね"/>
    <hyperlink ref="A183" location="'杭周面ばね'!A20" display="杭周面ばね"/>
    <hyperlink ref="A184" location="'杭周面ばね'!A21" display="杭周面ばね"/>
    <hyperlink ref="A185" location="'杭周面ばね'!A24" display="杭周面ばね"/>
    <hyperlink ref="A186" location="'杭周面ばね'!A25" display="杭周面ばね"/>
    <hyperlink ref="A187" location="'杭周面ばね'!A26" display="杭周面ばね"/>
    <hyperlink ref="A188" location="'杭周面ばね'!A27" display="杭周面ばね"/>
    <hyperlink ref="A189" location="'杭周面ばね'!A28" display="杭周面ばね"/>
    <hyperlink ref="A192" location="'杭周面ばね'!A29" display="杭周面ばね"/>
    <hyperlink ref="A193" location="'杭周面ばね'!A30" display="杭周面ばね"/>
    <hyperlink ref="A194" location="'杭周面ばね'!A31" display="杭周面ばね"/>
    <hyperlink ref="A195" location="'杭周面ばね'!A32" display="杭周面ばね"/>
    <hyperlink ref="A196" location="'杭周面ばね'!A33" display="杭周面ばね"/>
    <hyperlink ref="A197" location="'杭周面ばね'!A34" display="杭周面ばね"/>
    <hyperlink ref="A198" location="'杭周面ばね'!A35" display="杭周面ばね"/>
    <hyperlink ref="A199" location="'杭周面ばね'!A36" display="杭周面ばね"/>
    <hyperlink ref="A200" location="'杭周面ばね'!A37" display="杭周面ばね"/>
    <hyperlink ref="A201" location="'杭周面ばね'!A38" display="杭周面ばね"/>
    <hyperlink ref="A202" location="'杭周面ばね'!A41" display="杭周面ばね"/>
    <hyperlink ref="A203" location="'杭周面ばね'!A42" display="杭周面ばね"/>
    <hyperlink ref="A204" location="'杭周面ばね'!A43" display="杭周面ばね"/>
    <hyperlink ref="A205" location="'杭周面ばね'!A44" display="杭周面ばね"/>
    <hyperlink ref="A206" location="'杭周面ばね'!A45" display="杭周面ばね"/>
    <hyperlink ref="A209" location="'杭周面ばね'!A46" display="杭周面ばね"/>
    <hyperlink ref="A210" location="'杭周面ばね'!A47" display="杭周面ばね"/>
    <hyperlink ref="A211" location="'杭周面ばね'!A48" display="杭周面ばね"/>
    <hyperlink ref="A212" location="'杭周面ばね'!A49" display="杭周面ばね"/>
    <hyperlink ref="A213" location="'杭周面ばね'!A50" display="杭周面ばね"/>
    <hyperlink ref="A214" location="'杭周面ばね'!A51" display="杭周面ばね"/>
    <hyperlink ref="A215" location="'杭周面ばね'!A52" display="杭周面ばね"/>
    <hyperlink ref="A216" location="'杭周面ばね'!A53" display="杭周面ばね"/>
    <hyperlink ref="A217" location="'杭周面ばね'!A54" display="杭周面ばね"/>
    <hyperlink ref="A218" location="'杭周面ばね'!A55" display="杭周面ばね"/>
    <hyperlink ref="A219" location="'杭周面ばね'!A58" display="杭周面ばね"/>
    <hyperlink ref="A220" location="'杭周面ばね'!A59" display="杭周面ばね"/>
    <hyperlink ref="A221" location="'杭周面ばね'!A60" display="杭周面ばね"/>
    <hyperlink ref="A222" location="'杭周面ばね'!A61" display="杭周面ばね"/>
    <hyperlink ref="A223" location="'杭周面ばね'!A62" display="杭周面ばね"/>
    <hyperlink ref="A226" location="'杭周面ばね'!A63" display="杭周面ばね"/>
    <hyperlink ref="A227" location="'杭周面ばね'!A64" display="杭周面ばね"/>
    <hyperlink ref="A228" location="'杭周面ばね'!A65" display="杭周面ばね"/>
    <hyperlink ref="A229" location="'杭周面ばね'!A66" display="杭周面ばね"/>
    <hyperlink ref="A230" location="'杭周面ばね'!A67" display="杭周面ばね"/>
    <hyperlink ref="A231" location="'杭周面ばね'!A68" display="杭周面ばね"/>
    <hyperlink ref="A232" location="'杭周面ばね'!A69" display="杭周面ばね"/>
    <hyperlink ref="A233" location="'杭周面ばね'!A70" display="杭周面ばね"/>
    <hyperlink ref="A234" location="'杭周面ばね'!A71" display="杭周面ばね"/>
    <hyperlink ref="A235" location="'杭周面ばね'!A72" display="杭周面ばね"/>
    <hyperlink ref="A236" location="'杭周面ばね'!A75" display="杭周面ばね"/>
    <hyperlink ref="A237" location="'杭周面ばね'!A76" display="杭周面ばね"/>
    <hyperlink ref="A238" location="'杭先端ばね'!A9" display="杭先端ばね"/>
    <hyperlink ref="A239" location="'杭先端ばね'!A10" display="杭先端ばね"/>
    <hyperlink ref="A240" location="'杭先端ばね'!A11" display="杭先端ばね"/>
  </hyperlinks>
  <pageMargins left="0.25" right="0.25" top="0.35" bottom="0.35" header="0.3" footer="0.3"/>
  <pageSetup paperSize="9" scale="83" orientation="landscape"/>
  <headerFooter>
    <oddFooter>&amp;L変換結果&amp;R&amp;P / &amp;N</oddFooter>
  </headerFooter>
  <rowBreaks count="70" manualBreakCount="70">
    <brk id="21" max="16383" man="1"/>
    <brk id="38" max="16383" man="1"/>
    <brk id="55" max="16383" man="1"/>
    <brk id="72" max="16383" man="1"/>
    <brk id="89" max="16383" man="1"/>
    <brk id="105" max="16383" man="1"/>
    <brk id="122" max="16383" man="1"/>
    <brk id="139" max="16383" man="1"/>
    <brk id="156" max="16383" man="1"/>
    <brk id="172" max="16383" man="1"/>
    <brk id="189" max="16383" man="1"/>
    <brk id="206" max="16383" man="1"/>
    <brk id="223" max="16383" man="1"/>
    <brk id="240" max="16383" man="1"/>
    <brk id="257" max="16383" man="1"/>
    <brk id="274" max="16383" man="1"/>
    <brk id="291" max="16383" man="1"/>
    <brk id="308" max="16383" man="1"/>
    <brk id="325" max="16383" man="1"/>
    <brk id="342" max="16383" man="1"/>
    <brk id="359" max="16383" man="1"/>
    <brk id="376" max="16383" man="1"/>
    <brk id="393" max="16383" man="1"/>
    <brk id="410" max="16383" man="1"/>
    <brk id="427" max="16383" man="1"/>
    <brk id="444" max="16383" man="1"/>
    <brk id="461" max="16383" man="1"/>
    <brk id="478" max="16383" man="1"/>
    <brk id="495" max="16383" man="1"/>
    <brk id="512" max="16383" man="1"/>
    <brk id="529" max="16383" man="1"/>
    <brk id="546" max="16383" man="1"/>
    <brk id="563" max="16383" man="1"/>
    <brk id="580" max="16383" man="1"/>
    <brk id="597" max="16383" man="1"/>
    <brk id="614" max="16383" man="1"/>
    <brk id="631" max="16383" man="1"/>
    <brk id="648" max="16383" man="1"/>
    <brk id="665" max="16383" man="1"/>
    <brk id="682" max="16383" man="1"/>
    <brk id="699" max="16383" man="1"/>
    <brk id="716" max="16383" man="1"/>
    <brk id="733" max="16383" man="1"/>
    <brk id="750" max="16383" man="1"/>
    <brk id="767" max="16383" man="1"/>
    <brk id="784" max="16383" man="1"/>
    <brk id="801" max="16383" man="1"/>
    <brk id="818" max="16383" man="1"/>
    <brk id="835" max="16383" man="1"/>
    <brk id="852" max="16383" man="1"/>
    <brk id="869" max="16383" man="1"/>
    <brk id="886" max="16383" man="1"/>
    <brk id="903" max="16383" man="1"/>
    <brk id="920" max="16383" man="1"/>
    <brk id="937" max="16383" man="1"/>
    <brk id="954" max="16383" man="1"/>
    <brk id="971" max="16383" man="1"/>
    <brk id="988" max="16383" man="1"/>
    <brk id="1005" max="16383" man="1"/>
    <brk id="1022" max="16383" man="1"/>
    <brk id="1039" max="16383" man="1"/>
    <brk id="1056" max="16383" man="1"/>
    <brk id="1073" max="16383" man="1"/>
    <brk id="1090" max="16383" man="1"/>
    <brk id="1107" max="16383" man="1"/>
    <brk id="1124" max="16383" man="1"/>
    <brk id="1141" max="16383" man="1"/>
    <brk id="1158" max="16383" man="1"/>
    <brk id="1175" max="16383" man="1"/>
    <brk id="11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2" t="s">
        <v>117</v>
      </c>
      <c r="B1" s="13"/>
      <c r="C1" s="13"/>
      <c r="D1" s="13"/>
      <c r="E1" s="13"/>
      <c r="F1" s="13"/>
      <c r="G1" s="13"/>
      <c r="H1" s="12" t="s">
        <v>117</v>
      </c>
      <c r="I1" s="13"/>
      <c r="J1" s="13"/>
      <c r="K1" s="13"/>
      <c r="L1" s="13"/>
      <c r="M1" s="13"/>
      <c r="N1" s="13"/>
      <c r="O1" s="12" t="s">
        <v>117</v>
      </c>
      <c r="P1" s="13"/>
      <c r="Q1" s="13"/>
      <c r="R1" s="13"/>
      <c r="S1" s="13"/>
      <c r="T1" s="13"/>
      <c r="U1" s="13"/>
    </row>
    <row r="2" spans="1:21" ht="48.75" customHeight="1">
      <c r="A2" s="14" t="s">
        <v>124</v>
      </c>
      <c r="B2" s="14" t="s">
        <v>125</v>
      </c>
      <c r="C2" s="14" t="s">
        <v>126</v>
      </c>
      <c r="D2" s="14" t="s">
        <v>127</v>
      </c>
      <c r="E2" s="14"/>
      <c r="F2" s="14" t="s">
        <v>128</v>
      </c>
      <c r="G2" s="14" t="s">
        <v>129</v>
      </c>
      <c r="H2" s="14" t="s">
        <v>124</v>
      </c>
      <c r="I2" s="14" t="s">
        <v>125</v>
      </c>
      <c r="J2" s="14" t="s">
        <v>126</v>
      </c>
      <c r="K2" s="14" t="s">
        <v>127</v>
      </c>
      <c r="L2" s="14"/>
      <c r="M2" s="14" t="s">
        <v>128</v>
      </c>
      <c r="N2" s="14" t="s">
        <v>129</v>
      </c>
      <c r="O2" s="14" t="s">
        <v>124</v>
      </c>
      <c r="P2" s="14" t="s">
        <v>125</v>
      </c>
      <c r="Q2" s="14" t="s">
        <v>126</v>
      </c>
      <c r="R2" s="14" t="s">
        <v>127</v>
      </c>
      <c r="S2" s="14"/>
      <c r="T2" s="14" t="s">
        <v>128</v>
      </c>
      <c r="U2" s="14" t="s">
        <v>129</v>
      </c>
    </row>
    <row r="3" spans="1:21" ht="21.75" customHeight="1">
      <c r="A3" s="15">
        <v>1</v>
      </c>
      <c r="B3" s="16">
        <f>'入力根拠'!G406</f>
        <v>1.5</v>
      </c>
      <c r="C3" s="14">
        <f>'入力根拠'!F36</f>
        <v>58812.0</v>
      </c>
      <c r="D3" s="17">
        <f>'入力根拠'!H434</f>
        <v>1.3</v>
      </c>
      <c r="E3" s="18"/>
      <c r="F3" s="19">
        <v>98</v>
      </c>
      <c r="G3" s="14">
        <f>C3</f>
        <v>58812.0</v>
      </c>
      <c r="H3" s="15">
        <v>1</v>
      </c>
      <c r="I3" s="16">
        <f>'入力根拠'!G415</f>
        <v>1.5</v>
      </c>
      <c r="J3" s="14">
        <f>'入力根拠'!F45</f>
        <v>39208.0</v>
      </c>
      <c r="K3" s="17">
        <f>'入力根拠'!H462</f>
        <v>1.3</v>
      </c>
      <c r="L3" s="18"/>
      <c r="M3" s="19">
        <v>123</v>
      </c>
      <c r="N3" s="14">
        <f>J3</f>
        <v>39208.0</v>
      </c>
      <c r="O3" s="15">
        <v>1</v>
      </c>
      <c r="P3" s="16">
        <f>'入力根拠'!G422</f>
        <v>1.5</v>
      </c>
      <c r="Q3" s="14">
        <f>'入力根拠'!F52</f>
        <v>58812.0</v>
      </c>
      <c r="R3" s="17">
        <f>'入力根拠'!H488</f>
        <v>1.3</v>
      </c>
      <c r="S3" s="18"/>
      <c r="T3" s="19">
        <v>148</v>
      </c>
      <c r="U3" s="14">
        <f>Q3</f>
        <v>58812.0</v>
      </c>
    </row>
    <row r="4" spans="1:21" ht="21.75" customHeight="1">
      <c r="A4" s="20"/>
      <c r="B4" s="21"/>
      <c r="C4" s="14">
        <f>'入力根拠'!F36</f>
        <v>58812.0</v>
      </c>
      <c r="D4" s="22">
        <f>'入力根拠'!H435</f>
        <v>1.3</v>
      </c>
      <c r="E4" s="23">
        <f>MAX(0,ROUND((MIN('入力根拠'!G435,'入力根拠'!F406)-MAX('入力根拠'!F435,'入力根拠'!E406)),4))</f>
        <v>0.2</v>
      </c>
      <c r="F4" s="24">
        <v>99</v>
      </c>
      <c r="G4" s="15">
        <f>(SUM((C4*E4),(C5*E5))/D4)</f>
        <v>272085.9230769231</v>
      </c>
      <c r="H4" s="20"/>
      <c r="I4" s="21"/>
      <c r="J4" s="14">
        <f>'入力根拠'!F45</f>
        <v>39208.0</v>
      </c>
      <c r="K4" s="22">
        <f>'入力根拠'!H463</f>
        <v>1.3</v>
      </c>
      <c r="L4" s="23">
        <f>MAX(0,ROUND((MIN('入力根拠'!G463,'入力根拠'!F415)-MAX('入力根拠'!F463,'入力根拠'!E415)),4))</f>
        <v>0.2</v>
      </c>
      <c r="M4" s="24">
        <v>124</v>
      </c>
      <c r="N4" s="15">
        <f>(SUM((J4*L4),(J5*L5))/K4)</f>
        <v>181390.6153846154</v>
      </c>
      <c r="O4" s="20"/>
      <c r="P4" s="21"/>
      <c r="Q4" s="14">
        <f>'入力根拠'!F52</f>
        <v>58812.0</v>
      </c>
      <c r="R4" s="22">
        <f>'入力根拠'!H489</f>
        <v>1.3</v>
      </c>
      <c r="S4" s="23">
        <f>MAX(0,ROUND((MIN('入力根拠'!G489,'入力根拠'!F422)-MAX('入力根拠'!F489,'入力根拠'!E422)),4))</f>
        <v>0.2</v>
      </c>
      <c r="T4" s="24">
        <v>149</v>
      </c>
      <c r="U4" s="15">
        <f>(SUM((Q4*S4),(Q5*S5))/R4)</f>
        <v>272085.9230769231</v>
      </c>
    </row>
    <row r="5" spans="1:21" ht="21.75" customHeight="1">
      <c r="A5" s="15">
        <v>2</v>
      </c>
      <c r="B5" s="16">
        <f>'入力根拠'!G409</f>
        <v>1.3</v>
      </c>
      <c r="C5" s="14">
        <f>'入力根拠'!F39</f>
        <v>310863.0</v>
      </c>
      <c r="D5" s="25"/>
      <c r="E5" s="26">
        <f>MAX(0,ROUND((MIN('入力根拠'!G435,'入力根拠'!F409)-MAX('入力根拠'!F435,'入力根拠'!E409)),4))</f>
        <v>1.1</v>
      </c>
      <c r="F5" s="27"/>
      <c r="G5" s="28"/>
      <c r="H5" s="15">
        <v>2</v>
      </c>
      <c r="I5" s="16">
        <f>'入力根拠'!G416</f>
        <v>1.3</v>
      </c>
      <c r="J5" s="14">
        <f>'入力根拠'!F46</f>
        <v>207242.0</v>
      </c>
      <c r="K5" s="25"/>
      <c r="L5" s="26">
        <f>MAX(0,ROUND((MIN('入力根拠'!G463,'入力根拠'!F416)-MAX('入力根拠'!F463,'入力根拠'!E416)),4))</f>
        <v>1.1</v>
      </c>
      <c r="M5" s="27"/>
      <c r="N5" s="28"/>
      <c r="O5" s="15">
        <v>2</v>
      </c>
      <c r="P5" s="16">
        <f>'入力根拠'!G423</f>
        <v>1.3</v>
      </c>
      <c r="Q5" s="14">
        <f>'入力根拠'!F53</f>
        <v>310863.0</v>
      </c>
      <c r="R5" s="25"/>
      <c r="S5" s="26">
        <f>MAX(0,ROUND((MIN('入力根拠'!G489,'入力根拠'!F423)-MAX('入力根拠'!F489,'入力根拠'!E423)),4))</f>
        <v>1.1</v>
      </c>
      <c r="T5" s="27"/>
      <c r="U5" s="28"/>
    </row>
    <row r="6" spans="1:21" ht="21.75" customHeight="1">
      <c r="A6" s="20"/>
      <c r="B6" s="21"/>
      <c r="C6" s="14">
        <f>'入力根拠'!F39</f>
        <v>310863.0</v>
      </c>
      <c r="D6" s="22">
        <f>'入力根拠'!H436</f>
        <v>1.3</v>
      </c>
      <c r="E6" s="23">
        <f>MAX(0,ROUND((MIN('入力根拠'!G436,'入力根拠'!F409)-MAX('入力根拠'!F436,'入力根拠'!E409)),4))</f>
        <v>0.2</v>
      </c>
      <c r="F6" s="24">
        <v>100</v>
      </c>
      <c r="G6" s="15">
        <f>(SUM((C6*E6),(C7*E7))/D6)</f>
        <v>141501.07692307694</v>
      </c>
      <c r="H6" s="20"/>
      <c r="I6" s="21"/>
      <c r="J6" s="14">
        <f>'入力根拠'!F46</f>
        <v>207242.0</v>
      </c>
      <c r="K6" s="22">
        <f>'入力根拠'!H464</f>
        <v>1.3</v>
      </c>
      <c r="L6" s="23">
        <f>MAX(0,ROUND((MIN('入力根拠'!G464,'入力根拠'!F416)-MAX('入力根拠'!F464,'入力根拠'!E416)),4))</f>
        <v>0.2</v>
      </c>
      <c r="M6" s="24">
        <v>125</v>
      </c>
      <c r="N6" s="15">
        <f>(SUM((J6*L6),(J7*L7))/K6)</f>
        <v>94333.76923076922</v>
      </c>
      <c r="O6" s="20"/>
      <c r="P6" s="21"/>
      <c r="Q6" s="14">
        <f>'入力根拠'!F53</f>
        <v>310863.0</v>
      </c>
      <c r="R6" s="22">
        <f>'入力根拠'!H490</f>
        <v>1.3</v>
      </c>
      <c r="S6" s="23">
        <f>MAX(0,ROUND((MIN('入力根拠'!G490,'入力根拠'!F423)-MAX('入力根拠'!F490,'入力根拠'!E423)),4))</f>
        <v>0.2</v>
      </c>
      <c r="T6" s="24">
        <v>150</v>
      </c>
      <c r="U6" s="15">
        <f>(SUM((Q6*S6),(Q7*S7))/R6)</f>
        <v>141501.07692307694</v>
      </c>
    </row>
    <row r="7" spans="1:21" ht="21.75" customHeight="1">
      <c r="A7" s="15">
        <v>3</v>
      </c>
      <c r="B7" s="16">
        <f>'入力根拠'!G410</f>
        <v>2.9</v>
      </c>
      <c r="C7" s="14">
        <f>'入力根拠'!F40</f>
        <v>110708.0</v>
      </c>
      <c r="D7" s="25"/>
      <c r="E7" s="26">
        <f>MAX(0,ROUND((MIN('入力根拠'!G436,'入力根拠'!F410)-MAX('入力根拠'!F436,'入力根拠'!E410)),4))</f>
        <v>1.1</v>
      </c>
      <c r="F7" s="27"/>
      <c r="G7" s="28"/>
      <c r="H7" s="15">
        <v>3</v>
      </c>
      <c r="I7" s="16">
        <f>'入力根拠'!G417</f>
        <v>2.9</v>
      </c>
      <c r="J7" s="14">
        <f>'入力根拠'!F47</f>
        <v>73805.0</v>
      </c>
      <c r="K7" s="25"/>
      <c r="L7" s="26">
        <f>MAX(0,ROUND((MIN('入力根拠'!G464,'入力根拠'!F417)-MAX('入力根拠'!F464,'入力根拠'!E417)),4))</f>
        <v>1.1</v>
      </c>
      <c r="M7" s="27"/>
      <c r="N7" s="28"/>
      <c r="O7" s="15">
        <v>3</v>
      </c>
      <c r="P7" s="16">
        <f>'入力根拠'!G426</f>
        <v>2.9</v>
      </c>
      <c r="Q7" s="14">
        <f>'入力根拠'!F56</f>
        <v>110708.0</v>
      </c>
      <c r="R7" s="25"/>
      <c r="S7" s="26">
        <f>MAX(0,ROUND((MIN('入力根拠'!G490,'入力根拠'!F426)-MAX('入力根拠'!F490,'入力根拠'!E426)),4))</f>
        <v>1.1</v>
      </c>
      <c r="T7" s="27"/>
      <c r="U7" s="28"/>
    </row>
    <row r="8" spans="1:21" ht="21.75" customHeight="1">
      <c r="A8" s="20"/>
      <c r="B8" s="21"/>
      <c r="C8" s="14">
        <f>'入力根拠'!F40</f>
        <v>110708.0</v>
      </c>
      <c r="D8" s="17">
        <f>'入力根拠'!H437</f>
        <v>1.3</v>
      </c>
      <c r="E8" s="18"/>
      <c r="F8" s="19">
        <v>101</v>
      </c>
      <c r="G8" s="14">
        <f>C8</f>
        <v>110708.0</v>
      </c>
      <c r="H8" s="20"/>
      <c r="I8" s="21"/>
      <c r="J8" s="14">
        <f>'入力根拠'!F47</f>
        <v>73805.0</v>
      </c>
      <c r="K8" s="17">
        <f>'入力根拠'!H465</f>
        <v>1.3</v>
      </c>
      <c r="L8" s="18"/>
      <c r="M8" s="19">
        <v>126</v>
      </c>
      <c r="N8" s="14">
        <f>J8</f>
        <v>73805.0</v>
      </c>
      <c r="O8" s="20"/>
      <c r="P8" s="21"/>
      <c r="Q8" s="14">
        <f>'入力根拠'!F56</f>
        <v>110708.0</v>
      </c>
      <c r="R8" s="17">
        <f>'入力根拠'!H493</f>
        <v>1.3</v>
      </c>
      <c r="S8" s="18"/>
      <c r="T8" s="19">
        <v>151</v>
      </c>
      <c r="U8" s="14">
        <f>Q8</f>
        <v>110708.0</v>
      </c>
    </row>
    <row r="9" spans="1:21" ht="21.75" customHeight="1">
      <c r="A9" s="20"/>
      <c r="B9" s="21"/>
      <c r="C9" s="14">
        <f>'入力根拠'!F40</f>
        <v>110708.0</v>
      </c>
      <c r="D9" s="22">
        <f>'入力根拠'!H438</f>
        <v>1.3</v>
      </c>
      <c r="E9" s="23">
        <f>MAX(0,ROUND((MIN('入力根拠'!G438,'入力根拠'!F410)-MAX('入力根拠'!F438,'入力根拠'!E410)),4))</f>
        <v>0.5</v>
      </c>
      <c r="F9" s="24">
        <v>102</v>
      </c>
      <c r="G9" s="15">
        <f>(SUM((C9*E9),(C10*E10))/D9)</f>
        <v>208028.61538461538</v>
      </c>
      <c r="H9" s="20"/>
      <c r="I9" s="21"/>
      <c r="J9" s="14">
        <f>'入力根拠'!F47</f>
        <v>73805.0</v>
      </c>
      <c r="K9" s="22">
        <f>'入力根拠'!H466</f>
        <v>1.3</v>
      </c>
      <c r="L9" s="23">
        <f>MAX(0,ROUND((MIN('入力根拠'!G466,'入力根拠'!F417)-MAX('入力根拠'!F466,'入力根拠'!E417)),4))</f>
        <v>0.5</v>
      </c>
      <c r="M9" s="24">
        <v>127</v>
      </c>
      <c r="N9" s="15">
        <f>(SUM((J9*L9),(J10*L10))/K9)</f>
        <v>138685.6153846154</v>
      </c>
      <c r="O9" s="20"/>
      <c r="P9" s="21"/>
      <c r="Q9" s="14">
        <f>'入力根拠'!F56</f>
        <v>110708.0</v>
      </c>
      <c r="R9" s="22">
        <f>'入力根拠'!H494</f>
        <v>1.3</v>
      </c>
      <c r="S9" s="23">
        <f>MAX(0,ROUND((MIN('入力根拠'!G494,'入力根拠'!F426)-MAX('入力根拠'!F494,'入力根拠'!E426)),4))</f>
        <v>0.5</v>
      </c>
      <c r="T9" s="24">
        <v>152</v>
      </c>
      <c r="U9" s="15">
        <f>(SUM((Q9*S9),(Q10*S10))/R9)</f>
        <v>208028.61538461538</v>
      </c>
    </row>
    <row r="10" spans="1:21" ht="21.75" customHeight="1">
      <c r="A10" s="15">
        <v>4</v>
      </c>
      <c r="B10" s="16">
        <f>'入力根拠'!G411</f>
        <v>2.6</v>
      </c>
      <c r="C10" s="14">
        <f>'入力根拠'!F41</f>
        <v>268854.0</v>
      </c>
      <c r="D10" s="25"/>
      <c r="E10" s="26">
        <f>MAX(0,ROUND((MIN('入力根拠'!G438,'入力根拠'!F411)-MAX('入力根拠'!F438,'入力根拠'!E411)),4))</f>
        <v>0.8</v>
      </c>
      <c r="F10" s="27"/>
      <c r="G10" s="28"/>
      <c r="H10" s="15">
        <v>4</v>
      </c>
      <c r="I10" s="16">
        <f>'入力根拠'!G418</f>
        <v>2.6</v>
      </c>
      <c r="J10" s="14">
        <f>'入力根拠'!F48</f>
        <v>179236.0</v>
      </c>
      <c r="K10" s="25"/>
      <c r="L10" s="26">
        <f>MAX(0,ROUND((MIN('入力根拠'!G466,'入力根拠'!F418)-MAX('入力根拠'!F466,'入力根拠'!E418)),4))</f>
        <v>0.8</v>
      </c>
      <c r="M10" s="27"/>
      <c r="N10" s="28"/>
      <c r="O10" s="15">
        <v>4</v>
      </c>
      <c r="P10" s="16">
        <f>'入力根拠'!G427</f>
        <v>2.6</v>
      </c>
      <c r="Q10" s="14">
        <f>'入力根拠'!F57</f>
        <v>268854.0</v>
      </c>
      <c r="R10" s="25"/>
      <c r="S10" s="26">
        <f>MAX(0,ROUND((MIN('入力根拠'!G494,'入力根拠'!F427)-MAX('入力根拠'!F494,'入力根拠'!E427)),4))</f>
        <v>0.8</v>
      </c>
      <c r="T10" s="27"/>
      <c r="U10" s="28"/>
    </row>
    <row r="11" spans="1:21" ht="21.75" customHeight="1">
      <c r="A11" s="20"/>
      <c r="B11" s="21"/>
      <c r="C11" s="14">
        <f>'入力根拠'!F41</f>
        <v>268854.0</v>
      </c>
      <c r="D11" s="17">
        <f>'入力根拠'!H439</f>
        <v>1.3</v>
      </c>
      <c r="E11" s="18"/>
      <c r="F11" s="19">
        <v>103</v>
      </c>
      <c r="G11" s="14">
        <f>C11</f>
        <v>268854.0</v>
      </c>
      <c r="H11" s="20"/>
      <c r="I11" s="21"/>
      <c r="J11" s="14">
        <f>'入力根拠'!F48</f>
        <v>179236.0</v>
      </c>
      <c r="K11" s="17">
        <f>'入力根拠'!H467</f>
        <v>1.3</v>
      </c>
      <c r="L11" s="18"/>
      <c r="M11" s="19">
        <v>128</v>
      </c>
      <c r="N11" s="14">
        <f>J11</f>
        <v>179236.0</v>
      </c>
      <c r="O11" s="20"/>
      <c r="P11" s="21"/>
      <c r="Q11" s="14">
        <f>'入力根拠'!F57</f>
        <v>268854.0</v>
      </c>
      <c r="R11" s="17">
        <f>'入力根拠'!H495</f>
        <v>1.3</v>
      </c>
      <c r="S11" s="18"/>
      <c r="T11" s="19">
        <v>153</v>
      </c>
      <c r="U11" s="14">
        <f>Q11</f>
        <v>268854.0</v>
      </c>
    </row>
    <row r="12" spans="1:21" ht="21.75" customHeight="1">
      <c r="A12" s="20"/>
      <c r="B12" s="21"/>
      <c r="C12" s="14">
        <f>'入力根拠'!F41</f>
        <v>268854.0</v>
      </c>
      <c r="D12" s="22">
        <f>'入力根拠'!H442</f>
        <v>1.3</v>
      </c>
      <c r="E12" s="23">
        <f>MAX(0,ROUND((MIN('入力根拠'!G442,'入力根拠'!F411)-MAX('入力根拠'!F442,'入力根拠'!E411)),4))</f>
        <v>0.5</v>
      </c>
      <c r="F12" s="24">
        <v>104</v>
      </c>
      <c r="G12" s="15">
        <f>(SUM((C12*E12),(C13*E13),(C14*E14))/D12)</f>
        <v>363439.69230769225</v>
      </c>
      <c r="H12" s="20"/>
      <c r="I12" s="21"/>
      <c r="J12" s="14">
        <f>'入力根拠'!F48</f>
        <v>179236.0</v>
      </c>
      <c r="K12" s="22">
        <f>'入力根拠'!H468</f>
        <v>1.3</v>
      </c>
      <c r="L12" s="23">
        <f>MAX(0,ROUND((MIN('入力根拠'!G468,'入力根拠'!F418)-MAX('入力根拠'!F468,'入力根拠'!E418)),4))</f>
        <v>0.5</v>
      </c>
      <c r="M12" s="24">
        <v>129</v>
      </c>
      <c r="N12" s="15">
        <f>(SUM((J12*L12),(J13*L13),(J14*L14))/K12)</f>
        <v>242293.0769230769</v>
      </c>
      <c r="O12" s="20"/>
      <c r="P12" s="21"/>
      <c r="Q12" s="14">
        <f>'入力根拠'!F57</f>
        <v>268854.0</v>
      </c>
      <c r="R12" s="22">
        <f>'入力根拠'!H496</f>
        <v>1.3</v>
      </c>
      <c r="S12" s="23">
        <f>MAX(0,ROUND((MIN('入力根拠'!G496,'入力根拠'!F427)-MAX('入力根拠'!F496,'入力根拠'!E427)),4))</f>
        <v>0.5</v>
      </c>
      <c r="T12" s="24">
        <v>154</v>
      </c>
      <c r="U12" s="15">
        <f>(SUM((Q12*S12),(Q13*S13),(Q14*S14))/R12)</f>
        <v>363439.69230769225</v>
      </c>
    </row>
    <row r="13" spans="1:21" ht="21.75" customHeight="1">
      <c r="A13" s="15">
        <v>5</v>
      </c>
      <c r="B13" s="16">
        <f>'入力根拠'!G412</f>
        <v>0.6</v>
      </c>
      <c r="C13" s="14">
        <f>'入力根拠'!F42</f>
        <v>428981.0</v>
      </c>
      <c r="D13" s="29"/>
      <c r="E13" s="30">
        <f>MAX(0,ROUND((MIN('入力根拠'!G442,'入力根拠'!F412)-MAX('入力根拠'!F442,'入力根拠'!E412)),4))</f>
        <v>0.6</v>
      </c>
      <c r="F13" s="31"/>
      <c r="G13" s="20"/>
      <c r="H13" s="15">
        <v>5</v>
      </c>
      <c r="I13" s="16">
        <f>'入力根拠'!G419</f>
        <v>0.6</v>
      </c>
      <c r="J13" s="14">
        <f>'入力根拠'!F49</f>
        <v>285987.0</v>
      </c>
      <c r="K13" s="29"/>
      <c r="L13" s="30">
        <f>MAX(0,ROUND((MIN('入力根拠'!G468,'入力根拠'!F419)-MAX('入力根拠'!F468,'入力根拠'!E419)),4))</f>
        <v>0.6</v>
      </c>
      <c r="M13" s="31"/>
      <c r="N13" s="20"/>
      <c r="O13" s="15">
        <v>5</v>
      </c>
      <c r="P13" s="16">
        <f>'入力根拠'!G428</f>
        <v>0.6</v>
      </c>
      <c r="Q13" s="14">
        <f>'入力根拠'!F58</f>
        <v>428981.0</v>
      </c>
      <c r="R13" s="29"/>
      <c r="S13" s="30">
        <f>MAX(0,ROUND((MIN('入力根拠'!G496,'入力根拠'!F428)-MAX('入力根拠'!F496,'入力根拠'!E428)),4))</f>
        <v>0.6</v>
      </c>
      <c r="T13" s="31"/>
      <c r="U13" s="20"/>
    </row>
    <row r="14" spans="1:21" ht="21.75" customHeight="1">
      <c r="A14" s="15">
        <v>6</v>
      </c>
      <c r="B14" s="16">
        <f>'入力根拠'!G413</f>
        <v>9.5</v>
      </c>
      <c r="C14" s="14">
        <f>'入力根拠'!F43</f>
        <v>403280.0</v>
      </c>
      <c r="D14" s="25"/>
      <c r="E14" s="26">
        <f>MAX(0,ROUND((MIN('入力根拠'!G442,'入力根拠'!F413)-MAX('入力根拠'!F442,'入力根拠'!E413)),4))</f>
        <v>0.2</v>
      </c>
      <c r="F14" s="27"/>
      <c r="G14" s="28"/>
      <c r="H14" s="15">
        <v>6</v>
      </c>
      <c r="I14" s="16">
        <f>'入力根拠'!G420</f>
        <v>9.5</v>
      </c>
      <c r="J14" s="14">
        <f>'入力根拠'!F50</f>
        <v>268854.0</v>
      </c>
      <c r="K14" s="25"/>
      <c r="L14" s="26">
        <f>MAX(0,ROUND((MIN('入力根拠'!G468,'入力根拠'!F420)-MAX('入力根拠'!F468,'入力根拠'!E420)),4))</f>
        <v>0.2</v>
      </c>
      <c r="M14" s="27"/>
      <c r="N14" s="28"/>
      <c r="O14" s="15">
        <v>6</v>
      </c>
      <c r="P14" s="16">
        <f>'入力根拠'!G429</f>
        <v>9.5</v>
      </c>
      <c r="Q14" s="14">
        <f>'入力根拠'!F59</f>
        <v>403280.0</v>
      </c>
      <c r="R14" s="25"/>
      <c r="S14" s="26">
        <f>MAX(0,ROUND((MIN('入力根拠'!G496,'入力根拠'!F429)-MAX('入力根拠'!F496,'入力根拠'!E429)),4))</f>
        <v>0.2</v>
      </c>
      <c r="T14" s="27"/>
      <c r="U14" s="28"/>
    </row>
    <row r="15" spans="1:21" ht="21.75" customHeight="1">
      <c r="A15" s="20"/>
      <c r="B15" s="21"/>
      <c r="C15" s="14">
        <f>'入力根拠'!F43</f>
        <v>403280.0</v>
      </c>
      <c r="D15" s="17">
        <f>'入力根拠'!H443</f>
        <v>1.3</v>
      </c>
      <c r="E15" s="18"/>
      <c r="F15" s="19">
        <v>105</v>
      </c>
      <c r="G15" s="14">
        <f>C15</f>
        <v>403280.0</v>
      </c>
      <c r="H15" s="20"/>
      <c r="I15" s="21"/>
      <c r="J15" s="14">
        <f>'入力根拠'!F50</f>
        <v>268854.0</v>
      </c>
      <c r="K15" s="17">
        <f>'入力根拠'!H469</f>
        <v>1.3</v>
      </c>
      <c r="L15" s="18"/>
      <c r="M15" s="19">
        <v>130</v>
      </c>
      <c r="N15" s="14">
        <f>J15</f>
        <v>268854.0</v>
      </c>
      <c r="O15" s="20"/>
      <c r="P15" s="21"/>
      <c r="Q15" s="14">
        <f>'入力根拠'!F59</f>
        <v>403280.0</v>
      </c>
      <c r="R15" s="17">
        <f>'入力根拠'!H497</f>
        <v>1.3</v>
      </c>
      <c r="S15" s="18"/>
      <c r="T15" s="19">
        <v>155</v>
      </c>
      <c r="U15" s="14">
        <f>Q15</f>
        <v>403280.0</v>
      </c>
    </row>
    <row r="16" spans="1:21" ht="21.75" customHeight="1">
      <c r="A16" s="20"/>
      <c r="B16" s="21"/>
      <c r="C16" s="14">
        <f>'入力根拠'!F43</f>
        <v>403280.0</v>
      </c>
      <c r="D16" s="17">
        <f>'入力根拠'!H444</f>
        <v>1.3</v>
      </c>
      <c r="E16" s="18"/>
      <c r="F16" s="19">
        <v>106</v>
      </c>
      <c r="G16" s="14">
        <f>C16</f>
        <v>403280.0</v>
      </c>
      <c r="H16" s="20"/>
      <c r="I16" s="21"/>
      <c r="J16" s="14">
        <f>'入力根拠'!F50</f>
        <v>268854.0</v>
      </c>
      <c r="K16" s="17">
        <f>'入力根拠'!H470</f>
        <v>1.3</v>
      </c>
      <c r="L16" s="18"/>
      <c r="M16" s="19">
        <v>131</v>
      </c>
      <c r="N16" s="14">
        <f>J16</f>
        <v>268854.0</v>
      </c>
      <c r="O16" s="20"/>
      <c r="P16" s="21"/>
      <c r="Q16" s="14">
        <f>'入力根拠'!F59</f>
        <v>403280.0</v>
      </c>
      <c r="R16" s="17">
        <f>'入力根拠'!H498</f>
        <v>1.3</v>
      </c>
      <c r="S16" s="18"/>
      <c r="T16" s="19">
        <v>156</v>
      </c>
      <c r="U16" s="14">
        <f>Q16</f>
        <v>403280.0</v>
      </c>
    </row>
    <row r="17" spans="1:21" ht="21.75" customHeight="1">
      <c r="A17" s="20"/>
      <c r="B17" s="21"/>
      <c r="C17" s="14">
        <f>'入力根拠'!F43</f>
        <v>403280.0</v>
      </c>
      <c r="D17" s="17">
        <f>'入力根拠'!H445</f>
        <v>1.3</v>
      </c>
      <c r="E17" s="18"/>
      <c r="F17" s="19">
        <v>107</v>
      </c>
      <c r="G17" s="14">
        <f>C17</f>
        <v>403280.0</v>
      </c>
      <c r="H17" s="20"/>
      <c r="I17" s="21"/>
      <c r="J17" s="14">
        <f>'入力根拠'!F50</f>
        <v>268854.0</v>
      </c>
      <c r="K17" s="17">
        <f>'入力根拠'!H471</f>
        <v>1.3</v>
      </c>
      <c r="L17" s="18"/>
      <c r="M17" s="19">
        <v>132</v>
      </c>
      <c r="N17" s="14">
        <f>J17</f>
        <v>268854.0</v>
      </c>
      <c r="O17" s="20"/>
      <c r="P17" s="21"/>
      <c r="Q17" s="14">
        <f>'入力根拠'!F59</f>
        <v>403280.0</v>
      </c>
      <c r="R17" s="17">
        <f>'入力根拠'!H499</f>
        <v>1.3</v>
      </c>
      <c r="S17" s="18"/>
      <c r="T17" s="19">
        <v>157</v>
      </c>
      <c r="U17" s="14">
        <f>Q17</f>
        <v>403280.0</v>
      </c>
    </row>
    <row r="18" spans="1:21" ht="21.75" customHeight="1">
      <c r="A18" s="20"/>
      <c r="B18" s="21"/>
      <c r="C18" s="14">
        <f>'入力根拠'!F43</f>
        <v>403280.0</v>
      </c>
      <c r="D18" s="17">
        <f>'入力根拠'!H446</f>
        <v>1.3</v>
      </c>
      <c r="E18" s="18"/>
      <c r="F18" s="19">
        <v>108</v>
      </c>
      <c r="G18" s="14">
        <f>C18</f>
        <v>403280.0</v>
      </c>
      <c r="H18" s="20"/>
      <c r="I18" s="21"/>
      <c r="J18" s="14">
        <f>'入力根拠'!F50</f>
        <v>268854.0</v>
      </c>
      <c r="K18" s="17">
        <f>'入力根拠'!H472</f>
        <v>1.3</v>
      </c>
      <c r="L18" s="18"/>
      <c r="M18" s="19">
        <v>133</v>
      </c>
      <c r="N18" s="14">
        <f>J18</f>
        <v>268854.0</v>
      </c>
      <c r="O18" s="20"/>
      <c r="P18" s="21"/>
      <c r="Q18" s="14">
        <f>'入力根拠'!F59</f>
        <v>403280.0</v>
      </c>
      <c r="R18" s="17">
        <f>'入力根拠'!H500</f>
        <v>1.3</v>
      </c>
      <c r="S18" s="18"/>
      <c r="T18" s="19">
        <v>158</v>
      </c>
      <c r="U18" s="14">
        <f>Q18</f>
        <v>403280.0</v>
      </c>
    </row>
    <row r="19" spans="1:21" ht="21.75" customHeight="1">
      <c r="A19" s="20"/>
      <c r="B19" s="21"/>
      <c r="C19" s="14">
        <f>'入力根拠'!F43</f>
        <v>403280.0</v>
      </c>
      <c r="D19" s="17">
        <f>'入力根拠'!H447</f>
        <v>1.3</v>
      </c>
      <c r="E19" s="18"/>
      <c r="F19" s="19">
        <v>109</v>
      </c>
      <c r="G19" s="14">
        <f>C19</f>
        <v>403280.0</v>
      </c>
      <c r="H19" s="20"/>
      <c r="I19" s="21"/>
      <c r="J19" s="14">
        <f>'入力根拠'!F50</f>
        <v>268854.0</v>
      </c>
      <c r="K19" s="17">
        <f>'入力根拠'!H473</f>
        <v>1.3</v>
      </c>
      <c r="L19" s="18"/>
      <c r="M19" s="19">
        <v>134</v>
      </c>
      <c r="N19" s="14">
        <f>J19</f>
        <v>268854.0</v>
      </c>
      <c r="O19" s="20"/>
      <c r="P19" s="21"/>
      <c r="Q19" s="14">
        <f>'入力根拠'!F59</f>
        <v>403280.0</v>
      </c>
      <c r="R19" s="17">
        <f>'入力根拠'!H501</f>
        <v>1.3</v>
      </c>
      <c r="S19" s="18"/>
      <c r="T19" s="19">
        <v>159</v>
      </c>
      <c r="U19" s="14">
        <f>Q19</f>
        <v>403280.0</v>
      </c>
    </row>
    <row r="20" spans="1:21" ht="21.75" customHeight="1">
      <c r="A20" s="20"/>
      <c r="B20" s="21"/>
      <c r="C20" s="14">
        <f>'入力根拠'!F43</f>
        <v>403280.0</v>
      </c>
      <c r="D20" s="17">
        <f>'入力根拠'!H448</f>
        <v>1.3</v>
      </c>
      <c r="E20" s="18"/>
      <c r="F20" s="19">
        <v>110</v>
      </c>
      <c r="G20" s="14">
        <f>C20</f>
        <v>403280.0</v>
      </c>
      <c r="H20" s="20"/>
      <c r="I20" s="21"/>
      <c r="J20" s="14">
        <f>'入力根拠'!F50</f>
        <v>268854.0</v>
      </c>
      <c r="K20" s="17">
        <f>'入力根拠'!H476</f>
        <v>1.3</v>
      </c>
      <c r="L20" s="18"/>
      <c r="M20" s="19">
        <v>135</v>
      </c>
      <c r="N20" s="14">
        <f>J20</f>
        <v>268854.0</v>
      </c>
      <c r="O20" s="20"/>
      <c r="P20" s="21"/>
      <c r="Q20" s="14">
        <f>'入力根拠'!F59</f>
        <v>403280.0</v>
      </c>
      <c r="R20" s="17">
        <f>'入力根拠'!H502</f>
        <v>1.3</v>
      </c>
      <c r="S20" s="18"/>
      <c r="T20" s="19">
        <v>160</v>
      </c>
      <c r="U20" s="14">
        <f>Q20</f>
        <v>403280.0</v>
      </c>
    </row>
    <row r="21" spans="1:21" ht="21.75" customHeight="1">
      <c r="A21" s="20"/>
      <c r="B21" s="21"/>
      <c r="C21" s="14">
        <f>'入力根拠'!F43</f>
        <v>403280.0</v>
      </c>
      <c r="D21" s="17">
        <f>'入力根拠'!H449</f>
        <v>1.3</v>
      </c>
      <c r="E21" s="18"/>
      <c r="F21" s="19">
        <v>111</v>
      </c>
      <c r="G21" s="14">
        <f>C21</f>
        <v>403280.0</v>
      </c>
      <c r="H21" s="20"/>
      <c r="I21" s="21"/>
      <c r="J21" s="14">
        <f>'入力根拠'!F50</f>
        <v>268854.0</v>
      </c>
      <c r="K21" s="17">
        <f>'入力根拠'!H477</f>
        <v>1.3</v>
      </c>
      <c r="L21" s="18"/>
      <c r="M21" s="19">
        <v>136</v>
      </c>
      <c r="N21" s="14">
        <f>J21</f>
        <v>268854.0</v>
      </c>
      <c r="O21" s="20"/>
      <c r="P21" s="21"/>
      <c r="Q21" s="14">
        <f>'入力根拠'!F59</f>
        <v>403280.0</v>
      </c>
      <c r="R21" s="17">
        <f>'入力根拠'!H503</f>
        <v>1.3</v>
      </c>
      <c r="S21" s="18"/>
      <c r="T21" s="19">
        <v>161</v>
      </c>
      <c r="U21" s="14">
        <f>Q21</f>
        <v>403280.0</v>
      </c>
    </row>
    <row r="22" spans="1:21" ht="21.75" customHeight="1">
      <c r="A22" s="20"/>
      <c r="B22" s="21"/>
      <c r="C22" s="14">
        <f>'入力根拠'!F43</f>
        <v>403280.0</v>
      </c>
      <c r="D22" s="22">
        <f>'入力根拠'!H450</f>
        <v>1.3</v>
      </c>
      <c r="E22" s="23">
        <f>MAX(0,ROUND((MIN('入力根拠'!G450,'入力根拠'!F413)-MAX('入力根拠'!F450,'入力根拠'!E413)),4))</f>
        <v>0.2</v>
      </c>
      <c r="F22" s="24">
        <v>112</v>
      </c>
      <c r="G22" s="15">
        <f>(SUM((C22*E22),(C23*E23))/D22)</f>
        <v>225971.00000000003</v>
      </c>
      <c r="H22" s="20"/>
      <c r="I22" s="21"/>
      <c r="J22" s="14">
        <f>'入力根拠'!F50</f>
        <v>268854.0</v>
      </c>
      <c r="K22" s="22">
        <f>'入力根拠'!H478</f>
        <v>1.3</v>
      </c>
      <c r="L22" s="23">
        <f>MAX(0,ROUND((MIN('入力根拠'!G478,'入力根拠'!F420)-MAX('入力根拠'!F478,'入力根拠'!E420)),4))</f>
        <v>0.2</v>
      </c>
      <c r="M22" s="24">
        <v>137</v>
      </c>
      <c r="N22" s="15">
        <f>(SUM((J22*L22),(J23*L23))/K22)</f>
        <v>150647.15384615384</v>
      </c>
      <c r="O22" s="20"/>
      <c r="P22" s="21"/>
      <c r="Q22" s="14">
        <f>'入力根拠'!F59</f>
        <v>403280.0</v>
      </c>
      <c r="R22" s="22">
        <f>'入力根拠'!H504</f>
        <v>1.3</v>
      </c>
      <c r="S22" s="23">
        <f>MAX(0,ROUND((MIN('入力根拠'!G504,'入力根拠'!F429)-MAX('入力根拠'!F504,'入力根拠'!E429)),4))</f>
        <v>0.2</v>
      </c>
      <c r="T22" s="24">
        <v>162</v>
      </c>
      <c r="U22" s="15">
        <f>(SUM((Q22*S22),(Q23*S23))/R22)</f>
        <v>225971.00000000003</v>
      </c>
    </row>
    <row r="23" spans="1:21" ht="21.75" customHeight="1">
      <c r="A23" s="15">
        <v>7</v>
      </c>
      <c r="B23" s="16">
        <f>'入力根拠'!G414</f>
        <v>12.6</v>
      </c>
      <c r="C23" s="14">
        <f>'入力根拠'!F44</f>
        <v>193733.0</v>
      </c>
      <c r="D23" s="25"/>
      <c r="E23" s="26">
        <f>MAX(0,ROUND((MIN('入力根拠'!G450,'入力根拠'!F414)-MAX('入力根拠'!F450,'入力根拠'!E414)),4))</f>
        <v>1.1</v>
      </c>
      <c r="F23" s="27"/>
      <c r="G23" s="28"/>
      <c r="H23" s="15">
        <v>7</v>
      </c>
      <c r="I23" s="16">
        <f>'入力根拠'!G421</f>
        <v>12.6</v>
      </c>
      <c r="J23" s="14">
        <f>'入力根拠'!F51</f>
        <v>129155.0</v>
      </c>
      <c r="K23" s="25"/>
      <c r="L23" s="26">
        <f>MAX(0,ROUND((MIN('入力根拠'!G478,'入力根拠'!F421)-MAX('入力根拠'!F478,'入力根拠'!E421)),4))</f>
        <v>1.1</v>
      </c>
      <c r="M23" s="27"/>
      <c r="N23" s="28"/>
      <c r="O23" s="15">
        <v>7</v>
      </c>
      <c r="P23" s="16">
        <f>'入力根拠'!G430</f>
        <v>12.6</v>
      </c>
      <c r="Q23" s="14">
        <f>'入力根拠'!F60</f>
        <v>193733.0</v>
      </c>
      <c r="R23" s="25"/>
      <c r="S23" s="26">
        <f>MAX(0,ROUND((MIN('入力根拠'!G504,'入力根拠'!F430)-MAX('入力根拠'!F504,'入力根拠'!E430)),4))</f>
        <v>1.1</v>
      </c>
      <c r="T23" s="27"/>
      <c r="U23" s="28"/>
    </row>
    <row r="24" spans="1:21" ht="21.75" customHeight="1">
      <c r="A24" s="20"/>
      <c r="B24" s="21"/>
      <c r="C24" s="14">
        <f>'入力根拠'!F44</f>
        <v>193733.0</v>
      </c>
      <c r="D24" s="17">
        <f>'入力根拠'!H451</f>
        <v>1.3</v>
      </c>
      <c r="E24" s="18"/>
      <c r="F24" s="19">
        <v>113</v>
      </c>
      <c r="G24" s="14">
        <f>C24</f>
        <v>193733.0</v>
      </c>
      <c r="H24" s="20"/>
      <c r="I24" s="21"/>
      <c r="J24" s="14">
        <f>'入力根拠'!F51</f>
        <v>129155.0</v>
      </c>
      <c r="K24" s="17">
        <f>'入力根拠'!H479</f>
        <v>1.3</v>
      </c>
      <c r="L24" s="18"/>
      <c r="M24" s="19">
        <v>138</v>
      </c>
      <c r="N24" s="14">
        <f>J24</f>
        <v>129155.0</v>
      </c>
      <c r="O24" s="20"/>
      <c r="P24" s="21"/>
      <c r="Q24" s="14">
        <f>'入力根拠'!F60</f>
        <v>193733.0</v>
      </c>
      <c r="R24" s="17">
        <f>'入力根拠'!H505</f>
        <v>1.3</v>
      </c>
      <c r="S24" s="18"/>
      <c r="T24" s="19">
        <v>163</v>
      </c>
      <c r="U24" s="14">
        <f>Q24</f>
        <v>193733.0</v>
      </c>
    </row>
    <row r="25" spans="1:21" ht="21.75" customHeight="1">
      <c r="A25" s="20"/>
      <c r="B25" s="21"/>
      <c r="C25" s="14">
        <f>'入力根拠'!F44</f>
        <v>193733.0</v>
      </c>
      <c r="D25" s="17">
        <f>'入力根拠'!H452</f>
        <v>1.3</v>
      </c>
      <c r="E25" s="18"/>
      <c r="F25" s="19">
        <v>114</v>
      </c>
      <c r="G25" s="14">
        <f>C25</f>
        <v>193733.0</v>
      </c>
      <c r="H25" s="20"/>
      <c r="I25" s="21"/>
      <c r="J25" s="14">
        <f>'入力根拠'!F51</f>
        <v>129155.0</v>
      </c>
      <c r="K25" s="17">
        <f>'入力根拠'!H480</f>
        <v>1.3</v>
      </c>
      <c r="L25" s="18"/>
      <c r="M25" s="19">
        <v>139</v>
      </c>
      <c r="N25" s="14">
        <f>J25</f>
        <v>129155.0</v>
      </c>
      <c r="O25" s="20"/>
      <c r="P25" s="21"/>
      <c r="Q25" s="14">
        <f>'入力根拠'!F60</f>
        <v>193733.0</v>
      </c>
      <c r="R25" s="17">
        <f>'入力根拠'!H506</f>
        <v>1.3</v>
      </c>
      <c r="S25" s="18"/>
      <c r="T25" s="19">
        <v>164</v>
      </c>
      <c r="U25" s="14">
        <f>Q25</f>
        <v>193733.0</v>
      </c>
    </row>
    <row r="26" spans="1:21" ht="21.75" customHeight="1">
      <c r="A26" s="20"/>
      <c r="B26" s="21"/>
      <c r="C26" s="14">
        <f>'入力根拠'!F44</f>
        <v>193733.0</v>
      </c>
      <c r="D26" s="17">
        <f>'入力根拠'!H453</f>
        <v>1.3</v>
      </c>
      <c r="E26" s="18"/>
      <c r="F26" s="19">
        <v>115</v>
      </c>
      <c r="G26" s="14">
        <f>C26</f>
        <v>193733.0</v>
      </c>
      <c r="H26" s="20"/>
      <c r="I26" s="21"/>
      <c r="J26" s="14">
        <f>'入力根拠'!F51</f>
        <v>129155.0</v>
      </c>
      <c r="K26" s="17">
        <f>'入力根拠'!H481</f>
        <v>1.3</v>
      </c>
      <c r="L26" s="18"/>
      <c r="M26" s="19">
        <v>140</v>
      </c>
      <c r="N26" s="14">
        <f>J26</f>
        <v>129155.0</v>
      </c>
      <c r="O26" s="20"/>
      <c r="P26" s="21"/>
      <c r="Q26" s="14">
        <f>'入力根拠'!F60</f>
        <v>193733.0</v>
      </c>
      <c r="R26" s="17">
        <f>'入力根拠'!H507</f>
        <v>1.3</v>
      </c>
      <c r="S26" s="18"/>
      <c r="T26" s="19">
        <v>165</v>
      </c>
      <c r="U26" s="14">
        <f>Q26</f>
        <v>193733.0</v>
      </c>
    </row>
    <row r="27" spans="1:21" ht="21.75" customHeight="1">
      <c r="A27" s="20"/>
      <c r="B27" s="21"/>
      <c r="C27" s="14">
        <f>'入力根拠'!F44</f>
        <v>193733.0</v>
      </c>
      <c r="D27" s="17">
        <f>'入力根拠'!H454</f>
        <v>1.3</v>
      </c>
      <c r="E27" s="18"/>
      <c r="F27" s="19">
        <v>116</v>
      </c>
      <c r="G27" s="14">
        <f>C27</f>
        <v>193733.0</v>
      </c>
      <c r="H27" s="20"/>
      <c r="I27" s="21"/>
      <c r="J27" s="14">
        <f>'入力根拠'!F51</f>
        <v>129155.0</v>
      </c>
      <c r="K27" s="17">
        <f>'入力根拠'!H482</f>
        <v>1.3</v>
      </c>
      <c r="L27" s="18"/>
      <c r="M27" s="19">
        <v>141</v>
      </c>
      <c r="N27" s="14">
        <f>J27</f>
        <v>129155.0</v>
      </c>
      <c r="O27" s="20"/>
      <c r="P27" s="21"/>
      <c r="Q27" s="14">
        <f>'入力根拠'!F60</f>
        <v>193733.0</v>
      </c>
      <c r="R27" s="17">
        <f>'入力根拠'!H510</f>
        <v>1.3</v>
      </c>
      <c r="S27" s="18"/>
      <c r="T27" s="19">
        <v>166</v>
      </c>
      <c r="U27" s="14">
        <f>Q27</f>
        <v>193733.0</v>
      </c>
    </row>
    <row r="28" spans="1:21" ht="21.75" customHeight="1">
      <c r="A28" s="20"/>
      <c r="B28" s="21"/>
      <c r="C28" s="14">
        <f>'入力根拠'!F44</f>
        <v>193733.0</v>
      </c>
      <c r="D28" s="17">
        <f>'入力根拠'!H455</f>
        <v>1.3</v>
      </c>
      <c r="E28" s="18"/>
      <c r="F28" s="19">
        <v>117</v>
      </c>
      <c r="G28" s="14">
        <f>C28</f>
        <v>193733.0</v>
      </c>
      <c r="H28" s="20"/>
      <c r="I28" s="21"/>
      <c r="J28" s="14">
        <f>'入力根拠'!F51</f>
        <v>129155.0</v>
      </c>
      <c r="K28" s="17">
        <f>'入力根拠'!H483</f>
        <v>1.3</v>
      </c>
      <c r="L28" s="18"/>
      <c r="M28" s="19">
        <v>142</v>
      </c>
      <c r="N28" s="14">
        <f>J28</f>
        <v>129155.0</v>
      </c>
      <c r="O28" s="20"/>
      <c r="P28" s="21"/>
      <c r="Q28" s="14">
        <f>'入力根拠'!F60</f>
        <v>193733.0</v>
      </c>
      <c r="R28" s="17">
        <f>'入力根拠'!H511</f>
        <v>1.3</v>
      </c>
      <c r="S28" s="18"/>
      <c r="T28" s="19">
        <v>167</v>
      </c>
      <c r="U28" s="14">
        <f>Q28</f>
        <v>193733.0</v>
      </c>
    </row>
    <row r="29" spans="1:21" ht="21.75" customHeight="1">
      <c r="A29" s="20"/>
      <c r="B29" s="21"/>
      <c r="C29" s="14">
        <f>'入力根拠'!F44</f>
        <v>193733.0</v>
      </c>
      <c r="D29" s="17">
        <f>'入力根拠'!H456</f>
        <v>1.3</v>
      </c>
      <c r="E29" s="18"/>
      <c r="F29" s="19">
        <v>118</v>
      </c>
      <c r="G29" s="14">
        <f>C29</f>
        <v>193733.0</v>
      </c>
      <c r="H29" s="20"/>
      <c r="I29" s="21"/>
      <c r="J29" s="14">
        <f>'入力根拠'!F51</f>
        <v>129155.0</v>
      </c>
      <c r="K29" s="17">
        <f>'入力根拠'!H484</f>
        <v>1.3</v>
      </c>
      <c r="L29" s="18"/>
      <c r="M29" s="19">
        <v>143</v>
      </c>
      <c r="N29" s="14">
        <f>J29</f>
        <v>129155.0</v>
      </c>
      <c r="O29" s="20"/>
      <c r="P29" s="21"/>
      <c r="Q29" s="14">
        <f>'入力根拠'!F60</f>
        <v>193733.0</v>
      </c>
      <c r="R29" s="17">
        <f>'入力根拠'!H512</f>
        <v>1.3</v>
      </c>
      <c r="S29" s="18"/>
      <c r="T29" s="19">
        <v>168</v>
      </c>
      <c r="U29" s="14">
        <f>Q29</f>
        <v>193733.0</v>
      </c>
    </row>
    <row r="30" spans="1:21" ht="21.75" customHeight="1">
      <c r="A30" s="20"/>
      <c r="B30" s="21"/>
      <c r="C30" s="14">
        <f>'入力根拠'!F44</f>
        <v>193733.0</v>
      </c>
      <c r="D30" s="17">
        <f>'入力根拠'!H459</f>
        <v>1.3</v>
      </c>
      <c r="E30" s="18"/>
      <c r="F30" s="19">
        <v>119</v>
      </c>
      <c r="G30" s="14">
        <f>C30</f>
        <v>193733.0</v>
      </c>
      <c r="H30" s="20"/>
      <c r="I30" s="21"/>
      <c r="J30" s="14">
        <f>'入力根拠'!F51</f>
        <v>129155.0</v>
      </c>
      <c r="K30" s="17">
        <f>'入力根拠'!H485</f>
        <v>1.3</v>
      </c>
      <c r="L30" s="18"/>
      <c r="M30" s="19">
        <v>144</v>
      </c>
      <c r="N30" s="14">
        <f>J30</f>
        <v>129155.0</v>
      </c>
      <c r="O30" s="20"/>
      <c r="P30" s="21"/>
      <c r="Q30" s="14">
        <f>'入力根拠'!F60</f>
        <v>193733.0</v>
      </c>
      <c r="R30" s="17">
        <f>'入力根拠'!H513</f>
        <v>1.3</v>
      </c>
      <c r="S30" s="18"/>
      <c r="T30" s="19">
        <v>169</v>
      </c>
      <c r="U30" s="14">
        <f>Q30</f>
        <v>193733.0</v>
      </c>
    </row>
    <row r="31" spans="1:21" ht="21.75" customHeight="1">
      <c r="A31" s="20"/>
      <c r="B31" s="21"/>
      <c r="C31" s="14">
        <f>'入力根拠'!F44</f>
        <v>193733.0</v>
      </c>
      <c r="D31" s="17">
        <f>'入力根拠'!H460</f>
        <v>1.3</v>
      </c>
      <c r="E31" s="18"/>
      <c r="F31" s="19">
        <v>120</v>
      </c>
      <c r="G31" s="14">
        <f>C31</f>
        <v>193733.0</v>
      </c>
      <c r="H31" s="20"/>
      <c r="I31" s="21"/>
      <c r="J31" s="14">
        <f>'入力根拠'!F51</f>
        <v>129155.0</v>
      </c>
      <c r="K31" s="17">
        <f>'入力根拠'!H486</f>
        <v>1.3</v>
      </c>
      <c r="L31" s="18"/>
      <c r="M31" s="19">
        <v>145</v>
      </c>
      <c r="N31" s="14">
        <f>J31</f>
        <v>129155.0</v>
      </c>
      <c r="O31" s="20"/>
      <c r="P31" s="21"/>
      <c r="Q31" s="14">
        <f>'入力根拠'!F60</f>
        <v>193733.0</v>
      </c>
      <c r="R31" s="17">
        <f>'入力根拠'!H514</f>
        <v>1.3</v>
      </c>
      <c r="S31" s="18"/>
      <c r="T31" s="19">
        <v>170</v>
      </c>
      <c r="U31" s="14">
        <f>Q31</f>
        <v>193733.0</v>
      </c>
    </row>
    <row r="32" spans="1:21" ht="21.75" customHeight="1">
      <c r="A32" s="28"/>
      <c r="B32" s="32"/>
      <c r="C32" s="14">
        <f>'入力根拠'!F44</f>
        <v>193733.0</v>
      </c>
      <c r="D32" s="17">
        <f>'入力根拠'!H461</f>
        <v>1.1</v>
      </c>
      <c r="E32" s="18"/>
      <c r="F32" s="19">
        <v>121</v>
      </c>
      <c r="G32" s="14">
        <f>C32</f>
        <v>193733.0</v>
      </c>
      <c r="H32" s="28"/>
      <c r="I32" s="32"/>
      <c r="J32" s="14">
        <f>'入力根拠'!F51</f>
        <v>129155.0</v>
      </c>
      <c r="K32" s="17">
        <f>'入力根拠'!H487</f>
        <v>1.1</v>
      </c>
      <c r="L32" s="18"/>
      <c r="M32" s="19">
        <v>146</v>
      </c>
      <c r="N32" s="14">
        <f>J32</f>
        <v>129155.0</v>
      </c>
      <c r="O32" s="28"/>
      <c r="P32" s="32"/>
      <c r="Q32" s="14">
        <f>'入力根拠'!F60</f>
        <v>193733.0</v>
      </c>
      <c r="R32" s="17">
        <f>'入力根拠'!H515</f>
        <v>1.1</v>
      </c>
      <c r="S32" s="18"/>
      <c r="T32" s="19">
        <v>171</v>
      </c>
      <c r="U32" s="14">
        <f>Q32</f>
        <v>193733.0</v>
      </c>
    </row>
    <row r="33" spans="1:21" ht="21.75" customHeight="1">
      <c r="A33" s="14" t="s">
        <v>130</v>
      </c>
      <c r="B33" s="33">
        <f>SUM(B3,B5,B7,B10,B13,B14,B23)</f>
        <v>31.0</v>
      </c>
      <c r="C33" s="14"/>
      <c r="D33" s="17">
        <f>SUM(D3,D4,D6,D8,D9,D11,D12,D15,D16,D17,D18,D19,D20,D21,D22,D24,D25,D26,D27,D28,D29,D30,D31,D32)</f>
        <v>31.0</v>
      </c>
      <c r="E33" s="34"/>
      <c r="F33" s="14"/>
      <c r="G33" s="14"/>
      <c r="H33" s="14" t="s">
        <v>130</v>
      </c>
      <c r="I33" s="33">
        <f>SUM(I3,I5,I7,I10,I13,I14,I23)</f>
        <v>31.0</v>
      </c>
      <c r="J33" s="14"/>
      <c r="K33" s="17">
        <f>SUM(K3,K4,K6,K8,K9,K11,K12,K15,K16,K17,K18,K19,K20,K21,K22,K24,K25,K26,K27,K28,K29,K30,K31,K32)</f>
        <v>31.0</v>
      </c>
      <c r="L33" s="34"/>
      <c r="M33" s="14"/>
      <c r="N33" s="14"/>
      <c r="O33" s="14" t="s">
        <v>130</v>
      </c>
      <c r="P33" s="33">
        <f>SUM(P3,P5,P7,P10,P13,P14,P23)</f>
        <v>31.0</v>
      </c>
      <c r="Q33" s="14"/>
      <c r="R33" s="17">
        <f>SUM(R3,R4,R6,R8,R9,R11,R12,R15,R16,R17,R18,R19,R20,R21,R22,R24,R25,R26,R27,R28,R29,R30,R31,R32)</f>
        <v>31.0</v>
      </c>
      <c r="S33" s="34"/>
      <c r="T33" s="14"/>
      <c r="U33" s="14"/>
    </row>
    <row r="34" spans="1:21" ht="23.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L54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131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8</v>
      </c>
      <c r="B7" s="4" t="s">
        <v>132</v>
      </c>
      <c r="C7" s="4" t="s">
        <v>10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4" t="s">
        <v>138</v>
      </c>
      <c r="J7" s="4" t="s">
        <v>139</v>
      </c>
      <c r="K7" s="4" t="s">
        <v>140</v>
      </c>
    </row>
    <row r="8" spans="1:12" ht="23" customHeight="1">
      <c r="A8" s="6">
        <v>4</v>
      </c>
      <c r="B8" s="6">
        <v>1</v>
      </c>
      <c r="C8" s="6">
        <v>98</v>
      </c>
      <c r="D8" s="9" t="s">
        <v>141</v>
      </c>
      <c r="E8" s="6">
        <v>3</v>
      </c>
      <c r="F8" s="11">
        <f>ROUND(F277,1)</f>
        <v>1162.9</v>
      </c>
      <c r="G8" s="8">
        <v>1162.9</v>
      </c>
      <c r="H8" s="9">
        <f>(F8-G8)</f>
        <v>0.0</v>
      </c>
      <c r="I8" s="11">
        <f>ROUND(G277,1)</f>
        <v>1307.5</v>
      </c>
      <c r="J8" s="8">
        <v>1307.5</v>
      </c>
      <c r="K8" s="9">
        <f>(I8-J8)</f>
        <v>0.0</v>
      </c>
    </row>
    <row r="9" spans="1:12" ht="23" customHeight="1">
      <c r="A9" s="6">
        <v>4</v>
      </c>
      <c r="B9" s="6">
        <v>1</v>
      </c>
      <c r="C9" s="6">
        <v>99</v>
      </c>
      <c r="D9" s="9" t="s">
        <v>142</v>
      </c>
      <c r="E9" s="6">
        <v>3</v>
      </c>
      <c r="F9" s="6">
        <f>ROUND((SUM(I278,I279)/H92),1)</f>
        <v>1989.0</v>
      </c>
      <c r="G9" s="7">
        <v>1989</v>
      </c>
      <c r="H9" s="9">
        <f>(F9-G9)</f>
        <v>0.0</v>
      </c>
      <c r="I9" s="6">
        <f>ROUND((SUM(I278,I279)/H92),1)</f>
        <v>1989.0</v>
      </c>
      <c r="J9" s="7">
        <v>1989</v>
      </c>
      <c r="K9" s="9">
        <f>(I9-J9)</f>
        <v>0.0</v>
      </c>
    </row>
    <row r="10" spans="1:12" ht="23" customHeight="1">
      <c r="A10" s="6">
        <v>4</v>
      </c>
      <c r="B10" s="6">
        <v>1</v>
      </c>
      <c r="C10" s="6">
        <v>100</v>
      </c>
      <c r="D10" s="9" t="s">
        <v>142</v>
      </c>
      <c r="E10" s="6">
        <v>3</v>
      </c>
      <c r="F10" s="11">
        <f>ROUND((SUM(I280,I281)/H93),1)</f>
        <v>1826.6</v>
      </c>
      <c r="G10" s="8">
        <v>1826.6</v>
      </c>
      <c r="H10" s="9">
        <f>(F10-G10)</f>
        <v>0.0</v>
      </c>
      <c r="I10" s="11">
        <f>ROUND((SUM(I280,I281)/H93),1)</f>
        <v>1826.6</v>
      </c>
      <c r="J10" s="8">
        <v>1826.6</v>
      </c>
      <c r="K10" s="9">
        <f>(I10-J10)</f>
        <v>0.0</v>
      </c>
    </row>
    <row r="11" spans="1:12" ht="23" customHeight="1">
      <c r="A11" s="6">
        <v>4</v>
      </c>
      <c r="B11" s="6">
        <v>1</v>
      </c>
      <c r="C11" s="6">
        <v>101</v>
      </c>
      <c r="D11" s="9" t="s">
        <v>141</v>
      </c>
      <c r="E11" s="6">
        <v>3</v>
      </c>
      <c r="F11" s="6">
        <f>ROUND(F282,1)</f>
        <v>1755.0</v>
      </c>
      <c r="G11" s="7">
        <v>1755</v>
      </c>
      <c r="H11" s="9">
        <f>(F11-G11)</f>
        <v>0.0</v>
      </c>
      <c r="I11" s="6">
        <f>ROUND(G282,1)</f>
        <v>1755.0</v>
      </c>
      <c r="J11" s="7">
        <v>1755</v>
      </c>
      <c r="K11" s="9">
        <f>(I11-J11)</f>
        <v>0.0</v>
      </c>
    </row>
    <row r="12" spans="1:12" ht="23" customHeight="1">
      <c r="A12" s="6">
        <v>4</v>
      </c>
      <c r="B12" s="6">
        <v>1</v>
      </c>
      <c r="C12" s="6">
        <v>102</v>
      </c>
      <c r="D12" s="9" t="s">
        <v>142</v>
      </c>
      <c r="E12" s="6">
        <v>3</v>
      </c>
      <c r="F12" s="11">
        <f>ROUND((SUM(I283,I284)/H95),1)</f>
        <v>2158.6</v>
      </c>
      <c r="G12" s="8">
        <v>2158.6</v>
      </c>
      <c r="H12" s="9">
        <f>(F12-G12)</f>
        <v>0.0</v>
      </c>
      <c r="I12" s="11">
        <f>ROUND((SUM(I283,I284)/H95),1)</f>
        <v>2158.6</v>
      </c>
      <c r="J12" s="8">
        <v>2158.6</v>
      </c>
      <c r="K12" s="9">
        <f>(I12-J12)</f>
        <v>0.0</v>
      </c>
    </row>
    <row r="13" spans="1:12" ht="23" customHeight="1">
      <c r="A13" s="6">
        <v>4</v>
      </c>
      <c r="B13" s="6">
        <v>1</v>
      </c>
      <c r="C13" s="6">
        <v>103</v>
      </c>
      <c r="D13" s="9" t="s">
        <v>141</v>
      </c>
      <c r="E13" s="6">
        <v>3</v>
      </c>
      <c r="F13" s="11">
        <f>ROUND(F285,1)</f>
        <v>2472.8</v>
      </c>
      <c r="G13" s="8">
        <v>2472.8</v>
      </c>
      <c r="H13" s="9">
        <f>(F13-G13)</f>
        <v>0.0</v>
      </c>
      <c r="I13" s="11">
        <f>ROUND(G285,1)</f>
        <v>2673.7</v>
      </c>
      <c r="J13" s="8">
        <v>2673.7</v>
      </c>
      <c r="K13" s="9">
        <f>(I13-J13)</f>
        <v>0.0</v>
      </c>
    </row>
    <row r="14" spans="1:12" ht="23" customHeight="1">
      <c r="A14" s="6">
        <v>4</v>
      </c>
      <c r="B14" s="6">
        <v>1</v>
      </c>
      <c r="C14" s="6">
        <v>104</v>
      </c>
      <c r="D14" s="9" t="s">
        <v>142</v>
      </c>
      <c r="E14" s="6">
        <v>3</v>
      </c>
      <c r="F14" s="11">
        <f>ROUND((SUM(I286,I287,I288)/H97),1)</f>
        <v>4642.1</v>
      </c>
      <c r="G14" s="8">
        <v>4642.1</v>
      </c>
      <c r="H14" s="9">
        <f>(F14-G14)</f>
        <v>0.0</v>
      </c>
      <c r="I14" s="11">
        <f>ROUND((SUM(I286,I287,I288)/H97),1)</f>
        <v>4642.1</v>
      </c>
      <c r="J14" s="8">
        <v>4642.1</v>
      </c>
      <c r="K14" s="9">
        <f>(I14-J14)</f>
        <v>0.0</v>
      </c>
    </row>
    <row r="15" spans="1:12" ht="23" customHeight="1">
      <c r="A15" s="6">
        <v>4</v>
      </c>
      <c r="B15" s="6">
        <v>1</v>
      </c>
      <c r="C15" s="6">
        <v>105</v>
      </c>
      <c r="D15" s="9" t="s">
        <v>141</v>
      </c>
      <c r="E15" s="6">
        <v>3</v>
      </c>
      <c r="F15" s="11">
        <f>ROUND(F289,1)</f>
        <v>2980.8</v>
      </c>
      <c r="G15" s="8">
        <v>2980.8</v>
      </c>
      <c r="H15" s="9">
        <f>(F15-G15)</f>
        <v>0.0</v>
      </c>
      <c r="I15" s="11">
        <f>ROUND(G289,1)</f>
        <v>3190.7</v>
      </c>
      <c r="J15" s="8">
        <v>3190.7</v>
      </c>
      <c r="K15" s="9">
        <f>(I15-J15)</f>
        <v>0.0</v>
      </c>
    </row>
    <row r="16" spans="1:12" ht="23" customHeight="1">
      <c r="A16" s="6">
        <v>4</v>
      </c>
      <c r="B16" s="6">
        <v>1</v>
      </c>
      <c r="C16" s="6">
        <v>106</v>
      </c>
      <c r="D16" s="9" t="s">
        <v>141</v>
      </c>
      <c r="E16" s="6">
        <v>3</v>
      </c>
      <c r="F16" s="11">
        <f>ROUND(F290,1)</f>
        <v>3190.7</v>
      </c>
      <c r="G16" s="8">
        <v>3190.7</v>
      </c>
      <c r="H16" s="9">
        <f>(F16-G16)</f>
        <v>0.0</v>
      </c>
      <c r="I16" s="11">
        <f>ROUND(G290,1)</f>
        <v>3400.6</v>
      </c>
      <c r="J16" s="8">
        <v>3400.6</v>
      </c>
      <c r="K16" s="9">
        <f>(I16-J16)</f>
        <v>0.0</v>
      </c>
    </row>
    <row r="17" spans="1:12" ht="23" customHeight="1">
      <c r="A17" s="6">
        <v>4</v>
      </c>
      <c r="B17" s="6">
        <v>1</v>
      </c>
      <c r="C17" s="6">
        <v>107</v>
      </c>
      <c r="D17" s="9" t="s">
        <v>141</v>
      </c>
      <c r="E17" s="6">
        <v>3</v>
      </c>
      <c r="F17" s="11">
        <f>ROUND(F293,1)</f>
        <v>3400.6</v>
      </c>
      <c r="G17" s="8">
        <v>3400.6</v>
      </c>
      <c r="H17" s="9">
        <f>(F17-G17)</f>
        <v>0.0</v>
      </c>
      <c r="I17" s="11">
        <f>ROUND(G293,1)</f>
        <v>3610.5</v>
      </c>
      <c r="J17" s="8">
        <v>3610.5</v>
      </c>
      <c r="K17" s="9">
        <f>(I17-J17)</f>
        <v>0.0</v>
      </c>
    </row>
    <row r="18" spans="1:12" ht="23" customHeight="1">
      <c r="A18" s="6">
        <v>4</v>
      </c>
      <c r="B18" s="6">
        <v>1</v>
      </c>
      <c r="C18" s="6">
        <v>108</v>
      </c>
      <c r="D18" s="9" t="s">
        <v>141</v>
      </c>
      <c r="E18" s="6">
        <v>3</v>
      </c>
      <c r="F18" s="11">
        <f>ROUND(F294,1)</f>
        <v>3610.5</v>
      </c>
      <c r="G18" s="8">
        <v>3610.5</v>
      </c>
      <c r="H18" s="9">
        <f>(F18-G18)</f>
        <v>0.0</v>
      </c>
      <c r="I18" s="11">
        <f>ROUND(G294,1)</f>
        <v>3820.5</v>
      </c>
      <c r="J18" s="8">
        <v>3820.5</v>
      </c>
      <c r="K18" s="9">
        <f>(I18-J18)</f>
        <v>0.0</v>
      </c>
    </row>
    <row r="19" spans="1:12" ht="23" customHeight="1">
      <c r="A19" s="6">
        <v>4</v>
      </c>
      <c r="B19" s="6">
        <v>1</v>
      </c>
      <c r="C19" s="6">
        <v>109</v>
      </c>
      <c r="D19" s="9" t="s">
        <v>141</v>
      </c>
      <c r="E19" s="6">
        <v>3</v>
      </c>
      <c r="F19" s="11">
        <f>ROUND(F295,1)</f>
        <v>3820.5</v>
      </c>
      <c r="G19" s="8">
        <v>3820.5</v>
      </c>
      <c r="H19" s="9">
        <f>(F19-G19)</f>
        <v>0.0</v>
      </c>
      <c r="I19" s="11">
        <f>ROUND(G295,1)</f>
        <v>4030.4</v>
      </c>
      <c r="J19" s="8">
        <v>4030.4</v>
      </c>
      <c r="K19" s="9">
        <f>(I19-J19)</f>
        <v>0.0</v>
      </c>
    </row>
    <row r="20" spans="1:12" ht="23" customHeight="1">
      <c r="A20" s="6">
        <v>4</v>
      </c>
      <c r="B20" s="6">
        <v>1</v>
      </c>
      <c r="C20" s="6">
        <v>110</v>
      </c>
      <c r="D20" s="9" t="s">
        <v>141</v>
      </c>
      <c r="E20" s="6">
        <v>3</v>
      </c>
      <c r="F20" s="11">
        <f>ROUND(F296,1)</f>
        <v>4030.4</v>
      </c>
      <c r="G20" s="8">
        <v>4030.4</v>
      </c>
      <c r="H20" s="9">
        <f>(F20-G20)</f>
        <v>0.0</v>
      </c>
      <c r="I20" s="11">
        <f>ROUND(G296,1)</f>
        <v>4240.3</v>
      </c>
      <c r="J20" s="8">
        <v>4240.3</v>
      </c>
      <c r="K20" s="9">
        <f>(I20-J20)</f>
        <v>0.0</v>
      </c>
    </row>
    <row r="21" spans="1:12" ht="23" customHeight="1">
      <c r="A21" s="6">
        <v>4</v>
      </c>
      <c r="B21" s="6">
        <v>1</v>
      </c>
      <c r="C21" s="6">
        <v>111</v>
      </c>
      <c r="D21" s="9" t="s">
        <v>141</v>
      </c>
      <c r="E21" s="6">
        <v>3</v>
      </c>
      <c r="F21" s="11">
        <f>ROUND(F297,1)</f>
        <v>4240.3</v>
      </c>
      <c r="G21" s="8">
        <v>4240.3</v>
      </c>
      <c r="H21" s="9">
        <f>(F21-G21)</f>
        <v>0.0</v>
      </c>
      <c r="I21" s="11">
        <f>ROUND(G297,1)</f>
        <v>4450.2</v>
      </c>
      <c r="J21" s="8">
        <v>4450.2</v>
      </c>
      <c r="K21" s="9">
        <f>(I21-J21)</f>
        <v>0.0</v>
      </c>
    </row>
    <row r="22" spans="1:12" ht="24" customHeight="1">
      <c r="A22" s="3" t="s">
        <v>131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8</v>
      </c>
      <c r="B23" s="4" t="s">
        <v>132</v>
      </c>
      <c r="C23" s="4" t="s">
        <v>10</v>
      </c>
      <c r="D23" s="4" t="s">
        <v>133</v>
      </c>
      <c r="E23" s="4" t="s">
        <v>134</v>
      </c>
      <c r="F23" s="4" t="s">
        <v>135</v>
      </c>
      <c r="G23" s="4" t="s">
        <v>136</v>
      </c>
      <c r="H23" s="4" t="s">
        <v>137</v>
      </c>
      <c r="I23" s="4" t="s">
        <v>138</v>
      </c>
      <c r="J23" s="4" t="s">
        <v>139</v>
      </c>
      <c r="K23" s="4" t="s">
        <v>140</v>
      </c>
    </row>
    <row r="24" spans="1:12" ht="23" customHeight="1">
      <c r="A24" s="6">
        <v>4</v>
      </c>
      <c r="B24" s="6">
        <v>1</v>
      </c>
      <c r="C24" s="6">
        <v>112</v>
      </c>
      <c r="D24" s="9" t="s">
        <v>142</v>
      </c>
      <c r="E24" s="6">
        <v>3</v>
      </c>
      <c r="F24" s="11">
        <f>ROUND((SUM(I298,I299)/H105),1)</f>
        <v>3300.7</v>
      </c>
      <c r="G24" s="8">
        <v>3300.7</v>
      </c>
      <c r="H24" s="9">
        <f>(F24-G24)</f>
        <v>0.0</v>
      </c>
      <c r="I24" s="11">
        <f>ROUND((SUM(I298,I299)/H105),1)</f>
        <v>3300.7</v>
      </c>
      <c r="J24" s="8">
        <v>3300.7</v>
      </c>
      <c r="K24" s="9">
        <f>(I24-J24)</f>
        <v>0.0</v>
      </c>
    </row>
    <row r="25" spans="1:12" ht="23" customHeight="1">
      <c r="A25" s="6">
        <v>4</v>
      </c>
      <c r="B25" s="6">
        <v>1</v>
      </c>
      <c r="C25" s="6">
        <v>113</v>
      </c>
      <c r="D25" s="9" t="s">
        <v>141</v>
      </c>
      <c r="E25" s="6">
        <v>3</v>
      </c>
      <c r="F25" s="11">
        <f>ROUND(F300,1)</f>
        <v>3088.8</v>
      </c>
      <c r="G25" s="8">
        <v>3088.8</v>
      </c>
      <c r="H25" s="9">
        <f>(F25-G25)</f>
        <v>0.0</v>
      </c>
      <c r="I25" s="11">
        <f>ROUND(G300,1)</f>
        <v>3088.8</v>
      </c>
      <c r="J25" s="8">
        <v>3088.8</v>
      </c>
      <c r="K25" s="9">
        <f>(I25-J25)</f>
        <v>0.0</v>
      </c>
    </row>
    <row r="26" spans="1:12" ht="23" customHeight="1">
      <c r="A26" s="6">
        <v>4</v>
      </c>
      <c r="B26" s="6">
        <v>1</v>
      </c>
      <c r="C26" s="6">
        <v>114</v>
      </c>
      <c r="D26" s="9" t="s">
        <v>141</v>
      </c>
      <c r="E26" s="6">
        <v>3</v>
      </c>
      <c r="F26" s="11">
        <f>ROUND(F301,1)</f>
        <v>3088.8</v>
      </c>
      <c r="G26" s="8">
        <v>3088.8</v>
      </c>
      <c r="H26" s="9">
        <f>(F26-G26)</f>
        <v>0.0</v>
      </c>
      <c r="I26" s="11">
        <f>ROUND(G301,1)</f>
        <v>3088.8</v>
      </c>
      <c r="J26" s="8">
        <v>3088.8</v>
      </c>
      <c r="K26" s="9">
        <f>(I26-J26)</f>
        <v>0.0</v>
      </c>
    </row>
    <row r="27" spans="1:12" ht="23" customHeight="1">
      <c r="A27" s="6">
        <v>4</v>
      </c>
      <c r="B27" s="6">
        <v>1</v>
      </c>
      <c r="C27" s="6">
        <v>115</v>
      </c>
      <c r="D27" s="9" t="s">
        <v>141</v>
      </c>
      <c r="E27" s="6">
        <v>3</v>
      </c>
      <c r="F27" s="11">
        <f>ROUND(F302,1)</f>
        <v>3088.8</v>
      </c>
      <c r="G27" s="8">
        <v>3088.8</v>
      </c>
      <c r="H27" s="9">
        <f>(F27-G27)</f>
        <v>0.0</v>
      </c>
      <c r="I27" s="11">
        <f>ROUND(G302,1)</f>
        <v>3088.8</v>
      </c>
      <c r="J27" s="8">
        <v>3088.8</v>
      </c>
      <c r="K27" s="9">
        <f>(I27-J27)</f>
        <v>0.0</v>
      </c>
    </row>
    <row r="28" spans="1:12" ht="23" customHeight="1">
      <c r="A28" s="6">
        <v>4</v>
      </c>
      <c r="B28" s="6">
        <v>1</v>
      </c>
      <c r="C28" s="6">
        <v>116</v>
      </c>
      <c r="D28" s="9" t="s">
        <v>141</v>
      </c>
      <c r="E28" s="6">
        <v>3</v>
      </c>
      <c r="F28" s="11">
        <f>ROUND(F303,1)</f>
        <v>3088.8</v>
      </c>
      <c r="G28" s="8">
        <v>3088.8</v>
      </c>
      <c r="H28" s="9">
        <f>(F28-G28)</f>
        <v>0.0</v>
      </c>
      <c r="I28" s="11">
        <f>ROUND(G303,1)</f>
        <v>3088.8</v>
      </c>
      <c r="J28" s="8">
        <v>3088.8</v>
      </c>
      <c r="K28" s="9">
        <f>(I28-J28)</f>
        <v>0.0</v>
      </c>
    </row>
    <row r="29" spans="1:12" ht="23" customHeight="1">
      <c r="A29" s="6">
        <v>4</v>
      </c>
      <c r="B29" s="6">
        <v>1</v>
      </c>
      <c r="C29" s="6">
        <v>117</v>
      </c>
      <c r="D29" s="9" t="s">
        <v>141</v>
      </c>
      <c r="E29" s="6">
        <v>3</v>
      </c>
      <c r="F29" s="11">
        <f>ROUND(F304,1)</f>
        <v>3088.8</v>
      </c>
      <c r="G29" s="8">
        <v>3088.8</v>
      </c>
      <c r="H29" s="9">
        <f>(F29-G29)</f>
        <v>0.0</v>
      </c>
      <c r="I29" s="11">
        <f>ROUND(G304,1)</f>
        <v>3088.8</v>
      </c>
      <c r="J29" s="8">
        <v>3088.8</v>
      </c>
      <c r="K29" s="9">
        <f>(I29-J29)</f>
        <v>0.0</v>
      </c>
    </row>
    <row r="30" spans="1:12" ht="23" customHeight="1">
      <c r="A30" s="6">
        <v>4</v>
      </c>
      <c r="B30" s="6">
        <v>1</v>
      </c>
      <c r="C30" s="6">
        <v>118</v>
      </c>
      <c r="D30" s="9" t="s">
        <v>141</v>
      </c>
      <c r="E30" s="6">
        <v>3</v>
      </c>
      <c r="F30" s="11">
        <f>ROUND(F305,1)</f>
        <v>3088.8</v>
      </c>
      <c r="G30" s="8">
        <v>3088.8</v>
      </c>
      <c r="H30" s="9">
        <f>(F30-G30)</f>
        <v>0.0</v>
      </c>
      <c r="I30" s="11">
        <f>ROUND(G305,1)</f>
        <v>3088.8</v>
      </c>
      <c r="J30" s="8">
        <v>3088.8</v>
      </c>
      <c r="K30" s="9">
        <f>(I30-J30)</f>
        <v>0.0</v>
      </c>
    </row>
    <row r="31" spans="1:12" ht="23" customHeight="1">
      <c r="A31" s="6">
        <v>4</v>
      </c>
      <c r="B31" s="6">
        <v>1</v>
      </c>
      <c r="C31" s="6">
        <v>119</v>
      </c>
      <c r="D31" s="9" t="s">
        <v>141</v>
      </c>
      <c r="E31" s="6">
        <v>3</v>
      </c>
      <c r="F31" s="11">
        <f>ROUND(F306,1)</f>
        <v>3088.8</v>
      </c>
      <c r="G31" s="8">
        <v>3088.8</v>
      </c>
      <c r="H31" s="9">
        <f>(F31-G31)</f>
        <v>0.0</v>
      </c>
      <c r="I31" s="11">
        <f>ROUND(G306,1)</f>
        <v>3088.8</v>
      </c>
      <c r="J31" s="8">
        <v>3088.8</v>
      </c>
      <c r="K31" s="9">
        <f>(I31-J31)</f>
        <v>0.0</v>
      </c>
    </row>
    <row r="32" spans="1:12" ht="23" customHeight="1">
      <c r="A32" s="6">
        <v>4</v>
      </c>
      <c r="B32" s="6">
        <v>1</v>
      </c>
      <c r="C32" s="6">
        <v>120</v>
      </c>
      <c r="D32" s="9" t="s">
        <v>141</v>
      </c>
      <c r="E32" s="6">
        <v>3</v>
      </c>
      <c r="F32" s="11">
        <f>ROUND(F307,1)</f>
        <v>3088.8</v>
      </c>
      <c r="G32" s="8">
        <v>3088.8</v>
      </c>
      <c r="H32" s="9">
        <f>(F32-G32)</f>
        <v>0.0</v>
      </c>
      <c r="I32" s="11">
        <f>ROUND(G307,1)</f>
        <v>3088.8</v>
      </c>
      <c r="J32" s="8">
        <v>3088.8</v>
      </c>
      <c r="K32" s="9">
        <f>(I32-J32)</f>
        <v>0.0</v>
      </c>
    </row>
    <row r="33" spans="1:12" ht="23" customHeight="1">
      <c r="A33" s="6">
        <v>4</v>
      </c>
      <c r="B33" s="6">
        <v>1</v>
      </c>
      <c r="C33" s="6">
        <v>121</v>
      </c>
      <c r="D33" s="9" t="s">
        <v>141</v>
      </c>
      <c r="E33" s="6">
        <v>3</v>
      </c>
      <c r="F33" s="11">
        <f>ROUND(F310,1)</f>
        <v>3088.8</v>
      </c>
      <c r="G33" s="8">
        <v>3088.8</v>
      </c>
      <c r="H33" s="9">
        <f>(F33-G33)</f>
        <v>0.0</v>
      </c>
      <c r="I33" s="11">
        <f>ROUND(G310,1)</f>
        <v>3088.8</v>
      </c>
      <c r="J33" s="8">
        <v>3088.8</v>
      </c>
      <c r="K33" s="9">
        <f>(I33-J33)</f>
        <v>0.0</v>
      </c>
    </row>
    <row r="34" spans="1:12" ht="23" customHeight="1">
      <c r="A34" s="6">
        <v>5</v>
      </c>
      <c r="B34" s="6">
        <v>2</v>
      </c>
      <c r="C34" s="6">
        <v>123</v>
      </c>
      <c r="D34" s="9" t="s">
        <v>141</v>
      </c>
      <c r="E34" s="6">
        <v>2</v>
      </c>
      <c r="F34" s="11">
        <f>ROUND(F311,1)</f>
        <v>1005.1</v>
      </c>
      <c r="G34" s="8">
        <v>1005.1</v>
      </c>
      <c r="H34" s="9">
        <f>(F34-G34)</f>
        <v>0.0</v>
      </c>
      <c r="I34" s="11">
        <f>ROUND(G311,1)</f>
        <v>1130.1</v>
      </c>
      <c r="J34" s="8">
        <v>1130.1</v>
      </c>
      <c r="K34" s="9">
        <f>(I34-J34)</f>
        <v>0.0</v>
      </c>
    </row>
    <row r="35" spans="1:12" ht="23" customHeight="1">
      <c r="A35" s="6">
        <v>5</v>
      </c>
      <c r="B35" s="6">
        <v>2</v>
      </c>
      <c r="C35" s="6">
        <v>124</v>
      </c>
      <c r="D35" s="9" t="s">
        <v>142</v>
      </c>
      <c r="E35" s="6">
        <v>2</v>
      </c>
      <c r="F35" s="11">
        <f>ROUND((SUM(I312,I313)/H118),1)</f>
        <v>1719.1</v>
      </c>
      <c r="G35" s="8">
        <v>1719.1</v>
      </c>
      <c r="H35" s="9">
        <f>(F35-G35)</f>
        <v>0.0</v>
      </c>
      <c r="I35" s="11">
        <f>ROUND((SUM(I312,I313)/H118),1)</f>
        <v>1719.1</v>
      </c>
      <c r="J35" s="8">
        <v>1719.1</v>
      </c>
      <c r="K35" s="9">
        <f>(I35-J35)</f>
        <v>0.0</v>
      </c>
    </row>
    <row r="36" spans="1:12" ht="23" customHeight="1">
      <c r="A36" s="6">
        <v>5</v>
      </c>
      <c r="B36" s="6">
        <v>2</v>
      </c>
      <c r="C36" s="6">
        <v>125</v>
      </c>
      <c r="D36" s="9" t="s">
        <v>142</v>
      </c>
      <c r="E36" s="6">
        <v>2</v>
      </c>
      <c r="F36" s="11">
        <f>ROUND((SUM(I314,I315)/H119),1)</f>
        <v>1285.3</v>
      </c>
      <c r="G36" s="8">
        <v>1285.3</v>
      </c>
      <c r="H36" s="9">
        <f>(F36-G36)</f>
        <v>0.0</v>
      </c>
      <c r="I36" s="11">
        <f>ROUND((SUM(I314,I315)/H119),1)</f>
        <v>1285.3</v>
      </c>
      <c r="J36" s="8">
        <v>1285.3</v>
      </c>
      <c r="K36" s="9">
        <f>(I36-J36)</f>
        <v>0.0</v>
      </c>
    </row>
    <row r="37" spans="1:12" ht="23" customHeight="1">
      <c r="A37" s="6">
        <v>5</v>
      </c>
      <c r="B37" s="6">
        <v>2</v>
      </c>
      <c r="C37" s="6">
        <v>126</v>
      </c>
      <c r="D37" s="9" t="s">
        <v>141</v>
      </c>
      <c r="E37" s="6">
        <v>2</v>
      </c>
      <c r="F37" s="6">
        <f>ROUND(F316,1)</f>
        <v>1170.0</v>
      </c>
      <c r="G37" s="7">
        <v>1170</v>
      </c>
      <c r="H37" s="9">
        <f>(F37-G37)</f>
        <v>0.0</v>
      </c>
      <c r="I37" s="6">
        <f>ROUND(G316,1)</f>
        <v>1170.0</v>
      </c>
      <c r="J37" s="7">
        <v>1170</v>
      </c>
      <c r="K37" s="9">
        <f>(I37-J37)</f>
        <v>0.0</v>
      </c>
    </row>
    <row r="38" spans="1:12" ht="23" customHeight="1">
      <c r="A38" s="6">
        <v>5</v>
      </c>
      <c r="B38" s="6">
        <v>2</v>
      </c>
      <c r="C38" s="6">
        <v>127</v>
      </c>
      <c r="D38" s="9" t="s">
        <v>142</v>
      </c>
      <c r="E38" s="6">
        <v>2</v>
      </c>
      <c r="F38" s="11">
        <f>ROUND((SUM(I317,I318)/H121),1)</f>
        <v>1732.3</v>
      </c>
      <c r="G38" s="8">
        <v>1732.3</v>
      </c>
      <c r="H38" s="9">
        <f>(F38-G38)</f>
        <v>0.0</v>
      </c>
      <c r="I38" s="11">
        <f>ROUND((SUM(I317,I318)/H121),1)</f>
        <v>1732.3</v>
      </c>
      <c r="J38" s="8">
        <v>1732.3</v>
      </c>
      <c r="K38" s="9">
        <f>(I38-J38)</f>
        <v>0.0</v>
      </c>
    </row>
    <row r="39" spans="1:12" ht="24" customHeight="1">
      <c r="A39" s="3" t="s">
        <v>131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8</v>
      </c>
      <c r="B40" s="4" t="s">
        <v>132</v>
      </c>
      <c r="C40" s="4" t="s">
        <v>10</v>
      </c>
      <c r="D40" s="4" t="s">
        <v>133</v>
      </c>
      <c r="E40" s="4" t="s">
        <v>134</v>
      </c>
      <c r="F40" s="4" t="s">
        <v>135</v>
      </c>
      <c r="G40" s="4" t="s">
        <v>136</v>
      </c>
      <c r="H40" s="4" t="s">
        <v>137</v>
      </c>
      <c r="I40" s="4" t="s">
        <v>138</v>
      </c>
      <c r="J40" s="4" t="s">
        <v>139</v>
      </c>
      <c r="K40" s="4" t="s">
        <v>140</v>
      </c>
    </row>
    <row r="41" spans="1:12" ht="23" customHeight="1">
      <c r="A41" s="6">
        <v>5</v>
      </c>
      <c r="B41" s="6">
        <v>2</v>
      </c>
      <c r="C41" s="6">
        <v>128</v>
      </c>
      <c r="D41" s="9" t="s">
        <v>141</v>
      </c>
      <c r="E41" s="6">
        <v>2</v>
      </c>
      <c r="F41" s="11">
        <f>ROUND(F319,1)</f>
        <v>2137.2</v>
      </c>
      <c r="G41" s="8">
        <v>2137.2</v>
      </c>
      <c r="H41" s="9">
        <f>(F41-G41)</f>
        <v>0.0</v>
      </c>
      <c r="I41" s="11">
        <f>ROUND(G319,1)</f>
        <v>2310.9</v>
      </c>
      <c r="J41" s="8">
        <v>2310.9</v>
      </c>
      <c r="K41" s="9">
        <f>(I41-J41)</f>
        <v>0.0</v>
      </c>
    </row>
    <row r="42" spans="1:12" ht="23" customHeight="1">
      <c r="A42" s="6">
        <v>5</v>
      </c>
      <c r="B42" s="6">
        <v>2</v>
      </c>
      <c r="C42" s="6">
        <v>129</v>
      </c>
      <c r="D42" s="9" t="s">
        <v>142</v>
      </c>
      <c r="E42" s="6">
        <v>2</v>
      </c>
      <c r="F42" s="11">
        <f>ROUND((SUM(I320,I321,I322)/H125),1)</f>
        <v>3391.1</v>
      </c>
      <c r="G42" s="8">
        <v>3391.1</v>
      </c>
      <c r="H42" s="9">
        <f>(F42-G42)</f>
        <v>0.0</v>
      </c>
      <c r="I42" s="11">
        <f>ROUND((SUM(I320,I321,I322)/H125),1)</f>
        <v>3391.1</v>
      </c>
      <c r="J42" s="8">
        <v>3391.1</v>
      </c>
      <c r="K42" s="9">
        <f>(I42-J42)</f>
        <v>0.0</v>
      </c>
    </row>
    <row r="43" spans="1:12" ht="23" customHeight="1">
      <c r="A43" s="6">
        <v>5</v>
      </c>
      <c r="B43" s="6">
        <v>2</v>
      </c>
      <c r="C43" s="6">
        <v>130</v>
      </c>
      <c r="D43" s="9" t="s">
        <v>141</v>
      </c>
      <c r="E43" s="6">
        <v>2</v>
      </c>
      <c r="F43" s="11">
        <f>ROUND(F323,1)</f>
        <v>2576.3</v>
      </c>
      <c r="G43" s="8">
        <v>2576.3</v>
      </c>
      <c r="H43" s="9">
        <f>(F43-G43)</f>
        <v>0.0</v>
      </c>
      <c r="I43" s="11">
        <f>ROUND(G323,1)</f>
        <v>2757.7</v>
      </c>
      <c r="J43" s="8">
        <v>2757.7</v>
      </c>
      <c r="K43" s="9">
        <f>(I43-J43)</f>
        <v>0.0</v>
      </c>
    </row>
    <row r="44" spans="1:12" ht="23" customHeight="1">
      <c r="A44" s="6">
        <v>5</v>
      </c>
      <c r="B44" s="6">
        <v>2</v>
      </c>
      <c r="C44" s="6">
        <v>131</v>
      </c>
      <c r="D44" s="9" t="s">
        <v>141</v>
      </c>
      <c r="E44" s="6">
        <v>2</v>
      </c>
      <c r="F44" s="11">
        <f>ROUND(F324,1)</f>
        <v>2757.7</v>
      </c>
      <c r="G44" s="8">
        <v>2757.7</v>
      </c>
      <c r="H44" s="9">
        <f>(F44-G44)</f>
        <v>0.0</v>
      </c>
      <c r="I44" s="11">
        <f>ROUND(G324,1)</f>
        <v>2939.2</v>
      </c>
      <c r="J44" s="8">
        <v>2939.2</v>
      </c>
      <c r="K44" s="9">
        <f>(I44-J44)</f>
        <v>0.0</v>
      </c>
    </row>
    <row r="45" spans="1:12" ht="23" customHeight="1">
      <c r="A45" s="6">
        <v>5</v>
      </c>
      <c r="B45" s="6">
        <v>2</v>
      </c>
      <c r="C45" s="6">
        <v>132</v>
      </c>
      <c r="D45" s="9" t="s">
        <v>141</v>
      </c>
      <c r="E45" s="6">
        <v>2</v>
      </c>
      <c r="F45" s="11">
        <f>ROUND(F327,1)</f>
        <v>2939.2</v>
      </c>
      <c r="G45" s="8">
        <v>2939.2</v>
      </c>
      <c r="H45" s="9">
        <f>(F45-G45)</f>
        <v>0.0</v>
      </c>
      <c r="I45" s="11">
        <f>ROUND(G327,1)</f>
        <v>3120.6</v>
      </c>
      <c r="J45" s="8">
        <v>3120.6</v>
      </c>
      <c r="K45" s="9">
        <f>(I45-J45)</f>
        <v>0.0</v>
      </c>
    </row>
    <row r="46" spans="1:12" ht="23" customHeight="1">
      <c r="A46" s="6">
        <v>5</v>
      </c>
      <c r="B46" s="6">
        <v>2</v>
      </c>
      <c r="C46" s="6">
        <v>133</v>
      </c>
      <c r="D46" s="9" t="s">
        <v>141</v>
      </c>
      <c r="E46" s="6">
        <v>2</v>
      </c>
      <c r="F46" s="11">
        <f>ROUND(F328,1)</f>
        <v>3120.6</v>
      </c>
      <c r="G46" s="8">
        <v>3120.6</v>
      </c>
      <c r="H46" s="9">
        <f>(F46-G46)</f>
        <v>0.0</v>
      </c>
      <c r="I46" s="6">
        <f>ROUND(G328,1)</f>
        <v>3302.0</v>
      </c>
      <c r="J46" s="7">
        <v>3302</v>
      </c>
      <c r="K46" s="9">
        <f>(I46-J46)</f>
        <v>0.0</v>
      </c>
    </row>
    <row r="47" spans="1:12" ht="23" customHeight="1">
      <c r="A47" s="6">
        <v>5</v>
      </c>
      <c r="B47" s="6">
        <v>2</v>
      </c>
      <c r="C47" s="6">
        <v>134</v>
      </c>
      <c r="D47" s="9" t="s">
        <v>141</v>
      </c>
      <c r="E47" s="6">
        <v>2</v>
      </c>
      <c r="F47" s="6">
        <f>ROUND(F329,1)</f>
        <v>3302.0</v>
      </c>
      <c r="G47" s="7">
        <v>3302</v>
      </c>
      <c r="H47" s="9">
        <f>(F47-G47)</f>
        <v>0.0</v>
      </c>
      <c r="I47" s="11">
        <f>ROUND(G329,1)</f>
        <v>3483.4</v>
      </c>
      <c r="J47" s="8">
        <v>3483.4</v>
      </c>
      <c r="K47" s="9">
        <f>(I47-J47)</f>
        <v>0.0</v>
      </c>
    </row>
    <row r="48" spans="1:12" ht="23" customHeight="1">
      <c r="A48" s="6">
        <v>5</v>
      </c>
      <c r="B48" s="6">
        <v>2</v>
      </c>
      <c r="C48" s="6">
        <v>135</v>
      </c>
      <c r="D48" s="9" t="s">
        <v>141</v>
      </c>
      <c r="E48" s="6">
        <v>2</v>
      </c>
      <c r="F48" s="11">
        <f>ROUND(F330,1)</f>
        <v>3483.4</v>
      </c>
      <c r="G48" s="8">
        <v>3483.4</v>
      </c>
      <c r="H48" s="9">
        <f>(F48-G48)</f>
        <v>0.0</v>
      </c>
      <c r="I48" s="11">
        <f>ROUND(G330,1)</f>
        <v>3664.9</v>
      </c>
      <c r="J48" s="8">
        <v>3664.9</v>
      </c>
      <c r="K48" s="9">
        <f>(I48-J48)</f>
        <v>0.0</v>
      </c>
    </row>
    <row r="49" spans="1:12" ht="23" customHeight="1">
      <c r="A49" s="6">
        <v>5</v>
      </c>
      <c r="B49" s="6">
        <v>2</v>
      </c>
      <c r="C49" s="6">
        <v>136</v>
      </c>
      <c r="D49" s="9" t="s">
        <v>141</v>
      </c>
      <c r="E49" s="6">
        <v>2</v>
      </c>
      <c r="F49" s="11">
        <f>ROUND(F331,1)</f>
        <v>3664.9</v>
      </c>
      <c r="G49" s="8">
        <v>3664.9</v>
      </c>
      <c r="H49" s="9">
        <f>(F49-G49)</f>
        <v>0.0</v>
      </c>
      <c r="I49" s="11">
        <f>ROUND(G331,1)</f>
        <v>3846.3</v>
      </c>
      <c r="J49" s="8">
        <v>3846.3</v>
      </c>
      <c r="K49" s="9">
        <f>(I49-J49)</f>
        <v>0.0</v>
      </c>
    </row>
    <row r="50" spans="1:12" ht="23" customHeight="1">
      <c r="A50" s="6">
        <v>5</v>
      </c>
      <c r="B50" s="6">
        <v>2</v>
      </c>
      <c r="C50" s="6">
        <v>137</v>
      </c>
      <c r="D50" s="9" t="s">
        <v>142</v>
      </c>
      <c r="E50" s="6">
        <v>2</v>
      </c>
      <c r="F50" s="11">
        <f>ROUND((SUM(I332,I333)/H133),1)</f>
        <v>2336.3</v>
      </c>
      <c r="G50" s="8">
        <v>2336.3</v>
      </c>
      <c r="H50" s="9">
        <f>(F50-G50)</f>
        <v>0.0</v>
      </c>
      <c r="I50" s="11">
        <f>ROUND((SUM(I332,I333)/H133),1)</f>
        <v>2336.3</v>
      </c>
      <c r="J50" s="8">
        <v>2336.3</v>
      </c>
      <c r="K50" s="9">
        <f>(I50-J50)</f>
        <v>0.0</v>
      </c>
    </row>
    <row r="51" spans="1:12" ht="23" customHeight="1">
      <c r="A51" s="6">
        <v>5</v>
      </c>
      <c r="B51" s="6">
        <v>2</v>
      </c>
      <c r="C51" s="6">
        <v>138</v>
      </c>
      <c r="D51" s="9" t="s">
        <v>141</v>
      </c>
      <c r="E51" s="6">
        <v>2</v>
      </c>
      <c r="F51" s="11">
        <f>ROUND(F334,1)</f>
        <v>2059.2</v>
      </c>
      <c r="G51" s="8">
        <v>2059.2</v>
      </c>
      <c r="H51" s="9">
        <f>(F51-G51)</f>
        <v>0.0</v>
      </c>
      <c r="I51" s="11">
        <f>ROUND(G334,1)</f>
        <v>2059.2</v>
      </c>
      <c r="J51" s="8">
        <v>2059.2</v>
      </c>
      <c r="K51" s="9">
        <f>(I51-J51)</f>
        <v>0.0</v>
      </c>
    </row>
    <row r="52" spans="1:12" ht="23" customHeight="1">
      <c r="A52" s="6">
        <v>5</v>
      </c>
      <c r="B52" s="6">
        <v>2</v>
      </c>
      <c r="C52" s="6">
        <v>139</v>
      </c>
      <c r="D52" s="9" t="s">
        <v>141</v>
      </c>
      <c r="E52" s="6">
        <v>2</v>
      </c>
      <c r="F52" s="11">
        <f>ROUND(F335,1)</f>
        <v>2059.2</v>
      </c>
      <c r="G52" s="8">
        <v>2059.2</v>
      </c>
      <c r="H52" s="9">
        <f>(F52-G52)</f>
        <v>0.0</v>
      </c>
      <c r="I52" s="11">
        <f>ROUND(G335,1)</f>
        <v>2059.2</v>
      </c>
      <c r="J52" s="8">
        <v>2059.2</v>
      </c>
      <c r="K52" s="9">
        <f>(I52-J52)</f>
        <v>0.0</v>
      </c>
    </row>
    <row r="53" spans="1:12" ht="23" customHeight="1">
      <c r="A53" s="6">
        <v>5</v>
      </c>
      <c r="B53" s="6">
        <v>2</v>
      </c>
      <c r="C53" s="6">
        <v>140</v>
      </c>
      <c r="D53" s="9" t="s">
        <v>141</v>
      </c>
      <c r="E53" s="6">
        <v>2</v>
      </c>
      <c r="F53" s="11">
        <f>ROUND(F336,1)</f>
        <v>2059.2</v>
      </c>
      <c r="G53" s="8">
        <v>2059.2</v>
      </c>
      <c r="H53" s="9">
        <f>(F53-G53)</f>
        <v>0.0</v>
      </c>
      <c r="I53" s="11">
        <f>ROUND(G336,1)</f>
        <v>2059.2</v>
      </c>
      <c r="J53" s="8">
        <v>2059.2</v>
      </c>
      <c r="K53" s="9">
        <f>(I53-J53)</f>
        <v>0.0</v>
      </c>
    </row>
    <row r="54" spans="1:12" ht="23" customHeight="1">
      <c r="A54" s="6">
        <v>5</v>
      </c>
      <c r="B54" s="6">
        <v>2</v>
      </c>
      <c r="C54" s="6">
        <v>141</v>
      </c>
      <c r="D54" s="9" t="s">
        <v>141</v>
      </c>
      <c r="E54" s="6">
        <v>2</v>
      </c>
      <c r="F54" s="11">
        <f>ROUND(F337,1)</f>
        <v>2059.2</v>
      </c>
      <c r="G54" s="8">
        <v>2059.2</v>
      </c>
      <c r="H54" s="9">
        <f>(F54-G54)</f>
        <v>0.0</v>
      </c>
      <c r="I54" s="11">
        <f>ROUND(G337,1)</f>
        <v>2059.2</v>
      </c>
      <c r="J54" s="8">
        <v>2059.2</v>
      </c>
      <c r="K54" s="9">
        <f>(I54-J54)</f>
        <v>0.0</v>
      </c>
    </row>
    <row r="55" spans="1:12" ht="23" customHeight="1">
      <c r="A55" s="6">
        <v>5</v>
      </c>
      <c r="B55" s="6">
        <v>2</v>
      </c>
      <c r="C55" s="6">
        <v>142</v>
      </c>
      <c r="D55" s="9" t="s">
        <v>141</v>
      </c>
      <c r="E55" s="6">
        <v>2</v>
      </c>
      <c r="F55" s="11">
        <f>ROUND(F338,1)</f>
        <v>2059.2</v>
      </c>
      <c r="G55" s="8">
        <v>2059.2</v>
      </c>
      <c r="H55" s="9">
        <f>(F55-G55)</f>
        <v>0.0</v>
      </c>
      <c r="I55" s="11">
        <f>ROUND(G338,1)</f>
        <v>2059.2</v>
      </c>
      <c r="J55" s="8">
        <v>2059.2</v>
      </c>
      <c r="K55" s="9">
        <f>(I55-J55)</f>
        <v>0.0</v>
      </c>
    </row>
    <row r="56" spans="1:12" ht="24" customHeight="1">
      <c r="A56" s="3" t="s">
        <v>131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8</v>
      </c>
      <c r="B57" s="4" t="s">
        <v>132</v>
      </c>
      <c r="C57" s="4" t="s">
        <v>10</v>
      </c>
      <c r="D57" s="4" t="s">
        <v>133</v>
      </c>
      <c r="E57" s="4" t="s">
        <v>134</v>
      </c>
      <c r="F57" s="4" t="s">
        <v>135</v>
      </c>
      <c r="G57" s="4" t="s">
        <v>136</v>
      </c>
      <c r="H57" s="4" t="s">
        <v>137</v>
      </c>
      <c r="I57" s="4" t="s">
        <v>138</v>
      </c>
      <c r="J57" s="4" t="s">
        <v>139</v>
      </c>
      <c r="K57" s="4" t="s">
        <v>140</v>
      </c>
    </row>
    <row r="58" spans="1:12" ht="23" customHeight="1">
      <c r="A58" s="6">
        <v>5</v>
      </c>
      <c r="B58" s="6">
        <v>2</v>
      </c>
      <c r="C58" s="6">
        <v>143</v>
      </c>
      <c r="D58" s="9" t="s">
        <v>141</v>
      </c>
      <c r="E58" s="6">
        <v>2</v>
      </c>
      <c r="F58" s="11">
        <f>ROUND(F339,1)</f>
        <v>2059.2</v>
      </c>
      <c r="G58" s="8">
        <v>2059.2</v>
      </c>
      <c r="H58" s="9">
        <f>(F58-G58)</f>
        <v>0.0</v>
      </c>
      <c r="I58" s="11">
        <f>ROUND(G339,1)</f>
        <v>2059.2</v>
      </c>
      <c r="J58" s="8">
        <v>2059.2</v>
      </c>
      <c r="K58" s="9">
        <f>(I58-J58)</f>
        <v>0.0</v>
      </c>
    </row>
    <row r="59" spans="1:12" ht="23" customHeight="1">
      <c r="A59" s="6">
        <v>5</v>
      </c>
      <c r="B59" s="6">
        <v>2</v>
      </c>
      <c r="C59" s="6">
        <v>144</v>
      </c>
      <c r="D59" s="9" t="s">
        <v>141</v>
      </c>
      <c r="E59" s="6">
        <v>2</v>
      </c>
      <c r="F59" s="11">
        <f>ROUND(F340,1)</f>
        <v>2059.2</v>
      </c>
      <c r="G59" s="8">
        <v>2059.2</v>
      </c>
      <c r="H59" s="9">
        <f>(F59-G59)</f>
        <v>0.0</v>
      </c>
      <c r="I59" s="11">
        <f>ROUND(G340,1)</f>
        <v>2059.2</v>
      </c>
      <c r="J59" s="8">
        <v>2059.2</v>
      </c>
      <c r="K59" s="9">
        <f>(I59-J59)</f>
        <v>0.0</v>
      </c>
    </row>
    <row r="60" spans="1:12" ht="23" customHeight="1">
      <c r="A60" s="6">
        <v>5</v>
      </c>
      <c r="B60" s="6">
        <v>2</v>
      </c>
      <c r="C60" s="6">
        <v>145</v>
      </c>
      <c r="D60" s="9" t="s">
        <v>141</v>
      </c>
      <c r="E60" s="6">
        <v>2</v>
      </c>
      <c r="F60" s="11">
        <f>ROUND(F341,1)</f>
        <v>2059.2</v>
      </c>
      <c r="G60" s="8">
        <v>2059.2</v>
      </c>
      <c r="H60" s="9">
        <f>(F60-G60)</f>
        <v>0.0</v>
      </c>
      <c r="I60" s="11">
        <f>ROUND(G341,1)</f>
        <v>2059.2</v>
      </c>
      <c r="J60" s="8">
        <v>2059.2</v>
      </c>
      <c r="K60" s="9">
        <f>(I60-J60)</f>
        <v>0.0</v>
      </c>
    </row>
    <row r="61" spans="1:12" ht="23" customHeight="1">
      <c r="A61" s="6">
        <v>5</v>
      </c>
      <c r="B61" s="6">
        <v>2</v>
      </c>
      <c r="C61" s="6">
        <v>146</v>
      </c>
      <c r="D61" s="9" t="s">
        <v>141</v>
      </c>
      <c r="E61" s="6">
        <v>2</v>
      </c>
      <c r="F61" s="11">
        <f>ROUND(F344,1)</f>
        <v>2059.2</v>
      </c>
      <c r="G61" s="8">
        <v>2059.2</v>
      </c>
      <c r="H61" s="9">
        <f>(F61-G61)</f>
        <v>0.0</v>
      </c>
      <c r="I61" s="11">
        <f>ROUND(G344,1)</f>
        <v>2059.2</v>
      </c>
      <c r="J61" s="8">
        <v>2059.2</v>
      </c>
      <c r="K61" s="9">
        <f>(I61-J61)</f>
        <v>0.0</v>
      </c>
    </row>
    <row r="62" spans="1:12" ht="23" customHeight="1">
      <c r="A62" s="6">
        <v>6</v>
      </c>
      <c r="B62" s="6">
        <v>3</v>
      </c>
      <c r="C62" s="6">
        <v>148</v>
      </c>
      <c r="D62" s="9" t="s">
        <v>141</v>
      </c>
      <c r="E62" s="6">
        <v>1</v>
      </c>
      <c r="F62" s="11">
        <f>ROUND(F345,1)</f>
        <v>2907.3</v>
      </c>
      <c r="G62" s="8">
        <v>2907.3</v>
      </c>
      <c r="H62" s="9">
        <f>(F62-G62)</f>
        <v>0.0</v>
      </c>
      <c r="I62" s="11">
        <f>ROUND(G345,1)</f>
        <v>3268.7</v>
      </c>
      <c r="J62" s="8">
        <v>3268.7</v>
      </c>
      <c r="K62" s="9">
        <f>(I62-J62)</f>
        <v>0.0</v>
      </c>
    </row>
    <row r="63" spans="1:12" ht="23" customHeight="1">
      <c r="A63" s="6">
        <v>6</v>
      </c>
      <c r="B63" s="6">
        <v>3</v>
      </c>
      <c r="C63" s="6">
        <v>149</v>
      </c>
      <c r="D63" s="9" t="s">
        <v>142</v>
      </c>
      <c r="E63" s="6">
        <v>1</v>
      </c>
      <c r="F63" s="11">
        <f>ROUND((SUM(I346,I347)/H146),1)</f>
        <v>4972.5</v>
      </c>
      <c r="G63" s="8">
        <v>4972.5</v>
      </c>
      <c r="H63" s="9">
        <f>(F63-G63)</f>
        <v>0.0</v>
      </c>
      <c r="I63" s="11">
        <f>ROUND((SUM(I346,I347)/H146),1)</f>
        <v>4972.5</v>
      </c>
      <c r="J63" s="8">
        <v>4972.5</v>
      </c>
      <c r="K63" s="9">
        <f>(I63-J63)</f>
        <v>0.0</v>
      </c>
    </row>
    <row r="64" spans="1:12" ht="23" customHeight="1">
      <c r="A64" s="6">
        <v>6</v>
      </c>
      <c r="B64" s="6">
        <v>3</v>
      </c>
      <c r="C64" s="6">
        <v>150</v>
      </c>
      <c r="D64" s="9" t="s">
        <v>142</v>
      </c>
      <c r="E64" s="6">
        <v>1</v>
      </c>
      <c r="F64" s="11">
        <f>ROUND((SUM(I348,I349)/H147),1)</f>
        <v>2339.1</v>
      </c>
      <c r="G64" s="8">
        <v>2339.1</v>
      </c>
      <c r="H64" s="9">
        <f>(F64-G64)</f>
        <v>0.0</v>
      </c>
      <c r="I64" s="11">
        <f>ROUND((SUM(I348,I349)/H147),1)</f>
        <v>2339.1</v>
      </c>
      <c r="J64" s="8">
        <v>2339.1</v>
      </c>
      <c r="K64" s="9">
        <f>(I64-J64)</f>
        <v>0.0</v>
      </c>
    </row>
    <row r="65" spans="1:12" ht="23" customHeight="1">
      <c r="A65" s="6">
        <v>6</v>
      </c>
      <c r="B65" s="6">
        <v>3</v>
      </c>
      <c r="C65" s="6">
        <v>151</v>
      </c>
      <c r="D65" s="9" t="s">
        <v>141</v>
      </c>
      <c r="E65" s="6">
        <v>1</v>
      </c>
      <c r="F65" s="6">
        <f>ROUND(F350,1)</f>
        <v>1755.0</v>
      </c>
      <c r="G65" s="7">
        <v>1755</v>
      </c>
      <c r="H65" s="9">
        <f>(F65-G65)</f>
        <v>0.0</v>
      </c>
      <c r="I65" s="6">
        <f>ROUND(G350,1)</f>
        <v>1755.0</v>
      </c>
      <c r="J65" s="7">
        <v>1755</v>
      </c>
      <c r="K65" s="9">
        <f>(I65-J65)</f>
        <v>0.0</v>
      </c>
    </row>
    <row r="66" spans="1:12" ht="23" customHeight="1">
      <c r="A66" s="6">
        <v>6</v>
      </c>
      <c r="B66" s="6">
        <v>3</v>
      </c>
      <c r="C66" s="6">
        <v>152</v>
      </c>
      <c r="D66" s="9" t="s">
        <v>142</v>
      </c>
      <c r="E66" s="6">
        <v>1</v>
      </c>
      <c r="F66" s="11">
        <f>ROUND((SUM(I351,I352)/H149),1)</f>
        <v>4384.1</v>
      </c>
      <c r="G66" s="8">
        <v>4384.1</v>
      </c>
      <c r="H66" s="9">
        <f>(F66-G66)</f>
        <v>0.0</v>
      </c>
      <c r="I66" s="11">
        <f>ROUND((SUM(I351,I352)/H149),1)</f>
        <v>4384.1</v>
      </c>
      <c r="J66" s="8">
        <v>4384.1</v>
      </c>
      <c r="K66" s="9">
        <f>(I66-J66)</f>
        <v>0.0</v>
      </c>
    </row>
    <row r="67" spans="1:12" ht="23" customHeight="1">
      <c r="A67" s="6">
        <v>6</v>
      </c>
      <c r="B67" s="6">
        <v>3</v>
      </c>
      <c r="C67" s="6">
        <v>153</v>
      </c>
      <c r="D67" s="9" t="s">
        <v>141</v>
      </c>
      <c r="E67" s="6">
        <v>1</v>
      </c>
      <c r="F67" s="11">
        <f>ROUND(F353,1)</f>
        <v>6181.8</v>
      </c>
      <c r="G67" s="8">
        <v>6181.8</v>
      </c>
      <c r="H67" s="9">
        <f>(F67-G67)</f>
        <v>0.0</v>
      </c>
      <c r="I67" s="11">
        <f>ROUND(G353,1)</f>
        <v>6684.3</v>
      </c>
      <c r="J67" s="8">
        <v>6684.3</v>
      </c>
      <c r="K67" s="9">
        <f>(I67-J67)</f>
        <v>0.0</v>
      </c>
    </row>
    <row r="68" spans="1:12" ht="23" customHeight="1">
      <c r="A68" s="6">
        <v>6</v>
      </c>
      <c r="B68" s="6">
        <v>3</v>
      </c>
      <c r="C68" s="6">
        <v>154</v>
      </c>
      <c r="D68" s="9" t="s">
        <v>142</v>
      </c>
      <c r="E68" s="6">
        <v>1</v>
      </c>
      <c r="F68" s="11">
        <f>ROUND((SUM(I354,I355,I356)/H151),1)</f>
        <v>6891.1</v>
      </c>
      <c r="G68" s="8">
        <v>6891.1</v>
      </c>
      <c r="H68" s="9">
        <f>(F68-G68)</f>
        <v>0.0</v>
      </c>
      <c r="I68" s="11">
        <f>ROUND((SUM(I354,I355,I356)/H151),1)</f>
        <v>6891.1</v>
      </c>
      <c r="J68" s="8">
        <v>6891.1</v>
      </c>
      <c r="K68" s="9">
        <f>(I68-J68)</f>
        <v>0.0</v>
      </c>
    </row>
    <row r="69" spans="1:12" ht="23" customHeight="1">
      <c r="A69" s="6">
        <v>6</v>
      </c>
      <c r="B69" s="6">
        <v>3</v>
      </c>
      <c r="C69" s="6">
        <v>155</v>
      </c>
      <c r="D69" s="9" t="s">
        <v>141</v>
      </c>
      <c r="E69" s="6">
        <v>1</v>
      </c>
      <c r="F69" s="11">
        <f>ROUND(F357,1)</f>
        <v>7451.9</v>
      </c>
      <c r="G69" s="8">
        <v>7451.9</v>
      </c>
      <c r="H69" s="9">
        <f>(F69-G69)</f>
        <v>0.0</v>
      </c>
      <c r="I69" s="11">
        <f>ROUND(G357,1)</f>
        <v>7976.7</v>
      </c>
      <c r="J69" s="8">
        <v>7976.7</v>
      </c>
      <c r="K69" s="9">
        <f>(I69-J69)</f>
        <v>0.0</v>
      </c>
    </row>
    <row r="70" spans="1:12" ht="23" customHeight="1">
      <c r="A70" s="6">
        <v>6</v>
      </c>
      <c r="B70" s="6">
        <v>3</v>
      </c>
      <c r="C70" s="6">
        <v>156</v>
      </c>
      <c r="D70" s="9" t="s">
        <v>141</v>
      </c>
      <c r="E70" s="6">
        <v>1</v>
      </c>
      <c r="F70" s="11">
        <f>ROUND(F358,1)</f>
        <v>7976.7</v>
      </c>
      <c r="G70" s="8">
        <v>7976.7</v>
      </c>
      <c r="H70" s="9">
        <f>(F70-G70)</f>
        <v>0.0</v>
      </c>
      <c r="I70" s="11">
        <f>ROUND(G358,1)</f>
        <v>8501.5</v>
      </c>
      <c r="J70" s="8">
        <v>8501.5</v>
      </c>
      <c r="K70" s="9">
        <f>(I70-J70)</f>
        <v>0.0</v>
      </c>
    </row>
    <row r="71" spans="1:12" ht="23" customHeight="1">
      <c r="A71" s="6">
        <v>6</v>
      </c>
      <c r="B71" s="6">
        <v>3</v>
      </c>
      <c r="C71" s="6">
        <v>157</v>
      </c>
      <c r="D71" s="9" t="s">
        <v>141</v>
      </c>
      <c r="E71" s="6">
        <v>1</v>
      </c>
      <c r="F71" s="11">
        <f>ROUND(F361,1)</f>
        <v>8501.5</v>
      </c>
      <c r="G71" s="8">
        <v>8501.5</v>
      </c>
      <c r="H71" s="9">
        <f>(F71-G71)</f>
        <v>0.0</v>
      </c>
      <c r="I71" s="11">
        <f>ROUND(G361,1)</f>
        <v>9026.3</v>
      </c>
      <c r="J71" s="8">
        <v>9026.299999999999</v>
      </c>
      <c r="K71" s="9">
        <f>(I71-J71)</f>
        <v>0.0</v>
      </c>
    </row>
    <row r="72" spans="1:12" ht="23" customHeight="1">
      <c r="A72" s="6">
        <v>6</v>
      </c>
      <c r="B72" s="6">
        <v>3</v>
      </c>
      <c r="C72" s="6">
        <v>158</v>
      </c>
      <c r="D72" s="9" t="s">
        <v>141</v>
      </c>
      <c r="E72" s="6">
        <v>1</v>
      </c>
      <c r="F72" s="11">
        <f>ROUND(F362,1)</f>
        <v>9026.3</v>
      </c>
      <c r="G72" s="8">
        <v>9026.299999999999</v>
      </c>
      <c r="H72" s="9">
        <f>(F72-G72)</f>
        <v>0.0</v>
      </c>
      <c r="I72" s="11">
        <f>ROUND(G362,1)</f>
        <v>9551.1</v>
      </c>
      <c r="J72" s="8">
        <v>9551.1</v>
      </c>
      <c r="K72" s="9">
        <f>(I72-J72)</f>
        <v>0.0</v>
      </c>
    </row>
    <row r="73" spans="1:12" ht="24" customHeight="1">
      <c r="A73" s="3" t="s">
        <v>131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8</v>
      </c>
      <c r="B74" s="4" t="s">
        <v>132</v>
      </c>
      <c r="C74" s="4" t="s">
        <v>10</v>
      </c>
      <c r="D74" s="4" t="s">
        <v>133</v>
      </c>
      <c r="E74" s="4" t="s">
        <v>134</v>
      </c>
      <c r="F74" s="4" t="s">
        <v>135</v>
      </c>
      <c r="G74" s="4" t="s">
        <v>136</v>
      </c>
      <c r="H74" s="4" t="s">
        <v>137</v>
      </c>
      <c r="I74" s="4" t="s">
        <v>138</v>
      </c>
      <c r="J74" s="4" t="s">
        <v>139</v>
      </c>
      <c r="K74" s="4" t="s">
        <v>140</v>
      </c>
    </row>
    <row r="75" spans="1:12" ht="23" customHeight="1">
      <c r="A75" s="6">
        <v>6</v>
      </c>
      <c r="B75" s="6">
        <v>3</v>
      </c>
      <c r="C75" s="6">
        <v>159</v>
      </c>
      <c r="D75" s="9" t="s">
        <v>141</v>
      </c>
      <c r="E75" s="6">
        <v>1</v>
      </c>
      <c r="F75" s="11">
        <f>ROUND(F363,1)</f>
        <v>9551.1</v>
      </c>
      <c r="G75" s="8">
        <v>9551.1</v>
      </c>
      <c r="H75" s="9">
        <f>(F75-G75)</f>
        <v>0.0</v>
      </c>
      <c r="I75" s="11">
        <f>ROUND(G363,1)</f>
        <v>10075.9</v>
      </c>
      <c r="J75" s="8">
        <v>10075.9</v>
      </c>
      <c r="K75" s="9">
        <f>(I75-J75)</f>
        <v>0.0</v>
      </c>
    </row>
    <row r="76" spans="1:12" ht="23" customHeight="1">
      <c r="A76" s="6">
        <v>6</v>
      </c>
      <c r="B76" s="6">
        <v>3</v>
      </c>
      <c r="C76" s="6">
        <v>160</v>
      </c>
      <c r="D76" s="9" t="s">
        <v>141</v>
      </c>
      <c r="E76" s="6">
        <v>1</v>
      </c>
      <c r="F76" s="11">
        <f>ROUND(F364,1)</f>
        <v>10075.9</v>
      </c>
      <c r="G76" s="8">
        <v>10075.9</v>
      </c>
      <c r="H76" s="9">
        <f>(F76-G76)</f>
        <v>0.0</v>
      </c>
      <c r="I76" s="11">
        <f>ROUND(G364,1)</f>
        <v>10600.7</v>
      </c>
      <c r="J76" s="8">
        <v>10600.7</v>
      </c>
      <c r="K76" s="9">
        <f>(I76-J76)</f>
        <v>0.0</v>
      </c>
    </row>
    <row r="77" spans="1:12" ht="23" customHeight="1">
      <c r="A77" s="6">
        <v>6</v>
      </c>
      <c r="B77" s="6">
        <v>3</v>
      </c>
      <c r="C77" s="6">
        <v>161</v>
      </c>
      <c r="D77" s="9" t="s">
        <v>141</v>
      </c>
      <c r="E77" s="6">
        <v>1</v>
      </c>
      <c r="F77" s="11">
        <f>ROUND(F365,1)</f>
        <v>10600.7</v>
      </c>
      <c r="G77" s="8">
        <v>10600.7</v>
      </c>
      <c r="H77" s="9">
        <f>(F77-G77)</f>
        <v>0.0</v>
      </c>
      <c r="I77" s="11">
        <f>ROUND(G365,1)</f>
        <v>11125.5</v>
      </c>
      <c r="J77" s="8">
        <v>11125.5</v>
      </c>
      <c r="K77" s="9">
        <f>(I77-J77)</f>
        <v>0.0</v>
      </c>
    </row>
    <row r="78" spans="1:12" ht="23" customHeight="1">
      <c r="A78" s="6">
        <v>6</v>
      </c>
      <c r="B78" s="6">
        <v>3</v>
      </c>
      <c r="C78" s="6">
        <v>162</v>
      </c>
      <c r="D78" s="9" t="s">
        <v>142</v>
      </c>
      <c r="E78" s="6">
        <v>1</v>
      </c>
      <c r="F78" s="11">
        <f>ROUND((SUM(I366,I367)/H161),1)</f>
        <v>4331.4</v>
      </c>
      <c r="G78" s="8">
        <v>4331.4</v>
      </c>
      <c r="H78" s="9">
        <f>(F78-G78)</f>
        <v>0.0</v>
      </c>
      <c r="I78" s="11">
        <f>ROUND((SUM(I366,I367)/H161),1)</f>
        <v>4331.4</v>
      </c>
      <c r="J78" s="8">
        <v>4331.4</v>
      </c>
      <c r="K78" s="9">
        <f>(I78-J78)</f>
        <v>0.0</v>
      </c>
    </row>
    <row r="79" spans="1:12" ht="23" customHeight="1">
      <c r="A79" s="6">
        <v>6</v>
      </c>
      <c r="B79" s="6">
        <v>3</v>
      </c>
      <c r="C79" s="6">
        <v>163</v>
      </c>
      <c r="D79" s="9" t="s">
        <v>141</v>
      </c>
      <c r="E79" s="6">
        <v>1</v>
      </c>
      <c r="F79" s="11">
        <f>ROUND(F368,1)</f>
        <v>3088.8</v>
      </c>
      <c r="G79" s="8">
        <v>3088.8</v>
      </c>
      <c r="H79" s="9">
        <f>(F79-G79)</f>
        <v>0.0</v>
      </c>
      <c r="I79" s="11">
        <f>ROUND(G368,1)</f>
        <v>3088.8</v>
      </c>
      <c r="J79" s="8">
        <v>3088.8</v>
      </c>
      <c r="K79" s="9">
        <f>(I79-J79)</f>
        <v>0.0</v>
      </c>
    </row>
    <row r="80" spans="1:12" ht="23" customHeight="1">
      <c r="A80" s="6">
        <v>6</v>
      </c>
      <c r="B80" s="6">
        <v>3</v>
      </c>
      <c r="C80" s="6">
        <v>164</v>
      </c>
      <c r="D80" s="9" t="s">
        <v>141</v>
      </c>
      <c r="E80" s="6">
        <v>1</v>
      </c>
      <c r="F80" s="11">
        <f>ROUND(F369,1)</f>
        <v>3088.8</v>
      </c>
      <c r="G80" s="8">
        <v>3088.8</v>
      </c>
      <c r="H80" s="9">
        <f>(F80-G80)</f>
        <v>0.0</v>
      </c>
      <c r="I80" s="11">
        <f>ROUND(G369,1)</f>
        <v>3088.8</v>
      </c>
      <c r="J80" s="8">
        <v>3088.8</v>
      </c>
      <c r="K80" s="9">
        <f>(I80-J80)</f>
        <v>0.0</v>
      </c>
    </row>
    <row r="81" spans="1:12" ht="23" customHeight="1">
      <c r="A81" s="6">
        <v>6</v>
      </c>
      <c r="B81" s="6">
        <v>3</v>
      </c>
      <c r="C81" s="6">
        <v>165</v>
      </c>
      <c r="D81" s="9" t="s">
        <v>141</v>
      </c>
      <c r="E81" s="6">
        <v>1</v>
      </c>
      <c r="F81" s="11">
        <f>ROUND(F370,1)</f>
        <v>3088.8</v>
      </c>
      <c r="G81" s="8">
        <v>3088.8</v>
      </c>
      <c r="H81" s="9">
        <f>(F81-G81)</f>
        <v>0.0</v>
      </c>
      <c r="I81" s="11">
        <f>ROUND(G370,1)</f>
        <v>3088.8</v>
      </c>
      <c r="J81" s="8">
        <v>3088.8</v>
      </c>
      <c r="K81" s="9">
        <f>(I81-J81)</f>
        <v>0.0</v>
      </c>
    </row>
    <row r="82" spans="1:12" ht="23" customHeight="1">
      <c r="A82" s="6">
        <v>6</v>
      </c>
      <c r="B82" s="6">
        <v>3</v>
      </c>
      <c r="C82" s="6">
        <v>166</v>
      </c>
      <c r="D82" s="9" t="s">
        <v>141</v>
      </c>
      <c r="E82" s="6">
        <v>1</v>
      </c>
      <c r="F82" s="11">
        <f>ROUND(F371,1)</f>
        <v>3088.8</v>
      </c>
      <c r="G82" s="8">
        <v>3088.8</v>
      </c>
      <c r="H82" s="9">
        <f>(F82-G82)</f>
        <v>0.0</v>
      </c>
      <c r="I82" s="11">
        <f>ROUND(G371,1)</f>
        <v>3088.8</v>
      </c>
      <c r="J82" s="8">
        <v>3088.8</v>
      </c>
      <c r="K82" s="9">
        <f>(I82-J82)</f>
        <v>0.0</v>
      </c>
    </row>
    <row r="83" spans="1:12" ht="23" customHeight="1">
      <c r="A83" s="6">
        <v>6</v>
      </c>
      <c r="B83" s="6">
        <v>3</v>
      </c>
      <c r="C83" s="6">
        <v>167</v>
      </c>
      <c r="D83" s="9" t="s">
        <v>141</v>
      </c>
      <c r="E83" s="6">
        <v>1</v>
      </c>
      <c r="F83" s="11">
        <f>ROUND(F372,1)</f>
        <v>3088.8</v>
      </c>
      <c r="G83" s="8">
        <v>3088.8</v>
      </c>
      <c r="H83" s="9">
        <f>(F83-G83)</f>
        <v>0.0</v>
      </c>
      <c r="I83" s="11">
        <f>ROUND(G372,1)</f>
        <v>3088.8</v>
      </c>
      <c r="J83" s="8">
        <v>3088.8</v>
      </c>
      <c r="K83" s="9">
        <f>(I83-J83)</f>
        <v>0.0</v>
      </c>
    </row>
    <row r="84" spans="1:12" ht="23" customHeight="1">
      <c r="A84" s="6">
        <v>6</v>
      </c>
      <c r="B84" s="6">
        <v>3</v>
      </c>
      <c r="C84" s="6">
        <v>168</v>
      </c>
      <c r="D84" s="9" t="s">
        <v>141</v>
      </c>
      <c r="E84" s="6">
        <v>1</v>
      </c>
      <c r="F84" s="11">
        <f>ROUND(F373,1)</f>
        <v>3088.8</v>
      </c>
      <c r="G84" s="8">
        <v>3088.8</v>
      </c>
      <c r="H84" s="9">
        <f>(F84-G84)</f>
        <v>0.0</v>
      </c>
      <c r="I84" s="11">
        <f>ROUND(G373,1)</f>
        <v>3088.8</v>
      </c>
      <c r="J84" s="8">
        <v>3088.8</v>
      </c>
      <c r="K84" s="9">
        <f>(I84-J84)</f>
        <v>0.0</v>
      </c>
    </row>
    <row r="85" spans="1:12" ht="23" customHeight="1">
      <c r="A85" s="6">
        <v>6</v>
      </c>
      <c r="B85" s="6">
        <v>3</v>
      </c>
      <c r="C85" s="6">
        <v>169</v>
      </c>
      <c r="D85" s="9" t="s">
        <v>141</v>
      </c>
      <c r="E85" s="6">
        <v>1</v>
      </c>
      <c r="F85" s="11">
        <f>ROUND(F374,1)</f>
        <v>3088.8</v>
      </c>
      <c r="G85" s="8">
        <v>3088.8</v>
      </c>
      <c r="H85" s="9">
        <f>(F85-G85)</f>
        <v>0.0</v>
      </c>
      <c r="I85" s="11">
        <f>ROUND(G374,1)</f>
        <v>3088.8</v>
      </c>
      <c r="J85" s="8">
        <v>3088.8</v>
      </c>
      <c r="K85" s="9">
        <f>(I85-J85)</f>
        <v>0.0</v>
      </c>
    </row>
    <row r="86" spans="1:12" ht="23" customHeight="1">
      <c r="A86" s="6">
        <v>6</v>
      </c>
      <c r="B86" s="6">
        <v>3</v>
      </c>
      <c r="C86" s="6">
        <v>170</v>
      </c>
      <c r="D86" s="9" t="s">
        <v>141</v>
      </c>
      <c r="E86" s="6">
        <v>1</v>
      </c>
      <c r="F86" s="11">
        <f>ROUND(F375,1)</f>
        <v>3088.8</v>
      </c>
      <c r="G86" s="8">
        <v>3088.8</v>
      </c>
      <c r="H86" s="9">
        <f>(F86-G86)</f>
        <v>0.0</v>
      </c>
      <c r="I86" s="11">
        <f>ROUND(G375,1)</f>
        <v>3088.8</v>
      </c>
      <c r="J86" s="8">
        <v>3088.8</v>
      </c>
      <c r="K86" s="9">
        <f>(I86-J86)</f>
        <v>0.0</v>
      </c>
    </row>
    <row r="87" spans="1:12" ht="23" customHeight="1">
      <c r="A87" s="6">
        <v>6</v>
      </c>
      <c r="B87" s="6">
        <v>3</v>
      </c>
      <c r="C87" s="6">
        <v>171</v>
      </c>
      <c r="D87" s="9" t="s">
        <v>141</v>
      </c>
      <c r="E87" s="6">
        <v>1</v>
      </c>
      <c r="F87" s="11">
        <f>ROUND(F378,1)</f>
        <v>3088.8</v>
      </c>
      <c r="G87" s="8">
        <v>3088.8</v>
      </c>
      <c r="H87" s="9">
        <f>(F87-G87)</f>
        <v>0.0</v>
      </c>
      <c r="I87" s="11">
        <f>ROUND(G378,1)</f>
        <v>3088.8</v>
      </c>
      <c r="J87" s="8">
        <v>3088.8</v>
      </c>
      <c r="K87" s="9">
        <f>(I87-J87)</f>
        <v>0.0</v>
      </c>
    </row>
    <row r="88" spans="1:12" ht="23" customHeight="1"/>
    <row r="89" spans="1:12" ht="24" customHeight="1">
      <c r="A89" s="3" t="s">
        <v>143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36" customHeight="1">
      <c r="A90" s="4" t="s">
        <v>8</v>
      </c>
      <c r="B90" s="4" t="s">
        <v>9</v>
      </c>
      <c r="C90" s="4" t="s">
        <v>10</v>
      </c>
      <c r="D90" s="4" t="s">
        <v>11</v>
      </c>
      <c r="E90" s="4" t="s">
        <v>12</v>
      </c>
      <c r="F90" s="4" t="s">
        <v>144</v>
      </c>
      <c r="G90" s="4" t="s">
        <v>145</v>
      </c>
      <c r="H90" s="4" t="s">
        <v>127</v>
      </c>
    </row>
    <row r="91" spans="1:12" ht="23" customHeight="1">
      <c r="A91" s="6">
        <v>4</v>
      </c>
      <c r="B91" s="6">
        <v>1</v>
      </c>
      <c r="C91" s="6">
        <v>98</v>
      </c>
      <c r="D91" s="6">
        <v>98</v>
      </c>
      <c r="E91" s="6">
        <v>99</v>
      </c>
      <c r="F91" s="35">
        <v>0</v>
      </c>
      <c r="G91" s="35">
        <v>1.3</v>
      </c>
      <c r="H91" s="36">
        <f>ROUND((G91-F91),4)</f>
        <v>1.3</v>
      </c>
    </row>
    <row r="92" spans="1:12" ht="23" customHeight="1">
      <c r="A92" s="6">
        <v>4</v>
      </c>
      <c r="B92" s="6">
        <v>1</v>
      </c>
      <c r="C92" s="6">
        <v>99</v>
      </c>
      <c r="D92" s="6">
        <v>99</v>
      </c>
      <c r="E92" s="6">
        <v>100</v>
      </c>
      <c r="F92" s="35">
        <v>1.3</v>
      </c>
      <c r="G92" s="35">
        <v>2.6</v>
      </c>
      <c r="H92" s="36">
        <f>ROUND((G92-F92),4)</f>
        <v>1.3</v>
      </c>
    </row>
    <row r="93" spans="1:12" ht="23" customHeight="1">
      <c r="A93" s="6">
        <v>4</v>
      </c>
      <c r="B93" s="6">
        <v>1</v>
      </c>
      <c r="C93" s="6">
        <v>100</v>
      </c>
      <c r="D93" s="6">
        <v>100</v>
      </c>
      <c r="E93" s="6">
        <v>101</v>
      </c>
      <c r="F93" s="35">
        <v>2.6</v>
      </c>
      <c r="G93" s="35">
        <v>3.9</v>
      </c>
      <c r="H93" s="36">
        <f>ROUND((G93-F93),4)</f>
        <v>1.3</v>
      </c>
    </row>
    <row r="94" spans="1:12" ht="23" customHeight="1">
      <c r="A94" s="6">
        <v>4</v>
      </c>
      <c r="B94" s="6">
        <v>1</v>
      </c>
      <c r="C94" s="6">
        <v>101</v>
      </c>
      <c r="D94" s="6">
        <v>101</v>
      </c>
      <c r="E94" s="6">
        <v>102</v>
      </c>
      <c r="F94" s="35">
        <v>3.9</v>
      </c>
      <c r="G94" s="35">
        <v>5.2</v>
      </c>
      <c r="H94" s="36">
        <f>ROUND((G94-F94),4)</f>
        <v>1.3</v>
      </c>
    </row>
    <row r="95" spans="1:12" ht="23" customHeight="1">
      <c r="A95" s="6">
        <v>4</v>
      </c>
      <c r="B95" s="6">
        <v>1</v>
      </c>
      <c r="C95" s="6">
        <v>102</v>
      </c>
      <c r="D95" s="6">
        <v>102</v>
      </c>
      <c r="E95" s="6">
        <v>103</v>
      </c>
      <c r="F95" s="35">
        <v>5.2</v>
      </c>
      <c r="G95" s="35">
        <v>6.5</v>
      </c>
      <c r="H95" s="36">
        <f>ROUND((G95-F95),4)</f>
        <v>1.3</v>
      </c>
    </row>
    <row r="96" spans="1:12" ht="23" customHeight="1">
      <c r="A96" s="6">
        <v>4</v>
      </c>
      <c r="B96" s="6">
        <v>1</v>
      </c>
      <c r="C96" s="6">
        <v>103</v>
      </c>
      <c r="D96" s="6">
        <v>103</v>
      </c>
      <c r="E96" s="6">
        <v>104</v>
      </c>
      <c r="F96" s="35">
        <v>6.5</v>
      </c>
      <c r="G96" s="35">
        <v>7.8</v>
      </c>
      <c r="H96" s="36">
        <f>ROUND((G96-F96),4)</f>
        <v>1.3</v>
      </c>
    </row>
    <row r="97" spans="1:12" ht="23" customHeight="1">
      <c r="A97" s="6">
        <v>4</v>
      </c>
      <c r="B97" s="6">
        <v>1</v>
      </c>
      <c r="C97" s="6">
        <v>104</v>
      </c>
      <c r="D97" s="6">
        <v>104</v>
      </c>
      <c r="E97" s="6">
        <v>105</v>
      </c>
      <c r="F97" s="35">
        <v>7.8</v>
      </c>
      <c r="G97" s="35">
        <v>9.1</v>
      </c>
      <c r="H97" s="36">
        <f>ROUND((G97-F97),4)</f>
        <v>1.3</v>
      </c>
    </row>
    <row r="98" spans="1:12" ht="23" customHeight="1">
      <c r="A98" s="6">
        <v>4</v>
      </c>
      <c r="B98" s="6">
        <v>1</v>
      </c>
      <c r="C98" s="6">
        <v>105</v>
      </c>
      <c r="D98" s="6">
        <v>105</v>
      </c>
      <c r="E98" s="6">
        <v>106</v>
      </c>
      <c r="F98" s="35">
        <v>9.1</v>
      </c>
      <c r="G98" s="35">
        <v>10.4</v>
      </c>
      <c r="H98" s="36">
        <f>ROUND((G98-F98),4)</f>
        <v>1.3</v>
      </c>
    </row>
    <row r="99" spans="1:12" ht="23" customHeight="1">
      <c r="A99" s="6">
        <v>4</v>
      </c>
      <c r="B99" s="6">
        <v>1</v>
      </c>
      <c r="C99" s="6">
        <v>106</v>
      </c>
      <c r="D99" s="6">
        <v>106</v>
      </c>
      <c r="E99" s="6">
        <v>107</v>
      </c>
      <c r="F99" s="35">
        <v>10.4</v>
      </c>
      <c r="G99" s="35">
        <v>11.7</v>
      </c>
      <c r="H99" s="36">
        <f>ROUND((G99-F99),4)</f>
        <v>1.3</v>
      </c>
    </row>
    <row r="100" spans="1:12" ht="23" customHeight="1">
      <c r="A100" s="6">
        <v>4</v>
      </c>
      <c r="B100" s="6">
        <v>1</v>
      </c>
      <c r="C100" s="6">
        <v>107</v>
      </c>
      <c r="D100" s="6">
        <v>107</v>
      </c>
      <c r="E100" s="6">
        <v>108</v>
      </c>
      <c r="F100" s="35">
        <v>11.7</v>
      </c>
      <c r="G100" s="35">
        <v>13</v>
      </c>
      <c r="H100" s="36">
        <f>ROUND((G100-F100),4)</f>
        <v>1.3</v>
      </c>
    </row>
    <row r="101" spans="1:12" ht="23" customHeight="1">
      <c r="A101" s="6">
        <v>4</v>
      </c>
      <c r="B101" s="6">
        <v>1</v>
      </c>
      <c r="C101" s="6">
        <v>108</v>
      </c>
      <c r="D101" s="6">
        <v>108</v>
      </c>
      <c r="E101" s="6">
        <v>109</v>
      </c>
      <c r="F101" s="35">
        <v>13</v>
      </c>
      <c r="G101" s="35">
        <v>14.3</v>
      </c>
      <c r="H101" s="36">
        <f>ROUND((G101-F101),4)</f>
        <v>1.3</v>
      </c>
    </row>
    <row r="102" spans="1:12" ht="23" customHeight="1">
      <c r="A102" s="6">
        <v>4</v>
      </c>
      <c r="B102" s="6">
        <v>1</v>
      </c>
      <c r="C102" s="6">
        <v>109</v>
      </c>
      <c r="D102" s="6">
        <v>109</v>
      </c>
      <c r="E102" s="6">
        <v>110</v>
      </c>
      <c r="F102" s="35">
        <v>14.3</v>
      </c>
      <c r="G102" s="35">
        <v>15.6</v>
      </c>
      <c r="H102" s="36">
        <f>ROUND((G102-F102),4)</f>
        <v>1.3</v>
      </c>
    </row>
    <row r="103" spans="1:12" ht="23" customHeight="1">
      <c r="A103" s="6">
        <v>4</v>
      </c>
      <c r="B103" s="6">
        <v>1</v>
      </c>
      <c r="C103" s="6">
        <v>110</v>
      </c>
      <c r="D103" s="6">
        <v>110</v>
      </c>
      <c r="E103" s="6">
        <v>111</v>
      </c>
      <c r="F103" s="35">
        <v>15.6</v>
      </c>
      <c r="G103" s="35">
        <v>16.9</v>
      </c>
      <c r="H103" s="36">
        <f>ROUND((G103-F103),4)</f>
        <v>1.3</v>
      </c>
    </row>
    <row r="104" spans="1:12" ht="23" customHeight="1">
      <c r="A104" s="6">
        <v>4</v>
      </c>
      <c r="B104" s="6">
        <v>1</v>
      </c>
      <c r="C104" s="6">
        <v>111</v>
      </c>
      <c r="D104" s="6">
        <v>111</v>
      </c>
      <c r="E104" s="6">
        <v>112</v>
      </c>
      <c r="F104" s="35">
        <v>16.9</v>
      </c>
      <c r="G104" s="35">
        <v>18.2</v>
      </c>
      <c r="H104" s="36">
        <f>ROUND((G104-F104),4)</f>
        <v>1.3</v>
      </c>
    </row>
    <row r="105" spans="1:12" ht="23" customHeight="1">
      <c r="A105" s="6">
        <v>4</v>
      </c>
      <c r="B105" s="6">
        <v>1</v>
      </c>
      <c r="C105" s="6">
        <v>112</v>
      </c>
      <c r="D105" s="6">
        <v>112</v>
      </c>
      <c r="E105" s="6">
        <v>113</v>
      </c>
      <c r="F105" s="35">
        <v>18.2</v>
      </c>
      <c r="G105" s="35">
        <v>19.5</v>
      </c>
      <c r="H105" s="36">
        <f>ROUND((G105-F105),4)</f>
        <v>1.3</v>
      </c>
    </row>
    <row r="106" spans="1:12" ht="24" customHeight="1">
      <c r="A106" s="3" t="s">
        <v>143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8</v>
      </c>
      <c r="B107" s="4" t="s">
        <v>9</v>
      </c>
      <c r="C107" s="4" t="s">
        <v>10</v>
      </c>
      <c r="D107" s="4" t="s">
        <v>11</v>
      </c>
      <c r="E107" s="4" t="s">
        <v>12</v>
      </c>
      <c r="F107" s="4" t="s">
        <v>144</v>
      </c>
      <c r="G107" s="4" t="s">
        <v>145</v>
      </c>
      <c r="H107" s="4" t="s">
        <v>127</v>
      </c>
    </row>
    <row r="108" spans="1:12" ht="23" customHeight="1">
      <c r="A108" s="6">
        <v>4</v>
      </c>
      <c r="B108" s="6">
        <v>1</v>
      </c>
      <c r="C108" s="6">
        <v>113</v>
      </c>
      <c r="D108" s="6">
        <v>113</v>
      </c>
      <c r="E108" s="6">
        <v>114</v>
      </c>
      <c r="F108" s="35">
        <v>19.5</v>
      </c>
      <c r="G108" s="35">
        <v>20.8</v>
      </c>
      <c r="H108" s="36">
        <f>ROUND((G108-F108),4)</f>
        <v>1.3</v>
      </c>
    </row>
    <row r="109" spans="1:12" ht="23" customHeight="1">
      <c r="A109" s="6">
        <v>4</v>
      </c>
      <c r="B109" s="6">
        <v>1</v>
      </c>
      <c r="C109" s="6">
        <v>114</v>
      </c>
      <c r="D109" s="6">
        <v>114</v>
      </c>
      <c r="E109" s="6">
        <v>115</v>
      </c>
      <c r="F109" s="35">
        <v>20.8</v>
      </c>
      <c r="G109" s="35">
        <v>22.1</v>
      </c>
      <c r="H109" s="36">
        <f>ROUND((G109-F109),4)</f>
        <v>1.3</v>
      </c>
    </row>
    <row r="110" spans="1:12" ht="23" customHeight="1">
      <c r="A110" s="6">
        <v>4</v>
      </c>
      <c r="B110" s="6">
        <v>1</v>
      </c>
      <c r="C110" s="6">
        <v>115</v>
      </c>
      <c r="D110" s="6">
        <v>115</v>
      </c>
      <c r="E110" s="6">
        <v>116</v>
      </c>
      <c r="F110" s="35">
        <v>22.1</v>
      </c>
      <c r="G110" s="35">
        <v>23.4</v>
      </c>
      <c r="H110" s="36">
        <f>ROUND((G110-F110),4)</f>
        <v>1.3</v>
      </c>
    </row>
    <row r="111" spans="1:12" ht="23" customHeight="1">
      <c r="A111" s="6">
        <v>4</v>
      </c>
      <c r="B111" s="6">
        <v>1</v>
      </c>
      <c r="C111" s="6">
        <v>116</v>
      </c>
      <c r="D111" s="6">
        <v>116</v>
      </c>
      <c r="E111" s="6">
        <v>117</v>
      </c>
      <c r="F111" s="35">
        <v>23.4</v>
      </c>
      <c r="G111" s="35">
        <v>24.7</v>
      </c>
      <c r="H111" s="36">
        <f>ROUND((G111-F111),4)</f>
        <v>1.3</v>
      </c>
    </row>
    <row r="112" spans="1:12" ht="23" customHeight="1">
      <c r="A112" s="6">
        <v>4</v>
      </c>
      <c r="B112" s="6">
        <v>1</v>
      </c>
      <c r="C112" s="6">
        <v>117</v>
      </c>
      <c r="D112" s="6">
        <v>117</v>
      </c>
      <c r="E112" s="6">
        <v>118</v>
      </c>
      <c r="F112" s="35">
        <v>24.7</v>
      </c>
      <c r="G112" s="35">
        <v>26</v>
      </c>
      <c r="H112" s="36">
        <f>ROUND((G112-F112),4)</f>
        <v>1.3</v>
      </c>
    </row>
    <row r="113" spans="1:12" ht="23" customHeight="1">
      <c r="A113" s="6">
        <v>4</v>
      </c>
      <c r="B113" s="6">
        <v>1</v>
      </c>
      <c r="C113" s="6">
        <v>118</v>
      </c>
      <c r="D113" s="6">
        <v>118</v>
      </c>
      <c r="E113" s="6">
        <v>119</v>
      </c>
      <c r="F113" s="35">
        <v>26</v>
      </c>
      <c r="G113" s="35">
        <v>27.3</v>
      </c>
      <c r="H113" s="36">
        <f>ROUND((G113-F113),4)</f>
        <v>1.3</v>
      </c>
    </row>
    <row r="114" spans="1:12" ht="23" customHeight="1">
      <c r="A114" s="6">
        <v>4</v>
      </c>
      <c r="B114" s="6">
        <v>1</v>
      </c>
      <c r="C114" s="6">
        <v>119</v>
      </c>
      <c r="D114" s="6">
        <v>119</v>
      </c>
      <c r="E114" s="6">
        <v>120</v>
      </c>
      <c r="F114" s="35">
        <v>27.3</v>
      </c>
      <c r="G114" s="35">
        <v>28.6</v>
      </c>
      <c r="H114" s="36">
        <f>ROUND((G114-F114),4)</f>
        <v>1.3</v>
      </c>
    </row>
    <row r="115" spans="1:12" ht="23" customHeight="1">
      <c r="A115" s="6">
        <v>4</v>
      </c>
      <c r="B115" s="6">
        <v>1</v>
      </c>
      <c r="C115" s="6">
        <v>120</v>
      </c>
      <c r="D115" s="6">
        <v>120</v>
      </c>
      <c r="E115" s="6">
        <v>121</v>
      </c>
      <c r="F115" s="35">
        <v>28.6</v>
      </c>
      <c r="G115" s="35">
        <v>29.9</v>
      </c>
      <c r="H115" s="36">
        <f>ROUND((G115-F115),4)</f>
        <v>1.3</v>
      </c>
    </row>
    <row r="116" spans="1:12" ht="23" customHeight="1">
      <c r="A116" s="6">
        <v>4</v>
      </c>
      <c r="B116" s="6">
        <v>1</v>
      </c>
      <c r="C116" s="6">
        <v>121</v>
      </c>
      <c r="D116" s="6">
        <v>121</v>
      </c>
      <c r="E116" s="6">
        <v>122</v>
      </c>
      <c r="F116" s="35">
        <v>29.9</v>
      </c>
      <c r="G116" s="35">
        <v>31</v>
      </c>
      <c r="H116" s="36">
        <f>ROUND((G116-F116),4)</f>
        <v>1.1</v>
      </c>
    </row>
    <row r="117" spans="1:12" ht="23" customHeight="1">
      <c r="A117" s="6">
        <v>5</v>
      </c>
      <c r="B117" s="6">
        <v>2</v>
      </c>
      <c r="C117" s="6">
        <v>123</v>
      </c>
      <c r="D117" s="6">
        <v>123</v>
      </c>
      <c r="E117" s="6">
        <v>124</v>
      </c>
      <c r="F117" s="35">
        <v>0</v>
      </c>
      <c r="G117" s="35">
        <v>1.3</v>
      </c>
      <c r="H117" s="36">
        <f>ROUND((G117-F117),4)</f>
        <v>1.3</v>
      </c>
    </row>
    <row r="118" spans="1:12" ht="23" customHeight="1">
      <c r="A118" s="6">
        <v>5</v>
      </c>
      <c r="B118" s="6">
        <v>2</v>
      </c>
      <c r="C118" s="6">
        <v>124</v>
      </c>
      <c r="D118" s="6">
        <v>124</v>
      </c>
      <c r="E118" s="6">
        <v>125</v>
      </c>
      <c r="F118" s="35">
        <v>1.3</v>
      </c>
      <c r="G118" s="35">
        <v>2.6</v>
      </c>
      <c r="H118" s="36">
        <f>ROUND((G118-F118),4)</f>
        <v>1.3</v>
      </c>
    </row>
    <row r="119" spans="1:12" ht="23" customHeight="1">
      <c r="A119" s="6">
        <v>5</v>
      </c>
      <c r="B119" s="6">
        <v>2</v>
      </c>
      <c r="C119" s="6">
        <v>125</v>
      </c>
      <c r="D119" s="6">
        <v>125</v>
      </c>
      <c r="E119" s="6">
        <v>126</v>
      </c>
      <c r="F119" s="35">
        <v>2.6</v>
      </c>
      <c r="G119" s="35">
        <v>3.9</v>
      </c>
      <c r="H119" s="36">
        <f>ROUND((G119-F119),4)</f>
        <v>1.3</v>
      </c>
    </row>
    <row r="120" spans="1:12" ht="23" customHeight="1">
      <c r="A120" s="6">
        <v>5</v>
      </c>
      <c r="B120" s="6">
        <v>2</v>
      </c>
      <c r="C120" s="6">
        <v>126</v>
      </c>
      <c r="D120" s="6">
        <v>126</v>
      </c>
      <c r="E120" s="6">
        <v>127</v>
      </c>
      <c r="F120" s="35">
        <v>3.9</v>
      </c>
      <c r="G120" s="35">
        <v>5.2</v>
      </c>
      <c r="H120" s="36">
        <f>ROUND((G120-F120),4)</f>
        <v>1.3</v>
      </c>
    </row>
    <row r="121" spans="1:12" ht="23" customHeight="1">
      <c r="A121" s="6">
        <v>5</v>
      </c>
      <c r="B121" s="6">
        <v>2</v>
      </c>
      <c r="C121" s="6">
        <v>127</v>
      </c>
      <c r="D121" s="6">
        <v>127</v>
      </c>
      <c r="E121" s="6">
        <v>128</v>
      </c>
      <c r="F121" s="35">
        <v>5.2</v>
      </c>
      <c r="G121" s="35">
        <v>6.5</v>
      </c>
      <c r="H121" s="36">
        <f>ROUND((G121-F121),4)</f>
        <v>1.3</v>
      </c>
    </row>
    <row r="122" spans="1:12" ht="23" customHeight="1">
      <c r="A122" s="6">
        <v>5</v>
      </c>
      <c r="B122" s="6">
        <v>2</v>
      </c>
      <c r="C122" s="6">
        <v>128</v>
      </c>
      <c r="D122" s="6">
        <v>128</v>
      </c>
      <c r="E122" s="6">
        <v>129</v>
      </c>
      <c r="F122" s="35">
        <v>6.5</v>
      </c>
      <c r="G122" s="35">
        <v>7.8</v>
      </c>
      <c r="H122" s="36">
        <f>ROUND((G122-F122),4)</f>
        <v>1.3</v>
      </c>
    </row>
    <row r="123" spans="1:12" ht="24" customHeight="1">
      <c r="A123" s="3" t="s">
        <v>143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8</v>
      </c>
      <c r="B124" s="4" t="s">
        <v>9</v>
      </c>
      <c r="C124" s="4" t="s">
        <v>10</v>
      </c>
      <c r="D124" s="4" t="s">
        <v>11</v>
      </c>
      <c r="E124" s="4" t="s">
        <v>12</v>
      </c>
      <c r="F124" s="4" t="s">
        <v>144</v>
      </c>
      <c r="G124" s="4" t="s">
        <v>145</v>
      </c>
      <c r="H124" s="4" t="s">
        <v>127</v>
      </c>
    </row>
    <row r="125" spans="1:12" ht="23" customHeight="1">
      <c r="A125" s="6">
        <v>5</v>
      </c>
      <c r="B125" s="6">
        <v>2</v>
      </c>
      <c r="C125" s="6">
        <v>129</v>
      </c>
      <c r="D125" s="6">
        <v>129</v>
      </c>
      <c r="E125" s="6">
        <v>130</v>
      </c>
      <c r="F125" s="35">
        <v>7.8</v>
      </c>
      <c r="G125" s="35">
        <v>9.1</v>
      </c>
      <c r="H125" s="36">
        <f>ROUND((G125-F125),4)</f>
        <v>1.3</v>
      </c>
    </row>
    <row r="126" spans="1:12" ht="23" customHeight="1">
      <c r="A126" s="6">
        <v>5</v>
      </c>
      <c r="B126" s="6">
        <v>2</v>
      </c>
      <c r="C126" s="6">
        <v>130</v>
      </c>
      <c r="D126" s="6">
        <v>130</v>
      </c>
      <c r="E126" s="6">
        <v>131</v>
      </c>
      <c r="F126" s="35">
        <v>9.1</v>
      </c>
      <c r="G126" s="35">
        <v>10.4</v>
      </c>
      <c r="H126" s="36">
        <f>ROUND((G126-F126),4)</f>
        <v>1.3</v>
      </c>
    </row>
    <row r="127" spans="1:12" ht="23" customHeight="1">
      <c r="A127" s="6">
        <v>5</v>
      </c>
      <c r="B127" s="6">
        <v>2</v>
      </c>
      <c r="C127" s="6">
        <v>131</v>
      </c>
      <c r="D127" s="6">
        <v>131</v>
      </c>
      <c r="E127" s="6">
        <v>132</v>
      </c>
      <c r="F127" s="35">
        <v>10.4</v>
      </c>
      <c r="G127" s="35">
        <v>11.7</v>
      </c>
      <c r="H127" s="36">
        <f>ROUND((G127-F127),4)</f>
        <v>1.3</v>
      </c>
    </row>
    <row r="128" spans="1:12" ht="23" customHeight="1">
      <c r="A128" s="6">
        <v>5</v>
      </c>
      <c r="B128" s="6">
        <v>2</v>
      </c>
      <c r="C128" s="6">
        <v>132</v>
      </c>
      <c r="D128" s="6">
        <v>132</v>
      </c>
      <c r="E128" s="6">
        <v>133</v>
      </c>
      <c r="F128" s="35">
        <v>11.7</v>
      </c>
      <c r="G128" s="35">
        <v>13</v>
      </c>
      <c r="H128" s="36">
        <f>ROUND((G128-F128),4)</f>
        <v>1.3</v>
      </c>
    </row>
    <row r="129" spans="1:12" ht="23" customHeight="1">
      <c r="A129" s="6">
        <v>5</v>
      </c>
      <c r="B129" s="6">
        <v>2</v>
      </c>
      <c r="C129" s="6">
        <v>133</v>
      </c>
      <c r="D129" s="6">
        <v>133</v>
      </c>
      <c r="E129" s="6">
        <v>134</v>
      </c>
      <c r="F129" s="35">
        <v>13</v>
      </c>
      <c r="G129" s="35">
        <v>14.3</v>
      </c>
      <c r="H129" s="36">
        <f>ROUND((G129-F129),4)</f>
        <v>1.3</v>
      </c>
    </row>
    <row r="130" spans="1:12" ht="23" customHeight="1">
      <c r="A130" s="6">
        <v>5</v>
      </c>
      <c r="B130" s="6">
        <v>2</v>
      </c>
      <c r="C130" s="6">
        <v>134</v>
      </c>
      <c r="D130" s="6">
        <v>134</v>
      </c>
      <c r="E130" s="6">
        <v>135</v>
      </c>
      <c r="F130" s="35">
        <v>14.3</v>
      </c>
      <c r="G130" s="35">
        <v>15.6</v>
      </c>
      <c r="H130" s="36">
        <f>ROUND((G130-F130),4)</f>
        <v>1.3</v>
      </c>
    </row>
    <row r="131" spans="1:12" ht="23" customHeight="1">
      <c r="A131" s="6">
        <v>5</v>
      </c>
      <c r="B131" s="6">
        <v>2</v>
      </c>
      <c r="C131" s="6">
        <v>135</v>
      </c>
      <c r="D131" s="6">
        <v>135</v>
      </c>
      <c r="E131" s="6">
        <v>136</v>
      </c>
      <c r="F131" s="35">
        <v>15.6</v>
      </c>
      <c r="G131" s="35">
        <v>16.9</v>
      </c>
      <c r="H131" s="36">
        <f>ROUND((G131-F131),4)</f>
        <v>1.3</v>
      </c>
    </row>
    <row r="132" spans="1:12" ht="23" customHeight="1">
      <c r="A132" s="6">
        <v>5</v>
      </c>
      <c r="B132" s="6">
        <v>2</v>
      </c>
      <c r="C132" s="6">
        <v>136</v>
      </c>
      <c r="D132" s="6">
        <v>136</v>
      </c>
      <c r="E132" s="6">
        <v>137</v>
      </c>
      <c r="F132" s="35">
        <v>16.9</v>
      </c>
      <c r="G132" s="35">
        <v>18.2</v>
      </c>
      <c r="H132" s="36">
        <f>ROUND((G132-F132),4)</f>
        <v>1.3</v>
      </c>
    </row>
    <row r="133" spans="1:12" ht="23" customHeight="1">
      <c r="A133" s="6">
        <v>5</v>
      </c>
      <c r="B133" s="6">
        <v>2</v>
      </c>
      <c r="C133" s="6">
        <v>137</v>
      </c>
      <c r="D133" s="6">
        <v>137</v>
      </c>
      <c r="E133" s="6">
        <v>138</v>
      </c>
      <c r="F133" s="35">
        <v>18.2</v>
      </c>
      <c r="G133" s="35">
        <v>19.5</v>
      </c>
      <c r="H133" s="36">
        <f>ROUND((G133-F133),4)</f>
        <v>1.3</v>
      </c>
    </row>
    <row r="134" spans="1:12" ht="23" customHeight="1">
      <c r="A134" s="6">
        <v>5</v>
      </c>
      <c r="B134" s="6">
        <v>2</v>
      </c>
      <c r="C134" s="6">
        <v>138</v>
      </c>
      <c r="D134" s="6">
        <v>138</v>
      </c>
      <c r="E134" s="6">
        <v>139</v>
      </c>
      <c r="F134" s="35">
        <v>19.5</v>
      </c>
      <c r="G134" s="35">
        <v>20.8</v>
      </c>
      <c r="H134" s="36">
        <f>ROUND((G134-F134),4)</f>
        <v>1.3</v>
      </c>
    </row>
    <row r="135" spans="1:12" ht="23" customHeight="1">
      <c r="A135" s="6">
        <v>5</v>
      </c>
      <c r="B135" s="6">
        <v>2</v>
      </c>
      <c r="C135" s="6">
        <v>139</v>
      </c>
      <c r="D135" s="6">
        <v>139</v>
      </c>
      <c r="E135" s="6">
        <v>140</v>
      </c>
      <c r="F135" s="35">
        <v>20.8</v>
      </c>
      <c r="G135" s="35">
        <v>22.1</v>
      </c>
      <c r="H135" s="36">
        <f>ROUND((G135-F135),4)</f>
        <v>1.3</v>
      </c>
    </row>
    <row r="136" spans="1:12" ht="23" customHeight="1">
      <c r="A136" s="6">
        <v>5</v>
      </c>
      <c r="B136" s="6">
        <v>2</v>
      </c>
      <c r="C136" s="6">
        <v>140</v>
      </c>
      <c r="D136" s="6">
        <v>140</v>
      </c>
      <c r="E136" s="6">
        <v>141</v>
      </c>
      <c r="F136" s="35">
        <v>22.1</v>
      </c>
      <c r="G136" s="35">
        <v>23.4</v>
      </c>
      <c r="H136" s="36">
        <f>ROUND((G136-F136),4)</f>
        <v>1.3</v>
      </c>
    </row>
    <row r="137" spans="1:12" ht="23" customHeight="1">
      <c r="A137" s="6">
        <v>5</v>
      </c>
      <c r="B137" s="6">
        <v>2</v>
      </c>
      <c r="C137" s="6">
        <v>141</v>
      </c>
      <c r="D137" s="6">
        <v>141</v>
      </c>
      <c r="E137" s="6">
        <v>142</v>
      </c>
      <c r="F137" s="35">
        <v>23.4</v>
      </c>
      <c r="G137" s="35">
        <v>24.7</v>
      </c>
      <c r="H137" s="36">
        <f>ROUND((G137-F137),4)</f>
        <v>1.3</v>
      </c>
    </row>
    <row r="138" spans="1:12" ht="23" customHeight="1">
      <c r="A138" s="6">
        <v>5</v>
      </c>
      <c r="B138" s="6">
        <v>2</v>
      </c>
      <c r="C138" s="6">
        <v>142</v>
      </c>
      <c r="D138" s="6">
        <v>142</v>
      </c>
      <c r="E138" s="6">
        <v>143</v>
      </c>
      <c r="F138" s="35">
        <v>24.7</v>
      </c>
      <c r="G138" s="35">
        <v>26</v>
      </c>
      <c r="H138" s="36">
        <f>ROUND((G138-F138),4)</f>
        <v>1.3</v>
      </c>
    </row>
    <row r="139" spans="1:12" ht="23" customHeight="1">
      <c r="A139" s="6">
        <v>5</v>
      </c>
      <c r="B139" s="6">
        <v>2</v>
      </c>
      <c r="C139" s="6">
        <v>143</v>
      </c>
      <c r="D139" s="6">
        <v>143</v>
      </c>
      <c r="E139" s="6">
        <v>144</v>
      </c>
      <c r="F139" s="35">
        <v>26</v>
      </c>
      <c r="G139" s="35">
        <v>27.3</v>
      </c>
      <c r="H139" s="36">
        <f>ROUND((G139-F139),4)</f>
        <v>1.3</v>
      </c>
    </row>
    <row r="140" spans="1:12" ht="24" customHeight="1">
      <c r="A140" s="3" t="s">
        <v>143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8</v>
      </c>
      <c r="B141" s="4" t="s">
        <v>9</v>
      </c>
      <c r="C141" s="4" t="s">
        <v>10</v>
      </c>
      <c r="D141" s="4" t="s">
        <v>11</v>
      </c>
      <c r="E141" s="4" t="s">
        <v>12</v>
      </c>
      <c r="F141" s="4" t="s">
        <v>144</v>
      </c>
      <c r="G141" s="4" t="s">
        <v>145</v>
      </c>
      <c r="H141" s="4" t="s">
        <v>127</v>
      </c>
    </row>
    <row r="142" spans="1:12" ht="23" customHeight="1">
      <c r="A142" s="6">
        <v>5</v>
      </c>
      <c r="B142" s="6">
        <v>2</v>
      </c>
      <c r="C142" s="6">
        <v>144</v>
      </c>
      <c r="D142" s="6">
        <v>144</v>
      </c>
      <c r="E142" s="6">
        <v>145</v>
      </c>
      <c r="F142" s="35">
        <v>27.3</v>
      </c>
      <c r="G142" s="35">
        <v>28.6</v>
      </c>
      <c r="H142" s="36">
        <f>ROUND((G142-F142),4)</f>
        <v>1.3</v>
      </c>
    </row>
    <row r="143" spans="1:12" ht="23" customHeight="1">
      <c r="A143" s="6">
        <v>5</v>
      </c>
      <c r="B143" s="6">
        <v>2</v>
      </c>
      <c r="C143" s="6">
        <v>145</v>
      </c>
      <c r="D143" s="6">
        <v>145</v>
      </c>
      <c r="E143" s="6">
        <v>146</v>
      </c>
      <c r="F143" s="35">
        <v>28.6</v>
      </c>
      <c r="G143" s="35">
        <v>29.9</v>
      </c>
      <c r="H143" s="36">
        <f>ROUND((G143-F143),4)</f>
        <v>1.3</v>
      </c>
    </row>
    <row r="144" spans="1:12" ht="23" customHeight="1">
      <c r="A144" s="6">
        <v>5</v>
      </c>
      <c r="B144" s="6">
        <v>2</v>
      </c>
      <c r="C144" s="6">
        <v>146</v>
      </c>
      <c r="D144" s="6">
        <v>146</v>
      </c>
      <c r="E144" s="6">
        <v>147</v>
      </c>
      <c r="F144" s="35">
        <v>29.9</v>
      </c>
      <c r="G144" s="35">
        <v>31</v>
      </c>
      <c r="H144" s="36">
        <f>ROUND((G144-F144),4)</f>
        <v>1.1</v>
      </c>
    </row>
    <row r="145" spans="1:12" ht="23" customHeight="1">
      <c r="A145" s="6">
        <v>6</v>
      </c>
      <c r="B145" s="6">
        <v>3</v>
      </c>
      <c r="C145" s="6">
        <v>148</v>
      </c>
      <c r="D145" s="6">
        <v>148</v>
      </c>
      <c r="E145" s="6">
        <v>149</v>
      </c>
      <c r="F145" s="35">
        <v>0</v>
      </c>
      <c r="G145" s="35">
        <v>1.3</v>
      </c>
      <c r="H145" s="36">
        <f>ROUND((G145-F145),4)</f>
        <v>1.3</v>
      </c>
    </row>
    <row r="146" spans="1:12" ht="23" customHeight="1">
      <c r="A146" s="6">
        <v>6</v>
      </c>
      <c r="B146" s="6">
        <v>3</v>
      </c>
      <c r="C146" s="6">
        <v>149</v>
      </c>
      <c r="D146" s="6">
        <v>149</v>
      </c>
      <c r="E146" s="6">
        <v>150</v>
      </c>
      <c r="F146" s="35">
        <v>1.3</v>
      </c>
      <c r="G146" s="35">
        <v>2.6</v>
      </c>
      <c r="H146" s="36">
        <f>ROUND((G146-F146),4)</f>
        <v>1.3</v>
      </c>
    </row>
    <row r="147" spans="1:12" ht="23" customHeight="1">
      <c r="A147" s="6">
        <v>6</v>
      </c>
      <c r="B147" s="6">
        <v>3</v>
      </c>
      <c r="C147" s="6">
        <v>150</v>
      </c>
      <c r="D147" s="6">
        <v>150</v>
      </c>
      <c r="E147" s="6">
        <v>151</v>
      </c>
      <c r="F147" s="35">
        <v>2.6</v>
      </c>
      <c r="G147" s="35">
        <v>3.9</v>
      </c>
      <c r="H147" s="36">
        <f>ROUND((G147-F147),4)</f>
        <v>1.3</v>
      </c>
    </row>
    <row r="148" spans="1:12" ht="23" customHeight="1">
      <c r="A148" s="6">
        <v>6</v>
      </c>
      <c r="B148" s="6">
        <v>3</v>
      </c>
      <c r="C148" s="6">
        <v>151</v>
      </c>
      <c r="D148" s="6">
        <v>151</v>
      </c>
      <c r="E148" s="6">
        <v>152</v>
      </c>
      <c r="F148" s="35">
        <v>3.9</v>
      </c>
      <c r="G148" s="35">
        <v>5.2</v>
      </c>
      <c r="H148" s="36">
        <f>ROUND((G148-F148),4)</f>
        <v>1.3</v>
      </c>
    </row>
    <row r="149" spans="1:12" ht="23" customHeight="1">
      <c r="A149" s="6">
        <v>6</v>
      </c>
      <c r="B149" s="6">
        <v>3</v>
      </c>
      <c r="C149" s="6">
        <v>152</v>
      </c>
      <c r="D149" s="6">
        <v>152</v>
      </c>
      <c r="E149" s="6">
        <v>153</v>
      </c>
      <c r="F149" s="35">
        <v>5.2</v>
      </c>
      <c r="G149" s="35">
        <v>6.5</v>
      </c>
      <c r="H149" s="36">
        <f>ROUND((G149-F149),4)</f>
        <v>1.3</v>
      </c>
    </row>
    <row r="150" spans="1:12" ht="23" customHeight="1">
      <c r="A150" s="6">
        <v>6</v>
      </c>
      <c r="B150" s="6">
        <v>3</v>
      </c>
      <c r="C150" s="6">
        <v>153</v>
      </c>
      <c r="D150" s="6">
        <v>153</v>
      </c>
      <c r="E150" s="6">
        <v>154</v>
      </c>
      <c r="F150" s="35">
        <v>6.5</v>
      </c>
      <c r="G150" s="35">
        <v>7.8</v>
      </c>
      <c r="H150" s="36">
        <f>ROUND((G150-F150),4)</f>
        <v>1.3</v>
      </c>
    </row>
    <row r="151" spans="1:12" ht="23" customHeight="1">
      <c r="A151" s="6">
        <v>6</v>
      </c>
      <c r="B151" s="6">
        <v>3</v>
      </c>
      <c r="C151" s="6">
        <v>154</v>
      </c>
      <c r="D151" s="6">
        <v>154</v>
      </c>
      <c r="E151" s="6">
        <v>155</v>
      </c>
      <c r="F151" s="35">
        <v>7.8</v>
      </c>
      <c r="G151" s="35">
        <v>9.1</v>
      </c>
      <c r="H151" s="36">
        <f>ROUND((G151-F151),4)</f>
        <v>1.3</v>
      </c>
    </row>
    <row r="152" spans="1:12" ht="23" customHeight="1">
      <c r="A152" s="6">
        <v>6</v>
      </c>
      <c r="B152" s="6">
        <v>3</v>
      </c>
      <c r="C152" s="6">
        <v>155</v>
      </c>
      <c r="D152" s="6">
        <v>155</v>
      </c>
      <c r="E152" s="6">
        <v>156</v>
      </c>
      <c r="F152" s="35">
        <v>9.1</v>
      </c>
      <c r="G152" s="35">
        <v>10.4</v>
      </c>
      <c r="H152" s="36">
        <f>ROUND((G152-F152),4)</f>
        <v>1.3</v>
      </c>
    </row>
    <row r="153" spans="1:12" ht="23" customHeight="1">
      <c r="A153" s="6">
        <v>6</v>
      </c>
      <c r="B153" s="6">
        <v>3</v>
      </c>
      <c r="C153" s="6">
        <v>156</v>
      </c>
      <c r="D153" s="6">
        <v>156</v>
      </c>
      <c r="E153" s="6">
        <v>157</v>
      </c>
      <c r="F153" s="35">
        <v>10.4</v>
      </c>
      <c r="G153" s="35">
        <v>11.7</v>
      </c>
      <c r="H153" s="36">
        <f>ROUND((G153-F153),4)</f>
        <v>1.3</v>
      </c>
    </row>
    <row r="154" spans="1:12" ht="23" customHeight="1">
      <c r="A154" s="6">
        <v>6</v>
      </c>
      <c r="B154" s="6">
        <v>3</v>
      </c>
      <c r="C154" s="6">
        <v>157</v>
      </c>
      <c r="D154" s="6">
        <v>157</v>
      </c>
      <c r="E154" s="6">
        <v>158</v>
      </c>
      <c r="F154" s="35">
        <v>11.7</v>
      </c>
      <c r="G154" s="35">
        <v>13</v>
      </c>
      <c r="H154" s="36">
        <f>ROUND((G154-F154),4)</f>
        <v>1.3</v>
      </c>
    </row>
    <row r="155" spans="1:12" ht="23" customHeight="1">
      <c r="A155" s="6">
        <v>6</v>
      </c>
      <c r="B155" s="6">
        <v>3</v>
      </c>
      <c r="C155" s="6">
        <v>158</v>
      </c>
      <c r="D155" s="6">
        <v>158</v>
      </c>
      <c r="E155" s="6">
        <v>159</v>
      </c>
      <c r="F155" s="35">
        <v>13</v>
      </c>
      <c r="G155" s="35">
        <v>14.3</v>
      </c>
      <c r="H155" s="36">
        <f>ROUND((G155-F155),4)</f>
        <v>1.3</v>
      </c>
    </row>
    <row r="156" spans="1:12" ht="23" customHeight="1">
      <c r="A156" s="6">
        <v>6</v>
      </c>
      <c r="B156" s="6">
        <v>3</v>
      </c>
      <c r="C156" s="6">
        <v>159</v>
      </c>
      <c r="D156" s="6">
        <v>159</v>
      </c>
      <c r="E156" s="6">
        <v>160</v>
      </c>
      <c r="F156" s="35">
        <v>14.3</v>
      </c>
      <c r="G156" s="35">
        <v>15.6</v>
      </c>
      <c r="H156" s="36">
        <f>ROUND((G156-F156),4)</f>
        <v>1.3</v>
      </c>
    </row>
    <row r="157" spans="1:12" ht="24" customHeight="1">
      <c r="A157" s="3" t="s">
        <v>143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8</v>
      </c>
      <c r="B158" s="4" t="s">
        <v>9</v>
      </c>
      <c r="C158" s="4" t="s">
        <v>10</v>
      </c>
      <c r="D158" s="4" t="s">
        <v>11</v>
      </c>
      <c r="E158" s="4" t="s">
        <v>12</v>
      </c>
      <c r="F158" s="4" t="s">
        <v>144</v>
      </c>
      <c r="G158" s="4" t="s">
        <v>145</v>
      </c>
      <c r="H158" s="4" t="s">
        <v>127</v>
      </c>
    </row>
    <row r="159" spans="1:12" ht="23" customHeight="1">
      <c r="A159" s="6">
        <v>6</v>
      </c>
      <c r="B159" s="6">
        <v>3</v>
      </c>
      <c r="C159" s="6">
        <v>160</v>
      </c>
      <c r="D159" s="6">
        <v>160</v>
      </c>
      <c r="E159" s="6">
        <v>161</v>
      </c>
      <c r="F159" s="35">
        <v>15.6</v>
      </c>
      <c r="G159" s="35">
        <v>16.9</v>
      </c>
      <c r="H159" s="36">
        <f>ROUND((G159-F159),4)</f>
        <v>1.3</v>
      </c>
    </row>
    <row r="160" spans="1:12" ht="23" customHeight="1">
      <c r="A160" s="6">
        <v>6</v>
      </c>
      <c r="B160" s="6">
        <v>3</v>
      </c>
      <c r="C160" s="6">
        <v>161</v>
      </c>
      <c r="D160" s="6">
        <v>161</v>
      </c>
      <c r="E160" s="6">
        <v>162</v>
      </c>
      <c r="F160" s="35">
        <v>16.9</v>
      </c>
      <c r="G160" s="35">
        <v>18.2</v>
      </c>
      <c r="H160" s="36">
        <f>ROUND((G160-F160),4)</f>
        <v>1.3</v>
      </c>
    </row>
    <row r="161" spans="1:12" ht="23" customHeight="1">
      <c r="A161" s="6">
        <v>6</v>
      </c>
      <c r="B161" s="6">
        <v>3</v>
      </c>
      <c r="C161" s="6">
        <v>162</v>
      </c>
      <c r="D161" s="6">
        <v>162</v>
      </c>
      <c r="E161" s="6">
        <v>163</v>
      </c>
      <c r="F161" s="35">
        <v>18.2</v>
      </c>
      <c r="G161" s="35">
        <v>19.5</v>
      </c>
      <c r="H161" s="36">
        <f>ROUND((G161-F161),4)</f>
        <v>1.3</v>
      </c>
    </row>
    <row r="162" spans="1:12" ht="23" customHeight="1">
      <c r="A162" s="6">
        <v>6</v>
      </c>
      <c r="B162" s="6">
        <v>3</v>
      </c>
      <c r="C162" s="6">
        <v>163</v>
      </c>
      <c r="D162" s="6">
        <v>163</v>
      </c>
      <c r="E162" s="6">
        <v>164</v>
      </c>
      <c r="F162" s="35">
        <v>19.5</v>
      </c>
      <c r="G162" s="35">
        <v>20.8</v>
      </c>
      <c r="H162" s="36">
        <f>ROUND((G162-F162),4)</f>
        <v>1.3</v>
      </c>
    </row>
    <row r="163" spans="1:12" ht="23" customHeight="1">
      <c r="A163" s="6">
        <v>6</v>
      </c>
      <c r="B163" s="6">
        <v>3</v>
      </c>
      <c r="C163" s="6">
        <v>164</v>
      </c>
      <c r="D163" s="6">
        <v>164</v>
      </c>
      <c r="E163" s="6">
        <v>165</v>
      </c>
      <c r="F163" s="35">
        <v>20.8</v>
      </c>
      <c r="G163" s="35">
        <v>22.1</v>
      </c>
      <c r="H163" s="36">
        <f>ROUND((G163-F163),4)</f>
        <v>1.3</v>
      </c>
    </row>
    <row r="164" spans="1:12" ht="23" customHeight="1">
      <c r="A164" s="6">
        <v>6</v>
      </c>
      <c r="B164" s="6">
        <v>3</v>
      </c>
      <c r="C164" s="6">
        <v>165</v>
      </c>
      <c r="D164" s="6">
        <v>165</v>
      </c>
      <c r="E164" s="6">
        <v>166</v>
      </c>
      <c r="F164" s="35">
        <v>22.1</v>
      </c>
      <c r="G164" s="35">
        <v>23.4</v>
      </c>
      <c r="H164" s="36">
        <f>ROUND((G164-F164),4)</f>
        <v>1.3</v>
      </c>
    </row>
    <row r="165" spans="1:12" ht="23" customHeight="1">
      <c r="A165" s="6">
        <v>6</v>
      </c>
      <c r="B165" s="6">
        <v>3</v>
      </c>
      <c r="C165" s="6">
        <v>166</v>
      </c>
      <c r="D165" s="6">
        <v>166</v>
      </c>
      <c r="E165" s="6">
        <v>167</v>
      </c>
      <c r="F165" s="35">
        <v>23.4</v>
      </c>
      <c r="G165" s="35">
        <v>24.7</v>
      </c>
      <c r="H165" s="36">
        <f>ROUND((G165-F165),4)</f>
        <v>1.3</v>
      </c>
    </row>
    <row r="166" spans="1:12" ht="23" customHeight="1">
      <c r="A166" s="6">
        <v>6</v>
      </c>
      <c r="B166" s="6">
        <v>3</v>
      </c>
      <c r="C166" s="6">
        <v>167</v>
      </c>
      <c r="D166" s="6">
        <v>167</v>
      </c>
      <c r="E166" s="6">
        <v>168</v>
      </c>
      <c r="F166" s="35">
        <v>24.7</v>
      </c>
      <c r="G166" s="35">
        <v>26</v>
      </c>
      <c r="H166" s="36">
        <f>ROUND((G166-F166),4)</f>
        <v>1.3</v>
      </c>
    </row>
    <row r="167" spans="1:12" ht="23" customHeight="1">
      <c r="A167" s="6">
        <v>6</v>
      </c>
      <c r="B167" s="6">
        <v>3</v>
      </c>
      <c r="C167" s="6">
        <v>168</v>
      </c>
      <c r="D167" s="6">
        <v>168</v>
      </c>
      <c r="E167" s="6">
        <v>169</v>
      </c>
      <c r="F167" s="35">
        <v>26</v>
      </c>
      <c r="G167" s="35">
        <v>27.3</v>
      </c>
      <c r="H167" s="36">
        <f>ROUND((G167-F167),4)</f>
        <v>1.3</v>
      </c>
    </row>
    <row r="168" spans="1:12" ht="23" customHeight="1">
      <c r="A168" s="6">
        <v>6</v>
      </c>
      <c r="B168" s="6">
        <v>3</v>
      </c>
      <c r="C168" s="6">
        <v>169</v>
      </c>
      <c r="D168" s="6">
        <v>169</v>
      </c>
      <c r="E168" s="6">
        <v>170</v>
      </c>
      <c r="F168" s="35">
        <v>27.3</v>
      </c>
      <c r="G168" s="35">
        <v>28.6</v>
      </c>
      <c r="H168" s="36">
        <f>ROUND((G168-F168),4)</f>
        <v>1.3</v>
      </c>
    </row>
    <row r="169" spans="1:12" ht="23" customHeight="1">
      <c r="A169" s="6">
        <v>6</v>
      </c>
      <c r="B169" s="6">
        <v>3</v>
      </c>
      <c r="C169" s="6">
        <v>170</v>
      </c>
      <c r="D169" s="6">
        <v>170</v>
      </c>
      <c r="E169" s="6">
        <v>171</v>
      </c>
      <c r="F169" s="35">
        <v>28.6</v>
      </c>
      <c r="G169" s="35">
        <v>29.9</v>
      </c>
      <c r="H169" s="36">
        <f>ROUND((G169-F169),4)</f>
        <v>1.3</v>
      </c>
    </row>
    <row r="170" spans="1:12" ht="23" customHeight="1">
      <c r="A170" s="6">
        <v>6</v>
      </c>
      <c r="B170" s="6">
        <v>3</v>
      </c>
      <c r="C170" s="6">
        <v>171</v>
      </c>
      <c r="D170" s="6">
        <v>171</v>
      </c>
      <c r="E170" s="6">
        <v>172</v>
      </c>
      <c r="F170" s="35">
        <v>29.9</v>
      </c>
      <c r="G170" s="35">
        <v>31</v>
      </c>
      <c r="H170" s="36">
        <f>ROUND((G170-F170),4)</f>
        <v>1.1</v>
      </c>
    </row>
    <row r="171" spans="1:12" ht="23" customHeight="1"/>
    <row r="172" spans="1:12" ht="24" customHeight="1">
      <c r="A172" s="3" t="s">
        <v>146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36" customHeight="1">
      <c r="A173" s="4" t="s">
        <v>8</v>
      </c>
      <c r="B173" s="4" t="s">
        <v>10</v>
      </c>
      <c r="C173" s="4" t="s">
        <v>147</v>
      </c>
      <c r="D173" s="4" t="s">
        <v>148</v>
      </c>
      <c r="E173" s="4" t="s">
        <v>149</v>
      </c>
      <c r="F173" s="4" t="s">
        <v>150</v>
      </c>
      <c r="G173" s="4" t="s">
        <v>151</v>
      </c>
      <c r="H173" s="4" t="s">
        <v>152</v>
      </c>
      <c r="I173" s="4" t="s">
        <v>153</v>
      </c>
      <c r="J173" s="4" t="s">
        <v>154</v>
      </c>
      <c r="K173" s="4" t="s">
        <v>155</v>
      </c>
      <c r="L173" s="4" t="s">
        <v>125</v>
      </c>
    </row>
    <row r="174" spans="1:12" ht="23" customHeight="1">
      <c r="A174" s="6">
        <v>4</v>
      </c>
      <c r="B174" s="6">
        <v>98</v>
      </c>
      <c r="C174" s="6">
        <v>1</v>
      </c>
      <c r="D174" s="6">
        <v>187</v>
      </c>
      <c r="E174" s="35">
        <v>0</v>
      </c>
      <c r="F174" s="35">
        <v>1.5</v>
      </c>
      <c r="G174" s="36">
        <f>MAX(F91,E174)</f>
        <v>0.0</v>
      </c>
      <c r="H174" s="36">
        <f>MIN(G91,F174)</f>
        <v>1.3</v>
      </c>
      <c r="I174" s="36">
        <f>MAX(0,ROUND((H174-G174),4))</f>
        <v>1.3</v>
      </c>
      <c r="J174" s="37">
        <f>'入力根拠'!F61</f>
        <v>1162.9</v>
      </c>
      <c r="K174" s="37">
        <f>'入力根拠'!F62</f>
        <v>1329.7</v>
      </c>
      <c r="L174" s="9">
        <f>ROUND((F174-E174),4)</f>
        <v>1.5</v>
      </c>
    </row>
    <row r="175" spans="1:12" ht="23" customHeight="1">
      <c r="A175" s="6">
        <v>4</v>
      </c>
      <c r="B175" s="6">
        <v>99</v>
      </c>
      <c r="C175" s="6">
        <v>1</v>
      </c>
      <c r="D175" s="6">
        <v>187</v>
      </c>
      <c r="E175" s="35">
        <v>0</v>
      </c>
      <c r="F175" s="35">
        <v>1.5</v>
      </c>
      <c r="G175" s="36">
        <f>MAX(F92,E175)</f>
        <v>1.3</v>
      </c>
      <c r="H175" s="36">
        <f>MIN(G92,F175)</f>
        <v>1.5</v>
      </c>
      <c r="I175" s="36">
        <f>MAX(0,ROUND((H175-G175),4))</f>
        <v>0.2</v>
      </c>
      <c r="J175" s="37">
        <f>'入力根拠'!F61</f>
        <v>1162.9</v>
      </c>
      <c r="K175" s="37">
        <f>'入力根拠'!F62</f>
        <v>1329.7</v>
      </c>
      <c r="L175" s="9">
        <f>ROUND((F175-E175),4)</f>
        <v>1.5</v>
      </c>
    </row>
    <row r="176" spans="1:12" ht="23" customHeight="1">
      <c r="A176" s="6">
        <v>4</v>
      </c>
      <c r="B176" s="6">
        <v>99</v>
      </c>
      <c r="C176" s="6">
        <v>2</v>
      </c>
      <c r="D176" s="6">
        <v>188</v>
      </c>
      <c r="E176" s="35">
        <v>1.5</v>
      </c>
      <c r="F176" s="35">
        <v>2.8</v>
      </c>
      <c r="G176" s="36">
        <f>MAX(F92,E176)</f>
        <v>1.5</v>
      </c>
      <c r="H176" s="36">
        <f>MIN(G92,F176)</f>
        <v>2.6</v>
      </c>
      <c r="I176" s="36">
        <f>MAX(0,ROUND((H176-G176),4))</f>
        <v>1.1</v>
      </c>
      <c r="J176" s="37">
        <f>'入力根拠'!F63</f>
        <v>2018.1</v>
      </c>
      <c r="K176" s="37">
        <f>'入力根拠'!F64</f>
        <v>2237.4</v>
      </c>
      <c r="L176" s="9">
        <f>ROUND((F176-E176),4)</f>
        <v>1.3</v>
      </c>
    </row>
    <row r="177" spans="1:12" ht="23" customHeight="1">
      <c r="A177" s="6">
        <v>4</v>
      </c>
      <c r="B177" s="6">
        <v>100</v>
      </c>
      <c r="C177" s="6">
        <v>2</v>
      </c>
      <c r="D177" s="6">
        <v>188</v>
      </c>
      <c r="E177" s="35">
        <v>1.5</v>
      </c>
      <c r="F177" s="35">
        <v>2.8</v>
      </c>
      <c r="G177" s="36">
        <f>MAX(F93,E177)</f>
        <v>2.6</v>
      </c>
      <c r="H177" s="36">
        <f>MIN(G93,F177)</f>
        <v>2.8</v>
      </c>
      <c r="I177" s="36">
        <f>MAX(0,ROUND((H177-G177),4))</f>
        <v>0.2</v>
      </c>
      <c r="J177" s="37">
        <f>'入力根拠'!F63</f>
        <v>2018.1</v>
      </c>
      <c r="K177" s="37">
        <f>'入力根拠'!F64</f>
        <v>2237.4</v>
      </c>
      <c r="L177" s="9">
        <f>ROUND((F177-E177),4)</f>
        <v>1.3</v>
      </c>
    </row>
    <row r="178" spans="1:12" ht="23" customHeight="1">
      <c r="A178" s="6">
        <v>4</v>
      </c>
      <c r="B178" s="6">
        <v>100</v>
      </c>
      <c r="C178" s="6">
        <v>3</v>
      </c>
      <c r="D178" s="6">
        <v>189</v>
      </c>
      <c r="E178" s="35">
        <v>2.8</v>
      </c>
      <c r="F178" s="35">
        <v>5.7</v>
      </c>
      <c r="G178" s="36">
        <f>MAX(F93,E178)</f>
        <v>2.8</v>
      </c>
      <c r="H178" s="36">
        <f>MIN(G93,F178)</f>
        <v>3.9</v>
      </c>
      <c r="I178" s="36">
        <f>MAX(0,ROUND((H178-G178),4))</f>
        <v>1.1</v>
      </c>
      <c r="J178" s="37">
        <f>'入力根拠'!F65</f>
        <v>1755.0</v>
      </c>
      <c r="K178" s="37">
        <f>'入力根拠'!F66</f>
        <v>1755.0</v>
      </c>
      <c r="L178" s="9">
        <f>ROUND((F178-E178),4)</f>
        <v>2.9</v>
      </c>
    </row>
    <row r="179" spans="1:12" ht="23" customHeight="1">
      <c r="A179" s="6">
        <v>4</v>
      </c>
      <c r="B179" s="6">
        <v>101</v>
      </c>
      <c r="C179" s="6">
        <v>3</v>
      </c>
      <c r="D179" s="6">
        <v>189</v>
      </c>
      <c r="E179" s="35">
        <v>2.8</v>
      </c>
      <c r="F179" s="35">
        <v>5.7</v>
      </c>
      <c r="G179" s="36">
        <f>MAX(F94,E179)</f>
        <v>3.9</v>
      </c>
      <c r="H179" s="36">
        <f>MIN(G94,F179)</f>
        <v>5.2</v>
      </c>
      <c r="I179" s="36">
        <f>MAX(0,ROUND((H179-G179),4))</f>
        <v>1.3</v>
      </c>
      <c r="J179" s="37">
        <f>'入力根拠'!F65</f>
        <v>1755.0</v>
      </c>
      <c r="K179" s="37">
        <f>'入力根拠'!F66</f>
        <v>1755.0</v>
      </c>
      <c r="L179" s="9">
        <f>ROUND((F179-E179),4)</f>
        <v>2.9</v>
      </c>
    </row>
    <row r="180" spans="1:12" ht="23" customHeight="1">
      <c r="A180" s="6">
        <v>4</v>
      </c>
      <c r="B180" s="6">
        <v>102</v>
      </c>
      <c r="C180" s="6">
        <v>3</v>
      </c>
      <c r="D180" s="6">
        <v>189</v>
      </c>
      <c r="E180" s="35">
        <v>2.8</v>
      </c>
      <c r="F180" s="35">
        <v>5.7</v>
      </c>
      <c r="G180" s="36">
        <f>MAX(F95,E180)</f>
        <v>5.2</v>
      </c>
      <c r="H180" s="36">
        <f>MIN(G95,F180)</f>
        <v>5.7</v>
      </c>
      <c r="I180" s="36">
        <f>MAX(0,ROUND((H180-G180),4))</f>
        <v>0.5</v>
      </c>
      <c r="J180" s="37">
        <f>'入力根拠'!F65</f>
        <v>1755.0</v>
      </c>
      <c r="K180" s="37">
        <f>'入力根拠'!F66</f>
        <v>1755.0</v>
      </c>
      <c r="L180" s="9">
        <f>ROUND((F180-E180),4)</f>
        <v>2.9</v>
      </c>
    </row>
    <row r="181" spans="1:12" ht="23" customHeight="1">
      <c r="A181" s="6">
        <v>4</v>
      </c>
      <c r="B181" s="6">
        <v>102</v>
      </c>
      <c r="C181" s="6">
        <v>4</v>
      </c>
      <c r="D181" s="6">
        <v>190</v>
      </c>
      <c r="E181" s="35">
        <v>5.7</v>
      </c>
      <c r="F181" s="35">
        <v>8.300000000000001</v>
      </c>
      <c r="G181" s="36">
        <f>MAX(F95,E181)</f>
        <v>5.7</v>
      </c>
      <c r="H181" s="36">
        <f>MIN(G95,F181)</f>
        <v>6.5</v>
      </c>
      <c r="I181" s="36">
        <f>MAX(0,ROUND((H181-G181),4))</f>
        <v>0.8</v>
      </c>
      <c r="J181" s="37">
        <f>'入力根拠'!F67</f>
        <v>2349.1</v>
      </c>
      <c r="K181" s="37">
        <f>'入力根拠'!F68</f>
        <v>2751.0</v>
      </c>
      <c r="L181" s="9">
        <f>ROUND((F181-E181),4)</f>
        <v>2.6</v>
      </c>
    </row>
    <row r="182" spans="1:12" ht="23" customHeight="1">
      <c r="A182" s="6">
        <v>4</v>
      </c>
      <c r="B182" s="6">
        <v>103</v>
      </c>
      <c r="C182" s="6">
        <v>4</v>
      </c>
      <c r="D182" s="6">
        <v>190</v>
      </c>
      <c r="E182" s="35">
        <v>5.7</v>
      </c>
      <c r="F182" s="35">
        <v>8.300000000000001</v>
      </c>
      <c r="G182" s="36">
        <f>MAX(F96,E182)</f>
        <v>6.5</v>
      </c>
      <c r="H182" s="36">
        <f>MIN(G96,F182)</f>
        <v>7.8</v>
      </c>
      <c r="I182" s="36">
        <f>MAX(0,ROUND((H182-G182),4))</f>
        <v>1.3</v>
      </c>
      <c r="J182" s="37">
        <f>'入力根拠'!F67</f>
        <v>2349.1</v>
      </c>
      <c r="K182" s="37">
        <f>'入力根拠'!F68</f>
        <v>2751.0</v>
      </c>
      <c r="L182" s="9">
        <f>ROUND((F182-E182),4)</f>
        <v>2.6</v>
      </c>
    </row>
    <row r="183" spans="1:12" ht="23" customHeight="1">
      <c r="A183" s="6">
        <v>4</v>
      </c>
      <c r="B183" s="6">
        <v>104</v>
      </c>
      <c r="C183" s="6">
        <v>4</v>
      </c>
      <c r="D183" s="6">
        <v>190</v>
      </c>
      <c r="E183" s="35">
        <v>5.7</v>
      </c>
      <c r="F183" s="35">
        <v>8.300000000000001</v>
      </c>
      <c r="G183" s="36">
        <f>MAX(F97,E183)</f>
        <v>7.8</v>
      </c>
      <c r="H183" s="36">
        <f>MIN(G97,F183)</f>
        <v>8.3</v>
      </c>
      <c r="I183" s="36">
        <f>MAX(0,ROUND((H183-G183),4))</f>
        <v>0.5</v>
      </c>
      <c r="J183" s="37">
        <f>'入力根拠'!F67</f>
        <v>2349.1</v>
      </c>
      <c r="K183" s="37">
        <f>'入力根拠'!F68</f>
        <v>2751.0</v>
      </c>
      <c r="L183" s="9">
        <f>ROUND((F183-E183),4)</f>
        <v>2.6</v>
      </c>
    </row>
    <row r="184" spans="1:12" ht="23" customHeight="1">
      <c r="A184" s="6">
        <v>4</v>
      </c>
      <c r="B184" s="6">
        <v>104</v>
      </c>
      <c r="C184" s="6">
        <v>5</v>
      </c>
      <c r="D184" s="6">
        <v>191</v>
      </c>
      <c r="E184" s="35">
        <v>8.300000000000001</v>
      </c>
      <c r="F184" s="35">
        <v>8.9</v>
      </c>
      <c r="G184" s="36">
        <f>MAX(F97,E184)</f>
        <v>8.3</v>
      </c>
      <c r="H184" s="36">
        <f>MIN(G97,F184)</f>
        <v>8.9</v>
      </c>
      <c r="I184" s="36">
        <f>MAX(0,ROUND((H184-G184),4))</f>
        <v>0.6</v>
      </c>
      <c r="J184" s="37">
        <f>'入力根拠'!F69</f>
        <v>6809.4</v>
      </c>
      <c r="K184" s="37">
        <f>'入力根拠'!F70</f>
        <v>6809.4</v>
      </c>
      <c r="L184" s="9">
        <f>ROUND((F184-E184),4)</f>
        <v>0.6</v>
      </c>
    </row>
    <row r="185" spans="1:12" ht="23" customHeight="1">
      <c r="A185" s="6">
        <v>4</v>
      </c>
      <c r="B185" s="6">
        <v>104</v>
      </c>
      <c r="C185" s="6">
        <v>6</v>
      </c>
      <c r="D185" s="6">
        <v>192</v>
      </c>
      <c r="E185" s="35">
        <v>8.9</v>
      </c>
      <c r="F185" s="35">
        <v>18.4</v>
      </c>
      <c r="G185" s="36">
        <f>MAX(F97,E185)</f>
        <v>8.9</v>
      </c>
      <c r="H185" s="36">
        <f>MIN(G97,F185)</f>
        <v>9.1</v>
      </c>
      <c r="I185" s="36">
        <f>MAX(0,ROUND((H185-G185),4))</f>
        <v>0.2</v>
      </c>
      <c r="J185" s="37">
        <f>'入力根拠'!F73</f>
        <v>2948.5</v>
      </c>
      <c r="K185" s="37">
        <f>'入力根拠'!F74</f>
        <v>4482.5</v>
      </c>
      <c r="L185" s="9">
        <f>ROUND((F185-E185),4)</f>
        <v>9.5</v>
      </c>
    </row>
    <row r="186" spans="1:12" ht="23" customHeight="1">
      <c r="A186" s="6">
        <v>4</v>
      </c>
      <c r="B186" s="6">
        <v>105</v>
      </c>
      <c r="C186" s="6">
        <v>6</v>
      </c>
      <c r="D186" s="6">
        <v>192</v>
      </c>
      <c r="E186" s="35">
        <v>8.9</v>
      </c>
      <c r="F186" s="35">
        <v>18.4</v>
      </c>
      <c r="G186" s="36">
        <f>MAX(F98,E186)</f>
        <v>9.1</v>
      </c>
      <c r="H186" s="36">
        <f>MIN(G98,F186)</f>
        <v>10.4</v>
      </c>
      <c r="I186" s="36">
        <f>MAX(0,ROUND((H186-G186),4))</f>
        <v>1.3</v>
      </c>
      <c r="J186" s="37">
        <f>'入力根拠'!F73</f>
        <v>2948.5</v>
      </c>
      <c r="K186" s="37">
        <f>'入力根拠'!F74</f>
        <v>4482.5</v>
      </c>
      <c r="L186" s="9">
        <f>ROUND((F186-E186),4)</f>
        <v>9.5</v>
      </c>
    </row>
    <row r="187" spans="1:12" ht="23" customHeight="1">
      <c r="A187" s="6">
        <v>4</v>
      </c>
      <c r="B187" s="6">
        <v>106</v>
      </c>
      <c r="C187" s="6">
        <v>6</v>
      </c>
      <c r="D187" s="6">
        <v>192</v>
      </c>
      <c r="E187" s="35">
        <v>8.9</v>
      </c>
      <c r="F187" s="35">
        <v>18.4</v>
      </c>
      <c r="G187" s="36">
        <f>MAX(F99,E187)</f>
        <v>10.4</v>
      </c>
      <c r="H187" s="36">
        <f>MIN(G99,F187)</f>
        <v>11.7</v>
      </c>
      <c r="I187" s="36">
        <f>MAX(0,ROUND((H187-G187),4))</f>
        <v>1.3</v>
      </c>
      <c r="J187" s="37">
        <f>'入力根拠'!F73</f>
        <v>2948.5</v>
      </c>
      <c r="K187" s="37">
        <f>'入力根拠'!F74</f>
        <v>4482.5</v>
      </c>
      <c r="L187" s="9">
        <f>ROUND((F187-E187),4)</f>
        <v>9.5</v>
      </c>
    </row>
    <row r="188" spans="1:12" ht="23" customHeight="1">
      <c r="A188" s="6">
        <v>4</v>
      </c>
      <c r="B188" s="6">
        <v>107</v>
      </c>
      <c r="C188" s="6">
        <v>6</v>
      </c>
      <c r="D188" s="6">
        <v>192</v>
      </c>
      <c r="E188" s="35">
        <v>8.9</v>
      </c>
      <c r="F188" s="35">
        <v>18.4</v>
      </c>
      <c r="G188" s="36">
        <f>MAX(F100,E188)</f>
        <v>11.7</v>
      </c>
      <c r="H188" s="36">
        <f>MIN(G100,F188)</f>
        <v>13.0</v>
      </c>
      <c r="I188" s="36">
        <f>MAX(0,ROUND((H188-G188),4))</f>
        <v>1.3</v>
      </c>
      <c r="J188" s="37">
        <f>'入力根拠'!F73</f>
        <v>2948.5</v>
      </c>
      <c r="K188" s="37">
        <f>'入力根拠'!F74</f>
        <v>4482.5</v>
      </c>
      <c r="L188" s="9">
        <f>ROUND((F188-E188),4)</f>
        <v>9.5</v>
      </c>
    </row>
    <row r="189" spans="1:12" ht="24" customHeight="1">
      <c r="A189" s="3" t="s">
        <v>146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36" customHeight="1">
      <c r="A190" s="4" t="s">
        <v>8</v>
      </c>
      <c r="B190" s="4" t="s">
        <v>10</v>
      </c>
      <c r="C190" s="4" t="s">
        <v>147</v>
      </c>
      <c r="D190" s="4" t="s">
        <v>148</v>
      </c>
      <c r="E190" s="4" t="s">
        <v>149</v>
      </c>
      <c r="F190" s="4" t="s">
        <v>150</v>
      </c>
      <c r="G190" s="4" t="s">
        <v>151</v>
      </c>
      <c r="H190" s="4" t="s">
        <v>152</v>
      </c>
      <c r="I190" s="4" t="s">
        <v>153</v>
      </c>
      <c r="J190" s="4" t="s">
        <v>154</v>
      </c>
      <c r="K190" s="4" t="s">
        <v>155</v>
      </c>
      <c r="L190" s="4" t="s">
        <v>125</v>
      </c>
    </row>
    <row r="191" spans="1:12" ht="23" customHeight="1">
      <c r="A191" s="6">
        <v>4</v>
      </c>
      <c r="B191" s="6">
        <v>108</v>
      </c>
      <c r="C191" s="6">
        <v>6</v>
      </c>
      <c r="D191" s="6">
        <v>192</v>
      </c>
      <c r="E191" s="35">
        <v>8.9</v>
      </c>
      <c r="F191" s="35">
        <v>18.4</v>
      </c>
      <c r="G191" s="36">
        <f>MAX(F101,E191)</f>
        <v>13.0</v>
      </c>
      <c r="H191" s="36">
        <f>MIN(G101,F191)</f>
        <v>14.3</v>
      </c>
      <c r="I191" s="36">
        <f>MAX(0,ROUND((H191-G191),4))</f>
        <v>1.3</v>
      </c>
      <c r="J191" s="37">
        <f>'入力根拠'!F73</f>
        <v>2948.5</v>
      </c>
      <c r="K191" s="37">
        <f>'入力根拠'!F74</f>
        <v>4482.5</v>
      </c>
      <c r="L191" s="9">
        <f>ROUND((F191-E191),4)</f>
        <v>9.5</v>
      </c>
    </row>
    <row r="192" spans="1:12" ht="23" customHeight="1">
      <c r="A192" s="6">
        <v>4</v>
      </c>
      <c r="B192" s="6">
        <v>109</v>
      </c>
      <c r="C192" s="6">
        <v>6</v>
      </c>
      <c r="D192" s="6">
        <v>192</v>
      </c>
      <c r="E192" s="35">
        <v>8.9</v>
      </c>
      <c r="F192" s="35">
        <v>18.4</v>
      </c>
      <c r="G192" s="36">
        <f>MAX(F102,E192)</f>
        <v>14.3</v>
      </c>
      <c r="H192" s="36">
        <f>MIN(G102,F192)</f>
        <v>15.6</v>
      </c>
      <c r="I192" s="36">
        <f>MAX(0,ROUND((H192-G192),4))</f>
        <v>1.3</v>
      </c>
      <c r="J192" s="37">
        <f>'入力根拠'!F73</f>
        <v>2948.5</v>
      </c>
      <c r="K192" s="37">
        <f>'入力根拠'!F74</f>
        <v>4482.5</v>
      </c>
      <c r="L192" s="9">
        <f>ROUND((F192-E192),4)</f>
        <v>9.5</v>
      </c>
    </row>
    <row r="193" spans="1:12" ht="23" customHeight="1">
      <c r="A193" s="6">
        <v>4</v>
      </c>
      <c r="B193" s="6">
        <v>110</v>
      </c>
      <c r="C193" s="6">
        <v>6</v>
      </c>
      <c r="D193" s="6">
        <v>192</v>
      </c>
      <c r="E193" s="35">
        <v>8.9</v>
      </c>
      <c r="F193" s="35">
        <v>18.4</v>
      </c>
      <c r="G193" s="36">
        <f>MAX(F103,E193)</f>
        <v>15.6</v>
      </c>
      <c r="H193" s="36">
        <f>MIN(G103,F193)</f>
        <v>16.9</v>
      </c>
      <c r="I193" s="36">
        <f>MAX(0,ROUND((H193-G193),4))</f>
        <v>1.3</v>
      </c>
      <c r="J193" s="37">
        <f>'入力根拠'!F73</f>
        <v>2948.5</v>
      </c>
      <c r="K193" s="37">
        <f>'入力根拠'!F74</f>
        <v>4482.5</v>
      </c>
      <c r="L193" s="9">
        <f>ROUND((F193-E193),4)</f>
        <v>9.5</v>
      </c>
    </row>
    <row r="194" spans="1:12" ht="23" customHeight="1">
      <c r="A194" s="6">
        <v>4</v>
      </c>
      <c r="B194" s="6">
        <v>111</v>
      </c>
      <c r="C194" s="6">
        <v>6</v>
      </c>
      <c r="D194" s="6">
        <v>192</v>
      </c>
      <c r="E194" s="35">
        <v>8.9</v>
      </c>
      <c r="F194" s="35">
        <v>18.4</v>
      </c>
      <c r="G194" s="36">
        <f>MAX(F104,E194)</f>
        <v>16.9</v>
      </c>
      <c r="H194" s="36">
        <f>MIN(G104,F194)</f>
        <v>18.2</v>
      </c>
      <c r="I194" s="36">
        <f>MAX(0,ROUND((H194-G194),4))</f>
        <v>1.3</v>
      </c>
      <c r="J194" s="37">
        <f>'入力根拠'!F73</f>
        <v>2948.5</v>
      </c>
      <c r="K194" s="37">
        <f>'入力根拠'!F74</f>
        <v>4482.5</v>
      </c>
      <c r="L194" s="9">
        <f>ROUND((F194-E194),4)</f>
        <v>9.5</v>
      </c>
    </row>
    <row r="195" spans="1:12" ht="23" customHeight="1">
      <c r="A195" s="6">
        <v>4</v>
      </c>
      <c r="B195" s="6">
        <v>112</v>
      </c>
      <c r="C195" s="6">
        <v>6</v>
      </c>
      <c r="D195" s="6">
        <v>192</v>
      </c>
      <c r="E195" s="35">
        <v>8.9</v>
      </c>
      <c r="F195" s="35">
        <v>18.4</v>
      </c>
      <c r="G195" s="36">
        <f>MAX(F105,E195)</f>
        <v>18.2</v>
      </c>
      <c r="H195" s="36">
        <f>MIN(G105,F195)</f>
        <v>18.4</v>
      </c>
      <c r="I195" s="36">
        <f>MAX(0,ROUND((H195-G195),4))</f>
        <v>0.2</v>
      </c>
      <c r="J195" s="37">
        <f>'入力根拠'!F73</f>
        <v>2948.5</v>
      </c>
      <c r="K195" s="37">
        <f>'入力根拠'!F74</f>
        <v>4482.5</v>
      </c>
      <c r="L195" s="9">
        <f>ROUND((F195-E195),4)</f>
        <v>9.5</v>
      </c>
    </row>
    <row r="196" spans="1:12" ht="23" customHeight="1">
      <c r="A196" s="6">
        <v>4</v>
      </c>
      <c r="B196" s="6">
        <v>112</v>
      </c>
      <c r="C196" s="6">
        <v>7</v>
      </c>
      <c r="D196" s="6">
        <v>193</v>
      </c>
      <c r="E196" s="35">
        <v>18.4</v>
      </c>
      <c r="F196" s="35">
        <v>31</v>
      </c>
      <c r="G196" s="36">
        <f>MAX(F105,E196)</f>
        <v>18.4</v>
      </c>
      <c r="H196" s="36">
        <f>MIN(G105,F196)</f>
        <v>19.5</v>
      </c>
      <c r="I196" s="36">
        <f>MAX(0,ROUND((H196-G196),4))</f>
        <v>1.1</v>
      </c>
      <c r="J196" s="37">
        <f>'入力根拠'!F75</f>
        <v>3088.8</v>
      </c>
      <c r="K196" s="37">
        <f>'入力根拠'!F76</f>
        <v>3088.8</v>
      </c>
      <c r="L196" s="9">
        <f>ROUND((F196-E196),4)</f>
        <v>12.6</v>
      </c>
    </row>
    <row r="197" spans="1:12" ht="23" customHeight="1">
      <c r="A197" s="6">
        <v>4</v>
      </c>
      <c r="B197" s="6">
        <v>113</v>
      </c>
      <c r="C197" s="6">
        <v>7</v>
      </c>
      <c r="D197" s="6">
        <v>193</v>
      </c>
      <c r="E197" s="35">
        <v>18.4</v>
      </c>
      <c r="F197" s="35">
        <v>31</v>
      </c>
      <c r="G197" s="36">
        <f>MAX(F108,E197)</f>
        <v>19.5</v>
      </c>
      <c r="H197" s="36">
        <f>MIN(G108,F197)</f>
        <v>20.8</v>
      </c>
      <c r="I197" s="36">
        <f>MAX(0,ROUND((H197-G197),4))</f>
        <v>1.3</v>
      </c>
      <c r="J197" s="37">
        <f>'入力根拠'!F75</f>
        <v>3088.8</v>
      </c>
      <c r="K197" s="37">
        <f>'入力根拠'!F76</f>
        <v>3088.8</v>
      </c>
      <c r="L197" s="9">
        <f>ROUND((F197-E197),4)</f>
        <v>12.6</v>
      </c>
    </row>
    <row r="198" spans="1:12" ht="23" customHeight="1">
      <c r="A198" s="6">
        <v>4</v>
      </c>
      <c r="B198" s="6">
        <v>114</v>
      </c>
      <c r="C198" s="6">
        <v>7</v>
      </c>
      <c r="D198" s="6">
        <v>193</v>
      </c>
      <c r="E198" s="35">
        <v>18.4</v>
      </c>
      <c r="F198" s="35">
        <v>31</v>
      </c>
      <c r="G198" s="36">
        <f>MAX(F109,E198)</f>
        <v>20.8</v>
      </c>
      <c r="H198" s="36">
        <f>MIN(G109,F198)</f>
        <v>22.1</v>
      </c>
      <c r="I198" s="36">
        <f>MAX(0,ROUND((H198-G198),4))</f>
        <v>1.3</v>
      </c>
      <c r="J198" s="37">
        <f>'入力根拠'!F75</f>
        <v>3088.8</v>
      </c>
      <c r="K198" s="37">
        <f>'入力根拠'!F76</f>
        <v>3088.8</v>
      </c>
      <c r="L198" s="9">
        <f>ROUND((F198-E198),4)</f>
        <v>12.6</v>
      </c>
    </row>
    <row r="199" spans="1:12" ht="23" customHeight="1">
      <c r="A199" s="6">
        <v>4</v>
      </c>
      <c r="B199" s="6">
        <v>115</v>
      </c>
      <c r="C199" s="6">
        <v>7</v>
      </c>
      <c r="D199" s="6">
        <v>193</v>
      </c>
      <c r="E199" s="35">
        <v>18.4</v>
      </c>
      <c r="F199" s="35">
        <v>31</v>
      </c>
      <c r="G199" s="36">
        <f>MAX(F110,E199)</f>
        <v>22.1</v>
      </c>
      <c r="H199" s="36">
        <f>MIN(G110,F199)</f>
        <v>23.4</v>
      </c>
      <c r="I199" s="36">
        <f>MAX(0,ROUND((H199-G199),4))</f>
        <v>1.3</v>
      </c>
      <c r="J199" s="37">
        <f>'入力根拠'!F75</f>
        <v>3088.8</v>
      </c>
      <c r="K199" s="37">
        <f>'入力根拠'!F76</f>
        <v>3088.8</v>
      </c>
      <c r="L199" s="9">
        <f>ROUND((F199-E199),4)</f>
        <v>12.6</v>
      </c>
    </row>
    <row r="200" spans="1:12" ht="23" customHeight="1">
      <c r="A200" s="6">
        <v>4</v>
      </c>
      <c r="B200" s="6">
        <v>116</v>
      </c>
      <c r="C200" s="6">
        <v>7</v>
      </c>
      <c r="D200" s="6">
        <v>193</v>
      </c>
      <c r="E200" s="35">
        <v>18.4</v>
      </c>
      <c r="F200" s="35">
        <v>31</v>
      </c>
      <c r="G200" s="36">
        <f>MAX(F111,E200)</f>
        <v>23.4</v>
      </c>
      <c r="H200" s="36">
        <f>MIN(G111,F200)</f>
        <v>24.7</v>
      </c>
      <c r="I200" s="36">
        <f>MAX(0,ROUND((H200-G200),4))</f>
        <v>1.3</v>
      </c>
      <c r="J200" s="37">
        <f>'入力根拠'!F75</f>
        <v>3088.8</v>
      </c>
      <c r="K200" s="37">
        <f>'入力根拠'!F76</f>
        <v>3088.8</v>
      </c>
      <c r="L200" s="9">
        <f>ROUND((F200-E200),4)</f>
        <v>12.6</v>
      </c>
    </row>
    <row r="201" spans="1:12" ht="23" customHeight="1">
      <c r="A201" s="6">
        <v>4</v>
      </c>
      <c r="B201" s="6">
        <v>117</v>
      </c>
      <c r="C201" s="6">
        <v>7</v>
      </c>
      <c r="D201" s="6">
        <v>193</v>
      </c>
      <c r="E201" s="35">
        <v>18.4</v>
      </c>
      <c r="F201" s="35">
        <v>31</v>
      </c>
      <c r="G201" s="36">
        <f>MAX(F112,E201)</f>
        <v>24.7</v>
      </c>
      <c r="H201" s="36">
        <f>MIN(G112,F201)</f>
        <v>26.0</v>
      </c>
      <c r="I201" s="36">
        <f>MAX(0,ROUND((H201-G201),4))</f>
        <v>1.3</v>
      </c>
      <c r="J201" s="37">
        <f>'入力根拠'!F75</f>
        <v>3088.8</v>
      </c>
      <c r="K201" s="37">
        <f>'入力根拠'!F76</f>
        <v>3088.8</v>
      </c>
      <c r="L201" s="9">
        <f>ROUND((F201-E201),4)</f>
        <v>12.6</v>
      </c>
    </row>
    <row r="202" spans="1:12" ht="23" customHeight="1">
      <c r="A202" s="6">
        <v>4</v>
      </c>
      <c r="B202" s="6">
        <v>118</v>
      </c>
      <c r="C202" s="6">
        <v>7</v>
      </c>
      <c r="D202" s="6">
        <v>193</v>
      </c>
      <c r="E202" s="35">
        <v>18.4</v>
      </c>
      <c r="F202" s="35">
        <v>31</v>
      </c>
      <c r="G202" s="36">
        <f>MAX(F113,E202)</f>
        <v>26.0</v>
      </c>
      <c r="H202" s="36">
        <f>MIN(G113,F202)</f>
        <v>27.3</v>
      </c>
      <c r="I202" s="36">
        <f>MAX(0,ROUND((H202-G202),4))</f>
        <v>1.3</v>
      </c>
      <c r="J202" s="37">
        <f>'入力根拠'!F75</f>
        <v>3088.8</v>
      </c>
      <c r="K202" s="37">
        <f>'入力根拠'!F76</f>
        <v>3088.8</v>
      </c>
      <c r="L202" s="9">
        <f>ROUND((F202-E202),4)</f>
        <v>12.6</v>
      </c>
    </row>
    <row r="203" spans="1:12" ht="23" customHeight="1">
      <c r="A203" s="6">
        <v>4</v>
      </c>
      <c r="B203" s="6">
        <v>119</v>
      </c>
      <c r="C203" s="6">
        <v>7</v>
      </c>
      <c r="D203" s="6">
        <v>193</v>
      </c>
      <c r="E203" s="35">
        <v>18.4</v>
      </c>
      <c r="F203" s="35">
        <v>31</v>
      </c>
      <c r="G203" s="36">
        <f>MAX(F114,E203)</f>
        <v>27.3</v>
      </c>
      <c r="H203" s="36">
        <f>MIN(G114,F203)</f>
        <v>28.6</v>
      </c>
      <c r="I203" s="36">
        <f>MAX(0,ROUND((H203-G203),4))</f>
        <v>1.3</v>
      </c>
      <c r="J203" s="37">
        <f>'入力根拠'!F75</f>
        <v>3088.8</v>
      </c>
      <c r="K203" s="37">
        <f>'入力根拠'!F76</f>
        <v>3088.8</v>
      </c>
      <c r="L203" s="9">
        <f>ROUND((F203-E203),4)</f>
        <v>12.6</v>
      </c>
    </row>
    <row r="204" spans="1:12" ht="23" customHeight="1">
      <c r="A204" s="6">
        <v>4</v>
      </c>
      <c r="B204" s="6">
        <v>120</v>
      </c>
      <c r="C204" s="6">
        <v>7</v>
      </c>
      <c r="D204" s="6">
        <v>193</v>
      </c>
      <c r="E204" s="35">
        <v>18.4</v>
      </c>
      <c r="F204" s="35">
        <v>31</v>
      </c>
      <c r="G204" s="36">
        <f>MAX(F115,E204)</f>
        <v>28.6</v>
      </c>
      <c r="H204" s="36">
        <f>MIN(G115,F204)</f>
        <v>29.9</v>
      </c>
      <c r="I204" s="36">
        <f>MAX(0,ROUND((H204-G204),4))</f>
        <v>1.3</v>
      </c>
      <c r="J204" s="37">
        <f>'入力根拠'!F75</f>
        <v>3088.8</v>
      </c>
      <c r="K204" s="37">
        <f>'入力根拠'!F76</f>
        <v>3088.8</v>
      </c>
      <c r="L204" s="9">
        <f>ROUND((F204-E204),4)</f>
        <v>12.6</v>
      </c>
    </row>
    <row r="205" spans="1:12" ht="23" customHeight="1">
      <c r="A205" s="6">
        <v>4</v>
      </c>
      <c r="B205" s="6">
        <v>121</v>
      </c>
      <c r="C205" s="6">
        <v>7</v>
      </c>
      <c r="D205" s="6">
        <v>193</v>
      </c>
      <c r="E205" s="35">
        <v>18.4</v>
      </c>
      <c r="F205" s="35">
        <v>31</v>
      </c>
      <c r="G205" s="36">
        <f>MAX(F116,E205)</f>
        <v>29.9</v>
      </c>
      <c r="H205" s="36">
        <f>MIN(G116,F205)</f>
        <v>31.0</v>
      </c>
      <c r="I205" s="36">
        <f>MAX(0,ROUND((H205-G205),4))</f>
        <v>1.1</v>
      </c>
      <c r="J205" s="37">
        <f>'入力根拠'!F75</f>
        <v>3088.8</v>
      </c>
      <c r="K205" s="37">
        <f>'入力根拠'!F76</f>
        <v>3088.8</v>
      </c>
      <c r="L205" s="9">
        <f>ROUND((F205-E205),4)</f>
        <v>12.6</v>
      </c>
    </row>
    <row r="206" spans="1:12" ht="24" customHeight="1">
      <c r="A206" s="3" t="s">
        <v>146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36" customHeight="1">
      <c r="A207" s="4" t="s">
        <v>8</v>
      </c>
      <c r="B207" s="4" t="s">
        <v>10</v>
      </c>
      <c r="C207" s="4" t="s">
        <v>147</v>
      </c>
      <c r="D207" s="4" t="s">
        <v>148</v>
      </c>
      <c r="E207" s="4" t="s">
        <v>149</v>
      </c>
      <c r="F207" s="4" t="s">
        <v>150</v>
      </c>
      <c r="G207" s="4" t="s">
        <v>151</v>
      </c>
      <c r="H207" s="4" t="s">
        <v>152</v>
      </c>
      <c r="I207" s="4" t="s">
        <v>153</v>
      </c>
      <c r="J207" s="4" t="s">
        <v>154</v>
      </c>
      <c r="K207" s="4" t="s">
        <v>155</v>
      </c>
      <c r="L207" s="4" t="s">
        <v>125</v>
      </c>
    </row>
    <row r="208" spans="1:12" ht="23" customHeight="1">
      <c r="A208" s="6">
        <v>5</v>
      </c>
      <c r="B208" s="6">
        <v>123</v>
      </c>
      <c r="C208" s="6">
        <v>1</v>
      </c>
      <c r="D208" s="6">
        <v>187</v>
      </c>
      <c r="E208" s="35">
        <v>0</v>
      </c>
      <c r="F208" s="35">
        <v>1.5</v>
      </c>
      <c r="G208" s="36">
        <f>MAX(F117,E208)</f>
        <v>0.0</v>
      </c>
      <c r="H208" s="36">
        <f>MIN(G117,F208)</f>
        <v>1.3</v>
      </c>
      <c r="I208" s="36">
        <f>MAX(0,ROUND((H208-G208),4))</f>
        <v>1.3</v>
      </c>
      <c r="J208" s="37">
        <f>'入力根拠'!F77</f>
        <v>1005.1</v>
      </c>
      <c r="K208" s="37">
        <f>'入力根拠'!F78</f>
        <v>1149.3</v>
      </c>
      <c r="L208" s="9">
        <f>ROUND((F208-E208),4)</f>
        <v>1.5</v>
      </c>
    </row>
    <row r="209" spans="1:12" ht="23" customHeight="1">
      <c r="A209" s="6">
        <v>5</v>
      </c>
      <c r="B209" s="6">
        <v>124</v>
      </c>
      <c r="C209" s="6">
        <v>1</v>
      </c>
      <c r="D209" s="6">
        <v>187</v>
      </c>
      <c r="E209" s="35">
        <v>0</v>
      </c>
      <c r="F209" s="35">
        <v>1.5</v>
      </c>
      <c r="G209" s="36">
        <f>MAX(F118,E209)</f>
        <v>1.3</v>
      </c>
      <c r="H209" s="36">
        <f>MIN(G118,F209)</f>
        <v>1.5</v>
      </c>
      <c r="I209" s="36">
        <f>MAX(0,ROUND((H209-G209),4))</f>
        <v>0.2</v>
      </c>
      <c r="J209" s="37">
        <f>'入力根拠'!F77</f>
        <v>1005.1</v>
      </c>
      <c r="K209" s="37">
        <f>'入力根拠'!F78</f>
        <v>1149.3</v>
      </c>
      <c r="L209" s="9">
        <f>ROUND((F209-E209),4)</f>
        <v>1.5</v>
      </c>
    </row>
    <row r="210" spans="1:12" ht="23" customHeight="1">
      <c r="A210" s="6">
        <v>5</v>
      </c>
      <c r="B210" s="6">
        <v>124</v>
      </c>
      <c r="C210" s="6">
        <v>2</v>
      </c>
      <c r="D210" s="6">
        <v>188</v>
      </c>
      <c r="E210" s="35">
        <v>1.5</v>
      </c>
      <c r="F210" s="35">
        <v>2.8</v>
      </c>
      <c r="G210" s="36">
        <f>MAX(F118,E210)</f>
        <v>1.5</v>
      </c>
      <c r="H210" s="36">
        <f>MIN(G118,F210)</f>
        <v>2.6</v>
      </c>
      <c r="I210" s="36">
        <f>MAX(0,ROUND((H210-G210),4))</f>
        <v>1.1</v>
      </c>
      <c r="J210" s="37">
        <f>'入力根拠'!F79</f>
        <v>1744.2</v>
      </c>
      <c r="K210" s="37">
        <f>'入力根拠'!F80</f>
        <v>1933.8</v>
      </c>
      <c r="L210" s="9">
        <f>ROUND((F210-E210),4)</f>
        <v>1.3</v>
      </c>
    </row>
    <row r="211" spans="1:12" ht="23" customHeight="1">
      <c r="A211" s="6">
        <v>5</v>
      </c>
      <c r="B211" s="6">
        <v>125</v>
      </c>
      <c r="C211" s="6">
        <v>2</v>
      </c>
      <c r="D211" s="6">
        <v>188</v>
      </c>
      <c r="E211" s="35">
        <v>1.5</v>
      </c>
      <c r="F211" s="35">
        <v>2.8</v>
      </c>
      <c r="G211" s="36">
        <f>MAX(F119,E211)</f>
        <v>2.6</v>
      </c>
      <c r="H211" s="36">
        <f>MIN(G119,F211)</f>
        <v>2.8</v>
      </c>
      <c r="I211" s="36">
        <f>MAX(0,ROUND((H211-G211),4))</f>
        <v>0.2</v>
      </c>
      <c r="J211" s="37">
        <f>'入力根拠'!F79</f>
        <v>1744.2</v>
      </c>
      <c r="K211" s="37">
        <f>'入力根拠'!F80</f>
        <v>1933.8</v>
      </c>
      <c r="L211" s="9">
        <f>ROUND((F211-E211),4)</f>
        <v>1.3</v>
      </c>
    </row>
    <row r="212" spans="1:12" ht="23" customHeight="1">
      <c r="A212" s="6">
        <v>5</v>
      </c>
      <c r="B212" s="6">
        <v>125</v>
      </c>
      <c r="C212" s="6">
        <v>3</v>
      </c>
      <c r="D212" s="6">
        <v>189</v>
      </c>
      <c r="E212" s="35">
        <v>2.8</v>
      </c>
      <c r="F212" s="35">
        <v>5.7</v>
      </c>
      <c r="G212" s="36">
        <f>MAX(F119,E212)</f>
        <v>2.8</v>
      </c>
      <c r="H212" s="36">
        <f>MIN(G119,F212)</f>
        <v>3.9</v>
      </c>
      <c r="I212" s="36">
        <f>MAX(0,ROUND((H212-G212),4))</f>
        <v>1.1</v>
      </c>
      <c r="J212" s="37">
        <f>'入力根拠'!F81</f>
        <v>1170.0</v>
      </c>
      <c r="K212" s="37">
        <f>'入力根拠'!F82</f>
        <v>1170.0</v>
      </c>
      <c r="L212" s="9">
        <f>ROUND((F212-E212),4)</f>
        <v>2.9</v>
      </c>
    </row>
    <row r="213" spans="1:12" ht="23" customHeight="1">
      <c r="A213" s="6">
        <v>5</v>
      </c>
      <c r="B213" s="6">
        <v>126</v>
      </c>
      <c r="C213" s="6">
        <v>3</v>
      </c>
      <c r="D213" s="6">
        <v>189</v>
      </c>
      <c r="E213" s="35">
        <v>2.8</v>
      </c>
      <c r="F213" s="35">
        <v>5.7</v>
      </c>
      <c r="G213" s="36">
        <f>MAX(F120,E213)</f>
        <v>3.9</v>
      </c>
      <c r="H213" s="36">
        <f>MIN(G120,F213)</f>
        <v>5.2</v>
      </c>
      <c r="I213" s="36">
        <f>MAX(0,ROUND((H213-G213),4))</f>
        <v>1.3</v>
      </c>
      <c r="J213" s="37">
        <f>'入力根拠'!F81</f>
        <v>1170.0</v>
      </c>
      <c r="K213" s="37">
        <f>'入力根拠'!F82</f>
        <v>1170.0</v>
      </c>
      <c r="L213" s="9">
        <f>ROUND((F213-E213),4)</f>
        <v>2.9</v>
      </c>
    </row>
    <row r="214" spans="1:12" ht="23" customHeight="1">
      <c r="A214" s="6">
        <v>5</v>
      </c>
      <c r="B214" s="6">
        <v>127</v>
      </c>
      <c r="C214" s="6">
        <v>3</v>
      </c>
      <c r="D214" s="6">
        <v>189</v>
      </c>
      <c r="E214" s="35">
        <v>2.8</v>
      </c>
      <c r="F214" s="35">
        <v>5.7</v>
      </c>
      <c r="G214" s="36">
        <f>MAX(F121,E214)</f>
        <v>5.2</v>
      </c>
      <c r="H214" s="36">
        <f>MIN(G121,F214)</f>
        <v>5.7</v>
      </c>
      <c r="I214" s="36">
        <f>MAX(0,ROUND((H214-G214),4))</f>
        <v>0.5</v>
      </c>
      <c r="J214" s="37">
        <f>'入力根拠'!F81</f>
        <v>1170.0</v>
      </c>
      <c r="K214" s="37">
        <f>'入力根拠'!F82</f>
        <v>1170.0</v>
      </c>
      <c r="L214" s="9">
        <f>ROUND((F214-E214),4)</f>
        <v>2.9</v>
      </c>
    </row>
    <row r="215" spans="1:12" ht="23" customHeight="1">
      <c r="A215" s="6">
        <v>5</v>
      </c>
      <c r="B215" s="6">
        <v>127</v>
      </c>
      <c r="C215" s="6">
        <v>4</v>
      </c>
      <c r="D215" s="6">
        <v>190</v>
      </c>
      <c r="E215" s="35">
        <v>5.7</v>
      </c>
      <c r="F215" s="35">
        <v>8.300000000000001</v>
      </c>
      <c r="G215" s="36">
        <f>MAX(F121,E215)</f>
        <v>5.7</v>
      </c>
      <c r="H215" s="36">
        <f>MIN(G121,F215)</f>
        <v>6.5</v>
      </c>
      <c r="I215" s="36">
        <f>MAX(0,ROUND((H215-G215),4))</f>
        <v>0.8</v>
      </c>
      <c r="J215" s="37">
        <f>'入力根拠'!F83</f>
        <v>2030.3</v>
      </c>
      <c r="K215" s="37">
        <f>'入力根拠'!F84</f>
        <v>2377.7</v>
      </c>
      <c r="L215" s="9">
        <f>ROUND((F215-E215),4)</f>
        <v>2.6</v>
      </c>
    </row>
    <row r="216" spans="1:12" ht="23" customHeight="1">
      <c r="A216" s="6">
        <v>5</v>
      </c>
      <c r="B216" s="6">
        <v>128</v>
      </c>
      <c r="C216" s="6">
        <v>4</v>
      </c>
      <c r="D216" s="6">
        <v>190</v>
      </c>
      <c r="E216" s="35">
        <v>5.7</v>
      </c>
      <c r="F216" s="35">
        <v>8.300000000000001</v>
      </c>
      <c r="G216" s="36">
        <f>MAX(F122,E216)</f>
        <v>6.5</v>
      </c>
      <c r="H216" s="36">
        <f>MIN(G122,F216)</f>
        <v>7.8</v>
      </c>
      <c r="I216" s="36">
        <f>MAX(0,ROUND((H216-G216),4))</f>
        <v>1.3</v>
      </c>
      <c r="J216" s="37">
        <f>'入力根拠'!F83</f>
        <v>2030.3</v>
      </c>
      <c r="K216" s="37">
        <f>'入力根拠'!F84</f>
        <v>2377.7</v>
      </c>
      <c r="L216" s="9">
        <f>ROUND((F216-E216),4)</f>
        <v>2.6</v>
      </c>
    </row>
    <row r="217" spans="1:12" ht="23" customHeight="1">
      <c r="A217" s="6">
        <v>5</v>
      </c>
      <c r="B217" s="6">
        <v>129</v>
      </c>
      <c r="C217" s="6">
        <v>4</v>
      </c>
      <c r="D217" s="6">
        <v>190</v>
      </c>
      <c r="E217" s="35">
        <v>5.7</v>
      </c>
      <c r="F217" s="35">
        <v>8.300000000000001</v>
      </c>
      <c r="G217" s="36">
        <f>MAX(F125,E217)</f>
        <v>7.8</v>
      </c>
      <c r="H217" s="36">
        <f>MIN(G125,F217)</f>
        <v>8.3</v>
      </c>
      <c r="I217" s="36">
        <f>MAX(0,ROUND((H217-G217),4))</f>
        <v>0.5</v>
      </c>
      <c r="J217" s="37">
        <f>'入力根拠'!F83</f>
        <v>2030.3</v>
      </c>
      <c r="K217" s="37">
        <f>'入力根拠'!F84</f>
        <v>2377.7</v>
      </c>
      <c r="L217" s="9">
        <f>ROUND((F217-E217),4)</f>
        <v>2.6</v>
      </c>
    </row>
    <row r="218" spans="1:12" ht="23" customHeight="1">
      <c r="A218" s="6">
        <v>5</v>
      </c>
      <c r="B218" s="6">
        <v>129</v>
      </c>
      <c r="C218" s="6">
        <v>5</v>
      </c>
      <c r="D218" s="6">
        <v>191</v>
      </c>
      <c r="E218" s="35">
        <v>8.300000000000001</v>
      </c>
      <c r="F218" s="35">
        <v>8.9</v>
      </c>
      <c r="G218" s="36">
        <f>MAX(F125,E218)</f>
        <v>8.3</v>
      </c>
      <c r="H218" s="36">
        <f>MIN(G125,F218)</f>
        <v>8.9</v>
      </c>
      <c r="I218" s="36">
        <f>MAX(0,ROUND((H218-G218),4))</f>
        <v>0.6</v>
      </c>
      <c r="J218" s="37">
        <f>'入力根拠'!F85</f>
        <v>4539.6</v>
      </c>
      <c r="K218" s="37">
        <f>'入力根拠'!F86</f>
        <v>4539.6</v>
      </c>
      <c r="L218" s="9">
        <f>ROUND((F218-E218),4)</f>
        <v>0.6</v>
      </c>
    </row>
    <row r="219" spans="1:12" ht="23" customHeight="1">
      <c r="A219" s="6">
        <v>5</v>
      </c>
      <c r="B219" s="6">
        <v>129</v>
      </c>
      <c r="C219" s="6">
        <v>6</v>
      </c>
      <c r="D219" s="6">
        <v>192</v>
      </c>
      <c r="E219" s="35">
        <v>8.9</v>
      </c>
      <c r="F219" s="35">
        <v>18.4</v>
      </c>
      <c r="G219" s="36">
        <f>MAX(F125,E219)</f>
        <v>8.9</v>
      </c>
      <c r="H219" s="36">
        <f>MIN(G125,F219)</f>
        <v>9.1</v>
      </c>
      <c r="I219" s="36">
        <f>MAX(0,ROUND((H219-G219),4))</f>
        <v>0.2</v>
      </c>
      <c r="J219" s="37">
        <f>'入力根拠'!F87</f>
        <v>2548.4</v>
      </c>
      <c r="K219" s="37">
        <f>'入力根拠'!F90</f>
        <v>3874.2</v>
      </c>
      <c r="L219" s="9">
        <f>ROUND((F219-E219),4)</f>
        <v>9.5</v>
      </c>
    </row>
    <row r="220" spans="1:12" ht="23" customHeight="1">
      <c r="A220" s="6">
        <v>5</v>
      </c>
      <c r="B220" s="6">
        <v>130</v>
      </c>
      <c r="C220" s="6">
        <v>6</v>
      </c>
      <c r="D220" s="6">
        <v>192</v>
      </c>
      <c r="E220" s="35">
        <v>8.9</v>
      </c>
      <c r="F220" s="35">
        <v>18.4</v>
      </c>
      <c r="G220" s="36">
        <f>MAX(F126,E220)</f>
        <v>9.1</v>
      </c>
      <c r="H220" s="36">
        <f>MIN(G126,F220)</f>
        <v>10.4</v>
      </c>
      <c r="I220" s="36">
        <f>MAX(0,ROUND((H220-G220),4))</f>
        <v>1.3</v>
      </c>
      <c r="J220" s="37">
        <f>'入力根拠'!F87</f>
        <v>2548.4</v>
      </c>
      <c r="K220" s="37">
        <f>'入力根拠'!F90</f>
        <v>3874.2</v>
      </c>
      <c r="L220" s="9">
        <f>ROUND((F220-E220),4)</f>
        <v>9.5</v>
      </c>
    </row>
    <row r="221" spans="1:12" ht="23" customHeight="1">
      <c r="A221" s="6">
        <v>5</v>
      </c>
      <c r="B221" s="6">
        <v>131</v>
      </c>
      <c r="C221" s="6">
        <v>6</v>
      </c>
      <c r="D221" s="6">
        <v>192</v>
      </c>
      <c r="E221" s="35">
        <v>8.9</v>
      </c>
      <c r="F221" s="35">
        <v>18.4</v>
      </c>
      <c r="G221" s="36">
        <f>MAX(F127,E221)</f>
        <v>10.4</v>
      </c>
      <c r="H221" s="36">
        <f>MIN(G127,F221)</f>
        <v>11.7</v>
      </c>
      <c r="I221" s="36">
        <f>MAX(0,ROUND((H221-G221),4))</f>
        <v>1.3</v>
      </c>
      <c r="J221" s="37">
        <f>'入力根拠'!F87</f>
        <v>2548.4</v>
      </c>
      <c r="K221" s="37">
        <f>'入力根拠'!F90</f>
        <v>3874.2</v>
      </c>
      <c r="L221" s="9">
        <f>ROUND((F221-E221),4)</f>
        <v>9.5</v>
      </c>
    </row>
    <row r="222" spans="1:12" ht="23" customHeight="1">
      <c r="A222" s="6">
        <v>5</v>
      </c>
      <c r="B222" s="6">
        <v>132</v>
      </c>
      <c r="C222" s="6">
        <v>6</v>
      </c>
      <c r="D222" s="6">
        <v>192</v>
      </c>
      <c r="E222" s="35">
        <v>8.9</v>
      </c>
      <c r="F222" s="35">
        <v>18.4</v>
      </c>
      <c r="G222" s="36">
        <f>MAX(F128,E222)</f>
        <v>11.7</v>
      </c>
      <c r="H222" s="36">
        <f>MIN(G128,F222)</f>
        <v>13.0</v>
      </c>
      <c r="I222" s="36">
        <f>MAX(0,ROUND((H222-G222),4))</f>
        <v>1.3</v>
      </c>
      <c r="J222" s="37">
        <f>'入力根拠'!F87</f>
        <v>2548.4</v>
      </c>
      <c r="K222" s="37">
        <f>'入力根拠'!F90</f>
        <v>3874.2</v>
      </c>
      <c r="L222" s="9">
        <f>ROUND((F222-E222),4)</f>
        <v>9.5</v>
      </c>
    </row>
    <row r="223" spans="1:12" ht="24" customHeight="1">
      <c r="A223" s="3" t="s">
        <v>146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36" customHeight="1">
      <c r="A224" s="4" t="s">
        <v>8</v>
      </c>
      <c r="B224" s="4" t="s">
        <v>10</v>
      </c>
      <c r="C224" s="4" t="s">
        <v>147</v>
      </c>
      <c r="D224" s="4" t="s">
        <v>148</v>
      </c>
      <c r="E224" s="4" t="s">
        <v>149</v>
      </c>
      <c r="F224" s="4" t="s">
        <v>150</v>
      </c>
      <c r="G224" s="4" t="s">
        <v>151</v>
      </c>
      <c r="H224" s="4" t="s">
        <v>152</v>
      </c>
      <c r="I224" s="4" t="s">
        <v>153</v>
      </c>
      <c r="J224" s="4" t="s">
        <v>154</v>
      </c>
      <c r="K224" s="4" t="s">
        <v>155</v>
      </c>
      <c r="L224" s="4" t="s">
        <v>125</v>
      </c>
    </row>
    <row r="225" spans="1:12" ht="23" customHeight="1">
      <c r="A225" s="6">
        <v>5</v>
      </c>
      <c r="B225" s="6">
        <v>133</v>
      </c>
      <c r="C225" s="6">
        <v>6</v>
      </c>
      <c r="D225" s="6">
        <v>192</v>
      </c>
      <c r="E225" s="35">
        <v>8.9</v>
      </c>
      <c r="F225" s="35">
        <v>18.4</v>
      </c>
      <c r="G225" s="36">
        <f>MAX(F129,E225)</f>
        <v>13.0</v>
      </c>
      <c r="H225" s="36">
        <f>MIN(G129,F225)</f>
        <v>14.3</v>
      </c>
      <c r="I225" s="36">
        <f>MAX(0,ROUND((H225-G225),4))</f>
        <v>1.3</v>
      </c>
      <c r="J225" s="37">
        <f>'入力根拠'!F87</f>
        <v>2548.4</v>
      </c>
      <c r="K225" s="37">
        <f>'入力根拠'!F90</f>
        <v>3874.2</v>
      </c>
      <c r="L225" s="9">
        <f>ROUND((F225-E225),4)</f>
        <v>9.5</v>
      </c>
    </row>
    <row r="226" spans="1:12" ht="23" customHeight="1">
      <c r="A226" s="6">
        <v>5</v>
      </c>
      <c r="B226" s="6">
        <v>134</v>
      </c>
      <c r="C226" s="6">
        <v>6</v>
      </c>
      <c r="D226" s="6">
        <v>192</v>
      </c>
      <c r="E226" s="35">
        <v>8.9</v>
      </c>
      <c r="F226" s="35">
        <v>18.4</v>
      </c>
      <c r="G226" s="36">
        <f>MAX(F130,E226)</f>
        <v>14.3</v>
      </c>
      <c r="H226" s="36">
        <f>MIN(G130,F226)</f>
        <v>15.6</v>
      </c>
      <c r="I226" s="36">
        <f>MAX(0,ROUND((H226-G226),4))</f>
        <v>1.3</v>
      </c>
      <c r="J226" s="37">
        <f>'入力根拠'!F87</f>
        <v>2548.4</v>
      </c>
      <c r="K226" s="37">
        <f>'入力根拠'!F90</f>
        <v>3874.2</v>
      </c>
      <c r="L226" s="9">
        <f>ROUND((F226-E226),4)</f>
        <v>9.5</v>
      </c>
    </row>
    <row r="227" spans="1:12" ht="23" customHeight="1">
      <c r="A227" s="6">
        <v>5</v>
      </c>
      <c r="B227" s="6">
        <v>135</v>
      </c>
      <c r="C227" s="6">
        <v>6</v>
      </c>
      <c r="D227" s="6">
        <v>192</v>
      </c>
      <c r="E227" s="35">
        <v>8.9</v>
      </c>
      <c r="F227" s="35">
        <v>18.4</v>
      </c>
      <c r="G227" s="36">
        <f>MAX(F131,E227)</f>
        <v>15.6</v>
      </c>
      <c r="H227" s="36">
        <f>MIN(G131,F227)</f>
        <v>16.9</v>
      </c>
      <c r="I227" s="36">
        <f>MAX(0,ROUND((H227-G227),4))</f>
        <v>1.3</v>
      </c>
      <c r="J227" s="37">
        <f>'入力根拠'!F87</f>
        <v>2548.4</v>
      </c>
      <c r="K227" s="37">
        <f>'入力根拠'!F90</f>
        <v>3874.2</v>
      </c>
      <c r="L227" s="9">
        <f>ROUND((F227-E227),4)</f>
        <v>9.5</v>
      </c>
    </row>
    <row r="228" spans="1:12" ht="23" customHeight="1">
      <c r="A228" s="6">
        <v>5</v>
      </c>
      <c r="B228" s="6">
        <v>136</v>
      </c>
      <c r="C228" s="6">
        <v>6</v>
      </c>
      <c r="D228" s="6">
        <v>192</v>
      </c>
      <c r="E228" s="35">
        <v>8.9</v>
      </c>
      <c r="F228" s="35">
        <v>18.4</v>
      </c>
      <c r="G228" s="36">
        <f>MAX(F132,E228)</f>
        <v>16.9</v>
      </c>
      <c r="H228" s="36">
        <f>MIN(G132,F228)</f>
        <v>18.2</v>
      </c>
      <c r="I228" s="36">
        <f>MAX(0,ROUND((H228-G228),4))</f>
        <v>1.3</v>
      </c>
      <c r="J228" s="37">
        <f>'入力根拠'!F87</f>
        <v>2548.4</v>
      </c>
      <c r="K228" s="37">
        <f>'入力根拠'!F90</f>
        <v>3874.2</v>
      </c>
      <c r="L228" s="9">
        <f>ROUND((F228-E228),4)</f>
        <v>9.5</v>
      </c>
    </row>
    <row r="229" spans="1:12" ht="23" customHeight="1">
      <c r="A229" s="6">
        <v>5</v>
      </c>
      <c r="B229" s="6">
        <v>137</v>
      </c>
      <c r="C229" s="6">
        <v>6</v>
      </c>
      <c r="D229" s="6">
        <v>192</v>
      </c>
      <c r="E229" s="35">
        <v>8.9</v>
      </c>
      <c r="F229" s="35">
        <v>18.4</v>
      </c>
      <c r="G229" s="36">
        <f>MAX(F133,E229)</f>
        <v>18.2</v>
      </c>
      <c r="H229" s="36">
        <f>MIN(G133,F229)</f>
        <v>18.4</v>
      </c>
      <c r="I229" s="36">
        <f>MAX(0,ROUND((H229-G229),4))</f>
        <v>0.2</v>
      </c>
      <c r="J229" s="37">
        <f>'入力根拠'!F87</f>
        <v>2548.4</v>
      </c>
      <c r="K229" s="37">
        <f>'入力根拠'!F90</f>
        <v>3874.2</v>
      </c>
      <c r="L229" s="9">
        <f>ROUND((F229-E229),4)</f>
        <v>9.5</v>
      </c>
    </row>
    <row r="230" spans="1:12" ht="23" customHeight="1">
      <c r="A230" s="6">
        <v>5</v>
      </c>
      <c r="B230" s="6">
        <v>137</v>
      </c>
      <c r="C230" s="6">
        <v>7</v>
      </c>
      <c r="D230" s="6">
        <v>193</v>
      </c>
      <c r="E230" s="35">
        <v>18.4</v>
      </c>
      <c r="F230" s="35">
        <v>31</v>
      </c>
      <c r="G230" s="36">
        <f>MAX(F133,E230)</f>
        <v>18.4</v>
      </c>
      <c r="H230" s="36">
        <f>MIN(G133,F230)</f>
        <v>19.5</v>
      </c>
      <c r="I230" s="36">
        <f>MAX(0,ROUND((H230-G230),4))</f>
        <v>1.1</v>
      </c>
      <c r="J230" s="37">
        <f>'入力根拠'!F91</f>
        <v>2059.2</v>
      </c>
      <c r="K230" s="37">
        <f>'入力根拠'!F92</f>
        <v>2059.2</v>
      </c>
      <c r="L230" s="9">
        <f>ROUND((F230-E230),4)</f>
        <v>12.6</v>
      </c>
    </row>
    <row r="231" spans="1:12" ht="23" customHeight="1">
      <c r="A231" s="6">
        <v>5</v>
      </c>
      <c r="B231" s="6">
        <v>138</v>
      </c>
      <c r="C231" s="6">
        <v>7</v>
      </c>
      <c r="D231" s="6">
        <v>193</v>
      </c>
      <c r="E231" s="35">
        <v>18.4</v>
      </c>
      <c r="F231" s="35">
        <v>31</v>
      </c>
      <c r="G231" s="36">
        <f>MAX(F134,E231)</f>
        <v>19.5</v>
      </c>
      <c r="H231" s="36">
        <f>MIN(G134,F231)</f>
        <v>20.8</v>
      </c>
      <c r="I231" s="36">
        <f>MAX(0,ROUND((H231-G231),4))</f>
        <v>1.3</v>
      </c>
      <c r="J231" s="37">
        <f>'入力根拠'!F91</f>
        <v>2059.2</v>
      </c>
      <c r="K231" s="37">
        <f>'入力根拠'!F92</f>
        <v>2059.2</v>
      </c>
      <c r="L231" s="9">
        <f>ROUND((F231-E231),4)</f>
        <v>12.6</v>
      </c>
    </row>
    <row r="232" spans="1:12" ht="23" customHeight="1">
      <c r="A232" s="6">
        <v>5</v>
      </c>
      <c r="B232" s="6">
        <v>139</v>
      </c>
      <c r="C232" s="6">
        <v>7</v>
      </c>
      <c r="D232" s="6">
        <v>193</v>
      </c>
      <c r="E232" s="35">
        <v>18.4</v>
      </c>
      <c r="F232" s="35">
        <v>31</v>
      </c>
      <c r="G232" s="36">
        <f>MAX(F135,E232)</f>
        <v>20.8</v>
      </c>
      <c r="H232" s="36">
        <f>MIN(G135,F232)</f>
        <v>22.1</v>
      </c>
      <c r="I232" s="36">
        <f>MAX(0,ROUND((H232-G232),4))</f>
        <v>1.3</v>
      </c>
      <c r="J232" s="37">
        <f>'入力根拠'!F91</f>
        <v>2059.2</v>
      </c>
      <c r="K232" s="37">
        <f>'入力根拠'!F92</f>
        <v>2059.2</v>
      </c>
      <c r="L232" s="9">
        <f>ROUND((F232-E232),4)</f>
        <v>12.6</v>
      </c>
    </row>
    <row r="233" spans="1:12" ht="23" customHeight="1">
      <c r="A233" s="6">
        <v>5</v>
      </c>
      <c r="B233" s="6">
        <v>140</v>
      </c>
      <c r="C233" s="6">
        <v>7</v>
      </c>
      <c r="D233" s="6">
        <v>193</v>
      </c>
      <c r="E233" s="35">
        <v>18.4</v>
      </c>
      <c r="F233" s="35">
        <v>31</v>
      </c>
      <c r="G233" s="36">
        <f>MAX(F136,E233)</f>
        <v>22.1</v>
      </c>
      <c r="H233" s="36">
        <f>MIN(G136,F233)</f>
        <v>23.4</v>
      </c>
      <c r="I233" s="36">
        <f>MAX(0,ROUND((H233-G233),4))</f>
        <v>1.3</v>
      </c>
      <c r="J233" s="37">
        <f>'入力根拠'!F91</f>
        <v>2059.2</v>
      </c>
      <c r="K233" s="37">
        <f>'入力根拠'!F92</f>
        <v>2059.2</v>
      </c>
      <c r="L233" s="9">
        <f>ROUND((F233-E233),4)</f>
        <v>12.6</v>
      </c>
    </row>
    <row r="234" spans="1:12" ht="23" customHeight="1">
      <c r="A234" s="6">
        <v>5</v>
      </c>
      <c r="B234" s="6">
        <v>141</v>
      </c>
      <c r="C234" s="6">
        <v>7</v>
      </c>
      <c r="D234" s="6">
        <v>193</v>
      </c>
      <c r="E234" s="35">
        <v>18.4</v>
      </c>
      <c r="F234" s="35">
        <v>31</v>
      </c>
      <c r="G234" s="36">
        <f>MAX(F137,E234)</f>
        <v>23.4</v>
      </c>
      <c r="H234" s="36">
        <f>MIN(G137,F234)</f>
        <v>24.7</v>
      </c>
      <c r="I234" s="36">
        <f>MAX(0,ROUND((H234-G234),4))</f>
        <v>1.3</v>
      </c>
      <c r="J234" s="37">
        <f>'入力根拠'!F91</f>
        <v>2059.2</v>
      </c>
      <c r="K234" s="37">
        <f>'入力根拠'!F92</f>
        <v>2059.2</v>
      </c>
      <c r="L234" s="9">
        <f>ROUND((F234-E234),4)</f>
        <v>12.6</v>
      </c>
    </row>
    <row r="235" spans="1:12" ht="23" customHeight="1">
      <c r="A235" s="6">
        <v>5</v>
      </c>
      <c r="B235" s="6">
        <v>142</v>
      </c>
      <c r="C235" s="6">
        <v>7</v>
      </c>
      <c r="D235" s="6">
        <v>193</v>
      </c>
      <c r="E235" s="35">
        <v>18.4</v>
      </c>
      <c r="F235" s="35">
        <v>31</v>
      </c>
      <c r="G235" s="36">
        <f>MAX(F138,E235)</f>
        <v>24.7</v>
      </c>
      <c r="H235" s="36">
        <f>MIN(G138,F235)</f>
        <v>26.0</v>
      </c>
      <c r="I235" s="36">
        <f>MAX(0,ROUND((H235-G235),4))</f>
        <v>1.3</v>
      </c>
      <c r="J235" s="37">
        <f>'入力根拠'!F91</f>
        <v>2059.2</v>
      </c>
      <c r="K235" s="37">
        <f>'入力根拠'!F92</f>
        <v>2059.2</v>
      </c>
      <c r="L235" s="9">
        <f>ROUND((F235-E235),4)</f>
        <v>12.6</v>
      </c>
    </row>
    <row r="236" spans="1:12" ht="23" customHeight="1">
      <c r="A236" s="6">
        <v>5</v>
      </c>
      <c r="B236" s="6">
        <v>143</v>
      </c>
      <c r="C236" s="6">
        <v>7</v>
      </c>
      <c r="D236" s="6">
        <v>193</v>
      </c>
      <c r="E236" s="35">
        <v>18.4</v>
      </c>
      <c r="F236" s="35">
        <v>31</v>
      </c>
      <c r="G236" s="36">
        <f>MAX(F139,E236)</f>
        <v>26.0</v>
      </c>
      <c r="H236" s="36">
        <f>MIN(G139,F236)</f>
        <v>27.3</v>
      </c>
      <c r="I236" s="36">
        <f>MAX(0,ROUND((H236-G236),4))</f>
        <v>1.3</v>
      </c>
      <c r="J236" s="37">
        <f>'入力根拠'!F91</f>
        <v>2059.2</v>
      </c>
      <c r="K236" s="37">
        <f>'入力根拠'!F92</f>
        <v>2059.2</v>
      </c>
      <c r="L236" s="9">
        <f>ROUND((F236-E236),4)</f>
        <v>12.6</v>
      </c>
    </row>
    <row r="237" spans="1:12" ht="23" customHeight="1">
      <c r="A237" s="6">
        <v>5</v>
      </c>
      <c r="B237" s="6">
        <v>144</v>
      </c>
      <c r="C237" s="6">
        <v>7</v>
      </c>
      <c r="D237" s="6">
        <v>193</v>
      </c>
      <c r="E237" s="35">
        <v>18.4</v>
      </c>
      <c r="F237" s="35">
        <v>31</v>
      </c>
      <c r="G237" s="36">
        <f>MAX(F142,E237)</f>
        <v>27.3</v>
      </c>
      <c r="H237" s="36">
        <f>MIN(G142,F237)</f>
        <v>28.6</v>
      </c>
      <c r="I237" s="36">
        <f>MAX(0,ROUND((H237-G237),4))</f>
        <v>1.3</v>
      </c>
      <c r="J237" s="37">
        <f>'入力根拠'!F91</f>
        <v>2059.2</v>
      </c>
      <c r="K237" s="37">
        <f>'入力根拠'!F92</f>
        <v>2059.2</v>
      </c>
      <c r="L237" s="9">
        <f>ROUND((F237-E237),4)</f>
        <v>12.6</v>
      </c>
    </row>
    <row r="238" spans="1:12" ht="23" customHeight="1">
      <c r="A238" s="6">
        <v>5</v>
      </c>
      <c r="B238" s="6">
        <v>145</v>
      </c>
      <c r="C238" s="6">
        <v>7</v>
      </c>
      <c r="D238" s="6">
        <v>193</v>
      </c>
      <c r="E238" s="35">
        <v>18.4</v>
      </c>
      <c r="F238" s="35">
        <v>31</v>
      </c>
      <c r="G238" s="36">
        <f>MAX(F143,E238)</f>
        <v>28.6</v>
      </c>
      <c r="H238" s="36">
        <f>MIN(G143,F238)</f>
        <v>29.9</v>
      </c>
      <c r="I238" s="36">
        <f>MAX(0,ROUND((H238-G238),4))</f>
        <v>1.3</v>
      </c>
      <c r="J238" s="37">
        <f>'入力根拠'!F91</f>
        <v>2059.2</v>
      </c>
      <c r="K238" s="37">
        <f>'入力根拠'!F92</f>
        <v>2059.2</v>
      </c>
      <c r="L238" s="9">
        <f>ROUND((F238-E238),4)</f>
        <v>12.6</v>
      </c>
    </row>
    <row r="239" spans="1:12" ht="23" customHeight="1">
      <c r="A239" s="6">
        <v>5</v>
      </c>
      <c r="B239" s="6">
        <v>146</v>
      </c>
      <c r="C239" s="6">
        <v>7</v>
      </c>
      <c r="D239" s="6">
        <v>193</v>
      </c>
      <c r="E239" s="35">
        <v>18.4</v>
      </c>
      <c r="F239" s="35">
        <v>31</v>
      </c>
      <c r="G239" s="36">
        <f>MAX(F144,E239)</f>
        <v>29.9</v>
      </c>
      <c r="H239" s="36">
        <f>MIN(G144,F239)</f>
        <v>31.0</v>
      </c>
      <c r="I239" s="36">
        <f>MAX(0,ROUND((H239-G239),4))</f>
        <v>1.1</v>
      </c>
      <c r="J239" s="37">
        <f>'入力根拠'!F91</f>
        <v>2059.2</v>
      </c>
      <c r="K239" s="37">
        <f>'入力根拠'!F92</f>
        <v>2059.2</v>
      </c>
      <c r="L239" s="9">
        <f>ROUND((F239-E239),4)</f>
        <v>12.6</v>
      </c>
    </row>
    <row r="240" spans="1:12" ht="24" customHeight="1">
      <c r="A240" s="3" t="s">
        <v>146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36" customHeight="1">
      <c r="A241" s="4" t="s">
        <v>8</v>
      </c>
      <c r="B241" s="4" t="s">
        <v>10</v>
      </c>
      <c r="C241" s="4" t="s">
        <v>147</v>
      </c>
      <c r="D241" s="4" t="s">
        <v>148</v>
      </c>
      <c r="E241" s="4" t="s">
        <v>149</v>
      </c>
      <c r="F241" s="4" t="s">
        <v>150</v>
      </c>
      <c r="G241" s="4" t="s">
        <v>151</v>
      </c>
      <c r="H241" s="4" t="s">
        <v>152</v>
      </c>
      <c r="I241" s="4" t="s">
        <v>153</v>
      </c>
      <c r="J241" s="4" t="s">
        <v>154</v>
      </c>
      <c r="K241" s="4" t="s">
        <v>155</v>
      </c>
      <c r="L241" s="4" t="s">
        <v>125</v>
      </c>
    </row>
    <row r="242" spans="1:12" ht="23" customHeight="1">
      <c r="A242" s="6">
        <v>6</v>
      </c>
      <c r="B242" s="6">
        <v>148</v>
      </c>
      <c r="C242" s="6">
        <v>1</v>
      </c>
      <c r="D242" s="6">
        <v>187</v>
      </c>
      <c r="E242" s="35">
        <v>0</v>
      </c>
      <c r="F242" s="35">
        <v>1.5</v>
      </c>
      <c r="G242" s="36">
        <f>MAX(F145,E242)</f>
        <v>0.0</v>
      </c>
      <c r="H242" s="36">
        <f>MIN(G145,F242)</f>
        <v>1.3</v>
      </c>
      <c r="I242" s="36">
        <f>MAX(0,ROUND((H242-G242),4))</f>
        <v>1.3</v>
      </c>
      <c r="J242" s="37">
        <f>'入力根拠'!F93</f>
        <v>2907.3</v>
      </c>
      <c r="K242" s="37">
        <f>'入力根拠'!F94</f>
        <v>3324.3</v>
      </c>
      <c r="L242" s="9">
        <f>ROUND((F242-E242),4)</f>
        <v>1.5</v>
      </c>
    </row>
    <row r="243" spans="1:12" ht="23" customHeight="1">
      <c r="A243" s="6">
        <v>6</v>
      </c>
      <c r="B243" s="6">
        <v>149</v>
      </c>
      <c r="C243" s="6">
        <v>1</v>
      </c>
      <c r="D243" s="6">
        <v>187</v>
      </c>
      <c r="E243" s="35">
        <v>0</v>
      </c>
      <c r="F243" s="35">
        <v>1.5</v>
      </c>
      <c r="G243" s="36">
        <f>MAX(F146,E243)</f>
        <v>1.3</v>
      </c>
      <c r="H243" s="36">
        <f>MIN(G146,F243)</f>
        <v>1.5</v>
      </c>
      <c r="I243" s="36">
        <f>MAX(0,ROUND((H243-G243),4))</f>
        <v>0.2</v>
      </c>
      <c r="J243" s="37">
        <f>'入力根拠'!F93</f>
        <v>2907.3</v>
      </c>
      <c r="K243" s="37">
        <f>'入力根拠'!F94</f>
        <v>3324.3</v>
      </c>
      <c r="L243" s="9">
        <f>ROUND((F243-E243),4)</f>
        <v>1.5</v>
      </c>
    </row>
    <row r="244" spans="1:12" ht="23" customHeight="1">
      <c r="A244" s="6">
        <v>6</v>
      </c>
      <c r="B244" s="6">
        <v>149</v>
      </c>
      <c r="C244" s="6">
        <v>2</v>
      </c>
      <c r="D244" s="6">
        <v>188</v>
      </c>
      <c r="E244" s="35">
        <v>1.5</v>
      </c>
      <c r="F244" s="35">
        <v>2.8</v>
      </c>
      <c r="G244" s="36">
        <f>MAX(F146,E244)</f>
        <v>1.5</v>
      </c>
      <c r="H244" s="36">
        <f>MIN(G146,F244)</f>
        <v>2.6</v>
      </c>
      <c r="I244" s="36">
        <f>MAX(0,ROUND((H244-G244),4))</f>
        <v>1.1</v>
      </c>
      <c r="J244" s="37">
        <f>'入力根拠'!F95</f>
        <v>5045.2</v>
      </c>
      <c r="K244" s="37">
        <f>'入力根拠'!F96</f>
        <v>5593.6</v>
      </c>
      <c r="L244" s="9">
        <f>ROUND((F244-E244),4)</f>
        <v>1.3</v>
      </c>
    </row>
    <row r="245" spans="1:12" ht="23" customHeight="1">
      <c r="A245" s="6">
        <v>6</v>
      </c>
      <c r="B245" s="6">
        <v>150</v>
      </c>
      <c r="C245" s="6">
        <v>2</v>
      </c>
      <c r="D245" s="6">
        <v>188</v>
      </c>
      <c r="E245" s="35">
        <v>1.5</v>
      </c>
      <c r="F245" s="35">
        <v>2.8</v>
      </c>
      <c r="G245" s="36">
        <f>MAX(F147,E245)</f>
        <v>2.6</v>
      </c>
      <c r="H245" s="36">
        <f>MIN(G147,F245)</f>
        <v>2.8</v>
      </c>
      <c r="I245" s="36">
        <f>MAX(0,ROUND((H245-G245),4))</f>
        <v>0.2</v>
      </c>
      <c r="J245" s="37">
        <f>'入力根拠'!F95</f>
        <v>5045.2</v>
      </c>
      <c r="K245" s="37">
        <f>'入力根拠'!F96</f>
        <v>5593.6</v>
      </c>
      <c r="L245" s="9">
        <f>ROUND((F245-E245),4)</f>
        <v>1.3</v>
      </c>
    </row>
    <row r="246" spans="1:12" ht="23" customHeight="1">
      <c r="A246" s="6">
        <v>6</v>
      </c>
      <c r="B246" s="6">
        <v>150</v>
      </c>
      <c r="C246" s="6">
        <v>3</v>
      </c>
      <c r="D246" s="6">
        <v>189</v>
      </c>
      <c r="E246" s="35">
        <v>2.8</v>
      </c>
      <c r="F246" s="35">
        <v>5.7</v>
      </c>
      <c r="G246" s="36">
        <f>MAX(F147,E246)</f>
        <v>2.8</v>
      </c>
      <c r="H246" s="36">
        <f>MIN(G147,F246)</f>
        <v>3.9</v>
      </c>
      <c r="I246" s="36">
        <f>MAX(0,ROUND((H246-G246),4))</f>
        <v>1.1</v>
      </c>
      <c r="J246" s="37">
        <f>'入力根拠'!F97</f>
        <v>1755.0</v>
      </c>
      <c r="K246" s="37">
        <f>'入力根拠'!F98</f>
        <v>1755.0</v>
      </c>
      <c r="L246" s="9">
        <f>ROUND((F246-E246),4)</f>
        <v>2.9</v>
      </c>
    </row>
    <row r="247" spans="1:12" ht="23" customHeight="1">
      <c r="A247" s="6">
        <v>6</v>
      </c>
      <c r="B247" s="6">
        <v>151</v>
      </c>
      <c r="C247" s="6">
        <v>3</v>
      </c>
      <c r="D247" s="6">
        <v>189</v>
      </c>
      <c r="E247" s="35">
        <v>2.8</v>
      </c>
      <c r="F247" s="35">
        <v>5.7</v>
      </c>
      <c r="G247" s="36">
        <f>MAX(F148,E247)</f>
        <v>3.9</v>
      </c>
      <c r="H247" s="36">
        <f>MIN(G148,F247)</f>
        <v>5.2</v>
      </c>
      <c r="I247" s="36">
        <f>MAX(0,ROUND((H247-G247),4))</f>
        <v>1.3</v>
      </c>
      <c r="J247" s="37">
        <f>'入力根拠'!F97</f>
        <v>1755.0</v>
      </c>
      <c r="K247" s="37">
        <f>'入力根拠'!F98</f>
        <v>1755.0</v>
      </c>
      <c r="L247" s="9">
        <f>ROUND((F247-E247),4)</f>
        <v>2.9</v>
      </c>
    </row>
    <row r="248" spans="1:12" ht="23" customHeight="1">
      <c r="A248" s="6">
        <v>6</v>
      </c>
      <c r="B248" s="6">
        <v>152</v>
      </c>
      <c r="C248" s="6">
        <v>3</v>
      </c>
      <c r="D248" s="6">
        <v>189</v>
      </c>
      <c r="E248" s="35">
        <v>2.8</v>
      </c>
      <c r="F248" s="35">
        <v>5.7</v>
      </c>
      <c r="G248" s="36">
        <f>MAX(F149,E248)</f>
        <v>5.2</v>
      </c>
      <c r="H248" s="36">
        <f>MIN(G149,F248)</f>
        <v>5.7</v>
      </c>
      <c r="I248" s="36">
        <f>MAX(0,ROUND((H248-G248),4))</f>
        <v>0.5</v>
      </c>
      <c r="J248" s="37">
        <f>'入力根拠'!F97</f>
        <v>1755.0</v>
      </c>
      <c r="K248" s="37">
        <f>'入力根拠'!F98</f>
        <v>1755.0</v>
      </c>
      <c r="L248" s="9">
        <f>ROUND((F248-E248),4)</f>
        <v>2.9</v>
      </c>
    </row>
    <row r="249" spans="1:12" ht="23" customHeight="1">
      <c r="A249" s="6">
        <v>6</v>
      </c>
      <c r="B249" s="6">
        <v>152</v>
      </c>
      <c r="C249" s="6">
        <v>4</v>
      </c>
      <c r="D249" s="6">
        <v>190</v>
      </c>
      <c r="E249" s="35">
        <v>5.7</v>
      </c>
      <c r="F249" s="35">
        <v>8.300000000000001</v>
      </c>
      <c r="G249" s="36">
        <f>MAX(F149,E249)</f>
        <v>5.7</v>
      </c>
      <c r="H249" s="36">
        <f>MIN(G149,F249)</f>
        <v>6.5</v>
      </c>
      <c r="I249" s="36">
        <f>MAX(0,ROUND((H249-G249),4))</f>
        <v>0.8</v>
      </c>
      <c r="J249" s="37">
        <f>'入力根拠'!F99</f>
        <v>5872.6</v>
      </c>
      <c r="K249" s="37">
        <f>'入力根拠'!F100</f>
        <v>6877.6</v>
      </c>
      <c r="L249" s="9">
        <f>ROUND((F249-E249),4)</f>
        <v>2.6</v>
      </c>
    </row>
    <row r="250" spans="1:12" ht="23" customHeight="1">
      <c r="A250" s="6">
        <v>6</v>
      </c>
      <c r="B250" s="6">
        <v>153</v>
      </c>
      <c r="C250" s="6">
        <v>4</v>
      </c>
      <c r="D250" s="6">
        <v>190</v>
      </c>
      <c r="E250" s="35">
        <v>5.7</v>
      </c>
      <c r="F250" s="35">
        <v>8.300000000000001</v>
      </c>
      <c r="G250" s="36">
        <f>MAX(F150,E250)</f>
        <v>6.5</v>
      </c>
      <c r="H250" s="36">
        <f>MIN(G150,F250)</f>
        <v>7.8</v>
      </c>
      <c r="I250" s="36">
        <f>MAX(0,ROUND((H250-G250),4))</f>
        <v>1.3</v>
      </c>
      <c r="J250" s="37">
        <f>'入力根拠'!F99</f>
        <v>5872.6</v>
      </c>
      <c r="K250" s="37">
        <f>'入力根拠'!F100</f>
        <v>6877.6</v>
      </c>
      <c r="L250" s="9">
        <f>ROUND((F250-E250),4)</f>
        <v>2.6</v>
      </c>
    </row>
    <row r="251" spans="1:12" ht="23" customHeight="1">
      <c r="A251" s="6">
        <v>6</v>
      </c>
      <c r="B251" s="6">
        <v>154</v>
      </c>
      <c r="C251" s="6">
        <v>4</v>
      </c>
      <c r="D251" s="6">
        <v>190</v>
      </c>
      <c r="E251" s="35">
        <v>5.7</v>
      </c>
      <c r="F251" s="35">
        <v>8.300000000000001</v>
      </c>
      <c r="G251" s="36">
        <f>MAX(F151,E251)</f>
        <v>7.8</v>
      </c>
      <c r="H251" s="36">
        <f>MIN(G151,F251)</f>
        <v>8.3</v>
      </c>
      <c r="I251" s="36">
        <f>MAX(0,ROUND((H251-G251),4))</f>
        <v>0.5</v>
      </c>
      <c r="J251" s="37">
        <f>'入力根拠'!F99</f>
        <v>5872.6</v>
      </c>
      <c r="K251" s="37">
        <f>'入力根拠'!F100</f>
        <v>6877.6</v>
      </c>
      <c r="L251" s="9">
        <f>ROUND((F251-E251),4)</f>
        <v>2.6</v>
      </c>
    </row>
    <row r="252" spans="1:12" ht="23" customHeight="1">
      <c r="A252" s="6">
        <v>6</v>
      </c>
      <c r="B252" s="6">
        <v>154</v>
      </c>
      <c r="C252" s="6">
        <v>5</v>
      </c>
      <c r="D252" s="6">
        <v>191</v>
      </c>
      <c r="E252" s="35">
        <v>8.300000000000001</v>
      </c>
      <c r="F252" s="35">
        <v>8.9</v>
      </c>
      <c r="G252" s="36">
        <f>MAX(F151,E252)</f>
        <v>8.3</v>
      </c>
      <c r="H252" s="36">
        <f>MIN(G151,F252)</f>
        <v>8.9</v>
      </c>
      <c r="I252" s="36">
        <f>MAX(0,ROUND((H252-G252),4))</f>
        <v>0.6</v>
      </c>
      <c r="J252" s="37">
        <f>'入力根拠'!F101</f>
        <v>6809.4</v>
      </c>
      <c r="K252" s="37">
        <f>'入力根拠'!F102</f>
        <v>6809.4</v>
      </c>
      <c r="L252" s="9">
        <f>ROUND((F252-E252),4)</f>
        <v>0.6</v>
      </c>
    </row>
    <row r="253" spans="1:12" ht="23" customHeight="1">
      <c r="A253" s="6">
        <v>6</v>
      </c>
      <c r="B253" s="6">
        <v>154</v>
      </c>
      <c r="C253" s="6">
        <v>6</v>
      </c>
      <c r="D253" s="6">
        <v>192</v>
      </c>
      <c r="E253" s="35">
        <v>8.9</v>
      </c>
      <c r="F253" s="35">
        <v>18.4</v>
      </c>
      <c r="G253" s="36">
        <f>MAX(F151,E253)</f>
        <v>8.9</v>
      </c>
      <c r="H253" s="36">
        <f>MIN(G151,F253)</f>
        <v>9.1</v>
      </c>
      <c r="I253" s="36">
        <f>MAX(0,ROUND((H253-G253),4))</f>
        <v>0.2</v>
      </c>
      <c r="J253" s="37">
        <f>'入力根拠'!F103</f>
        <v>7371.2</v>
      </c>
      <c r="K253" s="37">
        <f>'入力根拠'!F104</f>
        <v>11206.2</v>
      </c>
      <c r="L253" s="9">
        <f>ROUND((F253-E253),4)</f>
        <v>9.5</v>
      </c>
    </row>
    <row r="254" spans="1:12" ht="23" customHeight="1">
      <c r="A254" s="6">
        <v>6</v>
      </c>
      <c r="B254" s="6">
        <v>155</v>
      </c>
      <c r="C254" s="6">
        <v>6</v>
      </c>
      <c r="D254" s="6">
        <v>192</v>
      </c>
      <c r="E254" s="35">
        <v>8.9</v>
      </c>
      <c r="F254" s="35">
        <v>18.4</v>
      </c>
      <c r="G254" s="36">
        <f>MAX(F152,E254)</f>
        <v>9.1</v>
      </c>
      <c r="H254" s="36">
        <f>MIN(G152,F254)</f>
        <v>10.4</v>
      </c>
      <c r="I254" s="36">
        <f>MAX(0,ROUND((H254-G254),4))</f>
        <v>1.3</v>
      </c>
      <c r="J254" s="37">
        <f>'入力根拠'!F103</f>
        <v>7371.2</v>
      </c>
      <c r="K254" s="37">
        <f>'入力根拠'!F104</f>
        <v>11206.2</v>
      </c>
      <c r="L254" s="9">
        <f>ROUND((F254-E254),4)</f>
        <v>9.5</v>
      </c>
    </row>
    <row r="255" spans="1:12" ht="23" customHeight="1">
      <c r="A255" s="6">
        <v>6</v>
      </c>
      <c r="B255" s="6">
        <v>156</v>
      </c>
      <c r="C255" s="6">
        <v>6</v>
      </c>
      <c r="D255" s="6">
        <v>192</v>
      </c>
      <c r="E255" s="35">
        <v>8.9</v>
      </c>
      <c r="F255" s="35">
        <v>18.4</v>
      </c>
      <c r="G255" s="36">
        <f>MAX(F153,E255)</f>
        <v>10.4</v>
      </c>
      <c r="H255" s="36">
        <f>MIN(G153,F255)</f>
        <v>11.7</v>
      </c>
      <c r="I255" s="36">
        <f>MAX(0,ROUND((H255-G255),4))</f>
        <v>1.3</v>
      </c>
      <c r="J255" s="37">
        <f>'入力根拠'!F103</f>
        <v>7371.2</v>
      </c>
      <c r="K255" s="37">
        <f>'入力根拠'!F104</f>
        <v>11206.2</v>
      </c>
      <c r="L255" s="9">
        <f>ROUND((F255-E255),4)</f>
        <v>9.5</v>
      </c>
    </row>
    <row r="256" spans="1:12" ht="23" customHeight="1">
      <c r="A256" s="6">
        <v>6</v>
      </c>
      <c r="B256" s="6">
        <v>157</v>
      </c>
      <c r="C256" s="6">
        <v>6</v>
      </c>
      <c r="D256" s="6">
        <v>192</v>
      </c>
      <c r="E256" s="35">
        <v>8.9</v>
      </c>
      <c r="F256" s="35">
        <v>18.4</v>
      </c>
      <c r="G256" s="36">
        <f>MAX(F154,E256)</f>
        <v>11.7</v>
      </c>
      <c r="H256" s="36">
        <f>MIN(G154,F256)</f>
        <v>13.0</v>
      </c>
      <c r="I256" s="36">
        <f>MAX(0,ROUND((H256-G256),4))</f>
        <v>1.3</v>
      </c>
      <c r="J256" s="37">
        <f>'入力根拠'!F103</f>
        <v>7371.2</v>
      </c>
      <c r="K256" s="37">
        <f>'入力根拠'!F104</f>
        <v>11206.2</v>
      </c>
      <c r="L256" s="9">
        <f>ROUND((F256-E256),4)</f>
        <v>9.5</v>
      </c>
    </row>
    <row r="257" spans="1:12" ht="24" customHeight="1">
      <c r="A257" s="3" t="s">
        <v>146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36" customHeight="1">
      <c r="A258" s="4" t="s">
        <v>8</v>
      </c>
      <c r="B258" s="4" t="s">
        <v>10</v>
      </c>
      <c r="C258" s="4" t="s">
        <v>147</v>
      </c>
      <c r="D258" s="4" t="s">
        <v>148</v>
      </c>
      <c r="E258" s="4" t="s">
        <v>149</v>
      </c>
      <c r="F258" s="4" t="s">
        <v>150</v>
      </c>
      <c r="G258" s="4" t="s">
        <v>151</v>
      </c>
      <c r="H258" s="4" t="s">
        <v>152</v>
      </c>
      <c r="I258" s="4" t="s">
        <v>153</v>
      </c>
      <c r="J258" s="4" t="s">
        <v>154</v>
      </c>
      <c r="K258" s="4" t="s">
        <v>155</v>
      </c>
      <c r="L258" s="4" t="s">
        <v>125</v>
      </c>
    </row>
    <row r="259" spans="1:12" ht="23" customHeight="1">
      <c r="A259" s="6">
        <v>6</v>
      </c>
      <c r="B259" s="6">
        <v>158</v>
      </c>
      <c r="C259" s="6">
        <v>6</v>
      </c>
      <c r="D259" s="6">
        <v>192</v>
      </c>
      <c r="E259" s="35">
        <v>8.9</v>
      </c>
      <c r="F259" s="35">
        <v>18.4</v>
      </c>
      <c r="G259" s="36">
        <f>MAX(F155,E259)</f>
        <v>13.0</v>
      </c>
      <c r="H259" s="36">
        <f>MIN(G155,F259)</f>
        <v>14.3</v>
      </c>
      <c r="I259" s="36">
        <f>MAX(0,ROUND((H259-G259),4))</f>
        <v>1.3</v>
      </c>
      <c r="J259" s="37">
        <f>'入力根拠'!F103</f>
        <v>7371.2</v>
      </c>
      <c r="K259" s="37">
        <f>'入力根拠'!F104</f>
        <v>11206.2</v>
      </c>
      <c r="L259" s="9">
        <f>ROUND((F259-E259),4)</f>
        <v>9.5</v>
      </c>
    </row>
    <row r="260" spans="1:12" ht="23" customHeight="1">
      <c r="A260" s="6">
        <v>6</v>
      </c>
      <c r="B260" s="6">
        <v>159</v>
      </c>
      <c r="C260" s="6">
        <v>6</v>
      </c>
      <c r="D260" s="6">
        <v>192</v>
      </c>
      <c r="E260" s="35">
        <v>8.9</v>
      </c>
      <c r="F260" s="35">
        <v>18.4</v>
      </c>
      <c r="G260" s="36">
        <f>MAX(F156,E260)</f>
        <v>14.3</v>
      </c>
      <c r="H260" s="36">
        <f>MIN(G156,F260)</f>
        <v>15.6</v>
      </c>
      <c r="I260" s="36">
        <f>MAX(0,ROUND((H260-G260),4))</f>
        <v>1.3</v>
      </c>
      <c r="J260" s="37">
        <f>'入力根拠'!F103</f>
        <v>7371.2</v>
      </c>
      <c r="K260" s="37">
        <f>'入力根拠'!F104</f>
        <v>11206.2</v>
      </c>
      <c r="L260" s="9">
        <f>ROUND((F260-E260),4)</f>
        <v>9.5</v>
      </c>
    </row>
    <row r="261" spans="1:12" ht="23" customHeight="1">
      <c r="A261" s="6">
        <v>6</v>
      </c>
      <c r="B261" s="6">
        <v>160</v>
      </c>
      <c r="C261" s="6">
        <v>6</v>
      </c>
      <c r="D261" s="6">
        <v>192</v>
      </c>
      <c r="E261" s="35">
        <v>8.9</v>
      </c>
      <c r="F261" s="35">
        <v>18.4</v>
      </c>
      <c r="G261" s="36">
        <f>MAX(F159,E261)</f>
        <v>15.6</v>
      </c>
      <c r="H261" s="36">
        <f>MIN(G159,F261)</f>
        <v>16.9</v>
      </c>
      <c r="I261" s="36">
        <f>MAX(0,ROUND((H261-G261),4))</f>
        <v>1.3</v>
      </c>
      <c r="J261" s="37">
        <f>'入力根拠'!F103</f>
        <v>7371.2</v>
      </c>
      <c r="K261" s="37">
        <f>'入力根拠'!F104</f>
        <v>11206.2</v>
      </c>
      <c r="L261" s="9">
        <f>ROUND((F261-E261),4)</f>
        <v>9.5</v>
      </c>
    </row>
    <row r="262" spans="1:12" ht="23" customHeight="1">
      <c r="A262" s="6">
        <v>6</v>
      </c>
      <c r="B262" s="6">
        <v>161</v>
      </c>
      <c r="C262" s="6">
        <v>6</v>
      </c>
      <c r="D262" s="6">
        <v>192</v>
      </c>
      <c r="E262" s="35">
        <v>8.9</v>
      </c>
      <c r="F262" s="35">
        <v>18.4</v>
      </c>
      <c r="G262" s="36">
        <f>MAX(F160,E262)</f>
        <v>16.9</v>
      </c>
      <c r="H262" s="36">
        <f>MIN(G160,F262)</f>
        <v>18.2</v>
      </c>
      <c r="I262" s="36">
        <f>MAX(0,ROUND((H262-G262),4))</f>
        <v>1.3</v>
      </c>
      <c r="J262" s="37">
        <f>'入力根拠'!F103</f>
        <v>7371.2</v>
      </c>
      <c r="K262" s="37">
        <f>'入力根拠'!F104</f>
        <v>11206.2</v>
      </c>
      <c r="L262" s="9">
        <f>ROUND((F262-E262),4)</f>
        <v>9.5</v>
      </c>
    </row>
    <row r="263" spans="1:12" ht="23" customHeight="1">
      <c r="A263" s="6">
        <v>6</v>
      </c>
      <c r="B263" s="6">
        <v>162</v>
      </c>
      <c r="C263" s="6">
        <v>6</v>
      </c>
      <c r="D263" s="6">
        <v>192</v>
      </c>
      <c r="E263" s="35">
        <v>8.9</v>
      </c>
      <c r="F263" s="35">
        <v>18.4</v>
      </c>
      <c r="G263" s="36">
        <f>MAX(F161,E263)</f>
        <v>18.2</v>
      </c>
      <c r="H263" s="36">
        <f>MIN(G161,F263)</f>
        <v>18.4</v>
      </c>
      <c r="I263" s="36">
        <f>MAX(0,ROUND((H263-G263),4))</f>
        <v>0.2</v>
      </c>
      <c r="J263" s="37">
        <f>'入力根拠'!F103</f>
        <v>7371.2</v>
      </c>
      <c r="K263" s="37">
        <f>'入力根拠'!F104</f>
        <v>11206.2</v>
      </c>
      <c r="L263" s="9">
        <f>ROUND((F263-E263),4)</f>
        <v>9.5</v>
      </c>
    </row>
    <row r="264" spans="1:12" ht="23" customHeight="1">
      <c r="A264" s="6">
        <v>6</v>
      </c>
      <c r="B264" s="6">
        <v>162</v>
      </c>
      <c r="C264" s="6">
        <v>7</v>
      </c>
      <c r="D264" s="6">
        <v>193</v>
      </c>
      <c r="E264" s="35">
        <v>18.4</v>
      </c>
      <c r="F264" s="35">
        <v>31</v>
      </c>
      <c r="G264" s="36">
        <f>MAX(F161,E264)</f>
        <v>18.4</v>
      </c>
      <c r="H264" s="36">
        <f>MIN(G161,F264)</f>
        <v>19.5</v>
      </c>
      <c r="I264" s="36">
        <f>MAX(0,ROUND((H264-G264),4))</f>
        <v>1.1</v>
      </c>
      <c r="J264" s="37">
        <f>'入力根拠'!F107</f>
        <v>3088.8</v>
      </c>
      <c r="K264" s="37">
        <f>'入力根拠'!F108</f>
        <v>3088.8</v>
      </c>
      <c r="L264" s="9">
        <f>ROUND((F264-E264),4)</f>
        <v>12.6</v>
      </c>
    </row>
    <row r="265" spans="1:12" ht="23" customHeight="1">
      <c r="A265" s="6">
        <v>6</v>
      </c>
      <c r="B265" s="6">
        <v>163</v>
      </c>
      <c r="C265" s="6">
        <v>7</v>
      </c>
      <c r="D265" s="6">
        <v>193</v>
      </c>
      <c r="E265" s="35">
        <v>18.4</v>
      </c>
      <c r="F265" s="35">
        <v>31</v>
      </c>
      <c r="G265" s="36">
        <f>MAX(F162,E265)</f>
        <v>19.5</v>
      </c>
      <c r="H265" s="36">
        <f>MIN(G162,F265)</f>
        <v>20.8</v>
      </c>
      <c r="I265" s="36">
        <f>MAX(0,ROUND((H265-G265),4))</f>
        <v>1.3</v>
      </c>
      <c r="J265" s="37">
        <f>'入力根拠'!F107</f>
        <v>3088.8</v>
      </c>
      <c r="K265" s="37">
        <f>'入力根拠'!F108</f>
        <v>3088.8</v>
      </c>
      <c r="L265" s="9">
        <f>ROUND((F265-E265),4)</f>
        <v>12.6</v>
      </c>
    </row>
    <row r="266" spans="1:12" ht="23" customHeight="1">
      <c r="A266" s="6">
        <v>6</v>
      </c>
      <c r="B266" s="6">
        <v>164</v>
      </c>
      <c r="C266" s="6">
        <v>7</v>
      </c>
      <c r="D266" s="6">
        <v>193</v>
      </c>
      <c r="E266" s="35">
        <v>18.4</v>
      </c>
      <c r="F266" s="35">
        <v>31</v>
      </c>
      <c r="G266" s="36">
        <f>MAX(F163,E266)</f>
        <v>20.8</v>
      </c>
      <c r="H266" s="36">
        <f>MIN(G163,F266)</f>
        <v>22.1</v>
      </c>
      <c r="I266" s="36">
        <f>MAX(0,ROUND((H266-G266),4))</f>
        <v>1.3</v>
      </c>
      <c r="J266" s="37">
        <f>'入力根拠'!F107</f>
        <v>3088.8</v>
      </c>
      <c r="K266" s="37">
        <f>'入力根拠'!F108</f>
        <v>3088.8</v>
      </c>
      <c r="L266" s="9">
        <f>ROUND((F266-E266),4)</f>
        <v>12.6</v>
      </c>
    </row>
    <row r="267" spans="1:12" ht="23" customHeight="1">
      <c r="A267" s="6">
        <v>6</v>
      </c>
      <c r="B267" s="6">
        <v>165</v>
      </c>
      <c r="C267" s="6">
        <v>7</v>
      </c>
      <c r="D267" s="6">
        <v>193</v>
      </c>
      <c r="E267" s="35">
        <v>18.4</v>
      </c>
      <c r="F267" s="35">
        <v>31</v>
      </c>
      <c r="G267" s="36">
        <f>MAX(F164,E267)</f>
        <v>22.1</v>
      </c>
      <c r="H267" s="36">
        <f>MIN(G164,F267)</f>
        <v>23.4</v>
      </c>
      <c r="I267" s="36">
        <f>MAX(0,ROUND((H267-G267),4))</f>
        <v>1.3</v>
      </c>
      <c r="J267" s="37">
        <f>'入力根拠'!F107</f>
        <v>3088.8</v>
      </c>
      <c r="K267" s="37">
        <f>'入力根拠'!F108</f>
        <v>3088.8</v>
      </c>
      <c r="L267" s="9">
        <f>ROUND((F267-E267),4)</f>
        <v>12.6</v>
      </c>
    </row>
    <row r="268" spans="1:12" ht="23" customHeight="1">
      <c r="A268" s="6">
        <v>6</v>
      </c>
      <c r="B268" s="6">
        <v>166</v>
      </c>
      <c r="C268" s="6">
        <v>7</v>
      </c>
      <c r="D268" s="6">
        <v>193</v>
      </c>
      <c r="E268" s="35">
        <v>18.4</v>
      </c>
      <c r="F268" s="35">
        <v>31</v>
      </c>
      <c r="G268" s="36">
        <f>MAX(F165,E268)</f>
        <v>23.4</v>
      </c>
      <c r="H268" s="36">
        <f>MIN(G165,F268)</f>
        <v>24.7</v>
      </c>
      <c r="I268" s="36">
        <f>MAX(0,ROUND((H268-G268),4))</f>
        <v>1.3</v>
      </c>
      <c r="J268" s="37">
        <f>'入力根拠'!F107</f>
        <v>3088.8</v>
      </c>
      <c r="K268" s="37">
        <f>'入力根拠'!F108</f>
        <v>3088.8</v>
      </c>
      <c r="L268" s="9">
        <f>ROUND((F268-E268),4)</f>
        <v>12.6</v>
      </c>
    </row>
    <row r="269" spans="1:12" ht="23" customHeight="1">
      <c r="A269" s="6">
        <v>6</v>
      </c>
      <c r="B269" s="6">
        <v>167</v>
      </c>
      <c r="C269" s="6">
        <v>7</v>
      </c>
      <c r="D269" s="6">
        <v>193</v>
      </c>
      <c r="E269" s="35">
        <v>18.4</v>
      </c>
      <c r="F269" s="35">
        <v>31</v>
      </c>
      <c r="G269" s="36">
        <f>MAX(F166,E269)</f>
        <v>24.7</v>
      </c>
      <c r="H269" s="36">
        <f>MIN(G166,F269)</f>
        <v>26.0</v>
      </c>
      <c r="I269" s="36">
        <f>MAX(0,ROUND((H269-G269),4))</f>
        <v>1.3</v>
      </c>
      <c r="J269" s="37">
        <f>'入力根拠'!F107</f>
        <v>3088.8</v>
      </c>
      <c r="K269" s="37">
        <f>'入力根拠'!F108</f>
        <v>3088.8</v>
      </c>
      <c r="L269" s="9">
        <f>ROUND((F269-E269),4)</f>
        <v>12.6</v>
      </c>
    </row>
    <row r="270" spans="1:12" ht="23" customHeight="1">
      <c r="A270" s="6">
        <v>6</v>
      </c>
      <c r="B270" s="6">
        <v>168</v>
      </c>
      <c r="C270" s="6">
        <v>7</v>
      </c>
      <c r="D270" s="6">
        <v>193</v>
      </c>
      <c r="E270" s="35">
        <v>18.4</v>
      </c>
      <c r="F270" s="35">
        <v>31</v>
      </c>
      <c r="G270" s="36">
        <f>MAX(F167,E270)</f>
        <v>26.0</v>
      </c>
      <c r="H270" s="36">
        <f>MIN(G167,F270)</f>
        <v>27.3</v>
      </c>
      <c r="I270" s="36">
        <f>MAX(0,ROUND((H270-G270),4))</f>
        <v>1.3</v>
      </c>
      <c r="J270" s="37">
        <f>'入力根拠'!F107</f>
        <v>3088.8</v>
      </c>
      <c r="K270" s="37">
        <f>'入力根拠'!F108</f>
        <v>3088.8</v>
      </c>
      <c r="L270" s="9">
        <f>ROUND((F270-E270),4)</f>
        <v>12.6</v>
      </c>
    </row>
    <row r="271" spans="1:12" ht="23" customHeight="1">
      <c r="A271" s="6">
        <v>6</v>
      </c>
      <c r="B271" s="6">
        <v>169</v>
      </c>
      <c r="C271" s="6">
        <v>7</v>
      </c>
      <c r="D271" s="6">
        <v>193</v>
      </c>
      <c r="E271" s="35">
        <v>18.4</v>
      </c>
      <c r="F271" s="35">
        <v>31</v>
      </c>
      <c r="G271" s="36">
        <f>MAX(F168,E271)</f>
        <v>27.3</v>
      </c>
      <c r="H271" s="36">
        <f>MIN(G168,F271)</f>
        <v>28.6</v>
      </c>
      <c r="I271" s="36">
        <f>MAX(0,ROUND((H271-G271),4))</f>
        <v>1.3</v>
      </c>
      <c r="J271" s="37">
        <f>'入力根拠'!F107</f>
        <v>3088.8</v>
      </c>
      <c r="K271" s="37">
        <f>'入力根拠'!F108</f>
        <v>3088.8</v>
      </c>
      <c r="L271" s="9">
        <f>ROUND((F271-E271),4)</f>
        <v>12.6</v>
      </c>
    </row>
    <row r="272" spans="1:12" ht="23" customHeight="1">
      <c r="A272" s="6">
        <v>6</v>
      </c>
      <c r="B272" s="6">
        <v>170</v>
      </c>
      <c r="C272" s="6">
        <v>7</v>
      </c>
      <c r="D272" s="6">
        <v>193</v>
      </c>
      <c r="E272" s="35">
        <v>18.4</v>
      </c>
      <c r="F272" s="35">
        <v>31</v>
      </c>
      <c r="G272" s="36">
        <f>MAX(F169,E272)</f>
        <v>28.6</v>
      </c>
      <c r="H272" s="36">
        <f>MIN(G169,F272)</f>
        <v>29.9</v>
      </c>
      <c r="I272" s="36">
        <f>MAX(0,ROUND((H272-G272),4))</f>
        <v>1.3</v>
      </c>
      <c r="J272" s="37">
        <f>'入力根拠'!F107</f>
        <v>3088.8</v>
      </c>
      <c r="K272" s="37">
        <f>'入力根拠'!F108</f>
        <v>3088.8</v>
      </c>
      <c r="L272" s="9">
        <f>ROUND((F272-E272),4)</f>
        <v>12.6</v>
      </c>
    </row>
    <row r="273" spans="1:12" ht="23" customHeight="1">
      <c r="A273" s="6">
        <v>6</v>
      </c>
      <c r="B273" s="6">
        <v>171</v>
      </c>
      <c r="C273" s="6">
        <v>7</v>
      </c>
      <c r="D273" s="6">
        <v>193</v>
      </c>
      <c r="E273" s="35">
        <v>18.4</v>
      </c>
      <c r="F273" s="35">
        <v>31</v>
      </c>
      <c r="G273" s="36">
        <f>MAX(F170,E273)</f>
        <v>29.9</v>
      </c>
      <c r="H273" s="36">
        <f>MIN(G170,F273)</f>
        <v>31.0</v>
      </c>
      <c r="I273" s="36">
        <f>MAX(0,ROUND((H273-G273),4))</f>
        <v>1.1</v>
      </c>
      <c r="J273" s="37">
        <f>'入力根拠'!F107</f>
        <v>3088.8</v>
      </c>
      <c r="K273" s="37">
        <f>'入力根拠'!F108</f>
        <v>3088.8</v>
      </c>
      <c r="L273" s="9">
        <f>ROUND((F273-E273),4)</f>
        <v>12.6</v>
      </c>
    </row>
    <row r="274" spans="1:12" ht="23" customHeight="1"/>
    <row r="275" spans="1:12" ht="24" customHeight="1">
      <c r="A275" s="3" t="s">
        <v>156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36" customHeight="1">
      <c r="A276" s="4" t="s">
        <v>8</v>
      </c>
      <c r="B276" s="4" t="s">
        <v>10</v>
      </c>
      <c r="C276" s="4" t="s">
        <v>147</v>
      </c>
      <c r="D276" s="4" t="s">
        <v>157</v>
      </c>
      <c r="E276" s="4" t="s">
        <v>158</v>
      </c>
      <c r="F276" s="4" t="s">
        <v>159</v>
      </c>
      <c r="G276" s="4" t="s">
        <v>160</v>
      </c>
      <c r="H276" s="4" t="s">
        <v>153</v>
      </c>
      <c r="I276" s="4" t="s">
        <v>161</v>
      </c>
    </row>
    <row r="277" spans="1:12" ht="23" customHeight="1">
      <c r="A277" s="6">
        <v>4</v>
      </c>
      <c r="B277" s="6">
        <v>98</v>
      </c>
      <c r="C277" s="6">
        <v>1</v>
      </c>
      <c r="D277" s="38">
        <f>((G174-E174)/L174)</f>
        <v>0.0</v>
      </c>
      <c r="E277" s="38">
        <f>((H174-E174)/L174)</f>
        <v>0.8666666666666667</v>
      </c>
      <c r="F277" s="9">
        <f>(J174+((K174-J174)*D277))</f>
        <v>1162.9</v>
      </c>
      <c r="G277" s="9">
        <f>(J174+((K174-J174)*E277))</f>
        <v>1307.46</v>
      </c>
      <c r="H277" s="36">
        <f>I174</f>
        <v>1.3</v>
      </c>
      <c r="I277" s="9">
        <f>(((F277+G277)/2)*H277)</f>
        <v>1605.7340000000002</v>
      </c>
    </row>
    <row r="278" spans="1:12" ht="23" customHeight="1">
      <c r="A278" s="6">
        <v>4</v>
      </c>
      <c r="B278" s="6">
        <v>99</v>
      </c>
      <c r="C278" s="6">
        <v>1</v>
      </c>
      <c r="D278" s="38">
        <f>((G175-E175)/L175)</f>
        <v>0.8666666666666667</v>
      </c>
      <c r="E278" s="38">
        <f>((H175-E175)/L175)</f>
        <v>1.0</v>
      </c>
      <c r="F278" s="9">
        <f>(J175+((K175-J175)*D278))</f>
        <v>1307.46</v>
      </c>
      <c r="G278" s="9">
        <f>(J175+((K175-J175)*E278))</f>
        <v>1329.7</v>
      </c>
      <c r="H278" s="36">
        <f>I175</f>
        <v>0.2</v>
      </c>
      <c r="I278" s="9">
        <f>(((F278+G278)/2)*H278)</f>
        <v>263.716</v>
      </c>
    </row>
    <row r="279" spans="1:12" ht="23" customHeight="1">
      <c r="A279" s="6">
        <v>4</v>
      </c>
      <c r="B279" s="6">
        <v>99</v>
      </c>
      <c r="C279" s="6">
        <v>2</v>
      </c>
      <c r="D279" s="38">
        <f>((G176-E176)/L176)</f>
        <v>0.0</v>
      </c>
      <c r="E279" s="38">
        <f>((H176-E176)/L176)</f>
        <v>0.8461538461538461</v>
      </c>
      <c r="F279" s="9">
        <f>(J176+((K176-J176)*D279))</f>
        <v>2018.1</v>
      </c>
      <c r="G279" s="9">
        <f>(J176+((K176-J176)*E279))</f>
        <v>2203.6615384615384</v>
      </c>
      <c r="H279" s="36">
        <f>I176</f>
        <v>1.1</v>
      </c>
      <c r="I279" s="9">
        <f>(((F279+G279)/2)*H279)</f>
        <v>2321.9688461538462</v>
      </c>
    </row>
    <row r="280" spans="1:12" ht="23" customHeight="1">
      <c r="A280" s="6">
        <v>4</v>
      </c>
      <c r="B280" s="6">
        <v>100</v>
      </c>
      <c r="C280" s="6">
        <v>2</v>
      </c>
      <c r="D280" s="38">
        <f>((G177-E177)/L177)</f>
        <v>0.8461538461538461</v>
      </c>
      <c r="E280" s="38">
        <f>((H177-E177)/L177)</f>
        <v>0.9999999999999998</v>
      </c>
      <c r="F280" s="9">
        <f>(J177+((K177-J177)*D280))</f>
        <v>2203.6615384615384</v>
      </c>
      <c r="G280" s="9">
        <f>(J177+((K177-J177)*E280))</f>
        <v>2237.4</v>
      </c>
      <c r="H280" s="36">
        <f>I177</f>
        <v>0.2</v>
      </c>
      <c r="I280" s="9">
        <f>(((F280+G280)/2)*H280)</f>
        <v>444.10615384615386</v>
      </c>
    </row>
    <row r="281" spans="1:12" ht="23" customHeight="1">
      <c r="A281" s="6">
        <v>4</v>
      </c>
      <c r="B281" s="6">
        <v>100</v>
      </c>
      <c r="C281" s="6">
        <v>3</v>
      </c>
      <c r="D281" s="38">
        <f>((G178-E178)/L178)</f>
        <v>0.0</v>
      </c>
      <c r="E281" s="38">
        <f>((H178-E178)/L178)</f>
        <v>0.37931034482758624</v>
      </c>
      <c r="F281" s="9">
        <f>(J178+((K178-J178)*D281))</f>
        <v>1755.0</v>
      </c>
      <c r="G281" s="9">
        <f>(J178+((K178-J178)*E281))</f>
        <v>1755.0</v>
      </c>
      <c r="H281" s="36">
        <f>I178</f>
        <v>1.1</v>
      </c>
      <c r="I281" s="9">
        <f>(((F281+G281)/2)*H281)</f>
        <v>1930.5000000000002</v>
      </c>
    </row>
    <row r="282" spans="1:12" ht="23" customHeight="1">
      <c r="A282" s="6">
        <v>4</v>
      </c>
      <c r="B282" s="6">
        <v>101</v>
      </c>
      <c r="C282" s="6">
        <v>3</v>
      </c>
      <c r="D282" s="38">
        <f>((G179-E179)/L179)</f>
        <v>0.37931034482758624</v>
      </c>
      <c r="E282" s="38">
        <f>((H179-E179)/L179)</f>
        <v>0.8275862068965518</v>
      </c>
      <c r="F282" s="9">
        <f>(J179+((K179-J179)*D282))</f>
        <v>1755.0</v>
      </c>
      <c r="G282" s="9">
        <f>(J179+((K179-J179)*E282))</f>
        <v>1755.0</v>
      </c>
      <c r="H282" s="36">
        <f>I179</f>
        <v>1.3</v>
      </c>
      <c r="I282" s="9">
        <f>(((F282+G282)/2)*H282)</f>
        <v>2281.5</v>
      </c>
    </row>
    <row r="283" spans="1:12" ht="23" customHeight="1">
      <c r="A283" s="6">
        <v>4</v>
      </c>
      <c r="B283" s="6">
        <v>102</v>
      </c>
      <c r="C283" s="6">
        <v>3</v>
      </c>
      <c r="D283" s="38">
        <f>((G180-E180)/L180)</f>
        <v>0.8275862068965518</v>
      </c>
      <c r="E283" s="38">
        <f>((H180-E180)/L180)</f>
        <v>1.0000000000000002</v>
      </c>
      <c r="F283" s="9">
        <f>(J180+((K180-J180)*D283))</f>
        <v>1755.0</v>
      </c>
      <c r="G283" s="9">
        <f>(J180+((K180-J180)*E283))</f>
        <v>1755.0</v>
      </c>
      <c r="H283" s="36">
        <f>I180</f>
        <v>0.5</v>
      </c>
      <c r="I283" s="9">
        <f>(((F283+G283)/2)*H283)</f>
        <v>877.5</v>
      </c>
    </row>
    <row r="284" spans="1:12" ht="23" customHeight="1">
      <c r="A284" s="6">
        <v>4</v>
      </c>
      <c r="B284" s="6">
        <v>102</v>
      </c>
      <c r="C284" s="6">
        <v>4</v>
      </c>
      <c r="D284" s="38">
        <f>((G181-E181)/L181)</f>
        <v>0.0</v>
      </c>
      <c r="E284" s="38">
        <f>((H181-E181)/L181)</f>
        <v>0.3076923076923076</v>
      </c>
      <c r="F284" s="9">
        <f>(J181+((K181-J181)*D284))</f>
        <v>2349.1</v>
      </c>
      <c r="G284" s="9">
        <f>(J181+((K181-J181)*E284))</f>
        <v>2472.7615384615383</v>
      </c>
      <c r="H284" s="36">
        <f>I181</f>
        <v>0.8</v>
      </c>
      <c r="I284" s="9">
        <f>(((F284+G284)/2)*H284)</f>
        <v>1928.7446153846156</v>
      </c>
    </row>
    <row r="285" spans="1:12" ht="23" customHeight="1">
      <c r="A285" s="6">
        <v>4</v>
      </c>
      <c r="B285" s="6">
        <v>103</v>
      </c>
      <c r="C285" s="6">
        <v>4</v>
      </c>
      <c r="D285" s="38">
        <f>((G182-E182)/L182)</f>
        <v>0.3076923076923076</v>
      </c>
      <c r="E285" s="38">
        <f>((H182-E182)/L182)</f>
        <v>0.8076923076923075</v>
      </c>
      <c r="F285" s="9">
        <f>(J182+((K182-J182)*D285))</f>
        <v>2472.7615384615383</v>
      </c>
      <c r="G285" s="9">
        <f>(J182+((K182-J182)*E285))</f>
        <v>2673.711538461538</v>
      </c>
      <c r="H285" s="36">
        <f>I182</f>
        <v>1.3</v>
      </c>
      <c r="I285" s="9">
        <f>(((F285+G285)/2)*H285)</f>
        <v>3345.2075</v>
      </c>
    </row>
    <row r="286" spans="1:12" ht="23" customHeight="1">
      <c r="A286" s="6">
        <v>4</v>
      </c>
      <c r="B286" s="6">
        <v>104</v>
      </c>
      <c r="C286" s="6">
        <v>4</v>
      </c>
      <c r="D286" s="38">
        <f>((G183-E183)/L183)</f>
        <v>0.8076923076923075</v>
      </c>
      <c r="E286" s="38">
        <f>((H183-E183)/L183)</f>
        <v>1.0000000000000002</v>
      </c>
      <c r="F286" s="9">
        <f>(J183+((K183-J183)*D286))</f>
        <v>2673.711538461538</v>
      </c>
      <c r="G286" s="9">
        <f>(J183+((K183-J183)*E286))</f>
        <v>2751.0</v>
      </c>
      <c r="H286" s="36">
        <f>I183</f>
        <v>0.5</v>
      </c>
      <c r="I286" s="9">
        <f>(((F286+G286)/2)*H286)</f>
        <v>1356.1778846153845</v>
      </c>
    </row>
    <row r="287" spans="1:12" ht="23" customHeight="1">
      <c r="A287" s="6">
        <v>4</v>
      </c>
      <c r="B287" s="6">
        <v>104</v>
      </c>
      <c r="C287" s="6">
        <v>5</v>
      </c>
      <c r="D287" s="38">
        <f>((G184-E184)/L184)</f>
        <v>0.0</v>
      </c>
      <c r="E287" s="38">
        <f>((H184-E184)/L184)</f>
        <v>0.9999999999999994</v>
      </c>
      <c r="F287" s="9">
        <f>(J184+((K184-J184)*D287))</f>
        <v>6809.4</v>
      </c>
      <c r="G287" s="9">
        <f>(J184+((K184-J184)*E287))</f>
        <v>6809.4</v>
      </c>
      <c r="H287" s="36">
        <f>I184</f>
        <v>0.6</v>
      </c>
      <c r="I287" s="9">
        <f>(((F287+G287)/2)*H287)</f>
        <v>4085.6399999999994</v>
      </c>
    </row>
    <row r="288" spans="1:12" ht="23" customHeight="1">
      <c r="A288" s="6">
        <v>4</v>
      </c>
      <c r="B288" s="6">
        <v>104</v>
      </c>
      <c r="C288" s="6">
        <v>6</v>
      </c>
      <c r="D288" s="38">
        <f>((G185-E185)/L185)</f>
        <v>0.0</v>
      </c>
      <c r="E288" s="38">
        <f>((H185-E185)/L185)</f>
        <v>0.021052631578947295</v>
      </c>
      <c r="F288" s="9">
        <f>(J185+((K185-J185)*D288))</f>
        <v>2948.5</v>
      </c>
      <c r="G288" s="9">
        <f>(J185+((K185-J185)*E288))</f>
        <v>2980.794736842105</v>
      </c>
      <c r="H288" s="36">
        <f>I185</f>
        <v>0.2</v>
      </c>
      <c r="I288" s="9">
        <f>(((F288+G288)/2)*H288)</f>
        <v>592.9294736842105</v>
      </c>
    </row>
    <row r="289" spans="1:12" ht="23" customHeight="1">
      <c r="A289" s="6">
        <v>4</v>
      </c>
      <c r="B289" s="6">
        <v>105</v>
      </c>
      <c r="C289" s="6">
        <v>6</v>
      </c>
      <c r="D289" s="38">
        <f>((G186-E186)/L186)</f>
        <v>0.021052631578947295</v>
      </c>
      <c r="E289" s="38">
        <f>((H186-E186)/L186)</f>
        <v>0.15789473684210525</v>
      </c>
      <c r="F289" s="9">
        <f>(J186+((K186-J186)*D289))</f>
        <v>2980.794736842105</v>
      </c>
      <c r="G289" s="9">
        <f>(J186+((K186-J186)*E289))</f>
        <v>3190.7105263157896</v>
      </c>
      <c r="H289" s="36">
        <f>I186</f>
        <v>1.3</v>
      </c>
      <c r="I289" s="9">
        <f>(((F289+G289)/2)*H289)</f>
        <v>4011.478421052632</v>
      </c>
    </row>
    <row r="290" spans="1:12" ht="23" customHeight="1">
      <c r="A290" s="6">
        <v>4</v>
      </c>
      <c r="B290" s="6">
        <v>106</v>
      </c>
      <c r="C290" s="6">
        <v>6</v>
      </c>
      <c r="D290" s="38">
        <f>((G187-E187)/L187)</f>
        <v>0.15789473684210525</v>
      </c>
      <c r="E290" s="38">
        <f>((H187-E187)/L187)</f>
        <v>0.294736842105263</v>
      </c>
      <c r="F290" s="9">
        <f>(J187+((K187-J187)*D290))</f>
        <v>3190.7105263157896</v>
      </c>
      <c r="G290" s="9">
        <f>(J187+((K187-J187)*E290))</f>
        <v>3400.6263157894737</v>
      </c>
      <c r="H290" s="36">
        <f>I187</f>
        <v>1.3</v>
      </c>
      <c r="I290" s="9">
        <f>(((F290+G290)/2)*H290)</f>
        <v>4284.368947368422</v>
      </c>
    </row>
    <row r="291" spans="1:12" ht="24" customHeight="1">
      <c r="A291" s="3" t="s">
        <v>156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36" customHeight="1">
      <c r="A292" s="4" t="s">
        <v>8</v>
      </c>
      <c r="B292" s="4" t="s">
        <v>10</v>
      </c>
      <c r="C292" s="4" t="s">
        <v>147</v>
      </c>
      <c r="D292" s="4" t="s">
        <v>157</v>
      </c>
      <c r="E292" s="4" t="s">
        <v>158</v>
      </c>
      <c r="F292" s="4" t="s">
        <v>159</v>
      </c>
      <c r="G292" s="4" t="s">
        <v>160</v>
      </c>
      <c r="H292" s="4" t="s">
        <v>153</v>
      </c>
      <c r="I292" s="4" t="s">
        <v>161</v>
      </c>
    </row>
    <row r="293" spans="1:12" ht="23" customHeight="1">
      <c r="A293" s="6">
        <v>4</v>
      </c>
      <c r="B293" s="6">
        <v>107</v>
      </c>
      <c r="C293" s="6">
        <v>6</v>
      </c>
      <c r="D293" s="38">
        <f>((G188-E188)/L188)</f>
        <v>0.294736842105263</v>
      </c>
      <c r="E293" s="38">
        <f>((H188-E188)/L188)</f>
        <v>0.431578947368421</v>
      </c>
      <c r="F293" s="9">
        <f>(J188+((K188-J188)*D293))</f>
        <v>3400.6263157894737</v>
      </c>
      <c r="G293" s="9">
        <f>(J188+((K188-J188)*E293))</f>
        <v>3610.5421052631577</v>
      </c>
      <c r="H293" s="36">
        <f>I188</f>
        <v>1.3</v>
      </c>
      <c r="I293" s="9">
        <f>(((F293+G293)/2)*H293)</f>
        <v>4557.25947368421</v>
      </c>
    </row>
    <row r="294" spans="1:12" ht="23" customHeight="1">
      <c r="A294" s="6">
        <v>4</v>
      </c>
      <c r="B294" s="6">
        <v>108</v>
      </c>
      <c r="C294" s="6">
        <v>6</v>
      </c>
      <c r="D294" s="38">
        <f>((G191-E191)/L191)</f>
        <v>0.431578947368421</v>
      </c>
      <c r="E294" s="38">
        <f>((H191-E191)/L191)</f>
        <v>0.5684210526315789</v>
      </c>
      <c r="F294" s="9">
        <f>(J191+((K191-J191)*D294))</f>
        <v>3610.5421052631577</v>
      </c>
      <c r="G294" s="9">
        <f>(J191+((K191-J191)*E294))</f>
        <v>3820.457894736842</v>
      </c>
      <c r="H294" s="36">
        <f>I191</f>
        <v>1.3</v>
      </c>
      <c r="I294" s="9">
        <f>(((F294+G294)/2)*H294)</f>
        <v>4830.150000000001</v>
      </c>
    </row>
    <row r="295" spans="1:12" ht="23" customHeight="1">
      <c r="A295" s="6">
        <v>4</v>
      </c>
      <c r="B295" s="6">
        <v>109</v>
      </c>
      <c r="C295" s="6">
        <v>6</v>
      </c>
      <c r="D295" s="38">
        <f>((G192-E192)/L192)</f>
        <v>0.5684210526315789</v>
      </c>
      <c r="E295" s="38">
        <f>((H192-E192)/L192)</f>
        <v>0.7052631578947368</v>
      </c>
      <c r="F295" s="9">
        <f>(J192+((K192-J192)*D295))</f>
        <v>3820.457894736842</v>
      </c>
      <c r="G295" s="9">
        <f>(J192+((K192-J192)*E295))</f>
        <v>4030.3736842105263</v>
      </c>
      <c r="H295" s="36">
        <f>I192</f>
        <v>1.3</v>
      </c>
      <c r="I295" s="9">
        <f>(((F295+G295)/2)*H295)</f>
        <v>5103.040526315789</v>
      </c>
    </row>
    <row r="296" spans="1:12" ht="23" customHeight="1">
      <c r="A296" s="6">
        <v>4</v>
      </c>
      <c r="B296" s="6">
        <v>110</v>
      </c>
      <c r="C296" s="6">
        <v>6</v>
      </c>
      <c r="D296" s="38">
        <f>((G193-E193)/L193)</f>
        <v>0.7052631578947368</v>
      </c>
      <c r="E296" s="38">
        <f>((H193-E193)/L193)</f>
        <v>0.8421052631578946</v>
      </c>
      <c r="F296" s="9">
        <f>(J193+((K193-J193)*D296))</f>
        <v>4030.3736842105263</v>
      </c>
      <c r="G296" s="9">
        <f>(J193+((K193-J193)*E296))</f>
        <v>4240.28947368421</v>
      </c>
      <c r="H296" s="36">
        <f>I193</f>
        <v>1.3</v>
      </c>
      <c r="I296" s="9">
        <f>(((F296+G296)/2)*H296)</f>
        <v>5375.9310526315785</v>
      </c>
    </row>
    <row r="297" spans="1:12" ht="23" customHeight="1">
      <c r="A297" s="6">
        <v>4</v>
      </c>
      <c r="B297" s="6">
        <v>111</v>
      </c>
      <c r="C297" s="6">
        <v>6</v>
      </c>
      <c r="D297" s="38">
        <f>((G194-E194)/L194)</f>
        <v>0.8421052631578946</v>
      </c>
      <c r="E297" s="38">
        <f>((H194-E194)/L194)</f>
        <v>0.9789473684210526</v>
      </c>
      <c r="F297" s="9">
        <f>(J194+((K194-J194)*D297))</f>
        <v>4240.28947368421</v>
      </c>
      <c r="G297" s="9">
        <f>(J194+((K194-J194)*E297))</f>
        <v>4450.2052631578945</v>
      </c>
      <c r="H297" s="36">
        <f>I194</f>
        <v>1.3</v>
      </c>
      <c r="I297" s="9">
        <f>(((F297+G297)/2)*H297)</f>
        <v>5648.821578947369</v>
      </c>
    </row>
    <row r="298" spans="1:12" ht="23" customHeight="1">
      <c r="A298" s="6">
        <v>4</v>
      </c>
      <c r="B298" s="6">
        <v>112</v>
      </c>
      <c r="C298" s="6">
        <v>6</v>
      </c>
      <c r="D298" s="38">
        <f>((G195-E195)/L195)</f>
        <v>0.9789473684210526</v>
      </c>
      <c r="E298" s="38">
        <f>((H195-E195)/L195)</f>
        <v>0.9999999999999998</v>
      </c>
      <c r="F298" s="9">
        <f>(J195+((K195-J195)*D298))</f>
        <v>4450.2052631578945</v>
      </c>
      <c r="G298" s="9">
        <f>(J195+((K195-J195)*E298))</f>
        <v>4482.5</v>
      </c>
      <c r="H298" s="36">
        <f>I195</f>
        <v>0.2</v>
      </c>
      <c r="I298" s="9">
        <f>(((F298+G298)/2)*H298)</f>
        <v>893.2705263157895</v>
      </c>
    </row>
    <row r="299" spans="1:12" ht="23" customHeight="1">
      <c r="A299" s="6">
        <v>4</v>
      </c>
      <c r="B299" s="6">
        <v>112</v>
      </c>
      <c r="C299" s="6">
        <v>7</v>
      </c>
      <c r="D299" s="38">
        <f>((G196-E196)/L196)</f>
        <v>0.0</v>
      </c>
      <c r="E299" s="38">
        <f>((H196-E196)/L196)</f>
        <v>0.08730158730158742</v>
      </c>
      <c r="F299" s="9">
        <f>(J196+((K196-J196)*D299))</f>
        <v>3088.8</v>
      </c>
      <c r="G299" s="9">
        <f>(J196+((K196-J196)*E299))</f>
        <v>3088.8</v>
      </c>
      <c r="H299" s="36">
        <f>I196</f>
        <v>1.1</v>
      </c>
      <c r="I299" s="9">
        <f>(((F299+G299)/2)*H299)</f>
        <v>3397.6800000000003</v>
      </c>
    </row>
    <row r="300" spans="1:12" ht="23" customHeight="1">
      <c r="A300" s="6">
        <v>4</v>
      </c>
      <c r="B300" s="6">
        <v>113</v>
      </c>
      <c r="C300" s="6">
        <v>7</v>
      </c>
      <c r="D300" s="38">
        <f>((G197-E197)/L197)</f>
        <v>0.08730158730158742</v>
      </c>
      <c r="E300" s="38">
        <f>((H197-E197)/L197)</f>
        <v>0.19047619047619066</v>
      </c>
      <c r="F300" s="9">
        <f>(J197+((K197-J197)*D300))</f>
        <v>3088.8</v>
      </c>
      <c r="G300" s="9">
        <f>(J197+((K197-J197)*E300))</f>
        <v>3088.8</v>
      </c>
      <c r="H300" s="36">
        <f>I197</f>
        <v>1.3</v>
      </c>
      <c r="I300" s="9">
        <f>(((F300+G300)/2)*H300)</f>
        <v>4015.4400000000005</v>
      </c>
    </row>
    <row r="301" spans="1:12" ht="23" customHeight="1">
      <c r="A301" s="6">
        <v>4</v>
      </c>
      <c r="B301" s="6">
        <v>114</v>
      </c>
      <c r="C301" s="6">
        <v>7</v>
      </c>
      <c r="D301" s="38">
        <f>((G198-E198)/L198)</f>
        <v>0.19047619047619066</v>
      </c>
      <c r="E301" s="38">
        <f>((H198-E198)/L198)</f>
        <v>0.2936507936507939</v>
      </c>
      <c r="F301" s="9">
        <f>(J198+((K198-J198)*D301))</f>
        <v>3088.8</v>
      </c>
      <c r="G301" s="9">
        <f>(J198+((K198-J198)*E301))</f>
        <v>3088.8</v>
      </c>
      <c r="H301" s="36">
        <f>I198</f>
        <v>1.3</v>
      </c>
      <c r="I301" s="9">
        <f>(((F301+G301)/2)*H301)</f>
        <v>4015.4400000000005</v>
      </c>
    </row>
    <row r="302" spans="1:12" ht="23" customHeight="1">
      <c r="A302" s="6">
        <v>4</v>
      </c>
      <c r="B302" s="6">
        <v>115</v>
      </c>
      <c r="C302" s="6">
        <v>7</v>
      </c>
      <c r="D302" s="38">
        <f>((G199-E199)/L199)</f>
        <v>0.2936507936507939</v>
      </c>
      <c r="E302" s="38">
        <f>((H199-E199)/L199)</f>
        <v>0.39682539682539686</v>
      </c>
      <c r="F302" s="9">
        <f>(J199+((K199-J199)*D302))</f>
        <v>3088.8</v>
      </c>
      <c r="G302" s="9">
        <f>(J199+((K199-J199)*E302))</f>
        <v>3088.8</v>
      </c>
      <c r="H302" s="36">
        <f>I199</f>
        <v>1.3</v>
      </c>
      <c r="I302" s="9">
        <f>(((F302+G302)/2)*H302)</f>
        <v>4015.4400000000005</v>
      </c>
    </row>
    <row r="303" spans="1:12" ht="23" customHeight="1">
      <c r="A303" s="6">
        <v>4</v>
      </c>
      <c r="B303" s="6">
        <v>116</v>
      </c>
      <c r="C303" s="6">
        <v>7</v>
      </c>
      <c r="D303" s="38">
        <f>((G200-E200)/L200)</f>
        <v>0.39682539682539686</v>
      </c>
      <c r="E303" s="38">
        <f>((H200-E200)/L200)</f>
        <v>0.5000000000000001</v>
      </c>
      <c r="F303" s="9">
        <f>(J200+((K200-J200)*D303))</f>
        <v>3088.8</v>
      </c>
      <c r="G303" s="9">
        <f>(J200+((K200-J200)*E303))</f>
        <v>3088.8</v>
      </c>
      <c r="H303" s="36">
        <f>I200</f>
        <v>1.3</v>
      </c>
      <c r="I303" s="9">
        <f>(((F303+G303)/2)*H303)</f>
        <v>4015.4400000000005</v>
      </c>
    </row>
    <row r="304" spans="1:12" ht="23" customHeight="1">
      <c r="A304" s="6">
        <v>4</v>
      </c>
      <c r="B304" s="6">
        <v>117</v>
      </c>
      <c r="C304" s="6">
        <v>7</v>
      </c>
      <c r="D304" s="38">
        <f>((G201-E201)/L201)</f>
        <v>0.5000000000000001</v>
      </c>
      <c r="E304" s="38">
        <f>((H201-E201)/L201)</f>
        <v>0.6031746031746033</v>
      </c>
      <c r="F304" s="9">
        <f>(J201+((K201-J201)*D304))</f>
        <v>3088.8</v>
      </c>
      <c r="G304" s="9">
        <f>(J201+((K201-J201)*E304))</f>
        <v>3088.8</v>
      </c>
      <c r="H304" s="36">
        <f>I201</f>
        <v>1.3</v>
      </c>
      <c r="I304" s="9">
        <f>(((F304+G304)/2)*H304)</f>
        <v>4015.4400000000005</v>
      </c>
    </row>
    <row r="305" spans="1:12" ht="23" customHeight="1">
      <c r="A305" s="6">
        <v>4</v>
      </c>
      <c r="B305" s="6">
        <v>118</v>
      </c>
      <c r="C305" s="6">
        <v>7</v>
      </c>
      <c r="D305" s="38">
        <f>((G202-E202)/L202)</f>
        <v>0.6031746031746033</v>
      </c>
      <c r="E305" s="38">
        <f>((H202-E202)/L202)</f>
        <v>0.7063492063492065</v>
      </c>
      <c r="F305" s="9">
        <f>(J202+((K202-J202)*D305))</f>
        <v>3088.8</v>
      </c>
      <c r="G305" s="9">
        <f>(J202+((K202-J202)*E305))</f>
        <v>3088.8</v>
      </c>
      <c r="H305" s="36">
        <f>I202</f>
        <v>1.3</v>
      </c>
      <c r="I305" s="9">
        <f>(((F305+G305)/2)*H305)</f>
        <v>4015.4400000000005</v>
      </c>
    </row>
    <row r="306" spans="1:12" ht="23" customHeight="1">
      <c r="A306" s="6">
        <v>4</v>
      </c>
      <c r="B306" s="6">
        <v>119</v>
      </c>
      <c r="C306" s="6">
        <v>7</v>
      </c>
      <c r="D306" s="38">
        <f>((G203-E203)/L203)</f>
        <v>0.7063492063492065</v>
      </c>
      <c r="E306" s="38">
        <f>((H203-E203)/L203)</f>
        <v>0.8095238095238098</v>
      </c>
      <c r="F306" s="9">
        <f>(J203+((K203-J203)*D306))</f>
        <v>3088.8</v>
      </c>
      <c r="G306" s="9">
        <f>(J203+((K203-J203)*E306))</f>
        <v>3088.8</v>
      </c>
      <c r="H306" s="36">
        <f>I203</f>
        <v>1.3</v>
      </c>
      <c r="I306" s="9">
        <f>(((F306+G306)/2)*H306)</f>
        <v>4015.4400000000005</v>
      </c>
    </row>
    <row r="307" spans="1:12" ht="23" customHeight="1">
      <c r="A307" s="6">
        <v>4</v>
      </c>
      <c r="B307" s="6">
        <v>120</v>
      </c>
      <c r="C307" s="6">
        <v>7</v>
      </c>
      <c r="D307" s="38">
        <f>((G204-E204)/L204)</f>
        <v>0.8095238095238098</v>
      </c>
      <c r="E307" s="38">
        <f>((H204-E204)/L204)</f>
        <v>0.9126984126984127</v>
      </c>
      <c r="F307" s="9">
        <f>(J204+((K204-J204)*D307))</f>
        <v>3088.8</v>
      </c>
      <c r="G307" s="9">
        <f>(J204+((K204-J204)*E307))</f>
        <v>3088.8</v>
      </c>
      <c r="H307" s="36">
        <f>I204</f>
        <v>1.3</v>
      </c>
      <c r="I307" s="9">
        <f>(((F307+G307)/2)*H307)</f>
        <v>4015.4400000000005</v>
      </c>
    </row>
    <row r="308" spans="1:12" ht="24" customHeight="1">
      <c r="A308" s="3" t="s">
        <v>156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36" customHeight="1">
      <c r="A309" s="4" t="s">
        <v>8</v>
      </c>
      <c r="B309" s="4" t="s">
        <v>10</v>
      </c>
      <c r="C309" s="4" t="s">
        <v>147</v>
      </c>
      <c r="D309" s="4" t="s">
        <v>157</v>
      </c>
      <c r="E309" s="4" t="s">
        <v>158</v>
      </c>
      <c r="F309" s="4" t="s">
        <v>159</v>
      </c>
      <c r="G309" s="4" t="s">
        <v>160</v>
      </c>
      <c r="H309" s="4" t="s">
        <v>153</v>
      </c>
      <c r="I309" s="4" t="s">
        <v>161</v>
      </c>
    </row>
    <row r="310" spans="1:12" ht="23" customHeight="1">
      <c r="A310" s="6">
        <v>4</v>
      </c>
      <c r="B310" s="6">
        <v>121</v>
      </c>
      <c r="C310" s="6">
        <v>7</v>
      </c>
      <c r="D310" s="38">
        <f>((G205-E205)/L205)</f>
        <v>0.9126984126984127</v>
      </c>
      <c r="E310" s="38">
        <f>((H205-E205)/L205)</f>
        <v>1.0000000000000002</v>
      </c>
      <c r="F310" s="9">
        <f>(J205+((K205-J205)*D310))</f>
        <v>3088.8</v>
      </c>
      <c r="G310" s="9">
        <f>(J205+((K205-J205)*E310))</f>
        <v>3088.8</v>
      </c>
      <c r="H310" s="36">
        <f>I205</f>
        <v>1.1</v>
      </c>
      <c r="I310" s="9">
        <f>(((F310+G310)/2)*H310)</f>
        <v>3397.6800000000003</v>
      </c>
    </row>
    <row r="311" spans="1:12" ht="23" customHeight="1">
      <c r="A311" s="6">
        <v>5</v>
      </c>
      <c r="B311" s="6">
        <v>123</v>
      </c>
      <c r="C311" s="6">
        <v>1</v>
      </c>
      <c r="D311" s="38">
        <f>((G208-E208)/L208)</f>
        <v>0.0</v>
      </c>
      <c r="E311" s="38">
        <f>((H208-E208)/L208)</f>
        <v>0.8666666666666667</v>
      </c>
      <c r="F311" s="9">
        <f>(J208+((K208-J208)*D311))</f>
        <v>1005.1</v>
      </c>
      <c r="G311" s="9">
        <f>(J208+((K208-J208)*E311))</f>
        <v>1130.0733333333333</v>
      </c>
      <c r="H311" s="36">
        <f>I208</f>
        <v>1.3</v>
      </c>
      <c r="I311" s="9">
        <f>(((F311+G311)/2)*H311)</f>
        <v>1387.8626666666667</v>
      </c>
    </row>
    <row r="312" spans="1:12" ht="23" customHeight="1">
      <c r="A312" s="6">
        <v>5</v>
      </c>
      <c r="B312" s="6">
        <v>124</v>
      </c>
      <c r="C312" s="6">
        <v>1</v>
      </c>
      <c r="D312" s="38">
        <f>((G209-E209)/L209)</f>
        <v>0.8666666666666667</v>
      </c>
      <c r="E312" s="38">
        <f>((H209-E209)/L209)</f>
        <v>1.0</v>
      </c>
      <c r="F312" s="9">
        <f>(J209+((K209-J209)*D312))</f>
        <v>1130.0733333333333</v>
      </c>
      <c r="G312" s="9">
        <f>(J209+((K209-J209)*E312))</f>
        <v>1149.3</v>
      </c>
      <c r="H312" s="36">
        <f>I209</f>
        <v>0.2</v>
      </c>
      <c r="I312" s="9">
        <f>(((F312+G312)/2)*H312)</f>
        <v>227.9373333333333</v>
      </c>
    </row>
    <row r="313" spans="1:12" ht="23" customHeight="1">
      <c r="A313" s="6">
        <v>5</v>
      </c>
      <c r="B313" s="6">
        <v>124</v>
      </c>
      <c r="C313" s="6">
        <v>2</v>
      </c>
      <c r="D313" s="38">
        <f>((G210-E210)/L210)</f>
        <v>0.0</v>
      </c>
      <c r="E313" s="38">
        <f>((H210-E210)/L210)</f>
        <v>0.8461538461538461</v>
      </c>
      <c r="F313" s="9">
        <f>(J210+((K210-J210)*D313))</f>
        <v>1744.2</v>
      </c>
      <c r="G313" s="9">
        <f>(J210+((K210-J210)*E313))</f>
        <v>1904.6307692307691</v>
      </c>
      <c r="H313" s="36">
        <f>I210</f>
        <v>1.1</v>
      </c>
      <c r="I313" s="9">
        <f>(((F313+G313)/2)*H313)</f>
        <v>2006.856923076923</v>
      </c>
    </row>
    <row r="314" spans="1:12" ht="23" customHeight="1">
      <c r="A314" s="6">
        <v>5</v>
      </c>
      <c r="B314" s="6">
        <v>125</v>
      </c>
      <c r="C314" s="6">
        <v>2</v>
      </c>
      <c r="D314" s="38">
        <f>((G211-E211)/L211)</f>
        <v>0.8461538461538461</v>
      </c>
      <c r="E314" s="38">
        <f>((H211-E211)/L211)</f>
        <v>0.9999999999999998</v>
      </c>
      <c r="F314" s="9">
        <f>(J211+((K211-J211)*D314))</f>
        <v>1904.6307692307691</v>
      </c>
      <c r="G314" s="9">
        <f>(J211+((K211-J211)*E314))</f>
        <v>1933.8</v>
      </c>
      <c r="H314" s="36">
        <f>I211</f>
        <v>0.2</v>
      </c>
      <c r="I314" s="9">
        <f>(((F314+G314)/2)*H314)</f>
        <v>383.843076923077</v>
      </c>
    </row>
    <row r="315" spans="1:12" ht="23" customHeight="1">
      <c r="A315" s="6">
        <v>5</v>
      </c>
      <c r="B315" s="6">
        <v>125</v>
      </c>
      <c r="C315" s="6">
        <v>3</v>
      </c>
      <c r="D315" s="38">
        <f>((G212-E212)/L212)</f>
        <v>0.0</v>
      </c>
      <c r="E315" s="38">
        <f>((H212-E212)/L212)</f>
        <v>0.37931034482758624</v>
      </c>
      <c r="F315" s="9">
        <f>(J212+((K212-J212)*D315))</f>
        <v>1170.0</v>
      </c>
      <c r="G315" s="9">
        <f>(J212+((K212-J212)*E315))</f>
        <v>1170.0</v>
      </c>
      <c r="H315" s="36">
        <f>I212</f>
        <v>1.1</v>
      </c>
      <c r="I315" s="9">
        <f>(((F315+G315)/2)*H315)</f>
        <v>1287.0</v>
      </c>
    </row>
    <row r="316" spans="1:12" ht="23" customHeight="1">
      <c r="A316" s="6">
        <v>5</v>
      </c>
      <c r="B316" s="6">
        <v>126</v>
      </c>
      <c r="C316" s="6">
        <v>3</v>
      </c>
      <c r="D316" s="38">
        <f>((G213-E213)/L213)</f>
        <v>0.37931034482758624</v>
      </c>
      <c r="E316" s="38">
        <f>((H213-E213)/L213)</f>
        <v>0.8275862068965518</v>
      </c>
      <c r="F316" s="9">
        <f>(J213+((K213-J213)*D316))</f>
        <v>1170.0</v>
      </c>
      <c r="G316" s="9">
        <f>(J213+((K213-J213)*E316))</f>
        <v>1170.0</v>
      </c>
      <c r="H316" s="36">
        <f>I213</f>
        <v>1.3</v>
      </c>
      <c r="I316" s="9">
        <f>(((F316+G316)/2)*H316)</f>
        <v>1521.0</v>
      </c>
    </row>
    <row r="317" spans="1:12" ht="23" customHeight="1">
      <c r="A317" s="6">
        <v>5</v>
      </c>
      <c r="B317" s="6">
        <v>127</v>
      </c>
      <c r="C317" s="6">
        <v>3</v>
      </c>
      <c r="D317" s="38">
        <f>((G214-E214)/L214)</f>
        <v>0.8275862068965518</v>
      </c>
      <c r="E317" s="38">
        <f>((H214-E214)/L214)</f>
        <v>1.0000000000000002</v>
      </c>
      <c r="F317" s="9">
        <f>(J214+((K214-J214)*D317))</f>
        <v>1170.0</v>
      </c>
      <c r="G317" s="9">
        <f>(J214+((K214-J214)*E317))</f>
        <v>1170.0</v>
      </c>
      <c r="H317" s="36">
        <f>I214</f>
        <v>0.5</v>
      </c>
      <c r="I317" s="9">
        <f>(((F317+G317)/2)*H317)</f>
        <v>585.0</v>
      </c>
    </row>
    <row r="318" spans="1:12" ht="23" customHeight="1">
      <c r="A318" s="6">
        <v>5</v>
      </c>
      <c r="B318" s="6">
        <v>127</v>
      </c>
      <c r="C318" s="6">
        <v>4</v>
      </c>
      <c r="D318" s="38">
        <f>((G215-E215)/L215)</f>
        <v>0.0</v>
      </c>
      <c r="E318" s="38">
        <f>((H215-E215)/L215)</f>
        <v>0.3076923076923076</v>
      </c>
      <c r="F318" s="9">
        <f>(J215+((K215-J215)*D318))</f>
        <v>2030.3</v>
      </c>
      <c r="G318" s="9">
        <f>(J215+((K215-J215)*E318))</f>
        <v>2137.1923076923076</v>
      </c>
      <c r="H318" s="36">
        <f>I215</f>
        <v>0.8</v>
      </c>
      <c r="I318" s="9">
        <f>(((F318+G318)/2)*H318)</f>
        <v>1666.9969230769232</v>
      </c>
    </row>
    <row r="319" spans="1:12" ht="23" customHeight="1">
      <c r="A319" s="6">
        <v>5</v>
      </c>
      <c r="B319" s="6">
        <v>128</v>
      </c>
      <c r="C319" s="6">
        <v>4</v>
      </c>
      <c r="D319" s="38">
        <f>((G216-E216)/L216)</f>
        <v>0.3076923076923076</v>
      </c>
      <c r="E319" s="38">
        <f>((H216-E216)/L216)</f>
        <v>0.8076923076923075</v>
      </c>
      <c r="F319" s="9">
        <f>(J216+((K216-J216)*D319))</f>
        <v>2137.1923076923076</v>
      </c>
      <c r="G319" s="9">
        <f>(J216+((K216-J216)*E319))</f>
        <v>2310.8923076923074</v>
      </c>
      <c r="H319" s="36">
        <f>I216</f>
        <v>1.3</v>
      </c>
      <c r="I319" s="9">
        <f>(((F319+G319)/2)*H319)</f>
        <v>2891.255</v>
      </c>
    </row>
    <row r="320" spans="1:12" ht="23" customHeight="1">
      <c r="A320" s="6">
        <v>5</v>
      </c>
      <c r="B320" s="6">
        <v>129</v>
      </c>
      <c r="C320" s="6">
        <v>4</v>
      </c>
      <c r="D320" s="38">
        <f>((G217-E217)/L217)</f>
        <v>0.8076923076923075</v>
      </c>
      <c r="E320" s="38">
        <f>((H217-E217)/L217)</f>
        <v>1.0000000000000002</v>
      </c>
      <c r="F320" s="9">
        <f>(J217+((K217-J217)*D320))</f>
        <v>2310.8923076923074</v>
      </c>
      <c r="G320" s="9">
        <f>(J217+((K217-J217)*E320))</f>
        <v>2377.7</v>
      </c>
      <c r="H320" s="36">
        <f>I217</f>
        <v>0.5</v>
      </c>
      <c r="I320" s="9">
        <f>(((F320+G320)/2)*H320)</f>
        <v>1172.1480769230768</v>
      </c>
    </row>
    <row r="321" spans="1:12" ht="23" customHeight="1">
      <c r="A321" s="6">
        <v>5</v>
      </c>
      <c r="B321" s="6">
        <v>129</v>
      </c>
      <c r="C321" s="6">
        <v>5</v>
      </c>
      <c r="D321" s="38">
        <f>((G218-E218)/L218)</f>
        <v>0.0</v>
      </c>
      <c r="E321" s="38">
        <f>((H218-E218)/L218)</f>
        <v>0.9999999999999994</v>
      </c>
      <c r="F321" s="9">
        <f>(J218+((K218-J218)*D321))</f>
        <v>4539.6</v>
      </c>
      <c r="G321" s="9">
        <f>(J218+((K218-J218)*E321))</f>
        <v>4539.6</v>
      </c>
      <c r="H321" s="36">
        <f>I218</f>
        <v>0.6</v>
      </c>
      <c r="I321" s="9">
        <f>(((F321+G321)/2)*H321)</f>
        <v>2723.76</v>
      </c>
    </row>
    <row r="322" spans="1:12" ht="23" customHeight="1">
      <c r="A322" s="6">
        <v>5</v>
      </c>
      <c r="B322" s="6">
        <v>129</v>
      </c>
      <c r="C322" s="6">
        <v>6</v>
      </c>
      <c r="D322" s="38">
        <f>((G219-E219)/L219)</f>
        <v>0.0</v>
      </c>
      <c r="E322" s="38">
        <f>((H219-E219)/L219)</f>
        <v>0.021052631578947295</v>
      </c>
      <c r="F322" s="9">
        <f>(J219+((K219-J219)*D322))</f>
        <v>2548.4</v>
      </c>
      <c r="G322" s="9">
        <f>(J219+((K219-J219)*E322))</f>
        <v>2576.3115789473686</v>
      </c>
      <c r="H322" s="36">
        <f>I219</f>
        <v>0.2</v>
      </c>
      <c r="I322" s="9">
        <f>(((F322+G322)/2)*H322)</f>
        <v>512.4711578947368</v>
      </c>
    </row>
    <row r="323" spans="1:12" ht="23" customHeight="1">
      <c r="A323" s="6">
        <v>5</v>
      </c>
      <c r="B323" s="6">
        <v>130</v>
      </c>
      <c r="C323" s="6">
        <v>6</v>
      </c>
      <c r="D323" s="38">
        <f>((G220-E220)/L220)</f>
        <v>0.021052631578947295</v>
      </c>
      <c r="E323" s="38">
        <f>((H220-E220)/L220)</f>
        <v>0.15789473684210525</v>
      </c>
      <c r="F323" s="9">
        <f>(J220+((K220-J220)*D323))</f>
        <v>2576.3115789473686</v>
      </c>
      <c r="G323" s="9">
        <f>(J220+((K220-J220)*E323))</f>
        <v>2757.7368421052633</v>
      </c>
      <c r="H323" s="36">
        <f>I220</f>
        <v>1.3</v>
      </c>
      <c r="I323" s="9">
        <f>(((F323+G323)/2)*H323)</f>
        <v>3467.131473684211</v>
      </c>
    </row>
    <row r="324" spans="1:12" ht="23" customHeight="1">
      <c r="A324" s="6">
        <v>5</v>
      </c>
      <c r="B324" s="6">
        <v>131</v>
      </c>
      <c r="C324" s="6">
        <v>6</v>
      </c>
      <c r="D324" s="38">
        <f>((G221-E221)/L221)</f>
        <v>0.15789473684210525</v>
      </c>
      <c r="E324" s="38">
        <f>((H221-E221)/L221)</f>
        <v>0.294736842105263</v>
      </c>
      <c r="F324" s="9">
        <f>(J221+((K221-J221)*D324))</f>
        <v>2757.7368421052633</v>
      </c>
      <c r="G324" s="9">
        <f>(J221+((K221-J221)*E324))</f>
        <v>2939.1621052631576</v>
      </c>
      <c r="H324" s="36">
        <f>I221</f>
        <v>1.3</v>
      </c>
      <c r="I324" s="9">
        <f>(((F324+G324)/2)*H324)</f>
        <v>3702.984315789474</v>
      </c>
    </row>
    <row r="325" spans="1:12" ht="24" customHeight="1">
      <c r="A325" s="3" t="s">
        <v>156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36" customHeight="1">
      <c r="A326" s="4" t="s">
        <v>8</v>
      </c>
      <c r="B326" s="4" t="s">
        <v>10</v>
      </c>
      <c r="C326" s="4" t="s">
        <v>147</v>
      </c>
      <c r="D326" s="4" t="s">
        <v>157</v>
      </c>
      <c r="E326" s="4" t="s">
        <v>158</v>
      </c>
      <c r="F326" s="4" t="s">
        <v>159</v>
      </c>
      <c r="G326" s="4" t="s">
        <v>160</v>
      </c>
      <c r="H326" s="4" t="s">
        <v>153</v>
      </c>
      <c r="I326" s="4" t="s">
        <v>161</v>
      </c>
    </row>
    <row r="327" spans="1:12" ht="23" customHeight="1">
      <c r="A327" s="6">
        <v>5</v>
      </c>
      <c r="B327" s="6">
        <v>132</v>
      </c>
      <c r="C327" s="6">
        <v>6</v>
      </c>
      <c r="D327" s="38">
        <f>((G222-E222)/L222)</f>
        <v>0.294736842105263</v>
      </c>
      <c r="E327" s="38">
        <f>((H222-E222)/L222)</f>
        <v>0.431578947368421</v>
      </c>
      <c r="F327" s="9">
        <f>(J222+((K222-J222)*D327))</f>
        <v>2939.1621052631576</v>
      </c>
      <c r="G327" s="9">
        <f>(J222+((K222-J222)*E327))</f>
        <v>3120.587368421053</v>
      </c>
      <c r="H327" s="36">
        <f>I222</f>
        <v>1.3</v>
      </c>
      <c r="I327" s="9">
        <f>(((F327+G327)/2)*H327)</f>
        <v>3938.837157894737</v>
      </c>
    </row>
    <row r="328" spans="1:12" ht="23" customHeight="1">
      <c r="A328" s="6">
        <v>5</v>
      </c>
      <c r="B328" s="6">
        <v>133</v>
      </c>
      <c r="C328" s="6">
        <v>6</v>
      </c>
      <c r="D328" s="38">
        <f>((G225-E225)/L225)</f>
        <v>0.431578947368421</v>
      </c>
      <c r="E328" s="38">
        <f>((H225-E225)/L225)</f>
        <v>0.5684210526315789</v>
      </c>
      <c r="F328" s="9">
        <f>(J225+((K225-J225)*D328))</f>
        <v>3120.587368421053</v>
      </c>
      <c r="G328" s="9">
        <f>(J225+((K225-J225)*E328))</f>
        <v>3302.0126315789475</v>
      </c>
      <c r="H328" s="36">
        <f>I225</f>
        <v>1.3</v>
      </c>
      <c r="I328" s="9">
        <f>(((F328+G328)/2)*H328)</f>
        <v>4174.6900000000005</v>
      </c>
    </row>
    <row r="329" spans="1:12" ht="23" customHeight="1">
      <c r="A329" s="6">
        <v>5</v>
      </c>
      <c r="B329" s="6">
        <v>134</v>
      </c>
      <c r="C329" s="6">
        <v>6</v>
      </c>
      <c r="D329" s="38">
        <f>((G226-E226)/L226)</f>
        <v>0.5684210526315789</v>
      </c>
      <c r="E329" s="38">
        <f>((H226-E226)/L226)</f>
        <v>0.7052631578947368</v>
      </c>
      <c r="F329" s="9">
        <f>(J226+((K226-J226)*D329))</f>
        <v>3302.0126315789475</v>
      </c>
      <c r="G329" s="9">
        <f>(J226+((K226-J226)*E329))</f>
        <v>3483.437894736842</v>
      </c>
      <c r="H329" s="36">
        <f>I226</f>
        <v>1.3</v>
      </c>
      <c r="I329" s="9">
        <f>(((F329+G329)/2)*H329)</f>
        <v>4410.542842105264</v>
      </c>
    </row>
    <row r="330" spans="1:12" ht="23" customHeight="1">
      <c r="A330" s="6">
        <v>5</v>
      </c>
      <c r="B330" s="6">
        <v>135</v>
      </c>
      <c r="C330" s="6">
        <v>6</v>
      </c>
      <c r="D330" s="38">
        <f>((G227-E227)/L227)</f>
        <v>0.7052631578947368</v>
      </c>
      <c r="E330" s="38">
        <f>((H227-E227)/L227)</f>
        <v>0.8421052631578946</v>
      </c>
      <c r="F330" s="9">
        <f>(J227+((K227-J227)*D330))</f>
        <v>3483.437894736842</v>
      </c>
      <c r="G330" s="9">
        <f>(J227+((K227-J227)*E330))</f>
        <v>3664.8631578947366</v>
      </c>
      <c r="H330" s="36">
        <f>I227</f>
        <v>1.3</v>
      </c>
      <c r="I330" s="9">
        <f>(((F330+G330)/2)*H330)</f>
        <v>4646.395684210526</v>
      </c>
    </row>
    <row r="331" spans="1:12" ht="23" customHeight="1">
      <c r="A331" s="6">
        <v>5</v>
      </c>
      <c r="B331" s="6">
        <v>136</v>
      </c>
      <c r="C331" s="6">
        <v>6</v>
      </c>
      <c r="D331" s="38">
        <f>((G228-E228)/L228)</f>
        <v>0.8421052631578946</v>
      </c>
      <c r="E331" s="38">
        <f>((H228-E228)/L228)</f>
        <v>0.9789473684210526</v>
      </c>
      <c r="F331" s="9">
        <f>(J228+((K228-J228)*D331))</f>
        <v>3664.8631578947366</v>
      </c>
      <c r="G331" s="9">
        <f>(J228+((K228-J228)*E331))</f>
        <v>3846.2884210526313</v>
      </c>
      <c r="H331" s="36">
        <f>I228</f>
        <v>1.3</v>
      </c>
      <c r="I331" s="9">
        <f>(((F331+G331)/2)*H331)</f>
        <v>4882.24852631579</v>
      </c>
    </row>
    <row r="332" spans="1:12" ht="23" customHeight="1">
      <c r="A332" s="6">
        <v>5</v>
      </c>
      <c r="B332" s="6">
        <v>137</v>
      </c>
      <c r="C332" s="6">
        <v>6</v>
      </c>
      <c r="D332" s="38">
        <f>((G229-E229)/L229)</f>
        <v>0.9789473684210526</v>
      </c>
      <c r="E332" s="38">
        <f>((H229-E229)/L229)</f>
        <v>0.9999999999999998</v>
      </c>
      <c r="F332" s="9">
        <f>(J229+((K229-J229)*D332))</f>
        <v>3846.2884210526313</v>
      </c>
      <c r="G332" s="9">
        <f>(J229+((K229-J229)*E332))</f>
        <v>3874.2</v>
      </c>
      <c r="H332" s="36">
        <f>I229</f>
        <v>0.2</v>
      </c>
      <c r="I332" s="9">
        <f>(((F332+G332)/2)*H332)</f>
        <v>772.0488421052631</v>
      </c>
    </row>
    <row r="333" spans="1:12" ht="23" customHeight="1">
      <c r="A333" s="6">
        <v>5</v>
      </c>
      <c r="B333" s="6">
        <v>137</v>
      </c>
      <c r="C333" s="6">
        <v>7</v>
      </c>
      <c r="D333" s="38">
        <f>((G230-E230)/L230)</f>
        <v>0.0</v>
      </c>
      <c r="E333" s="38">
        <f>((H230-E230)/L230)</f>
        <v>0.08730158730158742</v>
      </c>
      <c r="F333" s="9">
        <f>(J230+((K230-J230)*D333))</f>
        <v>2059.2</v>
      </c>
      <c r="G333" s="9">
        <f>(J230+((K230-J230)*E333))</f>
        <v>2059.2</v>
      </c>
      <c r="H333" s="36">
        <f>I230</f>
        <v>1.1</v>
      </c>
      <c r="I333" s="9">
        <f>(((F333+G333)/2)*H333)</f>
        <v>2265.12</v>
      </c>
    </row>
    <row r="334" spans="1:12" ht="23" customHeight="1">
      <c r="A334" s="6">
        <v>5</v>
      </c>
      <c r="B334" s="6">
        <v>138</v>
      </c>
      <c r="C334" s="6">
        <v>7</v>
      </c>
      <c r="D334" s="38">
        <f>((G231-E231)/L231)</f>
        <v>0.08730158730158742</v>
      </c>
      <c r="E334" s="38">
        <f>((H231-E231)/L231)</f>
        <v>0.19047619047619066</v>
      </c>
      <c r="F334" s="9">
        <f>(J231+((K231-J231)*D334))</f>
        <v>2059.2</v>
      </c>
      <c r="G334" s="9">
        <f>(J231+((K231-J231)*E334))</f>
        <v>2059.2</v>
      </c>
      <c r="H334" s="36">
        <f>I231</f>
        <v>1.3</v>
      </c>
      <c r="I334" s="9">
        <f>(((F334+G334)/2)*H334)</f>
        <v>2676.96</v>
      </c>
    </row>
    <row r="335" spans="1:12" ht="23" customHeight="1">
      <c r="A335" s="6">
        <v>5</v>
      </c>
      <c r="B335" s="6">
        <v>139</v>
      </c>
      <c r="C335" s="6">
        <v>7</v>
      </c>
      <c r="D335" s="38">
        <f>((G232-E232)/L232)</f>
        <v>0.19047619047619066</v>
      </c>
      <c r="E335" s="38">
        <f>((H232-E232)/L232)</f>
        <v>0.2936507936507939</v>
      </c>
      <c r="F335" s="9">
        <f>(J232+((K232-J232)*D335))</f>
        <v>2059.2</v>
      </c>
      <c r="G335" s="9">
        <f>(J232+((K232-J232)*E335))</f>
        <v>2059.2</v>
      </c>
      <c r="H335" s="36">
        <f>I232</f>
        <v>1.3</v>
      </c>
      <c r="I335" s="9">
        <f>(((F335+G335)/2)*H335)</f>
        <v>2676.96</v>
      </c>
    </row>
    <row r="336" spans="1:12" ht="23" customHeight="1">
      <c r="A336" s="6">
        <v>5</v>
      </c>
      <c r="B336" s="6">
        <v>140</v>
      </c>
      <c r="C336" s="6">
        <v>7</v>
      </c>
      <c r="D336" s="38">
        <f>((G233-E233)/L233)</f>
        <v>0.2936507936507939</v>
      </c>
      <c r="E336" s="38">
        <f>((H233-E233)/L233)</f>
        <v>0.39682539682539686</v>
      </c>
      <c r="F336" s="9">
        <f>(J233+((K233-J233)*D336))</f>
        <v>2059.2</v>
      </c>
      <c r="G336" s="9">
        <f>(J233+((K233-J233)*E336))</f>
        <v>2059.2</v>
      </c>
      <c r="H336" s="36">
        <f>I233</f>
        <v>1.3</v>
      </c>
      <c r="I336" s="9">
        <f>(((F336+G336)/2)*H336)</f>
        <v>2676.96</v>
      </c>
    </row>
    <row r="337" spans="1:12" ht="23" customHeight="1">
      <c r="A337" s="6">
        <v>5</v>
      </c>
      <c r="B337" s="6">
        <v>141</v>
      </c>
      <c r="C337" s="6">
        <v>7</v>
      </c>
      <c r="D337" s="38">
        <f>((G234-E234)/L234)</f>
        <v>0.39682539682539686</v>
      </c>
      <c r="E337" s="38">
        <f>((H234-E234)/L234)</f>
        <v>0.5000000000000001</v>
      </c>
      <c r="F337" s="9">
        <f>(J234+((K234-J234)*D337))</f>
        <v>2059.2</v>
      </c>
      <c r="G337" s="9">
        <f>(J234+((K234-J234)*E337))</f>
        <v>2059.2</v>
      </c>
      <c r="H337" s="36">
        <f>I234</f>
        <v>1.3</v>
      </c>
      <c r="I337" s="9">
        <f>(((F337+G337)/2)*H337)</f>
        <v>2676.96</v>
      </c>
    </row>
    <row r="338" spans="1:12" ht="23" customHeight="1">
      <c r="A338" s="6">
        <v>5</v>
      </c>
      <c r="B338" s="6">
        <v>142</v>
      </c>
      <c r="C338" s="6">
        <v>7</v>
      </c>
      <c r="D338" s="38">
        <f>((G235-E235)/L235)</f>
        <v>0.5000000000000001</v>
      </c>
      <c r="E338" s="38">
        <f>((H235-E235)/L235)</f>
        <v>0.6031746031746033</v>
      </c>
      <c r="F338" s="9">
        <f>(J235+((K235-J235)*D338))</f>
        <v>2059.2</v>
      </c>
      <c r="G338" s="9">
        <f>(J235+((K235-J235)*E338))</f>
        <v>2059.2</v>
      </c>
      <c r="H338" s="36">
        <f>I235</f>
        <v>1.3</v>
      </c>
      <c r="I338" s="9">
        <f>(((F338+G338)/2)*H338)</f>
        <v>2676.96</v>
      </c>
    </row>
    <row r="339" spans="1:12" ht="23" customHeight="1">
      <c r="A339" s="6">
        <v>5</v>
      </c>
      <c r="B339" s="6">
        <v>143</v>
      </c>
      <c r="C339" s="6">
        <v>7</v>
      </c>
      <c r="D339" s="38">
        <f>((G236-E236)/L236)</f>
        <v>0.6031746031746033</v>
      </c>
      <c r="E339" s="38">
        <f>((H236-E236)/L236)</f>
        <v>0.7063492063492065</v>
      </c>
      <c r="F339" s="9">
        <f>(J236+((K236-J236)*D339))</f>
        <v>2059.2</v>
      </c>
      <c r="G339" s="9">
        <f>(J236+((K236-J236)*E339))</f>
        <v>2059.2</v>
      </c>
      <c r="H339" s="36">
        <f>I236</f>
        <v>1.3</v>
      </c>
      <c r="I339" s="9">
        <f>(((F339+G339)/2)*H339)</f>
        <v>2676.96</v>
      </c>
    </row>
    <row r="340" spans="1:12" ht="23" customHeight="1">
      <c r="A340" s="6">
        <v>5</v>
      </c>
      <c r="B340" s="6">
        <v>144</v>
      </c>
      <c r="C340" s="6">
        <v>7</v>
      </c>
      <c r="D340" s="38">
        <f>((G237-E237)/L237)</f>
        <v>0.7063492063492065</v>
      </c>
      <c r="E340" s="38">
        <f>((H237-E237)/L237)</f>
        <v>0.8095238095238098</v>
      </c>
      <c r="F340" s="9">
        <f>(J237+((K237-J237)*D340))</f>
        <v>2059.2</v>
      </c>
      <c r="G340" s="9">
        <f>(J237+((K237-J237)*E340))</f>
        <v>2059.2</v>
      </c>
      <c r="H340" s="36">
        <f>I237</f>
        <v>1.3</v>
      </c>
      <c r="I340" s="9">
        <f>(((F340+G340)/2)*H340)</f>
        <v>2676.96</v>
      </c>
    </row>
    <row r="341" spans="1:12" ht="23" customHeight="1">
      <c r="A341" s="6">
        <v>5</v>
      </c>
      <c r="B341" s="6">
        <v>145</v>
      </c>
      <c r="C341" s="6">
        <v>7</v>
      </c>
      <c r="D341" s="38">
        <f>((G238-E238)/L238)</f>
        <v>0.8095238095238098</v>
      </c>
      <c r="E341" s="38">
        <f>((H238-E238)/L238)</f>
        <v>0.9126984126984127</v>
      </c>
      <c r="F341" s="9">
        <f>(J238+((K238-J238)*D341))</f>
        <v>2059.2</v>
      </c>
      <c r="G341" s="9">
        <f>(J238+((K238-J238)*E341))</f>
        <v>2059.2</v>
      </c>
      <c r="H341" s="36">
        <f>I238</f>
        <v>1.3</v>
      </c>
      <c r="I341" s="9">
        <f>(((F341+G341)/2)*H341)</f>
        <v>2676.96</v>
      </c>
    </row>
    <row r="342" spans="1:12" ht="24" customHeight="1">
      <c r="A342" s="3" t="s">
        <v>156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36" customHeight="1">
      <c r="A343" s="4" t="s">
        <v>8</v>
      </c>
      <c r="B343" s="4" t="s">
        <v>10</v>
      </c>
      <c r="C343" s="4" t="s">
        <v>147</v>
      </c>
      <c r="D343" s="4" t="s">
        <v>157</v>
      </c>
      <c r="E343" s="4" t="s">
        <v>158</v>
      </c>
      <c r="F343" s="4" t="s">
        <v>159</v>
      </c>
      <c r="G343" s="4" t="s">
        <v>160</v>
      </c>
      <c r="H343" s="4" t="s">
        <v>153</v>
      </c>
      <c r="I343" s="4" t="s">
        <v>161</v>
      </c>
    </row>
    <row r="344" spans="1:12" ht="23" customHeight="1">
      <c r="A344" s="6">
        <v>5</v>
      </c>
      <c r="B344" s="6">
        <v>146</v>
      </c>
      <c r="C344" s="6">
        <v>7</v>
      </c>
      <c r="D344" s="38">
        <f>((G239-E239)/L239)</f>
        <v>0.9126984126984127</v>
      </c>
      <c r="E344" s="38">
        <f>((H239-E239)/L239)</f>
        <v>1.0000000000000002</v>
      </c>
      <c r="F344" s="9">
        <f>(J239+((K239-J239)*D344))</f>
        <v>2059.2</v>
      </c>
      <c r="G344" s="9">
        <f>(J239+((K239-J239)*E344))</f>
        <v>2059.2</v>
      </c>
      <c r="H344" s="36">
        <f>I239</f>
        <v>1.1</v>
      </c>
      <c r="I344" s="9">
        <f>(((F344+G344)/2)*H344)</f>
        <v>2265.12</v>
      </c>
    </row>
    <row r="345" spans="1:12" ht="23" customHeight="1">
      <c r="A345" s="6">
        <v>6</v>
      </c>
      <c r="B345" s="6">
        <v>148</v>
      </c>
      <c r="C345" s="6">
        <v>1</v>
      </c>
      <c r="D345" s="38">
        <f>((G242-E242)/L242)</f>
        <v>0.0</v>
      </c>
      <c r="E345" s="38">
        <f>((H242-E242)/L242)</f>
        <v>0.8666666666666667</v>
      </c>
      <c r="F345" s="9">
        <f>(J242+((K242-J242)*D345))</f>
        <v>2907.3</v>
      </c>
      <c r="G345" s="9">
        <f>(J242+((K242-J242)*E345))</f>
        <v>3268.7000000000003</v>
      </c>
      <c r="H345" s="36">
        <f>I242</f>
        <v>1.3</v>
      </c>
      <c r="I345" s="9">
        <f>(((F345+G345)/2)*H345)</f>
        <v>4014.4</v>
      </c>
    </row>
    <row r="346" spans="1:12" ht="23" customHeight="1">
      <c r="A346" s="6">
        <v>6</v>
      </c>
      <c r="B346" s="6">
        <v>149</v>
      </c>
      <c r="C346" s="6">
        <v>1</v>
      </c>
      <c r="D346" s="38">
        <f>((G243-E243)/L243)</f>
        <v>0.8666666666666667</v>
      </c>
      <c r="E346" s="38">
        <f>((H243-E243)/L243)</f>
        <v>1.0</v>
      </c>
      <c r="F346" s="9">
        <f>(J243+((K243-J243)*D346))</f>
        <v>3268.7000000000003</v>
      </c>
      <c r="G346" s="9">
        <f>(J243+((K243-J243)*E346))</f>
        <v>3324.3</v>
      </c>
      <c r="H346" s="36">
        <f>I243</f>
        <v>0.2</v>
      </c>
      <c r="I346" s="9">
        <f>(((F346+G346)/2)*H346)</f>
        <v>659.3000000000001</v>
      </c>
    </row>
    <row r="347" spans="1:12" ht="23" customHeight="1">
      <c r="A347" s="6">
        <v>6</v>
      </c>
      <c r="B347" s="6">
        <v>149</v>
      </c>
      <c r="C347" s="6">
        <v>2</v>
      </c>
      <c r="D347" s="38">
        <f>((G244-E244)/L244)</f>
        <v>0.0</v>
      </c>
      <c r="E347" s="38">
        <f>((H244-E244)/L244)</f>
        <v>0.8461538461538461</v>
      </c>
      <c r="F347" s="9">
        <f>(J244+((K244-J244)*D347))</f>
        <v>5045.2</v>
      </c>
      <c r="G347" s="9">
        <f>(J244+((K244-J244)*E347))</f>
        <v>5509.2307692307695</v>
      </c>
      <c r="H347" s="36">
        <f>I244</f>
        <v>1.1</v>
      </c>
      <c r="I347" s="9">
        <f>(((F347+G347)/2)*H347)</f>
        <v>5804.936923076924</v>
      </c>
    </row>
    <row r="348" spans="1:12" ht="23" customHeight="1">
      <c r="A348" s="6">
        <v>6</v>
      </c>
      <c r="B348" s="6">
        <v>150</v>
      </c>
      <c r="C348" s="6">
        <v>2</v>
      </c>
      <c r="D348" s="38">
        <f>((G245-E245)/L245)</f>
        <v>0.8461538461538461</v>
      </c>
      <c r="E348" s="38">
        <f>((H245-E245)/L245)</f>
        <v>0.9999999999999998</v>
      </c>
      <c r="F348" s="9">
        <f>(J245+((K245-J245)*D348))</f>
        <v>5509.2307692307695</v>
      </c>
      <c r="G348" s="9">
        <f>(J245+((K245-J245)*E348))</f>
        <v>5593.6</v>
      </c>
      <c r="H348" s="36">
        <f>I245</f>
        <v>0.2</v>
      </c>
      <c r="I348" s="9">
        <f>(((F348+G348)/2)*H348)</f>
        <v>1110.283076923077</v>
      </c>
    </row>
    <row r="349" spans="1:12" ht="23" customHeight="1">
      <c r="A349" s="6">
        <v>6</v>
      </c>
      <c r="B349" s="6">
        <v>150</v>
      </c>
      <c r="C349" s="6">
        <v>3</v>
      </c>
      <c r="D349" s="38">
        <f>((G246-E246)/L246)</f>
        <v>0.0</v>
      </c>
      <c r="E349" s="38">
        <f>((H246-E246)/L246)</f>
        <v>0.37931034482758624</v>
      </c>
      <c r="F349" s="9">
        <f>(J246+((K246-J246)*D349))</f>
        <v>1755.0</v>
      </c>
      <c r="G349" s="9">
        <f>(J246+((K246-J246)*E349))</f>
        <v>1755.0</v>
      </c>
      <c r="H349" s="36">
        <f>I246</f>
        <v>1.1</v>
      </c>
      <c r="I349" s="9">
        <f>(((F349+G349)/2)*H349)</f>
        <v>1930.5000000000002</v>
      </c>
    </row>
    <row r="350" spans="1:12" ht="23" customHeight="1">
      <c r="A350" s="6">
        <v>6</v>
      </c>
      <c r="B350" s="6">
        <v>151</v>
      </c>
      <c r="C350" s="6">
        <v>3</v>
      </c>
      <c r="D350" s="38">
        <f>((G247-E247)/L247)</f>
        <v>0.37931034482758624</v>
      </c>
      <c r="E350" s="38">
        <f>((H247-E247)/L247)</f>
        <v>0.8275862068965518</v>
      </c>
      <c r="F350" s="9">
        <f>(J247+((K247-J247)*D350))</f>
        <v>1755.0</v>
      </c>
      <c r="G350" s="9">
        <f>(J247+((K247-J247)*E350))</f>
        <v>1755.0</v>
      </c>
      <c r="H350" s="36">
        <f>I247</f>
        <v>1.3</v>
      </c>
      <c r="I350" s="9">
        <f>(((F350+G350)/2)*H350)</f>
        <v>2281.5</v>
      </c>
    </row>
    <row r="351" spans="1:12" ht="23" customHeight="1">
      <c r="A351" s="6">
        <v>6</v>
      </c>
      <c r="B351" s="6">
        <v>152</v>
      </c>
      <c r="C351" s="6">
        <v>3</v>
      </c>
      <c r="D351" s="38">
        <f>((G248-E248)/L248)</f>
        <v>0.8275862068965518</v>
      </c>
      <c r="E351" s="38">
        <f>((H248-E248)/L248)</f>
        <v>1.0000000000000002</v>
      </c>
      <c r="F351" s="9">
        <f>(J248+((K248-J248)*D351))</f>
        <v>1755.0</v>
      </c>
      <c r="G351" s="9">
        <f>(J248+((K248-J248)*E351))</f>
        <v>1755.0</v>
      </c>
      <c r="H351" s="36">
        <f>I248</f>
        <v>0.5</v>
      </c>
      <c r="I351" s="9">
        <f>(((F351+G351)/2)*H351)</f>
        <v>877.5</v>
      </c>
    </row>
    <row r="352" spans="1:12" ht="23" customHeight="1">
      <c r="A352" s="6">
        <v>6</v>
      </c>
      <c r="B352" s="6">
        <v>152</v>
      </c>
      <c r="C352" s="6">
        <v>4</v>
      </c>
      <c r="D352" s="38">
        <f>((G249-E249)/L249)</f>
        <v>0.0</v>
      </c>
      <c r="E352" s="38">
        <f>((H249-E249)/L249)</f>
        <v>0.3076923076923076</v>
      </c>
      <c r="F352" s="9">
        <f>(J249+((K249-J249)*D352))</f>
        <v>5872.6</v>
      </c>
      <c r="G352" s="9">
        <f>(J249+((K249-J249)*E352))</f>
        <v>6181.83076923077</v>
      </c>
      <c r="H352" s="36">
        <f>I249</f>
        <v>0.8</v>
      </c>
      <c r="I352" s="9">
        <f>(((F352+G352)/2)*H352)</f>
        <v>4821.7723076923085</v>
      </c>
    </row>
    <row r="353" spans="1:12" ht="23" customHeight="1">
      <c r="A353" s="6">
        <v>6</v>
      </c>
      <c r="B353" s="6">
        <v>153</v>
      </c>
      <c r="C353" s="6">
        <v>4</v>
      </c>
      <c r="D353" s="38">
        <f>((G250-E250)/L250)</f>
        <v>0.3076923076923076</v>
      </c>
      <c r="E353" s="38">
        <f>((H250-E250)/L250)</f>
        <v>0.8076923076923075</v>
      </c>
      <c r="F353" s="9">
        <f>(J250+((K250-J250)*D353))</f>
        <v>6181.83076923077</v>
      </c>
      <c r="G353" s="9">
        <f>(J250+((K250-J250)*E353))</f>
        <v>6684.33076923077</v>
      </c>
      <c r="H353" s="36">
        <f>I250</f>
        <v>1.3</v>
      </c>
      <c r="I353" s="9">
        <f>(((F353+G353)/2)*H353)</f>
        <v>8363.005000000001</v>
      </c>
    </row>
    <row r="354" spans="1:12" ht="23" customHeight="1">
      <c r="A354" s="6">
        <v>6</v>
      </c>
      <c r="B354" s="6">
        <v>154</v>
      </c>
      <c r="C354" s="6">
        <v>4</v>
      </c>
      <c r="D354" s="38">
        <f>((G251-E251)/L251)</f>
        <v>0.8076923076923075</v>
      </c>
      <c r="E354" s="38">
        <f>((H251-E251)/L251)</f>
        <v>1.0000000000000002</v>
      </c>
      <c r="F354" s="9">
        <f>(J251+((K251-J251)*D354))</f>
        <v>6684.33076923077</v>
      </c>
      <c r="G354" s="9">
        <f>(J251+((K251-J251)*E354))</f>
        <v>6877.6</v>
      </c>
      <c r="H354" s="36">
        <f>I251</f>
        <v>0.5</v>
      </c>
      <c r="I354" s="9">
        <f>(((F354+G354)/2)*H354)</f>
        <v>3390.4826923076926</v>
      </c>
    </row>
    <row r="355" spans="1:12" ht="23" customHeight="1">
      <c r="A355" s="6">
        <v>6</v>
      </c>
      <c r="B355" s="6">
        <v>154</v>
      </c>
      <c r="C355" s="6">
        <v>5</v>
      </c>
      <c r="D355" s="38">
        <f>((G252-E252)/L252)</f>
        <v>0.0</v>
      </c>
      <c r="E355" s="38">
        <f>((H252-E252)/L252)</f>
        <v>0.9999999999999994</v>
      </c>
      <c r="F355" s="9">
        <f>(J252+((K252-J252)*D355))</f>
        <v>6809.4</v>
      </c>
      <c r="G355" s="9">
        <f>(J252+((K252-J252)*E355))</f>
        <v>6809.4</v>
      </c>
      <c r="H355" s="36">
        <f>I252</f>
        <v>0.6</v>
      </c>
      <c r="I355" s="9">
        <f>(((F355+G355)/2)*H355)</f>
        <v>4085.6399999999994</v>
      </c>
    </row>
    <row r="356" spans="1:12" ht="23" customHeight="1">
      <c r="A356" s="6">
        <v>6</v>
      </c>
      <c r="B356" s="6">
        <v>154</v>
      </c>
      <c r="C356" s="6">
        <v>6</v>
      </c>
      <c r="D356" s="38">
        <f>((G253-E253)/L253)</f>
        <v>0.0</v>
      </c>
      <c r="E356" s="38">
        <f>((H253-E253)/L253)</f>
        <v>0.021052631578947295</v>
      </c>
      <c r="F356" s="9">
        <f>(J253+((K253-J253)*D356))</f>
        <v>7371.2</v>
      </c>
      <c r="G356" s="9">
        <f>(J253+((K253-J253)*E356))</f>
        <v>7451.936842105262</v>
      </c>
      <c r="H356" s="36">
        <f>I253</f>
        <v>0.2</v>
      </c>
      <c r="I356" s="9">
        <f>(((F356+G356)/2)*H356)</f>
        <v>1482.3136842105262</v>
      </c>
    </row>
    <row r="357" spans="1:12" ht="23" customHeight="1">
      <c r="A357" s="6">
        <v>6</v>
      </c>
      <c r="B357" s="6">
        <v>155</v>
      </c>
      <c r="C357" s="6">
        <v>6</v>
      </c>
      <c r="D357" s="38">
        <f>((G254-E254)/L254)</f>
        <v>0.021052631578947295</v>
      </c>
      <c r="E357" s="38">
        <f>((H254-E254)/L254)</f>
        <v>0.15789473684210525</v>
      </c>
      <c r="F357" s="9">
        <f>(J254+((K254-J254)*D357))</f>
        <v>7451.936842105262</v>
      </c>
      <c r="G357" s="9">
        <f>(J254+((K254-J254)*E357))</f>
        <v>7976.726315789474</v>
      </c>
      <c r="H357" s="36">
        <f>I254</f>
        <v>1.3</v>
      </c>
      <c r="I357" s="9">
        <f>(((F357+G357)/2)*H357)</f>
        <v>10028.63105263158</v>
      </c>
    </row>
    <row r="358" spans="1:12" ht="23" customHeight="1">
      <c r="A358" s="6">
        <v>6</v>
      </c>
      <c r="B358" s="6">
        <v>156</v>
      </c>
      <c r="C358" s="6">
        <v>6</v>
      </c>
      <c r="D358" s="38">
        <f>((G255-E255)/L255)</f>
        <v>0.15789473684210525</v>
      </c>
      <c r="E358" s="38">
        <f>((H255-E255)/L255)</f>
        <v>0.294736842105263</v>
      </c>
      <c r="F358" s="9">
        <f>(J255+((K255-J255)*D358))</f>
        <v>7976.726315789474</v>
      </c>
      <c r="G358" s="9">
        <f>(J255+((K255-J255)*E358))</f>
        <v>8501.515789473684</v>
      </c>
      <c r="H358" s="36">
        <f>I255</f>
        <v>1.3</v>
      </c>
      <c r="I358" s="9">
        <f>(((F358+G358)/2)*H358)</f>
        <v>10710.857368421053</v>
      </c>
    </row>
    <row r="359" spans="1:12" ht="24" customHeight="1">
      <c r="A359" s="3" t="s">
        <v>156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36" customHeight="1">
      <c r="A360" s="4" t="s">
        <v>8</v>
      </c>
      <c r="B360" s="4" t="s">
        <v>10</v>
      </c>
      <c r="C360" s="4" t="s">
        <v>147</v>
      </c>
      <c r="D360" s="4" t="s">
        <v>157</v>
      </c>
      <c r="E360" s="4" t="s">
        <v>158</v>
      </c>
      <c r="F360" s="4" t="s">
        <v>159</v>
      </c>
      <c r="G360" s="4" t="s">
        <v>160</v>
      </c>
      <c r="H360" s="4" t="s">
        <v>153</v>
      </c>
      <c r="I360" s="4" t="s">
        <v>161</v>
      </c>
    </row>
    <row r="361" spans="1:12" ht="23" customHeight="1">
      <c r="A361" s="6">
        <v>6</v>
      </c>
      <c r="B361" s="6">
        <v>157</v>
      </c>
      <c r="C361" s="6">
        <v>6</v>
      </c>
      <c r="D361" s="38">
        <f>((G256-E256)/L256)</f>
        <v>0.294736842105263</v>
      </c>
      <c r="E361" s="38">
        <f>((H256-E256)/L256)</f>
        <v>0.431578947368421</v>
      </c>
      <c r="F361" s="9">
        <f>(J256+((K256-J256)*D361))</f>
        <v>8501.515789473684</v>
      </c>
      <c r="G361" s="9">
        <f>(J256+((K256-J256)*E361))</f>
        <v>9026.305263157894</v>
      </c>
      <c r="H361" s="36">
        <f>I256</f>
        <v>1.3</v>
      </c>
      <c r="I361" s="9">
        <f>(((F361+G361)/2)*H361)</f>
        <v>11393.083684210525</v>
      </c>
    </row>
    <row r="362" spans="1:12" ht="23" customHeight="1">
      <c r="A362" s="6">
        <v>6</v>
      </c>
      <c r="B362" s="6">
        <v>158</v>
      </c>
      <c r="C362" s="6">
        <v>6</v>
      </c>
      <c r="D362" s="38">
        <f>((G259-E259)/L259)</f>
        <v>0.431578947368421</v>
      </c>
      <c r="E362" s="38">
        <f>((H259-E259)/L259)</f>
        <v>0.5684210526315789</v>
      </c>
      <c r="F362" s="9">
        <f>(J259+((K259-J259)*D362))</f>
        <v>9026.305263157894</v>
      </c>
      <c r="G362" s="9">
        <f>(J259+((K259-J259)*E362))</f>
        <v>9551.094736842106</v>
      </c>
      <c r="H362" s="36">
        <f>I259</f>
        <v>1.3</v>
      </c>
      <c r="I362" s="9">
        <f>(((F362+G362)/2)*H362)</f>
        <v>12075.310000000001</v>
      </c>
    </row>
    <row r="363" spans="1:12" ht="23" customHeight="1">
      <c r="A363" s="6">
        <v>6</v>
      </c>
      <c r="B363" s="6">
        <v>159</v>
      </c>
      <c r="C363" s="6">
        <v>6</v>
      </c>
      <c r="D363" s="38">
        <f>((G260-E260)/L260)</f>
        <v>0.5684210526315789</v>
      </c>
      <c r="E363" s="38">
        <f>((H260-E260)/L260)</f>
        <v>0.7052631578947368</v>
      </c>
      <c r="F363" s="9">
        <f>(J260+((K260-J260)*D363))</f>
        <v>9551.094736842106</v>
      </c>
      <c r="G363" s="9">
        <f>(J260+((K260-J260)*E363))</f>
        <v>10075.884210526316</v>
      </c>
      <c r="H363" s="36">
        <f>I260</f>
        <v>1.3</v>
      </c>
      <c r="I363" s="9">
        <f>(((F363+G363)/2)*H363)</f>
        <v>12757.536315789474</v>
      </c>
    </row>
    <row r="364" spans="1:12" ht="23" customHeight="1">
      <c r="A364" s="6">
        <v>6</v>
      </c>
      <c r="B364" s="6">
        <v>160</v>
      </c>
      <c r="C364" s="6">
        <v>6</v>
      </c>
      <c r="D364" s="38">
        <f>((G261-E261)/L261)</f>
        <v>0.7052631578947368</v>
      </c>
      <c r="E364" s="38">
        <f>((H261-E261)/L261)</f>
        <v>0.8421052631578946</v>
      </c>
      <c r="F364" s="9">
        <f>(J261+((K261-J261)*D364))</f>
        <v>10075.884210526316</v>
      </c>
      <c r="G364" s="9">
        <f>(J261+((K261-J261)*E364))</f>
        <v>10600.673684210527</v>
      </c>
      <c r="H364" s="36">
        <f>I261</f>
        <v>1.3</v>
      </c>
      <c r="I364" s="9">
        <f>(((F364+G364)/2)*H364)</f>
        <v>13439.762631578948</v>
      </c>
    </row>
    <row r="365" spans="1:12" ht="23" customHeight="1">
      <c r="A365" s="6">
        <v>6</v>
      </c>
      <c r="B365" s="6">
        <v>161</v>
      </c>
      <c r="C365" s="6">
        <v>6</v>
      </c>
      <c r="D365" s="38">
        <f>((G262-E262)/L262)</f>
        <v>0.8421052631578946</v>
      </c>
      <c r="E365" s="38">
        <f>((H262-E262)/L262)</f>
        <v>0.9789473684210526</v>
      </c>
      <c r="F365" s="9">
        <f>(J262+((K262-J262)*D365))</f>
        <v>10600.673684210527</v>
      </c>
      <c r="G365" s="9">
        <f>(J262+((K262-J262)*E365))</f>
        <v>11125.463157894737</v>
      </c>
      <c r="H365" s="36">
        <f>I262</f>
        <v>1.3</v>
      </c>
      <c r="I365" s="9">
        <f>(((F365+G365)/2)*H365)</f>
        <v>14121.988947368423</v>
      </c>
    </row>
    <row r="366" spans="1:12" ht="23" customHeight="1">
      <c r="A366" s="6">
        <v>6</v>
      </c>
      <c r="B366" s="6">
        <v>162</v>
      </c>
      <c r="C366" s="6">
        <v>6</v>
      </c>
      <c r="D366" s="38">
        <f>((G263-E263)/L263)</f>
        <v>0.9789473684210526</v>
      </c>
      <c r="E366" s="38">
        <f>((H263-E263)/L263)</f>
        <v>0.9999999999999998</v>
      </c>
      <c r="F366" s="9">
        <f>(J263+((K263-J263)*D366))</f>
        <v>11125.463157894737</v>
      </c>
      <c r="G366" s="9">
        <f>(J263+((K263-J263)*E366))</f>
        <v>11206.2</v>
      </c>
      <c r="H366" s="36">
        <f>I263</f>
        <v>0.2</v>
      </c>
      <c r="I366" s="9">
        <f>(((F366+G366)/2)*H366)</f>
        <v>2233.166315789474</v>
      </c>
    </row>
    <row r="367" spans="1:12" ht="23" customHeight="1">
      <c r="A367" s="6">
        <v>6</v>
      </c>
      <c r="B367" s="6">
        <v>162</v>
      </c>
      <c r="C367" s="6">
        <v>7</v>
      </c>
      <c r="D367" s="38">
        <f>((G264-E264)/L264)</f>
        <v>0.0</v>
      </c>
      <c r="E367" s="38">
        <f>((H264-E264)/L264)</f>
        <v>0.08730158730158742</v>
      </c>
      <c r="F367" s="9">
        <f>(J264+((K264-J264)*D367))</f>
        <v>3088.8</v>
      </c>
      <c r="G367" s="9">
        <f>(J264+((K264-J264)*E367))</f>
        <v>3088.8</v>
      </c>
      <c r="H367" s="36">
        <f>I264</f>
        <v>1.1</v>
      </c>
      <c r="I367" s="9">
        <f>(((F367+G367)/2)*H367)</f>
        <v>3397.6800000000003</v>
      </c>
    </row>
    <row r="368" spans="1:12" ht="23" customHeight="1">
      <c r="A368" s="6">
        <v>6</v>
      </c>
      <c r="B368" s="6">
        <v>163</v>
      </c>
      <c r="C368" s="6">
        <v>7</v>
      </c>
      <c r="D368" s="38">
        <f>((G265-E265)/L265)</f>
        <v>0.08730158730158742</v>
      </c>
      <c r="E368" s="38">
        <f>((H265-E265)/L265)</f>
        <v>0.19047619047619066</v>
      </c>
      <c r="F368" s="9">
        <f>(J265+((K265-J265)*D368))</f>
        <v>3088.8</v>
      </c>
      <c r="G368" s="9">
        <f>(J265+((K265-J265)*E368))</f>
        <v>3088.8</v>
      </c>
      <c r="H368" s="36">
        <f>I265</f>
        <v>1.3</v>
      </c>
      <c r="I368" s="9">
        <f>(((F368+G368)/2)*H368)</f>
        <v>4015.4400000000005</v>
      </c>
    </row>
    <row r="369" spans="1:12" ht="23" customHeight="1">
      <c r="A369" s="6">
        <v>6</v>
      </c>
      <c r="B369" s="6">
        <v>164</v>
      </c>
      <c r="C369" s="6">
        <v>7</v>
      </c>
      <c r="D369" s="38">
        <f>((G266-E266)/L266)</f>
        <v>0.19047619047619066</v>
      </c>
      <c r="E369" s="38">
        <f>((H266-E266)/L266)</f>
        <v>0.2936507936507939</v>
      </c>
      <c r="F369" s="9">
        <f>(J266+((K266-J266)*D369))</f>
        <v>3088.8</v>
      </c>
      <c r="G369" s="9">
        <f>(J266+((K266-J266)*E369))</f>
        <v>3088.8</v>
      </c>
      <c r="H369" s="36">
        <f>I266</f>
        <v>1.3</v>
      </c>
      <c r="I369" s="9">
        <f>(((F369+G369)/2)*H369)</f>
        <v>4015.4400000000005</v>
      </c>
    </row>
    <row r="370" spans="1:12" ht="23" customHeight="1">
      <c r="A370" s="6">
        <v>6</v>
      </c>
      <c r="B370" s="6">
        <v>165</v>
      </c>
      <c r="C370" s="6">
        <v>7</v>
      </c>
      <c r="D370" s="38">
        <f>((G267-E267)/L267)</f>
        <v>0.2936507936507939</v>
      </c>
      <c r="E370" s="38">
        <f>((H267-E267)/L267)</f>
        <v>0.39682539682539686</v>
      </c>
      <c r="F370" s="9">
        <f>(J267+((K267-J267)*D370))</f>
        <v>3088.8</v>
      </c>
      <c r="G370" s="9">
        <f>(J267+((K267-J267)*E370))</f>
        <v>3088.8</v>
      </c>
      <c r="H370" s="36">
        <f>I267</f>
        <v>1.3</v>
      </c>
      <c r="I370" s="9">
        <f>(((F370+G370)/2)*H370)</f>
        <v>4015.4400000000005</v>
      </c>
    </row>
    <row r="371" spans="1:12" ht="23" customHeight="1">
      <c r="A371" s="6">
        <v>6</v>
      </c>
      <c r="B371" s="6">
        <v>166</v>
      </c>
      <c r="C371" s="6">
        <v>7</v>
      </c>
      <c r="D371" s="38">
        <f>((G268-E268)/L268)</f>
        <v>0.39682539682539686</v>
      </c>
      <c r="E371" s="38">
        <f>((H268-E268)/L268)</f>
        <v>0.5000000000000001</v>
      </c>
      <c r="F371" s="9">
        <f>(J268+((K268-J268)*D371))</f>
        <v>3088.8</v>
      </c>
      <c r="G371" s="9">
        <f>(J268+((K268-J268)*E371))</f>
        <v>3088.8</v>
      </c>
      <c r="H371" s="36">
        <f>I268</f>
        <v>1.3</v>
      </c>
      <c r="I371" s="9">
        <f>(((F371+G371)/2)*H371)</f>
        <v>4015.4400000000005</v>
      </c>
    </row>
    <row r="372" spans="1:12" ht="23" customHeight="1">
      <c r="A372" s="6">
        <v>6</v>
      </c>
      <c r="B372" s="6">
        <v>167</v>
      </c>
      <c r="C372" s="6">
        <v>7</v>
      </c>
      <c r="D372" s="38">
        <f>((G269-E269)/L269)</f>
        <v>0.5000000000000001</v>
      </c>
      <c r="E372" s="38">
        <f>((H269-E269)/L269)</f>
        <v>0.6031746031746033</v>
      </c>
      <c r="F372" s="9">
        <f>(J269+((K269-J269)*D372))</f>
        <v>3088.8</v>
      </c>
      <c r="G372" s="9">
        <f>(J269+((K269-J269)*E372))</f>
        <v>3088.8</v>
      </c>
      <c r="H372" s="36">
        <f>I269</f>
        <v>1.3</v>
      </c>
      <c r="I372" s="9">
        <f>(((F372+G372)/2)*H372)</f>
        <v>4015.4400000000005</v>
      </c>
    </row>
    <row r="373" spans="1:12" ht="23" customHeight="1">
      <c r="A373" s="6">
        <v>6</v>
      </c>
      <c r="B373" s="6">
        <v>168</v>
      </c>
      <c r="C373" s="6">
        <v>7</v>
      </c>
      <c r="D373" s="38">
        <f>((G270-E270)/L270)</f>
        <v>0.6031746031746033</v>
      </c>
      <c r="E373" s="38">
        <f>((H270-E270)/L270)</f>
        <v>0.7063492063492065</v>
      </c>
      <c r="F373" s="9">
        <f>(J270+((K270-J270)*D373))</f>
        <v>3088.8</v>
      </c>
      <c r="G373" s="9">
        <f>(J270+((K270-J270)*E373))</f>
        <v>3088.8</v>
      </c>
      <c r="H373" s="36">
        <f>I270</f>
        <v>1.3</v>
      </c>
      <c r="I373" s="9">
        <f>(((F373+G373)/2)*H373)</f>
        <v>4015.4400000000005</v>
      </c>
    </row>
    <row r="374" spans="1:12" ht="23" customHeight="1">
      <c r="A374" s="6">
        <v>6</v>
      </c>
      <c r="B374" s="6">
        <v>169</v>
      </c>
      <c r="C374" s="6">
        <v>7</v>
      </c>
      <c r="D374" s="38">
        <f>((G271-E271)/L271)</f>
        <v>0.7063492063492065</v>
      </c>
      <c r="E374" s="38">
        <f>((H271-E271)/L271)</f>
        <v>0.8095238095238098</v>
      </c>
      <c r="F374" s="9">
        <f>(J271+((K271-J271)*D374))</f>
        <v>3088.8</v>
      </c>
      <c r="G374" s="9">
        <f>(J271+((K271-J271)*E374))</f>
        <v>3088.8</v>
      </c>
      <c r="H374" s="36">
        <f>I271</f>
        <v>1.3</v>
      </c>
      <c r="I374" s="9">
        <f>(((F374+G374)/2)*H374)</f>
        <v>4015.4400000000005</v>
      </c>
    </row>
    <row r="375" spans="1:12" ht="23" customHeight="1">
      <c r="A375" s="6">
        <v>6</v>
      </c>
      <c r="B375" s="6">
        <v>170</v>
      </c>
      <c r="C375" s="6">
        <v>7</v>
      </c>
      <c r="D375" s="38">
        <f>((G272-E272)/L272)</f>
        <v>0.8095238095238098</v>
      </c>
      <c r="E375" s="38">
        <f>((H272-E272)/L272)</f>
        <v>0.9126984126984127</v>
      </c>
      <c r="F375" s="9">
        <f>(J272+((K272-J272)*D375))</f>
        <v>3088.8</v>
      </c>
      <c r="G375" s="9">
        <f>(J272+((K272-J272)*E375))</f>
        <v>3088.8</v>
      </c>
      <c r="H375" s="36">
        <f>I272</f>
        <v>1.3</v>
      </c>
      <c r="I375" s="9">
        <f>(((F375+G375)/2)*H375)</f>
        <v>4015.4400000000005</v>
      </c>
    </row>
    <row r="376" spans="1:12" ht="24" customHeight="1">
      <c r="A376" s="3" t="s">
        <v>156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36" customHeight="1">
      <c r="A377" s="4" t="s">
        <v>8</v>
      </c>
      <c r="B377" s="4" t="s">
        <v>10</v>
      </c>
      <c r="C377" s="4" t="s">
        <v>147</v>
      </c>
      <c r="D377" s="4" t="s">
        <v>157</v>
      </c>
      <c r="E377" s="4" t="s">
        <v>158</v>
      </c>
      <c r="F377" s="4" t="s">
        <v>159</v>
      </c>
      <c r="G377" s="4" t="s">
        <v>160</v>
      </c>
      <c r="H377" s="4" t="s">
        <v>153</v>
      </c>
      <c r="I377" s="4" t="s">
        <v>161</v>
      </c>
    </row>
    <row r="378" spans="1:12" ht="23" customHeight="1">
      <c r="A378" s="6">
        <v>6</v>
      </c>
      <c r="B378" s="6">
        <v>171</v>
      </c>
      <c r="C378" s="6">
        <v>7</v>
      </c>
      <c r="D378" s="38">
        <f>((G273-E273)/L273)</f>
        <v>0.9126984126984127</v>
      </c>
      <c r="E378" s="38">
        <f>((H273-E273)/L273)</f>
        <v>1.0000000000000002</v>
      </c>
      <c r="F378" s="9">
        <f>(J273+((K273-J273)*D378))</f>
        <v>3088.8</v>
      </c>
      <c r="G378" s="9">
        <f>(J273+((K273-J273)*E378))</f>
        <v>3088.8</v>
      </c>
      <c r="H378" s="36">
        <f>I273</f>
        <v>1.1</v>
      </c>
      <c r="I378" s="9">
        <f>(((F378+G378)/2)*H378)</f>
        <v>3397.6800000000003</v>
      </c>
    </row>
    <row r="379" spans="1:12" ht="23" customHeight="1"/>
    <row r="380" spans="1:12" ht="24" customHeight="1">
      <c r="A380" s="3" t="s">
        <v>162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36" customHeight="1">
      <c r="A381" s="4" t="s">
        <v>8</v>
      </c>
      <c r="B381" s="4" t="s">
        <v>109</v>
      </c>
      <c r="C381" s="4" t="s">
        <v>163</v>
      </c>
      <c r="D381" s="4" t="s">
        <v>164</v>
      </c>
    </row>
    <row r="382" spans="1:12" ht="24" customHeight="1">
      <c r="A382" s="2" t="s">
        <v>165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166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167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168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169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170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171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172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173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2" t="s">
        <v>174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4" customHeight="1">
      <c r="A392" s="3" t="s">
        <v>162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36" customHeight="1">
      <c r="A393" s="4" t="s">
        <v>8</v>
      </c>
      <c r="B393" s="4" t="s">
        <v>109</v>
      </c>
      <c r="C393" s="4" t="s">
        <v>163</v>
      </c>
      <c r="D393" s="4" t="s">
        <v>164</v>
      </c>
    </row>
    <row r="394" spans="1:12" ht="24" customHeight="1">
      <c r="A394" s="2" t="s">
        <v>175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176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177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178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179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4" customHeight="1">
      <c r="A399" s="2" t="s">
        <v>180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4" customHeight="1">
      <c r="A400" s="2" t="s">
        <v>181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4" customHeight="1">
      <c r="A401" s="2" t="s">
        <v>182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4" customHeight="1">
      <c r="A402" s="2" t="s">
        <v>183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4" customHeight="1">
      <c r="A403" s="2" t="s">
        <v>184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4" customHeight="1">
      <c r="A404" s="2" t="s">
        <v>185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4" customHeight="1">
      <c r="A405" s="2" t="s">
        <v>186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4" customHeight="1">
      <c r="A406" s="2" t="s">
        <v>187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4" customHeight="1">
      <c r="A407" s="2" t="s">
        <v>188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4" customHeight="1">
      <c r="A408" s="3" t="s">
        <v>162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36" customHeight="1">
      <c r="A409" s="4" t="s">
        <v>8</v>
      </c>
      <c r="B409" s="4" t="s">
        <v>109</v>
      </c>
      <c r="C409" s="4" t="s">
        <v>163</v>
      </c>
      <c r="D409" s="4" t="s">
        <v>164</v>
      </c>
    </row>
    <row r="410" spans="1:12" ht="24" customHeight="1">
      <c r="A410" s="2" t="s">
        <v>189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4" customHeight="1">
      <c r="A411" s="2" t="s">
        <v>190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4" customHeight="1">
      <c r="A412" s="2" t="s">
        <v>191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4" customHeight="1">
      <c r="A413" s="2" t="s">
        <v>192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4" customHeight="1">
      <c r="A414" s="2" t="s">
        <v>193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4" customHeight="1">
      <c r="A415" s="2" t="s">
        <v>194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4" customHeight="1">
      <c r="A416" s="2" t="s">
        <v>195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4" customHeight="1">
      <c r="A417" s="2" t="s">
        <v>196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4" customHeight="1">
      <c r="A418" s="2" t="s">
        <v>197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4" customHeight="1">
      <c r="A419" s="2" t="s">
        <v>198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4" customHeight="1">
      <c r="A420" s="2" t="s">
        <v>199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4" customHeight="1">
      <c r="A421" s="2" t="s">
        <v>200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4" customHeight="1">
      <c r="A422" s="2" t="s">
        <v>201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4" customHeight="1">
      <c r="A423" s="2" t="s">
        <v>202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4" customHeight="1">
      <c r="A424" s="3" t="s">
        <v>162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36" customHeight="1">
      <c r="A425" s="4" t="s">
        <v>8</v>
      </c>
      <c r="B425" s="4" t="s">
        <v>109</v>
      </c>
      <c r="C425" s="4" t="s">
        <v>163</v>
      </c>
      <c r="D425" s="4" t="s">
        <v>164</v>
      </c>
    </row>
    <row r="426" spans="1:12" ht="24" customHeight="1">
      <c r="A426" s="2" t="s">
        <v>203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4" customHeight="1">
      <c r="A427" s="2" t="s">
        <v>204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4" customHeight="1">
      <c r="A428" s="2" t="s">
        <v>205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4" customHeight="1">
      <c r="A429" s="2" t="s">
        <v>206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4" customHeight="1">
      <c r="A430" s="2" t="s">
        <v>207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4" customHeight="1">
      <c r="A431" s="2" t="s">
        <v>208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4" customHeight="1">
      <c r="A432" s="2" t="s">
        <v>209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4" customHeight="1">
      <c r="A433" s="2" t="s">
        <v>210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4" customHeight="1">
      <c r="A434" s="2" t="s">
        <v>211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4" customHeight="1">
      <c r="A435" s="2" t="s">
        <v>212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4" customHeight="1">
      <c r="A436" s="2" t="s">
        <v>213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4" customHeight="1">
      <c r="A437" s="2" t="s">
        <v>214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4" customHeight="1">
      <c r="A438" s="2" t="s">
        <v>215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4" customHeight="1">
      <c r="A439" s="2" t="s">
        <v>216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4" customHeight="1">
      <c r="A440" s="3" t="s">
        <v>162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36" customHeight="1">
      <c r="A441" s="4" t="s">
        <v>8</v>
      </c>
      <c r="B441" s="4" t="s">
        <v>109</v>
      </c>
      <c r="C441" s="4" t="s">
        <v>163</v>
      </c>
      <c r="D441" s="4" t="s">
        <v>164</v>
      </c>
    </row>
    <row r="442" spans="1:12" ht="24" customHeight="1">
      <c r="A442" s="2" t="s">
        <v>217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4" customHeight="1">
      <c r="A443" s="2" t="s">
        <v>218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4" customHeight="1">
      <c r="A444" s="2" t="s">
        <v>219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4" customHeight="1">
      <c r="A445" s="2" t="s">
        <v>220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4" customHeight="1">
      <c r="A446" s="2" t="s">
        <v>221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4" customHeight="1">
      <c r="A447" s="2" t="s">
        <v>222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4" customHeight="1">
      <c r="A448" s="2" t="s">
        <v>223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4" customHeight="1">
      <c r="A449" s="2" t="s">
        <v>224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4" customHeight="1">
      <c r="A450" s="2" t="s">
        <v>225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4" customHeight="1">
      <c r="A451" s="2" t="s">
        <v>226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4" customHeight="1">
      <c r="A452" s="2" t="s">
        <v>227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4" customHeight="1">
      <c r="A453" s="2" t="s">
        <v>228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4" customHeight="1">
      <c r="A454" s="2" t="s">
        <v>229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4" customHeight="1">
      <c r="A455" s="2" t="s">
        <v>230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4" customHeight="1">
      <c r="A456" s="3" t="s">
        <v>162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36" customHeight="1">
      <c r="A457" s="4" t="s">
        <v>8</v>
      </c>
      <c r="B457" s="4" t="s">
        <v>109</v>
      </c>
      <c r="C457" s="4" t="s">
        <v>163</v>
      </c>
      <c r="D457" s="4" t="s">
        <v>164</v>
      </c>
    </row>
    <row r="458" spans="1:12" ht="24" customHeight="1">
      <c r="A458" s="2" t="s">
        <v>231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4" customHeight="1">
      <c r="A459" s="2" t="s">
        <v>232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4" customHeight="1">
      <c r="A460" s="2" t="s">
        <v>233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4" customHeight="1">
      <c r="A461" s="2" t="s">
        <v>234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4" customHeight="1">
      <c r="A462" s="2" t="s">
        <v>235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4" customHeight="1">
      <c r="A463" s="2" t="s">
        <v>236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4" customHeight="1">
      <c r="A464" s="2" t="s">
        <v>237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4" customHeight="1">
      <c r="A465" s="2" t="s">
        <v>238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4" customHeight="1">
      <c r="A466" s="2" t="s">
        <v>239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4" customHeight="1">
      <c r="A467" s="2" t="s">
        <v>240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4" customHeight="1">
      <c r="A468" s="2" t="s">
        <v>241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4" customHeight="1">
      <c r="A469" s="2" t="s">
        <v>242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4" customHeight="1">
      <c r="A470" s="2" t="s">
        <v>243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4" customHeight="1">
      <c r="A471" s="2" t="s">
        <v>244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4" customHeight="1">
      <c r="A472" s="3" t="s">
        <v>162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36" customHeight="1">
      <c r="A473" s="4" t="s">
        <v>8</v>
      </c>
      <c r="B473" s="4" t="s">
        <v>109</v>
      </c>
      <c r="C473" s="4" t="s">
        <v>163</v>
      </c>
      <c r="D473" s="4" t="s">
        <v>164</v>
      </c>
    </row>
    <row r="474" spans="1:12" ht="24" customHeight="1">
      <c r="A474" s="2" t="s">
        <v>245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4" customHeight="1">
      <c r="A475" s="2" t="s">
        <v>246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4" customHeight="1">
      <c r="A476" s="2" t="s">
        <v>247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4" customHeight="1">
      <c r="A477" s="2" t="s">
        <v>248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4" customHeight="1">
      <c r="A478" s="2" t="s">
        <v>249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4" customHeight="1">
      <c r="A479" s="2" t="s">
        <v>250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4" customHeight="1">
      <c r="A480" s="2" t="s">
        <v>251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4" customHeight="1">
      <c r="A481" s="2" t="s">
        <v>252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4" customHeight="1">
      <c r="A482" s="2" t="s">
        <v>253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4" customHeight="1">
      <c r="A483" s="2" t="s">
        <v>254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4" customHeight="1">
      <c r="A484" s="2" t="s">
        <v>255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4" customHeight="1">
      <c r="A485" s="2" t="s">
        <v>256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4" customHeight="1">
      <c r="A486" s="2" t="s">
        <v>257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4" customHeight="1">
      <c r="A487" s="2" t="s">
        <v>258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4" customHeight="1">
      <c r="A488" s="3" t="s">
        <v>162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36" customHeight="1">
      <c r="A489" s="4" t="s">
        <v>8</v>
      </c>
      <c r="B489" s="4" t="s">
        <v>109</v>
      </c>
      <c r="C489" s="4" t="s">
        <v>163</v>
      </c>
      <c r="D489" s="4" t="s">
        <v>164</v>
      </c>
    </row>
    <row r="490" spans="1:12" ht="24" customHeight="1">
      <c r="A490" s="2" t="s">
        <v>259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4" customHeight="1">
      <c r="A491" s="2" t="s">
        <v>260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4" customHeight="1">
      <c r="A492" s="2" t="s">
        <v>261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4" customHeight="1">
      <c r="A493" s="2" t="s">
        <v>262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4" customHeight="1">
      <c r="A494" s="2" t="s">
        <v>263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4" customHeight="1">
      <c r="A495" s="2" t="s">
        <v>264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4" customHeight="1">
      <c r="A496" s="2" t="s">
        <v>265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4" customHeight="1">
      <c r="A497" s="2" t="s">
        <v>266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4" customHeight="1">
      <c r="A498" s="2" t="s">
        <v>267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4" customHeight="1">
      <c r="A499" s="2" t="s">
        <v>268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4" customHeight="1">
      <c r="A500" s="2" t="s">
        <v>269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4" customHeight="1">
      <c r="A501" s="2" t="s">
        <v>270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4" customHeight="1">
      <c r="A502" s="2" t="s">
        <v>271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4" customHeight="1">
      <c r="A503" s="2" t="s">
        <v>272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4" customHeight="1">
      <c r="A504" s="3" t="s">
        <v>162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36" customHeight="1">
      <c r="A505" s="4" t="s">
        <v>8</v>
      </c>
      <c r="B505" s="4" t="s">
        <v>109</v>
      </c>
      <c r="C505" s="4" t="s">
        <v>163</v>
      </c>
      <c r="D505" s="4" t="s">
        <v>164</v>
      </c>
    </row>
    <row r="506" spans="1:12" ht="24" customHeight="1">
      <c r="A506" s="2" t="s">
        <v>273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4" customHeight="1">
      <c r="A507" s="2" t="s">
        <v>274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4" customHeight="1">
      <c r="A508" s="2" t="s">
        <v>275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4" customHeight="1">
      <c r="A509" s="2" t="s">
        <v>276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4" customHeight="1">
      <c r="A510" s="2" t="s">
        <v>277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4" customHeight="1">
      <c r="A511" s="2" t="s">
        <v>278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4" customHeight="1">
      <c r="A512" s="2" t="s">
        <v>279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4" customHeight="1">
      <c r="A513" s="2" t="s">
        <v>280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4" customHeight="1">
      <c r="A514" s="2" t="s">
        <v>281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4" customHeight="1">
      <c r="A515" s="2" t="s">
        <v>282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4" customHeight="1">
      <c r="A516" s="2" t="s">
        <v>283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4" customHeight="1">
      <c r="A517" s="2" t="s">
        <v>284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4" customHeight="1">
      <c r="A518" s="2" t="s">
        <v>285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4" customHeight="1">
      <c r="A519" s="2" t="s">
        <v>286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4" customHeight="1">
      <c r="A520" s="3" t="s">
        <v>162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36" customHeight="1">
      <c r="A521" s="4" t="s">
        <v>8</v>
      </c>
      <c r="B521" s="4" t="s">
        <v>109</v>
      </c>
      <c r="C521" s="4" t="s">
        <v>163</v>
      </c>
      <c r="D521" s="4" t="s">
        <v>164</v>
      </c>
    </row>
    <row r="522" spans="1:12" ht="24" customHeight="1">
      <c r="A522" s="2" t="s">
        <v>287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4" customHeight="1">
      <c r="A523" s="2" t="s">
        <v>288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4" customHeight="1">
      <c r="A524" s="2" t="s">
        <v>289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4" customHeight="1">
      <c r="A525" s="2" t="s">
        <v>290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4" customHeight="1">
      <c r="A526" s="2" t="s">
        <v>291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4" customHeight="1">
      <c r="A527" s="2" t="s">
        <v>292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4" customHeight="1">
      <c r="A528" s="2" t="s">
        <v>293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4" customHeight="1">
      <c r="A529" s="2" t="s">
        <v>294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4" customHeight="1">
      <c r="A530" s="2" t="s">
        <v>295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4" customHeight="1">
      <c r="A531" s="2" t="s">
        <v>296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4" customHeight="1">
      <c r="A532" s="2" t="s">
        <v>297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4" customHeight="1">
      <c r="A533" s="2" t="s">
        <v>298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4" customHeight="1">
      <c r="A534" s="2" t="s">
        <v>299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4" customHeight="1">
      <c r="A535" s="2" t="s">
        <v>300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4" customHeight="1">
      <c r="A536" s="3" t="s">
        <v>162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36" customHeight="1">
      <c r="A537" s="4" t="s">
        <v>8</v>
      </c>
      <c r="B537" s="4" t="s">
        <v>109</v>
      </c>
      <c r="C537" s="4" t="s">
        <v>163</v>
      </c>
      <c r="D537" s="4" t="s">
        <v>164</v>
      </c>
    </row>
    <row r="538" spans="1:12" ht="24" customHeight="1">
      <c r="A538" s="2" t="s">
        <v>301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4" customHeight="1">
      <c r="A539" s="2" t="s">
        <v>302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4" customHeight="1">
      <c r="A540" s="2" t="s">
        <v>303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4" customHeight="1">
      <c r="A541" s="2" t="s">
        <v>304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4" customHeight="1">
      <c r="A542" s="2" t="s">
        <v>305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4" customHeight="1">
      <c r="A543" s="2" t="s">
        <v>306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4" customHeight="1">
      <c r="A544" s="2" t="s">
        <v>307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4" customHeight="1">
      <c r="A545" s="2" t="s">
        <v>308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</sheetData>
  <mergeCells count="181">
    <mergeCell ref="A1:L1"/>
    <mergeCell ref="A2:L2"/>
    <mergeCell ref="A3:L3"/>
    <mergeCell ref="A6:L6"/>
    <mergeCell ref="A22:L22"/>
    <mergeCell ref="A39:L39"/>
    <mergeCell ref="A56:L56"/>
    <mergeCell ref="A73:L73"/>
    <mergeCell ref="A89:L89"/>
    <mergeCell ref="A106:L106"/>
    <mergeCell ref="A123:L123"/>
    <mergeCell ref="A140:L140"/>
    <mergeCell ref="A157:L157"/>
    <mergeCell ref="A172:L172"/>
    <mergeCell ref="A189:L189"/>
    <mergeCell ref="A206:L206"/>
    <mergeCell ref="A223:L223"/>
    <mergeCell ref="A240:L240"/>
    <mergeCell ref="A257:L257"/>
    <mergeCell ref="A275:L275"/>
    <mergeCell ref="A291:L291"/>
    <mergeCell ref="A308:L308"/>
    <mergeCell ref="A325:L325"/>
    <mergeCell ref="A342:L342"/>
    <mergeCell ref="A359:L359"/>
    <mergeCell ref="A376:L376"/>
    <mergeCell ref="A380:L380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8:L408"/>
    <mergeCell ref="A410:L410"/>
    <mergeCell ref="A411:L411"/>
    <mergeCell ref="A412:L412"/>
    <mergeCell ref="A413:L413"/>
    <mergeCell ref="A414:L414"/>
    <mergeCell ref="A415:L415"/>
    <mergeCell ref="A416:L416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35:L435"/>
    <mergeCell ref="A436:L436"/>
    <mergeCell ref="A437:L437"/>
    <mergeCell ref="A438:L438"/>
    <mergeCell ref="A439:L439"/>
    <mergeCell ref="A440:L440"/>
    <mergeCell ref="A442:L442"/>
    <mergeCell ref="A443:L443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53:L453"/>
    <mergeCell ref="A454:L454"/>
    <mergeCell ref="A455:L455"/>
    <mergeCell ref="A456:L456"/>
    <mergeCell ref="A458:L458"/>
    <mergeCell ref="A459:L459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71:L471"/>
    <mergeCell ref="A472:L472"/>
    <mergeCell ref="A474:L474"/>
    <mergeCell ref="A475:L475"/>
    <mergeCell ref="A476:L476"/>
    <mergeCell ref="A477:L477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87:L487"/>
    <mergeCell ref="A488:L488"/>
    <mergeCell ref="A490:L490"/>
    <mergeCell ref="A491:L491"/>
    <mergeCell ref="A492:L492"/>
    <mergeCell ref="A493:L493"/>
    <mergeCell ref="A494:L494"/>
    <mergeCell ref="A495:L495"/>
    <mergeCell ref="A496:L496"/>
    <mergeCell ref="A497:L497"/>
    <mergeCell ref="A498:L498"/>
    <mergeCell ref="A499:L499"/>
    <mergeCell ref="A500:L500"/>
    <mergeCell ref="A501:L501"/>
    <mergeCell ref="A502:L502"/>
    <mergeCell ref="A503:L503"/>
    <mergeCell ref="A504:L504"/>
    <mergeCell ref="A506:L506"/>
    <mergeCell ref="A507:L507"/>
    <mergeCell ref="A508:L508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0:L520"/>
    <mergeCell ref="A522:L522"/>
    <mergeCell ref="A523:L523"/>
    <mergeCell ref="A524:L524"/>
    <mergeCell ref="A525:L525"/>
    <mergeCell ref="A526:L526"/>
    <mergeCell ref="A527:L527"/>
    <mergeCell ref="A528:L528"/>
    <mergeCell ref="A529:L529"/>
    <mergeCell ref="A530:L530"/>
    <mergeCell ref="A531:L531"/>
    <mergeCell ref="A532:L532"/>
    <mergeCell ref="A533:L533"/>
    <mergeCell ref="A534:L534"/>
    <mergeCell ref="A535:L535"/>
    <mergeCell ref="A536:L536"/>
    <mergeCell ref="A538:L538"/>
    <mergeCell ref="A539:L539"/>
    <mergeCell ref="A540:L540"/>
    <mergeCell ref="A541:L541"/>
    <mergeCell ref="A542:L542"/>
    <mergeCell ref="A543:L543"/>
    <mergeCell ref="A544:L544"/>
    <mergeCell ref="A545:L545"/>
  </mergeCells>
  <conditionalFormatting sqref="H10">
    <cfRule type="cellIs" dxfId="0" priority="5" operator="notEqual">
      <formula>0</formula>
    </cfRule>
  </conditionalFormatting>
  <conditionalFormatting sqref="H11">
    <cfRule type="cellIs" dxfId="0" priority="7" operator="notEqual">
      <formula>0</formula>
    </cfRule>
  </conditionalFormatting>
  <conditionalFormatting sqref="H12">
    <cfRule type="cellIs" dxfId="0" priority="9" operator="notEqual">
      <formula>0</formula>
    </cfRule>
  </conditionalFormatting>
  <conditionalFormatting sqref="H13">
    <cfRule type="cellIs" dxfId="0" priority="11" operator="notEqual">
      <formula>0</formula>
    </cfRule>
  </conditionalFormatting>
  <conditionalFormatting sqref="H14">
    <cfRule type="cellIs" dxfId="0" priority="13" operator="notEqual">
      <formula>0</formula>
    </cfRule>
  </conditionalFormatting>
  <conditionalFormatting sqref="H15">
    <cfRule type="cellIs" dxfId="0" priority="15" operator="notEqual">
      <formula>0</formula>
    </cfRule>
  </conditionalFormatting>
  <conditionalFormatting sqref="H16">
    <cfRule type="cellIs" dxfId="0" priority="17" operator="notEqual">
      <formula>0</formula>
    </cfRule>
  </conditionalFormatting>
  <conditionalFormatting sqref="H17">
    <cfRule type="cellIs" dxfId="0" priority="19" operator="notEqual">
      <formula>0</formula>
    </cfRule>
  </conditionalFormatting>
  <conditionalFormatting sqref="H18">
    <cfRule type="cellIs" dxfId="0" priority="21" operator="notEqual">
      <formula>0</formula>
    </cfRule>
  </conditionalFormatting>
  <conditionalFormatting sqref="H19">
    <cfRule type="cellIs" dxfId="0" priority="23" operator="notEqual">
      <formula>0</formula>
    </cfRule>
  </conditionalFormatting>
  <conditionalFormatting sqref="H20">
    <cfRule type="cellIs" dxfId="0" priority="25" operator="notEqual">
      <formula>0</formula>
    </cfRule>
  </conditionalFormatting>
  <conditionalFormatting sqref="H21">
    <cfRule type="cellIs" dxfId="0" priority="27" operator="notEqual">
      <formula>0</formula>
    </cfRule>
  </conditionalFormatting>
  <conditionalFormatting sqref="H24">
    <cfRule type="cellIs" dxfId="0" priority="29" operator="notEqual">
      <formula>0</formula>
    </cfRule>
  </conditionalFormatting>
  <conditionalFormatting sqref="H25">
    <cfRule type="cellIs" dxfId="0" priority="31" operator="notEqual">
      <formula>0</formula>
    </cfRule>
  </conditionalFormatting>
  <conditionalFormatting sqref="H26">
    <cfRule type="cellIs" dxfId="0" priority="33" operator="notEqual">
      <formula>0</formula>
    </cfRule>
  </conditionalFormatting>
  <conditionalFormatting sqref="H27">
    <cfRule type="cellIs" dxfId="0" priority="35" operator="notEqual">
      <formula>0</formula>
    </cfRule>
  </conditionalFormatting>
  <conditionalFormatting sqref="H28">
    <cfRule type="cellIs" dxfId="0" priority="37" operator="notEqual">
      <formula>0</formula>
    </cfRule>
  </conditionalFormatting>
  <conditionalFormatting sqref="H29">
    <cfRule type="cellIs" dxfId="0" priority="39" operator="notEqual">
      <formula>0</formula>
    </cfRule>
  </conditionalFormatting>
  <conditionalFormatting sqref="H30">
    <cfRule type="cellIs" dxfId="0" priority="41" operator="notEqual">
      <formula>0</formula>
    </cfRule>
  </conditionalFormatting>
  <conditionalFormatting sqref="H31">
    <cfRule type="cellIs" dxfId="0" priority="43" operator="notEqual">
      <formula>0</formula>
    </cfRule>
  </conditionalFormatting>
  <conditionalFormatting sqref="H32">
    <cfRule type="cellIs" dxfId="0" priority="45" operator="notEqual">
      <formula>0</formula>
    </cfRule>
  </conditionalFormatting>
  <conditionalFormatting sqref="H33">
    <cfRule type="cellIs" dxfId="0" priority="47" operator="notEqual">
      <formula>0</formula>
    </cfRule>
  </conditionalFormatting>
  <conditionalFormatting sqref="H34">
    <cfRule type="cellIs" dxfId="0" priority="49" operator="notEqual">
      <formula>0</formula>
    </cfRule>
  </conditionalFormatting>
  <conditionalFormatting sqref="H35">
    <cfRule type="cellIs" dxfId="0" priority="51" operator="notEqual">
      <formula>0</formula>
    </cfRule>
  </conditionalFormatting>
  <conditionalFormatting sqref="H36">
    <cfRule type="cellIs" dxfId="0" priority="53" operator="notEqual">
      <formula>0</formula>
    </cfRule>
  </conditionalFormatting>
  <conditionalFormatting sqref="H37">
    <cfRule type="cellIs" dxfId="0" priority="55" operator="notEqual">
      <formula>0</formula>
    </cfRule>
  </conditionalFormatting>
  <conditionalFormatting sqref="H38">
    <cfRule type="cellIs" dxfId="0" priority="57" operator="notEqual">
      <formula>0</formula>
    </cfRule>
  </conditionalFormatting>
  <conditionalFormatting sqref="H41">
    <cfRule type="cellIs" dxfId="0" priority="59" operator="notEqual">
      <formula>0</formula>
    </cfRule>
  </conditionalFormatting>
  <conditionalFormatting sqref="H42">
    <cfRule type="cellIs" dxfId="0" priority="61" operator="notEqual">
      <formula>0</formula>
    </cfRule>
  </conditionalFormatting>
  <conditionalFormatting sqref="H43">
    <cfRule type="cellIs" dxfId="0" priority="63" operator="notEqual">
      <formula>0</formula>
    </cfRule>
  </conditionalFormatting>
  <conditionalFormatting sqref="H44">
    <cfRule type="cellIs" dxfId="0" priority="65" operator="notEqual">
      <formula>0</formula>
    </cfRule>
  </conditionalFormatting>
  <conditionalFormatting sqref="H45">
    <cfRule type="cellIs" dxfId="0" priority="67" operator="notEqual">
      <formula>0</formula>
    </cfRule>
  </conditionalFormatting>
  <conditionalFormatting sqref="H46">
    <cfRule type="cellIs" dxfId="0" priority="69" operator="notEqual">
      <formula>0</formula>
    </cfRule>
  </conditionalFormatting>
  <conditionalFormatting sqref="H47">
    <cfRule type="cellIs" dxfId="0" priority="71" operator="notEqual">
      <formula>0</formula>
    </cfRule>
  </conditionalFormatting>
  <conditionalFormatting sqref="H48">
    <cfRule type="cellIs" dxfId="0" priority="73" operator="notEqual">
      <formula>0</formula>
    </cfRule>
  </conditionalFormatting>
  <conditionalFormatting sqref="H49">
    <cfRule type="cellIs" dxfId="0" priority="75" operator="notEqual">
      <formula>0</formula>
    </cfRule>
  </conditionalFormatting>
  <conditionalFormatting sqref="H50">
    <cfRule type="cellIs" dxfId="0" priority="77" operator="notEqual">
      <formula>0</formula>
    </cfRule>
  </conditionalFormatting>
  <conditionalFormatting sqref="H51">
    <cfRule type="cellIs" dxfId="0" priority="79" operator="notEqual">
      <formula>0</formula>
    </cfRule>
  </conditionalFormatting>
  <conditionalFormatting sqref="H52">
    <cfRule type="cellIs" dxfId="0" priority="81" operator="notEqual">
      <formula>0</formula>
    </cfRule>
  </conditionalFormatting>
  <conditionalFormatting sqref="H53">
    <cfRule type="cellIs" dxfId="0" priority="83" operator="notEqual">
      <formula>0</formula>
    </cfRule>
  </conditionalFormatting>
  <conditionalFormatting sqref="H54">
    <cfRule type="cellIs" dxfId="0" priority="85" operator="notEqual">
      <formula>0</formula>
    </cfRule>
  </conditionalFormatting>
  <conditionalFormatting sqref="H55">
    <cfRule type="cellIs" dxfId="0" priority="87" operator="notEqual">
      <formula>0</formula>
    </cfRule>
  </conditionalFormatting>
  <conditionalFormatting sqref="H58">
    <cfRule type="cellIs" dxfId="0" priority="89" operator="notEqual">
      <formula>0</formula>
    </cfRule>
  </conditionalFormatting>
  <conditionalFormatting sqref="H59">
    <cfRule type="cellIs" dxfId="0" priority="91" operator="notEqual">
      <formula>0</formula>
    </cfRule>
  </conditionalFormatting>
  <conditionalFormatting sqref="H60">
    <cfRule type="cellIs" dxfId="0" priority="93" operator="notEqual">
      <formula>0</formula>
    </cfRule>
  </conditionalFormatting>
  <conditionalFormatting sqref="H61">
    <cfRule type="cellIs" dxfId="0" priority="95" operator="notEqual">
      <formula>0</formula>
    </cfRule>
  </conditionalFormatting>
  <conditionalFormatting sqref="H62">
    <cfRule type="cellIs" dxfId="0" priority="97" operator="notEqual">
      <formula>0</formula>
    </cfRule>
  </conditionalFormatting>
  <conditionalFormatting sqref="H63">
    <cfRule type="cellIs" dxfId="0" priority="99" operator="notEqual">
      <formula>0</formula>
    </cfRule>
  </conditionalFormatting>
  <conditionalFormatting sqref="H64">
    <cfRule type="cellIs" dxfId="0" priority="101" operator="notEqual">
      <formula>0</formula>
    </cfRule>
  </conditionalFormatting>
  <conditionalFormatting sqref="H65">
    <cfRule type="cellIs" dxfId="0" priority="103" operator="notEqual">
      <formula>0</formula>
    </cfRule>
  </conditionalFormatting>
  <conditionalFormatting sqref="H66">
    <cfRule type="cellIs" dxfId="0" priority="105" operator="notEqual">
      <formula>0</formula>
    </cfRule>
  </conditionalFormatting>
  <conditionalFormatting sqref="H67">
    <cfRule type="cellIs" dxfId="0" priority="107" operator="notEqual">
      <formula>0</formula>
    </cfRule>
  </conditionalFormatting>
  <conditionalFormatting sqref="H68">
    <cfRule type="cellIs" dxfId="0" priority="109" operator="notEqual">
      <formula>0</formula>
    </cfRule>
  </conditionalFormatting>
  <conditionalFormatting sqref="H69">
    <cfRule type="cellIs" dxfId="0" priority="111" operator="notEqual">
      <formula>0</formula>
    </cfRule>
  </conditionalFormatting>
  <conditionalFormatting sqref="H70">
    <cfRule type="cellIs" dxfId="0" priority="113" operator="notEqual">
      <formula>0</formula>
    </cfRule>
  </conditionalFormatting>
  <conditionalFormatting sqref="H71">
    <cfRule type="cellIs" dxfId="0" priority="115" operator="notEqual">
      <formula>0</formula>
    </cfRule>
  </conditionalFormatting>
  <conditionalFormatting sqref="H72">
    <cfRule type="cellIs" dxfId="0" priority="117" operator="notEqual">
      <formula>0</formula>
    </cfRule>
  </conditionalFormatting>
  <conditionalFormatting sqref="H75">
    <cfRule type="cellIs" dxfId="0" priority="119" operator="notEqual">
      <formula>0</formula>
    </cfRule>
  </conditionalFormatting>
  <conditionalFormatting sqref="H76">
    <cfRule type="cellIs" dxfId="0" priority="121" operator="notEqual">
      <formula>0</formula>
    </cfRule>
  </conditionalFormatting>
  <conditionalFormatting sqref="H77">
    <cfRule type="cellIs" dxfId="0" priority="123" operator="notEqual">
      <formula>0</formula>
    </cfRule>
  </conditionalFormatting>
  <conditionalFormatting sqref="H78">
    <cfRule type="cellIs" dxfId="0" priority="125" operator="notEqual">
      <formula>0</formula>
    </cfRule>
  </conditionalFormatting>
  <conditionalFormatting sqref="H79">
    <cfRule type="cellIs" dxfId="0" priority="127" operator="notEqual">
      <formula>0</formula>
    </cfRule>
  </conditionalFormatting>
  <conditionalFormatting sqref="H8">
    <cfRule type="cellIs" dxfId="0" priority="1" operator="notEqual">
      <formula>0</formula>
    </cfRule>
  </conditionalFormatting>
  <conditionalFormatting sqref="H80">
    <cfRule type="cellIs" dxfId="0" priority="129" operator="notEqual">
      <formula>0</formula>
    </cfRule>
  </conditionalFormatting>
  <conditionalFormatting sqref="H81">
    <cfRule type="cellIs" dxfId="0" priority="131" operator="notEqual">
      <formula>0</formula>
    </cfRule>
  </conditionalFormatting>
  <conditionalFormatting sqref="H82">
    <cfRule type="cellIs" dxfId="0" priority="133" operator="notEqual">
      <formula>0</formula>
    </cfRule>
  </conditionalFormatting>
  <conditionalFormatting sqref="H83">
    <cfRule type="cellIs" dxfId="0" priority="135" operator="notEqual">
      <formula>0</formula>
    </cfRule>
  </conditionalFormatting>
  <conditionalFormatting sqref="H84">
    <cfRule type="cellIs" dxfId="0" priority="137" operator="notEqual">
      <formula>0</formula>
    </cfRule>
  </conditionalFormatting>
  <conditionalFormatting sqref="H85">
    <cfRule type="cellIs" dxfId="0" priority="139" operator="notEqual">
      <formula>0</formula>
    </cfRule>
  </conditionalFormatting>
  <conditionalFormatting sqref="H86">
    <cfRule type="cellIs" dxfId="0" priority="141" operator="notEqual">
      <formula>0</formula>
    </cfRule>
  </conditionalFormatting>
  <conditionalFormatting sqref="H87">
    <cfRule type="cellIs" dxfId="0" priority="143" operator="notEqual">
      <formula>0</formula>
    </cfRule>
  </conditionalFormatting>
  <conditionalFormatting sqref="H9">
    <cfRule type="cellIs" dxfId="0" priority="3" operator="notEqual">
      <formula>0</formula>
    </cfRule>
  </conditionalFormatting>
  <conditionalFormatting sqref="K10">
    <cfRule type="cellIs" dxfId="0" priority="6" operator="notEqual">
      <formula>0</formula>
    </cfRule>
  </conditionalFormatting>
  <conditionalFormatting sqref="K11">
    <cfRule type="cellIs" dxfId="0" priority="8" operator="notEqual">
      <formula>0</formula>
    </cfRule>
  </conditionalFormatting>
  <conditionalFormatting sqref="K12">
    <cfRule type="cellIs" dxfId="0" priority="10" operator="notEqual">
      <formula>0</formula>
    </cfRule>
  </conditionalFormatting>
  <conditionalFormatting sqref="K13">
    <cfRule type="cellIs" dxfId="0" priority="12" operator="notEqual">
      <formula>0</formula>
    </cfRule>
  </conditionalFormatting>
  <conditionalFormatting sqref="K14">
    <cfRule type="cellIs" dxfId="0" priority="14" operator="notEqual">
      <formula>0</formula>
    </cfRule>
  </conditionalFormatting>
  <conditionalFormatting sqref="K15">
    <cfRule type="cellIs" dxfId="0" priority="16" operator="notEqual">
      <formula>0</formula>
    </cfRule>
  </conditionalFormatting>
  <conditionalFormatting sqref="K16">
    <cfRule type="cellIs" dxfId="0" priority="18" operator="notEqual">
      <formula>0</formula>
    </cfRule>
  </conditionalFormatting>
  <conditionalFormatting sqref="K17">
    <cfRule type="cellIs" dxfId="0" priority="20" operator="notEqual">
      <formula>0</formula>
    </cfRule>
  </conditionalFormatting>
  <conditionalFormatting sqref="K18">
    <cfRule type="cellIs" dxfId="0" priority="22" operator="notEqual">
      <formula>0</formula>
    </cfRule>
  </conditionalFormatting>
  <conditionalFormatting sqref="K19">
    <cfRule type="cellIs" dxfId="0" priority="24" operator="notEqual">
      <formula>0</formula>
    </cfRule>
  </conditionalFormatting>
  <conditionalFormatting sqref="K20">
    <cfRule type="cellIs" dxfId="0" priority="26" operator="notEqual">
      <formula>0</formula>
    </cfRule>
  </conditionalFormatting>
  <conditionalFormatting sqref="K21">
    <cfRule type="cellIs" dxfId="0" priority="28" operator="notEqual">
      <formula>0</formula>
    </cfRule>
  </conditionalFormatting>
  <conditionalFormatting sqref="K24">
    <cfRule type="cellIs" dxfId="0" priority="30" operator="notEqual">
      <formula>0</formula>
    </cfRule>
  </conditionalFormatting>
  <conditionalFormatting sqref="K25">
    <cfRule type="cellIs" dxfId="0" priority="32" operator="notEqual">
      <formula>0</formula>
    </cfRule>
  </conditionalFormatting>
  <conditionalFormatting sqref="K26">
    <cfRule type="cellIs" dxfId="0" priority="34" operator="notEqual">
      <formula>0</formula>
    </cfRule>
  </conditionalFormatting>
  <conditionalFormatting sqref="K27">
    <cfRule type="cellIs" dxfId="0" priority="36" operator="notEqual">
      <formula>0</formula>
    </cfRule>
  </conditionalFormatting>
  <conditionalFormatting sqref="K28">
    <cfRule type="cellIs" dxfId="0" priority="38" operator="notEqual">
      <formula>0</formula>
    </cfRule>
  </conditionalFormatting>
  <conditionalFormatting sqref="K29">
    <cfRule type="cellIs" dxfId="0" priority="40" operator="notEqual">
      <formula>0</formula>
    </cfRule>
  </conditionalFormatting>
  <conditionalFormatting sqref="K30">
    <cfRule type="cellIs" dxfId="0" priority="42" operator="notEqual">
      <formula>0</formula>
    </cfRule>
  </conditionalFormatting>
  <conditionalFormatting sqref="K31">
    <cfRule type="cellIs" dxfId="0" priority="44" operator="notEqual">
      <formula>0</formula>
    </cfRule>
  </conditionalFormatting>
  <conditionalFormatting sqref="K32">
    <cfRule type="cellIs" dxfId="0" priority="46" operator="notEqual">
      <formula>0</formula>
    </cfRule>
  </conditionalFormatting>
  <conditionalFormatting sqref="K33">
    <cfRule type="cellIs" dxfId="0" priority="48" operator="notEqual">
      <formula>0</formula>
    </cfRule>
  </conditionalFormatting>
  <conditionalFormatting sqref="K34">
    <cfRule type="cellIs" dxfId="0" priority="50" operator="notEqual">
      <formula>0</formula>
    </cfRule>
  </conditionalFormatting>
  <conditionalFormatting sqref="K35">
    <cfRule type="cellIs" dxfId="0" priority="52" operator="notEqual">
      <formula>0</formula>
    </cfRule>
  </conditionalFormatting>
  <conditionalFormatting sqref="K36">
    <cfRule type="cellIs" dxfId="0" priority="54" operator="notEqual">
      <formula>0</formula>
    </cfRule>
  </conditionalFormatting>
  <conditionalFormatting sqref="K37">
    <cfRule type="cellIs" dxfId="0" priority="56" operator="notEqual">
      <formula>0</formula>
    </cfRule>
  </conditionalFormatting>
  <conditionalFormatting sqref="K38">
    <cfRule type="cellIs" dxfId="0" priority="58" operator="notEqual">
      <formula>0</formula>
    </cfRule>
  </conditionalFormatting>
  <conditionalFormatting sqref="K41">
    <cfRule type="cellIs" dxfId="0" priority="60" operator="notEqual">
      <formula>0</formula>
    </cfRule>
  </conditionalFormatting>
  <conditionalFormatting sqref="K42">
    <cfRule type="cellIs" dxfId="0" priority="62" operator="notEqual">
      <formula>0</formula>
    </cfRule>
  </conditionalFormatting>
  <conditionalFormatting sqref="K43">
    <cfRule type="cellIs" dxfId="0" priority="64" operator="notEqual">
      <formula>0</formula>
    </cfRule>
  </conditionalFormatting>
  <conditionalFormatting sqref="K44">
    <cfRule type="cellIs" dxfId="0" priority="66" operator="notEqual">
      <formula>0</formula>
    </cfRule>
  </conditionalFormatting>
  <conditionalFormatting sqref="K45">
    <cfRule type="cellIs" dxfId="0" priority="68" operator="notEqual">
      <formula>0</formula>
    </cfRule>
  </conditionalFormatting>
  <conditionalFormatting sqref="K46">
    <cfRule type="cellIs" dxfId="0" priority="70" operator="notEqual">
      <formula>0</formula>
    </cfRule>
  </conditionalFormatting>
  <conditionalFormatting sqref="K47">
    <cfRule type="cellIs" dxfId="0" priority="72" operator="notEqual">
      <formula>0</formula>
    </cfRule>
  </conditionalFormatting>
  <conditionalFormatting sqref="K48">
    <cfRule type="cellIs" dxfId="0" priority="74" operator="notEqual">
      <formula>0</formula>
    </cfRule>
  </conditionalFormatting>
  <conditionalFormatting sqref="K49">
    <cfRule type="cellIs" dxfId="0" priority="76" operator="notEqual">
      <formula>0</formula>
    </cfRule>
  </conditionalFormatting>
  <conditionalFormatting sqref="K50">
    <cfRule type="cellIs" dxfId="0" priority="78" operator="notEqual">
      <formula>0</formula>
    </cfRule>
  </conditionalFormatting>
  <conditionalFormatting sqref="K51">
    <cfRule type="cellIs" dxfId="0" priority="80" operator="notEqual">
      <formula>0</formula>
    </cfRule>
  </conditionalFormatting>
  <conditionalFormatting sqref="K52">
    <cfRule type="cellIs" dxfId="0" priority="82" operator="notEqual">
      <formula>0</formula>
    </cfRule>
  </conditionalFormatting>
  <conditionalFormatting sqref="K53">
    <cfRule type="cellIs" dxfId="0" priority="84" operator="notEqual">
      <formula>0</formula>
    </cfRule>
  </conditionalFormatting>
  <conditionalFormatting sqref="K54">
    <cfRule type="cellIs" dxfId="0" priority="86" operator="notEqual">
      <formula>0</formula>
    </cfRule>
  </conditionalFormatting>
  <conditionalFormatting sqref="K55">
    <cfRule type="cellIs" dxfId="0" priority="88" operator="notEqual">
      <formula>0</formula>
    </cfRule>
  </conditionalFormatting>
  <conditionalFormatting sqref="K58">
    <cfRule type="cellIs" dxfId="0" priority="90" operator="notEqual">
      <formula>0</formula>
    </cfRule>
  </conditionalFormatting>
  <conditionalFormatting sqref="K59">
    <cfRule type="cellIs" dxfId="0" priority="92" operator="notEqual">
      <formula>0</formula>
    </cfRule>
  </conditionalFormatting>
  <conditionalFormatting sqref="K60">
    <cfRule type="cellIs" dxfId="0" priority="94" operator="notEqual">
      <formula>0</formula>
    </cfRule>
  </conditionalFormatting>
  <conditionalFormatting sqref="K61">
    <cfRule type="cellIs" dxfId="0" priority="96" operator="notEqual">
      <formula>0</formula>
    </cfRule>
  </conditionalFormatting>
  <conditionalFormatting sqref="K62">
    <cfRule type="cellIs" dxfId="0" priority="98" operator="notEqual">
      <formula>0</formula>
    </cfRule>
  </conditionalFormatting>
  <conditionalFormatting sqref="K63">
    <cfRule type="cellIs" dxfId="0" priority="100" operator="notEqual">
      <formula>0</formula>
    </cfRule>
  </conditionalFormatting>
  <conditionalFormatting sqref="K64">
    <cfRule type="cellIs" dxfId="0" priority="102" operator="notEqual">
      <formula>0</formula>
    </cfRule>
  </conditionalFormatting>
  <conditionalFormatting sqref="K65">
    <cfRule type="cellIs" dxfId="0" priority="104" operator="notEqual">
      <formula>0</formula>
    </cfRule>
  </conditionalFormatting>
  <conditionalFormatting sqref="K66">
    <cfRule type="cellIs" dxfId="0" priority="106" operator="notEqual">
      <formula>0</formula>
    </cfRule>
  </conditionalFormatting>
  <conditionalFormatting sqref="K67">
    <cfRule type="cellIs" dxfId="0" priority="108" operator="notEqual">
      <formula>0</formula>
    </cfRule>
  </conditionalFormatting>
  <conditionalFormatting sqref="K68">
    <cfRule type="cellIs" dxfId="0" priority="110" operator="notEqual">
      <formula>0</formula>
    </cfRule>
  </conditionalFormatting>
  <conditionalFormatting sqref="K69">
    <cfRule type="cellIs" dxfId="0" priority="112" operator="notEqual">
      <formula>0</formula>
    </cfRule>
  </conditionalFormatting>
  <conditionalFormatting sqref="K70">
    <cfRule type="cellIs" dxfId="0" priority="114" operator="notEqual">
      <formula>0</formula>
    </cfRule>
  </conditionalFormatting>
  <conditionalFormatting sqref="K71">
    <cfRule type="cellIs" dxfId="0" priority="116" operator="notEqual">
      <formula>0</formula>
    </cfRule>
  </conditionalFormatting>
  <conditionalFormatting sqref="K72">
    <cfRule type="cellIs" dxfId="0" priority="118" operator="notEqual">
      <formula>0</formula>
    </cfRule>
  </conditionalFormatting>
  <conditionalFormatting sqref="K75">
    <cfRule type="cellIs" dxfId="0" priority="120" operator="notEqual">
      <formula>0</formula>
    </cfRule>
  </conditionalFormatting>
  <conditionalFormatting sqref="K76">
    <cfRule type="cellIs" dxfId="0" priority="122" operator="notEqual">
      <formula>0</formula>
    </cfRule>
  </conditionalFormatting>
  <conditionalFormatting sqref="K77">
    <cfRule type="cellIs" dxfId="0" priority="124" operator="notEqual">
      <formula>0</formula>
    </cfRule>
  </conditionalFormatting>
  <conditionalFormatting sqref="K78">
    <cfRule type="cellIs" dxfId="0" priority="126" operator="notEqual">
      <formula>0</formula>
    </cfRule>
  </conditionalFormatting>
  <conditionalFormatting sqref="K79">
    <cfRule type="cellIs" dxfId="0" priority="128" operator="notEqual">
      <formula>0</formula>
    </cfRule>
  </conditionalFormatting>
  <conditionalFormatting sqref="K8">
    <cfRule type="cellIs" dxfId="0" priority="2" operator="notEqual">
      <formula>0</formula>
    </cfRule>
  </conditionalFormatting>
  <conditionalFormatting sqref="K80">
    <cfRule type="cellIs" dxfId="0" priority="130" operator="notEqual">
      <formula>0</formula>
    </cfRule>
  </conditionalFormatting>
  <conditionalFormatting sqref="K81">
    <cfRule type="cellIs" dxfId="0" priority="132" operator="notEqual">
      <formula>0</formula>
    </cfRule>
  </conditionalFormatting>
  <conditionalFormatting sqref="K82">
    <cfRule type="cellIs" dxfId="0" priority="134" operator="notEqual">
      <formula>0</formula>
    </cfRule>
  </conditionalFormatting>
  <conditionalFormatting sqref="K83">
    <cfRule type="cellIs" dxfId="0" priority="136" operator="notEqual">
      <formula>0</formula>
    </cfRule>
  </conditionalFormatting>
  <conditionalFormatting sqref="K84">
    <cfRule type="cellIs" dxfId="0" priority="138" operator="notEqual">
      <formula>0</formula>
    </cfRule>
  </conditionalFormatting>
  <conditionalFormatting sqref="K85">
    <cfRule type="cellIs" dxfId="0" priority="140" operator="notEqual">
      <formula>0</formula>
    </cfRule>
  </conditionalFormatting>
  <conditionalFormatting sqref="K86">
    <cfRule type="cellIs" dxfId="0" priority="142" operator="notEqual">
      <formula>0</formula>
    </cfRule>
  </conditionalFormatting>
  <conditionalFormatting sqref="K87">
    <cfRule type="cellIs" dxfId="0" priority="144" operator="notEqual">
      <formula>0</formula>
    </cfRule>
  </conditionalFormatting>
  <conditionalFormatting sqref="K9">
    <cfRule type="cellIs" dxfId="0" priority="4" operator="notEqual">
      <formula>0</formula>
    </cfRule>
  </conditionalFormatting>
  <pageMargins left="0.25" right="0.25" top="0.35" bottom="0.35" header="0.3" footer="0.3"/>
  <pageSetup paperSize="9" scale="78" orientation="landscape"/>
  <headerFooter>
    <oddFooter>&amp;L有効抵抗土圧&amp;R&amp;P / &amp;N</oddFooter>
  </headerFooter>
  <rowBreaks count="32" manualBreakCount="32">
    <brk id="21" max="16383" man="1"/>
    <brk id="38" max="16383" man="1"/>
    <brk id="55" max="16383" man="1"/>
    <brk id="72" max="16383" man="1"/>
    <brk id="88" max="16383" man="1"/>
    <brk id="105" max="16383" man="1"/>
    <brk id="122" max="16383" man="1"/>
    <brk id="139" max="16383" man="1"/>
    <brk id="156" max="16383" man="1"/>
    <brk id="171" max="16383" man="1"/>
    <brk id="188" max="16383" man="1"/>
    <brk id="205" max="16383" man="1"/>
    <brk id="222" max="16383" man="1"/>
    <brk id="239" max="16383" man="1"/>
    <brk id="256" max="16383" man="1"/>
    <brk id="273" max="16383" man="1"/>
    <brk id="290" max="16383" man="1"/>
    <brk id="307" max="16383" man="1"/>
    <brk id="324" max="16383" man="1"/>
    <brk id="341" max="16383" man="1"/>
    <brk id="358" max="16383" man="1"/>
    <brk id="375" max="16383" man="1"/>
    <brk id="391" max="16383" man="1"/>
    <brk id="407" max="16383" man="1"/>
    <brk id="423" max="16383" man="1"/>
    <brk id="439" max="16383" man="1"/>
    <brk id="455" max="16383" man="1"/>
    <brk id="471" max="16383" man="1"/>
    <brk id="487" max="16383" man="1"/>
    <brk id="503" max="16383" man="1"/>
    <brk id="519" max="16383" man="1"/>
    <brk id="5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L63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309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310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90</v>
      </c>
      <c r="D8" s="4" t="s">
        <v>311</v>
      </c>
      <c r="E8" s="4" t="s">
        <v>312</v>
      </c>
      <c r="F8" s="4" t="s">
        <v>313</v>
      </c>
      <c r="G8" s="4" t="s">
        <v>314</v>
      </c>
      <c r="H8" s="4" t="s">
        <v>315</v>
      </c>
      <c r="I8" s="4" t="s">
        <v>316</v>
      </c>
      <c r="J8" s="4" t="s">
        <v>317</v>
      </c>
      <c r="K8" s="4" t="s">
        <v>318</v>
      </c>
      <c r="L8" s="4" t="s">
        <v>319</v>
      </c>
    </row>
    <row r="9" spans="1:12" ht="23" customHeight="1">
      <c r="A9" s="6">
        <v>4</v>
      </c>
      <c r="B9" s="6">
        <v>1</v>
      </c>
      <c r="C9" s="6">
        <v>102</v>
      </c>
      <c r="D9" s="9">
        <f>SUM(K155,K158)</f>
        <v>0.905</v>
      </c>
      <c r="E9" s="9">
        <f>SUM(I240,I241)</f>
        <v>51628.885</v>
      </c>
      <c r="F9" s="6">
        <f>ROUND(E9,0)</f>
        <v>51629.0</v>
      </c>
      <c r="G9" s="7">
        <v>51629</v>
      </c>
      <c r="H9" s="9">
        <f>(F9-G9)</f>
        <v>0.0</v>
      </c>
      <c r="I9" s="9">
        <f>SUM(J240,J241)</f>
        <v>433.7705</v>
      </c>
      <c r="J9" s="11">
        <f>ROUND(I9,1)</f>
        <v>433.8</v>
      </c>
      <c r="K9" s="8">
        <v>433.8</v>
      </c>
      <c r="L9" s="9">
        <f>(J9-K9)</f>
        <v>0.0</v>
      </c>
    </row>
    <row r="10" spans="1:12" ht="23" customHeight="1">
      <c r="A10" s="6">
        <v>4</v>
      </c>
      <c r="B10" s="6">
        <v>1</v>
      </c>
      <c r="C10" s="6">
        <v>103</v>
      </c>
      <c r="D10" s="9">
        <f>SUM(K159)</f>
        <v>1.3</v>
      </c>
      <c r="E10" s="9">
        <f>SUM(I242)</f>
        <v>145626.0</v>
      </c>
      <c r="F10" s="6">
        <f>ROUND(E10,0)</f>
        <v>145626.0</v>
      </c>
      <c r="G10" s="7">
        <v>145626</v>
      </c>
      <c r="H10" s="9">
        <f>(F10-G10)</f>
        <v>0.0</v>
      </c>
      <c r="I10" s="9">
        <f>SUM(J242)</f>
        <v>1834.95</v>
      </c>
      <c r="J10" s="6">
        <f>ROUND(I10,1)</f>
        <v>1835.0</v>
      </c>
      <c r="K10" s="7">
        <v>1835</v>
      </c>
      <c r="L10" s="9">
        <f>(J10-K10)</f>
        <v>0.0</v>
      </c>
    </row>
    <row r="11" spans="1:12" ht="23" customHeight="1">
      <c r="A11" s="6">
        <v>4</v>
      </c>
      <c r="B11" s="6">
        <v>1</v>
      </c>
      <c r="C11" s="6">
        <v>104</v>
      </c>
      <c r="D11" s="9">
        <f>SUM(K160,K161)</f>
        <v>1.2999999999999998</v>
      </c>
      <c r="E11" s="9">
        <f>SUM(I243,I244)</f>
        <v>155633.69999999998</v>
      </c>
      <c r="F11" s="6">
        <f>ROUND(E11,0)</f>
        <v>155634.0</v>
      </c>
      <c r="G11" s="7">
        <v>155634</v>
      </c>
      <c r="H11" s="9">
        <f>(F11-G11)</f>
        <v>0.0</v>
      </c>
      <c r="I11" s="9">
        <f>SUM(J243,J244)</f>
        <v>1794.36</v>
      </c>
      <c r="J11" s="11">
        <f>ROUND(I11,1)</f>
        <v>1794.4</v>
      </c>
      <c r="K11" s="8">
        <v>1794.4</v>
      </c>
      <c r="L11" s="9">
        <f>(J11-K11)</f>
        <v>0.0</v>
      </c>
    </row>
    <row r="12" spans="1:12" ht="23" customHeight="1">
      <c r="A12" s="6">
        <v>4</v>
      </c>
      <c r="B12" s="6">
        <v>1</v>
      </c>
      <c r="C12" s="6">
        <v>105</v>
      </c>
      <c r="D12" s="9">
        <f>SUM(K162,K163)</f>
        <v>1.3</v>
      </c>
      <c r="E12" s="9">
        <f>SUM(I245,I246)</f>
        <v>223256.75</v>
      </c>
      <c r="F12" s="6">
        <f>ROUND(E12,0)</f>
        <v>223257.0</v>
      </c>
      <c r="G12" s="7">
        <v>223257</v>
      </c>
      <c r="H12" s="9">
        <f>(F12-G12)</f>
        <v>0.0</v>
      </c>
      <c r="I12" s="9">
        <f>SUM(J245,J246)</f>
        <v>2313.025</v>
      </c>
      <c r="J12" s="6">
        <f>ROUND(I12,1)</f>
        <v>2313.0</v>
      </c>
      <c r="K12" s="7">
        <v>2313</v>
      </c>
      <c r="L12" s="9">
        <f>(J12-K12)</f>
        <v>0.0</v>
      </c>
    </row>
    <row r="13" spans="1:12" ht="23" customHeight="1">
      <c r="A13" s="6">
        <v>4</v>
      </c>
      <c r="B13" s="6">
        <v>1</v>
      </c>
      <c r="C13" s="6">
        <v>106</v>
      </c>
      <c r="D13" s="9">
        <f>SUM(K164)</f>
        <v>1.3</v>
      </c>
      <c r="E13" s="9">
        <f>SUM(I247)</f>
        <v>218437.7</v>
      </c>
      <c r="F13" s="6">
        <f>ROUND(E13,0)</f>
        <v>218438.0</v>
      </c>
      <c r="G13" s="7">
        <v>218438</v>
      </c>
      <c r="H13" s="9">
        <f>(F13-G13)</f>
        <v>0.0</v>
      </c>
      <c r="I13" s="9">
        <f>SUM(J247)</f>
        <v>2752.3599999999997</v>
      </c>
      <c r="J13" s="11">
        <f>ROUND(I13,1)</f>
        <v>2752.4</v>
      </c>
      <c r="K13" s="8">
        <v>2752.4</v>
      </c>
      <c r="L13" s="9">
        <f>(J13-K13)</f>
        <v>0.0</v>
      </c>
    </row>
    <row r="14" spans="1:12" ht="23" customHeight="1">
      <c r="A14" s="6">
        <v>4</v>
      </c>
      <c r="B14" s="6">
        <v>1</v>
      </c>
      <c r="C14" s="6">
        <v>107</v>
      </c>
      <c r="D14" s="9">
        <f>SUM(K165)</f>
        <v>1.3</v>
      </c>
      <c r="E14" s="9">
        <f>SUM(I248)</f>
        <v>218437.7</v>
      </c>
      <c r="F14" s="6">
        <f>ROUND(E14,0)</f>
        <v>218438.0</v>
      </c>
      <c r="G14" s="7">
        <v>218438</v>
      </c>
      <c r="H14" s="9">
        <f>(F14-G14)</f>
        <v>0.0</v>
      </c>
      <c r="I14" s="9">
        <f>SUM(J248)</f>
        <v>2752.3599999999997</v>
      </c>
      <c r="J14" s="11">
        <f>ROUND(I14,1)</f>
        <v>2752.4</v>
      </c>
      <c r="K14" s="8">
        <v>2752.4</v>
      </c>
      <c r="L14" s="9">
        <f>(J14-K14)</f>
        <v>0.0</v>
      </c>
    </row>
    <row r="15" spans="1:12" ht="23" customHeight="1">
      <c r="A15" s="6">
        <v>4</v>
      </c>
      <c r="B15" s="6">
        <v>1</v>
      </c>
      <c r="C15" s="6">
        <v>108</v>
      </c>
      <c r="D15" s="9">
        <f>SUM(K166)</f>
        <v>1.3</v>
      </c>
      <c r="E15" s="9">
        <f>SUM(I249)</f>
        <v>218437.7</v>
      </c>
      <c r="F15" s="6">
        <f>ROUND(E15,0)</f>
        <v>218438.0</v>
      </c>
      <c r="G15" s="7">
        <v>218438</v>
      </c>
      <c r="H15" s="9">
        <f>(F15-G15)</f>
        <v>0.0</v>
      </c>
      <c r="I15" s="9">
        <f>SUM(J249)</f>
        <v>2752.3599999999997</v>
      </c>
      <c r="J15" s="11">
        <f>ROUND(I15,1)</f>
        <v>2752.4</v>
      </c>
      <c r="K15" s="8">
        <v>2752.4</v>
      </c>
      <c r="L15" s="9">
        <f>(J15-K15)</f>
        <v>0.0</v>
      </c>
    </row>
    <row r="16" spans="1:12" ht="23" customHeight="1">
      <c r="A16" s="6">
        <v>4</v>
      </c>
      <c r="B16" s="6">
        <v>1</v>
      </c>
      <c r="C16" s="6">
        <v>109</v>
      </c>
      <c r="D16" s="9">
        <f>SUM(K167)</f>
        <v>1.3</v>
      </c>
      <c r="E16" s="9">
        <f>SUM(I250)</f>
        <v>218437.7</v>
      </c>
      <c r="F16" s="6">
        <f>ROUND(E16,0)</f>
        <v>218438.0</v>
      </c>
      <c r="G16" s="7">
        <v>218438</v>
      </c>
      <c r="H16" s="9">
        <f>(F16-G16)</f>
        <v>0.0</v>
      </c>
      <c r="I16" s="9">
        <f>SUM(J250)</f>
        <v>2752.3599999999997</v>
      </c>
      <c r="J16" s="11">
        <f>ROUND(I16,1)</f>
        <v>2752.4</v>
      </c>
      <c r="K16" s="8">
        <v>2752.4</v>
      </c>
      <c r="L16" s="9">
        <f>(J16-K16)</f>
        <v>0.0</v>
      </c>
    </row>
    <row r="17" spans="1:12" ht="23" customHeight="1">
      <c r="A17" s="6">
        <v>4</v>
      </c>
      <c r="B17" s="6">
        <v>1</v>
      </c>
      <c r="C17" s="6">
        <v>110</v>
      </c>
      <c r="D17" s="9">
        <f>SUM(K168)</f>
        <v>1.3</v>
      </c>
      <c r="E17" s="9">
        <f>SUM(I251)</f>
        <v>218437.7</v>
      </c>
      <c r="F17" s="6">
        <f>ROUND(E17,0)</f>
        <v>218438.0</v>
      </c>
      <c r="G17" s="7">
        <v>218438</v>
      </c>
      <c r="H17" s="9">
        <f>(F17-G17)</f>
        <v>0.0</v>
      </c>
      <c r="I17" s="9">
        <f>SUM(J251)</f>
        <v>2752.3599999999997</v>
      </c>
      <c r="J17" s="11">
        <f>ROUND(I17,1)</f>
        <v>2752.4</v>
      </c>
      <c r="K17" s="8">
        <v>2752.4</v>
      </c>
      <c r="L17" s="9">
        <f>(J17-K17)</f>
        <v>0.0</v>
      </c>
    </row>
    <row r="18" spans="1:12" ht="23" customHeight="1">
      <c r="A18" s="6">
        <v>4</v>
      </c>
      <c r="B18" s="6">
        <v>1</v>
      </c>
      <c r="C18" s="6">
        <v>111</v>
      </c>
      <c r="D18" s="9">
        <f>SUM(K169)</f>
        <v>1.3</v>
      </c>
      <c r="E18" s="9">
        <f>SUM(I252)</f>
        <v>218437.7</v>
      </c>
      <c r="F18" s="6">
        <f>ROUND(E18,0)</f>
        <v>218438.0</v>
      </c>
      <c r="G18" s="7">
        <v>218438</v>
      </c>
      <c r="H18" s="9">
        <f>(F18-G18)</f>
        <v>0.0</v>
      </c>
      <c r="I18" s="9">
        <f>SUM(J252)</f>
        <v>2752.3599999999997</v>
      </c>
      <c r="J18" s="11">
        <f>ROUND(I18,1)</f>
        <v>2752.4</v>
      </c>
      <c r="K18" s="8">
        <v>2752.4</v>
      </c>
      <c r="L18" s="9">
        <f>(J18-K18)</f>
        <v>0.0</v>
      </c>
    </row>
    <row r="19" spans="1:12" ht="23" customHeight="1">
      <c r="A19" s="6">
        <v>4</v>
      </c>
      <c r="B19" s="6">
        <v>1</v>
      </c>
      <c r="C19" s="6">
        <v>112</v>
      </c>
      <c r="D19" s="9">
        <f>SUM(K170,K171)</f>
        <v>1.3</v>
      </c>
      <c r="E19" s="9">
        <f>SUM(I253,I254)</f>
        <v>179148.65</v>
      </c>
      <c r="F19" s="6">
        <f>ROUND(E19,0)</f>
        <v>179149.0</v>
      </c>
      <c r="G19" s="7">
        <v>179149</v>
      </c>
      <c r="H19" s="9">
        <f>(F19-G19)</f>
        <v>0.0</v>
      </c>
      <c r="I19" s="9">
        <f>SUM(J253,J254)</f>
        <v>2032.495</v>
      </c>
      <c r="J19" s="11">
        <f>ROUND(I19,1)</f>
        <v>2032.5</v>
      </c>
      <c r="K19" s="8">
        <v>2032.5</v>
      </c>
      <c r="L19" s="9">
        <f>(J19-K19)</f>
        <v>0.0</v>
      </c>
    </row>
    <row r="20" spans="1:12" ht="23" customHeight="1">
      <c r="A20" s="6">
        <v>4</v>
      </c>
      <c r="B20" s="6">
        <v>1</v>
      </c>
      <c r="C20" s="6">
        <v>113</v>
      </c>
      <c r="D20" s="9">
        <f>SUM(K172)</f>
        <v>1.3</v>
      </c>
      <c r="E20" s="9">
        <f>SUM(I257)</f>
        <v>104936.0</v>
      </c>
      <c r="F20" s="6">
        <f>ROUND(E20,0)</f>
        <v>104936.0</v>
      </c>
      <c r="G20" s="7">
        <v>104936</v>
      </c>
      <c r="H20" s="9">
        <f>(F20-G20)</f>
        <v>0.0</v>
      </c>
      <c r="I20" s="9">
        <f>SUM(J257)</f>
        <v>672.75</v>
      </c>
      <c r="J20" s="11">
        <f>ROUND(I20,1)</f>
        <v>672.8</v>
      </c>
      <c r="K20" s="8">
        <v>672.8</v>
      </c>
      <c r="L20" s="9">
        <f>(J20-K20)</f>
        <v>0.0</v>
      </c>
    </row>
    <row r="21" spans="1:12" ht="23" customHeight="1">
      <c r="A21" s="6">
        <v>4</v>
      </c>
      <c r="B21" s="6">
        <v>1</v>
      </c>
      <c r="C21" s="6">
        <v>114</v>
      </c>
      <c r="D21" s="9">
        <f>SUM(K175)</f>
        <v>1.3</v>
      </c>
      <c r="E21" s="9">
        <f>SUM(I258)</f>
        <v>104936.0</v>
      </c>
      <c r="F21" s="6">
        <f>ROUND(E21,0)</f>
        <v>104936.0</v>
      </c>
      <c r="G21" s="7">
        <v>104936</v>
      </c>
      <c r="H21" s="9">
        <f>(F21-G21)</f>
        <v>0.0</v>
      </c>
      <c r="I21" s="9">
        <f>SUM(J258)</f>
        <v>672.75</v>
      </c>
      <c r="J21" s="11">
        <f>ROUND(I21,1)</f>
        <v>672.8</v>
      </c>
      <c r="K21" s="8">
        <v>672.8</v>
      </c>
      <c r="L21" s="9">
        <f>(J21-K21)</f>
        <v>0.0</v>
      </c>
    </row>
    <row r="22" spans="1:12" ht="24" customHeight="1">
      <c r="A22" s="3" t="s">
        <v>310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8</v>
      </c>
      <c r="B23" s="4" t="s">
        <v>9</v>
      </c>
      <c r="C23" s="4" t="s">
        <v>90</v>
      </c>
      <c r="D23" s="4" t="s">
        <v>311</v>
      </c>
      <c r="E23" s="4" t="s">
        <v>312</v>
      </c>
      <c r="F23" s="4" t="s">
        <v>313</v>
      </c>
      <c r="G23" s="4" t="s">
        <v>314</v>
      </c>
      <c r="H23" s="4" t="s">
        <v>315</v>
      </c>
      <c r="I23" s="4" t="s">
        <v>316</v>
      </c>
      <c r="J23" s="4" t="s">
        <v>317</v>
      </c>
      <c r="K23" s="4" t="s">
        <v>318</v>
      </c>
      <c r="L23" s="4" t="s">
        <v>319</v>
      </c>
    </row>
    <row r="24" spans="1:12" ht="23" customHeight="1">
      <c r="A24" s="6">
        <v>4</v>
      </c>
      <c r="B24" s="6">
        <v>1</v>
      </c>
      <c r="C24" s="6">
        <v>115</v>
      </c>
      <c r="D24" s="9">
        <f>SUM(K176)</f>
        <v>1.3</v>
      </c>
      <c r="E24" s="9">
        <f>SUM(I259)</f>
        <v>104936.0</v>
      </c>
      <c r="F24" s="6">
        <f>ROUND(E24,0)</f>
        <v>104936.0</v>
      </c>
      <c r="G24" s="7">
        <v>104936</v>
      </c>
      <c r="H24" s="9">
        <f>(F24-G24)</f>
        <v>0.0</v>
      </c>
      <c r="I24" s="9">
        <f>SUM(J259)</f>
        <v>672.75</v>
      </c>
      <c r="J24" s="11">
        <f>ROUND(I24,1)</f>
        <v>672.8</v>
      </c>
      <c r="K24" s="8">
        <v>672.8</v>
      </c>
      <c r="L24" s="9">
        <f>(J24-K24)</f>
        <v>0.0</v>
      </c>
    </row>
    <row r="25" spans="1:12" ht="23" customHeight="1">
      <c r="A25" s="6">
        <v>4</v>
      </c>
      <c r="B25" s="6">
        <v>1</v>
      </c>
      <c r="C25" s="6">
        <v>116</v>
      </c>
      <c r="D25" s="9">
        <f>SUM(K177)</f>
        <v>1.3</v>
      </c>
      <c r="E25" s="9">
        <f>SUM(I260)</f>
        <v>104936.0</v>
      </c>
      <c r="F25" s="6">
        <f>ROUND(E25,0)</f>
        <v>104936.0</v>
      </c>
      <c r="G25" s="7">
        <v>104936</v>
      </c>
      <c r="H25" s="9">
        <f>(F25-G25)</f>
        <v>0.0</v>
      </c>
      <c r="I25" s="9">
        <f>SUM(J260)</f>
        <v>672.75</v>
      </c>
      <c r="J25" s="11">
        <f>ROUND(I25,1)</f>
        <v>672.8</v>
      </c>
      <c r="K25" s="8">
        <v>672.8</v>
      </c>
      <c r="L25" s="9">
        <f>(J25-K25)</f>
        <v>0.0</v>
      </c>
    </row>
    <row r="26" spans="1:12" ht="23" customHeight="1">
      <c r="A26" s="6">
        <v>4</v>
      </c>
      <c r="B26" s="6">
        <v>1</v>
      </c>
      <c r="C26" s="6">
        <v>117</v>
      </c>
      <c r="D26" s="9">
        <f>SUM(K178)</f>
        <v>1.3</v>
      </c>
      <c r="E26" s="9">
        <f>SUM(I261)</f>
        <v>104936.0</v>
      </c>
      <c r="F26" s="6">
        <f>ROUND(E26,0)</f>
        <v>104936.0</v>
      </c>
      <c r="G26" s="7">
        <v>104936</v>
      </c>
      <c r="H26" s="9">
        <f>(F26-G26)</f>
        <v>0.0</v>
      </c>
      <c r="I26" s="9">
        <f>SUM(J261)</f>
        <v>672.75</v>
      </c>
      <c r="J26" s="11">
        <f>ROUND(I26,1)</f>
        <v>672.8</v>
      </c>
      <c r="K26" s="8">
        <v>672.8</v>
      </c>
      <c r="L26" s="9">
        <f>(J26-K26)</f>
        <v>0.0</v>
      </c>
    </row>
    <row r="27" spans="1:12" ht="23" customHeight="1">
      <c r="A27" s="6">
        <v>4</v>
      </c>
      <c r="B27" s="6">
        <v>1</v>
      </c>
      <c r="C27" s="6">
        <v>118</v>
      </c>
      <c r="D27" s="9">
        <f>SUM(K179)</f>
        <v>1.3</v>
      </c>
      <c r="E27" s="9">
        <f>SUM(I262)</f>
        <v>104936.0</v>
      </c>
      <c r="F27" s="6">
        <f>ROUND(E27,0)</f>
        <v>104936.0</v>
      </c>
      <c r="G27" s="7">
        <v>104936</v>
      </c>
      <c r="H27" s="9">
        <f>(F27-G27)</f>
        <v>0.0</v>
      </c>
      <c r="I27" s="9">
        <f>SUM(J262)</f>
        <v>672.75</v>
      </c>
      <c r="J27" s="11">
        <f>ROUND(I27,1)</f>
        <v>672.8</v>
      </c>
      <c r="K27" s="8">
        <v>672.8</v>
      </c>
      <c r="L27" s="9">
        <f>(J27-K27)</f>
        <v>0.0</v>
      </c>
    </row>
    <row r="28" spans="1:12" ht="23" customHeight="1">
      <c r="A28" s="6">
        <v>4</v>
      </c>
      <c r="B28" s="6">
        <v>1</v>
      </c>
      <c r="C28" s="6">
        <v>119</v>
      </c>
      <c r="D28" s="9">
        <f>SUM(K180)</f>
        <v>1.3</v>
      </c>
      <c r="E28" s="9">
        <f>SUM(I263)</f>
        <v>104936.0</v>
      </c>
      <c r="F28" s="6">
        <f>ROUND(E28,0)</f>
        <v>104936.0</v>
      </c>
      <c r="G28" s="7">
        <v>104936</v>
      </c>
      <c r="H28" s="9">
        <f>(F28-G28)</f>
        <v>0.0</v>
      </c>
      <c r="I28" s="9">
        <f>SUM(J263)</f>
        <v>672.75</v>
      </c>
      <c r="J28" s="11">
        <f>ROUND(I28,1)</f>
        <v>672.8</v>
      </c>
      <c r="K28" s="8">
        <v>672.8</v>
      </c>
      <c r="L28" s="9">
        <f>(J28-K28)</f>
        <v>0.0</v>
      </c>
    </row>
    <row r="29" spans="1:12" ht="23" customHeight="1">
      <c r="A29" s="6">
        <v>4</v>
      </c>
      <c r="B29" s="6">
        <v>1</v>
      </c>
      <c r="C29" s="6">
        <v>120</v>
      </c>
      <c r="D29" s="9">
        <f>SUM(K181)</f>
        <v>1.3</v>
      </c>
      <c r="E29" s="9">
        <f>SUM(I264)</f>
        <v>104936.0</v>
      </c>
      <c r="F29" s="6">
        <f>ROUND(E29,0)</f>
        <v>104936.0</v>
      </c>
      <c r="G29" s="7">
        <v>104936</v>
      </c>
      <c r="H29" s="9">
        <f>(F29-G29)</f>
        <v>0.0</v>
      </c>
      <c r="I29" s="9">
        <f>SUM(J264)</f>
        <v>672.75</v>
      </c>
      <c r="J29" s="11">
        <f>ROUND(I29,1)</f>
        <v>672.8</v>
      </c>
      <c r="K29" s="8">
        <v>672.8</v>
      </c>
      <c r="L29" s="9">
        <f>(J29-K29)</f>
        <v>0.0</v>
      </c>
    </row>
    <row r="30" spans="1:12" ht="23" customHeight="1">
      <c r="A30" s="6">
        <v>4</v>
      </c>
      <c r="B30" s="6">
        <v>1</v>
      </c>
      <c r="C30" s="6">
        <v>121</v>
      </c>
      <c r="D30" s="9">
        <f>SUM(K182)</f>
        <v>0.45</v>
      </c>
      <c r="E30" s="9">
        <f>SUM(I265)</f>
        <v>36324.0</v>
      </c>
      <c r="F30" s="6">
        <f>ROUND(E30,0)</f>
        <v>36324.0</v>
      </c>
      <c r="G30" s="7">
        <v>36324</v>
      </c>
      <c r="H30" s="9">
        <f>(F30-G30)</f>
        <v>0.0</v>
      </c>
      <c r="I30" s="9">
        <f>SUM(J265)</f>
        <v>232.875</v>
      </c>
      <c r="J30" s="11">
        <f>ROUND(I30,1)</f>
        <v>232.9</v>
      </c>
      <c r="K30" s="8">
        <v>232.9</v>
      </c>
      <c r="L30" s="9">
        <f>(J30-K30)</f>
        <v>0.0</v>
      </c>
    </row>
    <row r="31" spans="1:12" ht="23" customHeight="1">
      <c r="A31" s="6">
        <v>5</v>
      </c>
      <c r="B31" s="6">
        <v>2</v>
      </c>
      <c r="C31" s="6">
        <v>127</v>
      </c>
      <c r="D31" s="9">
        <f>SUM(K183,K184)</f>
        <v>0.905</v>
      </c>
      <c r="E31" s="9">
        <f>SUM(I266,I267)</f>
        <v>34419.005000000005</v>
      </c>
      <c r="F31" s="6">
        <f>ROUND(E31,0)</f>
        <v>34419.0</v>
      </c>
      <c r="G31" s="7">
        <v>34419</v>
      </c>
      <c r="H31" s="9">
        <f>(F31-G31)</f>
        <v>0.0</v>
      </c>
      <c r="I31" s="9">
        <f>SUM(J266,J267)</f>
        <v>289.13</v>
      </c>
      <c r="J31" s="11">
        <f>ROUND(I31,1)</f>
        <v>289.1</v>
      </c>
      <c r="K31" s="8">
        <v>289.1</v>
      </c>
      <c r="L31" s="9">
        <f>(J31-K31)</f>
        <v>0.0</v>
      </c>
    </row>
    <row r="32" spans="1:12" ht="23" customHeight="1">
      <c r="A32" s="6">
        <v>5</v>
      </c>
      <c r="B32" s="6">
        <v>2</v>
      </c>
      <c r="C32" s="6">
        <v>128</v>
      </c>
      <c r="D32" s="9">
        <f>SUM(K185)</f>
        <v>1.3</v>
      </c>
      <c r="E32" s="9">
        <f>SUM(I268)</f>
        <v>97084.0</v>
      </c>
      <c r="F32" s="6">
        <f>ROUND(E32,0)</f>
        <v>97084.0</v>
      </c>
      <c r="G32" s="7">
        <v>97084</v>
      </c>
      <c r="H32" s="9">
        <f>(F32-G32)</f>
        <v>0.0</v>
      </c>
      <c r="I32" s="9">
        <f>SUM(J268)</f>
        <v>1223.3</v>
      </c>
      <c r="J32" s="11">
        <f>ROUND(I32,1)</f>
        <v>1223.3</v>
      </c>
      <c r="K32" s="8">
        <v>1223.3</v>
      </c>
      <c r="L32" s="9">
        <f>(J32-K32)</f>
        <v>0.0</v>
      </c>
    </row>
    <row r="33" spans="1:12" ht="23" customHeight="1">
      <c r="A33" s="6">
        <v>5</v>
      </c>
      <c r="B33" s="6">
        <v>2</v>
      </c>
      <c r="C33" s="6">
        <v>129</v>
      </c>
      <c r="D33" s="9">
        <f>SUM(K186,K187)</f>
        <v>1.2999999999999998</v>
      </c>
      <c r="E33" s="9">
        <f>SUM(I269,I270)</f>
        <v>103755.7</v>
      </c>
      <c r="F33" s="6">
        <f>ROUND(E33,0)</f>
        <v>103756.0</v>
      </c>
      <c r="G33" s="7">
        <v>103756</v>
      </c>
      <c r="H33" s="9">
        <f>(F33-G33)</f>
        <v>0.0</v>
      </c>
      <c r="I33" s="9">
        <f>SUM(J269,J270)</f>
        <v>1196.2399999999998</v>
      </c>
      <c r="J33" s="11">
        <f>ROUND(I33,1)</f>
        <v>1196.2</v>
      </c>
      <c r="K33" s="8">
        <v>1196.2</v>
      </c>
      <c r="L33" s="9">
        <f>(J33-K33)</f>
        <v>0.0</v>
      </c>
    </row>
    <row r="34" spans="1:12" ht="23" customHeight="1">
      <c r="A34" s="6">
        <v>5</v>
      </c>
      <c r="B34" s="6">
        <v>2</v>
      </c>
      <c r="C34" s="6">
        <v>130</v>
      </c>
      <c r="D34" s="9">
        <f>SUM(K188,K189)</f>
        <v>1.3</v>
      </c>
      <c r="E34" s="9">
        <f>SUM(I271,I274)</f>
        <v>148838.1</v>
      </c>
      <c r="F34" s="6">
        <f>ROUND(E34,0)</f>
        <v>148838.0</v>
      </c>
      <c r="G34" s="7">
        <v>148838</v>
      </c>
      <c r="H34" s="9">
        <f>(F34-G34)</f>
        <v>0.0</v>
      </c>
      <c r="I34" s="9">
        <f>SUM(J271,J274)</f>
        <v>1542.0449999999998</v>
      </c>
      <c r="J34" s="6">
        <f>ROUND(I34,1)</f>
        <v>1542.0</v>
      </c>
      <c r="K34" s="7">
        <v>1542</v>
      </c>
      <c r="L34" s="9">
        <f>(J34-K34)</f>
        <v>0.0</v>
      </c>
    </row>
    <row r="35" spans="1:12" ht="23" customHeight="1">
      <c r="A35" s="6">
        <v>5</v>
      </c>
      <c r="B35" s="6">
        <v>2</v>
      </c>
      <c r="C35" s="6">
        <v>131</v>
      </c>
      <c r="D35" s="9">
        <f>SUM(K192)</f>
        <v>1.3</v>
      </c>
      <c r="E35" s="9">
        <f>SUM(I275)</f>
        <v>145626.0</v>
      </c>
      <c r="F35" s="6">
        <f>ROUND(E35,0)</f>
        <v>145626.0</v>
      </c>
      <c r="G35" s="7">
        <v>145626</v>
      </c>
      <c r="H35" s="9">
        <f>(F35-G35)</f>
        <v>0.0</v>
      </c>
      <c r="I35" s="9">
        <f>SUM(J275)</f>
        <v>1834.95</v>
      </c>
      <c r="J35" s="6">
        <f>ROUND(I35,1)</f>
        <v>1835.0</v>
      </c>
      <c r="K35" s="7">
        <v>1835</v>
      </c>
      <c r="L35" s="9">
        <f>(J35-K35)</f>
        <v>0.0</v>
      </c>
    </row>
    <row r="36" spans="1:12" ht="23" customHeight="1">
      <c r="A36" s="6">
        <v>5</v>
      </c>
      <c r="B36" s="6">
        <v>2</v>
      </c>
      <c r="C36" s="6">
        <v>132</v>
      </c>
      <c r="D36" s="9">
        <f>SUM(K193)</f>
        <v>1.3</v>
      </c>
      <c r="E36" s="9">
        <f>SUM(I276)</f>
        <v>145626.0</v>
      </c>
      <c r="F36" s="6">
        <f>ROUND(E36,0)</f>
        <v>145626.0</v>
      </c>
      <c r="G36" s="7">
        <v>145626</v>
      </c>
      <c r="H36" s="9">
        <f>(F36-G36)</f>
        <v>0.0</v>
      </c>
      <c r="I36" s="9">
        <f>SUM(J276)</f>
        <v>1834.95</v>
      </c>
      <c r="J36" s="6">
        <f>ROUND(I36,1)</f>
        <v>1835.0</v>
      </c>
      <c r="K36" s="7">
        <v>1835</v>
      </c>
      <c r="L36" s="9">
        <f>(J36-K36)</f>
        <v>0.0</v>
      </c>
    </row>
    <row r="37" spans="1:12" ht="23" customHeight="1">
      <c r="A37" s="6">
        <v>5</v>
      </c>
      <c r="B37" s="6">
        <v>2</v>
      </c>
      <c r="C37" s="6">
        <v>133</v>
      </c>
      <c r="D37" s="9">
        <f>SUM(K194)</f>
        <v>1.3</v>
      </c>
      <c r="E37" s="9">
        <f>SUM(I277)</f>
        <v>145626.0</v>
      </c>
      <c r="F37" s="6">
        <f>ROUND(E37,0)</f>
        <v>145626.0</v>
      </c>
      <c r="G37" s="7">
        <v>145626</v>
      </c>
      <c r="H37" s="9">
        <f>(F37-G37)</f>
        <v>0.0</v>
      </c>
      <c r="I37" s="9">
        <f>SUM(J277)</f>
        <v>1834.95</v>
      </c>
      <c r="J37" s="6">
        <f>ROUND(I37,1)</f>
        <v>1835.0</v>
      </c>
      <c r="K37" s="7">
        <v>1835</v>
      </c>
      <c r="L37" s="9">
        <f>(J37-K37)</f>
        <v>0.0</v>
      </c>
    </row>
    <row r="38" spans="1:12" ht="23" customHeight="1">
      <c r="A38" s="6">
        <v>5</v>
      </c>
      <c r="B38" s="6">
        <v>2</v>
      </c>
      <c r="C38" s="6">
        <v>134</v>
      </c>
      <c r="D38" s="9">
        <f>SUM(K195)</f>
        <v>1.3</v>
      </c>
      <c r="E38" s="9">
        <f>SUM(I278)</f>
        <v>145626.0</v>
      </c>
      <c r="F38" s="6">
        <f>ROUND(E38,0)</f>
        <v>145626.0</v>
      </c>
      <c r="G38" s="7">
        <v>145626</v>
      </c>
      <c r="H38" s="9">
        <f>(F38-G38)</f>
        <v>0.0</v>
      </c>
      <c r="I38" s="9">
        <f>SUM(J278)</f>
        <v>1834.95</v>
      </c>
      <c r="J38" s="6">
        <f>ROUND(I38,1)</f>
        <v>1835.0</v>
      </c>
      <c r="K38" s="7">
        <v>1835</v>
      </c>
      <c r="L38" s="9">
        <f>(J38-K38)</f>
        <v>0.0</v>
      </c>
    </row>
    <row r="39" spans="1:12" ht="24" customHeight="1">
      <c r="A39" s="3" t="s">
        <v>310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8</v>
      </c>
      <c r="B40" s="4" t="s">
        <v>9</v>
      </c>
      <c r="C40" s="4" t="s">
        <v>90</v>
      </c>
      <c r="D40" s="4" t="s">
        <v>311</v>
      </c>
      <c r="E40" s="4" t="s">
        <v>312</v>
      </c>
      <c r="F40" s="4" t="s">
        <v>313</v>
      </c>
      <c r="G40" s="4" t="s">
        <v>314</v>
      </c>
      <c r="H40" s="4" t="s">
        <v>315</v>
      </c>
      <c r="I40" s="4" t="s">
        <v>316</v>
      </c>
      <c r="J40" s="4" t="s">
        <v>317</v>
      </c>
      <c r="K40" s="4" t="s">
        <v>318</v>
      </c>
      <c r="L40" s="4" t="s">
        <v>319</v>
      </c>
    </row>
    <row r="41" spans="1:12" ht="23" customHeight="1">
      <c r="A41" s="6">
        <v>5</v>
      </c>
      <c r="B41" s="6">
        <v>2</v>
      </c>
      <c r="C41" s="6">
        <v>135</v>
      </c>
      <c r="D41" s="9">
        <f>SUM(K196)</f>
        <v>1.3</v>
      </c>
      <c r="E41" s="9">
        <f>SUM(I279)</f>
        <v>145626.0</v>
      </c>
      <c r="F41" s="6">
        <f>ROUND(E41,0)</f>
        <v>145626.0</v>
      </c>
      <c r="G41" s="7">
        <v>145626</v>
      </c>
      <c r="H41" s="9">
        <f>(F41-G41)</f>
        <v>0.0</v>
      </c>
      <c r="I41" s="9">
        <f>SUM(J279)</f>
        <v>1834.95</v>
      </c>
      <c r="J41" s="6">
        <f>ROUND(I41,1)</f>
        <v>1835.0</v>
      </c>
      <c r="K41" s="7">
        <v>1835</v>
      </c>
      <c r="L41" s="9">
        <f>(J41-K41)</f>
        <v>0.0</v>
      </c>
    </row>
    <row r="42" spans="1:12" ht="23" customHeight="1">
      <c r="A42" s="6">
        <v>5</v>
      </c>
      <c r="B42" s="6">
        <v>2</v>
      </c>
      <c r="C42" s="6">
        <v>136</v>
      </c>
      <c r="D42" s="9">
        <f>SUM(K197)</f>
        <v>1.3</v>
      </c>
      <c r="E42" s="9">
        <f>SUM(I280)</f>
        <v>145626.0</v>
      </c>
      <c r="F42" s="6">
        <f>ROUND(E42,0)</f>
        <v>145626.0</v>
      </c>
      <c r="G42" s="7">
        <v>145626</v>
      </c>
      <c r="H42" s="9">
        <f>(F42-G42)</f>
        <v>0.0</v>
      </c>
      <c r="I42" s="9">
        <f>SUM(J280)</f>
        <v>1834.95</v>
      </c>
      <c r="J42" s="6">
        <f>ROUND(I42,1)</f>
        <v>1835.0</v>
      </c>
      <c r="K42" s="7">
        <v>1835</v>
      </c>
      <c r="L42" s="9">
        <f>(J42-K42)</f>
        <v>0.0</v>
      </c>
    </row>
    <row r="43" spans="1:12" ht="23" customHeight="1">
      <c r="A43" s="6">
        <v>5</v>
      </c>
      <c r="B43" s="6">
        <v>2</v>
      </c>
      <c r="C43" s="6">
        <v>137</v>
      </c>
      <c r="D43" s="9">
        <f>SUM(K198,K199)</f>
        <v>1.3</v>
      </c>
      <c r="E43" s="9">
        <f>SUM(I281,I282)</f>
        <v>119432.85</v>
      </c>
      <c r="F43" s="6">
        <f>ROUND(E43,0)</f>
        <v>119433.0</v>
      </c>
      <c r="G43" s="7">
        <v>119433</v>
      </c>
      <c r="H43" s="9">
        <f>(F43-G43)</f>
        <v>0.0</v>
      </c>
      <c r="I43" s="9">
        <f>SUM(J281,J282)</f>
        <v>1355.0249999999999</v>
      </c>
      <c r="J43" s="6">
        <f>ROUND(I43,1)</f>
        <v>1355.0</v>
      </c>
      <c r="K43" s="7">
        <v>1355</v>
      </c>
      <c r="L43" s="9">
        <f>(J43-K43)</f>
        <v>0.0</v>
      </c>
    </row>
    <row r="44" spans="1:12" ht="23" customHeight="1">
      <c r="A44" s="6">
        <v>5</v>
      </c>
      <c r="B44" s="6">
        <v>2</v>
      </c>
      <c r="C44" s="6">
        <v>138</v>
      </c>
      <c r="D44" s="9">
        <f>SUM(K200)</f>
        <v>1.3</v>
      </c>
      <c r="E44" s="9">
        <f>SUM(I283)</f>
        <v>69956.90000000001</v>
      </c>
      <c r="F44" s="6">
        <f>ROUND(E44,0)</f>
        <v>69957.0</v>
      </c>
      <c r="G44" s="7">
        <v>69957</v>
      </c>
      <c r="H44" s="9">
        <f>(F44-G44)</f>
        <v>0.0</v>
      </c>
      <c r="I44" s="9">
        <f>SUM(J283)</f>
        <v>448.5</v>
      </c>
      <c r="J44" s="11">
        <f>ROUND(I44,1)</f>
        <v>448.5</v>
      </c>
      <c r="K44" s="8">
        <v>448.5</v>
      </c>
      <c r="L44" s="9">
        <f>(J44-K44)</f>
        <v>0.0</v>
      </c>
    </row>
    <row r="45" spans="1:12" ht="23" customHeight="1">
      <c r="A45" s="6">
        <v>5</v>
      </c>
      <c r="B45" s="6">
        <v>2</v>
      </c>
      <c r="C45" s="6">
        <v>139</v>
      </c>
      <c r="D45" s="9">
        <f>SUM(K201)</f>
        <v>1.3</v>
      </c>
      <c r="E45" s="9">
        <f>SUM(I284)</f>
        <v>69956.90000000001</v>
      </c>
      <c r="F45" s="6">
        <f>ROUND(E45,0)</f>
        <v>69957.0</v>
      </c>
      <c r="G45" s="7">
        <v>69957</v>
      </c>
      <c r="H45" s="9">
        <f>(F45-G45)</f>
        <v>0.0</v>
      </c>
      <c r="I45" s="9">
        <f>SUM(J284)</f>
        <v>448.5</v>
      </c>
      <c r="J45" s="11">
        <f>ROUND(I45,1)</f>
        <v>448.5</v>
      </c>
      <c r="K45" s="8">
        <v>448.5</v>
      </c>
      <c r="L45" s="9">
        <f>(J45-K45)</f>
        <v>0.0</v>
      </c>
    </row>
    <row r="46" spans="1:12" ht="23" customHeight="1">
      <c r="A46" s="6">
        <v>5</v>
      </c>
      <c r="B46" s="6">
        <v>2</v>
      </c>
      <c r="C46" s="6">
        <v>140</v>
      </c>
      <c r="D46" s="9">
        <f>SUM(K202)</f>
        <v>1.3</v>
      </c>
      <c r="E46" s="9">
        <f>SUM(I285)</f>
        <v>69956.90000000001</v>
      </c>
      <c r="F46" s="6">
        <f>ROUND(E46,0)</f>
        <v>69957.0</v>
      </c>
      <c r="G46" s="7">
        <v>69957</v>
      </c>
      <c r="H46" s="9">
        <f>(F46-G46)</f>
        <v>0.0</v>
      </c>
      <c r="I46" s="9">
        <f>SUM(J285)</f>
        <v>448.5</v>
      </c>
      <c r="J46" s="11">
        <f>ROUND(I46,1)</f>
        <v>448.5</v>
      </c>
      <c r="K46" s="8">
        <v>448.5</v>
      </c>
      <c r="L46" s="9">
        <f>(J46-K46)</f>
        <v>0.0</v>
      </c>
    </row>
    <row r="47" spans="1:12" ht="23" customHeight="1">
      <c r="A47" s="6">
        <v>5</v>
      </c>
      <c r="B47" s="6">
        <v>2</v>
      </c>
      <c r="C47" s="6">
        <v>141</v>
      </c>
      <c r="D47" s="9">
        <f>SUM(K203)</f>
        <v>1.3</v>
      </c>
      <c r="E47" s="9">
        <f>SUM(I286)</f>
        <v>69956.90000000001</v>
      </c>
      <c r="F47" s="6">
        <f>ROUND(E47,0)</f>
        <v>69957.0</v>
      </c>
      <c r="G47" s="7">
        <v>69957</v>
      </c>
      <c r="H47" s="9">
        <f>(F47-G47)</f>
        <v>0.0</v>
      </c>
      <c r="I47" s="9">
        <f>SUM(J286)</f>
        <v>448.5</v>
      </c>
      <c r="J47" s="11">
        <f>ROUND(I47,1)</f>
        <v>448.5</v>
      </c>
      <c r="K47" s="8">
        <v>448.5</v>
      </c>
      <c r="L47" s="9">
        <f>(J47-K47)</f>
        <v>0.0</v>
      </c>
    </row>
    <row r="48" spans="1:12" ht="23" customHeight="1">
      <c r="A48" s="6">
        <v>5</v>
      </c>
      <c r="B48" s="6">
        <v>2</v>
      </c>
      <c r="C48" s="6">
        <v>142</v>
      </c>
      <c r="D48" s="9">
        <f>SUM(K204)</f>
        <v>1.3</v>
      </c>
      <c r="E48" s="9">
        <f>SUM(I287)</f>
        <v>69956.90000000001</v>
      </c>
      <c r="F48" s="6">
        <f>ROUND(E48,0)</f>
        <v>69957.0</v>
      </c>
      <c r="G48" s="7">
        <v>69957</v>
      </c>
      <c r="H48" s="9">
        <f>(F48-G48)</f>
        <v>0.0</v>
      </c>
      <c r="I48" s="9">
        <f>SUM(J287)</f>
        <v>448.5</v>
      </c>
      <c r="J48" s="11">
        <f>ROUND(I48,1)</f>
        <v>448.5</v>
      </c>
      <c r="K48" s="8">
        <v>448.5</v>
      </c>
      <c r="L48" s="9">
        <f>(J48-K48)</f>
        <v>0.0</v>
      </c>
    </row>
    <row r="49" spans="1:12" ht="23" customHeight="1">
      <c r="A49" s="6">
        <v>5</v>
      </c>
      <c r="B49" s="6">
        <v>2</v>
      </c>
      <c r="C49" s="6">
        <v>143</v>
      </c>
      <c r="D49" s="9">
        <f>SUM(K205)</f>
        <v>1.3</v>
      </c>
      <c r="E49" s="9">
        <f>SUM(I288)</f>
        <v>69956.90000000001</v>
      </c>
      <c r="F49" s="6">
        <f>ROUND(E49,0)</f>
        <v>69957.0</v>
      </c>
      <c r="G49" s="7">
        <v>69957</v>
      </c>
      <c r="H49" s="9">
        <f>(F49-G49)</f>
        <v>0.0</v>
      </c>
      <c r="I49" s="9">
        <f>SUM(J288)</f>
        <v>448.5</v>
      </c>
      <c r="J49" s="11">
        <f>ROUND(I49,1)</f>
        <v>448.5</v>
      </c>
      <c r="K49" s="8">
        <v>448.5</v>
      </c>
      <c r="L49" s="9">
        <f>(J49-K49)</f>
        <v>0.0</v>
      </c>
    </row>
    <row r="50" spans="1:12" ht="23" customHeight="1">
      <c r="A50" s="6">
        <v>5</v>
      </c>
      <c r="B50" s="6">
        <v>2</v>
      </c>
      <c r="C50" s="6">
        <v>144</v>
      </c>
      <c r="D50" s="9">
        <f>SUM(K206)</f>
        <v>1.3</v>
      </c>
      <c r="E50" s="9">
        <f>SUM(I291)</f>
        <v>69956.90000000001</v>
      </c>
      <c r="F50" s="6">
        <f>ROUND(E50,0)</f>
        <v>69957.0</v>
      </c>
      <c r="G50" s="7">
        <v>69957</v>
      </c>
      <c r="H50" s="9">
        <f>(F50-G50)</f>
        <v>0.0</v>
      </c>
      <c r="I50" s="9">
        <f>SUM(J291)</f>
        <v>448.5</v>
      </c>
      <c r="J50" s="11">
        <f>ROUND(I50,1)</f>
        <v>448.5</v>
      </c>
      <c r="K50" s="8">
        <v>448.5</v>
      </c>
      <c r="L50" s="9">
        <f>(J50-K50)</f>
        <v>0.0</v>
      </c>
    </row>
    <row r="51" spans="1:12" ht="23" customHeight="1">
      <c r="A51" s="6">
        <v>5</v>
      </c>
      <c r="B51" s="6">
        <v>2</v>
      </c>
      <c r="C51" s="6">
        <v>145</v>
      </c>
      <c r="D51" s="9">
        <f>SUM(K209)</f>
        <v>1.3</v>
      </c>
      <c r="E51" s="9">
        <f>SUM(I292)</f>
        <v>69956.90000000001</v>
      </c>
      <c r="F51" s="6">
        <f>ROUND(E51,0)</f>
        <v>69957.0</v>
      </c>
      <c r="G51" s="7">
        <v>69957</v>
      </c>
      <c r="H51" s="9">
        <f>(F51-G51)</f>
        <v>0.0</v>
      </c>
      <c r="I51" s="9">
        <f>SUM(J292)</f>
        <v>448.5</v>
      </c>
      <c r="J51" s="11">
        <f>ROUND(I51,1)</f>
        <v>448.5</v>
      </c>
      <c r="K51" s="8">
        <v>448.5</v>
      </c>
      <c r="L51" s="9">
        <f>(J51-K51)</f>
        <v>0.0</v>
      </c>
    </row>
    <row r="52" spans="1:12" ht="23" customHeight="1">
      <c r="A52" s="6">
        <v>5</v>
      </c>
      <c r="B52" s="6">
        <v>2</v>
      </c>
      <c r="C52" s="6">
        <v>146</v>
      </c>
      <c r="D52" s="9">
        <f>SUM(K210)</f>
        <v>0.45</v>
      </c>
      <c r="E52" s="9">
        <f>SUM(I293)</f>
        <v>24215.850000000002</v>
      </c>
      <c r="F52" s="6">
        <f>ROUND(E52,0)</f>
        <v>24216.0</v>
      </c>
      <c r="G52" s="7">
        <v>24216</v>
      </c>
      <c r="H52" s="9">
        <f>(F52-G52)</f>
        <v>0.0</v>
      </c>
      <c r="I52" s="9">
        <f>SUM(J293)</f>
        <v>155.25</v>
      </c>
      <c r="J52" s="11">
        <f>ROUND(I52,1)</f>
        <v>155.3</v>
      </c>
      <c r="K52" s="8">
        <v>155.3</v>
      </c>
      <c r="L52" s="9">
        <f>(J52-K52)</f>
        <v>0.0</v>
      </c>
    </row>
    <row r="53" spans="1:12" ht="23" customHeight="1">
      <c r="A53" s="6">
        <v>6</v>
      </c>
      <c r="B53" s="6">
        <v>3</v>
      </c>
      <c r="C53" s="6">
        <v>152</v>
      </c>
      <c r="D53" s="9">
        <f>SUM(K211,K212)</f>
        <v>0.905</v>
      </c>
      <c r="E53" s="9">
        <f>SUM(I294,I295)</f>
        <v>51628.885</v>
      </c>
      <c r="F53" s="6">
        <f>ROUND(E53,0)</f>
        <v>51629.0</v>
      </c>
      <c r="G53" s="7">
        <v>51629</v>
      </c>
      <c r="H53" s="9">
        <f>(F53-G53)</f>
        <v>0.0</v>
      </c>
      <c r="I53" s="9">
        <f>SUM(J294,J295)</f>
        <v>433.7705</v>
      </c>
      <c r="J53" s="11">
        <f>ROUND(I53,1)</f>
        <v>433.8</v>
      </c>
      <c r="K53" s="8">
        <v>433.8</v>
      </c>
      <c r="L53" s="9">
        <f>(J53-K53)</f>
        <v>0.0</v>
      </c>
    </row>
    <row r="54" spans="1:12" ht="23" customHeight="1">
      <c r="A54" s="6">
        <v>6</v>
      </c>
      <c r="B54" s="6">
        <v>3</v>
      </c>
      <c r="C54" s="6">
        <v>153</v>
      </c>
      <c r="D54" s="9">
        <f>SUM(K213)</f>
        <v>1.3</v>
      </c>
      <c r="E54" s="9">
        <f>SUM(I296)</f>
        <v>145626.0</v>
      </c>
      <c r="F54" s="6">
        <f>ROUND(E54,0)</f>
        <v>145626.0</v>
      </c>
      <c r="G54" s="7">
        <v>145626</v>
      </c>
      <c r="H54" s="9">
        <f>(F54-G54)</f>
        <v>0.0</v>
      </c>
      <c r="I54" s="9">
        <f>SUM(J296)</f>
        <v>1834.95</v>
      </c>
      <c r="J54" s="6">
        <f>ROUND(I54,1)</f>
        <v>1835.0</v>
      </c>
      <c r="K54" s="7">
        <v>1835</v>
      </c>
      <c r="L54" s="9">
        <f>(J54-K54)</f>
        <v>0.0</v>
      </c>
    </row>
    <row r="55" spans="1:12" ht="23" customHeight="1">
      <c r="A55" s="6">
        <v>6</v>
      </c>
      <c r="B55" s="6">
        <v>3</v>
      </c>
      <c r="C55" s="6">
        <v>154</v>
      </c>
      <c r="D55" s="9">
        <f>SUM(K214,K215)</f>
        <v>1.2999999999999998</v>
      </c>
      <c r="E55" s="9">
        <f>SUM(I297,I298)</f>
        <v>155633.69999999998</v>
      </c>
      <c r="F55" s="6">
        <f>ROUND(E55,0)</f>
        <v>155634.0</v>
      </c>
      <c r="G55" s="7">
        <v>155634</v>
      </c>
      <c r="H55" s="9">
        <f>(F55-G55)</f>
        <v>0.0</v>
      </c>
      <c r="I55" s="9">
        <f>SUM(J297,J298)</f>
        <v>1794.36</v>
      </c>
      <c r="J55" s="11">
        <f>ROUND(I55,1)</f>
        <v>1794.4</v>
      </c>
      <c r="K55" s="8">
        <v>1794.4</v>
      </c>
      <c r="L55" s="9">
        <f>(J55-K55)</f>
        <v>0.0</v>
      </c>
    </row>
    <row r="56" spans="1:12" ht="24" customHeight="1">
      <c r="A56" s="3" t="s">
        <v>310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8</v>
      </c>
      <c r="B57" s="4" t="s">
        <v>9</v>
      </c>
      <c r="C57" s="4" t="s">
        <v>90</v>
      </c>
      <c r="D57" s="4" t="s">
        <v>311</v>
      </c>
      <c r="E57" s="4" t="s">
        <v>312</v>
      </c>
      <c r="F57" s="4" t="s">
        <v>313</v>
      </c>
      <c r="G57" s="4" t="s">
        <v>314</v>
      </c>
      <c r="H57" s="4" t="s">
        <v>315</v>
      </c>
      <c r="I57" s="4" t="s">
        <v>316</v>
      </c>
      <c r="J57" s="4" t="s">
        <v>317</v>
      </c>
      <c r="K57" s="4" t="s">
        <v>318</v>
      </c>
      <c r="L57" s="4" t="s">
        <v>319</v>
      </c>
    </row>
    <row r="58" spans="1:12" ht="23" customHeight="1">
      <c r="A58" s="6">
        <v>6</v>
      </c>
      <c r="B58" s="6">
        <v>3</v>
      </c>
      <c r="C58" s="6">
        <v>155</v>
      </c>
      <c r="D58" s="9">
        <f>SUM(K216,K217)</f>
        <v>1.3</v>
      </c>
      <c r="E58" s="9">
        <f>SUM(I299,I300)</f>
        <v>223256.75</v>
      </c>
      <c r="F58" s="6">
        <f>ROUND(E58,0)</f>
        <v>223257.0</v>
      </c>
      <c r="G58" s="7">
        <v>223257</v>
      </c>
      <c r="H58" s="9">
        <f>(F58-G58)</f>
        <v>0.0</v>
      </c>
      <c r="I58" s="9">
        <f>SUM(J299,J300)</f>
        <v>2313.025</v>
      </c>
      <c r="J58" s="6">
        <f>ROUND(I58,1)</f>
        <v>2313.0</v>
      </c>
      <c r="K58" s="7">
        <v>2313</v>
      </c>
      <c r="L58" s="9">
        <f>(J58-K58)</f>
        <v>0.0</v>
      </c>
    </row>
    <row r="59" spans="1:12" ht="23" customHeight="1">
      <c r="A59" s="6">
        <v>6</v>
      </c>
      <c r="B59" s="6">
        <v>3</v>
      </c>
      <c r="C59" s="6">
        <v>156</v>
      </c>
      <c r="D59" s="9">
        <f>SUM(K218)</f>
        <v>1.3</v>
      </c>
      <c r="E59" s="9">
        <f>SUM(I301)</f>
        <v>218437.7</v>
      </c>
      <c r="F59" s="6">
        <f>ROUND(E59,0)</f>
        <v>218438.0</v>
      </c>
      <c r="G59" s="7">
        <v>218438</v>
      </c>
      <c r="H59" s="9">
        <f>(F59-G59)</f>
        <v>0.0</v>
      </c>
      <c r="I59" s="9">
        <f>SUM(J301)</f>
        <v>2752.3599999999997</v>
      </c>
      <c r="J59" s="11">
        <f>ROUND(I59,1)</f>
        <v>2752.4</v>
      </c>
      <c r="K59" s="8">
        <v>2752.4</v>
      </c>
      <c r="L59" s="9">
        <f>(J59-K59)</f>
        <v>0.0</v>
      </c>
    </row>
    <row r="60" spans="1:12" ht="23" customHeight="1">
      <c r="A60" s="6">
        <v>6</v>
      </c>
      <c r="B60" s="6">
        <v>3</v>
      </c>
      <c r="C60" s="6">
        <v>157</v>
      </c>
      <c r="D60" s="9">
        <f>SUM(K219)</f>
        <v>1.3</v>
      </c>
      <c r="E60" s="9">
        <f>SUM(I302)</f>
        <v>218437.7</v>
      </c>
      <c r="F60" s="6">
        <f>ROUND(E60,0)</f>
        <v>218438.0</v>
      </c>
      <c r="G60" s="7">
        <v>218438</v>
      </c>
      <c r="H60" s="9">
        <f>(F60-G60)</f>
        <v>0.0</v>
      </c>
      <c r="I60" s="9">
        <f>SUM(J302)</f>
        <v>2752.3599999999997</v>
      </c>
      <c r="J60" s="11">
        <f>ROUND(I60,1)</f>
        <v>2752.4</v>
      </c>
      <c r="K60" s="8">
        <v>2752.4</v>
      </c>
      <c r="L60" s="9">
        <f>(J60-K60)</f>
        <v>0.0</v>
      </c>
    </row>
    <row r="61" spans="1:12" ht="23" customHeight="1">
      <c r="A61" s="6">
        <v>6</v>
      </c>
      <c r="B61" s="6">
        <v>3</v>
      </c>
      <c r="C61" s="6">
        <v>158</v>
      </c>
      <c r="D61" s="9">
        <f>SUM(K220)</f>
        <v>1.3</v>
      </c>
      <c r="E61" s="9">
        <f>SUM(I303)</f>
        <v>218437.7</v>
      </c>
      <c r="F61" s="6">
        <f>ROUND(E61,0)</f>
        <v>218438.0</v>
      </c>
      <c r="G61" s="7">
        <v>218438</v>
      </c>
      <c r="H61" s="9">
        <f>(F61-G61)</f>
        <v>0.0</v>
      </c>
      <c r="I61" s="9">
        <f>SUM(J303)</f>
        <v>2752.3599999999997</v>
      </c>
      <c r="J61" s="11">
        <f>ROUND(I61,1)</f>
        <v>2752.4</v>
      </c>
      <c r="K61" s="8">
        <v>2752.4</v>
      </c>
      <c r="L61" s="9">
        <f>(J61-K61)</f>
        <v>0.0</v>
      </c>
    </row>
    <row r="62" spans="1:12" ht="23" customHeight="1">
      <c r="A62" s="6">
        <v>6</v>
      </c>
      <c r="B62" s="6">
        <v>3</v>
      </c>
      <c r="C62" s="6">
        <v>159</v>
      </c>
      <c r="D62" s="9">
        <f>SUM(K221)</f>
        <v>1.3</v>
      </c>
      <c r="E62" s="9">
        <f>SUM(I304)</f>
        <v>218437.7</v>
      </c>
      <c r="F62" s="6">
        <f>ROUND(E62,0)</f>
        <v>218438.0</v>
      </c>
      <c r="G62" s="7">
        <v>218438</v>
      </c>
      <c r="H62" s="9">
        <f>(F62-G62)</f>
        <v>0.0</v>
      </c>
      <c r="I62" s="9">
        <f>SUM(J304)</f>
        <v>2752.3599999999997</v>
      </c>
      <c r="J62" s="11">
        <f>ROUND(I62,1)</f>
        <v>2752.4</v>
      </c>
      <c r="K62" s="8">
        <v>2752.4</v>
      </c>
      <c r="L62" s="9">
        <f>(J62-K62)</f>
        <v>0.0</v>
      </c>
    </row>
    <row r="63" spans="1:12" ht="23" customHeight="1">
      <c r="A63" s="6">
        <v>6</v>
      </c>
      <c r="B63" s="6">
        <v>3</v>
      </c>
      <c r="C63" s="6">
        <v>160</v>
      </c>
      <c r="D63" s="9">
        <f>SUM(K222)</f>
        <v>1.3</v>
      </c>
      <c r="E63" s="9">
        <f>SUM(I305)</f>
        <v>218437.7</v>
      </c>
      <c r="F63" s="6">
        <f>ROUND(E63,0)</f>
        <v>218438.0</v>
      </c>
      <c r="G63" s="7">
        <v>218438</v>
      </c>
      <c r="H63" s="9">
        <f>(F63-G63)</f>
        <v>0.0</v>
      </c>
      <c r="I63" s="9">
        <f>SUM(J305)</f>
        <v>2752.3599999999997</v>
      </c>
      <c r="J63" s="11">
        <f>ROUND(I63,1)</f>
        <v>2752.4</v>
      </c>
      <c r="K63" s="8">
        <v>2752.4</v>
      </c>
      <c r="L63" s="9">
        <f>(J63-K63)</f>
        <v>0.0</v>
      </c>
    </row>
    <row r="64" spans="1:12" ht="23" customHeight="1">
      <c r="A64" s="6">
        <v>6</v>
      </c>
      <c r="B64" s="6">
        <v>3</v>
      </c>
      <c r="C64" s="6">
        <v>161</v>
      </c>
      <c r="D64" s="9">
        <f>SUM(K223)</f>
        <v>1.3</v>
      </c>
      <c r="E64" s="9">
        <f>SUM(I308)</f>
        <v>218437.7</v>
      </c>
      <c r="F64" s="6">
        <f>ROUND(E64,0)</f>
        <v>218438.0</v>
      </c>
      <c r="G64" s="7">
        <v>218438</v>
      </c>
      <c r="H64" s="9">
        <f>(F64-G64)</f>
        <v>0.0</v>
      </c>
      <c r="I64" s="9">
        <f>SUM(J308)</f>
        <v>2752.3599999999997</v>
      </c>
      <c r="J64" s="11">
        <f>ROUND(I64,1)</f>
        <v>2752.4</v>
      </c>
      <c r="K64" s="8">
        <v>2752.4</v>
      </c>
      <c r="L64" s="9">
        <f>(J64-K64)</f>
        <v>0.0</v>
      </c>
    </row>
    <row r="65" spans="1:12" ht="23" customHeight="1">
      <c r="A65" s="6">
        <v>6</v>
      </c>
      <c r="B65" s="6">
        <v>3</v>
      </c>
      <c r="C65" s="6">
        <v>162</v>
      </c>
      <c r="D65" s="9">
        <f>SUM(K226,K227)</f>
        <v>1.3</v>
      </c>
      <c r="E65" s="9">
        <f>SUM(I309,I310)</f>
        <v>179148.65</v>
      </c>
      <c r="F65" s="6">
        <f>ROUND(E65,0)</f>
        <v>179149.0</v>
      </c>
      <c r="G65" s="7">
        <v>179149</v>
      </c>
      <c r="H65" s="9">
        <f>(F65-G65)</f>
        <v>0.0</v>
      </c>
      <c r="I65" s="9">
        <f>SUM(J309,J310)</f>
        <v>2032.495</v>
      </c>
      <c r="J65" s="11">
        <f>ROUND(I65,1)</f>
        <v>2032.5</v>
      </c>
      <c r="K65" s="8">
        <v>2032.5</v>
      </c>
      <c r="L65" s="9">
        <f>(J65-K65)</f>
        <v>0.0</v>
      </c>
    </row>
    <row r="66" spans="1:12" ht="23" customHeight="1">
      <c r="A66" s="6">
        <v>6</v>
      </c>
      <c r="B66" s="6">
        <v>3</v>
      </c>
      <c r="C66" s="6">
        <v>163</v>
      </c>
      <c r="D66" s="9">
        <f>SUM(K228)</f>
        <v>1.3</v>
      </c>
      <c r="E66" s="9">
        <f>SUM(I311)</f>
        <v>104936.0</v>
      </c>
      <c r="F66" s="6">
        <f>ROUND(E66,0)</f>
        <v>104936.0</v>
      </c>
      <c r="G66" s="7">
        <v>104936</v>
      </c>
      <c r="H66" s="9">
        <f>(F66-G66)</f>
        <v>0.0</v>
      </c>
      <c r="I66" s="9">
        <f>SUM(J311)</f>
        <v>672.75</v>
      </c>
      <c r="J66" s="11">
        <f>ROUND(I66,1)</f>
        <v>672.8</v>
      </c>
      <c r="K66" s="8">
        <v>672.8</v>
      </c>
      <c r="L66" s="9">
        <f>(J66-K66)</f>
        <v>0.0</v>
      </c>
    </row>
    <row r="67" spans="1:12" ht="23" customHeight="1">
      <c r="A67" s="6">
        <v>6</v>
      </c>
      <c r="B67" s="6">
        <v>3</v>
      </c>
      <c r="C67" s="6">
        <v>164</v>
      </c>
      <c r="D67" s="9">
        <f>SUM(K229)</f>
        <v>1.3</v>
      </c>
      <c r="E67" s="9">
        <f>SUM(I312)</f>
        <v>104936.0</v>
      </c>
      <c r="F67" s="6">
        <f>ROUND(E67,0)</f>
        <v>104936.0</v>
      </c>
      <c r="G67" s="7">
        <v>104936</v>
      </c>
      <c r="H67" s="9">
        <f>(F67-G67)</f>
        <v>0.0</v>
      </c>
      <c r="I67" s="9">
        <f>SUM(J312)</f>
        <v>672.75</v>
      </c>
      <c r="J67" s="11">
        <f>ROUND(I67,1)</f>
        <v>672.8</v>
      </c>
      <c r="K67" s="8">
        <v>672.8</v>
      </c>
      <c r="L67" s="9">
        <f>(J67-K67)</f>
        <v>0.0</v>
      </c>
    </row>
    <row r="68" spans="1:12" ht="23" customHeight="1">
      <c r="A68" s="6">
        <v>6</v>
      </c>
      <c r="B68" s="6">
        <v>3</v>
      </c>
      <c r="C68" s="6">
        <v>165</v>
      </c>
      <c r="D68" s="9">
        <f>SUM(K230)</f>
        <v>1.3</v>
      </c>
      <c r="E68" s="9">
        <f>SUM(I313)</f>
        <v>104936.0</v>
      </c>
      <c r="F68" s="6">
        <f>ROUND(E68,0)</f>
        <v>104936.0</v>
      </c>
      <c r="G68" s="7">
        <v>104936</v>
      </c>
      <c r="H68" s="9">
        <f>(F68-G68)</f>
        <v>0.0</v>
      </c>
      <c r="I68" s="9">
        <f>SUM(J313)</f>
        <v>672.75</v>
      </c>
      <c r="J68" s="11">
        <f>ROUND(I68,1)</f>
        <v>672.8</v>
      </c>
      <c r="K68" s="8">
        <v>672.8</v>
      </c>
      <c r="L68" s="9">
        <f>(J68-K68)</f>
        <v>0.0</v>
      </c>
    </row>
    <row r="69" spans="1:12" ht="23" customHeight="1">
      <c r="A69" s="6">
        <v>6</v>
      </c>
      <c r="B69" s="6">
        <v>3</v>
      </c>
      <c r="C69" s="6">
        <v>166</v>
      </c>
      <c r="D69" s="9">
        <f>SUM(K231)</f>
        <v>1.3</v>
      </c>
      <c r="E69" s="9">
        <f>SUM(I314)</f>
        <v>104936.0</v>
      </c>
      <c r="F69" s="6">
        <f>ROUND(E69,0)</f>
        <v>104936.0</v>
      </c>
      <c r="G69" s="7">
        <v>104936</v>
      </c>
      <c r="H69" s="9">
        <f>(F69-G69)</f>
        <v>0.0</v>
      </c>
      <c r="I69" s="9">
        <f>SUM(J314)</f>
        <v>672.75</v>
      </c>
      <c r="J69" s="11">
        <f>ROUND(I69,1)</f>
        <v>672.8</v>
      </c>
      <c r="K69" s="8">
        <v>672.8</v>
      </c>
      <c r="L69" s="9">
        <f>(J69-K69)</f>
        <v>0.0</v>
      </c>
    </row>
    <row r="70" spans="1:12" ht="23" customHeight="1">
      <c r="A70" s="6">
        <v>6</v>
      </c>
      <c r="B70" s="6">
        <v>3</v>
      </c>
      <c r="C70" s="6">
        <v>167</v>
      </c>
      <c r="D70" s="9">
        <f>SUM(K232)</f>
        <v>1.3</v>
      </c>
      <c r="E70" s="9">
        <f>SUM(I315)</f>
        <v>104936.0</v>
      </c>
      <c r="F70" s="6">
        <f>ROUND(E70,0)</f>
        <v>104936.0</v>
      </c>
      <c r="G70" s="7">
        <v>104936</v>
      </c>
      <c r="H70" s="9">
        <f>(F70-G70)</f>
        <v>0.0</v>
      </c>
      <c r="I70" s="9">
        <f>SUM(J315)</f>
        <v>672.75</v>
      </c>
      <c r="J70" s="11">
        <f>ROUND(I70,1)</f>
        <v>672.8</v>
      </c>
      <c r="K70" s="8">
        <v>672.8</v>
      </c>
      <c r="L70" s="9">
        <f>(J70-K70)</f>
        <v>0.0</v>
      </c>
    </row>
    <row r="71" spans="1:12" ht="23" customHeight="1">
      <c r="A71" s="6">
        <v>6</v>
      </c>
      <c r="B71" s="6">
        <v>3</v>
      </c>
      <c r="C71" s="6">
        <v>168</v>
      </c>
      <c r="D71" s="9">
        <f>SUM(K233)</f>
        <v>1.3</v>
      </c>
      <c r="E71" s="9">
        <f>SUM(I316)</f>
        <v>104936.0</v>
      </c>
      <c r="F71" s="6">
        <f>ROUND(E71,0)</f>
        <v>104936.0</v>
      </c>
      <c r="G71" s="7">
        <v>104936</v>
      </c>
      <c r="H71" s="9">
        <f>(F71-G71)</f>
        <v>0.0</v>
      </c>
      <c r="I71" s="9">
        <f>SUM(J316)</f>
        <v>672.75</v>
      </c>
      <c r="J71" s="11">
        <f>ROUND(I71,1)</f>
        <v>672.8</v>
      </c>
      <c r="K71" s="8">
        <v>672.8</v>
      </c>
      <c r="L71" s="9">
        <f>(J71-K71)</f>
        <v>0.0</v>
      </c>
    </row>
    <row r="72" spans="1:12" ht="23" customHeight="1">
      <c r="A72" s="6">
        <v>6</v>
      </c>
      <c r="B72" s="6">
        <v>3</v>
      </c>
      <c r="C72" s="6">
        <v>169</v>
      </c>
      <c r="D72" s="9">
        <f>SUM(K234)</f>
        <v>1.3</v>
      </c>
      <c r="E72" s="9">
        <f>SUM(I317)</f>
        <v>104936.0</v>
      </c>
      <c r="F72" s="6">
        <f>ROUND(E72,0)</f>
        <v>104936.0</v>
      </c>
      <c r="G72" s="7">
        <v>104936</v>
      </c>
      <c r="H72" s="9">
        <f>(F72-G72)</f>
        <v>0.0</v>
      </c>
      <c r="I72" s="9">
        <f>SUM(J317)</f>
        <v>672.75</v>
      </c>
      <c r="J72" s="11">
        <f>ROUND(I72,1)</f>
        <v>672.8</v>
      </c>
      <c r="K72" s="8">
        <v>672.8</v>
      </c>
      <c r="L72" s="9">
        <f>(J72-K72)</f>
        <v>0.0</v>
      </c>
    </row>
    <row r="73" spans="1:12" ht="24" customHeight="1">
      <c r="A73" s="3" t="s">
        <v>310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8</v>
      </c>
      <c r="B74" s="4" t="s">
        <v>9</v>
      </c>
      <c r="C74" s="4" t="s">
        <v>90</v>
      </c>
      <c r="D74" s="4" t="s">
        <v>311</v>
      </c>
      <c r="E74" s="4" t="s">
        <v>312</v>
      </c>
      <c r="F74" s="4" t="s">
        <v>313</v>
      </c>
      <c r="G74" s="4" t="s">
        <v>314</v>
      </c>
      <c r="H74" s="4" t="s">
        <v>315</v>
      </c>
      <c r="I74" s="4" t="s">
        <v>316</v>
      </c>
      <c r="J74" s="4" t="s">
        <v>317</v>
      </c>
      <c r="K74" s="4" t="s">
        <v>318</v>
      </c>
      <c r="L74" s="4" t="s">
        <v>319</v>
      </c>
    </row>
    <row r="75" spans="1:12" ht="23" customHeight="1">
      <c r="A75" s="6">
        <v>6</v>
      </c>
      <c r="B75" s="6">
        <v>3</v>
      </c>
      <c r="C75" s="6">
        <v>170</v>
      </c>
      <c r="D75" s="9">
        <f>SUM(K235)</f>
        <v>1.3</v>
      </c>
      <c r="E75" s="9">
        <f>SUM(I318)</f>
        <v>104936.0</v>
      </c>
      <c r="F75" s="6">
        <f>ROUND(E75,0)</f>
        <v>104936.0</v>
      </c>
      <c r="G75" s="7">
        <v>104936</v>
      </c>
      <c r="H75" s="9">
        <f>(F75-G75)</f>
        <v>0.0</v>
      </c>
      <c r="I75" s="9">
        <f>SUM(J318)</f>
        <v>672.75</v>
      </c>
      <c r="J75" s="11">
        <f>ROUND(I75,1)</f>
        <v>672.8</v>
      </c>
      <c r="K75" s="8">
        <v>672.8</v>
      </c>
      <c r="L75" s="9">
        <f>(J75-K75)</f>
        <v>0.0</v>
      </c>
    </row>
    <row r="76" spans="1:12" ht="23" customHeight="1">
      <c r="A76" s="6">
        <v>6</v>
      </c>
      <c r="B76" s="6">
        <v>3</v>
      </c>
      <c r="C76" s="6">
        <v>171</v>
      </c>
      <c r="D76" s="9">
        <f>SUM(K236)</f>
        <v>0.45</v>
      </c>
      <c r="E76" s="9">
        <f>SUM(I319)</f>
        <v>36324.0</v>
      </c>
      <c r="F76" s="6">
        <f>ROUND(E76,0)</f>
        <v>36324.0</v>
      </c>
      <c r="G76" s="7">
        <v>36324</v>
      </c>
      <c r="H76" s="9">
        <f>(F76-G76)</f>
        <v>0.0</v>
      </c>
      <c r="I76" s="9">
        <f>SUM(J319)</f>
        <v>232.875</v>
      </c>
      <c r="J76" s="11">
        <f>ROUND(I76,1)</f>
        <v>232.9</v>
      </c>
      <c r="K76" s="8">
        <v>232.9</v>
      </c>
      <c r="L76" s="9">
        <f>(J76-K76)</f>
        <v>0.0</v>
      </c>
    </row>
    <row r="77" spans="1:12" ht="23" customHeight="1"/>
    <row r="78" spans="1:12" ht="24" customHeight="1">
      <c r="A78" s="3" t="s">
        <v>320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36" customHeight="1">
      <c r="A79" s="4" t="s">
        <v>321</v>
      </c>
      <c r="B79" s="4" t="s">
        <v>322</v>
      </c>
      <c r="C79" s="4" t="s">
        <v>323</v>
      </c>
      <c r="D79" s="4" t="s">
        <v>324</v>
      </c>
    </row>
    <row r="80" spans="1:12" ht="23" customHeight="1">
      <c r="A80" s="35">
        <v>31</v>
      </c>
      <c r="B80" s="35">
        <v>4.945</v>
      </c>
      <c r="C80" s="35">
        <v>1.3</v>
      </c>
      <c r="D80" s="36">
        <f>ROUND((A80-C80),4)</f>
        <v>29.7</v>
      </c>
    </row>
    <row r="81" spans="1:12" ht="23" customHeight="1"/>
    <row r="82" spans="1:12" ht="24" customHeight="1">
      <c r="A82" s="3" t="s">
        <v>325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36" customHeight="1">
      <c r="A83" s="4" t="s">
        <v>8</v>
      </c>
      <c r="B83" s="4" t="s">
        <v>9</v>
      </c>
      <c r="C83" s="4" t="s">
        <v>90</v>
      </c>
      <c r="D83" s="4" t="s">
        <v>326</v>
      </c>
      <c r="E83" s="4" t="s">
        <v>327</v>
      </c>
      <c r="F83" s="4" t="s">
        <v>328</v>
      </c>
      <c r="G83" s="4" t="s">
        <v>329</v>
      </c>
      <c r="H83" s="4" t="s">
        <v>330</v>
      </c>
      <c r="I83" s="4" t="s">
        <v>331</v>
      </c>
      <c r="J83" s="4" t="s">
        <v>332</v>
      </c>
      <c r="K83" s="4" t="s">
        <v>333</v>
      </c>
      <c r="L83" s="4" t="s">
        <v>334</v>
      </c>
    </row>
    <row r="84" spans="1:12" ht="23" customHeight="1">
      <c r="A84" s="6">
        <v>4</v>
      </c>
      <c r="B84" s="6">
        <v>1</v>
      </c>
      <c r="C84" s="6">
        <v>102</v>
      </c>
      <c r="D84" s="6">
        <v>101</v>
      </c>
      <c r="E84" s="6">
        <v>103</v>
      </c>
      <c r="F84" s="35">
        <v>3.9</v>
      </c>
      <c r="G84" s="35">
        <v>5.2</v>
      </c>
      <c r="H84" s="35">
        <v>6.5</v>
      </c>
      <c r="I84" s="36">
        <f>ROUND(((F84+G84)/2),4)</f>
        <v>4.55</v>
      </c>
      <c r="J84" s="36">
        <f>ROUND(((G84+H84)/2),4)</f>
        <v>5.85</v>
      </c>
      <c r="K84" s="36">
        <f>ROUND((J84-I84),4)</f>
        <v>1.3</v>
      </c>
      <c r="L84" s="36">
        <f>ROUND((K84-D9),4)</f>
        <v>0.395</v>
      </c>
    </row>
    <row r="85" spans="1:12" ht="23" customHeight="1">
      <c r="A85" s="6">
        <v>4</v>
      </c>
      <c r="B85" s="6">
        <v>1</v>
      </c>
      <c r="C85" s="6">
        <v>103</v>
      </c>
      <c r="D85" s="6">
        <v>102</v>
      </c>
      <c r="E85" s="6">
        <v>104</v>
      </c>
      <c r="F85" s="35">
        <v>5.2</v>
      </c>
      <c r="G85" s="35">
        <v>6.5</v>
      </c>
      <c r="H85" s="35">
        <v>7.8</v>
      </c>
      <c r="I85" s="36">
        <f>ROUND(((F85+G85)/2),4)</f>
        <v>5.85</v>
      </c>
      <c r="J85" s="36">
        <f>ROUND(((G85+H85)/2),4)</f>
        <v>7.15</v>
      </c>
      <c r="K85" s="36">
        <f>ROUND((J85-I85),4)</f>
        <v>1.3</v>
      </c>
      <c r="L85" s="36">
        <f>ROUND((K85-D10),4)</f>
        <v>0.0</v>
      </c>
    </row>
    <row r="86" spans="1:12" ht="23" customHeight="1">
      <c r="A86" s="6">
        <v>4</v>
      </c>
      <c r="B86" s="6">
        <v>1</v>
      </c>
      <c r="C86" s="6">
        <v>104</v>
      </c>
      <c r="D86" s="6">
        <v>103</v>
      </c>
      <c r="E86" s="6">
        <v>105</v>
      </c>
      <c r="F86" s="35">
        <v>6.5</v>
      </c>
      <c r="G86" s="35">
        <v>7.8</v>
      </c>
      <c r="H86" s="35">
        <v>9.1</v>
      </c>
      <c r="I86" s="36">
        <f>ROUND(((F86+G86)/2),4)</f>
        <v>7.15</v>
      </c>
      <c r="J86" s="36">
        <f>ROUND(((G86+H86)/2),4)</f>
        <v>8.45</v>
      </c>
      <c r="K86" s="36">
        <f>ROUND((J86-I86),4)</f>
        <v>1.3</v>
      </c>
      <c r="L86" s="36">
        <f>ROUND((K86-D11),4)</f>
        <v>0.0</v>
      </c>
    </row>
    <row r="87" spans="1:12" ht="23" customHeight="1">
      <c r="A87" s="6">
        <v>4</v>
      </c>
      <c r="B87" s="6">
        <v>1</v>
      </c>
      <c r="C87" s="6">
        <v>105</v>
      </c>
      <c r="D87" s="6">
        <v>104</v>
      </c>
      <c r="E87" s="6">
        <v>106</v>
      </c>
      <c r="F87" s="35">
        <v>7.8</v>
      </c>
      <c r="G87" s="35">
        <v>9.1</v>
      </c>
      <c r="H87" s="35">
        <v>10.4</v>
      </c>
      <c r="I87" s="36">
        <f>ROUND(((F87+G87)/2),4)</f>
        <v>8.45</v>
      </c>
      <c r="J87" s="36">
        <f>ROUND(((G87+H87)/2),4)</f>
        <v>9.75</v>
      </c>
      <c r="K87" s="36">
        <f>ROUND((J87-I87),4)</f>
        <v>1.3</v>
      </c>
      <c r="L87" s="36">
        <f>ROUND((K87-D12),4)</f>
        <v>0.0</v>
      </c>
    </row>
    <row r="88" spans="1:12" ht="23" customHeight="1">
      <c r="A88" s="6">
        <v>4</v>
      </c>
      <c r="B88" s="6">
        <v>1</v>
      </c>
      <c r="C88" s="6">
        <v>106</v>
      </c>
      <c r="D88" s="6">
        <v>105</v>
      </c>
      <c r="E88" s="6">
        <v>107</v>
      </c>
      <c r="F88" s="35">
        <v>9.1</v>
      </c>
      <c r="G88" s="35">
        <v>10.4</v>
      </c>
      <c r="H88" s="35">
        <v>11.7</v>
      </c>
      <c r="I88" s="36">
        <f>ROUND(((F88+G88)/2),4)</f>
        <v>9.75</v>
      </c>
      <c r="J88" s="36">
        <f>ROUND(((G88+H88)/2),4)</f>
        <v>11.05</v>
      </c>
      <c r="K88" s="36">
        <f>ROUND((J88-I88),4)</f>
        <v>1.3</v>
      </c>
      <c r="L88" s="36">
        <f>ROUND((K88-D13),4)</f>
        <v>0.0</v>
      </c>
    </row>
    <row r="89" spans="1:12" ht="24" customHeight="1">
      <c r="A89" s="3" t="s">
        <v>325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36" customHeight="1">
      <c r="A90" s="4" t="s">
        <v>8</v>
      </c>
      <c r="B90" s="4" t="s">
        <v>9</v>
      </c>
      <c r="C90" s="4" t="s">
        <v>90</v>
      </c>
      <c r="D90" s="4" t="s">
        <v>326</v>
      </c>
      <c r="E90" s="4" t="s">
        <v>327</v>
      </c>
      <c r="F90" s="4" t="s">
        <v>328</v>
      </c>
      <c r="G90" s="4" t="s">
        <v>329</v>
      </c>
      <c r="H90" s="4" t="s">
        <v>330</v>
      </c>
      <c r="I90" s="4" t="s">
        <v>331</v>
      </c>
      <c r="J90" s="4" t="s">
        <v>332</v>
      </c>
      <c r="K90" s="4" t="s">
        <v>333</v>
      </c>
      <c r="L90" s="4" t="s">
        <v>334</v>
      </c>
    </row>
    <row r="91" spans="1:12" ht="23" customHeight="1">
      <c r="A91" s="6">
        <v>4</v>
      </c>
      <c r="B91" s="6">
        <v>1</v>
      </c>
      <c r="C91" s="6">
        <v>107</v>
      </c>
      <c r="D91" s="6">
        <v>106</v>
      </c>
      <c r="E91" s="6">
        <v>108</v>
      </c>
      <c r="F91" s="35">
        <v>10.4</v>
      </c>
      <c r="G91" s="35">
        <v>11.7</v>
      </c>
      <c r="H91" s="35">
        <v>13</v>
      </c>
      <c r="I91" s="36">
        <f>ROUND(((F91+G91)/2),4)</f>
        <v>11.05</v>
      </c>
      <c r="J91" s="36">
        <f>ROUND(((G91+H91)/2),4)</f>
        <v>12.35</v>
      </c>
      <c r="K91" s="36">
        <f>ROUND((J91-I91),4)</f>
        <v>1.3</v>
      </c>
      <c r="L91" s="36">
        <f>ROUND((K91-D14),4)</f>
        <v>0.0</v>
      </c>
    </row>
    <row r="92" spans="1:12" ht="23" customHeight="1">
      <c r="A92" s="6">
        <v>4</v>
      </c>
      <c r="B92" s="6">
        <v>1</v>
      </c>
      <c r="C92" s="6">
        <v>108</v>
      </c>
      <c r="D92" s="6">
        <v>107</v>
      </c>
      <c r="E92" s="6">
        <v>109</v>
      </c>
      <c r="F92" s="35">
        <v>11.7</v>
      </c>
      <c r="G92" s="35">
        <v>13</v>
      </c>
      <c r="H92" s="35">
        <v>14.3</v>
      </c>
      <c r="I92" s="36">
        <f>ROUND(((F92+G92)/2),4)</f>
        <v>12.35</v>
      </c>
      <c r="J92" s="36">
        <f>ROUND(((G92+H92)/2),4)</f>
        <v>13.65</v>
      </c>
      <c r="K92" s="36">
        <f>ROUND((J92-I92),4)</f>
        <v>1.3</v>
      </c>
      <c r="L92" s="36">
        <f>ROUND((K92-D15),4)</f>
        <v>0.0</v>
      </c>
    </row>
    <row r="93" spans="1:12" ht="23" customHeight="1">
      <c r="A93" s="6">
        <v>4</v>
      </c>
      <c r="B93" s="6">
        <v>1</v>
      </c>
      <c r="C93" s="6">
        <v>109</v>
      </c>
      <c r="D93" s="6">
        <v>108</v>
      </c>
      <c r="E93" s="6">
        <v>110</v>
      </c>
      <c r="F93" s="35">
        <v>13</v>
      </c>
      <c r="G93" s="35">
        <v>14.3</v>
      </c>
      <c r="H93" s="35">
        <v>15.6</v>
      </c>
      <c r="I93" s="36">
        <f>ROUND(((F93+G93)/2),4)</f>
        <v>13.65</v>
      </c>
      <c r="J93" s="36">
        <f>ROUND(((G93+H93)/2),4)</f>
        <v>14.95</v>
      </c>
      <c r="K93" s="36">
        <f>ROUND((J93-I93),4)</f>
        <v>1.3</v>
      </c>
      <c r="L93" s="36">
        <f>ROUND((K93-D16),4)</f>
        <v>0.0</v>
      </c>
    </row>
    <row r="94" spans="1:12" ht="23" customHeight="1">
      <c r="A94" s="6">
        <v>4</v>
      </c>
      <c r="B94" s="6">
        <v>1</v>
      </c>
      <c r="C94" s="6">
        <v>110</v>
      </c>
      <c r="D94" s="6">
        <v>109</v>
      </c>
      <c r="E94" s="6">
        <v>111</v>
      </c>
      <c r="F94" s="35">
        <v>14.3</v>
      </c>
      <c r="G94" s="35">
        <v>15.6</v>
      </c>
      <c r="H94" s="35">
        <v>16.9</v>
      </c>
      <c r="I94" s="36">
        <f>ROUND(((F94+G94)/2),4)</f>
        <v>14.95</v>
      </c>
      <c r="J94" s="36">
        <f>ROUND(((G94+H94)/2),4)</f>
        <v>16.25</v>
      </c>
      <c r="K94" s="36">
        <f>ROUND((J94-I94),4)</f>
        <v>1.3</v>
      </c>
      <c r="L94" s="36">
        <f>ROUND((K94-D17),4)</f>
        <v>0.0</v>
      </c>
    </row>
    <row r="95" spans="1:12" ht="23" customHeight="1">
      <c r="A95" s="6">
        <v>4</v>
      </c>
      <c r="B95" s="6">
        <v>1</v>
      </c>
      <c r="C95" s="6">
        <v>111</v>
      </c>
      <c r="D95" s="6">
        <v>110</v>
      </c>
      <c r="E95" s="6">
        <v>112</v>
      </c>
      <c r="F95" s="35">
        <v>15.6</v>
      </c>
      <c r="G95" s="35">
        <v>16.9</v>
      </c>
      <c r="H95" s="35">
        <v>18.2</v>
      </c>
      <c r="I95" s="36">
        <f>ROUND(((F95+G95)/2),4)</f>
        <v>16.25</v>
      </c>
      <c r="J95" s="36">
        <f>ROUND(((G95+H95)/2),4)</f>
        <v>17.55</v>
      </c>
      <c r="K95" s="36">
        <f>ROUND((J95-I95),4)</f>
        <v>1.3</v>
      </c>
      <c r="L95" s="36">
        <f>ROUND((K95-D18),4)</f>
        <v>0.0</v>
      </c>
    </row>
    <row r="96" spans="1:12" ht="23" customHeight="1">
      <c r="A96" s="6">
        <v>4</v>
      </c>
      <c r="B96" s="6">
        <v>1</v>
      </c>
      <c r="C96" s="6">
        <v>112</v>
      </c>
      <c r="D96" s="6">
        <v>111</v>
      </c>
      <c r="E96" s="6">
        <v>113</v>
      </c>
      <c r="F96" s="35">
        <v>16.9</v>
      </c>
      <c r="G96" s="35">
        <v>18.2</v>
      </c>
      <c r="H96" s="35">
        <v>19.5</v>
      </c>
      <c r="I96" s="36">
        <f>ROUND(((F96+G96)/2),4)</f>
        <v>17.55</v>
      </c>
      <c r="J96" s="36">
        <f>ROUND(((G96+H96)/2),4)</f>
        <v>18.85</v>
      </c>
      <c r="K96" s="36">
        <f>ROUND((J96-I96),4)</f>
        <v>1.3</v>
      </c>
      <c r="L96" s="36">
        <f>ROUND((K96-D19),4)</f>
        <v>0.0</v>
      </c>
    </row>
    <row r="97" spans="1:12" ht="23" customHeight="1">
      <c r="A97" s="6">
        <v>4</v>
      </c>
      <c r="B97" s="6">
        <v>1</v>
      </c>
      <c r="C97" s="6">
        <v>113</v>
      </c>
      <c r="D97" s="6">
        <v>112</v>
      </c>
      <c r="E97" s="6">
        <v>114</v>
      </c>
      <c r="F97" s="35">
        <v>18.2</v>
      </c>
      <c r="G97" s="35">
        <v>19.5</v>
      </c>
      <c r="H97" s="35">
        <v>20.8</v>
      </c>
      <c r="I97" s="36">
        <f>ROUND(((F97+G97)/2),4)</f>
        <v>18.85</v>
      </c>
      <c r="J97" s="36">
        <f>ROUND(((G97+H97)/2),4)</f>
        <v>20.15</v>
      </c>
      <c r="K97" s="36">
        <f>ROUND((J97-I97),4)</f>
        <v>1.3</v>
      </c>
      <c r="L97" s="36">
        <f>ROUND((K97-D20),4)</f>
        <v>0.0</v>
      </c>
    </row>
    <row r="98" spans="1:12" ht="23" customHeight="1">
      <c r="A98" s="6">
        <v>4</v>
      </c>
      <c r="B98" s="6">
        <v>1</v>
      </c>
      <c r="C98" s="6">
        <v>114</v>
      </c>
      <c r="D98" s="6">
        <v>113</v>
      </c>
      <c r="E98" s="6">
        <v>115</v>
      </c>
      <c r="F98" s="35">
        <v>19.5</v>
      </c>
      <c r="G98" s="35">
        <v>20.8</v>
      </c>
      <c r="H98" s="35">
        <v>22.1</v>
      </c>
      <c r="I98" s="36">
        <f>ROUND(((F98+G98)/2),4)</f>
        <v>20.15</v>
      </c>
      <c r="J98" s="36">
        <f>ROUND(((G98+H98)/2),4)</f>
        <v>21.45</v>
      </c>
      <c r="K98" s="36">
        <f>ROUND((J98-I98),4)</f>
        <v>1.3</v>
      </c>
      <c r="L98" s="36">
        <f>ROUND((K98-D21),4)</f>
        <v>0.0</v>
      </c>
    </row>
    <row r="99" spans="1:12" ht="23" customHeight="1">
      <c r="A99" s="6">
        <v>4</v>
      </c>
      <c r="B99" s="6">
        <v>1</v>
      </c>
      <c r="C99" s="6">
        <v>115</v>
      </c>
      <c r="D99" s="6">
        <v>114</v>
      </c>
      <c r="E99" s="6">
        <v>116</v>
      </c>
      <c r="F99" s="35">
        <v>20.8</v>
      </c>
      <c r="G99" s="35">
        <v>22.1</v>
      </c>
      <c r="H99" s="35">
        <v>23.4</v>
      </c>
      <c r="I99" s="36">
        <f>ROUND(((F99+G99)/2),4)</f>
        <v>21.45</v>
      </c>
      <c r="J99" s="36">
        <f>ROUND(((G99+H99)/2),4)</f>
        <v>22.75</v>
      </c>
      <c r="K99" s="36">
        <f>ROUND((J99-I99),4)</f>
        <v>1.3</v>
      </c>
      <c r="L99" s="36">
        <f>ROUND((K99-D24),4)</f>
        <v>0.0</v>
      </c>
    </row>
    <row r="100" spans="1:12" ht="23" customHeight="1">
      <c r="A100" s="6">
        <v>4</v>
      </c>
      <c r="B100" s="6">
        <v>1</v>
      </c>
      <c r="C100" s="6">
        <v>116</v>
      </c>
      <c r="D100" s="6">
        <v>115</v>
      </c>
      <c r="E100" s="6">
        <v>117</v>
      </c>
      <c r="F100" s="35">
        <v>22.1</v>
      </c>
      <c r="G100" s="35">
        <v>23.4</v>
      </c>
      <c r="H100" s="35">
        <v>24.7</v>
      </c>
      <c r="I100" s="36">
        <f>ROUND(((F100+G100)/2),4)</f>
        <v>22.75</v>
      </c>
      <c r="J100" s="36">
        <f>ROUND(((G100+H100)/2),4)</f>
        <v>24.05</v>
      </c>
      <c r="K100" s="36">
        <f>ROUND((J100-I100),4)</f>
        <v>1.3</v>
      </c>
      <c r="L100" s="36">
        <f>ROUND((K100-D25),4)</f>
        <v>0.0</v>
      </c>
    </row>
    <row r="101" spans="1:12" ht="23" customHeight="1">
      <c r="A101" s="6">
        <v>4</v>
      </c>
      <c r="B101" s="6">
        <v>1</v>
      </c>
      <c r="C101" s="6">
        <v>117</v>
      </c>
      <c r="D101" s="6">
        <v>116</v>
      </c>
      <c r="E101" s="6">
        <v>118</v>
      </c>
      <c r="F101" s="35">
        <v>23.4</v>
      </c>
      <c r="G101" s="35">
        <v>24.7</v>
      </c>
      <c r="H101" s="35">
        <v>26</v>
      </c>
      <c r="I101" s="36">
        <f>ROUND(((F101+G101)/2),4)</f>
        <v>24.05</v>
      </c>
      <c r="J101" s="36">
        <f>ROUND(((G101+H101)/2),4)</f>
        <v>25.35</v>
      </c>
      <c r="K101" s="36">
        <f>ROUND((J101-I101),4)</f>
        <v>1.3</v>
      </c>
      <c r="L101" s="36">
        <f>ROUND((K101-D26),4)</f>
        <v>0.0</v>
      </c>
    </row>
    <row r="102" spans="1:12" ht="23" customHeight="1">
      <c r="A102" s="6">
        <v>4</v>
      </c>
      <c r="B102" s="6">
        <v>1</v>
      </c>
      <c r="C102" s="6">
        <v>118</v>
      </c>
      <c r="D102" s="6">
        <v>117</v>
      </c>
      <c r="E102" s="6">
        <v>119</v>
      </c>
      <c r="F102" s="35">
        <v>24.7</v>
      </c>
      <c r="G102" s="35">
        <v>26</v>
      </c>
      <c r="H102" s="35">
        <v>27.3</v>
      </c>
      <c r="I102" s="36">
        <f>ROUND(((F102+G102)/2),4)</f>
        <v>25.35</v>
      </c>
      <c r="J102" s="36">
        <f>ROUND(((G102+H102)/2),4)</f>
        <v>26.65</v>
      </c>
      <c r="K102" s="36">
        <f>ROUND((J102-I102),4)</f>
        <v>1.3</v>
      </c>
      <c r="L102" s="36">
        <f>ROUND((K102-D27),4)</f>
        <v>0.0</v>
      </c>
    </row>
    <row r="103" spans="1:12" ht="23" customHeight="1">
      <c r="A103" s="6">
        <v>4</v>
      </c>
      <c r="B103" s="6">
        <v>1</v>
      </c>
      <c r="C103" s="6">
        <v>119</v>
      </c>
      <c r="D103" s="6">
        <v>118</v>
      </c>
      <c r="E103" s="6">
        <v>120</v>
      </c>
      <c r="F103" s="35">
        <v>26</v>
      </c>
      <c r="G103" s="35">
        <v>27.3</v>
      </c>
      <c r="H103" s="35">
        <v>28.6</v>
      </c>
      <c r="I103" s="36">
        <f>ROUND(((F103+G103)/2),4)</f>
        <v>26.65</v>
      </c>
      <c r="J103" s="36">
        <f>ROUND(((G103+H103)/2),4)</f>
        <v>27.95</v>
      </c>
      <c r="K103" s="36">
        <f>ROUND((J103-I103),4)</f>
        <v>1.3</v>
      </c>
      <c r="L103" s="36">
        <f>ROUND((K103-D28),4)</f>
        <v>0.0</v>
      </c>
    </row>
    <row r="104" spans="1:12" ht="23" customHeight="1">
      <c r="A104" s="6">
        <v>4</v>
      </c>
      <c r="B104" s="6">
        <v>1</v>
      </c>
      <c r="C104" s="6">
        <v>120</v>
      </c>
      <c r="D104" s="6">
        <v>119</v>
      </c>
      <c r="E104" s="6">
        <v>121</v>
      </c>
      <c r="F104" s="35">
        <v>27.3</v>
      </c>
      <c r="G104" s="35">
        <v>28.6</v>
      </c>
      <c r="H104" s="35">
        <v>29.9</v>
      </c>
      <c r="I104" s="36">
        <f>ROUND(((F104+G104)/2),4)</f>
        <v>27.95</v>
      </c>
      <c r="J104" s="36">
        <f>ROUND(((G104+H104)/2),4)</f>
        <v>29.25</v>
      </c>
      <c r="K104" s="36">
        <f>ROUND((J104-I104),4)</f>
        <v>1.3</v>
      </c>
      <c r="L104" s="36">
        <f>ROUND((K104-D29),4)</f>
        <v>0.0</v>
      </c>
    </row>
    <row r="105" spans="1:12" ht="23" customHeight="1">
      <c r="A105" s="6">
        <v>4</v>
      </c>
      <c r="B105" s="6">
        <v>1</v>
      </c>
      <c r="C105" s="6">
        <v>121</v>
      </c>
      <c r="D105" s="6">
        <v>120</v>
      </c>
      <c r="E105" s="6">
        <v>122</v>
      </c>
      <c r="F105" s="35">
        <v>28.6</v>
      </c>
      <c r="G105" s="35">
        <v>29.9</v>
      </c>
      <c r="H105" s="35">
        <v>31</v>
      </c>
      <c r="I105" s="36">
        <f>ROUND(((F105+G105)/2),4)</f>
        <v>29.25</v>
      </c>
      <c r="J105" s="36">
        <f>ROUND(((G105+H105)/2),4)</f>
        <v>30.45</v>
      </c>
      <c r="K105" s="36">
        <f>ROUND((J105-I105),4)</f>
        <v>1.2</v>
      </c>
      <c r="L105" s="36">
        <f>ROUND((K105-D30),4)</f>
        <v>0.75</v>
      </c>
    </row>
    <row r="106" spans="1:12" ht="24" customHeight="1">
      <c r="A106" s="3" t="s">
        <v>325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8</v>
      </c>
      <c r="B107" s="4" t="s">
        <v>9</v>
      </c>
      <c r="C107" s="4" t="s">
        <v>90</v>
      </c>
      <c r="D107" s="4" t="s">
        <v>326</v>
      </c>
      <c r="E107" s="4" t="s">
        <v>327</v>
      </c>
      <c r="F107" s="4" t="s">
        <v>328</v>
      </c>
      <c r="G107" s="4" t="s">
        <v>329</v>
      </c>
      <c r="H107" s="4" t="s">
        <v>330</v>
      </c>
      <c r="I107" s="4" t="s">
        <v>331</v>
      </c>
      <c r="J107" s="4" t="s">
        <v>332</v>
      </c>
      <c r="K107" s="4" t="s">
        <v>333</v>
      </c>
      <c r="L107" s="4" t="s">
        <v>334</v>
      </c>
    </row>
    <row r="108" spans="1:12" ht="23" customHeight="1">
      <c r="A108" s="6">
        <v>5</v>
      </c>
      <c r="B108" s="6">
        <v>2</v>
      </c>
      <c r="C108" s="6">
        <v>127</v>
      </c>
      <c r="D108" s="6">
        <v>126</v>
      </c>
      <c r="E108" s="6">
        <v>128</v>
      </c>
      <c r="F108" s="35">
        <v>3.9</v>
      </c>
      <c r="G108" s="35">
        <v>5.2</v>
      </c>
      <c r="H108" s="35">
        <v>6.5</v>
      </c>
      <c r="I108" s="36">
        <f>ROUND(((F108+G108)/2),4)</f>
        <v>4.55</v>
      </c>
      <c r="J108" s="36">
        <f>ROUND(((G108+H108)/2),4)</f>
        <v>5.85</v>
      </c>
      <c r="K108" s="36">
        <f>ROUND((J108-I108),4)</f>
        <v>1.3</v>
      </c>
      <c r="L108" s="36">
        <f>ROUND((K108-D31),4)</f>
        <v>0.395</v>
      </c>
    </row>
    <row r="109" spans="1:12" ht="23" customHeight="1">
      <c r="A109" s="6">
        <v>5</v>
      </c>
      <c r="B109" s="6">
        <v>2</v>
      </c>
      <c r="C109" s="6">
        <v>128</v>
      </c>
      <c r="D109" s="6">
        <v>127</v>
      </c>
      <c r="E109" s="6">
        <v>129</v>
      </c>
      <c r="F109" s="35">
        <v>5.2</v>
      </c>
      <c r="G109" s="35">
        <v>6.5</v>
      </c>
      <c r="H109" s="35">
        <v>7.8</v>
      </c>
      <c r="I109" s="36">
        <f>ROUND(((F109+G109)/2),4)</f>
        <v>5.85</v>
      </c>
      <c r="J109" s="36">
        <f>ROUND(((G109+H109)/2),4)</f>
        <v>7.15</v>
      </c>
      <c r="K109" s="36">
        <f>ROUND((J109-I109),4)</f>
        <v>1.3</v>
      </c>
      <c r="L109" s="36">
        <f>ROUND((K109-D32),4)</f>
        <v>0.0</v>
      </c>
    </row>
    <row r="110" spans="1:12" ht="23" customHeight="1">
      <c r="A110" s="6">
        <v>5</v>
      </c>
      <c r="B110" s="6">
        <v>2</v>
      </c>
      <c r="C110" s="6">
        <v>129</v>
      </c>
      <c r="D110" s="6">
        <v>128</v>
      </c>
      <c r="E110" s="6">
        <v>130</v>
      </c>
      <c r="F110" s="35">
        <v>6.5</v>
      </c>
      <c r="G110" s="35">
        <v>7.8</v>
      </c>
      <c r="H110" s="35">
        <v>9.1</v>
      </c>
      <c r="I110" s="36">
        <f>ROUND(((F110+G110)/2),4)</f>
        <v>7.15</v>
      </c>
      <c r="J110" s="36">
        <f>ROUND(((G110+H110)/2),4)</f>
        <v>8.45</v>
      </c>
      <c r="K110" s="36">
        <f>ROUND((J110-I110),4)</f>
        <v>1.3</v>
      </c>
      <c r="L110" s="36">
        <f>ROUND((K110-D33),4)</f>
        <v>0.0</v>
      </c>
    </row>
    <row r="111" spans="1:12" ht="23" customHeight="1">
      <c r="A111" s="6">
        <v>5</v>
      </c>
      <c r="B111" s="6">
        <v>2</v>
      </c>
      <c r="C111" s="6">
        <v>130</v>
      </c>
      <c r="D111" s="6">
        <v>129</v>
      </c>
      <c r="E111" s="6">
        <v>131</v>
      </c>
      <c r="F111" s="35">
        <v>7.8</v>
      </c>
      <c r="G111" s="35">
        <v>9.1</v>
      </c>
      <c r="H111" s="35">
        <v>10.4</v>
      </c>
      <c r="I111" s="36">
        <f>ROUND(((F111+G111)/2),4)</f>
        <v>8.45</v>
      </c>
      <c r="J111" s="36">
        <f>ROUND(((G111+H111)/2),4)</f>
        <v>9.75</v>
      </c>
      <c r="K111" s="36">
        <f>ROUND((J111-I111),4)</f>
        <v>1.3</v>
      </c>
      <c r="L111" s="36">
        <f>ROUND((K111-D34),4)</f>
        <v>0.0</v>
      </c>
    </row>
    <row r="112" spans="1:12" ht="23" customHeight="1">
      <c r="A112" s="6">
        <v>5</v>
      </c>
      <c r="B112" s="6">
        <v>2</v>
      </c>
      <c r="C112" s="6">
        <v>131</v>
      </c>
      <c r="D112" s="6">
        <v>130</v>
      </c>
      <c r="E112" s="6">
        <v>132</v>
      </c>
      <c r="F112" s="35">
        <v>9.1</v>
      </c>
      <c r="G112" s="35">
        <v>10.4</v>
      </c>
      <c r="H112" s="35">
        <v>11.7</v>
      </c>
      <c r="I112" s="36">
        <f>ROUND(((F112+G112)/2),4)</f>
        <v>9.75</v>
      </c>
      <c r="J112" s="36">
        <f>ROUND(((G112+H112)/2),4)</f>
        <v>11.05</v>
      </c>
      <c r="K112" s="36">
        <f>ROUND((J112-I112),4)</f>
        <v>1.3</v>
      </c>
      <c r="L112" s="36">
        <f>ROUND((K112-D35),4)</f>
        <v>0.0</v>
      </c>
    </row>
    <row r="113" spans="1:12" ht="23" customHeight="1">
      <c r="A113" s="6">
        <v>5</v>
      </c>
      <c r="B113" s="6">
        <v>2</v>
      </c>
      <c r="C113" s="6">
        <v>132</v>
      </c>
      <c r="D113" s="6">
        <v>131</v>
      </c>
      <c r="E113" s="6">
        <v>133</v>
      </c>
      <c r="F113" s="35">
        <v>10.4</v>
      </c>
      <c r="G113" s="35">
        <v>11.7</v>
      </c>
      <c r="H113" s="35">
        <v>13</v>
      </c>
      <c r="I113" s="36">
        <f>ROUND(((F113+G113)/2),4)</f>
        <v>11.05</v>
      </c>
      <c r="J113" s="36">
        <f>ROUND(((G113+H113)/2),4)</f>
        <v>12.35</v>
      </c>
      <c r="K113" s="36">
        <f>ROUND((J113-I113),4)</f>
        <v>1.3</v>
      </c>
      <c r="L113" s="36">
        <f>ROUND((K113-D36),4)</f>
        <v>0.0</v>
      </c>
    </row>
    <row r="114" spans="1:12" ht="23" customHeight="1">
      <c r="A114" s="6">
        <v>5</v>
      </c>
      <c r="B114" s="6">
        <v>2</v>
      </c>
      <c r="C114" s="6">
        <v>133</v>
      </c>
      <c r="D114" s="6">
        <v>132</v>
      </c>
      <c r="E114" s="6">
        <v>134</v>
      </c>
      <c r="F114" s="35">
        <v>11.7</v>
      </c>
      <c r="G114" s="35">
        <v>13</v>
      </c>
      <c r="H114" s="35">
        <v>14.3</v>
      </c>
      <c r="I114" s="36">
        <f>ROUND(((F114+G114)/2),4)</f>
        <v>12.35</v>
      </c>
      <c r="J114" s="36">
        <f>ROUND(((G114+H114)/2),4)</f>
        <v>13.65</v>
      </c>
      <c r="K114" s="36">
        <f>ROUND((J114-I114),4)</f>
        <v>1.3</v>
      </c>
      <c r="L114" s="36">
        <f>ROUND((K114-D37),4)</f>
        <v>0.0</v>
      </c>
    </row>
    <row r="115" spans="1:12" ht="23" customHeight="1">
      <c r="A115" s="6">
        <v>5</v>
      </c>
      <c r="B115" s="6">
        <v>2</v>
      </c>
      <c r="C115" s="6">
        <v>134</v>
      </c>
      <c r="D115" s="6">
        <v>133</v>
      </c>
      <c r="E115" s="6">
        <v>135</v>
      </c>
      <c r="F115" s="35">
        <v>13</v>
      </c>
      <c r="G115" s="35">
        <v>14.3</v>
      </c>
      <c r="H115" s="35">
        <v>15.6</v>
      </c>
      <c r="I115" s="36">
        <f>ROUND(((F115+G115)/2),4)</f>
        <v>13.65</v>
      </c>
      <c r="J115" s="36">
        <f>ROUND(((G115+H115)/2),4)</f>
        <v>14.95</v>
      </c>
      <c r="K115" s="36">
        <f>ROUND((J115-I115),4)</f>
        <v>1.3</v>
      </c>
      <c r="L115" s="36">
        <f>ROUND((K115-D38),4)</f>
        <v>0.0</v>
      </c>
    </row>
    <row r="116" spans="1:12" ht="23" customHeight="1">
      <c r="A116" s="6">
        <v>5</v>
      </c>
      <c r="B116" s="6">
        <v>2</v>
      </c>
      <c r="C116" s="6">
        <v>135</v>
      </c>
      <c r="D116" s="6">
        <v>134</v>
      </c>
      <c r="E116" s="6">
        <v>136</v>
      </c>
      <c r="F116" s="35">
        <v>14.3</v>
      </c>
      <c r="G116" s="35">
        <v>15.6</v>
      </c>
      <c r="H116" s="35">
        <v>16.9</v>
      </c>
      <c r="I116" s="36">
        <f>ROUND(((F116+G116)/2),4)</f>
        <v>14.95</v>
      </c>
      <c r="J116" s="36">
        <f>ROUND(((G116+H116)/2),4)</f>
        <v>16.25</v>
      </c>
      <c r="K116" s="36">
        <f>ROUND((J116-I116),4)</f>
        <v>1.3</v>
      </c>
      <c r="L116" s="36">
        <f>ROUND((K116-D41),4)</f>
        <v>0.0</v>
      </c>
    </row>
    <row r="117" spans="1:12" ht="23" customHeight="1">
      <c r="A117" s="6">
        <v>5</v>
      </c>
      <c r="B117" s="6">
        <v>2</v>
      </c>
      <c r="C117" s="6">
        <v>136</v>
      </c>
      <c r="D117" s="6">
        <v>135</v>
      </c>
      <c r="E117" s="6">
        <v>137</v>
      </c>
      <c r="F117" s="35">
        <v>15.6</v>
      </c>
      <c r="G117" s="35">
        <v>16.9</v>
      </c>
      <c r="H117" s="35">
        <v>18.2</v>
      </c>
      <c r="I117" s="36">
        <f>ROUND(((F117+G117)/2),4)</f>
        <v>16.25</v>
      </c>
      <c r="J117" s="36">
        <f>ROUND(((G117+H117)/2),4)</f>
        <v>17.55</v>
      </c>
      <c r="K117" s="36">
        <f>ROUND((J117-I117),4)</f>
        <v>1.3</v>
      </c>
      <c r="L117" s="36">
        <f>ROUND((K117-D42),4)</f>
        <v>0.0</v>
      </c>
    </row>
    <row r="118" spans="1:12" ht="23" customHeight="1">
      <c r="A118" s="6">
        <v>5</v>
      </c>
      <c r="B118" s="6">
        <v>2</v>
      </c>
      <c r="C118" s="6">
        <v>137</v>
      </c>
      <c r="D118" s="6">
        <v>136</v>
      </c>
      <c r="E118" s="6">
        <v>138</v>
      </c>
      <c r="F118" s="35">
        <v>16.9</v>
      </c>
      <c r="G118" s="35">
        <v>18.2</v>
      </c>
      <c r="H118" s="35">
        <v>19.5</v>
      </c>
      <c r="I118" s="36">
        <f>ROUND(((F118+G118)/2),4)</f>
        <v>17.55</v>
      </c>
      <c r="J118" s="36">
        <f>ROUND(((G118+H118)/2),4)</f>
        <v>18.85</v>
      </c>
      <c r="K118" s="36">
        <f>ROUND((J118-I118),4)</f>
        <v>1.3</v>
      </c>
      <c r="L118" s="36">
        <f>ROUND((K118-D43),4)</f>
        <v>0.0</v>
      </c>
    </row>
    <row r="119" spans="1:12" ht="23" customHeight="1">
      <c r="A119" s="6">
        <v>5</v>
      </c>
      <c r="B119" s="6">
        <v>2</v>
      </c>
      <c r="C119" s="6">
        <v>138</v>
      </c>
      <c r="D119" s="6">
        <v>137</v>
      </c>
      <c r="E119" s="6">
        <v>139</v>
      </c>
      <c r="F119" s="35">
        <v>18.2</v>
      </c>
      <c r="G119" s="35">
        <v>19.5</v>
      </c>
      <c r="H119" s="35">
        <v>20.8</v>
      </c>
      <c r="I119" s="36">
        <f>ROUND(((F119+G119)/2),4)</f>
        <v>18.85</v>
      </c>
      <c r="J119" s="36">
        <f>ROUND(((G119+H119)/2),4)</f>
        <v>20.15</v>
      </c>
      <c r="K119" s="36">
        <f>ROUND((J119-I119),4)</f>
        <v>1.3</v>
      </c>
      <c r="L119" s="36">
        <f>ROUND((K119-D44),4)</f>
        <v>0.0</v>
      </c>
    </row>
    <row r="120" spans="1:12" ht="23" customHeight="1">
      <c r="A120" s="6">
        <v>5</v>
      </c>
      <c r="B120" s="6">
        <v>2</v>
      </c>
      <c r="C120" s="6">
        <v>139</v>
      </c>
      <c r="D120" s="6">
        <v>138</v>
      </c>
      <c r="E120" s="6">
        <v>140</v>
      </c>
      <c r="F120" s="35">
        <v>19.5</v>
      </c>
      <c r="G120" s="35">
        <v>20.8</v>
      </c>
      <c r="H120" s="35">
        <v>22.1</v>
      </c>
      <c r="I120" s="36">
        <f>ROUND(((F120+G120)/2),4)</f>
        <v>20.15</v>
      </c>
      <c r="J120" s="36">
        <f>ROUND(((G120+H120)/2),4)</f>
        <v>21.45</v>
      </c>
      <c r="K120" s="36">
        <f>ROUND((J120-I120),4)</f>
        <v>1.3</v>
      </c>
      <c r="L120" s="36">
        <f>ROUND((K120-D45),4)</f>
        <v>0.0</v>
      </c>
    </row>
    <row r="121" spans="1:12" ht="23" customHeight="1">
      <c r="A121" s="6">
        <v>5</v>
      </c>
      <c r="B121" s="6">
        <v>2</v>
      </c>
      <c r="C121" s="6">
        <v>140</v>
      </c>
      <c r="D121" s="6">
        <v>139</v>
      </c>
      <c r="E121" s="6">
        <v>141</v>
      </c>
      <c r="F121" s="35">
        <v>20.8</v>
      </c>
      <c r="G121" s="35">
        <v>22.1</v>
      </c>
      <c r="H121" s="35">
        <v>23.4</v>
      </c>
      <c r="I121" s="36">
        <f>ROUND(((F121+G121)/2),4)</f>
        <v>21.45</v>
      </c>
      <c r="J121" s="36">
        <f>ROUND(((G121+H121)/2),4)</f>
        <v>22.75</v>
      </c>
      <c r="K121" s="36">
        <f>ROUND((J121-I121),4)</f>
        <v>1.3</v>
      </c>
      <c r="L121" s="36">
        <f>ROUND((K121-D46),4)</f>
        <v>0.0</v>
      </c>
    </row>
    <row r="122" spans="1:12" ht="23" customHeight="1">
      <c r="A122" s="6">
        <v>5</v>
      </c>
      <c r="B122" s="6">
        <v>2</v>
      </c>
      <c r="C122" s="6">
        <v>141</v>
      </c>
      <c r="D122" s="6">
        <v>140</v>
      </c>
      <c r="E122" s="6">
        <v>142</v>
      </c>
      <c r="F122" s="35">
        <v>22.1</v>
      </c>
      <c r="G122" s="35">
        <v>23.4</v>
      </c>
      <c r="H122" s="35">
        <v>24.7</v>
      </c>
      <c r="I122" s="36">
        <f>ROUND(((F122+G122)/2),4)</f>
        <v>22.75</v>
      </c>
      <c r="J122" s="36">
        <f>ROUND(((G122+H122)/2),4)</f>
        <v>24.05</v>
      </c>
      <c r="K122" s="36">
        <f>ROUND((J122-I122),4)</f>
        <v>1.3</v>
      </c>
      <c r="L122" s="36">
        <f>ROUND((K122-D47),4)</f>
        <v>0.0</v>
      </c>
    </row>
    <row r="123" spans="1:12" ht="24" customHeight="1">
      <c r="A123" s="3" t="s">
        <v>325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8</v>
      </c>
      <c r="B124" s="4" t="s">
        <v>9</v>
      </c>
      <c r="C124" s="4" t="s">
        <v>90</v>
      </c>
      <c r="D124" s="4" t="s">
        <v>326</v>
      </c>
      <c r="E124" s="4" t="s">
        <v>327</v>
      </c>
      <c r="F124" s="4" t="s">
        <v>328</v>
      </c>
      <c r="G124" s="4" t="s">
        <v>329</v>
      </c>
      <c r="H124" s="4" t="s">
        <v>330</v>
      </c>
      <c r="I124" s="4" t="s">
        <v>331</v>
      </c>
      <c r="J124" s="4" t="s">
        <v>332</v>
      </c>
      <c r="K124" s="4" t="s">
        <v>333</v>
      </c>
      <c r="L124" s="4" t="s">
        <v>334</v>
      </c>
    </row>
    <row r="125" spans="1:12" ht="23" customHeight="1">
      <c r="A125" s="6">
        <v>5</v>
      </c>
      <c r="B125" s="6">
        <v>2</v>
      </c>
      <c r="C125" s="6">
        <v>142</v>
      </c>
      <c r="D125" s="6">
        <v>141</v>
      </c>
      <c r="E125" s="6">
        <v>143</v>
      </c>
      <c r="F125" s="35">
        <v>23.4</v>
      </c>
      <c r="G125" s="35">
        <v>24.7</v>
      </c>
      <c r="H125" s="35">
        <v>26</v>
      </c>
      <c r="I125" s="36">
        <f>ROUND(((F125+G125)/2),4)</f>
        <v>24.05</v>
      </c>
      <c r="J125" s="36">
        <f>ROUND(((G125+H125)/2),4)</f>
        <v>25.35</v>
      </c>
      <c r="K125" s="36">
        <f>ROUND((J125-I125),4)</f>
        <v>1.3</v>
      </c>
      <c r="L125" s="36">
        <f>ROUND((K125-D48),4)</f>
        <v>0.0</v>
      </c>
    </row>
    <row r="126" spans="1:12" ht="23" customHeight="1">
      <c r="A126" s="6">
        <v>5</v>
      </c>
      <c r="B126" s="6">
        <v>2</v>
      </c>
      <c r="C126" s="6">
        <v>143</v>
      </c>
      <c r="D126" s="6">
        <v>142</v>
      </c>
      <c r="E126" s="6">
        <v>144</v>
      </c>
      <c r="F126" s="35">
        <v>24.7</v>
      </c>
      <c r="G126" s="35">
        <v>26</v>
      </c>
      <c r="H126" s="35">
        <v>27.3</v>
      </c>
      <c r="I126" s="36">
        <f>ROUND(((F126+G126)/2),4)</f>
        <v>25.35</v>
      </c>
      <c r="J126" s="36">
        <f>ROUND(((G126+H126)/2),4)</f>
        <v>26.65</v>
      </c>
      <c r="K126" s="36">
        <f>ROUND((J126-I126),4)</f>
        <v>1.3</v>
      </c>
      <c r="L126" s="36">
        <f>ROUND((K126-D49),4)</f>
        <v>0.0</v>
      </c>
    </row>
    <row r="127" spans="1:12" ht="23" customHeight="1">
      <c r="A127" s="6">
        <v>5</v>
      </c>
      <c r="B127" s="6">
        <v>2</v>
      </c>
      <c r="C127" s="6">
        <v>144</v>
      </c>
      <c r="D127" s="6">
        <v>143</v>
      </c>
      <c r="E127" s="6">
        <v>145</v>
      </c>
      <c r="F127" s="35">
        <v>26</v>
      </c>
      <c r="G127" s="35">
        <v>27.3</v>
      </c>
      <c r="H127" s="35">
        <v>28.6</v>
      </c>
      <c r="I127" s="36">
        <f>ROUND(((F127+G127)/2),4)</f>
        <v>26.65</v>
      </c>
      <c r="J127" s="36">
        <f>ROUND(((G127+H127)/2),4)</f>
        <v>27.95</v>
      </c>
      <c r="K127" s="36">
        <f>ROUND((J127-I127),4)</f>
        <v>1.3</v>
      </c>
      <c r="L127" s="36">
        <f>ROUND((K127-D50),4)</f>
        <v>0.0</v>
      </c>
    </row>
    <row r="128" spans="1:12" ht="23" customHeight="1">
      <c r="A128" s="6">
        <v>5</v>
      </c>
      <c r="B128" s="6">
        <v>2</v>
      </c>
      <c r="C128" s="6">
        <v>145</v>
      </c>
      <c r="D128" s="6">
        <v>144</v>
      </c>
      <c r="E128" s="6">
        <v>146</v>
      </c>
      <c r="F128" s="35">
        <v>27.3</v>
      </c>
      <c r="G128" s="35">
        <v>28.6</v>
      </c>
      <c r="H128" s="35">
        <v>29.9</v>
      </c>
      <c r="I128" s="36">
        <f>ROUND(((F128+G128)/2),4)</f>
        <v>27.95</v>
      </c>
      <c r="J128" s="36">
        <f>ROUND(((G128+H128)/2),4)</f>
        <v>29.25</v>
      </c>
      <c r="K128" s="36">
        <f>ROUND((J128-I128),4)</f>
        <v>1.3</v>
      </c>
      <c r="L128" s="36">
        <f>ROUND((K128-D51),4)</f>
        <v>0.0</v>
      </c>
    </row>
    <row r="129" spans="1:12" ht="23" customHeight="1">
      <c r="A129" s="6">
        <v>5</v>
      </c>
      <c r="B129" s="6">
        <v>2</v>
      </c>
      <c r="C129" s="6">
        <v>146</v>
      </c>
      <c r="D129" s="6">
        <v>145</v>
      </c>
      <c r="E129" s="6">
        <v>147</v>
      </c>
      <c r="F129" s="35">
        <v>28.6</v>
      </c>
      <c r="G129" s="35">
        <v>29.9</v>
      </c>
      <c r="H129" s="35">
        <v>31</v>
      </c>
      <c r="I129" s="36">
        <f>ROUND(((F129+G129)/2),4)</f>
        <v>29.25</v>
      </c>
      <c r="J129" s="36">
        <f>ROUND(((G129+H129)/2),4)</f>
        <v>30.45</v>
      </c>
      <c r="K129" s="36">
        <f>ROUND((J129-I129),4)</f>
        <v>1.2</v>
      </c>
      <c r="L129" s="36">
        <f>ROUND((K129-D52),4)</f>
        <v>0.75</v>
      </c>
    </row>
    <row r="130" spans="1:12" ht="23" customHeight="1">
      <c r="A130" s="6">
        <v>6</v>
      </c>
      <c r="B130" s="6">
        <v>3</v>
      </c>
      <c r="C130" s="6">
        <v>152</v>
      </c>
      <c r="D130" s="6">
        <v>151</v>
      </c>
      <c r="E130" s="6">
        <v>153</v>
      </c>
      <c r="F130" s="35">
        <v>3.9</v>
      </c>
      <c r="G130" s="35">
        <v>5.2</v>
      </c>
      <c r="H130" s="35">
        <v>6.5</v>
      </c>
      <c r="I130" s="36">
        <f>ROUND(((F130+G130)/2),4)</f>
        <v>4.55</v>
      </c>
      <c r="J130" s="36">
        <f>ROUND(((G130+H130)/2),4)</f>
        <v>5.85</v>
      </c>
      <c r="K130" s="36">
        <f>ROUND((J130-I130),4)</f>
        <v>1.3</v>
      </c>
      <c r="L130" s="36">
        <f>ROUND((K130-D53),4)</f>
        <v>0.395</v>
      </c>
    </row>
    <row r="131" spans="1:12" ht="23" customHeight="1">
      <c r="A131" s="6">
        <v>6</v>
      </c>
      <c r="B131" s="6">
        <v>3</v>
      </c>
      <c r="C131" s="6">
        <v>153</v>
      </c>
      <c r="D131" s="6">
        <v>152</v>
      </c>
      <c r="E131" s="6">
        <v>154</v>
      </c>
      <c r="F131" s="35">
        <v>5.2</v>
      </c>
      <c r="G131" s="35">
        <v>6.5</v>
      </c>
      <c r="H131" s="35">
        <v>7.8</v>
      </c>
      <c r="I131" s="36">
        <f>ROUND(((F131+G131)/2),4)</f>
        <v>5.85</v>
      </c>
      <c r="J131" s="36">
        <f>ROUND(((G131+H131)/2),4)</f>
        <v>7.15</v>
      </c>
      <c r="K131" s="36">
        <f>ROUND((J131-I131),4)</f>
        <v>1.3</v>
      </c>
      <c r="L131" s="36">
        <f>ROUND((K131-D54),4)</f>
        <v>0.0</v>
      </c>
    </row>
    <row r="132" spans="1:12" ht="23" customHeight="1">
      <c r="A132" s="6">
        <v>6</v>
      </c>
      <c r="B132" s="6">
        <v>3</v>
      </c>
      <c r="C132" s="6">
        <v>154</v>
      </c>
      <c r="D132" s="6">
        <v>153</v>
      </c>
      <c r="E132" s="6">
        <v>155</v>
      </c>
      <c r="F132" s="35">
        <v>6.5</v>
      </c>
      <c r="G132" s="35">
        <v>7.8</v>
      </c>
      <c r="H132" s="35">
        <v>9.1</v>
      </c>
      <c r="I132" s="36">
        <f>ROUND(((F132+G132)/2),4)</f>
        <v>7.15</v>
      </c>
      <c r="J132" s="36">
        <f>ROUND(((G132+H132)/2),4)</f>
        <v>8.45</v>
      </c>
      <c r="K132" s="36">
        <f>ROUND((J132-I132),4)</f>
        <v>1.3</v>
      </c>
      <c r="L132" s="36">
        <f>ROUND((K132-D55),4)</f>
        <v>0.0</v>
      </c>
    </row>
    <row r="133" spans="1:12" ht="23" customHeight="1">
      <c r="A133" s="6">
        <v>6</v>
      </c>
      <c r="B133" s="6">
        <v>3</v>
      </c>
      <c r="C133" s="6">
        <v>155</v>
      </c>
      <c r="D133" s="6">
        <v>154</v>
      </c>
      <c r="E133" s="6">
        <v>156</v>
      </c>
      <c r="F133" s="35">
        <v>7.8</v>
      </c>
      <c r="G133" s="35">
        <v>9.1</v>
      </c>
      <c r="H133" s="35">
        <v>10.4</v>
      </c>
      <c r="I133" s="36">
        <f>ROUND(((F133+G133)/2),4)</f>
        <v>8.45</v>
      </c>
      <c r="J133" s="36">
        <f>ROUND(((G133+H133)/2),4)</f>
        <v>9.75</v>
      </c>
      <c r="K133" s="36">
        <f>ROUND((J133-I133),4)</f>
        <v>1.3</v>
      </c>
      <c r="L133" s="36">
        <f>ROUND((K133-D58),4)</f>
        <v>0.0</v>
      </c>
    </row>
    <row r="134" spans="1:12" ht="23" customHeight="1">
      <c r="A134" s="6">
        <v>6</v>
      </c>
      <c r="B134" s="6">
        <v>3</v>
      </c>
      <c r="C134" s="6">
        <v>156</v>
      </c>
      <c r="D134" s="6">
        <v>155</v>
      </c>
      <c r="E134" s="6">
        <v>157</v>
      </c>
      <c r="F134" s="35">
        <v>9.1</v>
      </c>
      <c r="G134" s="35">
        <v>10.4</v>
      </c>
      <c r="H134" s="35">
        <v>11.7</v>
      </c>
      <c r="I134" s="36">
        <f>ROUND(((F134+G134)/2),4)</f>
        <v>9.75</v>
      </c>
      <c r="J134" s="36">
        <f>ROUND(((G134+H134)/2),4)</f>
        <v>11.05</v>
      </c>
      <c r="K134" s="36">
        <f>ROUND((J134-I134),4)</f>
        <v>1.3</v>
      </c>
      <c r="L134" s="36">
        <f>ROUND((K134-D59),4)</f>
        <v>0.0</v>
      </c>
    </row>
    <row r="135" spans="1:12" ht="23" customHeight="1">
      <c r="A135" s="6">
        <v>6</v>
      </c>
      <c r="B135" s="6">
        <v>3</v>
      </c>
      <c r="C135" s="6">
        <v>157</v>
      </c>
      <c r="D135" s="6">
        <v>156</v>
      </c>
      <c r="E135" s="6">
        <v>158</v>
      </c>
      <c r="F135" s="35">
        <v>10.4</v>
      </c>
      <c r="G135" s="35">
        <v>11.7</v>
      </c>
      <c r="H135" s="35">
        <v>13</v>
      </c>
      <c r="I135" s="36">
        <f>ROUND(((F135+G135)/2),4)</f>
        <v>11.05</v>
      </c>
      <c r="J135" s="36">
        <f>ROUND(((G135+H135)/2),4)</f>
        <v>12.35</v>
      </c>
      <c r="K135" s="36">
        <f>ROUND((J135-I135),4)</f>
        <v>1.3</v>
      </c>
      <c r="L135" s="36">
        <f>ROUND((K135-D60),4)</f>
        <v>0.0</v>
      </c>
    </row>
    <row r="136" spans="1:12" ht="23" customHeight="1">
      <c r="A136" s="6">
        <v>6</v>
      </c>
      <c r="B136" s="6">
        <v>3</v>
      </c>
      <c r="C136" s="6">
        <v>158</v>
      </c>
      <c r="D136" s="6">
        <v>157</v>
      </c>
      <c r="E136" s="6">
        <v>159</v>
      </c>
      <c r="F136" s="35">
        <v>11.7</v>
      </c>
      <c r="G136" s="35">
        <v>13</v>
      </c>
      <c r="H136" s="35">
        <v>14.3</v>
      </c>
      <c r="I136" s="36">
        <f>ROUND(((F136+G136)/2),4)</f>
        <v>12.35</v>
      </c>
      <c r="J136" s="36">
        <f>ROUND(((G136+H136)/2),4)</f>
        <v>13.65</v>
      </c>
      <c r="K136" s="36">
        <f>ROUND((J136-I136),4)</f>
        <v>1.3</v>
      </c>
      <c r="L136" s="36">
        <f>ROUND((K136-D61),4)</f>
        <v>0.0</v>
      </c>
    </row>
    <row r="137" spans="1:12" ht="23" customHeight="1">
      <c r="A137" s="6">
        <v>6</v>
      </c>
      <c r="B137" s="6">
        <v>3</v>
      </c>
      <c r="C137" s="6">
        <v>159</v>
      </c>
      <c r="D137" s="6">
        <v>158</v>
      </c>
      <c r="E137" s="6">
        <v>160</v>
      </c>
      <c r="F137" s="35">
        <v>13</v>
      </c>
      <c r="G137" s="35">
        <v>14.3</v>
      </c>
      <c r="H137" s="35">
        <v>15.6</v>
      </c>
      <c r="I137" s="36">
        <f>ROUND(((F137+G137)/2),4)</f>
        <v>13.65</v>
      </c>
      <c r="J137" s="36">
        <f>ROUND(((G137+H137)/2),4)</f>
        <v>14.95</v>
      </c>
      <c r="K137" s="36">
        <f>ROUND((J137-I137),4)</f>
        <v>1.3</v>
      </c>
      <c r="L137" s="36">
        <f>ROUND((K137-D62),4)</f>
        <v>0.0</v>
      </c>
    </row>
    <row r="138" spans="1:12" ht="23" customHeight="1">
      <c r="A138" s="6">
        <v>6</v>
      </c>
      <c r="B138" s="6">
        <v>3</v>
      </c>
      <c r="C138" s="6">
        <v>160</v>
      </c>
      <c r="D138" s="6">
        <v>159</v>
      </c>
      <c r="E138" s="6">
        <v>161</v>
      </c>
      <c r="F138" s="35">
        <v>14.3</v>
      </c>
      <c r="G138" s="35">
        <v>15.6</v>
      </c>
      <c r="H138" s="35">
        <v>16.9</v>
      </c>
      <c r="I138" s="36">
        <f>ROUND(((F138+G138)/2),4)</f>
        <v>14.95</v>
      </c>
      <c r="J138" s="36">
        <f>ROUND(((G138+H138)/2),4)</f>
        <v>16.25</v>
      </c>
      <c r="K138" s="36">
        <f>ROUND((J138-I138),4)</f>
        <v>1.3</v>
      </c>
      <c r="L138" s="36">
        <f>ROUND((K138-D63),4)</f>
        <v>0.0</v>
      </c>
    </row>
    <row r="139" spans="1:12" ht="23" customHeight="1">
      <c r="A139" s="6">
        <v>6</v>
      </c>
      <c r="B139" s="6">
        <v>3</v>
      </c>
      <c r="C139" s="6">
        <v>161</v>
      </c>
      <c r="D139" s="6">
        <v>160</v>
      </c>
      <c r="E139" s="6">
        <v>162</v>
      </c>
      <c r="F139" s="35">
        <v>15.6</v>
      </c>
      <c r="G139" s="35">
        <v>16.9</v>
      </c>
      <c r="H139" s="35">
        <v>18.2</v>
      </c>
      <c r="I139" s="36">
        <f>ROUND(((F139+G139)/2),4)</f>
        <v>16.25</v>
      </c>
      <c r="J139" s="36">
        <f>ROUND(((G139+H139)/2),4)</f>
        <v>17.55</v>
      </c>
      <c r="K139" s="36">
        <f>ROUND((J139-I139),4)</f>
        <v>1.3</v>
      </c>
      <c r="L139" s="36">
        <f>ROUND((K139-D64),4)</f>
        <v>0.0</v>
      </c>
    </row>
    <row r="140" spans="1:12" ht="24" customHeight="1">
      <c r="A140" s="3" t="s">
        <v>325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8</v>
      </c>
      <c r="B141" s="4" t="s">
        <v>9</v>
      </c>
      <c r="C141" s="4" t="s">
        <v>90</v>
      </c>
      <c r="D141" s="4" t="s">
        <v>326</v>
      </c>
      <c r="E141" s="4" t="s">
        <v>327</v>
      </c>
      <c r="F141" s="4" t="s">
        <v>328</v>
      </c>
      <c r="G141" s="4" t="s">
        <v>329</v>
      </c>
      <c r="H141" s="4" t="s">
        <v>330</v>
      </c>
      <c r="I141" s="4" t="s">
        <v>331</v>
      </c>
      <c r="J141" s="4" t="s">
        <v>332</v>
      </c>
      <c r="K141" s="4" t="s">
        <v>333</v>
      </c>
      <c r="L141" s="4" t="s">
        <v>334</v>
      </c>
    </row>
    <row r="142" spans="1:12" ht="23" customHeight="1">
      <c r="A142" s="6">
        <v>6</v>
      </c>
      <c r="B142" s="6">
        <v>3</v>
      </c>
      <c r="C142" s="6">
        <v>162</v>
      </c>
      <c r="D142" s="6">
        <v>161</v>
      </c>
      <c r="E142" s="6">
        <v>163</v>
      </c>
      <c r="F142" s="35">
        <v>16.9</v>
      </c>
      <c r="G142" s="35">
        <v>18.2</v>
      </c>
      <c r="H142" s="35">
        <v>19.5</v>
      </c>
      <c r="I142" s="36">
        <f>ROUND(((F142+G142)/2),4)</f>
        <v>17.55</v>
      </c>
      <c r="J142" s="36">
        <f>ROUND(((G142+H142)/2),4)</f>
        <v>18.85</v>
      </c>
      <c r="K142" s="36">
        <f>ROUND((J142-I142),4)</f>
        <v>1.3</v>
      </c>
      <c r="L142" s="36">
        <f>ROUND((K142-D65),4)</f>
        <v>0.0</v>
      </c>
    </row>
    <row r="143" spans="1:12" ht="23" customHeight="1">
      <c r="A143" s="6">
        <v>6</v>
      </c>
      <c r="B143" s="6">
        <v>3</v>
      </c>
      <c r="C143" s="6">
        <v>163</v>
      </c>
      <c r="D143" s="6">
        <v>162</v>
      </c>
      <c r="E143" s="6">
        <v>164</v>
      </c>
      <c r="F143" s="35">
        <v>18.2</v>
      </c>
      <c r="G143" s="35">
        <v>19.5</v>
      </c>
      <c r="H143" s="35">
        <v>20.8</v>
      </c>
      <c r="I143" s="36">
        <f>ROUND(((F143+G143)/2),4)</f>
        <v>18.85</v>
      </c>
      <c r="J143" s="36">
        <f>ROUND(((G143+H143)/2),4)</f>
        <v>20.15</v>
      </c>
      <c r="K143" s="36">
        <f>ROUND((J143-I143),4)</f>
        <v>1.3</v>
      </c>
      <c r="L143" s="36">
        <f>ROUND((K143-D66),4)</f>
        <v>0.0</v>
      </c>
    </row>
    <row r="144" spans="1:12" ht="23" customHeight="1">
      <c r="A144" s="6">
        <v>6</v>
      </c>
      <c r="B144" s="6">
        <v>3</v>
      </c>
      <c r="C144" s="6">
        <v>164</v>
      </c>
      <c r="D144" s="6">
        <v>163</v>
      </c>
      <c r="E144" s="6">
        <v>165</v>
      </c>
      <c r="F144" s="35">
        <v>19.5</v>
      </c>
      <c r="G144" s="35">
        <v>20.8</v>
      </c>
      <c r="H144" s="35">
        <v>22.1</v>
      </c>
      <c r="I144" s="36">
        <f>ROUND(((F144+G144)/2),4)</f>
        <v>20.15</v>
      </c>
      <c r="J144" s="36">
        <f>ROUND(((G144+H144)/2),4)</f>
        <v>21.45</v>
      </c>
      <c r="K144" s="36">
        <f>ROUND((J144-I144),4)</f>
        <v>1.3</v>
      </c>
      <c r="L144" s="36">
        <f>ROUND((K144-D67),4)</f>
        <v>0.0</v>
      </c>
    </row>
    <row r="145" spans="1:12" ht="23" customHeight="1">
      <c r="A145" s="6">
        <v>6</v>
      </c>
      <c r="B145" s="6">
        <v>3</v>
      </c>
      <c r="C145" s="6">
        <v>165</v>
      </c>
      <c r="D145" s="6">
        <v>164</v>
      </c>
      <c r="E145" s="6">
        <v>166</v>
      </c>
      <c r="F145" s="35">
        <v>20.8</v>
      </c>
      <c r="G145" s="35">
        <v>22.1</v>
      </c>
      <c r="H145" s="35">
        <v>23.4</v>
      </c>
      <c r="I145" s="36">
        <f>ROUND(((F145+G145)/2),4)</f>
        <v>21.45</v>
      </c>
      <c r="J145" s="36">
        <f>ROUND(((G145+H145)/2),4)</f>
        <v>22.75</v>
      </c>
      <c r="K145" s="36">
        <f>ROUND((J145-I145),4)</f>
        <v>1.3</v>
      </c>
      <c r="L145" s="36">
        <f>ROUND((K145-D68),4)</f>
        <v>0.0</v>
      </c>
    </row>
    <row r="146" spans="1:12" ht="23" customHeight="1">
      <c r="A146" s="6">
        <v>6</v>
      </c>
      <c r="B146" s="6">
        <v>3</v>
      </c>
      <c r="C146" s="6">
        <v>166</v>
      </c>
      <c r="D146" s="6">
        <v>165</v>
      </c>
      <c r="E146" s="6">
        <v>167</v>
      </c>
      <c r="F146" s="35">
        <v>22.1</v>
      </c>
      <c r="G146" s="35">
        <v>23.4</v>
      </c>
      <c r="H146" s="35">
        <v>24.7</v>
      </c>
      <c r="I146" s="36">
        <f>ROUND(((F146+G146)/2),4)</f>
        <v>22.75</v>
      </c>
      <c r="J146" s="36">
        <f>ROUND(((G146+H146)/2),4)</f>
        <v>24.05</v>
      </c>
      <c r="K146" s="36">
        <f>ROUND((J146-I146),4)</f>
        <v>1.3</v>
      </c>
      <c r="L146" s="36">
        <f>ROUND((K146-D69),4)</f>
        <v>0.0</v>
      </c>
    </row>
    <row r="147" spans="1:12" ht="23" customHeight="1">
      <c r="A147" s="6">
        <v>6</v>
      </c>
      <c r="B147" s="6">
        <v>3</v>
      </c>
      <c r="C147" s="6">
        <v>167</v>
      </c>
      <c r="D147" s="6">
        <v>166</v>
      </c>
      <c r="E147" s="6">
        <v>168</v>
      </c>
      <c r="F147" s="35">
        <v>23.4</v>
      </c>
      <c r="G147" s="35">
        <v>24.7</v>
      </c>
      <c r="H147" s="35">
        <v>26</v>
      </c>
      <c r="I147" s="36">
        <f>ROUND(((F147+G147)/2),4)</f>
        <v>24.05</v>
      </c>
      <c r="J147" s="36">
        <f>ROUND(((G147+H147)/2),4)</f>
        <v>25.35</v>
      </c>
      <c r="K147" s="36">
        <f>ROUND((J147-I147),4)</f>
        <v>1.3</v>
      </c>
      <c r="L147" s="36">
        <f>ROUND((K147-D70),4)</f>
        <v>0.0</v>
      </c>
    </row>
    <row r="148" spans="1:12" ht="23" customHeight="1">
      <c r="A148" s="6">
        <v>6</v>
      </c>
      <c r="B148" s="6">
        <v>3</v>
      </c>
      <c r="C148" s="6">
        <v>168</v>
      </c>
      <c r="D148" s="6">
        <v>167</v>
      </c>
      <c r="E148" s="6">
        <v>169</v>
      </c>
      <c r="F148" s="35">
        <v>24.7</v>
      </c>
      <c r="G148" s="35">
        <v>26</v>
      </c>
      <c r="H148" s="35">
        <v>27.3</v>
      </c>
      <c r="I148" s="36">
        <f>ROUND(((F148+G148)/2),4)</f>
        <v>25.35</v>
      </c>
      <c r="J148" s="36">
        <f>ROUND(((G148+H148)/2),4)</f>
        <v>26.65</v>
      </c>
      <c r="K148" s="36">
        <f>ROUND((J148-I148),4)</f>
        <v>1.3</v>
      </c>
      <c r="L148" s="36">
        <f>ROUND((K148-D71),4)</f>
        <v>0.0</v>
      </c>
    </row>
    <row r="149" spans="1:12" ht="23" customHeight="1">
      <c r="A149" s="6">
        <v>6</v>
      </c>
      <c r="B149" s="6">
        <v>3</v>
      </c>
      <c r="C149" s="6">
        <v>169</v>
      </c>
      <c r="D149" s="6">
        <v>168</v>
      </c>
      <c r="E149" s="6">
        <v>170</v>
      </c>
      <c r="F149" s="35">
        <v>26</v>
      </c>
      <c r="G149" s="35">
        <v>27.3</v>
      </c>
      <c r="H149" s="35">
        <v>28.6</v>
      </c>
      <c r="I149" s="36">
        <f>ROUND(((F149+G149)/2),4)</f>
        <v>26.65</v>
      </c>
      <c r="J149" s="36">
        <f>ROUND(((G149+H149)/2),4)</f>
        <v>27.95</v>
      </c>
      <c r="K149" s="36">
        <f>ROUND((J149-I149),4)</f>
        <v>1.3</v>
      </c>
      <c r="L149" s="36">
        <f>ROUND((K149-D72),4)</f>
        <v>0.0</v>
      </c>
    </row>
    <row r="150" spans="1:12" ht="23" customHeight="1">
      <c r="A150" s="6">
        <v>6</v>
      </c>
      <c r="B150" s="6">
        <v>3</v>
      </c>
      <c r="C150" s="6">
        <v>170</v>
      </c>
      <c r="D150" s="6">
        <v>169</v>
      </c>
      <c r="E150" s="6">
        <v>171</v>
      </c>
      <c r="F150" s="35">
        <v>27.3</v>
      </c>
      <c r="G150" s="35">
        <v>28.6</v>
      </c>
      <c r="H150" s="35">
        <v>29.9</v>
      </c>
      <c r="I150" s="36">
        <f>ROUND(((F150+G150)/2),4)</f>
        <v>27.95</v>
      </c>
      <c r="J150" s="36">
        <f>ROUND(((G150+H150)/2),4)</f>
        <v>29.25</v>
      </c>
      <c r="K150" s="36">
        <f>ROUND((J150-I150),4)</f>
        <v>1.3</v>
      </c>
      <c r="L150" s="36">
        <f>ROUND((K150-D75),4)</f>
        <v>0.0</v>
      </c>
    </row>
    <row r="151" spans="1:12" ht="23" customHeight="1">
      <c r="A151" s="6">
        <v>6</v>
      </c>
      <c r="B151" s="6">
        <v>3</v>
      </c>
      <c r="C151" s="6">
        <v>171</v>
      </c>
      <c r="D151" s="6">
        <v>170</v>
      </c>
      <c r="E151" s="6">
        <v>172</v>
      </c>
      <c r="F151" s="35">
        <v>28.6</v>
      </c>
      <c r="G151" s="35">
        <v>29.9</v>
      </c>
      <c r="H151" s="35">
        <v>31</v>
      </c>
      <c r="I151" s="36">
        <f>ROUND(((F151+G151)/2),4)</f>
        <v>29.25</v>
      </c>
      <c r="J151" s="36">
        <f>ROUND(((G151+H151)/2),4)</f>
        <v>30.45</v>
      </c>
      <c r="K151" s="36">
        <f>ROUND((J151-I151),4)</f>
        <v>1.2</v>
      </c>
      <c r="L151" s="36">
        <f>ROUND((K151-D76),4)</f>
        <v>0.75</v>
      </c>
    </row>
    <row r="152" spans="1:12" ht="23" customHeight="1"/>
    <row r="153" spans="1:12" ht="24" customHeight="1">
      <c r="A153" s="3" t="s">
        <v>335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36" customHeight="1">
      <c r="A154" s="4" t="s">
        <v>8</v>
      </c>
      <c r="B154" s="4" t="s">
        <v>90</v>
      </c>
      <c r="C154" s="4" t="s">
        <v>147</v>
      </c>
      <c r="D154" s="4" t="s">
        <v>149</v>
      </c>
      <c r="E154" s="4" t="s">
        <v>150</v>
      </c>
      <c r="F154" s="4" t="s">
        <v>336</v>
      </c>
      <c r="G154" s="4" t="s">
        <v>337</v>
      </c>
      <c r="H154" s="4" t="s">
        <v>338</v>
      </c>
      <c r="I154" s="4" t="s">
        <v>151</v>
      </c>
      <c r="J154" s="4" t="s">
        <v>152</v>
      </c>
      <c r="K154" s="4" t="s">
        <v>311</v>
      </c>
    </row>
    <row r="155" spans="1:12" ht="23" customHeight="1">
      <c r="A155" s="6">
        <v>4</v>
      </c>
      <c r="B155" s="6">
        <v>102</v>
      </c>
      <c r="C155" s="6">
        <v>3</v>
      </c>
      <c r="D155" s="35">
        <v>2.8</v>
      </c>
      <c r="E155" s="35">
        <v>5.7</v>
      </c>
      <c r="F155" s="36">
        <f>ROUND((E155-D155),4)</f>
        <v>2.9</v>
      </c>
      <c r="G155" s="36">
        <f>MAX(D155,B80)</f>
        <v>4.945</v>
      </c>
      <c r="H155" s="36">
        <f>MIN(E155,D80)</f>
        <v>5.7</v>
      </c>
      <c r="I155" s="36">
        <f>MAX(I84,G155)</f>
        <v>4.945</v>
      </c>
      <c r="J155" s="36">
        <f>MIN(J84,H155)</f>
        <v>5.7</v>
      </c>
      <c r="K155" s="36">
        <f>MAX(0,ROUND((J155-I155),4))</f>
        <v>0.755</v>
      </c>
    </row>
    <row r="156" spans="1:12" ht="24" customHeight="1">
      <c r="A156" s="3" t="s">
        <v>335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8</v>
      </c>
      <c r="B157" s="4" t="s">
        <v>90</v>
      </c>
      <c r="C157" s="4" t="s">
        <v>147</v>
      </c>
      <c r="D157" s="4" t="s">
        <v>149</v>
      </c>
      <c r="E157" s="4" t="s">
        <v>150</v>
      </c>
      <c r="F157" s="4" t="s">
        <v>336</v>
      </c>
      <c r="G157" s="4" t="s">
        <v>337</v>
      </c>
      <c r="H157" s="4" t="s">
        <v>338</v>
      </c>
      <c r="I157" s="4" t="s">
        <v>151</v>
      </c>
      <c r="J157" s="4" t="s">
        <v>152</v>
      </c>
      <c r="K157" s="4" t="s">
        <v>311</v>
      </c>
    </row>
    <row r="158" spans="1:12" ht="23" customHeight="1">
      <c r="A158" s="6">
        <v>4</v>
      </c>
      <c r="B158" s="6">
        <v>102</v>
      </c>
      <c r="C158" s="6">
        <v>4</v>
      </c>
      <c r="D158" s="35">
        <v>5.7</v>
      </c>
      <c r="E158" s="35">
        <v>8.300000000000001</v>
      </c>
      <c r="F158" s="36">
        <f>ROUND((E158-D158),4)</f>
        <v>2.6</v>
      </c>
      <c r="G158" s="36">
        <f>MAX(D158,B80)</f>
        <v>5.7</v>
      </c>
      <c r="H158" s="36">
        <f>MIN(E158,D80)</f>
        <v>8.3</v>
      </c>
      <c r="I158" s="36">
        <f>MAX(I84,G158)</f>
        <v>5.7</v>
      </c>
      <c r="J158" s="36">
        <f>MIN(J84,H158)</f>
        <v>5.85</v>
      </c>
      <c r="K158" s="36">
        <f>MAX(0,ROUND((J158-I158),4))</f>
        <v>0.15</v>
      </c>
    </row>
    <row r="159" spans="1:12" ht="23" customHeight="1">
      <c r="A159" s="6">
        <v>4</v>
      </c>
      <c r="B159" s="6">
        <v>103</v>
      </c>
      <c r="C159" s="6">
        <v>4</v>
      </c>
      <c r="D159" s="35">
        <v>5.7</v>
      </c>
      <c r="E159" s="35">
        <v>8.300000000000001</v>
      </c>
      <c r="F159" s="36">
        <f>ROUND((E159-D159),4)</f>
        <v>2.6</v>
      </c>
      <c r="G159" s="36">
        <f>MAX(D159,B80)</f>
        <v>5.7</v>
      </c>
      <c r="H159" s="36">
        <f>MIN(E159,D80)</f>
        <v>8.3</v>
      </c>
      <c r="I159" s="36">
        <f>MAX(I85,G159)</f>
        <v>5.85</v>
      </c>
      <c r="J159" s="36">
        <f>MIN(J85,H159)</f>
        <v>7.15</v>
      </c>
      <c r="K159" s="36">
        <f>MAX(0,ROUND((J159-I159),4))</f>
        <v>1.3</v>
      </c>
    </row>
    <row r="160" spans="1:12" ht="23" customHeight="1">
      <c r="A160" s="6">
        <v>4</v>
      </c>
      <c r="B160" s="6">
        <v>104</v>
      </c>
      <c r="C160" s="6">
        <v>4</v>
      </c>
      <c r="D160" s="35">
        <v>5.7</v>
      </c>
      <c r="E160" s="35">
        <v>8.300000000000001</v>
      </c>
      <c r="F160" s="36">
        <f>ROUND((E160-D160),4)</f>
        <v>2.6</v>
      </c>
      <c r="G160" s="36">
        <f>MAX(D160,B80)</f>
        <v>5.7</v>
      </c>
      <c r="H160" s="36">
        <f>MIN(E160,D80)</f>
        <v>8.3</v>
      </c>
      <c r="I160" s="36">
        <f>MAX(I86,G160)</f>
        <v>7.15</v>
      </c>
      <c r="J160" s="36">
        <f>MIN(J86,H160)</f>
        <v>8.3</v>
      </c>
      <c r="K160" s="36">
        <f>MAX(0,ROUND((J160-I160),4))</f>
        <v>1.15</v>
      </c>
    </row>
    <row r="161" spans="1:12" ht="23" customHeight="1">
      <c r="A161" s="6">
        <v>4</v>
      </c>
      <c r="B161" s="6">
        <v>104</v>
      </c>
      <c r="C161" s="6">
        <v>5</v>
      </c>
      <c r="D161" s="35">
        <v>8.300000000000001</v>
      </c>
      <c r="E161" s="35">
        <v>8.9</v>
      </c>
      <c r="F161" s="36">
        <f>ROUND((E161-D161),4)</f>
        <v>0.6</v>
      </c>
      <c r="G161" s="36">
        <f>MAX(D161,B80)</f>
        <v>8.3</v>
      </c>
      <c r="H161" s="36">
        <f>MIN(E161,D80)</f>
        <v>8.9</v>
      </c>
      <c r="I161" s="36">
        <f>MAX(I86,G161)</f>
        <v>8.3</v>
      </c>
      <c r="J161" s="36">
        <f>MIN(J86,H161)</f>
        <v>8.45</v>
      </c>
      <c r="K161" s="36">
        <f>MAX(0,ROUND((J161-I161),4))</f>
        <v>0.15</v>
      </c>
    </row>
    <row r="162" spans="1:12" ht="23" customHeight="1">
      <c r="A162" s="6">
        <v>4</v>
      </c>
      <c r="B162" s="6">
        <v>105</v>
      </c>
      <c r="C162" s="6">
        <v>5</v>
      </c>
      <c r="D162" s="35">
        <v>8.300000000000001</v>
      </c>
      <c r="E162" s="35">
        <v>8.9</v>
      </c>
      <c r="F162" s="36">
        <f>ROUND((E162-D162),4)</f>
        <v>0.6</v>
      </c>
      <c r="G162" s="36">
        <f>MAX(D162,B80)</f>
        <v>8.3</v>
      </c>
      <c r="H162" s="36">
        <f>MIN(E162,D80)</f>
        <v>8.9</v>
      </c>
      <c r="I162" s="36">
        <f>MAX(I87,G162)</f>
        <v>8.45</v>
      </c>
      <c r="J162" s="36">
        <f>MIN(J87,H162)</f>
        <v>8.9</v>
      </c>
      <c r="K162" s="36">
        <f>MAX(0,ROUND((J162-I162),4))</f>
        <v>0.45</v>
      </c>
    </row>
    <row r="163" spans="1:12" ht="23" customHeight="1">
      <c r="A163" s="6">
        <v>4</v>
      </c>
      <c r="B163" s="6">
        <v>105</v>
      </c>
      <c r="C163" s="6">
        <v>6</v>
      </c>
      <c r="D163" s="35">
        <v>8.9</v>
      </c>
      <c r="E163" s="35">
        <v>18.4</v>
      </c>
      <c r="F163" s="36">
        <f>ROUND((E163-D163),4)</f>
        <v>9.5</v>
      </c>
      <c r="G163" s="36">
        <f>MAX(D163,B80)</f>
        <v>8.9</v>
      </c>
      <c r="H163" s="36">
        <f>MIN(E163,D80)</f>
        <v>18.4</v>
      </c>
      <c r="I163" s="36">
        <f>MAX(I87,G163)</f>
        <v>8.9</v>
      </c>
      <c r="J163" s="36">
        <f>MIN(J87,H163)</f>
        <v>9.75</v>
      </c>
      <c r="K163" s="36">
        <f>MAX(0,ROUND((J163-I163),4))</f>
        <v>0.85</v>
      </c>
    </row>
    <row r="164" spans="1:12" ht="23" customHeight="1">
      <c r="A164" s="6">
        <v>4</v>
      </c>
      <c r="B164" s="6">
        <v>106</v>
      </c>
      <c r="C164" s="6">
        <v>6</v>
      </c>
      <c r="D164" s="35">
        <v>8.9</v>
      </c>
      <c r="E164" s="35">
        <v>18.4</v>
      </c>
      <c r="F164" s="36">
        <f>ROUND((E164-D164),4)</f>
        <v>9.5</v>
      </c>
      <c r="G164" s="36">
        <f>MAX(D164,B80)</f>
        <v>8.9</v>
      </c>
      <c r="H164" s="36">
        <f>MIN(E164,D80)</f>
        <v>18.4</v>
      </c>
      <c r="I164" s="36">
        <f>MAX(I88,G164)</f>
        <v>9.75</v>
      </c>
      <c r="J164" s="36">
        <f>MIN(J88,H164)</f>
        <v>11.05</v>
      </c>
      <c r="K164" s="36">
        <f>MAX(0,ROUND((J164-I164),4))</f>
        <v>1.3</v>
      </c>
    </row>
    <row r="165" spans="1:12" ht="23" customHeight="1">
      <c r="A165" s="6">
        <v>4</v>
      </c>
      <c r="B165" s="6">
        <v>107</v>
      </c>
      <c r="C165" s="6">
        <v>6</v>
      </c>
      <c r="D165" s="35">
        <v>8.9</v>
      </c>
      <c r="E165" s="35">
        <v>18.4</v>
      </c>
      <c r="F165" s="36">
        <f>ROUND((E165-D165),4)</f>
        <v>9.5</v>
      </c>
      <c r="G165" s="36">
        <f>MAX(D165,B80)</f>
        <v>8.9</v>
      </c>
      <c r="H165" s="36">
        <f>MIN(E165,D80)</f>
        <v>18.4</v>
      </c>
      <c r="I165" s="36">
        <f>MAX(I91,G165)</f>
        <v>11.05</v>
      </c>
      <c r="J165" s="36">
        <f>MIN(J91,H165)</f>
        <v>12.35</v>
      </c>
      <c r="K165" s="36">
        <f>MAX(0,ROUND((J165-I165),4))</f>
        <v>1.3</v>
      </c>
    </row>
    <row r="166" spans="1:12" ht="23" customHeight="1">
      <c r="A166" s="6">
        <v>4</v>
      </c>
      <c r="B166" s="6">
        <v>108</v>
      </c>
      <c r="C166" s="6">
        <v>6</v>
      </c>
      <c r="D166" s="35">
        <v>8.9</v>
      </c>
      <c r="E166" s="35">
        <v>18.4</v>
      </c>
      <c r="F166" s="36">
        <f>ROUND((E166-D166),4)</f>
        <v>9.5</v>
      </c>
      <c r="G166" s="36">
        <f>MAX(D166,B80)</f>
        <v>8.9</v>
      </c>
      <c r="H166" s="36">
        <f>MIN(E166,D80)</f>
        <v>18.4</v>
      </c>
      <c r="I166" s="36">
        <f>MAX(I92,G166)</f>
        <v>12.35</v>
      </c>
      <c r="J166" s="36">
        <f>MIN(J92,H166)</f>
        <v>13.65</v>
      </c>
      <c r="K166" s="36">
        <f>MAX(0,ROUND((J166-I166),4))</f>
        <v>1.3</v>
      </c>
    </row>
    <row r="167" spans="1:12" ht="23" customHeight="1">
      <c r="A167" s="6">
        <v>4</v>
      </c>
      <c r="B167" s="6">
        <v>109</v>
      </c>
      <c r="C167" s="6">
        <v>6</v>
      </c>
      <c r="D167" s="35">
        <v>8.9</v>
      </c>
      <c r="E167" s="35">
        <v>18.4</v>
      </c>
      <c r="F167" s="36">
        <f>ROUND((E167-D167),4)</f>
        <v>9.5</v>
      </c>
      <c r="G167" s="36">
        <f>MAX(D167,B80)</f>
        <v>8.9</v>
      </c>
      <c r="H167" s="36">
        <f>MIN(E167,D80)</f>
        <v>18.4</v>
      </c>
      <c r="I167" s="36">
        <f>MAX(I93,G167)</f>
        <v>13.65</v>
      </c>
      <c r="J167" s="36">
        <f>MIN(J93,H167)</f>
        <v>14.95</v>
      </c>
      <c r="K167" s="36">
        <f>MAX(0,ROUND((J167-I167),4))</f>
        <v>1.3</v>
      </c>
    </row>
    <row r="168" spans="1:12" ht="23" customHeight="1">
      <c r="A168" s="6">
        <v>4</v>
      </c>
      <c r="B168" s="6">
        <v>110</v>
      </c>
      <c r="C168" s="6">
        <v>6</v>
      </c>
      <c r="D168" s="35">
        <v>8.9</v>
      </c>
      <c r="E168" s="35">
        <v>18.4</v>
      </c>
      <c r="F168" s="36">
        <f>ROUND((E168-D168),4)</f>
        <v>9.5</v>
      </c>
      <c r="G168" s="36">
        <f>MAX(D168,B80)</f>
        <v>8.9</v>
      </c>
      <c r="H168" s="36">
        <f>MIN(E168,D80)</f>
        <v>18.4</v>
      </c>
      <c r="I168" s="36">
        <f>MAX(I94,G168)</f>
        <v>14.95</v>
      </c>
      <c r="J168" s="36">
        <f>MIN(J94,H168)</f>
        <v>16.25</v>
      </c>
      <c r="K168" s="36">
        <f>MAX(0,ROUND((J168-I168),4))</f>
        <v>1.3</v>
      </c>
    </row>
    <row r="169" spans="1:12" ht="23" customHeight="1">
      <c r="A169" s="6">
        <v>4</v>
      </c>
      <c r="B169" s="6">
        <v>111</v>
      </c>
      <c r="C169" s="6">
        <v>6</v>
      </c>
      <c r="D169" s="35">
        <v>8.9</v>
      </c>
      <c r="E169" s="35">
        <v>18.4</v>
      </c>
      <c r="F169" s="36">
        <f>ROUND((E169-D169),4)</f>
        <v>9.5</v>
      </c>
      <c r="G169" s="36">
        <f>MAX(D169,B80)</f>
        <v>8.9</v>
      </c>
      <c r="H169" s="36">
        <f>MIN(E169,D80)</f>
        <v>18.4</v>
      </c>
      <c r="I169" s="36">
        <f>MAX(I95,G169)</f>
        <v>16.25</v>
      </c>
      <c r="J169" s="36">
        <f>MIN(J95,H169)</f>
        <v>17.55</v>
      </c>
      <c r="K169" s="36">
        <f>MAX(0,ROUND((J169-I169),4))</f>
        <v>1.3</v>
      </c>
    </row>
    <row r="170" spans="1:12" ht="23" customHeight="1">
      <c r="A170" s="6">
        <v>4</v>
      </c>
      <c r="B170" s="6">
        <v>112</v>
      </c>
      <c r="C170" s="6">
        <v>6</v>
      </c>
      <c r="D170" s="35">
        <v>8.9</v>
      </c>
      <c r="E170" s="35">
        <v>18.4</v>
      </c>
      <c r="F170" s="36">
        <f>ROUND((E170-D170),4)</f>
        <v>9.5</v>
      </c>
      <c r="G170" s="36">
        <f>MAX(D170,B80)</f>
        <v>8.9</v>
      </c>
      <c r="H170" s="36">
        <f>MIN(E170,D80)</f>
        <v>18.4</v>
      </c>
      <c r="I170" s="36">
        <f>MAX(I96,G170)</f>
        <v>17.55</v>
      </c>
      <c r="J170" s="36">
        <f>MIN(J96,H170)</f>
        <v>18.4</v>
      </c>
      <c r="K170" s="36">
        <f>MAX(0,ROUND((J170-I170),4))</f>
        <v>0.85</v>
      </c>
    </row>
    <row r="171" spans="1:12" ht="23" customHeight="1">
      <c r="A171" s="6">
        <v>4</v>
      </c>
      <c r="B171" s="6">
        <v>112</v>
      </c>
      <c r="C171" s="6">
        <v>7</v>
      </c>
      <c r="D171" s="35">
        <v>18.4</v>
      </c>
      <c r="E171" s="35">
        <v>31</v>
      </c>
      <c r="F171" s="36">
        <f>ROUND((E171-D171),4)</f>
        <v>12.6</v>
      </c>
      <c r="G171" s="36">
        <f>MAX(D171,B80)</f>
        <v>18.4</v>
      </c>
      <c r="H171" s="36">
        <f>MIN(E171,D80)</f>
        <v>29.7</v>
      </c>
      <c r="I171" s="36">
        <f>MAX(I96,G171)</f>
        <v>18.4</v>
      </c>
      <c r="J171" s="36">
        <f>MIN(J96,H171)</f>
        <v>18.85</v>
      </c>
      <c r="K171" s="36">
        <f>MAX(0,ROUND((J171-I171),4))</f>
        <v>0.45</v>
      </c>
    </row>
    <row r="172" spans="1:12" ht="23" customHeight="1">
      <c r="A172" s="6">
        <v>4</v>
      </c>
      <c r="B172" s="6">
        <v>113</v>
      </c>
      <c r="C172" s="6">
        <v>7</v>
      </c>
      <c r="D172" s="35">
        <v>18.4</v>
      </c>
      <c r="E172" s="35">
        <v>31</v>
      </c>
      <c r="F172" s="36">
        <f>ROUND((E172-D172),4)</f>
        <v>12.6</v>
      </c>
      <c r="G172" s="36">
        <f>MAX(D172,B80)</f>
        <v>18.4</v>
      </c>
      <c r="H172" s="36">
        <f>MIN(E172,D80)</f>
        <v>29.7</v>
      </c>
      <c r="I172" s="36">
        <f>MAX(I97,G172)</f>
        <v>18.85</v>
      </c>
      <c r="J172" s="36">
        <f>MIN(J97,H172)</f>
        <v>20.15</v>
      </c>
      <c r="K172" s="36">
        <f>MAX(0,ROUND((J172-I172),4))</f>
        <v>1.3</v>
      </c>
    </row>
    <row r="173" spans="1:12" ht="24" customHeight="1">
      <c r="A173" s="3" t="s">
        <v>335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8</v>
      </c>
      <c r="B174" s="4" t="s">
        <v>90</v>
      </c>
      <c r="C174" s="4" t="s">
        <v>147</v>
      </c>
      <c r="D174" s="4" t="s">
        <v>149</v>
      </c>
      <c r="E174" s="4" t="s">
        <v>150</v>
      </c>
      <c r="F174" s="4" t="s">
        <v>336</v>
      </c>
      <c r="G174" s="4" t="s">
        <v>337</v>
      </c>
      <c r="H174" s="4" t="s">
        <v>338</v>
      </c>
      <c r="I174" s="4" t="s">
        <v>151</v>
      </c>
      <c r="J174" s="4" t="s">
        <v>152</v>
      </c>
      <c r="K174" s="4" t="s">
        <v>311</v>
      </c>
    </row>
    <row r="175" spans="1:12" ht="23" customHeight="1">
      <c r="A175" s="6">
        <v>4</v>
      </c>
      <c r="B175" s="6">
        <v>114</v>
      </c>
      <c r="C175" s="6">
        <v>7</v>
      </c>
      <c r="D175" s="35">
        <v>18.4</v>
      </c>
      <c r="E175" s="35">
        <v>31</v>
      </c>
      <c r="F175" s="36">
        <f>ROUND((E175-D175),4)</f>
        <v>12.6</v>
      </c>
      <c r="G175" s="36">
        <f>MAX(D175,B80)</f>
        <v>18.4</v>
      </c>
      <c r="H175" s="36">
        <f>MIN(E175,D80)</f>
        <v>29.7</v>
      </c>
      <c r="I175" s="36">
        <f>MAX(I98,G175)</f>
        <v>20.15</v>
      </c>
      <c r="J175" s="36">
        <f>MIN(J98,H175)</f>
        <v>21.45</v>
      </c>
      <c r="K175" s="36">
        <f>MAX(0,ROUND((J175-I175),4))</f>
        <v>1.3</v>
      </c>
    </row>
    <row r="176" spans="1:12" ht="23" customHeight="1">
      <c r="A176" s="6">
        <v>4</v>
      </c>
      <c r="B176" s="6">
        <v>115</v>
      </c>
      <c r="C176" s="6">
        <v>7</v>
      </c>
      <c r="D176" s="35">
        <v>18.4</v>
      </c>
      <c r="E176" s="35">
        <v>31</v>
      </c>
      <c r="F176" s="36">
        <f>ROUND((E176-D176),4)</f>
        <v>12.6</v>
      </c>
      <c r="G176" s="36">
        <f>MAX(D176,B80)</f>
        <v>18.4</v>
      </c>
      <c r="H176" s="36">
        <f>MIN(E176,D80)</f>
        <v>29.7</v>
      </c>
      <c r="I176" s="36">
        <f>MAX(I99,G176)</f>
        <v>21.45</v>
      </c>
      <c r="J176" s="36">
        <f>MIN(J99,H176)</f>
        <v>22.75</v>
      </c>
      <c r="K176" s="36">
        <f>MAX(0,ROUND((J176-I176),4))</f>
        <v>1.3</v>
      </c>
    </row>
    <row r="177" spans="1:12" ht="23" customHeight="1">
      <c r="A177" s="6">
        <v>4</v>
      </c>
      <c r="B177" s="6">
        <v>116</v>
      </c>
      <c r="C177" s="6">
        <v>7</v>
      </c>
      <c r="D177" s="35">
        <v>18.4</v>
      </c>
      <c r="E177" s="35">
        <v>31</v>
      </c>
      <c r="F177" s="36">
        <f>ROUND((E177-D177),4)</f>
        <v>12.6</v>
      </c>
      <c r="G177" s="36">
        <f>MAX(D177,B80)</f>
        <v>18.4</v>
      </c>
      <c r="H177" s="36">
        <f>MIN(E177,D80)</f>
        <v>29.7</v>
      </c>
      <c r="I177" s="36">
        <f>MAX(I100,G177)</f>
        <v>22.75</v>
      </c>
      <c r="J177" s="36">
        <f>MIN(J100,H177)</f>
        <v>24.05</v>
      </c>
      <c r="K177" s="36">
        <f>MAX(0,ROUND((J177-I177),4))</f>
        <v>1.3</v>
      </c>
    </row>
    <row r="178" spans="1:12" ht="23" customHeight="1">
      <c r="A178" s="6">
        <v>4</v>
      </c>
      <c r="B178" s="6">
        <v>117</v>
      </c>
      <c r="C178" s="6">
        <v>7</v>
      </c>
      <c r="D178" s="35">
        <v>18.4</v>
      </c>
      <c r="E178" s="35">
        <v>31</v>
      </c>
      <c r="F178" s="36">
        <f>ROUND((E178-D178),4)</f>
        <v>12.6</v>
      </c>
      <c r="G178" s="36">
        <f>MAX(D178,B80)</f>
        <v>18.4</v>
      </c>
      <c r="H178" s="36">
        <f>MIN(E178,D80)</f>
        <v>29.7</v>
      </c>
      <c r="I178" s="36">
        <f>MAX(I101,G178)</f>
        <v>24.05</v>
      </c>
      <c r="J178" s="36">
        <f>MIN(J101,H178)</f>
        <v>25.35</v>
      </c>
      <c r="K178" s="36">
        <f>MAX(0,ROUND((J178-I178),4))</f>
        <v>1.3</v>
      </c>
    </row>
    <row r="179" spans="1:12" ht="23" customHeight="1">
      <c r="A179" s="6">
        <v>4</v>
      </c>
      <c r="B179" s="6">
        <v>118</v>
      </c>
      <c r="C179" s="6">
        <v>7</v>
      </c>
      <c r="D179" s="35">
        <v>18.4</v>
      </c>
      <c r="E179" s="35">
        <v>31</v>
      </c>
      <c r="F179" s="36">
        <f>ROUND((E179-D179),4)</f>
        <v>12.6</v>
      </c>
      <c r="G179" s="36">
        <f>MAX(D179,B80)</f>
        <v>18.4</v>
      </c>
      <c r="H179" s="36">
        <f>MIN(E179,D80)</f>
        <v>29.7</v>
      </c>
      <c r="I179" s="36">
        <f>MAX(I102,G179)</f>
        <v>25.35</v>
      </c>
      <c r="J179" s="36">
        <f>MIN(J102,H179)</f>
        <v>26.65</v>
      </c>
      <c r="K179" s="36">
        <f>MAX(0,ROUND((J179-I179),4))</f>
        <v>1.3</v>
      </c>
    </row>
    <row r="180" spans="1:12" ht="23" customHeight="1">
      <c r="A180" s="6">
        <v>4</v>
      </c>
      <c r="B180" s="6">
        <v>119</v>
      </c>
      <c r="C180" s="6">
        <v>7</v>
      </c>
      <c r="D180" s="35">
        <v>18.4</v>
      </c>
      <c r="E180" s="35">
        <v>31</v>
      </c>
      <c r="F180" s="36">
        <f>ROUND((E180-D180),4)</f>
        <v>12.6</v>
      </c>
      <c r="G180" s="36">
        <f>MAX(D180,B80)</f>
        <v>18.4</v>
      </c>
      <c r="H180" s="36">
        <f>MIN(E180,D80)</f>
        <v>29.7</v>
      </c>
      <c r="I180" s="36">
        <f>MAX(I103,G180)</f>
        <v>26.65</v>
      </c>
      <c r="J180" s="36">
        <f>MIN(J103,H180)</f>
        <v>27.95</v>
      </c>
      <c r="K180" s="36">
        <f>MAX(0,ROUND((J180-I180),4))</f>
        <v>1.3</v>
      </c>
    </row>
    <row r="181" spans="1:12" ht="23" customHeight="1">
      <c r="A181" s="6">
        <v>4</v>
      </c>
      <c r="B181" s="6">
        <v>120</v>
      </c>
      <c r="C181" s="6">
        <v>7</v>
      </c>
      <c r="D181" s="35">
        <v>18.4</v>
      </c>
      <c r="E181" s="35">
        <v>31</v>
      </c>
      <c r="F181" s="36">
        <f>ROUND((E181-D181),4)</f>
        <v>12.6</v>
      </c>
      <c r="G181" s="36">
        <f>MAX(D181,B80)</f>
        <v>18.4</v>
      </c>
      <c r="H181" s="36">
        <f>MIN(E181,D80)</f>
        <v>29.7</v>
      </c>
      <c r="I181" s="36">
        <f>MAX(I104,G181)</f>
        <v>27.95</v>
      </c>
      <c r="J181" s="36">
        <f>MIN(J104,H181)</f>
        <v>29.25</v>
      </c>
      <c r="K181" s="36">
        <f>MAX(0,ROUND((J181-I181),4))</f>
        <v>1.3</v>
      </c>
    </row>
    <row r="182" spans="1:12" ht="23" customHeight="1">
      <c r="A182" s="6">
        <v>4</v>
      </c>
      <c r="B182" s="6">
        <v>121</v>
      </c>
      <c r="C182" s="6">
        <v>7</v>
      </c>
      <c r="D182" s="35">
        <v>18.4</v>
      </c>
      <c r="E182" s="35">
        <v>31</v>
      </c>
      <c r="F182" s="36">
        <f>ROUND((E182-D182),4)</f>
        <v>12.6</v>
      </c>
      <c r="G182" s="36">
        <f>MAX(D182,B80)</f>
        <v>18.4</v>
      </c>
      <c r="H182" s="36">
        <f>MIN(E182,D80)</f>
        <v>29.7</v>
      </c>
      <c r="I182" s="36">
        <f>MAX(I105,G182)</f>
        <v>29.25</v>
      </c>
      <c r="J182" s="36">
        <f>MIN(J105,H182)</f>
        <v>29.7</v>
      </c>
      <c r="K182" s="36">
        <f>MAX(0,ROUND((J182-I182),4))</f>
        <v>0.45</v>
      </c>
    </row>
    <row r="183" spans="1:12" ht="23" customHeight="1">
      <c r="A183" s="6">
        <v>5</v>
      </c>
      <c r="B183" s="6">
        <v>127</v>
      </c>
      <c r="C183" s="6">
        <v>3</v>
      </c>
      <c r="D183" s="35">
        <v>2.8</v>
      </c>
      <c r="E183" s="35">
        <v>5.7</v>
      </c>
      <c r="F183" s="36">
        <f>ROUND((E183-D183),4)</f>
        <v>2.9</v>
      </c>
      <c r="G183" s="36">
        <f>MAX(D183,B80)</f>
        <v>4.945</v>
      </c>
      <c r="H183" s="36">
        <f>MIN(E183,D80)</f>
        <v>5.7</v>
      </c>
      <c r="I183" s="36">
        <f>MAX(I108,G183)</f>
        <v>4.945</v>
      </c>
      <c r="J183" s="36">
        <f>MIN(J108,H183)</f>
        <v>5.7</v>
      </c>
      <c r="K183" s="36">
        <f>MAX(0,ROUND((J183-I183),4))</f>
        <v>0.755</v>
      </c>
    </row>
    <row r="184" spans="1:12" ht="23" customHeight="1">
      <c r="A184" s="6">
        <v>5</v>
      </c>
      <c r="B184" s="6">
        <v>127</v>
      </c>
      <c r="C184" s="6">
        <v>4</v>
      </c>
      <c r="D184" s="35">
        <v>5.7</v>
      </c>
      <c r="E184" s="35">
        <v>8.300000000000001</v>
      </c>
      <c r="F184" s="36">
        <f>ROUND((E184-D184),4)</f>
        <v>2.6</v>
      </c>
      <c r="G184" s="36">
        <f>MAX(D184,B80)</f>
        <v>5.7</v>
      </c>
      <c r="H184" s="36">
        <f>MIN(E184,D80)</f>
        <v>8.3</v>
      </c>
      <c r="I184" s="36">
        <f>MAX(I108,G184)</f>
        <v>5.7</v>
      </c>
      <c r="J184" s="36">
        <f>MIN(J108,H184)</f>
        <v>5.85</v>
      </c>
      <c r="K184" s="36">
        <f>MAX(0,ROUND((J184-I184),4))</f>
        <v>0.15</v>
      </c>
    </row>
    <row r="185" spans="1:12" ht="23" customHeight="1">
      <c r="A185" s="6">
        <v>5</v>
      </c>
      <c r="B185" s="6">
        <v>128</v>
      </c>
      <c r="C185" s="6">
        <v>4</v>
      </c>
      <c r="D185" s="35">
        <v>5.7</v>
      </c>
      <c r="E185" s="35">
        <v>8.300000000000001</v>
      </c>
      <c r="F185" s="36">
        <f>ROUND((E185-D185),4)</f>
        <v>2.6</v>
      </c>
      <c r="G185" s="36">
        <f>MAX(D185,B80)</f>
        <v>5.7</v>
      </c>
      <c r="H185" s="36">
        <f>MIN(E185,D80)</f>
        <v>8.3</v>
      </c>
      <c r="I185" s="36">
        <f>MAX(I109,G185)</f>
        <v>5.85</v>
      </c>
      <c r="J185" s="36">
        <f>MIN(J109,H185)</f>
        <v>7.15</v>
      </c>
      <c r="K185" s="36">
        <f>MAX(0,ROUND((J185-I185),4))</f>
        <v>1.3</v>
      </c>
    </row>
    <row r="186" spans="1:12" ht="23" customHeight="1">
      <c r="A186" s="6">
        <v>5</v>
      </c>
      <c r="B186" s="6">
        <v>129</v>
      </c>
      <c r="C186" s="6">
        <v>4</v>
      </c>
      <c r="D186" s="35">
        <v>5.7</v>
      </c>
      <c r="E186" s="35">
        <v>8.300000000000001</v>
      </c>
      <c r="F186" s="36">
        <f>ROUND((E186-D186),4)</f>
        <v>2.6</v>
      </c>
      <c r="G186" s="36">
        <f>MAX(D186,B80)</f>
        <v>5.7</v>
      </c>
      <c r="H186" s="36">
        <f>MIN(E186,D80)</f>
        <v>8.3</v>
      </c>
      <c r="I186" s="36">
        <f>MAX(I110,G186)</f>
        <v>7.15</v>
      </c>
      <c r="J186" s="36">
        <f>MIN(J110,H186)</f>
        <v>8.3</v>
      </c>
      <c r="K186" s="36">
        <f>MAX(0,ROUND((J186-I186),4))</f>
        <v>1.15</v>
      </c>
    </row>
    <row r="187" spans="1:12" ht="23" customHeight="1">
      <c r="A187" s="6">
        <v>5</v>
      </c>
      <c r="B187" s="6">
        <v>129</v>
      </c>
      <c r="C187" s="6">
        <v>5</v>
      </c>
      <c r="D187" s="35">
        <v>8.300000000000001</v>
      </c>
      <c r="E187" s="35">
        <v>8.9</v>
      </c>
      <c r="F187" s="36">
        <f>ROUND((E187-D187),4)</f>
        <v>0.6</v>
      </c>
      <c r="G187" s="36">
        <f>MAX(D187,B80)</f>
        <v>8.3</v>
      </c>
      <c r="H187" s="36">
        <f>MIN(E187,D80)</f>
        <v>8.9</v>
      </c>
      <c r="I187" s="36">
        <f>MAX(I110,G187)</f>
        <v>8.3</v>
      </c>
      <c r="J187" s="36">
        <f>MIN(J110,H187)</f>
        <v>8.45</v>
      </c>
      <c r="K187" s="36">
        <f>MAX(0,ROUND((J187-I187),4))</f>
        <v>0.15</v>
      </c>
    </row>
    <row r="188" spans="1:12" ht="23" customHeight="1">
      <c r="A188" s="6">
        <v>5</v>
      </c>
      <c r="B188" s="6">
        <v>130</v>
      </c>
      <c r="C188" s="6">
        <v>5</v>
      </c>
      <c r="D188" s="35">
        <v>8.300000000000001</v>
      </c>
      <c r="E188" s="35">
        <v>8.9</v>
      </c>
      <c r="F188" s="36">
        <f>ROUND((E188-D188),4)</f>
        <v>0.6</v>
      </c>
      <c r="G188" s="36">
        <f>MAX(D188,B80)</f>
        <v>8.3</v>
      </c>
      <c r="H188" s="36">
        <f>MIN(E188,D80)</f>
        <v>8.9</v>
      </c>
      <c r="I188" s="36">
        <f>MAX(I111,G188)</f>
        <v>8.45</v>
      </c>
      <c r="J188" s="36">
        <f>MIN(J111,H188)</f>
        <v>8.9</v>
      </c>
      <c r="K188" s="36">
        <f>MAX(0,ROUND((J188-I188),4))</f>
        <v>0.45</v>
      </c>
    </row>
    <row r="189" spans="1:12" ht="23" customHeight="1">
      <c r="A189" s="6">
        <v>5</v>
      </c>
      <c r="B189" s="6">
        <v>130</v>
      </c>
      <c r="C189" s="6">
        <v>6</v>
      </c>
      <c r="D189" s="35">
        <v>8.9</v>
      </c>
      <c r="E189" s="35">
        <v>18.4</v>
      </c>
      <c r="F189" s="36">
        <f>ROUND((E189-D189),4)</f>
        <v>9.5</v>
      </c>
      <c r="G189" s="36">
        <f>MAX(D189,B80)</f>
        <v>8.9</v>
      </c>
      <c r="H189" s="36">
        <f>MIN(E189,D80)</f>
        <v>18.4</v>
      </c>
      <c r="I189" s="36">
        <f>MAX(I111,G189)</f>
        <v>8.9</v>
      </c>
      <c r="J189" s="36">
        <f>MIN(J111,H189)</f>
        <v>9.75</v>
      </c>
      <c r="K189" s="36">
        <f>MAX(0,ROUND((J189-I189),4))</f>
        <v>0.85</v>
      </c>
    </row>
    <row r="190" spans="1:12" ht="24" customHeight="1">
      <c r="A190" s="3" t="s">
        <v>335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8</v>
      </c>
      <c r="B191" s="4" t="s">
        <v>90</v>
      </c>
      <c r="C191" s="4" t="s">
        <v>147</v>
      </c>
      <c r="D191" s="4" t="s">
        <v>149</v>
      </c>
      <c r="E191" s="4" t="s">
        <v>150</v>
      </c>
      <c r="F191" s="4" t="s">
        <v>336</v>
      </c>
      <c r="G191" s="4" t="s">
        <v>337</v>
      </c>
      <c r="H191" s="4" t="s">
        <v>338</v>
      </c>
      <c r="I191" s="4" t="s">
        <v>151</v>
      </c>
      <c r="J191" s="4" t="s">
        <v>152</v>
      </c>
      <c r="K191" s="4" t="s">
        <v>311</v>
      </c>
    </row>
    <row r="192" spans="1:12" ht="23" customHeight="1">
      <c r="A192" s="6">
        <v>5</v>
      </c>
      <c r="B192" s="6">
        <v>131</v>
      </c>
      <c r="C192" s="6">
        <v>6</v>
      </c>
      <c r="D192" s="35">
        <v>8.9</v>
      </c>
      <c r="E192" s="35">
        <v>18.4</v>
      </c>
      <c r="F192" s="36">
        <f>ROUND((E192-D192),4)</f>
        <v>9.5</v>
      </c>
      <c r="G192" s="36">
        <f>MAX(D192,B80)</f>
        <v>8.9</v>
      </c>
      <c r="H192" s="36">
        <f>MIN(E192,D80)</f>
        <v>18.4</v>
      </c>
      <c r="I192" s="36">
        <f>MAX(I112,G192)</f>
        <v>9.75</v>
      </c>
      <c r="J192" s="36">
        <f>MIN(J112,H192)</f>
        <v>11.05</v>
      </c>
      <c r="K192" s="36">
        <f>MAX(0,ROUND((J192-I192),4))</f>
        <v>1.3</v>
      </c>
    </row>
    <row r="193" spans="1:12" ht="23" customHeight="1">
      <c r="A193" s="6">
        <v>5</v>
      </c>
      <c r="B193" s="6">
        <v>132</v>
      </c>
      <c r="C193" s="6">
        <v>6</v>
      </c>
      <c r="D193" s="35">
        <v>8.9</v>
      </c>
      <c r="E193" s="35">
        <v>18.4</v>
      </c>
      <c r="F193" s="36">
        <f>ROUND((E193-D193),4)</f>
        <v>9.5</v>
      </c>
      <c r="G193" s="36">
        <f>MAX(D193,B80)</f>
        <v>8.9</v>
      </c>
      <c r="H193" s="36">
        <f>MIN(E193,D80)</f>
        <v>18.4</v>
      </c>
      <c r="I193" s="36">
        <f>MAX(I113,G193)</f>
        <v>11.05</v>
      </c>
      <c r="J193" s="36">
        <f>MIN(J113,H193)</f>
        <v>12.35</v>
      </c>
      <c r="K193" s="36">
        <f>MAX(0,ROUND((J193-I193),4))</f>
        <v>1.3</v>
      </c>
    </row>
    <row r="194" spans="1:12" ht="23" customHeight="1">
      <c r="A194" s="6">
        <v>5</v>
      </c>
      <c r="B194" s="6">
        <v>133</v>
      </c>
      <c r="C194" s="6">
        <v>6</v>
      </c>
      <c r="D194" s="35">
        <v>8.9</v>
      </c>
      <c r="E194" s="35">
        <v>18.4</v>
      </c>
      <c r="F194" s="36">
        <f>ROUND((E194-D194),4)</f>
        <v>9.5</v>
      </c>
      <c r="G194" s="36">
        <f>MAX(D194,B80)</f>
        <v>8.9</v>
      </c>
      <c r="H194" s="36">
        <f>MIN(E194,D80)</f>
        <v>18.4</v>
      </c>
      <c r="I194" s="36">
        <f>MAX(I114,G194)</f>
        <v>12.35</v>
      </c>
      <c r="J194" s="36">
        <f>MIN(J114,H194)</f>
        <v>13.65</v>
      </c>
      <c r="K194" s="36">
        <f>MAX(0,ROUND((J194-I194),4))</f>
        <v>1.3</v>
      </c>
    </row>
    <row r="195" spans="1:12" ht="23" customHeight="1">
      <c r="A195" s="6">
        <v>5</v>
      </c>
      <c r="B195" s="6">
        <v>134</v>
      </c>
      <c r="C195" s="6">
        <v>6</v>
      </c>
      <c r="D195" s="35">
        <v>8.9</v>
      </c>
      <c r="E195" s="35">
        <v>18.4</v>
      </c>
      <c r="F195" s="36">
        <f>ROUND((E195-D195),4)</f>
        <v>9.5</v>
      </c>
      <c r="G195" s="36">
        <f>MAX(D195,B80)</f>
        <v>8.9</v>
      </c>
      <c r="H195" s="36">
        <f>MIN(E195,D80)</f>
        <v>18.4</v>
      </c>
      <c r="I195" s="36">
        <f>MAX(I115,G195)</f>
        <v>13.65</v>
      </c>
      <c r="J195" s="36">
        <f>MIN(J115,H195)</f>
        <v>14.95</v>
      </c>
      <c r="K195" s="36">
        <f>MAX(0,ROUND((J195-I195),4))</f>
        <v>1.3</v>
      </c>
    </row>
    <row r="196" spans="1:12" ht="23" customHeight="1">
      <c r="A196" s="6">
        <v>5</v>
      </c>
      <c r="B196" s="6">
        <v>135</v>
      </c>
      <c r="C196" s="6">
        <v>6</v>
      </c>
      <c r="D196" s="35">
        <v>8.9</v>
      </c>
      <c r="E196" s="35">
        <v>18.4</v>
      </c>
      <c r="F196" s="36">
        <f>ROUND((E196-D196),4)</f>
        <v>9.5</v>
      </c>
      <c r="G196" s="36">
        <f>MAX(D196,B80)</f>
        <v>8.9</v>
      </c>
      <c r="H196" s="36">
        <f>MIN(E196,D80)</f>
        <v>18.4</v>
      </c>
      <c r="I196" s="36">
        <f>MAX(I116,G196)</f>
        <v>14.95</v>
      </c>
      <c r="J196" s="36">
        <f>MIN(J116,H196)</f>
        <v>16.25</v>
      </c>
      <c r="K196" s="36">
        <f>MAX(0,ROUND((J196-I196),4))</f>
        <v>1.3</v>
      </c>
    </row>
    <row r="197" spans="1:12" ht="23" customHeight="1">
      <c r="A197" s="6">
        <v>5</v>
      </c>
      <c r="B197" s="6">
        <v>136</v>
      </c>
      <c r="C197" s="6">
        <v>6</v>
      </c>
      <c r="D197" s="35">
        <v>8.9</v>
      </c>
      <c r="E197" s="35">
        <v>18.4</v>
      </c>
      <c r="F197" s="36">
        <f>ROUND((E197-D197),4)</f>
        <v>9.5</v>
      </c>
      <c r="G197" s="36">
        <f>MAX(D197,B80)</f>
        <v>8.9</v>
      </c>
      <c r="H197" s="36">
        <f>MIN(E197,D80)</f>
        <v>18.4</v>
      </c>
      <c r="I197" s="36">
        <f>MAX(I117,G197)</f>
        <v>16.25</v>
      </c>
      <c r="J197" s="36">
        <f>MIN(J117,H197)</f>
        <v>17.55</v>
      </c>
      <c r="K197" s="36">
        <f>MAX(0,ROUND((J197-I197),4))</f>
        <v>1.3</v>
      </c>
    </row>
    <row r="198" spans="1:12" ht="23" customHeight="1">
      <c r="A198" s="6">
        <v>5</v>
      </c>
      <c r="B198" s="6">
        <v>137</v>
      </c>
      <c r="C198" s="6">
        <v>6</v>
      </c>
      <c r="D198" s="35">
        <v>8.9</v>
      </c>
      <c r="E198" s="35">
        <v>18.4</v>
      </c>
      <c r="F198" s="36">
        <f>ROUND((E198-D198),4)</f>
        <v>9.5</v>
      </c>
      <c r="G198" s="36">
        <f>MAX(D198,B80)</f>
        <v>8.9</v>
      </c>
      <c r="H198" s="36">
        <f>MIN(E198,D80)</f>
        <v>18.4</v>
      </c>
      <c r="I198" s="36">
        <f>MAX(I118,G198)</f>
        <v>17.55</v>
      </c>
      <c r="J198" s="36">
        <f>MIN(J118,H198)</f>
        <v>18.4</v>
      </c>
      <c r="K198" s="36">
        <f>MAX(0,ROUND((J198-I198),4))</f>
        <v>0.85</v>
      </c>
    </row>
    <row r="199" spans="1:12" ht="23" customHeight="1">
      <c r="A199" s="6">
        <v>5</v>
      </c>
      <c r="B199" s="6">
        <v>137</v>
      </c>
      <c r="C199" s="6">
        <v>7</v>
      </c>
      <c r="D199" s="35">
        <v>18.4</v>
      </c>
      <c r="E199" s="35">
        <v>31</v>
      </c>
      <c r="F199" s="36">
        <f>ROUND((E199-D199),4)</f>
        <v>12.6</v>
      </c>
      <c r="G199" s="36">
        <f>MAX(D199,B80)</f>
        <v>18.4</v>
      </c>
      <c r="H199" s="36">
        <f>MIN(E199,D80)</f>
        <v>29.7</v>
      </c>
      <c r="I199" s="36">
        <f>MAX(I118,G199)</f>
        <v>18.4</v>
      </c>
      <c r="J199" s="36">
        <f>MIN(J118,H199)</f>
        <v>18.85</v>
      </c>
      <c r="K199" s="36">
        <f>MAX(0,ROUND((J199-I199),4))</f>
        <v>0.45</v>
      </c>
    </row>
    <row r="200" spans="1:12" ht="23" customHeight="1">
      <c r="A200" s="6">
        <v>5</v>
      </c>
      <c r="B200" s="6">
        <v>138</v>
      </c>
      <c r="C200" s="6">
        <v>7</v>
      </c>
      <c r="D200" s="35">
        <v>18.4</v>
      </c>
      <c r="E200" s="35">
        <v>31</v>
      </c>
      <c r="F200" s="36">
        <f>ROUND((E200-D200),4)</f>
        <v>12.6</v>
      </c>
      <c r="G200" s="36">
        <f>MAX(D200,B80)</f>
        <v>18.4</v>
      </c>
      <c r="H200" s="36">
        <f>MIN(E200,D80)</f>
        <v>29.7</v>
      </c>
      <c r="I200" s="36">
        <f>MAX(I119,G200)</f>
        <v>18.85</v>
      </c>
      <c r="J200" s="36">
        <f>MIN(J119,H200)</f>
        <v>20.15</v>
      </c>
      <c r="K200" s="36">
        <f>MAX(0,ROUND((J200-I200),4))</f>
        <v>1.3</v>
      </c>
    </row>
    <row r="201" spans="1:12" ht="23" customHeight="1">
      <c r="A201" s="6">
        <v>5</v>
      </c>
      <c r="B201" s="6">
        <v>139</v>
      </c>
      <c r="C201" s="6">
        <v>7</v>
      </c>
      <c r="D201" s="35">
        <v>18.4</v>
      </c>
      <c r="E201" s="35">
        <v>31</v>
      </c>
      <c r="F201" s="36">
        <f>ROUND((E201-D201),4)</f>
        <v>12.6</v>
      </c>
      <c r="G201" s="36">
        <f>MAX(D201,B80)</f>
        <v>18.4</v>
      </c>
      <c r="H201" s="36">
        <f>MIN(E201,D80)</f>
        <v>29.7</v>
      </c>
      <c r="I201" s="36">
        <f>MAX(I120,G201)</f>
        <v>20.15</v>
      </c>
      <c r="J201" s="36">
        <f>MIN(J120,H201)</f>
        <v>21.45</v>
      </c>
      <c r="K201" s="36">
        <f>MAX(0,ROUND((J201-I201),4))</f>
        <v>1.3</v>
      </c>
    </row>
    <row r="202" spans="1:12" ht="23" customHeight="1">
      <c r="A202" s="6">
        <v>5</v>
      </c>
      <c r="B202" s="6">
        <v>140</v>
      </c>
      <c r="C202" s="6">
        <v>7</v>
      </c>
      <c r="D202" s="35">
        <v>18.4</v>
      </c>
      <c r="E202" s="35">
        <v>31</v>
      </c>
      <c r="F202" s="36">
        <f>ROUND((E202-D202),4)</f>
        <v>12.6</v>
      </c>
      <c r="G202" s="36">
        <f>MAX(D202,B80)</f>
        <v>18.4</v>
      </c>
      <c r="H202" s="36">
        <f>MIN(E202,D80)</f>
        <v>29.7</v>
      </c>
      <c r="I202" s="36">
        <f>MAX(I121,G202)</f>
        <v>21.45</v>
      </c>
      <c r="J202" s="36">
        <f>MIN(J121,H202)</f>
        <v>22.75</v>
      </c>
      <c r="K202" s="36">
        <f>MAX(0,ROUND((J202-I202),4))</f>
        <v>1.3</v>
      </c>
    </row>
    <row r="203" spans="1:12" ht="23" customHeight="1">
      <c r="A203" s="6">
        <v>5</v>
      </c>
      <c r="B203" s="6">
        <v>141</v>
      </c>
      <c r="C203" s="6">
        <v>7</v>
      </c>
      <c r="D203" s="35">
        <v>18.4</v>
      </c>
      <c r="E203" s="35">
        <v>31</v>
      </c>
      <c r="F203" s="36">
        <f>ROUND((E203-D203),4)</f>
        <v>12.6</v>
      </c>
      <c r="G203" s="36">
        <f>MAX(D203,B80)</f>
        <v>18.4</v>
      </c>
      <c r="H203" s="36">
        <f>MIN(E203,D80)</f>
        <v>29.7</v>
      </c>
      <c r="I203" s="36">
        <f>MAX(I122,G203)</f>
        <v>22.75</v>
      </c>
      <c r="J203" s="36">
        <f>MIN(J122,H203)</f>
        <v>24.05</v>
      </c>
      <c r="K203" s="36">
        <f>MAX(0,ROUND((J203-I203),4))</f>
        <v>1.3</v>
      </c>
    </row>
    <row r="204" spans="1:12" ht="23" customHeight="1">
      <c r="A204" s="6">
        <v>5</v>
      </c>
      <c r="B204" s="6">
        <v>142</v>
      </c>
      <c r="C204" s="6">
        <v>7</v>
      </c>
      <c r="D204" s="35">
        <v>18.4</v>
      </c>
      <c r="E204" s="35">
        <v>31</v>
      </c>
      <c r="F204" s="36">
        <f>ROUND((E204-D204),4)</f>
        <v>12.6</v>
      </c>
      <c r="G204" s="36">
        <f>MAX(D204,B80)</f>
        <v>18.4</v>
      </c>
      <c r="H204" s="36">
        <f>MIN(E204,D80)</f>
        <v>29.7</v>
      </c>
      <c r="I204" s="36">
        <f>MAX(I125,G204)</f>
        <v>24.05</v>
      </c>
      <c r="J204" s="36">
        <f>MIN(J125,H204)</f>
        <v>25.35</v>
      </c>
      <c r="K204" s="36">
        <f>MAX(0,ROUND((J204-I204),4))</f>
        <v>1.3</v>
      </c>
    </row>
    <row r="205" spans="1:12" ht="23" customHeight="1">
      <c r="A205" s="6">
        <v>5</v>
      </c>
      <c r="B205" s="6">
        <v>143</v>
      </c>
      <c r="C205" s="6">
        <v>7</v>
      </c>
      <c r="D205" s="35">
        <v>18.4</v>
      </c>
      <c r="E205" s="35">
        <v>31</v>
      </c>
      <c r="F205" s="36">
        <f>ROUND((E205-D205),4)</f>
        <v>12.6</v>
      </c>
      <c r="G205" s="36">
        <f>MAX(D205,B80)</f>
        <v>18.4</v>
      </c>
      <c r="H205" s="36">
        <f>MIN(E205,D80)</f>
        <v>29.7</v>
      </c>
      <c r="I205" s="36">
        <f>MAX(I126,G205)</f>
        <v>25.35</v>
      </c>
      <c r="J205" s="36">
        <f>MIN(J126,H205)</f>
        <v>26.65</v>
      </c>
      <c r="K205" s="36">
        <f>MAX(0,ROUND((J205-I205),4))</f>
        <v>1.3</v>
      </c>
    </row>
    <row r="206" spans="1:12" ht="23" customHeight="1">
      <c r="A206" s="6">
        <v>5</v>
      </c>
      <c r="B206" s="6">
        <v>144</v>
      </c>
      <c r="C206" s="6">
        <v>7</v>
      </c>
      <c r="D206" s="35">
        <v>18.4</v>
      </c>
      <c r="E206" s="35">
        <v>31</v>
      </c>
      <c r="F206" s="36">
        <f>ROUND((E206-D206),4)</f>
        <v>12.6</v>
      </c>
      <c r="G206" s="36">
        <f>MAX(D206,B80)</f>
        <v>18.4</v>
      </c>
      <c r="H206" s="36">
        <f>MIN(E206,D80)</f>
        <v>29.7</v>
      </c>
      <c r="I206" s="36">
        <f>MAX(I127,G206)</f>
        <v>26.65</v>
      </c>
      <c r="J206" s="36">
        <f>MIN(J127,H206)</f>
        <v>27.95</v>
      </c>
      <c r="K206" s="36">
        <f>MAX(0,ROUND((J206-I206),4))</f>
        <v>1.3</v>
      </c>
    </row>
    <row r="207" spans="1:12" ht="24" customHeight="1">
      <c r="A207" s="3" t="s">
        <v>335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8</v>
      </c>
      <c r="B208" s="4" t="s">
        <v>90</v>
      </c>
      <c r="C208" s="4" t="s">
        <v>147</v>
      </c>
      <c r="D208" s="4" t="s">
        <v>149</v>
      </c>
      <c r="E208" s="4" t="s">
        <v>150</v>
      </c>
      <c r="F208" s="4" t="s">
        <v>336</v>
      </c>
      <c r="G208" s="4" t="s">
        <v>337</v>
      </c>
      <c r="H208" s="4" t="s">
        <v>338</v>
      </c>
      <c r="I208" s="4" t="s">
        <v>151</v>
      </c>
      <c r="J208" s="4" t="s">
        <v>152</v>
      </c>
      <c r="K208" s="4" t="s">
        <v>311</v>
      </c>
    </row>
    <row r="209" spans="1:12" ht="23" customHeight="1">
      <c r="A209" s="6">
        <v>5</v>
      </c>
      <c r="B209" s="6">
        <v>145</v>
      </c>
      <c r="C209" s="6">
        <v>7</v>
      </c>
      <c r="D209" s="35">
        <v>18.4</v>
      </c>
      <c r="E209" s="35">
        <v>31</v>
      </c>
      <c r="F209" s="36">
        <f>ROUND((E209-D209),4)</f>
        <v>12.6</v>
      </c>
      <c r="G209" s="36">
        <f>MAX(D209,B80)</f>
        <v>18.4</v>
      </c>
      <c r="H209" s="36">
        <f>MIN(E209,D80)</f>
        <v>29.7</v>
      </c>
      <c r="I209" s="36">
        <f>MAX(I128,G209)</f>
        <v>27.95</v>
      </c>
      <c r="J209" s="36">
        <f>MIN(J128,H209)</f>
        <v>29.25</v>
      </c>
      <c r="K209" s="36">
        <f>MAX(0,ROUND((J209-I209),4))</f>
        <v>1.3</v>
      </c>
    </row>
    <row r="210" spans="1:12" ht="23" customHeight="1">
      <c r="A210" s="6">
        <v>5</v>
      </c>
      <c r="B210" s="6">
        <v>146</v>
      </c>
      <c r="C210" s="6">
        <v>7</v>
      </c>
      <c r="D210" s="35">
        <v>18.4</v>
      </c>
      <c r="E210" s="35">
        <v>31</v>
      </c>
      <c r="F210" s="36">
        <f>ROUND((E210-D210),4)</f>
        <v>12.6</v>
      </c>
      <c r="G210" s="36">
        <f>MAX(D210,B80)</f>
        <v>18.4</v>
      </c>
      <c r="H210" s="36">
        <f>MIN(E210,D80)</f>
        <v>29.7</v>
      </c>
      <c r="I210" s="36">
        <f>MAX(I129,G210)</f>
        <v>29.25</v>
      </c>
      <c r="J210" s="36">
        <f>MIN(J129,H210)</f>
        <v>29.7</v>
      </c>
      <c r="K210" s="36">
        <f>MAX(0,ROUND((J210-I210),4))</f>
        <v>0.45</v>
      </c>
    </row>
    <row r="211" spans="1:12" ht="23" customHeight="1">
      <c r="A211" s="6">
        <v>6</v>
      </c>
      <c r="B211" s="6">
        <v>152</v>
      </c>
      <c r="C211" s="6">
        <v>3</v>
      </c>
      <c r="D211" s="35">
        <v>2.8</v>
      </c>
      <c r="E211" s="35">
        <v>5.7</v>
      </c>
      <c r="F211" s="36">
        <f>ROUND((E211-D211),4)</f>
        <v>2.9</v>
      </c>
      <c r="G211" s="36">
        <f>MAX(D211,B80)</f>
        <v>4.945</v>
      </c>
      <c r="H211" s="36">
        <f>MIN(E211,D80)</f>
        <v>5.7</v>
      </c>
      <c r="I211" s="36">
        <f>MAX(I130,G211)</f>
        <v>4.945</v>
      </c>
      <c r="J211" s="36">
        <f>MIN(J130,H211)</f>
        <v>5.7</v>
      </c>
      <c r="K211" s="36">
        <f>MAX(0,ROUND((J211-I211),4))</f>
        <v>0.755</v>
      </c>
    </row>
    <row r="212" spans="1:12" ht="23" customHeight="1">
      <c r="A212" s="6">
        <v>6</v>
      </c>
      <c r="B212" s="6">
        <v>152</v>
      </c>
      <c r="C212" s="6">
        <v>4</v>
      </c>
      <c r="D212" s="35">
        <v>5.7</v>
      </c>
      <c r="E212" s="35">
        <v>8.300000000000001</v>
      </c>
      <c r="F212" s="36">
        <f>ROUND((E212-D212),4)</f>
        <v>2.6</v>
      </c>
      <c r="G212" s="36">
        <f>MAX(D212,B80)</f>
        <v>5.7</v>
      </c>
      <c r="H212" s="36">
        <f>MIN(E212,D80)</f>
        <v>8.3</v>
      </c>
      <c r="I212" s="36">
        <f>MAX(I130,G212)</f>
        <v>5.7</v>
      </c>
      <c r="J212" s="36">
        <f>MIN(J130,H212)</f>
        <v>5.85</v>
      </c>
      <c r="K212" s="36">
        <f>MAX(0,ROUND((J212-I212),4))</f>
        <v>0.15</v>
      </c>
    </row>
    <row r="213" spans="1:12" ht="23" customHeight="1">
      <c r="A213" s="6">
        <v>6</v>
      </c>
      <c r="B213" s="6">
        <v>153</v>
      </c>
      <c r="C213" s="6">
        <v>4</v>
      </c>
      <c r="D213" s="35">
        <v>5.7</v>
      </c>
      <c r="E213" s="35">
        <v>8.300000000000001</v>
      </c>
      <c r="F213" s="36">
        <f>ROUND((E213-D213),4)</f>
        <v>2.6</v>
      </c>
      <c r="G213" s="36">
        <f>MAX(D213,B80)</f>
        <v>5.7</v>
      </c>
      <c r="H213" s="36">
        <f>MIN(E213,D80)</f>
        <v>8.3</v>
      </c>
      <c r="I213" s="36">
        <f>MAX(I131,G213)</f>
        <v>5.85</v>
      </c>
      <c r="J213" s="36">
        <f>MIN(J131,H213)</f>
        <v>7.15</v>
      </c>
      <c r="K213" s="36">
        <f>MAX(0,ROUND((J213-I213),4))</f>
        <v>1.3</v>
      </c>
    </row>
    <row r="214" spans="1:12" ht="23" customHeight="1">
      <c r="A214" s="6">
        <v>6</v>
      </c>
      <c r="B214" s="6">
        <v>154</v>
      </c>
      <c r="C214" s="6">
        <v>4</v>
      </c>
      <c r="D214" s="35">
        <v>5.7</v>
      </c>
      <c r="E214" s="35">
        <v>8.300000000000001</v>
      </c>
      <c r="F214" s="36">
        <f>ROUND((E214-D214),4)</f>
        <v>2.6</v>
      </c>
      <c r="G214" s="36">
        <f>MAX(D214,B80)</f>
        <v>5.7</v>
      </c>
      <c r="H214" s="36">
        <f>MIN(E214,D80)</f>
        <v>8.3</v>
      </c>
      <c r="I214" s="36">
        <f>MAX(I132,G214)</f>
        <v>7.15</v>
      </c>
      <c r="J214" s="36">
        <f>MIN(J132,H214)</f>
        <v>8.3</v>
      </c>
      <c r="K214" s="36">
        <f>MAX(0,ROUND((J214-I214),4))</f>
        <v>1.15</v>
      </c>
    </row>
    <row r="215" spans="1:12" ht="23" customHeight="1">
      <c r="A215" s="6">
        <v>6</v>
      </c>
      <c r="B215" s="6">
        <v>154</v>
      </c>
      <c r="C215" s="6">
        <v>5</v>
      </c>
      <c r="D215" s="35">
        <v>8.300000000000001</v>
      </c>
      <c r="E215" s="35">
        <v>8.9</v>
      </c>
      <c r="F215" s="36">
        <f>ROUND((E215-D215),4)</f>
        <v>0.6</v>
      </c>
      <c r="G215" s="36">
        <f>MAX(D215,B80)</f>
        <v>8.3</v>
      </c>
      <c r="H215" s="36">
        <f>MIN(E215,D80)</f>
        <v>8.9</v>
      </c>
      <c r="I215" s="36">
        <f>MAX(I132,G215)</f>
        <v>8.3</v>
      </c>
      <c r="J215" s="36">
        <f>MIN(J132,H215)</f>
        <v>8.45</v>
      </c>
      <c r="K215" s="36">
        <f>MAX(0,ROUND((J215-I215),4))</f>
        <v>0.15</v>
      </c>
    </row>
    <row r="216" spans="1:12" ht="23" customHeight="1">
      <c r="A216" s="6">
        <v>6</v>
      </c>
      <c r="B216" s="6">
        <v>155</v>
      </c>
      <c r="C216" s="6">
        <v>5</v>
      </c>
      <c r="D216" s="35">
        <v>8.300000000000001</v>
      </c>
      <c r="E216" s="35">
        <v>8.9</v>
      </c>
      <c r="F216" s="36">
        <f>ROUND((E216-D216),4)</f>
        <v>0.6</v>
      </c>
      <c r="G216" s="36">
        <f>MAX(D216,B80)</f>
        <v>8.3</v>
      </c>
      <c r="H216" s="36">
        <f>MIN(E216,D80)</f>
        <v>8.9</v>
      </c>
      <c r="I216" s="36">
        <f>MAX(I133,G216)</f>
        <v>8.45</v>
      </c>
      <c r="J216" s="36">
        <f>MIN(J133,H216)</f>
        <v>8.9</v>
      </c>
      <c r="K216" s="36">
        <f>MAX(0,ROUND((J216-I216),4))</f>
        <v>0.45</v>
      </c>
    </row>
    <row r="217" spans="1:12" ht="23" customHeight="1">
      <c r="A217" s="6">
        <v>6</v>
      </c>
      <c r="B217" s="6">
        <v>155</v>
      </c>
      <c r="C217" s="6">
        <v>6</v>
      </c>
      <c r="D217" s="35">
        <v>8.9</v>
      </c>
      <c r="E217" s="35">
        <v>18.4</v>
      </c>
      <c r="F217" s="36">
        <f>ROUND((E217-D217),4)</f>
        <v>9.5</v>
      </c>
      <c r="G217" s="36">
        <f>MAX(D217,B80)</f>
        <v>8.9</v>
      </c>
      <c r="H217" s="36">
        <f>MIN(E217,D80)</f>
        <v>18.4</v>
      </c>
      <c r="I217" s="36">
        <f>MAX(I133,G217)</f>
        <v>8.9</v>
      </c>
      <c r="J217" s="36">
        <f>MIN(J133,H217)</f>
        <v>9.75</v>
      </c>
      <c r="K217" s="36">
        <f>MAX(0,ROUND((J217-I217),4))</f>
        <v>0.85</v>
      </c>
    </row>
    <row r="218" spans="1:12" ht="23" customHeight="1">
      <c r="A218" s="6">
        <v>6</v>
      </c>
      <c r="B218" s="6">
        <v>156</v>
      </c>
      <c r="C218" s="6">
        <v>6</v>
      </c>
      <c r="D218" s="35">
        <v>8.9</v>
      </c>
      <c r="E218" s="35">
        <v>18.4</v>
      </c>
      <c r="F218" s="36">
        <f>ROUND((E218-D218),4)</f>
        <v>9.5</v>
      </c>
      <c r="G218" s="36">
        <f>MAX(D218,B80)</f>
        <v>8.9</v>
      </c>
      <c r="H218" s="36">
        <f>MIN(E218,D80)</f>
        <v>18.4</v>
      </c>
      <c r="I218" s="36">
        <f>MAX(I134,G218)</f>
        <v>9.75</v>
      </c>
      <c r="J218" s="36">
        <f>MIN(J134,H218)</f>
        <v>11.05</v>
      </c>
      <c r="K218" s="36">
        <f>MAX(0,ROUND((J218-I218),4))</f>
        <v>1.3</v>
      </c>
    </row>
    <row r="219" spans="1:12" ht="23" customHeight="1">
      <c r="A219" s="6">
        <v>6</v>
      </c>
      <c r="B219" s="6">
        <v>157</v>
      </c>
      <c r="C219" s="6">
        <v>6</v>
      </c>
      <c r="D219" s="35">
        <v>8.9</v>
      </c>
      <c r="E219" s="35">
        <v>18.4</v>
      </c>
      <c r="F219" s="36">
        <f>ROUND((E219-D219),4)</f>
        <v>9.5</v>
      </c>
      <c r="G219" s="36">
        <f>MAX(D219,B80)</f>
        <v>8.9</v>
      </c>
      <c r="H219" s="36">
        <f>MIN(E219,D80)</f>
        <v>18.4</v>
      </c>
      <c r="I219" s="36">
        <f>MAX(I135,G219)</f>
        <v>11.05</v>
      </c>
      <c r="J219" s="36">
        <f>MIN(J135,H219)</f>
        <v>12.35</v>
      </c>
      <c r="K219" s="36">
        <f>MAX(0,ROUND((J219-I219),4))</f>
        <v>1.3</v>
      </c>
    </row>
    <row r="220" spans="1:12" ht="23" customHeight="1">
      <c r="A220" s="6">
        <v>6</v>
      </c>
      <c r="B220" s="6">
        <v>158</v>
      </c>
      <c r="C220" s="6">
        <v>6</v>
      </c>
      <c r="D220" s="35">
        <v>8.9</v>
      </c>
      <c r="E220" s="35">
        <v>18.4</v>
      </c>
      <c r="F220" s="36">
        <f>ROUND((E220-D220),4)</f>
        <v>9.5</v>
      </c>
      <c r="G220" s="36">
        <f>MAX(D220,B80)</f>
        <v>8.9</v>
      </c>
      <c r="H220" s="36">
        <f>MIN(E220,D80)</f>
        <v>18.4</v>
      </c>
      <c r="I220" s="36">
        <f>MAX(I136,G220)</f>
        <v>12.35</v>
      </c>
      <c r="J220" s="36">
        <f>MIN(J136,H220)</f>
        <v>13.65</v>
      </c>
      <c r="K220" s="36">
        <f>MAX(0,ROUND((J220-I220),4))</f>
        <v>1.3</v>
      </c>
    </row>
    <row r="221" spans="1:12" ht="23" customHeight="1">
      <c r="A221" s="6">
        <v>6</v>
      </c>
      <c r="B221" s="6">
        <v>159</v>
      </c>
      <c r="C221" s="6">
        <v>6</v>
      </c>
      <c r="D221" s="35">
        <v>8.9</v>
      </c>
      <c r="E221" s="35">
        <v>18.4</v>
      </c>
      <c r="F221" s="36">
        <f>ROUND((E221-D221),4)</f>
        <v>9.5</v>
      </c>
      <c r="G221" s="36">
        <f>MAX(D221,B80)</f>
        <v>8.9</v>
      </c>
      <c r="H221" s="36">
        <f>MIN(E221,D80)</f>
        <v>18.4</v>
      </c>
      <c r="I221" s="36">
        <f>MAX(I137,G221)</f>
        <v>13.65</v>
      </c>
      <c r="J221" s="36">
        <f>MIN(J137,H221)</f>
        <v>14.95</v>
      </c>
      <c r="K221" s="36">
        <f>MAX(0,ROUND((J221-I221),4))</f>
        <v>1.3</v>
      </c>
    </row>
    <row r="222" spans="1:12" ht="23" customHeight="1">
      <c r="A222" s="6">
        <v>6</v>
      </c>
      <c r="B222" s="6">
        <v>160</v>
      </c>
      <c r="C222" s="6">
        <v>6</v>
      </c>
      <c r="D222" s="35">
        <v>8.9</v>
      </c>
      <c r="E222" s="35">
        <v>18.4</v>
      </c>
      <c r="F222" s="36">
        <f>ROUND((E222-D222),4)</f>
        <v>9.5</v>
      </c>
      <c r="G222" s="36">
        <f>MAX(D222,B80)</f>
        <v>8.9</v>
      </c>
      <c r="H222" s="36">
        <f>MIN(E222,D80)</f>
        <v>18.4</v>
      </c>
      <c r="I222" s="36">
        <f>MAX(I138,G222)</f>
        <v>14.95</v>
      </c>
      <c r="J222" s="36">
        <f>MIN(J138,H222)</f>
        <v>16.25</v>
      </c>
      <c r="K222" s="36">
        <f>MAX(0,ROUND((J222-I222),4))</f>
        <v>1.3</v>
      </c>
    </row>
    <row r="223" spans="1:12" ht="23" customHeight="1">
      <c r="A223" s="6">
        <v>6</v>
      </c>
      <c r="B223" s="6">
        <v>161</v>
      </c>
      <c r="C223" s="6">
        <v>6</v>
      </c>
      <c r="D223" s="35">
        <v>8.9</v>
      </c>
      <c r="E223" s="35">
        <v>18.4</v>
      </c>
      <c r="F223" s="36">
        <f>ROUND((E223-D223),4)</f>
        <v>9.5</v>
      </c>
      <c r="G223" s="36">
        <f>MAX(D223,B80)</f>
        <v>8.9</v>
      </c>
      <c r="H223" s="36">
        <f>MIN(E223,D80)</f>
        <v>18.4</v>
      </c>
      <c r="I223" s="36">
        <f>MAX(I139,G223)</f>
        <v>16.25</v>
      </c>
      <c r="J223" s="36">
        <f>MIN(J139,H223)</f>
        <v>17.55</v>
      </c>
      <c r="K223" s="36">
        <f>MAX(0,ROUND((J223-I223),4))</f>
        <v>1.3</v>
      </c>
    </row>
    <row r="224" spans="1:12" ht="24" customHeight="1">
      <c r="A224" s="3" t="s">
        <v>335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36" customHeight="1">
      <c r="A225" s="4" t="s">
        <v>8</v>
      </c>
      <c r="B225" s="4" t="s">
        <v>90</v>
      </c>
      <c r="C225" s="4" t="s">
        <v>147</v>
      </c>
      <c r="D225" s="4" t="s">
        <v>149</v>
      </c>
      <c r="E225" s="4" t="s">
        <v>150</v>
      </c>
      <c r="F225" s="4" t="s">
        <v>336</v>
      </c>
      <c r="G225" s="4" t="s">
        <v>337</v>
      </c>
      <c r="H225" s="4" t="s">
        <v>338</v>
      </c>
      <c r="I225" s="4" t="s">
        <v>151</v>
      </c>
      <c r="J225" s="4" t="s">
        <v>152</v>
      </c>
      <c r="K225" s="4" t="s">
        <v>311</v>
      </c>
    </row>
    <row r="226" spans="1:12" ht="23" customHeight="1">
      <c r="A226" s="6">
        <v>6</v>
      </c>
      <c r="B226" s="6">
        <v>162</v>
      </c>
      <c r="C226" s="6">
        <v>6</v>
      </c>
      <c r="D226" s="35">
        <v>8.9</v>
      </c>
      <c r="E226" s="35">
        <v>18.4</v>
      </c>
      <c r="F226" s="36">
        <f>ROUND((E226-D226),4)</f>
        <v>9.5</v>
      </c>
      <c r="G226" s="36">
        <f>MAX(D226,B80)</f>
        <v>8.9</v>
      </c>
      <c r="H226" s="36">
        <f>MIN(E226,D80)</f>
        <v>18.4</v>
      </c>
      <c r="I226" s="36">
        <f>MAX(I142,G226)</f>
        <v>17.55</v>
      </c>
      <c r="J226" s="36">
        <f>MIN(J142,H226)</f>
        <v>18.4</v>
      </c>
      <c r="K226" s="36">
        <f>MAX(0,ROUND((J226-I226),4))</f>
        <v>0.85</v>
      </c>
    </row>
    <row r="227" spans="1:12" ht="23" customHeight="1">
      <c r="A227" s="6">
        <v>6</v>
      </c>
      <c r="B227" s="6">
        <v>162</v>
      </c>
      <c r="C227" s="6">
        <v>7</v>
      </c>
      <c r="D227" s="35">
        <v>18.4</v>
      </c>
      <c r="E227" s="35">
        <v>31</v>
      </c>
      <c r="F227" s="36">
        <f>ROUND((E227-D227),4)</f>
        <v>12.6</v>
      </c>
      <c r="G227" s="36">
        <f>MAX(D227,B80)</f>
        <v>18.4</v>
      </c>
      <c r="H227" s="36">
        <f>MIN(E227,D80)</f>
        <v>29.7</v>
      </c>
      <c r="I227" s="36">
        <f>MAX(I142,G227)</f>
        <v>18.4</v>
      </c>
      <c r="J227" s="36">
        <f>MIN(J142,H227)</f>
        <v>18.85</v>
      </c>
      <c r="K227" s="36">
        <f>MAX(0,ROUND((J227-I227),4))</f>
        <v>0.45</v>
      </c>
    </row>
    <row r="228" spans="1:12" ht="23" customHeight="1">
      <c r="A228" s="6">
        <v>6</v>
      </c>
      <c r="B228" s="6">
        <v>163</v>
      </c>
      <c r="C228" s="6">
        <v>7</v>
      </c>
      <c r="D228" s="35">
        <v>18.4</v>
      </c>
      <c r="E228" s="35">
        <v>31</v>
      </c>
      <c r="F228" s="36">
        <f>ROUND((E228-D228),4)</f>
        <v>12.6</v>
      </c>
      <c r="G228" s="36">
        <f>MAX(D228,B80)</f>
        <v>18.4</v>
      </c>
      <c r="H228" s="36">
        <f>MIN(E228,D80)</f>
        <v>29.7</v>
      </c>
      <c r="I228" s="36">
        <f>MAX(I143,G228)</f>
        <v>18.85</v>
      </c>
      <c r="J228" s="36">
        <f>MIN(J143,H228)</f>
        <v>20.15</v>
      </c>
      <c r="K228" s="36">
        <f>MAX(0,ROUND((J228-I228),4))</f>
        <v>1.3</v>
      </c>
    </row>
    <row r="229" spans="1:12" ht="23" customHeight="1">
      <c r="A229" s="6">
        <v>6</v>
      </c>
      <c r="B229" s="6">
        <v>164</v>
      </c>
      <c r="C229" s="6">
        <v>7</v>
      </c>
      <c r="D229" s="35">
        <v>18.4</v>
      </c>
      <c r="E229" s="35">
        <v>31</v>
      </c>
      <c r="F229" s="36">
        <f>ROUND((E229-D229),4)</f>
        <v>12.6</v>
      </c>
      <c r="G229" s="36">
        <f>MAX(D229,B80)</f>
        <v>18.4</v>
      </c>
      <c r="H229" s="36">
        <f>MIN(E229,D80)</f>
        <v>29.7</v>
      </c>
      <c r="I229" s="36">
        <f>MAX(I144,G229)</f>
        <v>20.15</v>
      </c>
      <c r="J229" s="36">
        <f>MIN(J144,H229)</f>
        <v>21.45</v>
      </c>
      <c r="K229" s="36">
        <f>MAX(0,ROUND((J229-I229),4))</f>
        <v>1.3</v>
      </c>
    </row>
    <row r="230" spans="1:12" ht="23" customHeight="1">
      <c r="A230" s="6">
        <v>6</v>
      </c>
      <c r="B230" s="6">
        <v>165</v>
      </c>
      <c r="C230" s="6">
        <v>7</v>
      </c>
      <c r="D230" s="35">
        <v>18.4</v>
      </c>
      <c r="E230" s="35">
        <v>31</v>
      </c>
      <c r="F230" s="36">
        <f>ROUND((E230-D230),4)</f>
        <v>12.6</v>
      </c>
      <c r="G230" s="36">
        <f>MAX(D230,B80)</f>
        <v>18.4</v>
      </c>
      <c r="H230" s="36">
        <f>MIN(E230,D80)</f>
        <v>29.7</v>
      </c>
      <c r="I230" s="36">
        <f>MAX(I145,G230)</f>
        <v>21.45</v>
      </c>
      <c r="J230" s="36">
        <f>MIN(J145,H230)</f>
        <v>22.75</v>
      </c>
      <c r="K230" s="36">
        <f>MAX(0,ROUND((J230-I230),4))</f>
        <v>1.3</v>
      </c>
    </row>
    <row r="231" spans="1:12" ht="23" customHeight="1">
      <c r="A231" s="6">
        <v>6</v>
      </c>
      <c r="B231" s="6">
        <v>166</v>
      </c>
      <c r="C231" s="6">
        <v>7</v>
      </c>
      <c r="D231" s="35">
        <v>18.4</v>
      </c>
      <c r="E231" s="35">
        <v>31</v>
      </c>
      <c r="F231" s="36">
        <f>ROUND((E231-D231),4)</f>
        <v>12.6</v>
      </c>
      <c r="G231" s="36">
        <f>MAX(D231,B80)</f>
        <v>18.4</v>
      </c>
      <c r="H231" s="36">
        <f>MIN(E231,D80)</f>
        <v>29.7</v>
      </c>
      <c r="I231" s="36">
        <f>MAX(I146,G231)</f>
        <v>22.75</v>
      </c>
      <c r="J231" s="36">
        <f>MIN(J146,H231)</f>
        <v>24.05</v>
      </c>
      <c r="K231" s="36">
        <f>MAX(0,ROUND((J231-I231),4))</f>
        <v>1.3</v>
      </c>
    </row>
    <row r="232" spans="1:12" ht="23" customHeight="1">
      <c r="A232" s="6">
        <v>6</v>
      </c>
      <c r="B232" s="6">
        <v>167</v>
      </c>
      <c r="C232" s="6">
        <v>7</v>
      </c>
      <c r="D232" s="35">
        <v>18.4</v>
      </c>
      <c r="E232" s="35">
        <v>31</v>
      </c>
      <c r="F232" s="36">
        <f>ROUND((E232-D232),4)</f>
        <v>12.6</v>
      </c>
      <c r="G232" s="36">
        <f>MAX(D232,B80)</f>
        <v>18.4</v>
      </c>
      <c r="H232" s="36">
        <f>MIN(E232,D80)</f>
        <v>29.7</v>
      </c>
      <c r="I232" s="36">
        <f>MAX(I147,G232)</f>
        <v>24.05</v>
      </c>
      <c r="J232" s="36">
        <f>MIN(J147,H232)</f>
        <v>25.35</v>
      </c>
      <c r="K232" s="36">
        <f>MAX(0,ROUND((J232-I232),4))</f>
        <v>1.3</v>
      </c>
    </row>
    <row r="233" spans="1:12" ht="23" customHeight="1">
      <c r="A233" s="6">
        <v>6</v>
      </c>
      <c r="B233" s="6">
        <v>168</v>
      </c>
      <c r="C233" s="6">
        <v>7</v>
      </c>
      <c r="D233" s="35">
        <v>18.4</v>
      </c>
      <c r="E233" s="35">
        <v>31</v>
      </c>
      <c r="F233" s="36">
        <f>ROUND((E233-D233),4)</f>
        <v>12.6</v>
      </c>
      <c r="G233" s="36">
        <f>MAX(D233,B80)</f>
        <v>18.4</v>
      </c>
      <c r="H233" s="36">
        <f>MIN(E233,D80)</f>
        <v>29.7</v>
      </c>
      <c r="I233" s="36">
        <f>MAX(I148,G233)</f>
        <v>25.35</v>
      </c>
      <c r="J233" s="36">
        <f>MIN(J148,H233)</f>
        <v>26.65</v>
      </c>
      <c r="K233" s="36">
        <f>MAX(0,ROUND((J233-I233),4))</f>
        <v>1.3</v>
      </c>
    </row>
    <row r="234" spans="1:12" ht="23" customHeight="1">
      <c r="A234" s="6">
        <v>6</v>
      </c>
      <c r="B234" s="6">
        <v>169</v>
      </c>
      <c r="C234" s="6">
        <v>7</v>
      </c>
      <c r="D234" s="35">
        <v>18.4</v>
      </c>
      <c r="E234" s="35">
        <v>31</v>
      </c>
      <c r="F234" s="36">
        <f>ROUND((E234-D234),4)</f>
        <v>12.6</v>
      </c>
      <c r="G234" s="36">
        <f>MAX(D234,B80)</f>
        <v>18.4</v>
      </c>
      <c r="H234" s="36">
        <f>MIN(E234,D80)</f>
        <v>29.7</v>
      </c>
      <c r="I234" s="36">
        <f>MAX(I149,G234)</f>
        <v>26.65</v>
      </c>
      <c r="J234" s="36">
        <f>MIN(J149,H234)</f>
        <v>27.95</v>
      </c>
      <c r="K234" s="36">
        <f>MAX(0,ROUND((J234-I234),4))</f>
        <v>1.3</v>
      </c>
    </row>
    <row r="235" spans="1:12" ht="23" customHeight="1">
      <c r="A235" s="6">
        <v>6</v>
      </c>
      <c r="B235" s="6">
        <v>170</v>
      </c>
      <c r="C235" s="6">
        <v>7</v>
      </c>
      <c r="D235" s="35">
        <v>18.4</v>
      </c>
      <c r="E235" s="35">
        <v>31</v>
      </c>
      <c r="F235" s="36">
        <f>ROUND((E235-D235),4)</f>
        <v>12.6</v>
      </c>
      <c r="G235" s="36">
        <f>MAX(D235,B80)</f>
        <v>18.4</v>
      </c>
      <c r="H235" s="36">
        <f>MIN(E235,D80)</f>
        <v>29.7</v>
      </c>
      <c r="I235" s="36">
        <f>MAX(I150,G235)</f>
        <v>27.95</v>
      </c>
      <c r="J235" s="36">
        <f>MIN(J150,H235)</f>
        <v>29.25</v>
      </c>
      <c r="K235" s="36">
        <f>MAX(0,ROUND((J235-I235),4))</f>
        <v>1.3</v>
      </c>
    </row>
    <row r="236" spans="1:12" ht="23" customHeight="1">
      <c r="A236" s="6">
        <v>6</v>
      </c>
      <c r="B236" s="6">
        <v>171</v>
      </c>
      <c r="C236" s="6">
        <v>7</v>
      </c>
      <c r="D236" s="35">
        <v>18.4</v>
      </c>
      <c r="E236" s="35">
        <v>31</v>
      </c>
      <c r="F236" s="36">
        <f>ROUND((E236-D236),4)</f>
        <v>12.6</v>
      </c>
      <c r="G236" s="36">
        <f>MAX(D236,B80)</f>
        <v>18.4</v>
      </c>
      <c r="H236" s="36">
        <f>MIN(E236,D80)</f>
        <v>29.7</v>
      </c>
      <c r="I236" s="36">
        <f>MAX(I151,G236)</f>
        <v>29.25</v>
      </c>
      <c r="J236" s="36">
        <f>MIN(J151,H236)</f>
        <v>29.7</v>
      </c>
      <c r="K236" s="36">
        <f>MAX(0,ROUND((J236-I236),4))</f>
        <v>0.45</v>
      </c>
    </row>
    <row r="237" spans="1:12" ht="23" customHeight="1"/>
    <row r="238" spans="1:12" ht="24" customHeight="1">
      <c r="A238" s="3" t="s">
        <v>339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36" customHeight="1">
      <c r="A239" s="4" t="s">
        <v>8</v>
      </c>
      <c r="B239" s="4" t="s">
        <v>90</v>
      </c>
      <c r="C239" s="4" t="s">
        <v>147</v>
      </c>
      <c r="D239" s="4" t="s">
        <v>340</v>
      </c>
      <c r="E239" s="4" t="s">
        <v>341</v>
      </c>
      <c r="F239" s="4" t="s">
        <v>311</v>
      </c>
      <c r="G239" s="4" t="s">
        <v>342</v>
      </c>
      <c r="H239" s="4" t="s">
        <v>343</v>
      </c>
      <c r="I239" s="4" t="s">
        <v>344</v>
      </c>
      <c r="J239" s="4" t="s">
        <v>345</v>
      </c>
    </row>
    <row r="240" spans="1:12" ht="23" customHeight="1">
      <c r="A240" s="6">
        <v>4</v>
      </c>
      <c r="B240" s="6">
        <v>102</v>
      </c>
      <c r="C240" s="6">
        <v>3</v>
      </c>
      <c r="D240" s="6">
        <v>214</v>
      </c>
      <c r="E240" s="6">
        <v>246</v>
      </c>
      <c r="F240" s="36">
        <f>K155</f>
        <v>0.755</v>
      </c>
      <c r="G240" s="37">
        <f>'入力根拠'!F109</f>
        <v>46127.0</v>
      </c>
      <c r="H240" s="37">
        <f>'入力根拠'!F110</f>
        <v>294.1</v>
      </c>
      <c r="I240" s="9">
        <f>(F240*G240)</f>
        <v>34825.885</v>
      </c>
      <c r="J240" s="9">
        <f>(F240*H240)</f>
        <v>222.04550000000003</v>
      </c>
    </row>
    <row r="241" spans="1:12" ht="23" customHeight="1">
      <c r="A241" s="6">
        <v>4</v>
      </c>
      <c r="B241" s="6">
        <v>102</v>
      </c>
      <c r="C241" s="6">
        <v>4</v>
      </c>
      <c r="D241" s="6">
        <v>215</v>
      </c>
      <c r="E241" s="6">
        <v>247</v>
      </c>
      <c r="F241" s="36">
        <f>K158</f>
        <v>0.15</v>
      </c>
      <c r="G241" s="37">
        <f>'入力根拠'!F111</f>
        <v>112020.0</v>
      </c>
      <c r="H241" s="37">
        <f>'入力根拠'!F112</f>
        <v>1411.5</v>
      </c>
      <c r="I241" s="9">
        <f>(F241*G241)</f>
        <v>16803.0</v>
      </c>
      <c r="J241" s="9">
        <f>(F241*H241)</f>
        <v>211.725</v>
      </c>
    </row>
    <row r="242" spans="1:12" ht="23" customHeight="1">
      <c r="A242" s="6">
        <v>4</v>
      </c>
      <c r="B242" s="6">
        <v>103</v>
      </c>
      <c r="C242" s="6">
        <v>4</v>
      </c>
      <c r="D242" s="6">
        <v>215</v>
      </c>
      <c r="E242" s="6">
        <v>247</v>
      </c>
      <c r="F242" s="36">
        <f>K159</f>
        <v>1.3</v>
      </c>
      <c r="G242" s="37">
        <f>'入力根拠'!F111</f>
        <v>112020.0</v>
      </c>
      <c r="H242" s="37">
        <f>'入力根拠'!F112</f>
        <v>1411.5</v>
      </c>
      <c r="I242" s="9">
        <f>(F242*G242)</f>
        <v>145626.0</v>
      </c>
      <c r="J242" s="9">
        <f>(F242*H242)</f>
        <v>1834.95</v>
      </c>
    </row>
    <row r="243" spans="1:12" ht="23" customHeight="1">
      <c r="A243" s="6">
        <v>4</v>
      </c>
      <c r="B243" s="6">
        <v>104</v>
      </c>
      <c r="C243" s="6">
        <v>4</v>
      </c>
      <c r="D243" s="6">
        <v>215</v>
      </c>
      <c r="E243" s="6">
        <v>247</v>
      </c>
      <c r="F243" s="36">
        <f>K160</f>
        <v>1.15</v>
      </c>
      <c r="G243" s="37">
        <f>'入力根拠'!F111</f>
        <v>112020.0</v>
      </c>
      <c r="H243" s="37">
        <f>'入力根拠'!F112</f>
        <v>1411.5</v>
      </c>
      <c r="I243" s="9">
        <f>(F243*G243)</f>
        <v>128822.99999999999</v>
      </c>
      <c r="J243" s="9">
        <f>(F243*H243)</f>
        <v>1623.225</v>
      </c>
    </row>
    <row r="244" spans="1:12" ht="23" customHeight="1">
      <c r="A244" s="6">
        <v>4</v>
      </c>
      <c r="B244" s="6">
        <v>104</v>
      </c>
      <c r="C244" s="6">
        <v>5</v>
      </c>
      <c r="D244" s="6">
        <v>216</v>
      </c>
      <c r="E244" s="6">
        <v>248</v>
      </c>
      <c r="F244" s="36">
        <f>K161</f>
        <v>0.15</v>
      </c>
      <c r="G244" s="37">
        <f>'入力根拠'!F113</f>
        <v>178738.0</v>
      </c>
      <c r="H244" s="37">
        <f>'入力根拠'!F114</f>
        <v>1140.9</v>
      </c>
      <c r="I244" s="9">
        <f>(F244*G244)</f>
        <v>26810.7</v>
      </c>
      <c r="J244" s="9">
        <f>(F244*H244)</f>
        <v>171.13500000000002</v>
      </c>
    </row>
    <row r="245" spans="1:12" ht="23" customHeight="1">
      <c r="A245" s="6">
        <v>4</v>
      </c>
      <c r="B245" s="6">
        <v>105</v>
      </c>
      <c r="C245" s="6">
        <v>5</v>
      </c>
      <c r="D245" s="6">
        <v>216</v>
      </c>
      <c r="E245" s="6">
        <v>248</v>
      </c>
      <c r="F245" s="36">
        <f>K162</f>
        <v>0.45</v>
      </c>
      <c r="G245" s="37">
        <f>'入力根拠'!F113</f>
        <v>178738.0</v>
      </c>
      <c r="H245" s="37">
        <f>'入力根拠'!F114</f>
        <v>1140.9</v>
      </c>
      <c r="I245" s="9">
        <f>(F245*G245)</f>
        <v>80432.1</v>
      </c>
      <c r="J245" s="9">
        <f>(F245*H245)</f>
        <v>513.4050000000001</v>
      </c>
    </row>
    <row r="246" spans="1:12" ht="23" customHeight="1">
      <c r="A246" s="6">
        <v>4</v>
      </c>
      <c r="B246" s="6">
        <v>105</v>
      </c>
      <c r="C246" s="6">
        <v>6</v>
      </c>
      <c r="D246" s="6">
        <v>217</v>
      </c>
      <c r="E246" s="6">
        <v>249</v>
      </c>
      <c r="F246" s="36">
        <f>K163</f>
        <v>0.85</v>
      </c>
      <c r="G246" s="37">
        <f>'入力根拠'!F115</f>
        <v>168029.0</v>
      </c>
      <c r="H246" s="37">
        <f>'入力根拠'!F116</f>
        <v>2117.2</v>
      </c>
      <c r="I246" s="9">
        <f>(F246*G246)</f>
        <v>142824.65</v>
      </c>
      <c r="J246" s="9">
        <f>(F246*H246)</f>
        <v>1799.62</v>
      </c>
    </row>
    <row r="247" spans="1:12" ht="23" customHeight="1">
      <c r="A247" s="6">
        <v>4</v>
      </c>
      <c r="B247" s="6">
        <v>106</v>
      </c>
      <c r="C247" s="6">
        <v>6</v>
      </c>
      <c r="D247" s="6">
        <v>217</v>
      </c>
      <c r="E247" s="6">
        <v>249</v>
      </c>
      <c r="F247" s="36">
        <f>K164</f>
        <v>1.3</v>
      </c>
      <c r="G247" s="37">
        <f>'入力根拠'!F115</f>
        <v>168029.0</v>
      </c>
      <c r="H247" s="37">
        <f>'入力根拠'!F116</f>
        <v>2117.2</v>
      </c>
      <c r="I247" s="9">
        <f>(F247*G247)</f>
        <v>218437.7</v>
      </c>
      <c r="J247" s="9">
        <f>(F247*H247)</f>
        <v>2752.3599999999997</v>
      </c>
    </row>
    <row r="248" spans="1:12" ht="23" customHeight="1">
      <c r="A248" s="6">
        <v>4</v>
      </c>
      <c r="B248" s="6">
        <v>107</v>
      </c>
      <c r="C248" s="6">
        <v>6</v>
      </c>
      <c r="D248" s="6">
        <v>217</v>
      </c>
      <c r="E248" s="6">
        <v>249</v>
      </c>
      <c r="F248" s="36">
        <f>K165</f>
        <v>1.3</v>
      </c>
      <c r="G248" s="37">
        <f>'入力根拠'!F115</f>
        <v>168029.0</v>
      </c>
      <c r="H248" s="37">
        <f>'入力根拠'!F116</f>
        <v>2117.2</v>
      </c>
      <c r="I248" s="9">
        <f>(F248*G248)</f>
        <v>218437.7</v>
      </c>
      <c r="J248" s="9">
        <f>(F248*H248)</f>
        <v>2752.3599999999997</v>
      </c>
    </row>
    <row r="249" spans="1:12" ht="23" customHeight="1">
      <c r="A249" s="6">
        <v>4</v>
      </c>
      <c r="B249" s="6">
        <v>108</v>
      </c>
      <c r="C249" s="6">
        <v>6</v>
      </c>
      <c r="D249" s="6">
        <v>217</v>
      </c>
      <c r="E249" s="6">
        <v>249</v>
      </c>
      <c r="F249" s="36">
        <f>K166</f>
        <v>1.3</v>
      </c>
      <c r="G249" s="37">
        <f>'入力根拠'!F115</f>
        <v>168029.0</v>
      </c>
      <c r="H249" s="37">
        <f>'入力根拠'!F116</f>
        <v>2117.2</v>
      </c>
      <c r="I249" s="9">
        <f>(F249*G249)</f>
        <v>218437.7</v>
      </c>
      <c r="J249" s="9">
        <f>(F249*H249)</f>
        <v>2752.3599999999997</v>
      </c>
    </row>
    <row r="250" spans="1:12" ht="23" customHeight="1">
      <c r="A250" s="6">
        <v>4</v>
      </c>
      <c r="B250" s="6">
        <v>109</v>
      </c>
      <c r="C250" s="6">
        <v>6</v>
      </c>
      <c r="D250" s="6">
        <v>217</v>
      </c>
      <c r="E250" s="6">
        <v>249</v>
      </c>
      <c r="F250" s="36">
        <f>K167</f>
        <v>1.3</v>
      </c>
      <c r="G250" s="37">
        <f>'入力根拠'!F115</f>
        <v>168029.0</v>
      </c>
      <c r="H250" s="37">
        <f>'入力根拠'!F116</f>
        <v>2117.2</v>
      </c>
      <c r="I250" s="9">
        <f>(F250*G250)</f>
        <v>218437.7</v>
      </c>
      <c r="J250" s="9">
        <f>(F250*H250)</f>
        <v>2752.3599999999997</v>
      </c>
    </row>
    <row r="251" spans="1:12" ht="23" customHeight="1">
      <c r="A251" s="6">
        <v>4</v>
      </c>
      <c r="B251" s="6">
        <v>110</v>
      </c>
      <c r="C251" s="6">
        <v>6</v>
      </c>
      <c r="D251" s="6">
        <v>217</v>
      </c>
      <c r="E251" s="6">
        <v>249</v>
      </c>
      <c r="F251" s="36">
        <f>K168</f>
        <v>1.3</v>
      </c>
      <c r="G251" s="37">
        <f>'入力根拠'!F115</f>
        <v>168029.0</v>
      </c>
      <c r="H251" s="37">
        <f>'入力根拠'!F116</f>
        <v>2117.2</v>
      </c>
      <c r="I251" s="9">
        <f>(F251*G251)</f>
        <v>218437.7</v>
      </c>
      <c r="J251" s="9">
        <f>(F251*H251)</f>
        <v>2752.3599999999997</v>
      </c>
    </row>
    <row r="252" spans="1:12" ht="23" customHeight="1">
      <c r="A252" s="6">
        <v>4</v>
      </c>
      <c r="B252" s="6">
        <v>111</v>
      </c>
      <c r="C252" s="6">
        <v>6</v>
      </c>
      <c r="D252" s="6">
        <v>217</v>
      </c>
      <c r="E252" s="6">
        <v>249</v>
      </c>
      <c r="F252" s="36">
        <f>K169</f>
        <v>1.3</v>
      </c>
      <c r="G252" s="37">
        <f>'入力根拠'!F115</f>
        <v>168029.0</v>
      </c>
      <c r="H252" s="37">
        <f>'入力根拠'!F116</f>
        <v>2117.2</v>
      </c>
      <c r="I252" s="9">
        <f>(F252*G252)</f>
        <v>218437.7</v>
      </c>
      <c r="J252" s="9">
        <f>(F252*H252)</f>
        <v>2752.3599999999997</v>
      </c>
    </row>
    <row r="253" spans="1:12" ht="23" customHeight="1">
      <c r="A253" s="6">
        <v>4</v>
      </c>
      <c r="B253" s="6">
        <v>112</v>
      </c>
      <c r="C253" s="6">
        <v>6</v>
      </c>
      <c r="D253" s="6">
        <v>217</v>
      </c>
      <c r="E253" s="6">
        <v>249</v>
      </c>
      <c r="F253" s="36">
        <f>K170</f>
        <v>0.85</v>
      </c>
      <c r="G253" s="37">
        <f>'入力根拠'!F115</f>
        <v>168029.0</v>
      </c>
      <c r="H253" s="37">
        <f>'入力根拠'!F116</f>
        <v>2117.2</v>
      </c>
      <c r="I253" s="9">
        <f>(F253*G253)</f>
        <v>142824.65</v>
      </c>
      <c r="J253" s="9">
        <f>(F253*H253)</f>
        <v>1799.62</v>
      </c>
    </row>
    <row r="254" spans="1:12" ht="23" customHeight="1">
      <c r="A254" s="6">
        <v>4</v>
      </c>
      <c r="B254" s="6">
        <v>112</v>
      </c>
      <c r="C254" s="6">
        <v>7</v>
      </c>
      <c r="D254" s="6">
        <v>218</v>
      </c>
      <c r="E254" s="6">
        <v>250</v>
      </c>
      <c r="F254" s="36">
        <f>K171</f>
        <v>0.45</v>
      </c>
      <c r="G254" s="37">
        <f>'入力根拠'!F117</f>
        <v>80720.0</v>
      </c>
      <c r="H254" s="37">
        <f>'入力根拠'!F118</f>
        <v>517.5</v>
      </c>
      <c r="I254" s="9">
        <f>(F254*G254)</f>
        <v>36324.0</v>
      </c>
      <c r="J254" s="9">
        <f>(F254*H254)</f>
        <v>232.875</v>
      </c>
    </row>
    <row r="255" spans="1:12" ht="24" customHeight="1">
      <c r="A255" s="3" t="s">
        <v>339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36" customHeight="1">
      <c r="A256" s="4" t="s">
        <v>8</v>
      </c>
      <c r="B256" s="4" t="s">
        <v>90</v>
      </c>
      <c r="C256" s="4" t="s">
        <v>147</v>
      </c>
      <c r="D256" s="4" t="s">
        <v>340</v>
      </c>
      <c r="E256" s="4" t="s">
        <v>341</v>
      </c>
      <c r="F256" s="4" t="s">
        <v>311</v>
      </c>
      <c r="G256" s="4" t="s">
        <v>342</v>
      </c>
      <c r="H256" s="4" t="s">
        <v>343</v>
      </c>
      <c r="I256" s="4" t="s">
        <v>344</v>
      </c>
      <c r="J256" s="4" t="s">
        <v>345</v>
      </c>
    </row>
    <row r="257" spans="1:12" ht="23" customHeight="1">
      <c r="A257" s="6">
        <v>4</v>
      </c>
      <c r="B257" s="6">
        <v>113</v>
      </c>
      <c r="C257" s="6">
        <v>7</v>
      </c>
      <c r="D257" s="6">
        <v>218</v>
      </c>
      <c r="E257" s="6">
        <v>250</v>
      </c>
      <c r="F257" s="36">
        <f>K172</f>
        <v>1.3</v>
      </c>
      <c r="G257" s="37">
        <f>'入力根拠'!F117</f>
        <v>80720.0</v>
      </c>
      <c r="H257" s="37">
        <f>'入力根拠'!F118</f>
        <v>517.5</v>
      </c>
      <c r="I257" s="9">
        <f>(F257*G257)</f>
        <v>104936.0</v>
      </c>
      <c r="J257" s="9">
        <f>(F257*H257)</f>
        <v>672.75</v>
      </c>
    </row>
    <row r="258" spans="1:12" ht="23" customHeight="1">
      <c r="A258" s="6">
        <v>4</v>
      </c>
      <c r="B258" s="6">
        <v>114</v>
      </c>
      <c r="C258" s="6">
        <v>7</v>
      </c>
      <c r="D258" s="6">
        <v>218</v>
      </c>
      <c r="E258" s="6">
        <v>250</v>
      </c>
      <c r="F258" s="36">
        <f>K175</f>
        <v>1.3</v>
      </c>
      <c r="G258" s="37">
        <f>'入力根拠'!F117</f>
        <v>80720.0</v>
      </c>
      <c r="H258" s="37">
        <f>'入力根拠'!F118</f>
        <v>517.5</v>
      </c>
      <c r="I258" s="9">
        <f>(F258*G258)</f>
        <v>104936.0</v>
      </c>
      <c r="J258" s="9">
        <f>(F258*H258)</f>
        <v>672.75</v>
      </c>
    </row>
    <row r="259" spans="1:12" ht="23" customHeight="1">
      <c r="A259" s="6">
        <v>4</v>
      </c>
      <c r="B259" s="6">
        <v>115</v>
      </c>
      <c r="C259" s="6">
        <v>7</v>
      </c>
      <c r="D259" s="6">
        <v>218</v>
      </c>
      <c r="E259" s="6">
        <v>250</v>
      </c>
      <c r="F259" s="36">
        <f>K176</f>
        <v>1.3</v>
      </c>
      <c r="G259" s="37">
        <f>'入力根拠'!F117</f>
        <v>80720.0</v>
      </c>
      <c r="H259" s="37">
        <f>'入力根拠'!F118</f>
        <v>517.5</v>
      </c>
      <c r="I259" s="9">
        <f>(F259*G259)</f>
        <v>104936.0</v>
      </c>
      <c r="J259" s="9">
        <f>(F259*H259)</f>
        <v>672.75</v>
      </c>
    </row>
    <row r="260" spans="1:12" ht="23" customHeight="1">
      <c r="A260" s="6">
        <v>4</v>
      </c>
      <c r="B260" s="6">
        <v>116</v>
      </c>
      <c r="C260" s="6">
        <v>7</v>
      </c>
      <c r="D260" s="6">
        <v>218</v>
      </c>
      <c r="E260" s="6">
        <v>250</v>
      </c>
      <c r="F260" s="36">
        <f>K177</f>
        <v>1.3</v>
      </c>
      <c r="G260" s="37">
        <f>'入力根拠'!F117</f>
        <v>80720.0</v>
      </c>
      <c r="H260" s="37">
        <f>'入力根拠'!F118</f>
        <v>517.5</v>
      </c>
      <c r="I260" s="9">
        <f>(F260*G260)</f>
        <v>104936.0</v>
      </c>
      <c r="J260" s="9">
        <f>(F260*H260)</f>
        <v>672.75</v>
      </c>
    </row>
    <row r="261" spans="1:12" ht="23" customHeight="1">
      <c r="A261" s="6">
        <v>4</v>
      </c>
      <c r="B261" s="6">
        <v>117</v>
      </c>
      <c r="C261" s="6">
        <v>7</v>
      </c>
      <c r="D261" s="6">
        <v>218</v>
      </c>
      <c r="E261" s="6">
        <v>250</v>
      </c>
      <c r="F261" s="36">
        <f>K178</f>
        <v>1.3</v>
      </c>
      <c r="G261" s="37">
        <f>'入力根拠'!F117</f>
        <v>80720.0</v>
      </c>
      <c r="H261" s="37">
        <f>'入力根拠'!F118</f>
        <v>517.5</v>
      </c>
      <c r="I261" s="9">
        <f>(F261*G261)</f>
        <v>104936.0</v>
      </c>
      <c r="J261" s="9">
        <f>(F261*H261)</f>
        <v>672.75</v>
      </c>
    </row>
    <row r="262" spans="1:12" ht="23" customHeight="1">
      <c r="A262" s="6">
        <v>4</v>
      </c>
      <c r="B262" s="6">
        <v>118</v>
      </c>
      <c r="C262" s="6">
        <v>7</v>
      </c>
      <c r="D262" s="6">
        <v>218</v>
      </c>
      <c r="E262" s="6">
        <v>250</v>
      </c>
      <c r="F262" s="36">
        <f>K179</f>
        <v>1.3</v>
      </c>
      <c r="G262" s="37">
        <f>'入力根拠'!F117</f>
        <v>80720.0</v>
      </c>
      <c r="H262" s="37">
        <f>'入力根拠'!F118</f>
        <v>517.5</v>
      </c>
      <c r="I262" s="9">
        <f>(F262*G262)</f>
        <v>104936.0</v>
      </c>
      <c r="J262" s="9">
        <f>(F262*H262)</f>
        <v>672.75</v>
      </c>
    </row>
    <row r="263" spans="1:12" ht="23" customHeight="1">
      <c r="A263" s="6">
        <v>4</v>
      </c>
      <c r="B263" s="6">
        <v>119</v>
      </c>
      <c r="C263" s="6">
        <v>7</v>
      </c>
      <c r="D263" s="6">
        <v>218</v>
      </c>
      <c r="E263" s="6">
        <v>250</v>
      </c>
      <c r="F263" s="36">
        <f>K180</f>
        <v>1.3</v>
      </c>
      <c r="G263" s="37">
        <f>'入力根拠'!F117</f>
        <v>80720.0</v>
      </c>
      <c r="H263" s="37">
        <f>'入力根拠'!F118</f>
        <v>517.5</v>
      </c>
      <c r="I263" s="9">
        <f>(F263*G263)</f>
        <v>104936.0</v>
      </c>
      <c r="J263" s="9">
        <f>(F263*H263)</f>
        <v>672.75</v>
      </c>
    </row>
    <row r="264" spans="1:12" ht="23" customHeight="1">
      <c r="A264" s="6">
        <v>4</v>
      </c>
      <c r="B264" s="6">
        <v>120</v>
      </c>
      <c r="C264" s="6">
        <v>7</v>
      </c>
      <c r="D264" s="6">
        <v>218</v>
      </c>
      <c r="E264" s="6">
        <v>250</v>
      </c>
      <c r="F264" s="36">
        <f>K181</f>
        <v>1.3</v>
      </c>
      <c r="G264" s="37">
        <f>'入力根拠'!F117</f>
        <v>80720.0</v>
      </c>
      <c r="H264" s="37">
        <f>'入力根拠'!F118</f>
        <v>517.5</v>
      </c>
      <c r="I264" s="9">
        <f>(F264*G264)</f>
        <v>104936.0</v>
      </c>
      <c r="J264" s="9">
        <f>(F264*H264)</f>
        <v>672.75</v>
      </c>
    </row>
    <row r="265" spans="1:12" ht="23" customHeight="1">
      <c r="A265" s="6">
        <v>4</v>
      </c>
      <c r="B265" s="6">
        <v>121</v>
      </c>
      <c r="C265" s="6">
        <v>7</v>
      </c>
      <c r="D265" s="6">
        <v>218</v>
      </c>
      <c r="E265" s="6">
        <v>250</v>
      </c>
      <c r="F265" s="36">
        <f>K182</f>
        <v>0.45</v>
      </c>
      <c r="G265" s="37">
        <f>'入力根拠'!F117</f>
        <v>80720.0</v>
      </c>
      <c r="H265" s="37">
        <f>'入力根拠'!F118</f>
        <v>517.5</v>
      </c>
      <c r="I265" s="9">
        <f>(F265*G265)</f>
        <v>36324.0</v>
      </c>
      <c r="J265" s="9">
        <f>(F265*H265)</f>
        <v>232.875</v>
      </c>
    </row>
    <row r="266" spans="1:12" ht="23" customHeight="1">
      <c r="A266" s="6">
        <v>5</v>
      </c>
      <c r="B266" s="6">
        <v>127</v>
      </c>
      <c r="C266" s="6">
        <v>3</v>
      </c>
      <c r="D266" s="6">
        <v>214</v>
      </c>
      <c r="E266" s="6">
        <v>246</v>
      </c>
      <c r="F266" s="36">
        <f>K183</f>
        <v>0.755</v>
      </c>
      <c r="G266" s="37">
        <f>'入力根拠'!F119</f>
        <v>30751.0</v>
      </c>
      <c r="H266" s="37">
        <f>'入力根拠'!F120</f>
        <v>196.0</v>
      </c>
      <c r="I266" s="9">
        <f>(F266*G266)</f>
        <v>23217.005</v>
      </c>
      <c r="J266" s="9">
        <f>(F266*H266)</f>
        <v>147.98</v>
      </c>
    </row>
    <row r="267" spans="1:12" ht="23" customHeight="1">
      <c r="A267" s="6">
        <v>5</v>
      </c>
      <c r="B267" s="6">
        <v>127</v>
      </c>
      <c r="C267" s="6">
        <v>4</v>
      </c>
      <c r="D267" s="6">
        <v>215</v>
      </c>
      <c r="E267" s="6">
        <v>247</v>
      </c>
      <c r="F267" s="36">
        <f>K184</f>
        <v>0.15</v>
      </c>
      <c r="G267" s="37">
        <f>'入力根拠'!F121</f>
        <v>74680.0</v>
      </c>
      <c r="H267" s="37">
        <f>'入力根拠'!F124</f>
        <v>941.0</v>
      </c>
      <c r="I267" s="9">
        <f>(F267*G267)</f>
        <v>11202.0</v>
      </c>
      <c r="J267" s="9">
        <f>(F267*H267)</f>
        <v>141.15</v>
      </c>
    </row>
    <row r="268" spans="1:12" ht="23" customHeight="1">
      <c r="A268" s="6">
        <v>5</v>
      </c>
      <c r="B268" s="6">
        <v>128</v>
      </c>
      <c r="C268" s="6">
        <v>4</v>
      </c>
      <c r="D268" s="6">
        <v>215</v>
      </c>
      <c r="E268" s="6">
        <v>247</v>
      </c>
      <c r="F268" s="36">
        <f>K185</f>
        <v>1.3</v>
      </c>
      <c r="G268" s="37">
        <f>'入力根拠'!F121</f>
        <v>74680.0</v>
      </c>
      <c r="H268" s="37">
        <f>'入力根拠'!F124</f>
        <v>941.0</v>
      </c>
      <c r="I268" s="9">
        <f>(F268*G268)</f>
        <v>97084.0</v>
      </c>
      <c r="J268" s="9">
        <f>(F268*H268)</f>
        <v>1223.3</v>
      </c>
    </row>
    <row r="269" spans="1:12" ht="23" customHeight="1">
      <c r="A269" s="6">
        <v>5</v>
      </c>
      <c r="B269" s="6">
        <v>129</v>
      </c>
      <c r="C269" s="6">
        <v>4</v>
      </c>
      <c r="D269" s="6">
        <v>215</v>
      </c>
      <c r="E269" s="6">
        <v>247</v>
      </c>
      <c r="F269" s="36">
        <f>K186</f>
        <v>1.15</v>
      </c>
      <c r="G269" s="37">
        <f>'入力根拠'!F121</f>
        <v>74680.0</v>
      </c>
      <c r="H269" s="37">
        <f>'入力根拠'!F124</f>
        <v>941.0</v>
      </c>
      <c r="I269" s="9">
        <f>(F269*G269)</f>
        <v>85882.0</v>
      </c>
      <c r="J269" s="9">
        <f>(F269*H269)</f>
        <v>1082.1499999999999</v>
      </c>
    </row>
    <row r="270" spans="1:12" ht="23" customHeight="1">
      <c r="A270" s="6">
        <v>5</v>
      </c>
      <c r="B270" s="6">
        <v>129</v>
      </c>
      <c r="C270" s="6">
        <v>5</v>
      </c>
      <c r="D270" s="6">
        <v>216</v>
      </c>
      <c r="E270" s="6">
        <v>248</v>
      </c>
      <c r="F270" s="36">
        <f>K187</f>
        <v>0.15</v>
      </c>
      <c r="G270" s="37">
        <f>'入力根拠'!F125</f>
        <v>119158.0</v>
      </c>
      <c r="H270" s="37">
        <f>'入力根拠'!F126</f>
        <v>760.6</v>
      </c>
      <c r="I270" s="9">
        <f>(F270*G270)</f>
        <v>17873.7</v>
      </c>
      <c r="J270" s="9">
        <f>(F270*H270)</f>
        <v>114.09</v>
      </c>
    </row>
    <row r="271" spans="1:12" ht="23" customHeight="1">
      <c r="A271" s="6">
        <v>5</v>
      </c>
      <c r="B271" s="6">
        <v>130</v>
      </c>
      <c r="C271" s="6">
        <v>5</v>
      </c>
      <c r="D271" s="6">
        <v>216</v>
      </c>
      <c r="E271" s="6">
        <v>248</v>
      </c>
      <c r="F271" s="36">
        <f>K188</f>
        <v>0.45</v>
      </c>
      <c r="G271" s="37">
        <f>'入力根拠'!F125</f>
        <v>119158.0</v>
      </c>
      <c r="H271" s="37">
        <f>'入力根拠'!F126</f>
        <v>760.6</v>
      </c>
      <c r="I271" s="9">
        <f>(F271*G271)</f>
        <v>53621.1</v>
      </c>
      <c r="J271" s="9">
        <f>(F271*H271)</f>
        <v>342.27000000000004</v>
      </c>
    </row>
    <row r="272" spans="1:12" ht="24" customHeight="1">
      <c r="A272" s="3" t="s">
        <v>339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0" ht="36" customHeight="1">
      <c r="A273" s="4" t="s">
        <v>8</v>
      </c>
      <c r="B273" s="4" t="s">
        <v>90</v>
      </c>
      <c r="C273" s="4" t="s">
        <v>147</v>
      </c>
      <c r="D273" s="4" t="s">
        <v>340</v>
      </c>
      <c r="E273" s="4" t="s">
        <v>341</v>
      </c>
      <c r="F273" s="4" t="s">
        <v>311</v>
      </c>
      <c r="G273" s="4" t="s">
        <v>342</v>
      </c>
      <c r="H273" s="4" t="s">
        <v>343</v>
      </c>
      <c r="I273" s="4" t="s">
        <v>344</v>
      </c>
      <c r="J273" s="4" t="s">
        <v>345</v>
      </c>
    </row>
    <row r="274" spans="1:10" ht="23" customHeight="1">
      <c r="A274" s="6">
        <v>5</v>
      </c>
      <c r="B274" s="6">
        <v>130</v>
      </c>
      <c r="C274" s="6">
        <v>6</v>
      </c>
      <c r="D274" s="6">
        <v>217</v>
      </c>
      <c r="E274" s="6">
        <v>249</v>
      </c>
      <c r="F274" s="36">
        <f>K189</f>
        <v>0.85</v>
      </c>
      <c r="G274" s="37">
        <f>'入力根拠'!F127</f>
        <v>112020.0</v>
      </c>
      <c r="H274" s="37">
        <f>'入力根拠'!F128</f>
        <v>1411.5</v>
      </c>
      <c r="I274" s="9">
        <f>(F274*G274)</f>
        <v>95217.0</v>
      </c>
      <c r="J274" s="9">
        <f>(F274*H274)</f>
        <v>1199.7749999999999</v>
      </c>
    </row>
    <row r="275" spans="1:10" ht="23" customHeight="1">
      <c r="A275" s="6">
        <v>5</v>
      </c>
      <c r="B275" s="6">
        <v>131</v>
      </c>
      <c r="C275" s="6">
        <v>6</v>
      </c>
      <c r="D275" s="6">
        <v>217</v>
      </c>
      <c r="E275" s="6">
        <v>249</v>
      </c>
      <c r="F275" s="36">
        <f>K192</f>
        <v>1.3</v>
      </c>
      <c r="G275" s="37">
        <f>'入力根拠'!F127</f>
        <v>112020.0</v>
      </c>
      <c r="H275" s="37">
        <f>'入力根拠'!F128</f>
        <v>1411.5</v>
      </c>
      <c r="I275" s="9">
        <f>(F275*G275)</f>
        <v>145626.0</v>
      </c>
      <c r="J275" s="9">
        <f>(F275*H275)</f>
        <v>1834.95</v>
      </c>
    </row>
    <row r="276" spans="1:10" ht="23" customHeight="1">
      <c r="A276" s="6">
        <v>5</v>
      </c>
      <c r="B276" s="6">
        <v>132</v>
      </c>
      <c r="C276" s="6">
        <v>6</v>
      </c>
      <c r="D276" s="6">
        <v>217</v>
      </c>
      <c r="E276" s="6">
        <v>249</v>
      </c>
      <c r="F276" s="36">
        <f>K193</f>
        <v>1.3</v>
      </c>
      <c r="G276" s="37">
        <f>'入力根拠'!F127</f>
        <v>112020.0</v>
      </c>
      <c r="H276" s="37">
        <f>'入力根拠'!F128</f>
        <v>1411.5</v>
      </c>
      <c r="I276" s="9">
        <f>(F276*G276)</f>
        <v>145626.0</v>
      </c>
      <c r="J276" s="9">
        <f>(F276*H276)</f>
        <v>1834.95</v>
      </c>
    </row>
    <row r="277" spans="1:10" ht="23" customHeight="1">
      <c r="A277" s="6">
        <v>5</v>
      </c>
      <c r="B277" s="6">
        <v>133</v>
      </c>
      <c r="C277" s="6">
        <v>6</v>
      </c>
      <c r="D277" s="6">
        <v>217</v>
      </c>
      <c r="E277" s="6">
        <v>249</v>
      </c>
      <c r="F277" s="36">
        <f>K194</f>
        <v>1.3</v>
      </c>
      <c r="G277" s="37">
        <f>'入力根拠'!F127</f>
        <v>112020.0</v>
      </c>
      <c r="H277" s="37">
        <f>'入力根拠'!F128</f>
        <v>1411.5</v>
      </c>
      <c r="I277" s="9">
        <f>(F277*G277)</f>
        <v>145626.0</v>
      </c>
      <c r="J277" s="9">
        <f>(F277*H277)</f>
        <v>1834.95</v>
      </c>
    </row>
    <row r="278" spans="1:10" ht="23" customHeight="1">
      <c r="A278" s="6">
        <v>5</v>
      </c>
      <c r="B278" s="6">
        <v>134</v>
      </c>
      <c r="C278" s="6">
        <v>6</v>
      </c>
      <c r="D278" s="6">
        <v>217</v>
      </c>
      <c r="E278" s="6">
        <v>249</v>
      </c>
      <c r="F278" s="36">
        <f>K195</f>
        <v>1.3</v>
      </c>
      <c r="G278" s="37">
        <f>'入力根拠'!F127</f>
        <v>112020.0</v>
      </c>
      <c r="H278" s="37">
        <f>'入力根拠'!F128</f>
        <v>1411.5</v>
      </c>
      <c r="I278" s="9">
        <f>(F278*G278)</f>
        <v>145626.0</v>
      </c>
      <c r="J278" s="9">
        <f>(F278*H278)</f>
        <v>1834.95</v>
      </c>
    </row>
    <row r="279" spans="1:10" ht="23" customHeight="1">
      <c r="A279" s="6">
        <v>5</v>
      </c>
      <c r="B279" s="6">
        <v>135</v>
      </c>
      <c r="C279" s="6">
        <v>6</v>
      </c>
      <c r="D279" s="6">
        <v>217</v>
      </c>
      <c r="E279" s="6">
        <v>249</v>
      </c>
      <c r="F279" s="36">
        <f>K196</f>
        <v>1.3</v>
      </c>
      <c r="G279" s="37">
        <f>'入力根拠'!F127</f>
        <v>112020.0</v>
      </c>
      <c r="H279" s="37">
        <f>'入力根拠'!F128</f>
        <v>1411.5</v>
      </c>
      <c r="I279" s="9">
        <f>(F279*G279)</f>
        <v>145626.0</v>
      </c>
      <c r="J279" s="9">
        <f>(F279*H279)</f>
        <v>1834.95</v>
      </c>
    </row>
    <row r="280" spans="1:10" ht="23" customHeight="1">
      <c r="A280" s="6">
        <v>5</v>
      </c>
      <c r="B280" s="6">
        <v>136</v>
      </c>
      <c r="C280" s="6">
        <v>6</v>
      </c>
      <c r="D280" s="6">
        <v>217</v>
      </c>
      <c r="E280" s="6">
        <v>249</v>
      </c>
      <c r="F280" s="36">
        <f>K197</f>
        <v>1.3</v>
      </c>
      <c r="G280" s="37">
        <f>'入力根拠'!F127</f>
        <v>112020.0</v>
      </c>
      <c r="H280" s="37">
        <f>'入力根拠'!F128</f>
        <v>1411.5</v>
      </c>
      <c r="I280" s="9">
        <f>(F280*G280)</f>
        <v>145626.0</v>
      </c>
      <c r="J280" s="9">
        <f>(F280*H280)</f>
        <v>1834.95</v>
      </c>
    </row>
    <row r="281" spans="1:10" ht="23" customHeight="1">
      <c r="A281" s="6">
        <v>5</v>
      </c>
      <c r="B281" s="6">
        <v>137</v>
      </c>
      <c r="C281" s="6">
        <v>6</v>
      </c>
      <c r="D281" s="6">
        <v>217</v>
      </c>
      <c r="E281" s="6">
        <v>249</v>
      </c>
      <c r="F281" s="36">
        <f>K198</f>
        <v>0.85</v>
      </c>
      <c r="G281" s="37">
        <f>'入力根拠'!F127</f>
        <v>112020.0</v>
      </c>
      <c r="H281" s="37">
        <f>'入力根拠'!F128</f>
        <v>1411.5</v>
      </c>
      <c r="I281" s="9">
        <f>(F281*G281)</f>
        <v>95217.0</v>
      </c>
      <c r="J281" s="9">
        <f>(F281*H281)</f>
        <v>1199.7749999999999</v>
      </c>
    </row>
    <row r="282" spans="1:10" ht="23" customHeight="1">
      <c r="A282" s="6">
        <v>5</v>
      </c>
      <c r="B282" s="6">
        <v>137</v>
      </c>
      <c r="C282" s="6">
        <v>7</v>
      </c>
      <c r="D282" s="6">
        <v>218</v>
      </c>
      <c r="E282" s="6">
        <v>250</v>
      </c>
      <c r="F282" s="36">
        <f>K199</f>
        <v>0.45</v>
      </c>
      <c r="G282" s="37">
        <f>'入力根拠'!F129</f>
        <v>53813.0</v>
      </c>
      <c r="H282" s="37">
        <f>'入力根拠'!F130</f>
        <v>345.0</v>
      </c>
      <c r="I282" s="9">
        <f>(F282*G282)</f>
        <v>24215.850000000002</v>
      </c>
      <c r="J282" s="9">
        <f>(F282*H282)</f>
        <v>155.25</v>
      </c>
    </row>
    <row r="283" spans="1:10" ht="23" customHeight="1">
      <c r="A283" s="6">
        <v>5</v>
      </c>
      <c r="B283" s="6">
        <v>138</v>
      </c>
      <c r="C283" s="6">
        <v>7</v>
      </c>
      <c r="D283" s="6">
        <v>218</v>
      </c>
      <c r="E283" s="6">
        <v>250</v>
      </c>
      <c r="F283" s="36">
        <f>K200</f>
        <v>1.3</v>
      </c>
      <c r="G283" s="37">
        <f>'入力根拠'!F129</f>
        <v>53813.0</v>
      </c>
      <c r="H283" s="37">
        <f>'入力根拠'!F130</f>
        <v>345.0</v>
      </c>
      <c r="I283" s="9">
        <f>(F283*G283)</f>
        <v>69956.90000000001</v>
      </c>
      <c r="J283" s="9">
        <f>(F283*H283)</f>
        <v>448.5</v>
      </c>
    </row>
    <row r="284" spans="1:10" ht="23" customHeight="1">
      <c r="A284" s="6">
        <v>5</v>
      </c>
      <c r="B284" s="6">
        <v>139</v>
      </c>
      <c r="C284" s="6">
        <v>7</v>
      </c>
      <c r="D284" s="6">
        <v>218</v>
      </c>
      <c r="E284" s="6">
        <v>250</v>
      </c>
      <c r="F284" s="36">
        <f>K201</f>
        <v>1.3</v>
      </c>
      <c r="G284" s="37">
        <f>'入力根拠'!F129</f>
        <v>53813.0</v>
      </c>
      <c r="H284" s="37">
        <f>'入力根拠'!F130</f>
        <v>345.0</v>
      </c>
      <c r="I284" s="9">
        <f>(F284*G284)</f>
        <v>69956.90000000001</v>
      </c>
      <c r="J284" s="9">
        <f>(F284*H284)</f>
        <v>448.5</v>
      </c>
    </row>
    <row r="285" spans="1:10" ht="23" customHeight="1">
      <c r="A285" s="6">
        <v>5</v>
      </c>
      <c r="B285" s="6">
        <v>140</v>
      </c>
      <c r="C285" s="6">
        <v>7</v>
      </c>
      <c r="D285" s="6">
        <v>218</v>
      </c>
      <c r="E285" s="6">
        <v>250</v>
      </c>
      <c r="F285" s="36">
        <f>K202</f>
        <v>1.3</v>
      </c>
      <c r="G285" s="37">
        <f>'入力根拠'!F129</f>
        <v>53813.0</v>
      </c>
      <c r="H285" s="37">
        <f>'入力根拠'!F130</f>
        <v>345.0</v>
      </c>
      <c r="I285" s="9">
        <f>(F285*G285)</f>
        <v>69956.90000000001</v>
      </c>
      <c r="J285" s="9">
        <f>(F285*H285)</f>
        <v>448.5</v>
      </c>
    </row>
    <row r="286" spans="1:10" ht="23" customHeight="1">
      <c r="A286" s="6">
        <v>5</v>
      </c>
      <c r="B286" s="6">
        <v>141</v>
      </c>
      <c r="C286" s="6">
        <v>7</v>
      </c>
      <c r="D286" s="6">
        <v>218</v>
      </c>
      <c r="E286" s="6">
        <v>250</v>
      </c>
      <c r="F286" s="36">
        <f>K203</f>
        <v>1.3</v>
      </c>
      <c r="G286" s="37">
        <f>'入力根拠'!F129</f>
        <v>53813.0</v>
      </c>
      <c r="H286" s="37">
        <f>'入力根拠'!F130</f>
        <v>345.0</v>
      </c>
      <c r="I286" s="9">
        <f>(F286*G286)</f>
        <v>69956.90000000001</v>
      </c>
      <c r="J286" s="9">
        <f>(F286*H286)</f>
        <v>448.5</v>
      </c>
    </row>
    <row r="287" spans="1:10" ht="23" customHeight="1">
      <c r="A287" s="6">
        <v>5</v>
      </c>
      <c r="B287" s="6">
        <v>142</v>
      </c>
      <c r="C287" s="6">
        <v>7</v>
      </c>
      <c r="D287" s="6">
        <v>218</v>
      </c>
      <c r="E287" s="6">
        <v>250</v>
      </c>
      <c r="F287" s="36">
        <f>K204</f>
        <v>1.3</v>
      </c>
      <c r="G287" s="37">
        <f>'入力根拠'!F129</f>
        <v>53813.0</v>
      </c>
      <c r="H287" s="37">
        <f>'入力根拠'!F130</f>
        <v>345.0</v>
      </c>
      <c r="I287" s="9">
        <f>(F287*G287)</f>
        <v>69956.90000000001</v>
      </c>
      <c r="J287" s="9">
        <f>(F287*H287)</f>
        <v>448.5</v>
      </c>
    </row>
    <row r="288" spans="1:10" ht="23" customHeight="1">
      <c r="A288" s="6">
        <v>5</v>
      </c>
      <c r="B288" s="6">
        <v>143</v>
      </c>
      <c r="C288" s="6">
        <v>7</v>
      </c>
      <c r="D288" s="6">
        <v>218</v>
      </c>
      <c r="E288" s="6">
        <v>250</v>
      </c>
      <c r="F288" s="36">
        <f>K205</f>
        <v>1.3</v>
      </c>
      <c r="G288" s="37">
        <f>'入力根拠'!F129</f>
        <v>53813.0</v>
      </c>
      <c r="H288" s="37">
        <f>'入力根拠'!F130</f>
        <v>345.0</v>
      </c>
      <c r="I288" s="9">
        <f>(F288*G288)</f>
        <v>69956.90000000001</v>
      </c>
      <c r="J288" s="9">
        <f>(F288*H288)</f>
        <v>448.5</v>
      </c>
    </row>
    <row r="289" spans="1:12" ht="24" customHeight="1">
      <c r="A289" s="3" t="s">
        <v>339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36" customHeight="1">
      <c r="A290" s="4" t="s">
        <v>8</v>
      </c>
      <c r="B290" s="4" t="s">
        <v>90</v>
      </c>
      <c r="C290" s="4" t="s">
        <v>147</v>
      </c>
      <c r="D290" s="4" t="s">
        <v>340</v>
      </c>
      <c r="E290" s="4" t="s">
        <v>341</v>
      </c>
      <c r="F290" s="4" t="s">
        <v>311</v>
      </c>
      <c r="G290" s="4" t="s">
        <v>342</v>
      </c>
      <c r="H290" s="4" t="s">
        <v>343</v>
      </c>
      <c r="I290" s="4" t="s">
        <v>344</v>
      </c>
      <c r="J290" s="4" t="s">
        <v>345</v>
      </c>
    </row>
    <row r="291" spans="1:12" ht="23" customHeight="1">
      <c r="A291" s="6">
        <v>5</v>
      </c>
      <c r="B291" s="6">
        <v>144</v>
      </c>
      <c r="C291" s="6">
        <v>7</v>
      </c>
      <c r="D291" s="6">
        <v>218</v>
      </c>
      <c r="E291" s="6">
        <v>250</v>
      </c>
      <c r="F291" s="36">
        <f>K206</f>
        <v>1.3</v>
      </c>
      <c r="G291" s="37">
        <f>'入力根拠'!F129</f>
        <v>53813.0</v>
      </c>
      <c r="H291" s="37">
        <f>'入力根拠'!F130</f>
        <v>345.0</v>
      </c>
      <c r="I291" s="9">
        <f>(F291*G291)</f>
        <v>69956.90000000001</v>
      </c>
      <c r="J291" s="9">
        <f>(F291*H291)</f>
        <v>448.5</v>
      </c>
    </row>
    <row r="292" spans="1:12" ht="23" customHeight="1">
      <c r="A292" s="6">
        <v>5</v>
      </c>
      <c r="B292" s="6">
        <v>145</v>
      </c>
      <c r="C292" s="6">
        <v>7</v>
      </c>
      <c r="D292" s="6">
        <v>218</v>
      </c>
      <c r="E292" s="6">
        <v>250</v>
      </c>
      <c r="F292" s="36">
        <f>K209</f>
        <v>1.3</v>
      </c>
      <c r="G292" s="37">
        <f>'入力根拠'!F129</f>
        <v>53813.0</v>
      </c>
      <c r="H292" s="37">
        <f>'入力根拠'!F130</f>
        <v>345.0</v>
      </c>
      <c r="I292" s="9">
        <f>(F292*G292)</f>
        <v>69956.90000000001</v>
      </c>
      <c r="J292" s="9">
        <f>(F292*H292)</f>
        <v>448.5</v>
      </c>
    </row>
    <row r="293" spans="1:12" ht="23" customHeight="1">
      <c r="A293" s="6">
        <v>5</v>
      </c>
      <c r="B293" s="6">
        <v>146</v>
      </c>
      <c r="C293" s="6">
        <v>7</v>
      </c>
      <c r="D293" s="6">
        <v>218</v>
      </c>
      <c r="E293" s="6">
        <v>250</v>
      </c>
      <c r="F293" s="36">
        <f>K210</f>
        <v>0.45</v>
      </c>
      <c r="G293" s="37">
        <f>'入力根拠'!F129</f>
        <v>53813.0</v>
      </c>
      <c r="H293" s="37">
        <f>'入力根拠'!F130</f>
        <v>345.0</v>
      </c>
      <c r="I293" s="9">
        <f>(F293*G293)</f>
        <v>24215.850000000002</v>
      </c>
      <c r="J293" s="9">
        <f>(F293*H293)</f>
        <v>155.25</v>
      </c>
    </row>
    <row r="294" spans="1:12" ht="23" customHeight="1">
      <c r="A294" s="6">
        <v>6</v>
      </c>
      <c r="B294" s="6">
        <v>152</v>
      </c>
      <c r="C294" s="6">
        <v>3</v>
      </c>
      <c r="D294" s="6">
        <v>214</v>
      </c>
      <c r="E294" s="6">
        <v>246</v>
      </c>
      <c r="F294" s="36">
        <f>K211</f>
        <v>0.755</v>
      </c>
      <c r="G294" s="37">
        <f>'入力根拠'!F131</f>
        <v>46127.0</v>
      </c>
      <c r="H294" s="37">
        <f>'入力根拠'!F132</f>
        <v>294.1</v>
      </c>
      <c r="I294" s="9">
        <f>(F294*G294)</f>
        <v>34825.885</v>
      </c>
      <c r="J294" s="9">
        <f>(F294*H294)</f>
        <v>222.04550000000003</v>
      </c>
    </row>
    <row r="295" spans="1:12" ht="23" customHeight="1">
      <c r="A295" s="6">
        <v>6</v>
      </c>
      <c r="B295" s="6">
        <v>152</v>
      </c>
      <c r="C295" s="6">
        <v>4</v>
      </c>
      <c r="D295" s="6">
        <v>215</v>
      </c>
      <c r="E295" s="6">
        <v>247</v>
      </c>
      <c r="F295" s="36">
        <f>K212</f>
        <v>0.15</v>
      </c>
      <c r="G295" s="37">
        <f>'入力根拠'!F133</f>
        <v>112020.0</v>
      </c>
      <c r="H295" s="37">
        <f>'入力根拠'!F134</f>
        <v>1411.5</v>
      </c>
      <c r="I295" s="9">
        <f>(F295*G295)</f>
        <v>16803.0</v>
      </c>
      <c r="J295" s="9">
        <f>(F295*H295)</f>
        <v>211.725</v>
      </c>
    </row>
    <row r="296" spans="1:12" ht="23" customHeight="1">
      <c r="A296" s="6">
        <v>6</v>
      </c>
      <c r="B296" s="6">
        <v>153</v>
      </c>
      <c r="C296" s="6">
        <v>4</v>
      </c>
      <c r="D296" s="6">
        <v>215</v>
      </c>
      <c r="E296" s="6">
        <v>247</v>
      </c>
      <c r="F296" s="36">
        <f>K213</f>
        <v>1.3</v>
      </c>
      <c r="G296" s="37">
        <f>'入力根拠'!F133</f>
        <v>112020.0</v>
      </c>
      <c r="H296" s="37">
        <f>'入力根拠'!F134</f>
        <v>1411.5</v>
      </c>
      <c r="I296" s="9">
        <f>(F296*G296)</f>
        <v>145626.0</v>
      </c>
      <c r="J296" s="9">
        <f>(F296*H296)</f>
        <v>1834.95</v>
      </c>
    </row>
    <row r="297" spans="1:12" ht="23" customHeight="1">
      <c r="A297" s="6">
        <v>6</v>
      </c>
      <c r="B297" s="6">
        <v>154</v>
      </c>
      <c r="C297" s="6">
        <v>4</v>
      </c>
      <c r="D297" s="6">
        <v>215</v>
      </c>
      <c r="E297" s="6">
        <v>247</v>
      </c>
      <c r="F297" s="36">
        <f>K214</f>
        <v>1.15</v>
      </c>
      <c r="G297" s="37">
        <f>'入力根拠'!F133</f>
        <v>112020.0</v>
      </c>
      <c r="H297" s="37">
        <f>'入力根拠'!F134</f>
        <v>1411.5</v>
      </c>
      <c r="I297" s="9">
        <f>(F297*G297)</f>
        <v>128822.99999999999</v>
      </c>
      <c r="J297" s="9">
        <f>(F297*H297)</f>
        <v>1623.225</v>
      </c>
    </row>
    <row r="298" spans="1:12" ht="23" customHeight="1">
      <c r="A298" s="6">
        <v>6</v>
      </c>
      <c r="B298" s="6">
        <v>154</v>
      </c>
      <c r="C298" s="6">
        <v>5</v>
      </c>
      <c r="D298" s="6">
        <v>216</v>
      </c>
      <c r="E298" s="6">
        <v>248</v>
      </c>
      <c r="F298" s="36">
        <f>K215</f>
        <v>0.15</v>
      </c>
      <c r="G298" s="37">
        <f>'入力根拠'!F135</f>
        <v>178738.0</v>
      </c>
      <c r="H298" s="37">
        <f>'入力根拠'!F136</f>
        <v>1140.9</v>
      </c>
      <c r="I298" s="9">
        <f>(F298*G298)</f>
        <v>26810.7</v>
      </c>
      <c r="J298" s="9">
        <f>(F298*H298)</f>
        <v>171.13500000000002</v>
      </c>
    </row>
    <row r="299" spans="1:12" ht="23" customHeight="1">
      <c r="A299" s="6">
        <v>6</v>
      </c>
      <c r="B299" s="6">
        <v>155</v>
      </c>
      <c r="C299" s="6">
        <v>5</v>
      </c>
      <c r="D299" s="6">
        <v>216</v>
      </c>
      <c r="E299" s="6">
        <v>248</v>
      </c>
      <c r="F299" s="36">
        <f>K216</f>
        <v>0.45</v>
      </c>
      <c r="G299" s="37">
        <f>'入力根拠'!F135</f>
        <v>178738.0</v>
      </c>
      <c r="H299" s="37">
        <f>'入力根拠'!F136</f>
        <v>1140.9</v>
      </c>
      <c r="I299" s="9">
        <f>(F299*G299)</f>
        <v>80432.1</v>
      </c>
      <c r="J299" s="9">
        <f>(F299*H299)</f>
        <v>513.4050000000001</v>
      </c>
    </row>
    <row r="300" spans="1:12" ht="23" customHeight="1">
      <c r="A300" s="6">
        <v>6</v>
      </c>
      <c r="B300" s="6">
        <v>155</v>
      </c>
      <c r="C300" s="6">
        <v>6</v>
      </c>
      <c r="D300" s="6">
        <v>217</v>
      </c>
      <c r="E300" s="6">
        <v>249</v>
      </c>
      <c r="F300" s="36">
        <f>K217</f>
        <v>0.85</v>
      </c>
      <c r="G300" s="37">
        <f>'入力根拠'!F137</f>
        <v>168029.0</v>
      </c>
      <c r="H300" s="37">
        <f>'入力根拠'!F138</f>
        <v>2117.2</v>
      </c>
      <c r="I300" s="9">
        <f>(F300*G300)</f>
        <v>142824.65</v>
      </c>
      <c r="J300" s="9">
        <f>(F300*H300)</f>
        <v>1799.62</v>
      </c>
    </row>
    <row r="301" spans="1:12" ht="23" customHeight="1">
      <c r="A301" s="6">
        <v>6</v>
      </c>
      <c r="B301" s="6">
        <v>156</v>
      </c>
      <c r="C301" s="6">
        <v>6</v>
      </c>
      <c r="D301" s="6">
        <v>217</v>
      </c>
      <c r="E301" s="6">
        <v>249</v>
      </c>
      <c r="F301" s="36">
        <f>K218</f>
        <v>1.3</v>
      </c>
      <c r="G301" s="37">
        <f>'入力根拠'!F137</f>
        <v>168029.0</v>
      </c>
      <c r="H301" s="37">
        <f>'入力根拠'!F138</f>
        <v>2117.2</v>
      </c>
      <c r="I301" s="9">
        <f>(F301*G301)</f>
        <v>218437.7</v>
      </c>
      <c r="J301" s="9">
        <f>(F301*H301)</f>
        <v>2752.3599999999997</v>
      </c>
    </row>
    <row r="302" spans="1:12" ht="23" customHeight="1">
      <c r="A302" s="6">
        <v>6</v>
      </c>
      <c r="B302" s="6">
        <v>157</v>
      </c>
      <c r="C302" s="6">
        <v>6</v>
      </c>
      <c r="D302" s="6">
        <v>217</v>
      </c>
      <c r="E302" s="6">
        <v>249</v>
      </c>
      <c r="F302" s="36">
        <f>K219</f>
        <v>1.3</v>
      </c>
      <c r="G302" s="37">
        <f>'入力根拠'!F137</f>
        <v>168029.0</v>
      </c>
      <c r="H302" s="37">
        <f>'入力根拠'!F138</f>
        <v>2117.2</v>
      </c>
      <c r="I302" s="9">
        <f>(F302*G302)</f>
        <v>218437.7</v>
      </c>
      <c r="J302" s="9">
        <f>(F302*H302)</f>
        <v>2752.3599999999997</v>
      </c>
    </row>
    <row r="303" spans="1:12" ht="23" customHeight="1">
      <c r="A303" s="6">
        <v>6</v>
      </c>
      <c r="B303" s="6">
        <v>158</v>
      </c>
      <c r="C303" s="6">
        <v>6</v>
      </c>
      <c r="D303" s="6">
        <v>217</v>
      </c>
      <c r="E303" s="6">
        <v>249</v>
      </c>
      <c r="F303" s="36">
        <f>K220</f>
        <v>1.3</v>
      </c>
      <c r="G303" s="37">
        <f>'入力根拠'!F137</f>
        <v>168029.0</v>
      </c>
      <c r="H303" s="37">
        <f>'入力根拠'!F138</f>
        <v>2117.2</v>
      </c>
      <c r="I303" s="9">
        <f>(F303*G303)</f>
        <v>218437.7</v>
      </c>
      <c r="J303" s="9">
        <f>(F303*H303)</f>
        <v>2752.3599999999997</v>
      </c>
    </row>
    <row r="304" spans="1:12" ht="23" customHeight="1">
      <c r="A304" s="6">
        <v>6</v>
      </c>
      <c r="B304" s="6">
        <v>159</v>
      </c>
      <c r="C304" s="6">
        <v>6</v>
      </c>
      <c r="D304" s="6">
        <v>217</v>
      </c>
      <c r="E304" s="6">
        <v>249</v>
      </c>
      <c r="F304" s="36">
        <f>K221</f>
        <v>1.3</v>
      </c>
      <c r="G304" s="37">
        <f>'入力根拠'!F137</f>
        <v>168029.0</v>
      </c>
      <c r="H304" s="37">
        <f>'入力根拠'!F138</f>
        <v>2117.2</v>
      </c>
      <c r="I304" s="9">
        <f>(F304*G304)</f>
        <v>218437.7</v>
      </c>
      <c r="J304" s="9">
        <f>(F304*H304)</f>
        <v>2752.3599999999997</v>
      </c>
    </row>
    <row r="305" spans="1:12" ht="23" customHeight="1">
      <c r="A305" s="6">
        <v>6</v>
      </c>
      <c r="B305" s="6">
        <v>160</v>
      </c>
      <c r="C305" s="6">
        <v>6</v>
      </c>
      <c r="D305" s="6">
        <v>217</v>
      </c>
      <c r="E305" s="6">
        <v>249</v>
      </c>
      <c r="F305" s="36">
        <f>K222</f>
        <v>1.3</v>
      </c>
      <c r="G305" s="37">
        <f>'入力根拠'!F137</f>
        <v>168029.0</v>
      </c>
      <c r="H305" s="37">
        <f>'入力根拠'!F138</f>
        <v>2117.2</v>
      </c>
      <c r="I305" s="9">
        <f>(F305*G305)</f>
        <v>218437.7</v>
      </c>
      <c r="J305" s="9">
        <f>(F305*H305)</f>
        <v>2752.3599999999997</v>
      </c>
    </row>
    <row r="306" spans="1:12" ht="24" customHeight="1">
      <c r="A306" s="3" t="s">
        <v>339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36" customHeight="1">
      <c r="A307" s="4" t="s">
        <v>8</v>
      </c>
      <c r="B307" s="4" t="s">
        <v>90</v>
      </c>
      <c r="C307" s="4" t="s">
        <v>147</v>
      </c>
      <c r="D307" s="4" t="s">
        <v>340</v>
      </c>
      <c r="E307" s="4" t="s">
        <v>341</v>
      </c>
      <c r="F307" s="4" t="s">
        <v>311</v>
      </c>
      <c r="G307" s="4" t="s">
        <v>342</v>
      </c>
      <c r="H307" s="4" t="s">
        <v>343</v>
      </c>
      <c r="I307" s="4" t="s">
        <v>344</v>
      </c>
      <c r="J307" s="4" t="s">
        <v>345</v>
      </c>
    </row>
    <row r="308" spans="1:12" ht="23" customHeight="1">
      <c r="A308" s="6">
        <v>6</v>
      </c>
      <c r="B308" s="6">
        <v>161</v>
      </c>
      <c r="C308" s="6">
        <v>6</v>
      </c>
      <c r="D308" s="6">
        <v>217</v>
      </c>
      <c r="E308" s="6">
        <v>249</v>
      </c>
      <c r="F308" s="36">
        <f>K223</f>
        <v>1.3</v>
      </c>
      <c r="G308" s="37">
        <f>'入力根拠'!F137</f>
        <v>168029.0</v>
      </c>
      <c r="H308" s="37">
        <f>'入力根拠'!F138</f>
        <v>2117.2</v>
      </c>
      <c r="I308" s="9">
        <f>(F308*G308)</f>
        <v>218437.7</v>
      </c>
      <c r="J308" s="9">
        <f>(F308*H308)</f>
        <v>2752.3599999999997</v>
      </c>
    </row>
    <row r="309" spans="1:12" ht="23" customHeight="1">
      <c r="A309" s="6">
        <v>6</v>
      </c>
      <c r="B309" s="6">
        <v>162</v>
      </c>
      <c r="C309" s="6">
        <v>6</v>
      </c>
      <c r="D309" s="6">
        <v>217</v>
      </c>
      <c r="E309" s="6">
        <v>249</v>
      </c>
      <c r="F309" s="36">
        <f>K226</f>
        <v>0.85</v>
      </c>
      <c r="G309" s="37">
        <f>'入力根拠'!F137</f>
        <v>168029.0</v>
      </c>
      <c r="H309" s="37">
        <f>'入力根拠'!F138</f>
        <v>2117.2</v>
      </c>
      <c r="I309" s="9">
        <f>(F309*G309)</f>
        <v>142824.65</v>
      </c>
      <c r="J309" s="9">
        <f>(F309*H309)</f>
        <v>1799.62</v>
      </c>
    </row>
    <row r="310" spans="1:12" ht="23" customHeight="1">
      <c r="A310" s="6">
        <v>6</v>
      </c>
      <c r="B310" s="6">
        <v>162</v>
      </c>
      <c r="C310" s="6">
        <v>7</v>
      </c>
      <c r="D310" s="6">
        <v>218</v>
      </c>
      <c r="E310" s="6">
        <v>250</v>
      </c>
      <c r="F310" s="36">
        <f>K227</f>
        <v>0.45</v>
      </c>
      <c r="G310" s="37">
        <f>'入力根拠'!F141</f>
        <v>80720.0</v>
      </c>
      <c r="H310" s="37">
        <f>'入力根拠'!F142</f>
        <v>517.5</v>
      </c>
      <c r="I310" s="9">
        <f>(F310*G310)</f>
        <v>36324.0</v>
      </c>
      <c r="J310" s="9">
        <f>(F310*H310)</f>
        <v>232.875</v>
      </c>
    </row>
    <row r="311" spans="1:12" ht="23" customHeight="1">
      <c r="A311" s="6">
        <v>6</v>
      </c>
      <c r="B311" s="6">
        <v>163</v>
      </c>
      <c r="C311" s="6">
        <v>7</v>
      </c>
      <c r="D311" s="6">
        <v>218</v>
      </c>
      <c r="E311" s="6">
        <v>250</v>
      </c>
      <c r="F311" s="36">
        <f>K228</f>
        <v>1.3</v>
      </c>
      <c r="G311" s="37">
        <f>'入力根拠'!F141</f>
        <v>80720.0</v>
      </c>
      <c r="H311" s="37">
        <f>'入力根拠'!F142</f>
        <v>517.5</v>
      </c>
      <c r="I311" s="9">
        <f>(F311*G311)</f>
        <v>104936.0</v>
      </c>
      <c r="J311" s="9">
        <f>(F311*H311)</f>
        <v>672.75</v>
      </c>
    </row>
    <row r="312" spans="1:12" ht="23" customHeight="1">
      <c r="A312" s="6">
        <v>6</v>
      </c>
      <c r="B312" s="6">
        <v>164</v>
      </c>
      <c r="C312" s="6">
        <v>7</v>
      </c>
      <c r="D312" s="6">
        <v>218</v>
      </c>
      <c r="E312" s="6">
        <v>250</v>
      </c>
      <c r="F312" s="36">
        <f>K229</f>
        <v>1.3</v>
      </c>
      <c r="G312" s="37">
        <f>'入力根拠'!F141</f>
        <v>80720.0</v>
      </c>
      <c r="H312" s="37">
        <f>'入力根拠'!F142</f>
        <v>517.5</v>
      </c>
      <c r="I312" s="9">
        <f>(F312*G312)</f>
        <v>104936.0</v>
      </c>
      <c r="J312" s="9">
        <f>(F312*H312)</f>
        <v>672.75</v>
      </c>
    </row>
    <row r="313" spans="1:12" ht="23" customHeight="1">
      <c r="A313" s="6">
        <v>6</v>
      </c>
      <c r="B313" s="6">
        <v>165</v>
      </c>
      <c r="C313" s="6">
        <v>7</v>
      </c>
      <c r="D313" s="6">
        <v>218</v>
      </c>
      <c r="E313" s="6">
        <v>250</v>
      </c>
      <c r="F313" s="36">
        <f>K230</f>
        <v>1.3</v>
      </c>
      <c r="G313" s="37">
        <f>'入力根拠'!F141</f>
        <v>80720.0</v>
      </c>
      <c r="H313" s="37">
        <f>'入力根拠'!F142</f>
        <v>517.5</v>
      </c>
      <c r="I313" s="9">
        <f>(F313*G313)</f>
        <v>104936.0</v>
      </c>
      <c r="J313" s="9">
        <f>(F313*H313)</f>
        <v>672.75</v>
      </c>
    </row>
    <row r="314" spans="1:12" ht="23" customHeight="1">
      <c r="A314" s="6">
        <v>6</v>
      </c>
      <c r="B314" s="6">
        <v>166</v>
      </c>
      <c r="C314" s="6">
        <v>7</v>
      </c>
      <c r="D314" s="6">
        <v>218</v>
      </c>
      <c r="E314" s="6">
        <v>250</v>
      </c>
      <c r="F314" s="36">
        <f>K231</f>
        <v>1.3</v>
      </c>
      <c r="G314" s="37">
        <f>'入力根拠'!F141</f>
        <v>80720.0</v>
      </c>
      <c r="H314" s="37">
        <f>'入力根拠'!F142</f>
        <v>517.5</v>
      </c>
      <c r="I314" s="9">
        <f>(F314*G314)</f>
        <v>104936.0</v>
      </c>
      <c r="J314" s="9">
        <f>(F314*H314)</f>
        <v>672.75</v>
      </c>
    </row>
    <row r="315" spans="1:12" ht="23" customHeight="1">
      <c r="A315" s="6">
        <v>6</v>
      </c>
      <c r="B315" s="6">
        <v>167</v>
      </c>
      <c r="C315" s="6">
        <v>7</v>
      </c>
      <c r="D315" s="6">
        <v>218</v>
      </c>
      <c r="E315" s="6">
        <v>250</v>
      </c>
      <c r="F315" s="36">
        <f>K232</f>
        <v>1.3</v>
      </c>
      <c r="G315" s="37">
        <f>'入力根拠'!F141</f>
        <v>80720.0</v>
      </c>
      <c r="H315" s="37">
        <f>'入力根拠'!F142</f>
        <v>517.5</v>
      </c>
      <c r="I315" s="9">
        <f>(F315*G315)</f>
        <v>104936.0</v>
      </c>
      <c r="J315" s="9">
        <f>(F315*H315)</f>
        <v>672.75</v>
      </c>
    </row>
    <row r="316" spans="1:12" ht="23" customHeight="1">
      <c r="A316" s="6">
        <v>6</v>
      </c>
      <c r="B316" s="6">
        <v>168</v>
      </c>
      <c r="C316" s="6">
        <v>7</v>
      </c>
      <c r="D316" s="6">
        <v>218</v>
      </c>
      <c r="E316" s="6">
        <v>250</v>
      </c>
      <c r="F316" s="36">
        <f>K233</f>
        <v>1.3</v>
      </c>
      <c r="G316" s="37">
        <f>'入力根拠'!F141</f>
        <v>80720.0</v>
      </c>
      <c r="H316" s="37">
        <f>'入力根拠'!F142</f>
        <v>517.5</v>
      </c>
      <c r="I316" s="9">
        <f>(F316*G316)</f>
        <v>104936.0</v>
      </c>
      <c r="J316" s="9">
        <f>(F316*H316)</f>
        <v>672.75</v>
      </c>
    </row>
    <row r="317" spans="1:12" ht="23" customHeight="1">
      <c r="A317" s="6">
        <v>6</v>
      </c>
      <c r="B317" s="6">
        <v>169</v>
      </c>
      <c r="C317" s="6">
        <v>7</v>
      </c>
      <c r="D317" s="6">
        <v>218</v>
      </c>
      <c r="E317" s="6">
        <v>250</v>
      </c>
      <c r="F317" s="36">
        <f>K234</f>
        <v>1.3</v>
      </c>
      <c r="G317" s="37">
        <f>'入力根拠'!F141</f>
        <v>80720.0</v>
      </c>
      <c r="H317" s="37">
        <f>'入力根拠'!F142</f>
        <v>517.5</v>
      </c>
      <c r="I317" s="9">
        <f>(F317*G317)</f>
        <v>104936.0</v>
      </c>
      <c r="J317" s="9">
        <f>(F317*H317)</f>
        <v>672.75</v>
      </c>
    </row>
    <row r="318" spans="1:12" ht="23" customHeight="1">
      <c r="A318" s="6">
        <v>6</v>
      </c>
      <c r="B318" s="6">
        <v>170</v>
      </c>
      <c r="C318" s="6">
        <v>7</v>
      </c>
      <c r="D318" s="6">
        <v>218</v>
      </c>
      <c r="E318" s="6">
        <v>250</v>
      </c>
      <c r="F318" s="36">
        <f>K235</f>
        <v>1.3</v>
      </c>
      <c r="G318" s="37">
        <f>'入力根拠'!F141</f>
        <v>80720.0</v>
      </c>
      <c r="H318" s="37">
        <f>'入力根拠'!F142</f>
        <v>517.5</v>
      </c>
      <c r="I318" s="9">
        <f>(F318*G318)</f>
        <v>104936.0</v>
      </c>
      <c r="J318" s="9">
        <f>(F318*H318)</f>
        <v>672.75</v>
      </c>
    </row>
    <row r="319" spans="1:12" ht="23" customHeight="1">
      <c r="A319" s="6">
        <v>6</v>
      </c>
      <c r="B319" s="6">
        <v>171</v>
      </c>
      <c r="C319" s="6">
        <v>7</v>
      </c>
      <c r="D319" s="6">
        <v>218</v>
      </c>
      <c r="E319" s="6">
        <v>250</v>
      </c>
      <c r="F319" s="36">
        <f>K236</f>
        <v>0.45</v>
      </c>
      <c r="G319" s="37">
        <f>'入力根拠'!F141</f>
        <v>80720.0</v>
      </c>
      <c r="H319" s="37">
        <f>'入力根拠'!F142</f>
        <v>517.5</v>
      </c>
      <c r="I319" s="9">
        <f>(F319*G319)</f>
        <v>36324.0</v>
      </c>
      <c r="J319" s="9">
        <f>(F319*H319)</f>
        <v>232.875</v>
      </c>
    </row>
    <row r="320" spans="1:12" ht="23" customHeight="1"/>
    <row r="321" spans="1:12" ht="24" customHeight="1">
      <c r="A321" s="3" t="s">
        <v>346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36" customHeight="1">
      <c r="A322" s="4" t="s">
        <v>8</v>
      </c>
      <c r="B322" s="4" t="s">
        <v>9</v>
      </c>
      <c r="C322" s="4" t="s">
        <v>90</v>
      </c>
      <c r="D322" s="4" t="s">
        <v>347</v>
      </c>
      <c r="E322" s="4" t="s">
        <v>348</v>
      </c>
      <c r="F322" s="4" t="s">
        <v>349</v>
      </c>
    </row>
    <row r="323" spans="1:12" ht="23" customHeight="1">
      <c r="A323" s="6">
        <v>4</v>
      </c>
      <c r="B323" s="6">
        <v>1</v>
      </c>
      <c r="C323" s="6">
        <v>98</v>
      </c>
      <c r="D323" s="36">
        <v>0</v>
      </c>
      <c r="E323" s="36">
        <v>0</v>
      </c>
      <c r="F323" s="36">
        <v>0.65</v>
      </c>
    </row>
    <row r="324" spans="1:12" ht="24" customHeight="1">
      <c r="A324" s="2" t="s">
        <v>350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3" customHeight="1">
      <c r="A325" s="6">
        <v>4</v>
      </c>
      <c r="B325" s="6">
        <v>1</v>
      </c>
      <c r="C325" s="6">
        <v>99</v>
      </c>
      <c r="D325" s="36">
        <v>1.3</v>
      </c>
      <c r="E325" s="36">
        <v>0.65</v>
      </c>
      <c r="F325" s="36">
        <v>1.95</v>
      </c>
    </row>
    <row r="326" spans="1:12" ht="24" customHeight="1">
      <c r="A326" s="2" t="s">
        <v>350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3" customHeight="1">
      <c r="A327" s="6">
        <v>4</v>
      </c>
      <c r="B327" s="6">
        <v>1</v>
      </c>
      <c r="C327" s="6">
        <v>100</v>
      </c>
      <c r="D327" s="36">
        <v>2.6</v>
      </c>
      <c r="E327" s="36">
        <v>1.95</v>
      </c>
      <c r="F327" s="36">
        <v>3.25</v>
      </c>
    </row>
    <row r="328" spans="1:12" ht="24" customHeight="1">
      <c r="A328" s="2" t="s">
        <v>350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3" customHeight="1">
      <c r="A329" s="6">
        <v>4</v>
      </c>
      <c r="B329" s="6">
        <v>1</v>
      </c>
      <c r="C329" s="6">
        <v>101</v>
      </c>
      <c r="D329" s="36">
        <v>3.9</v>
      </c>
      <c r="E329" s="36">
        <v>3.25</v>
      </c>
      <c r="F329" s="36">
        <v>4.55</v>
      </c>
    </row>
    <row r="330" spans="1:12" ht="24" customHeight="1">
      <c r="A330" s="2" t="s">
        <v>350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3" customHeight="1">
      <c r="A331" s="6">
        <v>5</v>
      </c>
      <c r="B331" s="6">
        <v>2</v>
      </c>
      <c r="C331" s="6">
        <v>123</v>
      </c>
      <c r="D331" s="36">
        <v>0</v>
      </c>
      <c r="E331" s="36">
        <v>0</v>
      </c>
      <c r="F331" s="36">
        <v>0.65</v>
      </c>
    </row>
    <row r="332" spans="1:12" ht="24" customHeight="1">
      <c r="A332" s="2" t="s">
        <v>350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3" customHeight="1">
      <c r="A333" s="6">
        <v>5</v>
      </c>
      <c r="B333" s="6">
        <v>2</v>
      </c>
      <c r="C333" s="6">
        <v>124</v>
      </c>
      <c r="D333" s="36">
        <v>1.3</v>
      </c>
      <c r="E333" s="36">
        <v>0.65</v>
      </c>
      <c r="F333" s="36">
        <v>1.95</v>
      </c>
    </row>
    <row r="334" spans="1:12" ht="24" customHeight="1">
      <c r="A334" s="2" t="s">
        <v>350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3" customHeight="1">
      <c r="A335" s="6">
        <v>5</v>
      </c>
      <c r="B335" s="6">
        <v>2</v>
      </c>
      <c r="C335" s="6">
        <v>125</v>
      </c>
      <c r="D335" s="36">
        <v>2.6</v>
      </c>
      <c r="E335" s="36">
        <v>1.95</v>
      </c>
      <c r="F335" s="36">
        <v>3.25</v>
      </c>
    </row>
    <row r="336" spans="1:12" ht="24" customHeight="1">
      <c r="A336" s="2" t="s">
        <v>350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3" t="s">
        <v>346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36" customHeight="1">
      <c r="A338" s="4" t="s">
        <v>8</v>
      </c>
      <c r="B338" s="4" t="s">
        <v>9</v>
      </c>
      <c r="C338" s="4" t="s">
        <v>90</v>
      </c>
      <c r="D338" s="4" t="s">
        <v>347</v>
      </c>
      <c r="E338" s="4" t="s">
        <v>348</v>
      </c>
      <c r="F338" s="4" t="s">
        <v>349</v>
      </c>
    </row>
    <row r="339" spans="1:12" ht="23" customHeight="1">
      <c r="A339" s="6">
        <v>5</v>
      </c>
      <c r="B339" s="6">
        <v>2</v>
      </c>
      <c r="C339" s="6">
        <v>126</v>
      </c>
      <c r="D339" s="36">
        <v>3.9</v>
      </c>
      <c r="E339" s="36">
        <v>3.25</v>
      </c>
      <c r="F339" s="36">
        <v>4.55</v>
      </c>
    </row>
    <row r="340" spans="1:12" ht="24" customHeight="1">
      <c r="A340" s="2" t="s">
        <v>350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3" customHeight="1">
      <c r="A341" s="6">
        <v>6</v>
      </c>
      <c r="B341" s="6">
        <v>3</v>
      </c>
      <c r="C341" s="6">
        <v>148</v>
      </c>
      <c r="D341" s="36">
        <v>0</v>
      </c>
      <c r="E341" s="36">
        <v>0</v>
      </c>
      <c r="F341" s="36">
        <v>0.65</v>
      </c>
    </row>
    <row r="342" spans="1:12" ht="24" customHeight="1">
      <c r="A342" s="2" t="s">
        <v>350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3" customHeight="1">
      <c r="A343" s="6">
        <v>6</v>
      </c>
      <c r="B343" s="6">
        <v>3</v>
      </c>
      <c r="C343" s="6">
        <v>149</v>
      </c>
      <c r="D343" s="36">
        <v>1.3</v>
      </c>
      <c r="E343" s="36">
        <v>0.65</v>
      </c>
      <c r="F343" s="36">
        <v>1.95</v>
      </c>
    </row>
    <row r="344" spans="1:12" ht="24" customHeight="1">
      <c r="A344" s="2" t="s">
        <v>350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3" customHeight="1">
      <c r="A345" s="6">
        <v>6</v>
      </c>
      <c r="B345" s="6">
        <v>3</v>
      </c>
      <c r="C345" s="6">
        <v>150</v>
      </c>
      <c r="D345" s="36">
        <v>2.6</v>
      </c>
      <c r="E345" s="36">
        <v>1.95</v>
      </c>
      <c r="F345" s="36">
        <v>3.25</v>
      </c>
    </row>
    <row r="346" spans="1:12" ht="24" customHeight="1">
      <c r="A346" s="2" t="s">
        <v>350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3" customHeight="1">
      <c r="A347" s="6">
        <v>6</v>
      </c>
      <c r="B347" s="6">
        <v>3</v>
      </c>
      <c r="C347" s="6">
        <v>151</v>
      </c>
      <c r="D347" s="36">
        <v>3.9</v>
      </c>
      <c r="E347" s="36">
        <v>3.25</v>
      </c>
      <c r="F347" s="36">
        <v>4.55</v>
      </c>
    </row>
    <row r="348" spans="1:12" ht="24" customHeight="1">
      <c r="A348" s="2" t="s">
        <v>350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3" customHeight="1">
      <c r="A349" s="6">
        <v>4</v>
      </c>
      <c r="B349" s="6">
        <v>1</v>
      </c>
      <c r="C349" s="6">
        <v>122</v>
      </c>
      <c r="D349" s="36">
        <v>31</v>
      </c>
      <c r="E349" s="36">
        <v>30.45</v>
      </c>
      <c r="F349" s="36">
        <v>31</v>
      </c>
    </row>
    <row r="350" spans="1:12" ht="24" customHeight="1">
      <c r="A350" s="2" t="s">
        <v>351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3" customHeight="1">
      <c r="A351" s="6">
        <v>5</v>
      </c>
      <c r="B351" s="6">
        <v>2</v>
      </c>
      <c r="C351" s="6">
        <v>147</v>
      </c>
      <c r="D351" s="36">
        <v>31</v>
      </c>
      <c r="E351" s="36">
        <v>30.45</v>
      </c>
      <c r="F351" s="36">
        <v>31</v>
      </c>
    </row>
    <row r="352" spans="1:12" ht="24" customHeight="1">
      <c r="A352" s="2" t="s"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3" t="s">
        <v>346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36" customHeight="1">
      <c r="A354" s="4" t="s">
        <v>8</v>
      </c>
      <c r="B354" s="4" t="s">
        <v>9</v>
      </c>
      <c r="C354" s="4" t="s">
        <v>90</v>
      </c>
      <c r="D354" s="4" t="s">
        <v>347</v>
      </c>
      <c r="E354" s="4" t="s">
        <v>348</v>
      </c>
      <c r="F354" s="4" t="s">
        <v>349</v>
      </c>
    </row>
    <row r="355" spans="1:12" ht="23" customHeight="1">
      <c r="A355" s="6">
        <v>6</v>
      </c>
      <c r="B355" s="6">
        <v>3</v>
      </c>
      <c r="C355" s="6">
        <v>172</v>
      </c>
      <c r="D355" s="36">
        <v>31</v>
      </c>
      <c r="E355" s="36">
        <v>30.45</v>
      </c>
      <c r="F355" s="36">
        <v>31</v>
      </c>
    </row>
    <row r="356" spans="1:12" ht="24" customHeight="1">
      <c r="A356" s="2" t="s">
        <v>351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3" customHeight="1"/>
    <row r="358" spans="1:12" ht="24" customHeight="1">
      <c r="A358" s="3" t="s">
        <v>352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36" customHeight="1">
      <c r="A359" s="4" t="s">
        <v>8</v>
      </c>
      <c r="B359" s="4" t="s">
        <v>9</v>
      </c>
      <c r="C359" s="4" t="s">
        <v>90</v>
      </c>
      <c r="D359" s="4" t="s">
        <v>91</v>
      </c>
      <c r="E359" s="4" t="s">
        <v>93</v>
      </c>
      <c r="F359" s="4" t="s">
        <v>94</v>
      </c>
      <c r="G359" s="4" t="s">
        <v>95</v>
      </c>
      <c r="H359" s="4" t="s">
        <v>96</v>
      </c>
      <c r="I359" s="4" t="s">
        <v>97</v>
      </c>
      <c r="J359" s="4" t="s">
        <v>98</v>
      </c>
    </row>
    <row r="360" spans="1:12" ht="23" customHeight="1">
      <c r="A360" s="6">
        <v>4</v>
      </c>
      <c r="B360" s="6">
        <v>1</v>
      </c>
      <c r="C360" s="6">
        <v>102</v>
      </c>
      <c r="D360" s="6">
        <v>1</v>
      </c>
      <c r="E360" s="7">
        <v>51629</v>
      </c>
      <c r="F360" s="7">
        <v>51629</v>
      </c>
      <c r="G360" s="7">
        <v>51629</v>
      </c>
      <c r="H360" s="7">
        <v>51629</v>
      </c>
      <c r="I360" s="7">
        <v>51629</v>
      </c>
      <c r="J360" s="7">
        <v>51629</v>
      </c>
    </row>
    <row r="361" spans="1:12" ht="23" customHeight="1">
      <c r="A361" s="6">
        <v>4</v>
      </c>
      <c r="B361" s="6">
        <v>1</v>
      </c>
      <c r="C361" s="6">
        <v>103</v>
      </c>
      <c r="D361" s="6">
        <v>2</v>
      </c>
      <c r="E361" s="7">
        <v>145626</v>
      </c>
      <c r="F361" s="7">
        <v>145626</v>
      </c>
      <c r="G361" s="7">
        <v>145626</v>
      </c>
      <c r="H361" s="7">
        <v>145626</v>
      </c>
      <c r="I361" s="7">
        <v>145626</v>
      </c>
      <c r="J361" s="7">
        <v>145626</v>
      </c>
    </row>
    <row r="362" spans="1:12" ht="23" customHeight="1">
      <c r="A362" s="6">
        <v>4</v>
      </c>
      <c r="B362" s="6">
        <v>1</v>
      </c>
      <c r="C362" s="6">
        <v>104</v>
      </c>
      <c r="D362" s="6">
        <v>3</v>
      </c>
      <c r="E362" s="7">
        <v>155634</v>
      </c>
      <c r="F362" s="7">
        <v>155634</v>
      </c>
      <c r="G362" s="7">
        <v>155634</v>
      </c>
      <c r="H362" s="7">
        <v>155634</v>
      </c>
      <c r="I362" s="7">
        <v>155634</v>
      </c>
      <c r="J362" s="7">
        <v>155634</v>
      </c>
    </row>
    <row r="363" spans="1:12" ht="23" customHeight="1">
      <c r="A363" s="6">
        <v>4</v>
      </c>
      <c r="B363" s="6">
        <v>1</v>
      </c>
      <c r="C363" s="6">
        <v>105</v>
      </c>
      <c r="D363" s="6">
        <v>4</v>
      </c>
      <c r="E363" s="7">
        <v>223257</v>
      </c>
      <c r="F363" s="7">
        <v>223257</v>
      </c>
      <c r="G363" s="7">
        <v>223257</v>
      </c>
      <c r="H363" s="7">
        <v>223257</v>
      </c>
      <c r="I363" s="7">
        <v>223257</v>
      </c>
      <c r="J363" s="7">
        <v>223257</v>
      </c>
    </row>
    <row r="364" spans="1:12" ht="23" customHeight="1">
      <c r="A364" s="6">
        <v>4</v>
      </c>
      <c r="B364" s="6">
        <v>1</v>
      </c>
      <c r="C364" s="6">
        <v>106</v>
      </c>
      <c r="D364" s="6">
        <v>5</v>
      </c>
      <c r="E364" s="7">
        <v>218438</v>
      </c>
      <c r="F364" s="7">
        <v>218438</v>
      </c>
      <c r="G364" s="7">
        <v>218438</v>
      </c>
      <c r="H364" s="7">
        <v>218438</v>
      </c>
      <c r="I364" s="7">
        <v>218438</v>
      </c>
      <c r="J364" s="7">
        <v>218438</v>
      </c>
    </row>
    <row r="365" spans="1:12" ht="23" customHeight="1">
      <c r="A365" s="6">
        <v>4</v>
      </c>
      <c r="B365" s="6">
        <v>1</v>
      </c>
      <c r="C365" s="6">
        <v>107</v>
      </c>
      <c r="D365" s="6">
        <v>6</v>
      </c>
      <c r="E365" s="7">
        <v>218438</v>
      </c>
      <c r="F365" s="7">
        <v>218438</v>
      </c>
      <c r="G365" s="7">
        <v>218438</v>
      </c>
      <c r="H365" s="7">
        <v>218438</v>
      </c>
      <c r="I365" s="7">
        <v>218438</v>
      </c>
      <c r="J365" s="7">
        <v>218438</v>
      </c>
    </row>
    <row r="366" spans="1:12" ht="23" customHeight="1">
      <c r="A366" s="6">
        <v>4</v>
      </c>
      <c r="B366" s="6">
        <v>1</v>
      </c>
      <c r="C366" s="6">
        <v>108</v>
      </c>
      <c r="D366" s="6">
        <v>7</v>
      </c>
      <c r="E366" s="7">
        <v>218438</v>
      </c>
      <c r="F366" s="7">
        <v>218438</v>
      </c>
      <c r="G366" s="7">
        <v>218438</v>
      </c>
      <c r="H366" s="7">
        <v>218438</v>
      </c>
      <c r="I366" s="7">
        <v>218438</v>
      </c>
      <c r="J366" s="7">
        <v>218438</v>
      </c>
    </row>
    <row r="367" spans="1:12" ht="23" customHeight="1">
      <c r="A367" s="6">
        <v>4</v>
      </c>
      <c r="B367" s="6">
        <v>1</v>
      </c>
      <c r="C367" s="6">
        <v>109</v>
      </c>
      <c r="D367" s="6">
        <v>8</v>
      </c>
      <c r="E367" s="7">
        <v>218438</v>
      </c>
      <c r="F367" s="7">
        <v>218438</v>
      </c>
      <c r="G367" s="7">
        <v>218438</v>
      </c>
      <c r="H367" s="7">
        <v>218438</v>
      </c>
      <c r="I367" s="7">
        <v>218438</v>
      </c>
      <c r="J367" s="7">
        <v>218438</v>
      </c>
    </row>
    <row r="368" spans="1:12" ht="23" customHeight="1">
      <c r="A368" s="6">
        <v>4</v>
      </c>
      <c r="B368" s="6">
        <v>1</v>
      </c>
      <c r="C368" s="6">
        <v>110</v>
      </c>
      <c r="D368" s="6">
        <v>9</v>
      </c>
      <c r="E368" s="7">
        <v>218438</v>
      </c>
      <c r="F368" s="7">
        <v>218438</v>
      </c>
      <c r="G368" s="7">
        <v>218438</v>
      </c>
      <c r="H368" s="7">
        <v>218438</v>
      </c>
      <c r="I368" s="7">
        <v>218438</v>
      </c>
      <c r="J368" s="7">
        <v>218438</v>
      </c>
    </row>
    <row r="369" spans="1:12" ht="24" customHeight="1">
      <c r="A369" s="3" t="s">
        <v>352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36" customHeight="1">
      <c r="A370" s="4" t="s">
        <v>8</v>
      </c>
      <c r="B370" s="4" t="s">
        <v>9</v>
      </c>
      <c r="C370" s="4" t="s">
        <v>90</v>
      </c>
      <c r="D370" s="4" t="s">
        <v>91</v>
      </c>
      <c r="E370" s="4" t="s">
        <v>93</v>
      </c>
      <c r="F370" s="4" t="s">
        <v>94</v>
      </c>
      <c r="G370" s="4" t="s">
        <v>95</v>
      </c>
      <c r="H370" s="4" t="s">
        <v>96</v>
      </c>
      <c r="I370" s="4" t="s">
        <v>97</v>
      </c>
      <c r="J370" s="4" t="s">
        <v>98</v>
      </c>
    </row>
    <row r="371" spans="1:12" ht="23" customHeight="1">
      <c r="A371" s="6">
        <v>4</v>
      </c>
      <c r="B371" s="6">
        <v>1</v>
      </c>
      <c r="C371" s="6">
        <v>111</v>
      </c>
      <c r="D371" s="6">
        <v>10</v>
      </c>
      <c r="E371" s="7">
        <v>218438</v>
      </c>
      <c r="F371" s="7">
        <v>218438</v>
      </c>
      <c r="G371" s="7">
        <v>218438</v>
      </c>
      <c r="H371" s="7">
        <v>218438</v>
      </c>
      <c r="I371" s="7">
        <v>218438</v>
      </c>
      <c r="J371" s="7">
        <v>218438</v>
      </c>
    </row>
    <row r="372" spans="1:12" ht="23" customHeight="1">
      <c r="A372" s="6">
        <v>4</v>
      </c>
      <c r="B372" s="6">
        <v>1</v>
      </c>
      <c r="C372" s="6">
        <v>112</v>
      </c>
      <c r="D372" s="6">
        <v>11</v>
      </c>
      <c r="E372" s="7">
        <v>179149</v>
      </c>
      <c r="F372" s="7">
        <v>179149</v>
      </c>
      <c r="G372" s="7">
        <v>179149</v>
      </c>
      <c r="H372" s="7">
        <v>179149</v>
      </c>
      <c r="I372" s="7">
        <v>179149</v>
      </c>
      <c r="J372" s="7">
        <v>179149</v>
      </c>
    </row>
    <row r="373" spans="1:12" ht="23" customHeight="1">
      <c r="A373" s="6">
        <v>4</v>
      </c>
      <c r="B373" s="6">
        <v>1</v>
      </c>
      <c r="C373" s="6">
        <v>113</v>
      </c>
      <c r="D373" s="6">
        <v>12</v>
      </c>
      <c r="E373" s="7">
        <v>104936</v>
      </c>
      <c r="F373" s="7">
        <v>104936</v>
      </c>
      <c r="G373" s="7">
        <v>104936</v>
      </c>
      <c r="H373" s="7">
        <v>104936</v>
      </c>
      <c r="I373" s="7">
        <v>104936</v>
      </c>
      <c r="J373" s="7">
        <v>104936</v>
      </c>
    </row>
    <row r="374" spans="1:12" ht="23" customHeight="1">
      <c r="A374" s="6">
        <v>4</v>
      </c>
      <c r="B374" s="6">
        <v>1</v>
      </c>
      <c r="C374" s="6">
        <v>114</v>
      </c>
      <c r="D374" s="6">
        <v>13</v>
      </c>
      <c r="E374" s="7">
        <v>104936</v>
      </c>
      <c r="F374" s="7">
        <v>104936</v>
      </c>
      <c r="G374" s="7">
        <v>104936</v>
      </c>
      <c r="H374" s="7">
        <v>104936</v>
      </c>
      <c r="I374" s="7">
        <v>104936</v>
      </c>
      <c r="J374" s="7">
        <v>104936</v>
      </c>
    </row>
    <row r="375" spans="1:12" ht="23" customHeight="1">
      <c r="A375" s="6">
        <v>4</v>
      </c>
      <c r="B375" s="6">
        <v>1</v>
      </c>
      <c r="C375" s="6">
        <v>115</v>
      </c>
      <c r="D375" s="6">
        <v>14</v>
      </c>
      <c r="E375" s="7">
        <v>104936</v>
      </c>
      <c r="F375" s="7">
        <v>104936</v>
      </c>
      <c r="G375" s="7">
        <v>104936</v>
      </c>
      <c r="H375" s="7">
        <v>104936</v>
      </c>
      <c r="I375" s="7">
        <v>104936</v>
      </c>
      <c r="J375" s="7">
        <v>104936</v>
      </c>
    </row>
    <row r="376" spans="1:12" ht="23" customHeight="1">
      <c r="A376" s="6">
        <v>4</v>
      </c>
      <c r="B376" s="6">
        <v>1</v>
      </c>
      <c r="C376" s="6">
        <v>116</v>
      </c>
      <c r="D376" s="6">
        <v>15</v>
      </c>
      <c r="E376" s="7">
        <v>104936</v>
      </c>
      <c r="F376" s="7">
        <v>104936</v>
      </c>
      <c r="G376" s="7">
        <v>104936</v>
      </c>
      <c r="H376" s="7">
        <v>104936</v>
      </c>
      <c r="I376" s="7">
        <v>104936</v>
      </c>
      <c r="J376" s="7">
        <v>104936</v>
      </c>
    </row>
    <row r="377" spans="1:12" ht="23" customHeight="1">
      <c r="A377" s="6">
        <v>4</v>
      </c>
      <c r="B377" s="6">
        <v>1</v>
      </c>
      <c r="C377" s="6">
        <v>117</v>
      </c>
      <c r="D377" s="6">
        <v>16</v>
      </c>
      <c r="E377" s="7">
        <v>104936</v>
      </c>
      <c r="F377" s="7">
        <v>104936</v>
      </c>
      <c r="G377" s="7">
        <v>104936</v>
      </c>
      <c r="H377" s="7">
        <v>104936</v>
      </c>
      <c r="I377" s="7">
        <v>104936</v>
      </c>
      <c r="J377" s="7">
        <v>104936</v>
      </c>
    </row>
    <row r="378" spans="1:12" ht="23" customHeight="1">
      <c r="A378" s="6">
        <v>4</v>
      </c>
      <c r="B378" s="6">
        <v>1</v>
      </c>
      <c r="C378" s="6">
        <v>118</v>
      </c>
      <c r="D378" s="6">
        <v>17</v>
      </c>
      <c r="E378" s="7">
        <v>104936</v>
      </c>
      <c r="F378" s="7">
        <v>104936</v>
      </c>
      <c r="G378" s="7">
        <v>104936</v>
      </c>
      <c r="H378" s="7">
        <v>104936</v>
      </c>
      <c r="I378" s="7">
        <v>104936</v>
      </c>
      <c r="J378" s="7">
        <v>104936</v>
      </c>
    </row>
    <row r="379" spans="1:12" ht="23" customHeight="1">
      <c r="A379" s="6">
        <v>4</v>
      </c>
      <c r="B379" s="6">
        <v>1</v>
      </c>
      <c r="C379" s="6">
        <v>119</v>
      </c>
      <c r="D379" s="6">
        <v>18</v>
      </c>
      <c r="E379" s="7">
        <v>104936</v>
      </c>
      <c r="F379" s="7">
        <v>104936</v>
      </c>
      <c r="G379" s="7">
        <v>104936</v>
      </c>
      <c r="H379" s="7">
        <v>104936</v>
      </c>
      <c r="I379" s="7">
        <v>104936</v>
      </c>
      <c r="J379" s="7">
        <v>104936</v>
      </c>
    </row>
    <row r="380" spans="1:12" ht="23" customHeight="1">
      <c r="A380" s="6">
        <v>4</v>
      </c>
      <c r="B380" s="6">
        <v>1</v>
      </c>
      <c r="C380" s="6">
        <v>120</v>
      </c>
      <c r="D380" s="6">
        <v>19</v>
      </c>
      <c r="E380" s="7">
        <v>104936</v>
      </c>
      <c r="F380" s="7">
        <v>104936</v>
      </c>
      <c r="G380" s="7">
        <v>104936</v>
      </c>
      <c r="H380" s="7">
        <v>104936</v>
      </c>
      <c r="I380" s="7">
        <v>104936</v>
      </c>
      <c r="J380" s="7">
        <v>104936</v>
      </c>
    </row>
    <row r="381" spans="1:12" ht="23" customHeight="1">
      <c r="A381" s="6">
        <v>4</v>
      </c>
      <c r="B381" s="6">
        <v>1</v>
      </c>
      <c r="C381" s="6">
        <v>121</v>
      </c>
      <c r="D381" s="6">
        <v>20</v>
      </c>
      <c r="E381" s="7">
        <v>36324</v>
      </c>
      <c r="F381" s="7">
        <v>36324</v>
      </c>
      <c r="G381" s="7">
        <v>36324</v>
      </c>
      <c r="H381" s="7">
        <v>36324</v>
      </c>
      <c r="I381" s="7">
        <v>36324</v>
      </c>
      <c r="J381" s="7">
        <v>36324</v>
      </c>
    </row>
    <row r="382" spans="1:12" ht="23" customHeight="1">
      <c r="A382" s="6">
        <v>5</v>
      </c>
      <c r="B382" s="6">
        <v>2</v>
      </c>
      <c r="C382" s="6">
        <v>127</v>
      </c>
      <c r="D382" s="6">
        <v>21</v>
      </c>
      <c r="E382" s="7">
        <v>34419</v>
      </c>
      <c r="F382" s="7">
        <v>34419</v>
      </c>
      <c r="G382" s="7">
        <v>34419</v>
      </c>
      <c r="H382" s="7">
        <v>34419</v>
      </c>
      <c r="I382" s="7">
        <v>34419</v>
      </c>
      <c r="J382" s="7">
        <v>34419</v>
      </c>
    </row>
    <row r="383" spans="1:12" ht="23" customHeight="1">
      <c r="A383" s="6">
        <v>5</v>
      </c>
      <c r="B383" s="6">
        <v>2</v>
      </c>
      <c r="C383" s="6">
        <v>128</v>
      </c>
      <c r="D383" s="6">
        <v>22</v>
      </c>
      <c r="E383" s="7">
        <v>97084</v>
      </c>
      <c r="F383" s="7">
        <v>97084</v>
      </c>
      <c r="G383" s="7">
        <v>97084</v>
      </c>
      <c r="H383" s="7">
        <v>97084</v>
      </c>
      <c r="I383" s="7">
        <v>97084</v>
      </c>
      <c r="J383" s="7">
        <v>97084</v>
      </c>
    </row>
    <row r="384" spans="1:12" ht="23" customHeight="1">
      <c r="A384" s="6">
        <v>5</v>
      </c>
      <c r="B384" s="6">
        <v>2</v>
      </c>
      <c r="C384" s="6">
        <v>129</v>
      </c>
      <c r="D384" s="6">
        <v>23</v>
      </c>
      <c r="E384" s="7">
        <v>103756</v>
      </c>
      <c r="F384" s="7">
        <v>103756</v>
      </c>
      <c r="G384" s="7">
        <v>103756</v>
      </c>
      <c r="H384" s="7">
        <v>103756</v>
      </c>
      <c r="I384" s="7">
        <v>103756</v>
      </c>
      <c r="J384" s="7">
        <v>103756</v>
      </c>
    </row>
    <row r="385" spans="1:12" ht="23" customHeight="1">
      <c r="A385" s="6">
        <v>5</v>
      </c>
      <c r="B385" s="6">
        <v>2</v>
      </c>
      <c r="C385" s="6">
        <v>130</v>
      </c>
      <c r="D385" s="6">
        <v>24</v>
      </c>
      <c r="E385" s="7">
        <v>148838</v>
      </c>
      <c r="F385" s="7">
        <v>148838</v>
      </c>
      <c r="G385" s="7">
        <v>148838</v>
      </c>
      <c r="H385" s="7">
        <v>148838</v>
      </c>
      <c r="I385" s="7">
        <v>148838</v>
      </c>
      <c r="J385" s="7">
        <v>148838</v>
      </c>
    </row>
    <row r="386" spans="1:12" ht="24" customHeight="1">
      <c r="A386" s="3" t="s">
        <v>352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36" customHeight="1">
      <c r="A387" s="4" t="s">
        <v>8</v>
      </c>
      <c r="B387" s="4" t="s">
        <v>9</v>
      </c>
      <c r="C387" s="4" t="s">
        <v>90</v>
      </c>
      <c r="D387" s="4" t="s">
        <v>91</v>
      </c>
      <c r="E387" s="4" t="s">
        <v>93</v>
      </c>
      <c r="F387" s="4" t="s">
        <v>94</v>
      </c>
      <c r="G387" s="4" t="s">
        <v>95</v>
      </c>
      <c r="H387" s="4" t="s">
        <v>96</v>
      </c>
      <c r="I387" s="4" t="s">
        <v>97</v>
      </c>
      <c r="J387" s="4" t="s">
        <v>98</v>
      </c>
    </row>
    <row r="388" spans="1:12" ht="23" customHeight="1">
      <c r="A388" s="6">
        <v>5</v>
      </c>
      <c r="B388" s="6">
        <v>2</v>
      </c>
      <c r="C388" s="6">
        <v>131</v>
      </c>
      <c r="D388" s="6">
        <v>25</v>
      </c>
      <c r="E388" s="7">
        <v>145626</v>
      </c>
      <c r="F388" s="7">
        <v>145626</v>
      </c>
      <c r="G388" s="7">
        <v>145626</v>
      </c>
      <c r="H388" s="7">
        <v>145626</v>
      </c>
      <c r="I388" s="7">
        <v>145626</v>
      </c>
      <c r="J388" s="7">
        <v>145626</v>
      </c>
    </row>
    <row r="389" spans="1:12" ht="23" customHeight="1">
      <c r="A389" s="6">
        <v>5</v>
      </c>
      <c r="B389" s="6">
        <v>2</v>
      </c>
      <c r="C389" s="6">
        <v>132</v>
      </c>
      <c r="D389" s="6">
        <v>26</v>
      </c>
      <c r="E389" s="7">
        <v>145626</v>
      </c>
      <c r="F389" s="7">
        <v>145626</v>
      </c>
      <c r="G389" s="7">
        <v>145626</v>
      </c>
      <c r="H389" s="7">
        <v>145626</v>
      </c>
      <c r="I389" s="7">
        <v>145626</v>
      </c>
      <c r="J389" s="7">
        <v>145626</v>
      </c>
    </row>
    <row r="390" spans="1:12" ht="23" customHeight="1">
      <c r="A390" s="6">
        <v>5</v>
      </c>
      <c r="B390" s="6">
        <v>2</v>
      </c>
      <c r="C390" s="6">
        <v>133</v>
      </c>
      <c r="D390" s="6">
        <v>27</v>
      </c>
      <c r="E390" s="7">
        <v>145626</v>
      </c>
      <c r="F390" s="7">
        <v>145626</v>
      </c>
      <c r="G390" s="7">
        <v>145626</v>
      </c>
      <c r="H390" s="7">
        <v>145626</v>
      </c>
      <c r="I390" s="7">
        <v>145626</v>
      </c>
      <c r="J390" s="7">
        <v>145626</v>
      </c>
    </row>
    <row r="391" spans="1:12" ht="23" customHeight="1">
      <c r="A391" s="6">
        <v>5</v>
      </c>
      <c r="B391" s="6">
        <v>2</v>
      </c>
      <c r="C391" s="6">
        <v>134</v>
      </c>
      <c r="D391" s="6">
        <v>28</v>
      </c>
      <c r="E391" s="7">
        <v>145626</v>
      </c>
      <c r="F391" s="7">
        <v>145626</v>
      </c>
      <c r="G391" s="7">
        <v>145626</v>
      </c>
      <c r="H391" s="7">
        <v>145626</v>
      </c>
      <c r="I391" s="7">
        <v>145626</v>
      </c>
      <c r="J391" s="7">
        <v>145626</v>
      </c>
    </row>
    <row r="392" spans="1:12" ht="23" customHeight="1">
      <c r="A392" s="6">
        <v>5</v>
      </c>
      <c r="B392" s="6">
        <v>2</v>
      </c>
      <c r="C392" s="6">
        <v>135</v>
      </c>
      <c r="D392" s="6">
        <v>29</v>
      </c>
      <c r="E392" s="7">
        <v>145626</v>
      </c>
      <c r="F392" s="7">
        <v>145626</v>
      </c>
      <c r="G392" s="7">
        <v>145626</v>
      </c>
      <c r="H392" s="7">
        <v>145626</v>
      </c>
      <c r="I392" s="7">
        <v>145626</v>
      </c>
      <c r="J392" s="7">
        <v>145626</v>
      </c>
    </row>
    <row r="393" spans="1:12" ht="23" customHeight="1">
      <c r="A393" s="6">
        <v>5</v>
      </c>
      <c r="B393" s="6">
        <v>2</v>
      </c>
      <c r="C393" s="6">
        <v>136</v>
      </c>
      <c r="D393" s="6">
        <v>30</v>
      </c>
      <c r="E393" s="7">
        <v>145626</v>
      </c>
      <c r="F393" s="7">
        <v>145626</v>
      </c>
      <c r="G393" s="7">
        <v>145626</v>
      </c>
      <c r="H393" s="7">
        <v>145626</v>
      </c>
      <c r="I393" s="7">
        <v>145626</v>
      </c>
      <c r="J393" s="7">
        <v>145626</v>
      </c>
    </row>
    <row r="394" spans="1:12" ht="23" customHeight="1">
      <c r="A394" s="6">
        <v>5</v>
      </c>
      <c r="B394" s="6">
        <v>2</v>
      </c>
      <c r="C394" s="6">
        <v>137</v>
      </c>
      <c r="D394" s="6">
        <v>31</v>
      </c>
      <c r="E394" s="7">
        <v>119433</v>
      </c>
      <c r="F394" s="7">
        <v>119433</v>
      </c>
      <c r="G394" s="7">
        <v>119433</v>
      </c>
      <c r="H394" s="7">
        <v>119433</v>
      </c>
      <c r="I394" s="7">
        <v>119433</v>
      </c>
      <c r="J394" s="7">
        <v>119433</v>
      </c>
    </row>
    <row r="395" spans="1:12" ht="23" customHeight="1">
      <c r="A395" s="6">
        <v>5</v>
      </c>
      <c r="B395" s="6">
        <v>2</v>
      </c>
      <c r="C395" s="6">
        <v>138</v>
      </c>
      <c r="D395" s="6">
        <v>32</v>
      </c>
      <c r="E395" s="7">
        <v>69957</v>
      </c>
      <c r="F395" s="7">
        <v>69957</v>
      </c>
      <c r="G395" s="7">
        <v>69957</v>
      </c>
      <c r="H395" s="7">
        <v>69957</v>
      </c>
      <c r="I395" s="7">
        <v>69957</v>
      </c>
      <c r="J395" s="7">
        <v>69957</v>
      </c>
    </row>
    <row r="396" spans="1:12" ht="23" customHeight="1">
      <c r="A396" s="6">
        <v>5</v>
      </c>
      <c r="B396" s="6">
        <v>2</v>
      </c>
      <c r="C396" s="6">
        <v>139</v>
      </c>
      <c r="D396" s="6">
        <v>33</v>
      </c>
      <c r="E396" s="7">
        <v>69957</v>
      </c>
      <c r="F396" s="7">
        <v>69957</v>
      </c>
      <c r="G396" s="7">
        <v>69957</v>
      </c>
      <c r="H396" s="7">
        <v>69957</v>
      </c>
      <c r="I396" s="7">
        <v>69957</v>
      </c>
      <c r="J396" s="7">
        <v>69957</v>
      </c>
    </row>
    <row r="397" spans="1:12" ht="23" customHeight="1">
      <c r="A397" s="6">
        <v>5</v>
      </c>
      <c r="B397" s="6">
        <v>2</v>
      </c>
      <c r="C397" s="6">
        <v>140</v>
      </c>
      <c r="D397" s="6">
        <v>34</v>
      </c>
      <c r="E397" s="7">
        <v>69957</v>
      </c>
      <c r="F397" s="7">
        <v>69957</v>
      </c>
      <c r="G397" s="7">
        <v>69957</v>
      </c>
      <c r="H397" s="7">
        <v>69957</v>
      </c>
      <c r="I397" s="7">
        <v>69957</v>
      </c>
      <c r="J397" s="7">
        <v>69957</v>
      </c>
    </row>
    <row r="398" spans="1:12" ht="23" customHeight="1">
      <c r="A398" s="6">
        <v>5</v>
      </c>
      <c r="B398" s="6">
        <v>2</v>
      </c>
      <c r="C398" s="6">
        <v>141</v>
      </c>
      <c r="D398" s="6">
        <v>35</v>
      </c>
      <c r="E398" s="7">
        <v>69957</v>
      </c>
      <c r="F398" s="7">
        <v>69957</v>
      </c>
      <c r="G398" s="7">
        <v>69957</v>
      </c>
      <c r="H398" s="7">
        <v>69957</v>
      </c>
      <c r="I398" s="7">
        <v>69957</v>
      </c>
      <c r="J398" s="7">
        <v>69957</v>
      </c>
    </row>
    <row r="399" spans="1:12" ht="23" customHeight="1">
      <c r="A399" s="6">
        <v>5</v>
      </c>
      <c r="B399" s="6">
        <v>2</v>
      </c>
      <c r="C399" s="6">
        <v>142</v>
      </c>
      <c r="D399" s="6">
        <v>36</v>
      </c>
      <c r="E399" s="7">
        <v>69957</v>
      </c>
      <c r="F399" s="7">
        <v>69957</v>
      </c>
      <c r="G399" s="7">
        <v>69957</v>
      </c>
      <c r="H399" s="7">
        <v>69957</v>
      </c>
      <c r="I399" s="7">
        <v>69957</v>
      </c>
      <c r="J399" s="7">
        <v>69957</v>
      </c>
    </row>
    <row r="400" spans="1:12" ht="23" customHeight="1">
      <c r="A400" s="6">
        <v>5</v>
      </c>
      <c r="B400" s="6">
        <v>2</v>
      </c>
      <c r="C400" s="6">
        <v>143</v>
      </c>
      <c r="D400" s="6">
        <v>37</v>
      </c>
      <c r="E400" s="7">
        <v>69957</v>
      </c>
      <c r="F400" s="7">
        <v>69957</v>
      </c>
      <c r="G400" s="7">
        <v>69957</v>
      </c>
      <c r="H400" s="7">
        <v>69957</v>
      </c>
      <c r="I400" s="7">
        <v>69957</v>
      </c>
      <c r="J400" s="7">
        <v>69957</v>
      </c>
    </row>
    <row r="401" spans="1:12" ht="23" customHeight="1">
      <c r="A401" s="6">
        <v>5</v>
      </c>
      <c r="B401" s="6">
        <v>2</v>
      </c>
      <c r="C401" s="6">
        <v>144</v>
      </c>
      <c r="D401" s="6">
        <v>38</v>
      </c>
      <c r="E401" s="7">
        <v>69957</v>
      </c>
      <c r="F401" s="7">
        <v>69957</v>
      </c>
      <c r="G401" s="7">
        <v>69957</v>
      </c>
      <c r="H401" s="7">
        <v>69957</v>
      </c>
      <c r="I401" s="7">
        <v>69957</v>
      </c>
      <c r="J401" s="7">
        <v>69957</v>
      </c>
    </row>
    <row r="402" spans="1:12" ht="23" customHeight="1">
      <c r="A402" s="6">
        <v>5</v>
      </c>
      <c r="B402" s="6">
        <v>2</v>
      </c>
      <c r="C402" s="6">
        <v>145</v>
      </c>
      <c r="D402" s="6">
        <v>39</v>
      </c>
      <c r="E402" s="7">
        <v>69957</v>
      </c>
      <c r="F402" s="7">
        <v>69957</v>
      </c>
      <c r="G402" s="7">
        <v>69957</v>
      </c>
      <c r="H402" s="7">
        <v>69957</v>
      </c>
      <c r="I402" s="7">
        <v>69957</v>
      </c>
      <c r="J402" s="7">
        <v>69957</v>
      </c>
    </row>
    <row r="403" spans="1:12" ht="24" customHeight="1">
      <c r="A403" s="3" t="s">
        <v>352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36" customHeight="1">
      <c r="A404" s="4" t="s">
        <v>8</v>
      </c>
      <c r="B404" s="4" t="s">
        <v>9</v>
      </c>
      <c r="C404" s="4" t="s">
        <v>90</v>
      </c>
      <c r="D404" s="4" t="s">
        <v>91</v>
      </c>
      <c r="E404" s="4" t="s">
        <v>93</v>
      </c>
      <c r="F404" s="4" t="s">
        <v>94</v>
      </c>
      <c r="G404" s="4" t="s">
        <v>95</v>
      </c>
      <c r="H404" s="4" t="s">
        <v>96</v>
      </c>
      <c r="I404" s="4" t="s">
        <v>97</v>
      </c>
      <c r="J404" s="4" t="s">
        <v>98</v>
      </c>
    </row>
    <row r="405" spans="1:12" ht="23" customHeight="1">
      <c r="A405" s="6">
        <v>5</v>
      </c>
      <c r="B405" s="6">
        <v>2</v>
      </c>
      <c r="C405" s="6">
        <v>146</v>
      </c>
      <c r="D405" s="6">
        <v>40</v>
      </c>
      <c r="E405" s="7">
        <v>24216</v>
      </c>
      <c r="F405" s="7">
        <v>24216</v>
      </c>
      <c r="G405" s="7">
        <v>24216</v>
      </c>
      <c r="H405" s="7">
        <v>24216</v>
      </c>
      <c r="I405" s="7">
        <v>24216</v>
      </c>
      <c r="J405" s="7">
        <v>24216</v>
      </c>
    </row>
    <row r="406" spans="1:12" ht="23" customHeight="1">
      <c r="A406" s="6">
        <v>6</v>
      </c>
      <c r="B406" s="6">
        <v>3</v>
      </c>
      <c r="C406" s="6">
        <v>152</v>
      </c>
      <c r="D406" s="6">
        <v>41</v>
      </c>
      <c r="E406" s="7">
        <v>51629</v>
      </c>
      <c r="F406" s="7">
        <v>51629</v>
      </c>
      <c r="G406" s="7">
        <v>51629</v>
      </c>
      <c r="H406" s="7">
        <v>51629</v>
      </c>
      <c r="I406" s="7">
        <v>51629</v>
      </c>
      <c r="J406" s="7">
        <v>51629</v>
      </c>
    </row>
    <row r="407" spans="1:12" ht="23" customHeight="1">
      <c r="A407" s="6">
        <v>6</v>
      </c>
      <c r="B407" s="6">
        <v>3</v>
      </c>
      <c r="C407" s="6">
        <v>153</v>
      </c>
      <c r="D407" s="6">
        <v>42</v>
      </c>
      <c r="E407" s="7">
        <v>145626</v>
      </c>
      <c r="F407" s="7">
        <v>145626</v>
      </c>
      <c r="G407" s="7">
        <v>145626</v>
      </c>
      <c r="H407" s="7">
        <v>145626</v>
      </c>
      <c r="I407" s="7">
        <v>145626</v>
      </c>
      <c r="J407" s="7">
        <v>145626</v>
      </c>
    </row>
    <row r="408" spans="1:12" ht="23" customHeight="1">
      <c r="A408" s="6">
        <v>6</v>
      </c>
      <c r="B408" s="6">
        <v>3</v>
      </c>
      <c r="C408" s="6">
        <v>154</v>
      </c>
      <c r="D408" s="6">
        <v>43</v>
      </c>
      <c r="E408" s="7">
        <v>155634</v>
      </c>
      <c r="F408" s="7">
        <v>155634</v>
      </c>
      <c r="G408" s="7">
        <v>155634</v>
      </c>
      <c r="H408" s="7">
        <v>155634</v>
      </c>
      <c r="I408" s="7">
        <v>155634</v>
      </c>
      <c r="J408" s="7">
        <v>155634</v>
      </c>
    </row>
    <row r="409" spans="1:12" ht="23" customHeight="1">
      <c r="A409" s="6">
        <v>6</v>
      </c>
      <c r="B409" s="6">
        <v>3</v>
      </c>
      <c r="C409" s="6">
        <v>155</v>
      </c>
      <c r="D409" s="6">
        <v>44</v>
      </c>
      <c r="E409" s="7">
        <v>223257</v>
      </c>
      <c r="F409" s="7">
        <v>223257</v>
      </c>
      <c r="G409" s="7">
        <v>223257</v>
      </c>
      <c r="H409" s="7">
        <v>223257</v>
      </c>
      <c r="I409" s="7">
        <v>223257</v>
      </c>
      <c r="J409" s="7">
        <v>223257</v>
      </c>
    </row>
    <row r="410" spans="1:12" ht="23" customHeight="1">
      <c r="A410" s="6">
        <v>6</v>
      </c>
      <c r="B410" s="6">
        <v>3</v>
      </c>
      <c r="C410" s="6">
        <v>156</v>
      </c>
      <c r="D410" s="6">
        <v>45</v>
      </c>
      <c r="E410" s="7">
        <v>218438</v>
      </c>
      <c r="F410" s="7">
        <v>218438</v>
      </c>
      <c r="G410" s="7">
        <v>218438</v>
      </c>
      <c r="H410" s="7">
        <v>218438</v>
      </c>
      <c r="I410" s="7">
        <v>218438</v>
      </c>
      <c r="J410" s="7">
        <v>218438</v>
      </c>
    </row>
    <row r="411" spans="1:12" ht="23" customHeight="1">
      <c r="A411" s="6">
        <v>6</v>
      </c>
      <c r="B411" s="6">
        <v>3</v>
      </c>
      <c r="C411" s="6">
        <v>157</v>
      </c>
      <c r="D411" s="6">
        <v>46</v>
      </c>
      <c r="E411" s="7">
        <v>218438</v>
      </c>
      <c r="F411" s="7">
        <v>218438</v>
      </c>
      <c r="G411" s="7">
        <v>218438</v>
      </c>
      <c r="H411" s="7">
        <v>218438</v>
      </c>
      <c r="I411" s="7">
        <v>218438</v>
      </c>
      <c r="J411" s="7">
        <v>218438</v>
      </c>
    </row>
    <row r="412" spans="1:12" ht="23" customHeight="1">
      <c r="A412" s="6">
        <v>6</v>
      </c>
      <c r="B412" s="6">
        <v>3</v>
      </c>
      <c r="C412" s="6">
        <v>158</v>
      </c>
      <c r="D412" s="6">
        <v>47</v>
      </c>
      <c r="E412" s="7">
        <v>218438</v>
      </c>
      <c r="F412" s="7">
        <v>218438</v>
      </c>
      <c r="G412" s="7">
        <v>218438</v>
      </c>
      <c r="H412" s="7">
        <v>218438</v>
      </c>
      <c r="I412" s="7">
        <v>218438</v>
      </c>
      <c r="J412" s="7">
        <v>218438</v>
      </c>
    </row>
    <row r="413" spans="1:12" ht="23" customHeight="1">
      <c r="A413" s="6">
        <v>6</v>
      </c>
      <c r="B413" s="6">
        <v>3</v>
      </c>
      <c r="C413" s="6">
        <v>159</v>
      </c>
      <c r="D413" s="6">
        <v>48</v>
      </c>
      <c r="E413" s="7">
        <v>218438</v>
      </c>
      <c r="F413" s="7">
        <v>218438</v>
      </c>
      <c r="G413" s="7">
        <v>218438</v>
      </c>
      <c r="H413" s="7">
        <v>218438</v>
      </c>
      <c r="I413" s="7">
        <v>218438</v>
      </c>
      <c r="J413" s="7">
        <v>218438</v>
      </c>
    </row>
    <row r="414" spans="1:12" ht="23" customHeight="1">
      <c r="A414" s="6">
        <v>6</v>
      </c>
      <c r="B414" s="6">
        <v>3</v>
      </c>
      <c r="C414" s="6">
        <v>160</v>
      </c>
      <c r="D414" s="6">
        <v>49</v>
      </c>
      <c r="E414" s="7">
        <v>218438</v>
      </c>
      <c r="F414" s="7">
        <v>218438</v>
      </c>
      <c r="G414" s="7">
        <v>218438</v>
      </c>
      <c r="H414" s="7">
        <v>218438</v>
      </c>
      <c r="I414" s="7">
        <v>218438</v>
      </c>
      <c r="J414" s="7">
        <v>218438</v>
      </c>
    </row>
    <row r="415" spans="1:12" ht="23" customHeight="1">
      <c r="A415" s="6">
        <v>6</v>
      </c>
      <c r="B415" s="6">
        <v>3</v>
      </c>
      <c r="C415" s="6">
        <v>161</v>
      </c>
      <c r="D415" s="6">
        <v>50</v>
      </c>
      <c r="E415" s="7">
        <v>218438</v>
      </c>
      <c r="F415" s="7">
        <v>218438</v>
      </c>
      <c r="G415" s="7">
        <v>218438</v>
      </c>
      <c r="H415" s="7">
        <v>218438</v>
      </c>
      <c r="I415" s="7">
        <v>218438</v>
      </c>
      <c r="J415" s="7">
        <v>218438</v>
      </c>
    </row>
    <row r="416" spans="1:12" ht="23" customHeight="1">
      <c r="A416" s="6">
        <v>6</v>
      </c>
      <c r="B416" s="6">
        <v>3</v>
      </c>
      <c r="C416" s="6">
        <v>162</v>
      </c>
      <c r="D416" s="6">
        <v>51</v>
      </c>
      <c r="E416" s="7">
        <v>179149</v>
      </c>
      <c r="F416" s="7">
        <v>179149</v>
      </c>
      <c r="G416" s="7">
        <v>179149</v>
      </c>
      <c r="H416" s="7">
        <v>179149</v>
      </c>
      <c r="I416" s="7">
        <v>179149</v>
      </c>
      <c r="J416" s="7">
        <v>179149</v>
      </c>
    </row>
    <row r="417" spans="1:12" ht="23" customHeight="1">
      <c r="A417" s="6">
        <v>6</v>
      </c>
      <c r="B417" s="6">
        <v>3</v>
      </c>
      <c r="C417" s="6">
        <v>163</v>
      </c>
      <c r="D417" s="6">
        <v>52</v>
      </c>
      <c r="E417" s="7">
        <v>104936</v>
      </c>
      <c r="F417" s="7">
        <v>104936</v>
      </c>
      <c r="G417" s="7">
        <v>104936</v>
      </c>
      <c r="H417" s="7">
        <v>104936</v>
      </c>
      <c r="I417" s="7">
        <v>104936</v>
      </c>
      <c r="J417" s="7">
        <v>104936</v>
      </c>
    </row>
    <row r="418" spans="1:12" ht="23" customHeight="1">
      <c r="A418" s="6">
        <v>6</v>
      </c>
      <c r="B418" s="6">
        <v>3</v>
      </c>
      <c r="C418" s="6">
        <v>164</v>
      </c>
      <c r="D418" s="6">
        <v>53</v>
      </c>
      <c r="E418" s="7">
        <v>104936</v>
      </c>
      <c r="F418" s="7">
        <v>104936</v>
      </c>
      <c r="G418" s="7">
        <v>104936</v>
      </c>
      <c r="H418" s="7">
        <v>104936</v>
      </c>
      <c r="I418" s="7">
        <v>104936</v>
      </c>
      <c r="J418" s="7">
        <v>104936</v>
      </c>
    </row>
    <row r="419" spans="1:12" ht="23" customHeight="1">
      <c r="A419" s="6">
        <v>6</v>
      </c>
      <c r="B419" s="6">
        <v>3</v>
      </c>
      <c r="C419" s="6">
        <v>165</v>
      </c>
      <c r="D419" s="6">
        <v>54</v>
      </c>
      <c r="E419" s="7">
        <v>104936</v>
      </c>
      <c r="F419" s="7">
        <v>104936</v>
      </c>
      <c r="G419" s="7">
        <v>104936</v>
      </c>
      <c r="H419" s="7">
        <v>104936</v>
      </c>
      <c r="I419" s="7">
        <v>104936</v>
      </c>
      <c r="J419" s="7">
        <v>104936</v>
      </c>
    </row>
    <row r="420" spans="1:12" ht="24" customHeight="1">
      <c r="A420" s="3" t="s">
        <v>352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36" customHeight="1">
      <c r="A421" s="4" t="s">
        <v>8</v>
      </c>
      <c r="B421" s="4" t="s">
        <v>9</v>
      </c>
      <c r="C421" s="4" t="s">
        <v>90</v>
      </c>
      <c r="D421" s="4" t="s">
        <v>91</v>
      </c>
      <c r="E421" s="4" t="s">
        <v>93</v>
      </c>
      <c r="F421" s="4" t="s">
        <v>94</v>
      </c>
      <c r="G421" s="4" t="s">
        <v>95</v>
      </c>
      <c r="H421" s="4" t="s">
        <v>96</v>
      </c>
      <c r="I421" s="4" t="s">
        <v>97</v>
      </c>
      <c r="J421" s="4" t="s">
        <v>98</v>
      </c>
    </row>
    <row r="422" spans="1:12" ht="23" customHeight="1">
      <c r="A422" s="6">
        <v>6</v>
      </c>
      <c r="B422" s="6">
        <v>3</v>
      </c>
      <c r="C422" s="6">
        <v>166</v>
      </c>
      <c r="D422" s="6">
        <v>55</v>
      </c>
      <c r="E422" s="7">
        <v>104936</v>
      </c>
      <c r="F422" s="7">
        <v>104936</v>
      </c>
      <c r="G422" s="7">
        <v>104936</v>
      </c>
      <c r="H422" s="7">
        <v>104936</v>
      </c>
      <c r="I422" s="7">
        <v>104936</v>
      </c>
      <c r="J422" s="7">
        <v>104936</v>
      </c>
    </row>
    <row r="423" spans="1:12" ht="23" customHeight="1">
      <c r="A423" s="6">
        <v>6</v>
      </c>
      <c r="B423" s="6">
        <v>3</v>
      </c>
      <c r="C423" s="6">
        <v>167</v>
      </c>
      <c r="D423" s="6">
        <v>56</v>
      </c>
      <c r="E423" s="7">
        <v>104936</v>
      </c>
      <c r="F423" s="7">
        <v>104936</v>
      </c>
      <c r="G423" s="7">
        <v>104936</v>
      </c>
      <c r="H423" s="7">
        <v>104936</v>
      </c>
      <c r="I423" s="7">
        <v>104936</v>
      </c>
      <c r="J423" s="7">
        <v>104936</v>
      </c>
    </row>
    <row r="424" spans="1:12" ht="23" customHeight="1">
      <c r="A424" s="6">
        <v>6</v>
      </c>
      <c r="B424" s="6">
        <v>3</v>
      </c>
      <c r="C424" s="6">
        <v>168</v>
      </c>
      <c r="D424" s="6">
        <v>57</v>
      </c>
      <c r="E424" s="7">
        <v>104936</v>
      </c>
      <c r="F424" s="7">
        <v>104936</v>
      </c>
      <c r="G424" s="7">
        <v>104936</v>
      </c>
      <c r="H424" s="7">
        <v>104936</v>
      </c>
      <c r="I424" s="7">
        <v>104936</v>
      </c>
      <c r="J424" s="7">
        <v>104936</v>
      </c>
    </row>
    <row r="425" spans="1:12" ht="23" customHeight="1">
      <c r="A425" s="6">
        <v>6</v>
      </c>
      <c r="B425" s="6">
        <v>3</v>
      </c>
      <c r="C425" s="6">
        <v>169</v>
      </c>
      <c r="D425" s="6">
        <v>58</v>
      </c>
      <c r="E425" s="7">
        <v>104936</v>
      </c>
      <c r="F425" s="7">
        <v>104936</v>
      </c>
      <c r="G425" s="7">
        <v>104936</v>
      </c>
      <c r="H425" s="7">
        <v>104936</v>
      </c>
      <c r="I425" s="7">
        <v>104936</v>
      </c>
      <c r="J425" s="7">
        <v>104936</v>
      </c>
    </row>
    <row r="426" spans="1:12" ht="23" customHeight="1">
      <c r="A426" s="6">
        <v>6</v>
      </c>
      <c r="B426" s="6">
        <v>3</v>
      </c>
      <c r="C426" s="6">
        <v>170</v>
      </c>
      <c r="D426" s="6">
        <v>59</v>
      </c>
      <c r="E426" s="7">
        <v>104936</v>
      </c>
      <c r="F426" s="7">
        <v>104936</v>
      </c>
      <c r="G426" s="7">
        <v>104936</v>
      </c>
      <c r="H426" s="7">
        <v>104936</v>
      </c>
      <c r="I426" s="7">
        <v>104936</v>
      </c>
      <c r="J426" s="7">
        <v>104936</v>
      </c>
    </row>
    <row r="427" spans="1:12" ht="23" customHeight="1">
      <c r="A427" s="6">
        <v>6</v>
      </c>
      <c r="B427" s="6">
        <v>3</v>
      </c>
      <c r="C427" s="6">
        <v>171</v>
      </c>
      <c r="D427" s="6">
        <v>60</v>
      </c>
      <c r="E427" s="7">
        <v>36324</v>
      </c>
      <c r="F427" s="7">
        <v>36324</v>
      </c>
      <c r="G427" s="7">
        <v>36324</v>
      </c>
      <c r="H427" s="7">
        <v>36324</v>
      </c>
      <c r="I427" s="7">
        <v>36324</v>
      </c>
      <c r="J427" s="7">
        <v>36324</v>
      </c>
    </row>
    <row r="428" spans="1:12" ht="23" customHeight="1"/>
    <row r="429" spans="1:12" ht="24" customHeight="1">
      <c r="A429" s="3" t="s">
        <v>353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36" customHeight="1">
      <c r="A430" s="4" t="s">
        <v>8</v>
      </c>
      <c r="B430" s="4" t="s">
        <v>9</v>
      </c>
      <c r="C430" s="4" t="s">
        <v>90</v>
      </c>
      <c r="D430" s="4" t="s">
        <v>91</v>
      </c>
      <c r="E430" s="4" t="s">
        <v>103</v>
      </c>
      <c r="F430" s="4" t="s">
        <v>104</v>
      </c>
      <c r="G430" s="4" t="s">
        <v>105</v>
      </c>
      <c r="H430" s="4" t="s">
        <v>106</v>
      </c>
    </row>
    <row r="431" spans="1:12" ht="23" customHeight="1">
      <c r="A431" s="6">
        <v>4</v>
      </c>
      <c r="B431" s="6">
        <v>1</v>
      </c>
      <c r="C431" s="6">
        <v>102</v>
      </c>
      <c r="D431" s="6">
        <v>1</v>
      </c>
      <c r="E431" s="8">
        <v>433.8</v>
      </c>
      <c r="F431" s="8">
        <v>433.8</v>
      </c>
      <c r="G431" s="8">
        <v>433.8</v>
      </c>
      <c r="H431" s="8">
        <v>433.8</v>
      </c>
    </row>
    <row r="432" spans="1:12" ht="23" customHeight="1">
      <c r="A432" s="6">
        <v>4</v>
      </c>
      <c r="B432" s="6">
        <v>1</v>
      </c>
      <c r="C432" s="6">
        <v>103</v>
      </c>
      <c r="D432" s="6">
        <v>2</v>
      </c>
      <c r="E432" s="7">
        <v>1835</v>
      </c>
      <c r="F432" s="7">
        <v>1835</v>
      </c>
      <c r="G432" s="7">
        <v>1835</v>
      </c>
      <c r="H432" s="7">
        <v>1835</v>
      </c>
    </row>
    <row r="433" spans="1:12" ht="23" customHeight="1">
      <c r="A433" s="6">
        <v>4</v>
      </c>
      <c r="B433" s="6">
        <v>1</v>
      </c>
      <c r="C433" s="6">
        <v>104</v>
      </c>
      <c r="D433" s="6">
        <v>3</v>
      </c>
      <c r="E433" s="8">
        <v>1794.4</v>
      </c>
      <c r="F433" s="8">
        <v>1794.4</v>
      </c>
      <c r="G433" s="8">
        <v>1794.4</v>
      </c>
      <c r="H433" s="8">
        <v>1794.4</v>
      </c>
    </row>
    <row r="434" spans="1:12" ht="23" customHeight="1">
      <c r="A434" s="6">
        <v>4</v>
      </c>
      <c r="B434" s="6">
        <v>1</v>
      </c>
      <c r="C434" s="6">
        <v>105</v>
      </c>
      <c r="D434" s="6">
        <v>4</v>
      </c>
      <c r="E434" s="7">
        <v>2313</v>
      </c>
      <c r="F434" s="7">
        <v>2313</v>
      </c>
      <c r="G434" s="7">
        <v>2313</v>
      </c>
      <c r="H434" s="7">
        <v>2313</v>
      </c>
    </row>
    <row r="435" spans="1:12" ht="23" customHeight="1">
      <c r="A435" s="6">
        <v>4</v>
      </c>
      <c r="B435" s="6">
        <v>1</v>
      </c>
      <c r="C435" s="6">
        <v>106</v>
      </c>
      <c r="D435" s="6">
        <v>5</v>
      </c>
      <c r="E435" s="8">
        <v>2752.4</v>
      </c>
      <c r="F435" s="8">
        <v>2752.4</v>
      </c>
      <c r="G435" s="8">
        <v>2752.4</v>
      </c>
      <c r="H435" s="8">
        <v>2752.4</v>
      </c>
    </row>
    <row r="436" spans="1:12" ht="24" customHeight="1">
      <c r="A436" s="3" t="s">
        <v>353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36" customHeight="1">
      <c r="A437" s="4" t="s">
        <v>8</v>
      </c>
      <c r="B437" s="4" t="s">
        <v>9</v>
      </c>
      <c r="C437" s="4" t="s">
        <v>90</v>
      </c>
      <c r="D437" s="4" t="s">
        <v>91</v>
      </c>
      <c r="E437" s="4" t="s">
        <v>103</v>
      </c>
      <c r="F437" s="4" t="s">
        <v>104</v>
      </c>
      <c r="G437" s="4" t="s">
        <v>105</v>
      </c>
      <c r="H437" s="4" t="s">
        <v>106</v>
      </c>
    </row>
    <row r="438" spans="1:12" ht="23" customHeight="1">
      <c r="A438" s="6">
        <v>4</v>
      </c>
      <c r="B438" s="6">
        <v>1</v>
      </c>
      <c r="C438" s="6">
        <v>107</v>
      </c>
      <c r="D438" s="6">
        <v>6</v>
      </c>
      <c r="E438" s="8">
        <v>2752.4</v>
      </c>
      <c r="F438" s="8">
        <v>2752.4</v>
      </c>
      <c r="G438" s="8">
        <v>2752.4</v>
      </c>
      <c r="H438" s="8">
        <v>2752.4</v>
      </c>
    </row>
    <row r="439" spans="1:12" ht="23" customHeight="1">
      <c r="A439" s="6">
        <v>4</v>
      </c>
      <c r="B439" s="6">
        <v>1</v>
      </c>
      <c r="C439" s="6">
        <v>108</v>
      </c>
      <c r="D439" s="6">
        <v>7</v>
      </c>
      <c r="E439" s="8">
        <v>2752.4</v>
      </c>
      <c r="F439" s="8">
        <v>2752.4</v>
      </c>
      <c r="G439" s="8">
        <v>2752.4</v>
      </c>
      <c r="H439" s="8">
        <v>2752.4</v>
      </c>
    </row>
    <row r="440" spans="1:12" ht="23" customHeight="1">
      <c r="A440" s="6">
        <v>4</v>
      </c>
      <c r="B440" s="6">
        <v>1</v>
      </c>
      <c r="C440" s="6">
        <v>109</v>
      </c>
      <c r="D440" s="6">
        <v>8</v>
      </c>
      <c r="E440" s="8">
        <v>2752.4</v>
      </c>
      <c r="F440" s="8">
        <v>2752.4</v>
      </c>
      <c r="G440" s="8">
        <v>2752.4</v>
      </c>
      <c r="H440" s="8">
        <v>2752.4</v>
      </c>
    </row>
    <row r="441" spans="1:12" ht="23" customHeight="1">
      <c r="A441" s="6">
        <v>4</v>
      </c>
      <c r="B441" s="6">
        <v>1</v>
      </c>
      <c r="C441" s="6">
        <v>110</v>
      </c>
      <c r="D441" s="6">
        <v>9</v>
      </c>
      <c r="E441" s="8">
        <v>2752.4</v>
      </c>
      <c r="F441" s="8">
        <v>2752.4</v>
      </c>
      <c r="G441" s="8">
        <v>2752.4</v>
      </c>
      <c r="H441" s="8">
        <v>2752.4</v>
      </c>
    </row>
    <row r="442" spans="1:12" ht="23" customHeight="1">
      <c r="A442" s="6">
        <v>4</v>
      </c>
      <c r="B442" s="6">
        <v>1</v>
      </c>
      <c r="C442" s="6">
        <v>111</v>
      </c>
      <c r="D442" s="6">
        <v>10</v>
      </c>
      <c r="E442" s="8">
        <v>2752.4</v>
      </c>
      <c r="F442" s="8">
        <v>2752.4</v>
      </c>
      <c r="G442" s="8">
        <v>2752.4</v>
      </c>
      <c r="H442" s="8">
        <v>2752.4</v>
      </c>
    </row>
    <row r="443" spans="1:12" ht="23" customHeight="1">
      <c r="A443" s="6">
        <v>4</v>
      </c>
      <c r="B443" s="6">
        <v>1</v>
      </c>
      <c r="C443" s="6">
        <v>112</v>
      </c>
      <c r="D443" s="6">
        <v>11</v>
      </c>
      <c r="E443" s="8">
        <v>2032.5</v>
      </c>
      <c r="F443" s="8">
        <v>2032.5</v>
      </c>
      <c r="G443" s="8">
        <v>2032.5</v>
      </c>
      <c r="H443" s="8">
        <v>2032.5</v>
      </c>
    </row>
    <row r="444" spans="1:12" ht="23" customHeight="1">
      <c r="A444" s="6">
        <v>4</v>
      </c>
      <c r="B444" s="6">
        <v>1</v>
      </c>
      <c r="C444" s="6">
        <v>113</v>
      </c>
      <c r="D444" s="6">
        <v>12</v>
      </c>
      <c r="E444" s="8">
        <v>672.8</v>
      </c>
      <c r="F444" s="8">
        <v>672.8</v>
      </c>
      <c r="G444" s="8">
        <v>672.8</v>
      </c>
      <c r="H444" s="8">
        <v>672.8</v>
      </c>
    </row>
    <row r="445" spans="1:12" ht="23" customHeight="1">
      <c r="A445" s="6">
        <v>4</v>
      </c>
      <c r="B445" s="6">
        <v>1</v>
      </c>
      <c r="C445" s="6">
        <v>114</v>
      </c>
      <c r="D445" s="6">
        <v>13</v>
      </c>
      <c r="E445" s="8">
        <v>672.8</v>
      </c>
      <c r="F445" s="8">
        <v>672.8</v>
      </c>
      <c r="G445" s="8">
        <v>672.8</v>
      </c>
      <c r="H445" s="8">
        <v>672.8</v>
      </c>
    </row>
    <row r="446" spans="1:12" ht="23" customHeight="1">
      <c r="A446" s="6">
        <v>4</v>
      </c>
      <c r="B446" s="6">
        <v>1</v>
      </c>
      <c r="C446" s="6">
        <v>115</v>
      </c>
      <c r="D446" s="6">
        <v>14</v>
      </c>
      <c r="E446" s="8">
        <v>672.8</v>
      </c>
      <c r="F446" s="8">
        <v>672.8</v>
      </c>
      <c r="G446" s="8">
        <v>672.8</v>
      </c>
      <c r="H446" s="8">
        <v>672.8</v>
      </c>
    </row>
    <row r="447" spans="1:12" ht="23" customHeight="1">
      <c r="A447" s="6">
        <v>4</v>
      </c>
      <c r="B447" s="6">
        <v>1</v>
      </c>
      <c r="C447" s="6">
        <v>116</v>
      </c>
      <c r="D447" s="6">
        <v>15</v>
      </c>
      <c r="E447" s="8">
        <v>672.8</v>
      </c>
      <c r="F447" s="8">
        <v>672.8</v>
      </c>
      <c r="G447" s="8">
        <v>672.8</v>
      </c>
      <c r="H447" s="8">
        <v>672.8</v>
      </c>
    </row>
    <row r="448" spans="1:12" ht="23" customHeight="1">
      <c r="A448" s="6">
        <v>4</v>
      </c>
      <c r="B448" s="6">
        <v>1</v>
      </c>
      <c r="C448" s="6">
        <v>117</v>
      </c>
      <c r="D448" s="6">
        <v>16</v>
      </c>
      <c r="E448" s="8">
        <v>672.8</v>
      </c>
      <c r="F448" s="8">
        <v>672.8</v>
      </c>
      <c r="G448" s="8">
        <v>672.8</v>
      </c>
      <c r="H448" s="8">
        <v>672.8</v>
      </c>
    </row>
    <row r="449" spans="1:12" ht="23" customHeight="1">
      <c r="A449" s="6">
        <v>4</v>
      </c>
      <c r="B449" s="6">
        <v>1</v>
      </c>
      <c r="C449" s="6">
        <v>118</v>
      </c>
      <c r="D449" s="6">
        <v>17</v>
      </c>
      <c r="E449" s="8">
        <v>672.8</v>
      </c>
      <c r="F449" s="8">
        <v>672.8</v>
      </c>
      <c r="G449" s="8">
        <v>672.8</v>
      </c>
      <c r="H449" s="8">
        <v>672.8</v>
      </c>
    </row>
    <row r="450" spans="1:12" ht="23" customHeight="1">
      <c r="A450" s="6">
        <v>4</v>
      </c>
      <c r="B450" s="6">
        <v>1</v>
      </c>
      <c r="C450" s="6">
        <v>119</v>
      </c>
      <c r="D450" s="6">
        <v>18</v>
      </c>
      <c r="E450" s="8">
        <v>672.8</v>
      </c>
      <c r="F450" s="8">
        <v>672.8</v>
      </c>
      <c r="G450" s="8">
        <v>672.8</v>
      </c>
      <c r="H450" s="8">
        <v>672.8</v>
      </c>
    </row>
    <row r="451" spans="1:12" ht="23" customHeight="1">
      <c r="A451" s="6">
        <v>4</v>
      </c>
      <c r="B451" s="6">
        <v>1</v>
      </c>
      <c r="C451" s="6">
        <v>120</v>
      </c>
      <c r="D451" s="6">
        <v>19</v>
      </c>
      <c r="E451" s="8">
        <v>672.8</v>
      </c>
      <c r="F451" s="8">
        <v>672.8</v>
      </c>
      <c r="G451" s="8">
        <v>672.8</v>
      </c>
      <c r="H451" s="8">
        <v>672.8</v>
      </c>
    </row>
    <row r="452" spans="1:12" ht="23" customHeight="1">
      <c r="A452" s="6">
        <v>4</v>
      </c>
      <c r="B452" s="6">
        <v>1</v>
      </c>
      <c r="C452" s="6">
        <v>121</v>
      </c>
      <c r="D452" s="6">
        <v>20</v>
      </c>
      <c r="E452" s="8">
        <v>232.9</v>
      </c>
      <c r="F452" s="8">
        <v>232.9</v>
      </c>
      <c r="G452" s="8">
        <v>232.9</v>
      </c>
      <c r="H452" s="8">
        <v>232.9</v>
      </c>
    </row>
    <row r="453" spans="1:12" ht="24" customHeight="1">
      <c r="A453" s="3" t="s">
        <v>353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36" customHeight="1">
      <c r="A454" s="4" t="s">
        <v>8</v>
      </c>
      <c r="B454" s="4" t="s">
        <v>9</v>
      </c>
      <c r="C454" s="4" t="s">
        <v>90</v>
      </c>
      <c r="D454" s="4" t="s">
        <v>91</v>
      </c>
      <c r="E454" s="4" t="s">
        <v>103</v>
      </c>
      <c r="F454" s="4" t="s">
        <v>104</v>
      </c>
      <c r="G454" s="4" t="s">
        <v>105</v>
      </c>
      <c r="H454" s="4" t="s">
        <v>106</v>
      </c>
    </row>
    <row r="455" spans="1:12" ht="23" customHeight="1">
      <c r="A455" s="6">
        <v>5</v>
      </c>
      <c r="B455" s="6">
        <v>2</v>
      </c>
      <c r="C455" s="6">
        <v>127</v>
      </c>
      <c r="D455" s="6">
        <v>21</v>
      </c>
      <c r="E455" s="8">
        <v>289.1</v>
      </c>
      <c r="F455" s="8">
        <v>289.1</v>
      </c>
      <c r="G455" s="8">
        <v>289.1</v>
      </c>
      <c r="H455" s="8">
        <v>289.1</v>
      </c>
    </row>
    <row r="456" spans="1:12" ht="23" customHeight="1">
      <c r="A456" s="6">
        <v>5</v>
      </c>
      <c r="B456" s="6">
        <v>2</v>
      </c>
      <c r="C456" s="6">
        <v>128</v>
      </c>
      <c r="D456" s="6">
        <v>22</v>
      </c>
      <c r="E456" s="8">
        <v>1223.3</v>
      </c>
      <c r="F456" s="8">
        <v>1223.3</v>
      </c>
      <c r="G456" s="8">
        <v>1223.3</v>
      </c>
      <c r="H456" s="8">
        <v>1223.3</v>
      </c>
    </row>
    <row r="457" spans="1:12" ht="23" customHeight="1">
      <c r="A457" s="6">
        <v>5</v>
      </c>
      <c r="B457" s="6">
        <v>2</v>
      </c>
      <c r="C457" s="6">
        <v>129</v>
      </c>
      <c r="D457" s="6">
        <v>23</v>
      </c>
      <c r="E457" s="8">
        <v>1196.2</v>
      </c>
      <c r="F457" s="8">
        <v>1196.2</v>
      </c>
      <c r="G457" s="8">
        <v>1196.2</v>
      </c>
      <c r="H457" s="8">
        <v>1196.2</v>
      </c>
    </row>
    <row r="458" spans="1:12" ht="23" customHeight="1">
      <c r="A458" s="6">
        <v>5</v>
      </c>
      <c r="B458" s="6">
        <v>2</v>
      </c>
      <c r="C458" s="6">
        <v>130</v>
      </c>
      <c r="D458" s="6">
        <v>24</v>
      </c>
      <c r="E458" s="7">
        <v>1542</v>
      </c>
      <c r="F458" s="7">
        <v>1542</v>
      </c>
      <c r="G458" s="7">
        <v>1542</v>
      </c>
      <c r="H458" s="7">
        <v>1542</v>
      </c>
    </row>
    <row r="459" spans="1:12" ht="23" customHeight="1">
      <c r="A459" s="6">
        <v>5</v>
      </c>
      <c r="B459" s="6">
        <v>2</v>
      </c>
      <c r="C459" s="6">
        <v>131</v>
      </c>
      <c r="D459" s="6">
        <v>25</v>
      </c>
      <c r="E459" s="7">
        <v>1835</v>
      </c>
      <c r="F459" s="7">
        <v>1835</v>
      </c>
      <c r="G459" s="7">
        <v>1835</v>
      </c>
      <c r="H459" s="7">
        <v>1835</v>
      </c>
    </row>
    <row r="460" spans="1:12" ht="23" customHeight="1">
      <c r="A460" s="6">
        <v>5</v>
      </c>
      <c r="B460" s="6">
        <v>2</v>
      </c>
      <c r="C460" s="6">
        <v>132</v>
      </c>
      <c r="D460" s="6">
        <v>26</v>
      </c>
      <c r="E460" s="7">
        <v>1835</v>
      </c>
      <c r="F460" s="7">
        <v>1835</v>
      </c>
      <c r="G460" s="7">
        <v>1835</v>
      </c>
      <c r="H460" s="7">
        <v>1835</v>
      </c>
    </row>
    <row r="461" spans="1:12" ht="23" customHeight="1">
      <c r="A461" s="6">
        <v>5</v>
      </c>
      <c r="B461" s="6">
        <v>2</v>
      </c>
      <c r="C461" s="6">
        <v>133</v>
      </c>
      <c r="D461" s="6">
        <v>27</v>
      </c>
      <c r="E461" s="7">
        <v>1835</v>
      </c>
      <c r="F461" s="7">
        <v>1835</v>
      </c>
      <c r="G461" s="7">
        <v>1835</v>
      </c>
      <c r="H461" s="7">
        <v>1835</v>
      </c>
    </row>
    <row r="462" spans="1:12" ht="23" customHeight="1">
      <c r="A462" s="6">
        <v>5</v>
      </c>
      <c r="B462" s="6">
        <v>2</v>
      </c>
      <c r="C462" s="6">
        <v>134</v>
      </c>
      <c r="D462" s="6">
        <v>28</v>
      </c>
      <c r="E462" s="7">
        <v>1835</v>
      </c>
      <c r="F462" s="7">
        <v>1835</v>
      </c>
      <c r="G462" s="7">
        <v>1835</v>
      </c>
      <c r="H462" s="7">
        <v>1835</v>
      </c>
    </row>
    <row r="463" spans="1:12" ht="23" customHeight="1">
      <c r="A463" s="6">
        <v>5</v>
      </c>
      <c r="B463" s="6">
        <v>2</v>
      </c>
      <c r="C463" s="6">
        <v>135</v>
      </c>
      <c r="D463" s="6">
        <v>29</v>
      </c>
      <c r="E463" s="7">
        <v>1835</v>
      </c>
      <c r="F463" s="7">
        <v>1835</v>
      </c>
      <c r="G463" s="7">
        <v>1835</v>
      </c>
      <c r="H463" s="7">
        <v>1835</v>
      </c>
    </row>
    <row r="464" spans="1:12" ht="23" customHeight="1">
      <c r="A464" s="6">
        <v>5</v>
      </c>
      <c r="B464" s="6">
        <v>2</v>
      </c>
      <c r="C464" s="6">
        <v>136</v>
      </c>
      <c r="D464" s="6">
        <v>30</v>
      </c>
      <c r="E464" s="7">
        <v>1835</v>
      </c>
      <c r="F464" s="7">
        <v>1835</v>
      </c>
      <c r="G464" s="7">
        <v>1835</v>
      </c>
      <c r="H464" s="7">
        <v>1835</v>
      </c>
    </row>
    <row r="465" spans="1:12" ht="23" customHeight="1">
      <c r="A465" s="6">
        <v>5</v>
      </c>
      <c r="B465" s="6">
        <v>2</v>
      </c>
      <c r="C465" s="6">
        <v>137</v>
      </c>
      <c r="D465" s="6">
        <v>31</v>
      </c>
      <c r="E465" s="7">
        <v>1355</v>
      </c>
      <c r="F465" s="7">
        <v>1355</v>
      </c>
      <c r="G465" s="7">
        <v>1355</v>
      </c>
      <c r="H465" s="7">
        <v>1355</v>
      </c>
    </row>
    <row r="466" spans="1:12" ht="23" customHeight="1">
      <c r="A466" s="6">
        <v>5</v>
      </c>
      <c r="B466" s="6">
        <v>2</v>
      </c>
      <c r="C466" s="6">
        <v>138</v>
      </c>
      <c r="D466" s="6">
        <v>32</v>
      </c>
      <c r="E466" s="8">
        <v>448.5</v>
      </c>
      <c r="F466" s="8">
        <v>448.5</v>
      </c>
      <c r="G466" s="8">
        <v>448.5</v>
      </c>
      <c r="H466" s="8">
        <v>448.5</v>
      </c>
    </row>
    <row r="467" spans="1:12" ht="23" customHeight="1">
      <c r="A467" s="6">
        <v>5</v>
      </c>
      <c r="B467" s="6">
        <v>2</v>
      </c>
      <c r="C467" s="6">
        <v>139</v>
      </c>
      <c r="D467" s="6">
        <v>33</v>
      </c>
      <c r="E467" s="8">
        <v>448.5</v>
      </c>
      <c r="F467" s="8">
        <v>448.5</v>
      </c>
      <c r="G467" s="8">
        <v>448.5</v>
      </c>
      <c r="H467" s="8">
        <v>448.5</v>
      </c>
    </row>
    <row r="468" spans="1:12" ht="23" customHeight="1">
      <c r="A468" s="6">
        <v>5</v>
      </c>
      <c r="B468" s="6">
        <v>2</v>
      </c>
      <c r="C468" s="6">
        <v>140</v>
      </c>
      <c r="D468" s="6">
        <v>34</v>
      </c>
      <c r="E468" s="8">
        <v>448.5</v>
      </c>
      <c r="F468" s="8">
        <v>448.5</v>
      </c>
      <c r="G468" s="8">
        <v>448.5</v>
      </c>
      <c r="H468" s="8">
        <v>448.5</v>
      </c>
    </row>
    <row r="469" spans="1:12" ht="23" customHeight="1">
      <c r="A469" s="6">
        <v>5</v>
      </c>
      <c r="B469" s="6">
        <v>2</v>
      </c>
      <c r="C469" s="6">
        <v>141</v>
      </c>
      <c r="D469" s="6">
        <v>35</v>
      </c>
      <c r="E469" s="8">
        <v>448.5</v>
      </c>
      <c r="F469" s="8">
        <v>448.5</v>
      </c>
      <c r="G469" s="8">
        <v>448.5</v>
      </c>
      <c r="H469" s="8">
        <v>448.5</v>
      </c>
    </row>
    <row r="470" spans="1:12" ht="24" customHeight="1">
      <c r="A470" s="3" t="s">
        <v>353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36" customHeight="1">
      <c r="A471" s="4" t="s">
        <v>8</v>
      </c>
      <c r="B471" s="4" t="s">
        <v>9</v>
      </c>
      <c r="C471" s="4" t="s">
        <v>90</v>
      </c>
      <c r="D471" s="4" t="s">
        <v>91</v>
      </c>
      <c r="E471" s="4" t="s">
        <v>103</v>
      </c>
      <c r="F471" s="4" t="s">
        <v>104</v>
      </c>
      <c r="G471" s="4" t="s">
        <v>105</v>
      </c>
      <c r="H471" s="4" t="s">
        <v>106</v>
      </c>
    </row>
    <row r="472" spans="1:12" ht="23" customHeight="1">
      <c r="A472" s="6">
        <v>5</v>
      </c>
      <c r="B472" s="6">
        <v>2</v>
      </c>
      <c r="C472" s="6">
        <v>142</v>
      </c>
      <c r="D472" s="6">
        <v>36</v>
      </c>
      <c r="E472" s="8">
        <v>448.5</v>
      </c>
      <c r="F472" s="8">
        <v>448.5</v>
      </c>
      <c r="G472" s="8">
        <v>448.5</v>
      </c>
      <c r="H472" s="8">
        <v>448.5</v>
      </c>
    </row>
    <row r="473" spans="1:12" ht="23" customHeight="1">
      <c r="A473" s="6">
        <v>5</v>
      </c>
      <c r="B473" s="6">
        <v>2</v>
      </c>
      <c r="C473" s="6">
        <v>143</v>
      </c>
      <c r="D473" s="6">
        <v>37</v>
      </c>
      <c r="E473" s="8">
        <v>448.5</v>
      </c>
      <c r="F473" s="8">
        <v>448.5</v>
      </c>
      <c r="G473" s="8">
        <v>448.5</v>
      </c>
      <c r="H473" s="8">
        <v>448.5</v>
      </c>
    </row>
    <row r="474" spans="1:12" ht="23" customHeight="1">
      <c r="A474" s="6">
        <v>5</v>
      </c>
      <c r="B474" s="6">
        <v>2</v>
      </c>
      <c r="C474" s="6">
        <v>144</v>
      </c>
      <c r="D474" s="6">
        <v>38</v>
      </c>
      <c r="E474" s="8">
        <v>448.5</v>
      </c>
      <c r="F474" s="8">
        <v>448.5</v>
      </c>
      <c r="G474" s="8">
        <v>448.5</v>
      </c>
      <c r="H474" s="8">
        <v>448.5</v>
      </c>
    </row>
    <row r="475" spans="1:12" ht="23" customHeight="1">
      <c r="A475" s="6">
        <v>5</v>
      </c>
      <c r="B475" s="6">
        <v>2</v>
      </c>
      <c r="C475" s="6">
        <v>145</v>
      </c>
      <c r="D475" s="6">
        <v>39</v>
      </c>
      <c r="E475" s="8">
        <v>448.5</v>
      </c>
      <c r="F475" s="8">
        <v>448.5</v>
      </c>
      <c r="G475" s="8">
        <v>448.5</v>
      </c>
      <c r="H475" s="8">
        <v>448.5</v>
      </c>
    </row>
    <row r="476" spans="1:12" ht="23" customHeight="1">
      <c r="A476" s="6">
        <v>5</v>
      </c>
      <c r="B476" s="6">
        <v>2</v>
      </c>
      <c r="C476" s="6">
        <v>146</v>
      </c>
      <c r="D476" s="6">
        <v>40</v>
      </c>
      <c r="E476" s="8">
        <v>155.3</v>
      </c>
      <c r="F476" s="8">
        <v>155.3</v>
      </c>
      <c r="G476" s="8">
        <v>155.3</v>
      </c>
      <c r="H476" s="8">
        <v>155.3</v>
      </c>
    </row>
    <row r="477" spans="1:12" ht="23" customHeight="1">
      <c r="A477" s="6">
        <v>6</v>
      </c>
      <c r="B477" s="6">
        <v>3</v>
      </c>
      <c r="C477" s="6">
        <v>152</v>
      </c>
      <c r="D477" s="6">
        <v>41</v>
      </c>
      <c r="E477" s="8">
        <v>433.8</v>
      </c>
      <c r="F477" s="8">
        <v>433.8</v>
      </c>
      <c r="G477" s="8">
        <v>433.8</v>
      </c>
      <c r="H477" s="8">
        <v>433.8</v>
      </c>
    </row>
    <row r="478" spans="1:12" ht="23" customHeight="1">
      <c r="A478" s="6">
        <v>6</v>
      </c>
      <c r="B478" s="6">
        <v>3</v>
      </c>
      <c r="C478" s="6">
        <v>153</v>
      </c>
      <c r="D478" s="6">
        <v>42</v>
      </c>
      <c r="E478" s="7">
        <v>1835</v>
      </c>
      <c r="F478" s="7">
        <v>1835</v>
      </c>
      <c r="G478" s="7">
        <v>1835</v>
      </c>
      <c r="H478" s="7">
        <v>1835</v>
      </c>
    </row>
    <row r="479" spans="1:12" ht="23" customHeight="1">
      <c r="A479" s="6">
        <v>6</v>
      </c>
      <c r="B479" s="6">
        <v>3</v>
      </c>
      <c r="C479" s="6">
        <v>154</v>
      </c>
      <c r="D479" s="6">
        <v>43</v>
      </c>
      <c r="E479" s="8">
        <v>1794.4</v>
      </c>
      <c r="F479" s="8">
        <v>1794.4</v>
      </c>
      <c r="G479" s="8">
        <v>1794.4</v>
      </c>
      <c r="H479" s="8">
        <v>1794.4</v>
      </c>
    </row>
    <row r="480" spans="1:12" ht="23" customHeight="1">
      <c r="A480" s="6">
        <v>6</v>
      </c>
      <c r="B480" s="6">
        <v>3</v>
      </c>
      <c r="C480" s="6">
        <v>155</v>
      </c>
      <c r="D480" s="6">
        <v>44</v>
      </c>
      <c r="E480" s="7">
        <v>2313</v>
      </c>
      <c r="F480" s="7">
        <v>2313</v>
      </c>
      <c r="G480" s="7">
        <v>2313</v>
      </c>
      <c r="H480" s="7">
        <v>2313</v>
      </c>
    </row>
    <row r="481" spans="1:12" ht="23" customHeight="1">
      <c r="A481" s="6">
        <v>6</v>
      </c>
      <c r="B481" s="6">
        <v>3</v>
      </c>
      <c r="C481" s="6">
        <v>156</v>
      </c>
      <c r="D481" s="6">
        <v>45</v>
      </c>
      <c r="E481" s="8">
        <v>2752.4</v>
      </c>
      <c r="F481" s="8">
        <v>2752.4</v>
      </c>
      <c r="G481" s="8">
        <v>2752.4</v>
      </c>
      <c r="H481" s="8">
        <v>2752.4</v>
      </c>
    </row>
    <row r="482" spans="1:12" ht="23" customHeight="1">
      <c r="A482" s="6">
        <v>6</v>
      </c>
      <c r="B482" s="6">
        <v>3</v>
      </c>
      <c r="C482" s="6">
        <v>157</v>
      </c>
      <c r="D482" s="6">
        <v>46</v>
      </c>
      <c r="E482" s="8">
        <v>2752.4</v>
      </c>
      <c r="F482" s="8">
        <v>2752.4</v>
      </c>
      <c r="G482" s="8">
        <v>2752.4</v>
      </c>
      <c r="H482" s="8">
        <v>2752.4</v>
      </c>
    </row>
    <row r="483" spans="1:12" ht="23" customHeight="1">
      <c r="A483" s="6">
        <v>6</v>
      </c>
      <c r="B483" s="6">
        <v>3</v>
      </c>
      <c r="C483" s="6">
        <v>158</v>
      </c>
      <c r="D483" s="6">
        <v>47</v>
      </c>
      <c r="E483" s="8">
        <v>2752.4</v>
      </c>
      <c r="F483" s="8">
        <v>2752.4</v>
      </c>
      <c r="G483" s="8">
        <v>2752.4</v>
      </c>
      <c r="H483" s="8">
        <v>2752.4</v>
      </c>
    </row>
    <row r="484" spans="1:12" ht="23" customHeight="1">
      <c r="A484" s="6">
        <v>6</v>
      </c>
      <c r="B484" s="6">
        <v>3</v>
      </c>
      <c r="C484" s="6">
        <v>159</v>
      </c>
      <c r="D484" s="6">
        <v>48</v>
      </c>
      <c r="E484" s="8">
        <v>2752.4</v>
      </c>
      <c r="F484" s="8">
        <v>2752.4</v>
      </c>
      <c r="G484" s="8">
        <v>2752.4</v>
      </c>
      <c r="H484" s="8">
        <v>2752.4</v>
      </c>
    </row>
    <row r="485" spans="1:12" ht="23" customHeight="1">
      <c r="A485" s="6">
        <v>6</v>
      </c>
      <c r="B485" s="6">
        <v>3</v>
      </c>
      <c r="C485" s="6">
        <v>160</v>
      </c>
      <c r="D485" s="6">
        <v>49</v>
      </c>
      <c r="E485" s="8">
        <v>2752.4</v>
      </c>
      <c r="F485" s="8">
        <v>2752.4</v>
      </c>
      <c r="G485" s="8">
        <v>2752.4</v>
      </c>
      <c r="H485" s="8">
        <v>2752.4</v>
      </c>
    </row>
    <row r="486" spans="1:12" ht="23" customHeight="1">
      <c r="A486" s="6">
        <v>6</v>
      </c>
      <c r="B486" s="6">
        <v>3</v>
      </c>
      <c r="C486" s="6">
        <v>161</v>
      </c>
      <c r="D486" s="6">
        <v>50</v>
      </c>
      <c r="E486" s="8">
        <v>2752.4</v>
      </c>
      <c r="F486" s="8">
        <v>2752.4</v>
      </c>
      <c r="G486" s="8">
        <v>2752.4</v>
      </c>
      <c r="H486" s="8">
        <v>2752.4</v>
      </c>
    </row>
    <row r="487" spans="1:12" ht="24" customHeight="1">
      <c r="A487" s="3" t="s">
        <v>353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36" customHeight="1">
      <c r="A488" s="4" t="s">
        <v>8</v>
      </c>
      <c r="B488" s="4" t="s">
        <v>9</v>
      </c>
      <c r="C488" s="4" t="s">
        <v>90</v>
      </c>
      <c r="D488" s="4" t="s">
        <v>91</v>
      </c>
      <c r="E488" s="4" t="s">
        <v>103</v>
      </c>
      <c r="F488" s="4" t="s">
        <v>104</v>
      </c>
      <c r="G488" s="4" t="s">
        <v>105</v>
      </c>
      <c r="H488" s="4" t="s">
        <v>106</v>
      </c>
    </row>
    <row r="489" spans="1:12" ht="23" customHeight="1">
      <c r="A489" s="6">
        <v>6</v>
      </c>
      <c r="B489" s="6">
        <v>3</v>
      </c>
      <c r="C489" s="6">
        <v>162</v>
      </c>
      <c r="D489" s="6">
        <v>51</v>
      </c>
      <c r="E489" s="8">
        <v>2032.5</v>
      </c>
      <c r="F489" s="8">
        <v>2032.5</v>
      </c>
      <c r="G489" s="8">
        <v>2032.5</v>
      </c>
      <c r="H489" s="8">
        <v>2032.5</v>
      </c>
    </row>
    <row r="490" spans="1:12" ht="23" customHeight="1">
      <c r="A490" s="6">
        <v>6</v>
      </c>
      <c r="B490" s="6">
        <v>3</v>
      </c>
      <c r="C490" s="6">
        <v>163</v>
      </c>
      <c r="D490" s="6">
        <v>52</v>
      </c>
      <c r="E490" s="8">
        <v>672.8</v>
      </c>
      <c r="F490" s="8">
        <v>672.8</v>
      </c>
      <c r="G490" s="8">
        <v>672.8</v>
      </c>
      <c r="H490" s="8">
        <v>672.8</v>
      </c>
    </row>
    <row r="491" spans="1:12" ht="23" customHeight="1">
      <c r="A491" s="6">
        <v>6</v>
      </c>
      <c r="B491" s="6">
        <v>3</v>
      </c>
      <c r="C491" s="6">
        <v>164</v>
      </c>
      <c r="D491" s="6">
        <v>53</v>
      </c>
      <c r="E491" s="8">
        <v>672.8</v>
      </c>
      <c r="F491" s="8">
        <v>672.8</v>
      </c>
      <c r="G491" s="8">
        <v>672.8</v>
      </c>
      <c r="H491" s="8">
        <v>672.8</v>
      </c>
    </row>
    <row r="492" spans="1:12" ht="23" customHeight="1">
      <c r="A492" s="6">
        <v>6</v>
      </c>
      <c r="B492" s="6">
        <v>3</v>
      </c>
      <c r="C492" s="6">
        <v>165</v>
      </c>
      <c r="D492" s="6">
        <v>54</v>
      </c>
      <c r="E492" s="8">
        <v>672.8</v>
      </c>
      <c r="F492" s="8">
        <v>672.8</v>
      </c>
      <c r="G492" s="8">
        <v>672.8</v>
      </c>
      <c r="H492" s="8">
        <v>672.8</v>
      </c>
    </row>
    <row r="493" spans="1:12" ht="23" customHeight="1">
      <c r="A493" s="6">
        <v>6</v>
      </c>
      <c r="B493" s="6">
        <v>3</v>
      </c>
      <c r="C493" s="6">
        <v>166</v>
      </c>
      <c r="D493" s="6">
        <v>55</v>
      </c>
      <c r="E493" s="8">
        <v>672.8</v>
      </c>
      <c r="F493" s="8">
        <v>672.8</v>
      </c>
      <c r="G493" s="8">
        <v>672.8</v>
      </c>
      <c r="H493" s="8">
        <v>672.8</v>
      </c>
    </row>
    <row r="494" spans="1:12" ht="23" customHeight="1">
      <c r="A494" s="6">
        <v>6</v>
      </c>
      <c r="B494" s="6">
        <v>3</v>
      </c>
      <c r="C494" s="6">
        <v>167</v>
      </c>
      <c r="D494" s="6">
        <v>56</v>
      </c>
      <c r="E494" s="8">
        <v>672.8</v>
      </c>
      <c r="F494" s="8">
        <v>672.8</v>
      </c>
      <c r="G494" s="8">
        <v>672.8</v>
      </c>
      <c r="H494" s="8">
        <v>672.8</v>
      </c>
    </row>
    <row r="495" spans="1:12" ht="23" customHeight="1">
      <c r="A495" s="6">
        <v>6</v>
      </c>
      <c r="B495" s="6">
        <v>3</v>
      </c>
      <c r="C495" s="6">
        <v>168</v>
      </c>
      <c r="D495" s="6">
        <v>57</v>
      </c>
      <c r="E495" s="8">
        <v>672.8</v>
      </c>
      <c r="F495" s="8">
        <v>672.8</v>
      </c>
      <c r="G495" s="8">
        <v>672.8</v>
      </c>
      <c r="H495" s="8">
        <v>672.8</v>
      </c>
    </row>
    <row r="496" spans="1:12" ht="23" customHeight="1">
      <c r="A496" s="6">
        <v>6</v>
      </c>
      <c r="B496" s="6">
        <v>3</v>
      </c>
      <c r="C496" s="6">
        <v>169</v>
      </c>
      <c r="D496" s="6">
        <v>58</v>
      </c>
      <c r="E496" s="8">
        <v>672.8</v>
      </c>
      <c r="F496" s="8">
        <v>672.8</v>
      </c>
      <c r="G496" s="8">
        <v>672.8</v>
      </c>
      <c r="H496" s="8">
        <v>672.8</v>
      </c>
    </row>
    <row r="497" spans="1:12" ht="23" customHeight="1">
      <c r="A497" s="6">
        <v>6</v>
      </c>
      <c r="B497" s="6">
        <v>3</v>
      </c>
      <c r="C497" s="6">
        <v>170</v>
      </c>
      <c r="D497" s="6">
        <v>59</v>
      </c>
      <c r="E497" s="8">
        <v>672.8</v>
      </c>
      <c r="F497" s="8">
        <v>672.8</v>
      </c>
      <c r="G497" s="8">
        <v>672.8</v>
      </c>
      <c r="H497" s="8">
        <v>672.8</v>
      </c>
    </row>
    <row r="498" spans="1:12" ht="23" customHeight="1">
      <c r="A498" s="6">
        <v>6</v>
      </c>
      <c r="B498" s="6">
        <v>3</v>
      </c>
      <c r="C498" s="6">
        <v>171</v>
      </c>
      <c r="D498" s="6">
        <v>60</v>
      </c>
      <c r="E498" s="8">
        <v>232.9</v>
      </c>
      <c r="F498" s="8">
        <v>232.9</v>
      </c>
      <c r="G498" s="8">
        <v>232.9</v>
      </c>
      <c r="H498" s="8">
        <v>232.9</v>
      </c>
    </row>
    <row r="499" spans="1:12" ht="23" customHeight="1"/>
    <row r="500" spans="1:12" ht="24" customHeight="1">
      <c r="A500" s="3" t="s">
        <v>162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36" customHeight="1">
      <c r="A501" s="4" t="s">
        <v>8</v>
      </c>
      <c r="B501" s="4" t="s">
        <v>109</v>
      </c>
      <c r="C501" s="4" t="s">
        <v>163</v>
      </c>
      <c r="D501" s="4" t="s">
        <v>164</v>
      </c>
    </row>
    <row r="502" spans="1:12" ht="24" customHeight="1">
      <c r="A502" s="2" t="s">
        <v>354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4" customHeight="1">
      <c r="A503" s="3" t="s">
        <v>162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36" customHeight="1">
      <c r="A504" s="4" t="s">
        <v>8</v>
      </c>
      <c r="B504" s="4" t="s">
        <v>109</v>
      </c>
      <c r="C504" s="4" t="s">
        <v>163</v>
      </c>
      <c r="D504" s="4" t="s">
        <v>164</v>
      </c>
    </row>
    <row r="505" spans="1:12" ht="24" customHeight="1">
      <c r="A505" s="2" t="s">
        <v>355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4" customHeight="1">
      <c r="A506" s="2" t="s">
        <v>356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4" customHeight="1">
      <c r="A507" s="2" t="s">
        <v>357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4" customHeight="1">
      <c r="A508" s="2" t="s">
        <v>358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4" customHeight="1">
      <c r="A509" s="2" t="s">
        <v>359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4" customHeight="1">
      <c r="A510" s="2" t="s">
        <v>360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4" customHeight="1">
      <c r="A511" s="2" t="s">
        <v>361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4" customHeight="1">
      <c r="A512" s="2" t="s">
        <v>362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4" customHeight="1">
      <c r="A513" s="2" t="s">
        <v>363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4" customHeight="1">
      <c r="A514" s="2" t="s">
        <v>364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4" customHeight="1">
      <c r="A515" s="2" t="s">
        <v>365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4" customHeight="1">
      <c r="A516" s="2" t="s">
        <v>366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4" customHeight="1">
      <c r="A517" s="2" t="s">
        <v>367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4" customHeight="1">
      <c r="A518" s="2" t="s">
        <v>368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4" customHeight="1">
      <c r="A519" s="3" t="s">
        <v>162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36" customHeight="1">
      <c r="A520" s="4" t="s">
        <v>8</v>
      </c>
      <c r="B520" s="4" t="s">
        <v>109</v>
      </c>
      <c r="C520" s="4" t="s">
        <v>163</v>
      </c>
      <c r="D520" s="4" t="s">
        <v>164</v>
      </c>
    </row>
    <row r="521" spans="1:12" ht="24" customHeight="1">
      <c r="A521" s="2" t="s">
        <v>369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4" customHeight="1">
      <c r="A522" s="2" t="s">
        <v>370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4" customHeight="1">
      <c r="A523" s="2" t="s">
        <v>371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4" customHeight="1">
      <c r="A524" s="2" t="s">
        <v>372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4" customHeight="1">
      <c r="A525" s="2" t="s">
        <v>373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4" customHeight="1">
      <c r="A526" s="2" t="s">
        <v>374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4" customHeight="1">
      <c r="A527" s="2" t="s">
        <v>375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4" customHeight="1">
      <c r="A528" s="2" t="s">
        <v>376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4" customHeight="1">
      <c r="A529" s="2" t="s">
        <v>377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4" customHeight="1">
      <c r="A530" s="2" t="s">
        <v>378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4" customHeight="1">
      <c r="A531" s="2" t="s">
        <v>379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4" customHeight="1">
      <c r="A532" s="2" t="s">
        <v>380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4" customHeight="1">
      <c r="A533" s="2" t="s">
        <v>381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4" customHeight="1">
      <c r="A534" s="2" t="s">
        <v>382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4" customHeight="1">
      <c r="A535" s="3" t="s">
        <v>162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36" customHeight="1">
      <c r="A536" s="4" t="s">
        <v>8</v>
      </c>
      <c r="B536" s="4" t="s">
        <v>109</v>
      </c>
      <c r="C536" s="4" t="s">
        <v>163</v>
      </c>
      <c r="D536" s="4" t="s">
        <v>164</v>
      </c>
    </row>
    <row r="537" spans="1:12" ht="24" customHeight="1">
      <c r="A537" s="2" t="s">
        <v>383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4" customHeight="1">
      <c r="A538" s="2" t="s">
        <v>384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4" customHeight="1">
      <c r="A539" s="2" t="s">
        <v>385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4" customHeight="1">
      <c r="A540" s="2" t="s">
        <v>386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4" customHeight="1">
      <c r="A541" s="2" t="s">
        <v>387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4" customHeight="1">
      <c r="A542" s="2" t="s">
        <v>388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4" customHeight="1">
      <c r="A543" s="2" t="s">
        <v>389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4" customHeight="1">
      <c r="A544" s="2" t="s">
        <v>390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4" customHeight="1">
      <c r="A545" s="2" t="s">
        <v>391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4" customHeight="1">
      <c r="A546" s="2" t="s">
        <v>392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4" customHeight="1">
      <c r="A547" s="2" t="s">
        <v>393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4" customHeight="1">
      <c r="A548" s="2" t="s">
        <v>394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4" customHeight="1">
      <c r="A549" s="2" t="s">
        <v>395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4" customHeight="1">
      <c r="A550" s="2" t="s">
        <v>396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24" customHeight="1">
      <c r="A551" s="3" t="s">
        <v>162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36" customHeight="1">
      <c r="A552" s="4" t="s">
        <v>8</v>
      </c>
      <c r="B552" s="4" t="s">
        <v>109</v>
      </c>
      <c r="C552" s="4" t="s">
        <v>163</v>
      </c>
      <c r="D552" s="4" t="s">
        <v>164</v>
      </c>
    </row>
    <row r="553" spans="1:12" ht="24" customHeight="1">
      <c r="A553" s="2" t="s">
        <v>397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24" customHeight="1">
      <c r="A554" s="2" t="s">
        <v>398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24" customHeight="1">
      <c r="A555" s="2" t="s">
        <v>399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24" customHeight="1">
      <c r="A556" s="2" t="s">
        <v>400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24" customHeight="1">
      <c r="A557" s="2" t="s">
        <v>401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24" customHeight="1">
      <c r="A558" s="2" t="s">
        <v>402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24" customHeight="1">
      <c r="A559" s="2" t="s">
        <v>403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24" customHeight="1">
      <c r="A560" s="2" t="s">
        <v>404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24" customHeight="1">
      <c r="A561" s="2" t="s">
        <v>405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24" customHeight="1">
      <c r="A562" s="2" t="s">
        <v>406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24" customHeight="1">
      <c r="A563" s="2" t="s">
        <v>407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24" customHeight="1">
      <c r="A564" s="2" t="s">
        <v>408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24" customHeight="1">
      <c r="A565" s="2" t="s">
        <v>409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24" customHeight="1">
      <c r="A566" s="2" t="s">
        <v>410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24" customHeight="1">
      <c r="A567" s="3" t="s">
        <v>162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36" customHeight="1">
      <c r="A568" s="4" t="s">
        <v>8</v>
      </c>
      <c r="B568" s="4" t="s">
        <v>109</v>
      </c>
      <c r="C568" s="4" t="s">
        <v>163</v>
      </c>
      <c r="D568" s="4" t="s">
        <v>164</v>
      </c>
    </row>
    <row r="569" spans="1:12" ht="24" customHeight="1">
      <c r="A569" s="2" t="s">
        <v>411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24" customHeight="1">
      <c r="A570" s="2" t="s">
        <v>412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24" customHeight="1">
      <c r="A571" s="2" t="s">
        <v>413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24" customHeight="1">
      <c r="A572" s="2" t="s">
        <v>414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24" customHeight="1">
      <c r="A573" s="2" t="s">
        <v>415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24" customHeight="1">
      <c r="A574" s="2" t="s">
        <v>416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24" customHeight="1">
      <c r="A575" s="2" t="s">
        <v>417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24" customHeight="1">
      <c r="A576" s="2" t="s">
        <v>418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24" customHeight="1">
      <c r="A577" s="2" t="s">
        <v>419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24" customHeight="1">
      <c r="A578" s="2" t="s">
        <v>420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24" customHeight="1">
      <c r="A579" s="2" t="s">
        <v>421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24" customHeight="1">
      <c r="A580" s="2" t="s">
        <v>422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24" customHeight="1">
      <c r="A581" s="2" t="s">
        <v>423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24" customHeight="1">
      <c r="A582" s="2" t="s">
        <v>424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24" customHeight="1">
      <c r="A583" s="3" t="s">
        <v>162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36" customHeight="1">
      <c r="A584" s="4" t="s">
        <v>8</v>
      </c>
      <c r="B584" s="4" t="s">
        <v>109</v>
      </c>
      <c r="C584" s="4" t="s">
        <v>163</v>
      </c>
      <c r="D584" s="4" t="s">
        <v>164</v>
      </c>
    </row>
    <row r="585" spans="1:12" ht="24" customHeight="1">
      <c r="A585" s="2" t="s">
        <v>425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24" customHeight="1">
      <c r="A586" s="2" t="s">
        <v>426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24" customHeight="1">
      <c r="A587" s="2" t="s">
        <v>427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24" customHeight="1">
      <c r="A588" s="2" t="s">
        <v>428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24" customHeight="1">
      <c r="A589" s="2" t="s">
        <v>429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24" customHeight="1">
      <c r="A590" s="2" t="s">
        <v>430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24" customHeight="1">
      <c r="A591" s="2" t="s">
        <v>431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24" customHeight="1">
      <c r="A592" s="2" t="s">
        <v>432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24" customHeight="1">
      <c r="A593" s="2" t="s">
        <v>433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24" customHeight="1">
      <c r="A594" s="2" t="s">
        <v>434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24" customHeight="1">
      <c r="A595" s="2" t="s">
        <v>435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24" customHeight="1">
      <c r="A596" s="2" t="s">
        <v>436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24" customHeight="1">
      <c r="A597" s="2" t="s">
        <v>437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24" customHeight="1">
      <c r="A598" s="2" t="s">
        <v>438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24" customHeight="1">
      <c r="A599" s="3" t="s">
        <v>162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36" customHeight="1">
      <c r="A600" s="4" t="s">
        <v>8</v>
      </c>
      <c r="B600" s="4" t="s">
        <v>109</v>
      </c>
      <c r="C600" s="4" t="s">
        <v>163</v>
      </c>
      <c r="D600" s="4" t="s">
        <v>164</v>
      </c>
    </row>
    <row r="601" spans="1:12" ht="24" customHeight="1">
      <c r="A601" s="2" t="s">
        <v>439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24" customHeight="1">
      <c r="A602" s="2" t="s">
        <v>440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24" customHeight="1">
      <c r="A603" s="2" t="s">
        <v>441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24" customHeight="1">
      <c r="A604" s="2" t="s">
        <v>442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4" customHeight="1">
      <c r="A605" s="2" t="s">
        <v>443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24" customHeight="1">
      <c r="A606" s="2" t="s">
        <v>444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24" customHeight="1">
      <c r="A607" s="2" t="s">
        <v>445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24" customHeight="1">
      <c r="A608" s="2" t="s">
        <v>446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24" customHeight="1">
      <c r="A609" s="2" t="s">
        <v>447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24" customHeight="1">
      <c r="A610" s="2" t="s">
        <v>448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24" customHeight="1">
      <c r="A611" s="2" t="s">
        <v>449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24" customHeight="1">
      <c r="A612" s="2" t="s">
        <v>450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24" customHeight="1">
      <c r="A613" s="2" t="s">
        <v>451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24" customHeight="1">
      <c r="A614" s="2" t="s">
        <v>452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24" customHeight="1">
      <c r="A615" s="3" t="s">
        <v>162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8</v>
      </c>
      <c r="B616" s="4" t="s">
        <v>109</v>
      </c>
      <c r="C616" s="4" t="s">
        <v>163</v>
      </c>
      <c r="D616" s="4" t="s">
        <v>164</v>
      </c>
    </row>
    <row r="617" spans="1:12" ht="24" customHeight="1">
      <c r="A617" s="2" t="s">
        <v>453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24" customHeight="1">
      <c r="A618" s="2" t="s">
        <v>454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24" customHeight="1">
      <c r="A619" s="2" t="s">
        <v>455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24" customHeight="1">
      <c r="A620" s="2" t="s">
        <v>456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457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458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2" t="s">
        <v>459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24" customHeight="1">
      <c r="A624" s="2" t="s">
        <v>460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24" customHeight="1">
      <c r="A625" s="2" t="s">
        <v>461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24" customHeight="1">
      <c r="A626" s="2" t="s">
        <v>462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463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464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465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466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3" t="s">
        <v>162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36" customHeight="1">
      <c r="A632" s="4" t="s">
        <v>8</v>
      </c>
      <c r="B632" s="4" t="s">
        <v>109</v>
      </c>
      <c r="C632" s="4" t="s">
        <v>163</v>
      </c>
      <c r="D632" s="4" t="s">
        <v>164</v>
      </c>
    </row>
    <row r="633" spans="1:12" ht="24" customHeight="1">
      <c r="A633" s="2" t="s">
        <v>467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468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469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470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471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472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2" t="s">
        <v>473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</sheetData>
  <mergeCells count="184">
    <mergeCell ref="A1:L1"/>
    <mergeCell ref="A2:L2"/>
    <mergeCell ref="A3:L3"/>
    <mergeCell ref="A5:L5"/>
    <mergeCell ref="A7:L7"/>
    <mergeCell ref="A22:L22"/>
    <mergeCell ref="A39:L39"/>
    <mergeCell ref="A56:L56"/>
    <mergeCell ref="A73:L73"/>
    <mergeCell ref="A78:L78"/>
    <mergeCell ref="A82:L82"/>
    <mergeCell ref="A89:L89"/>
    <mergeCell ref="A106:L106"/>
    <mergeCell ref="A123:L123"/>
    <mergeCell ref="A140:L140"/>
    <mergeCell ref="A153:L153"/>
    <mergeCell ref="A156:L156"/>
    <mergeCell ref="A173:L173"/>
    <mergeCell ref="A190:L190"/>
    <mergeCell ref="A207:L207"/>
    <mergeCell ref="A224:L224"/>
    <mergeCell ref="A238:L238"/>
    <mergeCell ref="A255:L255"/>
    <mergeCell ref="A272:L272"/>
    <mergeCell ref="A289:L289"/>
    <mergeCell ref="A306:L306"/>
    <mergeCell ref="A321:L321"/>
    <mergeCell ref="A324:L324"/>
    <mergeCell ref="A326:L326"/>
    <mergeCell ref="A328:L328"/>
    <mergeCell ref="A330:L330"/>
    <mergeCell ref="A332:L332"/>
    <mergeCell ref="A334:L334"/>
    <mergeCell ref="A336:L336"/>
    <mergeCell ref="A337:L337"/>
    <mergeCell ref="A340:L340"/>
    <mergeCell ref="A342:L342"/>
    <mergeCell ref="A344:L344"/>
    <mergeCell ref="A346:L346"/>
    <mergeCell ref="A348:L348"/>
    <mergeCell ref="A350:L350"/>
    <mergeCell ref="A352:L352"/>
    <mergeCell ref="A353:L353"/>
    <mergeCell ref="A356:L356"/>
    <mergeCell ref="A358:L358"/>
    <mergeCell ref="A369:L369"/>
    <mergeCell ref="A386:L386"/>
    <mergeCell ref="A403:L403"/>
    <mergeCell ref="A420:L420"/>
    <mergeCell ref="A429:L429"/>
    <mergeCell ref="A436:L436"/>
    <mergeCell ref="A453:L453"/>
    <mergeCell ref="A470:L470"/>
    <mergeCell ref="A487:L487"/>
    <mergeCell ref="A500:L500"/>
    <mergeCell ref="A502:L502"/>
    <mergeCell ref="A503:L503"/>
    <mergeCell ref="A505:L505"/>
    <mergeCell ref="A506:L506"/>
    <mergeCell ref="A507:L507"/>
    <mergeCell ref="A508:L508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1:L521"/>
    <mergeCell ref="A522:L522"/>
    <mergeCell ref="A523:L523"/>
    <mergeCell ref="A524:L524"/>
    <mergeCell ref="A525:L525"/>
    <mergeCell ref="A526:L526"/>
    <mergeCell ref="A527:L527"/>
    <mergeCell ref="A528:L528"/>
    <mergeCell ref="A529:L529"/>
    <mergeCell ref="A530:L530"/>
    <mergeCell ref="A531:L531"/>
    <mergeCell ref="A532:L532"/>
    <mergeCell ref="A533:L533"/>
    <mergeCell ref="A534:L534"/>
    <mergeCell ref="A535:L535"/>
    <mergeCell ref="A537:L537"/>
    <mergeCell ref="A538:L538"/>
    <mergeCell ref="A539:L539"/>
    <mergeCell ref="A540:L540"/>
    <mergeCell ref="A541:L541"/>
    <mergeCell ref="A542:L542"/>
    <mergeCell ref="A543:L543"/>
    <mergeCell ref="A544:L544"/>
    <mergeCell ref="A545:L545"/>
    <mergeCell ref="A546:L546"/>
    <mergeCell ref="A547:L547"/>
    <mergeCell ref="A548:L548"/>
    <mergeCell ref="A549:L549"/>
    <mergeCell ref="A550:L550"/>
    <mergeCell ref="A551:L551"/>
    <mergeCell ref="A553:L553"/>
    <mergeCell ref="A554:L554"/>
    <mergeCell ref="A555:L555"/>
    <mergeCell ref="A556:L556"/>
    <mergeCell ref="A557:L557"/>
    <mergeCell ref="A558:L558"/>
    <mergeCell ref="A559:L559"/>
    <mergeCell ref="A560:L560"/>
    <mergeCell ref="A561:L561"/>
    <mergeCell ref="A562:L562"/>
    <mergeCell ref="A563:L563"/>
    <mergeCell ref="A564:L564"/>
    <mergeCell ref="A565:L565"/>
    <mergeCell ref="A566:L566"/>
    <mergeCell ref="A567:L567"/>
    <mergeCell ref="A569:L569"/>
    <mergeCell ref="A570:L570"/>
    <mergeCell ref="A571:L571"/>
    <mergeCell ref="A572:L572"/>
    <mergeCell ref="A573:L573"/>
    <mergeCell ref="A574:L574"/>
    <mergeCell ref="A575:L575"/>
    <mergeCell ref="A576:L576"/>
    <mergeCell ref="A577:L577"/>
    <mergeCell ref="A578:L578"/>
    <mergeCell ref="A579:L579"/>
    <mergeCell ref="A580:L580"/>
    <mergeCell ref="A581:L581"/>
    <mergeCell ref="A582:L582"/>
    <mergeCell ref="A583:L583"/>
    <mergeCell ref="A585:L585"/>
    <mergeCell ref="A586:L586"/>
    <mergeCell ref="A587:L587"/>
    <mergeCell ref="A588:L588"/>
    <mergeCell ref="A589:L589"/>
    <mergeCell ref="A590:L590"/>
    <mergeCell ref="A591:L591"/>
    <mergeCell ref="A592:L592"/>
    <mergeCell ref="A593:L593"/>
    <mergeCell ref="A594:L594"/>
    <mergeCell ref="A595:L595"/>
    <mergeCell ref="A596:L596"/>
    <mergeCell ref="A597:L597"/>
    <mergeCell ref="A598:L598"/>
    <mergeCell ref="A599:L599"/>
    <mergeCell ref="A601:L601"/>
    <mergeCell ref="A602:L602"/>
    <mergeCell ref="A603:L603"/>
    <mergeCell ref="A604:L604"/>
    <mergeCell ref="A605:L605"/>
    <mergeCell ref="A606:L606"/>
    <mergeCell ref="A607:L607"/>
    <mergeCell ref="A608:L608"/>
    <mergeCell ref="A609:L609"/>
    <mergeCell ref="A610:L610"/>
    <mergeCell ref="A611:L611"/>
    <mergeCell ref="A612:L612"/>
    <mergeCell ref="A613:L613"/>
    <mergeCell ref="A614:L614"/>
    <mergeCell ref="A615:L615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5:L625"/>
    <mergeCell ref="A626:L626"/>
    <mergeCell ref="A627:L627"/>
    <mergeCell ref="A628:L628"/>
    <mergeCell ref="A629:L629"/>
    <mergeCell ref="A630:L630"/>
    <mergeCell ref="A631:L631"/>
    <mergeCell ref="A633:L633"/>
    <mergeCell ref="A634:L634"/>
    <mergeCell ref="A635:L635"/>
    <mergeCell ref="A636:L636"/>
    <mergeCell ref="A637:L637"/>
    <mergeCell ref="A638:L638"/>
    <mergeCell ref="A639:L639"/>
  </mergeCells>
  <conditionalFormatting sqref="H10">
    <cfRule type="cellIs" dxfId="0" priority="3" operator="notEqual">
      <formula>0</formula>
    </cfRule>
  </conditionalFormatting>
  <conditionalFormatting sqref="H11">
    <cfRule type="cellIs" dxfId="0" priority="5" operator="notEqual">
      <formula>0</formula>
    </cfRule>
  </conditionalFormatting>
  <conditionalFormatting sqref="H12">
    <cfRule type="cellIs" dxfId="0" priority="7" operator="notEqual">
      <formula>0</formula>
    </cfRule>
  </conditionalFormatting>
  <conditionalFormatting sqref="H13">
    <cfRule type="cellIs" dxfId="0" priority="9" operator="notEqual">
      <formula>0</formula>
    </cfRule>
  </conditionalFormatting>
  <conditionalFormatting sqref="H14">
    <cfRule type="cellIs" dxfId="0" priority="11" operator="notEqual">
      <formula>0</formula>
    </cfRule>
  </conditionalFormatting>
  <conditionalFormatting sqref="H15">
    <cfRule type="cellIs" dxfId="0" priority="13" operator="notEqual">
      <formula>0</formula>
    </cfRule>
  </conditionalFormatting>
  <conditionalFormatting sqref="H16">
    <cfRule type="cellIs" dxfId="0" priority="15" operator="notEqual">
      <formula>0</formula>
    </cfRule>
  </conditionalFormatting>
  <conditionalFormatting sqref="H17">
    <cfRule type="cellIs" dxfId="0" priority="17" operator="notEqual">
      <formula>0</formula>
    </cfRule>
  </conditionalFormatting>
  <conditionalFormatting sqref="H18">
    <cfRule type="cellIs" dxfId="0" priority="19" operator="notEqual">
      <formula>0</formula>
    </cfRule>
  </conditionalFormatting>
  <conditionalFormatting sqref="H19">
    <cfRule type="cellIs" dxfId="0" priority="21" operator="notEqual">
      <formula>0</formula>
    </cfRule>
  </conditionalFormatting>
  <conditionalFormatting sqref="H20">
    <cfRule type="cellIs" dxfId="0" priority="23" operator="notEqual">
      <formula>0</formula>
    </cfRule>
  </conditionalFormatting>
  <conditionalFormatting sqref="H21">
    <cfRule type="cellIs" dxfId="0" priority="25" operator="notEqual">
      <formula>0</formula>
    </cfRule>
  </conditionalFormatting>
  <conditionalFormatting sqref="H24">
    <cfRule type="cellIs" dxfId="0" priority="27" operator="notEqual">
      <formula>0</formula>
    </cfRule>
  </conditionalFormatting>
  <conditionalFormatting sqref="H25">
    <cfRule type="cellIs" dxfId="0" priority="29" operator="notEqual">
      <formula>0</formula>
    </cfRule>
  </conditionalFormatting>
  <conditionalFormatting sqref="H26">
    <cfRule type="cellIs" dxfId="0" priority="31" operator="notEqual">
      <formula>0</formula>
    </cfRule>
  </conditionalFormatting>
  <conditionalFormatting sqref="H27">
    <cfRule type="cellIs" dxfId="0" priority="33" operator="notEqual">
      <formula>0</formula>
    </cfRule>
  </conditionalFormatting>
  <conditionalFormatting sqref="H28">
    <cfRule type="cellIs" dxfId="0" priority="35" operator="notEqual">
      <formula>0</formula>
    </cfRule>
  </conditionalFormatting>
  <conditionalFormatting sqref="H29">
    <cfRule type="cellIs" dxfId="0" priority="37" operator="notEqual">
      <formula>0</formula>
    </cfRule>
  </conditionalFormatting>
  <conditionalFormatting sqref="H30">
    <cfRule type="cellIs" dxfId="0" priority="39" operator="notEqual">
      <formula>0</formula>
    </cfRule>
  </conditionalFormatting>
  <conditionalFormatting sqref="H31">
    <cfRule type="cellIs" dxfId="0" priority="41" operator="notEqual">
      <formula>0</formula>
    </cfRule>
  </conditionalFormatting>
  <conditionalFormatting sqref="H32">
    <cfRule type="cellIs" dxfId="0" priority="43" operator="notEqual">
      <formula>0</formula>
    </cfRule>
  </conditionalFormatting>
  <conditionalFormatting sqref="H33">
    <cfRule type="cellIs" dxfId="0" priority="45" operator="notEqual">
      <formula>0</formula>
    </cfRule>
  </conditionalFormatting>
  <conditionalFormatting sqref="H34">
    <cfRule type="cellIs" dxfId="0" priority="47" operator="notEqual">
      <formula>0</formula>
    </cfRule>
  </conditionalFormatting>
  <conditionalFormatting sqref="H35">
    <cfRule type="cellIs" dxfId="0" priority="49" operator="notEqual">
      <formula>0</formula>
    </cfRule>
  </conditionalFormatting>
  <conditionalFormatting sqref="H36">
    <cfRule type="cellIs" dxfId="0" priority="51" operator="notEqual">
      <formula>0</formula>
    </cfRule>
  </conditionalFormatting>
  <conditionalFormatting sqref="H37">
    <cfRule type="cellIs" dxfId="0" priority="53" operator="notEqual">
      <formula>0</formula>
    </cfRule>
  </conditionalFormatting>
  <conditionalFormatting sqref="H38">
    <cfRule type="cellIs" dxfId="0" priority="55" operator="notEqual">
      <formula>0</formula>
    </cfRule>
  </conditionalFormatting>
  <conditionalFormatting sqref="H41">
    <cfRule type="cellIs" dxfId="0" priority="57" operator="notEqual">
      <formula>0</formula>
    </cfRule>
  </conditionalFormatting>
  <conditionalFormatting sqref="H42">
    <cfRule type="cellIs" dxfId="0" priority="59" operator="notEqual">
      <formula>0</formula>
    </cfRule>
  </conditionalFormatting>
  <conditionalFormatting sqref="H43">
    <cfRule type="cellIs" dxfId="0" priority="61" operator="notEqual">
      <formula>0</formula>
    </cfRule>
  </conditionalFormatting>
  <conditionalFormatting sqref="H44">
    <cfRule type="cellIs" dxfId="0" priority="63" operator="notEqual">
      <formula>0</formula>
    </cfRule>
  </conditionalFormatting>
  <conditionalFormatting sqref="H45">
    <cfRule type="cellIs" dxfId="0" priority="65" operator="notEqual">
      <formula>0</formula>
    </cfRule>
  </conditionalFormatting>
  <conditionalFormatting sqref="H46">
    <cfRule type="cellIs" dxfId="0" priority="67" operator="notEqual">
      <formula>0</formula>
    </cfRule>
  </conditionalFormatting>
  <conditionalFormatting sqref="H47">
    <cfRule type="cellIs" dxfId="0" priority="69" operator="notEqual">
      <formula>0</formula>
    </cfRule>
  </conditionalFormatting>
  <conditionalFormatting sqref="H48">
    <cfRule type="cellIs" dxfId="0" priority="71" operator="notEqual">
      <formula>0</formula>
    </cfRule>
  </conditionalFormatting>
  <conditionalFormatting sqref="H49">
    <cfRule type="cellIs" dxfId="0" priority="73" operator="notEqual">
      <formula>0</formula>
    </cfRule>
  </conditionalFormatting>
  <conditionalFormatting sqref="H50">
    <cfRule type="cellIs" dxfId="0" priority="75" operator="notEqual">
      <formula>0</formula>
    </cfRule>
  </conditionalFormatting>
  <conditionalFormatting sqref="H51">
    <cfRule type="cellIs" dxfId="0" priority="77" operator="notEqual">
      <formula>0</formula>
    </cfRule>
  </conditionalFormatting>
  <conditionalFormatting sqref="H52">
    <cfRule type="cellIs" dxfId="0" priority="79" operator="notEqual">
      <formula>0</formula>
    </cfRule>
  </conditionalFormatting>
  <conditionalFormatting sqref="H53">
    <cfRule type="cellIs" dxfId="0" priority="81" operator="notEqual">
      <formula>0</formula>
    </cfRule>
  </conditionalFormatting>
  <conditionalFormatting sqref="H54">
    <cfRule type="cellIs" dxfId="0" priority="83" operator="notEqual">
      <formula>0</formula>
    </cfRule>
  </conditionalFormatting>
  <conditionalFormatting sqref="H55">
    <cfRule type="cellIs" dxfId="0" priority="85" operator="notEqual">
      <formula>0</formula>
    </cfRule>
  </conditionalFormatting>
  <conditionalFormatting sqref="H58">
    <cfRule type="cellIs" dxfId="0" priority="87" operator="notEqual">
      <formula>0</formula>
    </cfRule>
  </conditionalFormatting>
  <conditionalFormatting sqref="H59">
    <cfRule type="cellIs" dxfId="0" priority="89" operator="notEqual">
      <formula>0</formula>
    </cfRule>
  </conditionalFormatting>
  <conditionalFormatting sqref="H60">
    <cfRule type="cellIs" dxfId="0" priority="91" operator="notEqual">
      <formula>0</formula>
    </cfRule>
  </conditionalFormatting>
  <conditionalFormatting sqref="H61">
    <cfRule type="cellIs" dxfId="0" priority="93" operator="notEqual">
      <formula>0</formula>
    </cfRule>
  </conditionalFormatting>
  <conditionalFormatting sqref="H62">
    <cfRule type="cellIs" dxfId="0" priority="95" operator="notEqual">
      <formula>0</formula>
    </cfRule>
  </conditionalFormatting>
  <conditionalFormatting sqref="H63">
    <cfRule type="cellIs" dxfId="0" priority="97" operator="notEqual">
      <formula>0</formula>
    </cfRule>
  </conditionalFormatting>
  <conditionalFormatting sqref="H64">
    <cfRule type="cellIs" dxfId="0" priority="99" operator="notEqual">
      <formula>0</formula>
    </cfRule>
  </conditionalFormatting>
  <conditionalFormatting sqref="H65">
    <cfRule type="cellIs" dxfId="0" priority="101" operator="notEqual">
      <formula>0</formula>
    </cfRule>
  </conditionalFormatting>
  <conditionalFormatting sqref="H66">
    <cfRule type="cellIs" dxfId="0" priority="103" operator="notEqual">
      <formula>0</formula>
    </cfRule>
  </conditionalFormatting>
  <conditionalFormatting sqref="H67">
    <cfRule type="cellIs" dxfId="0" priority="105" operator="notEqual">
      <formula>0</formula>
    </cfRule>
  </conditionalFormatting>
  <conditionalFormatting sqref="H68">
    <cfRule type="cellIs" dxfId="0" priority="107" operator="notEqual">
      <formula>0</formula>
    </cfRule>
  </conditionalFormatting>
  <conditionalFormatting sqref="H69">
    <cfRule type="cellIs" dxfId="0" priority="109" operator="notEqual">
      <formula>0</formula>
    </cfRule>
  </conditionalFormatting>
  <conditionalFormatting sqref="H70">
    <cfRule type="cellIs" dxfId="0" priority="111" operator="notEqual">
      <formula>0</formula>
    </cfRule>
  </conditionalFormatting>
  <conditionalFormatting sqref="H71">
    <cfRule type="cellIs" dxfId="0" priority="113" operator="notEqual">
      <formula>0</formula>
    </cfRule>
  </conditionalFormatting>
  <conditionalFormatting sqref="H72">
    <cfRule type="cellIs" dxfId="0" priority="115" operator="notEqual">
      <formula>0</formula>
    </cfRule>
  </conditionalFormatting>
  <conditionalFormatting sqref="H75">
    <cfRule type="cellIs" dxfId="0" priority="117" operator="notEqual">
      <formula>0</formula>
    </cfRule>
  </conditionalFormatting>
  <conditionalFormatting sqref="H76">
    <cfRule type="cellIs" dxfId="0" priority="119" operator="notEqual">
      <formula>0</formula>
    </cfRule>
  </conditionalFormatting>
  <conditionalFormatting sqref="H9">
    <cfRule type="cellIs" dxfId="0" priority="1" operator="notEqual">
      <formula>0</formula>
    </cfRule>
  </conditionalFormatting>
  <conditionalFormatting sqref="L10">
    <cfRule type="cellIs" dxfId="0" priority="4" operator="notEqual">
      <formula>0</formula>
    </cfRule>
  </conditionalFormatting>
  <conditionalFormatting sqref="L11">
    <cfRule type="cellIs" dxfId="0" priority="6" operator="notEqual">
      <formula>0</formula>
    </cfRule>
  </conditionalFormatting>
  <conditionalFormatting sqref="L12">
    <cfRule type="cellIs" dxfId="0" priority="8" operator="notEqual">
      <formula>0</formula>
    </cfRule>
  </conditionalFormatting>
  <conditionalFormatting sqref="L13">
    <cfRule type="cellIs" dxfId="0" priority="10" operator="notEqual">
      <formula>0</formula>
    </cfRule>
  </conditionalFormatting>
  <conditionalFormatting sqref="L14">
    <cfRule type="cellIs" dxfId="0" priority="12" operator="notEqual">
      <formula>0</formula>
    </cfRule>
  </conditionalFormatting>
  <conditionalFormatting sqref="L15">
    <cfRule type="cellIs" dxfId="0" priority="14" operator="notEqual">
      <formula>0</formula>
    </cfRule>
  </conditionalFormatting>
  <conditionalFormatting sqref="L16">
    <cfRule type="cellIs" dxfId="0" priority="16" operator="notEqual">
      <formula>0</formula>
    </cfRule>
  </conditionalFormatting>
  <conditionalFormatting sqref="L17">
    <cfRule type="cellIs" dxfId="0" priority="18" operator="notEqual">
      <formula>0</formula>
    </cfRule>
  </conditionalFormatting>
  <conditionalFormatting sqref="L18">
    <cfRule type="cellIs" dxfId="0" priority="20" operator="notEqual">
      <formula>0</formula>
    </cfRule>
  </conditionalFormatting>
  <conditionalFormatting sqref="L19">
    <cfRule type="cellIs" dxfId="0" priority="22" operator="notEqual">
      <formula>0</formula>
    </cfRule>
  </conditionalFormatting>
  <conditionalFormatting sqref="L20">
    <cfRule type="cellIs" dxfId="0" priority="24" operator="notEqual">
      <formula>0</formula>
    </cfRule>
  </conditionalFormatting>
  <conditionalFormatting sqref="L21">
    <cfRule type="cellIs" dxfId="0" priority="26" operator="notEqual">
      <formula>0</formula>
    </cfRule>
  </conditionalFormatting>
  <conditionalFormatting sqref="L24">
    <cfRule type="cellIs" dxfId="0" priority="28" operator="notEqual">
      <formula>0</formula>
    </cfRule>
  </conditionalFormatting>
  <conditionalFormatting sqref="L25">
    <cfRule type="cellIs" dxfId="0" priority="30" operator="notEqual">
      <formula>0</formula>
    </cfRule>
  </conditionalFormatting>
  <conditionalFormatting sqref="L26">
    <cfRule type="cellIs" dxfId="0" priority="32" operator="notEqual">
      <formula>0</formula>
    </cfRule>
  </conditionalFormatting>
  <conditionalFormatting sqref="L27">
    <cfRule type="cellIs" dxfId="0" priority="34" operator="notEqual">
      <formula>0</formula>
    </cfRule>
  </conditionalFormatting>
  <conditionalFormatting sqref="L28">
    <cfRule type="cellIs" dxfId="0" priority="36" operator="notEqual">
      <formula>0</formula>
    </cfRule>
  </conditionalFormatting>
  <conditionalFormatting sqref="L29">
    <cfRule type="cellIs" dxfId="0" priority="38" operator="notEqual">
      <formula>0</formula>
    </cfRule>
  </conditionalFormatting>
  <conditionalFormatting sqref="L30">
    <cfRule type="cellIs" dxfId="0" priority="40" operator="notEqual">
      <formula>0</formula>
    </cfRule>
  </conditionalFormatting>
  <conditionalFormatting sqref="L31">
    <cfRule type="cellIs" dxfId="0" priority="42" operator="notEqual">
      <formula>0</formula>
    </cfRule>
  </conditionalFormatting>
  <conditionalFormatting sqref="L32">
    <cfRule type="cellIs" dxfId="0" priority="44" operator="notEqual">
      <formula>0</formula>
    </cfRule>
  </conditionalFormatting>
  <conditionalFormatting sqref="L33">
    <cfRule type="cellIs" dxfId="0" priority="46" operator="notEqual">
      <formula>0</formula>
    </cfRule>
  </conditionalFormatting>
  <conditionalFormatting sqref="L34">
    <cfRule type="cellIs" dxfId="0" priority="48" operator="notEqual">
      <formula>0</formula>
    </cfRule>
  </conditionalFormatting>
  <conditionalFormatting sqref="L35">
    <cfRule type="cellIs" dxfId="0" priority="50" operator="notEqual">
      <formula>0</formula>
    </cfRule>
  </conditionalFormatting>
  <conditionalFormatting sqref="L36">
    <cfRule type="cellIs" dxfId="0" priority="52" operator="notEqual">
      <formula>0</formula>
    </cfRule>
  </conditionalFormatting>
  <conditionalFormatting sqref="L37">
    <cfRule type="cellIs" dxfId="0" priority="54" operator="notEqual">
      <formula>0</formula>
    </cfRule>
  </conditionalFormatting>
  <conditionalFormatting sqref="L38">
    <cfRule type="cellIs" dxfId="0" priority="56" operator="notEqual">
      <formula>0</formula>
    </cfRule>
  </conditionalFormatting>
  <conditionalFormatting sqref="L41">
    <cfRule type="cellIs" dxfId="0" priority="58" operator="notEqual">
      <formula>0</formula>
    </cfRule>
  </conditionalFormatting>
  <conditionalFormatting sqref="L42">
    <cfRule type="cellIs" dxfId="0" priority="60" operator="notEqual">
      <formula>0</formula>
    </cfRule>
  </conditionalFormatting>
  <conditionalFormatting sqref="L43">
    <cfRule type="cellIs" dxfId="0" priority="62" operator="notEqual">
      <formula>0</formula>
    </cfRule>
  </conditionalFormatting>
  <conditionalFormatting sqref="L44">
    <cfRule type="cellIs" dxfId="0" priority="64" operator="notEqual">
      <formula>0</formula>
    </cfRule>
  </conditionalFormatting>
  <conditionalFormatting sqref="L45">
    <cfRule type="cellIs" dxfId="0" priority="66" operator="notEqual">
      <formula>0</formula>
    </cfRule>
  </conditionalFormatting>
  <conditionalFormatting sqref="L46">
    <cfRule type="cellIs" dxfId="0" priority="68" operator="notEqual">
      <formula>0</formula>
    </cfRule>
  </conditionalFormatting>
  <conditionalFormatting sqref="L47">
    <cfRule type="cellIs" dxfId="0" priority="70" operator="notEqual">
      <formula>0</formula>
    </cfRule>
  </conditionalFormatting>
  <conditionalFormatting sqref="L48">
    <cfRule type="cellIs" dxfId="0" priority="72" operator="notEqual">
      <formula>0</formula>
    </cfRule>
  </conditionalFormatting>
  <conditionalFormatting sqref="L49">
    <cfRule type="cellIs" dxfId="0" priority="74" operator="notEqual">
      <formula>0</formula>
    </cfRule>
  </conditionalFormatting>
  <conditionalFormatting sqref="L50">
    <cfRule type="cellIs" dxfId="0" priority="76" operator="notEqual">
      <formula>0</formula>
    </cfRule>
  </conditionalFormatting>
  <conditionalFormatting sqref="L51">
    <cfRule type="cellIs" dxfId="0" priority="78" operator="notEqual">
      <formula>0</formula>
    </cfRule>
  </conditionalFormatting>
  <conditionalFormatting sqref="L52">
    <cfRule type="cellIs" dxfId="0" priority="80" operator="notEqual">
      <formula>0</formula>
    </cfRule>
  </conditionalFormatting>
  <conditionalFormatting sqref="L53">
    <cfRule type="cellIs" dxfId="0" priority="82" operator="notEqual">
      <formula>0</formula>
    </cfRule>
  </conditionalFormatting>
  <conditionalFormatting sqref="L54">
    <cfRule type="cellIs" dxfId="0" priority="84" operator="notEqual">
      <formula>0</formula>
    </cfRule>
  </conditionalFormatting>
  <conditionalFormatting sqref="L55">
    <cfRule type="cellIs" dxfId="0" priority="86" operator="notEqual">
      <formula>0</formula>
    </cfRule>
  </conditionalFormatting>
  <conditionalFormatting sqref="L58">
    <cfRule type="cellIs" dxfId="0" priority="88" operator="notEqual">
      <formula>0</formula>
    </cfRule>
  </conditionalFormatting>
  <conditionalFormatting sqref="L59">
    <cfRule type="cellIs" dxfId="0" priority="90" operator="notEqual">
      <formula>0</formula>
    </cfRule>
  </conditionalFormatting>
  <conditionalFormatting sqref="L60">
    <cfRule type="cellIs" dxfId="0" priority="92" operator="notEqual">
      <formula>0</formula>
    </cfRule>
  </conditionalFormatting>
  <conditionalFormatting sqref="L61">
    <cfRule type="cellIs" dxfId="0" priority="94" operator="notEqual">
      <formula>0</formula>
    </cfRule>
  </conditionalFormatting>
  <conditionalFormatting sqref="L62">
    <cfRule type="cellIs" dxfId="0" priority="96" operator="notEqual">
      <formula>0</formula>
    </cfRule>
  </conditionalFormatting>
  <conditionalFormatting sqref="L63">
    <cfRule type="cellIs" dxfId="0" priority="98" operator="notEqual">
      <formula>0</formula>
    </cfRule>
  </conditionalFormatting>
  <conditionalFormatting sqref="L64">
    <cfRule type="cellIs" dxfId="0" priority="100" operator="notEqual">
      <formula>0</formula>
    </cfRule>
  </conditionalFormatting>
  <conditionalFormatting sqref="L65">
    <cfRule type="cellIs" dxfId="0" priority="102" operator="notEqual">
      <formula>0</formula>
    </cfRule>
  </conditionalFormatting>
  <conditionalFormatting sqref="L66">
    <cfRule type="cellIs" dxfId="0" priority="104" operator="notEqual">
      <formula>0</formula>
    </cfRule>
  </conditionalFormatting>
  <conditionalFormatting sqref="L67">
    <cfRule type="cellIs" dxfId="0" priority="106" operator="notEqual">
      <formula>0</formula>
    </cfRule>
  </conditionalFormatting>
  <conditionalFormatting sqref="L68">
    <cfRule type="cellIs" dxfId="0" priority="108" operator="notEqual">
      <formula>0</formula>
    </cfRule>
  </conditionalFormatting>
  <conditionalFormatting sqref="L69">
    <cfRule type="cellIs" dxfId="0" priority="110" operator="notEqual">
      <formula>0</formula>
    </cfRule>
  </conditionalFormatting>
  <conditionalFormatting sqref="L70">
    <cfRule type="cellIs" dxfId="0" priority="112" operator="notEqual">
      <formula>0</formula>
    </cfRule>
  </conditionalFormatting>
  <conditionalFormatting sqref="L71">
    <cfRule type="cellIs" dxfId="0" priority="114" operator="notEqual">
      <formula>0</formula>
    </cfRule>
  </conditionalFormatting>
  <conditionalFormatting sqref="L72">
    <cfRule type="cellIs" dxfId="0" priority="116" operator="notEqual">
      <formula>0</formula>
    </cfRule>
  </conditionalFormatting>
  <conditionalFormatting sqref="L75">
    <cfRule type="cellIs" dxfId="0" priority="118" operator="notEqual">
      <formula>0</formula>
    </cfRule>
  </conditionalFormatting>
  <conditionalFormatting sqref="L76">
    <cfRule type="cellIs" dxfId="0" priority="120" operator="notEqual">
      <formula>0</formula>
    </cfRule>
  </conditionalFormatting>
  <conditionalFormatting sqref="L9">
    <cfRule type="cellIs" dxfId="0" priority="2" operator="notEqual">
      <formula>0</formula>
    </cfRule>
  </conditionalFormatting>
  <pageMargins left="0.25" right="0.25" top="0.35" bottom="0.35" header="0.3" footer="0.3"/>
  <pageSetup paperSize="9" scale="78" orientation="landscape"/>
  <headerFooter>
    <oddFooter>&amp;L杭周面ばね&amp;R&amp;P / &amp;N</oddFooter>
  </headerFooter>
  <rowBreaks count="38" manualBreakCount="38">
    <brk id="21" max="16383" man="1"/>
    <brk id="38" max="16383" man="1"/>
    <brk id="55" max="16383" man="1"/>
    <brk id="72" max="16383" man="1"/>
    <brk id="88" max="16383" man="1"/>
    <brk id="105" max="16383" man="1"/>
    <brk id="122" max="16383" man="1"/>
    <brk id="139" max="16383" man="1"/>
    <brk id="155" max="16383" man="1"/>
    <brk id="172" max="16383" man="1"/>
    <brk id="189" max="16383" man="1"/>
    <brk id="206" max="16383" man="1"/>
    <brk id="223" max="16383" man="1"/>
    <brk id="237" max="16383" man="1"/>
    <brk id="254" max="16383" man="1"/>
    <brk id="271" max="16383" man="1"/>
    <brk id="288" max="16383" man="1"/>
    <brk id="305" max="16383" man="1"/>
    <brk id="320" max="16383" man="1"/>
    <brk id="336" max="16383" man="1"/>
    <brk id="352" max="16383" man="1"/>
    <brk id="368" max="16383" man="1"/>
    <brk id="385" max="16383" man="1"/>
    <brk id="402" max="16383" man="1"/>
    <brk id="419" max="16383" man="1"/>
    <brk id="435" max="16383" man="1"/>
    <brk id="452" max="16383" man="1"/>
    <brk id="469" max="16383" man="1"/>
    <brk id="486" max="16383" man="1"/>
    <brk id="502" max="16383" man="1"/>
    <brk id="518" max="16383" man="1"/>
    <brk id="534" max="16383" man="1"/>
    <brk id="550" max="16383" man="1"/>
    <brk id="566" max="16383" man="1"/>
    <brk id="582" max="16383" man="1"/>
    <brk id="598" max="16383" man="1"/>
    <brk id="614" max="16383" man="1"/>
    <brk id="63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L4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474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475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476</v>
      </c>
      <c r="D8" s="4" t="s">
        <v>477</v>
      </c>
      <c r="E8" s="4" t="s">
        <v>478</v>
      </c>
      <c r="F8" s="4" t="s">
        <v>479</v>
      </c>
      <c r="G8" s="4" t="s">
        <v>480</v>
      </c>
      <c r="H8" s="4" t="s">
        <v>481</v>
      </c>
      <c r="I8" s="4" t="s">
        <v>482</v>
      </c>
      <c r="J8" s="4" t="s">
        <v>483</v>
      </c>
      <c r="K8" s="4" t="s">
        <v>484</v>
      </c>
    </row>
    <row r="9" spans="1:12" ht="23" customHeight="1">
      <c r="A9" s="6">
        <v>4</v>
      </c>
      <c r="B9" s="6">
        <v>1</v>
      </c>
      <c r="C9" s="6">
        <v>122</v>
      </c>
      <c r="D9" s="6">
        <f>'入力根拠'!F143</f>
        <v>327072.0</v>
      </c>
      <c r="E9" s="7">
        <v>327072</v>
      </c>
      <c r="F9" s="6">
        <f>'入力根拠'!F144</f>
        <v>88418.0</v>
      </c>
      <c r="G9" s="7">
        <v>88418</v>
      </c>
      <c r="H9" s="11">
        <f>'入力根拠'!F145</f>
        <v>7167.5</v>
      </c>
      <c r="I9" s="8">
        <v>7167.5</v>
      </c>
      <c r="J9" s="11">
        <f>'入力根拠'!F146</f>
        <v>16724.3</v>
      </c>
      <c r="K9" s="8">
        <v>16724.3</v>
      </c>
    </row>
    <row r="10" spans="1:12" ht="23" customHeight="1">
      <c r="A10" s="6">
        <v>5</v>
      </c>
      <c r="B10" s="6">
        <v>2</v>
      </c>
      <c r="C10" s="6">
        <v>147</v>
      </c>
      <c r="D10" s="6">
        <f>'入力根拠'!F147</f>
        <v>218048.0</v>
      </c>
      <c r="E10" s="7">
        <v>218048</v>
      </c>
      <c r="F10" s="6">
        <f>'入力根拠'!F148</f>
        <v>58945.0</v>
      </c>
      <c r="G10" s="7">
        <v>58945</v>
      </c>
      <c r="H10" s="11">
        <f>'入力根拠'!F149</f>
        <v>4778.4</v>
      </c>
      <c r="I10" s="8">
        <v>4778.4</v>
      </c>
      <c r="J10" s="11">
        <f>'入力根拠'!F150</f>
        <v>11149.5</v>
      </c>
      <c r="K10" s="8">
        <v>11149.5</v>
      </c>
    </row>
    <row r="11" spans="1:12" ht="23" customHeight="1">
      <c r="A11" s="6">
        <v>6</v>
      </c>
      <c r="B11" s="6">
        <v>3</v>
      </c>
      <c r="C11" s="6">
        <v>172</v>
      </c>
      <c r="D11" s="6">
        <f>'入力根拠'!F151</f>
        <v>327072.0</v>
      </c>
      <c r="E11" s="7">
        <v>327072</v>
      </c>
      <c r="F11" s="6">
        <f>'入力根拠'!F152</f>
        <v>88418.0</v>
      </c>
      <c r="G11" s="7">
        <v>88418</v>
      </c>
      <c r="H11" s="11">
        <f>'入力根拠'!F153</f>
        <v>7167.5</v>
      </c>
      <c r="I11" s="8">
        <v>7167.5</v>
      </c>
      <c r="J11" s="11">
        <f>'入力根拠'!F154</f>
        <v>16724.3</v>
      </c>
      <c r="K11" s="8">
        <v>16724.3</v>
      </c>
    </row>
    <row r="12" spans="1:12" ht="23" customHeight="1"/>
    <row r="13" spans="1:12" ht="24" customHeight="1">
      <c r="A13" s="3" t="s">
        <v>485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36" customHeight="1">
      <c r="A14" s="4" t="s">
        <v>8</v>
      </c>
      <c r="B14" s="4" t="s">
        <v>9</v>
      </c>
      <c r="C14" s="4" t="s">
        <v>486</v>
      </c>
      <c r="D14" s="4" t="s">
        <v>476</v>
      </c>
      <c r="E14" s="4" t="s">
        <v>487</v>
      </c>
      <c r="F14" s="4" t="s">
        <v>488</v>
      </c>
      <c r="G14" s="4" t="s">
        <v>489</v>
      </c>
      <c r="H14" s="4" t="s">
        <v>490</v>
      </c>
      <c r="I14" s="4" t="s">
        <v>491</v>
      </c>
    </row>
    <row r="15" spans="1:12" ht="23" customHeight="1">
      <c r="A15" s="6">
        <v>4</v>
      </c>
      <c r="B15" s="6">
        <v>1</v>
      </c>
      <c r="C15" s="6">
        <v>98</v>
      </c>
      <c r="D15" s="6">
        <v>122</v>
      </c>
      <c r="E15" s="35">
        <v>29.8</v>
      </c>
      <c r="F15" s="35">
        <v>13.041</v>
      </c>
      <c r="G15" s="35">
        <v>44.041</v>
      </c>
      <c r="H15" s="36">
        <f>ROUND((G15-F15),4)</f>
        <v>31.0</v>
      </c>
      <c r="I15" s="35">
        <v>31</v>
      </c>
    </row>
    <row r="16" spans="1:12" ht="23" customHeight="1">
      <c r="A16" s="6">
        <v>5</v>
      </c>
      <c r="B16" s="6">
        <v>2</v>
      </c>
      <c r="C16" s="6">
        <v>123</v>
      </c>
      <c r="D16" s="6">
        <v>147</v>
      </c>
      <c r="E16" s="35">
        <v>33.5</v>
      </c>
      <c r="F16" s="35">
        <v>13.041</v>
      </c>
      <c r="G16" s="35">
        <v>44.041</v>
      </c>
      <c r="H16" s="36">
        <f>ROUND((G16-F16),4)</f>
        <v>31.0</v>
      </c>
      <c r="I16" s="35">
        <v>31</v>
      </c>
    </row>
    <row r="17" spans="1:12" ht="23" customHeight="1">
      <c r="A17" s="6">
        <v>6</v>
      </c>
      <c r="B17" s="6">
        <v>3</v>
      </c>
      <c r="C17" s="6">
        <v>148</v>
      </c>
      <c r="D17" s="6">
        <v>172</v>
      </c>
      <c r="E17" s="35">
        <v>37.2</v>
      </c>
      <c r="F17" s="35">
        <v>13.041</v>
      </c>
      <c r="G17" s="35">
        <v>44.041</v>
      </c>
      <c r="H17" s="36">
        <f>ROUND((G17-F17),4)</f>
        <v>31.0</v>
      </c>
      <c r="I17" s="35">
        <v>31</v>
      </c>
    </row>
    <row r="18" spans="1:12" ht="23" customHeight="1"/>
    <row r="19" spans="1:12" ht="24" customHeight="1">
      <c r="A19" s="3" t="s">
        <v>352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36" customHeight="1">
      <c r="A20" s="4" t="s">
        <v>8</v>
      </c>
      <c r="B20" s="4" t="s">
        <v>9</v>
      </c>
      <c r="C20" s="4" t="s">
        <v>90</v>
      </c>
      <c r="D20" s="4" t="s">
        <v>91</v>
      </c>
      <c r="E20" s="4" t="s">
        <v>93</v>
      </c>
      <c r="F20" s="4" t="s">
        <v>94</v>
      </c>
      <c r="G20" s="4" t="s">
        <v>95</v>
      </c>
      <c r="H20" s="4" t="s">
        <v>96</v>
      </c>
      <c r="I20" s="4" t="s">
        <v>97</v>
      </c>
      <c r="J20" s="4" t="s">
        <v>98</v>
      </c>
    </row>
    <row r="21" spans="1:12" ht="23" customHeight="1">
      <c r="A21" s="6">
        <v>4</v>
      </c>
      <c r="B21" s="6">
        <v>1</v>
      </c>
      <c r="C21" s="6">
        <v>122</v>
      </c>
      <c r="D21" s="6">
        <v>61</v>
      </c>
      <c r="E21" s="7">
        <v>327072</v>
      </c>
      <c r="F21" s="7">
        <v>88418</v>
      </c>
      <c r="G21" s="7">
        <v>88418</v>
      </c>
      <c r="H21" s="7">
        <v>327072</v>
      </c>
      <c r="I21" s="7">
        <v>88418</v>
      </c>
      <c r="J21" s="7">
        <v>88418</v>
      </c>
    </row>
    <row r="22" spans="1:12" ht="23" customHeight="1">
      <c r="A22" s="6">
        <v>5</v>
      </c>
      <c r="B22" s="6">
        <v>2</v>
      </c>
      <c r="C22" s="6">
        <v>147</v>
      </c>
      <c r="D22" s="6">
        <v>62</v>
      </c>
      <c r="E22" s="7">
        <v>218048</v>
      </c>
      <c r="F22" s="7">
        <v>58945</v>
      </c>
      <c r="G22" s="7">
        <v>58945</v>
      </c>
      <c r="H22" s="7">
        <v>218048</v>
      </c>
      <c r="I22" s="7">
        <v>58945</v>
      </c>
      <c r="J22" s="7">
        <v>58945</v>
      </c>
    </row>
    <row r="23" spans="1:12" ht="23" customHeight="1">
      <c r="A23" s="6">
        <v>6</v>
      </c>
      <c r="B23" s="6">
        <v>3</v>
      </c>
      <c r="C23" s="6">
        <v>172</v>
      </c>
      <c r="D23" s="6">
        <v>63</v>
      </c>
      <c r="E23" s="7">
        <v>327072</v>
      </c>
      <c r="F23" s="7">
        <v>88418</v>
      </c>
      <c r="G23" s="7">
        <v>88418</v>
      </c>
      <c r="H23" s="7">
        <v>327072</v>
      </c>
      <c r="I23" s="7">
        <v>88418</v>
      </c>
      <c r="J23" s="7">
        <v>88418</v>
      </c>
    </row>
    <row r="24" spans="1:12" ht="23" customHeight="1"/>
    <row r="25" spans="1:12" ht="24" customHeight="1">
      <c r="A25" s="3" t="s">
        <v>353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36" customHeight="1">
      <c r="A26" s="4" t="s">
        <v>8</v>
      </c>
      <c r="B26" s="4" t="s">
        <v>9</v>
      </c>
      <c r="C26" s="4" t="s">
        <v>90</v>
      </c>
      <c r="D26" s="4" t="s">
        <v>91</v>
      </c>
      <c r="E26" s="4" t="s">
        <v>103</v>
      </c>
      <c r="F26" s="4" t="s">
        <v>104</v>
      </c>
      <c r="G26" s="4" t="s">
        <v>105</v>
      </c>
      <c r="H26" s="4" t="s">
        <v>106</v>
      </c>
    </row>
    <row r="27" spans="1:12" ht="23" customHeight="1">
      <c r="A27" s="6">
        <v>4</v>
      </c>
      <c r="B27" s="6">
        <v>1</v>
      </c>
      <c r="C27" s="6">
        <v>122</v>
      </c>
      <c r="D27" s="6">
        <v>61</v>
      </c>
      <c r="E27" s="8">
        <v>7167.5</v>
      </c>
      <c r="F27" s="10"/>
      <c r="G27" s="8">
        <v>16724.3</v>
      </c>
      <c r="H27" s="10"/>
    </row>
    <row r="28" spans="1:12" ht="23" customHeight="1">
      <c r="A28" s="6">
        <v>5</v>
      </c>
      <c r="B28" s="6">
        <v>2</v>
      </c>
      <c r="C28" s="6">
        <v>147</v>
      </c>
      <c r="D28" s="6">
        <v>62</v>
      </c>
      <c r="E28" s="8">
        <v>4778.4</v>
      </c>
      <c r="F28" s="10"/>
      <c r="G28" s="8">
        <v>11149.5</v>
      </c>
      <c r="H28" s="10"/>
    </row>
    <row r="29" spans="1:12" ht="23" customHeight="1">
      <c r="A29" s="6">
        <v>6</v>
      </c>
      <c r="B29" s="6">
        <v>3</v>
      </c>
      <c r="C29" s="6">
        <v>172</v>
      </c>
      <c r="D29" s="6">
        <v>63</v>
      </c>
      <c r="E29" s="8">
        <v>7167.5</v>
      </c>
      <c r="F29" s="10"/>
      <c r="G29" s="8">
        <v>16724.3</v>
      </c>
      <c r="H29" s="10"/>
    </row>
    <row r="30" spans="1:12" ht="23" customHeight="1"/>
    <row r="31" spans="1:12" ht="24" customHeight="1">
      <c r="A31" s="3" t="s">
        <v>162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36" customHeight="1">
      <c r="A32" s="4" t="s">
        <v>8</v>
      </c>
      <c r="B32" s="4" t="s">
        <v>109</v>
      </c>
      <c r="C32" s="4" t="s">
        <v>163</v>
      </c>
      <c r="D32" s="4" t="s">
        <v>164</v>
      </c>
    </row>
    <row r="33" spans="1:12" ht="24" customHeight="1">
      <c r="A33" s="2" t="s">
        <v>492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4" customHeight="1">
      <c r="A34" s="3" t="s">
        <v>162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8</v>
      </c>
      <c r="B35" s="4" t="s">
        <v>109</v>
      </c>
      <c r="C35" s="4" t="s">
        <v>163</v>
      </c>
      <c r="D35" s="4" t="s">
        <v>164</v>
      </c>
    </row>
    <row r="36" spans="1:12" ht="24" customHeight="1">
      <c r="A36" s="2" t="s">
        <v>493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4" customHeight="1">
      <c r="A37" s="2" t="s">
        <v>494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4" customHeight="1">
      <c r="A38" s="2" t="s">
        <v>495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4" customHeight="1">
      <c r="A39" s="2" t="s">
        <v>496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4" customHeight="1">
      <c r="A40" s="2" t="s">
        <v>497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4" customHeight="1">
      <c r="A41" s="2" t="s">
        <v>498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4" customHeight="1">
      <c r="A42" s="2" t="s">
        <v>499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4" customHeight="1">
      <c r="A43" s="2" t="s">
        <v>500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4" customHeight="1">
      <c r="A44" s="2" t="s">
        <v>501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4" customHeight="1">
      <c r="A45" s="2" t="s">
        <v>502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4" customHeight="1">
      <c r="A46" s="2" t="s">
        <v>503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22">
    <mergeCell ref="A1:L1"/>
    <mergeCell ref="A2:L2"/>
    <mergeCell ref="A3:L3"/>
    <mergeCell ref="A5:L5"/>
    <mergeCell ref="A7:L7"/>
    <mergeCell ref="A13:L13"/>
    <mergeCell ref="A19:L19"/>
    <mergeCell ref="A25:L25"/>
    <mergeCell ref="A31:L31"/>
    <mergeCell ref="A33:L33"/>
    <mergeCell ref="A34:L34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</mergeCells>
  <pageMargins left="0.25" right="0.25" top="0.35" bottom="0.35" header="0.3" footer="0.3"/>
  <pageSetup paperSize="9" scale="78" orientation="landscape"/>
  <headerFooter>
    <oddFooter>&amp;L杭先端ばね&amp;R&amp;P / &amp;N</oddFooter>
  </headerFooter>
  <rowBreaks count="2" manualBreakCount="2">
    <brk id="18" max="16383" man="1"/>
    <brk id="3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L68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7.7109375" customWidth="1"/>
    <col min="2" max="3" width="9.7109375" customWidth="1"/>
    <col min="4" max="4" width="24.7109375" customWidth="1"/>
    <col min="5" max="5" width="11.7109375" customWidth="1"/>
    <col min="6" max="6" width="15.7109375" customWidth="1"/>
    <col min="7" max="7" width="26.7109375" customWidth="1"/>
    <col min="8" max="12" width="11.7109375" customWidth="1"/>
  </cols>
  <sheetData>
    <row r="1" spans="1:12" ht="24" customHeight="1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505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163</v>
      </c>
      <c r="B7" s="4" t="s">
        <v>506</v>
      </c>
    </row>
    <row r="8" spans="1:12" ht="24" customHeight="1">
      <c r="A8" s="2" t="s">
        <v>507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>
      <c r="A9" s="2" t="s">
        <v>508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>
      <c r="A10" s="2" t="s">
        <v>509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>
      <c r="A11" s="2" t="s">
        <v>510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>
      <c r="A12" s="2" t="s">
        <v>511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2" t="s">
        <v>512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513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 customHeight="1">
      <c r="A15" s="2" t="s">
        <v>514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2" customHeight="1">
      <c r="A16" s="2" t="s">
        <v>515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4" customHeight="1">
      <c r="A17" s="2" t="s">
        <v>516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" customHeight="1">
      <c r="A18" s="2" t="s">
        <v>517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4" customHeight="1">
      <c r="A19" s="2" t="s">
        <v>518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2" t="s">
        <v>519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" customHeight="1">
      <c r="A21" s="3" t="s">
        <v>505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36" customHeight="1">
      <c r="A22" s="4" t="s">
        <v>163</v>
      </c>
      <c r="B22" s="4" t="s">
        <v>506</v>
      </c>
    </row>
    <row r="23" spans="1:12" ht="24" customHeight="1">
      <c r="A23" s="2" t="s">
        <v>520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" customHeight="1">
      <c r="A24" s="2" t="s">
        <v>521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>
      <c r="A25" s="2" t="s">
        <v>522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 t="s">
        <v>523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4" customHeight="1">
      <c r="A27" s="2" t="s">
        <v>524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4" customHeight="1">
      <c r="A28" s="2" t="s">
        <v>525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2" t="s">
        <v>526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2" t="s">
        <v>527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4" customHeight="1">
      <c r="A31" s="2" t="s">
        <v>528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4" customHeight="1">
      <c r="A32" s="2" t="s">
        <v>529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3" customHeight="1"/>
    <row r="34" spans="1:12" ht="24" customHeight="1">
      <c r="A34" s="3" t="s">
        <v>530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108</v>
      </c>
      <c r="B35" s="4" t="s">
        <v>148</v>
      </c>
      <c r="C35" s="4" t="s">
        <v>531</v>
      </c>
      <c r="D35" s="4" t="s">
        <v>163</v>
      </c>
      <c r="E35" s="4" t="s">
        <v>532</v>
      </c>
      <c r="F35" s="4" t="s">
        <v>533</v>
      </c>
      <c r="G35" s="4" t="s">
        <v>534</v>
      </c>
    </row>
    <row r="36" spans="1:12" ht="23" customHeight="1">
      <c r="A36" s="9" t="s">
        <v>117</v>
      </c>
      <c r="B36" s="6">
        <v>174</v>
      </c>
      <c r="C36" s="6">
        <v>9</v>
      </c>
      <c r="D36" s="9" t="s">
        <v>535</v>
      </c>
      <c r="E36" s="9" t="s">
        <v>536</v>
      </c>
      <c r="F36" s="39">
        <v>58812</v>
      </c>
      <c r="G36" s="9" t="s">
        <v>537</v>
      </c>
    </row>
    <row r="37" spans="1:12" ht="24" customHeight="1">
      <c r="A37" s="3" t="s">
        <v>530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36" customHeight="1">
      <c r="A38" s="4" t="s">
        <v>108</v>
      </c>
      <c r="B38" s="4" t="s">
        <v>148</v>
      </c>
      <c r="C38" s="4" t="s">
        <v>531</v>
      </c>
      <c r="D38" s="4" t="s">
        <v>163</v>
      </c>
      <c r="E38" s="4" t="s">
        <v>532</v>
      </c>
      <c r="F38" s="4" t="s">
        <v>533</v>
      </c>
      <c r="G38" s="4" t="s">
        <v>534</v>
      </c>
    </row>
    <row r="39" spans="1:12" ht="23" customHeight="1">
      <c r="A39" s="9" t="s">
        <v>117</v>
      </c>
      <c r="B39" s="6">
        <v>175</v>
      </c>
      <c r="C39" s="6">
        <v>9</v>
      </c>
      <c r="D39" s="9" t="s">
        <v>535</v>
      </c>
      <c r="E39" s="9" t="s">
        <v>536</v>
      </c>
      <c r="F39" s="39">
        <v>310863</v>
      </c>
      <c r="G39" s="9" t="s">
        <v>538</v>
      </c>
    </row>
    <row r="40" spans="1:12" ht="23" customHeight="1">
      <c r="A40" s="9" t="s">
        <v>117</v>
      </c>
      <c r="B40" s="6">
        <v>176</v>
      </c>
      <c r="C40" s="6">
        <v>9</v>
      </c>
      <c r="D40" s="9" t="s">
        <v>535</v>
      </c>
      <c r="E40" s="9" t="s">
        <v>536</v>
      </c>
      <c r="F40" s="39">
        <v>110708</v>
      </c>
      <c r="G40" s="9" t="s">
        <v>539</v>
      </c>
    </row>
    <row r="41" spans="1:12" ht="23" customHeight="1">
      <c r="A41" s="9" t="s">
        <v>117</v>
      </c>
      <c r="B41" s="6">
        <v>177</v>
      </c>
      <c r="C41" s="6">
        <v>9</v>
      </c>
      <c r="D41" s="9" t="s">
        <v>535</v>
      </c>
      <c r="E41" s="9" t="s">
        <v>536</v>
      </c>
      <c r="F41" s="39">
        <v>268854</v>
      </c>
      <c r="G41" s="9" t="s">
        <v>540</v>
      </c>
    </row>
    <row r="42" spans="1:12" ht="23" customHeight="1">
      <c r="A42" s="9" t="s">
        <v>117</v>
      </c>
      <c r="B42" s="6">
        <v>178</v>
      </c>
      <c r="C42" s="6">
        <v>9</v>
      </c>
      <c r="D42" s="9" t="s">
        <v>535</v>
      </c>
      <c r="E42" s="9" t="s">
        <v>536</v>
      </c>
      <c r="F42" s="39">
        <v>428981</v>
      </c>
      <c r="G42" s="9" t="s">
        <v>541</v>
      </c>
    </row>
    <row r="43" spans="1:12" ht="23" customHeight="1">
      <c r="A43" s="9" t="s">
        <v>117</v>
      </c>
      <c r="B43" s="6">
        <v>179</v>
      </c>
      <c r="C43" s="6">
        <v>9</v>
      </c>
      <c r="D43" s="9" t="s">
        <v>535</v>
      </c>
      <c r="E43" s="9" t="s">
        <v>536</v>
      </c>
      <c r="F43" s="39">
        <v>403280</v>
      </c>
      <c r="G43" s="9" t="s">
        <v>542</v>
      </c>
    </row>
    <row r="44" spans="1:12" ht="23" customHeight="1">
      <c r="A44" s="9" t="s">
        <v>117</v>
      </c>
      <c r="B44" s="6">
        <v>180</v>
      </c>
      <c r="C44" s="6">
        <v>9</v>
      </c>
      <c r="D44" s="9" t="s">
        <v>535</v>
      </c>
      <c r="E44" s="9" t="s">
        <v>536</v>
      </c>
      <c r="F44" s="39">
        <v>193733</v>
      </c>
      <c r="G44" s="9" t="s">
        <v>543</v>
      </c>
    </row>
    <row r="45" spans="1:12" ht="23" customHeight="1">
      <c r="A45" s="9" t="s">
        <v>117</v>
      </c>
      <c r="B45" s="6">
        <v>174</v>
      </c>
      <c r="C45" s="6">
        <v>10</v>
      </c>
      <c r="D45" s="9" t="s">
        <v>544</v>
      </c>
      <c r="E45" s="9" t="s">
        <v>536</v>
      </c>
      <c r="F45" s="39">
        <v>39208</v>
      </c>
      <c r="G45" s="9" t="s">
        <v>545</v>
      </c>
    </row>
    <row r="46" spans="1:12" ht="23" customHeight="1">
      <c r="A46" s="9" t="s">
        <v>117</v>
      </c>
      <c r="B46" s="6">
        <v>175</v>
      </c>
      <c r="C46" s="6">
        <v>10</v>
      </c>
      <c r="D46" s="9" t="s">
        <v>544</v>
      </c>
      <c r="E46" s="9" t="s">
        <v>536</v>
      </c>
      <c r="F46" s="39">
        <v>207242</v>
      </c>
      <c r="G46" s="9" t="s">
        <v>546</v>
      </c>
    </row>
    <row r="47" spans="1:12" ht="23" customHeight="1">
      <c r="A47" s="9" t="s">
        <v>117</v>
      </c>
      <c r="B47" s="6">
        <v>176</v>
      </c>
      <c r="C47" s="6">
        <v>10</v>
      </c>
      <c r="D47" s="9" t="s">
        <v>544</v>
      </c>
      <c r="E47" s="9" t="s">
        <v>536</v>
      </c>
      <c r="F47" s="39">
        <v>73805</v>
      </c>
      <c r="G47" s="9" t="s">
        <v>547</v>
      </c>
    </row>
    <row r="48" spans="1:12" ht="23" customHeight="1">
      <c r="A48" s="9" t="s">
        <v>117</v>
      </c>
      <c r="B48" s="6">
        <v>177</v>
      </c>
      <c r="C48" s="6">
        <v>10</v>
      </c>
      <c r="D48" s="9" t="s">
        <v>544</v>
      </c>
      <c r="E48" s="9" t="s">
        <v>536</v>
      </c>
      <c r="F48" s="39">
        <v>179236</v>
      </c>
      <c r="G48" s="9" t="s">
        <v>548</v>
      </c>
    </row>
    <row r="49" spans="1:12" ht="23" customHeight="1">
      <c r="A49" s="9" t="s">
        <v>117</v>
      </c>
      <c r="B49" s="6">
        <v>178</v>
      </c>
      <c r="C49" s="6">
        <v>10</v>
      </c>
      <c r="D49" s="9" t="s">
        <v>544</v>
      </c>
      <c r="E49" s="9" t="s">
        <v>536</v>
      </c>
      <c r="F49" s="39">
        <v>285987</v>
      </c>
      <c r="G49" s="9" t="s">
        <v>549</v>
      </c>
    </row>
    <row r="50" spans="1:12" ht="23" customHeight="1">
      <c r="A50" s="9" t="s">
        <v>117</v>
      </c>
      <c r="B50" s="6">
        <v>179</v>
      </c>
      <c r="C50" s="6">
        <v>10</v>
      </c>
      <c r="D50" s="9" t="s">
        <v>544</v>
      </c>
      <c r="E50" s="9" t="s">
        <v>536</v>
      </c>
      <c r="F50" s="39">
        <v>268854</v>
      </c>
      <c r="G50" s="9" t="s">
        <v>540</v>
      </c>
    </row>
    <row r="51" spans="1:12" ht="23" customHeight="1">
      <c r="A51" s="9" t="s">
        <v>117</v>
      </c>
      <c r="B51" s="6">
        <v>180</v>
      </c>
      <c r="C51" s="6">
        <v>10</v>
      </c>
      <c r="D51" s="9" t="s">
        <v>544</v>
      </c>
      <c r="E51" s="9" t="s">
        <v>536</v>
      </c>
      <c r="F51" s="39">
        <v>129155</v>
      </c>
      <c r="G51" s="9" t="s">
        <v>550</v>
      </c>
    </row>
    <row r="52" spans="1:12" ht="23" customHeight="1">
      <c r="A52" s="9" t="s">
        <v>117</v>
      </c>
      <c r="B52" s="6">
        <v>174</v>
      </c>
      <c r="C52" s="6">
        <v>11</v>
      </c>
      <c r="D52" s="9" t="s">
        <v>551</v>
      </c>
      <c r="E52" s="9" t="s">
        <v>536</v>
      </c>
      <c r="F52" s="39">
        <v>58812</v>
      </c>
      <c r="G52" s="9" t="s">
        <v>537</v>
      </c>
    </row>
    <row r="53" spans="1:12" ht="23" customHeight="1">
      <c r="A53" s="9" t="s">
        <v>117</v>
      </c>
      <c r="B53" s="6">
        <v>175</v>
      </c>
      <c r="C53" s="6">
        <v>11</v>
      </c>
      <c r="D53" s="9" t="s">
        <v>551</v>
      </c>
      <c r="E53" s="9" t="s">
        <v>536</v>
      </c>
      <c r="F53" s="39">
        <v>310863</v>
      </c>
      <c r="G53" s="9" t="s">
        <v>538</v>
      </c>
    </row>
    <row r="54" spans="1:12" ht="24" customHeight="1">
      <c r="A54" s="3" t="s">
        <v>530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36" customHeight="1">
      <c r="A55" s="4" t="s">
        <v>108</v>
      </c>
      <c r="B55" s="4" t="s">
        <v>148</v>
      </c>
      <c r="C55" s="4" t="s">
        <v>531</v>
      </c>
      <c r="D55" s="4" t="s">
        <v>163</v>
      </c>
      <c r="E55" s="4" t="s">
        <v>532</v>
      </c>
      <c r="F55" s="4" t="s">
        <v>533</v>
      </c>
      <c r="G55" s="4" t="s">
        <v>534</v>
      </c>
    </row>
    <row r="56" spans="1:12" ht="23" customHeight="1">
      <c r="A56" s="9" t="s">
        <v>117</v>
      </c>
      <c r="B56" s="6">
        <v>176</v>
      </c>
      <c r="C56" s="6">
        <v>11</v>
      </c>
      <c r="D56" s="9" t="s">
        <v>551</v>
      </c>
      <c r="E56" s="9" t="s">
        <v>536</v>
      </c>
      <c r="F56" s="39">
        <v>110708</v>
      </c>
      <c r="G56" s="9" t="s">
        <v>539</v>
      </c>
    </row>
    <row r="57" spans="1:12" ht="23" customHeight="1">
      <c r="A57" s="9" t="s">
        <v>117</v>
      </c>
      <c r="B57" s="6">
        <v>177</v>
      </c>
      <c r="C57" s="6">
        <v>11</v>
      </c>
      <c r="D57" s="9" t="s">
        <v>551</v>
      </c>
      <c r="E57" s="9" t="s">
        <v>536</v>
      </c>
      <c r="F57" s="39">
        <v>268854</v>
      </c>
      <c r="G57" s="9" t="s">
        <v>540</v>
      </c>
    </row>
    <row r="58" spans="1:12" ht="23" customHeight="1">
      <c r="A58" s="9" t="s">
        <v>117</v>
      </c>
      <c r="B58" s="6">
        <v>178</v>
      </c>
      <c r="C58" s="6">
        <v>11</v>
      </c>
      <c r="D58" s="9" t="s">
        <v>551</v>
      </c>
      <c r="E58" s="9" t="s">
        <v>536</v>
      </c>
      <c r="F58" s="39">
        <v>428981</v>
      </c>
      <c r="G58" s="9" t="s">
        <v>541</v>
      </c>
    </row>
    <row r="59" spans="1:12" ht="23" customHeight="1">
      <c r="A59" s="9" t="s">
        <v>117</v>
      </c>
      <c r="B59" s="6">
        <v>179</v>
      </c>
      <c r="C59" s="6">
        <v>11</v>
      </c>
      <c r="D59" s="9" t="s">
        <v>551</v>
      </c>
      <c r="E59" s="9" t="s">
        <v>536</v>
      </c>
      <c r="F59" s="39">
        <v>403280</v>
      </c>
      <c r="G59" s="9" t="s">
        <v>542</v>
      </c>
    </row>
    <row r="60" spans="1:12" ht="23" customHeight="1">
      <c r="A60" s="9" t="s">
        <v>117</v>
      </c>
      <c r="B60" s="6">
        <v>180</v>
      </c>
      <c r="C60" s="6">
        <v>11</v>
      </c>
      <c r="D60" s="9" t="s">
        <v>551</v>
      </c>
      <c r="E60" s="9" t="s">
        <v>536</v>
      </c>
      <c r="F60" s="39">
        <v>193733</v>
      </c>
      <c r="G60" s="9" t="s">
        <v>543</v>
      </c>
    </row>
    <row r="61" spans="1:12" ht="23" customHeight="1">
      <c r="A61" s="9" t="s">
        <v>121</v>
      </c>
      <c r="B61" s="6">
        <v>187</v>
      </c>
      <c r="C61" s="6">
        <v>7</v>
      </c>
      <c r="D61" s="9" t="s">
        <v>552</v>
      </c>
      <c r="E61" s="9" t="s">
        <v>553</v>
      </c>
      <c r="F61" s="40">
        <v>1162.9</v>
      </c>
      <c r="G61" s="9" t="s">
        <v>554</v>
      </c>
    </row>
    <row r="62" spans="1:12" ht="23" customHeight="1">
      <c r="A62" s="9" t="s">
        <v>121</v>
      </c>
      <c r="B62" s="6">
        <v>187</v>
      </c>
      <c r="C62" s="6">
        <v>8</v>
      </c>
      <c r="D62" s="9" t="s">
        <v>555</v>
      </c>
      <c r="E62" s="9" t="s">
        <v>553</v>
      </c>
      <c r="F62" s="40">
        <v>1329.7</v>
      </c>
      <c r="G62" s="9" t="s">
        <v>556</v>
      </c>
    </row>
    <row r="63" spans="1:12" ht="23" customHeight="1">
      <c r="A63" s="9" t="s">
        <v>121</v>
      </c>
      <c r="B63" s="6">
        <v>188</v>
      </c>
      <c r="C63" s="6">
        <v>7</v>
      </c>
      <c r="D63" s="9" t="s">
        <v>552</v>
      </c>
      <c r="E63" s="9" t="s">
        <v>553</v>
      </c>
      <c r="F63" s="40">
        <v>2018.1</v>
      </c>
      <c r="G63" s="9" t="s">
        <v>557</v>
      </c>
    </row>
    <row r="64" spans="1:12" ht="23" customHeight="1">
      <c r="A64" s="9" t="s">
        <v>121</v>
      </c>
      <c r="B64" s="6">
        <v>188</v>
      </c>
      <c r="C64" s="6">
        <v>8</v>
      </c>
      <c r="D64" s="9" t="s">
        <v>555</v>
      </c>
      <c r="E64" s="9" t="s">
        <v>553</v>
      </c>
      <c r="F64" s="40">
        <v>2237.4</v>
      </c>
      <c r="G64" s="9" t="s">
        <v>558</v>
      </c>
    </row>
    <row r="65" spans="1:12" ht="23" customHeight="1">
      <c r="A65" s="9" t="s">
        <v>121</v>
      </c>
      <c r="B65" s="6">
        <v>189</v>
      </c>
      <c r="C65" s="6">
        <v>7</v>
      </c>
      <c r="D65" s="9" t="s">
        <v>552</v>
      </c>
      <c r="E65" s="9" t="s">
        <v>553</v>
      </c>
      <c r="F65" s="39">
        <v>1755</v>
      </c>
      <c r="G65" s="9" t="s">
        <v>559</v>
      </c>
    </row>
    <row r="66" spans="1:12" ht="23" customHeight="1">
      <c r="A66" s="9" t="s">
        <v>121</v>
      </c>
      <c r="B66" s="6">
        <v>189</v>
      </c>
      <c r="C66" s="6">
        <v>8</v>
      </c>
      <c r="D66" s="9" t="s">
        <v>555</v>
      </c>
      <c r="E66" s="9" t="s">
        <v>553</v>
      </c>
      <c r="F66" s="39">
        <v>1755</v>
      </c>
      <c r="G66" s="9" t="s">
        <v>559</v>
      </c>
    </row>
    <row r="67" spans="1:12" ht="23" customHeight="1">
      <c r="A67" s="9" t="s">
        <v>121</v>
      </c>
      <c r="B67" s="6">
        <v>190</v>
      </c>
      <c r="C67" s="6">
        <v>7</v>
      </c>
      <c r="D67" s="9" t="s">
        <v>552</v>
      </c>
      <c r="E67" s="9" t="s">
        <v>553</v>
      </c>
      <c r="F67" s="40">
        <v>2349.1</v>
      </c>
      <c r="G67" s="9" t="s">
        <v>560</v>
      </c>
    </row>
    <row r="68" spans="1:12" ht="23" customHeight="1">
      <c r="A68" s="9" t="s">
        <v>121</v>
      </c>
      <c r="B68" s="6">
        <v>190</v>
      </c>
      <c r="C68" s="6">
        <v>8</v>
      </c>
      <c r="D68" s="9" t="s">
        <v>555</v>
      </c>
      <c r="E68" s="9" t="s">
        <v>553</v>
      </c>
      <c r="F68" s="39">
        <v>2751</v>
      </c>
      <c r="G68" s="9" t="s">
        <v>561</v>
      </c>
    </row>
    <row r="69" spans="1:12" ht="23" customHeight="1">
      <c r="A69" s="9" t="s">
        <v>121</v>
      </c>
      <c r="B69" s="6">
        <v>191</v>
      </c>
      <c r="C69" s="6">
        <v>7</v>
      </c>
      <c r="D69" s="9" t="s">
        <v>552</v>
      </c>
      <c r="E69" s="9" t="s">
        <v>553</v>
      </c>
      <c r="F69" s="40">
        <v>6809.4</v>
      </c>
      <c r="G69" s="9" t="s">
        <v>562</v>
      </c>
    </row>
    <row r="70" spans="1:12" ht="23" customHeight="1">
      <c r="A70" s="9" t="s">
        <v>121</v>
      </c>
      <c r="B70" s="6">
        <v>191</v>
      </c>
      <c r="C70" s="6">
        <v>8</v>
      </c>
      <c r="D70" s="9" t="s">
        <v>555</v>
      </c>
      <c r="E70" s="9" t="s">
        <v>553</v>
      </c>
      <c r="F70" s="40">
        <v>6809.4</v>
      </c>
      <c r="G70" s="9" t="s">
        <v>562</v>
      </c>
    </row>
    <row r="71" spans="1:12" ht="24" customHeight="1">
      <c r="A71" s="3" t="s">
        <v>530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36" customHeight="1">
      <c r="A72" s="4" t="s">
        <v>108</v>
      </c>
      <c r="B72" s="4" t="s">
        <v>148</v>
      </c>
      <c r="C72" s="4" t="s">
        <v>531</v>
      </c>
      <c r="D72" s="4" t="s">
        <v>163</v>
      </c>
      <c r="E72" s="4" t="s">
        <v>532</v>
      </c>
      <c r="F72" s="4" t="s">
        <v>533</v>
      </c>
      <c r="G72" s="4" t="s">
        <v>534</v>
      </c>
    </row>
    <row r="73" spans="1:12" ht="23" customHeight="1">
      <c r="A73" s="9" t="s">
        <v>121</v>
      </c>
      <c r="B73" s="6">
        <v>192</v>
      </c>
      <c r="C73" s="6">
        <v>7</v>
      </c>
      <c r="D73" s="9" t="s">
        <v>552</v>
      </c>
      <c r="E73" s="9" t="s">
        <v>553</v>
      </c>
      <c r="F73" s="40">
        <v>2948.5</v>
      </c>
      <c r="G73" s="9" t="s">
        <v>563</v>
      </c>
    </row>
    <row r="74" spans="1:12" ht="23" customHeight="1">
      <c r="A74" s="9" t="s">
        <v>121</v>
      </c>
      <c r="B74" s="6">
        <v>192</v>
      </c>
      <c r="C74" s="6">
        <v>8</v>
      </c>
      <c r="D74" s="9" t="s">
        <v>555</v>
      </c>
      <c r="E74" s="9" t="s">
        <v>553</v>
      </c>
      <c r="F74" s="40">
        <v>4482.5</v>
      </c>
      <c r="G74" s="9" t="s">
        <v>564</v>
      </c>
    </row>
    <row r="75" spans="1:12" ht="23" customHeight="1">
      <c r="A75" s="9" t="s">
        <v>121</v>
      </c>
      <c r="B75" s="6">
        <v>193</v>
      </c>
      <c r="C75" s="6">
        <v>7</v>
      </c>
      <c r="D75" s="9" t="s">
        <v>552</v>
      </c>
      <c r="E75" s="9" t="s">
        <v>553</v>
      </c>
      <c r="F75" s="40">
        <v>3088.8</v>
      </c>
      <c r="G75" s="9" t="s">
        <v>565</v>
      </c>
    </row>
    <row r="76" spans="1:12" ht="23" customHeight="1">
      <c r="A76" s="9" t="s">
        <v>121</v>
      </c>
      <c r="B76" s="6">
        <v>193</v>
      </c>
      <c r="C76" s="6">
        <v>8</v>
      </c>
      <c r="D76" s="9" t="s">
        <v>555</v>
      </c>
      <c r="E76" s="9" t="s">
        <v>553</v>
      </c>
      <c r="F76" s="40">
        <v>3088.8</v>
      </c>
      <c r="G76" s="9" t="s">
        <v>565</v>
      </c>
    </row>
    <row r="77" spans="1:12" ht="23" customHeight="1">
      <c r="A77" s="9" t="s">
        <v>121</v>
      </c>
      <c r="B77" s="6">
        <v>187</v>
      </c>
      <c r="C77" s="6">
        <v>5</v>
      </c>
      <c r="D77" s="9" t="s">
        <v>566</v>
      </c>
      <c r="E77" s="9" t="s">
        <v>553</v>
      </c>
      <c r="F77" s="40">
        <v>1005.1</v>
      </c>
      <c r="G77" s="9" t="s">
        <v>567</v>
      </c>
    </row>
    <row r="78" spans="1:12" ht="23" customHeight="1">
      <c r="A78" s="9" t="s">
        <v>121</v>
      </c>
      <c r="B78" s="6">
        <v>187</v>
      </c>
      <c r="C78" s="6">
        <v>6</v>
      </c>
      <c r="D78" s="9" t="s">
        <v>568</v>
      </c>
      <c r="E78" s="9" t="s">
        <v>553</v>
      </c>
      <c r="F78" s="40">
        <v>1149.3</v>
      </c>
      <c r="G78" s="9" t="s">
        <v>569</v>
      </c>
    </row>
    <row r="79" spans="1:12" ht="23" customHeight="1">
      <c r="A79" s="9" t="s">
        <v>121</v>
      </c>
      <c r="B79" s="6">
        <v>188</v>
      </c>
      <c r="C79" s="6">
        <v>5</v>
      </c>
      <c r="D79" s="9" t="s">
        <v>566</v>
      </c>
      <c r="E79" s="9" t="s">
        <v>553</v>
      </c>
      <c r="F79" s="40">
        <v>1744.2</v>
      </c>
      <c r="G79" s="9" t="s">
        <v>570</v>
      </c>
    </row>
    <row r="80" spans="1:12" ht="23" customHeight="1">
      <c r="A80" s="9" t="s">
        <v>121</v>
      </c>
      <c r="B80" s="6">
        <v>188</v>
      </c>
      <c r="C80" s="6">
        <v>6</v>
      </c>
      <c r="D80" s="9" t="s">
        <v>568</v>
      </c>
      <c r="E80" s="9" t="s">
        <v>553</v>
      </c>
      <c r="F80" s="40">
        <v>1933.8</v>
      </c>
      <c r="G80" s="9" t="s">
        <v>571</v>
      </c>
    </row>
    <row r="81" spans="1:12" ht="23" customHeight="1">
      <c r="A81" s="9" t="s">
        <v>121</v>
      </c>
      <c r="B81" s="6">
        <v>189</v>
      </c>
      <c r="C81" s="6">
        <v>5</v>
      </c>
      <c r="D81" s="9" t="s">
        <v>566</v>
      </c>
      <c r="E81" s="9" t="s">
        <v>553</v>
      </c>
      <c r="F81" s="39">
        <v>1170</v>
      </c>
      <c r="G81" s="9" t="s">
        <v>572</v>
      </c>
    </row>
    <row r="82" spans="1:12" ht="23" customHeight="1">
      <c r="A82" s="9" t="s">
        <v>121</v>
      </c>
      <c r="B82" s="6">
        <v>189</v>
      </c>
      <c r="C82" s="6">
        <v>6</v>
      </c>
      <c r="D82" s="9" t="s">
        <v>568</v>
      </c>
      <c r="E82" s="9" t="s">
        <v>553</v>
      </c>
      <c r="F82" s="39">
        <v>1170</v>
      </c>
      <c r="G82" s="9" t="s">
        <v>572</v>
      </c>
    </row>
    <row r="83" spans="1:12" ht="23" customHeight="1">
      <c r="A83" s="9" t="s">
        <v>121</v>
      </c>
      <c r="B83" s="6">
        <v>190</v>
      </c>
      <c r="C83" s="6">
        <v>5</v>
      </c>
      <c r="D83" s="9" t="s">
        <v>566</v>
      </c>
      <c r="E83" s="9" t="s">
        <v>553</v>
      </c>
      <c r="F83" s="40">
        <v>2030.3</v>
      </c>
      <c r="G83" s="9" t="s">
        <v>573</v>
      </c>
    </row>
    <row r="84" spans="1:12" ht="23" customHeight="1">
      <c r="A84" s="9" t="s">
        <v>121</v>
      </c>
      <c r="B84" s="6">
        <v>190</v>
      </c>
      <c r="C84" s="6">
        <v>6</v>
      </c>
      <c r="D84" s="9" t="s">
        <v>568</v>
      </c>
      <c r="E84" s="9" t="s">
        <v>553</v>
      </c>
      <c r="F84" s="40">
        <v>2377.7</v>
      </c>
      <c r="G84" s="9" t="s">
        <v>574</v>
      </c>
    </row>
    <row r="85" spans="1:12" ht="23" customHeight="1">
      <c r="A85" s="9" t="s">
        <v>121</v>
      </c>
      <c r="B85" s="6">
        <v>191</v>
      </c>
      <c r="C85" s="6">
        <v>5</v>
      </c>
      <c r="D85" s="9" t="s">
        <v>566</v>
      </c>
      <c r="E85" s="9" t="s">
        <v>553</v>
      </c>
      <c r="F85" s="40">
        <v>4539.6</v>
      </c>
      <c r="G85" s="9" t="s">
        <v>575</v>
      </c>
    </row>
    <row r="86" spans="1:12" ht="23" customHeight="1">
      <c r="A86" s="9" t="s">
        <v>121</v>
      </c>
      <c r="B86" s="6">
        <v>191</v>
      </c>
      <c r="C86" s="6">
        <v>6</v>
      </c>
      <c r="D86" s="9" t="s">
        <v>568</v>
      </c>
      <c r="E86" s="9" t="s">
        <v>553</v>
      </c>
      <c r="F86" s="40">
        <v>4539.6</v>
      </c>
      <c r="G86" s="9" t="s">
        <v>575</v>
      </c>
    </row>
    <row r="87" spans="1:12" ht="23" customHeight="1">
      <c r="A87" s="9" t="s">
        <v>121</v>
      </c>
      <c r="B87" s="6">
        <v>192</v>
      </c>
      <c r="C87" s="6">
        <v>5</v>
      </c>
      <c r="D87" s="9" t="s">
        <v>566</v>
      </c>
      <c r="E87" s="9" t="s">
        <v>553</v>
      </c>
      <c r="F87" s="40">
        <v>2548.4</v>
      </c>
      <c r="G87" s="9" t="s">
        <v>576</v>
      </c>
    </row>
    <row r="88" spans="1:12" ht="24" customHeight="1">
      <c r="A88" s="3" t="s">
        <v>530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36" customHeight="1">
      <c r="A89" s="4" t="s">
        <v>108</v>
      </c>
      <c r="B89" s="4" t="s">
        <v>148</v>
      </c>
      <c r="C89" s="4" t="s">
        <v>531</v>
      </c>
      <c r="D89" s="4" t="s">
        <v>163</v>
      </c>
      <c r="E89" s="4" t="s">
        <v>532</v>
      </c>
      <c r="F89" s="4" t="s">
        <v>533</v>
      </c>
      <c r="G89" s="4" t="s">
        <v>534</v>
      </c>
    </row>
    <row r="90" spans="1:12" ht="23" customHeight="1">
      <c r="A90" s="9" t="s">
        <v>121</v>
      </c>
      <c r="B90" s="6">
        <v>192</v>
      </c>
      <c r="C90" s="6">
        <v>6</v>
      </c>
      <c r="D90" s="9" t="s">
        <v>568</v>
      </c>
      <c r="E90" s="9" t="s">
        <v>553</v>
      </c>
      <c r="F90" s="40">
        <v>3874.2</v>
      </c>
      <c r="G90" s="9" t="s">
        <v>577</v>
      </c>
    </row>
    <row r="91" spans="1:12" ht="23" customHeight="1">
      <c r="A91" s="9" t="s">
        <v>121</v>
      </c>
      <c r="B91" s="6">
        <v>193</v>
      </c>
      <c r="C91" s="6">
        <v>5</v>
      </c>
      <c r="D91" s="9" t="s">
        <v>566</v>
      </c>
      <c r="E91" s="9" t="s">
        <v>553</v>
      </c>
      <c r="F91" s="40">
        <v>2059.2</v>
      </c>
      <c r="G91" s="9" t="s">
        <v>578</v>
      </c>
    </row>
    <row r="92" spans="1:12" ht="23" customHeight="1">
      <c r="A92" s="9" t="s">
        <v>121</v>
      </c>
      <c r="B92" s="6">
        <v>193</v>
      </c>
      <c r="C92" s="6">
        <v>6</v>
      </c>
      <c r="D92" s="9" t="s">
        <v>568</v>
      </c>
      <c r="E92" s="9" t="s">
        <v>553</v>
      </c>
      <c r="F92" s="40">
        <v>2059.2</v>
      </c>
      <c r="G92" s="9" t="s">
        <v>578</v>
      </c>
    </row>
    <row r="93" spans="1:12" ht="23" customHeight="1">
      <c r="A93" s="9" t="s">
        <v>121</v>
      </c>
      <c r="B93" s="6">
        <v>187</v>
      </c>
      <c r="C93" s="6">
        <v>3</v>
      </c>
      <c r="D93" s="9" t="s">
        <v>579</v>
      </c>
      <c r="E93" s="9" t="s">
        <v>553</v>
      </c>
      <c r="F93" s="40">
        <v>2907.3</v>
      </c>
      <c r="G93" s="9" t="s">
        <v>580</v>
      </c>
    </row>
    <row r="94" spans="1:12" ht="23" customHeight="1">
      <c r="A94" s="9" t="s">
        <v>121</v>
      </c>
      <c r="B94" s="6">
        <v>187</v>
      </c>
      <c r="C94" s="6">
        <v>4</v>
      </c>
      <c r="D94" s="9" t="s">
        <v>581</v>
      </c>
      <c r="E94" s="9" t="s">
        <v>553</v>
      </c>
      <c r="F94" s="40">
        <v>3324.3</v>
      </c>
      <c r="G94" s="9" t="s">
        <v>582</v>
      </c>
    </row>
    <row r="95" spans="1:12" ht="23" customHeight="1">
      <c r="A95" s="9" t="s">
        <v>121</v>
      </c>
      <c r="B95" s="6">
        <v>188</v>
      </c>
      <c r="C95" s="6">
        <v>3</v>
      </c>
      <c r="D95" s="9" t="s">
        <v>579</v>
      </c>
      <c r="E95" s="9" t="s">
        <v>553</v>
      </c>
      <c r="F95" s="40">
        <v>5045.2</v>
      </c>
      <c r="G95" s="9" t="s">
        <v>583</v>
      </c>
    </row>
    <row r="96" spans="1:12" ht="23" customHeight="1">
      <c r="A96" s="9" t="s">
        <v>121</v>
      </c>
      <c r="B96" s="6">
        <v>188</v>
      </c>
      <c r="C96" s="6">
        <v>4</v>
      </c>
      <c r="D96" s="9" t="s">
        <v>581</v>
      </c>
      <c r="E96" s="9" t="s">
        <v>553</v>
      </c>
      <c r="F96" s="40">
        <v>5593.6</v>
      </c>
      <c r="G96" s="9" t="s">
        <v>584</v>
      </c>
    </row>
    <row r="97" spans="1:12" ht="23" customHeight="1">
      <c r="A97" s="9" t="s">
        <v>121</v>
      </c>
      <c r="B97" s="6">
        <v>189</v>
      </c>
      <c r="C97" s="6">
        <v>3</v>
      </c>
      <c r="D97" s="9" t="s">
        <v>579</v>
      </c>
      <c r="E97" s="9" t="s">
        <v>553</v>
      </c>
      <c r="F97" s="39">
        <v>1755</v>
      </c>
      <c r="G97" s="9" t="s">
        <v>559</v>
      </c>
    </row>
    <row r="98" spans="1:12" ht="23" customHeight="1">
      <c r="A98" s="9" t="s">
        <v>121</v>
      </c>
      <c r="B98" s="6">
        <v>189</v>
      </c>
      <c r="C98" s="6">
        <v>4</v>
      </c>
      <c r="D98" s="9" t="s">
        <v>581</v>
      </c>
      <c r="E98" s="9" t="s">
        <v>553</v>
      </c>
      <c r="F98" s="39">
        <v>1755</v>
      </c>
      <c r="G98" s="9" t="s">
        <v>559</v>
      </c>
    </row>
    <row r="99" spans="1:12" ht="23" customHeight="1">
      <c r="A99" s="9" t="s">
        <v>121</v>
      </c>
      <c r="B99" s="6">
        <v>190</v>
      </c>
      <c r="C99" s="6">
        <v>3</v>
      </c>
      <c r="D99" s="9" t="s">
        <v>579</v>
      </c>
      <c r="E99" s="9" t="s">
        <v>553</v>
      </c>
      <c r="F99" s="40">
        <v>5872.6</v>
      </c>
      <c r="G99" s="9" t="s">
        <v>585</v>
      </c>
    </row>
    <row r="100" spans="1:12" ht="23" customHeight="1">
      <c r="A100" s="9" t="s">
        <v>121</v>
      </c>
      <c r="B100" s="6">
        <v>190</v>
      </c>
      <c r="C100" s="6">
        <v>4</v>
      </c>
      <c r="D100" s="9" t="s">
        <v>581</v>
      </c>
      <c r="E100" s="9" t="s">
        <v>553</v>
      </c>
      <c r="F100" s="40">
        <v>6877.6</v>
      </c>
      <c r="G100" s="9" t="s">
        <v>586</v>
      </c>
    </row>
    <row r="101" spans="1:12" ht="23" customHeight="1">
      <c r="A101" s="9" t="s">
        <v>121</v>
      </c>
      <c r="B101" s="6">
        <v>191</v>
      </c>
      <c r="C101" s="6">
        <v>3</v>
      </c>
      <c r="D101" s="9" t="s">
        <v>579</v>
      </c>
      <c r="E101" s="9" t="s">
        <v>553</v>
      </c>
      <c r="F101" s="40">
        <v>6809.4</v>
      </c>
      <c r="G101" s="9" t="s">
        <v>562</v>
      </c>
    </row>
    <row r="102" spans="1:12" ht="23" customHeight="1">
      <c r="A102" s="9" t="s">
        <v>121</v>
      </c>
      <c r="B102" s="6">
        <v>191</v>
      </c>
      <c r="C102" s="6">
        <v>4</v>
      </c>
      <c r="D102" s="9" t="s">
        <v>581</v>
      </c>
      <c r="E102" s="9" t="s">
        <v>553</v>
      </c>
      <c r="F102" s="40">
        <v>6809.4</v>
      </c>
      <c r="G102" s="9" t="s">
        <v>562</v>
      </c>
    </row>
    <row r="103" spans="1:12" ht="23" customHeight="1">
      <c r="A103" s="9" t="s">
        <v>121</v>
      </c>
      <c r="B103" s="6">
        <v>192</v>
      </c>
      <c r="C103" s="6">
        <v>3</v>
      </c>
      <c r="D103" s="9" t="s">
        <v>579</v>
      </c>
      <c r="E103" s="9" t="s">
        <v>553</v>
      </c>
      <c r="F103" s="40">
        <v>7371.2</v>
      </c>
      <c r="G103" s="9" t="s">
        <v>587</v>
      </c>
    </row>
    <row r="104" spans="1:12" ht="23" customHeight="1">
      <c r="A104" s="9" t="s">
        <v>121</v>
      </c>
      <c r="B104" s="6">
        <v>192</v>
      </c>
      <c r="C104" s="6">
        <v>4</v>
      </c>
      <c r="D104" s="9" t="s">
        <v>581</v>
      </c>
      <c r="E104" s="9" t="s">
        <v>553</v>
      </c>
      <c r="F104" s="40">
        <v>11206.2</v>
      </c>
      <c r="G104" s="9" t="s">
        <v>588</v>
      </c>
    </row>
    <row r="105" spans="1:12" ht="24" customHeight="1">
      <c r="A105" s="3" t="s">
        <v>530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36" customHeight="1">
      <c r="A106" s="4" t="s">
        <v>108</v>
      </c>
      <c r="B106" s="4" t="s">
        <v>148</v>
      </c>
      <c r="C106" s="4" t="s">
        <v>531</v>
      </c>
      <c r="D106" s="4" t="s">
        <v>163</v>
      </c>
      <c r="E106" s="4" t="s">
        <v>532</v>
      </c>
      <c r="F106" s="4" t="s">
        <v>533</v>
      </c>
      <c r="G106" s="4" t="s">
        <v>534</v>
      </c>
    </row>
    <row r="107" spans="1:12" ht="23" customHeight="1">
      <c r="A107" s="9" t="s">
        <v>121</v>
      </c>
      <c r="B107" s="6">
        <v>193</v>
      </c>
      <c r="C107" s="6">
        <v>3</v>
      </c>
      <c r="D107" s="9" t="s">
        <v>579</v>
      </c>
      <c r="E107" s="9" t="s">
        <v>553</v>
      </c>
      <c r="F107" s="40">
        <v>3088.8</v>
      </c>
      <c r="G107" s="9" t="s">
        <v>565</v>
      </c>
    </row>
    <row r="108" spans="1:12" ht="23" customHeight="1">
      <c r="A108" s="9" t="s">
        <v>121</v>
      </c>
      <c r="B108" s="6">
        <v>193</v>
      </c>
      <c r="C108" s="6">
        <v>4</v>
      </c>
      <c r="D108" s="9" t="s">
        <v>581</v>
      </c>
      <c r="E108" s="9" t="s">
        <v>553</v>
      </c>
      <c r="F108" s="40">
        <v>3088.8</v>
      </c>
      <c r="G108" s="9" t="s">
        <v>565</v>
      </c>
    </row>
    <row r="109" spans="1:12" ht="23" customHeight="1">
      <c r="A109" s="9" t="s">
        <v>99</v>
      </c>
      <c r="B109" s="6">
        <v>214</v>
      </c>
      <c r="C109" s="6">
        <v>10</v>
      </c>
      <c r="D109" s="9" t="s">
        <v>589</v>
      </c>
      <c r="E109" s="9" t="s">
        <v>536</v>
      </c>
      <c r="F109" s="39">
        <v>46127</v>
      </c>
      <c r="G109" s="9" t="s">
        <v>590</v>
      </c>
    </row>
    <row r="110" spans="1:12" ht="23" customHeight="1">
      <c r="A110" s="9" t="s">
        <v>99</v>
      </c>
      <c r="B110" s="6">
        <v>246</v>
      </c>
      <c r="C110" s="6">
        <v>4</v>
      </c>
      <c r="D110" s="9" t="s">
        <v>591</v>
      </c>
      <c r="E110" s="9" t="s">
        <v>553</v>
      </c>
      <c r="F110" s="40">
        <v>294.1</v>
      </c>
      <c r="G110" s="9" t="s">
        <v>592</v>
      </c>
    </row>
    <row r="111" spans="1:12" ht="23" customHeight="1">
      <c r="A111" s="9" t="s">
        <v>99</v>
      </c>
      <c r="B111" s="6">
        <v>215</v>
      </c>
      <c r="C111" s="6">
        <v>10</v>
      </c>
      <c r="D111" s="9" t="s">
        <v>589</v>
      </c>
      <c r="E111" s="9" t="s">
        <v>536</v>
      </c>
      <c r="F111" s="39">
        <v>112020</v>
      </c>
      <c r="G111" s="9" t="s">
        <v>593</v>
      </c>
    </row>
    <row r="112" spans="1:12" ht="23" customHeight="1">
      <c r="A112" s="9" t="s">
        <v>99</v>
      </c>
      <c r="B112" s="6">
        <v>247</v>
      </c>
      <c r="C112" s="6">
        <v>4</v>
      </c>
      <c r="D112" s="9" t="s">
        <v>591</v>
      </c>
      <c r="E112" s="9" t="s">
        <v>553</v>
      </c>
      <c r="F112" s="40">
        <v>1411.5</v>
      </c>
      <c r="G112" s="9" t="s">
        <v>594</v>
      </c>
    </row>
    <row r="113" spans="1:12" ht="23" customHeight="1">
      <c r="A113" s="9" t="s">
        <v>99</v>
      </c>
      <c r="B113" s="6">
        <v>216</v>
      </c>
      <c r="C113" s="6">
        <v>10</v>
      </c>
      <c r="D113" s="9" t="s">
        <v>589</v>
      </c>
      <c r="E113" s="9" t="s">
        <v>536</v>
      </c>
      <c r="F113" s="39">
        <v>178738</v>
      </c>
      <c r="G113" s="9" t="s">
        <v>595</v>
      </c>
    </row>
    <row r="114" spans="1:12" ht="23" customHeight="1">
      <c r="A114" s="9" t="s">
        <v>99</v>
      </c>
      <c r="B114" s="6">
        <v>248</v>
      </c>
      <c r="C114" s="6">
        <v>4</v>
      </c>
      <c r="D114" s="9" t="s">
        <v>591</v>
      </c>
      <c r="E114" s="9" t="s">
        <v>553</v>
      </c>
      <c r="F114" s="40">
        <v>1140.9</v>
      </c>
      <c r="G114" s="9" t="s">
        <v>596</v>
      </c>
    </row>
    <row r="115" spans="1:12" ht="23" customHeight="1">
      <c r="A115" s="9" t="s">
        <v>99</v>
      </c>
      <c r="B115" s="6">
        <v>217</v>
      </c>
      <c r="C115" s="6">
        <v>10</v>
      </c>
      <c r="D115" s="9" t="s">
        <v>589</v>
      </c>
      <c r="E115" s="9" t="s">
        <v>536</v>
      </c>
      <c r="F115" s="39">
        <v>168029</v>
      </c>
      <c r="G115" s="9" t="s">
        <v>597</v>
      </c>
    </row>
    <row r="116" spans="1:12" ht="23" customHeight="1">
      <c r="A116" s="9" t="s">
        <v>99</v>
      </c>
      <c r="B116" s="6">
        <v>249</v>
      </c>
      <c r="C116" s="6">
        <v>4</v>
      </c>
      <c r="D116" s="9" t="s">
        <v>591</v>
      </c>
      <c r="E116" s="9" t="s">
        <v>553</v>
      </c>
      <c r="F116" s="40">
        <v>2117.2</v>
      </c>
      <c r="G116" s="9" t="s">
        <v>598</v>
      </c>
    </row>
    <row r="117" spans="1:12" ht="23" customHeight="1">
      <c r="A117" s="9" t="s">
        <v>99</v>
      </c>
      <c r="B117" s="6">
        <v>218</v>
      </c>
      <c r="C117" s="6">
        <v>10</v>
      </c>
      <c r="D117" s="9" t="s">
        <v>589</v>
      </c>
      <c r="E117" s="9" t="s">
        <v>536</v>
      </c>
      <c r="F117" s="39">
        <v>80720</v>
      </c>
      <c r="G117" s="9" t="s">
        <v>599</v>
      </c>
    </row>
    <row r="118" spans="1:12" ht="23" customHeight="1">
      <c r="A118" s="9" t="s">
        <v>99</v>
      </c>
      <c r="B118" s="6">
        <v>250</v>
      </c>
      <c r="C118" s="6">
        <v>4</v>
      </c>
      <c r="D118" s="9" t="s">
        <v>591</v>
      </c>
      <c r="E118" s="9" t="s">
        <v>553</v>
      </c>
      <c r="F118" s="40">
        <v>517.5</v>
      </c>
      <c r="G118" s="9" t="s">
        <v>600</v>
      </c>
    </row>
    <row r="119" spans="1:12" ht="23" customHeight="1">
      <c r="A119" s="9" t="s">
        <v>99</v>
      </c>
      <c r="B119" s="6">
        <v>214</v>
      </c>
      <c r="C119" s="6">
        <v>11</v>
      </c>
      <c r="D119" s="9" t="s">
        <v>589</v>
      </c>
      <c r="E119" s="9" t="s">
        <v>536</v>
      </c>
      <c r="F119" s="39">
        <v>30751</v>
      </c>
      <c r="G119" s="9" t="s">
        <v>601</v>
      </c>
    </row>
    <row r="120" spans="1:12" ht="23" customHeight="1">
      <c r="A120" s="9" t="s">
        <v>99</v>
      </c>
      <c r="B120" s="6">
        <v>246</v>
      </c>
      <c r="C120" s="6">
        <v>5</v>
      </c>
      <c r="D120" s="9" t="s">
        <v>591</v>
      </c>
      <c r="E120" s="9" t="s">
        <v>553</v>
      </c>
      <c r="F120" s="39">
        <v>196</v>
      </c>
      <c r="G120" s="9" t="s">
        <v>602</v>
      </c>
    </row>
    <row r="121" spans="1:12" ht="23" customHeight="1">
      <c r="A121" s="9" t="s">
        <v>99</v>
      </c>
      <c r="B121" s="6">
        <v>215</v>
      </c>
      <c r="C121" s="6">
        <v>11</v>
      </c>
      <c r="D121" s="9" t="s">
        <v>589</v>
      </c>
      <c r="E121" s="9" t="s">
        <v>536</v>
      </c>
      <c r="F121" s="39">
        <v>74680</v>
      </c>
      <c r="G121" s="9" t="s">
        <v>603</v>
      </c>
    </row>
    <row r="122" spans="1:12" ht="24" customHeight="1">
      <c r="A122" s="3" t="s">
        <v>530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36" customHeight="1">
      <c r="A123" s="4" t="s">
        <v>108</v>
      </c>
      <c r="B123" s="4" t="s">
        <v>148</v>
      </c>
      <c r="C123" s="4" t="s">
        <v>531</v>
      </c>
      <c r="D123" s="4" t="s">
        <v>163</v>
      </c>
      <c r="E123" s="4" t="s">
        <v>532</v>
      </c>
      <c r="F123" s="4" t="s">
        <v>533</v>
      </c>
      <c r="G123" s="4" t="s">
        <v>534</v>
      </c>
    </row>
    <row r="124" spans="1:12" ht="23" customHeight="1">
      <c r="A124" s="9" t="s">
        <v>99</v>
      </c>
      <c r="B124" s="6">
        <v>247</v>
      </c>
      <c r="C124" s="6">
        <v>5</v>
      </c>
      <c r="D124" s="9" t="s">
        <v>591</v>
      </c>
      <c r="E124" s="9" t="s">
        <v>553</v>
      </c>
      <c r="F124" s="39">
        <v>941</v>
      </c>
      <c r="G124" s="9" t="s">
        <v>604</v>
      </c>
    </row>
    <row r="125" spans="1:12" ht="23" customHeight="1">
      <c r="A125" s="9" t="s">
        <v>99</v>
      </c>
      <c r="B125" s="6">
        <v>216</v>
      </c>
      <c r="C125" s="6">
        <v>11</v>
      </c>
      <c r="D125" s="9" t="s">
        <v>589</v>
      </c>
      <c r="E125" s="9" t="s">
        <v>536</v>
      </c>
      <c r="F125" s="39">
        <v>119158</v>
      </c>
      <c r="G125" s="9" t="s">
        <v>605</v>
      </c>
    </row>
    <row r="126" spans="1:12" ht="23" customHeight="1">
      <c r="A126" s="9" t="s">
        <v>99</v>
      </c>
      <c r="B126" s="6">
        <v>248</v>
      </c>
      <c r="C126" s="6">
        <v>5</v>
      </c>
      <c r="D126" s="9" t="s">
        <v>591</v>
      </c>
      <c r="E126" s="9" t="s">
        <v>553</v>
      </c>
      <c r="F126" s="40">
        <v>760.6</v>
      </c>
      <c r="G126" s="9" t="s">
        <v>606</v>
      </c>
    </row>
    <row r="127" spans="1:12" ht="23" customHeight="1">
      <c r="A127" s="9" t="s">
        <v>99</v>
      </c>
      <c r="B127" s="6">
        <v>217</v>
      </c>
      <c r="C127" s="6">
        <v>11</v>
      </c>
      <c r="D127" s="9" t="s">
        <v>589</v>
      </c>
      <c r="E127" s="9" t="s">
        <v>536</v>
      </c>
      <c r="F127" s="39">
        <v>112020</v>
      </c>
      <c r="G127" s="9" t="s">
        <v>593</v>
      </c>
    </row>
    <row r="128" spans="1:12" ht="23" customHeight="1">
      <c r="A128" s="9" t="s">
        <v>99</v>
      </c>
      <c r="B128" s="6">
        <v>249</v>
      </c>
      <c r="C128" s="6">
        <v>5</v>
      </c>
      <c r="D128" s="9" t="s">
        <v>591</v>
      </c>
      <c r="E128" s="9" t="s">
        <v>553</v>
      </c>
      <c r="F128" s="40">
        <v>1411.5</v>
      </c>
      <c r="G128" s="9" t="s">
        <v>594</v>
      </c>
    </row>
    <row r="129" spans="1:12" ht="23" customHeight="1">
      <c r="A129" s="9" t="s">
        <v>99</v>
      </c>
      <c r="B129" s="6">
        <v>218</v>
      </c>
      <c r="C129" s="6">
        <v>11</v>
      </c>
      <c r="D129" s="9" t="s">
        <v>589</v>
      </c>
      <c r="E129" s="9" t="s">
        <v>536</v>
      </c>
      <c r="F129" s="39">
        <v>53813</v>
      </c>
      <c r="G129" s="9" t="s">
        <v>607</v>
      </c>
    </row>
    <row r="130" spans="1:12" ht="23" customHeight="1">
      <c r="A130" s="9" t="s">
        <v>99</v>
      </c>
      <c r="B130" s="6">
        <v>250</v>
      </c>
      <c r="C130" s="6">
        <v>5</v>
      </c>
      <c r="D130" s="9" t="s">
        <v>591</v>
      </c>
      <c r="E130" s="9" t="s">
        <v>553</v>
      </c>
      <c r="F130" s="39">
        <v>345</v>
      </c>
      <c r="G130" s="9" t="s">
        <v>608</v>
      </c>
    </row>
    <row r="131" spans="1:12" ht="23" customHeight="1">
      <c r="A131" s="9" t="s">
        <v>99</v>
      </c>
      <c r="B131" s="6">
        <v>214</v>
      </c>
      <c r="C131" s="6">
        <v>12</v>
      </c>
      <c r="D131" s="9" t="s">
        <v>589</v>
      </c>
      <c r="E131" s="9" t="s">
        <v>536</v>
      </c>
      <c r="F131" s="39">
        <v>46127</v>
      </c>
      <c r="G131" s="9" t="s">
        <v>590</v>
      </c>
    </row>
    <row r="132" spans="1:12" ht="23" customHeight="1">
      <c r="A132" s="9" t="s">
        <v>99</v>
      </c>
      <c r="B132" s="6">
        <v>246</v>
      </c>
      <c r="C132" s="6">
        <v>6</v>
      </c>
      <c r="D132" s="9" t="s">
        <v>591</v>
      </c>
      <c r="E132" s="9" t="s">
        <v>553</v>
      </c>
      <c r="F132" s="40">
        <v>294.1</v>
      </c>
      <c r="G132" s="9" t="s">
        <v>592</v>
      </c>
    </row>
    <row r="133" spans="1:12" ht="23" customHeight="1">
      <c r="A133" s="9" t="s">
        <v>99</v>
      </c>
      <c r="B133" s="6">
        <v>215</v>
      </c>
      <c r="C133" s="6">
        <v>12</v>
      </c>
      <c r="D133" s="9" t="s">
        <v>589</v>
      </c>
      <c r="E133" s="9" t="s">
        <v>536</v>
      </c>
      <c r="F133" s="39">
        <v>112020</v>
      </c>
      <c r="G133" s="9" t="s">
        <v>593</v>
      </c>
    </row>
    <row r="134" spans="1:12" ht="23" customHeight="1">
      <c r="A134" s="9" t="s">
        <v>99</v>
      </c>
      <c r="B134" s="6">
        <v>247</v>
      </c>
      <c r="C134" s="6">
        <v>6</v>
      </c>
      <c r="D134" s="9" t="s">
        <v>591</v>
      </c>
      <c r="E134" s="9" t="s">
        <v>553</v>
      </c>
      <c r="F134" s="40">
        <v>1411.5</v>
      </c>
      <c r="G134" s="9" t="s">
        <v>594</v>
      </c>
    </row>
    <row r="135" spans="1:12" ht="23" customHeight="1">
      <c r="A135" s="9" t="s">
        <v>99</v>
      </c>
      <c r="B135" s="6">
        <v>216</v>
      </c>
      <c r="C135" s="6">
        <v>12</v>
      </c>
      <c r="D135" s="9" t="s">
        <v>589</v>
      </c>
      <c r="E135" s="9" t="s">
        <v>536</v>
      </c>
      <c r="F135" s="39">
        <v>178738</v>
      </c>
      <c r="G135" s="9" t="s">
        <v>595</v>
      </c>
    </row>
    <row r="136" spans="1:12" ht="23" customHeight="1">
      <c r="A136" s="9" t="s">
        <v>99</v>
      </c>
      <c r="B136" s="6">
        <v>248</v>
      </c>
      <c r="C136" s="6">
        <v>6</v>
      </c>
      <c r="D136" s="9" t="s">
        <v>591</v>
      </c>
      <c r="E136" s="9" t="s">
        <v>553</v>
      </c>
      <c r="F136" s="40">
        <v>1140.9</v>
      </c>
      <c r="G136" s="9" t="s">
        <v>596</v>
      </c>
    </row>
    <row r="137" spans="1:12" ht="23" customHeight="1">
      <c r="A137" s="9" t="s">
        <v>99</v>
      </c>
      <c r="B137" s="6">
        <v>217</v>
      </c>
      <c r="C137" s="6">
        <v>12</v>
      </c>
      <c r="D137" s="9" t="s">
        <v>589</v>
      </c>
      <c r="E137" s="9" t="s">
        <v>536</v>
      </c>
      <c r="F137" s="39">
        <v>168029</v>
      </c>
      <c r="G137" s="9" t="s">
        <v>597</v>
      </c>
    </row>
    <row r="138" spans="1:12" ht="23" customHeight="1">
      <c r="A138" s="9" t="s">
        <v>99</v>
      </c>
      <c r="B138" s="6">
        <v>249</v>
      </c>
      <c r="C138" s="6">
        <v>6</v>
      </c>
      <c r="D138" s="9" t="s">
        <v>591</v>
      </c>
      <c r="E138" s="9" t="s">
        <v>553</v>
      </c>
      <c r="F138" s="40">
        <v>2117.2</v>
      </c>
      <c r="G138" s="9" t="s">
        <v>598</v>
      </c>
    </row>
    <row r="139" spans="1:12" ht="24" customHeight="1">
      <c r="A139" s="3" t="s">
        <v>530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36" customHeight="1">
      <c r="A140" s="4" t="s">
        <v>108</v>
      </c>
      <c r="B140" s="4" t="s">
        <v>148</v>
      </c>
      <c r="C140" s="4" t="s">
        <v>531</v>
      </c>
      <c r="D140" s="4" t="s">
        <v>163</v>
      </c>
      <c r="E140" s="4" t="s">
        <v>532</v>
      </c>
      <c r="F140" s="4" t="s">
        <v>533</v>
      </c>
      <c r="G140" s="4" t="s">
        <v>534</v>
      </c>
    </row>
    <row r="141" spans="1:12" ht="23" customHeight="1">
      <c r="A141" s="9" t="s">
        <v>99</v>
      </c>
      <c r="B141" s="6">
        <v>218</v>
      </c>
      <c r="C141" s="6">
        <v>12</v>
      </c>
      <c r="D141" s="9" t="s">
        <v>589</v>
      </c>
      <c r="E141" s="9" t="s">
        <v>536</v>
      </c>
      <c r="F141" s="39">
        <v>80720</v>
      </c>
      <c r="G141" s="9" t="s">
        <v>599</v>
      </c>
    </row>
    <row r="142" spans="1:12" ht="23" customHeight="1">
      <c r="A142" s="9" t="s">
        <v>99</v>
      </c>
      <c r="B142" s="6">
        <v>250</v>
      </c>
      <c r="C142" s="6">
        <v>6</v>
      </c>
      <c r="D142" s="9" t="s">
        <v>591</v>
      </c>
      <c r="E142" s="9" t="s">
        <v>553</v>
      </c>
      <c r="F142" s="40">
        <v>517.5</v>
      </c>
      <c r="G142" s="9" t="s">
        <v>600</v>
      </c>
    </row>
    <row r="143" spans="1:12" ht="23" customHeight="1">
      <c r="A143" s="9" t="s">
        <v>101</v>
      </c>
      <c r="B143" s="6">
        <v>275</v>
      </c>
      <c r="C143" s="6">
        <v>4</v>
      </c>
      <c r="D143" s="9" t="s">
        <v>609</v>
      </c>
      <c r="E143" s="9" t="s">
        <v>553</v>
      </c>
      <c r="F143" s="39">
        <v>327072</v>
      </c>
      <c r="G143" s="9" t="s">
        <v>610</v>
      </c>
    </row>
    <row r="144" spans="1:12" ht="23" customHeight="1">
      <c r="A144" s="9" t="s">
        <v>101</v>
      </c>
      <c r="B144" s="6">
        <v>275</v>
      </c>
      <c r="C144" s="6">
        <v>7</v>
      </c>
      <c r="D144" s="9" t="s">
        <v>611</v>
      </c>
      <c r="E144" s="9" t="s">
        <v>553</v>
      </c>
      <c r="F144" s="39">
        <v>88418</v>
      </c>
      <c r="G144" s="9" t="s">
        <v>612</v>
      </c>
    </row>
    <row r="145" spans="1:12" ht="23" customHeight="1">
      <c r="A145" s="9" t="s">
        <v>101</v>
      </c>
      <c r="B145" s="6">
        <v>293</v>
      </c>
      <c r="C145" s="6">
        <v>1</v>
      </c>
      <c r="D145" s="9" t="s">
        <v>613</v>
      </c>
      <c r="E145" s="9" t="s">
        <v>614</v>
      </c>
      <c r="F145" s="40">
        <v>7167.5</v>
      </c>
      <c r="G145" s="9" t="s">
        <v>615</v>
      </c>
    </row>
    <row r="146" spans="1:12" ht="23" customHeight="1">
      <c r="A146" s="9" t="s">
        <v>101</v>
      </c>
      <c r="B146" s="6">
        <v>293</v>
      </c>
      <c r="C146" s="6">
        <v>4</v>
      </c>
      <c r="D146" s="9" t="s">
        <v>616</v>
      </c>
      <c r="E146" s="9" t="s">
        <v>614</v>
      </c>
      <c r="F146" s="40">
        <v>16724.3</v>
      </c>
      <c r="G146" s="9" t="s">
        <v>617</v>
      </c>
    </row>
    <row r="147" spans="1:12" ht="23" customHeight="1">
      <c r="A147" s="9" t="s">
        <v>101</v>
      </c>
      <c r="B147" s="6">
        <v>275</v>
      </c>
      <c r="C147" s="6">
        <v>5</v>
      </c>
      <c r="D147" s="9" t="s">
        <v>609</v>
      </c>
      <c r="E147" s="9" t="s">
        <v>553</v>
      </c>
      <c r="F147" s="39">
        <v>218048</v>
      </c>
      <c r="G147" s="9" t="s">
        <v>618</v>
      </c>
    </row>
    <row r="148" spans="1:12" ht="23" customHeight="1">
      <c r="A148" s="9" t="s">
        <v>101</v>
      </c>
      <c r="B148" s="6">
        <v>275</v>
      </c>
      <c r="C148" s="6">
        <v>8</v>
      </c>
      <c r="D148" s="9" t="s">
        <v>611</v>
      </c>
      <c r="E148" s="9" t="s">
        <v>553</v>
      </c>
      <c r="F148" s="39">
        <v>58945</v>
      </c>
      <c r="G148" s="9" t="s">
        <v>619</v>
      </c>
    </row>
    <row r="149" spans="1:12" ht="23" customHeight="1">
      <c r="A149" s="9" t="s">
        <v>101</v>
      </c>
      <c r="B149" s="6">
        <v>293</v>
      </c>
      <c r="C149" s="6">
        <v>2</v>
      </c>
      <c r="D149" s="9" t="s">
        <v>613</v>
      </c>
      <c r="E149" s="9" t="s">
        <v>614</v>
      </c>
      <c r="F149" s="40">
        <v>4778.4</v>
      </c>
      <c r="G149" s="9" t="s">
        <v>620</v>
      </c>
    </row>
    <row r="150" spans="1:12" ht="23" customHeight="1">
      <c r="A150" s="9" t="s">
        <v>101</v>
      </c>
      <c r="B150" s="6">
        <v>293</v>
      </c>
      <c r="C150" s="6">
        <v>5</v>
      </c>
      <c r="D150" s="9" t="s">
        <v>616</v>
      </c>
      <c r="E150" s="9" t="s">
        <v>614</v>
      </c>
      <c r="F150" s="40">
        <v>11149.5</v>
      </c>
      <c r="G150" s="9" t="s">
        <v>621</v>
      </c>
    </row>
    <row r="151" spans="1:12" ht="23" customHeight="1">
      <c r="A151" s="9" t="s">
        <v>101</v>
      </c>
      <c r="B151" s="6">
        <v>275</v>
      </c>
      <c r="C151" s="6">
        <v>6</v>
      </c>
      <c r="D151" s="9" t="s">
        <v>609</v>
      </c>
      <c r="E151" s="9" t="s">
        <v>553</v>
      </c>
      <c r="F151" s="39">
        <v>327072</v>
      </c>
      <c r="G151" s="9" t="s">
        <v>610</v>
      </c>
    </row>
    <row r="152" spans="1:12" ht="23" customHeight="1">
      <c r="A152" s="9" t="s">
        <v>101</v>
      </c>
      <c r="B152" s="6">
        <v>275</v>
      </c>
      <c r="C152" s="6">
        <v>9</v>
      </c>
      <c r="D152" s="9" t="s">
        <v>611</v>
      </c>
      <c r="E152" s="9" t="s">
        <v>553</v>
      </c>
      <c r="F152" s="39">
        <v>88418</v>
      </c>
      <c r="G152" s="9" t="s">
        <v>612</v>
      </c>
    </row>
    <row r="153" spans="1:12" ht="23" customHeight="1">
      <c r="A153" s="9" t="s">
        <v>101</v>
      </c>
      <c r="B153" s="6">
        <v>293</v>
      </c>
      <c r="C153" s="6">
        <v>3</v>
      </c>
      <c r="D153" s="9" t="s">
        <v>613</v>
      </c>
      <c r="E153" s="9" t="s">
        <v>614</v>
      </c>
      <c r="F153" s="40">
        <v>7167.5</v>
      </c>
      <c r="G153" s="9" t="s">
        <v>615</v>
      </c>
    </row>
    <row r="154" spans="1:12" ht="23" customHeight="1">
      <c r="A154" s="9" t="s">
        <v>101</v>
      </c>
      <c r="B154" s="6">
        <v>293</v>
      </c>
      <c r="C154" s="6">
        <v>6</v>
      </c>
      <c r="D154" s="9" t="s">
        <v>616</v>
      </c>
      <c r="E154" s="9" t="s">
        <v>614</v>
      </c>
      <c r="F154" s="40">
        <v>16724.3</v>
      </c>
      <c r="G154" s="9" t="s">
        <v>617</v>
      </c>
    </row>
    <row r="155" spans="1:12" ht="24" customHeight="1">
      <c r="A155" s="2" t="s">
        <v>622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3" customHeight="1"/>
    <row r="157" spans="1:12" ht="24" customHeight="1">
      <c r="A157" s="3" t="s">
        <v>623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624</v>
      </c>
    </row>
    <row r="159" spans="1:12" ht="24" customHeight="1">
      <c r="A159" s="2" t="s">
        <v>625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4" customHeight="1">
      <c r="A160" s="2" t="s">
        <v>626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4" customHeight="1">
      <c r="A161" s="2" t="s">
        <v>627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4" customHeight="1">
      <c r="A162" s="2" t="s">
        <v>628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4" customHeight="1">
      <c r="A163" s="2" t="s">
        <v>629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4" customHeight="1">
      <c r="A164" s="2" t="s">
        <v>630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4" customHeight="1">
      <c r="A165" s="2" t="s">
        <v>631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32" customHeight="1">
      <c r="A166" s="2" t="s">
        <v>632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4" customHeight="1">
      <c r="A167" s="2" t="s">
        <v>633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32" customHeight="1">
      <c r="A168" s="2" t="s">
        <v>634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4" customHeight="1">
      <c r="A169" s="2" t="s">
        <v>635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32" customHeight="1">
      <c r="A170" s="2" t="s">
        <v>636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4" customHeight="1">
      <c r="A171" s="3" t="s">
        <v>623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36" customHeight="1">
      <c r="A172" s="4" t="s">
        <v>624</v>
      </c>
    </row>
    <row r="173" spans="1:12" ht="32" customHeight="1">
      <c r="A173" s="2" t="s">
        <v>637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32" customHeight="1">
      <c r="A174" s="2" t="s">
        <v>638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32" customHeight="1">
      <c r="A175" s="2" t="s">
        <v>639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4" customHeight="1">
      <c r="A176" s="2" t="s">
        <v>640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4" customHeight="1">
      <c r="A177" s="2" t="s">
        <v>641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4" customHeight="1">
      <c r="A178" s="2" t="s">
        <v>642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4" customHeight="1">
      <c r="A179" s="2" t="s">
        <v>643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4" customHeight="1">
      <c r="A180" s="2" t="s">
        <v>644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>
      <c r="A181" s="2" t="s">
        <v>645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4" customHeight="1">
      <c r="A182" s="2" t="s">
        <v>646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>
      <c r="A183" s="2" t="s">
        <v>647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4" customHeight="1">
      <c r="A184" s="2" t="s">
        <v>648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4" customHeight="1">
      <c r="A185" s="2" t="s">
        <v>649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>
      <c r="A186" s="3" t="s">
        <v>623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36" customHeight="1">
      <c r="A187" s="4" t="s">
        <v>624</v>
      </c>
    </row>
    <row r="188" spans="1:12" ht="24" customHeight="1">
      <c r="A188" s="2" t="s">
        <v>650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4" customHeight="1">
      <c r="A189" s="2" t="s">
        <v>651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>
      <c r="A190" s="2" t="s">
        <v>652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>
      <c r="A191" s="2" t="s">
        <v>653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>
      <c r="A192" s="2" t="s">
        <v>654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>
      <c r="A193" s="2" t="s">
        <v>655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>
      <c r="A194" s="2" t="s">
        <v>656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32" customHeight="1">
      <c r="A195" s="2" t="s">
        <v>657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32" customHeight="1">
      <c r="A196" s="2" t="s">
        <v>658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32" customHeight="1">
      <c r="A197" s="2" t="s">
        <v>659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32" customHeight="1">
      <c r="A198" s="2" t="s">
        <v>660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32" customHeight="1">
      <c r="A199" s="2" t="s">
        <v>661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4" customHeight="1">
      <c r="A200" s="3" t="s">
        <v>623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36" customHeight="1">
      <c r="A201" s="4" t="s">
        <v>624</v>
      </c>
    </row>
    <row r="202" spans="1:12" ht="24" customHeight="1">
      <c r="A202" s="2" t="s">
        <v>662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4" customHeight="1">
      <c r="A203" s="2" t="s">
        <v>663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>
      <c r="A204" s="2" t="s">
        <v>664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>
      <c r="A205" s="2" t="s">
        <v>665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>
      <c r="A206" s="2" t="s">
        <v>666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>
      <c r="A207" s="2" t="s">
        <v>667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>
      <c r="A208" s="2" t="s">
        <v>668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4" customHeight="1">
      <c r="A209" s="2" t="s">
        <v>669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4" customHeight="1">
      <c r="A210" s="2" t="s">
        <v>670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4" customHeight="1">
      <c r="A211" s="2" t="s">
        <v>671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4" customHeight="1">
      <c r="A212" s="2" t="s">
        <v>672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4" customHeight="1">
      <c r="A213" s="2" t="s">
        <v>673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4" customHeight="1">
      <c r="A214" s="2" t="s">
        <v>674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>
      <c r="A215" s="2" t="s">
        <v>675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4" customHeight="1">
      <c r="A216" s="3" t="s">
        <v>623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36" customHeight="1">
      <c r="A217" s="4" t="s">
        <v>624</v>
      </c>
    </row>
    <row r="218" spans="1:12" ht="24" customHeight="1">
      <c r="A218" s="2" t="s">
        <v>676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>
      <c r="A219" s="2" t="s">
        <v>677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>
      <c r="A220" s="2" t="s">
        <v>678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>
      <c r="A221" s="2" t="s">
        <v>679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>
      <c r="A222" s="2" t="s">
        <v>680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>
      <c r="A223" s="2" t="s">
        <v>681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3" customHeight="1"/>
    <row r="225" spans="1:12" ht="24" customHeight="1">
      <c r="A225" s="3" t="s">
        <v>682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36" customHeight="1">
      <c r="A226" s="4" t="s">
        <v>624</v>
      </c>
    </row>
    <row r="227" spans="1:12" ht="24" customHeight="1">
      <c r="A227" s="2" t="s">
        <v>683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>
      <c r="A228" s="2" t="s">
        <v>684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>
      <c r="A229" s="2" t="s">
        <v>685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>
      <c r="A230" s="2" t="s">
        <v>686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>
      <c r="A231" s="2" t="s">
        <v>687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4" customHeight="1">
      <c r="A232" s="3" t="s">
        <v>682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36" customHeight="1">
      <c r="A233" s="4" t="s">
        <v>624</v>
      </c>
    </row>
    <row r="234" spans="1:12" ht="24" customHeight="1">
      <c r="A234" s="2" t="s">
        <v>688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>
      <c r="A235" s="2" t="s">
        <v>689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>
      <c r="A236" s="2" t="s">
        <v>690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>
      <c r="A237" s="2" t="s">
        <v>691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>
      <c r="A238" s="2" t="s">
        <v>692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>
      <c r="A239" s="2" t="s">
        <v>693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>
      <c r="A240" s="2" t="s">
        <v>694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>
      <c r="A241" s="2" t="s">
        <v>695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4" customHeight="1">
      <c r="A242" s="2" t="s">
        <v>696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4" customHeight="1">
      <c r="A243" s="2" t="s">
        <v>697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4" customHeight="1">
      <c r="A244" s="2" t="s">
        <v>698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4" customHeight="1">
      <c r="A245" s="2" t="s">
        <v>699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>
      <c r="A246" s="2" t="s">
        <v>700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>
      <c r="A247" s="2" t="s">
        <v>701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4" customHeight="1">
      <c r="A248" s="3" t="s">
        <v>682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36" customHeight="1">
      <c r="A249" s="4" t="s">
        <v>624</v>
      </c>
    </row>
    <row r="250" spans="1:12" ht="24" customHeight="1">
      <c r="A250" s="2" t="s">
        <v>702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>
      <c r="A251" s="2" t="s">
        <v>703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704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705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706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707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708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709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710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711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712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713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714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2" t="s">
        <v>715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4" customHeight="1">
      <c r="A264" s="3" t="s">
        <v>682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36" customHeight="1">
      <c r="A265" s="4" t="s">
        <v>624</v>
      </c>
    </row>
    <row r="266" spans="1:12" ht="24" customHeight="1">
      <c r="A266" s="2" t="s">
        <v>716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717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718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719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720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721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722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723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724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725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726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727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728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2" t="s">
        <v>729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4" customHeight="1">
      <c r="A280" s="3" t="s">
        <v>682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36" customHeight="1">
      <c r="A281" s="4" t="s">
        <v>624</v>
      </c>
    </row>
    <row r="282" spans="1:12" ht="24" customHeight="1">
      <c r="A282" s="2" t="s">
        <v>730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731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732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733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734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735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736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737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738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739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740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741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742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2" t="s">
        <v>743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4" customHeight="1">
      <c r="A296" s="3" t="s">
        <v>682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36" customHeight="1">
      <c r="A297" s="4" t="s">
        <v>624</v>
      </c>
    </row>
    <row r="298" spans="1:12" ht="24" customHeight="1">
      <c r="A298" s="2" t="s">
        <v>744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745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746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747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748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749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750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751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752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753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754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755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756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2" t="s">
        <v>757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4" customHeight="1">
      <c r="A312" s="3" t="s">
        <v>682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36" customHeight="1">
      <c r="A313" s="4" t="s">
        <v>624</v>
      </c>
    </row>
    <row r="314" spans="1:12" ht="24" customHeight="1">
      <c r="A314" s="2" t="s">
        <v>758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759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760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761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762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763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764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765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766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>
      <c r="A323" s="2" t="s">
        <v>767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>
      <c r="A324" s="2" t="s">
        <v>768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>
      <c r="A325" s="2" t="s">
        <v>769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>
      <c r="A326" s="2" t="s">
        <v>770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>
      <c r="A327" s="2" t="s">
        <v>771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4" customHeight="1">
      <c r="A328" s="3" t="s">
        <v>682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36" customHeight="1">
      <c r="A329" s="4" t="s">
        <v>624</v>
      </c>
    </row>
    <row r="330" spans="1:12" ht="24" customHeight="1">
      <c r="A330" s="2" t="s">
        <v>772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>
      <c r="A331" s="2" t="s">
        <v>773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>
      <c r="A332" s="2" t="s">
        <v>774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>
      <c r="A333" s="2" t="s">
        <v>775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>
      <c r="A334" s="2" t="s">
        <v>776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>
      <c r="A335" s="2" t="s">
        <v>777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>
      <c r="A336" s="2" t="s">
        <v>778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2" t="s">
        <v>779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>
      <c r="A338" s="2" t="s">
        <v>780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>
      <c r="A339" s="2" t="s">
        <v>781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>
      <c r="A340" s="2" t="s">
        <v>782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>
      <c r="A341" s="2" t="s">
        <v>783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>
      <c r="A342" s="2" t="s">
        <v>784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>
      <c r="A343" s="2" t="s">
        <v>785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4" customHeight="1">
      <c r="A344" s="3" t="s">
        <v>682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36" customHeight="1">
      <c r="A345" s="4" t="s">
        <v>624</v>
      </c>
    </row>
    <row r="346" spans="1:12" ht="24" customHeight="1">
      <c r="A346" s="2" t="s">
        <v>786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787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788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789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790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791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792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2" t="s">
        <v>793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>
      <c r="A354" s="2" t="s">
        <v>794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>
      <c r="A355" s="2" t="s">
        <v>795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>
      <c r="A356" s="2" t="s">
        <v>796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>
      <c r="A357" s="2" t="s">
        <v>797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>
      <c r="A358" s="2" t="s">
        <v>798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>
      <c r="A359" s="2" t="s">
        <v>799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4" customHeight="1">
      <c r="A360" s="3" t="s">
        <v>682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624</v>
      </c>
    </row>
    <row r="362" spans="1:12" ht="24" customHeight="1">
      <c r="A362" s="2" t="s">
        <v>800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>
      <c r="A363" s="2" t="s">
        <v>801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>
      <c r="A364" s="2" t="s">
        <v>802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>
      <c r="A365" s="2" t="s">
        <v>803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>
      <c r="A366" s="2" t="s">
        <v>804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>
      <c r="A367" s="2" t="s">
        <v>805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>
      <c r="A368" s="2" t="s">
        <v>806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>
      <c r="A369" s="2" t="s">
        <v>807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>
      <c r="A370" s="2" t="s">
        <v>808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>
      <c r="A371" s="2" t="s">
        <v>809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>
      <c r="A372" s="2" t="s">
        <v>810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>
      <c r="A373" s="2" t="s">
        <v>811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>
      <c r="A374" s="2" t="s">
        <v>812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>
      <c r="A375" s="2" t="s">
        <v>813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4" customHeight="1">
      <c r="A376" s="3" t="s">
        <v>682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36" customHeight="1">
      <c r="A377" s="4" t="s">
        <v>624</v>
      </c>
    </row>
    <row r="378" spans="1:12" ht="24" customHeight="1">
      <c r="A378" s="2" t="s">
        <v>814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>
      <c r="A379" s="2" t="s">
        <v>815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>
      <c r="A380" s="2" t="s">
        <v>816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>
      <c r="A381" s="2" t="s">
        <v>817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>
      <c r="A382" s="2" t="s">
        <v>818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819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820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821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822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823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824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825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826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2" t="s">
        <v>827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4" customHeight="1">
      <c r="A392" s="3" t="s">
        <v>682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36" customHeight="1">
      <c r="A393" s="4" t="s">
        <v>624</v>
      </c>
    </row>
    <row r="394" spans="1:12" ht="24" customHeight="1">
      <c r="A394" s="2" t="s">
        <v>828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829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830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831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832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3" customHeight="1"/>
    <row r="400" spans="1:12" ht="24" customHeight="1">
      <c r="A400" s="3" t="s">
        <v>833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36" customHeight="1">
      <c r="A401" s="4" t="s">
        <v>163</v>
      </c>
    </row>
    <row r="402" spans="1:12" ht="24" customHeight="1">
      <c r="A402" s="2" t="s">
        <v>834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3" customHeight="1"/>
    <row r="404" spans="1:12" ht="24" customHeight="1">
      <c r="A404" s="3" t="s">
        <v>835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36" customHeight="1">
      <c r="A405" s="4" t="s">
        <v>8</v>
      </c>
      <c r="B405" s="4" t="s">
        <v>9</v>
      </c>
      <c r="C405" s="4" t="s">
        <v>147</v>
      </c>
      <c r="D405" s="4" t="s">
        <v>148</v>
      </c>
      <c r="E405" s="4" t="s">
        <v>149</v>
      </c>
      <c r="F405" s="4" t="s">
        <v>150</v>
      </c>
      <c r="G405" s="4" t="s">
        <v>125</v>
      </c>
    </row>
    <row r="406" spans="1:12" ht="23" customHeight="1">
      <c r="A406" s="6">
        <v>4</v>
      </c>
      <c r="B406" s="6">
        <v>1</v>
      </c>
      <c r="C406" s="6">
        <v>1</v>
      </c>
      <c r="D406" s="6">
        <v>174</v>
      </c>
      <c r="E406" s="35">
        <v>0</v>
      </c>
      <c r="F406" s="35">
        <v>1.5</v>
      </c>
      <c r="G406" s="36">
        <f>ROUND((F406-E406),4)</f>
        <v>1.5</v>
      </c>
    </row>
    <row r="407" spans="1:12" ht="24" customHeight="1">
      <c r="A407" s="3" t="s">
        <v>835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36" customHeight="1">
      <c r="A408" s="4" t="s">
        <v>8</v>
      </c>
      <c r="B408" s="4" t="s">
        <v>9</v>
      </c>
      <c r="C408" s="4" t="s">
        <v>147</v>
      </c>
      <c r="D408" s="4" t="s">
        <v>148</v>
      </c>
      <c r="E408" s="4" t="s">
        <v>149</v>
      </c>
      <c r="F408" s="4" t="s">
        <v>150</v>
      </c>
      <c r="G408" s="4" t="s">
        <v>125</v>
      </c>
    </row>
    <row r="409" spans="1:12" ht="23" customHeight="1">
      <c r="A409" s="6">
        <v>4</v>
      </c>
      <c r="B409" s="6">
        <v>1</v>
      </c>
      <c r="C409" s="6">
        <v>2</v>
      </c>
      <c r="D409" s="6">
        <v>175</v>
      </c>
      <c r="E409" s="35">
        <v>1.5</v>
      </c>
      <c r="F409" s="35">
        <v>2.8</v>
      </c>
      <c r="G409" s="36">
        <f>ROUND((F409-E409),4)</f>
        <v>1.3</v>
      </c>
    </row>
    <row r="410" spans="1:12" ht="23" customHeight="1">
      <c r="A410" s="6">
        <v>4</v>
      </c>
      <c r="B410" s="6">
        <v>1</v>
      </c>
      <c r="C410" s="6">
        <v>3</v>
      </c>
      <c r="D410" s="6">
        <v>176</v>
      </c>
      <c r="E410" s="35">
        <v>2.8</v>
      </c>
      <c r="F410" s="35">
        <v>5.7</v>
      </c>
      <c r="G410" s="36">
        <f>ROUND((F410-E410),4)</f>
        <v>2.9</v>
      </c>
    </row>
    <row r="411" spans="1:12" ht="23" customHeight="1">
      <c r="A411" s="6">
        <v>4</v>
      </c>
      <c r="B411" s="6">
        <v>1</v>
      </c>
      <c r="C411" s="6">
        <v>4</v>
      </c>
      <c r="D411" s="6">
        <v>177</v>
      </c>
      <c r="E411" s="35">
        <v>5.7</v>
      </c>
      <c r="F411" s="35">
        <v>8.300000000000001</v>
      </c>
      <c r="G411" s="36">
        <f>ROUND((F411-E411),4)</f>
        <v>2.6</v>
      </c>
    </row>
    <row r="412" spans="1:12" ht="23" customHeight="1">
      <c r="A412" s="6">
        <v>4</v>
      </c>
      <c r="B412" s="6">
        <v>1</v>
      </c>
      <c r="C412" s="6">
        <v>5</v>
      </c>
      <c r="D412" s="6">
        <v>178</v>
      </c>
      <c r="E412" s="35">
        <v>8.300000000000001</v>
      </c>
      <c r="F412" s="35">
        <v>8.9</v>
      </c>
      <c r="G412" s="36">
        <f>ROUND((F412-E412),4)</f>
        <v>0.6</v>
      </c>
    </row>
    <row r="413" spans="1:12" ht="23" customHeight="1">
      <c r="A413" s="6">
        <v>4</v>
      </c>
      <c r="B413" s="6">
        <v>1</v>
      </c>
      <c r="C413" s="6">
        <v>6</v>
      </c>
      <c r="D413" s="6">
        <v>179</v>
      </c>
      <c r="E413" s="35">
        <v>8.9</v>
      </c>
      <c r="F413" s="35">
        <v>18.4</v>
      </c>
      <c r="G413" s="36">
        <f>ROUND((F413-E413),4)</f>
        <v>9.5</v>
      </c>
    </row>
    <row r="414" spans="1:12" ht="23" customHeight="1">
      <c r="A414" s="6">
        <v>4</v>
      </c>
      <c r="B414" s="6">
        <v>1</v>
      </c>
      <c r="C414" s="6">
        <v>7</v>
      </c>
      <c r="D414" s="6">
        <v>180</v>
      </c>
      <c r="E414" s="35">
        <v>18.4</v>
      </c>
      <c r="F414" s="35">
        <v>31</v>
      </c>
      <c r="G414" s="36">
        <f>ROUND((F414-E414),4)</f>
        <v>12.6</v>
      </c>
    </row>
    <row r="415" spans="1:12" ht="23" customHeight="1">
      <c r="A415" s="6">
        <v>5</v>
      </c>
      <c r="B415" s="6">
        <v>2</v>
      </c>
      <c r="C415" s="6">
        <v>1</v>
      </c>
      <c r="D415" s="6">
        <v>174</v>
      </c>
      <c r="E415" s="35">
        <v>0</v>
      </c>
      <c r="F415" s="35">
        <v>1.5</v>
      </c>
      <c r="G415" s="36">
        <f>ROUND((F415-E415),4)</f>
        <v>1.5</v>
      </c>
    </row>
    <row r="416" spans="1:12" ht="23" customHeight="1">
      <c r="A416" s="6">
        <v>5</v>
      </c>
      <c r="B416" s="6">
        <v>2</v>
      </c>
      <c r="C416" s="6">
        <v>2</v>
      </c>
      <c r="D416" s="6">
        <v>175</v>
      </c>
      <c r="E416" s="35">
        <v>1.5</v>
      </c>
      <c r="F416" s="35">
        <v>2.8</v>
      </c>
      <c r="G416" s="36">
        <f>ROUND((F416-E416),4)</f>
        <v>1.3</v>
      </c>
    </row>
    <row r="417" spans="1:12" ht="23" customHeight="1">
      <c r="A417" s="6">
        <v>5</v>
      </c>
      <c r="B417" s="6">
        <v>2</v>
      </c>
      <c r="C417" s="6">
        <v>3</v>
      </c>
      <c r="D417" s="6">
        <v>176</v>
      </c>
      <c r="E417" s="35">
        <v>2.8</v>
      </c>
      <c r="F417" s="35">
        <v>5.7</v>
      </c>
      <c r="G417" s="36">
        <f>ROUND((F417-E417),4)</f>
        <v>2.9</v>
      </c>
    </row>
    <row r="418" spans="1:12" ht="23" customHeight="1">
      <c r="A418" s="6">
        <v>5</v>
      </c>
      <c r="B418" s="6">
        <v>2</v>
      </c>
      <c r="C418" s="6">
        <v>4</v>
      </c>
      <c r="D418" s="6">
        <v>177</v>
      </c>
      <c r="E418" s="35">
        <v>5.7</v>
      </c>
      <c r="F418" s="35">
        <v>8.300000000000001</v>
      </c>
      <c r="G418" s="36">
        <f>ROUND((F418-E418),4)</f>
        <v>2.6</v>
      </c>
    </row>
    <row r="419" spans="1:12" ht="23" customHeight="1">
      <c r="A419" s="6">
        <v>5</v>
      </c>
      <c r="B419" s="6">
        <v>2</v>
      </c>
      <c r="C419" s="6">
        <v>5</v>
      </c>
      <c r="D419" s="6">
        <v>178</v>
      </c>
      <c r="E419" s="35">
        <v>8.300000000000001</v>
      </c>
      <c r="F419" s="35">
        <v>8.9</v>
      </c>
      <c r="G419" s="36">
        <f>ROUND((F419-E419),4)</f>
        <v>0.6</v>
      </c>
    </row>
    <row r="420" spans="1:12" ht="23" customHeight="1">
      <c r="A420" s="6">
        <v>5</v>
      </c>
      <c r="B420" s="6">
        <v>2</v>
      </c>
      <c r="C420" s="6">
        <v>6</v>
      </c>
      <c r="D420" s="6">
        <v>179</v>
      </c>
      <c r="E420" s="35">
        <v>8.9</v>
      </c>
      <c r="F420" s="35">
        <v>18.4</v>
      </c>
      <c r="G420" s="36">
        <f>ROUND((F420-E420),4)</f>
        <v>9.5</v>
      </c>
    </row>
    <row r="421" spans="1:12" ht="23" customHeight="1">
      <c r="A421" s="6">
        <v>5</v>
      </c>
      <c r="B421" s="6">
        <v>2</v>
      </c>
      <c r="C421" s="6">
        <v>7</v>
      </c>
      <c r="D421" s="6">
        <v>180</v>
      </c>
      <c r="E421" s="35">
        <v>18.4</v>
      </c>
      <c r="F421" s="35">
        <v>31</v>
      </c>
      <c r="G421" s="36">
        <f>ROUND((F421-E421),4)</f>
        <v>12.6</v>
      </c>
    </row>
    <row r="422" spans="1:12" ht="23" customHeight="1">
      <c r="A422" s="6">
        <v>6</v>
      </c>
      <c r="B422" s="6">
        <v>3</v>
      </c>
      <c r="C422" s="6">
        <v>1</v>
      </c>
      <c r="D422" s="6">
        <v>174</v>
      </c>
      <c r="E422" s="35">
        <v>0</v>
      </c>
      <c r="F422" s="35">
        <v>1.5</v>
      </c>
      <c r="G422" s="36">
        <f>ROUND((F422-E422),4)</f>
        <v>1.5</v>
      </c>
    </row>
    <row r="423" spans="1:12" ht="23" customHeight="1">
      <c r="A423" s="6">
        <v>6</v>
      </c>
      <c r="B423" s="6">
        <v>3</v>
      </c>
      <c r="C423" s="6">
        <v>2</v>
      </c>
      <c r="D423" s="6">
        <v>175</v>
      </c>
      <c r="E423" s="35">
        <v>1.5</v>
      </c>
      <c r="F423" s="35">
        <v>2.8</v>
      </c>
      <c r="G423" s="36">
        <f>ROUND((F423-E423),4)</f>
        <v>1.3</v>
      </c>
    </row>
    <row r="424" spans="1:12" ht="24" customHeight="1">
      <c r="A424" s="3" t="s">
        <v>835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36" customHeight="1">
      <c r="A425" s="4" t="s">
        <v>8</v>
      </c>
      <c r="B425" s="4" t="s">
        <v>9</v>
      </c>
      <c r="C425" s="4" t="s">
        <v>147</v>
      </c>
      <c r="D425" s="4" t="s">
        <v>148</v>
      </c>
      <c r="E425" s="4" t="s">
        <v>149</v>
      </c>
      <c r="F425" s="4" t="s">
        <v>150</v>
      </c>
      <c r="G425" s="4" t="s">
        <v>125</v>
      </c>
    </row>
    <row r="426" spans="1:12" ht="23" customHeight="1">
      <c r="A426" s="6">
        <v>6</v>
      </c>
      <c r="B426" s="6">
        <v>3</v>
      </c>
      <c r="C426" s="6">
        <v>3</v>
      </c>
      <c r="D426" s="6">
        <v>176</v>
      </c>
      <c r="E426" s="35">
        <v>2.8</v>
      </c>
      <c r="F426" s="35">
        <v>5.7</v>
      </c>
      <c r="G426" s="36">
        <f>ROUND((F426-E426),4)</f>
        <v>2.9</v>
      </c>
    </row>
    <row r="427" spans="1:12" ht="23" customHeight="1">
      <c r="A427" s="6">
        <v>6</v>
      </c>
      <c r="B427" s="6">
        <v>3</v>
      </c>
      <c r="C427" s="6">
        <v>4</v>
      </c>
      <c r="D427" s="6">
        <v>177</v>
      </c>
      <c r="E427" s="35">
        <v>5.7</v>
      </c>
      <c r="F427" s="35">
        <v>8.300000000000001</v>
      </c>
      <c r="G427" s="36">
        <f>ROUND((F427-E427),4)</f>
        <v>2.6</v>
      </c>
    </row>
    <row r="428" spans="1:12" ht="23" customHeight="1">
      <c r="A428" s="6">
        <v>6</v>
      </c>
      <c r="B428" s="6">
        <v>3</v>
      </c>
      <c r="C428" s="6">
        <v>5</v>
      </c>
      <c r="D428" s="6">
        <v>178</v>
      </c>
      <c r="E428" s="35">
        <v>8.300000000000001</v>
      </c>
      <c r="F428" s="35">
        <v>8.9</v>
      </c>
      <c r="G428" s="36">
        <f>ROUND((F428-E428),4)</f>
        <v>0.6</v>
      </c>
    </row>
    <row r="429" spans="1:12" ht="23" customHeight="1">
      <c r="A429" s="6">
        <v>6</v>
      </c>
      <c r="B429" s="6">
        <v>3</v>
      </c>
      <c r="C429" s="6">
        <v>6</v>
      </c>
      <c r="D429" s="6">
        <v>179</v>
      </c>
      <c r="E429" s="35">
        <v>8.9</v>
      </c>
      <c r="F429" s="35">
        <v>18.4</v>
      </c>
      <c r="G429" s="36">
        <f>ROUND((F429-E429),4)</f>
        <v>9.5</v>
      </c>
    </row>
    <row r="430" spans="1:12" ht="23" customHeight="1">
      <c r="A430" s="6">
        <v>6</v>
      </c>
      <c r="B430" s="6">
        <v>3</v>
      </c>
      <c r="C430" s="6">
        <v>7</v>
      </c>
      <c r="D430" s="6">
        <v>180</v>
      </c>
      <c r="E430" s="35">
        <v>18.4</v>
      </c>
      <c r="F430" s="35">
        <v>31</v>
      </c>
      <c r="G430" s="36">
        <f>ROUND((F430-E430),4)</f>
        <v>12.6</v>
      </c>
    </row>
    <row r="431" spans="1:12" ht="23" customHeight="1"/>
    <row r="432" spans="1:12" ht="24" customHeight="1">
      <c r="A432" s="3" t="s">
        <v>836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36" customHeight="1">
      <c r="A433" s="4" t="s">
        <v>8</v>
      </c>
      <c r="B433" s="4" t="s">
        <v>9</v>
      </c>
      <c r="C433" s="4" t="s">
        <v>10</v>
      </c>
      <c r="D433" s="4" t="s">
        <v>11</v>
      </c>
      <c r="E433" s="4" t="s">
        <v>12</v>
      </c>
      <c r="F433" s="4" t="s">
        <v>144</v>
      </c>
      <c r="G433" s="4" t="s">
        <v>145</v>
      </c>
      <c r="H433" s="4" t="s">
        <v>127</v>
      </c>
    </row>
    <row r="434" spans="1:12" ht="23" customHeight="1">
      <c r="A434" s="6">
        <v>4</v>
      </c>
      <c r="B434" s="6">
        <v>1</v>
      </c>
      <c r="C434" s="6">
        <v>98</v>
      </c>
      <c r="D434" s="6">
        <v>98</v>
      </c>
      <c r="E434" s="6">
        <v>99</v>
      </c>
      <c r="F434" s="35">
        <v>0</v>
      </c>
      <c r="G434" s="35">
        <v>1.3</v>
      </c>
      <c r="H434" s="36">
        <f>ROUND((G434-F434),4)</f>
        <v>1.3</v>
      </c>
    </row>
    <row r="435" spans="1:12" ht="23" customHeight="1">
      <c r="A435" s="6">
        <v>4</v>
      </c>
      <c r="B435" s="6">
        <v>1</v>
      </c>
      <c r="C435" s="6">
        <v>99</v>
      </c>
      <c r="D435" s="6">
        <v>99</v>
      </c>
      <c r="E435" s="6">
        <v>100</v>
      </c>
      <c r="F435" s="35">
        <v>1.3</v>
      </c>
      <c r="G435" s="35">
        <v>2.6</v>
      </c>
      <c r="H435" s="36">
        <f>ROUND((G435-F435),4)</f>
        <v>1.3</v>
      </c>
    </row>
    <row r="436" spans="1:12" ht="23" customHeight="1">
      <c r="A436" s="6">
        <v>4</v>
      </c>
      <c r="B436" s="6">
        <v>1</v>
      </c>
      <c r="C436" s="6">
        <v>100</v>
      </c>
      <c r="D436" s="6">
        <v>100</v>
      </c>
      <c r="E436" s="6">
        <v>101</v>
      </c>
      <c r="F436" s="35">
        <v>2.6</v>
      </c>
      <c r="G436" s="35">
        <v>3.9</v>
      </c>
      <c r="H436" s="36">
        <f>ROUND((G436-F436),4)</f>
        <v>1.3</v>
      </c>
    </row>
    <row r="437" spans="1:12" ht="23" customHeight="1">
      <c r="A437" s="6">
        <v>4</v>
      </c>
      <c r="B437" s="6">
        <v>1</v>
      </c>
      <c r="C437" s="6">
        <v>101</v>
      </c>
      <c r="D437" s="6">
        <v>101</v>
      </c>
      <c r="E437" s="6">
        <v>102</v>
      </c>
      <c r="F437" s="35">
        <v>3.9</v>
      </c>
      <c r="G437" s="35">
        <v>5.2</v>
      </c>
      <c r="H437" s="36">
        <f>ROUND((G437-F437),4)</f>
        <v>1.3</v>
      </c>
    </row>
    <row r="438" spans="1:12" ht="23" customHeight="1">
      <c r="A438" s="6">
        <v>4</v>
      </c>
      <c r="B438" s="6">
        <v>1</v>
      </c>
      <c r="C438" s="6">
        <v>102</v>
      </c>
      <c r="D438" s="6">
        <v>102</v>
      </c>
      <c r="E438" s="6">
        <v>103</v>
      </c>
      <c r="F438" s="35">
        <v>5.2</v>
      </c>
      <c r="G438" s="35">
        <v>6.5</v>
      </c>
      <c r="H438" s="36">
        <f>ROUND((G438-F438),4)</f>
        <v>1.3</v>
      </c>
    </row>
    <row r="439" spans="1:12" ht="23" customHeight="1">
      <c r="A439" s="6">
        <v>4</v>
      </c>
      <c r="B439" s="6">
        <v>1</v>
      </c>
      <c r="C439" s="6">
        <v>103</v>
      </c>
      <c r="D439" s="6">
        <v>103</v>
      </c>
      <c r="E439" s="6">
        <v>104</v>
      </c>
      <c r="F439" s="35">
        <v>6.5</v>
      </c>
      <c r="G439" s="35">
        <v>7.8</v>
      </c>
      <c r="H439" s="36">
        <f>ROUND((G439-F439),4)</f>
        <v>1.3</v>
      </c>
    </row>
    <row r="440" spans="1:12" ht="24" customHeight="1">
      <c r="A440" s="3" t="s">
        <v>836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36" customHeight="1">
      <c r="A441" s="4" t="s">
        <v>8</v>
      </c>
      <c r="B441" s="4" t="s">
        <v>9</v>
      </c>
      <c r="C441" s="4" t="s">
        <v>10</v>
      </c>
      <c r="D441" s="4" t="s">
        <v>11</v>
      </c>
      <c r="E441" s="4" t="s">
        <v>12</v>
      </c>
      <c r="F441" s="4" t="s">
        <v>144</v>
      </c>
      <c r="G441" s="4" t="s">
        <v>145</v>
      </c>
      <c r="H441" s="4" t="s">
        <v>127</v>
      </c>
    </row>
    <row r="442" spans="1:12" ht="23" customHeight="1">
      <c r="A442" s="6">
        <v>4</v>
      </c>
      <c r="B442" s="6">
        <v>1</v>
      </c>
      <c r="C442" s="6">
        <v>104</v>
      </c>
      <c r="D442" s="6">
        <v>104</v>
      </c>
      <c r="E442" s="6">
        <v>105</v>
      </c>
      <c r="F442" s="35">
        <v>7.8</v>
      </c>
      <c r="G442" s="35">
        <v>9.1</v>
      </c>
      <c r="H442" s="36">
        <f>ROUND((G442-F442),4)</f>
        <v>1.3</v>
      </c>
    </row>
    <row r="443" spans="1:12" ht="23" customHeight="1">
      <c r="A443" s="6">
        <v>4</v>
      </c>
      <c r="B443" s="6">
        <v>1</v>
      </c>
      <c r="C443" s="6">
        <v>105</v>
      </c>
      <c r="D443" s="6">
        <v>105</v>
      </c>
      <c r="E443" s="6">
        <v>106</v>
      </c>
      <c r="F443" s="35">
        <v>9.1</v>
      </c>
      <c r="G443" s="35">
        <v>10.4</v>
      </c>
      <c r="H443" s="36">
        <f>ROUND((G443-F443),4)</f>
        <v>1.3</v>
      </c>
    </row>
    <row r="444" spans="1:12" ht="23" customHeight="1">
      <c r="A444" s="6">
        <v>4</v>
      </c>
      <c r="B444" s="6">
        <v>1</v>
      </c>
      <c r="C444" s="6">
        <v>106</v>
      </c>
      <c r="D444" s="6">
        <v>106</v>
      </c>
      <c r="E444" s="6">
        <v>107</v>
      </c>
      <c r="F444" s="35">
        <v>10.4</v>
      </c>
      <c r="G444" s="35">
        <v>11.7</v>
      </c>
      <c r="H444" s="36">
        <f>ROUND((G444-F444),4)</f>
        <v>1.3</v>
      </c>
    </row>
    <row r="445" spans="1:12" ht="23" customHeight="1">
      <c r="A445" s="6">
        <v>4</v>
      </c>
      <c r="B445" s="6">
        <v>1</v>
      </c>
      <c r="C445" s="6">
        <v>107</v>
      </c>
      <c r="D445" s="6">
        <v>107</v>
      </c>
      <c r="E445" s="6">
        <v>108</v>
      </c>
      <c r="F445" s="35">
        <v>11.7</v>
      </c>
      <c r="G445" s="35">
        <v>13</v>
      </c>
      <c r="H445" s="36">
        <f>ROUND((G445-F445),4)</f>
        <v>1.3</v>
      </c>
    </row>
    <row r="446" spans="1:12" ht="23" customHeight="1">
      <c r="A446" s="6">
        <v>4</v>
      </c>
      <c r="B446" s="6">
        <v>1</v>
      </c>
      <c r="C446" s="6">
        <v>108</v>
      </c>
      <c r="D446" s="6">
        <v>108</v>
      </c>
      <c r="E446" s="6">
        <v>109</v>
      </c>
      <c r="F446" s="35">
        <v>13</v>
      </c>
      <c r="G446" s="35">
        <v>14.3</v>
      </c>
      <c r="H446" s="36">
        <f>ROUND((G446-F446),4)</f>
        <v>1.3</v>
      </c>
    </row>
    <row r="447" spans="1:12" ht="23" customHeight="1">
      <c r="A447" s="6">
        <v>4</v>
      </c>
      <c r="B447" s="6">
        <v>1</v>
      </c>
      <c r="C447" s="6">
        <v>109</v>
      </c>
      <c r="D447" s="6">
        <v>109</v>
      </c>
      <c r="E447" s="6">
        <v>110</v>
      </c>
      <c r="F447" s="35">
        <v>14.3</v>
      </c>
      <c r="G447" s="35">
        <v>15.6</v>
      </c>
      <c r="H447" s="36">
        <f>ROUND((G447-F447),4)</f>
        <v>1.3</v>
      </c>
    </row>
    <row r="448" spans="1:12" ht="23" customHeight="1">
      <c r="A448" s="6">
        <v>4</v>
      </c>
      <c r="B448" s="6">
        <v>1</v>
      </c>
      <c r="C448" s="6">
        <v>110</v>
      </c>
      <c r="D448" s="6">
        <v>110</v>
      </c>
      <c r="E448" s="6">
        <v>111</v>
      </c>
      <c r="F448" s="35">
        <v>15.6</v>
      </c>
      <c r="G448" s="35">
        <v>16.9</v>
      </c>
      <c r="H448" s="36">
        <f>ROUND((G448-F448),4)</f>
        <v>1.3</v>
      </c>
    </row>
    <row r="449" spans="1:12" ht="23" customHeight="1">
      <c r="A449" s="6">
        <v>4</v>
      </c>
      <c r="B449" s="6">
        <v>1</v>
      </c>
      <c r="C449" s="6">
        <v>111</v>
      </c>
      <c r="D449" s="6">
        <v>111</v>
      </c>
      <c r="E449" s="6">
        <v>112</v>
      </c>
      <c r="F449" s="35">
        <v>16.9</v>
      </c>
      <c r="G449" s="35">
        <v>18.2</v>
      </c>
      <c r="H449" s="36">
        <f>ROUND((G449-F449),4)</f>
        <v>1.3</v>
      </c>
    </row>
    <row r="450" spans="1:12" ht="23" customHeight="1">
      <c r="A450" s="6">
        <v>4</v>
      </c>
      <c r="B450" s="6">
        <v>1</v>
      </c>
      <c r="C450" s="6">
        <v>112</v>
      </c>
      <c r="D450" s="6">
        <v>112</v>
      </c>
      <c r="E450" s="6">
        <v>113</v>
      </c>
      <c r="F450" s="35">
        <v>18.2</v>
      </c>
      <c r="G450" s="35">
        <v>19.5</v>
      </c>
      <c r="H450" s="36">
        <f>ROUND((G450-F450),4)</f>
        <v>1.3</v>
      </c>
    </row>
    <row r="451" spans="1:12" ht="23" customHeight="1">
      <c r="A451" s="6">
        <v>4</v>
      </c>
      <c r="B451" s="6">
        <v>1</v>
      </c>
      <c r="C451" s="6">
        <v>113</v>
      </c>
      <c r="D451" s="6">
        <v>113</v>
      </c>
      <c r="E451" s="6">
        <v>114</v>
      </c>
      <c r="F451" s="35">
        <v>19.5</v>
      </c>
      <c r="G451" s="35">
        <v>20.8</v>
      </c>
      <c r="H451" s="36">
        <f>ROUND((G451-F451),4)</f>
        <v>1.3</v>
      </c>
    </row>
    <row r="452" spans="1:12" ht="23" customHeight="1">
      <c r="A452" s="6">
        <v>4</v>
      </c>
      <c r="B452" s="6">
        <v>1</v>
      </c>
      <c r="C452" s="6">
        <v>114</v>
      </c>
      <c r="D452" s="6">
        <v>114</v>
      </c>
      <c r="E452" s="6">
        <v>115</v>
      </c>
      <c r="F452" s="35">
        <v>20.8</v>
      </c>
      <c r="G452" s="35">
        <v>22.1</v>
      </c>
      <c r="H452" s="36">
        <f>ROUND((G452-F452),4)</f>
        <v>1.3</v>
      </c>
    </row>
    <row r="453" spans="1:12" ht="23" customHeight="1">
      <c r="A453" s="6">
        <v>4</v>
      </c>
      <c r="B453" s="6">
        <v>1</v>
      </c>
      <c r="C453" s="6">
        <v>115</v>
      </c>
      <c r="D453" s="6">
        <v>115</v>
      </c>
      <c r="E453" s="6">
        <v>116</v>
      </c>
      <c r="F453" s="35">
        <v>22.1</v>
      </c>
      <c r="G453" s="35">
        <v>23.4</v>
      </c>
      <c r="H453" s="36">
        <f>ROUND((G453-F453),4)</f>
        <v>1.3</v>
      </c>
    </row>
    <row r="454" spans="1:12" ht="23" customHeight="1">
      <c r="A454" s="6">
        <v>4</v>
      </c>
      <c r="B454" s="6">
        <v>1</v>
      </c>
      <c r="C454" s="6">
        <v>116</v>
      </c>
      <c r="D454" s="6">
        <v>116</v>
      </c>
      <c r="E454" s="6">
        <v>117</v>
      </c>
      <c r="F454" s="35">
        <v>23.4</v>
      </c>
      <c r="G454" s="35">
        <v>24.7</v>
      </c>
      <c r="H454" s="36">
        <f>ROUND((G454-F454),4)</f>
        <v>1.3</v>
      </c>
    </row>
    <row r="455" spans="1:12" ht="23" customHeight="1">
      <c r="A455" s="6">
        <v>4</v>
      </c>
      <c r="B455" s="6">
        <v>1</v>
      </c>
      <c r="C455" s="6">
        <v>117</v>
      </c>
      <c r="D455" s="6">
        <v>117</v>
      </c>
      <c r="E455" s="6">
        <v>118</v>
      </c>
      <c r="F455" s="35">
        <v>24.7</v>
      </c>
      <c r="G455" s="35">
        <v>26</v>
      </c>
      <c r="H455" s="36">
        <f>ROUND((G455-F455),4)</f>
        <v>1.3</v>
      </c>
    </row>
    <row r="456" spans="1:12" ht="23" customHeight="1">
      <c r="A456" s="6">
        <v>4</v>
      </c>
      <c r="B456" s="6">
        <v>1</v>
      </c>
      <c r="C456" s="6">
        <v>118</v>
      </c>
      <c r="D456" s="6">
        <v>118</v>
      </c>
      <c r="E456" s="6">
        <v>119</v>
      </c>
      <c r="F456" s="35">
        <v>26</v>
      </c>
      <c r="G456" s="35">
        <v>27.3</v>
      </c>
      <c r="H456" s="36">
        <f>ROUND((G456-F456),4)</f>
        <v>1.3</v>
      </c>
    </row>
    <row r="457" spans="1:12" ht="24" customHeight="1">
      <c r="A457" s="3" t="s">
        <v>836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36" customHeight="1">
      <c r="A458" s="4" t="s">
        <v>8</v>
      </c>
      <c r="B458" s="4" t="s">
        <v>9</v>
      </c>
      <c r="C458" s="4" t="s">
        <v>10</v>
      </c>
      <c r="D458" s="4" t="s">
        <v>11</v>
      </c>
      <c r="E458" s="4" t="s">
        <v>12</v>
      </c>
      <c r="F458" s="4" t="s">
        <v>144</v>
      </c>
      <c r="G458" s="4" t="s">
        <v>145</v>
      </c>
      <c r="H458" s="4" t="s">
        <v>127</v>
      </c>
    </row>
    <row r="459" spans="1:12" ht="23" customHeight="1">
      <c r="A459" s="6">
        <v>4</v>
      </c>
      <c r="B459" s="6">
        <v>1</v>
      </c>
      <c r="C459" s="6">
        <v>119</v>
      </c>
      <c r="D459" s="6">
        <v>119</v>
      </c>
      <c r="E459" s="6">
        <v>120</v>
      </c>
      <c r="F459" s="35">
        <v>27.3</v>
      </c>
      <c r="G459" s="35">
        <v>28.6</v>
      </c>
      <c r="H459" s="36">
        <f>ROUND((G459-F459),4)</f>
        <v>1.3</v>
      </c>
    </row>
    <row r="460" spans="1:12" ht="23" customHeight="1">
      <c r="A460" s="6">
        <v>4</v>
      </c>
      <c r="B460" s="6">
        <v>1</v>
      </c>
      <c r="C460" s="6">
        <v>120</v>
      </c>
      <c r="D460" s="6">
        <v>120</v>
      </c>
      <c r="E460" s="6">
        <v>121</v>
      </c>
      <c r="F460" s="35">
        <v>28.6</v>
      </c>
      <c r="G460" s="35">
        <v>29.9</v>
      </c>
      <c r="H460" s="36">
        <f>ROUND((G460-F460),4)</f>
        <v>1.3</v>
      </c>
    </row>
    <row r="461" spans="1:12" ht="23" customHeight="1">
      <c r="A461" s="6">
        <v>4</v>
      </c>
      <c r="B461" s="6">
        <v>1</v>
      </c>
      <c r="C461" s="6">
        <v>121</v>
      </c>
      <c r="D461" s="6">
        <v>121</v>
      </c>
      <c r="E461" s="6">
        <v>122</v>
      </c>
      <c r="F461" s="35">
        <v>29.9</v>
      </c>
      <c r="G461" s="35">
        <v>31</v>
      </c>
      <c r="H461" s="36">
        <f>ROUND((G461-F461),4)</f>
        <v>1.1</v>
      </c>
    </row>
    <row r="462" spans="1:12" ht="23" customHeight="1">
      <c r="A462" s="6">
        <v>5</v>
      </c>
      <c r="B462" s="6">
        <v>2</v>
      </c>
      <c r="C462" s="6">
        <v>123</v>
      </c>
      <c r="D462" s="6">
        <v>123</v>
      </c>
      <c r="E462" s="6">
        <v>124</v>
      </c>
      <c r="F462" s="35">
        <v>0</v>
      </c>
      <c r="G462" s="35">
        <v>1.3</v>
      </c>
      <c r="H462" s="36">
        <f>ROUND((G462-F462),4)</f>
        <v>1.3</v>
      </c>
    </row>
    <row r="463" spans="1:12" ht="23" customHeight="1">
      <c r="A463" s="6">
        <v>5</v>
      </c>
      <c r="B463" s="6">
        <v>2</v>
      </c>
      <c r="C463" s="6">
        <v>124</v>
      </c>
      <c r="D463" s="6">
        <v>124</v>
      </c>
      <c r="E463" s="6">
        <v>125</v>
      </c>
      <c r="F463" s="35">
        <v>1.3</v>
      </c>
      <c r="G463" s="35">
        <v>2.6</v>
      </c>
      <c r="H463" s="36">
        <f>ROUND((G463-F463),4)</f>
        <v>1.3</v>
      </c>
    </row>
    <row r="464" spans="1:12" ht="23" customHeight="1">
      <c r="A464" s="6">
        <v>5</v>
      </c>
      <c r="B464" s="6">
        <v>2</v>
      </c>
      <c r="C464" s="6">
        <v>125</v>
      </c>
      <c r="D464" s="6">
        <v>125</v>
      </c>
      <c r="E464" s="6">
        <v>126</v>
      </c>
      <c r="F464" s="35">
        <v>2.6</v>
      </c>
      <c r="G464" s="35">
        <v>3.9</v>
      </c>
      <c r="H464" s="36">
        <f>ROUND((G464-F464),4)</f>
        <v>1.3</v>
      </c>
    </row>
    <row r="465" spans="1:12" ht="23" customHeight="1">
      <c r="A465" s="6">
        <v>5</v>
      </c>
      <c r="B465" s="6">
        <v>2</v>
      </c>
      <c r="C465" s="6">
        <v>126</v>
      </c>
      <c r="D465" s="6">
        <v>126</v>
      </c>
      <c r="E465" s="6">
        <v>127</v>
      </c>
      <c r="F465" s="35">
        <v>3.9</v>
      </c>
      <c r="G465" s="35">
        <v>5.2</v>
      </c>
      <c r="H465" s="36">
        <f>ROUND((G465-F465),4)</f>
        <v>1.3</v>
      </c>
    </row>
    <row r="466" spans="1:12" ht="23" customHeight="1">
      <c r="A466" s="6">
        <v>5</v>
      </c>
      <c r="B466" s="6">
        <v>2</v>
      </c>
      <c r="C466" s="6">
        <v>127</v>
      </c>
      <c r="D466" s="6">
        <v>127</v>
      </c>
      <c r="E466" s="6">
        <v>128</v>
      </c>
      <c r="F466" s="35">
        <v>5.2</v>
      </c>
      <c r="G466" s="35">
        <v>6.5</v>
      </c>
      <c r="H466" s="36">
        <f>ROUND((G466-F466),4)</f>
        <v>1.3</v>
      </c>
    </row>
    <row r="467" spans="1:12" ht="23" customHeight="1">
      <c r="A467" s="6">
        <v>5</v>
      </c>
      <c r="B467" s="6">
        <v>2</v>
      </c>
      <c r="C467" s="6">
        <v>128</v>
      </c>
      <c r="D467" s="6">
        <v>128</v>
      </c>
      <c r="E467" s="6">
        <v>129</v>
      </c>
      <c r="F467" s="35">
        <v>6.5</v>
      </c>
      <c r="G467" s="35">
        <v>7.8</v>
      </c>
      <c r="H467" s="36">
        <f>ROUND((G467-F467),4)</f>
        <v>1.3</v>
      </c>
    </row>
    <row r="468" spans="1:12" ht="23" customHeight="1">
      <c r="A468" s="6">
        <v>5</v>
      </c>
      <c r="B468" s="6">
        <v>2</v>
      </c>
      <c r="C468" s="6">
        <v>129</v>
      </c>
      <c r="D468" s="6">
        <v>129</v>
      </c>
      <c r="E468" s="6">
        <v>130</v>
      </c>
      <c r="F468" s="35">
        <v>7.8</v>
      </c>
      <c r="G468" s="35">
        <v>9.1</v>
      </c>
      <c r="H468" s="36">
        <f>ROUND((G468-F468),4)</f>
        <v>1.3</v>
      </c>
    </row>
    <row r="469" spans="1:12" ht="23" customHeight="1">
      <c r="A469" s="6">
        <v>5</v>
      </c>
      <c r="B469" s="6">
        <v>2</v>
      </c>
      <c r="C469" s="6">
        <v>130</v>
      </c>
      <c r="D469" s="6">
        <v>130</v>
      </c>
      <c r="E469" s="6">
        <v>131</v>
      </c>
      <c r="F469" s="35">
        <v>9.1</v>
      </c>
      <c r="G469" s="35">
        <v>10.4</v>
      </c>
      <c r="H469" s="36">
        <f>ROUND((G469-F469),4)</f>
        <v>1.3</v>
      </c>
    </row>
    <row r="470" spans="1:12" ht="23" customHeight="1">
      <c r="A470" s="6">
        <v>5</v>
      </c>
      <c r="B470" s="6">
        <v>2</v>
      </c>
      <c r="C470" s="6">
        <v>131</v>
      </c>
      <c r="D470" s="6">
        <v>131</v>
      </c>
      <c r="E470" s="6">
        <v>132</v>
      </c>
      <c r="F470" s="35">
        <v>10.4</v>
      </c>
      <c r="G470" s="35">
        <v>11.7</v>
      </c>
      <c r="H470" s="36">
        <f>ROUND((G470-F470),4)</f>
        <v>1.3</v>
      </c>
    </row>
    <row r="471" spans="1:12" ht="23" customHeight="1">
      <c r="A471" s="6">
        <v>5</v>
      </c>
      <c r="B471" s="6">
        <v>2</v>
      </c>
      <c r="C471" s="6">
        <v>132</v>
      </c>
      <c r="D471" s="6">
        <v>132</v>
      </c>
      <c r="E471" s="6">
        <v>133</v>
      </c>
      <c r="F471" s="35">
        <v>11.7</v>
      </c>
      <c r="G471" s="35">
        <v>13</v>
      </c>
      <c r="H471" s="36">
        <f>ROUND((G471-F471),4)</f>
        <v>1.3</v>
      </c>
    </row>
    <row r="472" spans="1:12" ht="23" customHeight="1">
      <c r="A472" s="6">
        <v>5</v>
      </c>
      <c r="B472" s="6">
        <v>2</v>
      </c>
      <c r="C472" s="6">
        <v>133</v>
      </c>
      <c r="D472" s="6">
        <v>133</v>
      </c>
      <c r="E472" s="6">
        <v>134</v>
      </c>
      <c r="F472" s="35">
        <v>13</v>
      </c>
      <c r="G472" s="35">
        <v>14.3</v>
      </c>
      <c r="H472" s="36">
        <f>ROUND((G472-F472),4)</f>
        <v>1.3</v>
      </c>
    </row>
    <row r="473" spans="1:12" ht="23" customHeight="1">
      <c r="A473" s="6">
        <v>5</v>
      </c>
      <c r="B473" s="6">
        <v>2</v>
      </c>
      <c r="C473" s="6">
        <v>134</v>
      </c>
      <c r="D473" s="6">
        <v>134</v>
      </c>
      <c r="E473" s="6">
        <v>135</v>
      </c>
      <c r="F473" s="35">
        <v>14.3</v>
      </c>
      <c r="G473" s="35">
        <v>15.6</v>
      </c>
      <c r="H473" s="36">
        <f>ROUND((G473-F473),4)</f>
        <v>1.3</v>
      </c>
    </row>
    <row r="474" spans="1:12" ht="24" customHeight="1">
      <c r="A474" s="3" t="s">
        <v>836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36" customHeight="1">
      <c r="A475" s="4" t="s">
        <v>8</v>
      </c>
      <c r="B475" s="4" t="s">
        <v>9</v>
      </c>
      <c r="C475" s="4" t="s">
        <v>10</v>
      </c>
      <c r="D475" s="4" t="s">
        <v>11</v>
      </c>
      <c r="E475" s="4" t="s">
        <v>12</v>
      </c>
      <c r="F475" s="4" t="s">
        <v>144</v>
      </c>
      <c r="G475" s="4" t="s">
        <v>145</v>
      </c>
      <c r="H475" s="4" t="s">
        <v>127</v>
      </c>
    </row>
    <row r="476" spans="1:12" ht="23" customHeight="1">
      <c r="A476" s="6">
        <v>5</v>
      </c>
      <c r="B476" s="6">
        <v>2</v>
      </c>
      <c r="C476" s="6">
        <v>135</v>
      </c>
      <c r="D476" s="6">
        <v>135</v>
      </c>
      <c r="E476" s="6">
        <v>136</v>
      </c>
      <c r="F476" s="35">
        <v>15.6</v>
      </c>
      <c r="G476" s="35">
        <v>16.9</v>
      </c>
      <c r="H476" s="36">
        <f>ROUND((G476-F476),4)</f>
        <v>1.3</v>
      </c>
    </row>
    <row r="477" spans="1:12" ht="23" customHeight="1">
      <c r="A477" s="6">
        <v>5</v>
      </c>
      <c r="B477" s="6">
        <v>2</v>
      </c>
      <c r="C477" s="6">
        <v>136</v>
      </c>
      <c r="D477" s="6">
        <v>136</v>
      </c>
      <c r="E477" s="6">
        <v>137</v>
      </c>
      <c r="F477" s="35">
        <v>16.9</v>
      </c>
      <c r="G477" s="35">
        <v>18.2</v>
      </c>
      <c r="H477" s="36">
        <f>ROUND((G477-F477),4)</f>
        <v>1.3</v>
      </c>
    </row>
    <row r="478" spans="1:12" ht="23" customHeight="1">
      <c r="A478" s="6">
        <v>5</v>
      </c>
      <c r="B478" s="6">
        <v>2</v>
      </c>
      <c r="C478" s="6">
        <v>137</v>
      </c>
      <c r="D478" s="6">
        <v>137</v>
      </c>
      <c r="E478" s="6">
        <v>138</v>
      </c>
      <c r="F478" s="35">
        <v>18.2</v>
      </c>
      <c r="G478" s="35">
        <v>19.5</v>
      </c>
      <c r="H478" s="36">
        <f>ROUND((G478-F478),4)</f>
        <v>1.3</v>
      </c>
    </row>
    <row r="479" spans="1:12" ht="23" customHeight="1">
      <c r="A479" s="6">
        <v>5</v>
      </c>
      <c r="B479" s="6">
        <v>2</v>
      </c>
      <c r="C479" s="6">
        <v>138</v>
      </c>
      <c r="D479" s="6">
        <v>138</v>
      </c>
      <c r="E479" s="6">
        <v>139</v>
      </c>
      <c r="F479" s="35">
        <v>19.5</v>
      </c>
      <c r="G479" s="35">
        <v>20.8</v>
      </c>
      <c r="H479" s="36">
        <f>ROUND((G479-F479),4)</f>
        <v>1.3</v>
      </c>
    </row>
    <row r="480" spans="1:12" ht="23" customHeight="1">
      <c r="A480" s="6">
        <v>5</v>
      </c>
      <c r="B480" s="6">
        <v>2</v>
      </c>
      <c r="C480" s="6">
        <v>139</v>
      </c>
      <c r="D480" s="6">
        <v>139</v>
      </c>
      <c r="E480" s="6">
        <v>140</v>
      </c>
      <c r="F480" s="35">
        <v>20.8</v>
      </c>
      <c r="G480" s="35">
        <v>22.1</v>
      </c>
      <c r="H480" s="36">
        <f>ROUND((G480-F480),4)</f>
        <v>1.3</v>
      </c>
    </row>
    <row r="481" spans="1:12" ht="23" customHeight="1">
      <c r="A481" s="6">
        <v>5</v>
      </c>
      <c r="B481" s="6">
        <v>2</v>
      </c>
      <c r="C481" s="6">
        <v>140</v>
      </c>
      <c r="D481" s="6">
        <v>140</v>
      </c>
      <c r="E481" s="6">
        <v>141</v>
      </c>
      <c r="F481" s="35">
        <v>22.1</v>
      </c>
      <c r="G481" s="35">
        <v>23.4</v>
      </c>
      <c r="H481" s="36">
        <f>ROUND((G481-F481),4)</f>
        <v>1.3</v>
      </c>
    </row>
    <row r="482" spans="1:12" ht="23" customHeight="1">
      <c r="A482" s="6">
        <v>5</v>
      </c>
      <c r="B482" s="6">
        <v>2</v>
      </c>
      <c r="C482" s="6">
        <v>141</v>
      </c>
      <c r="D482" s="6">
        <v>141</v>
      </c>
      <c r="E482" s="6">
        <v>142</v>
      </c>
      <c r="F482" s="35">
        <v>23.4</v>
      </c>
      <c r="G482" s="35">
        <v>24.7</v>
      </c>
      <c r="H482" s="36">
        <f>ROUND((G482-F482),4)</f>
        <v>1.3</v>
      </c>
    </row>
    <row r="483" spans="1:12" ht="23" customHeight="1">
      <c r="A483" s="6">
        <v>5</v>
      </c>
      <c r="B483" s="6">
        <v>2</v>
      </c>
      <c r="C483" s="6">
        <v>142</v>
      </c>
      <c r="D483" s="6">
        <v>142</v>
      </c>
      <c r="E483" s="6">
        <v>143</v>
      </c>
      <c r="F483" s="35">
        <v>24.7</v>
      </c>
      <c r="G483" s="35">
        <v>26</v>
      </c>
      <c r="H483" s="36">
        <f>ROUND((G483-F483),4)</f>
        <v>1.3</v>
      </c>
    </row>
    <row r="484" spans="1:12" ht="23" customHeight="1">
      <c r="A484" s="6">
        <v>5</v>
      </c>
      <c r="B484" s="6">
        <v>2</v>
      </c>
      <c r="C484" s="6">
        <v>143</v>
      </c>
      <c r="D484" s="6">
        <v>143</v>
      </c>
      <c r="E484" s="6">
        <v>144</v>
      </c>
      <c r="F484" s="35">
        <v>26</v>
      </c>
      <c r="G484" s="35">
        <v>27.3</v>
      </c>
      <c r="H484" s="36">
        <f>ROUND((G484-F484),4)</f>
        <v>1.3</v>
      </c>
    </row>
    <row r="485" spans="1:12" ht="23" customHeight="1">
      <c r="A485" s="6">
        <v>5</v>
      </c>
      <c r="B485" s="6">
        <v>2</v>
      </c>
      <c r="C485" s="6">
        <v>144</v>
      </c>
      <c r="D485" s="6">
        <v>144</v>
      </c>
      <c r="E485" s="6">
        <v>145</v>
      </c>
      <c r="F485" s="35">
        <v>27.3</v>
      </c>
      <c r="G485" s="35">
        <v>28.6</v>
      </c>
      <c r="H485" s="36">
        <f>ROUND((G485-F485),4)</f>
        <v>1.3</v>
      </c>
    </row>
    <row r="486" spans="1:12" ht="23" customHeight="1">
      <c r="A486" s="6">
        <v>5</v>
      </c>
      <c r="B486" s="6">
        <v>2</v>
      </c>
      <c r="C486" s="6">
        <v>145</v>
      </c>
      <c r="D486" s="6">
        <v>145</v>
      </c>
      <c r="E486" s="6">
        <v>146</v>
      </c>
      <c r="F486" s="35">
        <v>28.6</v>
      </c>
      <c r="G486" s="35">
        <v>29.9</v>
      </c>
      <c r="H486" s="36">
        <f>ROUND((G486-F486),4)</f>
        <v>1.3</v>
      </c>
    </row>
    <row r="487" spans="1:12" ht="23" customHeight="1">
      <c r="A487" s="6">
        <v>5</v>
      </c>
      <c r="B487" s="6">
        <v>2</v>
      </c>
      <c r="C487" s="6">
        <v>146</v>
      </c>
      <c r="D487" s="6">
        <v>146</v>
      </c>
      <c r="E487" s="6">
        <v>147</v>
      </c>
      <c r="F487" s="35">
        <v>29.9</v>
      </c>
      <c r="G487" s="35">
        <v>31</v>
      </c>
      <c r="H487" s="36">
        <f>ROUND((G487-F487),4)</f>
        <v>1.1</v>
      </c>
    </row>
    <row r="488" spans="1:12" ht="23" customHeight="1">
      <c r="A488" s="6">
        <v>6</v>
      </c>
      <c r="B488" s="6">
        <v>3</v>
      </c>
      <c r="C488" s="6">
        <v>148</v>
      </c>
      <c r="D488" s="6">
        <v>148</v>
      </c>
      <c r="E488" s="6">
        <v>149</v>
      </c>
      <c r="F488" s="35">
        <v>0</v>
      </c>
      <c r="G488" s="35">
        <v>1.3</v>
      </c>
      <c r="H488" s="36">
        <f>ROUND((G488-F488),4)</f>
        <v>1.3</v>
      </c>
    </row>
    <row r="489" spans="1:12" ht="23" customHeight="1">
      <c r="A489" s="6">
        <v>6</v>
      </c>
      <c r="B489" s="6">
        <v>3</v>
      </c>
      <c r="C489" s="6">
        <v>149</v>
      </c>
      <c r="D489" s="6">
        <v>149</v>
      </c>
      <c r="E489" s="6">
        <v>150</v>
      </c>
      <c r="F489" s="35">
        <v>1.3</v>
      </c>
      <c r="G489" s="35">
        <v>2.6</v>
      </c>
      <c r="H489" s="36">
        <f>ROUND((G489-F489),4)</f>
        <v>1.3</v>
      </c>
    </row>
    <row r="490" spans="1:12" ht="23" customHeight="1">
      <c r="A490" s="6">
        <v>6</v>
      </c>
      <c r="B490" s="6">
        <v>3</v>
      </c>
      <c r="C490" s="6">
        <v>150</v>
      </c>
      <c r="D490" s="6">
        <v>150</v>
      </c>
      <c r="E490" s="6">
        <v>151</v>
      </c>
      <c r="F490" s="35">
        <v>2.6</v>
      </c>
      <c r="G490" s="35">
        <v>3.9</v>
      </c>
      <c r="H490" s="36">
        <f>ROUND((G490-F490),4)</f>
        <v>1.3</v>
      </c>
    </row>
    <row r="491" spans="1:12" ht="24" customHeight="1">
      <c r="A491" s="3" t="s">
        <v>836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36" customHeight="1">
      <c r="A492" s="4" t="s">
        <v>8</v>
      </c>
      <c r="B492" s="4" t="s">
        <v>9</v>
      </c>
      <c r="C492" s="4" t="s">
        <v>10</v>
      </c>
      <c r="D492" s="4" t="s">
        <v>11</v>
      </c>
      <c r="E492" s="4" t="s">
        <v>12</v>
      </c>
      <c r="F492" s="4" t="s">
        <v>144</v>
      </c>
      <c r="G492" s="4" t="s">
        <v>145</v>
      </c>
      <c r="H492" s="4" t="s">
        <v>127</v>
      </c>
    </row>
    <row r="493" spans="1:12" ht="23" customHeight="1">
      <c r="A493" s="6">
        <v>6</v>
      </c>
      <c r="B493" s="6">
        <v>3</v>
      </c>
      <c r="C493" s="6">
        <v>151</v>
      </c>
      <c r="D493" s="6">
        <v>151</v>
      </c>
      <c r="E493" s="6">
        <v>152</v>
      </c>
      <c r="F493" s="35">
        <v>3.9</v>
      </c>
      <c r="G493" s="35">
        <v>5.2</v>
      </c>
      <c r="H493" s="36">
        <f>ROUND((G493-F493),4)</f>
        <v>1.3</v>
      </c>
    </row>
    <row r="494" spans="1:12" ht="23" customHeight="1">
      <c r="A494" s="6">
        <v>6</v>
      </c>
      <c r="B494" s="6">
        <v>3</v>
      </c>
      <c r="C494" s="6">
        <v>152</v>
      </c>
      <c r="D494" s="6">
        <v>152</v>
      </c>
      <c r="E494" s="6">
        <v>153</v>
      </c>
      <c r="F494" s="35">
        <v>5.2</v>
      </c>
      <c r="G494" s="35">
        <v>6.5</v>
      </c>
      <c r="H494" s="36">
        <f>ROUND((G494-F494),4)</f>
        <v>1.3</v>
      </c>
    </row>
    <row r="495" spans="1:12" ht="23" customHeight="1">
      <c r="A495" s="6">
        <v>6</v>
      </c>
      <c r="B495" s="6">
        <v>3</v>
      </c>
      <c r="C495" s="6">
        <v>153</v>
      </c>
      <c r="D495" s="6">
        <v>153</v>
      </c>
      <c r="E495" s="6">
        <v>154</v>
      </c>
      <c r="F495" s="35">
        <v>6.5</v>
      </c>
      <c r="G495" s="35">
        <v>7.8</v>
      </c>
      <c r="H495" s="36">
        <f>ROUND((G495-F495),4)</f>
        <v>1.3</v>
      </c>
    </row>
    <row r="496" spans="1:12" ht="23" customHeight="1">
      <c r="A496" s="6">
        <v>6</v>
      </c>
      <c r="B496" s="6">
        <v>3</v>
      </c>
      <c r="C496" s="6">
        <v>154</v>
      </c>
      <c r="D496" s="6">
        <v>154</v>
      </c>
      <c r="E496" s="6">
        <v>155</v>
      </c>
      <c r="F496" s="35">
        <v>7.8</v>
      </c>
      <c r="G496" s="35">
        <v>9.1</v>
      </c>
      <c r="H496" s="36">
        <f>ROUND((G496-F496),4)</f>
        <v>1.3</v>
      </c>
    </row>
    <row r="497" spans="1:12" ht="23" customHeight="1">
      <c r="A497" s="6">
        <v>6</v>
      </c>
      <c r="B497" s="6">
        <v>3</v>
      </c>
      <c r="C497" s="6">
        <v>155</v>
      </c>
      <c r="D497" s="6">
        <v>155</v>
      </c>
      <c r="E497" s="6">
        <v>156</v>
      </c>
      <c r="F497" s="35">
        <v>9.1</v>
      </c>
      <c r="G497" s="35">
        <v>10.4</v>
      </c>
      <c r="H497" s="36">
        <f>ROUND((G497-F497),4)</f>
        <v>1.3</v>
      </c>
    </row>
    <row r="498" spans="1:12" ht="23" customHeight="1">
      <c r="A498" s="6">
        <v>6</v>
      </c>
      <c r="B498" s="6">
        <v>3</v>
      </c>
      <c r="C498" s="6">
        <v>156</v>
      </c>
      <c r="D498" s="6">
        <v>156</v>
      </c>
      <c r="E498" s="6">
        <v>157</v>
      </c>
      <c r="F498" s="35">
        <v>10.4</v>
      </c>
      <c r="G498" s="35">
        <v>11.7</v>
      </c>
      <c r="H498" s="36">
        <f>ROUND((G498-F498),4)</f>
        <v>1.3</v>
      </c>
    </row>
    <row r="499" spans="1:12" ht="23" customHeight="1">
      <c r="A499" s="6">
        <v>6</v>
      </c>
      <c r="B499" s="6">
        <v>3</v>
      </c>
      <c r="C499" s="6">
        <v>157</v>
      </c>
      <c r="D499" s="6">
        <v>157</v>
      </c>
      <c r="E499" s="6">
        <v>158</v>
      </c>
      <c r="F499" s="35">
        <v>11.7</v>
      </c>
      <c r="G499" s="35">
        <v>13</v>
      </c>
      <c r="H499" s="36">
        <f>ROUND((G499-F499),4)</f>
        <v>1.3</v>
      </c>
    </row>
    <row r="500" spans="1:12" ht="23" customHeight="1">
      <c r="A500" s="6">
        <v>6</v>
      </c>
      <c r="B500" s="6">
        <v>3</v>
      </c>
      <c r="C500" s="6">
        <v>158</v>
      </c>
      <c r="D500" s="6">
        <v>158</v>
      </c>
      <c r="E500" s="6">
        <v>159</v>
      </c>
      <c r="F500" s="35">
        <v>13</v>
      </c>
      <c r="G500" s="35">
        <v>14.3</v>
      </c>
      <c r="H500" s="36">
        <f>ROUND((G500-F500),4)</f>
        <v>1.3</v>
      </c>
    </row>
    <row r="501" spans="1:12" ht="23" customHeight="1">
      <c r="A501" s="6">
        <v>6</v>
      </c>
      <c r="B501" s="6">
        <v>3</v>
      </c>
      <c r="C501" s="6">
        <v>159</v>
      </c>
      <c r="D501" s="6">
        <v>159</v>
      </c>
      <c r="E501" s="6">
        <v>160</v>
      </c>
      <c r="F501" s="35">
        <v>14.3</v>
      </c>
      <c r="G501" s="35">
        <v>15.6</v>
      </c>
      <c r="H501" s="36">
        <f>ROUND((G501-F501),4)</f>
        <v>1.3</v>
      </c>
    </row>
    <row r="502" spans="1:12" ht="23" customHeight="1">
      <c r="A502" s="6">
        <v>6</v>
      </c>
      <c r="B502" s="6">
        <v>3</v>
      </c>
      <c r="C502" s="6">
        <v>160</v>
      </c>
      <c r="D502" s="6">
        <v>160</v>
      </c>
      <c r="E502" s="6">
        <v>161</v>
      </c>
      <c r="F502" s="35">
        <v>15.6</v>
      </c>
      <c r="G502" s="35">
        <v>16.9</v>
      </c>
      <c r="H502" s="36">
        <f>ROUND((G502-F502),4)</f>
        <v>1.3</v>
      </c>
    </row>
    <row r="503" spans="1:12" ht="23" customHeight="1">
      <c r="A503" s="6">
        <v>6</v>
      </c>
      <c r="B503" s="6">
        <v>3</v>
      </c>
      <c r="C503" s="6">
        <v>161</v>
      </c>
      <c r="D503" s="6">
        <v>161</v>
      </c>
      <c r="E503" s="6">
        <v>162</v>
      </c>
      <c r="F503" s="35">
        <v>16.9</v>
      </c>
      <c r="G503" s="35">
        <v>18.2</v>
      </c>
      <c r="H503" s="36">
        <f>ROUND((G503-F503),4)</f>
        <v>1.3</v>
      </c>
    </row>
    <row r="504" spans="1:12" ht="23" customHeight="1">
      <c r="A504" s="6">
        <v>6</v>
      </c>
      <c r="B504" s="6">
        <v>3</v>
      </c>
      <c r="C504" s="6">
        <v>162</v>
      </c>
      <c r="D504" s="6">
        <v>162</v>
      </c>
      <c r="E504" s="6">
        <v>163</v>
      </c>
      <c r="F504" s="35">
        <v>18.2</v>
      </c>
      <c r="G504" s="35">
        <v>19.5</v>
      </c>
      <c r="H504" s="36">
        <f>ROUND((G504-F504),4)</f>
        <v>1.3</v>
      </c>
    </row>
    <row r="505" spans="1:12" ht="23" customHeight="1">
      <c r="A505" s="6">
        <v>6</v>
      </c>
      <c r="B505" s="6">
        <v>3</v>
      </c>
      <c r="C505" s="6">
        <v>163</v>
      </c>
      <c r="D505" s="6">
        <v>163</v>
      </c>
      <c r="E505" s="6">
        <v>164</v>
      </c>
      <c r="F505" s="35">
        <v>19.5</v>
      </c>
      <c r="G505" s="35">
        <v>20.8</v>
      </c>
      <c r="H505" s="36">
        <f>ROUND((G505-F505),4)</f>
        <v>1.3</v>
      </c>
    </row>
    <row r="506" spans="1:12" ht="23" customHeight="1">
      <c r="A506" s="6">
        <v>6</v>
      </c>
      <c r="B506" s="6">
        <v>3</v>
      </c>
      <c r="C506" s="6">
        <v>164</v>
      </c>
      <c r="D506" s="6">
        <v>164</v>
      </c>
      <c r="E506" s="6">
        <v>165</v>
      </c>
      <c r="F506" s="35">
        <v>20.8</v>
      </c>
      <c r="G506" s="35">
        <v>22.1</v>
      </c>
      <c r="H506" s="36">
        <f>ROUND((G506-F506),4)</f>
        <v>1.3</v>
      </c>
    </row>
    <row r="507" spans="1:12" ht="23" customHeight="1">
      <c r="A507" s="6">
        <v>6</v>
      </c>
      <c r="B507" s="6">
        <v>3</v>
      </c>
      <c r="C507" s="6">
        <v>165</v>
      </c>
      <c r="D507" s="6">
        <v>165</v>
      </c>
      <c r="E507" s="6">
        <v>166</v>
      </c>
      <c r="F507" s="35">
        <v>22.1</v>
      </c>
      <c r="G507" s="35">
        <v>23.4</v>
      </c>
      <c r="H507" s="36">
        <f>ROUND((G507-F507),4)</f>
        <v>1.3</v>
      </c>
    </row>
    <row r="508" spans="1:12" ht="24" customHeight="1">
      <c r="A508" s="3" t="s">
        <v>836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36" customHeight="1">
      <c r="A509" s="4" t="s">
        <v>8</v>
      </c>
      <c r="B509" s="4" t="s">
        <v>9</v>
      </c>
      <c r="C509" s="4" t="s">
        <v>10</v>
      </c>
      <c r="D509" s="4" t="s">
        <v>11</v>
      </c>
      <c r="E509" s="4" t="s">
        <v>12</v>
      </c>
      <c r="F509" s="4" t="s">
        <v>144</v>
      </c>
      <c r="G509" s="4" t="s">
        <v>145</v>
      </c>
      <c r="H509" s="4" t="s">
        <v>127</v>
      </c>
    </row>
    <row r="510" spans="1:12" ht="23" customHeight="1">
      <c r="A510" s="6">
        <v>6</v>
      </c>
      <c r="B510" s="6">
        <v>3</v>
      </c>
      <c r="C510" s="6">
        <v>166</v>
      </c>
      <c r="D510" s="6">
        <v>166</v>
      </c>
      <c r="E510" s="6">
        <v>167</v>
      </c>
      <c r="F510" s="35">
        <v>23.4</v>
      </c>
      <c r="G510" s="35">
        <v>24.7</v>
      </c>
      <c r="H510" s="36">
        <f>ROUND((G510-F510),4)</f>
        <v>1.3</v>
      </c>
    </row>
    <row r="511" spans="1:12" ht="23" customHeight="1">
      <c r="A511" s="6">
        <v>6</v>
      </c>
      <c r="B511" s="6">
        <v>3</v>
      </c>
      <c r="C511" s="6">
        <v>167</v>
      </c>
      <c r="D511" s="6">
        <v>167</v>
      </c>
      <c r="E511" s="6">
        <v>168</v>
      </c>
      <c r="F511" s="35">
        <v>24.7</v>
      </c>
      <c r="G511" s="35">
        <v>26</v>
      </c>
      <c r="H511" s="36">
        <f>ROUND((G511-F511),4)</f>
        <v>1.3</v>
      </c>
    </row>
    <row r="512" spans="1:12" ht="23" customHeight="1">
      <c r="A512" s="6">
        <v>6</v>
      </c>
      <c r="B512" s="6">
        <v>3</v>
      </c>
      <c r="C512" s="6">
        <v>168</v>
      </c>
      <c r="D512" s="6">
        <v>168</v>
      </c>
      <c r="E512" s="6">
        <v>169</v>
      </c>
      <c r="F512" s="35">
        <v>26</v>
      </c>
      <c r="G512" s="35">
        <v>27.3</v>
      </c>
      <c r="H512" s="36">
        <f>ROUND((G512-F512),4)</f>
        <v>1.3</v>
      </c>
    </row>
    <row r="513" spans="1:12" ht="23" customHeight="1">
      <c r="A513" s="6">
        <v>6</v>
      </c>
      <c r="B513" s="6">
        <v>3</v>
      </c>
      <c r="C513" s="6">
        <v>169</v>
      </c>
      <c r="D513" s="6">
        <v>169</v>
      </c>
      <c r="E513" s="6">
        <v>170</v>
      </c>
      <c r="F513" s="35">
        <v>27.3</v>
      </c>
      <c r="G513" s="35">
        <v>28.6</v>
      </c>
      <c r="H513" s="36">
        <f>ROUND((G513-F513),4)</f>
        <v>1.3</v>
      </c>
    </row>
    <row r="514" spans="1:12" ht="23" customHeight="1">
      <c r="A514" s="6">
        <v>6</v>
      </c>
      <c r="B514" s="6">
        <v>3</v>
      </c>
      <c r="C514" s="6">
        <v>170</v>
      </c>
      <c r="D514" s="6">
        <v>170</v>
      </c>
      <c r="E514" s="6">
        <v>171</v>
      </c>
      <c r="F514" s="35">
        <v>28.6</v>
      </c>
      <c r="G514" s="35">
        <v>29.9</v>
      </c>
      <c r="H514" s="36">
        <f>ROUND((G514-F514),4)</f>
        <v>1.3</v>
      </c>
    </row>
    <row r="515" spans="1:12" ht="23" customHeight="1">
      <c r="A515" s="6">
        <v>6</v>
      </c>
      <c r="B515" s="6">
        <v>3</v>
      </c>
      <c r="C515" s="6">
        <v>171</v>
      </c>
      <c r="D515" s="6">
        <v>171</v>
      </c>
      <c r="E515" s="6">
        <v>172</v>
      </c>
      <c r="F515" s="35">
        <v>29.9</v>
      </c>
      <c r="G515" s="35">
        <v>31</v>
      </c>
      <c r="H515" s="36">
        <f>ROUND((G515-F515),4)</f>
        <v>1.1</v>
      </c>
    </row>
    <row r="516" spans="1:12" ht="23" customHeight="1"/>
    <row r="517" spans="1:12" ht="24" customHeight="1">
      <c r="A517" s="3" t="s">
        <v>837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36" customHeight="1">
      <c r="A518" s="4" t="s">
        <v>8</v>
      </c>
      <c r="B518" s="4" t="s">
        <v>9</v>
      </c>
      <c r="C518" s="4" t="s">
        <v>10</v>
      </c>
      <c r="D518" s="4" t="s">
        <v>133</v>
      </c>
      <c r="E518" s="4" t="s">
        <v>838</v>
      </c>
      <c r="F518" s="4" t="s">
        <v>839</v>
      </c>
      <c r="G518" s="4" t="s">
        <v>840</v>
      </c>
      <c r="H518" s="4" t="s">
        <v>114</v>
      </c>
    </row>
    <row r="519" spans="1:12" ht="23" customHeight="1">
      <c r="A519" s="6">
        <v>4</v>
      </c>
      <c r="B519" s="6">
        <v>1</v>
      </c>
      <c r="C519" s="5" t="s">
        <v>841</v>
      </c>
      <c r="D519" s="9" t="s">
        <v>842</v>
      </c>
      <c r="E519" s="9">
        <f>'水平地盤ばね'!G3</f>
        <v>58812.0</v>
      </c>
      <c r="F519" s="6">
        <f>E519</f>
        <v>58812.0</v>
      </c>
      <c r="G519" s="7">
        <v>58812</v>
      </c>
      <c r="H519" s="9">
        <f>(F519-G519)</f>
        <v>0.0</v>
      </c>
    </row>
    <row r="520" spans="1:12" ht="23" customHeight="1">
      <c r="A520" s="6">
        <v>4</v>
      </c>
      <c r="B520" s="6">
        <v>1</v>
      </c>
      <c r="C520" s="5" t="s">
        <v>843</v>
      </c>
      <c r="D520" s="9" t="s">
        <v>844</v>
      </c>
      <c r="E520" s="9">
        <f>'水平地盤ばね'!G4</f>
        <v>272085.9230769231</v>
      </c>
      <c r="F520" s="6">
        <f>ROUND(E520,0)</f>
        <v>272086.0</v>
      </c>
      <c r="G520" s="7">
        <v>272086</v>
      </c>
      <c r="H520" s="9">
        <f>(F520-G520)</f>
        <v>0.0</v>
      </c>
    </row>
    <row r="521" spans="1:12" ht="23" customHeight="1">
      <c r="A521" s="6">
        <v>4</v>
      </c>
      <c r="B521" s="6">
        <v>1</v>
      </c>
      <c r="C521" s="5" t="s">
        <v>845</v>
      </c>
      <c r="D521" s="9" t="s">
        <v>844</v>
      </c>
      <c r="E521" s="9">
        <f>'水平地盤ばね'!G6</f>
        <v>141501.07692307694</v>
      </c>
      <c r="F521" s="6">
        <f>ROUND(E521,0)</f>
        <v>141501.0</v>
      </c>
      <c r="G521" s="7">
        <v>141501</v>
      </c>
      <c r="H521" s="9">
        <f>(F521-G521)</f>
        <v>0.0</v>
      </c>
    </row>
    <row r="522" spans="1:12" ht="23" customHeight="1">
      <c r="A522" s="6">
        <v>4</v>
      </c>
      <c r="B522" s="6">
        <v>1</v>
      </c>
      <c r="C522" s="5" t="s">
        <v>846</v>
      </c>
      <c r="D522" s="9" t="s">
        <v>842</v>
      </c>
      <c r="E522" s="9">
        <f>'水平地盤ばね'!G8</f>
        <v>110708.0</v>
      </c>
      <c r="F522" s="6">
        <f>E522</f>
        <v>110708.0</v>
      </c>
      <c r="G522" s="7">
        <v>110708</v>
      </c>
      <c r="H522" s="9">
        <f>(F522-G522)</f>
        <v>0.0</v>
      </c>
    </row>
    <row r="523" spans="1:12" ht="23" customHeight="1">
      <c r="A523" s="6">
        <v>4</v>
      </c>
      <c r="B523" s="6">
        <v>1</v>
      </c>
      <c r="C523" s="5" t="s">
        <v>847</v>
      </c>
      <c r="D523" s="9" t="s">
        <v>844</v>
      </c>
      <c r="E523" s="9">
        <f>'水平地盤ばね'!G9</f>
        <v>208028.61538461538</v>
      </c>
      <c r="F523" s="6">
        <f>ROUND(E523,0)</f>
        <v>208029.0</v>
      </c>
      <c r="G523" s="7">
        <v>208029</v>
      </c>
      <c r="H523" s="9">
        <f>(F523-G523)</f>
        <v>0.0</v>
      </c>
    </row>
    <row r="524" spans="1:12" ht="24" customHeight="1">
      <c r="A524" s="3" t="s">
        <v>837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36" customHeight="1">
      <c r="A525" s="4" t="s">
        <v>8</v>
      </c>
      <c r="B525" s="4" t="s">
        <v>9</v>
      </c>
      <c r="C525" s="4" t="s">
        <v>10</v>
      </c>
      <c r="D525" s="4" t="s">
        <v>133</v>
      </c>
      <c r="E525" s="4" t="s">
        <v>838</v>
      </c>
      <c r="F525" s="4" t="s">
        <v>839</v>
      </c>
      <c r="G525" s="4" t="s">
        <v>840</v>
      </c>
      <c r="H525" s="4" t="s">
        <v>114</v>
      </c>
    </row>
    <row r="526" spans="1:12" ht="23" customHeight="1">
      <c r="A526" s="6">
        <v>4</v>
      </c>
      <c r="B526" s="6">
        <v>1</v>
      </c>
      <c r="C526" s="5" t="s">
        <v>848</v>
      </c>
      <c r="D526" s="9" t="s">
        <v>842</v>
      </c>
      <c r="E526" s="9">
        <f>'水平地盤ばね'!G11</f>
        <v>268854.0</v>
      </c>
      <c r="F526" s="6">
        <f>E526</f>
        <v>268854.0</v>
      </c>
      <c r="G526" s="7">
        <v>268854</v>
      </c>
      <c r="H526" s="9">
        <f>(F526-G526)</f>
        <v>0.0</v>
      </c>
    </row>
    <row r="527" spans="1:12" ht="23" customHeight="1">
      <c r="A527" s="6">
        <v>4</v>
      </c>
      <c r="B527" s="6">
        <v>1</v>
      </c>
      <c r="C527" s="5" t="s">
        <v>849</v>
      </c>
      <c r="D527" s="9" t="s">
        <v>844</v>
      </c>
      <c r="E527" s="9">
        <f>'水平地盤ばね'!G12</f>
        <v>363439.69230769225</v>
      </c>
      <c r="F527" s="6">
        <f>ROUND(E527,0)</f>
        <v>363440.0</v>
      </c>
      <c r="G527" s="7">
        <v>363440</v>
      </c>
      <c r="H527" s="9">
        <f>(F527-G527)</f>
        <v>0.0</v>
      </c>
    </row>
    <row r="528" spans="1:12" ht="23" customHeight="1">
      <c r="A528" s="6">
        <v>4</v>
      </c>
      <c r="B528" s="6">
        <v>1</v>
      </c>
      <c r="C528" s="5" t="s">
        <v>850</v>
      </c>
      <c r="D528" s="9" t="s">
        <v>842</v>
      </c>
      <c r="E528" s="9">
        <f>'水平地盤ばね'!G15</f>
        <v>403280.0</v>
      </c>
      <c r="F528" s="6">
        <f>E528</f>
        <v>403280.0</v>
      </c>
      <c r="G528" s="7">
        <v>403280</v>
      </c>
      <c r="H528" s="9">
        <f>(F528-G528)</f>
        <v>0.0</v>
      </c>
    </row>
    <row r="529" spans="1:12" ht="23" customHeight="1">
      <c r="A529" s="6">
        <v>4</v>
      </c>
      <c r="B529" s="6">
        <v>1</v>
      </c>
      <c r="C529" s="5" t="s">
        <v>851</v>
      </c>
      <c r="D529" s="9" t="s">
        <v>842</v>
      </c>
      <c r="E529" s="9">
        <f>'水平地盤ばね'!G16</f>
        <v>403280.0</v>
      </c>
      <c r="F529" s="6">
        <f>E529</f>
        <v>403280.0</v>
      </c>
      <c r="G529" s="7">
        <v>403280</v>
      </c>
      <c r="H529" s="9">
        <f>(F529-G529)</f>
        <v>0.0</v>
      </c>
    </row>
    <row r="530" spans="1:12" ht="23" customHeight="1">
      <c r="A530" s="6">
        <v>4</v>
      </c>
      <c r="B530" s="6">
        <v>1</v>
      </c>
      <c r="C530" s="5" t="s">
        <v>852</v>
      </c>
      <c r="D530" s="9" t="s">
        <v>842</v>
      </c>
      <c r="E530" s="9">
        <f>'水平地盤ばね'!G17</f>
        <v>403280.0</v>
      </c>
      <c r="F530" s="6">
        <f>E530</f>
        <v>403280.0</v>
      </c>
      <c r="G530" s="7">
        <v>403280</v>
      </c>
      <c r="H530" s="9">
        <f>(F530-G530)</f>
        <v>0.0</v>
      </c>
    </row>
    <row r="531" spans="1:12" ht="23" customHeight="1">
      <c r="A531" s="6">
        <v>4</v>
      </c>
      <c r="B531" s="6">
        <v>1</v>
      </c>
      <c r="C531" s="5" t="s">
        <v>853</v>
      </c>
      <c r="D531" s="9" t="s">
        <v>842</v>
      </c>
      <c r="E531" s="9">
        <f>'水平地盤ばね'!G18</f>
        <v>403280.0</v>
      </c>
      <c r="F531" s="6">
        <f>E531</f>
        <v>403280.0</v>
      </c>
      <c r="G531" s="7">
        <v>403280</v>
      </c>
      <c r="H531" s="9">
        <f>(F531-G531)</f>
        <v>0.0</v>
      </c>
    </row>
    <row r="532" spans="1:12" ht="23" customHeight="1">
      <c r="A532" s="6">
        <v>4</v>
      </c>
      <c r="B532" s="6">
        <v>1</v>
      </c>
      <c r="C532" s="5" t="s">
        <v>854</v>
      </c>
      <c r="D532" s="9" t="s">
        <v>842</v>
      </c>
      <c r="E532" s="9">
        <f>'水平地盤ばね'!G19</f>
        <v>403280.0</v>
      </c>
      <c r="F532" s="6">
        <f>E532</f>
        <v>403280.0</v>
      </c>
      <c r="G532" s="7">
        <v>403280</v>
      </c>
      <c r="H532" s="9">
        <f>(F532-G532)</f>
        <v>0.0</v>
      </c>
    </row>
    <row r="533" spans="1:12" ht="23" customHeight="1">
      <c r="A533" s="6">
        <v>4</v>
      </c>
      <c r="B533" s="6">
        <v>1</v>
      </c>
      <c r="C533" s="5" t="s">
        <v>855</v>
      </c>
      <c r="D533" s="9" t="s">
        <v>842</v>
      </c>
      <c r="E533" s="9">
        <f>'水平地盤ばね'!G20</f>
        <v>403280.0</v>
      </c>
      <c r="F533" s="6">
        <f>E533</f>
        <v>403280.0</v>
      </c>
      <c r="G533" s="7">
        <v>403280</v>
      </c>
      <c r="H533" s="9">
        <f>(F533-G533)</f>
        <v>0.0</v>
      </c>
    </row>
    <row r="534" spans="1:12" ht="23" customHeight="1">
      <c r="A534" s="6">
        <v>4</v>
      </c>
      <c r="B534" s="6">
        <v>1</v>
      </c>
      <c r="C534" s="5" t="s">
        <v>856</v>
      </c>
      <c r="D534" s="9" t="s">
        <v>842</v>
      </c>
      <c r="E534" s="9">
        <f>'水平地盤ばね'!G21</f>
        <v>403280.0</v>
      </c>
      <c r="F534" s="6">
        <f>E534</f>
        <v>403280.0</v>
      </c>
      <c r="G534" s="7">
        <v>403280</v>
      </c>
      <c r="H534" s="9">
        <f>(F534-G534)</f>
        <v>0.0</v>
      </c>
    </row>
    <row r="535" spans="1:12" ht="23" customHeight="1">
      <c r="A535" s="6">
        <v>4</v>
      </c>
      <c r="B535" s="6">
        <v>1</v>
      </c>
      <c r="C535" s="5" t="s">
        <v>857</v>
      </c>
      <c r="D535" s="9" t="s">
        <v>844</v>
      </c>
      <c r="E535" s="9">
        <f>'水平地盤ばね'!G22</f>
        <v>225971.00000000003</v>
      </c>
      <c r="F535" s="6">
        <f>ROUND(E535,0)</f>
        <v>225971.0</v>
      </c>
      <c r="G535" s="7">
        <v>225971</v>
      </c>
      <c r="H535" s="9">
        <f>(F535-G535)</f>
        <v>0.0</v>
      </c>
    </row>
    <row r="536" spans="1:12" ht="23" customHeight="1">
      <c r="A536" s="6">
        <v>4</v>
      </c>
      <c r="B536" s="6">
        <v>1</v>
      </c>
      <c r="C536" s="5" t="s">
        <v>858</v>
      </c>
      <c r="D536" s="9" t="s">
        <v>842</v>
      </c>
      <c r="E536" s="9">
        <f>'水平地盤ばね'!G24</f>
        <v>193733.0</v>
      </c>
      <c r="F536" s="6">
        <f>E536</f>
        <v>193733.0</v>
      </c>
      <c r="G536" s="7">
        <v>193733</v>
      </c>
      <c r="H536" s="9">
        <f>(F536-G536)</f>
        <v>0.0</v>
      </c>
    </row>
    <row r="537" spans="1:12" ht="23" customHeight="1">
      <c r="A537" s="6">
        <v>4</v>
      </c>
      <c r="B537" s="6">
        <v>1</v>
      </c>
      <c r="C537" s="5" t="s">
        <v>859</v>
      </c>
      <c r="D537" s="9" t="s">
        <v>842</v>
      </c>
      <c r="E537" s="9">
        <f>'水平地盤ばね'!G25</f>
        <v>193733.0</v>
      </c>
      <c r="F537" s="6">
        <f>E537</f>
        <v>193733.0</v>
      </c>
      <c r="G537" s="7">
        <v>193733</v>
      </c>
      <c r="H537" s="9">
        <f>(F537-G537)</f>
        <v>0.0</v>
      </c>
    </row>
    <row r="538" spans="1:12" ht="23" customHeight="1">
      <c r="A538" s="6">
        <v>4</v>
      </c>
      <c r="B538" s="6">
        <v>1</v>
      </c>
      <c r="C538" s="5" t="s">
        <v>860</v>
      </c>
      <c r="D538" s="9" t="s">
        <v>842</v>
      </c>
      <c r="E538" s="9">
        <f>'水平地盤ばね'!G26</f>
        <v>193733.0</v>
      </c>
      <c r="F538" s="6">
        <f>E538</f>
        <v>193733.0</v>
      </c>
      <c r="G538" s="7">
        <v>193733</v>
      </c>
      <c r="H538" s="9">
        <f>(F538-G538)</f>
        <v>0.0</v>
      </c>
    </row>
    <row r="539" spans="1:12" ht="23" customHeight="1">
      <c r="A539" s="6">
        <v>4</v>
      </c>
      <c r="B539" s="6">
        <v>1</v>
      </c>
      <c r="C539" s="5" t="s">
        <v>861</v>
      </c>
      <c r="D539" s="9" t="s">
        <v>842</v>
      </c>
      <c r="E539" s="9">
        <f>'水平地盤ばね'!G27</f>
        <v>193733.0</v>
      </c>
      <c r="F539" s="6">
        <f>E539</f>
        <v>193733.0</v>
      </c>
      <c r="G539" s="7">
        <v>193733</v>
      </c>
      <c r="H539" s="9">
        <f>(F539-G539)</f>
        <v>0.0</v>
      </c>
    </row>
    <row r="540" spans="1:12" ht="23" customHeight="1">
      <c r="A540" s="6">
        <v>4</v>
      </c>
      <c r="B540" s="6">
        <v>1</v>
      </c>
      <c r="C540" s="5" t="s">
        <v>862</v>
      </c>
      <c r="D540" s="9" t="s">
        <v>842</v>
      </c>
      <c r="E540" s="9">
        <f>'水平地盤ばね'!G28</f>
        <v>193733.0</v>
      </c>
      <c r="F540" s="6">
        <f>E540</f>
        <v>193733.0</v>
      </c>
      <c r="G540" s="7">
        <v>193733</v>
      </c>
      <c r="H540" s="9">
        <f>(F540-G540)</f>
        <v>0.0</v>
      </c>
    </row>
    <row r="541" spans="1:12" ht="24" customHeight="1">
      <c r="A541" s="3" t="s">
        <v>837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36" customHeight="1">
      <c r="A542" s="4" t="s">
        <v>8</v>
      </c>
      <c r="B542" s="4" t="s">
        <v>9</v>
      </c>
      <c r="C542" s="4" t="s">
        <v>10</v>
      </c>
      <c r="D542" s="4" t="s">
        <v>133</v>
      </c>
      <c r="E542" s="4" t="s">
        <v>838</v>
      </c>
      <c r="F542" s="4" t="s">
        <v>839</v>
      </c>
      <c r="G542" s="4" t="s">
        <v>840</v>
      </c>
      <c r="H542" s="4" t="s">
        <v>114</v>
      </c>
    </row>
    <row r="543" spans="1:12" ht="23" customHeight="1">
      <c r="A543" s="6">
        <v>4</v>
      </c>
      <c r="B543" s="6">
        <v>1</v>
      </c>
      <c r="C543" s="5" t="s">
        <v>863</v>
      </c>
      <c r="D543" s="9" t="s">
        <v>842</v>
      </c>
      <c r="E543" s="9">
        <f>'水平地盤ばね'!G29</f>
        <v>193733.0</v>
      </c>
      <c r="F543" s="6">
        <f>E543</f>
        <v>193733.0</v>
      </c>
      <c r="G543" s="7">
        <v>193733</v>
      </c>
      <c r="H543" s="9">
        <f>(F543-G543)</f>
        <v>0.0</v>
      </c>
    </row>
    <row r="544" spans="1:12" ht="23" customHeight="1">
      <c r="A544" s="6">
        <v>4</v>
      </c>
      <c r="B544" s="6">
        <v>1</v>
      </c>
      <c r="C544" s="5" t="s">
        <v>864</v>
      </c>
      <c r="D544" s="9" t="s">
        <v>842</v>
      </c>
      <c r="E544" s="9">
        <f>'水平地盤ばね'!G30</f>
        <v>193733.0</v>
      </c>
      <c r="F544" s="6">
        <f>E544</f>
        <v>193733.0</v>
      </c>
      <c r="G544" s="7">
        <v>193733</v>
      </c>
      <c r="H544" s="9">
        <f>(F544-G544)</f>
        <v>0.0</v>
      </c>
    </row>
    <row r="545" spans="1:12" ht="23" customHeight="1">
      <c r="A545" s="6">
        <v>4</v>
      </c>
      <c r="B545" s="6">
        <v>1</v>
      </c>
      <c r="C545" s="5" t="s">
        <v>865</v>
      </c>
      <c r="D545" s="9" t="s">
        <v>842</v>
      </c>
      <c r="E545" s="9">
        <f>'水平地盤ばね'!G31</f>
        <v>193733.0</v>
      </c>
      <c r="F545" s="6">
        <f>E545</f>
        <v>193733.0</v>
      </c>
      <c r="G545" s="7">
        <v>193733</v>
      </c>
      <c r="H545" s="9">
        <f>(F545-G545)</f>
        <v>0.0</v>
      </c>
    </row>
    <row r="546" spans="1:12" ht="23" customHeight="1">
      <c r="A546" s="6">
        <v>4</v>
      </c>
      <c r="B546" s="6">
        <v>1</v>
      </c>
      <c r="C546" s="5" t="s">
        <v>866</v>
      </c>
      <c r="D546" s="9" t="s">
        <v>842</v>
      </c>
      <c r="E546" s="9">
        <f>'水平地盤ばね'!G32</f>
        <v>193733.0</v>
      </c>
      <c r="F546" s="6">
        <f>E546</f>
        <v>193733.0</v>
      </c>
      <c r="G546" s="7">
        <v>193733</v>
      </c>
      <c r="H546" s="9">
        <f>(F546-G546)</f>
        <v>0.0</v>
      </c>
    </row>
    <row r="547" spans="1:12" ht="23" customHeight="1">
      <c r="A547" s="6">
        <v>5</v>
      </c>
      <c r="B547" s="6">
        <v>2</v>
      </c>
      <c r="C547" s="5" t="s">
        <v>867</v>
      </c>
      <c r="D547" s="9" t="s">
        <v>842</v>
      </c>
      <c r="E547" s="9">
        <f>'水平地盤ばね'!N3</f>
        <v>39208.0</v>
      </c>
      <c r="F547" s="6">
        <f>E547</f>
        <v>39208.0</v>
      </c>
      <c r="G547" s="7">
        <v>39208</v>
      </c>
      <c r="H547" s="9">
        <f>(F547-G547)</f>
        <v>0.0</v>
      </c>
    </row>
    <row r="548" spans="1:12" ht="23" customHeight="1">
      <c r="A548" s="6">
        <v>5</v>
      </c>
      <c r="B548" s="6">
        <v>2</v>
      </c>
      <c r="C548" s="5" t="s">
        <v>868</v>
      </c>
      <c r="D548" s="9" t="s">
        <v>844</v>
      </c>
      <c r="E548" s="9">
        <f>'水平地盤ばね'!N4</f>
        <v>181390.6153846154</v>
      </c>
      <c r="F548" s="6">
        <f>ROUND(E548,0)</f>
        <v>181391.0</v>
      </c>
      <c r="G548" s="7">
        <v>181391</v>
      </c>
      <c r="H548" s="9">
        <f>(F548-G548)</f>
        <v>0.0</v>
      </c>
    </row>
    <row r="549" spans="1:12" ht="23" customHeight="1">
      <c r="A549" s="6">
        <v>5</v>
      </c>
      <c r="B549" s="6">
        <v>2</v>
      </c>
      <c r="C549" s="5" t="s">
        <v>869</v>
      </c>
      <c r="D549" s="9" t="s">
        <v>844</v>
      </c>
      <c r="E549" s="9">
        <f>'水平地盤ばね'!N6</f>
        <v>94333.76923076922</v>
      </c>
      <c r="F549" s="6">
        <f>ROUND(E549,0)</f>
        <v>94334.0</v>
      </c>
      <c r="G549" s="7">
        <v>94334</v>
      </c>
      <c r="H549" s="9">
        <f>(F549-G549)</f>
        <v>0.0</v>
      </c>
    </row>
    <row r="550" spans="1:12" ht="23" customHeight="1">
      <c r="A550" s="6">
        <v>5</v>
      </c>
      <c r="B550" s="6">
        <v>2</v>
      </c>
      <c r="C550" s="5" t="s">
        <v>870</v>
      </c>
      <c r="D550" s="9" t="s">
        <v>842</v>
      </c>
      <c r="E550" s="9">
        <f>'水平地盤ばね'!N8</f>
        <v>73805.0</v>
      </c>
      <c r="F550" s="6">
        <f>E550</f>
        <v>73805.0</v>
      </c>
      <c r="G550" s="7">
        <v>73805</v>
      </c>
      <c r="H550" s="9">
        <f>(F550-G550)</f>
        <v>0.0</v>
      </c>
    </row>
    <row r="551" spans="1:12" ht="23" customHeight="1">
      <c r="A551" s="6">
        <v>5</v>
      </c>
      <c r="B551" s="6">
        <v>2</v>
      </c>
      <c r="C551" s="5" t="s">
        <v>871</v>
      </c>
      <c r="D551" s="9" t="s">
        <v>844</v>
      </c>
      <c r="E551" s="9">
        <f>'水平地盤ばね'!N9</f>
        <v>138685.6153846154</v>
      </c>
      <c r="F551" s="6">
        <f>ROUND(E551,0)</f>
        <v>138686.0</v>
      </c>
      <c r="G551" s="7">
        <v>138686</v>
      </c>
      <c r="H551" s="9">
        <f>(F551-G551)</f>
        <v>0.0</v>
      </c>
    </row>
    <row r="552" spans="1:12" ht="23" customHeight="1">
      <c r="A552" s="6">
        <v>5</v>
      </c>
      <c r="B552" s="6">
        <v>2</v>
      </c>
      <c r="C552" s="5" t="s">
        <v>872</v>
      </c>
      <c r="D552" s="9" t="s">
        <v>842</v>
      </c>
      <c r="E552" s="9">
        <f>'水平地盤ばね'!N11</f>
        <v>179236.0</v>
      </c>
      <c r="F552" s="6">
        <f>E552</f>
        <v>179236.0</v>
      </c>
      <c r="G552" s="7">
        <v>179236</v>
      </c>
      <c r="H552" s="9">
        <f>(F552-G552)</f>
        <v>0.0</v>
      </c>
    </row>
    <row r="553" spans="1:12" ht="23" customHeight="1">
      <c r="A553" s="6">
        <v>5</v>
      </c>
      <c r="B553" s="6">
        <v>2</v>
      </c>
      <c r="C553" s="5" t="s">
        <v>873</v>
      </c>
      <c r="D553" s="9" t="s">
        <v>844</v>
      </c>
      <c r="E553" s="9">
        <f>'水平地盤ばね'!N12</f>
        <v>242293.0769230769</v>
      </c>
      <c r="F553" s="6">
        <f>ROUND(E553,0)</f>
        <v>242293.0</v>
      </c>
      <c r="G553" s="7">
        <v>242293</v>
      </c>
      <c r="H553" s="9">
        <f>(F553-G553)</f>
        <v>0.0</v>
      </c>
    </row>
    <row r="554" spans="1:12" ht="23" customHeight="1">
      <c r="A554" s="6">
        <v>5</v>
      </c>
      <c r="B554" s="6">
        <v>2</v>
      </c>
      <c r="C554" s="5" t="s">
        <v>874</v>
      </c>
      <c r="D554" s="9" t="s">
        <v>842</v>
      </c>
      <c r="E554" s="9">
        <f>'水平地盤ばね'!N15</f>
        <v>268854.0</v>
      </c>
      <c r="F554" s="6">
        <f>E554</f>
        <v>268854.0</v>
      </c>
      <c r="G554" s="7">
        <v>268854</v>
      </c>
      <c r="H554" s="9">
        <f>(F554-G554)</f>
        <v>0.0</v>
      </c>
    </row>
    <row r="555" spans="1:12" ht="23" customHeight="1">
      <c r="A555" s="6">
        <v>5</v>
      </c>
      <c r="B555" s="6">
        <v>2</v>
      </c>
      <c r="C555" s="5" t="s">
        <v>875</v>
      </c>
      <c r="D555" s="9" t="s">
        <v>842</v>
      </c>
      <c r="E555" s="9">
        <f>'水平地盤ばね'!N16</f>
        <v>268854.0</v>
      </c>
      <c r="F555" s="6">
        <f>E555</f>
        <v>268854.0</v>
      </c>
      <c r="G555" s="7">
        <v>268854</v>
      </c>
      <c r="H555" s="9">
        <f>(F555-G555)</f>
        <v>0.0</v>
      </c>
    </row>
    <row r="556" spans="1:12" ht="23" customHeight="1">
      <c r="A556" s="6">
        <v>5</v>
      </c>
      <c r="B556" s="6">
        <v>2</v>
      </c>
      <c r="C556" s="5" t="s">
        <v>876</v>
      </c>
      <c r="D556" s="9" t="s">
        <v>842</v>
      </c>
      <c r="E556" s="9">
        <f>'水平地盤ばね'!N17</f>
        <v>268854.0</v>
      </c>
      <c r="F556" s="6">
        <f>E556</f>
        <v>268854.0</v>
      </c>
      <c r="G556" s="7">
        <v>268854</v>
      </c>
      <c r="H556" s="9">
        <f>(F556-G556)</f>
        <v>0.0</v>
      </c>
    </row>
    <row r="557" spans="1:12" ht="23" customHeight="1">
      <c r="A557" s="6">
        <v>5</v>
      </c>
      <c r="B557" s="6">
        <v>2</v>
      </c>
      <c r="C557" s="5" t="s">
        <v>877</v>
      </c>
      <c r="D557" s="9" t="s">
        <v>842</v>
      </c>
      <c r="E557" s="9">
        <f>'水平地盤ばね'!N18</f>
        <v>268854.0</v>
      </c>
      <c r="F557" s="6">
        <f>E557</f>
        <v>268854.0</v>
      </c>
      <c r="G557" s="7">
        <v>268854</v>
      </c>
      <c r="H557" s="9">
        <f>(F557-G557)</f>
        <v>0.0</v>
      </c>
    </row>
    <row r="558" spans="1:12" ht="24" customHeight="1">
      <c r="A558" s="3" t="s">
        <v>837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36" customHeight="1">
      <c r="A559" s="4" t="s">
        <v>8</v>
      </c>
      <c r="B559" s="4" t="s">
        <v>9</v>
      </c>
      <c r="C559" s="4" t="s">
        <v>10</v>
      </c>
      <c r="D559" s="4" t="s">
        <v>133</v>
      </c>
      <c r="E559" s="4" t="s">
        <v>838</v>
      </c>
      <c r="F559" s="4" t="s">
        <v>839</v>
      </c>
      <c r="G559" s="4" t="s">
        <v>840</v>
      </c>
      <c r="H559" s="4" t="s">
        <v>114</v>
      </c>
    </row>
    <row r="560" spans="1:12" ht="23" customHeight="1">
      <c r="A560" s="6">
        <v>5</v>
      </c>
      <c r="B560" s="6">
        <v>2</v>
      </c>
      <c r="C560" s="5" t="s">
        <v>878</v>
      </c>
      <c r="D560" s="9" t="s">
        <v>842</v>
      </c>
      <c r="E560" s="9">
        <f>'水平地盤ばね'!N19</f>
        <v>268854.0</v>
      </c>
      <c r="F560" s="6">
        <f>E560</f>
        <v>268854.0</v>
      </c>
      <c r="G560" s="7">
        <v>268854</v>
      </c>
      <c r="H560" s="9">
        <f>(F560-G560)</f>
        <v>0.0</v>
      </c>
    </row>
    <row r="561" spans="1:12" ht="23" customHeight="1">
      <c r="A561" s="6">
        <v>5</v>
      </c>
      <c r="B561" s="6">
        <v>2</v>
      </c>
      <c r="C561" s="5" t="s">
        <v>879</v>
      </c>
      <c r="D561" s="9" t="s">
        <v>842</v>
      </c>
      <c r="E561" s="9">
        <f>'水平地盤ばね'!N20</f>
        <v>268854.0</v>
      </c>
      <c r="F561" s="6">
        <f>E561</f>
        <v>268854.0</v>
      </c>
      <c r="G561" s="7">
        <v>268854</v>
      </c>
      <c r="H561" s="9">
        <f>(F561-G561)</f>
        <v>0.0</v>
      </c>
    </row>
    <row r="562" spans="1:12" ht="23" customHeight="1">
      <c r="A562" s="6">
        <v>5</v>
      </c>
      <c r="B562" s="6">
        <v>2</v>
      </c>
      <c r="C562" s="5" t="s">
        <v>880</v>
      </c>
      <c r="D562" s="9" t="s">
        <v>842</v>
      </c>
      <c r="E562" s="9">
        <f>'水平地盤ばね'!N21</f>
        <v>268854.0</v>
      </c>
      <c r="F562" s="6">
        <f>E562</f>
        <v>268854.0</v>
      </c>
      <c r="G562" s="7">
        <v>268854</v>
      </c>
      <c r="H562" s="9">
        <f>(F562-G562)</f>
        <v>0.0</v>
      </c>
    </row>
    <row r="563" spans="1:12" ht="23" customHeight="1">
      <c r="A563" s="6">
        <v>5</v>
      </c>
      <c r="B563" s="6">
        <v>2</v>
      </c>
      <c r="C563" s="5" t="s">
        <v>881</v>
      </c>
      <c r="D563" s="9" t="s">
        <v>844</v>
      </c>
      <c r="E563" s="9">
        <f>'水平地盤ばね'!N22</f>
        <v>150647.15384615384</v>
      </c>
      <c r="F563" s="6">
        <f>ROUND(E563,0)</f>
        <v>150647.0</v>
      </c>
      <c r="G563" s="7">
        <v>150647</v>
      </c>
      <c r="H563" s="9">
        <f>(F563-G563)</f>
        <v>0.0</v>
      </c>
    </row>
    <row r="564" spans="1:12" ht="23" customHeight="1">
      <c r="A564" s="6">
        <v>5</v>
      </c>
      <c r="B564" s="6">
        <v>2</v>
      </c>
      <c r="C564" s="5" t="s">
        <v>882</v>
      </c>
      <c r="D564" s="9" t="s">
        <v>842</v>
      </c>
      <c r="E564" s="9">
        <f>'水平地盤ばね'!N24</f>
        <v>129155.0</v>
      </c>
      <c r="F564" s="6">
        <f>E564</f>
        <v>129155.0</v>
      </c>
      <c r="G564" s="7">
        <v>129155</v>
      </c>
      <c r="H564" s="9">
        <f>(F564-G564)</f>
        <v>0.0</v>
      </c>
    </row>
    <row r="565" spans="1:12" ht="23" customHeight="1">
      <c r="A565" s="6">
        <v>5</v>
      </c>
      <c r="B565" s="6">
        <v>2</v>
      </c>
      <c r="C565" s="5" t="s">
        <v>883</v>
      </c>
      <c r="D565" s="9" t="s">
        <v>842</v>
      </c>
      <c r="E565" s="9">
        <f>'水平地盤ばね'!N25</f>
        <v>129155.0</v>
      </c>
      <c r="F565" s="6">
        <f>E565</f>
        <v>129155.0</v>
      </c>
      <c r="G565" s="7">
        <v>129155</v>
      </c>
      <c r="H565" s="9">
        <f>(F565-G565)</f>
        <v>0.0</v>
      </c>
    </row>
    <row r="566" spans="1:12" ht="23" customHeight="1">
      <c r="A566" s="6">
        <v>5</v>
      </c>
      <c r="B566" s="6">
        <v>2</v>
      </c>
      <c r="C566" s="5" t="s">
        <v>884</v>
      </c>
      <c r="D566" s="9" t="s">
        <v>842</v>
      </c>
      <c r="E566" s="9">
        <f>'水平地盤ばね'!N26</f>
        <v>129155.0</v>
      </c>
      <c r="F566" s="6">
        <f>E566</f>
        <v>129155.0</v>
      </c>
      <c r="G566" s="7">
        <v>129155</v>
      </c>
      <c r="H566" s="9">
        <f>(F566-G566)</f>
        <v>0.0</v>
      </c>
    </row>
    <row r="567" spans="1:12" ht="23" customHeight="1">
      <c r="A567" s="6">
        <v>5</v>
      </c>
      <c r="B567" s="6">
        <v>2</v>
      </c>
      <c r="C567" s="5" t="s">
        <v>885</v>
      </c>
      <c r="D567" s="9" t="s">
        <v>842</v>
      </c>
      <c r="E567" s="9">
        <f>'水平地盤ばね'!N27</f>
        <v>129155.0</v>
      </c>
      <c r="F567" s="6">
        <f>E567</f>
        <v>129155.0</v>
      </c>
      <c r="G567" s="7">
        <v>129155</v>
      </c>
      <c r="H567" s="9">
        <f>(F567-G567)</f>
        <v>0.0</v>
      </c>
    </row>
    <row r="568" spans="1:12" ht="23" customHeight="1">
      <c r="A568" s="6">
        <v>5</v>
      </c>
      <c r="B568" s="6">
        <v>2</v>
      </c>
      <c r="C568" s="5" t="s">
        <v>886</v>
      </c>
      <c r="D568" s="9" t="s">
        <v>842</v>
      </c>
      <c r="E568" s="9">
        <f>'水平地盤ばね'!N28</f>
        <v>129155.0</v>
      </c>
      <c r="F568" s="6">
        <f>E568</f>
        <v>129155.0</v>
      </c>
      <c r="G568" s="7">
        <v>129155</v>
      </c>
      <c r="H568" s="9">
        <f>(F568-G568)</f>
        <v>0.0</v>
      </c>
    </row>
    <row r="569" spans="1:12" ht="23" customHeight="1">
      <c r="A569" s="6">
        <v>5</v>
      </c>
      <c r="B569" s="6">
        <v>2</v>
      </c>
      <c r="C569" s="5" t="s">
        <v>887</v>
      </c>
      <c r="D569" s="9" t="s">
        <v>842</v>
      </c>
      <c r="E569" s="9">
        <f>'水平地盤ばね'!N29</f>
        <v>129155.0</v>
      </c>
      <c r="F569" s="6">
        <f>E569</f>
        <v>129155.0</v>
      </c>
      <c r="G569" s="7">
        <v>129155</v>
      </c>
      <c r="H569" s="9">
        <f>(F569-G569)</f>
        <v>0.0</v>
      </c>
    </row>
    <row r="570" spans="1:12" ht="23" customHeight="1">
      <c r="A570" s="6">
        <v>5</v>
      </c>
      <c r="B570" s="6">
        <v>2</v>
      </c>
      <c r="C570" s="5" t="s">
        <v>888</v>
      </c>
      <c r="D570" s="9" t="s">
        <v>842</v>
      </c>
      <c r="E570" s="9">
        <f>'水平地盤ばね'!N30</f>
        <v>129155.0</v>
      </c>
      <c r="F570" s="6">
        <f>E570</f>
        <v>129155.0</v>
      </c>
      <c r="G570" s="7">
        <v>129155</v>
      </c>
      <c r="H570" s="9">
        <f>(F570-G570)</f>
        <v>0.0</v>
      </c>
    </row>
    <row r="571" spans="1:12" ht="23" customHeight="1">
      <c r="A571" s="6">
        <v>5</v>
      </c>
      <c r="B571" s="6">
        <v>2</v>
      </c>
      <c r="C571" s="5" t="s">
        <v>889</v>
      </c>
      <c r="D571" s="9" t="s">
        <v>842</v>
      </c>
      <c r="E571" s="9">
        <f>'水平地盤ばね'!N31</f>
        <v>129155.0</v>
      </c>
      <c r="F571" s="6">
        <f>E571</f>
        <v>129155.0</v>
      </c>
      <c r="G571" s="7">
        <v>129155</v>
      </c>
      <c r="H571" s="9">
        <f>(F571-G571)</f>
        <v>0.0</v>
      </c>
    </row>
    <row r="572" spans="1:12" ht="23" customHeight="1">
      <c r="A572" s="6">
        <v>5</v>
      </c>
      <c r="B572" s="6">
        <v>2</v>
      </c>
      <c r="C572" s="5" t="s">
        <v>890</v>
      </c>
      <c r="D572" s="9" t="s">
        <v>842</v>
      </c>
      <c r="E572" s="9">
        <f>'水平地盤ばね'!N32</f>
        <v>129155.0</v>
      </c>
      <c r="F572" s="6">
        <f>E572</f>
        <v>129155.0</v>
      </c>
      <c r="G572" s="7">
        <v>129155</v>
      </c>
      <c r="H572" s="9">
        <f>(F572-G572)</f>
        <v>0.0</v>
      </c>
    </row>
    <row r="573" spans="1:12" ht="23" customHeight="1">
      <c r="A573" s="6">
        <v>6</v>
      </c>
      <c r="B573" s="6">
        <v>3</v>
      </c>
      <c r="C573" s="5" t="s">
        <v>891</v>
      </c>
      <c r="D573" s="9" t="s">
        <v>842</v>
      </c>
      <c r="E573" s="9">
        <f>'水平地盤ばね'!U3</f>
        <v>58812.0</v>
      </c>
      <c r="F573" s="6">
        <f>E573</f>
        <v>58812.0</v>
      </c>
      <c r="G573" s="7">
        <v>58812</v>
      </c>
      <c r="H573" s="9">
        <f>(F573-G573)</f>
        <v>0.0</v>
      </c>
    </row>
    <row r="574" spans="1:12" ht="23" customHeight="1">
      <c r="A574" s="6">
        <v>6</v>
      </c>
      <c r="B574" s="6">
        <v>3</v>
      </c>
      <c r="C574" s="5" t="s">
        <v>892</v>
      </c>
      <c r="D574" s="9" t="s">
        <v>844</v>
      </c>
      <c r="E574" s="9">
        <f>'水平地盤ばね'!U4</f>
        <v>272085.9230769231</v>
      </c>
      <c r="F574" s="6">
        <f>ROUND(E574,0)</f>
        <v>272086.0</v>
      </c>
      <c r="G574" s="7">
        <v>272086</v>
      </c>
      <c r="H574" s="9">
        <f>(F574-G574)</f>
        <v>0.0</v>
      </c>
    </row>
    <row r="575" spans="1:12" ht="24" customHeight="1">
      <c r="A575" s="3" t="s">
        <v>837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36" customHeight="1">
      <c r="A576" s="4" t="s">
        <v>8</v>
      </c>
      <c r="B576" s="4" t="s">
        <v>9</v>
      </c>
      <c r="C576" s="4" t="s">
        <v>10</v>
      </c>
      <c r="D576" s="4" t="s">
        <v>133</v>
      </c>
      <c r="E576" s="4" t="s">
        <v>838</v>
      </c>
      <c r="F576" s="4" t="s">
        <v>839</v>
      </c>
      <c r="G576" s="4" t="s">
        <v>840</v>
      </c>
      <c r="H576" s="4" t="s">
        <v>114</v>
      </c>
    </row>
    <row r="577" spans="1:12" ht="23" customHeight="1">
      <c r="A577" s="6">
        <v>6</v>
      </c>
      <c r="B577" s="6">
        <v>3</v>
      </c>
      <c r="C577" s="5" t="s">
        <v>893</v>
      </c>
      <c r="D577" s="9" t="s">
        <v>844</v>
      </c>
      <c r="E577" s="9">
        <f>'水平地盤ばね'!U6</f>
        <v>141501.07692307694</v>
      </c>
      <c r="F577" s="6">
        <f>ROUND(E577,0)</f>
        <v>141501.0</v>
      </c>
      <c r="G577" s="7">
        <v>141501</v>
      </c>
      <c r="H577" s="9">
        <f>(F577-G577)</f>
        <v>0.0</v>
      </c>
    </row>
    <row r="578" spans="1:12" ht="23" customHeight="1">
      <c r="A578" s="6">
        <v>6</v>
      </c>
      <c r="B578" s="6">
        <v>3</v>
      </c>
      <c r="C578" s="5" t="s">
        <v>894</v>
      </c>
      <c r="D578" s="9" t="s">
        <v>842</v>
      </c>
      <c r="E578" s="9">
        <f>'水平地盤ばね'!U8</f>
        <v>110708.0</v>
      </c>
      <c r="F578" s="6">
        <f>E578</f>
        <v>110708.0</v>
      </c>
      <c r="G578" s="7">
        <v>110708</v>
      </c>
      <c r="H578" s="9">
        <f>(F578-G578)</f>
        <v>0.0</v>
      </c>
    </row>
    <row r="579" spans="1:12" ht="23" customHeight="1">
      <c r="A579" s="6">
        <v>6</v>
      </c>
      <c r="B579" s="6">
        <v>3</v>
      </c>
      <c r="C579" s="5" t="s">
        <v>895</v>
      </c>
      <c r="D579" s="9" t="s">
        <v>844</v>
      </c>
      <c r="E579" s="9">
        <f>'水平地盤ばね'!U9</f>
        <v>208028.61538461538</v>
      </c>
      <c r="F579" s="6">
        <f>ROUND(E579,0)</f>
        <v>208029.0</v>
      </c>
      <c r="G579" s="7">
        <v>208029</v>
      </c>
      <c r="H579" s="9">
        <f>(F579-G579)</f>
        <v>0.0</v>
      </c>
    </row>
    <row r="580" spans="1:12" ht="23" customHeight="1">
      <c r="A580" s="6">
        <v>6</v>
      </c>
      <c r="B580" s="6">
        <v>3</v>
      </c>
      <c r="C580" s="5" t="s">
        <v>896</v>
      </c>
      <c r="D580" s="9" t="s">
        <v>842</v>
      </c>
      <c r="E580" s="9">
        <f>'水平地盤ばね'!U11</f>
        <v>268854.0</v>
      </c>
      <c r="F580" s="6">
        <f>E580</f>
        <v>268854.0</v>
      </c>
      <c r="G580" s="7">
        <v>268854</v>
      </c>
      <c r="H580" s="9">
        <f>(F580-G580)</f>
        <v>0.0</v>
      </c>
    </row>
    <row r="581" spans="1:12" ht="23" customHeight="1">
      <c r="A581" s="6">
        <v>6</v>
      </c>
      <c r="B581" s="6">
        <v>3</v>
      </c>
      <c r="C581" s="5" t="s">
        <v>897</v>
      </c>
      <c r="D581" s="9" t="s">
        <v>844</v>
      </c>
      <c r="E581" s="9">
        <f>'水平地盤ばね'!U12</f>
        <v>363439.69230769225</v>
      </c>
      <c r="F581" s="6">
        <f>ROUND(E581,0)</f>
        <v>363440.0</v>
      </c>
      <c r="G581" s="7">
        <v>363440</v>
      </c>
      <c r="H581" s="9">
        <f>(F581-G581)</f>
        <v>0.0</v>
      </c>
    </row>
    <row r="582" spans="1:12" ht="23" customHeight="1">
      <c r="A582" s="6">
        <v>6</v>
      </c>
      <c r="B582" s="6">
        <v>3</v>
      </c>
      <c r="C582" s="5" t="s">
        <v>898</v>
      </c>
      <c r="D582" s="9" t="s">
        <v>842</v>
      </c>
      <c r="E582" s="9">
        <f>'水平地盤ばね'!U15</f>
        <v>403280.0</v>
      </c>
      <c r="F582" s="6">
        <f>E582</f>
        <v>403280.0</v>
      </c>
      <c r="G582" s="7">
        <v>403280</v>
      </c>
      <c r="H582" s="9">
        <f>(F582-G582)</f>
        <v>0.0</v>
      </c>
    </row>
    <row r="583" spans="1:12" ht="23" customHeight="1">
      <c r="A583" s="6">
        <v>6</v>
      </c>
      <c r="B583" s="6">
        <v>3</v>
      </c>
      <c r="C583" s="5" t="s">
        <v>899</v>
      </c>
      <c r="D583" s="9" t="s">
        <v>842</v>
      </c>
      <c r="E583" s="9">
        <f>'水平地盤ばね'!U16</f>
        <v>403280.0</v>
      </c>
      <c r="F583" s="6">
        <f>E583</f>
        <v>403280.0</v>
      </c>
      <c r="G583" s="7">
        <v>403280</v>
      </c>
      <c r="H583" s="9">
        <f>(F583-G583)</f>
        <v>0.0</v>
      </c>
    </row>
    <row r="584" spans="1:12" ht="23" customHeight="1">
      <c r="A584" s="6">
        <v>6</v>
      </c>
      <c r="B584" s="6">
        <v>3</v>
      </c>
      <c r="C584" s="5" t="s">
        <v>900</v>
      </c>
      <c r="D584" s="9" t="s">
        <v>842</v>
      </c>
      <c r="E584" s="9">
        <f>'水平地盤ばね'!U17</f>
        <v>403280.0</v>
      </c>
      <c r="F584" s="6">
        <f>E584</f>
        <v>403280.0</v>
      </c>
      <c r="G584" s="7">
        <v>403280</v>
      </c>
      <c r="H584" s="9">
        <f>(F584-G584)</f>
        <v>0.0</v>
      </c>
    </row>
    <row r="585" spans="1:12" ht="23" customHeight="1">
      <c r="A585" s="6">
        <v>6</v>
      </c>
      <c r="B585" s="6">
        <v>3</v>
      </c>
      <c r="C585" s="5" t="s">
        <v>901</v>
      </c>
      <c r="D585" s="9" t="s">
        <v>842</v>
      </c>
      <c r="E585" s="9">
        <f>'水平地盤ばね'!U18</f>
        <v>403280.0</v>
      </c>
      <c r="F585" s="6">
        <f>E585</f>
        <v>403280.0</v>
      </c>
      <c r="G585" s="7">
        <v>403280</v>
      </c>
      <c r="H585" s="9">
        <f>(F585-G585)</f>
        <v>0.0</v>
      </c>
    </row>
    <row r="586" spans="1:12" ht="23" customHeight="1">
      <c r="A586" s="6">
        <v>6</v>
      </c>
      <c r="B586" s="6">
        <v>3</v>
      </c>
      <c r="C586" s="5" t="s">
        <v>902</v>
      </c>
      <c r="D586" s="9" t="s">
        <v>842</v>
      </c>
      <c r="E586" s="9">
        <f>'水平地盤ばね'!U19</f>
        <v>403280.0</v>
      </c>
      <c r="F586" s="6">
        <f>E586</f>
        <v>403280.0</v>
      </c>
      <c r="G586" s="7">
        <v>403280</v>
      </c>
      <c r="H586" s="9">
        <f>(F586-G586)</f>
        <v>0.0</v>
      </c>
    </row>
    <row r="587" spans="1:12" ht="23" customHeight="1">
      <c r="A587" s="6">
        <v>6</v>
      </c>
      <c r="B587" s="6">
        <v>3</v>
      </c>
      <c r="C587" s="5" t="s">
        <v>903</v>
      </c>
      <c r="D587" s="9" t="s">
        <v>842</v>
      </c>
      <c r="E587" s="9">
        <f>'水平地盤ばね'!U20</f>
        <v>403280.0</v>
      </c>
      <c r="F587" s="6">
        <f>E587</f>
        <v>403280.0</v>
      </c>
      <c r="G587" s="7">
        <v>403280</v>
      </c>
      <c r="H587" s="9">
        <f>(F587-G587)</f>
        <v>0.0</v>
      </c>
    </row>
    <row r="588" spans="1:12" ht="23" customHeight="1">
      <c r="A588" s="6">
        <v>6</v>
      </c>
      <c r="B588" s="6">
        <v>3</v>
      </c>
      <c r="C588" s="5" t="s">
        <v>904</v>
      </c>
      <c r="D588" s="9" t="s">
        <v>842</v>
      </c>
      <c r="E588" s="9">
        <f>'水平地盤ばね'!U21</f>
        <v>403280.0</v>
      </c>
      <c r="F588" s="6">
        <f>E588</f>
        <v>403280.0</v>
      </c>
      <c r="G588" s="7">
        <v>403280</v>
      </c>
      <c r="H588" s="9">
        <f>(F588-G588)</f>
        <v>0.0</v>
      </c>
    </row>
    <row r="589" spans="1:12" ht="23" customHeight="1">
      <c r="A589" s="6">
        <v>6</v>
      </c>
      <c r="B589" s="6">
        <v>3</v>
      </c>
      <c r="C589" s="5" t="s">
        <v>905</v>
      </c>
      <c r="D589" s="9" t="s">
        <v>844</v>
      </c>
      <c r="E589" s="9">
        <f>'水平地盤ばね'!U22</f>
        <v>225971.00000000003</v>
      </c>
      <c r="F589" s="6">
        <f>ROUND(E589,0)</f>
        <v>225971.0</v>
      </c>
      <c r="G589" s="7">
        <v>225971</v>
      </c>
      <c r="H589" s="9">
        <f>(F589-G589)</f>
        <v>0.0</v>
      </c>
    </row>
    <row r="590" spans="1:12" ht="23" customHeight="1">
      <c r="A590" s="6">
        <v>6</v>
      </c>
      <c r="B590" s="6">
        <v>3</v>
      </c>
      <c r="C590" s="5" t="s">
        <v>906</v>
      </c>
      <c r="D590" s="9" t="s">
        <v>842</v>
      </c>
      <c r="E590" s="9">
        <f>'水平地盤ばね'!U24</f>
        <v>193733.0</v>
      </c>
      <c r="F590" s="6">
        <f>E590</f>
        <v>193733.0</v>
      </c>
      <c r="G590" s="7">
        <v>193733</v>
      </c>
      <c r="H590" s="9">
        <f>(F590-G590)</f>
        <v>0.0</v>
      </c>
    </row>
    <row r="591" spans="1:12" ht="23" customHeight="1">
      <c r="A591" s="6">
        <v>6</v>
      </c>
      <c r="B591" s="6">
        <v>3</v>
      </c>
      <c r="C591" s="5" t="s">
        <v>907</v>
      </c>
      <c r="D591" s="9" t="s">
        <v>842</v>
      </c>
      <c r="E591" s="9">
        <f>'水平地盤ばね'!U25</f>
        <v>193733.0</v>
      </c>
      <c r="F591" s="6">
        <f>E591</f>
        <v>193733.0</v>
      </c>
      <c r="G591" s="7">
        <v>193733</v>
      </c>
      <c r="H591" s="9">
        <f>(F591-G591)</f>
        <v>0.0</v>
      </c>
    </row>
    <row r="592" spans="1:12" ht="24" customHeight="1">
      <c r="A592" s="3" t="s">
        <v>837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36" customHeight="1">
      <c r="A593" s="4" t="s">
        <v>8</v>
      </c>
      <c r="B593" s="4" t="s">
        <v>9</v>
      </c>
      <c r="C593" s="4" t="s">
        <v>10</v>
      </c>
      <c r="D593" s="4" t="s">
        <v>133</v>
      </c>
      <c r="E593" s="4" t="s">
        <v>838</v>
      </c>
      <c r="F593" s="4" t="s">
        <v>839</v>
      </c>
      <c r="G593" s="4" t="s">
        <v>840</v>
      </c>
      <c r="H593" s="4" t="s">
        <v>114</v>
      </c>
    </row>
    <row r="594" spans="1:12" ht="23" customHeight="1">
      <c r="A594" s="6">
        <v>6</v>
      </c>
      <c r="B594" s="6">
        <v>3</v>
      </c>
      <c r="C594" s="5" t="s">
        <v>908</v>
      </c>
      <c r="D594" s="9" t="s">
        <v>842</v>
      </c>
      <c r="E594" s="9">
        <f>'水平地盤ばね'!U26</f>
        <v>193733.0</v>
      </c>
      <c r="F594" s="6">
        <f>E594</f>
        <v>193733.0</v>
      </c>
      <c r="G594" s="7">
        <v>193733</v>
      </c>
      <c r="H594" s="9">
        <f>(F594-G594)</f>
        <v>0.0</v>
      </c>
    </row>
    <row r="595" spans="1:12" ht="23" customHeight="1">
      <c r="A595" s="6">
        <v>6</v>
      </c>
      <c r="B595" s="6">
        <v>3</v>
      </c>
      <c r="C595" s="5" t="s">
        <v>909</v>
      </c>
      <c r="D595" s="9" t="s">
        <v>842</v>
      </c>
      <c r="E595" s="9">
        <f>'水平地盤ばね'!U27</f>
        <v>193733.0</v>
      </c>
      <c r="F595" s="6">
        <f>E595</f>
        <v>193733.0</v>
      </c>
      <c r="G595" s="7">
        <v>193733</v>
      </c>
      <c r="H595" s="9">
        <f>(F595-G595)</f>
        <v>0.0</v>
      </c>
    </row>
    <row r="596" spans="1:12" ht="23" customHeight="1">
      <c r="A596" s="6">
        <v>6</v>
      </c>
      <c r="B596" s="6">
        <v>3</v>
      </c>
      <c r="C596" s="5" t="s">
        <v>910</v>
      </c>
      <c r="D596" s="9" t="s">
        <v>842</v>
      </c>
      <c r="E596" s="9">
        <f>'水平地盤ばね'!U28</f>
        <v>193733.0</v>
      </c>
      <c r="F596" s="6">
        <f>E596</f>
        <v>193733.0</v>
      </c>
      <c r="G596" s="7">
        <v>193733</v>
      </c>
      <c r="H596" s="9">
        <f>(F596-G596)</f>
        <v>0.0</v>
      </c>
    </row>
    <row r="597" spans="1:12" ht="23" customHeight="1">
      <c r="A597" s="6">
        <v>6</v>
      </c>
      <c r="B597" s="6">
        <v>3</v>
      </c>
      <c r="C597" s="5" t="s">
        <v>911</v>
      </c>
      <c r="D597" s="9" t="s">
        <v>842</v>
      </c>
      <c r="E597" s="9">
        <f>'水平地盤ばね'!U29</f>
        <v>193733.0</v>
      </c>
      <c r="F597" s="6">
        <f>E597</f>
        <v>193733.0</v>
      </c>
      <c r="G597" s="7">
        <v>193733</v>
      </c>
      <c r="H597" s="9">
        <f>(F597-G597)</f>
        <v>0.0</v>
      </c>
    </row>
    <row r="598" spans="1:12" ht="23" customHeight="1">
      <c r="A598" s="6">
        <v>6</v>
      </c>
      <c r="B598" s="6">
        <v>3</v>
      </c>
      <c r="C598" s="5" t="s">
        <v>912</v>
      </c>
      <c r="D598" s="9" t="s">
        <v>842</v>
      </c>
      <c r="E598" s="9">
        <f>'水平地盤ばね'!U30</f>
        <v>193733.0</v>
      </c>
      <c r="F598" s="6">
        <f>E598</f>
        <v>193733.0</v>
      </c>
      <c r="G598" s="7">
        <v>193733</v>
      </c>
      <c r="H598" s="9">
        <f>(F598-G598)</f>
        <v>0.0</v>
      </c>
    </row>
    <row r="599" spans="1:12" ht="23" customHeight="1">
      <c r="A599" s="6">
        <v>6</v>
      </c>
      <c r="B599" s="6">
        <v>3</v>
      </c>
      <c r="C599" s="5" t="s">
        <v>913</v>
      </c>
      <c r="D599" s="9" t="s">
        <v>842</v>
      </c>
      <c r="E599" s="9">
        <f>'水平地盤ばね'!U31</f>
        <v>193733.0</v>
      </c>
      <c r="F599" s="6">
        <f>E599</f>
        <v>193733.0</v>
      </c>
      <c r="G599" s="7">
        <v>193733</v>
      </c>
      <c r="H599" s="9">
        <f>(F599-G599)</f>
        <v>0.0</v>
      </c>
    </row>
    <row r="600" spans="1:12" ht="23" customHeight="1">
      <c r="A600" s="6">
        <v>6</v>
      </c>
      <c r="B600" s="6">
        <v>3</v>
      </c>
      <c r="C600" s="5" t="s">
        <v>914</v>
      </c>
      <c r="D600" s="9" t="s">
        <v>842</v>
      </c>
      <c r="E600" s="9">
        <f>'水平地盤ばね'!U32</f>
        <v>193733.0</v>
      </c>
      <c r="F600" s="6">
        <f>E600</f>
        <v>193733.0</v>
      </c>
      <c r="G600" s="7">
        <v>193733</v>
      </c>
      <c r="H600" s="9">
        <f>(F600-G600)</f>
        <v>0.0</v>
      </c>
    </row>
    <row r="601" spans="1:12" ht="23" customHeight="1"/>
    <row r="602" spans="1:12" ht="24" customHeight="1">
      <c r="A602" s="3" t="s">
        <v>915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36" customHeight="1">
      <c r="A603" s="4" t="s">
        <v>916</v>
      </c>
    </row>
    <row r="604" spans="1:12" ht="24" customHeight="1">
      <c r="A604" s="2" t="s">
        <v>917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4" customHeight="1">
      <c r="A605" s="2" t="s">
        <v>918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24" customHeight="1">
      <c r="A606" s="2" t="s">
        <v>919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24" customHeight="1">
      <c r="A607" s="2" t="s">
        <v>920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24" customHeight="1">
      <c r="A608" s="3" t="s">
        <v>915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36" customHeight="1">
      <c r="A609" s="4" t="s">
        <v>916</v>
      </c>
    </row>
    <row r="610" spans="1:12" ht="24" customHeight="1">
      <c r="A610" s="2" t="s">
        <v>921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24" customHeight="1">
      <c r="A611" s="2" t="s">
        <v>922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24" customHeight="1">
      <c r="A612" s="2" t="s">
        <v>923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24" customHeight="1">
      <c r="A613" s="2" t="s">
        <v>924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24" customHeight="1">
      <c r="A614" s="2" t="s">
        <v>925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24" customHeight="1">
      <c r="A615" s="2" t="s">
        <v>926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24" customHeight="1">
      <c r="A616" s="2" t="s">
        <v>927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24" customHeight="1">
      <c r="A617" s="2" t="s">
        <v>928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24" customHeight="1">
      <c r="A618" s="2" t="s">
        <v>929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24" customHeight="1">
      <c r="A619" s="2" t="s">
        <v>930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24" customHeight="1">
      <c r="A620" s="2" t="s">
        <v>931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932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933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2" t="s">
        <v>934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24" customHeight="1">
      <c r="A624" s="3" t="s">
        <v>915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36" customHeight="1">
      <c r="A625" s="4" t="s">
        <v>916</v>
      </c>
    </row>
    <row r="626" spans="1:12" ht="24" customHeight="1">
      <c r="A626" s="2" t="s">
        <v>935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936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937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938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939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2" t="s">
        <v>940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24" customHeight="1">
      <c r="A632" s="2" t="s">
        <v>941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24" customHeight="1">
      <c r="A633" s="2" t="s">
        <v>942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943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944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945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946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947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2" t="s">
        <v>948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24" customHeight="1">
      <c r="A640" s="3" t="s">
        <v>915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36" customHeight="1">
      <c r="A641" s="4" t="s">
        <v>916</v>
      </c>
    </row>
    <row r="642" spans="1:12" ht="24" customHeight="1">
      <c r="A642" s="2" t="s">
        <v>949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24" customHeight="1">
      <c r="A643" s="2" t="s">
        <v>950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24" customHeight="1">
      <c r="A644" s="2" t="s">
        <v>951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24" customHeight="1">
      <c r="A645" s="2" t="s">
        <v>952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24" customHeight="1">
      <c r="A646" s="2" t="s">
        <v>953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24" customHeight="1">
      <c r="A647" s="2" t="s">
        <v>954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24" customHeight="1">
      <c r="A648" s="2" t="s">
        <v>955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24" customHeight="1">
      <c r="A649" s="2" t="s">
        <v>956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24" customHeight="1">
      <c r="A650" s="2" t="s">
        <v>957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24" customHeight="1">
      <c r="A651" s="2" t="s">
        <v>958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24" customHeight="1">
      <c r="A652" s="2" t="s">
        <v>959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24" customHeight="1">
      <c r="A653" s="2" t="s">
        <v>960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24" customHeight="1">
      <c r="A654" s="2" t="s">
        <v>961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24" customHeight="1">
      <c r="A655" s="2" t="s">
        <v>962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24" customHeight="1">
      <c r="A656" s="3" t="s">
        <v>915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36" customHeight="1">
      <c r="A657" s="4" t="s">
        <v>916</v>
      </c>
    </row>
    <row r="658" spans="1:12" ht="24" customHeight="1">
      <c r="A658" s="2" t="s">
        <v>963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24" customHeight="1">
      <c r="A659" s="2" t="s">
        <v>964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24" customHeight="1">
      <c r="A660" s="2" t="s">
        <v>965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24" customHeight="1">
      <c r="A661" s="2" t="s">
        <v>966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24" customHeight="1">
      <c r="A662" s="2" t="s">
        <v>967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24" customHeight="1">
      <c r="A663" s="2" t="s">
        <v>968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24" customHeight="1">
      <c r="A664" s="2" t="s">
        <v>969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24" customHeight="1">
      <c r="A665" s="2" t="s">
        <v>970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24" customHeight="1">
      <c r="A666" s="2" t="s">
        <v>971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24" customHeight="1">
      <c r="A667" s="2" t="s">
        <v>972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24" customHeight="1">
      <c r="A668" s="2" t="s">
        <v>973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24" customHeight="1">
      <c r="A669" s="2" t="s">
        <v>974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24" customHeight="1">
      <c r="A670" s="2" t="s">
        <v>975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24" customHeight="1">
      <c r="A671" s="2" t="s">
        <v>976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24" customHeight="1">
      <c r="A672" s="3" t="s">
        <v>915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36" customHeight="1">
      <c r="A673" s="4" t="s">
        <v>916</v>
      </c>
    </row>
    <row r="674" spans="1:12" ht="24" customHeight="1">
      <c r="A674" s="2" t="s">
        <v>977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24" customHeight="1">
      <c r="A675" s="2" t="s">
        <v>978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24" customHeight="1">
      <c r="A676" s="2" t="s">
        <v>979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24" customHeight="1">
      <c r="A677" s="2" t="s">
        <v>980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24" customHeight="1">
      <c r="A678" s="2" t="s">
        <v>981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24" customHeight="1">
      <c r="A679" s="2" t="s">
        <v>982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24" customHeight="1">
      <c r="A680" s="2" t="s">
        <v>983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24" customHeight="1">
      <c r="A681" s="2" t="s">
        <v>984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24" customHeight="1">
      <c r="A682" s="2" t="s">
        <v>985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24" customHeight="1">
      <c r="A683" s="2" t="s">
        <v>986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24" customHeight="1">
      <c r="A684" s="2" t="s">
        <v>987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24" customHeight="1">
      <c r="A685" s="2" t="s">
        <v>988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</sheetData>
  <mergeCells count="356">
    <mergeCell ref="A1:L1"/>
    <mergeCell ref="A2:L2"/>
    <mergeCell ref="A3:L3"/>
    <mergeCell ref="A6:L6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4:L34"/>
    <mergeCell ref="A37:L37"/>
    <mergeCell ref="A54:L54"/>
    <mergeCell ref="A71:L71"/>
    <mergeCell ref="A88:L88"/>
    <mergeCell ref="A105:L105"/>
    <mergeCell ref="A122:L122"/>
    <mergeCell ref="A139:L139"/>
    <mergeCell ref="A155:L155"/>
    <mergeCell ref="A157:L157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8:L218"/>
    <mergeCell ref="A219:L219"/>
    <mergeCell ref="A220:L220"/>
    <mergeCell ref="A221:L221"/>
    <mergeCell ref="A222:L222"/>
    <mergeCell ref="A223:L223"/>
    <mergeCell ref="A225:L225"/>
    <mergeCell ref="A227:L227"/>
    <mergeCell ref="A228:L228"/>
    <mergeCell ref="A229:L229"/>
    <mergeCell ref="A230:L230"/>
    <mergeCell ref="A231:L231"/>
    <mergeCell ref="A232:L232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4:L344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4:L394"/>
    <mergeCell ref="A395:L395"/>
    <mergeCell ref="A396:L396"/>
    <mergeCell ref="A397:L397"/>
    <mergeCell ref="A398:L398"/>
    <mergeCell ref="A400:L400"/>
    <mergeCell ref="A402:L402"/>
    <mergeCell ref="A404:L404"/>
    <mergeCell ref="A407:L407"/>
    <mergeCell ref="A424:L424"/>
    <mergeCell ref="A432:L432"/>
    <mergeCell ref="A440:L440"/>
    <mergeCell ref="A457:L457"/>
    <mergeCell ref="A474:L474"/>
    <mergeCell ref="A491:L491"/>
    <mergeCell ref="A508:L508"/>
    <mergeCell ref="A517:L517"/>
    <mergeCell ref="A524:L524"/>
    <mergeCell ref="A541:L541"/>
    <mergeCell ref="A558:L558"/>
    <mergeCell ref="A575:L575"/>
    <mergeCell ref="A592:L592"/>
    <mergeCell ref="A602:L602"/>
    <mergeCell ref="A604:L604"/>
    <mergeCell ref="A605:L605"/>
    <mergeCell ref="A606:L606"/>
    <mergeCell ref="A607:L607"/>
    <mergeCell ref="A608:L608"/>
    <mergeCell ref="A610:L610"/>
    <mergeCell ref="A611:L611"/>
    <mergeCell ref="A612:L612"/>
    <mergeCell ref="A613:L613"/>
    <mergeCell ref="A614:L614"/>
    <mergeCell ref="A615:L615"/>
    <mergeCell ref="A616:L616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0:L640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6:L656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2:L672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</mergeCells>
  <conditionalFormatting sqref="H519">
    <cfRule type="cellIs" dxfId="0" priority="1" operator="notEqual">
      <formula>0</formula>
    </cfRule>
  </conditionalFormatting>
  <conditionalFormatting sqref="H520">
    <cfRule type="cellIs" dxfId="0" priority="2" operator="notEqual">
      <formula>0</formula>
    </cfRule>
  </conditionalFormatting>
  <conditionalFormatting sqref="H521">
    <cfRule type="cellIs" dxfId="0" priority="3" operator="notEqual">
      <formula>0</formula>
    </cfRule>
  </conditionalFormatting>
  <conditionalFormatting sqref="H522">
    <cfRule type="cellIs" dxfId="0" priority="4" operator="notEqual">
      <formula>0</formula>
    </cfRule>
  </conditionalFormatting>
  <conditionalFormatting sqref="H523">
    <cfRule type="cellIs" dxfId="0" priority="5" operator="notEqual">
      <formula>0</formula>
    </cfRule>
  </conditionalFormatting>
  <conditionalFormatting sqref="H526">
    <cfRule type="cellIs" dxfId="0" priority="6" operator="notEqual">
      <formula>0</formula>
    </cfRule>
  </conditionalFormatting>
  <conditionalFormatting sqref="H527">
    <cfRule type="cellIs" dxfId="0" priority="7" operator="notEqual">
      <formula>0</formula>
    </cfRule>
  </conditionalFormatting>
  <conditionalFormatting sqref="H528">
    <cfRule type="cellIs" dxfId="0" priority="8" operator="notEqual">
      <formula>0</formula>
    </cfRule>
  </conditionalFormatting>
  <conditionalFormatting sqref="H529">
    <cfRule type="cellIs" dxfId="0" priority="9" operator="notEqual">
      <formula>0</formula>
    </cfRule>
  </conditionalFormatting>
  <conditionalFormatting sqref="H530">
    <cfRule type="cellIs" dxfId="0" priority="10" operator="notEqual">
      <formula>0</formula>
    </cfRule>
  </conditionalFormatting>
  <conditionalFormatting sqref="H531">
    <cfRule type="cellIs" dxfId="0" priority="11" operator="notEqual">
      <formula>0</formula>
    </cfRule>
  </conditionalFormatting>
  <conditionalFormatting sqref="H532">
    <cfRule type="cellIs" dxfId="0" priority="12" operator="notEqual">
      <formula>0</formula>
    </cfRule>
  </conditionalFormatting>
  <conditionalFormatting sqref="H533">
    <cfRule type="cellIs" dxfId="0" priority="13" operator="notEqual">
      <formula>0</formula>
    </cfRule>
  </conditionalFormatting>
  <conditionalFormatting sqref="H534">
    <cfRule type="cellIs" dxfId="0" priority="14" operator="notEqual">
      <formula>0</formula>
    </cfRule>
  </conditionalFormatting>
  <conditionalFormatting sqref="H535">
    <cfRule type="cellIs" dxfId="0" priority="15" operator="notEqual">
      <formula>0</formula>
    </cfRule>
  </conditionalFormatting>
  <conditionalFormatting sqref="H536">
    <cfRule type="cellIs" dxfId="0" priority="16" operator="notEqual">
      <formula>0</formula>
    </cfRule>
  </conditionalFormatting>
  <conditionalFormatting sqref="H537">
    <cfRule type="cellIs" dxfId="0" priority="17" operator="notEqual">
      <formula>0</formula>
    </cfRule>
  </conditionalFormatting>
  <conditionalFormatting sqref="H538">
    <cfRule type="cellIs" dxfId="0" priority="18" operator="notEqual">
      <formula>0</formula>
    </cfRule>
  </conditionalFormatting>
  <conditionalFormatting sqref="H539">
    <cfRule type="cellIs" dxfId="0" priority="19" operator="notEqual">
      <formula>0</formula>
    </cfRule>
  </conditionalFormatting>
  <conditionalFormatting sqref="H540">
    <cfRule type="cellIs" dxfId="0" priority="20" operator="notEqual">
      <formula>0</formula>
    </cfRule>
  </conditionalFormatting>
  <conditionalFormatting sqref="H543">
    <cfRule type="cellIs" dxfId="0" priority="21" operator="notEqual">
      <formula>0</formula>
    </cfRule>
  </conditionalFormatting>
  <conditionalFormatting sqref="H544">
    <cfRule type="cellIs" dxfId="0" priority="22" operator="notEqual">
      <formula>0</formula>
    </cfRule>
  </conditionalFormatting>
  <conditionalFormatting sqref="H545">
    <cfRule type="cellIs" dxfId="0" priority="23" operator="notEqual">
      <formula>0</formula>
    </cfRule>
  </conditionalFormatting>
  <conditionalFormatting sqref="H546">
    <cfRule type="cellIs" dxfId="0" priority="24" operator="notEqual">
      <formula>0</formula>
    </cfRule>
  </conditionalFormatting>
  <conditionalFormatting sqref="H547">
    <cfRule type="cellIs" dxfId="0" priority="25" operator="notEqual">
      <formula>0</formula>
    </cfRule>
  </conditionalFormatting>
  <conditionalFormatting sqref="H548">
    <cfRule type="cellIs" dxfId="0" priority="26" operator="notEqual">
      <formula>0</formula>
    </cfRule>
  </conditionalFormatting>
  <conditionalFormatting sqref="H549">
    <cfRule type="cellIs" dxfId="0" priority="27" operator="notEqual">
      <formula>0</formula>
    </cfRule>
  </conditionalFormatting>
  <conditionalFormatting sqref="H550">
    <cfRule type="cellIs" dxfId="0" priority="28" operator="notEqual">
      <formula>0</formula>
    </cfRule>
  </conditionalFormatting>
  <conditionalFormatting sqref="H551">
    <cfRule type="cellIs" dxfId="0" priority="29" operator="notEqual">
      <formula>0</formula>
    </cfRule>
  </conditionalFormatting>
  <conditionalFormatting sqref="H552">
    <cfRule type="cellIs" dxfId="0" priority="30" operator="notEqual">
      <formula>0</formula>
    </cfRule>
  </conditionalFormatting>
  <conditionalFormatting sqref="H553">
    <cfRule type="cellIs" dxfId="0" priority="31" operator="notEqual">
      <formula>0</formula>
    </cfRule>
  </conditionalFormatting>
  <conditionalFormatting sqref="H554">
    <cfRule type="cellIs" dxfId="0" priority="32" operator="notEqual">
      <formula>0</formula>
    </cfRule>
  </conditionalFormatting>
  <conditionalFormatting sqref="H555">
    <cfRule type="cellIs" dxfId="0" priority="33" operator="notEqual">
      <formula>0</formula>
    </cfRule>
  </conditionalFormatting>
  <conditionalFormatting sqref="H556">
    <cfRule type="cellIs" dxfId="0" priority="34" operator="notEqual">
      <formula>0</formula>
    </cfRule>
  </conditionalFormatting>
  <conditionalFormatting sqref="H557">
    <cfRule type="cellIs" dxfId="0" priority="35" operator="notEqual">
      <formula>0</formula>
    </cfRule>
  </conditionalFormatting>
  <conditionalFormatting sqref="H560">
    <cfRule type="cellIs" dxfId="0" priority="36" operator="notEqual">
      <formula>0</formula>
    </cfRule>
  </conditionalFormatting>
  <conditionalFormatting sqref="H561">
    <cfRule type="cellIs" dxfId="0" priority="37" operator="notEqual">
      <formula>0</formula>
    </cfRule>
  </conditionalFormatting>
  <conditionalFormatting sqref="H562">
    <cfRule type="cellIs" dxfId="0" priority="38" operator="notEqual">
      <formula>0</formula>
    </cfRule>
  </conditionalFormatting>
  <conditionalFormatting sqref="H563">
    <cfRule type="cellIs" dxfId="0" priority="39" operator="notEqual">
      <formula>0</formula>
    </cfRule>
  </conditionalFormatting>
  <conditionalFormatting sqref="H564">
    <cfRule type="cellIs" dxfId="0" priority="40" operator="notEqual">
      <formula>0</formula>
    </cfRule>
  </conditionalFormatting>
  <conditionalFormatting sqref="H565">
    <cfRule type="cellIs" dxfId="0" priority="41" operator="notEqual">
      <formula>0</formula>
    </cfRule>
  </conditionalFormatting>
  <conditionalFormatting sqref="H566">
    <cfRule type="cellIs" dxfId="0" priority="42" operator="notEqual">
      <formula>0</formula>
    </cfRule>
  </conditionalFormatting>
  <conditionalFormatting sqref="H567">
    <cfRule type="cellIs" dxfId="0" priority="43" operator="notEqual">
      <formula>0</formula>
    </cfRule>
  </conditionalFormatting>
  <conditionalFormatting sqref="H568">
    <cfRule type="cellIs" dxfId="0" priority="44" operator="notEqual">
      <formula>0</formula>
    </cfRule>
  </conditionalFormatting>
  <conditionalFormatting sqref="H569">
    <cfRule type="cellIs" dxfId="0" priority="45" operator="notEqual">
      <formula>0</formula>
    </cfRule>
  </conditionalFormatting>
  <conditionalFormatting sqref="H570">
    <cfRule type="cellIs" dxfId="0" priority="46" operator="notEqual">
      <formula>0</formula>
    </cfRule>
  </conditionalFormatting>
  <conditionalFormatting sqref="H571">
    <cfRule type="cellIs" dxfId="0" priority="47" operator="notEqual">
      <formula>0</formula>
    </cfRule>
  </conditionalFormatting>
  <conditionalFormatting sqref="H572">
    <cfRule type="cellIs" dxfId="0" priority="48" operator="notEqual">
      <formula>0</formula>
    </cfRule>
  </conditionalFormatting>
  <conditionalFormatting sqref="H573">
    <cfRule type="cellIs" dxfId="0" priority="49" operator="notEqual">
      <formula>0</formula>
    </cfRule>
  </conditionalFormatting>
  <conditionalFormatting sqref="H574">
    <cfRule type="cellIs" dxfId="0" priority="50" operator="notEqual">
      <formula>0</formula>
    </cfRule>
  </conditionalFormatting>
  <conditionalFormatting sqref="H577">
    <cfRule type="cellIs" dxfId="0" priority="51" operator="notEqual">
      <formula>0</formula>
    </cfRule>
  </conditionalFormatting>
  <conditionalFormatting sqref="H578">
    <cfRule type="cellIs" dxfId="0" priority="52" operator="notEqual">
      <formula>0</formula>
    </cfRule>
  </conditionalFormatting>
  <conditionalFormatting sqref="H579">
    <cfRule type="cellIs" dxfId="0" priority="53" operator="notEqual">
      <formula>0</formula>
    </cfRule>
  </conditionalFormatting>
  <conditionalFormatting sqref="H580">
    <cfRule type="cellIs" dxfId="0" priority="54" operator="notEqual">
      <formula>0</formula>
    </cfRule>
  </conditionalFormatting>
  <conditionalFormatting sqref="H581">
    <cfRule type="cellIs" dxfId="0" priority="55" operator="notEqual">
      <formula>0</formula>
    </cfRule>
  </conditionalFormatting>
  <conditionalFormatting sqref="H582">
    <cfRule type="cellIs" dxfId="0" priority="56" operator="notEqual">
      <formula>0</formula>
    </cfRule>
  </conditionalFormatting>
  <conditionalFormatting sqref="H583">
    <cfRule type="cellIs" dxfId="0" priority="57" operator="notEqual">
      <formula>0</formula>
    </cfRule>
  </conditionalFormatting>
  <conditionalFormatting sqref="H584">
    <cfRule type="cellIs" dxfId="0" priority="58" operator="notEqual">
      <formula>0</formula>
    </cfRule>
  </conditionalFormatting>
  <conditionalFormatting sqref="H585">
    <cfRule type="cellIs" dxfId="0" priority="59" operator="notEqual">
      <formula>0</formula>
    </cfRule>
  </conditionalFormatting>
  <conditionalFormatting sqref="H586">
    <cfRule type="cellIs" dxfId="0" priority="60" operator="notEqual">
      <formula>0</formula>
    </cfRule>
  </conditionalFormatting>
  <conditionalFormatting sqref="H587">
    <cfRule type="cellIs" dxfId="0" priority="61" operator="notEqual">
      <formula>0</formula>
    </cfRule>
  </conditionalFormatting>
  <conditionalFormatting sqref="H588">
    <cfRule type="cellIs" dxfId="0" priority="62" operator="notEqual">
      <formula>0</formula>
    </cfRule>
  </conditionalFormatting>
  <conditionalFormatting sqref="H589">
    <cfRule type="cellIs" dxfId="0" priority="63" operator="notEqual">
      <formula>0</formula>
    </cfRule>
  </conditionalFormatting>
  <conditionalFormatting sqref="H590">
    <cfRule type="cellIs" dxfId="0" priority="64" operator="notEqual">
      <formula>0</formula>
    </cfRule>
  </conditionalFormatting>
  <conditionalFormatting sqref="H591">
    <cfRule type="cellIs" dxfId="0" priority="65" operator="notEqual">
      <formula>0</formula>
    </cfRule>
  </conditionalFormatting>
  <conditionalFormatting sqref="H594">
    <cfRule type="cellIs" dxfId="0" priority="66" operator="notEqual">
      <formula>0</formula>
    </cfRule>
  </conditionalFormatting>
  <conditionalFormatting sqref="H595">
    <cfRule type="cellIs" dxfId="0" priority="67" operator="notEqual">
      <formula>0</formula>
    </cfRule>
  </conditionalFormatting>
  <conditionalFormatting sqref="H596">
    <cfRule type="cellIs" dxfId="0" priority="68" operator="notEqual">
      <formula>0</formula>
    </cfRule>
  </conditionalFormatting>
  <conditionalFormatting sqref="H597">
    <cfRule type="cellIs" dxfId="0" priority="69" operator="notEqual">
      <formula>0</formula>
    </cfRule>
  </conditionalFormatting>
  <conditionalFormatting sqref="H598">
    <cfRule type="cellIs" dxfId="0" priority="70" operator="notEqual">
      <formula>0</formula>
    </cfRule>
  </conditionalFormatting>
  <conditionalFormatting sqref="H599">
    <cfRule type="cellIs" dxfId="0" priority="71" operator="notEqual">
      <formula>0</formula>
    </cfRule>
  </conditionalFormatting>
  <conditionalFormatting sqref="H600">
    <cfRule type="cellIs" dxfId="0" priority="72" operator="notEqual">
      <formula>0</formula>
    </cfRule>
  </conditionalFormatting>
  <hyperlinks>
    <hyperlink ref="C519" location="'水平地盤ばね'!F3" display="98"/>
    <hyperlink ref="C520" location="'水平地盤ばね'!F4" display="99"/>
    <hyperlink ref="C521" location="'水平地盤ばね'!F6" display="100"/>
    <hyperlink ref="C522" location="'水平地盤ばね'!F8" display="101"/>
    <hyperlink ref="C523" location="'水平地盤ばね'!F9" display="102"/>
    <hyperlink ref="C526" location="'水平地盤ばね'!F11" display="103"/>
    <hyperlink ref="C527" location="'水平地盤ばね'!F12" display="104"/>
    <hyperlink ref="C528" location="'水平地盤ばね'!F15" display="105"/>
    <hyperlink ref="C529" location="'水平地盤ばね'!F16" display="106"/>
    <hyperlink ref="C530" location="'水平地盤ばね'!F17" display="107"/>
    <hyperlink ref="C531" location="'水平地盤ばね'!F18" display="108"/>
    <hyperlink ref="C532" location="'水平地盤ばね'!F19" display="109"/>
    <hyperlink ref="C533" location="'水平地盤ばね'!F20" display="110"/>
    <hyperlink ref="C534" location="'水平地盤ばね'!F21" display="111"/>
    <hyperlink ref="C535" location="'水平地盤ばね'!F22" display="112"/>
    <hyperlink ref="C536" location="'水平地盤ばね'!F24" display="113"/>
    <hyperlink ref="C537" location="'水平地盤ばね'!F25" display="114"/>
    <hyperlink ref="C538" location="'水平地盤ばね'!F26" display="115"/>
    <hyperlink ref="C539" location="'水平地盤ばね'!F27" display="116"/>
    <hyperlink ref="C540" location="'水平地盤ばね'!F28" display="117"/>
    <hyperlink ref="C543" location="'水平地盤ばね'!F29" display="118"/>
    <hyperlink ref="C544" location="'水平地盤ばね'!F30" display="119"/>
    <hyperlink ref="C545" location="'水平地盤ばね'!F31" display="120"/>
    <hyperlink ref="C546" location="'水平地盤ばね'!F32" display="121"/>
    <hyperlink ref="C547" location="'水平地盤ばね'!M3" display="123"/>
    <hyperlink ref="C548" location="'水平地盤ばね'!M4" display="124"/>
    <hyperlink ref="C549" location="'水平地盤ばね'!M6" display="125"/>
    <hyperlink ref="C550" location="'水平地盤ばね'!M8" display="126"/>
    <hyperlink ref="C551" location="'水平地盤ばね'!M9" display="127"/>
    <hyperlink ref="C552" location="'水平地盤ばね'!M11" display="128"/>
    <hyperlink ref="C553" location="'水平地盤ばね'!M12" display="129"/>
    <hyperlink ref="C554" location="'水平地盤ばね'!M15" display="130"/>
    <hyperlink ref="C555" location="'水平地盤ばね'!M16" display="131"/>
    <hyperlink ref="C556" location="'水平地盤ばね'!M17" display="132"/>
    <hyperlink ref="C557" location="'水平地盤ばね'!M18" display="133"/>
    <hyperlink ref="C560" location="'水平地盤ばね'!M19" display="134"/>
    <hyperlink ref="C561" location="'水平地盤ばね'!M20" display="135"/>
    <hyperlink ref="C562" location="'水平地盤ばね'!M21" display="136"/>
    <hyperlink ref="C563" location="'水平地盤ばね'!M22" display="137"/>
    <hyperlink ref="C564" location="'水平地盤ばね'!M24" display="138"/>
    <hyperlink ref="C565" location="'水平地盤ばね'!M25" display="139"/>
    <hyperlink ref="C566" location="'水平地盤ばね'!M26" display="140"/>
    <hyperlink ref="C567" location="'水平地盤ばね'!M27" display="141"/>
    <hyperlink ref="C568" location="'水平地盤ばね'!M28" display="142"/>
    <hyperlink ref="C569" location="'水平地盤ばね'!M29" display="143"/>
    <hyperlink ref="C570" location="'水平地盤ばね'!M30" display="144"/>
    <hyperlink ref="C571" location="'水平地盤ばね'!M31" display="145"/>
    <hyperlink ref="C572" location="'水平地盤ばね'!M32" display="146"/>
    <hyperlink ref="C573" location="'水平地盤ばね'!T3" display="148"/>
    <hyperlink ref="C574" location="'水平地盤ばね'!T4" display="149"/>
    <hyperlink ref="C577" location="'水平地盤ばね'!T6" display="150"/>
    <hyperlink ref="C578" location="'水平地盤ばね'!T8" display="151"/>
    <hyperlink ref="C579" location="'水平地盤ばね'!T9" display="152"/>
    <hyperlink ref="C580" location="'水平地盤ばね'!T11" display="153"/>
    <hyperlink ref="C581" location="'水平地盤ばね'!T12" display="154"/>
    <hyperlink ref="C582" location="'水平地盤ばね'!T15" display="155"/>
    <hyperlink ref="C583" location="'水平地盤ばね'!T16" display="156"/>
    <hyperlink ref="C584" location="'水平地盤ばね'!T17" display="157"/>
    <hyperlink ref="C585" location="'水平地盤ばね'!T18" display="158"/>
    <hyperlink ref="C586" location="'水平地盤ばね'!T19" display="159"/>
    <hyperlink ref="C587" location="'水平地盤ばね'!T20" display="160"/>
    <hyperlink ref="C588" location="'水平地盤ばね'!T21" display="161"/>
    <hyperlink ref="C589" location="'水平地盤ばね'!T22" display="162"/>
    <hyperlink ref="C590" location="'水平地盤ばね'!T24" display="163"/>
    <hyperlink ref="C591" location="'水平地盤ばね'!T25" display="164"/>
    <hyperlink ref="C594" location="'水平地盤ばね'!T26" display="165"/>
    <hyperlink ref="C595" location="'水平地盤ばね'!T27" display="166"/>
    <hyperlink ref="C596" location="'水平地盤ばね'!T28" display="167"/>
    <hyperlink ref="C597" location="'水平地盤ばね'!T29" display="168"/>
    <hyperlink ref="C598" location="'水平地盤ばね'!T30" display="169"/>
    <hyperlink ref="C599" location="'水平地盤ばね'!T31" display="170"/>
    <hyperlink ref="C600" location="'水平地盤ばね'!T32" display="171"/>
  </hyperlinks>
  <pageMargins left="0.25" right="0.25" top="0.35" bottom="0.35" header="0.3" footer="0.3"/>
  <pageSetup paperSize="9" scale="76" orientation="landscape"/>
  <headerFooter>
    <oddFooter>&amp;L入力根拠&amp;R&amp;P / &amp;N</oddFooter>
  </headerFooter>
  <rowBreaks count="41" manualBreakCount="41">
    <brk id="20" max="16383" man="1"/>
    <brk id="36" max="16383" man="1"/>
    <brk id="53" max="16383" man="1"/>
    <brk id="70" max="16383" man="1"/>
    <brk id="87" max="16383" man="1"/>
    <brk id="104" max="16383" man="1"/>
    <brk id="121" max="16383" man="1"/>
    <brk id="138" max="16383" man="1"/>
    <brk id="155" max="16383" man="1"/>
    <brk id="170" max="16383" man="1"/>
    <brk id="185" max="16383" man="1"/>
    <brk id="199" max="16383" man="1"/>
    <brk id="215" max="16383" man="1"/>
    <brk id="231" max="16383" man="1"/>
    <brk id="247" max="16383" man="1"/>
    <brk id="263" max="16383" man="1"/>
    <brk id="279" max="16383" man="1"/>
    <brk id="295" max="16383" man="1"/>
    <brk id="311" max="16383" man="1"/>
    <brk id="327" max="16383" man="1"/>
    <brk id="343" max="16383" man="1"/>
    <brk id="359" max="16383" man="1"/>
    <brk id="375" max="16383" man="1"/>
    <brk id="391" max="16383" man="1"/>
    <brk id="406" max="16383" man="1"/>
    <brk id="423" max="16383" man="1"/>
    <brk id="439" max="16383" man="1"/>
    <brk id="456" max="16383" man="1"/>
    <brk id="473" max="16383" man="1"/>
    <brk id="490" max="16383" man="1"/>
    <brk id="507" max="16383" man="1"/>
    <brk id="523" max="16383" man="1"/>
    <brk id="540" max="16383" man="1"/>
    <brk id="557" max="16383" man="1"/>
    <brk id="574" max="16383" man="1"/>
    <brk id="591" max="16383" man="1"/>
    <brk id="607" max="16383" man="1"/>
    <brk id="623" max="16383" man="1"/>
    <brk id="639" max="16383" man="1"/>
    <brk id="655" max="16383" man="1"/>
    <brk id="6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変換結果</vt:lpstr>
      <vt:lpstr>水平地盤ばね</vt:lpstr>
      <vt:lpstr>有効抵抗土圧</vt:lpstr>
      <vt:lpstr>杭周面ばね</vt:lpstr>
      <vt:lpstr>杭先端ばね</vt:lpstr>
      <vt:lpstr>入力根拠</vt:lpstr>
      <vt:lpstr>入力根拠!Print_Area</vt:lpstr>
      <vt:lpstr>変換結果!Print_Area</vt:lpstr>
      <vt:lpstr>有効抵抗土圧!Print_Area</vt:lpstr>
      <vt:lpstr>杭先端ばね!Print_Area</vt:lpstr>
      <vt:lpstr>杭周面ばね!Print_Area</vt:lpstr>
      <vt:lpstr>水平地盤ばね!Print_Area</vt:lpstr>
      <vt:lpstr>入力根拠!Print_Titles</vt:lpstr>
      <vt:lpstr>変換結果!Print_Titles</vt:lpstr>
      <vt:lpstr>有効抵抗土圧!Print_Titles</vt:lpstr>
      <vt:lpstr>杭先端ばね!Print_Titles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2026-09-17T11:39:46Z</dcterms:created>
  <dcterms:modified xsi:type="dcterms:W3CDTF">2026-09-17T11:39:46Z</dcterms:modified>
</cp:coreProperties>
</file>