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asai\Documents\structural-design\test\"/>
    </mc:Choice>
  </mc:AlternateContent>
  <xr:revisionPtr revIDLastSave="0" documentId="13_ncr:1_{05F39D8A-B1A0-4AD7-8608-262590CBC35A}" xr6:coauthVersionLast="47" xr6:coauthVersionMax="47" xr10:uidLastSave="{00000000-0000-0000-0000-000000000000}"/>
  <bookViews>
    <workbookView xWindow="3450" yWindow="0" windowWidth="21225" windowHeight="15585" activeTab="2" xr2:uid="{00000000-000D-0000-FFFF-FFFF00000000}"/>
  </bookViews>
  <sheets>
    <sheet name="水平地盤ばね定数(4P右)" sheetId="47" r:id="rId1"/>
    <sheet name="有効抵抗土圧(4P右)" sheetId="46" r:id="rId2"/>
    <sheet name="鉛直せん断地盤ばね定数(4P右)" sheetId="48" r:id="rId3"/>
    <sheet name="周面支持力(4P右)" sheetId="50" r:id="rId4"/>
    <sheet name="杭先端のばね定数（節点ばね）" sheetId="39" r:id="rId5"/>
    <sheet name="先端支持力" sheetId="5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evp1">[1]ESピット!#REF!</definedName>
    <definedName name="___evp2">[2]外房⑥ESピット!#REF!</definedName>
    <definedName name="___evp3">'[3]２．EVピット'!#REF!</definedName>
    <definedName name="_1__123Graph_Aｸﾞﾗﾌ_1" hidden="1">#REF!</definedName>
    <definedName name="_10__123Graph_Bｸﾞﾗﾌ_3" hidden="1">#REF!</definedName>
    <definedName name="_10__123Graph_Cｸﾞﾗﾌ_4" hidden="1">#REF!</definedName>
    <definedName name="_11__123Graph_Dｸﾞﾗﾌ_1" hidden="1">[4]躯体の設計!$AO$1064:$AO$1065</definedName>
    <definedName name="_12__123Graph_Dｸﾞﾗﾌ_4" hidden="1">#REF!</definedName>
    <definedName name="_13__123Graph_Aｸﾞﾗﾌ_4" hidden="1">#REF!</definedName>
    <definedName name="_13__123Graph_Xｸﾞﾗﾌ_1" hidden="1">[4]躯体の設計!$AJ$1064:$AJ$1065</definedName>
    <definedName name="_14__123Graph_Bｸﾞﾗﾌ_4" hidden="1">#REF!</definedName>
    <definedName name="_14__123Graph_Xｸﾞﾗﾌ_2" hidden="1">#REF!</definedName>
    <definedName name="_15__123Graph_Cｸﾞﾗﾌ_1" hidden="1">[4]躯体の設計!$AN$1064:$AN$1065</definedName>
    <definedName name="_15__123Graph_Xｸﾞﾗﾌ_3" hidden="1">#REF!</definedName>
    <definedName name="_16__123Graph_Bｸﾞﾗﾌ_1" hidden="1">#REF!</definedName>
    <definedName name="_19__123Graph_Bｸﾞﾗﾌ_2" hidden="1">#REF!</definedName>
    <definedName name="_19__123Graph_Cｸﾞﾗﾌ_4" hidden="1">#REF!</definedName>
    <definedName name="_2__123Graph_Aｸﾞﾗﾌ_2" hidden="1">#REF!</definedName>
    <definedName name="_20__123Graph_Dｸﾞﾗﾌ_1" hidden="1">[4]躯体の設計!$AO$1064:$AO$1065</definedName>
    <definedName name="_22__123Graph_Bｸﾞﾗﾌ_3" hidden="1">#REF!</definedName>
    <definedName name="_24__123Graph_Dｸﾞﾗﾌ_4" hidden="1">#REF!</definedName>
    <definedName name="_25__123Graph_Xｸﾞﾗﾌ_1" hidden="1">[4]躯体の設計!$AJ$1064:$AJ$1065</definedName>
    <definedName name="_26__123Graph_Bｸﾞﾗﾌ_4" hidden="1">#REF!</definedName>
    <definedName name="_26__123Graph_Xｸﾞﾗﾌ_2" hidden="1">#REF!</definedName>
    <definedName name="_27__123Graph_Cｸﾞﾗﾌ_1" hidden="1">[4]躯体の設計!$AN$1064:$AN$1065</definedName>
    <definedName name="_27__123Graph_Xｸﾞﾗﾌ_3" hidden="1">#REF!</definedName>
    <definedName name="_3__123Graph_Aｸﾞﾗﾌ_1" hidden="1">#REF!</definedName>
    <definedName name="_3__123Graph_Aｸﾞﾗﾌ_3" hidden="1">#REF!</definedName>
    <definedName name="_31__123Graph_Cｸﾞﾗﾌ_4" hidden="1">#REF!</definedName>
    <definedName name="_32__123Graph_Dｸﾞﾗﾌ_1" hidden="1">[4]躯体の設計!$AO$1064:$AO$1065</definedName>
    <definedName name="_36__123Graph_Dｸﾞﾗﾌ_4" hidden="1">#REF!</definedName>
    <definedName name="_37__123Graph_Xｸﾞﾗﾌ_1" hidden="1">[4]躯体の設計!$AJ$1064:$AJ$1065</definedName>
    <definedName name="_4__123Graph_Aｸﾞﾗﾌ_4" hidden="1">#REF!</definedName>
    <definedName name="_40__123Graph_Xｸﾞﾗﾌ_2" hidden="1">#REF!</definedName>
    <definedName name="_43__123Graph_Xｸﾞﾗﾌ_3" hidden="1">#REF!</definedName>
    <definedName name="_5__123Graph_Bｸﾞﾗﾌ_1" hidden="1">#REF!</definedName>
    <definedName name="_6__123Graph_Aｸﾞﾗﾌ_2" hidden="1">#REF!</definedName>
    <definedName name="_6__123Graph_Bｸﾞﾗﾌ_2" hidden="1">#REF!</definedName>
    <definedName name="_7__123Graph_Aｸﾞﾗﾌ_4" hidden="1">#REF!</definedName>
    <definedName name="_7__123Graph_Bｸﾞﾗﾌ_3" hidden="1">#REF!</definedName>
    <definedName name="_8__123Graph_Bｸﾞﾗﾌ_1" hidden="1">#REF!</definedName>
    <definedName name="_8__123Graph_Bｸﾞﾗﾌ_4" hidden="1">#REF!</definedName>
    <definedName name="_9__123Graph_Aｸﾞﾗﾌ_3" hidden="1">#REF!</definedName>
    <definedName name="_9__123Graph_Bｸﾞﾗﾌ_2" hidden="1">#REF!</definedName>
    <definedName name="_9__123Graph_Cｸﾞﾗﾌ_1" hidden="1">[4]躯体の設計!$AN$1064:$AN$1065</definedName>
    <definedName name="_C66093">#REF!</definedName>
    <definedName name="_C69093">#REF!</definedName>
    <definedName name="_C71093">#REF!</definedName>
    <definedName name="_C91093">#REF!</definedName>
    <definedName name="_DEL2" hidden="1">#REF!</definedName>
    <definedName name="_evp22">#REF!</definedName>
    <definedName name="_Fill" hidden="1">#REF!</definedName>
    <definedName name="_Table1_In1" hidden="1">[5]ｽｲﾍｲ!$C$22</definedName>
    <definedName name="_Table1_Out" hidden="1">[5]ｽｲﾍｲ!$D$22</definedName>
    <definedName name="_Table2" hidden="1">[6]ｽｲﾍｲ!$D$22</definedName>
    <definedName name="\">'[7]C5-基本計算（常時）'!#REF!</definedName>
    <definedName name="\\">'[7]C5-基本計算（常時）'!#REF!</definedName>
    <definedName name="\a">#REF!</definedName>
    <definedName name="\d">#N/A</definedName>
    <definedName name="\m">#REF!</definedName>
    <definedName name="\p">#N/A</definedName>
    <definedName name="\r">#REF!</definedName>
    <definedName name="\z">#REF!</definedName>
    <definedName name="§１">#REF!</definedName>
    <definedName name="a">'[9]§３.（発進）平行'!$C$7</definedName>
    <definedName name="A111111111111">#REF!</definedName>
    <definedName name="aa">'[7]C5-基本計算（常時）'!#REF!</definedName>
    <definedName name="aaa">[10]設計条件!$C$13</definedName>
    <definedName name="ag">[11]せん断弾性波速度!$D$9</definedName>
    <definedName name="anscount" hidden="1">1</definedName>
    <definedName name="arufa">#REF!</definedName>
    <definedName name="Ａ通り側壁">#REF!</definedName>
    <definedName name="b">[8]基本ﾃﾞｰﾀｼｰﾄ!$C$27</definedName>
    <definedName name="basew">[10]設計条件!$C$13</definedName>
    <definedName name="bbb">[10]設計条件!$C$14</definedName>
    <definedName name="beeta">#REF!</definedName>
    <definedName name="C_ｽﾊﾟﾝ">'[12]C3-基本1'!$AF$53</definedName>
    <definedName name="C_ｽﾊﾟﾝL">'[7]C5-基本計算（常時）'!#REF!</definedName>
    <definedName name="C_ｽﾊﾟﾝR">'[7]C5-基本計算（常時）'!#REF!</definedName>
    <definedName name="ccc">[2]外房⑥ESピット!#REF!</definedName>
    <definedName name="DATA">'[9]§４.（発進）擁壁横、松戸'!$A$1:$IV$65536</definedName>
    <definedName name="DATA1">#REF!</definedName>
    <definedName name="DATA保存">#REF!</definedName>
    <definedName name="DD" hidden="1">#REF!</definedName>
    <definedName name="ddd">#REF!</definedName>
    <definedName name="DEL" hidden="1">#REF!</definedName>
    <definedName name="df">[10]設計条件!$C$14</definedName>
    <definedName name="dgdkgkgk">[13]固死!#REF!</definedName>
    <definedName name="dghkdghkdg">'[7]C5-基本計算（常時）'!#REF!</definedName>
    <definedName name="dgkd">'[7]C5-基本計算（常時）'!#REF!</definedName>
    <definedName name="dgkdgkdg">[13]固死!#REF!</definedName>
    <definedName name="dgkhkdgkg">[13]固死!#REF!</definedName>
    <definedName name="dgkhkhgkgdh">'[7]C5-基本計算（常時）'!#REF!</definedName>
    <definedName name="djyfurur">'[7]C5-基本計算（常時）'!#REF!</definedName>
    <definedName name="dkgdghkry">'[7]C5-基本計算（常時）'!#REF!</definedName>
    <definedName name="e">[8]基本ﾃﾞｰﾀｼｰﾄ!$C$29</definedName>
    <definedName name="EA17W2">[14]列車荷重等値等分布荷重!$F$7:$I$18</definedName>
    <definedName name="EA17W2l">[14]列車荷重等値等分布荷重!$F$7:$F$18</definedName>
    <definedName name="EA17W2S">[14]列車荷重等値等分布荷重!$F$7:$I$7</definedName>
    <definedName name="ee">'[15]×構造計算 (表層厚66.50m)'!$K$334</definedName>
    <definedName name="eee">'[15]×構造計算 (表層厚66.50m)'!$H$322</definedName>
    <definedName name="eie6iyre">'[7]C5-基本計算（常時）'!#REF!</definedName>
    <definedName name="eiue6rre6">'[7]C5-基本計算（常時）'!#REF!</definedName>
    <definedName name="Excel_BuiltIn__FilterDatabase_4">#REF!</definedName>
    <definedName name="Excel_BuiltIn__FilterDatabase_5">#REF!</definedName>
    <definedName name="eyujdfj">'[7]C5-基本計算（常時）'!#REF!</definedName>
    <definedName name="E通り側壁">#REF!</definedName>
    <definedName name="f">[8]基本ﾃﾞｰﾀｼｰﾄ!$C$15</definedName>
    <definedName name="fff">'[15]×構造計算 (表層厚66.50m)'!$Q$672</definedName>
    <definedName name="fg">[11]せん断弾性波速度!$D$8</definedName>
    <definedName name="fgh">'[7]C5-基本計算（常時）'!#REF!</definedName>
    <definedName name="fghj">'[7]C5-基本計算（常時）'!#REF!</definedName>
    <definedName name="fghk">'[7]C5-基本計算（常時）'!#REF!</definedName>
    <definedName name="fghkdgk">#REF!</definedName>
    <definedName name="fgk">'[7]C5-基本計算（常時）'!#REF!</definedName>
    <definedName name="Fill2" hidden="1">#REF!</definedName>
    <definedName name="fjmjbvg">'[7]C5-基本計算（常時）'!#REF!</definedName>
    <definedName name="froﾗｰﾒﾝ">#REF!</definedName>
    <definedName name="fro両端固定梁">#REF!</definedName>
    <definedName name="g">[8]基本ﾃﾞｰﾀｼｰﾄ!$C$17</definedName>
    <definedName name="gannmahaimenn">[10]設計条件!$C$10</definedName>
    <definedName name="gannmarc">[10]設計条件!$C$7</definedName>
    <definedName name="gdhkkhgkh">[13]固死!#REF!</definedName>
    <definedName name="ggg">[10]設計条件!$C$10</definedName>
    <definedName name="ghk">'[7]C5-基本計算（常時）'!#REF!</definedName>
    <definedName name="ground">'[16]ground-data'!$D$5:$F$12</definedName>
    <definedName name="h">[8]基本ﾃﾞｰﾀｼｰﾄ!$C$9</definedName>
    <definedName name="hdgkgd">'[7]C5-基本計算（常時）'!#REF!</definedName>
    <definedName name="hgkf">'[7]C5-基本計算（常時）'!#REF!</definedName>
    <definedName name="hgkfg">'[7]C5-基本計算（常時）'!#REF!</definedName>
    <definedName name="hgmk">'[7]C5-基本計算（常時）'!#REF!</definedName>
    <definedName name="hhh">'[15]×構造計算 (表層厚66.50m)'!$Q$674</definedName>
    <definedName name="HTML_CodePage" hidden="1">932</definedName>
    <definedName name="HTML_Control" hidden="1">{"'表紙・目次 '!$A$8:$K$8"}</definedName>
    <definedName name="HTML_Description" hidden="1">""</definedName>
    <definedName name="HTML_Email" hidden="1">""</definedName>
    <definedName name="HTML_Header" hidden="1">"表紙・目次"</definedName>
    <definedName name="HTML_LastUpdate" hidden="1">"97/12/10"</definedName>
    <definedName name="HTML_LineAfter" hidden="1">FALSE</definedName>
    <definedName name="HTML_LineBefore" hidden="1">FALSE</definedName>
    <definedName name="HTML_Name" hidden="1">"ずう広電"</definedName>
    <definedName name="HTML_OBDlg2" hidden="1">TRUE</definedName>
    <definedName name="HTML_OBDlg4" hidden="1">TRUE</definedName>
    <definedName name="HTML_OS" hidden="1">0</definedName>
    <definedName name="HTML_PathFile" hidden="1">"B:\Zou設計計算\MyHTML.htm"</definedName>
    <definedName name="HTML_Title" hidden="1">"山陽本線97073-1"</definedName>
    <definedName name="hyouzyun">'[14]L2-基本1'!$AF$15</definedName>
    <definedName name="i">[17]基本ﾃﾞｰﾀｼｰﾄ!$B$39</definedName>
    <definedName name="ie653653e">'[7]C5-基本計算（常時）'!#REF!</definedName>
    <definedName name="ieieie">'[7]C5-基本計算（常時）'!#REF!</definedName>
    <definedName name="iotiot">'[7]C5-基本計算（常時）'!#REF!</definedName>
    <definedName name="ｊ">#REF!</definedName>
    <definedName name="ｊｄｊｄさおんｄさ">'[15]×構造計算 (表層厚66.50m)'!$H$322</definedName>
    <definedName name="k">[8]基本ﾃﾞｰﾀｼｰﾄ!$C$5</definedName>
    <definedName name="ka">#REF!</definedName>
    <definedName name="kae">#REF!</definedName>
    <definedName name="kfjldg">'[7]C5-基本計算（常時）'!#REF!</definedName>
    <definedName name="kgddgkdg">[13]固死!#REF!</definedName>
    <definedName name="kgfhkmfgh">'[7]C5-基本計算（常時）'!#REF!</definedName>
    <definedName name="kh">[10]設計条件!$C$5</definedName>
    <definedName name="kkgkghkgh">'[7]C5-基本計算（常時）'!#REF!</definedName>
    <definedName name="kkk">[10]設計条件!$C$5</definedName>
    <definedName name="L">#REF!</definedName>
    <definedName name="L_ｽﾊﾟﾝ1">'[7]C5-基本計算（常時）'!#REF!</definedName>
    <definedName name="L_ｽﾊﾟﾝ2">'[12]C3-基本1'!$AF$55</definedName>
    <definedName name="L_ｽﾊﾟﾝ3">'[7]C5-基本計算（常時）'!#REF!</definedName>
    <definedName name="ｌｌｌ">'[15]×構造計算 (表層厚66.50m)'!$Q$673</definedName>
    <definedName name="lpp">'[7]C5-基本計算（常時）'!#REF!</definedName>
    <definedName name="naikuub">'[18]１設計条件'!$K$8</definedName>
    <definedName name="naikuuh">'[18]１設計条件'!$K$9</definedName>
    <definedName name="naikuul">'[18]１設計条件'!$O$8</definedName>
    <definedName name="ＯＤ盛土部軸ABDE">#REF!</definedName>
    <definedName name="ＯＤ盛土部軸ＢＤ">#REF!</definedName>
    <definedName name="OD盛土部軸高">#REF!</definedName>
    <definedName name="otyot">'[7]C5-基本計算（常時）'!#REF!</definedName>
    <definedName name="otyuyiu">'[7]C5-基本計算（常時）'!#REF!</definedName>
    <definedName name="oyt">'[7]C5-基本計算（常時）'!#REF!</definedName>
    <definedName name="_xlnm.Print_Area" localSheetId="2">'鉛直せん断地盤ばね定数(4P右)'!$A$1:$Q$126</definedName>
    <definedName name="_xlnm.Print_Area" localSheetId="4">'杭先端のばね定数（節点ばね）'!$A$1:$Q$13</definedName>
    <definedName name="_xlnm.Print_Area" localSheetId="3">'周面支持力(4P右)'!$A$1:$R$126</definedName>
    <definedName name="_xlnm.Print_Area" localSheetId="0">'水平地盤ばね定数(4P右)'!$A$1:$N$86</definedName>
    <definedName name="_xlnm.Print_Area" localSheetId="5">先端支持力!$A$1:$U$13</definedName>
    <definedName name="_xlnm.Print_Area" localSheetId="1">'有効抵抗土圧(4P右)'!$A$1:$P$191</definedName>
    <definedName name="_xlnm.Print_Area">#REF!</definedName>
    <definedName name="PRINT_AREA_MI">#REF!</definedName>
    <definedName name="print1">#REF!</definedName>
    <definedName name="q">[13]固死!#REF!</definedName>
    <definedName name="qqq">'[15]×構造計算 (表層厚66.50m)'!$K$333</definedName>
    <definedName name="qqqq">'[9]§５.（発進）擁壁横、上野'!#REF!</definedName>
    <definedName name="_xlnm.Recorder">#REF!</definedName>
    <definedName name="roooryi">'[7]C5-基本計算（常時）'!#REF!</definedName>
    <definedName name="rrr">'[15]×構造計算 (表層厚66.50m)'!$O$115</definedName>
    <definedName name="sdfh">'[7]C5-基本計算（常時）'!#REF!</definedName>
    <definedName name="sokuhekit">'[18]１設計条件'!$AE$8</definedName>
    <definedName name="sss">'[15]×構造計算 (表層厚66.50m)'!$O$105</definedName>
    <definedName name="steelanarea">'[19]Steel Data'!$D$7:$E$16</definedName>
    <definedName name="SUM_CELL_E">'[20]10月売上'!$E$18,'[20]10月売上'!$E$114,'[20]10月売上'!$E$148,'[20]10月売上'!$E$187,'[20]10月売上'!$E$258</definedName>
    <definedName name="SUM_CELL_F">'[20]10月売上'!$G$18,'[20]10月売上'!$G$114,'[20]10月売上'!$G$148,'[20]10月売上'!$G$187,'[20]10月売上'!$G$258</definedName>
    <definedName name="syrdus6r6su">'[7]C5-基本計算（常時）'!#REF!</definedName>
    <definedName name="teibannt">'[21]１設計条件'!#REF!</definedName>
    <definedName name="TEN">#REF!</definedName>
    <definedName name="tioot">'[7]C5-基本計算（常時）'!#REF!</definedName>
    <definedName name="tiou">'[7]C5-基本計算（常時）'!#REF!</definedName>
    <definedName name="toit">'[7]C5-基本計算（常時）'!#REF!</definedName>
    <definedName name="toitti">'[7]C5-基本計算（常時）'!#REF!</definedName>
    <definedName name="totioitu">'[7]C5-基本計算（常時）'!#REF!</definedName>
    <definedName name="totiuot">'[7]C5-基本計算（常時）'!#REF!</definedName>
    <definedName name="toutyo">'[7]C5-基本計算（常時）'!#REF!</definedName>
    <definedName name="toytotro">'[7]C5-基本計算（常時）'!#REF!</definedName>
    <definedName name="tt">'[15]×構造計算 (表層厚66.50m)'!$H$321</definedName>
    <definedName name="ttiotiug">'[7]C5-基本計算（常時）'!#REF!</definedName>
    <definedName name="ttt">'[15]×構造計算 (表層厚66.50m)'!$K$332</definedName>
    <definedName name="tトラフ">'[14]L2-基本1'!$AF$53</definedName>
    <definedName name="u">'[7]C5-基本計算（常時）'!#REF!</definedName>
    <definedName name="ｗ">#REF!</definedName>
    <definedName name="wa">[10]設計条件!$C$10</definedName>
    <definedName name="Wｺﾝｸﾘｰﾄ">'[14]L2-基本1'!$AF$16</definedName>
    <definedName name="W軌きょう">'[14]L2-基本1'!$AF$13</definedName>
    <definedName name="W鋼材">'[14]L2-基本1'!$AF$14</definedName>
    <definedName name="W高欄">'[7]C5-基本計算（常時）'!#REF!</definedName>
    <definedName name="W信号通信ｹｰﾌﾞﾙ">'[7]C5-基本計算（常時）'!#REF!</definedName>
    <definedName name="W鉄筋ｺﾝｸﾘｰﾄ">'[22]L2-基本1'!$AF$15</definedName>
    <definedName name="W電力ｹｰﾌﾞﾙ">'[7]C5-基本計算（常時）'!#REF!</definedName>
    <definedName name="W道床砂利">'[22]L2-基本1'!$AF$17</definedName>
    <definedName name="ytireire">'[7]C5-基本計算（常時）'!#REF!</definedName>
    <definedName name="yup">#REF!</definedName>
    <definedName name="あ">'[9]§５.（発進）擁壁横、上野'!#REF!</definedName>
    <definedName name="あｇさｆ">'[15]×構造計算 (表層厚66.50m)'!$K$334</definedName>
    <definedName name="え２００">#REF!</definedName>
    <definedName name="かおあｊ">#REF!</definedName>
    <definedName name="くあわせ">#REF!</definedName>
    <definedName name="くみ">#REF!</definedName>
    <definedName name="くみあ">#REF!</definedName>
    <definedName name="くみあせ">#REF!</definedName>
    <definedName name="くみあわ">#REF!</definedName>
    <definedName name="くみあわせ">#REF!</definedName>
    <definedName name="くみくみ">#REF!</definedName>
    <definedName name="ｸﾚｰﾝ">#REF!</definedName>
    <definedName name="しあおあ">'[15]×構造計算 (表層厚66.50m)'!$O$105</definedName>
    <definedName name="スパン">'[14]L2-基本1'!$AF$55</definedName>
    <definedName name="ｽﾗﾌﾞ1">'[14]L2-基本1'!$AF$22</definedName>
    <definedName name="ｽﾗﾌﾞh1">[23]基本ﾃﾞｰﾀｼｰﾄ!$B$25</definedName>
    <definedName name="ｽﾗﾌﾞh2">[24]基本ﾃﾞｰﾀｼｰﾄ!$C$25</definedName>
    <definedName name="ｽﾗﾌﾞﾊﾝﾁb1">'[14]L2-基本1'!$AF$23</definedName>
    <definedName name="ｽﾗﾌﾞﾊﾝﾁb2">[24]基本ﾃﾞｰﾀｼｰﾄ!$C$27</definedName>
    <definedName name="ｽﾗﾌﾞﾊﾝﾁh1">'[14]L2-基本1'!$AF$24</definedName>
    <definedName name="ｽﾗﾌﾞﾊﾝﾁh2">[24]基本ﾃﾞｰﾀｼｰﾄ!$C$29</definedName>
    <definedName name="そおお">'[15]×構造計算 (表層厚66.50m)'!$K$333</definedName>
    <definedName name="タイトル">#REF!</definedName>
    <definedName name="チェック">#N/A</definedName>
    <definedName name="つり合い">#REF!</definedName>
    <definedName name="データ286">[13]固死!#REF!</definedName>
    <definedName name="データ287">[13]固死!#REF!</definedName>
    <definedName name="データ288">[13]固死!#REF!</definedName>
    <definedName name="データ289">[13]固死!#REF!</definedName>
    <definedName name="データ290">[13]固死!#REF!</definedName>
    <definedName name="テキスト">#REF!</definedName>
    <definedName name="ハンチ">#REF!</definedName>
    <definedName name="ボックス内水深">'[15]×構造計算 (表層厚66.50m)'!$O$105</definedName>
    <definedName name="まとめ">#REF!</definedName>
    <definedName name="メニュー">#REF!</definedName>
    <definedName name="ﾗｰﾒﾝ支max">#REF!</definedName>
    <definedName name="ﾗｰﾒﾝ支min">#REF!</definedName>
    <definedName name="ﾗｰﾒﾝ中max">#REF!</definedName>
    <definedName name="ﾗｰﾒﾝ中min">#REF!</definedName>
    <definedName name="印刷1">#REF!</definedName>
    <definedName name="印刷10">#REF!</definedName>
    <definedName name="印刷11">#REF!</definedName>
    <definedName name="印刷12">#REF!</definedName>
    <definedName name="印刷13">#REF!</definedName>
    <definedName name="印刷14">[25]躯体の設計!$AM$6:$AU$165</definedName>
    <definedName name="印刷2">#REF!</definedName>
    <definedName name="印刷3">#REF!</definedName>
    <definedName name="印刷4">#REF!</definedName>
    <definedName name="印刷5">#REF!</definedName>
    <definedName name="印刷6">#REF!</definedName>
    <definedName name="印刷7">#REF!</definedName>
    <definedName name="印刷8">#REF!</definedName>
    <definedName name="印刷9">#REF!</definedName>
    <definedName name="奥">#REF!</definedName>
    <definedName name="応力抽出">#N/A</definedName>
    <definedName name="横小梁b1">[23]基本ﾃﾞｰﾀｼｰﾄ!$B$15</definedName>
    <definedName name="横小梁b2">[24]基本ﾃﾞｰﾀｼｰﾄ!$C$15</definedName>
    <definedName name="横小梁h1">[23]基本ﾃﾞｰﾀｼｰﾄ!$B$17</definedName>
    <definedName name="横小梁h2">[24]基本ﾃﾞｰﾀｼｰﾄ!$C$17</definedName>
    <definedName name="横梁b1">[23]基本ﾃﾞｰﾀｼｰﾄ!$B$7</definedName>
    <definedName name="横梁b3">[24]基本ﾃﾞｰﾀｼｰﾄ!$D$7</definedName>
    <definedName name="横梁h1">[23]基本ﾃﾞｰﾀｼｰﾄ!$B$9</definedName>
    <definedName name="横梁h2">[24]基本ﾃﾞｰﾀｼｰﾄ!$C$9</definedName>
    <definedName name="荷重">#REF!</definedName>
    <definedName name="換算">#REF!</definedName>
    <definedName name="軌道">#REF!</definedName>
    <definedName name="計算条件">#REF!</definedName>
    <definedName name="呼び径D13forD22">'[26]Steel Data'!$B$8:$B$11</definedName>
    <definedName name="呼び径D25forD51">'[26]Steel Data'!$B$12:$B$18</definedName>
    <definedName name="呼び出し">#REF!</definedName>
    <definedName name="固定支max">#REF!</definedName>
    <definedName name="固定支min">#REF!</definedName>
    <definedName name="固定中max">#REF!</definedName>
    <definedName name="固定中min">#REF!</definedName>
    <definedName name="杭φ1">'[22]L2-基本1'!$AF$51</definedName>
    <definedName name="杭φ2">[27]基本ﾃﾞｰﾀｼｰﾄ!$B$39</definedName>
    <definedName name="杭受台b1">'[22]L2-基本1'!$AF$43</definedName>
    <definedName name="杭受台b2">'[22]L2-基本1'!$AF$45</definedName>
    <definedName name="杭受台h1">'[7]C5-基本計算（常時）'!#REF!</definedName>
    <definedName name="杭受台h2">'[7]C5-基本計算（常時）'!#REF!</definedName>
    <definedName name="構造物天端高">#REF!</definedName>
    <definedName name="高">#REF!</definedName>
    <definedName name="根入れ総括">#REF!</definedName>
    <definedName name="根入れ長">#REF!</definedName>
    <definedName name="砂質ｼﾙﾄｋh">'[15]×構造計算 (表層厚66.50m)'!$Q$674</definedName>
    <definedName name="細砂ｋh">'[15]×構造計算 (表層厚66.50m)'!$Q$672</definedName>
    <definedName name="軸14">#REF!</definedName>
    <definedName name="軸23">#REF!</definedName>
    <definedName name="軸高">#REF!</definedName>
    <definedName name="終了">#REF!</definedName>
    <definedName name="縦小梁b1">#REF!</definedName>
    <definedName name="縦小梁b2">#REF!</definedName>
    <definedName name="縦小梁h1">#REF!</definedName>
    <definedName name="縦小梁h2">#REF!</definedName>
    <definedName name="縦梁b1">[23]基本ﾃﾞｰﾀｼｰﾄ!$B$3</definedName>
    <definedName name="縦梁b3">[24]基本ﾃﾞｰﾀｼｰﾄ!$D$3</definedName>
    <definedName name="縦梁h1">[23]基本ﾃﾞｰﾀｼｰﾄ!$B$5</definedName>
    <definedName name="縦梁h2">[28]基本ﾃﾞｰﾀｼｰﾄ!$C$5</definedName>
    <definedName name="上載土">[29]固定死荷重2!#REF!</definedName>
    <definedName name="上層横小梁b1">'[14]L2-基本1'!$AF$35</definedName>
    <definedName name="上層横小梁h1">'[14]L2-基本1'!$AF$36</definedName>
    <definedName name="上層横梁b1">'[14]L2-基本1'!$AF$31</definedName>
    <definedName name="上層横梁h1">'[14]L2-基本1'!$AF$32</definedName>
    <definedName name="上層縦小梁b1">'[7]C5-基本計算（常時）'!#REF!</definedName>
    <definedName name="上層縦小梁h1">'[7]C5-基本計算（常時）'!#REF!</definedName>
    <definedName name="上層縦梁b1">'[14]L2-基本1'!$AF$27</definedName>
    <definedName name="上層縦梁h1">'[14]L2-基本1'!$AF$28</definedName>
    <definedName name="上層縦梁ﾊﾝﾁb1">'[14]L2-基本1'!$AF$29</definedName>
    <definedName name="上層縦梁ﾊﾝﾁh1">'[14]L2-基本1'!$AF$30</definedName>
    <definedName name="上層端横梁b1">'[14]L2-基本1'!$AF$33</definedName>
    <definedName name="上層端横梁h1">'[14]L2-基本1'!$AF$34</definedName>
    <definedName name="職種">#REF!</definedName>
    <definedName name="水管頂版">#REF!</definedName>
    <definedName name="折曲筋">#REF!</definedName>
    <definedName name="全体印刷">#REF!</definedName>
    <definedName name="総括印刷">#REF!</definedName>
    <definedName name="総括表">#REF!</definedName>
    <definedName name="側壁">#REF!</definedName>
    <definedName name="側壁厚１">'[15]×構造計算 (表層厚66.50m)'!$K$333</definedName>
    <definedName name="端柱b1">'[14]L2-基本1'!$AF$47</definedName>
    <definedName name="端柱h1">'[14]L2-基本1'!$AF$48</definedName>
    <definedName name="断面係数">#REF!</definedName>
    <definedName name="地下水位高">#REF!</definedName>
    <definedName name="地中梁横b1">'[7]C5-基本計算（常時）'!#REF!</definedName>
    <definedName name="地中梁横h1">'[7]C5-基本計算（常時）'!#REF!</definedName>
    <definedName name="地中梁縦b1">'[7]C5-基本計算（常時）'!#REF!</definedName>
    <definedName name="地中梁縦h1">'[7]C5-基本計算（常時）'!#REF!</definedName>
    <definedName name="地中梁端横b1">'[7]C5-基本計算（常時）'!#REF!</definedName>
    <definedName name="地中梁端横h1">'[7]C5-基本計算（常時）'!#REF!</definedName>
    <definedName name="地反1">#REF!</definedName>
    <definedName name="地反2">#REF!</definedName>
    <definedName name="地盤高">'[15]×構造計算 (表層厚66.50m)'!$O$115</definedName>
    <definedName name="池内水位高">#REF!</definedName>
    <definedName name="池幅">#REF!</definedName>
    <definedName name="中央線">#REF!</definedName>
    <definedName name="中間柱b1">'[14]L2-基本1'!$AF$49</definedName>
    <definedName name="中間柱h1">'[14]L2-基本1'!$AF$50</definedName>
    <definedName name="中壁">#REF!</definedName>
    <definedName name="中壁1">#REF!</definedName>
    <definedName name="中壁2">#REF!</definedName>
    <definedName name="柱b1">[23]基本ﾃﾞｰﾀｼｰﾄ!$B$31</definedName>
    <definedName name="柱b2">#REF!</definedName>
    <definedName name="柱h1">[23]基本ﾃﾞｰﾀｼｰﾄ!$B$33</definedName>
    <definedName name="柱h2">[30]基本ﾃﾞｰﾀｼｰﾄ!$C$33</definedName>
    <definedName name="頂版">#REF!</definedName>
    <definedName name="頂版厚１">'[15]×構造計算 (表層厚66.50m)'!$K$332</definedName>
    <definedName name="頂版上面１">'[15]×構造計算 (表層厚66.50m)'!$H$321</definedName>
    <definedName name="底版">#REF!</definedName>
    <definedName name="底版下面１">'[15]×構造計算 (表層厚66.50m)'!$H$322</definedName>
    <definedName name="底版厚１">'[15]×構造計算 (表層厚66.50m)'!$K$334</definedName>
    <definedName name="抵抗モーメント" hidden="1">[6]ｽｲﾍｲ!$C$22</definedName>
    <definedName name="土被り">#REF!</definedName>
    <definedName name="土木">#REF!</definedName>
    <definedName name="粘土質ｼﾙﾄｋh">'[15]×構造計算 (表層厚66.50m)'!$Q$673</definedName>
    <definedName name="排水勾配">#REF!</definedName>
    <definedName name="白紙" hidden="1">[31]ｽｲﾍｲ!$C$22</definedName>
    <definedName name="標準">'[14]L2-基本1'!$AF$15</definedName>
    <definedName name="表紙">#REF!</definedName>
    <definedName name="幅">#REF!</definedName>
    <definedName name="片持ｽﾗﾌﾞ1">'[22]L2-基本1'!$AF$25</definedName>
    <definedName name="片持ｽﾗﾌﾞ2">'[14]L2-基本1'!$AF$26</definedName>
    <definedName name="梁ﾊﾝﾁb1">[23]基本ﾃﾞｰﾀｼｰﾄ!$B$19</definedName>
    <definedName name="梁ﾊﾝﾁh1">[23]基本ﾃﾞｰﾀｼｰﾄ!$B$21</definedName>
    <definedName name="労務費">#REF!</definedName>
    <definedName name="労務費１">#REF!</definedName>
    <definedName name="肋筋支点">#REF!</definedName>
    <definedName name="肋筋中央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1" i="50" l="1"/>
  <c r="G104" i="50"/>
  <c r="G90" i="50"/>
  <c r="G88" i="50"/>
  <c r="G84" i="50"/>
  <c r="G80" i="50"/>
  <c r="G78" i="50"/>
  <c r="G76" i="50"/>
  <c r="E104" i="50"/>
  <c r="E90" i="50"/>
  <c r="E124" i="50" s="1"/>
  <c r="E88" i="50"/>
  <c r="F88" i="50" s="1"/>
  <c r="E84" i="50"/>
  <c r="E80" i="50"/>
  <c r="E78" i="50"/>
  <c r="E76" i="50"/>
  <c r="E69" i="50"/>
  <c r="E68" i="50"/>
  <c r="E66" i="50"/>
  <c r="E69" i="48"/>
  <c r="E68" i="48"/>
  <c r="E66" i="48"/>
  <c r="H121" i="48"/>
  <c r="G104" i="48"/>
  <c r="G90" i="48"/>
  <c r="G88" i="48"/>
  <c r="G84" i="48"/>
  <c r="G80" i="48"/>
  <c r="G78" i="48"/>
  <c r="G76" i="48"/>
  <c r="E104" i="48"/>
  <c r="E90" i="48"/>
  <c r="F90" i="48" s="1"/>
  <c r="E88" i="48"/>
  <c r="F88" i="48" s="1"/>
  <c r="E84" i="48"/>
  <c r="E80" i="48"/>
  <c r="E78" i="48"/>
  <c r="E76" i="48"/>
  <c r="F74" i="47"/>
  <c r="K75" i="47" s="1"/>
  <c r="F65" i="47"/>
  <c r="K66" i="47" s="1"/>
  <c r="F64" i="47"/>
  <c r="F61" i="47"/>
  <c r="K62" i="47" s="1"/>
  <c r="F58" i="47"/>
  <c r="K59" i="47" s="1"/>
  <c r="F56" i="47"/>
  <c r="F54" i="47"/>
  <c r="K54" i="47" s="1"/>
  <c r="E74" i="47"/>
  <c r="E65" i="47"/>
  <c r="E64" i="47"/>
  <c r="H64" i="47" s="1"/>
  <c r="E61" i="47"/>
  <c r="E58" i="47"/>
  <c r="E56" i="47"/>
  <c r="E54" i="47"/>
  <c r="E47" i="47"/>
  <c r="E46" i="47"/>
  <c r="G54" i="47" s="1"/>
  <c r="U84" i="47"/>
  <c r="U83" i="47"/>
  <c r="U82" i="47"/>
  <c r="U81" i="47"/>
  <c r="U80" i="47"/>
  <c r="U79" i="47"/>
  <c r="U78" i="47"/>
  <c r="U77" i="47"/>
  <c r="U76" i="47"/>
  <c r="U75" i="47"/>
  <c r="U74" i="47"/>
  <c r="U73" i="47"/>
  <c r="U72" i="47"/>
  <c r="U71" i="47"/>
  <c r="U70" i="47"/>
  <c r="U69" i="47"/>
  <c r="U68" i="47"/>
  <c r="U67" i="47"/>
  <c r="U66" i="47"/>
  <c r="U65" i="47"/>
  <c r="U64" i="47"/>
  <c r="U63" i="47"/>
  <c r="U62" i="47"/>
  <c r="V61" i="47"/>
  <c r="U61" i="47"/>
  <c r="U59" i="47"/>
  <c r="U58" i="47"/>
  <c r="U57" i="47"/>
  <c r="U56" i="47"/>
  <c r="U55" i="47"/>
  <c r="U54" i="47"/>
  <c r="U53" i="47"/>
  <c r="U52" i="47"/>
  <c r="U51" i="47"/>
  <c r="U50" i="47"/>
  <c r="U49" i="47"/>
  <c r="U48" i="47"/>
  <c r="U47" i="47"/>
  <c r="U46" i="47"/>
  <c r="U45" i="47"/>
  <c r="U44" i="47"/>
  <c r="U43" i="47"/>
  <c r="U42" i="47"/>
  <c r="U41" i="47"/>
  <c r="U40" i="47"/>
  <c r="U39" i="47"/>
  <c r="U38" i="47"/>
  <c r="U37" i="47"/>
  <c r="U36" i="47"/>
  <c r="U34" i="47"/>
  <c r="U33" i="47"/>
  <c r="U32" i="47"/>
  <c r="U31" i="47"/>
  <c r="U30" i="47"/>
  <c r="U29" i="47"/>
  <c r="U28" i="47"/>
  <c r="U27" i="47"/>
  <c r="U26" i="47"/>
  <c r="U25" i="47"/>
  <c r="U24" i="47"/>
  <c r="U23" i="47"/>
  <c r="U22" i="47"/>
  <c r="U21" i="47"/>
  <c r="U20" i="47"/>
  <c r="U19" i="47"/>
  <c r="U18" i="47"/>
  <c r="U17" i="47"/>
  <c r="U16" i="47"/>
  <c r="U15" i="47"/>
  <c r="U14" i="47"/>
  <c r="U13" i="47"/>
  <c r="U12" i="47"/>
  <c r="V11" i="47"/>
  <c r="U11" i="47"/>
  <c r="Y7" i="39"/>
  <c r="Y8" i="39"/>
  <c r="Y9" i="39"/>
  <c r="Y10" i="39"/>
  <c r="Y11" i="39"/>
  <c r="Y6" i="39"/>
  <c r="V7" i="39"/>
  <c r="V8" i="39"/>
  <c r="V9" i="39"/>
  <c r="V10" i="39"/>
  <c r="V11" i="39"/>
  <c r="V6" i="39"/>
  <c r="AD7" i="39"/>
  <c r="AD8" i="39"/>
  <c r="AD9" i="39"/>
  <c r="AD10" i="39"/>
  <c r="AD11" i="39"/>
  <c r="AD6" i="39"/>
  <c r="AC7" i="39"/>
  <c r="AC8" i="39"/>
  <c r="AC9" i="39"/>
  <c r="AC10" i="39"/>
  <c r="AC11" i="39"/>
  <c r="AC6" i="39"/>
  <c r="AA7" i="39"/>
  <c r="AA8" i="39"/>
  <c r="AA9" i="39"/>
  <c r="AA10" i="39"/>
  <c r="AA11" i="39"/>
  <c r="AA6" i="39"/>
  <c r="X7" i="39"/>
  <c r="X8" i="39"/>
  <c r="X9" i="39"/>
  <c r="X10" i="39"/>
  <c r="X11" i="39"/>
  <c r="X6" i="39"/>
  <c r="U7" i="39"/>
  <c r="AB7" i="39" s="1"/>
  <c r="U9" i="39"/>
  <c r="AB9" i="39" s="1"/>
  <c r="U10" i="39"/>
  <c r="AB10" i="39" s="1"/>
  <c r="U11" i="39"/>
  <c r="AB11" i="39" s="1"/>
  <c r="U6" i="39"/>
  <c r="AB6" i="39" s="1"/>
  <c r="S7" i="39"/>
  <c r="S8" i="39"/>
  <c r="S9" i="39"/>
  <c r="S10" i="39"/>
  <c r="S11" i="39"/>
  <c r="S6" i="39"/>
  <c r="V109" i="48"/>
  <c r="V110" i="48"/>
  <c r="V111" i="48"/>
  <c r="V112" i="48"/>
  <c r="V113" i="48"/>
  <c r="V114" i="48"/>
  <c r="V115" i="48"/>
  <c r="V116" i="48"/>
  <c r="V117" i="48"/>
  <c r="V118" i="48"/>
  <c r="V119" i="48"/>
  <c r="V120" i="48"/>
  <c r="V121" i="48"/>
  <c r="V122" i="48"/>
  <c r="V123" i="48"/>
  <c r="V124" i="48"/>
  <c r="V125" i="48"/>
  <c r="V126" i="48"/>
  <c r="V127" i="48"/>
  <c r="U111" i="48"/>
  <c r="U112" i="48"/>
  <c r="U113" i="48"/>
  <c r="U114" i="48"/>
  <c r="U115" i="48"/>
  <c r="U116" i="48"/>
  <c r="U117" i="48"/>
  <c r="U118" i="48"/>
  <c r="U119" i="48"/>
  <c r="U120" i="48"/>
  <c r="U121" i="48"/>
  <c r="U122" i="48"/>
  <c r="U123" i="48"/>
  <c r="U124" i="48"/>
  <c r="U125" i="48"/>
  <c r="U126" i="48"/>
  <c r="U127" i="48"/>
  <c r="S104" i="48"/>
  <c r="X127" i="48"/>
  <c r="AA127" i="48" s="1"/>
  <c r="AB127" i="48" s="1"/>
  <c r="AC127" i="48" s="1"/>
  <c r="AD127" i="48" s="1"/>
  <c r="X126" i="48"/>
  <c r="AA126" i="48" s="1"/>
  <c r="AB126" i="48" s="1"/>
  <c r="AC126" i="48" s="1"/>
  <c r="AD126" i="48" s="1"/>
  <c r="X125" i="48"/>
  <c r="AA125" i="48" s="1"/>
  <c r="AB125" i="48" s="1"/>
  <c r="AC125" i="48" s="1"/>
  <c r="AD125" i="48" s="1"/>
  <c r="X124" i="48"/>
  <c r="AA124" i="48" s="1"/>
  <c r="AB124" i="48" s="1"/>
  <c r="AC124" i="48" s="1"/>
  <c r="AD124" i="48" s="1"/>
  <c r="X123" i="48"/>
  <c r="AA123" i="48" s="1"/>
  <c r="AB123" i="48" s="1"/>
  <c r="AC123" i="48" s="1"/>
  <c r="AD123" i="48" s="1"/>
  <c r="X122" i="48"/>
  <c r="AA122" i="48" s="1"/>
  <c r="AB122" i="48" s="1"/>
  <c r="AC122" i="48" s="1"/>
  <c r="AD122" i="48" s="1"/>
  <c r="X121" i="48"/>
  <c r="AA121" i="48" s="1"/>
  <c r="AB121" i="48" s="1"/>
  <c r="AC121" i="48" s="1"/>
  <c r="AD121" i="48" s="1"/>
  <c r="X120" i="48"/>
  <c r="AA120" i="48" s="1"/>
  <c r="AB120" i="48" s="1"/>
  <c r="AC120" i="48" s="1"/>
  <c r="AD120" i="48" s="1"/>
  <c r="X119" i="48"/>
  <c r="AA119" i="48" s="1"/>
  <c r="AB119" i="48" s="1"/>
  <c r="AC119" i="48" s="1"/>
  <c r="AD119" i="48" s="1"/>
  <c r="X118" i="48"/>
  <c r="AA118" i="48" s="1"/>
  <c r="AB118" i="48" s="1"/>
  <c r="AC118" i="48" s="1"/>
  <c r="AD118" i="48" s="1"/>
  <c r="X117" i="48"/>
  <c r="AA117" i="48" s="1"/>
  <c r="AB117" i="48" s="1"/>
  <c r="AC117" i="48" s="1"/>
  <c r="AD117" i="48" s="1"/>
  <c r="X116" i="48"/>
  <c r="AA116" i="48" s="1"/>
  <c r="AB116" i="48" s="1"/>
  <c r="AC116" i="48" s="1"/>
  <c r="AD116" i="48" s="1"/>
  <c r="X115" i="48"/>
  <c r="AA115" i="48" s="1"/>
  <c r="AB115" i="48" s="1"/>
  <c r="AC115" i="48" s="1"/>
  <c r="AD115" i="48" s="1"/>
  <c r="X114" i="48"/>
  <c r="AA114" i="48" s="1"/>
  <c r="AB114" i="48" s="1"/>
  <c r="AC114" i="48" s="1"/>
  <c r="AD114" i="48" s="1"/>
  <c r="X113" i="48"/>
  <c r="AA113" i="48" s="1"/>
  <c r="AB113" i="48" s="1"/>
  <c r="AC113" i="48" s="1"/>
  <c r="AD113" i="48" s="1"/>
  <c r="X112" i="48"/>
  <c r="AA112" i="48" s="1"/>
  <c r="AB112" i="48" s="1"/>
  <c r="AC112" i="48" s="1"/>
  <c r="AD112" i="48" s="1"/>
  <c r="X111" i="48"/>
  <c r="AA111" i="48" s="1"/>
  <c r="AB111" i="48" s="1"/>
  <c r="AC111" i="48" s="1"/>
  <c r="AD111" i="48" s="1"/>
  <c r="Y110" i="48"/>
  <c r="Z110" i="48" s="1"/>
  <c r="W110" i="48"/>
  <c r="S105" i="48"/>
  <c r="S106" i="48" s="1"/>
  <c r="S107" i="48" s="1"/>
  <c r="S108" i="48" s="1"/>
  <c r="S109" i="48" s="1"/>
  <c r="S110" i="48" s="1"/>
  <c r="S111" i="48" s="1"/>
  <c r="S112" i="48" s="1"/>
  <c r="S113" i="48" s="1"/>
  <c r="S114" i="48" s="1"/>
  <c r="S115" i="48" s="1"/>
  <c r="S116" i="48" s="1"/>
  <c r="S117" i="48" s="1"/>
  <c r="S118" i="48" s="1"/>
  <c r="S119" i="48" s="1"/>
  <c r="S120" i="48" s="1"/>
  <c r="S121" i="48" s="1"/>
  <c r="S122" i="48" s="1"/>
  <c r="S123" i="48" s="1"/>
  <c r="S124" i="48" s="1"/>
  <c r="S125" i="48" s="1"/>
  <c r="S126" i="48" s="1"/>
  <c r="S127" i="48" s="1"/>
  <c r="S128" i="48" s="1"/>
  <c r="S74" i="48"/>
  <c r="S75" i="48" s="1"/>
  <c r="S76" i="48" s="1"/>
  <c r="S77" i="48" s="1"/>
  <c r="S78" i="48" s="1"/>
  <c r="S79" i="48" s="1"/>
  <c r="S80" i="48" s="1"/>
  <c r="S81" i="48" s="1"/>
  <c r="S82" i="48" s="1"/>
  <c r="S83" i="48" s="1"/>
  <c r="S84" i="48" s="1"/>
  <c r="S85" i="48" s="1"/>
  <c r="S86" i="48" s="1"/>
  <c r="S87" i="48" s="1"/>
  <c r="S88" i="48" s="1"/>
  <c r="S89" i="48" s="1"/>
  <c r="S90" i="48" s="1"/>
  <c r="S91" i="48" s="1"/>
  <c r="S92" i="48" s="1"/>
  <c r="S93" i="48" s="1"/>
  <c r="S94" i="48" s="1"/>
  <c r="S95" i="48" s="1"/>
  <c r="S96" i="48" s="1"/>
  <c r="S97" i="48" s="1"/>
  <c r="S98" i="48" s="1"/>
  <c r="V34" i="48"/>
  <c r="V33" i="48"/>
  <c r="V32" i="48"/>
  <c r="V31" i="48"/>
  <c r="V30" i="48"/>
  <c r="V29" i="48"/>
  <c r="V28" i="48"/>
  <c r="V27" i="48"/>
  <c r="V26" i="48"/>
  <c r="V25" i="48"/>
  <c r="V24" i="48"/>
  <c r="V23" i="48"/>
  <c r="V22" i="48"/>
  <c r="V21" i="48"/>
  <c r="V20" i="48"/>
  <c r="V19" i="48"/>
  <c r="V18" i="48"/>
  <c r="V17" i="48"/>
  <c r="V16" i="48"/>
  <c r="U34" i="48"/>
  <c r="X34" i="48" s="1"/>
  <c r="AA34" i="48" s="1"/>
  <c r="AB34" i="48" s="1"/>
  <c r="AC34" i="48" s="1"/>
  <c r="AD34" i="48" s="1"/>
  <c r="U33" i="48"/>
  <c r="X33" i="48" s="1"/>
  <c r="AA33" i="48" s="1"/>
  <c r="AB33" i="48" s="1"/>
  <c r="AC33" i="48" s="1"/>
  <c r="AD33" i="48" s="1"/>
  <c r="U32" i="48"/>
  <c r="X32" i="48" s="1"/>
  <c r="AA32" i="48" s="1"/>
  <c r="AB32" i="48" s="1"/>
  <c r="AC32" i="48" s="1"/>
  <c r="AD32" i="48" s="1"/>
  <c r="U31" i="48"/>
  <c r="X31" i="48" s="1"/>
  <c r="AA31" i="48" s="1"/>
  <c r="AB31" i="48" s="1"/>
  <c r="AC31" i="48" s="1"/>
  <c r="AD31" i="48" s="1"/>
  <c r="U30" i="48"/>
  <c r="X30" i="48" s="1"/>
  <c r="AA30" i="48" s="1"/>
  <c r="AB30" i="48" s="1"/>
  <c r="AC30" i="48" s="1"/>
  <c r="AD30" i="48" s="1"/>
  <c r="U29" i="48"/>
  <c r="X29" i="48" s="1"/>
  <c r="AA29" i="48" s="1"/>
  <c r="AB29" i="48" s="1"/>
  <c r="AC29" i="48" s="1"/>
  <c r="AD29" i="48" s="1"/>
  <c r="U28" i="48"/>
  <c r="X28" i="48" s="1"/>
  <c r="AA28" i="48" s="1"/>
  <c r="AB28" i="48" s="1"/>
  <c r="AC28" i="48" s="1"/>
  <c r="AD28" i="48" s="1"/>
  <c r="U27" i="48"/>
  <c r="X27" i="48" s="1"/>
  <c r="AA27" i="48" s="1"/>
  <c r="AB27" i="48" s="1"/>
  <c r="AC27" i="48" s="1"/>
  <c r="AD27" i="48" s="1"/>
  <c r="U26" i="48"/>
  <c r="U25" i="48"/>
  <c r="X25" i="48" s="1"/>
  <c r="AA25" i="48" s="1"/>
  <c r="AB25" i="48" s="1"/>
  <c r="AC25" i="48" s="1"/>
  <c r="AD25" i="48" s="1"/>
  <c r="U24" i="48"/>
  <c r="U23" i="48"/>
  <c r="U22" i="48"/>
  <c r="X22" i="48" s="1"/>
  <c r="AA22" i="48" s="1"/>
  <c r="AB22" i="48" s="1"/>
  <c r="AC22" i="48" s="1"/>
  <c r="AD22" i="48" s="1"/>
  <c r="U21" i="48"/>
  <c r="X21" i="48" s="1"/>
  <c r="AA21" i="48" s="1"/>
  <c r="AB21" i="48" s="1"/>
  <c r="AC21" i="48" s="1"/>
  <c r="AD21" i="48" s="1"/>
  <c r="U20" i="48"/>
  <c r="X20" i="48" s="1"/>
  <c r="AA20" i="48" s="1"/>
  <c r="AB20" i="48" s="1"/>
  <c r="AC20" i="48" s="1"/>
  <c r="AD20" i="48" s="1"/>
  <c r="X26" i="48"/>
  <c r="AA26" i="48" s="1"/>
  <c r="AB26" i="48" s="1"/>
  <c r="AC26" i="48" s="1"/>
  <c r="AD26" i="48" s="1"/>
  <c r="X24" i="48"/>
  <c r="AA24" i="48" s="1"/>
  <c r="AB24" i="48" s="1"/>
  <c r="AC24" i="48" s="1"/>
  <c r="AD24" i="48" s="1"/>
  <c r="X23" i="48"/>
  <c r="AA23" i="48" s="1"/>
  <c r="AB23" i="48" s="1"/>
  <c r="AC23" i="48" s="1"/>
  <c r="AD23" i="48" s="1"/>
  <c r="W20" i="48"/>
  <c r="Y20" i="48"/>
  <c r="Z20" i="48" s="1"/>
  <c r="X19" i="48"/>
  <c r="AA19" i="48" s="1"/>
  <c r="AB19" i="48" s="1"/>
  <c r="AC19" i="48" s="1"/>
  <c r="AD19" i="48" s="1"/>
  <c r="U19" i="48"/>
  <c r="U18" i="48"/>
  <c r="X18" i="48" s="1"/>
  <c r="AA18" i="48" s="1"/>
  <c r="AB18" i="48" s="1"/>
  <c r="AC18" i="48" s="1"/>
  <c r="AD18" i="48" s="1"/>
  <c r="S11" i="48"/>
  <c r="S12" i="48" s="1"/>
  <c r="S13" i="48" s="1"/>
  <c r="S14" i="48" s="1"/>
  <c r="S15" i="48" s="1"/>
  <c r="S16" i="48" s="1"/>
  <c r="S17" i="48" s="1"/>
  <c r="S18" i="48" s="1"/>
  <c r="S19" i="48" s="1"/>
  <c r="S20" i="48" s="1"/>
  <c r="S21" i="48" s="1"/>
  <c r="S22" i="48" s="1"/>
  <c r="S23" i="48" s="1"/>
  <c r="S24" i="48" s="1"/>
  <c r="S25" i="48" s="1"/>
  <c r="S26" i="48" s="1"/>
  <c r="S27" i="48" s="1"/>
  <c r="S28" i="48" s="1"/>
  <c r="S29" i="48" s="1"/>
  <c r="S30" i="48" s="1"/>
  <c r="S31" i="48" s="1"/>
  <c r="S32" i="48" s="1"/>
  <c r="S33" i="48" s="1"/>
  <c r="S34" i="48" s="1"/>
  <c r="S35" i="48" s="1"/>
  <c r="P11" i="47"/>
  <c r="Q11" i="47"/>
  <c r="P61" i="47"/>
  <c r="P12" i="47"/>
  <c r="P13" i="47" s="1"/>
  <c r="P14" i="47" s="1"/>
  <c r="P15" i="47" s="1"/>
  <c r="P16" i="47" s="1"/>
  <c r="P17" i="47" s="1"/>
  <c r="P18" i="47" s="1"/>
  <c r="P19" i="47" s="1"/>
  <c r="P20" i="47" s="1"/>
  <c r="P21" i="47" s="1"/>
  <c r="P22" i="47" s="1"/>
  <c r="P23" i="47" s="1"/>
  <c r="P24" i="47" s="1"/>
  <c r="P25" i="47" s="1"/>
  <c r="P26" i="47" s="1"/>
  <c r="P27" i="47" s="1"/>
  <c r="P28" i="47" s="1"/>
  <c r="P29" i="47" s="1"/>
  <c r="P30" i="47" s="1"/>
  <c r="P31" i="47" s="1"/>
  <c r="P32" i="47" s="1"/>
  <c r="P33" i="47" s="1"/>
  <c r="P34" i="47" s="1"/>
  <c r="P62" i="47"/>
  <c r="P63" i="47" s="1"/>
  <c r="P64" i="47" s="1"/>
  <c r="P65" i="47" s="1"/>
  <c r="P66" i="47" s="1"/>
  <c r="P67" i="47" s="1"/>
  <c r="P68" i="47" s="1"/>
  <c r="P69" i="47" s="1"/>
  <c r="P70" i="47" s="1"/>
  <c r="P71" i="47" s="1"/>
  <c r="P72" i="47" s="1"/>
  <c r="P73" i="47" s="1"/>
  <c r="P74" i="47" s="1"/>
  <c r="P75" i="47" s="1"/>
  <c r="P76" i="47" s="1"/>
  <c r="P77" i="47" s="1"/>
  <c r="P78" i="47" s="1"/>
  <c r="P79" i="47" s="1"/>
  <c r="P80" i="47" s="1"/>
  <c r="P81" i="47" s="1"/>
  <c r="P82" i="47" s="1"/>
  <c r="P83" i="47" s="1"/>
  <c r="P84" i="47" s="1"/>
  <c r="Q14" i="47"/>
  <c r="V14" i="47" s="1"/>
  <c r="P36" i="47"/>
  <c r="P37" i="47"/>
  <c r="P38" i="47" s="1"/>
  <c r="P39" i="47" s="1"/>
  <c r="P40" i="47" s="1"/>
  <c r="P41" i="47" s="1"/>
  <c r="P42" i="47" s="1"/>
  <c r="P43" i="47" s="1"/>
  <c r="P44" i="47" s="1"/>
  <c r="P45" i="47" s="1"/>
  <c r="P46" i="47" s="1"/>
  <c r="P47" i="47" s="1"/>
  <c r="P48" i="47" s="1"/>
  <c r="P49" i="47" s="1"/>
  <c r="P50" i="47" s="1"/>
  <c r="P51" i="47" s="1"/>
  <c r="P52" i="47" s="1"/>
  <c r="P53" i="47" s="1"/>
  <c r="P54" i="47" s="1"/>
  <c r="P55" i="47" s="1"/>
  <c r="P56" i="47" s="1"/>
  <c r="P57" i="47" s="1"/>
  <c r="P58" i="47" s="1"/>
  <c r="P59" i="47" s="1"/>
  <c r="G11" i="51"/>
  <c r="F11" i="51"/>
  <c r="G8" i="51"/>
  <c r="F8" i="51"/>
  <c r="P75" i="50"/>
  <c r="P12" i="50"/>
  <c r="F90" i="50"/>
  <c r="F84" i="50"/>
  <c r="L77" i="50"/>
  <c r="L79" i="50" s="1"/>
  <c r="L81" i="50" s="1"/>
  <c r="L83" i="50" s="1"/>
  <c r="L85" i="50" s="1"/>
  <c r="L87" i="50" s="1"/>
  <c r="L89" i="50" s="1"/>
  <c r="L91" i="50" s="1"/>
  <c r="L93" i="50" s="1"/>
  <c r="L95" i="50" s="1"/>
  <c r="L97" i="50" s="1"/>
  <c r="L99" i="50" s="1"/>
  <c r="L101" i="50" s="1"/>
  <c r="L103" i="50" s="1"/>
  <c r="L105" i="50" s="1"/>
  <c r="L107" i="50" s="1"/>
  <c r="L109" i="50" s="1"/>
  <c r="L111" i="50" s="1"/>
  <c r="L113" i="50" s="1"/>
  <c r="L115" i="50" s="1"/>
  <c r="L117" i="50" s="1"/>
  <c r="L119" i="50" s="1"/>
  <c r="L121" i="50" s="1"/>
  <c r="L123" i="50" s="1"/>
  <c r="E61" i="50"/>
  <c r="F41" i="50"/>
  <c r="F27" i="50"/>
  <c r="F25" i="50"/>
  <c r="F21" i="50"/>
  <c r="J20" i="50"/>
  <c r="F17" i="50"/>
  <c r="M14" i="50"/>
  <c r="M16" i="50" s="1"/>
  <c r="M18" i="50" s="1"/>
  <c r="M20" i="50" s="1"/>
  <c r="M22" i="50" s="1"/>
  <c r="M24" i="50" s="1"/>
  <c r="M26" i="50" s="1"/>
  <c r="M28" i="50" s="1"/>
  <c r="M30" i="50" s="1"/>
  <c r="M32" i="50" s="1"/>
  <c r="M34" i="50" s="1"/>
  <c r="M36" i="50" s="1"/>
  <c r="M38" i="50" s="1"/>
  <c r="M40" i="50" s="1"/>
  <c r="M42" i="50" s="1"/>
  <c r="M44" i="50" s="1"/>
  <c r="M46" i="50" s="1"/>
  <c r="M48" i="50" s="1"/>
  <c r="M50" i="50" s="1"/>
  <c r="M52" i="50" s="1"/>
  <c r="M54" i="50" s="1"/>
  <c r="M56" i="50" s="1"/>
  <c r="M58" i="50" s="1"/>
  <c r="M60" i="50" s="1"/>
  <c r="L14" i="50"/>
  <c r="L16" i="50" s="1"/>
  <c r="L18" i="50" s="1"/>
  <c r="L20" i="50" s="1"/>
  <c r="L22" i="50" s="1"/>
  <c r="L24" i="50" s="1"/>
  <c r="L26" i="50" s="1"/>
  <c r="L28" i="50" s="1"/>
  <c r="L30" i="50" s="1"/>
  <c r="L32" i="50" s="1"/>
  <c r="L34" i="50" s="1"/>
  <c r="L36" i="50" s="1"/>
  <c r="L38" i="50" s="1"/>
  <c r="L40" i="50" s="1"/>
  <c r="L42" i="50" s="1"/>
  <c r="L44" i="50" s="1"/>
  <c r="L46" i="50" s="1"/>
  <c r="L48" i="50" s="1"/>
  <c r="L50" i="50" s="1"/>
  <c r="L52" i="50" s="1"/>
  <c r="L54" i="50" s="1"/>
  <c r="L56" i="50" s="1"/>
  <c r="L58" i="50" s="1"/>
  <c r="L60" i="50" s="1"/>
  <c r="H14" i="50"/>
  <c r="H13" i="50"/>
  <c r="E4" i="50"/>
  <c r="O58" i="48"/>
  <c r="O56" i="48"/>
  <c r="O54" i="48"/>
  <c r="O52" i="48"/>
  <c r="O50" i="48"/>
  <c r="O48" i="48"/>
  <c r="O46" i="48"/>
  <c r="O44" i="48"/>
  <c r="O42" i="48"/>
  <c r="O40" i="48"/>
  <c r="O38" i="48"/>
  <c r="O36" i="48"/>
  <c r="O34" i="48"/>
  <c r="O32" i="48"/>
  <c r="O30" i="48"/>
  <c r="O28" i="48"/>
  <c r="O26" i="48"/>
  <c r="E4" i="48"/>
  <c r="F17" i="48"/>
  <c r="K20" i="48" s="1"/>
  <c r="F84" i="48"/>
  <c r="L77" i="48"/>
  <c r="L79" i="48" s="1"/>
  <c r="L81" i="48" s="1"/>
  <c r="L83" i="48" s="1"/>
  <c r="L85" i="48" s="1"/>
  <c r="L87" i="48" s="1"/>
  <c r="L89" i="48" s="1"/>
  <c r="L91" i="48" s="1"/>
  <c r="L93" i="48" s="1"/>
  <c r="L95" i="48" s="1"/>
  <c r="L97" i="48" s="1"/>
  <c r="L99" i="48" s="1"/>
  <c r="L101" i="48" s="1"/>
  <c r="L103" i="48" s="1"/>
  <c r="L105" i="48" s="1"/>
  <c r="L107" i="48" s="1"/>
  <c r="L109" i="48" s="1"/>
  <c r="L111" i="48" s="1"/>
  <c r="L113" i="48" s="1"/>
  <c r="L115" i="48" s="1"/>
  <c r="L117" i="48" s="1"/>
  <c r="L119" i="48" s="1"/>
  <c r="L121" i="48" s="1"/>
  <c r="L123" i="48" s="1"/>
  <c r="P75" i="48"/>
  <c r="E61" i="48"/>
  <c r="F27" i="48"/>
  <c r="F25" i="48"/>
  <c r="F21" i="48"/>
  <c r="M14" i="48"/>
  <c r="M16" i="48" s="1"/>
  <c r="M18" i="48" s="1"/>
  <c r="L14" i="48"/>
  <c r="L16" i="48" s="1"/>
  <c r="L18" i="48" s="1"/>
  <c r="P12" i="48"/>
  <c r="I55" i="47"/>
  <c r="I57" i="47" s="1"/>
  <c r="I59" i="47" s="1"/>
  <c r="I60" i="47" s="1"/>
  <c r="I62" i="47" s="1"/>
  <c r="I63" i="47" s="1"/>
  <c r="I66" i="47" s="1"/>
  <c r="I67" i="47" s="1"/>
  <c r="I68" i="47" s="1"/>
  <c r="I69" i="47" s="1"/>
  <c r="I70" i="47" s="1"/>
  <c r="I71" i="47" s="1"/>
  <c r="I72" i="47" s="1"/>
  <c r="I73" i="47" s="1"/>
  <c r="I75" i="47" s="1"/>
  <c r="I76" i="47" s="1"/>
  <c r="I77" i="47" s="1"/>
  <c r="I78" i="47" s="1"/>
  <c r="I79" i="47" s="1"/>
  <c r="I80" i="47" s="1"/>
  <c r="I81" i="47" s="1"/>
  <c r="I82" i="47" s="1"/>
  <c r="I83" i="47" s="1"/>
  <c r="M53" i="47"/>
  <c r="E41" i="47"/>
  <c r="K32" i="47"/>
  <c r="K23" i="47"/>
  <c r="H21" i="47"/>
  <c r="K19" i="47"/>
  <c r="L19" i="47" s="1"/>
  <c r="M19" i="47" s="1"/>
  <c r="Q16" i="47" s="1"/>
  <c r="V16" i="47" s="1"/>
  <c r="K16" i="47"/>
  <c r="L16" i="47" s="1"/>
  <c r="M16" i="47" s="1"/>
  <c r="J12" i="47"/>
  <c r="J14" i="47" s="1"/>
  <c r="J16" i="47" s="1"/>
  <c r="J17" i="47" s="1"/>
  <c r="J19" i="47" s="1"/>
  <c r="J20" i="47" s="1"/>
  <c r="J23" i="47" s="1"/>
  <c r="J24" i="47" s="1"/>
  <c r="J25" i="47" s="1"/>
  <c r="J26" i="47" s="1"/>
  <c r="J27" i="47" s="1"/>
  <c r="J28" i="47" s="1"/>
  <c r="J29" i="47" s="1"/>
  <c r="J30" i="47" s="1"/>
  <c r="J32" i="47" s="1"/>
  <c r="J33" i="47" s="1"/>
  <c r="J34" i="47" s="1"/>
  <c r="J35" i="47" s="1"/>
  <c r="J36" i="47" s="1"/>
  <c r="J37" i="47" s="1"/>
  <c r="J38" i="47" s="1"/>
  <c r="J39" i="47" s="1"/>
  <c r="J40" i="47" s="1"/>
  <c r="I12" i="47"/>
  <c r="I14" i="47" s="1"/>
  <c r="I16" i="47" s="1"/>
  <c r="I17" i="47" s="1"/>
  <c r="I19" i="47" s="1"/>
  <c r="I20" i="47" s="1"/>
  <c r="I23" i="47" s="1"/>
  <c r="I24" i="47" s="1"/>
  <c r="I25" i="47" s="1"/>
  <c r="I26" i="47" s="1"/>
  <c r="I27" i="47" s="1"/>
  <c r="I28" i="47" s="1"/>
  <c r="I29" i="47" s="1"/>
  <c r="I30" i="47" s="1"/>
  <c r="I32" i="47" s="1"/>
  <c r="I33" i="47" s="1"/>
  <c r="I34" i="47" s="1"/>
  <c r="I35" i="47" s="1"/>
  <c r="I36" i="47" s="1"/>
  <c r="I37" i="47" s="1"/>
  <c r="I38" i="47" s="1"/>
  <c r="I39" i="47" s="1"/>
  <c r="I40" i="47" s="1"/>
  <c r="K11" i="47"/>
  <c r="L11" i="47" s="1"/>
  <c r="M11" i="47" s="1"/>
  <c r="G11" i="47"/>
  <c r="M10" i="47"/>
  <c r="F144" i="46"/>
  <c r="F146" i="46" s="1"/>
  <c r="F148" i="46" s="1"/>
  <c r="F150" i="46" s="1"/>
  <c r="F152" i="46" s="1"/>
  <c r="F154" i="46" s="1"/>
  <c r="F156" i="46" s="1"/>
  <c r="F158" i="46" s="1"/>
  <c r="F160" i="46" s="1"/>
  <c r="F162" i="46" s="1"/>
  <c r="F164" i="46" s="1"/>
  <c r="F166" i="46" s="1"/>
  <c r="F168" i="46" s="1"/>
  <c r="F170" i="46" s="1"/>
  <c r="F172" i="46" s="1"/>
  <c r="F174" i="46" s="1"/>
  <c r="F176" i="46" s="1"/>
  <c r="F178" i="46" s="1"/>
  <c r="F180" i="46" s="1"/>
  <c r="F182" i="46" s="1"/>
  <c r="F184" i="46" s="1"/>
  <c r="F186" i="46" s="1"/>
  <c r="F188" i="46" s="1"/>
  <c r="E144" i="46"/>
  <c r="E146" i="46" s="1"/>
  <c r="E148" i="46" s="1"/>
  <c r="E150" i="46" s="1"/>
  <c r="E152" i="46" s="1"/>
  <c r="E154" i="46" s="1"/>
  <c r="E156" i="46" s="1"/>
  <c r="E158" i="46" s="1"/>
  <c r="E160" i="46" s="1"/>
  <c r="E162" i="46" s="1"/>
  <c r="E164" i="46" s="1"/>
  <c r="E166" i="46" s="1"/>
  <c r="E168" i="46" s="1"/>
  <c r="E170" i="46" s="1"/>
  <c r="E172" i="46" s="1"/>
  <c r="E174" i="46" s="1"/>
  <c r="E176" i="46" s="1"/>
  <c r="E178" i="46" s="1"/>
  <c r="E180" i="46" s="1"/>
  <c r="E182" i="46" s="1"/>
  <c r="E184" i="46" s="1"/>
  <c r="E186" i="46" s="1"/>
  <c r="E188" i="46" s="1"/>
  <c r="D144" i="46"/>
  <c r="D146" i="46" s="1"/>
  <c r="D148" i="46" s="1"/>
  <c r="D150" i="46" s="1"/>
  <c r="D152" i="46" s="1"/>
  <c r="D154" i="46" s="1"/>
  <c r="D156" i="46" s="1"/>
  <c r="D158" i="46" s="1"/>
  <c r="D160" i="46" s="1"/>
  <c r="D162" i="46" s="1"/>
  <c r="D164" i="46" s="1"/>
  <c r="D166" i="46" s="1"/>
  <c r="D168" i="46" s="1"/>
  <c r="D170" i="46" s="1"/>
  <c r="D172" i="46" s="1"/>
  <c r="D174" i="46" s="1"/>
  <c r="D176" i="46" s="1"/>
  <c r="D178" i="46" s="1"/>
  <c r="D180" i="46" s="1"/>
  <c r="D182" i="46" s="1"/>
  <c r="D184" i="46" s="1"/>
  <c r="D186" i="46" s="1"/>
  <c r="D188" i="46" s="1"/>
  <c r="I131" i="46"/>
  <c r="J131" i="46" s="1"/>
  <c r="K131" i="46" s="1"/>
  <c r="L131" i="46" s="1"/>
  <c r="G86" i="46"/>
  <c r="G88" i="46" s="1"/>
  <c r="G90" i="46" s="1"/>
  <c r="G92" i="46" s="1"/>
  <c r="G94" i="46" s="1"/>
  <c r="G96" i="46" s="1"/>
  <c r="G98" i="46" s="1"/>
  <c r="G100" i="46" s="1"/>
  <c r="G102" i="46" s="1"/>
  <c r="G104" i="46" s="1"/>
  <c r="G106" i="46" s="1"/>
  <c r="G108" i="46" s="1"/>
  <c r="G110" i="46" s="1"/>
  <c r="G112" i="46" s="1"/>
  <c r="G114" i="46" s="1"/>
  <c r="G116" i="46" s="1"/>
  <c r="G118" i="46" s="1"/>
  <c r="G120" i="46" s="1"/>
  <c r="G122" i="46" s="1"/>
  <c r="G124" i="46" s="1"/>
  <c r="G126" i="46" s="1"/>
  <c r="G128" i="46" s="1"/>
  <c r="G130" i="46" s="1"/>
  <c r="F86" i="46"/>
  <c r="F88" i="46" s="1"/>
  <c r="F90" i="46" s="1"/>
  <c r="F92" i="46" s="1"/>
  <c r="F94" i="46" s="1"/>
  <c r="F96" i="46" s="1"/>
  <c r="F98" i="46" s="1"/>
  <c r="F100" i="46" s="1"/>
  <c r="F102" i="46" s="1"/>
  <c r="F104" i="46" s="1"/>
  <c r="F106" i="46" s="1"/>
  <c r="F108" i="46" s="1"/>
  <c r="F110" i="46" s="1"/>
  <c r="F112" i="46" s="1"/>
  <c r="F114" i="46" s="1"/>
  <c r="F116" i="46" s="1"/>
  <c r="F118" i="46" s="1"/>
  <c r="F120" i="46" s="1"/>
  <c r="F122" i="46" s="1"/>
  <c r="F124" i="46" s="1"/>
  <c r="F126" i="46" s="1"/>
  <c r="F128" i="46" s="1"/>
  <c r="F130" i="46" s="1"/>
  <c r="E86" i="46"/>
  <c r="E88" i="46" s="1"/>
  <c r="E90" i="46" s="1"/>
  <c r="E92" i="46" s="1"/>
  <c r="E94" i="46" s="1"/>
  <c r="E96" i="46" s="1"/>
  <c r="E98" i="46" s="1"/>
  <c r="E100" i="46" s="1"/>
  <c r="E102" i="46" s="1"/>
  <c r="E104" i="46" s="1"/>
  <c r="E106" i="46" s="1"/>
  <c r="E108" i="46" s="1"/>
  <c r="E110" i="46" s="1"/>
  <c r="E112" i="46" s="1"/>
  <c r="E114" i="46" s="1"/>
  <c r="E116" i="46" s="1"/>
  <c r="E118" i="46" s="1"/>
  <c r="E120" i="46" s="1"/>
  <c r="E122" i="46" s="1"/>
  <c r="E124" i="46" s="1"/>
  <c r="E126" i="46" s="1"/>
  <c r="E128" i="46" s="1"/>
  <c r="E130" i="46" s="1"/>
  <c r="I84" i="46"/>
  <c r="J84" i="46" s="1"/>
  <c r="E80" i="46"/>
  <c r="J16" i="46"/>
  <c r="J14" i="46"/>
  <c r="I13" i="46"/>
  <c r="I17" i="46" s="1"/>
  <c r="I21" i="46" s="1"/>
  <c r="I23" i="46" s="1"/>
  <c r="I27" i="46" s="1"/>
  <c r="I29" i="46" s="1"/>
  <c r="I33" i="46" s="1"/>
  <c r="I37" i="46" s="1"/>
  <c r="I39" i="46" s="1"/>
  <c r="I41" i="46" s="1"/>
  <c r="I43" i="46" s="1"/>
  <c r="I45" i="46" s="1"/>
  <c r="I47" i="46" s="1"/>
  <c r="I49" i="46" s="1"/>
  <c r="I53" i="46" s="1"/>
  <c r="I55" i="46" s="1"/>
  <c r="I57" i="46" s="1"/>
  <c r="I59" i="46" s="1"/>
  <c r="I61" i="46" s="1"/>
  <c r="I63" i="46" s="1"/>
  <c r="I65" i="46" s="1"/>
  <c r="I67" i="46" s="1"/>
  <c r="I69" i="46" s="1"/>
  <c r="H13" i="46"/>
  <c r="H17" i="46" s="1"/>
  <c r="H21" i="46" s="1"/>
  <c r="H23" i="46" s="1"/>
  <c r="H27" i="46" s="1"/>
  <c r="H29" i="46" s="1"/>
  <c r="H33" i="46" s="1"/>
  <c r="H37" i="46" s="1"/>
  <c r="H39" i="46" s="1"/>
  <c r="H41" i="46" s="1"/>
  <c r="H43" i="46" s="1"/>
  <c r="H45" i="46" s="1"/>
  <c r="H47" i="46" s="1"/>
  <c r="H49" i="46" s="1"/>
  <c r="H53" i="46" s="1"/>
  <c r="H55" i="46" s="1"/>
  <c r="H57" i="46" s="1"/>
  <c r="H59" i="46" s="1"/>
  <c r="H61" i="46" s="1"/>
  <c r="H63" i="46" s="1"/>
  <c r="H65" i="46" s="1"/>
  <c r="H67" i="46" s="1"/>
  <c r="H69" i="46" s="1"/>
  <c r="G13" i="46"/>
  <c r="G17" i="46" s="1"/>
  <c r="G21" i="46" s="1"/>
  <c r="G23" i="46" s="1"/>
  <c r="G27" i="46" s="1"/>
  <c r="G29" i="46" s="1"/>
  <c r="G33" i="46" s="1"/>
  <c r="G37" i="46" s="1"/>
  <c r="G39" i="46" s="1"/>
  <c r="G41" i="46" s="1"/>
  <c r="G43" i="46" s="1"/>
  <c r="G45" i="46" s="1"/>
  <c r="G47" i="46" s="1"/>
  <c r="G49" i="46" s="1"/>
  <c r="G53" i="46" s="1"/>
  <c r="G55" i="46" s="1"/>
  <c r="G57" i="46" s="1"/>
  <c r="G59" i="46" s="1"/>
  <c r="G61" i="46" s="1"/>
  <c r="G63" i="46" s="1"/>
  <c r="G65" i="46" s="1"/>
  <c r="G67" i="46" s="1"/>
  <c r="G69" i="46" s="1"/>
  <c r="L12" i="46"/>
  <c r="I85" i="46" s="1"/>
  <c r="G11" i="39"/>
  <c r="F11" i="39"/>
  <c r="G8" i="39"/>
  <c r="F8" i="39"/>
  <c r="U8" i="39" s="1"/>
  <c r="AB8" i="39" s="1"/>
  <c r="F80" i="50" l="1"/>
  <c r="J83" i="50"/>
  <c r="H77" i="50"/>
  <c r="E67" i="50"/>
  <c r="F104" i="50"/>
  <c r="H76" i="50"/>
  <c r="F104" i="48"/>
  <c r="E67" i="48"/>
  <c r="H77" i="48"/>
  <c r="H76" i="48"/>
  <c r="J83" i="48"/>
  <c r="J85" i="48" s="1"/>
  <c r="J87" i="48" s="1"/>
  <c r="J89" i="48" s="1"/>
  <c r="I77" i="48"/>
  <c r="I78" i="48" s="1"/>
  <c r="I79" i="48" s="1"/>
  <c r="E124" i="48"/>
  <c r="F80" i="48"/>
  <c r="E84" i="47"/>
  <c r="L62" i="47"/>
  <c r="M62" i="47" s="1"/>
  <c r="Q41" i="47" s="1"/>
  <c r="V41" i="47" s="1"/>
  <c r="L59" i="47"/>
  <c r="M59" i="47" s="1"/>
  <c r="Q39" i="47" s="1"/>
  <c r="V39" i="47" s="1"/>
  <c r="L54" i="47"/>
  <c r="M54" i="47" s="1"/>
  <c r="Q36" i="47" s="1"/>
  <c r="V36" i="47" s="1"/>
  <c r="W127" i="48"/>
  <c r="Y127" i="48"/>
  <c r="Z127" i="48" s="1"/>
  <c r="Y126" i="48"/>
  <c r="Z126" i="48" s="1"/>
  <c r="W126" i="48"/>
  <c r="W125" i="48"/>
  <c r="Y125" i="48"/>
  <c r="Z125" i="48" s="1"/>
  <c r="Y124" i="48"/>
  <c r="Z124" i="48" s="1"/>
  <c r="W124" i="48"/>
  <c r="Y123" i="48"/>
  <c r="Z123" i="48" s="1"/>
  <c r="W123" i="48"/>
  <c r="Y122" i="48"/>
  <c r="Z122" i="48" s="1"/>
  <c r="W122" i="48"/>
  <c r="W121" i="48"/>
  <c r="Y121" i="48"/>
  <c r="Z121" i="48" s="1"/>
  <c r="Y120" i="48"/>
  <c r="Z120" i="48" s="1"/>
  <c r="W120" i="48"/>
  <c r="Y119" i="48"/>
  <c r="Z119" i="48" s="1"/>
  <c r="W119" i="48"/>
  <c r="Y118" i="48"/>
  <c r="Z118" i="48" s="1"/>
  <c r="W118" i="48"/>
  <c r="Y117" i="48"/>
  <c r="Z117" i="48" s="1"/>
  <c r="W117" i="48"/>
  <c r="W116" i="48"/>
  <c r="Y116" i="48"/>
  <c r="Z116" i="48" s="1"/>
  <c r="W115" i="48"/>
  <c r="Y115" i="48"/>
  <c r="Z115" i="48" s="1"/>
  <c r="Y114" i="48"/>
  <c r="Z114" i="48" s="1"/>
  <c r="W114" i="48"/>
  <c r="W113" i="48"/>
  <c r="Y113" i="48"/>
  <c r="Z113" i="48" s="1"/>
  <c r="Y112" i="48"/>
  <c r="Z112" i="48" s="1"/>
  <c r="W112" i="48"/>
  <c r="Y111" i="48"/>
  <c r="Z111" i="48" s="1"/>
  <c r="W111" i="48"/>
  <c r="W109" i="48"/>
  <c r="Y109" i="48"/>
  <c r="Z109" i="48" s="1"/>
  <c r="Y19" i="48"/>
  <c r="Z19" i="48" s="1"/>
  <c r="W19" i="48"/>
  <c r="W34" i="48"/>
  <c r="Y34" i="48"/>
  <c r="Z34" i="48" s="1"/>
  <c r="W33" i="48"/>
  <c r="Y33" i="48"/>
  <c r="Z33" i="48" s="1"/>
  <c r="W32" i="48"/>
  <c r="Y32" i="48"/>
  <c r="Z32" i="48" s="1"/>
  <c r="W31" i="48"/>
  <c r="Y31" i="48"/>
  <c r="Z31" i="48" s="1"/>
  <c r="W30" i="48"/>
  <c r="Y30" i="48"/>
  <c r="Z30" i="48" s="1"/>
  <c r="Y29" i="48"/>
  <c r="Z29" i="48" s="1"/>
  <c r="W29" i="48"/>
  <c r="W28" i="48"/>
  <c r="Y28" i="48"/>
  <c r="Z28" i="48" s="1"/>
  <c r="Y27" i="48"/>
  <c r="Z27" i="48" s="1"/>
  <c r="W27" i="48"/>
  <c r="W26" i="48"/>
  <c r="Y26" i="48"/>
  <c r="Z26" i="48" s="1"/>
  <c r="Y25" i="48"/>
  <c r="Z25" i="48" s="1"/>
  <c r="W25" i="48"/>
  <c r="W24" i="48"/>
  <c r="Y24" i="48"/>
  <c r="Z24" i="48" s="1"/>
  <c r="Y23" i="48"/>
  <c r="Z23" i="48" s="1"/>
  <c r="W23" i="48"/>
  <c r="W22" i="48"/>
  <c r="Y22" i="48"/>
  <c r="Z22" i="48" s="1"/>
  <c r="Y21" i="48"/>
  <c r="Z21" i="48" s="1"/>
  <c r="W21" i="48"/>
  <c r="W18" i="48"/>
  <c r="Y18" i="48"/>
  <c r="Z18" i="48" s="1"/>
  <c r="W17" i="48"/>
  <c r="Y17" i="48"/>
  <c r="Z17" i="48" s="1"/>
  <c r="Y16" i="48"/>
  <c r="Z16" i="48" s="1"/>
  <c r="W16" i="48"/>
  <c r="Q66" i="47"/>
  <c r="V66" i="47" s="1"/>
  <c r="Q64" i="47"/>
  <c r="V64" i="47" s="1"/>
  <c r="Q61" i="47"/>
  <c r="J85" i="50"/>
  <c r="H79" i="50"/>
  <c r="I77" i="50"/>
  <c r="I78" i="50" s="1"/>
  <c r="I79" i="50" s="1"/>
  <c r="J22" i="50"/>
  <c r="F61" i="50"/>
  <c r="K20" i="50"/>
  <c r="H16" i="50"/>
  <c r="I14" i="50"/>
  <c r="I15" i="50" s="1"/>
  <c r="I16" i="50" s="1"/>
  <c r="L20" i="48"/>
  <c r="L22" i="48" s="1"/>
  <c r="L24" i="48" s="1"/>
  <c r="L26" i="48" s="1"/>
  <c r="L28" i="48" s="1"/>
  <c r="L30" i="48" s="1"/>
  <c r="L32" i="48" s="1"/>
  <c r="L34" i="48" s="1"/>
  <c r="L36" i="48" s="1"/>
  <c r="L38" i="48" s="1"/>
  <c r="L40" i="48" s="1"/>
  <c r="L42" i="48" s="1"/>
  <c r="L44" i="48" s="1"/>
  <c r="L46" i="48" s="1"/>
  <c r="L48" i="48" s="1"/>
  <c r="L50" i="48" s="1"/>
  <c r="L52" i="48" s="1"/>
  <c r="L54" i="48" s="1"/>
  <c r="L56" i="48" s="1"/>
  <c r="L58" i="48" s="1"/>
  <c r="L60" i="48" s="1"/>
  <c r="H79" i="48"/>
  <c r="M20" i="48"/>
  <c r="M22" i="48" s="1"/>
  <c r="M24" i="48" s="1"/>
  <c r="M26" i="48" s="1"/>
  <c r="M28" i="48" s="1"/>
  <c r="M30" i="48" s="1"/>
  <c r="M32" i="48" s="1"/>
  <c r="M34" i="48" s="1"/>
  <c r="M36" i="48" s="1"/>
  <c r="M38" i="48" s="1"/>
  <c r="M40" i="48" s="1"/>
  <c r="M42" i="48" s="1"/>
  <c r="M44" i="48" s="1"/>
  <c r="M46" i="48" s="1"/>
  <c r="M48" i="48" s="1"/>
  <c r="M50" i="48" s="1"/>
  <c r="M52" i="48" s="1"/>
  <c r="M54" i="48" s="1"/>
  <c r="M56" i="48" s="1"/>
  <c r="M58" i="48" s="1"/>
  <c r="M60" i="48" s="1"/>
  <c r="J91" i="48"/>
  <c r="N85" i="48"/>
  <c r="O85" i="48" s="1"/>
  <c r="P85" i="48" s="1"/>
  <c r="U79" i="48" s="1"/>
  <c r="X79" i="48" s="1"/>
  <c r="AA79" i="48" s="1"/>
  <c r="AB79" i="48" s="1"/>
  <c r="AC79" i="48" s="1"/>
  <c r="AD79" i="48" s="1"/>
  <c r="J20" i="48"/>
  <c r="J22" i="48" s="1"/>
  <c r="H14" i="48"/>
  <c r="H13" i="48"/>
  <c r="F41" i="48"/>
  <c r="F61" i="48" s="1"/>
  <c r="K24" i="47"/>
  <c r="L23" i="47"/>
  <c r="M23" i="47" s="1"/>
  <c r="Q18" i="47" s="1"/>
  <c r="K76" i="47"/>
  <c r="L75" i="47"/>
  <c r="M75" i="47" s="1"/>
  <c r="Q51" i="47" s="1"/>
  <c r="V51" i="47" s="1"/>
  <c r="L66" i="47"/>
  <c r="M66" i="47" s="1"/>
  <c r="Q43" i="47" s="1"/>
  <c r="V43" i="47" s="1"/>
  <c r="K67" i="47"/>
  <c r="H55" i="47"/>
  <c r="G55" i="47"/>
  <c r="L32" i="47"/>
  <c r="M32" i="47" s="1"/>
  <c r="Q26" i="47" s="1"/>
  <c r="K33" i="47"/>
  <c r="L24" i="47"/>
  <c r="M24" i="47" s="1"/>
  <c r="Q19" i="47" s="1"/>
  <c r="K25" i="47"/>
  <c r="H12" i="47"/>
  <c r="G12" i="47"/>
  <c r="J15" i="46"/>
  <c r="K13" i="46"/>
  <c r="L84" i="46"/>
  <c r="K84" i="46"/>
  <c r="J85" i="46"/>
  <c r="M85" i="46" s="1"/>
  <c r="I143" i="46" s="1"/>
  <c r="L85" i="46"/>
  <c r="O85" i="46" s="1"/>
  <c r="G143" i="46" s="1"/>
  <c r="K85" i="46"/>
  <c r="N85" i="46" s="1"/>
  <c r="H143" i="46" s="1"/>
  <c r="O84" i="46"/>
  <c r="G142" i="46" s="1"/>
  <c r="N131" i="46"/>
  <c r="H189" i="46" s="1"/>
  <c r="E136" i="46"/>
  <c r="M84" i="46"/>
  <c r="I142" i="46" s="1"/>
  <c r="N84" i="46"/>
  <c r="H142" i="46" s="1"/>
  <c r="O131" i="46"/>
  <c r="G189" i="46" s="1"/>
  <c r="M131" i="46"/>
  <c r="I189" i="46" s="1"/>
  <c r="L16" i="46"/>
  <c r="J20" i="46"/>
  <c r="K15" i="46"/>
  <c r="J18" i="46"/>
  <c r="K83" i="50" l="1"/>
  <c r="F124" i="50"/>
  <c r="L143" i="46"/>
  <c r="S11" i="47"/>
  <c r="X61" i="47" s="1"/>
  <c r="L142" i="46"/>
  <c r="R11" i="47"/>
  <c r="W61" i="47" s="1"/>
  <c r="K189" i="46"/>
  <c r="S59" i="47"/>
  <c r="X59" i="47" s="1"/>
  <c r="J143" i="46"/>
  <c r="S61" i="47"/>
  <c r="X11" i="47" s="1"/>
  <c r="J142" i="46"/>
  <c r="R61" i="47"/>
  <c r="W11" i="47" s="1"/>
  <c r="K142" i="46"/>
  <c r="R36" i="47"/>
  <c r="W36" i="47" s="1"/>
  <c r="L189" i="46"/>
  <c r="S34" i="47"/>
  <c r="X84" i="47" s="1"/>
  <c r="K143" i="46"/>
  <c r="S36" i="47"/>
  <c r="X36" i="47" s="1"/>
  <c r="J189" i="46"/>
  <c r="S84" i="47"/>
  <c r="X34" i="47" s="1"/>
  <c r="K83" i="48"/>
  <c r="F124" i="48"/>
  <c r="Q76" i="47"/>
  <c r="V76" i="47" s="1"/>
  <c r="V26" i="47"/>
  <c r="Q68" i="47"/>
  <c r="V68" i="47" s="1"/>
  <c r="V18" i="47"/>
  <c r="Q69" i="47"/>
  <c r="V69" i="47" s="1"/>
  <c r="V19" i="47"/>
  <c r="N85" i="50"/>
  <c r="O85" i="50" s="1"/>
  <c r="P85" i="50" s="1"/>
  <c r="V79" i="48" s="1"/>
  <c r="J87" i="50"/>
  <c r="H81" i="50"/>
  <c r="I80" i="50"/>
  <c r="I83" i="50" s="1"/>
  <c r="J24" i="50"/>
  <c r="N22" i="50"/>
  <c r="O22" i="50" s="1"/>
  <c r="P22" i="50" s="1"/>
  <c r="H18" i="50"/>
  <c r="I17" i="50"/>
  <c r="I20" i="50" s="1"/>
  <c r="I80" i="48"/>
  <c r="H81" i="48"/>
  <c r="H83" i="48" s="1"/>
  <c r="J93" i="48"/>
  <c r="N91" i="48"/>
  <c r="O91" i="48" s="1"/>
  <c r="P91" i="48" s="1"/>
  <c r="U82" i="48" s="1"/>
  <c r="X82" i="48" s="1"/>
  <c r="AA82" i="48" s="1"/>
  <c r="AB82" i="48" s="1"/>
  <c r="AC82" i="48" s="1"/>
  <c r="AD82" i="48" s="1"/>
  <c r="N22" i="48"/>
  <c r="O22" i="48" s="1"/>
  <c r="P22" i="48" s="1"/>
  <c r="U16" i="48" s="1"/>
  <c r="J24" i="48"/>
  <c r="J26" i="48" s="1"/>
  <c r="J28" i="48" s="1"/>
  <c r="H16" i="48"/>
  <c r="I14" i="48"/>
  <c r="I15" i="48" s="1"/>
  <c r="I16" i="48" s="1"/>
  <c r="K77" i="47"/>
  <c r="L76" i="47"/>
  <c r="M76" i="47" s="1"/>
  <c r="Q52" i="47" s="1"/>
  <c r="V52" i="47" s="1"/>
  <c r="L67" i="47"/>
  <c r="M67" i="47" s="1"/>
  <c r="Q44" i="47" s="1"/>
  <c r="V44" i="47" s="1"/>
  <c r="K68" i="47"/>
  <c r="G57" i="47"/>
  <c r="H56" i="47"/>
  <c r="K34" i="47"/>
  <c r="L33" i="47"/>
  <c r="M33" i="47" s="1"/>
  <c r="Q27" i="47" s="1"/>
  <c r="L25" i="47"/>
  <c r="M25" i="47" s="1"/>
  <c r="Q20" i="47" s="1"/>
  <c r="K26" i="47"/>
  <c r="G14" i="47"/>
  <c r="H13" i="47"/>
  <c r="M13" i="46"/>
  <c r="J22" i="46"/>
  <c r="K17" i="46"/>
  <c r="J19" i="46"/>
  <c r="Y79" i="48" l="1"/>
  <c r="Z79" i="48" s="1"/>
  <c r="W79" i="48"/>
  <c r="U109" i="48"/>
  <c r="X109" i="48" s="1"/>
  <c r="AA109" i="48" s="1"/>
  <c r="AB109" i="48" s="1"/>
  <c r="AC109" i="48" s="1"/>
  <c r="AD109" i="48" s="1"/>
  <c r="X16" i="48"/>
  <c r="AA16" i="48" s="1"/>
  <c r="AB16" i="48" s="1"/>
  <c r="AC16" i="48" s="1"/>
  <c r="AD16" i="48" s="1"/>
  <c r="Q77" i="47"/>
  <c r="V77" i="47" s="1"/>
  <c r="V27" i="47"/>
  <c r="Q70" i="47"/>
  <c r="V70" i="47" s="1"/>
  <c r="V20" i="47"/>
  <c r="J89" i="50"/>
  <c r="H83" i="50"/>
  <c r="J26" i="50"/>
  <c r="H20" i="50"/>
  <c r="H85" i="48"/>
  <c r="H87" i="48" s="1"/>
  <c r="I83" i="48"/>
  <c r="I84" i="48" s="1"/>
  <c r="N93" i="48"/>
  <c r="O93" i="48" s="1"/>
  <c r="P93" i="48" s="1"/>
  <c r="U83" i="48" s="1"/>
  <c r="X83" i="48" s="1"/>
  <c r="AA83" i="48" s="1"/>
  <c r="AB83" i="48" s="1"/>
  <c r="AC83" i="48" s="1"/>
  <c r="AD83" i="48" s="1"/>
  <c r="J95" i="48"/>
  <c r="N28" i="48"/>
  <c r="P28" i="48" s="1"/>
  <c r="J30" i="48"/>
  <c r="H18" i="48"/>
  <c r="I17" i="48"/>
  <c r="K78" i="47"/>
  <c r="L77" i="47"/>
  <c r="M77" i="47" s="1"/>
  <c r="Q53" i="47" s="1"/>
  <c r="V53" i="47" s="1"/>
  <c r="L68" i="47"/>
  <c r="M68" i="47" s="1"/>
  <c r="Q45" i="47" s="1"/>
  <c r="V45" i="47" s="1"/>
  <c r="K69" i="47"/>
  <c r="G59" i="47"/>
  <c r="G60" i="47" s="1"/>
  <c r="K55" i="47"/>
  <c r="L55" i="47" s="1"/>
  <c r="M55" i="47" s="1"/>
  <c r="Q37" i="47" s="1"/>
  <c r="V37" i="47" s="1"/>
  <c r="H57" i="47"/>
  <c r="H58" i="47" s="1"/>
  <c r="L34" i="47"/>
  <c r="M34" i="47" s="1"/>
  <c r="Q28" i="47" s="1"/>
  <c r="K35" i="47"/>
  <c r="L26" i="47"/>
  <c r="M26" i="47" s="1"/>
  <c r="Q21" i="47" s="1"/>
  <c r="K27" i="47"/>
  <c r="G16" i="47"/>
  <c r="K12" i="47"/>
  <c r="L12" i="47" s="1"/>
  <c r="M12" i="47" s="1"/>
  <c r="Q12" i="47" s="1"/>
  <c r="H14" i="47"/>
  <c r="H15" i="47" s="1"/>
  <c r="H17" i="47" s="1"/>
  <c r="M16" i="46"/>
  <c r="I87" i="46" s="1"/>
  <c r="I86" i="46"/>
  <c r="J26" i="46"/>
  <c r="L22" i="46"/>
  <c r="J24" i="46"/>
  <c r="K19" i="46"/>
  <c r="L20" i="46"/>
  <c r="Q78" i="47" l="1"/>
  <c r="V78" i="47" s="1"/>
  <c r="V28" i="47"/>
  <c r="Q71" i="47"/>
  <c r="V71" i="47" s="1"/>
  <c r="V21" i="47"/>
  <c r="Q62" i="47"/>
  <c r="V62" i="47" s="1"/>
  <c r="V12" i="47"/>
  <c r="H85" i="50"/>
  <c r="I84" i="50"/>
  <c r="H22" i="50"/>
  <c r="I21" i="50"/>
  <c r="J91" i="50"/>
  <c r="J28" i="50"/>
  <c r="K84" i="48"/>
  <c r="I87" i="48"/>
  <c r="H89" i="48"/>
  <c r="I20" i="48"/>
  <c r="J97" i="48"/>
  <c r="N95" i="48"/>
  <c r="O95" i="48" s="1"/>
  <c r="P95" i="48" s="1"/>
  <c r="U84" i="48" s="1"/>
  <c r="X84" i="48" s="1"/>
  <c r="AA84" i="48" s="1"/>
  <c r="AB84" i="48" s="1"/>
  <c r="AC84" i="48" s="1"/>
  <c r="AD84" i="48" s="1"/>
  <c r="J32" i="48"/>
  <c r="N30" i="48"/>
  <c r="P30" i="48" s="1"/>
  <c r="H20" i="48"/>
  <c r="K79" i="47"/>
  <c r="L78" i="47"/>
  <c r="M78" i="47" s="1"/>
  <c r="Q54" i="47" s="1"/>
  <c r="V54" i="47" s="1"/>
  <c r="L69" i="47"/>
  <c r="M69" i="47" s="1"/>
  <c r="Q46" i="47" s="1"/>
  <c r="V46" i="47" s="1"/>
  <c r="K70" i="47"/>
  <c r="G62" i="47"/>
  <c r="L35" i="47"/>
  <c r="M35" i="47" s="1"/>
  <c r="Q29" i="47" s="1"/>
  <c r="K36" i="47"/>
  <c r="L27" i="47"/>
  <c r="M27" i="47" s="1"/>
  <c r="Q22" i="47" s="1"/>
  <c r="K28" i="47"/>
  <c r="G17" i="47"/>
  <c r="K14" i="47"/>
  <c r="L14" i="47" s="1"/>
  <c r="M14" i="47" s="1"/>
  <c r="Q13" i="47" s="1"/>
  <c r="K57" i="47"/>
  <c r="L57" i="47" s="1"/>
  <c r="M57" i="47" s="1"/>
  <c r="Q38" i="47" s="1"/>
  <c r="V38" i="47" s="1"/>
  <c r="H60" i="47"/>
  <c r="H61" i="47" s="1"/>
  <c r="K87" i="46"/>
  <c r="N87" i="46" s="1"/>
  <c r="H145" i="46" s="1"/>
  <c r="J87" i="46"/>
  <c r="M87" i="46" s="1"/>
  <c r="I145" i="46" s="1"/>
  <c r="L87" i="46"/>
  <c r="O87" i="46" s="1"/>
  <c r="G145" i="46" s="1"/>
  <c r="K86" i="46"/>
  <c r="N86" i="46" s="1"/>
  <c r="H144" i="46" s="1"/>
  <c r="L86" i="46"/>
  <c r="O86" i="46" s="1"/>
  <c r="G144" i="46" s="1"/>
  <c r="J86" i="46"/>
  <c r="M86" i="46" s="1"/>
  <c r="I144" i="46" s="1"/>
  <c r="J28" i="46"/>
  <c r="I91" i="46"/>
  <c r="J25" i="46"/>
  <c r="K23" i="46"/>
  <c r="M17" i="46"/>
  <c r="I90" i="46"/>
  <c r="K145" i="46" l="1"/>
  <c r="S37" i="47"/>
  <c r="X37" i="47" s="1"/>
  <c r="J145" i="46"/>
  <c r="S62" i="47"/>
  <c r="X12" i="47" s="1"/>
  <c r="L145" i="46"/>
  <c r="S12" i="47"/>
  <c r="X62" i="47" s="1"/>
  <c r="K144" i="46"/>
  <c r="R37" i="47"/>
  <c r="W37" i="47" s="1"/>
  <c r="L144" i="46"/>
  <c r="R12" i="47"/>
  <c r="W62" i="47" s="1"/>
  <c r="J144" i="46"/>
  <c r="R62" i="47"/>
  <c r="W12" i="47" s="1"/>
  <c r="Q79" i="47"/>
  <c r="V79" i="47" s="1"/>
  <c r="V29" i="47"/>
  <c r="Q72" i="47"/>
  <c r="V72" i="47" s="1"/>
  <c r="V22" i="47"/>
  <c r="Q63" i="47"/>
  <c r="V63" i="47" s="1"/>
  <c r="V13" i="47"/>
  <c r="H87" i="50"/>
  <c r="I87" i="50"/>
  <c r="K87" i="50" s="1"/>
  <c r="K84" i="50"/>
  <c r="N83" i="50" s="1"/>
  <c r="O83" i="50" s="1"/>
  <c r="P83" i="50" s="1"/>
  <c r="V78" i="48" s="1"/>
  <c r="H24" i="50"/>
  <c r="K21" i="50"/>
  <c r="N20" i="50" s="1"/>
  <c r="O20" i="50" s="1"/>
  <c r="P20" i="50" s="1"/>
  <c r="V15" i="48" s="1"/>
  <c r="I24" i="50"/>
  <c r="K24" i="50" s="1"/>
  <c r="N91" i="50"/>
  <c r="O91" i="50" s="1"/>
  <c r="P91" i="50" s="1"/>
  <c r="V82" i="48" s="1"/>
  <c r="J93" i="50"/>
  <c r="N28" i="50"/>
  <c r="O28" i="50" s="1"/>
  <c r="P28" i="50" s="1"/>
  <c r="J30" i="50"/>
  <c r="K87" i="48"/>
  <c r="I88" i="48"/>
  <c r="K88" i="48" s="1"/>
  <c r="I89" i="48"/>
  <c r="N97" i="48"/>
  <c r="O97" i="48" s="1"/>
  <c r="P97" i="48" s="1"/>
  <c r="U85" i="48" s="1"/>
  <c r="X85" i="48" s="1"/>
  <c r="AA85" i="48" s="1"/>
  <c r="AB85" i="48" s="1"/>
  <c r="AC85" i="48" s="1"/>
  <c r="AD85" i="48" s="1"/>
  <c r="J99" i="48"/>
  <c r="N83" i="48"/>
  <c r="O83" i="48" s="1"/>
  <c r="P83" i="48" s="1"/>
  <c r="U78" i="48" s="1"/>
  <c r="X78" i="48" s="1"/>
  <c r="AA78" i="48" s="1"/>
  <c r="AB78" i="48" s="1"/>
  <c r="AC78" i="48" s="1"/>
  <c r="AD78" i="48" s="1"/>
  <c r="J34" i="48"/>
  <c r="N32" i="48"/>
  <c r="P32" i="48" s="1"/>
  <c r="H22" i="48"/>
  <c r="I21" i="48"/>
  <c r="L79" i="47"/>
  <c r="M79" i="47" s="1"/>
  <c r="Q55" i="47" s="1"/>
  <c r="V55" i="47" s="1"/>
  <c r="K80" i="47"/>
  <c r="K71" i="47"/>
  <c r="L70" i="47"/>
  <c r="M70" i="47" s="1"/>
  <c r="Q47" i="47" s="1"/>
  <c r="V47" i="47" s="1"/>
  <c r="G63" i="47"/>
  <c r="L36" i="47"/>
  <c r="M36" i="47" s="1"/>
  <c r="Q30" i="47" s="1"/>
  <c r="K37" i="47"/>
  <c r="K29" i="47"/>
  <c r="L29" i="47" s="1"/>
  <c r="M29" i="47" s="1"/>
  <c r="Q24" i="47" s="1"/>
  <c r="L28" i="47"/>
  <c r="M28" i="47" s="1"/>
  <c r="Q23" i="47" s="1"/>
  <c r="H18" i="47"/>
  <c r="G19" i="47"/>
  <c r="K60" i="47"/>
  <c r="L60" i="47" s="1"/>
  <c r="M60" i="47" s="1"/>
  <c r="Q40" i="47" s="1"/>
  <c r="V40" i="47" s="1"/>
  <c r="H63" i="47"/>
  <c r="J32" i="46"/>
  <c r="L28" i="46"/>
  <c r="L91" i="46"/>
  <c r="O91" i="46" s="1"/>
  <c r="G149" i="46" s="1"/>
  <c r="J91" i="46"/>
  <c r="M91" i="46" s="1"/>
  <c r="I149" i="46" s="1"/>
  <c r="K91" i="46"/>
  <c r="N91" i="46" s="1"/>
  <c r="H149" i="46" s="1"/>
  <c r="I88" i="46"/>
  <c r="M20" i="46"/>
  <c r="I89" i="46" s="1"/>
  <c r="J90" i="46"/>
  <c r="M90" i="46" s="1"/>
  <c r="I148" i="46" s="1"/>
  <c r="L90" i="46"/>
  <c r="O90" i="46" s="1"/>
  <c r="G148" i="46" s="1"/>
  <c r="K90" i="46"/>
  <c r="N90" i="46" s="1"/>
  <c r="H148" i="46" s="1"/>
  <c r="J30" i="46"/>
  <c r="L26" i="46"/>
  <c r="K25" i="46"/>
  <c r="W78" i="48" l="1"/>
  <c r="Y78" i="48"/>
  <c r="Z78" i="48" s="1"/>
  <c r="Y82" i="48"/>
  <c r="Z82" i="48" s="1"/>
  <c r="W82" i="48"/>
  <c r="Y15" i="48"/>
  <c r="Z15" i="48" s="1"/>
  <c r="W15" i="48"/>
  <c r="V108" i="48"/>
  <c r="L149" i="46"/>
  <c r="S14" i="47"/>
  <c r="X64" i="47" s="1"/>
  <c r="J149" i="46"/>
  <c r="S64" i="47"/>
  <c r="X14" i="47" s="1"/>
  <c r="K149" i="46"/>
  <c r="S39" i="47"/>
  <c r="X39" i="47" s="1"/>
  <c r="J148" i="46"/>
  <c r="R64" i="47"/>
  <c r="W14" i="47" s="1"/>
  <c r="L148" i="46"/>
  <c r="R14" i="47"/>
  <c r="W64" i="47" s="1"/>
  <c r="K148" i="46"/>
  <c r="R39" i="47"/>
  <c r="W39" i="47" s="1"/>
  <c r="Q80" i="47"/>
  <c r="V80" i="47" s="1"/>
  <c r="V30" i="47"/>
  <c r="Q74" i="47"/>
  <c r="V74" i="47" s="1"/>
  <c r="V24" i="47"/>
  <c r="Q73" i="47"/>
  <c r="V73" i="47" s="1"/>
  <c r="V23" i="47"/>
  <c r="H89" i="50"/>
  <c r="I88" i="50"/>
  <c r="I25" i="50"/>
  <c r="H26" i="50"/>
  <c r="N93" i="50"/>
  <c r="O93" i="50" s="1"/>
  <c r="P93" i="50" s="1"/>
  <c r="V83" i="48" s="1"/>
  <c r="J95" i="50"/>
  <c r="J32" i="50"/>
  <c r="N30" i="50"/>
  <c r="O30" i="50" s="1"/>
  <c r="P30" i="50" s="1"/>
  <c r="I90" i="48"/>
  <c r="K90" i="48" s="1"/>
  <c r="K89" i="48"/>
  <c r="N99" i="48"/>
  <c r="O99" i="48" s="1"/>
  <c r="P99" i="48" s="1"/>
  <c r="U86" i="48" s="1"/>
  <c r="X86" i="48" s="1"/>
  <c r="AA86" i="48" s="1"/>
  <c r="AB86" i="48" s="1"/>
  <c r="AC86" i="48" s="1"/>
  <c r="AD86" i="48" s="1"/>
  <c r="J101" i="48"/>
  <c r="J36" i="48"/>
  <c r="N34" i="48"/>
  <c r="P34" i="48" s="1"/>
  <c r="H24" i="48"/>
  <c r="I24" i="48"/>
  <c r="K24" i="48" s="1"/>
  <c r="K21" i="48"/>
  <c r="N20" i="48" s="1"/>
  <c r="O20" i="48" s="1"/>
  <c r="P20" i="48" s="1"/>
  <c r="U15" i="48" s="1"/>
  <c r="L80" i="47"/>
  <c r="M80" i="47" s="1"/>
  <c r="Q56" i="47" s="1"/>
  <c r="V56" i="47" s="1"/>
  <c r="K81" i="47"/>
  <c r="K72" i="47"/>
  <c r="L72" i="47" s="1"/>
  <c r="M72" i="47" s="1"/>
  <c r="Q49" i="47" s="1"/>
  <c r="V49" i="47" s="1"/>
  <c r="L71" i="47"/>
  <c r="M71" i="47" s="1"/>
  <c r="Q48" i="47" s="1"/>
  <c r="V48" i="47" s="1"/>
  <c r="G66" i="47"/>
  <c r="G67" i="47" s="1"/>
  <c r="G68" i="47" s="1"/>
  <c r="G69" i="47" s="1"/>
  <c r="G70" i="47" s="1"/>
  <c r="G71" i="47" s="1"/>
  <c r="G72" i="47" s="1"/>
  <c r="G73" i="47" s="1"/>
  <c r="H65" i="47"/>
  <c r="L37" i="47"/>
  <c r="M37" i="47" s="1"/>
  <c r="Q31" i="47" s="1"/>
  <c r="K38" i="47"/>
  <c r="K17" i="47"/>
  <c r="L17" i="47" s="1"/>
  <c r="M17" i="47" s="1"/>
  <c r="Q15" i="47" s="1"/>
  <c r="H20" i="47"/>
  <c r="G20" i="47"/>
  <c r="J36" i="46"/>
  <c r="I95" i="46"/>
  <c r="J88" i="46"/>
  <c r="M88" i="46" s="1"/>
  <c r="I146" i="46" s="1"/>
  <c r="K88" i="46"/>
  <c r="N88" i="46" s="1"/>
  <c r="H146" i="46" s="1"/>
  <c r="L88" i="46"/>
  <c r="O88" i="46" s="1"/>
  <c r="G146" i="46" s="1"/>
  <c r="J89" i="46"/>
  <c r="M89" i="46" s="1"/>
  <c r="I147" i="46" s="1"/>
  <c r="L89" i="46"/>
  <c r="O89" i="46" s="1"/>
  <c r="G147" i="46" s="1"/>
  <c r="K89" i="46"/>
  <c r="N89" i="46" s="1"/>
  <c r="H147" i="46" s="1"/>
  <c r="K29" i="46"/>
  <c r="J31" i="46"/>
  <c r="M23" i="46"/>
  <c r="I94" i="46"/>
  <c r="Y83" i="48" l="1"/>
  <c r="Z83" i="48" s="1"/>
  <c r="W83" i="48"/>
  <c r="Y108" i="48"/>
  <c r="Z108" i="48" s="1"/>
  <c r="W108" i="48"/>
  <c r="J146" i="46"/>
  <c r="R63" i="47"/>
  <c r="W13" i="47" s="1"/>
  <c r="K146" i="46"/>
  <c r="R38" i="47"/>
  <c r="W38" i="47" s="1"/>
  <c r="L146" i="46"/>
  <c r="R13" i="47"/>
  <c r="W63" i="47" s="1"/>
  <c r="J147" i="46"/>
  <c r="S63" i="47"/>
  <c r="X13" i="47" s="1"/>
  <c r="L147" i="46"/>
  <c r="S13" i="47"/>
  <c r="X63" i="47" s="1"/>
  <c r="K147" i="46"/>
  <c r="S38" i="47"/>
  <c r="X38" i="47" s="1"/>
  <c r="U108" i="48"/>
  <c r="X108" i="48" s="1"/>
  <c r="AA108" i="48" s="1"/>
  <c r="AB108" i="48" s="1"/>
  <c r="AC108" i="48" s="1"/>
  <c r="AD108" i="48" s="1"/>
  <c r="X15" i="48"/>
  <c r="AA15" i="48" s="1"/>
  <c r="AB15" i="48" s="1"/>
  <c r="AC15" i="48" s="1"/>
  <c r="AD15" i="48" s="1"/>
  <c r="Q81" i="47"/>
  <c r="V81" i="47" s="1"/>
  <c r="V31" i="47"/>
  <c r="Q65" i="47"/>
  <c r="V65" i="47" s="1"/>
  <c r="V15" i="47"/>
  <c r="H91" i="50"/>
  <c r="H93" i="50" s="1"/>
  <c r="H95" i="50" s="1"/>
  <c r="H97" i="50" s="1"/>
  <c r="H99" i="50" s="1"/>
  <c r="H101" i="50" s="1"/>
  <c r="H103" i="50" s="1"/>
  <c r="H105" i="50" s="1"/>
  <c r="I89" i="50"/>
  <c r="K88" i="50"/>
  <c r="N87" i="50" s="1"/>
  <c r="O87" i="50" s="1"/>
  <c r="P87" i="50" s="1"/>
  <c r="V80" i="48" s="1"/>
  <c r="K25" i="50"/>
  <c r="N24" i="50" s="1"/>
  <c r="O24" i="50" s="1"/>
  <c r="P24" i="50" s="1"/>
  <c r="I26" i="50"/>
  <c r="K26" i="50" s="1"/>
  <c r="H28" i="50"/>
  <c r="H30" i="50" s="1"/>
  <c r="H32" i="50" s="1"/>
  <c r="H34" i="50" s="1"/>
  <c r="H36" i="50" s="1"/>
  <c r="H38" i="50" s="1"/>
  <c r="H40" i="50" s="1"/>
  <c r="H42" i="50" s="1"/>
  <c r="I27" i="50"/>
  <c r="N95" i="50"/>
  <c r="O95" i="50" s="1"/>
  <c r="P95" i="50" s="1"/>
  <c r="V84" i="48" s="1"/>
  <c r="J97" i="50"/>
  <c r="J34" i="50"/>
  <c r="N32" i="50"/>
  <c r="O32" i="50" s="1"/>
  <c r="P32" i="50" s="1"/>
  <c r="N101" i="48"/>
  <c r="O101" i="48" s="1"/>
  <c r="P101" i="48" s="1"/>
  <c r="U87" i="48" s="1"/>
  <c r="X87" i="48" s="1"/>
  <c r="AA87" i="48" s="1"/>
  <c r="AB87" i="48" s="1"/>
  <c r="AC87" i="48" s="1"/>
  <c r="AD87" i="48" s="1"/>
  <c r="J103" i="48"/>
  <c r="H91" i="48"/>
  <c r="H93" i="48" s="1"/>
  <c r="H95" i="48" s="1"/>
  <c r="H97" i="48" s="1"/>
  <c r="H99" i="48" s="1"/>
  <c r="H101" i="48" s="1"/>
  <c r="H103" i="48" s="1"/>
  <c r="H105" i="48" s="1"/>
  <c r="N87" i="48"/>
  <c r="O87" i="48" s="1"/>
  <c r="P87" i="48" s="1"/>
  <c r="U80" i="48" s="1"/>
  <c r="X80" i="48" s="1"/>
  <c r="AA80" i="48" s="1"/>
  <c r="AB80" i="48" s="1"/>
  <c r="AC80" i="48" s="1"/>
  <c r="AD80" i="48" s="1"/>
  <c r="J38" i="48"/>
  <c r="N36" i="48"/>
  <c r="P36" i="48" s="1"/>
  <c r="I25" i="48"/>
  <c r="H26" i="48"/>
  <c r="L81" i="47"/>
  <c r="M81" i="47" s="1"/>
  <c r="Q57" i="47" s="1"/>
  <c r="V57" i="47" s="1"/>
  <c r="K82" i="47"/>
  <c r="G75" i="47"/>
  <c r="G76" i="47" s="1"/>
  <c r="G77" i="47" s="1"/>
  <c r="G78" i="47" s="1"/>
  <c r="G79" i="47" s="1"/>
  <c r="G80" i="47" s="1"/>
  <c r="G81" i="47" s="1"/>
  <c r="G82" i="47" s="1"/>
  <c r="K63" i="47"/>
  <c r="L63" i="47" s="1"/>
  <c r="M63" i="47" s="1"/>
  <c r="Q42" i="47" s="1"/>
  <c r="V42" i="47" s="1"/>
  <c r="H73" i="47"/>
  <c r="H74" i="47" s="1"/>
  <c r="K39" i="47"/>
  <c r="L38" i="47"/>
  <c r="M38" i="47" s="1"/>
  <c r="Q32" i="47" s="1"/>
  <c r="G23" i="47"/>
  <c r="G24" i="47" s="1"/>
  <c r="G25" i="47" s="1"/>
  <c r="G26" i="47" s="1"/>
  <c r="G27" i="47" s="1"/>
  <c r="G28" i="47" s="1"/>
  <c r="G29" i="47" s="1"/>
  <c r="G30" i="47" s="1"/>
  <c r="H22" i="47"/>
  <c r="J38" i="46"/>
  <c r="K95" i="46"/>
  <c r="N95" i="46" s="1"/>
  <c r="H153" i="46" s="1"/>
  <c r="L95" i="46"/>
  <c r="O95" i="46" s="1"/>
  <c r="G153" i="46" s="1"/>
  <c r="J95" i="46"/>
  <c r="M95" i="46" s="1"/>
  <c r="I153" i="46" s="1"/>
  <c r="M26" i="46"/>
  <c r="I93" i="46" s="1"/>
  <c r="I92" i="46"/>
  <c r="J94" i="46"/>
  <c r="M94" i="46" s="1"/>
  <c r="I152" i="46" s="1"/>
  <c r="K94" i="46"/>
  <c r="N94" i="46" s="1"/>
  <c r="H152" i="46" s="1"/>
  <c r="L94" i="46"/>
  <c r="O94" i="46" s="1"/>
  <c r="G152" i="46" s="1"/>
  <c r="J34" i="46"/>
  <c r="K31" i="46"/>
  <c r="L32" i="46"/>
  <c r="Y80" i="48" l="1"/>
  <c r="Z80" i="48" s="1"/>
  <c r="W80" i="48"/>
  <c r="W84" i="48"/>
  <c r="Y84" i="48"/>
  <c r="Z84" i="48" s="1"/>
  <c r="K153" i="46"/>
  <c r="S41" i="47"/>
  <c r="X41" i="47" s="1"/>
  <c r="L153" i="46"/>
  <c r="S16" i="47"/>
  <c r="X66" i="47" s="1"/>
  <c r="J153" i="46"/>
  <c r="S66" i="47"/>
  <c r="X16" i="47" s="1"/>
  <c r="J152" i="46"/>
  <c r="R66" i="47"/>
  <c r="W16" i="47" s="1"/>
  <c r="K152" i="46"/>
  <c r="R41" i="47"/>
  <c r="W41" i="47" s="1"/>
  <c r="L152" i="46"/>
  <c r="R16" i="47"/>
  <c r="W66" i="47" s="1"/>
  <c r="Q82" i="47"/>
  <c r="V82" i="47" s="1"/>
  <c r="V32" i="47"/>
  <c r="H107" i="50"/>
  <c r="H109" i="50" s="1"/>
  <c r="H111" i="50" s="1"/>
  <c r="H113" i="50" s="1"/>
  <c r="H115" i="50" s="1"/>
  <c r="H117" i="50" s="1"/>
  <c r="H119" i="50" s="1"/>
  <c r="H44" i="50"/>
  <c r="H46" i="50" s="1"/>
  <c r="H48" i="50" s="1"/>
  <c r="H50" i="50" s="1"/>
  <c r="H52" i="50" s="1"/>
  <c r="H54" i="50" s="1"/>
  <c r="H56" i="50" s="1"/>
  <c r="I40" i="50"/>
  <c r="K27" i="50"/>
  <c r="N26" i="50" s="1"/>
  <c r="O26" i="50" s="1"/>
  <c r="P26" i="50" s="1"/>
  <c r="J99" i="50"/>
  <c r="N97" i="50"/>
  <c r="O97" i="50" s="1"/>
  <c r="P97" i="50" s="1"/>
  <c r="V85" i="48" s="1"/>
  <c r="N34" i="50"/>
  <c r="O34" i="50" s="1"/>
  <c r="P34" i="50" s="1"/>
  <c r="J36" i="50"/>
  <c r="K89" i="50"/>
  <c r="I90" i="50"/>
  <c r="J105" i="48"/>
  <c r="H107" i="48"/>
  <c r="H109" i="48" s="1"/>
  <c r="H111" i="48" s="1"/>
  <c r="H113" i="48" s="1"/>
  <c r="H115" i="48" s="1"/>
  <c r="H117" i="48" s="1"/>
  <c r="H119" i="48" s="1"/>
  <c r="N38" i="48"/>
  <c r="P38" i="48" s="1"/>
  <c r="J40" i="48"/>
  <c r="K25" i="48"/>
  <c r="N24" i="48" s="1"/>
  <c r="O24" i="48" s="1"/>
  <c r="P24" i="48" s="1"/>
  <c r="U17" i="48" s="1"/>
  <c r="I26" i="48"/>
  <c r="K26" i="48" s="1"/>
  <c r="I27" i="48"/>
  <c r="H28" i="48"/>
  <c r="H30" i="48" s="1"/>
  <c r="H32" i="48" s="1"/>
  <c r="H34" i="48" s="1"/>
  <c r="H36" i="48" s="1"/>
  <c r="H38" i="48" s="1"/>
  <c r="H40" i="48" s="1"/>
  <c r="H42" i="48" s="1"/>
  <c r="L82" i="47"/>
  <c r="M82" i="47" s="1"/>
  <c r="Q58" i="47" s="1"/>
  <c r="V58" i="47" s="1"/>
  <c r="K83" i="47"/>
  <c r="L83" i="47" s="1"/>
  <c r="M83" i="47" s="1"/>
  <c r="Q59" i="47" s="1"/>
  <c r="V59" i="47" s="1"/>
  <c r="K40" i="47"/>
  <c r="L40" i="47" s="1"/>
  <c r="M40" i="47" s="1"/>
  <c r="Q34" i="47" s="1"/>
  <c r="L39" i="47"/>
  <c r="M39" i="47" s="1"/>
  <c r="Q33" i="47" s="1"/>
  <c r="G32" i="47"/>
  <c r="G33" i="47" s="1"/>
  <c r="G34" i="47" s="1"/>
  <c r="G35" i="47" s="1"/>
  <c r="G36" i="47" s="1"/>
  <c r="G37" i="47" s="1"/>
  <c r="G38" i="47" s="1"/>
  <c r="G39" i="47" s="1"/>
  <c r="K20" i="47"/>
  <c r="L20" i="47" s="1"/>
  <c r="M20" i="47" s="1"/>
  <c r="Q17" i="47" s="1"/>
  <c r="H30" i="47"/>
  <c r="H31" i="47" s="1"/>
  <c r="K73" i="47"/>
  <c r="L73" i="47" s="1"/>
  <c r="M73" i="47" s="1"/>
  <c r="Q50" i="47" s="1"/>
  <c r="V50" i="47" s="1"/>
  <c r="G83" i="47"/>
  <c r="G84" i="47" s="1"/>
  <c r="J40" i="46"/>
  <c r="L93" i="46"/>
  <c r="O93" i="46" s="1"/>
  <c r="G151" i="46" s="1"/>
  <c r="K93" i="46"/>
  <c r="N93" i="46" s="1"/>
  <c r="H151" i="46" s="1"/>
  <c r="J93" i="46"/>
  <c r="M93" i="46" s="1"/>
  <c r="I151" i="46" s="1"/>
  <c r="K92" i="46"/>
  <c r="N92" i="46" s="1"/>
  <c r="H150" i="46" s="1"/>
  <c r="J92" i="46"/>
  <c r="M92" i="46" s="1"/>
  <c r="I150" i="46" s="1"/>
  <c r="L92" i="46"/>
  <c r="O92" i="46" s="1"/>
  <c r="G150" i="46" s="1"/>
  <c r="J35" i="46"/>
  <c r="L38" i="46" s="1"/>
  <c r="K33" i="46"/>
  <c r="M29" i="46"/>
  <c r="W85" i="48" l="1"/>
  <c r="Y85" i="48"/>
  <c r="Z85" i="48" s="1"/>
  <c r="L151" i="46"/>
  <c r="S15" i="47"/>
  <c r="X65" i="47" s="1"/>
  <c r="K151" i="46"/>
  <c r="S40" i="47"/>
  <c r="X40" i="47" s="1"/>
  <c r="J151" i="46"/>
  <c r="S65" i="47"/>
  <c r="X15" i="47" s="1"/>
  <c r="K150" i="46"/>
  <c r="R40" i="47"/>
  <c r="W40" i="47" s="1"/>
  <c r="J150" i="46"/>
  <c r="R65" i="47"/>
  <c r="W15" i="47" s="1"/>
  <c r="L150" i="46"/>
  <c r="R15" i="47"/>
  <c r="W65" i="47" s="1"/>
  <c r="U110" i="48"/>
  <c r="X110" i="48" s="1"/>
  <c r="AA110" i="48" s="1"/>
  <c r="AB110" i="48" s="1"/>
  <c r="AC110" i="48" s="1"/>
  <c r="AD110" i="48" s="1"/>
  <c r="X17" i="48"/>
  <c r="AA17" i="48" s="1"/>
  <c r="AB17" i="48" s="1"/>
  <c r="AC17" i="48" s="1"/>
  <c r="AD17" i="48" s="1"/>
  <c r="Q84" i="47"/>
  <c r="V84" i="47" s="1"/>
  <c r="V34" i="47"/>
  <c r="Q83" i="47"/>
  <c r="V83" i="47" s="1"/>
  <c r="V33" i="47"/>
  <c r="Q67" i="47"/>
  <c r="V67" i="47" s="1"/>
  <c r="V17" i="47"/>
  <c r="N99" i="50"/>
  <c r="O99" i="50" s="1"/>
  <c r="P99" i="50" s="1"/>
  <c r="V86" i="48" s="1"/>
  <c r="J101" i="50"/>
  <c r="J38" i="50"/>
  <c r="N36" i="50"/>
  <c r="O36" i="50" s="1"/>
  <c r="P36" i="50" s="1"/>
  <c r="I103" i="50"/>
  <c r="K90" i="50"/>
  <c r="N89" i="50" s="1"/>
  <c r="O89" i="50" s="1"/>
  <c r="P89" i="50" s="1"/>
  <c r="V81" i="48" s="1"/>
  <c r="K40" i="50"/>
  <c r="I41" i="50"/>
  <c r="J107" i="48"/>
  <c r="N105" i="48"/>
  <c r="O105" i="48" s="1"/>
  <c r="P105" i="48" s="1"/>
  <c r="U89" i="48" s="1"/>
  <c r="X89" i="48" s="1"/>
  <c r="AA89" i="48" s="1"/>
  <c r="AB89" i="48" s="1"/>
  <c r="AC89" i="48" s="1"/>
  <c r="AD89" i="48" s="1"/>
  <c r="J42" i="48"/>
  <c r="K27" i="48"/>
  <c r="N26" i="48" s="1"/>
  <c r="P26" i="48" s="1"/>
  <c r="I40" i="48"/>
  <c r="H44" i="48"/>
  <c r="H46" i="48" s="1"/>
  <c r="H48" i="48" s="1"/>
  <c r="H50" i="48" s="1"/>
  <c r="H52" i="48" s="1"/>
  <c r="H54" i="48" s="1"/>
  <c r="H56" i="48" s="1"/>
  <c r="N89" i="48"/>
  <c r="O89" i="48" s="1"/>
  <c r="P89" i="48" s="1"/>
  <c r="U81" i="48" s="1"/>
  <c r="X81" i="48" s="1"/>
  <c r="AA81" i="48" s="1"/>
  <c r="AB81" i="48" s="1"/>
  <c r="AC81" i="48" s="1"/>
  <c r="AD81" i="48" s="1"/>
  <c r="I103" i="48"/>
  <c r="K30" i="47"/>
  <c r="L30" i="47" s="1"/>
  <c r="M30" i="47" s="1"/>
  <c r="Q25" i="47" s="1"/>
  <c r="G40" i="47"/>
  <c r="G41" i="47" s="1"/>
  <c r="I102" i="46"/>
  <c r="I101" i="46"/>
  <c r="L40" i="46"/>
  <c r="J42" i="46"/>
  <c r="K35" i="46"/>
  <c r="L36" i="46"/>
  <c r="J50" i="46"/>
  <c r="I96" i="46"/>
  <c r="M32" i="46"/>
  <c r="I97" i="46" s="1"/>
  <c r="W86" i="48" l="1"/>
  <c r="Y86" i="48"/>
  <c r="Z86" i="48" s="1"/>
  <c r="Y81" i="48"/>
  <c r="Z81" i="48" s="1"/>
  <c r="W81" i="48"/>
  <c r="Q75" i="47"/>
  <c r="V75" i="47" s="1"/>
  <c r="V25" i="47"/>
  <c r="N101" i="50"/>
  <c r="O101" i="50" s="1"/>
  <c r="P101" i="50" s="1"/>
  <c r="V87" i="48" s="1"/>
  <c r="J103" i="50"/>
  <c r="J105" i="50" s="1"/>
  <c r="J40" i="50"/>
  <c r="J42" i="50" s="1"/>
  <c r="N38" i="50"/>
  <c r="O38" i="50" s="1"/>
  <c r="P38" i="50" s="1"/>
  <c r="I104" i="50"/>
  <c r="K103" i="50"/>
  <c r="H60" i="50"/>
  <c r="H61" i="50" s="1"/>
  <c r="K41" i="50"/>
  <c r="K40" i="48"/>
  <c r="I41" i="48"/>
  <c r="J109" i="48"/>
  <c r="N107" i="48"/>
  <c r="O107" i="48" s="1"/>
  <c r="P107" i="48" s="1"/>
  <c r="U90" i="48" s="1"/>
  <c r="X90" i="48" s="1"/>
  <c r="AA90" i="48" s="1"/>
  <c r="AB90" i="48" s="1"/>
  <c r="AC90" i="48" s="1"/>
  <c r="AD90" i="48" s="1"/>
  <c r="N42" i="48"/>
  <c r="P42" i="48" s="1"/>
  <c r="J44" i="48"/>
  <c r="K41" i="48"/>
  <c r="H60" i="48"/>
  <c r="H61" i="48" s="1"/>
  <c r="I104" i="48"/>
  <c r="K103" i="48"/>
  <c r="K102" i="46"/>
  <c r="N102" i="46" s="1"/>
  <c r="H160" i="46" s="1"/>
  <c r="L102" i="46"/>
  <c r="O102" i="46" s="1"/>
  <c r="G160" i="46" s="1"/>
  <c r="J102" i="46"/>
  <c r="M102" i="46" s="1"/>
  <c r="I160" i="46" s="1"/>
  <c r="L101" i="46"/>
  <c r="O101" i="46" s="1"/>
  <c r="G159" i="46" s="1"/>
  <c r="K101" i="46"/>
  <c r="N101" i="46" s="1"/>
  <c r="H159" i="46" s="1"/>
  <c r="J101" i="46"/>
  <c r="M101" i="46" s="1"/>
  <c r="I159" i="46" s="1"/>
  <c r="I104" i="46"/>
  <c r="I103" i="46"/>
  <c r="J44" i="46"/>
  <c r="L42" i="46"/>
  <c r="M33" i="46"/>
  <c r="I100" i="46"/>
  <c r="J51" i="46"/>
  <c r="J70" i="46" s="1"/>
  <c r="J96" i="46"/>
  <c r="M96" i="46" s="1"/>
  <c r="I154" i="46" s="1"/>
  <c r="L96" i="46"/>
  <c r="O96" i="46" s="1"/>
  <c r="G154" i="46" s="1"/>
  <c r="K96" i="46"/>
  <c r="N96" i="46" s="1"/>
  <c r="H154" i="46" s="1"/>
  <c r="J97" i="46"/>
  <c r="M97" i="46" s="1"/>
  <c r="I155" i="46" s="1"/>
  <c r="K97" i="46"/>
  <c r="N97" i="46" s="1"/>
  <c r="H155" i="46" s="1"/>
  <c r="L97" i="46"/>
  <c r="O97" i="46" s="1"/>
  <c r="G155" i="46" s="1"/>
  <c r="Y87" i="48" l="1"/>
  <c r="Z87" i="48" s="1"/>
  <c r="W87" i="48"/>
  <c r="K160" i="46"/>
  <c r="R45" i="47"/>
  <c r="W45" i="47" s="1"/>
  <c r="L160" i="46"/>
  <c r="R20" i="47"/>
  <c r="W70" i="47" s="1"/>
  <c r="J160" i="46"/>
  <c r="R70" i="47"/>
  <c r="W20" i="47" s="1"/>
  <c r="L159" i="46"/>
  <c r="S19" i="47"/>
  <c r="X69" i="47" s="1"/>
  <c r="K159" i="46"/>
  <c r="S44" i="47"/>
  <c r="X44" i="47" s="1"/>
  <c r="J159" i="46"/>
  <c r="S69" i="47"/>
  <c r="X19" i="47" s="1"/>
  <c r="J154" i="46"/>
  <c r="R67" i="47"/>
  <c r="W17" i="47" s="1"/>
  <c r="L154" i="46"/>
  <c r="R17" i="47"/>
  <c r="W67" i="47" s="1"/>
  <c r="K154" i="46"/>
  <c r="R42" i="47"/>
  <c r="W42" i="47" s="1"/>
  <c r="J155" i="46"/>
  <c r="S67" i="47"/>
  <c r="X17" i="47" s="1"/>
  <c r="K155" i="46"/>
  <c r="S42" i="47"/>
  <c r="X42" i="47" s="1"/>
  <c r="L155" i="46"/>
  <c r="S17" i="47"/>
  <c r="X67" i="47" s="1"/>
  <c r="N105" i="50"/>
  <c r="O105" i="50" s="1"/>
  <c r="P105" i="50" s="1"/>
  <c r="V89" i="48" s="1"/>
  <c r="J107" i="50"/>
  <c r="J44" i="50"/>
  <c r="N42" i="50"/>
  <c r="O42" i="50" s="1"/>
  <c r="P42" i="50" s="1"/>
  <c r="K104" i="50"/>
  <c r="H123" i="50"/>
  <c r="H124" i="50" s="1"/>
  <c r="N40" i="50"/>
  <c r="O40" i="50" s="1"/>
  <c r="P40" i="50" s="1"/>
  <c r="N109" i="48"/>
  <c r="O109" i="48" s="1"/>
  <c r="P109" i="48" s="1"/>
  <c r="U91" i="48" s="1"/>
  <c r="X91" i="48" s="1"/>
  <c r="AA91" i="48" s="1"/>
  <c r="AB91" i="48" s="1"/>
  <c r="AC91" i="48" s="1"/>
  <c r="AD91" i="48" s="1"/>
  <c r="J111" i="48"/>
  <c r="J46" i="48"/>
  <c r="N44" i="48"/>
  <c r="P44" i="48" s="1"/>
  <c r="N40" i="48"/>
  <c r="P40" i="48" s="1"/>
  <c r="K104" i="48"/>
  <c r="H123" i="48"/>
  <c r="H124" i="48" s="1"/>
  <c r="K104" i="46"/>
  <c r="N104" i="46" s="1"/>
  <c r="H162" i="46" s="1"/>
  <c r="J104" i="46"/>
  <c r="M104" i="46" s="1"/>
  <c r="I162" i="46" s="1"/>
  <c r="L104" i="46"/>
  <c r="O104" i="46" s="1"/>
  <c r="G162" i="46" s="1"/>
  <c r="L103" i="46"/>
  <c r="O103" i="46" s="1"/>
  <c r="G161" i="46" s="1"/>
  <c r="J103" i="46"/>
  <c r="M103" i="46" s="1"/>
  <c r="I161" i="46" s="1"/>
  <c r="K103" i="46"/>
  <c r="N103" i="46" s="1"/>
  <c r="H161" i="46" s="1"/>
  <c r="J46" i="46"/>
  <c r="L44" i="46"/>
  <c r="I105" i="46"/>
  <c r="I106" i="46"/>
  <c r="I98" i="46"/>
  <c r="M36" i="46"/>
  <c r="I99" i="46" s="1"/>
  <c r="K100" i="46"/>
  <c r="N100" i="46" s="1"/>
  <c r="H158" i="46" s="1"/>
  <c r="J100" i="46"/>
  <c r="M100" i="46" s="1"/>
  <c r="I158" i="46" s="1"/>
  <c r="L100" i="46"/>
  <c r="O100" i="46" s="1"/>
  <c r="G158" i="46" s="1"/>
  <c r="Y89" i="48" l="1"/>
  <c r="Z89" i="48" s="1"/>
  <c r="W89" i="48"/>
  <c r="K162" i="46"/>
  <c r="R46" i="47"/>
  <c r="W46" i="47" s="1"/>
  <c r="J162" i="46"/>
  <c r="R71" i="47"/>
  <c r="W21" i="47" s="1"/>
  <c r="L162" i="46"/>
  <c r="R21" i="47"/>
  <c r="W71" i="47" s="1"/>
  <c r="L161" i="46"/>
  <c r="S20" i="47"/>
  <c r="X70" i="47" s="1"/>
  <c r="J161" i="46"/>
  <c r="S70" i="47"/>
  <c r="X20" i="47" s="1"/>
  <c r="K161" i="46"/>
  <c r="S45" i="47"/>
  <c r="X45" i="47" s="1"/>
  <c r="K158" i="46"/>
  <c r="R44" i="47"/>
  <c r="W44" i="47" s="1"/>
  <c r="J158" i="46"/>
  <c r="R69" i="47"/>
  <c r="W19" i="47" s="1"/>
  <c r="L158" i="46"/>
  <c r="R19" i="47"/>
  <c r="W69" i="47" s="1"/>
  <c r="N107" i="50"/>
  <c r="O107" i="50" s="1"/>
  <c r="P107" i="50" s="1"/>
  <c r="V90" i="48" s="1"/>
  <c r="J109" i="50"/>
  <c r="N44" i="50"/>
  <c r="O44" i="50" s="1"/>
  <c r="P44" i="50" s="1"/>
  <c r="J46" i="50"/>
  <c r="N103" i="50"/>
  <c r="O103" i="50" s="1"/>
  <c r="P103" i="50" s="1"/>
  <c r="V88" i="48" s="1"/>
  <c r="J113" i="48"/>
  <c r="N111" i="48"/>
  <c r="O111" i="48" s="1"/>
  <c r="P111" i="48" s="1"/>
  <c r="U92" i="48" s="1"/>
  <c r="X92" i="48" s="1"/>
  <c r="AA92" i="48" s="1"/>
  <c r="AB92" i="48" s="1"/>
  <c r="AC92" i="48" s="1"/>
  <c r="AD92" i="48" s="1"/>
  <c r="N46" i="48"/>
  <c r="P46" i="48" s="1"/>
  <c r="J48" i="48"/>
  <c r="N103" i="48"/>
  <c r="O103" i="48" s="1"/>
  <c r="P103" i="48" s="1"/>
  <c r="U88" i="48" s="1"/>
  <c r="X88" i="48" s="1"/>
  <c r="AA88" i="48" s="1"/>
  <c r="AB88" i="48" s="1"/>
  <c r="AC88" i="48" s="1"/>
  <c r="AD88" i="48" s="1"/>
  <c r="J48" i="46"/>
  <c r="L46" i="46"/>
  <c r="I107" i="46"/>
  <c r="I108" i="46"/>
  <c r="K105" i="46"/>
  <c r="N105" i="46" s="1"/>
  <c r="H163" i="46" s="1"/>
  <c r="J105" i="46"/>
  <c r="M105" i="46" s="1"/>
  <c r="I163" i="46" s="1"/>
  <c r="L105" i="46"/>
  <c r="O105" i="46" s="1"/>
  <c r="G163" i="46" s="1"/>
  <c r="K106" i="46"/>
  <c r="N106" i="46" s="1"/>
  <c r="H164" i="46" s="1"/>
  <c r="L106" i="46"/>
  <c r="O106" i="46" s="1"/>
  <c r="G164" i="46" s="1"/>
  <c r="J106" i="46"/>
  <c r="M106" i="46" s="1"/>
  <c r="I164" i="46" s="1"/>
  <c r="L98" i="46"/>
  <c r="O98" i="46" s="1"/>
  <c r="G156" i="46" s="1"/>
  <c r="K98" i="46"/>
  <c r="N98" i="46" s="1"/>
  <c r="H156" i="46" s="1"/>
  <c r="J98" i="46"/>
  <c r="M98" i="46" s="1"/>
  <c r="I156" i="46" s="1"/>
  <c r="L99" i="46"/>
  <c r="O99" i="46" s="1"/>
  <c r="G157" i="46" s="1"/>
  <c r="K99" i="46"/>
  <c r="N99" i="46" s="1"/>
  <c r="H157" i="46" s="1"/>
  <c r="J99" i="46"/>
  <c r="M99" i="46" s="1"/>
  <c r="I157" i="46" s="1"/>
  <c r="W90" i="48" l="1"/>
  <c r="Y90" i="48"/>
  <c r="Z90" i="48" s="1"/>
  <c r="Y88" i="48"/>
  <c r="Z88" i="48" s="1"/>
  <c r="W88" i="48"/>
  <c r="K163" i="46"/>
  <c r="S46" i="47"/>
  <c r="X46" i="47" s="1"/>
  <c r="J163" i="46"/>
  <c r="S71" i="47"/>
  <c r="X21" i="47" s="1"/>
  <c r="L163" i="46"/>
  <c r="S21" i="47"/>
  <c r="X71" i="47" s="1"/>
  <c r="K164" i="46"/>
  <c r="R47" i="47"/>
  <c r="W47" i="47" s="1"/>
  <c r="L164" i="46"/>
  <c r="R22" i="47"/>
  <c r="W72" i="47" s="1"/>
  <c r="J164" i="46"/>
  <c r="R72" i="47"/>
  <c r="W22" i="47" s="1"/>
  <c r="L156" i="46"/>
  <c r="R18" i="47"/>
  <c r="W68" i="47" s="1"/>
  <c r="K156" i="46"/>
  <c r="R43" i="47"/>
  <c r="W43" i="47" s="1"/>
  <c r="J156" i="46"/>
  <c r="R68" i="47"/>
  <c r="W18" i="47" s="1"/>
  <c r="L157" i="46"/>
  <c r="S18" i="47"/>
  <c r="X68" i="47" s="1"/>
  <c r="K157" i="46"/>
  <c r="S43" i="47"/>
  <c r="X43" i="47" s="1"/>
  <c r="J157" i="46"/>
  <c r="S68" i="47"/>
  <c r="X18" i="47" s="1"/>
  <c r="J111" i="50"/>
  <c r="N109" i="50"/>
  <c r="O109" i="50" s="1"/>
  <c r="P109" i="50" s="1"/>
  <c r="V91" i="48" s="1"/>
  <c r="N46" i="50"/>
  <c r="O46" i="50" s="1"/>
  <c r="P46" i="50" s="1"/>
  <c r="J48" i="50"/>
  <c r="N113" i="48"/>
  <c r="O113" i="48" s="1"/>
  <c r="P113" i="48" s="1"/>
  <c r="U93" i="48" s="1"/>
  <c r="X93" i="48" s="1"/>
  <c r="AA93" i="48" s="1"/>
  <c r="AB93" i="48" s="1"/>
  <c r="AC93" i="48" s="1"/>
  <c r="AD93" i="48" s="1"/>
  <c r="J115" i="48"/>
  <c r="J50" i="48"/>
  <c r="N48" i="48"/>
  <c r="P48" i="48" s="1"/>
  <c r="K49" i="46"/>
  <c r="J52" i="46"/>
  <c r="L48" i="46"/>
  <c r="I109" i="46"/>
  <c r="I110" i="46"/>
  <c r="L107" i="46"/>
  <c r="O107" i="46" s="1"/>
  <c r="G165" i="46" s="1"/>
  <c r="J107" i="46"/>
  <c r="M107" i="46" s="1"/>
  <c r="I165" i="46" s="1"/>
  <c r="K107" i="46"/>
  <c r="N107" i="46" s="1"/>
  <c r="H165" i="46" s="1"/>
  <c r="J108" i="46"/>
  <c r="M108" i="46" s="1"/>
  <c r="I166" i="46" s="1"/>
  <c r="K108" i="46"/>
  <c r="N108" i="46" s="1"/>
  <c r="H166" i="46" s="1"/>
  <c r="L108" i="46"/>
  <c r="O108" i="46" s="1"/>
  <c r="G166" i="46" s="1"/>
  <c r="W91" i="48" l="1"/>
  <c r="Y91" i="48"/>
  <c r="Z91" i="48" s="1"/>
  <c r="L165" i="46"/>
  <c r="S22" i="47"/>
  <c r="X72" i="47" s="1"/>
  <c r="J165" i="46"/>
  <c r="S72" i="47"/>
  <c r="X22" i="47" s="1"/>
  <c r="K165" i="46"/>
  <c r="S47" i="47"/>
  <c r="X47" i="47" s="1"/>
  <c r="J166" i="46"/>
  <c r="R73" i="47"/>
  <c r="W23" i="47" s="1"/>
  <c r="K166" i="46"/>
  <c r="R48" i="47"/>
  <c r="W48" i="47" s="1"/>
  <c r="L166" i="46"/>
  <c r="R23" i="47"/>
  <c r="W73" i="47" s="1"/>
  <c r="N111" i="50"/>
  <c r="O111" i="50" s="1"/>
  <c r="P111" i="50" s="1"/>
  <c r="V92" i="48" s="1"/>
  <c r="J113" i="50"/>
  <c r="N48" i="50"/>
  <c r="O48" i="50" s="1"/>
  <c r="P48" i="50" s="1"/>
  <c r="J50" i="50"/>
  <c r="J117" i="48"/>
  <c r="N115" i="48"/>
  <c r="O115" i="48" s="1"/>
  <c r="P115" i="48" s="1"/>
  <c r="U94" i="48" s="1"/>
  <c r="X94" i="48" s="1"/>
  <c r="AA94" i="48" s="1"/>
  <c r="AB94" i="48" s="1"/>
  <c r="AC94" i="48" s="1"/>
  <c r="AD94" i="48" s="1"/>
  <c r="N50" i="48"/>
  <c r="P50" i="48" s="1"/>
  <c r="J52" i="48"/>
  <c r="L52" i="46"/>
  <c r="I114" i="46" s="1"/>
  <c r="J114" i="46" s="1"/>
  <c r="K51" i="46"/>
  <c r="J54" i="46"/>
  <c r="I111" i="46"/>
  <c r="J109" i="46"/>
  <c r="M109" i="46" s="1"/>
  <c r="I167" i="46" s="1"/>
  <c r="K109" i="46"/>
  <c r="N109" i="46" s="1"/>
  <c r="H167" i="46" s="1"/>
  <c r="L109" i="46"/>
  <c r="O109" i="46" s="1"/>
  <c r="G167" i="46" s="1"/>
  <c r="J110" i="46"/>
  <c r="M110" i="46" s="1"/>
  <c r="I168" i="46" s="1"/>
  <c r="K110" i="46"/>
  <c r="N110" i="46" s="1"/>
  <c r="H168" i="46" s="1"/>
  <c r="L110" i="46"/>
  <c r="O110" i="46" s="1"/>
  <c r="G168" i="46" s="1"/>
  <c r="Y92" i="48" l="1"/>
  <c r="Z92" i="48" s="1"/>
  <c r="W92" i="48"/>
  <c r="J167" i="46"/>
  <c r="S73" i="47"/>
  <c r="X23" i="47" s="1"/>
  <c r="K167" i="46"/>
  <c r="S48" i="47"/>
  <c r="X48" i="47" s="1"/>
  <c r="L167" i="46"/>
  <c r="S23" i="47"/>
  <c r="X73" i="47" s="1"/>
  <c r="J168" i="46"/>
  <c r="R74" i="47"/>
  <c r="W24" i="47" s="1"/>
  <c r="K168" i="46"/>
  <c r="R49" i="47"/>
  <c r="W49" i="47" s="1"/>
  <c r="L168" i="46"/>
  <c r="R24" i="47"/>
  <c r="W74" i="47" s="1"/>
  <c r="J115" i="50"/>
  <c r="N113" i="50"/>
  <c r="O113" i="50" s="1"/>
  <c r="P113" i="50" s="1"/>
  <c r="V93" i="48" s="1"/>
  <c r="N50" i="50"/>
  <c r="O50" i="50" s="1"/>
  <c r="P50" i="50" s="1"/>
  <c r="J52" i="50"/>
  <c r="M49" i="46"/>
  <c r="J119" i="48"/>
  <c r="N117" i="48"/>
  <c r="O117" i="48" s="1"/>
  <c r="P117" i="48" s="1"/>
  <c r="U95" i="48" s="1"/>
  <c r="X95" i="48" s="1"/>
  <c r="AA95" i="48" s="1"/>
  <c r="AB95" i="48" s="1"/>
  <c r="AC95" i="48" s="1"/>
  <c r="AD95" i="48" s="1"/>
  <c r="N52" i="48"/>
  <c r="P52" i="48" s="1"/>
  <c r="J54" i="48"/>
  <c r="M114" i="46"/>
  <c r="I172" i="46" s="1"/>
  <c r="K114" i="46"/>
  <c r="J56" i="46"/>
  <c r="L54" i="46"/>
  <c r="J111" i="46"/>
  <c r="M111" i="46" s="1"/>
  <c r="I169" i="46" s="1"/>
  <c r="K111" i="46"/>
  <c r="N111" i="46" s="1"/>
  <c r="H169" i="46" s="1"/>
  <c r="L111" i="46"/>
  <c r="O111" i="46" s="1"/>
  <c r="G169" i="46" s="1"/>
  <c r="W93" i="48" l="1"/>
  <c r="Y93" i="48"/>
  <c r="Z93" i="48" s="1"/>
  <c r="I112" i="46"/>
  <c r="M52" i="46"/>
  <c r="I113" i="46" s="1"/>
  <c r="J172" i="46"/>
  <c r="R76" i="47"/>
  <c r="W26" i="47" s="1"/>
  <c r="J169" i="46"/>
  <c r="S74" i="47"/>
  <c r="X24" i="47" s="1"/>
  <c r="K169" i="46"/>
  <c r="S49" i="47"/>
  <c r="X49" i="47" s="1"/>
  <c r="L169" i="46"/>
  <c r="S24" i="47"/>
  <c r="X74" i="47" s="1"/>
  <c r="N115" i="50"/>
  <c r="O115" i="50" s="1"/>
  <c r="P115" i="50" s="1"/>
  <c r="V94" i="48" s="1"/>
  <c r="J117" i="50"/>
  <c r="N52" i="50"/>
  <c r="O52" i="50" s="1"/>
  <c r="P52" i="50" s="1"/>
  <c r="J54" i="50"/>
  <c r="J121" i="48"/>
  <c r="N119" i="48"/>
  <c r="O119" i="48" s="1"/>
  <c r="P119" i="48" s="1"/>
  <c r="U96" i="48" s="1"/>
  <c r="X96" i="48" s="1"/>
  <c r="AA96" i="48" s="1"/>
  <c r="AB96" i="48" s="1"/>
  <c r="AC96" i="48" s="1"/>
  <c r="AD96" i="48" s="1"/>
  <c r="J56" i="48"/>
  <c r="N54" i="48"/>
  <c r="P54" i="48" s="1"/>
  <c r="N114" i="46"/>
  <c r="H172" i="46" s="1"/>
  <c r="L114" i="46"/>
  <c r="O114" i="46" s="1"/>
  <c r="G172" i="46" s="1"/>
  <c r="J58" i="46"/>
  <c r="L56" i="46"/>
  <c r="I115" i="46"/>
  <c r="J115" i="46" s="1"/>
  <c r="I116" i="46"/>
  <c r="J116" i="46" s="1"/>
  <c r="J112" i="46" l="1"/>
  <c r="M112" i="46" s="1"/>
  <c r="I170" i="46" s="1"/>
  <c r="L112" i="46"/>
  <c r="O112" i="46" s="1"/>
  <c r="G170" i="46" s="1"/>
  <c r="K112" i="46"/>
  <c r="N112" i="46" s="1"/>
  <c r="H170" i="46" s="1"/>
  <c r="J113" i="46"/>
  <c r="M113" i="46" s="1"/>
  <c r="I171" i="46" s="1"/>
  <c r="L113" i="46"/>
  <c r="O113" i="46" s="1"/>
  <c r="G171" i="46" s="1"/>
  <c r="S25" i="47" s="1"/>
  <c r="X75" i="47" s="1"/>
  <c r="K113" i="46"/>
  <c r="N113" i="46" s="1"/>
  <c r="H171" i="46" s="1"/>
  <c r="Y94" i="48"/>
  <c r="Z94" i="48" s="1"/>
  <c r="W94" i="48"/>
  <c r="K172" i="46"/>
  <c r="R51" i="47"/>
  <c r="W51" i="47" s="1"/>
  <c r="L172" i="46"/>
  <c r="R26" i="47"/>
  <c r="W76" i="47" s="1"/>
  <c r="J170" i="46"/>
  <c r="R75" i="47"/>
  <c r="W25" i="47" s="1"/>
  <c r="K170" i="46"/>
  <c r="R50" i="47"/>
  <c r="W50" i="47" s="1"/>
  <c r="L170" i="46"/>
  <c r="R25" i="47"/>
  <c r="W75" i="47" s="1"/>
  <c r="J171" i="46"/>
  <c r="S75" i="47"/>
  <c r="X25" i="47" s="1"/>
  <c r="K171" i="46"/>
  <c r="S50" i="47"/>
  <c r="X50" i="47" s="1"/>
  <c r="L171" i="46"/>
  <c r="N117" i="50"/>
  <c r="O117" i="50" s="1"/>
  <c r="P117" i="50" s="1"/>
  <c r="V95" i="48" s="1"/>
  <c r="J119" i="50"/>
  <c r="N54" i="50"/>
  <c r="O54" i="50" s="1"/>
  <c r="P54" i="50" s="1"/>
  <c r="J56" i="50"/>
  <c r="J124" i="48"/>
  <c r="N121" i="48"/>
  <c r="O121" i="48" s="1"/>
  <c r="P121" i="48" s="1"/>
  <c r="U97" i="48" s="1"/>
  <c r="X97" i="48" s="1"/>
  <c r="AA97" i="48" s="1"/>
  <c r="AB97" i="48" s="1"/>
  <c r="AC97" i="48" s="1"/>
  <c r="AD97" i="48" s="1"/>
  <c r="J58" i="48"/>
  <c r="N56" i="48"/>
  <c r="P56" i="48" s="1"/>
  <c r="L58" i="46"/>
  <c r="J60" i="46"/>
  <c r="I117" i="46"/>
  <c r="J117" i="46" s="1"/>
  <c r="I118" i="46"/>
  <c r="J118" i="46" s="1"/>
  <c r="M115" i="46"/>
  <c r="I173" i="46" s="1"/>
  <c r="K115" i="46"/>
  <c r="M116" i="46"/>
  <c r="I174" i="46" s="1"/>
  <c r="K116" i="46"/>
  <c r="Y95" i="48" l="1"/>
  <c r="Z95" i="48" s="1"/>
  <c r="W95" i="48"/>
  <c r="J173" i="46"/>
  <c r="S76" i="47"/>
  <c r="X26" i="47" s="1"/>
  <c r="J174" i="46"/>
  <c r="R77" i="47"/>
  <c r="W27" i="47" s="1"/>
  <c r="J121" i="50"/>
  <c r="N119" i="50"/>
  <c r="O119" i="50" s="1"/>
  <c r="P119" i="50" s="1"/>
  <c r="V96" i="48" s="1"/>
  <c r="N56" i="50"/>
  <c r="O56" i="50" s="1"/>
  <c r="P56" i="50" s="1"/>
  <c r="J58" i="50"/>
  <c r="J61" i="48"/>
  <c r="N58" i="48"/>
  <c r="P58" i="48" s="1"/>
  <c r="I119" i="46"/>
  <c r="J119" i="46" s="1"/>
  <c r="I120" i="46"/>
  <c r="J120" i="46" s="1"/>
  <c r="J62" i="46"/>
  <c r="L60" i="46"/>
  <c r="M117" i="46"/>
  <c r="I175" i="46" s="1"/>
  <c r="K117" i="46"/>
  <c r="M118" i="46"/>
  <c r="I176" i="46" s="1"/>
  <c r="K118" i="46"/>
  <c r="N115" i="46"/>
  <c r="H173" i="46" s="1"/>
  <c r="L115" i="46"/>
  <c r="O115" i="46" s="1"/>
  <c r="G173" i="46" s="1"/>
  <c r="N116" i="46"/>
  <c r="H174" i="46" s="1"/>
  <c r="L116" i="46"/>
  <c r="O116" i="46" s="1"/>
  <c r="G174" i="46" s="1"/>
  <c r="Y96" i="48" l="1"/>
  <c r="Z96" i="48" s="1"/>
  <c r="W96" i="48"/>
  <c r="J175" i="46"/>
  <c r="S77" i="47"/>
  <c r="X27" i="47" s="1"/>
  <c r="J176" i="46"/>
  <c r="R78" i="47"/>
  <c r="W28" i="47" s="1"/>
  <c r="K173" i="46"/>
  <c r="S51" i="47"/>
  <c r="X51" i="47" s="1"/>
  <c r="L173" i="46"/>
  <c r="S26" i="47"/>
  <c r="X76" i="47" s="1"/>
  <c r="K174" i="46"/>
  <c r="R52" i="47"/>
  <c r="W52" i="47" s="1"/>
  <c r="L174" i="46"/>
  <c r="R27" i="47"/>
  <c r="W77" i="47" s="1"/>
  <c r="N121" i="50"/>
  <c r="O121" i="50" s="1"/>
  <c r="P121" i="50" s="1"/>
  <c r="V97" i="48" s="1"/>
  <c r="J124" i="50"/>
  <c r="J61" i="50"/>
  <c r="N58" i="50"/>
  <c r="O58" i="50" s="1"/>
  <c r="P58" i="50" s="1"/>
  <c r="M119" i="46"/>
  <c r="I177" i="46" s="1"/>
  <c r="K119" i="46"/>
  <c r="M120" i="46"/>
  <c r="I178" i="46" s="1"/>
  <c r="K120" i="46"/>
  <c r="L62" i="46"/>
  <c r="J64" i="46"/>
  <c r="I121" i="46"/>
  <c r="J121" i="46" s="1"/>
  <c r="I122" i="46"/>
  <c r="J122" i="46" s="1"/>
  <c r="N117" i="46"/>
  <c r="H175" i="46" s="1"/>
  <c r="L117" i="46"/>
  <c r="O117" i="46" s="1"/>
  <c r="G175" i="46" s="1"/>
  <c r="N118" i="46"/>
  <c r="H176" i="46" s="1"/>
  <c r="L118" i="46"/>
  <c r="O118" i="46" s="1"/>
  <c r="G176" i="46" s="1"/>
  <c r="W97" i="48" l="1"/>
  <c r="Y97" i="48"/>
  <c r="Z97" i="48" s="1"/>
  <c r="J177" i="46"/>
  <c r="S78" i="47"/>
  <c r="X28" i="47" s="1"/>
  <c r="J178" i="46"/>
  <c r="R79" i="47"/>
  <c r="W29" i="47" s="1"/>
  <c r="K175" i="46"/>
  <c r="S52" i="47"/>
  <c r="X52" i="47" s="1"/>
  <c r="L175" i="46"/>
  <c r="S27" i="47"/>
  <c r="X77" i="47" s="1"/>
  <c r="K176" i="46"/>
  <c r="R53" i="47"/>
  <c r="W53" i="47" s="1"/>
  <c r="L176" i="46"/>
  <c r="R28" i="47"/>
  <c r="W78" i="47" s="1"/>
  <c r="N119" i="46"/>
  <c r="H177" i="46" s="1"/>
  <c r="L119" i="46"/>
  <c r="O119" i="46" s="1"/>
  <c r="G177" i="46" s="1"/>
  <c r="N120" i="46"/>
  <c r="H178" i="46" s="1"/>
  <c r="L120" i="46"/>
  <c r="O120" i="46" s="1"/>
  <c r="G178" i="46" s="1"/>
  <c r="I124" i="46"/>
  <c r="J124" i="46" s="1"/>
  <c r="I123" i="46"/>
  <c r="J123" i="46" s="1"/>
  <c r="J66" i="46"/>
  <c r="L64" i="46"/>
  <c r="M121" i="46"/>
  <c r="I179" i="46" s="1"/>
  <c r="K121" i="46"/>
  <c r="M122" i="46"/>
  <c r="I180" i="46" s="1"/>
  <c r="K122" i="46"/>
  <c r="K177" i="46" l="1"/>
  <c r="S53" i="47"/>
  <c r="X53" i="47" s="1"/>
  <c r="L177" i="46"/>
  <c r="S28" i="47"/>
  <c r="X78" i="47" s="1"/>
  <c r="K178" i="46"/>
  <c r="R54" i="47"/>
  <c r="W54" i="47" s="1"/>
  <c r="L178" i="46"/>
  <c r="R29" i="47"/>
  <c r="W79" i="47" s="1"/>
  <c r="J179" i="46"/>
  <c r="S79" i="47"/>
  <c r="X29" i="47" s="1"/>
  <c r="J180" i="46"/>
  <c r="R80" i="47"/>
  <c r="W30" i="47" s="1"/>
  <c r="M124" i="46"/>
  <c r="I182" i="46" s="1"/>
  <c r="K124" i="46"/>
  <c r="M123" i="46"/>
  <c r="I181" i="46" s="1"/>
  <c r="K123" i="46"/>
  <c r="L66" i="46"/>
  <c r="J68" i="46"/>
  <c r="L68" i="46" s="1"/>
  <c r="I125" i="46"/>
  <c r="J125" i="46" s="1"/>
  <c r="I126" i="46"/>
  <c r="J126" i="46" s="1"/>
  <c r="N121" i="46"/>
  <c r="H179" i="46" s="1"/>
  <c r="L121" i="46"/>
  <c r="O121" i="46" s="1"/>
  <c r="G179" i="46" s="1"/>
  <c r="N122" i="46"/>
  <c r="H180" i="46" s="1"/>
  <c r="L122" i="46"/>
  <c r="O122" i="46" s="1"/>
  <c r="G180" i="46" s="1"/>
  <c r="J182" i="46" l="1"/>
  <c r="R81" i="47"/>
  <c r="W31" i="47" s="1"/>
  <c r="J181" i="46"/>
  <c r="S80" i="47"/>
  <c r="X30" i="47" s="1"/>
  <c r="K179" i="46"/>
  <c r="S54" i="47"/>
  <c r="X54" i="47" s="1"/>
  <c r="L179" i="46"/>
  <c r="S29" i="47"/>
  <c r="X79" i="47" s="1"/>
  <c r="K180" i="46"/>
  <c r="R55" i="47"/>
  <c r="W55" i="47" s="1"/>
  <c r="L180" i="46"/>
  <c r="R30" i="47"/>
  <c r="W80" i="47" s="1"/>
  <c r="N124" i="46"/>
  <c r="H182" i="46" s="1"/>
  <c r="L124" i="46"/>
  <c r="O124" i="46" s="1"/>
  <c r="G182" i="46" s="1"/>
  <c r="N123" i="46"/>
  <c r="H181" i="46" s="1"/>
  <c r="L123" i="46"/>
  <c r="O123" i="46" s="1"/>
  <c r="G181" i="46" s="1"/>
  <c r="I127" i="46"/>
  <c r="J127" i="46" s="1"/>
  <c r="I128" i="46"/>
  <c r="J128" i="46" s="1"/>
  <c r="I130" i="46"/>
  <c r="J130" i="46" s="1"/>
  <c r="I129" i="46"/>
  <c r="J129" i="46" s="1"/>
  <c r="M125" i="46"/>
  <c r="I183" i="46" s="1"/>
  <c r="K125" i="46"/>
  <c r="M126" i="46"/>
  <c r="I184" i="46" s="1"/>
  <c r="K126" i="46"/>
  <c r="K182" i="46" l="1"/>
  <c r="R56" i="47"/>
  <c r="W56" i="47" s="1"/>
  <c r="L182" i="46"/>
  <c r="R31" i="47"/>
  <c r="W81" i="47" s="1"/>
  <c r="K181" i="46"/>
  <c r="S55" i="47"/>
  <c r="X55" i="47" s="1"/>
  <c r="L181" i="46"/>
  <c r="S30" i="47"/>
  <c r="X80" i="47" s="1"/>
  <c r="J183" i="46"/>
  <c r="S81" i="47"/>
  <c r="X31" i="47" s="1"/>
  <c r="J184" i="46"/>
  <c r="R82" i="47"/>
  <c r="W32" i="47" s="1"/>
  <c r="M127" i="46"/>
  <c r="I185" i="46" s="1"/>
  <c r="K127" i="46"/>
  <c r="M128" i="46"/>
  <c r="I186" i="46" s="1"/>
  <c r="K128" i="46"/>
  <c r="M130" i="46"/>
  <c r="I188" i="46" s="1"/>
  <c r="K130" i="46"/>
  <c r="M129" i="46"/>
  <c r="I187" i="46" s="1"/>
  <c r="K129" i="46"/>
  <c r="N125" i="46"/>
  <c r="H183" i="46" s="1"/>
  <c r="L125" i="46"/>
  <c r="O125" i="46" s="1"/>
  <c r="G183" i="46" s="1"/>
  <c r="N126" i="46"/>
  <c r="H184" i="46" s="1"/>
  <c r="L126" i="46"/>
  <c r="O126" i="46" s="1"/>
  <c r="G184" i="46" s="1"/>
  <c r="J185" i="46" l="1"/>
  <c r="S82" i="47"/>
  <c r="X32" i="47" s="1"/>
  <c r="J186" i="46"/>
  <c r="R83" i="47"/>
  <c r="W33" i="47" s="1"/>
  <c r="J188" i="46"/>
  <c r="R84" i="47"/>
  <c r="W34" i="47" s="1"/>
  <c r="J187" i="46"/>
  <c r="S83" i="47"/>
  <c r="X33" i="47" s="1"/>
  <c r="K183" i="46"/>
  <c r="S56" i="47"/>
  <c r="X56" i="47" s="1"/>
  <c r="L183" i="46"/>
  <c r="S31" i="47"/>
  <c r="X81" i="47" s="1"/>
  <c r="K184" i="46"/>
  <c r="R57" i="47"/>
  <c r="W57" i="47" s="1"/>
  <c r="L184" i="46"/>
  <c r="R32" i="47"/>
  <c r="W82" i="47" s="1"/>
  <c r="N127" i="46"/>
  <c r="H185" i="46" s="1"/>
  <c r="L127" i="46"/>
  <c r="O127" i="46" s="1"/>
  <c r="G185" i="46" s="1"/>
  <c r="N128" i="46"/>
  <c r="H186" i="46" s="1"/>
  <c r="L128" i="46"/>
  <c r="O128" i="46" s="1"/>
  <c r="G186" i="46" s="1"/>
  <c r="N130" i="46"/>
  <c r="H188" i="46" s="1"/>
  <c r="L130" i="46"/>
  <c r="O130" i="46" s="1"/>
  <c r="G188" i="46" s="1"/>
  <c r="N129" i="46"/>
  <c r="H187" i="46" s="1"/>
  <c r="L129" i="46"/>
  <c r="O129" i="46" s="1"/>
  <c r="G187" i="46" s="1"/>
  <c r="K185" i="46" l="1"/>
  <c r="S57" i="47"/>
  <c r="X57" i="47" s="1"/>
  <c r="L185" i="46"/>
  <c r="S32" i="47"/>
  <c r="X82" i="47" s="1"/>
  <c r="K186" i="46"/>
  <c r="R58" i="47"/>
  <c r="W58" i="47" s="1"/>
  <c r="L186" i="46"/>
  <c r="R33" i="47"/>
  <c r="W83" i="47" s="1"/>
  <c r="K188" i="46"/>
  <c r="R59" i="47"/>
  <c r="W59" i="47" s="1"/>
  <c r="L188" i="46"/>
  <c r="R34" i="47"/>
  <c r="W84" i="47" s="1"/>
  <c r="K187" i="46"/>
  <c r="S58" i="47"/>
  <c r="X58" i="47" s="1"/>
  <c r="L187" i="46"/>
  <c r="S33" i="47"/>
  <c r="X83" i="47" s="1"/>
</calcChain>
</file>

<file path=xl/sharedStrings.xml><?xml version="1.0" encoding="utf-8"?>
<sst xmlns="http://schemas.openxmlformats.org/spreadsheetml/2006/main" count="613" uniqueCount="107">
  <si>
    <t>①</t>
    <phoneticPr fontId="1"/>
  </si>
  <si>
    <t>②</t>
    <phoneticPr fontId="1"/>
  </si>
  <si>
    <t>③</t>
    <phoneticPr fontId="1"/>
  </si>
  <si>
    <t>④</t>
    <phoneticPr fontId="1"/>
  </si>
  <si>
    <t>m</t>
    <phoneticPr fontId="1"/>
  </si>
  <si>
    <t>※</t>
    <phoneticPr fontId="1"/>
  </si>
  <si>
    <t>3)</t>
    <phoneticPr fontId="1"/>
  </si>
  <si>
    <t>2)</t>
    <phoneticPr fontId="1"/>
  </si>
  <si>
    <t>－</t>
    <phoneticPr fontId="1"/>
  </si>
  <si>
    <t>層番号</t>
    <rPh sb="0" eb="1">
      <t>ソウ</t>
    </rPh>
    <rPh sb="1" eb="3">
      <t>バンゴウ</t>
    </rPh>
    <phoneticPr fontId="1"/>
  </si>
  <si>
    <t>杭本数</t>
    <rPh sb="0" eb="1">
      <t>クイ</t>
    </rPh>
    <rPh sb="1" eb="3">
      <t>ホンスウ</t>
    </rPh>
    <phoneticPr fontId="1"/>
  </si>
  <si>
    <t>部材番号</t>
    <rPh sb="0" eb="2">
      <t>ブザイ</t>
    </rPh>
    <rPh sb="2" eb="4">
      <t>バンゴウ</t>
    </rPh>
    <phoneticPr fontId="1"/>
  </si>
  <si>
    <t>杭径</t>
    <rPh sb="0" eb="1">
      <t>クイ</t>
    </rPh>
    <rPh sb="1" eb="2">
      <t>ケイ</t>
    </rPh>
    <phoneticPr fontId="1"/>
  </si>
  <si>
    <t>⑤</t>
    <phoneticPr fontId="1"/>
  </si>
  <si>
    <t>⑥</t>
    <phoneticPr fontId="1"/>
  </si>
  <si>
    <t>⑦</t>
    <phoneticPr fontId="1"/>
  </si>
  <si>
    <t>本</t>
    <rPh sb="0" eb="1">
      <t>ホン</t>
    </rPh>
    <phoneticPr fontId="1"/>
  </si>
  <si>
    <t>杭全長</t>
    <rPh sb="0" eb="1">
      <t>クイ</t>
    </rPh>
    <rPh sb="1" eb="3">
      <t>ゼンチョウ</t>
    </rPh>
    <phoneticPr fontId="1"/>
  </si>
  <si>
    <t>杭1本当り</t>
    <rPh sb="0" eb="1">
      <t>クイ</t>
    </rPh>
    <rPh sb="2" eb="3">
      <t>ホン</t>
    </rPh>
    <rPh sb="3" eb="4">
      <t>アタ</t>
    </rPh>
    <phoneticPr fontId="1"/>
  </si>
  <si>
    <t>4P右</t>
    <rPh sb="2" eb="3">
      <t>ミギ</t>
    </rPh>
    <phoneticPr fontId="1"/>
  </si>
  <si>
    <t>a)</t>
    <phoneticPr fontId="1"/>
  </si>
  <si>
    <t>b)</t>
    <phoneticPr fontId="1"/>
  </si>
  <si>
    <t>c)</t>
    <phoneticPr fontId="1"/>
  </si>
  <si>
    <t>d)</t>
    <phoneticPr fontId="1"/>
  </si>
  <si>
    <t>4P右(2列目)</t>
    <rPh sb="2" eb="3">
      <t>ミギ</t>
    </rPh>
    <rPh sb="5" eb="7">
      <t>レツメ</t>
    </rPh>
    <phoneticPr fontId="1"/>
  </si>
  <si>
    <t>4P右(1,3列目)</t>
    <rPh sb="2" eb="3">
      <t>ミギ</t>
    </rPh>
    <rPh sb="7" eb="9">
      <t>レツメ</t>
    </rPh>
    <phoneticPr fontId="1"/>
  </si>
  <si>
    <t>節点番号</t>
    <rPh sb="0" eb="2">
      <t>セツテン</t>
    </rPh>
    <rPh sb="2" eb="4">
      <t>バンゴウ</t>
    </rPh>
    <phoneticPr fontId="1"/>
  </si>
  <si>
    <t>1/β</t>
    <phoneticPr fontId="1"/>
  </si>
  <si>
    <t>Σ</t>
    <phoneticPr fontId="1"/>
  </si>
  <si>
    <t>層厚　　　(m)</t>
    <rPh sb="0" eb="2">
      <t>ソウアツ</t>
    </rPh>
    <phoneticPr fontId="1"/>
  </si>
  <si>
    <t>鉛直せん断地盤ばねを考慮する層厚(m)</t>
    <rPh sb="0" eb="2">
      <t>エンチョク</t>
    </rPh>
    <rPh sb="4" eb="5">
      <t>ダン</t>
    </rPh>
    <rPh sb="5" eb="7">
      <t>ジバン</t>
    </rPh>
    <rPh sb="10" eb="12">
      <t>コウリョ</t>
    </rPh>
    <rPh sb="14" eb="16">
      <t>ソウアツ</t>
    </rPh>
    <phoneticPr fontId="1"/>
  </si>
  <si>
    <t>分布幅　　　　(m)</t>
    <rPh sb="0" eb="2">
      <t>ブンプ</t>
    </rPh>
    <rPh sb="2" eb="3">
      <t>ハバ</t>
    </rPh>
    <phoneticPr fontId="1"/>
  </si>
  <si>
    <t>1/βを考慮　　した分布幅　　　(m)</t>
    <rPh sb="4" eb="6">
      <t>コウリョ</t>
    </rPh>
    <rPh sb="10" eb="12">
      <t>ブンプ</t>
    </rPh>
    <rPh sb="12" eb="13">
      <t>ハバ</t>
    </rPh>
    <phoneticPr fontId="1"/>
  </si>
  <si>
    <r>
      <t>鉛直地盤　反力係数　　kfv　　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rPh sb="0" eb="1">
      <t>エンチョク</t>
    </rPh>
    <rPh sb="2" eb="4">
      <t>ハンリョク</t>
    </rPh>
    <rPh sb="5" eb="7">
      <t>ケイスウ</t>
    </rPh>
    <phoneticPr fontId="1"/>
  </si>
  <si>
    <r>
      <t>分布幅の鉛直地盤反力係数　　　kfv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2">
      <t>ブンプ</t>
    </rPh>
    <rPh sb="2" eb="3">
      <t>ハバ</t>
    </rPh>
    <rPh sb="4" eb="6">
      <t>エンチョク</t>
    </rPh>
    <phoneticPr fontId="1"/>
  </si>
  <si>
    <t>各節点の鉛直ばね定数　　　　　　　　Kfv　　　　　　　　(kN/m)</t>
    <rPh sb="0" eb="2">
      <t>カクセツ</t>
    </rPh>
    <rPh sb="2" eb="3">
      <t>テン</t>
    </rPh>
    <rPh sb="4" eb="6">
      <t>エンチョク</t>
    </rPh>
    <rPh sb="8" eb="10">
      <t>ジョウスウ</t>
    </rPh>
    <phoneticPr fontId="1"/>
  </si>
  <si>
    <r>
      <t>水平地盤反力係数　　khg　　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rPh sb="0" eb="1">
      <t>スイヘイ</t>
    </rPh>
    <rPh sb="1" eb="3">
      <t>ジバン</t>
    </rPh>
    <rPh sb="3" eb="5">
      <t>ハンリョク</t>
    </rPh>
    <rPh sb="5" eb="7">
      <t>ケイスウ</t>
    </rPh>
    <phoneticPr fontId="1"/>
  </si>
  <si>
    <t>部材長　　　　　(m)</t>
    <rPh sb="0" eb="2">
      <t>ブザイ</t>
    </rPh>
    <rPh sb="2" eb="3">
      <t>チョウ</t>
    </rPh>
    <phoneticPr fontId="1"/>
  </si>
  <si>
    <r>
      <t>各部材の水平地盤反力係数　　　khg　　　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rPh sb="0" eb="3">
      <t>カクブザイ</t>
    </rPh>
    <phoneticPr fontId="1"/>
  </si>
  <si>
    <r>
      <t>各部材の水平ばね定数　　　　　　　　KH　　　　　　　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1">
      <t>カク</t>
    </rPh>
    <rPh sb="1" eb="3">
      <t>ブザイ</t>
    </rPh>
    <rPh sb="4" eb="6">
      <t>スイヘイ</t>
    </rPh>
    <rPh sb="8" eb="10">
      <t>ジョウスウ</t>
    </rPh>
    <phoneticPr fontId="1"/>
  </si>
  <si>
    <t>杭先端のばね定数（節点ばね）</t>
    <rPh sb="0" eb="1">
      <t>クイ</t>
    </rPh>
    <rPh sb="1" eb="3">
      <t>センタン</t>
    </rPh>
    <rPh sb="6" eb="8">
      <t>ジョウスウ</t>
    </rPh>
    <rPh sb="9" eb="11">
      <t>セツテン</t>
    </rPh>
    <phoneticPr fontId="1"/>
  </si>
  <si>
    <t>杭先端の鉛直地盤ばね定数</t>
    <rPh sb="0" eb="1">
      <t>クイ</t>
    </rPh>
    <rPh sb="1" eb="3">
      <t>センタン</t>
    </rPh>
    <rPh sb="4" eb="6">
      <t>エンチョク</t>
    </rPh>
    <rPh sb="6" eb="8">
      <t>ジバン</t>
    </rPh>
    <rPh sb="10" eb="12">
      <t>ジョウスウ</t>
    </rPh>
    <phoneticPr fontId="1"/>
  </si>
  <si>
    <t>短期（第１勾配）</t>
    <rPh sb="0" eb="2">
      <t>タンキ</t>
    </rPh>
    <rPh sb="3" eb="4">
      <t>ダイ</t>
    </rPh>
    <rPh sb="5" eb="7">
      <t>コウバイ</t>
    </rPh>
    <phoneticPr fontId="1"/>
  </si>
  <si>
    <t>短期（第２勾配）</t>
    <rPh sb="0" eb="2">
      <t>タンキ</t>
    </rPh>
    <rPh sb="3" eb="4">
      <t>ダイ</t>
    </rPh>
    <rPh sb="5" eb="7">
      <t>コウバイ</t>
    </rPh>
    <phoneticPr fontId="1"/>
  </si>
  <si>
    <t>Ktv(kN/m)</t>
    <phoneticPr fontId="1"/>
  </si>
  <si>
    <t>4P(左)</t>
    <rPh sb="3" eb="4">
      <t>ヒダリ</t>
    </rPh>
    <phoneticPr fontId="1"/>
  </si>
  <si>
    <t>4P(右)</t>
    <rPh sb="3" eb="4">
      <t>ミギ</t>
    </rPh>
    <phoneticPr fontId="1"/>
  </si>
  <si>
    <r>
      <t>単杭の　　有効抵抗　　土圧力度　　pe(z)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1">
      <t>クイ</t>
    </rPh>
    <rPh sb="5" eb="7">
      <t>ユウコウ</t>
    </rPh>
    <rPh sb="6" eb="8">
      <t>テイコウ</t>
    </rPh>
    <rPh sb="11" eb="12">
      <t>ツチ</t>
    </rPh>
    <rPh sb="12" eb="14">
      <t>リョクド</t>
    </rPh>
    <phoneticPr fontId="1"/>
  </si>
  <si>
    <t>ηm</t>
    <phoneticPr fontId="1"/>
  </si>
  <si>
    <t>群杭の抵抗分担係数</t>
    <rPh sb="0" eb="2">
      <t>グンクイ</t>
    </rPh>
    <rPh sb="3" eb="5">
      <t>テイコウ</t>
    </rPh>
    <rPh sb="5" eb="7">
      <t>ブンタン</t>
    </rPh>
    <rPh sb="7" eb="9">
      <t>ケイスウ</t>
    </rPh>
    <phoneticPr fontId="1"/>
  </si>
  <si>
    <t>砂質土</t>
    <rPh sb="0" eb="3">
      <t>サシツド</t>
    </rPh>
    <phoneticPr fontId="1"/>
  </si>
  <si>
    <t>検討方向</t>
    <rPh sb="0" eb="2">
      <t>ケントウ</t>
    </rPh>
    <rPh sb="2" eb="4">
      <t>ホウコウ</t>
    </rPh>
    <phoneticPr fontId="1"/>
  </si>
  <si>
    <t>直角方向</t>
    <rPh sb="0" eb="2">
      <t>チョッカク</t>
    </rPh>
    <rPh sb="2" eb="4">
      <t>ホウコウ</t>
    </rPh>
    <phoneticPr fontId="1"/>
  </si>
  <si>
    <t>ｄm</t>
    <phoneticPr fontId="1"/>
  </si>
  <si>
    <t>1列目</t>
    <rPh sb="1" eb="3">
      <t>レツメ</t>
    </rPh>
    <phoneticPr fontId="1"/>
  </si>
  <si>
    <t>2列目</t>
    <rPh sb="1" eb="3">
      <t>レツメ</t>
    </rPh>
    <phoneticPr fontId="1"/>
  </si>
  <si>
    <t>3列目</t>
    <rPh sb="1" eb="3">
      <t>レツメ</t>
    </rPh>
    <phoneticPr fontId="1"/>
  </si>
  <si>
    <t>粘性土</t>
    <rPh sb="0" eb="2">
      <t>ネンセイ</t>
    </rPh>
    <rPh sb="2" eb="3">
      <t>ド</t>
    </rPh>
    <phoneticPr fontId="1"/>
  </si>
  <si>
    <t>ηm＝</t>
    <phoneticPr fontId="1"/>
  </si>
  <si>
    <t>層種別</t>
    <rPh sb="0" eb="1">
      <t>ソウ</t>
    </rPh>
    <rPh sb="1" eb="3">
      <t>シュベツ</t>
    </rPh>
    <phoneticPr fontId="1"/>
  </si>
  <si>
    <t>層境の　　　分布幅　　　(m)</t>
    <rPh sb="0" eb="1">
      <t>ソウ</t>
    </rPh>
    <rPh sb="1" eb="2">
      <t>サカイ</t>
    </rPh>
    <rPh sb="6" eb="8">
      <t>ブンプ</t>
    </rPh>
    <rPh sb="8" eb="9">
      <t>ハバ</t>
    </rPh>
    <phoneticPr fontId="1"/>
  </si>
  <si>
    <r>
      <t>有効抵抗土圧力度の平均値　　　pe(z)　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1">
      <t>ユウコウ</t>
    </rPh>
    <rPh sb="1" eb="3">
      <t>テイコウ</t>
    </rPh>
    <rPh sb="3" eb="5">
      <t>ドアツ</t>
    </rPh>
    <rPh sb="5" eb="7">
      <t>リョクド</t>
    </rPh>
    <rPh sb="8" eb="11">
      <t>ヘイキンチ</t>
    </rPh>
    <phoneticPr fontId="1"/>
  </si>
  <si>
    <t>有効抵抗土圧力度を求める深さ　　　　　z　　　　　(m)</t>
    <rPh sb="0" eb="2">
      <t>ユウコウ</t>
    </rPh>
    <rPh sb="2" eb="4">
      <t>テイコウ</t>
    </rPh>
    <rPh sb="4" eb="6">
      <t>ドアツ</t>
    </rPh>
    <rPh sb="6" eb="8">
      <t>リョクド</t>
    </rPh>
    <rPh sb="9" eb="10">
      <t>モト</t>
    </rPh>
    <rPh sb="12" eb="13">
      <t>フカ</t>
    </rPh>
    <phoneticPr fontId="1"/>
  </si>
  <si>
    <r>
      <t>pe(z)　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phoneticPr fontId="1"/>
  </si>
  <si>
    <t>上端</t>
    <rPh sb="0" eb="2">
      <t>ジョウタン</t>
    </rPh>
    <phoneticPr fontId="1"/>
  </si>
  <si>
    <t>下端</t>
    <rPh sb="0" eb="2">
      <t>カタン</t>
    </rPh>
    <phoneticPr fontId="1"/>
  </si>
  <si>
    <t>位置</t>
    <rPh sb="0" eb="2">
      <t>イチ</t>
    </rPh>
    <phoneticPr fontId="1"/>
  </si>
  <si>
    <t>単杭の有効抵抗土圧力度</t>
    <rPh sb="0" eb="1">
      <t>タン</t>
    </rPh>
    <rPh sb="1" eb="2">
      <t>クイ</t>
    </rPh>
    <rPh sb="3" eb="5">
      <t>ユウコウ</t>
    </rPh>
    <rPh sb="5" eb="7">
      <t>テイコウ</t>
    </rPh>
    <rPh sb="7" eb="9">
      <t>ドアツ</t>
    </rPh>
    <rPh sb="9" eb="11">
      <t>リョクド</t>
    </rPh>
    <phoneticPr fontId="1"/>
  </si>
  <si>
    <r>
      <t>pe(z)(kN/m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phoneticPr fontId="1"/>
  </si>
  <si>
    <t>単杭の有効抵抗土圧力</t>
    <rPh sb="0" eb="1">
      <t>タン</t>
    </rPh>
    <rPh sb="1" eb="2">
      <t>クイ</t>
    </rPh>
    <rPh sb="3" eb="5">
      <t>ユウコウ</t>
    </rPh>
    <rPh sb="5" eb="7">
      <t>テイコウ</t>
    </rPh>
    <rPh sb="7" eb="9">
      <t>ドアツ</t>
    </rPh>
    <phoneticPr fontId="1"/>
  </si>
  <si>
    <t>Pe(z)(kN/m)</t>
    <phoneticPr fontId="1"/>
  </si>
  <si>
    <t>層境の有効抵抗土圧力度については、安全側を考慮して群杭の抵抗分担係数を考慮する。</t>
    <rPh sb="0" eb="1">
      <t>ソウ</t>
    </rPh>
    <rPh sb="1" eb="2">
      <t>サカイ</t>
    </rPh>
    <rPh sb="3" eb="5">
      <t>ユウコウ</t>
    </rPh>
    <rPh sb="5" eb="7">
      <t>テイコウ</t>
    </rPh>
    <rPh sb="7" eb="9">
      <t>ドアツ</t>
    </rPh>
    <rPh sb="9" eb="11">
      <t>リョクド</t>
    </rPh>
    <rPh sb="17" eb="19">
      <t>アンゼン</t>
    </rPh>
    <rPh sb="19" eb="20">
      <t>ガワ</t>
    </rPh>
    <rPh sb="21" eb="23">
      <t>コウリョ</t>
    </rPh>
    <rPh sb="25" eb="26">
      <t>グン</t>
    </rPh>
    <rPh sb="26" eb="27">
      <t>クイ</t>
    </rPh>
    <rPh sb="28" eb="30">
      <t>テイコウ</t>
    </rPh>
    <rPh sb="30" eb="32">
      <t>ブンタン</t>
    </rPh>
    <rPh sb="32" eb="34">
      <t>ケイスウ</t>
    </rPh>
    <rPh sb="35" eb="37">
      <t>コウリョ</t>
    </rPh>
    <phoneticPr fontId="1"/>
  </si>
  <si>
    <t>群杭の有効抵抗土圧力度および有効抵抗土圧力</t>
    <rPh sb="0" eb="2">
      <t>グンクイ</t>
    </rPh>
    <rPh sb="3" eb="5">
      <t>ユウコウ</t>
    </rPh>
    <rPh sb="5" eb="7">
      <t>テイコウ</t>
    </rPh>
    <rPh sb="7" eb="9">
      <t>ドアツ</t>
    </rPh>
    <rPh sb="9" eb="11">
      <t>リョクド</t>
    </rPh>
    <rPh sb="14" eb="16">
      <t>ユウコウ</t>
    </rPh>
    <rPh sb="16" eb="18">
      <t>テイコウ</t>
    </rPh>
    <rPh sb="18" eb="19">
      <t>ド</t>
    </rPh>
    <rPh sb="19" eb="21">
      <t>アツリョク</t>
    </rPh>
    <phoneticPr fontId="1"/>
  </si>
  <si>
    <t>(1,3列目)</t>
    <rPh sb="4" eb="6">
      <t>レツメ</t>
    </rPh>
    <phoneticPr fontId="1"/>
  </si>
  <si>
    <t>(2列目)</t>
    <rPh sb="2" eb="4">
      <t>レツメ</t>
    </rPh>
    <phoneticPr fontId="1"/>
  </si>
  <si>
    <t>各列当りの有効抵抗土圧力</t>
    <rPh sb="0" eb="1">
      <t>カク</t>
    </rPh>
    <rPh sb="1" eb="2">
      <t>レツ</t>
    </rPh>
    <rPh sb="2" eb="3">
      <t>アタ</t>
    </rPh>
    <rPh sb="5" eb="7">
      <t>ユウコウ</t>
    </rPh>
    <rPh sb="7" eb="9">
      <t>テイコウ</t>
    </rPh>
    <rPh sb="9" eb="10">
      <t>ド</t>
    </rPh>
    <rPh sb="10" eb="12">
      <t>アツリョク</t>
    </rPh>
    <phoneticPr fontId="1"/>
  </si>
  <si>
    <t>右押し（→）</t>
    <rPh sb="0" eb="1">
      <t>ミギ</t>
    </rPh>
    <rPh sb="1" eb="2">
      <t>オ</t>
    </rPh>
    <phoneticPr fontId="1"/>
  </si>
  <si>
    <t>左押し（←）</t>
    <rPh sb="0" eb="1">
      <t>ヒダリ</t>
    </rPh>
    <rPh sb="1" eb="2">
      <t>オ</t>
    </rPh>
    <phoneticPr fontId="1"/>
  </si>
  <si>
    <t>有効抵抗土圧力　　　　　　　　　　　　　　　　　　　　　　　Pe(z)(kN/m)</t>
    <rPh sb="0" eb="2">
      <t>ユウコウ</t>
    </rPh>
    <rPh sb="2" eb="4">
      <t>テイコウ</t>
    </rPh>
    <rPh sb="4" eb="6">
      <t>ドアツ</t>
    </rPh>
    <phoneticPr fontId="1"/>
  </si>
  <si>
    <t>単杭の有効抵抗土圧力度pe(z)</t>
    <rPh sb="0" eb="1">
      <t>タン</t>
    </rPh>
    <rPh sb="1" eb="2">
      <t>クイ</t>
    </rPh>
    <rPh sb="3" eb="5">
      <t>ユウコウ</t>
    </rPh>
    <rPh sb="5" eb="7">
      <t>テイコウ</t>
    </rPh>
    <rPh sb="7" eb="9">
      <t>ドアツ</t>
    </rPh>
    <rPh sb="9" eb="11">
      <t>リョクド</t>
    </rPh>
    <phoneticPr fontId="1"/>
  </si>
  <si>
    <t>周長</t>
    <rPh sb="0" eb="2">
      <t>シュウチョウ</t>
    </rPh>
    <phoneticPr fontId="1"/>
  </si>
  <si>
    <t>周面支持力を考慮する層厚(m)</t>
    <rPh sb="0" eb="2">
      <t>シュウメン</t>
    </rPh>
    <rPh sb="2" eb="5">
      <t>シジリョク</t>
    </rPh>
    <rPh sb="6" eb="8">
      <t>コウリョ</t>
    </rPh>
    <rPh sb="10" eb="12">
      <t>ソウアツ</t>
    </rPh>
    <phoneticPr fontId="1"/>
  </si>
  <si>
    <t>分布幅の周面　　　支持力度　　　rfk　　(kN/m)</t>
    <rPh sb="0" eb="2">
      <t>ブンプ</t>
    </rPh>
    <rPh sb="2" eb="3">
      <t>ハバ</t>
    </rPh>
    <rPh sb="4" eb="6">
      <t>シュウメン</t>
    </rPh>
    <rPh sb="9" eb="12">
      <t>シジリョク</t>
    </rPh>
    <rPh sb="12" eb="13">
      <t>ド</t>
    </rPh>
    <phoneticPr fontId="1"/>
  </si>
  <si>
    <r>
      <t>各層での　基準周面　　支持力度　　rfk　　(kN/m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0" eb="1">
      <t>カクソウ</t>
    </rPh>
    <rPh sb="4" eb="6">
      <t>キジュン</t>
    </rPh>
    <rPh sb="6" eb="8">
      <t>シュウメン</t>
    </rPh>
    <rPh sb="10" eb="13">
      <t>シジリョク</t>
    </rPh>
    <rPh sb="14" eb="15">
      <t>ド</t>
    </rPh>
    <phoneticPr fontId="1"/>
  </si>
  <si>
    <t>各節点の周面支持力　　　　　　　　　　Rfk　　　　　　　　　　(kN)</t>
    <rPh sb="0" eb="2">
      <t>カクセツ</t>
    </rPh>
    <rPh sb="2" eb="3">
      <t>テン</t>
    </rPh>
    <rPh sb="4" eb="6">
      <t>シュウメン</t>
    </rPh>
    <rPh sb="6" eb="9">
      <t>シジリョク</t>
    </rPh>
    <phoneticPr fontId="1"/>
  </si>
  <si>
    <t>(6)</t>
    <phoneticPr fontId="1"/>
  </si>
  <si>
    <t>先端支持力</t>
    <rPh sb="0" eb="2">
      <t>センタン</t>
    </rPh>
    <rPh sb="2" eb="5">
      <t>シジリョク</t>
    </rPh>
    <phoneticPr fontId="1"/>
  </si>
  <si>
    <t>杭先端の鉛直地盤支持力</t>
    <rPh sb="0" eb="1">
      <t>クイ</t>
    </rPh>
    <rPh sb="1" eb="3">
      <t>センタン</t>
    </rPh>
    <rPh sb="4" eb="6">
      <t>エンチョク</t>
    </rPh>
    <rPh sb="6" eb="8">
      <t>ジバン</t>
    </rPh>
    <rPh sb="8" eb="11">
      <t>シジリョク</t>
    </rPh>
    <phoneticPr fontId="1"/>
  </si>
  <si>
    <t>(kN)</t>
    <phoneticPr fontId="1"/>
  </si>
  <si>
    <t>降伏点</t>
    <rPh sb="0" eb="3">
      <t>コウフクテン</t>
    </rPh>
    <phoneticPr fontId="1"/>
  </si>
  <si>
    <t>終局点</t>
    <rPh sb="0" eb="2">
      <t>シュウキョク</t>
    </rPh>
    <rPh sb="2" eb="3">
      <t>テン</t>
    </rPh>
    <phoneticPr fontId="1"/>
  </si>
  <si>
    <t>有効抵抗土圧力</t>
    <rPh sb="0" eb="2">
      <t>ユウコウ</t>
    </rPh>
    <rPh sb="2" eb="4">
      <t>テイコウ</t>
    </rPh>
    <rPh sb="4" eb="6">
      <t>ドアツ</t>
    </rPh>
    <rPh sb="6" eb="7">
      <t>リョク</t>
    </rPh>
    <phoneticPr fontId="1"/>
  </si>
  <si>
    <t>上端</t>
    <rPh sb="0" eb="2">
      <t>ジョウタン</t>
    </rPh>
    <phoneticPr fontId="1"/>
  </si>
  <si>
    <t>下端</t>
    <rPh sb="0" eb="2">
      <t>カタン</t>
    </rPh>
    <phoneticPr fontId="1"/>
  </si>
  <si>
    <t>水平ばね</t>
    <rPh sb="0" eb="2">
      <t>スイヘイ</t>
    </rPh>
    <phoneticPr fontId="1"/>
  </si>
  <si>
    <t>右押し（→）</t>
    <rPh sb="0" eb="1">
      <t>ミギ</t>
    </rPh>
    <rPh sb="1" eb="2">
      <t>オ</t>
    </rPh>
    <phoneticPr fontId="1"/>
  </si>
  <si>
    <t>鉛直ばね</t>
    <rPh sb="0" eb="2">
      <t>エンチョク</t>
    </rPh>
    <phoneticPr fontId="1"/>
  </si>
  <si>
    <t>拘束方向</t>
    <rPh sb="0" eb="2">
      <t>コウソク</t>
    </rPh>
    <rPh sb="2" eb="4">
      <t>ホウコウ</t>
    </rPh>
    <phoneticPr fontId="1"/>
  </si>
  <si>
    <t>Y</t>
  </si>
  <si>
    <t>制限値</t>
    <rPh sb="0" eb="3">
      <t>セイゲンチ</t>
    </rPh>
    <phoneticPr fontId="1"/>
  </si>
  <si>
    <t>＋側</t>
    <rPh sb="1" eb="2">
      <t>ガワ</t>
    </rPh>
    <phoneticPr fontId="1"/>
  </si>
  <si>
    <t>－側</t>
    <rPh sb="1" eb="2">
      <t>ガワ</t>
    </rPh>
    <phoneticPr fontId="1"/>
  </si>
  <si>
    <t>第1勾配</t>
    <rPh sb="0" eb="1">
      <t>ダイ</t>
    </rPh>
    <rPh sb="2" eb="4">
      <t>コウバイ</t>
    </rPh>
    <phoneticPr fontId="1"/>
  </si>
  <si>
    <t>第2勾配</t>
    <rPh sb="0" eb="1">
      <t>ダイ</t>
    </rPh>
    <rPh sb="2" eb="4">
      <t>コウバイ</t>
    </rPh>
    <phoneticPr fontId="1"/>
  </si>
  <si>
    <t>第3勾配</t>
    <rPh sb="0" eb="1">
      <t>ダイ</t>
    </rPh>
    <rPh sb="2" eb="4">
      <t>コウバイ</t>
    </rPh>
    <phoneticPr fontId="1"/>
  </si>
  <si>
    <t>左押し（←）</t>
    <rPh sb="0" eb="1">
      <t>ヒダリ</t>
    </rPh>
    <rPh sb="1" eb="2">
      <t>オ</t>
    </rPh>
    <phoneticPr fontId="1"/>
  </si>
  <si>
    <t>節点番号</t>
    <rPh sb="0" eb="2">
      <t>セツテン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</si>
</sst>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0.000"/>
    <numFmt numFmtId="184" formatCode="0.0"/>
    <numFmt numFmtId="188" formatCode="&quot;杭&quot;#&quot;本当り&quot;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color rgb="FF0000FF"/>
      <name val="ＭＳ 明朝"/>
      <family val="1"/>
      <charset val="128"/>
    </font>
    <font>
      <b/>
      <sz val="10"/>
      <name val="ＭＳ 明朝"/>
      <family val="1"/>
      <charset val="128"/>
    </font>
    <font>
      <vertAlign val="superscript"/>
      <sz val="10"/>
      <name val="ＭＳ 明朝"/>
      <family val="1"/>
      <charset val="128"/>
    </font>
    <font>
      <sz val="10.5"/>
      <name val="ＭＳ 明朝"/>
      <family val="1"/>
      <charset val="128"/>
    </font>
    <font>
      <sz val="10"/>
      <color rgb="FFC00000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>
      <alignment vertical="center"/>
    </xf>
    <xf numFmtId="0" fontId="6" fillId="0" borderId="0"/>
    <xf numFmtId="0" fontId="2" fillId="0" borderId="0">
      <alignment vertical="center"/>
    </xf>
    <xf numFmtId="0" fontId="9" fillId="0" borderId="0"/>
  </cellStyleXfs>
  <cellXfs count="2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right" vertical="center"/>
    </xf>
    <xf numFmtId="2" fontId="2" fillId="0" borderId="0" xfId="0" quotePrefix="1" applyNumberFormat="1" applyFont="1" applyAlignment="1">
      <alignment vertical="center"/>
    </xf>
    <xf numFmtId="2" fontId="2" fillId="0" borderId="0" xfId="0" quotePrefix="1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84" fontId="2" fillId="0" borderId="1" xfId="0" applyNumberFormat="1" applyFont="1" applyBorder="1" applyAlignment="1">
      <alignment vertical="center"/>
    </xf>
    <xf numFmtId="179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79" fontId="3" fillId="0" borderId="1" xfId="0" applyNumberFormat="1" applyFont="1" applyBorder="1" applyAlignment="1">
      <alignment vertical="center"/>
    </xf>
    <xf numFmtId="179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79" fontId="2" fillId="0" borderId="15" xfId="0" applyNumberFormat="1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top"/>
    </xf>
    <xf numFmtId="179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184" fontId="2" fillId="0" borderId="14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88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vertical="center"/>
    </xf>
    <xf numFmtId="179" fontId="2" fillId="0" borderId="1" xfId="0" quotePrefix="1" applyNumberFormat="1" applyFont="1" applyBorder="1" applyAlignment="1">
      <alignment vertical="center"/>
    </xf>
    <xf numFmtId="179" fontId="2" fillId="0" borderId="1" xfId="0" quotePrefix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vertical="center"/>
    </xf>
    <xf numFmtId="2" fontId="2" fillId="0" borderId="1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vertical="center"/>
    </xf>
    <xf numFmtId="179" fontId="2" fillId="0" borderId="1" xfId="0" applyNumberFormat="1" applyFont="1" applyBorder="1" applyAlignment="1">
      <alignment vertical="center" wrapText="1"/>
    </xf>
    <xf numFmtId="179" fontId="2" fillId="0" borderId="14" xfId="0" applyNumberFormat="1" applyFont="1" applyBorder="1" applyAlignment="1">
      <alignment vertical="center" wrapText="1"/>
    </xf>
    <xf numFmtId="184" fontId="3" fillId="0" borderId="1" xfId="0" applyNumberFormat="1" applyFont="1" applyBorder="1" applyAlignment="1">
      <alignment vertical="center"/>
    </xf>
    <xf numFmtId="179" fontId="7" fillId="0" borderId="14" xfId="0" applyNumberFormat="1" applyFont="1" applyBorder="1" applyAlignment="1">
      <alignment vertical="center" wrapText="1"/>
    </xf>
    <xf numFmtId="179" fontId="7" fillId="0" borderId="14" xfId="0" applyNumberFormat="1" applyFont="1" applyBorder="1" applyAlignment="1">
      <alignment vertical="center"/>
    </xf>
    <xf numFmtId="184" fontId="2" fillId="0" borderId="10" xfId="0" applyNumberFormat="1" applyFont="1" applyBorder="1" applyAlignment="1">
      <alignment vertical="center"/>
    </xf>
    <xf numFmtId="184" fontId="2" fillId="0" borderId="11" xfId="0" applyNumberFormat="1" applyFont="1" applyBorder="1" applyAlignment="1">
      <alignment vertical="center"/>
    </xf>
    <xf numFmtId="184" fontId="2" fillId="2" borderId="1" xfId="0" applyNumberFormat="1" applyFont="1" applyFill="1" applyBorder="1" applyAlignment="1">
      <alignment vertical="center"/>
    </xf>
    <xf numFmtId="184" fontId="2" fillId="2" borderId="11" xfId="0" applyNumberFormat="1" applyFont="1" applyFill="1" applyBorder="1" applyAlignment="1">
      <alignment vertical="center"/>
    </xf>
    <xf numFmtId="184" fontId="2" fillId="2" borderId="16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84" fontId="3" fillId="2" borderId="1" xfId="0" applyNumberFormat="1" applyFont="1" applyFill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184" fontId="4" fillId="0" borderId="0" xfId="0" applyNumberFormat="1" applyFont="1" applyAlignment="1">
      <alignment vertical="center"/>
    </xf>
    <xf numFmtId="184" fontId="4" fillId="0" borderId="1" xfId="0" applyNumberFormat="1" applyFont="1" applyBorder="1" applyAlignment="1">
      <alignment vertical="center"/>
    </xf>
    <xf numFmtId="184" fontId="2" fillId="4" borderId="1" xfId="0" applyNumberFormat="1" applyFont="1" applyFill="1" applyBorder="1" applyAlignment="1">
      <alignment vertical="center"/>
    </xf>
    <xf numFmtId="184" fontId="2" fillId="4" borderId="11" xfId="0" applyNumberFormat="1" applyFont="1" applyFill="1" applyBorder="1" applyAlignment="1">
      <alignment vertical="center"/>
    </xf>
    <xf numFmtId="184" fontId="2" fillId="4" borderId="16" xfId="0" applyNumberFormat="1" applyFont="1" applyFill="1" applyBorder="1" applyAlignment="1">
      <alignment vertical="center"/>
    </xf>
    <xf numFmtId="2" fontId="2" fillId="0" borderId="1" xfId="0" quotePrefix="1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17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2" fontId="2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shrinkToFit="1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2" fontId="2" fillId="0" borderId="13" xfId="0" quotePrefix="1" applyNumberFormat="1" applyFont="1" applyBorder="1" applyAlignment="1">
      <alignment horizontal="center" vertical="center" wrapText="1"/>
    </xf>
    <xf numFmtId="2" fontId="2" fillId="0" borderId="14" xfId="0" quotePrefix="1" applyNumberFormat="1" applyFont="1" applyBorder="1" applyAlignment="1">
      <alignment horizontal="center" vertical="center" wrapText="1"/>
    </xf>
    <xf numFmtId="2" fontId="2" fillId="0" borderId="15" xfId="0" quotePrefix="1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vertical="center"/>
    </xf>
    <xf numFmtId="1" fontId="2" fillId="0" borderId="15" xfId="0" applyNumberFormat="1" applyFont="1" applyBorder="1" applyAlignment="1">
      <alignment vertical="center"/>
    </xf>
    <xf numFmtId="179" fontId="3" fillId="0" borderId="13" xfId="0" applyNumberFormat="1" applyFont="1" applyBorder="1" applyAlignment="1">
      <alignment vertical="top"/>
    </xf>
    <xf numFmtId="179" fontId="3" fillId="0" borderId="15" xfId="0" applyNumberFormat="1" applyFont="1" applyBorder="1" applyAlignment="1">
      <alignment vertical="top"/>
    </xf>
    <xf numFmtId="179" fontId="3" fillId="0" borderId="14" xfId="0" applyNumberFormat="1" applyFont="1" applyBorder="1" applyAlignment="1">
      <alignment vertical="top"/>
    </xf>
    <xf numFmtId="2" fontId="2" fillId="0" borderId="1" xfId="0" applyNumberFormat="1" applyFont="1" applyBorder="1" applyAlignment="1">
      <alignment horizontal="center" vertical="top"/>
    </xf>
    <xf numFmtId="179" fontId="2" fillId="0" borderId="1" xfId="0" applyNumberFormat="1" applyFont="1" applyBorder="1" applyAlignment="1">
      <alignment vertical="top"/>
    </xf>
    <xf numFmtId="17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2" fontId="2" fillId="0" borderId="13" xfId="0" applyNumberFormat="1" applyFont="1" applyBorder="1" applyAlignment="1">
      <alignment horizontal="center" vertical="top"/>
    </xf>
    <xf numFmtId="2" fontId="2" fillId="0" borderId="14" xfId="0" applyNumberFormat="1" applyFont="1" applyBorder="1" applyAlignment="1">
      <alignment horizontal="center" vertical="top"/>
    </xf>
    <xf numFmtId="2" fontId="2" fillId="0" borderId="15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1" fontId="2" fillId="0" borderId="1" xfId="0" applyNumberFormat="1" applyFont="1" applyBorder="1" applyAlignment="1">
      <alignment vertical="center"/>
    </xf>
    <xf numFmtId="1" fontId="2" fillId="2" borderId="1" xfId="0" applyNumberFormat="1" applyFont="1" applyFill="1" applyBorder="1" applyAlignment="1">
      <alignment vertical="center"/>
    </xf>
    <xf numFmtId="179" fontId="2" fillId="0" borderId="13" xfId="0" applyNumberFormat="1" applyFont="1" applyBorder="1" applyAlignment="1">
      <alignment vertical="top"/>
    </xf>
    <xf numFmtId="179" fontId="2" fillId="0" borderId="14" xfId="0" applyNumberFormat="1" applyFont="1" applyBorder="1" applyAlignment="1">
      <alignment vertical="top"/>
    </xf>
    <xf numFmtId="179" fontId="2" fillId="0" borderId="15" xfId="0" applyNumberFormat="1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9" fontId="2" fillId="0" borderId="13" xfId="0" applyNumberFormat="1" applyFont="1" applyBorder="1" applyAlignment="1">
      <alignment vertical="center"/>
    </xf>
    <xf numFmtId="179" fontId="2" fillId="0" borderId="14" xfId="0" applyNumberFormat="1" applyFont="1" applyBorder="1" applyAlignment="1">
      <alignment vertical="center"/>
    </xf>
    <xf numFmtId="179" fontId="2" fillId="0" borderId="15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1" fontId="2" fillId="0" borderId="14" xfId="0" applyNumberFormat="1" applyFont="1" applyBorder="1" applyAlignment="1">
      <alignment vertical="center"/>
    </xf>
    <xf numFmtId="179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179" fontId="3" fillId="0" borderId="13" xfId="0" applyNumberFormat="1" applyFont="1" applyBorder="1" applyAlignment="1">
      <alignment horizontal="center" vertical="center"/>
    </xf>
    <xf numFmtId="179" fontId="3" fillId="0" borderId="14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vertical="top"/>
    </xf>
    <xf numFmtId="0" fontId="7" fillId="0" borderId="1" xfId="0" applyFont="1" applyBorder="1" applyAlignment="1">
      <alignment vertical="top"/>
    </xf>
    <xf numFmtId="179" fontId="2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2" fillId="0" borderId="1" xfId="0" quotePrefix="1" applyNumberFormat="1" applyFont="1" applyBorder="1" applyAlignment="1">
      <alignment horizontal="center" vertical="center"/>
    </xf>
    <xf numFmtId="179" fontId="3" fillId="3" borderId="1" xfId="0" applyNumberFormat="1" applyFont="1" applyFill="1" applyBorder="1" applyAlignment="1">
      <alignment vertical="center"/>
    </xf>
    <xf numFmtId="179" fontId="3" fillId="0" borderId="1" xfId="0" quotePrefix="1" applyNumberFormat="1" applyFont="1" applyBorder="1" applyAlignment="1">
      <alignment vertical="top"/>
    </xf>
    <xf numFmtId="1" fontId="2" fillId="2" borderId="1" xfId="0" quotePrefix="1" applyNumberFormat="1" applyFont="1" applyFill="1" applyBorder="1" applyAlignment="1">
      <alignment vertical="center"/>
    </xf>
    <xf numFmtId="1" fontId="2" fillId="0" borderId="1" xfId="0" quotePrefix="1" applyNumberFormat="1" applyFont="1" applyBorder="1" applyAlignment="1">
      <alignment vertical="center"/>
    </xf>
    <xf numFmtId="179" fontId="2" fillId="0" borderId="1" xfId="0" quotePrefix="1" applyNumberFormat="1" applyFont="1" applyBorder="1" applyAlignment="1">
      <alignment horizontal="center" vertical="top"/>
    </xf>
    <xf numFmtId="179" fontId="2" fillId="0" borderId="1" xfId="0" applyNumberFormat="1" applyFont="1" applyBorder="1" applyAlignment="1">
      <alignment horizontal="center" vertical="top"/>
    </xf>
    <xf numFmtId="0" fontId="2" fillId="0" borderId="1" xfId="0" quotePrefix="1" applyFont="1" applyBorder="1" applyAlignment="1">
      <alignment vertical="top"/>
    </xf>
    <xf numFmtId="1" fontId="2" fillId="0" borderId="1" xfId="0" quotePrefix="1" applyNumberFormat="1" applyFont="1" applyBorder="1" applyAlignment="1">
      <alignment horizontal="center" vertical="center"/>
    </xf>
    <xf numFmtId="179" fontId="2" fillId="0" borderId="1" xfId="0" quotePrefix="1" applyNumberFormat="1" applyFont="1" applyBorder="1" applyAlignment="1">
      <alignment vertical="top"/>
    </xf>
    <xf numFmtId="2" fontId="2" fillId="0" borderId="13" xfId="0" applyNumberFormat="1" applyFont="1" applyBorder="1" applyAlignment="1">
      <alignment vertical="center"/>
    </xf>
    <xf numFmtId="2" fontId="2" fillId="0" borderId="15" xfId="0" applyNumberFormat="1" applyFont="1" applyBorder="1" applyAlignment="1">
      <alignment vertical="center"/>
    </xf>
    <xf numFmtId="179" fontId="2" fillId="0" borderId="13" xfId="0" quotePrefix="1" applyNumberFormat="1" applyFont="1" applyBorder="1" applyAlignment="1">
      <alignment vertical="top"/>
    </xf>
    <xf numFmtId="179" fontId="2" fillId="0" borderId="15" xfId="0" quotePrefix="1" applyNumberFormat="1" applyFont="1" applyBorder="1" applyAlignment="1">
      <alignment vertical="top"/>
    </xf>
    <xf numFmtId="179" fontId="2" fillId="0" borderId="13" xfId="0" quotePrefix="1" applyNumberFormat="1" applyFont="1" applyBorder="1" applyAlignment="1">
      <alignment horizontal="center" vertical="top"/>
    </xf>
    <xf numFmtId="179" fontId="2" fillId="0" borderId="15" xfId="0" quotePrefix="1" applyNumberFormat="1" applyFont="1" applyBorder="1" applyAlignment="1">
      <alignment horizontal="center" vertical="top"/>
    </xf>
    <xf numFmtId="0" fontId="2" fillId="0" borderId="13" xfId="0" quotePrefix="1" applyFont="1" applyBorder="1" applyAlignment="1">
      <alignment vertical="top"/>
    </xf>
    <xf numFmtId="0" fontId="2" fillId="0" borderId="15" xfId="0" quotePrefix="1" applyFont="1" applyBorder="1" applyAlignment="1">
      <alignment vertical="top"/>
    </xf>
    <xf numFmtId="179" fontId="3" fillId="0" borderId="13" xfId="0" quotePrefix="1" applyNumberFormat="1" applyFont="1" applyBorder="1" applyAlignment="1">
      <alignment vertical="top"/>
    </xf>
    <xf numFmtId="179" fontId="3" fillId="0" borderId="15" xfId="0" quotePrefix="1" applyNumberFormat="1" applyFont="1" applyBorder="1" applyAlignment="1">
      <alignment vertical="top"/>
    </xf>
    <xf numFmtId="0" fontId="7" fillId="0" borderId="13" xfId="0" quotePrefix="1" applyFont="1" applyBorder="1" applyAlignment="1">
      <alignment vertical="top"/>
    </xf>
    <xf numFmtId="0" fontId="7" fillId="0" borderId="15" xfId="0" quotePrefix="1" applyFont="1" applyBorder="1" applyAlignment="1">
      <alignment vertical="top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shrinkToFit="1"/>
    </xf>
    <xf numFmtId="2" fontId="7" fillId="0" borderId="1" xfId="0" applyNumberFormat="1" applyFont="1" applyBorder="1" applyAlignment="1">
      <alignment horizontal="center" vertical="center" shrinkToFit="1"/>
    </xf>
    <xf numFmtId="2" fontId="7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textRotation="255"/>
    </xf>
    <xf numFmtId="2" fontId="2" fillId="0" borderId="1" xfId="0" applyNumberFormat="1" applyFont="1" applyBorder="1" applyAlignment="1">
      <alignment horizontal="center" vertical="center" wrapText="1"/>
    </xf>
    <xf numFmtId="179" fontId="7" fillId="0" borderId="13" xfId="0" applyNumberFormat="1" applyFont="1" applyBorder="1" applyAlignment="1">
      <alignment vertical="center" wrapText="1"/>
    </xf>
    <xf numFmtId="179" fontId="7" fillId="0" borderId="15" xfId="0" applyNumberFormat="1" applyFont="1" applyBorder="1" applyAlignment="1">
      <alignment vertical="center" wrapText="1"/>
    </xf>
    <xf numFmtId="184" fontId="2" fillId="0" borderId="13" xfId="0" applyNumberFormat="1" applyFont="1" applyBorder="1" applyAlignment="1">
      <alignment vertical="center"/>
    </xf>
    <xf numFmtId="184" fontId="2" fillId="0" borderId="15" xfId="0" applyNumberFormat="1" applyFont="1" applyBorder="1" applyAlignment="1">
      <alignment vertical="center"/>
    </xf>
    <xf numFmtId="179" fontId="7" fillId="0" borderId="13" xfId="0" applyNumberFormat="1" applyFont="1" applyBorder="1" applyAlignment="1">
      <alignment vertical="center"/>
    </xf>
    <xf numFmtId="179" fontId="7" fillId="0" borderId="15" xfId="0" applyNumberFormat="1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184" fontId="2" fillId="0" borderId="1" xfId="0" applyNumberFormat="1" applyFont="1" applyBorder="1" applyAlignment="1">
      <alignment vertical="center"/>
    </xf>
    <xf numFmtId="184" fontId="2" fillId="2" borderId="1" xfId="0" applyNumberFormat="1" applyFont="1" applyFill="1" applyBorder="1" applyAlignment="1">
      <alignment vertical="center"/>
    </xf>
    <xf numFmtId="184" fontId="2" fillId="0" borderId="1" xfId="0" applyNumberFormat="1" applyFont="1" applyBorder="1" applyAlignment="1">
      <alignment vertical="top"/>
    </xf>
    <xf numFmtId="184" fontId="2" fillId="0" borderId="1" xfId="0" quotePrefix="1" applyNumberFormat="1" applyFont="1" applyBorder="1" applyAlignment="1">
      <alignment vertical="center"/>
    </xf>
    <xf numFmtId="184" fontId="2" fillId="2" borderId="1" xfId="0" quotePrefix="1" applyNumberFormat="1" applyFont="1" applyFill="1" applyBorder="1" applyAlignment="1">
      <alignment vertical="center"/>
    </xf>
    <xf numFmtId="184" fontId="2" fillId="0" borderId="1" xfId="0" quotePrefix="1" applyNumberFormat="1" applyFont="1" applyBorder="1" applyAlignment="1">
      <alignment vertical="top"/>
    </xf>
    <xf numFmtId="184" fontId="3" fillId="0" borderId="1" xfId="0" applyNumberFormat="1" applyFont="1" applyBorder="1" applyAlignment="1">
      <alignment vertical="top"/>
    </xf>
    <xf numFmtId="184" fontId="7" fillId="0" borderId="1" xfId="0" quotePrefix="1" applyNumberFormat="1" applyFont="1" applyBorder="1" applyAlignment="1">
      <alignment vertical="top"/>
    </xf>
    <xf numFmtId="184" fontId="7" fillId="0" borderId="1" xfId="0" applyNumberFormat="1" applyFont="1" applyBorder="1" applyAlignment="1">
      <alignment vertical="top"/>
    </xf>
    <xf numFmtId="184" fontId="2" fillId="0" borderId="13" xfId="0" applyNumberFormat="1" applyFont="1" applyBorder="1" applyAlignment="1">
      <alignment vertical="top"/>
    </xf>
    <xf numFmtId="184" fontId="2" fillId="0" borderId="14" xfId="0" applyNumberFormat="1" applyFont="1" applyBorder="1" applyAlignment="1">
      <alignment vertical="top"/>
    </xf>
    <xf numFmtId="184" fontId="2" fillId="0" borderId="15" xfId="0" applyNumberFormat="1" applyFont="1" applyBorder="1" applyAlignment="1">
      <alignment vertical="top"/>
    </xf>
    <xf numFmtId="184" fontId="2" fillId="0" borderId="13" xfId="0" quotePrefix="1" applyNumberFormat="1" applyFont="1" applyBorder="1" applyAlignment="1">
      <alignment vertical="top"/>
    </xf>
    <xf numFmtId="184" fontId="2" fillId="0" borderId="15" xfId="0" quotePrefix="1" applyNumberFormat="1" applyFont="1" applyBorder="1" applyAlignment="1">
      <alignment vertical="top"/>
    </xf>
    <xf numFmtId="184" fontId="3" fillId="0" borderId="13" xfId="0" applyNumberFormat="1" applyFont="1" applyBorder="1" applyAlignment="1">
      <alignment vertical="top"/>
    </xf>
    <xf numFmtId="184" fontId="3" fillId="0" borderId="14" xfId="0" applyNumberFormat="1" applyFont="1" applyBorder="1" applyAlignment="1">
      <alignment vertical="top"/>
    </xf>
    <xf numFmtId="184" fontId="3" fillId="0" borderId="15" xfId="0" applyNumberFormat="1" applyFont="1" applyBorder="1" applyAlignment="1">
      <alignment vertical="top"/>
    </xf>
    <xf numFmtId="184" fontId="7" fillId="0" borderId="13" xfId="0" quotePrefix="1" applyNumberFormat="1" applyFont="1" applyBorder="1" applyAlignment="1">
      <alignment vertical="top"/>
    </xf>
    <xf numFmtId="184" fontId="7" fillId="0" borderId="15" xfId="0" quotePrefix="1" applyNumberFormat="1" applyFont="1" applyBorder="1" applyAlignment="1">
      <alignment vertical="top"/>
    </xf>
  </cellXfs>
  <cellStyles count="5">
    <cellStyle name="標準" xfId="0" builtinId="0"/>
    <cellStyle name="標準 2" xfId="2" xr:uid="{49264459-2DA1-4F54-B3CB-9CD7AAA954BE}"/>
    <cellStyle name="標準 2 2" xfId="3" xr:uid="{68F14292-2BF2-44EA-BDD5-5626E6C17024}"/>
    <cellStyle name="標準 3" xfId="4" xr:uid="{B05D6471-8969-48F2-B40B-7A38D62E5DDE}"/>
    <cellStyle name="標準 4" xfId="1" xr:uid="{59D7805A-DA53-4A5F-AD6D-7B4AD9D0A627}"/>
  </cellStyles>
  <dxfs count="0"/>
  <tableStyles count="0" defaultTableStyle="TableStyleMedium2" defaultPivotStyle="PivotStyleLight16"/>
  <colors>
    <mruColors>
      <color rgb="FF0000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0E_&#12381;&#12398;&#20182;\EH140040&#24029;&#36234;\T03&#35373;&#35336;&#35336;&#31639;&#26360;\EV_Esc&#35373;&#32622;&#37096;\Esc&#12500;&#12483;&#12488;&#12398;&#26908;&#3534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YAMAMO\2001-h13\082&#22823;&#32178;&#12456;&#12473;&#12459;\&#27083;&#36896;&#35336;&#31639;&#26360;\&#27083;&#36896;&#35336;&#31639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0E_&#12381;&#12398;&#20182;\EH140056&#35199;&#33337;&#27211;EV.ESC&#65288;&#12381;&#12398;&#65298;&#65289;\T03&#35373;&#35336;&#35336;&#31639;&#26360;\EV&#12539;Esc\Ev&#12500;&#12483;&#12488;&#27083;&#36896;&#35336;&#3163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D\Documents%20and%20Settings\&#30959;&#35997;&#12288;&#28165;\My%20Documents\excldata\&#36899;&#25658;&#65420;&#65383;&#65394;&#6543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3509;&#26519;\&#27700;&#37089;&#32218;\&#12521;&#12540;&#12513;&#12531;&#35336;&#31639;-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&#12539;&#12524;&#65293;&#12523;&#12454;&#12455;&#12452;&#65381;&#12463;&#12523;&#12475;&#12452;&#12480;&#12540;&#12474;\&#33337;&#23567;&#23627;&#39365;&#39640;&#26550;&#20445;&#23432;&#29992;&#26012;&#36335;\&#35336;&#31639;&#26360;\&#12521;&#12540;&#12513;&#12531;&#35336;&#31639;-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o2%20&#35199;&#21407;\&#24029;&#21644;&#39640;&#26550;\&#65315;&#26041;&#21521;&#12521;&#12540;&#12513;&#12531;\&#167;14.&#30452;&#35282;&#26041;&#21521;C5&#12521;&#12540;&#12513;&#12531;&#12398;&#35336;&#3163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3721;&#20999;\LAN&#23721;&#20999;\LAN&#23721;&#20999;\&#26032;&#23487;&#39365;&#25913;&#20462;\&#26032;&#23487;&#35336;&#31639;&#26360;\R4\2&#23652;\R4-2&#23652;-C2&#33655;&#37325;&#35336;&#3163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TAKAGI\&#167;&#65298;&#65374;&#167;&#65305;&#20206;&#22303;&#30041;&#24037;&#65288;&#65297;&#652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YAMAMO\2001-h13\082&#22823;&#32178;&#12456;&#12473;&#12459;\&#27083;&#36896;&#35336;&#31639;&#26360;\L&#22411;&#25793;&#22721;&#12398;&#35336;&#3163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4A4708&#65288;&#24120;&#26032;&#12289;&#21271;&#22290;&#65314;&#65356;&#19979;&#37096;&#24037;&#21205;&#30340;&#35299;&#26512;&#20182;&#65289;\&#20316;&#26989;&#12501;&#12449;&#12452;&#12523;\excel\&#29305;&#27530;&#22320;&#30436;&#12398;&#22266;&#26377;&#21608;&#26399;&#65288;SHAKE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&#65281;&#23567;&#37326;&#23546;&#31168;&#19968;\&#27494;&#34101;&#37326;&#32218;&#12521;&#12540;&#12513;&#12531;&#39640;&#26550;&#27211;\&#12513;&#12540;&#12523;&#21463;&#20449;&#12487;&#12540;&#12479;\H14.2.13\&#27494;&#34101;&#37326;&#32218;R7-C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&#12539;&#12849;&#24314;&#25216;\2007&#24180;&#24230;\&#28006;&#21644;&#36008;&#29289;\&#26082;&#35373;&#65330;1&#32784;&#38663;&#26908;&#35342;\R1-&#167;09.&#32218;&#36335;&#30452;&#35282;&#26041;&#21521;C1(&#32784;&#38663;)\R1-&#167;09.&#32784;&#38663;&#30452;&#35282;&#26041;&#21521;C1&#2101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Windows\Profiles\ROY\Desktop\&#39640;&#26550;&#27211;\&#12521;&#12540;&#12513;&#12531;\&#27494;&#34101;&#37326;&#32218;R7-L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My%20Documents\&#22528;&#31840;\21_&#19979;&#27700;&#36947;\&#26481;&#20140;&#37117;&#19979;&#27700;&#36947;&#12288;&#31532;&#20108;&#27973;&#33609;&#24185;&#32218;&#12509;&#12531;&#12503;&#25152;&#27969;&#20837;&#28192;&#35443;&#32048;&#35373;&#35336;\&#27083;&#36896;&#35336;&#31639;&#26360;(&#27809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No.3&#37329;&#24059;\PCKK\&#26093;&#24029;&#39640;&#26550;\R15\&#167;21.&#26032;&#32784;&#38663;&#65315;2&#12521;&#12540;&#12513;&#12531;&#12398;&#35336;&#31639;\R1&#65301;&#65293;C2&#32784;&#38663;&#29031;&#2661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3721;&#20999;\LAN&#23721;&#20999;\LAN&#23721;&#20999;\&#26032;&#23487;&#39365;&#25913;&#20462;\&#26032;&#23487;&#35336;&#31639;&#26360;\R1\R1-2&#23652;C6\R1-2c&#167;12-C6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Mitui\Mitui\&#26247;&#12394;&#12392;&#12365;&#12395;&#12414;&#12392;&#12417;&#12427;&#12290;\&#25972;&#29702;&#28168;&#12415;&#35336;&#31639;&#12487;&#12540;&#12479;\&#12496;&#12522;&#12450;&#12501;&#12522;&#12540;&#12304;&#65322;&#65330;&#12305;\EV&#38306;&#36899;&#12398;&#27083;&#36896;&#35336;&#31639;\Ev&#12500;&#12483;&#12488;&#27083;&#36896;&#35336;&#31639;&#65288;&#26477;&#22522;&#30990;&#20559;&#24515;&#32771;&#24942;&#6528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8165;&#27700;\LAN&#28165;&#27700;\R11L3&#12398;&#35336;&#31639;-&#37096;&#26448;&#29031;&#2661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l\datstock\DATSTOCK\&#24037;&#31243;\&#24037;&#31243;&#34920;\10&#26376;&#21029;&#22770;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0R_&#37444;&#36947;\RH160038&#26085;&#26286;&#37324;&#39365;&#25913;&#33391;\T03&#35373;&#35336;&#35336;&#31639;&#26360;\99&#26032;&#35373;&#38542;&#27573;&#22522;&#30990;\&#38542;&#27573;&#22522;&#30990;&#35373;&#35336;&#35336;&#31639;&#2636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OI_NTS_01\&#20491;&#20154;\&#65281;&#23567;&#37326;&#23546;&#31168;&#19968;\&#27494;&#34101;&#37326;&#32218;&#12521;&#12540;&#12513;&#12531;&#39640;&#26550;&#27211;\&#12513;&#12540;&#12523;&#21463;&#20449;&#12487;&#12540;&#12479;\H14.3.1\&#27494;&#34101;&#37326;&#32218;R7-L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3509;&#26519;\&#26032;&#23487;\R1%20&#19968;&#23652;&#35336;&#31639;\R1&#167;14-1,2&#23652;C3\R1-1&#23652;-&#167;14-C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LAN&#23721;&#20999;\&#26032;&#23487;&#39365;&#25913;&#20462;\&#26032;&#23487;&#35336;&#31639;&#26360;\R4\2&#23652;\R4-2&#23652;-C2&#33655;&#37325;&#35336;&#3163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c-d057\f\Documents%20and%20Settings\&#30959;&#35997;&#12288;&#28165;\My%20Documents\excldata\&#36899;&#25658;&#65420;&#65383;&#65394;&#6543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8165;&#27700;\LAN&#28165;&#27700;\P6&#167;12&#26609;&#12398;&#35336;&#3163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LAN&#23721;&#20999;\&#26032;&#23487;&#39365;&#25913;&#20462;\&#26032;&#23487;&#35336;&#31639;&#26360;\R1\R1-2&#23652;C6\R1-2c&#167;12-C6-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972;&#27704;\&#26093;&#24029;&#39640;&#26550;&#27211;\LAN&#23721;&#20999;\&#26032;&#23487;&#39365;&#25913;&#20462;\&#26032;&#23487;&#35336;&#31639;&#26360;\R4\2&#23652;\R4-2&#23652;-C2&#33655;&#37325;&#35336;&#31639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-1\01_&#29289;&#20214;&#21517;(&#22806;&#20184;&#12369;hd)(2024.5.17&#65374;)\2016_&#21271;&#38520;&#26032;&#24185;&#32218;\&#33446;&#21407;&#28201;&#27849;&#39365;R1\&#167;12_&#22320;&#38663;&#26178;&#20197;&#22806;_C4\&#167;09_&#32218;&#36335;&#26041;&#21521;L4&#12521;&#12540;&#12513;&#12531;(&#24120;&#26178;)&#12398;&#35336;&#31639;&#65339;&#23436;&#25104;&#26178;&#65341;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3721;&#20999;\LAN&#23721;&#20999;\WINDOWS\&#65411;&#65438;&#65405;&#65400;&#65412;&#65391;&#65420;&#65439;\R3-2&#23652;-&#167;13-C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W\&#12521;&#12540;&#12513;&#12531;&#35336;&#31639;-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．計算結果総括"/>
      <sheetName val="Esピット設計条件"/>
      <sheetName val="ESピット"/>
      <sheetName val="ピット断面計算"/>
      <sheetName val="階段基礎"/>
      <sheetName val="階段基礎断面計算"/>
      <sheetName val="既設ホーム桁の検討"/>
      <sheetName val="ホーム桁（片持ち部）"/>
      <sheetName val="支柱、基礎の検討"/>
      <sheetName val="ホーム受台計算結果総括"/>
      <sheetName val="ホーム基礎設計条件"/>
      <sheetName val="２．(1)許容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ﾘｼﾞﾅﾙ"/>
      <sheetName val="外房②ささら桁"/>
      <sheetName val="外房③ホーム補強梁の検討"/>
      <sheetName val="外房③補強梁断面計算"/>
      <sheetName val="外房④開口補強梁の検討"/>
      <sheetName val="外房⑤中間支持梁"/>
      <sheetName val="外房⑥ESピット"/>
      <sheetName val="外房⑥ピット断面計算"/>
      <sheetName val="外房ＥＶ⑦片持ちスラブ"/>
      <sheetName val="外房EV⑦断面計算"/>
      <sheetName val="外房EV⑧ピット"/>
      <sheetName val="外房⑧ピット断面計算"/>
      <sheetName val="外房ＥＶ⑨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×目次"/>
      <sheetName val="計算結果総括"/>
      <sheetName val="１設計条件"/>
      <sheetName val="２．EVピット"/>
      <sheetName val="２．ピット断面計算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携ﾌｧｲﾙ"/>
      <sheetName val="躯体の設計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ﾗｰﾒﾝIN"/>
      <sheetName val="ｸｲｷｿ"/>
      <sheetName val="ｸｲｷｿ-2"/>
      <sheetName val="ｽﾗﾌﾞR"/>
      <sheetName val="ﾈｼﾞﾘM"/>
      <sheetName val="ｼﾞｮｳﾌﾞS"/>
      <sheetName val="ｼﾝﾄﾞT"/>
      <sheetName val="ｽｲﾍ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ﾗｰﾒﾝIN"/>
      <sheetName val="ｸｲｷｿ"/>
      <sheetName val="ｸｲｷｿ-2"/>
      <sheetName val="ｽﾗﾌﾞR"/>
      <sheetName val="ねじりモーメント"/>
      <sheetName val="ﾈｼﾞﾘM"/>
      <sheetName val="ｼﾞｮｳﾌﾞS"/>
      <sheetName val="ｼﾝﾄﾞT"/>
      <sheetName val="水平分担"/>
      <sheetName val="ｽｲﾍｲ"/>
      <sheetName val="TAISHIN1"/>
      <sheetName val="ｹﾀｳｹ"/>
      <sheetName val="ﾊｼﾗ-U2"/>
      <sheetName val="ﾊﾘ-U"/>
      <sheetName val="ﾃﾞｨｰﾌﾟB"/>
      <sheetName val="ｽｲﾍｲPUD"/>
      <sheetName val="R37-ｹｯｶ1"/>
      <sheetName val="R37-ｹｯｶ2"/>
      <sheetName val="表紙・目次 "/>
      <sheetName val="設計条件-1"/>
      <sheetName val="設計条件-2"/>
      <sheetName val="荷重計算"/>
      <sheetName val="電算シート"/>
      <sheetName val="曲げモーメントの検討"/>
      <sheetName val="せん断の検討"/>
      <sheetName val="安全性の照査"/>
      <sheetName val="トーニチ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5-基本計算（常時）"/>
      <sheetName val="版上荷重（荷重計算Ｐ１）"/>
      <sheetName val="荷重計算"/>
      <sheetName val="荷重図"/>
      <sheetName val="荷重組合せ"/>
      <sheetName val="combine表"/>
      <sheetName val="抽出ケース)"/>
      <sheetName val="C5-基本計算 (耐震用)"/>
      <sheetName val="部材断面"/>
      <sheetName val="荷重計算 (耐震)"/>
      <sheetName val="荷重図 (耐震)"/>
      <sheetName val="荷重組合せ (耐震)"/>
      <sheetName val="combine (耐震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計算位置"/>
      <sheetName val="C2-軸線"/>
      <sheetName val="C2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L+I pic"/>
      <sheetName val="L+I"/>
      <sheetName val="LC,LF,Sh"/>
      <sheetName val="EQD"/>
      <sheetName val="EQL pic"/>
      <sheetName val="EQL"/>
      <sheetName val="LP"/>
      <sheetName val="E (2)"/>
      <sheetName val="断面二次"/>
    </sheetNames>
    <sheetDataSet>
      <sheetData sheetId="0" refreshError="1">
        <row r="5">
          <cell r="C5">
            <v>1.5</v>
          </cell>
        </row>
        <row r="9">
          <cell r="C9">
            <v>1.5</v>
          </cell>
        </row>
        <row r="15">
          <cell r="C15">
            <v>0.7</v>
          </cell>
        </row>
        <row r="17">
          <cell r="C17">
            <v>1</v>
          </cell>
        </row>
        <row r="27">
          <cell r="C27">
            <v>0.45</v>
          </cell>
        </row>
        <row r="29">
          <cell r="C29">
            <v>0.15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次"/>
      <sheetName val="§２.総括表"/>
      <sheetName val="§３.（発進）平行"/>
      <sheetName val="§４.（発進）擁壁横、松戸"/>
      <sheetName val="§５.（発進）擁壁横、上野"/>
      <sheetName val="§６.（発進）擁壁下、松戸"/>
      <sheetName val="§７.（発進）擁壁下、上野"/>
      <sheetName val="§８.（発進）橋台下"/>
      <sheetName val="§９.（発進）一般部"/>
      <sheetName val="§１０.（発進）直角"/>
      <sheetName val="§１１.（発進）ﾙﾐﾅｽ部"/>
      <sheetName val="§１２.（到達）平行"/>
      <sheetName val="§１３.（到達）擁壁横、松戸"/>
      <sheetName val="§１４.（到達）擁壁横、上野"/>
      <sheetName val="§１５.（到達）擁壁下、松戸"/>
      <sheetName val="§１６.（到達）擁壁下、上野"/>
      <sheetName val="§１７.（到達）橋台下"/>
      <sheetName val="§１８.（到達）一般部"/>
      <sheetName val="§１９.（到達）一般部 松戸"/>
      <sheetName val="§２０.（到達）一般部 上野"/>
      <sheetName val="§２１.人道覆工主桁"/>
      <sheetName val="×構造計算 (表層厚66.50m)"/>
      <sheetName val="外房⑥ESピット"/>
      <sheetName val="設計条件"/>
      <sheetName val="DATA"/>
      <sheetName val="常時土圧"/>
      <sheetName val="#RE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"/>
      <sheetName val="設計条件"/>
      <sheetName val="表紙"/>
      <sheetName val="目次"/>
      <sheetName val="設計条件・作用荷重"/>
      <sheetName val="常時土圧"/>
      <sheetName val="一時土圧"/>
      <sheetName val="地震時土圧"/>
      <sheetName val="安定計算"/>
      <sheetName val="杭支持力の検討"/>
      <sheetName val="杭体の検討"/>
      <sheetName val="ﾌｰﾁﾝｸﾞ計算"/>
      <sheetName val="Sheet3"/>
      <sheetName val="×安定計算（杭反力考慮）"/>
    </sheetNames>
    <sheetDataSet>
      <sheetData sheetId="0" refreshError="1"/>
      <sheetData sheetId="1" refreshError="1">
        <row r="5">
          <cell r="C5">
            <v>0.2</v>
          </cell>
        </row>
        <row r="7">
          <cell r="C7">
            <v>24.5</v>
          </cell>
        </row>
        <row r="10">
          <cell r="C10">
            <v>18</v>
          </cell>
        </row>
        <row r="13">
          <cell r="C13">
            <v>3</v>
          </cell>
        </row>
        <row r="14">
          <cell r="C14">
            <v>0.6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せん断弾性波速度"/>
      <sheetName val="Sheet1"/>
      <sheetName val="Sheet2"/>
      <sheetName val="Sheet3"/>
      <sheetName val="目次"/>
      <sheetName val="§１ "/>
      <sheetName val="耐震フロー"/>
      <sheetName val="§２"/>
      <sheetName val="検討結果"/>
      <sheetName val="§３(1)"/>
      <sheetName val="§４ (1)"/>
      <sheetName val="§４ (2)"/>
      <sheetName val="§４ (3)"/>
      <sheetName val="（Ｊの算定）"/>
      <sheetName val="曲げひび割れ"/>
      <sheetName val="せん断ひび割れ"/>
      <sheetName val="§５"/>
      <sheetName val="§６ (1)"/>
      <sheetName val="§６ (2)"/>
      <sheetName val="§６ (3)"/>
      <sheetName val="§７"/>
    </sheetNames>
    <sheetDataSet>
      <sheetData sheetId="0" refreshError="1">
        <row r="8">
          <cell r="D8">
            <v>0.85</v>
          </cell>
        </row>
        <row r="9">
          <cell r="D9">
            <v>0.7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3-基本1"/>
      <sheetName val="C3-EI"/>
      <sheetName val="C3-ﾊﾞﾈ"/>
      <sheetName val="D1-1"/>
      <sheetName val="D2-1"/>
      <sheetName val="D1-2"/>
      <sheetName val="D2-2"/>
      <sheetName val="D3(ﾈｶﾞﾃｨﾌﾞ)"/>
      <sheetName val="Sh"/>
      <sheetName val="L+I"/>
      <sheetName val="LF&amp;W"/>
      <sheetName val="荷重図"/>
      <sheetName val="組合せ"/>
      <sheetName val="Combine"/>
      <sheetName val="抽出"/>
      <sheetName val="剛域"/>
      <sheetName val="算出点"/>
      <sheetName val="D1-beam"/>
      <sheetName val="列車荷重等値等分布荷重"/>
      <sheetName val="EQ"/>
      <sheetName val="EQL"/>
      <sheetName val="荷重図 (2)"/>
    </sheetNames>
    <sheetDataSet>
      <sheetData sheetId="0" refreshError="1">
        <row r="53">
          <cell r="AF53">
            <v>7</v>
          </cell>
        </row>
        <row r="55">
          <cell r="AF55">
            <v>12.5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計算"/>
      <sheetName val="固死"/>
      <sheetName val="地震時"/>
      <sheetName val="荷重図"/>
      <sheetName val="組合せ"/>
      <sheetName val="配筋"/>
      <sheetName val="応答変位←"/>
      <sheetName val="せん断照査←"/>
      <sheetName val="M-θ←"/>
      <sheetName val="M-φ←"/>
      <sheetName val="損傷度"/>
      <sheetName val="S-bea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2-基本1"/>
      <sheetName val="L2-EI"/>
      <sheetName val="L2-ﾊﾞﾈ"/>
      <sheetName val="D1-1"/>
      <sheetName val="D2-1"/>
      <sheetName val="D1-2"/>
      <sheetName val="D2-2"/>
      <sheetName val="D3(ﾈｶﾞﾃｨﾌﾞ)"/>
      <sheetName val="Sh"/>
      <sheetName val="L+I"/>
      <sheetName val="B&amp;LR"/>
      <sheetName val="荷重図"/>
      <sheetName val="組合せ"/>
      <sheetName val="Combine"/>
      <sheetName val="抽出"/>
      <sheetName val="剛域"/>
      <sheetName val="算出点"/>
      <sheetName val="列車荷重等値等分布荷重"/>
      <sheetName val="D1-beam"/>
    </sheetNames>
    <sheetDataSet>
      <sheetData sheetId="0">
        <row r="13">
          <cell r="AF13">
            <v>4.5</v>
          </cell>
        </row>
        <row r="14">
          <cell r="AF14">
            <v>77</v>
          </cell>
        </row>
        <row r="15">
          <cell r="AF15">
            <v>24.5</v>
          </cell>
        </row>
        <row r="16">
          <cell r="AF16">
            <v>23</v>
          </cell>
        </row>
        <row r="22">
          <cell r="AF22">
            <v>0.25</v>
          </cell>
        </row>
        <row r="23">
          <cell r="AF23">
            <v>0.45</v>
          </cell>
        </row>
        <row r="24">
          <cell r="AF24">
            <v>0.15</v>
          </cell>
        </row>
        <row r="26">
          <cell r="AF26">
            <v>0.4</v>
          </cell>
        </row>
        <row r="27">
          <cell r="AF27">
            <v>0.9</v>
          </cell>
        </row>
        <row r="28">
          <cell r="AF28">
            <v>1.5</v>
          </cell>
        </row>
        <row r="29">
          <cell r="AF29">
            <v>1.7999999999999998</v>
          </cell>
        </row>
        <row r="30">
          <cell r="AF30">
            <v>0.6</v>
          </cell>
        </row>
        <row r="31">
          <cell r="AF31">
            <v>0.9</v>
          </cell>
        </row>
        <row r="32">
          <cell r="AF32">
            <v>1.3</v>
          </cell>
        </row>
        <row r="33">
          <cell r="AF33">
            <v>0.5</v>
          </cell>
        </row>
        <row r="34">
          <cell r="AF34">
            <v>1.3</v>
          </cell>
        </row>
        <row r="35">
          <cell r="AF35">
            <v>0.8</v>
          </cell>
        </row>
        <row r="36">
          <cell r="AF36">
            <v>1</v>
          </cell>
        </row>
        <row r="47">
          <cell r="AF47">
            <v>1</v>
          </cell>
        </row>
        <row r="48">
          <cell r="AF48">
            <v>0.5</v>
          </cell>
        </row>
        <row r="49">
          <cell r="AF49">
            <v>1</v>
          </cell>
        </row>
        <row r="50">
          <cell r="AF50">
            <v>1</v>
          </cell>
        </row>
        <row r="53">
          <cell r="AF53">
            <v>7</v>
          </cell>
        </row>
        <row r="55">
          <cell r="AF55">
            <v>12.5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7">
          <cell r="F7" t="str">
            <v>スパン(m)</v>
          </cell>
          <cell r="G7" t="str">
            <v>WM1</v>
          </cell>
          <cell r="H7" t="str">
            <v>WM2</v>
          </cell>
          <cell r="I7" t="str">
            <v>WS</v>
          </cell>
        </row>
        <row r="8">
          <cell r="G8" t="str">
            <v>最大スパン曲げモーメント</v>
          </cell>
          <cell r="H8" t="str">
            <v>負の最大支点曲げモーメント</v>
          </cell>
          <cell r="I8" t="str">
            <v>せん断力</v>
          </cell>
        </row>
        <row r="9">
          <cell r="F9">
            <v>6</v>
          </cell>
          <cell r="G9">
            <v>108</v>
          </cell>
          <cell r="H9">
            <v>80</v>
          </cell>
          <cell r="I9">
            <v>136</v>
          </cell>
        </row>
        <row r="10">
          <cell r="F10">
            <v>7</v>
          </cell>
          <cell r="G10">
            <v>102</v>
          </cell>
          <cell r="H10">
            <v>78</v>
          </cell>
          <cell r="I10">
            <v>124</v>
          </cell>
        </row>
        <row r="11">
          <cell r="F11">
            <v>8</v>
          </cell>
          <cell r="G11">
            <v>96</v>
          </cell>
          <cell r="H11">
            <v>76</v>
          </cell>
          <cell r="I11">
            <v>112</v>
          </cell>
        </row>
        <row r="12">
          <cell r="F12">
            <v>9</v>
          </cell>
          <cell r="G12">
            <v>90</v>
          </cell>
          <cell r="H12">
            <v>72</v>
          </cell>
          <cell r="I12">
            <v>104</v>
          </cell>
        </row>
        <row r="13">
          <cell r="F13">
            <v>10</v>
          </cell>
          <cell r="G13">
            <v>86</v>
          </cell>
          <cell r="H13">
            <v>70</v>
          </cell>
          <cell r="I13">
            <v>100</v>
          </cell>
        </row>
        <row r="14">
          <cell r="F14">
            <v>11</v>
          </cell>
          <cell r="G14">
            <v>80</v>
          </cell>
          <cell r="H14">
            <v>70</v>
          </cell>
          <cell r="I14">
            <v>98</v>
          </cell>
        </row>
        <row r="15">
          <cell r="F15">
            <v>12</v>
          </cell>
          <cell r="G15">
            <v>76</v>
          </cell>
          <cell r="H15">
            <v>70</v>
          </cell>
          <cell r="I15">
            <v>94</v>
          </cell>
        </row>
        <row r="16">
          <cell r="F16">
            <v>13</v>
          </cell>
          <cell r="G16">
            <v>76</v>
          </cell>
          <cell r="H16">
            <v>70</v>
          </cell>
          <cell r="I16">
            <v>92</v>
          </cell>
        </row>
        <row r="17">
          <cell r="F17">
            <v>14</v>
          </cell>
          <cell r="G17">
            <v>74</v>
          </cell>
          <cell r="H17">
            <v>70</v>
          </cell>
          <cell r="I17">
            <v>90</v>
          </cell>
        </row>
        <row r="18">
          <cell r="F18">
            <v>15</v>
          </cell>
          <cell r="G18">
            <v>74</v>
          </cell>
          <cell r="H18">
            <v>70</v>
          </cell>
          <cell r="I18">
            <v>88</v>
          </cell>
        </row>
      </sheetData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×構造計算 (表層厚66.50m)"/>
      <sheetName val="×構造計算 (表層厚37.16m)"/>
    </sheetNames>
    <sheetDataSet>
      <sheetData sheetId="0" refreshError="1">
        <row r="105">
          <cell r="O105">
            <v>0.75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応答値算定"/>
      <sheetName val="1.0-1.0-(→)"/>
      <sheetName val="2.0-1.0-(→)"/>
      <sheetName val="1.0-1.0-(←)"/>
      <sheetName val="2.0-1.0-(←)"/>
      <sheetName val="ground-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D5">
            <v>0</v>
          </cell>
          <cell r="E5" t="str">
            <v>Ｇ０</v>
          </cell>
          <cell r="F5" t="str">
            <v>岩盤</v>
          </cell>
        </row>
        <row r="6">
          <cell r="D6">
            <v>0</v>
          </cell>
          <cell r="E6" t="str">
            <v>Ｇ１</v>
          </cell>
          <cell r="F6" t="str">
            <v>基盤</v>
          </cell>
        </row>
        <row r="7">
          <cell r="D7">
            <v>0</v>
          </cell>
          <cell r="E7" t="str">
            <v>Ｇ２</v>
          </cell>
          <cell r="F7" t="str">
            <v>洪積層</v>
          </cell>
        </row>
        <row r="8">
          <cell r="D8">
            <v>0.25</v>
          </cell>
          <cell r="E8" t="str">
            <v>Ｇ３</v>
          </cell>
          <cell r="F8" t="str">
            <v>普通地盤</v>
          </cell>
        </row>
        <row r="9">
          <cell r="D9">
            <v>0.5</v>
          </cell>
          <cell r="E9" t="str">
            <v>Ｇ４</v>
          </cell>
          <cell r="F9" t="str">
            <v>普通～軟弱地盤</v>
          </cell>
        </row>
        <row r="10">
          <cell r="D10">
            <v>0.75</v>
          </cell>
          <cell r="E10" t="str">
            <v>Ｇ５</v>
          </cell>
          <cell r="F10" t="str">
            <v>軟弱地盤</v>
          </cell>
        </row>
        <row r="11">
          <cell r="D11">
            <v>1</v>
          </cell>
          <cell r="E11" t="str">
            <v>Ｇ６</v>
          </cell>
          <cell r="F11" t="str">
            <v>軟弱地盤</v>
          </cell>
        </row>
        <row r="12">
          <cell r="D12">
            <v>1.5</v>
          </cell>
          <cell r="E12" t="str">
            <v>Ｇ７</v>
          </cell>
          <cell r="F12" t="str">
            <v>極めて軟弱な地盤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C1-軸線"/>
      <sheetName val="C1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電柱"/>
      <sheetName val="L+I pic"/>
      <sheetName val="L+I"/>
      <sheetName val="LC,LF,Sh"/>
      <sheetName val="EQD"/>
      <sheetName val="EQL pic"/>
      <sheetName val="EQL"/>
      <sheetName val="荷重図"/>
      <sheetName val="組合せ"/>
      <sheetName val="Combine"/>
      <sheetName val="抽出"/>
      <sheetName val="剛域"/>
      <sheetName val="算出点"/>
      <sheetName val="LP"/>
      <sheetName val="E (2)"/>
      <sheetName val="ki"/>
    </sheetNames>
    <sheetDataSet>
      <sheetData sheetId="0" refreshError="1">
        <row r="37">
          <cell r="B37">
            <v>1.5</v>
          </cell>
        </row>
        <row r="39">
          <cell r="B39">
            <v>1.8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表紙"/>
      <sheetName val="×目次"/>
      <sheetName val="計算結果総括"/>
      <sheetName val="１設計条件"/>
      <sheetName val="２．EVピット(偏心考慮)"/>
      <sheetName val="３（3）側壁の断面計算"/>
      <sheetName val="４．底版の計算①（荷重）"/>
      <sheetName val="底版の計算②（バネ，ｷｬﾘｰﾊﾟｲﾙ）"/>
      <sheetName val="底版の計算③（ﾌﾚｰﾑ）"/>
      <sheetName val="底版断面計算"/>
      <sheetName val="５．杭体の検討"/>
      <sheetName val="６．杭支持力"/>
    </sheetNames>
    <sheetDataSet>
      <sheetData sheetId="0" refreshError="1"/>
      <sheetData sheetId="1" refreshError="1"/>
      <sheetData sheetId="2" refreshError="1"/>
      <sheetData sheetId="3">
        <row r="8">
          <cell r="K8">
            <v>1.7450000000000001</v>
          </cell>
          <cell r="O8">
            <v>2.4540000000000002</v>
          </cell>
          <cell r="AE8">
            <v>0.33</v>
          </cell>
        </row>
        <row r="9">
          <cell r="K9">
            <v>0.72499999999999998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層梁M"/>
      <sheetName val="上層梁V"/>
      <sheetName val="上層梁変形性能"/>
      <sheetName val="上層梁変形性能 (2)"/>
      <sheetName val="抵抗Mr"/>
      <sheetName val="抵抗Ｖr"/>
      <sheetName val="Sheet1"/>
      <sheetName val="Stee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7">
          <cell r="D7">
            <v>0</v>
          </cell>
          <cell r="E7">
            <v>0</v>
          </cell>
        </row>
        <row r="8">
          <cell r="D8" t="str">
            <v>D13</v>
          </cell>
          <cell r="E8">
            <v>1.2669999999999999</v>
          </cell>
        </row>
        <row r="9">
          <cell r="D9" t="str">
            <v>D16</v>
          </cell>
          <cell r="E9">
            <v>1.986</v>
          </cell>
        </row>
        <row r="10">
          <cell r="D10" t="str">
            <v>D19</v>
          </cell>
          <cell r="E10">
            <v>2.8650000000000002</v>
          </cell>
        </row>
        <row r="11">
          <cell r="D11" t="str">
            <v>D22</v>
          </cell>
          <cell r="E11">
            <v>3.871</v>
          </cell>
        </row>
        <row r="12">
          <cell r="D12" t="str">
            <v>D25</v>
          </cell>
          <cell r="E12">
            <v>5.0670000000000002</v>
          </cell>
        </row>
        <row r="13">
          <cell r="D13" t="str">
            <v>D29</v>
          </cell>
          <cell r="E13">
            <v>6.4240000000000004</v>
          </cell>
        </row>
        <row r="14">
          <cell r="D14" t="str">
            <v>D32</v>
          </cell>
          <cell r="E14">
            <v>7.9420000000000002</v>
          </cell>
        </row>
        <row r="15">
          <cell r="D15" t="str">
            <v>D38</v>
          </cell>
          <cell r="E15">
            <v>11.4</v>
          </cell>
        </row>
        <row r="16">
          <cell r="D16" t="str">
            <v>D51</v>
          </cell>
          <cell r="E16">
            <v>20.260000000000002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月売上"/>
      <sheetName val="11月売上"/>
      <sheetName val="12月売上"/>
      <sheetName val="1月売上"/>
      <sheetName val="2月売上"/>
    </sheetNames>
    <sheetDataSet>
      <sheetData sheetId="0" refreshError="1">
        <row r="18">
          <cell r="G18">
            <v>11.2</v>
          </cell>
        </row>
        <row r="114">
          <cell r="E114">
            <v>188</v>
          </cell>
          <cell r="G114">
            <v>357</v>
          </cell>
        </row>
        <row r="187">
          <cell r="E187">
            <v>370.3</v>
          </cell>
          <cell r="G187">
            <v>222</v>
          </cell>
        </row>
        <row r="258">
          <cell r="E258">
            <v>250.1</v>
          </cell>
          <cell r="G258">
            <v>10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１設計条件"/>
      <sheetName val="1.8.1土質条件山側"/>
      <sheetName val="山側"/>
      <sheetName val="1.8.2土質条件海側"/>
      <sheetName val="海側"/>
      <sheetName val="2かがみ"/>
      <sheetName val="2結果総括表"/>
      <sheetName val="3北行"/>
      <sheetName val="4常磐"/>
      <sheetName val="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2-基本1"/>
      <sheetName val="L2-EI"/>
      <sheetName val="L2-ﾊﾞﾈ"/>
      <sheetName val="D1-1"/>
      <sheetName val="D2-1"/>
      <sheetName val="D1-2"/>
      <sheetName val="D2-2"/>
      <sheetName val="D3(ﾈｶﾞﾃｨﾌﾞ)"/>
      <sheetName val="Sh"/>
      <sheetName val="L+I"/>
      <sheetName val="B&amp;LR"/>
      <sheetName val="荷重図"/>
      <sheetName val="組合せ"/>
      <sheetName val="Combine"/>
      <sheetName val="抽出"/>
      <sheetName val="剛域"/>
      <sheetName val="算出点"/>
      <sheetName val="列車荷重等値等分布荷重"/>
      <sheetName val="D1-beam"/>
    </sheetNames>
    <sheetDataSet>
      <sheetData sheetId="0" refreshError="1">
        <row r="15">
          <cell r="AF15">
            <v>24.5</v>
          </cell>
        </row>
        <row r="17">
          <cell r="AF17">
            <v>19</v>
          </cell>
        </row>
        <row r="25">
          <cell r="AF25">
            <v>0.25</v>
          </cell>
        </row>
        <row r="43">
          <cell r="AF43">
            <v>2.1</v>
          </cell>
        </row>
        <row r="45">
          <cell r="AF45">
            <v>1.9</v>
          </cell>
        </row>
        <row r="51">
          <cell r="AF51">
            <v>1.2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C3-軸線"/>
      <sheetName val="C3-EI"/>
      <sheetName val="上層固定 pic"/>
      <sheetName val="上層固定"/>
      <sheetName val="上層付加 pic"/>
      <sheetName val="上層付加"/>
      <sheetName val="下層固定 pic"/>
      <sheetName val="下層固定"/>
      <sheetName val="下層付加 pic"/>
      <sheetName val="下層付加"/>
      <sheetName val="群集"/>
      <sheetName val="電柱"/>
      <sheetName val="L+I pic"/>
      <sheetName val="L+I"/>
      <sheetName val="LC,LF,Sh"/>
      <sheetName val="EQD"/>
      <sheetName val="EQL pic"/>
      <sheetName val="EQL"/>
      <sheetName val="荷重図"/>
      <sheetName val="組合せ"/>
      <sheetName val="Combine"/>
      <sheetName val="抽出"/>
      <sheetName val="剛域 "/>
      <sheetName val="算出点"/>
      <sheetName val="LP"/>
      <sheetName val="E (2)"/>
      <sheetName val="L2-基本計算(限界設計用)"/>
    </sheetNames>
    <sheetDataSet>
      <sheetData sheetId="0" refreshError="1">
        <row r="3">
          <cell r="B3">
            <v>1.05</v>
          </cell>
        </row>
        <row r="5">
          <cell r="B5">
            <v>0.9</v>
          </cell>
        </row>
        <row r="7">
          <cell r="B7">
            <v>0.95</v>
          </cell>
        </row>
        <row r="9">
          <cell r="B9">
            <v>0.9</v>
          </cell>
        </row>
        <row r="15">
          <cell r="B15">
            <v>0.8</v>
          </cell>
        </row>
        <row r="17">
          <cell r="B17">
            <v>0.7</v>
          </cell>
        </row>
        <row r="19">
          <cell r="B19">
            <v>1.2</v>
          </cell>
        </row>
        <row r="21">
          <cell r="B21">
            <v>0.4</v>
          </cell>
        </row>
        <row r="25">
          <cell r="B25">
            <v>0.25</v>
          </cell>
        </row>
        <row r="31">
          <cell r="B31">
            <v>0.9</v>
          </cell>
        </row>
        <row r="33">
          <cell r="B33">
            <v>0.9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計算位置"/>
      <sheetName val="C2-軸線"/>
      <sheetName val="C2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L+I pic"/>
      <sheetName val="L+I"/>
      <sheetName val="LC,LF,Sh"/>
      <sheetName val="EQD"/>
      <sheetName val="EQL pic"/>
      <sheetName val="EQL"/>
      <sheetName val="LP"/>
      <sheetName val="E (2)"/>
    </sheetNames>
    <sheetDataSet>
      <sheetData sheetId="0" refreshError="1">
        <row r="3">
          <cell r="D3">
            <v>1.05</v>
          </cell>
        </row>
        <row r="7">
          <cell r="D7">
            <v>1.05</v>
          </cell>
        </row>
        <row r="9">
          <cell r="C9">
            <v>1.5</v>
          </cell>
        </row>
        <row r="15">
          <cell r="C15">
            <v>0.7</v>
          </cell>
        </row>
        <row r="17">
          <cell r="C17">
            <v>1</v>
          </cell>
        </row>
        <row r="25">
          <cell r="C25">
            <v>0.2</v>
          </cell>
        </row>
        <row r="27">
          <cell r="C27">
            <v>0.45</v>
          </cell>
        </row>
        <row r="29">
          <cell r="C29">
            <v>0.15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携ﾌｧｲﾙ"/>
      <sheetName val="躯体の設計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躯体の計算"/>
      <sheetName val="変形性能"/>
      <sheetName val="貼り付け"/>
      <sheetName val="Graph1"/>
      <sheetName val="配筋要領"/>
      <sheetName val="途中定着"/>
      <sheetName val="Steel Data"/>
      <sheetName val="7.上層曲げ応力度"/>
      <sheetName val="上層せん断力"/>
      <sheetName val="上層照査"/>
      <sheetName val="上層照査2"/>
      <sheetName val="柱曲げ応力度"/>
      <sheetName val="柱せん断力"/>
      <sheetName val="柱照査"/>
      <sheetName val="安定計算"/>
      <sheetName val="杭曲げ応力度"/>
      <sheetName val="杭せん断力"/>
      <sheetName val="杭照査"/>
      <sheetName val="L1ラーメン設計総括表"/>
      <sheetName val="上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B8" t="str">
            <v>D13</v>
          </cell>
        </row>
        <row r="9">
          <cell r="B9" t="str">
            <v>D16</v>
          </cell>
        </row>
        <row r="10">
          <cell r="B10" t="str">
            <v>D19</v>
          </cell>
        </row>
        <row r="11">
          <cell r="B11" t="str">
            <v>D22</v>
          </cell>
        </row>
        <row r="12">
          <cell r="B12" t="str">
            <v>D25</v>
          </cell>
        </row>
        <row r="13">
          <cell r="B13" t="str">
            <v>D29</v>
          </cell>
        </row>
        <row r="14">
          <cell r="B14" t="str">
            <v>D32</v>
          </cell>
        </row>
        <row r="15">
          <cell r="B15" t="str">
            <v>D35</v>
          </cell>
        </row>
        <row r="16">
          <cell r="B16" t="str">
            <v>D38</v>
          </cell>
        </row>
        <row r="17">
          <cell r="B17" t="str">
            <v>D41</v>
          </cell>
        </row>
        <row r="18">
          <cell r="B18" t="str">
            <v>D51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C1-軸線"/>
      <sheetName val="C1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電柱"/>
      <sheetName val="L+I pic"/>
      <sheetName val="L+I"/>
      <sheetName val="LC,LF,Sh"/>
      <sheetName val="EQD"/>
      <sheetName val="EQL pic"/>
      <sheetName val="EQL"/>
      <sheetName val="荷重図"/>
      <sheetName val="組合せ"/>
      <sheetName val="Combine"/>
      <sheetName val="抽出"/>
      <sheetName val="剛域"/>
      <sheetName val="算出点"/>
      <sheetName val="LP"/>
      <sheetName val="E (2)"/>
    </sheetNames>
    <sheetDataSet>
      <sheetData sheetId="0">
        <row r="39">
          <cell r="B39">
            <v>1.8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ﾃﾞｰﾀｼｰﾄ"/>
      <sheetName val="列車荷重等値等分布荷重"/>
      <sheetName val="計算位置"/>
      <sheetName val="C2-軸線"/>
      <sheetName val="C2-EI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L+I pic"/>
      <sheetName val="L+I"/>
      <sheetName val="LC,LF,Sh"/>
      <sheetName val="EQD"/>
      <sheetName val="EQL pic"/>
      <sheetName val="EQL"/>
      <sheetName val="LP"/>
      <sheetName val="E (2)"/>
    </sheetNames>
    <sheetDataSet>
      <sheetData sheetId="0">
        <row r="3">
          <cell r="D3">
            <v>1.05</v>
          </cell>
        </row>
        <row r="5">
          <cell r="C5">
            <v>1.5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側面形状"/>
      <sheetName val="断面形状"/>
      <sheetName val="版上"/>
      <sheetName val="諸元"/>
      <sheetName val="荷重条件"/>
      <sheetName val="上部工"/>
      <sheetName val="水平分担"/>
      <sheetName val="ねじりモーメント"/>
      <sheetName val="地盤条件"/>
      <sheetName val="電柱"/>
      <sheetName val="上屋"/>
      <sheetName val="A4"/>
      <sheetName val="基本計算"/>
      <sheetName val="平面"/>
      <sheetName val="固定死荷重_平面図"/>
      <sheetName val="固定死荷重_横断図"/>
      <sheetName val="固定死荷重2"/>
      <sheetName val="付加死荷重"/>
      <sheetName val="群集荷重 "/>
      <sheetName val="列衝"/>
      <sheetName val="LR_B_SH_T"/>
      <sheetName val="浮力"/>
      <sheetName val="雪荷重30"/>
      <sheetName val="雪荷重20"/>
      <sheetName val="雪荷重2"/>
      <sheetName val="荷重図A3"/>
      <sheetName val="荷重図A4"/>
      <sheetName val="組合せ"/>
      <sheetName val="Combine"/>
      <sheetName val="抽出"/>
      <sheetName val="算出点"/>
      <sheetName val="照査-上層梁"/>
      <sheetName val="乾燥収縮度(上層梁）"/>
      <sheetName val="照査-柱"/>
      <sheetName val="乾燥収縮度(柱）"/>
      <sheetName val="照査-地中梁"/>
      <sheetName val="乾燥収縮度(地中梁）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列車荷重等値等分布荷重"/>
      <sheetName val="基本ﾃﾞｰﾀｼｰﾄ"/>
      <sheetName val="計算位置"/>
      <sheetName val="C2-軸線"/>
      <sheetName val="C2-EI "/>
      <sheetName val="上層固定 pic"/>
      <sheetName val="上層固定"/>
      <sheetName val="上層付加 pic"/>
      <sheetName val="上層付加"/>
      <sheetName val="中層固定 pic"/>
      <sheetName val="中層固定"/>
      <sheetName val="中層付加 pic"/>
      <sheetName val="中層付加"/>
      <sheetName val="下層固定 pic"/>
      <sheetName val="下層固定"/>
      <sheetName val="下層付加 pic"/>
      <sheetName val="下層付加"/>
      <sheetName val="群集"/>
      <sheetName val="L+I pic"/>
      <sheetName val="L+I"/>
      <sheetName val="LC,LF,Sh"/>
      <sheetName val="E (2)"/>
      <sheetName val="EQD"/>
      <sheetName val="EQL pic"/>
      <sheetName val="EQL"/>
      <sheetName val="荷重図"/>
      <sheetName val="組合せ"/>
      <sheetName val="Combine"/>
      <sheetName val="抽出"/>
      <sheetName val="剛域"/>
      <sheetName val="算出点"/>
      <sheetName val="rim"/>
    </sheetNames>
    <sheetDataSet>
      <sheetData sheetId="0" refreshError="1"/>
      <sheetData sheetId="1" refreshError="1">
        <row r="33">
          <cell r="C33">
            <v>0.9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ｽｲﾍｲ"/>
      <sheetName val="ﾗｰﾒﾝIN"/>
      <sheetName val="ｸｲｷｿ"/>
      <sheetName val="ｸｲｷｿ-2"/>
      <sheetName val="ｽﾗﾌﾞR"/>
      <sheetName val="ﾈｼﾞﾘM"/>
      <sheetName val="ｼﾞｮｳﾌﾞS"/>
      <sheetName val="ｼﾝﾄﾞT"/>
      <sheetName val="ねじりモーメント"/>
      <sheetName val="水平分担"/>
      <sheetName val="TAISHIN1"/>
      <sheetName val="ｹﾀｳｹ"/>
      <sheetName val="ﾊｼﾗ-U2"/>
      <sheetName val="ﾊﾘ-U"/>
      <sheetName val="ﾃﾞｨｰﾌﾟB"/>
      <sheetName val="ｽｲﾍｲPUD"/>
      <sheetName val="R37-ｹｯｶ1"/>
      <sheetName val="R37-ｹｯｶ2"/>
      <sheetName val="表紙・目次 "/>
      <sheetName val="設計条件-1"/>
      <sheetName val="設計条件-2"/>
      <sheetName val="荷重計算"/>
      <sheetName val="電算シート"/>
      <sheetName val="曲げモーメントの検討"/>
      <sheetName val="せん断の検討"/>
      <sheetName val="安全性の照査"/>
      <sheetName val="トーニチ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9525"/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6495-FD23-477C-A8F9-4DBFA8D6BA09}">
  <dimension ref="C2:X85"/>
  <sheetViews>
    <sheetView view="pageBreakPreview" topLeftCell="A82" zoomScale="75" zoomScaleNormal="75" zoomScaleSheetLayoutView="75" workbookViewId="0"/>
  </sheetViews>
  <sheetFormatPr defaultColWidth="2.625" defaultRowHeight="16.5" customHeight="1" x14ac:dyDescent="0.15"/>
  <cols>
    <col min="1" max="2" width="2.625" style="4" customWidth="1"/>
    <col min="3" max="3" width="2.625" style="5" customWidth="1"/>
    <col min="4" max="4" width="6.625" style="4" customWidth="1"/>
    <col min="5" max="6" width="8.625" style="4" customWidth="1"/>
    <col min="7" max="8" width="6.625" style="4" customWidth="1"/>
    <col min="9" max="10" width="4.625" style="4" customWidth="1"/>
    <col min="11" max="11" width="8.625" style="4" customWidth="1"/>
    <col min="12" max="13" width="10.625" style="4" customWidth="1"/>
    <col min="14" max="15" width="2.625" style="4" customWidth="1"/>
    <col min="16" max="19" width="10.625" style="4" customWidth="1"/>
    <col min="20" max="20" width="2.625" style="4" customWidth="1"/>
    <col min="21" max="24" width="10.625" style="4" customWidth="1"/>
    <col min="25" max="16384" width="2.625" style="4"/>
  </cols>
  <sheetData>
    <row r="2" spans="3:24" ht="16.5" customHeight="1" x14ac:dyDescent="0.15">
      <c r="C2" s="5" t="s">
        <v>22</v>
      </c>
      <c r="D2" s="4" t="s">
        <v>25</v>
      </c>
    </row>
    <row r="3" spans="3:24" ht="16.5" customHeight="1" x14ac:dyDescent="0.15">
      <c r="D3" s="4" t="s">
        <v>12</v>
      </c>
      <c r="E3" s="16">
        <v>1.3</v>
      </c>
      <c r="F3" s="4" t="s">
        <v>4</v>
      </c>
    </row>
    <row r="4" spans="3:24" ht="16.5" customHeight="1" x14ac:dyDescent="0.15">
      <c r="D4" s="4" t="s">
        <v>17</v>
      </c>
      <c r="E4" s="16">
        <v>31</v>
      </c>
      <c r="F4" s="4" t="s">
        <v>4</v>
      </c>
    </row>
    <row r="5" spans="3:24" ht="16.5" customHeight="1" x14ac:dyDescent="0.15">
      <c r="D5" s="4" t="s">
        <v>10</v>
      </c>
      <c r="E5" s="18">
        <v>3</v>
      </c>
      <c r="F5" s="4" t="s">
        <v>16</v>
      </c>
    </row>
    <row r="6" spans="3:24" ht="16.5" customHeight="1" x14ac:dyDescent="0.15">
      <c r="D6" s="96" t="s">
        <v>9</v>
      </c>
      <c r="E6" s="101" t="s">
        <v>29</v>
      </c>
      <c r="F6" s="104" t="s">
        <v>36</v>
      </c>
      <c r="G6" s="89" t="s">
        <v>37</v>
      </c>
      <c r="H6" s="90"/>
      <c r="I6" s="81" t="s">
        <v>11</v>
      </c>
      <c r="J6" s="83"/>
      <c r="K6" s="101" t="s">
        <v>38</v>
      </c>
      <c r="L6" s="89" t="s">
        <v>39</v>
      </c>
      <c r="M6" s="90"/>
      <c r="P6" s="72" t="s">
        <v>95</v>
      </c>
      <c r="Q6" s="72"/>
      <c r="R6" s="72"/>
      <c r="S6" s="72"/>
      <c r="U6" s="100" t="s">
        <v>105</v>
      </c>
      <c r="V6" s="100"/>
      <c r="W6" s="100"/>
      <c r="X6" s="100"/>
    </row>
    <row r="7" spans="3:24" ht="16.5" customHeight="1" x14ac:dyDescent="0.15">
      <c r="D7" s="96"/>
      <c r="E7" s="102"/>
      <c r="F7" s="105"/>
      <c r="G7" s="91"/>
      <c r="H7" s="92"/>
      <c r="I7" s="84"/>
      <c r="J7" s="85"/>
      <c r="K7" s="102"/>
      <c r="L7" s="91"/>
      <c r="M7" s="92"/>
      <c r="P7" s="72"/>
      <c r="Q7" s="72"/>
      <c r="R7" s="72"/>
      <c r="S7" s="72"/>
      <c r="U7" s="100"/>
      <c r="V7" s="100"/>
      <c r="W7" s="100"/>
      <c r="X7" s="100"/>
    </row>
    <row r="8" spans="3:24" ht="16.5" customHeight="1" x14ac:dyDescent="0.15">
      <c r="D8" s="96"/>
      <c r="E8" s="102"/>
      <c r="F8" s="105"/>
      <c r="G8" s="91"/>
      <c r="H8" s="92"/>
      <c r="I8" s="84"/>
      <c r="J8" s="85"/>
      <c r="K8" s="102"/>
      <c r="L8" s="91"/>
      <c r="M8" s="92"/>
      <c r="P8" s="72"/>
      <c r="Q8" s="72"/>
      <c r="R8" s="72"/>
      <c r="S8" s="72"/>
      <c r="U8" s="100"/>
      <c r="V8" s="100"/>
      <c r="W8" s="100"/>
      <c r="X8" s="100"/>
    </row>
    <row r="9" spans="3:24" ht="16.5" customHeight="1" x14ac:dyDescent="0.15">
      <c r="D9" s="96"/>
      <c r="E9" s="102"/>
      <c r="F9" s="105"/>
      <c r="G9" s="91"/>
      <c r="H9" s="92"/>
      <c r="I9" s="84"/>
      <c r="J9" s="85"/>
      <c r="K9" s="102"/>
      <c r="L9" s="93"/>
      <c r="M9" s="94"/>
      <c r="P9" s="72" t="s">
        <v>106</v>
      </c>
      <c r="Q9" s="99" t="s">
        <v>94</v>
      </c>
      <c r="R9" s="96" t="s">
        <v>91</v>
      </c>
      <c r="S9" s="96"/>
      <c r="U9" s="72" t="s">
        <v>106</v>
      </c>
      <c r="V9" s="99" t="s">
        <v>94</v>
      </c>
      <c r="W9" s="96" t="s">
        <v>91</v>
      </c>
      <c r="X9" s="96"/>
    </row>
    <row r="10" spans="3:24" ht="16.5" customHeight="1" x14ac:dyDescent="0.15">
      <c r="D10" s="96"/>
      <c r="E10" s="103"/>
      <c r="F10" s="106"/>
      <c r="G10" s="93"/>
      <c r="H10" s="94"/>
      <c r="I10" s="87"/>
      <c r="J10" s="88"/>
      <c r="K10" s="103"/>
      <c r="L10" s="13" t="s">
        <v>18</v>
      </c>
      <c r="M10" s="34">
        <f>+E5</f>
        <v>3</v>
      </c>
      <c r="P10" s="72"/>
      <c r="Q10" s="99"/>
      <c r="R10" s="9" t="s">
        <v>92</v>
      </c>
      <c r="S10" s="9" t="s">
        <v>93</v>
      </c>
      <c r="U10" s="72"/>
      <c r="V10" s="99"/>
      <c r="W10" s="9" t="s">
        <v>92</v>
      </c>
      <c r="X10" s="9" t="s">
        <v>93</v>
      </c>
    </row>
    <row r="11" spans="3:24" ht="16.5" customHeight="1" x14ac:dyDescent="0.15">
      <c r="D11" s="112" t="s">
        <v>0</v>
      </c>
      <c r="E11" s="138">
        <v>1.5</v>
      </c>
      <c r="F11" s="139">
        <v>15080</v>
      </c>
      <c r="G11" s="20">
        <f>+E3</f>
        <v>1.3</v>
      </c>
      <c r="H11" s="20"/>
      <c r="I11" s="38">
        <v>98</v>
      </c>
      <c r="J11" s="38">
        <v>148</v>
      </c>
      <c r="K11" s="21">
        <f>+F11</f>
        <v>15080</v>
      </c>
      <c r="L11" s="21">
        <f>K11*E3</f>
        <v>19604</v>
      </c>
      <c r="M11" s="35">
        <f>L11*E5</f>
        <v>58812</v>
      </c>
      <c r="P11" s="10">
        <f>+I11</f>
        <v>98</v>
      </c>
      <c r="Q11" s="56">
        <f>+M11</f>
        <v>58812</v>
      </c>
      <c r="R11" s="58">
        <f>+'有効抵抗土圧(4P右)'!G142</f>
        <v>1163.0297639999999</v>
      </c>
      <c r="S11" s="58">
        <f>+'有効抵抗土圧(4P右)'!G143</f>
        <v>1307.4656815999999</v>
      </c>
      <c r="U11" s="10">
        <f>+P11</f>
        <v>98</v>
      </c>
      <c r="V11" s="56">
        <f>+Q11</f>
        <v>58812</v>
      </c>
      <c r="W11" s="58">
        <f>+R61</f>
        <v>2907.5744100000002</v>
      </c>
      <c r="X11" s="58">
        <f>+S61</f>
        <v>3268.6642039999997</v>
      </c>
    </row>
    <row r="12" spans="3:24" ht="16.5" customHeight="1" x14ac:dyDescent="0.15">
      <c r="D12" s="112"/>
      <c r="E12" s="138"/>
      <c r="F12" s="139"/>
      <c r="G12" s="114">
        <f>+G11</f>
        <v>1.3</v>
      </c>
      <c r="H12" s="20">
        <f>+E11-G11</f>
        <v>0.19999999999999996</v>
      </c>
      <c r="I12" s="72">
        <f>+I11+1</f>
        <v>99</v>
      </c>
      <c r="J12" s="72">
        <f>+J11+1</f>
        <v>149</v>
      </c>
      <c r="K12" s="123">
        <f>(F11*H12+F13*H13)/G12</f>
        <v>69765.230769230766</v>
      </c>
      <c r="L12" s="123">
        <f>K12*E3</f>
        <v>90694.8</v>
      </c>
      <c r="M12" s="124">
        <f>L12*E5</f>
        <v>272084.40000000002</v>
      </c>
      <c r="P12" s="10">
        <f>+P11+1</f>
        <v>99</v>
      </c>
      <c r="Q12" s="56">
        <f>+M12</f>
        <v>272084.40000000002</v>
      </c>
      <c r="R12" s="58">
        <f>+'有効抵抗土圧(4P右)'!G144</f>
        <v>1989.0401095076923</v>
      </c>
      <c r="S12" s="58">
        <f>+'有効抵抗土圧(4P右)'!G145</f>
        <v>1989.0401095076923</v>
      </c>
      <c r="U12" s="10">
        <f t="shared" ref="U12:V34" si="0">+P12</f>
        <v>99</v>
      </c>
      <c r="V12" s="56">
        <f t="shared" si="0"/>
        <v>272084.40000000002</v>
      </c>
      <c r="W12" s="58">
        <f t="shared" ref="W12:X27" si="1">+R62</f>
        <v>4972.6002737692306</v>
      </c>
      <c r="X12" s="58">
        <f t="shared" si="1"/>
        <v>4972.6002737692306</v>
      </c>
    </row>
    <row r="13" spans="3:24" ht="16.5" customHeight="1" x14ac:dyDescent="0.15">
      <c r="D13" s="112" t="s">
        <v>1</v>
      </c>
      <c r="E13" s="138">
        <v>1.3</v>
      </c>
      <c r="F13" s="139">
        <v>79708</v>
      </c>
      <c r="G13" s="115"/>
      <c r="H13" s="20">
        <f>+G12-H12</f>
        <v>1.1000000000000001</v>
      </c>
      <c r="I13" s="72"/>
      <c r="J13" s="72"/>
      <c r="K13" s="123"/>
      <c r="L13" s="123"/>
      <c r="M13" s="124"/>
      <c r="P13" s="10">
        <f t="shared" ref="P13:P34" si="2">+P12+1</f>
        <v>100</v>
      </c>
      <c r="Q13" s="56">
        <f>+M14</f>
        <v>141501.89999999997</v>
      </c>
      <c r="R13" s="58">
        <f>+'有効抵抗土圧(4P右)'!G146</f>
        <v>907.71050769230715</v>
      </c>
      <c r="S13" s="58">
        <f>+'有効抵抗土圧(4P右)'!G147</f>
        <v>907.71050769230715</v>
      </c>
      <c r="U13" s="10">
        <f t="shared" si="0"/>
        <v>100</v>
      </c>
      <c r="V13" s="56">
        <f t="shared" si="0"/>
        <v>141501.89999999997</v>
      </c>
      <c r="W13" s="58">
        <f t="shared" si="1"/>
        <v>2269.2762692307679</v>
      </c>
      <c r="X13" s="58">
        <f t="shared" si="1"/>
        <v>2269.2762692307679</v>
      </c>
    </row>
    <row r="14" spans="3:24" ht="16.5" customHeight="1" x14ac:dyDescent="0.15">
      <c r="D14" s="112"/>
      <c r="E14" s="138"/>
      <c r="F14" s="139"/>
      <c r="G14" s="114">
        <f>+G12</f>
        <v>1.3</v>
      </c>
      <c r="H14" s="20">
        <f>+E13-H13</f>
        <v>0.19999999999999996</v>
      </c>
      <c r="I14" s="72">
        <f>+I12+1</f>
        <v>100</v>
      </c>
      <c r="J14" s="72">
        <f>+J12+1</f>
        <v>150</v>
      </c>
      <c r="K14" s="123">
        <f>(F13*H14+F15*H15)/G14</f>
        <v>36282.538461538454</v>
      </c>
      <c r="L14" s="123">
        <f>K14*E3</f>
        <v>47167.299999999988</v>
      </c>
      <c r="M14" s="124">
        <f>L14*E5</f>
        <v>141501.89999999997</v>
      </c>
      <c r="P14" s="10">
        <f t="shared" si="2"/>
        <v>101</v>
      </c>
      <c r="Q14" s="56">
        <f>+M16</f>
        <v>110709.29999999999</v>
      </c>
      <c r="R14" s="58">
        <f>+'有効抵抗土圧(4P右)'!G148</f>
        <v>669.00600000000009</v>
      </c>
      <c r="S14" s="58">
        <f>+'有効抵抗土圧(4P右)'!G149</f>
        <v>669.00600000000009</v>
      </c>
      <c r="U14" s="10">
        <f t="shared" si="0"/>
        <v>101</v>
      </c>
      <c r="V14" s="56">
        <f t="shared" si="0"/>
        <v>110709.29999999999</v>
      </c>
      <c r="W14" s="58">
        <f t="shared" si="1"/>
        <v>1672.5149999999999</v>
      </c>
      <c r="X14" s="58">
        <f t="shared" si="1"/>
        <v>1672.5149999999999</v>
      </c>
    </row>
    <row r="15" spans="3:24" ht="16.5" customHeight="1" x14ac:dyDescent="0.15">
      <c r="D15" s="112" t="s">
        <v>2</v>
      </c>
      <c r="E15" s="138">
        <v>2.9</v>
      </c>
      <c r="F15" s="139">
        <v>28387</v>
      </c>
      <c r="G15" s="115"/>
      <c r="H15" s="20">
        <f>+G14-H14</f>
        <v>1.1000000000000001</v>
      </c>
      <c r="I15" s="72"/>
      <c r="J15" s="72"/>
      <c r="K15" s="123"/>
      <c r="L15" s="123"/>
      <c r="M15" s="124"/>
      <c r="P15" s="10">
        <f t="shared" si="2"/>
        <v>102</v>
      </c>
      <c r="Q15" s="56">
        <f>+M17</f>
        <v>165448.80000000005</v>
      </c>
      <c r="R15" s="58">
        <f>+'有効抵抗土圧(4P右)'!G150</f>
        <v>1740.9708960000009</v>
      </c>
      <c r="S15" s="58">
        <f>+'有効抵抗土圧(4P右)'!G151</f>
        <v>1740.9708960000009</v>
      </c>
      <c r="U15" s="10">
        <f t="shared" si="0"/>
        <v>102</v>
      </c>
      <c r="V15" s="56">
        <f t="shared" si="0"/>
        <v>165448.80000000005</v>
      </c>
      <c r="W15" s="58">
        <f t="shared" si="1"/>
        <v>4352.4272400000018</v>
      </c>
      <c r="X15" s="58">
        <f t="shared" si="1"/>
        <v>4352.4272400000018</v>
      </c>
    </row>
    <row r="16" spans="3:24" ht="16.5" customHeight="1" x14ac:dyDescent="0.15">
      <c r="D16" s="112"/>
      <c r="E16" s="138"/>
      <c r="F16" s="139"/>
      <c r="G16" s="20">
        <f>+G14</f>
        <v>1.3</v>
      </c>
      <c r="H16" s="20"/>
      <c r="I16" s="10">
        <f>+I14+1</f>
        <v>101</v>
      </c>
      <c r="J16" s="10">
        <f>+J14+1</f>
        <v>151</v>
      </c>
      <c r="K16" s="21">
        <f>+F15</f>
        <v>28387</v>
      </c>
      <c r="L16" s="21">
        <f>K16*E3</f>
        <v>36903.1</v>
      </c>
      <c r="M16" s="35">
        <f>L16*E5</f>
        <v>110709.29999999999</v>
      </c>
      <c r="P16" s="10">
        <f t="shared" si="2"/>
        <v>103</v>
      </c>
      <c r="Q16" s="56">
        <f>+M19</f>
        <v>268854.30000000005</v>
      </c>
      <c r="R16" s="58">
        <f>+'有効抵抗土圧(4P右)'!G152</f>
        <v>2472.794844</v>
      </c>
      <c r="S16" s="58">
        <f>+'有効抵抗土圧(4P右)'!G153</f>
        <v>2673.7939799999999</v>
      </c>
      <c r="U16" s="10">
        <f t="shared" si="0"/>
        <v>103</v>
      </c>
      <c r="V16" s="56">
        <f t="shared" si="0"/>
        <v>268854.30000000005</v>
      </c>
      <c r="W16" s="58">
        <f t="shared" si="1"/>
        <v>6181.98711</v>
      </c>
      <c r="X16" s="58">
        <f t="shared" si="1"/>
        <v>6684.48495</v>
      </c>
    </row>
    <row r="17" spans="4:24" ht="16.5" customHeight="1" x14ac:dyDescent="0.15">
      <c r="D17" s="112"/>
      <c r="E17" s="138"/>
      <c r="F17" s="139"/>
      <c r="G17" s="114">
        <f>+G16</f>
        <v>1.3</v>
      </c>
      <c r="H17" s="20">
        <f>+E15-H15-G16</f>
        <v>0.49999999999999978</v>
      </c>
      <c r="I17" s="72">
        <f>+I16+1</f>
        <v>102</v>
      </c>
      <c r="J17" s="72">
        <f>+J16+1</f>
        <v>152</v>
      </c>
      <c r="K17" s="123">
        <f>(F16*H17+F18*H18)/G17</f>
        <v>42422.769230769241</v>
      </c>
      <c r="L17" s="123">
        <f>K17*E3</f>
        <v>55149.600000000013</v>
      </c>
      <c r="M17" s="124">
        <f>L17*E5</f>
        <v>165448.80000000005</v>
      </c>
      <c r="P17" s="10">
        <f t="shared" si="2"/>
        <v>104</v>
      </c>
      <c r="Q17" s="56">
        <f>+M20</f>
        <v>363439.50000000006</v>
      </c>
      <c r="R17" s="58">
        <f>+'有効抵抗土圧(4P右)'!G154</f>
        <v>2640.6295799999998</v>
      </c>
      <c r="S17" s="58">
        <f>+'有効抵抗土圧(4P右)'!G155</f>
        <v>2640.6295799999998</v>
      </c>
      <c r="U17" s="10">
        <f t="shared" si="0"/>
        <v>104</v>
      </c>
      <c r="V17" s="56">
        <f t="shared" si="0"/>
        <v>363439.50000000006</v>
      </c>
      <c r="W17" s="58">
        <f t="shared" si="1"/>
        <v>6601.57395</v>
      </c>
      <c r="X17" s="58">
        <f t="shared" si="1"/>
        <v>6601.57395</v>
      </c>
    </row>
    <row r="18" spans="4:24" ht="16.5" customHeight="1" x14ac:dyDescent="0.15">
      <c r="D18" s="112" t="s">
        <v>3</v>
      </c>
      <c r="E18" s="138">
        <v>2.6</v>
      </c>
      <c r="F18" s="139">
        <v>68937</v>
      </c>
      <c r="G18" s="115"/>
      <c r="H18" s="20">
        <f>+G17-H17</f>
        <v>0.80000000000000027</v>
      </c>
      <c r="I18" s="72"/>
      <c r="J18" s="72"/>
      <c r="K18" s="123"/>
      <c r="L18" s="123"/>
      <c r="M18" s="124"/>
      <c r="P18" s="10">
        <f t="shared" si="2"/>
        <v>105</v>
      </c>
      <c r="Q18" s="56">
        <f>+M23</f>
        <v>403279.5</v>
      </c>
      <c r="R18" s="58">
        <f>+'有効抵抗土圧(4P右)'!G156</f>
        <v>3142.554115263159</v>
      </c>
      <c r="S18" s="58">
        <f>+'有効抵抗土圧(4P右)'!G157</f>
        <v>3142.554115263159</v>
      </c>
      <c r="U18" s="10">
        <f t="shared" si="0"/>
        <v>105</v>
      </c>
      <c r="V18" s="56">
        <f t="shared" si="0"/>
        <v>403279.5</v>
      </c>
      <c r="W18" s="58">
        <f t="shared" si="1"/>
        <v>7856.3852881578987</v>
      </c>
      <c r="X18" s="58">
        <f t="shared" si="1"/>
        <v>7856.3852881578987</v>
      </c>
    </row>
    <row r="19" spans="4:24" ht="16.5" customHeight="1" x14ac:dyDescent="0.15">
      <c r="D19" s="112"/>
      <c r="E19" s="138"/>
      <c r="F19" s="139"/>
      <c r="G19" s="20">
        <f>+G17</f>
        <v>1.3</v>
      </c>
      <c r="H19" s="20"/>
      <c r="I19" s="10">
        <f>+I17+1</f>
        <v>103</v>
      </c>
      <c r="J19" s="10">
        <f>+J17+1</f>
        <v>153</v>
      </c>
      <c r="K19" s="21">
        <f>+F18</f>
        <v>68937</v>
      </c>
      <c r="L19" s="21">
        <f>K19*E3</f>
        <v>89618.1</v>
      </c>
      <c r="M19" s="35">
        <f>L19*E5</f>
        <v>268854.30000000005</v>
      </c>
      <c r="P19" s="10">
        <f t="shared" si="2"/>
        <v>106</v>
      </c>
      <c r="Q19" s="56">
        <f t="shared" ref="Q19:Q24" si="3">+M24</f>
        <v>403279.5</v>
      </c>
      <c r="R19" s="58">
        <f>+'有効抵抗土圧(4P右)'!G158</f>
        <v>3190.7595637894738</v>
      </c>
      <c r="S19" s="58">
        <f>+'有効抵抗土圧(4P右)'!G159</f>
        <v>3400.6897342736852</v>
      </c>
      <c r="U19" s="10">
        <f t="shared" si="0"/>
        <v>106</v>
      </c>
      <c r="V19" s="56">
        <f t="shared" si="0"/>
        <v>403279.5</v>
      </c>
      <c r="W19" s="58">
        <f t="shared" si="1"/>
        <v>7976.8989094736862</v>
      </c>
      <c r="X19" s="58">
        <f t="shared" si="1"/>
        <v>8501.7243356842118</v>
      </c>
    </row>
    <row r="20" spans="4:24" ht="16.5" customHeight="1" x14ac:dyDescent="0.15">
      <c r="D20" s="112"/>
      <c r="E20" s="138"/>
      <c r="F20" s="139"/>
      <c r="G20" s="133">
        <f>+G19</f>
        <v>1.3</v>
      </c>
      <c r="H20" s="20">
        <f>+E18-H18-G19</f>
        <v>0.49999999999999978</v>
      </c>
      <c r="I20" s="131">
        <f>+I19+1</f>
        <v>104</v>
      </c>
      <c r="J20" s="131">
        <f>+J19+1</f>
        <v>154</v>
      </c>
      <c r="K20" s="107">
        <f>(F18*H20+F21*H21+F22*H22)/G20</f>
        <v>93189.61538461539</v>
      </c>
      <c r="L20" s="123">
        <f>K20*E3</f>
        <v>121146.50000000001</v>
      </c>
      <c r="M20" s="124">
        <f>L20*E5</f>
        <v>363439.50000000006</v>
      </c>
      <c r="P20" s="10">
        <f t="shared" si="2"/>
        <v>107</v>
      </c>
      <c r="Q20" s="56">
        <f t="shared" si="3"/>
        <v>403279.5</v>
      </c>
      <c r="R20" s="58">
        <f>+'有効抵抗土圧(4P右)'!G160</f>
        <v>3400.6897342736852</v>
      </c>
      <c r="S20" s="58">
        <f>+'有効抵抗土圧(4P右)'!G161</f>
        <v>3610.6199047578953</v>
      </c>
      <c r="U20" s="10">
        <f t="shared" si="0"/>
        <v>107</v>
      </c>
      <c r="V20" s="56">
        <f t="shared" si="0"/>
        <v>403279.5</v>
      </c>
      <c r="W20" s="58">
        <f t="shared" si="1"/>
        <v>8501.7243356842118</v>
      </c>
      <c r="X20" s="58">
        <f t="shared" si="1"/>
        <v>9026.5497618947393</v>
      </c>
    </row>
    <row r="21" spans="4:24" ht="16.5" customHeight="1" x14ac:dyDescent="0.15">
      <c r="D21" s="28" t="s">
        <v>13</v>
      </c>
      <c r="E21" s="29">
        <v>0.6</v>
      </c>
      <c r="F21" s="30">
        <v>109995</v>
      </c>
      <c r="G21" s="134"/>
      <c r="H21" s="20">
        <f>+E21</f>
        <v>0.6</v>
      </c>
      <c r="I21" s="136"/>
      <c r="J21" s="136"/>
      <c r="K21" s="137"/>
      <c r="L21" s="123"/>
      <c r="M21" s="124"/>
      <c r="P21" s="10">
        <f t="shared" si="2"/>
        <v>108</v>
      </c>
      <c r="Q21" s="56">
        <f t="shared" si="3"/>
        <v>403279.5</v>
      </c>
      <c r="R21" s="58">
        <f>+'有効抵抗土圧(4P右)'!G162</f>
        <v>3610.6199047578953</v>
      </c>
      <c r="S21" s="58">
        <f>+'有効抵抗土圧(4P右)'!G163</f>
        <v>3820.5500752421058</v>
      </c>
      <c r="U21" s="10">
        <f t="shared" si="0"/>
        <v>108</v>
      </c>
      <c r="V21" s="56">
        <f t="shared" si="0"/>
        <v>403279.5</v>
      </c>
      <c r="W21" s="58">
        <f t="shared" si="1"/>
        <v>9026.5497618947393</v>
      </c>
      <c r="X21" s="58">
        <f t="shared" si="1"/>
        <v>9551.3751881052649</v>
      </c>
    </row>
    <row r="22" spans="4:24" ht="16.5" customHeight="1" x14ac:dyDescent="0.15">
      <c r="D22" s="119" t="s">
        <v>14</v>
      </c>
      <c r="E22" s="109">
        <v>9.5</v>
      </c>
      <c r="F22" s="116">
        <v>103405</v>
      </c>
      <c r="G22" s="135"/>
      <c r="H22" s="20">
        <f>+G20-H20-H21</f>
        <v>0.20000000000000029</v>
      </c>
      <c r="I22" s="132"/>
      <c r="J22" s="132"/>
      <c r="K22" s="108"/>
      <c r="L22" s="123"/>
      <c r="M22" s="124"/>
      <c r="P22" s="10">
        <f t="shared" si="2"/>
        <v>109</v>
      </c>
      <c r="Q22" s="56">
        <f t="shared" si="3"/>
        <v>403279.5</v>
      </c>
      <c r="R22" s="58">
        <f>+'有効抵抗土圧(4P右)'!G164</f>
        <v>3820.5500752421058</v>
      </c>
      <c r="S22" s="58">
        <f>+'有効抵抗土圧(4P右)'!G165</f>
        <v>4030.4802457263168</v>
      </c>
      <c r="U22" s="10">
        <f t="shared" si="0"/>
        <v>109</v>
      </c>
      <c r="V22" s="56">
        <f t="shared" si="0"/>
        <v>403279.5</v>
      </c>
      <c r="W22" s="58">
        <f t="shared" si="1"/>
        <v>9551.3751881052649</v>
      </c>
      <c r="X22" s="58">
        <f t="shared" si="1"/>
        <v>10076.200614315792</v>
      </c>
    </row>
    <row r="23" spans="4:24" ht="16.5" customHeight="1" x14ac:dyDescent="0.15">
      <c r="D23" s="120"/>
      <c r="E23" s="111"/>
      <c r="F23" s="117"/>
      <c r="G23" s="20">
        <f>+G20</f>
        <v>1.3</v>
      </c>
      <c r="H23" s="20"/>
      <c r="I23" s="10">
        <f>+I20+1</f>
        <v>105</v>
      </c>
      <c r="J23" s="10">
        <f>+J20+1</f>
        <v>155</v>
      </c>
      <c r="K23" s="21">
        <f>+F22</f>
        <v>103405</v>
      </c>
      <c r="L23" s="21">
        <f>K23*E3</f>
        <v>134426.5</v>
      </c>
      <c r="M23" s="35">
        <f>L23*E5</f>
        <v>403279.5</v>
      </c>
      <c r="P23" s="10">
        <f t="shared" si="2"/>
        <v>110</v>
      </c>
      <c r="Q23" s="56">
        <f t="shared" si="3"/>
        <v>403279.5</v>
      </c>
      <c r="R23" s="58">
        <f>+'有効抵抗土圧(4P右)'!G166</f>
        <v>4030.4802457263168</v>
      </c>
      <c r="S23" s="58">
        <f>+'有効抵抗土圧(4P右)'!G167</f>
        <v>4240.4104162105268</v>
      </c>
      <c r="U23" s="10">
        <f t="shared" si="0"/>
        <v>110</v>
      </c>
      <c r="V23" s="56">
        <f t="shared" si="0"/>
        <v>403279.5</v>
      </c>
      <c r="W23" s="58">
        <f t="shared" si="1"/>
        <v>10076.200614315792</v>
      </c>
      <c r="X23" s="58">
        <f t="shared" si="1"/>
        <v>10601.026040526318</v>
      </c>
    </row>
    <row r="24" spans="4:24" ht="16.5" customHeight="1" x14ac:dyDescent="0.15">
      <c r="D24" s="120"/>
      <c r="E24" s="111"/>
      <c r="F24" s="117"/>
      <c r="G24" s="20">
        <f>+G23</f>
        <v>1.3</v>
      </c>
      <c r="H24" s="20"/>
      <c r="I24" s="10">
        <f t="shared" ref="I24:J30" si="4">+I23+1</f>
        <v>106</v>
      </c>
      <c r="J24" s="10">
        <f t="shared" si="4"/>
        <v>156</v>
      </c>
      <c r="K24" s="21">
        <f t="shared" ref="K24:K29" si="5">+K23</f>
        <v>103405</v>
      </c>
      <c r="L24" s="21">
        <f>K24*E3</f>
        <v>134426.5</v>
      </c>
      <c r="M24" s="35">
        <f>L24*E5</f>
        <v>403279.5</v>
      </c>
      <c r="P24" s="10">
        <f t="shared" si="2"/>
        <v>111</v>
      </c>
      <c r="Q24" s="56">
        <f t="shared" si="3"/>
        <v>403279.5</v>
      </c>
      <c r="R24" s="58">
        <f>+'有効抵抗土圧(4P右)'!G168</f>
        <v>4240.4104162105268</v>
      </c>
      <c r="S24" s="58">
        <f>+'有効抵抗土圧(4P右)'!G169</f>
        <v>4450.3405866947369</v>
      </c>
      <c r="U24" s="10">
        <f t="shared" si="0"/>
        <v>111</v>
      </c>
      <c r="V24" s="56">
        <f t="shared" si="0"/>
        <v>403279.5</v>
      </c>
      <c r="W24" s="58">
        <f t="shared" si="1"/>
        <v>10601.026040526318</v>
      </c>
      <c r="X24" s="58">
        <f t="shared" si="1"/>
        <v>11125.851466736844</v>
      </c>
    </row>
    <row r="25" spans="4:24" ht="16.5" customHeight="1" x14ac:dyDescent="0.15">
      <c r="D25" s="120"/>
      <c r="E25" s="111"/>
      <c r="F25" s="117"/>
      <c r="G25" s="20">
        <f t="shared" ref="G25:G29" si="6">+G24</f>
        <v>1.3</v>
      </c>
      <c r="H25" s="20"/>
      <c r="I25" s="10">
        <f t="shared" si="4"/>
        <v>107</v>
      </c>
      <c r="J25" s="10">
        <f t="shared" si="4"/>
        <v>157</v>
      </c>
      <c r="K25" s="21">
        <f t="shared" si="5"/>
        <v>103405</v>
      </c>
      <c r="L25" s="21">
        <f>K25*E3</f>
        <v>134426.5</v>
      </c>
      <c r="M25" s="35">
        <f>L25*E5</f>
        <v>403279.5</v>
      </c>
      <c r="P25" s="10">
        <f t="shared" si="2"/>
        <v>112</v>
      </c>
      <c r="Q25" s="56">
        <f>+M30</f>
        <v>225970.49999999994</v>
      </c>
      <c r="R25" s="58">
        <f>+'有効抵抗土圧(4P右)'!G170</f>
        <v>1683.4564832841995</v>
      </c>
      <c r="S25" s="58">
        <f>+'有効抵抗土圧(4P右)'!G171</f>
        <v>1683.4564832841995</v>
      </c>
      <c r="U25" s="10">
        <f t="shared" si="0"/>
        <v>112</v>
      </c>
      <c r="V25" s="56">
        <f t="shared" si="0"/>
        <v>225970.49999999994</v>
      </c>
      <c r="W25" s="58">
        <f t="shared" si="1"/>
        <v>4208.641208210498</v>
      </c>
      <c r="X25" s="58">
        <f t="shared" si="1"/>
        <v>4208.641208210498</v>
      </c>
    </row>
    <row r="26" spans="4:24" ht="16.5" customHeight="1" x14ac:dyDescent="0.15">
      <c r="D26" s="120"/>
      <c r="E26" s="111"/>
      <c r="F26" s="117"/>
      <c r="G26" s="20">
        <f t="shared" si="6"/>
        <v>1.3</v>
      </c>
      <c r="H26" s="20"/>
      <c r="I26" s="10">
        <f t="shared" si="4"/>
        <v>108</v>
      </c>
      <c r="J26" s="10">
        <f t="shared" si="4"/>
        <v>158</v>
      </c>
      <c r="K26" s="21">
        <f t="shared" si="5"/>
        <v>103405</v>
      </c>
      <c r="L26" s="21">
        <f>K26*E3</f>
        <v>134426.5</v>
      </c>
      <c r="M26" s="35">
        <f>L26*E5</f>
        <v>403279.5</v>
      </c>
      <c r="P26" s="10">
        <f t="shared" si="2"/>
        <v>113</v>
      </c>
      <c r="Q26" s="56">
        <f>+M32</f>
        <v>193732.5</v>
      </c>
      <c r="R26" s="58">
        <f>+'有効抵抗土圧(4P右)'!G172</f>
        <v>3088.8</v>
      </c>
      <c r="S26" s="58">
        <f>+'有効抵抗土圧(4P右)'!G173</f>
        <v>3088.8</v>
      </c>
      <c r="U26" s="10">
        <f t="shared" si="0"/>
        <v>113</v>
      </c>
      <c r="V26" s="56">
        <f t="shared" si="0"/>
        <v>193732.5</v>
      </c>
      <c r="W26" s="58">
        <f t="shared" si="1"/>
        <v>3088.8</v>
      </c>
      <c r="X26" s="58">
        <f t="shared" si="1"/>
        <v>3088.8</v>
      </c>
    </row>
    <row r="27" spans="4:24" ht="16.5" customHeight="1" x14ac:dyDescent="0.15">
      <c r="D27" s="120"/>
      <c r="E27" s="111"/>
      <c r="F27" s="117"/>
      <c r="G27" s="20">
        <f t="shared" si="6"/>
        <v>1.3</v>
      </c>
      <c r="H27" s="20"/>
      <c r="I27" s="10">
        <f t="shared" si="4"/>
        <v>109</v>
      </c>
      <c r="J27" s="10">
        <f t="shared" si="4"/>
        <v>159</v>
      </c>
      <c r="K27" s="21">
        <f t="shared" si="5"/>
        <v>103405</v>
      </c>
      <c r="L27" s="21">
        <f>K27*E3</f>
        <v>134426.5</v>
      </c>
      <c r="M27" s="35">
        <f>L27*E5</f>
        <v>403279.5</v>
      </c>
      <c r="P27" s="10">
        <f t="shared" si="2"/>
        <v>114</v>
      </c>
      <c r="Q27" s="56">
        <f t="shared" ref="Q27:Q34" si="7">+M33</f>
        <v>193732.5</v>
      </c>
      <c r="R27" s="58">
        <f>+'有効抵抗土圧(4P右)'!G174</f>
        <v>3088.8</v>
      </c>
      <c r="S27" s="58">
        <f>+'有効抵抗土圧(4P右)'!G175</f>
        <v>3088.8</v>
      </c>
      <c r="U27" s="10">
        <f t="shared" si="0"/>
        <v>114</v>
      </c>
      <c r="V27" s="56">
        <f t="shared" si="0"/>
        <v>193732.5</v>
      </c>
      <c r="W27" s="58">
        <f t="shared" si="1"/>
        <v>3088.8</v>
      </c>
      <c r="X27" s="58">
        <f t="shared" si="1"/>
        <v>3088.8</v>
      </c>
    </row>
    <row r="28" spans="4:24" ht="16.5" customHeight="1" x14ac:dyDescent="0.15">
      <c r="D28" s="120"/>
      <c r="E28" s="111"/>
      <c r="F28" s="117"/>
      <c r="G28" s="20">
        <f t="shared" si="6"/>
        <v>1.3</v>
      </c>
      <c r="H28" s="20"/>
      <c r="I28" s="10">
        <f t="shared" si="4"/>
        <v>110</v>
      </c>
      <c r="J28" s="10">
        <f t="shared" si="4"/>
        <v>160</v>
      </c>
      <c r="K28" s="21">
        <f t="shared" si="5"/>
        <v>103405</v>
      </c>
      <c r="L28" s="21">
        <f>K28*E3</f>
        <v>134426.5</v>
      </c>
      <c r="M28" s="35">
        <f>L28*E5</f>
        <v>403279.5</v>
      </c>
      <c r="P28" s="10">
        <f t="shared" si="2"/>
        <v>115</v>
      </c>
      <c r="Q28" s="56">
        <f t="shared" si="7"/>
        <v>193732.5</v>
      </c>
      <c r="R28" s="58">
        <f>+'有効抵抗土圧(4P右)'!G176</f>
        <v>3088.8</v>
      </c>
      <c r="S28" s="58">
        <f>+'有効抵抗土圧(4P右)'!G177</f>
        <v>3088.8</v>
      </c>
      <c r="U28" s="10">
        <f t="shared" si="0"/>
        <v>115</v>
      </c>
      <c r="V28" s="56">
        <f t="shared" si="0"/>
        <v>193732.5</v>
      </c>
      <c r="W28" s="58">
        <f t="shared" ref="W28:X34" si="8">+R78</f>
        <v>3088.8</v>
      </c>
      <c r="X28" s="58">
        <f t="shared" si="8"/>
        <v>3088.8</v>
      </c>
    </row>
    <row r="29" spans="4:24" ht="16.5" customHeight="1" x14ac:dyDescent="0.15">
      <c r="D29" s="120"/>
      <c r="E29" s="111"/>
      <c r="F29" s="117"/>
      <c r="G29" s="20">
        <f t="shared" si="6"/>
        <v>1.3</v>
      </c>
      <c r="H29" s="20"/>
      <c r="I29" s="10">
        <f t="shared" si="4"/>
        <v>111</v>
      </c>
      <c r="J29" s="10">
        <f t="shared" si="4"/>
        <v>161</v>
      </c>
      <c r="K29" s="21">
        <f t="shared" si="5"/>
        <v>103405</v>
      </c>
      <c r="L29" s="21">
        <f>K29*E3</f>
        <v>134426.5</v>
      </c>
      <c r="M29" s="35">
        <f>L29*E5</f>
        <v>403279.5</v>
      </c>
      <c r="P29" s="10">
        <f t="shared" si="2"/>
        <v>116</v>
      </c>
      <c r="Q29" s="56">
        <f t="shared" si="7"/>
        <v>193732.5</v>
      </c>
      <c r="R29" s="58">
        <f>+'有効抵抗土圧(4P右)'!G178</f>
        <v>3088.8</v>
      </c>
      <c r="S29" s="58">
        <f>+'有効抵抗土圧(4P右)'!G179</f>
        <v>3088.8</v>
      </c>
      <c r="U29" s="10">
        <f t="shared" si="0"/>
        <v>116</v>
      </c>
      <c r="V29" s="56">
        <f t="shared" si="0"/>
        <v>193732.5</v>
      </c>
      <c r="W29" s="58">
        <f t="shared" si="8"/>
        <v>3088.8</v>
      </c>
      <c r="X29" s="58">
        <f t="shared" si="8"/>
        <v>3088.8</v>
      </c>
    </row>
    <row r="30" spans="4:24" ht="16.5" customHeight="1" x14ac:dyDescent="0.15">
      <c r="D30" s="121"/>
      <c r="E30" s="110"/>
      <c r="F30" s="118"/>
      <c r="G30" s="114">
        <f>+G29</f>
        <v>1.3</v>
      </c>
      <c r="H30" s="20">
        <f>+E22-H22-G23-G24-G25-G26-G27-G28-G29</f>
        <v>0.19999999999999973</v>
      </c>
      <c r="I30" s="131">
        <f t="shared" si="4"/>
        <v>112</v>
      </c>
      <c r="J30" s="131">
        <f t="shared" si="4"/>
        <v>162</v>
      </c>
      <c r="K30" s="123">
        <f>(F22*H30+F31*H31)/G30</f>
        <v>57941.153846153829</v>
      </c>
      <c r="L30" s="123">
        <f>K30*E3</f>
        <v>75323.499999999985</v>
      </c>
      <c r="M30" s="124">
        <f>L30*E5</f>
        <v>225970.49999999994</v>
      </c>
      <c r="P30" s="10">
        <f t="shared" si="2"/>
        <v>117</v>
      </c>
      <c r="Q30" s="56">
        <f t="shared" si="7"/>
        <v>193732.5</v>
      </c>
      <c r="R30" s="58">
        <f>+'有効抵抗土圧(4P右)'!G180</f>
        <v>3088.8</v>
      </c>
      <c r="S30" s="58">
        <f>+'有効抵抗土圧(4P右)'!G181</f>
        <v>3088.8</v>
      </c>
      <c r="U30" s="10">
        <f t="shared" si="0"/>
        <v>117</v>
      </c>
      <c r="V30" s="56">
        <f t="shared" si="0"/>
        <v>193732.5</v>
      </c>
      <c r="W30" s="58">
        <f t="shared" si="8"/>
        <v>3088.8</v>
      </c>
      <c r="X30" s="58">
        <f t="shared" si="8"/>
        <v>3088.8</v>
      </c>
    </row>
    <row r="31" spans="4:24" ht="16.5" customHeight="1" x14ac:dyDescent="0.15">
      <c r="D31" s="112" t="s">
        <v>15</v>
      </c>
      <c r="E31" s="138">
        <v>12.6</v>
      </c>
      <c r="F31" s="139">
        <v>49675</v>
      </c>
      <c r="G31" s="115"/>
      <c r="H31" s="20">
        <f>+G30-H30</f>
        <v>1.1000000000000003</v>
      </c>
      <c r="I31" s="132"/>
      <c r="J31" s="132"/>
      <c r="K31" s="123"/>
      <c r="L31" s="123"/>
      <c r="M31" s="124"/>
      <c r="P31" s="10">
        <f t="shared" si="2"/>
        <v>118</v>
      </c>
      <c r="Q31" s="56">
        <f t="shared" si="7"/>
        <v>193732.5</v>
      </c>
      <c r="R31" s="58">
        <f>+'有効抵抗土圧(4P右)'!G182</f>
        <v>3088.8</v>
      </c>
      <c r="S31" s="58">
        <f>+'有効抵抗土圧(4P右)'!G183</f>
        <v>3088.8</v>
      </c>
      <c r="U31" s="10">
        <f t="shared" si="0"/>
        <v>118</v>
      </c>
      <c r="V31" s="56">
        <f t="shared" si="0"/>
        <v>193732.5</v>
      </c>
      <c r="W31" s="58">
        <f t="shared" si="8"/>
        <v>3088.8</v>
      </c>
      <c r="X31" s="58">
        <f t="shared" si="8"/>
        <v>3088.8</v>
      </c>
    </row>
    <row r="32" spans="4:24" ht="16.5" customHeight="1" x14ac:dyDescent="0.15">
      <c r="D32" s="112"/>
      <c r="E32" s="138"/>
      <c r="F32" s="139"/>
      <c r="G32" s="20">
        <f>+G30</f>
        <v>1.3</v>
      </c>
      <c r="H32" s="20"/>
      <c r="I32" s="25">
        <f>+I30+1</f>
        <v>113</v>
      </c>
      <c r="J32" s="25">
        <f>+J30+1</f>
        <v>163</v>
      </c>
      <c r="K32" s="21">
        <f>+F31</f>
        <v>49675</v>
      </c>
      <c r="L32" s="21">
        <f>K32*E3</f>
        <v>64577.5</v>
      </c>
      <c r="M32" s="35">
        <f>L32*E5</f>
        <v>193732.5</v>
      </c>
      <c r="P32" s="10">
        <f t="shared" si="2"/>
        <v>119</v>
      </c>
      <c r="Q32" s="56">
        <f t="shared" si="7"/>
        <v>193732.5</v>
      </c>
      <c r="R32" s="58">
        <f>+'有効抵抗土圧(4P右)'!G184</f>
        <v>3088.8</v>
      </c>
      <c r="S32" s="58">
        <f>+'有効抵抗土圧(4P右)'!G185</f>
        <v>3088.8</v>
      </c>
      <c r="U32" s="10">
        <f t="shared" si="0"/>
        <v>119</v>
      </c>
      <c r="V32" s="56">
        <f t="shared" si="0"/>
        <v>193732.5</v>
      </c>
      <c r="W32" s="58">
        <f t="shared" si="8"/>
        <v>3088.8</v>
      </c>
      <c r="X32" s="58">
        <f t="shared" si="8"/>
        <v>3088.8</v>
      </c>
    </row>
    <row r="33" spans="3:24" ht="16.5" customHeight="1" x14ac:dyDescent="0.15">
      <c r="D33" s="112"/>
      <c r="E33" s="138"/>
      <c r="F33" s="139"/>
      <c r="G33" s="20">
        <f>+G32</f>
        <v>1.3</v>
      </c>
      <c r="H33" s="20"/>
      <c r="I33" s="10">
        <f t="shared" ref="I33:J40" si="9">+I32+1</f>
        <v>114</v>
      </c>
      <c r="J33" s="10">
        <f t="shared" si="9"/>
        <v>164</v>
      </c>
      <c r="K33" s="21">
        <f t="shared" ref="K33:K40" si="10">+K32</f>
        <v>49675</v>
      </c>
      <c r="L33" s="21">
        <f>K33*E3</f>
        <v>64577.5</v>
      </c>
      <c r="M33" s="35">
        <f>L33*E5</f>
        <v>193732.5</v>
      </c>
      <c r="P33" s="10">
        <f t="shared" si="2"/>
        <v>120</v>
      </c>
      <c r="Q33" s="56">
        <f t="shared" si="7"/>
        <v>193732.5</v>
      </c>
      <c r="R33" s="58">
        <f>+'有効抵抗土圧(4P右)'!G186</f>
        <v>3088.8</v>
      </c>
      <c r="S33" s="58">
        <f>+'有効抵抗土圧(4P右)'!G187</f>
        <v>3088.8</v>
      </c>
      <c r="U33" s="10">
        <f t="shared" si="0"/>
        <v>120</v>
      </c>
      <c r="V33" s="56">
        <f t="shared" si="0"/>
        <v>193732.5</v>
      </c>
      <c r="W33" s="58">
        <f t="shared" si="8"/>
        <v>3088.8</v>
      </c>
      <c r="X33" s="58">
        <f t="shared" si="8"/>
        <v>3088.8</v>
      </c>
    </row>
    <row r="34" spans="3:24" ht="16.5" customHeight="1" x14ac:dyDescent="0.15">
      <c r="D34" s="112"/>
      <c r="E34" s="138"/>
      <c r="F34" s="139"/>
      <c r="G34" s="20">
        <f t="shared" ref="G34:G39" si="11">+G33</f>
        <v>1.3</v>
      </c>
      <c r="H34" s="20"/>
      <c r="I34" s="10">
        <f t="shared" si="9"/>
        <v>115</v>
      </c>
      <c r="J34" s="10">
        <f t="shared" si="9"/>
        <v>165</v>
      </c>
      <c r="K34" s="21">
        <f t="shared" si="10"/>
        <v>49675</v>
      </c>
      <c r="L34" s="21">
        <f>K34*E3</f>
        <v>64577.5</v>
      </c>
      <c r="M34" s="35">
        <f>L34*E5</f>
        <v>193732.5</v>
      </c>
      <c r="P34" s="10">
        <f t="shared" si="2"/>
        <v>121</v>
      </c>
      <c r="Q34" s="56">
        <f t="shared" si="7"/>
        <v>193732.5</v>
      </c>
      <c r="R34" s="58">
        <f>+'有効抵抗土圧(4P右)'!G188</f>
        <v>3088.8</v>
      </c>
      <c r="S34" s="58">
        <f>+'有効抵抗土圧(4P右)'!G189</f>
        <v>3088.8</v>
      </c>
      <c r="U34" s="10">
        <f t="shared" si="0"/>
        <v>121</v>
      </c>
      <c r="V34" s="56">
        <f t="shared" si="0"/>
        <v>193732.5</v>
      </c>
      <c r="W34" s="58">
        <f t="shared" si="8"/>
        <v>3088.8</v>
      </c>
      <c r="X34" s="58">
        <f t="shared" si="8"/>
        <v>3088.8</v>
      </c>
    </row>
    <row r="35" spans="3:24" ht="16.5" customHeight="1" x14ac:dyDescent="0.15">
      <c r="D35" s="112"/>
      <c r="E35" s="138"/>
      <c r="F35" s="139"/>
      <c r="G35" s="20">
        <f t="shared" si="11"/>
        <v>1.3</v>
      </c>
      <c r="H35" s="20"/>
      <c r="I35" s="10">
        <f t="shared" si="9"/>
        <v>116</v>
      </c>
      <c r="J35" s="10">
        <f t="shared" si="9"/>
        <v>166</v>
      </c>
      <c r="K35" s="21">
        <f t="shared" si="10"/>
        <v>49675</v>
      </c>
      <c r="L35" s="21">
        <f>K35*E3</f>
        <v>64577.5</v>
      </c>
      <c r="M35" s="35">
        <f>L35*E5</f>
        <v>193732.5</v>
      </c>
      <c r="R35" s="57"/>
      <c r="S35" s="57"/>
      <c r="U35" s="2"/>
      <c r="V35" s="41"/>
      <c r="W35" s="57"/>
      <c r="X35" s="57"/>
    </row>
    <row r="36" spans="3:24" ht="16.5" customHeight="1" x14ac:dyDescent="0.15">
      <c r="D36" s="112"/>
      <c r="E36" s="138"/>
      <c r="F36" s="139"/>
      <c r="G36" s="20">
        <f t="shared" si="11"/>
        <v>1.3</v>
      </c>
      <c r="H36" s="20"/>
      <c r="I36" s="10">
        <f t="shared" si="9"/>
        <v>117</v>
      </c>
      <c r="J36" s="10">
        <f t="shared" si="9"/>
        <v>167</v>
      </c>
      <c r="K36" s="21">
        <f t="shared" si="10"/>
        <v>49675</v>
      </c>
      <c r="L36" s="21">
        <f>K36*E3</f>
        <v>64577.5</v>
      </c>
      <c r="M36" s="35">
        <f>L36*E5</f>
        <v>193732.5</v>
      </c>
      <c r="P36" s="10">
        <f>+I54</f>
        <v>123</v>
      </c>
      <c r="Q36" s="56">
        <f>+M54</f>
        <v>39208</v>
      </c>
      <c r="R36" s="58">
        <f>+'有効抵抗土圧(4P右)'!H142</f>
        <v>1004.78612</v>
      </c>
      <c r="S36" s="58">
        <f>+'有効抵抗土圧(4P右)'!H143</f>
        <v>1129.5698613333332</v>
      </c>
      <c r="U36" s="10">
        <f>+P36</f>
        <v>123</v>
      </c>
      <c r="V36" s="56">
        <f>+Q36</f>
        <v>39208</v>
      </c>
      <c r="W36" s="58">
        <f>+R36</f>
        <v>1004.78612</v>
      </c>
      <c r="X36" s="58">
        <f>+S36</f>
        <v>1129.5698613333332</v>
      </c>
    </row>
    <row r="37" spans="3:24" ht="16.5" customHeight="1" x14ac:dyDescent="0.15">
      <c r="D37" s="112"/>
      <c r="E37" s="138"/>
      <c r="F37" s="139"/>
      <c r="G37" s="20">
        <f t="shared" si="11"/>
        <v>1.3</v>
      </c>
      <c r="H37" s="20"/>
      <c r="I37" s="10">
        <f t="shared" si="9"/>
        <v>118</v>
      </c>
      <c r="J37" s="10">
        <f t="shared" si="9"/>
        <v>168</v>
      </c>
      <c r="K37" s="21">
        <f t="shared" si="10"/>
        <v>49675</v>
      </c>
      <c r="L37" s="21">
        <f>K37*E3</f>
        <v>64577.5</v>
      </c>
      <c r="M37" s="35">
        <f>L37*E5</f>
        <v>193732.5</v>
      </c>
      <c r="P37" s="10">
        <f>+P36+1</f>
        <v>124</v>
      </c>
      <c r="Q37" s="56">
        <f>+M55</f>
        <v>181389.6</v>
      </c>
      <c r="R37" s="58">
        <f>+'有効抵抗土圧(4P右)'!H144</f>
        <v>1718.4082093333332</v>
      </c>
      <c r="S37" s="58">
        <f>+'有効抵抗土圧(4P右)'!H145</f>
        <v>1718.4082093333332</v>
      </c>
      <c r="U37" s="10">
        <f t="shared" ref="U37:X59" si="12">+P37</f>
        <v>124</v>
      </c>
      <c r="V37" s="56">
        <f t="shared" si="12"/>
        <v>181389.6</v>
      </c>
      <c r="W37" s="58">
        <f t="shared" si="12"/>
        <v>1718.4082093333332</v>
      </c>
      <c r="X37" s="58">
        <f t="shared" si="12"/>
        <v>1718.4082093333332</v>
      </c>
    </row>
    <row r="38" spans="3:24" ht="16.5" customHeight="1" x14ac:dyDescent="0.15">
      <c r="D38" s="112"/>
      <c r="E38" s="138"/>
      <c r="F38" s="139"/>
      <c r="G38" s="20">
        <f t="shared" si="11"/>
        <v>1.3</v>
      </c>
      <c r="H38" s="20"/>
      <c r="I38" s="10">
        <f t="shared" si="9"/>
        <v>119</v>
      </c>
      <c r="J38" s="10">
        <f t="shared" si="9"/>
        <v>169</v>
      </c>
      <c r="K38" s="21">
        <f t="shared" si="10"/>
        <v>49675</v>
      </c>
      <c r="L38" s="21">
        <f>K38*E3</f>
        <v>64577.5</v>
      </c>
      <c r="M38" s="35">
        <f>L38*E5</f>
        <v>193732.5</v>
      </c>
      <c r="P38" s="10">
        <f t="shared" ref="P38:P59" si="13">+P37+1</f>
        <v>125</v>
      </c>
      <c r="Q38" s="56">
        <f>+M57</f>
        <v>94334.599999999977</v>
      </c>
      <c r="R38" s="58">
        <f>+'有効抵抗土圧(4P右)'!H146</f>
        <v>784.20599999999968</v>
      </c>
      <c r="S38" s="58">
        <f>+'有効抵抗土圧(4P右)'!H147</f>
        <v>784.20599999999968</v>
      </c>
      <c r="U38" s="10">
        <f t="shared" si="12"/>
        <v>125</v>
      </c>
      <c r="V38" s="56">
        <f t="shared" si="12"/>
        <v>94334.599999999977</v>
      </c>
      <c r="W38" s="58">
        <f t="shared" si="12"/>
        <v>784.20599999999968</v>
      </c>
      <c r="X38" s="58">
        <f t="shared" si="12"/>
        <v>784.20599999999968</v>
      </c>
    </row>
    <row r="39" spans="3:24" ht="16.5" customHeight="1" x14ac:dyDescent="0.15">
      <c r="D39" s="112"/>
      <c r="E39" s="138"/>
      <c r="F39" s="139"/>
      <c r="G39" s="20">
        <f t="shared" si="11"/>
        <v>1.3</v>
      </c>
      <c r="H39" s="20"/>
      <c r="I39" s="10">
        <f t="shared" si="9"/>
        <v>120</v>
      </c>
      <c r="J39" s="10">
        <f t="shared" si="9"/>
        <v>170</v>
      </c>
      <c r="K39" s="21">
        <f t="shared" si="10"/>
        <v>49675</v>
      </c>
      <c r="L39" s="21">
        <f>K39*E3</f>
        <v>64577.5</v>
      </c>
      <c r="M39" s="35">
        <f>L39*E5</f>
        <v>193732.5</v>
      </c>
      <c r="P39" s="10">
        <f t="shared" si="13"/>
        <v>126</v>
      </c>
      <c r="Q39" s="56">
        <f>+M59</f>
        <v>73806.2</v>
      </c>
      <c r="R39" s="58">
        <f>+'有効抵抗土圧(4P右)'!H148</f>
        <v>577.98</v>
      </c>
      <c r="S39" s="58">
        <f>+'有効抵抗土圧(4P右)'!H149</f>
        <v>577.98</v>
      </c>
      <c r="U39" s="10">
        <f t="shared" si="12"/>
        <v>126</v>
      </c>
      <c r="V39" s="56">
        <f t="shared" si="12"/>
        <v>73806.2</v>
      </c>
      <c r="W39" s="58">
        <f t="shared" si="12"/>
        <v>577.98</v>
      </c>
      <c r="X39" s="58">
        <f t="shared" si="12"/>
        <v>577.98</v>
      </c>
    </row>
    <row r="40" spans="3:24" ht="16.5" customHeight="1" x14ac:dyDescent="0.15">
      <c r="D40" s="112"/>
      <c r="E40" s="138"/>
      <c r="F40" s="139"/>
      <c r="G40" s="39">
        <f>E31-H31-SUM(G32:H39)</f>
        <v>1.0999999999999996</v>
      </c>
      <c r="H40" s="20"/>
      <c r="I40" s="10">
        <f t="shared" si="9"/>
        <v>121</v>
      </c>
      <c r="J40" s="10">
        <f t="shared" si="9"/>
        <v>171</v>
      </c>
      <c r="K40" s="21">
        <f t="shared" si="10"/>
        <v>49675</v>
      </c>
      <c r="L40" s="21">
        <f>K40*E3</f>
        <v>64577.5</v>
      </c>
      <c r="M40" s="35">
        <f>L40*E5</f>
        <v>193732.5</v>
      </c>
      <c r="P40" s="10">
        <f t="shared" si="13"/>
        <v>127</v>
      </c>
      <c r="Q40" s="56">
        <f>+M60</f>
        <v>110299.20000000003</v>
      </c>
      <c r="R40" s="58">
        <f>+'有効抵抗土圧(4P右)'!H150</f>
        <v>1504.0916800000009</v>
      </c>
      <c r="S40" s="58">
        <f>+'有効抵抗土圧(4P右)'!H151</f>
        <v>1504.0916800000009</v>
      </c>
      <c r="U40" s="10">
        <f t="shared" si="12"/>
        <v>127</v>
      </c>
      <c r="V40" s="56">
        <f t="shared" si="12"/>
        <v>110299.20000000003</v>
      </c>
      <c r="W40" s="58">
        <f t="shared" si="12"/>
        <v>1504.0916800000009</v>
      </c>
      <c r="X40" s="58">
        <f t="shared" si="12"/>
        <v>1504.0916800000009</v>
      </c>
    </row>
    <row r="41" spans="3:24" ht="16.5" customHeight="1" x14ac:dyDescent="0.15">
      <c r="D41" s="27" t="s">
        <v>28</v>
      </c>
      <c r="E41" s="24">
        <f>SUM(E11:E40)</f>
        <v>31</v>
      </c>
      <c r="F41" s="24"/>
      <c r="G41" s="24">
        <f>SUM(G11:G40)</f>
        <v>31.000000000000007</v>
      </c>
      <c r="H41" s="67"/>
      <c r="I41" s="68"/>
      <c r="J41" s="68"/>
      <c r="K41" s="68"/>
      <c r="L41" s="68"/>
      <c r="M41" s="69"/>
      <c r="P41" s="10">
        <f t="shared" si="13"/>
        <v>128</v>
      </c>
      <c r="Q41" s="56">
        <f>+M62</f>
        <v>179236.2</v>
      </c>
      <c r="R41" s="58">
        <f>+'有効抵抗土圧(4P右)'!H152</f>
        <v>2136.3425200000001</v>
      </c>
      <c r="S41" s="58">
        <f>+'有効抵抗土圧(4P右)'!H153</f>
        <v>2309.9933999999998</v>
      </c>
      <c r="U41" s="10">
        <f t="shared" si="12"/>
        <v>128</v>
      </c>
      <c r="V41" s="56">
        <f t="shared" si="12"/>
        <v>179236.2</v>
      </c>
      <c r="W41" s="58">
        <f t="shared" si="12"/>
        <v>2136.3425200000001</v>
      </c>
      <c r="X41" s="58">
        <f t="shared" si="12"/>
        <v>2309.9933999999998</v>
      </c>
    </row>
    <row r="42" spans="3:24" ht="16.5" customHeight="1" x14ac:dyDescent="0.15">
      <c r="I42" s="1"/>
      <c r="P42" s="10">
        <f t="shared" si="13"/>
        <v>129</v>
      </c>
      <c r="Q42" s="56">
        <f>+M63</f>
        <v>242293.00000000003</v>
      </c>
      <c r="R42" s="58">
        <f>+'有効抵抗土圧(4P右)'!H154</f>
        <v>2281.3413999999998</v>
      </c>
      <c r="S42" s="58">
        <f>+'有効抵抗土圧(4P右)'!H155</f>
        <v>2281.3413999999998</v>
      </c>
      <c r="U42" s="10">
        <f t="shared" si="12"/>
        <v>129</v>
      </c>
      <c r="V42" s="56">
        <f t="shared" si="12"/>
        <v>242293.00000000003</v>
      </c>
      <c r="W42" s="58">
        <f t="shared" si="12"/>
        <v>2281.3413999999998</v>
      </c>
      <c r="X42" s="58">
        <f t="shared" si="12"/>
        <v>2281.3413999999998</v>
      </c>
    </row>
    <row r="43" spans="3:24" ht="16.5" customHeight="1" x14ac:dyDescent="0.15">
      <c r="P43" s="10">
        <f t="shared" si="13"/>
        <v>130</v>
      </c>
      <c r="Q43" s="56">
        <f t="shared" ref="Q43:Q50" si="14">+M66</f>
        <v>268853</v>
      </c>
      <c r="R43" s="58">
        <f>+'有効抵抗土圧(4P右)'!H156</f>
        <v>2714.9733000000015</v>
      </c>
      <c r="S43" s="58">
        <f>+'有効抵抗土圧(4P右)'!H157</f>
        <v>2714.9733000000015</v>
      </c>
      <c r="U43" s="10">
        <f t="shared" si="12"/>
        <v>130</v>
      </c>
      <c r="V43" s="56">
        <f t="shared" si="12"/>
        <v>268853</v>
      </c>
      <c r="W43" s="58">
        <f t="shared" si="12"/>
        <v>2714.9733000000015</v>
      </c>
      <c r="X43" s="58">
        <f t="shared" si="12"/>
        <v>2714.9733000000015</v>
      </c>
    </row>
    <row r="44" spans="3:24" ht="16.5" customHeight="1" x14ac:dyDescent="0.15">
      <c r="P44" s="10">
        <f t="shared" si="13"/>
        <v>131</v>
      </c>
      <c r="Q44" s="56">
        <f t="shared" si="14"/>
        <v>268853</v>
      </c>
      <c r="R44" s="58">
        <f>+'有効抵抗土圧(4P右)'!H158</f>
        <v>2756.6198400000007</v>
      </c>
      <c r="S44" s="58">
        <f>+'有効抵抗土圧(4P右)'!H159</f>
        <v>2937.9865840000002</v>
      </c>
      <c r="U44" s="10">
        <f t="shared" si="12"/>
        <v>131</v>
      </c>
      <c r="V44" s="56">
        <f t="shared" si="12"/>
        <v>268853</v>
      </c>
      <c r="W44" s="58">
        <f t="shared" si="12"/>
        <v>2756.6198400000007</v>
      </c>
      <c r="X44" s="58">
        <f t="shared" si="12"/>
        <v>2937.9865840000002</v>
      </c>
    </row>
    <row r="45" spans="3:24" ht="16.5" customHeight="1" x14ac:dyDescent="0.15">
      <c r="C45" s="5" t="s">
        <v>23</v>
      </c>
      <c r="D45" s="4" t="s">
        <v>24</v>
      </c>
      <c r="P45" s="10">
        <f t="shared" si="13"/>
        <v>132</v>
      </c>
      <c r="Q45" s="56">
        <f t="shared" si="14"/>
        <v>268853</v>
      </c>
      <c r="R45" s="58">
        <f>+'有効抵抗土圧(4P右)'!H160</f>
        <v>2937.9865840000002</v>
      </c>
      <c r="S45" s="58">
        <f>+'有効抵抗土圧(4P右)'!H161</f>
        <v>3119.3533280000006</v>
      </c>
      <c r="U45" s="10">
        <f t="shared" si="12"/>
        <v>132</v>
      </c>
      <c r="V45" s="56">
        <f t="shared" si="12"/>
        <v>268853</v>
      </c>
      <c r="W45" s="58">
        <f t="shared" si="12"/>
        <v>2937.9865840000002</v>
      </c>
      <c r="X45" s="58">
        <f t="shared" si="12"/>
        <v>3119.3533280000006</v>
      </c>
    </row>
    <row r="46" spans="3:24" ht="16.5" customHeight="1" x14ac:dyDescent="0.15">
      <c r="D46" s="4" t="s">
        <v>12</v>
      </c>
      <c r="E46" s="12">
        <f>+E3</f>
        <v>1.3</v>
      </c>
      <c r="F46" s="4" t="s">
        <v>4</v>
      </c>
      <c r="P46" s="10">
        <f t="shared" si="13"/>
        <v>133</v>
      </c>
      <c r="Q46" s="56">
        <f t="shared" si="14"/>
        <v>268853</v>
      </c>
      <c r="R46" s="58">
        <f>+'有効抵抗土圧(4P右)'!H162</f>
        <v>3119.3533280000006</v>
      </c>
      <c r="S46" s="58">
        <f>+'有効抵抗土圧(4P右)'!H163</f>
        <v>3300.720072000001</v>
      </c>
      <c r="U46" s="10">
        <f t="shared" si="12"/>
        <v>133</v>
      </c>
      <c r="V46" s="56">
        <f t="shared" si="12"/>
        <v>268853</v>
      </c>
      <c r="W46" s="58">
        <f t="shared" si="12"/>
        <v>3119.3533280000006</v>
      </c>
      <c r="X46" s="58">
        <f t="shared" si="12"/>
        <v>3300.720072000001</v>
      </c>
    </row>
    <row r="47" spans="3:24" ht="16.5" customHeight="1" x14ac:dyDescent="0.15">
      <c r="D47" s="4" t="s">
        <v>17</v>
      </c>
      <c r="E47" s="12">
        <f>+E4</f>
        <v>31</v>
      </c>
      <c r="F47" s="4" t="s">
        <v>4</v>
      </c>
      <c r="P47" s="10">
        <f t="shared" si="13"/>
        <v>134</v>
      </c>
      <c r="Q47" s="56">
        <f t="shared" si="14"/>
        <v>268853</v>
      </c>
      <c r="R47" s="58">
        <f>+'有効抵抗土圧(4P右)'!H164</f>
        <v>3300.720072000001</v>
      </c>
      <c r="S47" s="58">
        <f>+'有効抵抗土圧(4P右)'!H165</f>
        <v>3482.0868160000005</v>
      </c>
      <c r="U47" s="10">
        <f t="shared" si="12"/>
        <v>134</v>
      </c>
      <c r="V47" s="56">
        <f t="shared" si="12"/>
        <v>268853</v>
      </c>
      <c r="W47" s="58">
        <f t="shared" si="12"/>
        <v>3300.720072000001</v>
      </c>
      <c r="X47" s="58">
        <f t="shared" si="12"/>
        <v>3482.0868160000005</v>
      </c>
    </row>
    <row r="48" spans="3:24" ht="16.5" customHeight="1" x14ac:dyDescent="0.15">
      <c r="D48" s="4" t="s">
        <v>10</v>
      </c>
      <c r="E48" s="18">
        <v>2</v>
      </c>
      <c r="F48" s="4" t="s">
        <v>16</v>
      </c>
      <c r="P48" s="10">
        <f t="shared" si="13"/>
        <v>135</v>
      </c>
      <c r="Q48" s="56">
        <f t="shared" si="14"/>
        <v>268853</v>
      </c>
      <c r="R48" s="58">
        <f>+'有効抵抗土圧(4P右)'!H166</f>
        <v>3482.0868160000005</v>
      </c>
      <c r="S48" s="58">
        <f>+'有効抵抗土圧(4P右)'!H167</f>
        <v>3663.4535600000004</v>
      </c>
      <c r="U48" s="10">
        <f t="shared" si="12"/>
        <v>135</v>
      </c>
      <c r="V48" s="56">
        <f t="shared" si="12"/>
        <v>268853</v>
      </c>
      <c r="W48" s="58">
        <f t="shared" si="12"/>
        <v>3482.0868160000005</v>
      </c>
      <c r="X48" s="58">
        <f t="shared" si="12"/>
        <v>3663.4535600000004</v>
      </c>
    </row>
    <row r="49" spans="4:24" ht="16.5" customHeight="1" x14ac:dyDescent="0.15">
      <c r="D49" s="96" t="s">
        <v>9</v>
      </c>
      <c r="E49" s="101" t="s">
        <v>29</v>
      </c>
      <c r="F49" s="104" t="s">
        <v>36</v>
      </c>
      <c r="G49" s="89" t="s">
        <v>37</v>
      </c>
      <c r="H49" s="90"/>
      <c r="I49" s="81" t="s">
        <v>11</v>
      </c>
      <c r="J49" s="83"/>
      <c r="K49" s="101" t="s">
        <v>38</v>
      </c>
      <c r="L49" s="89" t="s">
        <v>39</v>
      </c>
      <c r="M49" s="90"/>
      <c r="P49" s="10">
        <f t="shared" si="13"/>
        <v>136</v>
      </c>
      <c r="Q49" s="56">
        <f t="shared" si="14"/>
        <v>268853</v>
      </c>
      <c r="R49" s="58">
        <f>+'有効抵抗土圧(4P右)'!H168</f>
        <v>3663.4535600000004</v>
      </c>
      <c r="S49" s="58">
        <f>+'有効抵抗土圧(4P右)'!H169</f>
        <v>3844.8203040000008</v>
      </c>
      <c r="U49" s="10">
        <f t="shared" si="12"/>
        <v>136</v>
      </c>
      <c r="V49" s="56">
        <f t="shared" si="12"/>
        <v>268853</v>
      </c>
      <c r="W49" s="58">
        <f t="shared" si="12"/>
        <v>3663.4535600000004</v>
      </c>
      <c r="X49" s="58">
        <f t="shared" si="12"/>
        <v>3844.8203040000008</v>
      </c>
    </row>
    <row r="50" spans="4:24" ht="16.5" customHeight="1" x14ac:dyDescent="0.15">
      <c r="D50" s="96"/>
      <c r="E50" s="102"/>
      <c r="F50" s="105"/>
      <c r="G50" s="91"/>
      <c r="H50" s="92"/>
      <c r="I50" s="84"/>
      <c r="J50" s="85"/>
      <c r="K50" s="102"/>
      <c r="L50" s="91"/>
      <c r="M50" s="92"/>
      <c r="P50" s="10">
        <f t="shared" si="13"/>
        <v>137</v>
      </c>
      <c r="Q50" s="56">
        <f t="shared" si="14"/>
        <v>150646.99999999997</v>
      </c>
      <c r="R50" s="58">
        <f>+'有効抵抗土圧(4P右)'!H170</f>
        <v>1454.4027679999906</v>
      </c>
      <c r="S50" s="58">
        <f>+'有効抵抗土圧(4P右)'!H171</f>
        <v>1454.4027679999906</v>
      </c>
      <c r="U50" s="10">
        <f t="shared" si="12"/>
        <v>137</v>
      </c>
      <c r="V50" s="56">
        <f t="shared" si="12"/>
        <v>150646.99999999997</v>
      </c>
      <c r="W50" s="58">
        <f t="shared" si="12"/>
        <v>1454.4027679999906</v>
      </c>
      <c r="X50" s="58">
        <f t="shared" si="12"/>
        <v>1454.4027679999906</v>
      </c>
    </row>
    <row r="51" spans="4:24" ht="16.5" customHeight="1" x14ac:dyDescent="0.15">
      <c r="D51" s="96"/>
      <c r="E51" s="102"/>
      <c r="F51" s="105"/>
      <c r="G51" s="91"/>
      <c r="H51" s="92"/>
      <c r="I51" s="84"/>
      <c r="J51" s="85"/>
      <c r="K51" s="102"/>
      <c r="L51" s="91"/>
      <c r="M51" s="92"/>
      <c r="P51" s="10">
        <f t="shared" si="13"/>
        <v>138</v>
      </c>
      <c r="Q51" s="56">
        <f t="shared" ref="Q51:Q59" si="15">+M75</f>
        <v>129155</v>
      </c>
      <c r="R51" s="58">
        <f>+'有効抵抗土圧(4P右)'!H172</f>
        <v>2059.2000000000003</v>
      </c>
      <c r="S51" s="58">
        <f>+'有効抵抗土圧(4P右)'!H173</f>
        <v>2059.2000000000003</v>
      </c>
      <c r="U51" s="10">
        <f t="shared" si="12"/>
        <v>138</v>
      </c>
      <c r="V51" s="56">
        <f t="shared" si="12"/>
        <v>129155</v>
      </c>
      <c r="W51" s="58">
        <f t="shared" si="12"/>
        <v>2059.2000000000003</v>
      </c>
      <c r="X51" s="58">
        <f t="shared" si="12"/>
        <v>2059.2000000000003</v>
      </c>
    </row>
    <row r="52" spans="4:24" ht="16.5" customHeight="1" x14ac:dyDescent="0.15">
      <c r="D52" s="96"/>
      <c r="E52" s="102"/>
      <c r="F52" s="105"/>
      <c r="G52" s="91"/>
      <c r="H52" s="92"/>
      <c r="I52" s="84"/>
      <c r="J52" s="85"/>
      <c r="K52" s="102"/>
      <c r="L52" s="93"/>
      <c r="M52" s="94"/>
      <c r="P52" s="10">
        <f t="shared" si="13"/>
        <v>139</v>
      </c>
      <c r="Q52" s="56">
        <f t="shared" si="15"/>
        <v>129155</v>
      </c>
      <c r="R52" s="58">
        <f>+'有効抵抗土圧(4P右)'!H174</f>
        <v>2059.2000000000003</v>
      </c>
      <c r="S52" s="58">
        <f>+'有効抵抗土圧(4P右)'!H175</f>
        <v>2059.2000000000003</v>
      </c>
      <c r="U52" s="10">
        <f t="shared" si="12"/>
        <v>139</v>
      </c>
      <c r="V52" s="56">
        <f t="shared" si="12"/>
        <v>129155</v>
      </c>
      <c r="W52" s="58">
        <f t="shared" si="12"/>
        <v>2059.2000000000003</v>
      </c>
      <c r="X52" s="58">
        <f t="shared" si="12"/>
        <v>2059.2000000000003</v>
      </c>
    </row>
    <row r="53" spans="4:24" ht="16.5" customHeight="1" x14ac:dyDescent="0.15">
      <c r="D53" s="96"/>
      <c r="E53" s="103"/>
      <c r="F53" s="106"/>
      <c r="G53" s="93"/>
      <c r="H53" s="94"/>
      <c r="I53" s="87"/>
      <c r="J53" s="88"/>
      <c r="K53" s="103"/>
      <c r="L53" s="13" t="s">
        <v>18</v>
      </c>
      <c r="M53" s="34">
        <f>+E48</f>
        <v>2</v>
      </c>
      <c r="P53" s="10">
        <f t="shared" si="13"/>
        <v>140</v>
      </c>
      <c r="Q53" s="56">
        <f t="shared" si="15"/>
        <v>129155</v>
      </c>
      <c r="R53" s="58">
        <f>+'有効抵抗土圧(4P右)'!H176</f>
        <v>2059.2000000000003</v>
      </c>
      <c r="S53" s="58">
        <f>+'有効抵抗土圧(4P右)'!H177</f>
        <v>2059.2000000000003</v>
      </c>
      <c r="U53" s="10">
        <f t="shared" si="12"/>
        <v>140</v>
      </c>
      <c r="V53" s="56">
        <f t="shared" si="12"/>
        <v>129155</v>
      </c>
      <c r="W53" s="58">
        <f t="shared" si="12"/>
        <v>2059.2000000000003</v>
      </c>
      <c r="X53" s="58">
        <f t="shared" si="12"/>
        <v>2059.2000000000003</v>
      </c>
    </row>
    <row r="54" spans="4:24" ht="16.5" customHeight="1" x14ac:dyDescent="0.15">
      <c r="D54" s="112" t="s">
        <v>0</v>
      </c>
      <c r="E54" s="113">
        <f>+E11</f>
        <v>1.5</v>
      </c>
      <c r="F54" s="122">
        <f>+F11</f>
        <v>15080</v>
      </c>
      <c r="G54" s="20">
        <f>+E46</f>
        <v>1.3</v>
      </c>
      <c r="H54" s="20"/>
      <c r="I54" s="38">
        <v>123</v>
      </c>
      <c r="J54" s="17"/>
      <c r="K54" s="21">
        <f>+F54</f>
        <v>15080</v>
      </c>
      <c r="L54" s="21">
        <f>K54*E46</f>
        <v>19604</v>
      </c>
      <c r="M54" s="35">
        <f>L54*E48</f>
        <v>39208</v>
      </c>
      <c r="P54" s="10">
        <f t="shared" si="13"/>
        <v>141</v>
      </c>
      <c r="Q54" s="56">
        <f t="shared" si="15"/>
        <v>129155</v>
      </c>
      <c r="R54" s="58">
        <f>+'有効抵抗土圧(4P右)'!H178</f>
        <v>2059.2000000000003</v>
      </c>
      <c r="S54" s="58">
        <f>+'有効抵抗土圧(4P右)'!H179</f>
        <v>2059.2000000000003</v>
      </c>
      <c r="U54" s="10">
        <f t="shared" si="12"/>
        <v>141</v>
      </c>
      <c r="V54" s="56">
        <f t="shared" si="12"/>
        <v>129155</v>
      </c>
      <c r="W54" s="58">
        <f t="shared" si="12"/>
        <v>2059.2000000000003</v>
      </c>
      <c r="X54" s="58">
        <f t="shared" si="12"/>
        <v>2059.2000000000003</v>
      </c>
    </row>
    <row r="55" spans="4:24" ht="16.5" customHeight="1" x14ac:dyDescent="0.15">
      <c r="D55" s="112"/>
      <c r="E55" s="113"/>
      <c r="F55" s="122"/>
      <c r="G55" s="114">
        <f>+G54</f>
        <v>1.3</v>
      </c>
      <c r="H55" s="20">
        <f>+E54-G54</f>
        <v>0.19999999999999996</v>
      </c>
      <c r="I55" s="72">
        <f>+I54+1</f>
        <v>124</v>
      </c>
      <c r="J55" s="72"/>
      <c r="K55" s="123">
        <f>(F54*H55+F56*H56)/G55</f>
        <v>69765.230769230766</v>
      </c>
      <c r="L55" s="123">
        <f>K55*E46</f>
        <v>90694.8</v>
      </c>
      <c r="M55" s="124">
        <f>L55*E48</f>
        <v>181389.6</v>
      </c>
      <c r="P55" s="10">
        <f t="shared" si="13"/>
        <v>142</v>
      </c>
      <c r="Q55" s="56">
        <f t="shared" si="15"/>
        <v>129155</v>
      </c>
      <c r="R55" s="58">
        <f>+'有効抵抗土圧(4P右)'!H180</f>
        <v>2059.2000000000003</v>
      </c>
      <c r="S55" s="58">
        <f>+'有効抵抗土圧(4P右)'!H181</f>
        <v>2059.2000000000003</v>
      </c>
      <c r="U55" s="10">
        <f t="shared" si="12"/>
        <v>142</v>
      </c>
      <c r="V55" s="56">
        <f t="shared" si="12"/>
        <v>129155</v>
      </c>
      <c r="W55" s="58">
        <f t="shared" si="12"/>
        <v>2059.2000000000003</v>
      </c>
      <c r="X55" s="58">
        <f t="shared" si="12"/>
        <v>2059.2000000000003</v>
      </c>
    </row>
    <row r="56" spans="4:24" ht="16.5" customHeight="1" x14ac:dyDescent="0.15">
      <c r="D56" s="112" t="s">
        <v>1</v>
      </c>
      <c r="E56" s="113">
        <f>+E13</f>
        <v>1.3</v>
      </c>
      <c r="F56" s="122">
        <f>+F13</f>
        <v>79708</v>
      </c>
      <c r="G56" s="115"/>
      <c r="H56" s="20">
        <f>+G55-H55</f>
        <v>1.1000000000000001</v>
      </c>
      <c r="I56" s="72"/>
      <c r="J56" s="72"/>
      <c r="K56" s="123"/>
      <c r="L56" s="123"/>
      <c r="M56" s="124"/>
      <c r="P56" s="10">
        <f t="shared" si="13"/>
        <v>143</v>
      </c>
      <c r="Q56" s="56">
        <f t="shared" si="15"/>
        <v>129155</v>
      </c>
      <c r="R56" s="58">
        <f>+'有効抵抗土圧(4P右)'!H182</f>
        <v>2059.2000000000003</v>
      </c>
      <c r="S56" s="58">
        <f>+'有効抵抗土圧(4P右)'!H183</f>
        <v>2059.2000000000003</v>
      </c>
      <c r="U56" s="10">
        <f t="shared" si="12"/>
        <v>143</v>
      </c>
      <c r="V56" s="56">
        <f t="shared" si="12"/>
        <v>129155</v>
      </c>
      <c r="W56" s="58">
        <f t="shared" si="12"/>
        <v>2059.2000000000003</v>
      </c>
      <c r="X56" s="58">
        <f t="shared" si="12"/>
        <v>2059.2000000000003</v>
      </c>
    </row>
    <row r="57" spans="4:24" ht="16.5" customHeight="1" x14ac:dyDescent="0.15">
      <c r="D57" s="112"/>
      <c r="E57" s="113"/>
      <c r="F57" s="122"/>
      <c r="G57" s="114">
        <f>+G55</f>
        <v>1.3</v>
      </c>
      <c r="H57" s="20">
        <f>+E56-H56</f>
        <v>0.19999999999999996</v>
      </c>
      <c r="I57" s="72">
        <f>+I55+1</f>
        <v>125</v>
      </c>
      <c r="J57" s="72"/>
      <c r="K57" s="123">
        <f>(F56*H57+F58*H58)/G57</f>
        <v>36282.538461538454</v>
      </c>
      <c r="L57" s="123">
        <f>K57*E46</f>
        <v>47167.299999999988</v>
      </c>
      <c r="M57" s="124">
        <f>L57*E48</f>
        <v>94334.599999999977</v>
      </c>
      <c r="P57" s="10">
        <f t="shared" si="13"/>
        <v>144</v>
      </c>
      <c r="Q57" s="56">
        <f t="shared" si="15"/>
        <v>129155</v>
      </c>
      <c r="R57" s="58">
        <f>+'有効抵抗土圧(4P右)'!H184</f>
        <v>2059.2000000000003</v>
      </c>
      <c r="S57" s="58">
        <f>+'有効抵抗土圧(4P右)'!H185</f>
        <v>2059.2000000000003</v>
      </c>
      <c r="U57" s="10">
        <f t="shared" si="12"/>
        <v>144</v>
      </c>
      <c r="V57" s="56">
        <f t="shared" si="12"/>
        <v>129155</v>
      </c>
      <c r="W57" s="58">
        <f t="shared" si="12"/>
        <v>2059.2000000000003</v>
      </c>
      <c r="X57" s="58">
        <f t="shared" si="12"/>
        <v>2059.2000000000003</v>
      </c>
    </row>
    <row r="58" spans="4:24" ht="16.5" customHeight="1" x14ac:dyDescent="0.15">
      <c r="D58" s="112" t="s">
        <v>2</v>
      </c>
      <c r="E58" s="113">
        <f>+E15</f>
        <v>2.9</v>
      </c>
      <c r="F58" s="122">
        <f>+F15</f>
        <v>28387</v>
      </c>
      <c r="G58" s="115"/>
      <c r="H58" s="20">
        <f>+G57-H57</f>
        <v>1.1000000000000001</v>
      </c>
      <c r="I58" s="72"/>
      <c r="J58" s="72"/>
      <c r="K58" s="123"/>
      <c r="L58" s="123"/>
      <c r="M58" s="124"/>
      <c r="P58" s="10">
        <f t="shared" si="13"/>
        <v>145</v>
      </c>
      <c r="Q58" s="56">
        <f t="shared" si="15"/>
        <v>129155</v>
      </c>
      <c r="R58" s="58">
        <f>+'有効抵抗土圧(4P右)'!H186</f>
        <v>2059.2000000000003</v>
      </c>
      <c r="S58" s="58">
        <f>+'有効抵抗土圧(4P右)'!H187</f>
        <v>2059.2000000000003</v>
      </c>
      <c r="U58" s="10">
        <f t="shared" si="12"/>
        <v>145</v>
      </c>
      <c r="V58" s="56">
        <f t="shared" si="12"/>
        <v>129155</v>
      </c>
      <c r="W58" s="58">
        <f t="shared" si="12"/>
        <v>2059.2000000000003</v>
      </c>
      <c r="X58" s="58">
        <f t="shared" si="12"/>
        <v>2059.2000000000003</v>
      </c>
    </row>
    <row r="59" spans="4:24" ht="16.5" customHeight="1" x14ac:dyDescent="0.15">
      <c r="D59" s="112"/>
      <c r="E59" s="113"/>
      <c r="F59" s="122"/>
      <c r="G59" s="20">
        <f>+G57</f>
        <v>1.3</v>
      </c>
      <c r="H59" s="20"/>
      <c r="I59" s="10">
        <f>+I57+1</f>
        <v>126</v>
      </c>
      <c r="J59" s="10"/>
      <c r="K59" s="21">
        <f>+F58</f>
        <v>28387</v>
      </c>
      <c r="L59" s="21">
        <f>K59*E46</f>
        <v>36903.1</v>
      </c>
      <c r="M59" s="35">
        <f>L59*E48</f>
        <v>73806.2</v>
      </c>
      <c r="P59" s="10">
        <f t="shared" si="13"/>
        <v>146</v>
      </c>
      <c r="Q59" s="56">
        <f t="shared" si="15"/>
        <v>129155</v>
      </c>
      <c r="R59" s="58">
        <f>+'有効抵抗土圧(4P右)'!H188</f>
        <v>2059.2000000000003</v>
      </c>
      <c r="S59" s="58">
        <f>+'有効抵抗土圧(4P右)'!H189</f>
        <v>2059.2000000000003</v>
      </c>
      <c r="U59" s="10">
        <f t="shared" si="12"/>
        <v>146</v>
      </c>
      <c r="V59" s="56">
        <f t="shared" si="12"/>
        <v>129155</v>
      </c>
      <c r="W59" s="58">
        <f t="shared" si="12"/>
        <v>2059.2000000000003</v>
      </c>
      <c r="X59" s="58">
        <f t="shared" si="12"/>
        <v>2059.2000000000003</v>
      </c>
    </row>
    <row r="60" spans="4:24" ht="16.5" customHeight="1" x14ac:dyDescent="0.15">
      <c r="D60" s="112"/>
      <c r="E60" s="113"/>
      <c r="F60" s="122"/>
      <c r="G60" s="114">
        <f>+G59</f>
        <v>1.3</v>
      </c>
      <c r="H60" s="20">
        <f>+E58-H58-G59</f>
        <v>0.49999999999999978</v>
      </c>
      <c r="I60" s="72">
        <f>+I59+1</f>
        <v>127</v>
      </c>
      <c r="J60" s="72"/>
      <c r="K60" s="123">
        <f>(F59*H60+F61*H61)/G60</f>
        <v>42422.769230769241</v>
      </c>
      <c r="L60" s="123">
        <f>K60*E46</f>
        <v>55149.600000000013</v>
      </c>
      <c r="M60" s="124">
        <f>L60*E48</f>
        <v>110299.20000000003</v>
      </c>
      <c r="R60" s="57"/>
      <c r="S60" s="57"/>
      <c r="U60" s="2"/>
      <c r="V60" s="41"/>
      <c r="W60" s="57"/>
      <c r="X60" s="57"/>
    </row>
    <row r="61" spans="4:24" ht="16.5" customHeight="1" x14ac:dyDescent="0.15">
      <c r="D61" s="112" t="s">
        <v>3</v>
      </c>
      <c r="E61" s="113">
        <f>+E18</f>
        <v>2.6</v>
      </c>
      <c r="F61" s="122">
        <f>+F18</f>
        <v>68937</v>
      </c>
      <c r="G61" s="115"/>
      <c r="H61" s="20">
        <f>+G60-H60</f>
        <v>0.80000000000000027</v>
      </c>
      <c r="I61" s="72"/>
      <c r="J61" s="72"/>
      <c r="K61" s="123"/>
      <c r="L61" s="123"/>
      <c r="M61" s="124"/>
      <c r="P61" s="10">
        <f>+J11</f>
        <v>148</v>
      </c>
      <c r="Q61" s="56">
        <f t="shared" ref="Q61:Q84" si="16">+Q11</f>
        <v>58812</v>
      </c>
      <c r="R61" s="58">
        <f>+'有効抵抗土圧(4P右)'!I142</f>
        <v>2907.5744100000002</v>
      </c>
      <c r="S61" s="58">
        <f>+'有効抵抗土圧(4P右)'!I143</f>
        <v>3268.6642039999997</v>
      </c>
      <c r="U61" s="10">
        <f>+P61</f>
        <v>148</v>
      </c>
      <c r="V61" s="56">
        <f>+Q61</f>
        <v>58812</v>
      </c>
      <c r="W61" s="58">
        <f>+R11</f>
        <v>1163.0297639999999</v>
      </c>
      <c r="X61" s="58">
        <f>+S11</f>
        <v>1307.4656815999999</v>
      </c>
    </row>
    <row r="62" spans="4:24" ht="16.5" customHeight="1" x14ac:dyDescent="0.15">
      <c r="D62" s="112"/>
      <c r="E62" s="113"/>
      <c r="F62" s="122"/>
      <c r="G62" s="20">
        <f>+G60</f>
        <v>1.3</v>
      </c>
      <c r="H62" s="20"/>
      <c r="I62" s="10">
        <f>+I60+1</f>
        <v>128</v>
      </c>
      <c r="J62" s="10"/>
      <c r="K62" s="21">
        <f>+F61</f>
        <v>68937</v>
      </c>
      <c r="L62" s="21">
        <f>K62*E46</f>
        <v>89618.1</v>
      </c>
      <c r="M62" s="35">
        <f>L62*E48</f>
        <v>179236.2</v>
      </c>
      <c r="P62" s="10">
        <f>+P61+1</f>
        <v>149</v>
      </c>
      <c r="Q62" s="56">
        <f t="shared" si="16"/>
        <v>272084.40000000002</v>
      </c>
      <c r="R62" s="58">
        <f>+'有効抵抗土圧(4P右)'!I144</f>
        <v>4972.6002737692306</v>
      </c>
      <c r="S62" s="58">
        <f>+'有効抵抗土圧(4P右)'!I145</f>
        <v>4972.6002737692306</v>
      </c>
      <c r="U62" s="10">
        <f t="shared" ref="U62:V84" si="17">+P62</f>
        <v>149</v>
      </c>
      <c r="V62" s="56">
        <f t="shared" si="17"/>
        <v>272084.40000000002</v>
      </c>
      <c r="W62" s="58">
        <f t="shared" ref="W62:X77" si="18">+R12</f>
        <v>1989.0401095076923</v>
      </c>
      <c r="X62" s="58">
        <f t="shared" si="18"/>
        <v>1989.0401095076923</v>
      </c>
    </row>
    <row r="63" spans="4:24" ht="16.5" customHeight="1" x14ac:dyDescent="0.15">
      <c r="D63" s="112"/>
      <c r="E63" s="113"/>
      <c r="F63" s="122"/>
      <c r="G63" s="133">
        <f>+G62</f>
        <v>1.3</v>
      </c>
      <c r="H63" s="20">
        <f>+E61-H61-G62</f>
        <v>0.49999999999999978</v>
      </c>
      <c r="I63" s="131">
        <f>+I62+1</f>
        <v>129</v>
      </c>
      <c r="J63" s="131"/>
      <c r="K63" s="107">
        <f>(F61*H63+F64*H64+F65*H65)/G63</f>
        <v>93189.61538461539</v>
      </c>
      <c r="L63" s="123">
        <f>K63*E46</f>
        <v>121146.50000000001</v>
      </c>
      <c r="M63" s="124">
        <f>L63*E48</f>
        <v>242293.00000000003</v>
      </c>
      <c r="P63" s="10">
        <f t="shared" ref="P63:P84" si="19">+P62+1</f>
        <v>150</v>
      </c>
      <c r="Q63" s="56">
        <f t="shared" si="16"/>
        <v>141501.89999999997</v>
      </c>
      <c r="R63" s="58">
        <f>+'有効抵抗土圧(4P右)'!I146</f>
        <v>2269.2762692307679</v>
      </c>
      <c r="S63" s="58">
        <f>+'有効抵抗土圧(4P右)'!I147</f>
        <v>2269.2762692307679</v>
      </c>
      <c r="U63" s="10">
        <f t="shared" si="17"/>
        <v>150</v>
      </c>
      <c r="V63" s="56">
        <f t="shared" si="17"/>
        <v>141501.89999999997</v>
      </c>
      <c r="W63" s="58">
        <f t="shared" si="18"/>
        <v>907.71050769230715</v>
      </c>
      <c r="X63" s="58">
        <f t="shared" si="18"/>
        <v>907.71050769230715</v>
      </c>
    </row>
    <row r="64" spans="4:24" ht="16.5" customHeight="1" x14ac:dyDescent="0.15">
      <c r="D64" s="28" t="s">
        <v>13</v>
      </c>
      <c r="E64" s="64">
        <f>+E21</f>
        <v>0.6</v>
      </c>
      <c r="F64" s="65">
        <f>+F21</f>
        <v>109995</v>
      </c>
      <c r="G64" s="134"/>
      <c r="H64" s="20">
        <f>+E64</f>
        <v>0.6</v>
      </c>
      <c r="I64" s="136"/>
      <c r="J64" s="136"/>
      <c r="K64" s="137"/>
      <c r="L64" s="123"/>
      <c r="M64" s="124"/>
      <c r="P64" s="10">
        <f t="shared" si="19"/>
        <v>151</v>
      </c>
      <c r="Q64" s="56">
        <f t="shared" si="16"/>
        <v>110709.29999999999</v>
      </c>
      <c r="R64" s="58">
        <f>+'有効抵抗土圧(4P右)'!I148</f>
        <v>1672.5149999999999</v>
      </c>
      <c r="S64" s="58">
        <f>+'有効抵抗土圧(4P右)'!I149</f>
        <v>1672.5149999999999</v>
      </c>
      <c r="U64" s="10">
        <f t="shared" si="17"/>
        <v>151</v>
      </c>
      <c r="V64" s="56">
        <f t="shared" si="17"/>
        <v>110709.29999999999</v>
      </c>
      <c r="W64" s="58">
        <f t="shared" si="18"/>
        <v>669.00600000000009</v>
      </c>
      <c r="X64" s="58">
        <f t="shared" si="18"/>
        <v>669.00600000000009</v>
      </c>
    </row>
    <row r="65" spans="4:24" ht="16.5" customHeight="1" x14ac:dyDescent="0.15">
      <c r="D65" s="119" t="s">
        <v>14</v>
      </c>
      <c r="E65" s="125">
        <f>+E22</f>
        <v>9.5</v>
      </c>
      <c r="F65" s="128">
        <f>+F22</f>
        <v>103405</v>
      </c>
      <c r="G65" s="135"/>
      <c r="H65" s="20">
        <f>+G63-H63-H64</f>
        <v>0.20000000000000029</v>
      </c>
      <c r="I65" s="132"/>
      <c r="J65" s="132"/>
      <c r="K65" s="108"/>
      <c r="L65" s="123"/>
      <c r="M65" s="124"/>
      <c r="P65" s="10">
        <f t="shared" si="19"/>
        <v>152</v>
      </c>
      <c r="Q65" s="56">
        <f t="shared" si="16"/>
        <v>165448.80000000005</v>
      </c>
      <c r="R65" s="58">
        <f>+'有効抵抗土圧(4P右)'!I150</f>
        <v>4352.4272400000018</v>
      </c>
      <c r="S65" s="58">
        <f>+'有効抵抗土圧(4P右)'!I151</f>
        <v>4352.4272400000018</v>
      </c>
      <c r="U65" s="10">
        <f t="shared" si="17"/>
        <v>152</v>
      </c>
      <c r="V65" s="56">
        <f t="shared" si="17"/>
        <v>165448.80000000005</v>
      </c>
      <c r="W65" s="58">
        <f t="shared" si="18"/>
        <v>1740.9708960000009</v>
      </c>
      <c r="X65" s="58">
        <f t="shared" si="18"/>
        <v>1740.9708960000009</v>
      </c>
    </row>
    <row r="66" spans="4:24" ht="16.5" customHeight="1" x14ac:dyDescent="0.15">
      <c r="D66" s="120"/>
      <c r="E66" s="126"/>
      <c r="F66" s="129"/>
      <c r="G66" s="20">
        <f>+G63</f>
        <v>1.3</v>
      </c>
      <c r="H66" s="20"/>
      <c r="I66" s="10">
        <f>+I63+1</f>
        <v>130</v>
      </c>
      <c r="J66" s="10"/>
      <c r="K66" s="21">
        <f>+F65</f>
        <v>103405</v>
      </c>
      <c r="L66" s="21">
        <f>K66*E46</f>
        <v>134426.5</v>
      </c>
      <c r="M66" s="35">
        <f>L66*E48</f>
        <v>268853</v>
      </c>
      <c r="P66" s="10">
        <f t="shared" si="19"/>
        <v>153</v>
      </c>
      <c r="Q66" s="56">
        <f t="shared" si="16"/>
        <v>268854.30000000005</v>
      </c>
      <c r="R66" s="58">
        <f>+'有効抵抗土圧(4P右)'!I152</f>
        <v>6181.98711</v>
      </c>
      <c r="S66" s="58">
        <f>+'有効抵抗土圧(4P右)'!I153</f>
        <v>6684.48495</v>
      </c>
      <c r="U66" s="10">
        <f t="shared" si="17"/>
        <v>153</v>
      </c>
      <c r="V66" s="56">
        <f t="shared" si="17"/>
        <v>268854.30000000005</v>
      </c>
      <c r="W66" s="58">
        <f t="shared" si="18"/>
        <v>2472.794844</v>
      </c>
      <c r="X66" s="58">
        <f t="shared" si="18"/>
        <v>2673.7939799999999</v>
      </c>
    </row>
    <row r="67" spans="4:24" ht="16.5" customHeight="1" x14ac:dyDescent="0.15">
      <c r="D67" s="120"/>
      <c r="E67" s="126"/>
      <c r="F67" s="129"/>
      <c r="G67" s="20">
        <f>+G66</f>
        <v>1.3</v>
      </c>
      <c r="H67" s="20"/>
      <c r="I67" s="10">
        <f t="shared" ref="I67:I73" si="20">+I66+1</f>
        <v>131</v>
      </c>
      <c r="J67" s="10"/>
      <c r="K67" s="21">
        <f t="shared" ref="K67:K72" si="21">+K66</f>
        <v>103405</v>
      </c>
      <c r="L67" s="21">
        <f>K67*E46</f>
        <v>134426.5</v>
      </c>
      <c r="M67" s="35">
        <f>L67*E48</f>
        <v>268853</v>
      </c>
      <c r="P67" s="10">
        <f t="shared" si="19"/>
        <v>154</v>
      </c>
      <c r="Q67" s="56">
        <f t="shared" si="16"/>
        <v>363439.50000000006</v>
      </c>
      <c r="R67" s="58">
        <f>+'有効抵抗土圧(4P右)'!I154</f>
        <v>6601.57395</v>
      </c>
      <c r="S67" s="58">
        <f>+'有効抵抗土圧(4P右)'!I155</f>
        <v>6601.57395</v>
      </c>
      <c r="U67" s="10">
        <f t="shared" si="17"/>
        <v>154</v>
      </c>
      <c r="V67" s="56">
        <f t="shared" si="17"/>
        <v>363439.50000000006</v>
      </c>
      <c r="W67" s="58">
        <f t="shared" si="18"/>
        <v>2640.6295799999998</v>
      </c>
      <c r="X67" s="58">
        <f t="shared" si="18"/>
        <v>2640.6295799999998</v>
      </c>
    </row>
    <row r="68" spans="4:24" ht="16.5" customHeight="1" x14ac:dyDescent="0.15">
      <c r="D68" s="120"/>
      <c r="E68" s="126"/>
      <c r="F68" s="129"/>
      <c r="G68" s="20">
        <f t="shared" ref="G68:G72" si="22">+G67</f>
        <v>1.3</v>
      </c>
      <c r="H68" s="20"/>
      <c r="I68" s="10">
        <f t="shared" si="20"/>
        <v>132</v>
      </c>
      <c r="J68" s="10"/>
      <c r="K68" s="21">
        <f t="shared" si="21"/>
        <v>103405</v>
      </c>
      <c r="L68" s="21">
        <f>K68*E46</f>
        <v>134426.5</v>
      </c>
      <c r="M68" s="35">
        <f>L68*E48</f>
        <v>268853</v>
      </c>
      <c r="P68" s="10">
        <f t="shared" si="19"/>
        <v>155</v>
      </c>
      <c r="Q68" s="56">
        <f t="shared" si="16"/>
        <v>403279.5</v>
      </c>
      <c r="R68" s="58">
        <f>+'有効抵抗土圧(4P右)'!I156</f>
        <v>7856.3852881578987</v>
      </c>
      <c r="S68" s="58">
        <f>+'有効抵抗土圧(4P右)'!I157</f>
        <v>7856.3852881578987</v>
      </c>
      <c r="U68" s="10">
        <f t="shared" si="17"/>
        <v>155</v>
      </c>
      <c r="V68" s="56">
        <f t="shared" si="17"/>
        <v>403279.5</v>
      </c>
      <c r="W68" s="58">
        <f t="shared" si="18"/>
        <v>3142.554115263159</v>
      </c>
      <c r="X68" s="58">
        <f t="shared" si="18"/>
        <v>3142.554115263159</v>
      </c>
    </row>
    <row r="69" spans="4:24" ht="16.5" customHeight="1" x14ac:dyDescent="0.15">
      <c r="D69" s="120"/>
      <c r="E69" s="126"/>
      <c r="F69" s="129"/>
      <c r="G69" s="20">
        <f t="shared" si="22"/>
        <v>1.3</v>
      </c>
      <c r="H69" s="20"/>
      <c r="I69" s="10">
        <f t="shared" si="20"/>
        <v>133</v>
      </c>
      <c r="J69" s="10"/>
      <c r="K69" s="21">
        <f t="shared" si="21"/>
        <v>103405</v>
      </c>
      <c r="L69" s="21">
        <f>K69*E46</f>
        <v>134426.5</v>
      </c>
      <c r="M69" s="35">
        <f>L69*E48</f>
        <v>268853</v>
      </c>
      <c r="P69" s="10">
        <f t="shared" si="19"/>
        <v>156</v>
      </c>
      <c r="Q69" s="56">
        <f t="shared" si="16"/>
        <v>403279.5</v>
      </c>
      <c r="R69" s="58">
        <f>+'有効抵抗土圧(4P右)'!I158</f>
        <v>7976.8989094736862</v>
      </c>
      <c r="S69" s="58">
        <f>+'有効抵抗土圧(4P右)'!I159</f>
        <v>8501.7243356842118</v>
      </c>
      <c r="U69" s="10">
        <f t="shared" si="17"/>
        <v>156</v>
      </c>
      <c r="V69" s="56">
        <f t="shared" si="17"/>
        <v>403279.5</v>
      </c>
      <c r="W69" s="58">
        <f t="shared" si="18"/>
        <v>3190.7595637894738</v>
      </c>
      <c r="X69" s="58">
        <f t="shared" si="18"/>
        <v>3400.6897342736852</v>
      </c>
    </row>
    <row r="70" spans="4:24" ht="16.5" customHeight="1" x14ac:dyDescent="0.15">
      <c r="D70" s="120"/>
      <c r="E70" s="126"/>
      <c r="F70" s="129"/>
      <c r="G70" s="20">
        <f t="shared" si="22"/>
        <v>1.3</v>
      </c>
      <c r="H70" s="20"/>
      <c r="I70" s="10">
        <f t="shared" si="20"/>
        <v>134</v>
      </c>
      <c r="J70" s="10"/>
      <c r="K70" s="21">
        <f t="shared" si="21"/>
        <v>103405</v>
      </c>
      <c r="L70" s="21">
        <f>K70*E46</f>
        <v>134426.5</v>
      </c>
      <c r="M70" s="35">
        <f>L70*E48</f>
        <v>268853</v>
      </c>
      <c r="P70" s="10">
        <f t="shared" si="19"/>
        <v>157</v>
      </c>
      <c r="Q70" s="56">
        <f t="shared" si="16"/>
        <v>403279.5</v>
      </c>
      <c r="R70" s="58">
        <f>+'有効抵抗土圧(4P右)'!I160</f>
        <v>8501.7243356842118</v>
      </c>
      <c r="S70" s="58">
        <f>+'有効抵抗土圧(4P右)'!I161</f>
        <v>9026.5497618947393</v>
      </c>
      <c r="U70" s="10">
        <f t="shared" si="17"/>
        <v>157</v>
      </c>
      <c r="V70" s="56">
        <f t="shared" si="17"/>
        <v>403279.5</v>
      </c>
      <c r="W70" s="58">
        <f t="shared" si="18"/>
        <v>3400.6897342736852</v>
      </c>
      <c r="X70" s="58">
        <f t="shared" si="18"/>
        <v>3610.6199047578953</v>
      </c>
    </row>
    <row r="71" spans="4:24" ht="16.5" customHeight="1" x14ac:dyDescent="0.15">
      <c r="D71" s="120"/>
      <c r="E71" s="126"/>
      <c r="F71" s="129"/>
      <c r="G71" s="20">
        <f t="shared" si="22"/>
        <v>1.3</v>
      </c>
      <c r="H71" s="20"/>
      <c r="I71" s="10">
        <f t="shared" si="20"/>
        <v>135</v>
      </c>
      <c r="J71" s="10"/>
      <c r="K71" s="21">
        <f t="shared" si="21"/>
        <v>103405</v>
      </c>
      <c r="L71" s="21">
        <f>K71*E46</f>
        <v>134426.5</v>
      </c>
      <c r="M71" s="35">
        <f>L71*E48</f>
        <v>268853</v>
      </c>
      <c r="P71" s="10">
        <f t="shared" si="19"/>
        <v>158</v>
      </c>
      <c r="Q71" s="56">
        <f t="shared" si="16"/>
        <v>403279.5</v>
      </c>
      <c r="R71" s="58">
        <f>+'有効抵抗土圧(4P右)'!I162</f>
        <v>9026.5497618947393</v>
      </c>
      <c r="S71" s="58">
        <f>+'有効抵抗土圧(4P右)'!I163</f>
        <v>9551.3751881052649</v>
      </c>
      <c r="U71" s="10">
        <f t="shared" si="17"/>
        <v>158</v>
      </c>
      <c r="V71" s="56">
        <f t="shared" si="17"/>
        <v>403279.5</v>
      </c>
      <c r="W71" s="58">
        <f t="shared" si="18"/>
        <v>3610.6199047578953</v>
      </c>
      <c r="X71" s="58">
        <f t="shared" si="18"/>
        <v>3820.5500752421058</v>
      </c>
    </row>
    <row r="72" spans="4:24" ht="16.5" customHeight="1" x14ac:dyDescent="0.15">
      <c r="D72" s="120"/>
      <c r="E72" s="126"/>
      <c r="F72" s="129"/>
      <c r="G72" s="20">
        <f t="shared" si="22"/>
        <v>1.3</v>
      </c>
      <c r="H72" s="20"/>
      <c r="I72" s="10">
        <f t="shared" si="20"/>
        <v>136</v>
      </c>
      <c r="J72" s="10"/>
      <c r="K72" s="21">
        <f t="shared" si="21"/>
        <v>103405</v>
      </c>
      <c r="L72" s="21">
        <f>K72*E46</f>
        <v>134426.5</v>
      </c>
      <c r="M72" s="35">
        <f>L72*E48</f>
        <v>268853</v>
      </c>
      <c r="P72" s="10">
        <f t="shared" si="19"/>
        <v>159</v>
      </c>
      <c r="Q72" s="56">
        <f t="shared" si="16"/>
        <v>403279.5</v>
      </c>
      <c r="R72" s="58">
        <f>+'有効抵抗土圧(4P右)'!I164</f>
        <v>9551.3751881052649</v>
      </c>
      <c r="S72" s="58">
        <f>+'有効抵抗土圧(4P右)'!I165</f>
        <v>10076.200614315792</v>
      </c>
      <c r="U72" s="10">
        <f t="shared" si="17"/>
        <v>159</v>
      </c>
      <c r="V72" s="56">
        <f t="shared" si="17"/>
        <v>403279.5</v>
      </c>
      <c r="W72" s="58">
        <f t="shared" si="18"/>
        <v>3820.5500752421058</v>
      </c>
      <c r="X72" s="58">
        <f t="shared" si="18"/>
        <v>4030.4802457263168</v>
      </c>
    </row>
    <row r="73" spans="4:24" ht="16.5" customHeight="1" x14ac:dyDescent="0.15">
      <c r="D73" s="121"/>
      <c r="E73" s="127"/>
      <c r="F73" s="130"/>
      <c r="G73" s="114">
        <f>+G72</f>
        <v>1.3</v>
      </c>
      <c r="H73" s="20">
        <f>+E65-H65-G66-G67-G68-G69-G70-G71-G72</f>
        <v>0.19999999999999973</v>
      </c>
      <c r="I73" s="131">
        <f t="shared" si="20"/>
        <v>137</v>
      </c>
      <c r="J73" s="131"/>
      <c r="K73" s="123">
        <f>(F65*H73+F74*H74)/G73</f>
        <v>57941.153846153829</v>
      </c>
      <c r="L73" s="123">
        <f>K73*E46</f>
        <v>75323.499999999985</v>
      </c>
      <c r="M73" s="124">
        <f>L73*E48</f>
        <v>150646.99999999997</v>
      </c>
      <c r="P73" s="10">
        <f t="shared" si="19"/>
        <v>160</v>
      </c>
      <c r="Q73" s="56">
        <f t="shared" si="16"/>
        <v>403279.5</v>
      </c>
      <c r="R73" s="58">
        <f>+'有効抵抗土圧(4P右)'!I166</f>
        <v>10076.200614315792</v>
      </c>
      <c r="S73" s="58">
        <f>+'有効抵抗土圧(4P右)'!I167</f>
        <v>10601.026040526318</v>
      </c>
      <c r="U73" s="10">
        <f t="shared" si="17"/>
        <v>160</v>
      </c>
      <c r="V73" s="56">
        <f t="shared" si="17"/>
        <v>403279.5</v>
      </c>
      <c r="W73" s="58">
        <f t="shared" si="18"/>
        <v>4030.4802457263168</v>
      </c>
      <c r="X73" s="58">
        <f t="shared" si="18"/>
        <v>4240.4104162105268</v>
      </c>
    </row>
    <row r="74" spans="4:24" ht="16.5" customHeight="1" x14ac:dyDescent="0.15">
      <c r="D74" s="112" t="s">
        <v>15</v>
      </c>
      <c r="E74" s="113">
        <f>+E31</f>
        <v>12.6</v>
      </c>
      <c r="F74" s="122">
        <f>+F31</f>
        <v>49675</v>
      </c>
      <c r="G74" s="115"/>
      <c r="H74" s="20">
        <f>+G73-H73</f>
        <v>1.1000000000000003</v>
      </c>
      <c r="I74" s="132"/>
      <c r="J74" s="132"/>
      <c r="K74" s="123"/>
      <c r="L74" s="123"/>
      <c r="M74" s="124"/>
      <c r="P74" s="10">
        <f t="shared" si="19"/>
        <v>161</v>
      </c>
      <c r="Q74" s="56">
        <f t="shared" si="16"/>
        <v>403279.5</v>
      </c>
      <c r="R74" s="58">
        <f>+'有効抵抗土圧(4P右)'!I168</f>
        <v>10601.026040526318</v>
      </c>
      <c r="S74" s="58">
        <f>+'有効抵抗土圧(4P右)'!I169</f>
        <v>11125.851466736844</v>
      </c>
      <c r="U74" s="10">
        <f t="shared" si="17"/>
        <v>161</v>
      </c>
      <c r="V74" s="56">
        <f t="shared" si="17"/>
        <v>403279.5</v>
      </c>
      <c r="W74" s="58">
        <f t="shared" si="18"/>
        <v>4240.4104162105268</v>
      </c>
      <c r="X74" s="58">
        <f t="shared" si="18"/>
        <v>4450.3405866947369</v>
      </c>
    </row>
    <row r="75" spans="4:24" ht="16.5" customHeight="1" x14ac:dyDescent="0.15">
      <c r="D75" s="112"/>
      <c r="E75" s="113"/>
      <c r="F75" s="122"/>
      <c r="G75" s="20">
        <f>+G73</f>
        <v>1.3</v>
      </c>
      <c r="H75" s="20"/>
      <c r="I75" s="25">
        <f>+I73+1</f>
        <v>138</v>
      </c>
      <c r="J75" s="25"/>
      <c r="K75" s="21">
        <f>+F74</f>
        <v>49675</v>
      </c>
      <c r="L75" s="21">
        <f>K75*E46</f>
        <v>64577.5</v>
      </c>
      <c r="M75" s="35">
        <f>L75*E48</f>
        <v>129155</v>
      </c>
      <c r="P75" s="10">
        <f t="shared" si="19"/>
        <v>162</v>
      </c>
      <c r="Q75" s="56">
        <f t="shared" si="16"/>
        <v>225970.49999999994</v>
      </c>
      <c r="R75" s="58">
        <f>+'有効抵抗土圧(4P右)'!I170</f>
        <v>4208.641208210498</v>
      </c>
      <c r="S75" s="58">
        <f>+'有効抵抗土圧(4P右)'!I171</f>
        <v>4208.641208210498</v>
      </c>
      <c r="U75" s="10">
        <f t="shared" si="17"/>
        <v>162</v>
      </c>
      <c r="V75" s="56">
        <f t="shared" si="17"/>
        <v>225970.49999999994</v>
      </c>
      <c r="W75" s="58">
        <f t="shared" si="18"/>
        <v>1683.4564832841995</v>
      </c>
      <c r="X75" s="58">
        <f t="shared" si="18"/>
        <v>1683.4564832841995</v>
      </c>
    </row>
    <row r="76" spans="4:24" ht="16.5" customHeight="1" x14ac:dyDescent="0.15">
      <c r="D76" s="112"/>
      <c r="E76" s="113"/>
      <c r="F76" s="122"/>
      <c r="G76" s="20">
        <f>+G75</f>
        <v>1.3</v>
      </c>
      <c r="H76" s="20"/>
      <c r="I76" s="10">
        <f t="shared" ref="I76:I83" si="23">+I75+1</f>
        <v>139</v>
      </c>
      <c r="J76" s="10"/>
      <c r="K76" s="21">
        <f t="shared" ref="K76:K83" si="24">+K75</f>
        <v>49675</v>
      </c>
      <c r="L76" s="21">
        <f>K76*E46</f>
        <v>64577.5</v>
      </c>
      <c r="M76" s="35">
        <f>L76*E48</f>
        <v>129155</v>
      </c>
      <c r="P76" s="10">
        <f t="shared" si="19"/>
        <v>163</v>
      </c>
      <c r="Q76" s="56">
        <f t="shared" si="16"/>
        <v>193732.5</v>
      </c>
      <c r="R76" s="58">
        <f>+'有効抵抗土圧(4P右)'!I172</f>
        <v>3088.8</v>
      </c>
      <c r="S76" s="58">
        <f>+'有効抵抗土圧(4P右)'!I173</f>
        <v>3088.8</v>
      </c>
      <c r="U76" s="10">
        <f t="shared" si="17"/>
        <v>163</v>
      </c>
      <c r="V76" s="56">
        <f t="shared" si="17"/>
        <v>193732.5</v>
      </c>
      <c r="W76" s="58">
        <f t="shared" si="18"/>
        <v>3088.8</v>
      </c>
      <c r="X76" s="58">
        <f t="shared" si="18"/>
        <v>3088.8</v>
      </c>
    </row>
    <row r="77" spans="4:24" ht="16.5" customHeight="1" x14ac:dyDescent="0.15">
      <c r="D77" s="112"/>
      <c r="E77" s="113"/>
      <c r="F77" s="122"/>
      <c r="G77" s="20">
        <f t="shared" ref="G77:G82" si="25">+G76</f>
        <v>1.3</v>
      </c>
      <c r="H77" s="20"/>
      <c r="I77" s="10">
        <f t="shared" si="23"/>
        <v>140</v>
      </c>
      <c r="J77" s="10"/>
      <c r="K77" s="21">
        <f t="shared" si="24"/>
        <v>49675</v>
      </c>
      <c r="L77" s="21">
        <f>K77*E46</f>
        <v>64577.5</v>
      </c>
      <c r="M77" s="35">
        <f>L77*E48</f>
        <v>129155</v>
      </c>
      <c r="P77" s="10">
        <f t="shared" si="19"/>
        <v>164</v>
      </c>
      <c r="Q77" s="56">
        <f t="shared" si="16"/>
        <v>193732.5</v>
      </c>
      <c r="R77" s="58">
        <f>+'有効抵抗土圧(4P右)'!I174</f>
        <v>3088.8</v>
      </c>
      <c r="S77" s="58">
        <f>+'有効抵抗土圧(4P右)'!I175</f>
        <v>3088.8</v>
      </c>
      <c r="U77" s="10">
        <f t="shared" si="17"/>
        <v>164</v>
      </c>
      <c r="V77" s="56">
        <f t="shared" si="17"/>
        <v>193732.5</v>
      </c>
      <c r="W77" s="58">
        <f t="shared" si="18"/>
        <v>3088.8</v>
      </c>
      <c r="X77" s="58">
        <f t="shared" si="18"/>
        <v>3088.8</v>
      </c>
    </row>
    <row r="78" spans="4:24" ht="16.5" customHeight="1" x14ac:dyDescent="0.15">
      <c r="D78" s="112"/>
      <c r="E78" s="113"/>
      <c r="F78" s="122"/>
      <c r="G78" s="20">
        <f t="shared" si="25"/>
        <v>1.3</v>
      </c>
      <c r="H78" s="20"/>
      <c r="I78" s="10">
        <f t="shared" si="23"/>
        <v>141</v>
      </c>
      <c r="J78" s="10"/>
      <c r="K78" s="21">
        <f t="shared" si="24"/>
        <v>49675</v>
      </c>
      <c r="L78" s="21">
        <f>K78*E46</f>
        <v>64577.5</v>
      </c>
      <c r="M78" s="35">
        <f>L78*E48</f>
        <v>129155</v>
      </c>
      <c r="P78" s="10">
        <f t="shared" si="19"/>
        <v>165</v>
      </c>
      <c r="Q78" s="56">
        <f t="shared" si="16"/>
        <v>193732.5</v>
      </c>
      <c r="R78" s="58">
        <f>+'有効抵抗土圧(4P右)'!I176</f>
        <v>3088.8</v>
      </c>
      <c r="S78" s="58">
        <f>+'有効抵抗土圧(4P右)'!I177</f>
        <v>3088.8</v>
      </c>
      <c r="U78" s="10">
        <f t="shared" si="17"/>
        <v>165</v>
      </c>
      <c r="V78" s="56">
        <f t="shared" si="17"/>
        <v>193732.5</v>
      </c>
      <c r="W78" s="58">
        <f t="shared" ref="W78:X84" si="26">+R28</f>
        <v>3088.8</v>
      </c>
      <c r="X78" s="58">
        <f t="shared" si="26"/>
        <v>3088.8</v>
      </c>
    </row>
    <row r="79" spans="4:24" ht="16.5" customHeight="1" x14ac:dyDescent="0.15">
      <c r="D79" s="112"/>
      <c r="E79" s="113"/>
      <c r="F79" s="122"/>
      <c r="G79" s="20">
        <f t="shared" si="25"/>
        <v>1.3</v>
      </c>
      <c r="H79" s="20"/>
      <c r="I79" s="10">
        <f t="shared" si="23"/>
        <v>142</v>
      </c>
      <c r="J79" s="10"/>
      <c r="K79" s="21">
        <f t="shared" si="24"/>
        <v>49675</v>
      </c>
      <c r="L79" s="21">
        <f>K79*E46</f>
        <v>64577.5</v>
      </c>
      <c r="M79" s="35">
        <f>L79*E48</f>
        <v>129155</v>
      </c>
      <c r="P79" s="10">
        <f t="shared" si="19"/>
        <v>166</v>
      </c>
      <c r="Q79" s="56">
        <f t="shared" si="16"/>
        <v>193732.5</v>
      </c>
      <c r="R79" s="58">
        <f>+'有効抵抗土圧(4P右)'!I178</f>
        <v>3088.8</v>
      </c>
      <c r="S79" s="58">
        <f>+'有効抵抗土圧(4P右)'!I179</f>
        <v>3088.8</v>
      </c>
      <c r="U79" s="10">
        <f t="shared" si="17"/>
        <v>166</v>
      </c>
      <c r="V79" s="56">
        <f t="shared" si="17"/>
        <v>193732.5</v>
      </c>
      <c r="W79" s="58">
        <f t="shared" si="26"/>
        <v>3088.8</v>
      </c>
      <c r="X79" s="58">
        <f t="shared" si="26"/>
        <v>3088.8</v>
      </c>
    </row>
    <row r="80" spans="4:24" ht="16.5" customHeight="1" x14ac:dyDescent="0.15">
      <c r="D80" s="112"/>
      <c r="E80" s="113"/>
      <c r="F80" s="122"/>
      <c r="G80" s="20">
        <f t="shared" si="25"/>
        <v>1.3</v>
      </c>
      <c r="H80" s="20"/>
      <c r="I80" s="10">
        <f t="shared" si="23"/>
        <v>143</v>
      </c>
      <c r="J80" s="10"/>
      <c r="K80" s="21">
        <f t="shared" si="24"/>
        <v>49675</v>
      </c>
      <c r="L80" s="21">
        <f>K80*E46</f>
        <v>64577.5</v>
      </c>
      <c r="M80" s="35">
        <f>L80*E48</f>
        <v>129155</v>
      </c>
      <c r="P80" s="10">
        <f t="shared" si="19"/>
        <v>167</v>
      </c>
      <c r="Q80" s="56">
        <f t="shared" si="16"/>
        <v>193732.5</v>
      </c>
      <c r="R80" s="58">
        <f>+'有効抵抗土圧(4P右)'!I180</f>
        <v>3088.8</v>
      </c>
      <c r="S80" s="58">
        <f>+'有効抵抗土圧(4P右)'!I181</f>
        <v>3088.8</v>
      </c>
      <c r="U80" s="10">
        <f t="shared" si="17"/>
        <v>167</v>
      </c>
      <c r="V80" s="56">
        <f t="shared" si="17"/>
        <v>193732.5</v>
      </c>
      <c r="W80" s="58">
        <f t="shared" si="26"/>
        <v>3088.8</v>
      </c>
      <c r="X80" s="58">
        <f t="shared" si="26"/>
        <v>3088.8</v>
      </c>
    </row>
    <row r="81" spans="4:24" ht="16.5" customHeight="1" x14ac:dyDescent="0.15">
      <c r="D81" s="112"/>
      <c r="E81" s="113"/>
      <c r="F81" s="122"/>
      <c r="G81" s="20">
        <f t="shared" si="25"/>
        <v>1.3</v>
      </c>
      <c r="H81" s="20"/>
      <c r="I81" s="10">
        <f t="shared" si="23"/>
        <v>144</v>
      </c>
      <c r="J81" s="10"/>
      <c r="K81" s="21">
        <f t="shared" si="24"/>
        <v>49675</v>
      </c>
      <c r="L81" s="21">
        <f>K81*E46</f>
        <v>64577.5</v>
      </c>
      <c r="M81" s="35">
        <f>L81*E48</f>
        <v>129155</v>
      </c>
      <c r="P81" s="10">
        <f t="shared" si="19"/>
        <v>168</v>
      </c>
      <c r="Q81" s="56">
        <f t="shared" si="16"/>
        <v>193732.5</v>
      </c>
      <c r="R81" s="58">
        <f>+'有効抵抗土圧(4P右)'!I182</f>
        <v>3088.8</v>
      </c>
      <c r="S81" s="58">
        <f>+'有効抵抗土圧(4P右)'!I183</f>
        <v>3088.8</v>
      </c>
      <c r="U81" s="10">
        <f t="shared" si="17"/>
        <v>168</v>
      </c>
      <c r="V81" s="56">
        <f t="shared" si="17"/>
        <v>193732.5</v>
      </c>
      <c r="W81" s="58">
        <f t="shared" si="26"/>
        <v>3088.8</v>
      </c>
      <c r="X81" s="58">
        <f t="shared" si="26"/>
        <v>3088.8</v>
      </c>
    </row>
    <row r="82" spans="4:24" ht="16.5" customHeight="1" x14ac:dyDescent="0.15">
      <c r="D82" s="112"/>
      <c r="E82" s="113"/>
      <c r="F82" s="122"/>
      <c r="G82" s="20">
        <f t="shared" si="25"/>
        <v>1.3</v>
      </c>
      <c r="H82" s="20"/>
      <c r="I82" s="10">
        <f t="shared" si="23"/>
        <v>145</v>
      </c>
      <c r="J82" s="10"/>
      <c r="K82" s="21">
        <f t="shared" si="24"/>
        <v>49675</v>
      </c>
      <c r="L82" s="21">
        <f>K82*E46</f>
        <v>64577.5</v>
      </c>
      <c r="M82" s="35">
        <f>L82*E48</f>
        <v>129155</v>
      </c>
      <c r="P82" s="10">
        <f t="shared" si="19"/>
        <v>169</v>
      </c>
      <c r="Q82" s="56">
        <f t="shared" si="16"/>
        <v>193732.5</v>
      </c>
      <c r="R82" s="58">
        <f>+'有効抵抗土圧(4P右)'!I184</f>
        <v>3088.8</v>
      </c>
      <c r="S82" s="58">
        <f>+'有効抵抗土圧(4P右)'!I185</f>
        <v>3088.8</v>
      </c>
      <c r="U82" s="10">
        <f t="shared" si="17"/>
        <v>169</v>
      </c>
      <c r="V82" s="56">
        <f t="shared" si="17"/>
        <v>193732.5</v>
      </c>
      <c r="W82" s="58">
        <f t="shared" si="26"/>
        <v>3088.8</v>
      </c>
      <c r="X82" s="58">
        <f t="shared" si="26"/>
        <v>3088.8</v>
      </c>
    </row>
    <row r="83" spans="4:24" ht="16.5" customHeight="1" x14ac:dyDescent="0.15">
      <c r="D83" s="112"/>
      <c r="E83" s="113"/>
      <c r="F83" s="122"/>
      <c r="G83" s="39">
        <f>E74-H74-SUM(G75:H82)</f>
        <v>1.0999999999999996</v>
      </c>
      <c r="H83" s="20"/>
      <c r="I83" s="10">
        <f t="shared" si="23"/>
        <v>146</v>
      </c>
      <c r="J83" s="10"/>
      <c r="K83" s="21">
        <f t="shared" si="24"/>
        <v>49675</v>
      </c>
      <c r="L83" s="21">
        <f>K83*E46</f>
        <v>64577.5</v>
      </c>
      <c r="M83" s="35">
        <f>L83*E48</f>
        <v>129155</v>
      </c>
      <c r="P83" s="10">
        <f t="shared" si="19"/>
        <v>170</v>
      </c>
      <c r="Q83" s="56">
        <f t="shared" si="16"/>
        <v>193732.5</v>
      </c>
      <c r="R83" s="58">
        <f>+'有効抵抗土圧(4P右)'!I186</f>
        <v>3088.8</v>
      </c>
      <c r="S83" s="58">
        <f>+'有効抵抗土圧(4P右)'!I187</f>
        <v>3088.8</v>
      </c>
      <c r="U83" s="10">
        <f t="shared" si="17"/>
        <v>170</v>
      </c>
      <c r="V83" s="56">
        <f t="shared" si="17"/>
        <v>193732.5</v>
      </c>
      <c r="W83" s="58">
        <f t="shared" si="26"/>
        <v>3088.8</v>
      </c>
      <c r="X83" s="58">
        <f t="shared" si="26"/>
        <v>3088.8</v>
      </c>
    </row>
    <row r="84" spans="4:24" ht="16.5" customHeight="1" x14ac:dyDescent="0.15">
      <c r="D84" s="27" t="s">
        <v>28</v>
      </c>
      <c r="E84" s="24">
        <f>SUM(E54:E83)</f>
        <v>31</v>
      </c>
      <c r="F84" s="24"/>
      <c r="G84" s="24">
        <f>SUM(G54:G83)</f>
        <v>31.000000000000007</v>
      </c>
      <c r="H84" s="67"/>
      <c r="I84" s="68"/>
      <c r="J84" s="68"/>
      <c r="K84" s="68"/>
      <c r="L84" s="68"/>
      <c r="M84" s="69"/>
      <c r="P84" s="10">
        <f t="shared" si="19"/>
        <v>171</v>
      </c>
      <c r="Q84" s="56">
        <f t="shared" si="16"/>
        <v>193732.5</v>
      </c>
      <c r="R84" s="58">
        <f>+'有効抵抗土圧(4P右)'!I188</f>
        <v>3088.8</v>
      </c>
      <c r="S84" s="58">
        <f>+'有効抵抗土圧(4P右)'!I189</f>
        <v>3088.8</v>
      </c>
      <c r="U84" s="10">
        <f t="shared" si="17"/>
        <v>171</v>
      </c>
      <c r="V84" s="56">
        <f t="shared" si="17"/>
        <v>193732.5</v>
      </c>
      <c r="W84" s="58">
        <f t="shared" si="26"/>
        <v>3088.8</v>
      </c>
      <c r="X84" s="58">
        <f t="shared" si="26"/>
        <v>3088.8</v>
      </c>
    </row>
    <row r="85" spans="4:24" ht="16.5" customHeight="1" x14ac:dyDescent="0.15">
      <c r="I85" s="1"/>
    </row>
  </sheetData>
  <mergeCells count="120">
    <mergeCell ref="L6:M9"/>
    <mergeCell ref="D11:D12"/>
    <mergeCell ref="E11:E12"/>
    <mergeCell ref="F11:F12"/>
    <mergeCell ref="G12:G13"/>
    <mergeCell ref="I12:I13"/>
    <mergeCell ref="J12:J13"/>
    <mergeCell ref="K12:K13"/>
    <mergeCell ref="L12:L13"/>
    <mergeCell ref="M12:M13"/>
    <mergeCell ref="D6:D10"/>
    <mergeCell ref="E6:E10"/>
    <mergeCell ref="F6:F10"/>
    <mergeCell ref="G6:H10"/>
    <mergeCell ref="I6:J10"/>
    <mergeCell ref="K6:K10"/>
    <mergeCell ref="K14:K15"/>
    <mergeCell ref="L14:L15"/>
    <mergeCell ref="M14:M15"/>
    <mergeCell ref="D15:D17"/>
    <mergeCell ref="E15:E17"/>
    <mergeCell ref="F15:F17"/>
    <mergeCell ref="G17:G18"/>
    <mergeCell ref="I17:I18"/>
    <mergeCell ref="J17:J18"/>
    <mergeCell ref="K17:K18"/>
    <mergeCell ref="D13:D14"/>
    <mergeCell ref="E13:E14"/>
    <mergeCell ref="F13:F14"/>
    <mergeCell ref="G14:G15"/>
    <mergeCell ref="I14:I15"/>
    <mergeCell ref="J14:J15"/>
    <mergeCell ref="L17:L18"/>
    <mergeCell ref="M17:M18"/>
    <mergeCell ref="D18:D20"/>
    <mergeCell ref="E18:E20"/>
    <mergeCell ref="F18:F20"/>
    <mergeCell ref="G20:G22"/>
    <mergeCell ref="I20:I22"/>
    <mergeCell ref="J20:J22"/>
    <mergeCell ref="K20:K22"/>
    <mergeCell ref="L20:L22"/>
    <mergeCell ref="M20:M22"/>
    <mergeCell ref="D22:D30"/>
    <mergeCell ref="E22:E30"/>
    <mergeCell ref="F22:F30"/>
    <mergeCell ref="G30:G31"/>
    <mergeCell ref="I30:I31"/>
    <mergeCell ref="J30:J31"/>
    <mergeCell ref="K30:K31"/>
    <mergeCell ref="L30:L31"/>
    <mergeCell ref="M30:M31"/>
    <mergeCell ref="D31:D40"/>
    <mergeCell ref="E31:E40"/>
    <mergeCell ref="F31:F40"/>
    <mergeCell ref="H41:M41"/>
    <mergeCell ref="D49:D53"/>
    <mergeCell ref="E49:E53"/>
    <mergeCell ref="F49:F53"/>
    <mergeCell ref="G49:H53"/>
    <mergeCell ref="I49:J53"/>
    <mergeCell ref="K49:K53"/>
    <mergeCell ref="J57:J58"/>
    <mergeCell ref="L49:M52"/>
    <mergeCell ref="D54:D55"/>
    <mergeCell ref="E54:E55"/>
    <mergeCell ref="F54:F55"/>
    <mergeCell ref="G55:G56"/>
    <mergeCell ref="I55:I56"/>
    <mergeCell ref="J55:J56"/>
    <mergeCell ref="K55:K56"/>
    <mergeCell ref="L55:L56"/>
    <mergeCell ref="M55:M56"/>
    <mergeCell ref="H84:M84"/>
    <mergeCell ref="M63:M65"/>
    <mergeCell ref="D65:D73"/>
    <mergeCell ref="E65:E73"/>
    <mergeCell ref="F65:F73"/>
    <mergeCell ref="G73:G74"/>
    <mergeCell ref="I73:I74"/>
    <mergeCell ref="J73:J74"/>
    <mergeCell ref="K73:K74"/>
    <mergeCell ref="L73:L74"/>
    <mergeCell ref="M73:M74"/>
    <mergeCell ref="D61:D63"/>
    <mergeCell ref="E61:E63"/>
    <mergeCell ref="F61:F63"/>
    <mergeCell ref="G63:G65"/>
    <mergeCell ref="I63:I65"/>
    <mergeCell ref="J63:J65"/>
    <mergeCell ref="K63:K65"/>
    <mergeCell ref="L63:L65"/>
    <mergeCell ref="G60:G61"/>
    <mergeCell ref="I60:I61"/>
    <mergeCell ref="J60:J61"/>
    <mergeCell ref="K60:K61"/>
    <mergeCell ref="P6:S8"/>
    <mergeCell ref="P9:P10"/>
    <mergeCell ref="Q9:Q10"/>
    <mergeCell ref="R9:S9"/>
    <mergeCell ref="U6:X8"/>
    <mergeCell ref="U9:U10"/>
    <mergeCell ref="V9:V10"/>
    <mergeCell ref="W9:X9"/>
    <mergeCell ref="D74:D83"/>
    <mergeCell ref="E74:E83"/>
    <mergeCell ref="F74:F83"/>
    <mergeCell ref="L60:L61"/>
    <mergeCell ref="M60:M61"/>
    <mergeCell ref="K57:K58"/>
    <mergeCell ref="L57:L58"/>
    <mergeCell ref="M57:M58"/>
    <mergeCell ref="D58:D60"/>
    <mergeCell ref="E58:E60"/>
    <mergeCell ref="F58:F60"/>
    <mergeCell ref="D56:D57"/>
    <mergeCell ref="E56:E57"/>
    <mergeCell ref="F56:F57"/>
    <mergeCell ref="G57:G58"/>
    <mergeCell ref="I57:I58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  <rowBreaks count="1" manualBreakCount="1">
    <brk id="43" max="13" man="1"/>
  </rowBreaks>
  <ignoredErrors>
    <ignoredError sqref="H14 H5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A32B-BEE5-4CFD-9C19-CC14BD5E1058}">
  <dimension ref="B1:O191"/>
  <sheetViews>
    <sheetView view="pageBreakPreview" topLeftCell="A157" zoomScale="75" zoomScaleNormal="75" zoomScaleSheetLayoutView="75" workbookViewId="0">
      <selection activeCell="B8" sqref="B8"/>
    </sheetView>
  </sheetViews>
  <sheetFormatPr defaultColWidth="2.625" defaultRowHeight="16.5" customHeight="1" x14ac:dyDescent="0.15"/>
  <cols>
    <col min="1" max="3" width="2.625" style="3" customWidth="1"/>
    <col min="4" max="21" width="8.625" style="3" customWidth="1"/>
    <col min="22" max="16384" width="2.625" style="3"/>
  </cols>
  <sheetData>
    <row r="1" spans="3:13" ht="16.5" customHeight="1" x14ac:dyDescent="0.15">
      <c r="C1" s="7"/>
      <c r="D1" s="4"/>
    </row>
    <row r="2" spans="3:13" ht="16.5" customHeight="1" x14ac:dyDescent="0.15">
      <c r="C2" s="7" t="s">
        <v>7</v>
      </c>
      <c r="D2" s="4" t="s">
        <v>19</v>
      </c>
    </row>
    <row r="3" spans="3:13" ht="16.5" customHeight="1" x14ac:dyDescent="0.15">
      <c r="C3" s="7" t="s">
        <v>20</v>
      </c>
      <c r="D3" s="4" t="s">
        <v>79</v>
      </c>
    </row>
    <row r="4" spans="3:13" s="4" customFormat="1" ht="16.5" customHeight="1" x14ac:dyDescent="0.15">
      <c r="C4" s="5"/>
      <c r="D4" s="4" t="s">
        <v>12</v>
      </c>
      <c r="E4" s="16">
        <v>1.3</v>
      </c>
      <c r="F4" s="4" t="s">
        <v>4</v>
      </c>
    </row>
    <row r="5" spans="3:13" s="4" customFormat="1" ht="16.5" customHeight="1" x14ac:dyDescent="0.15">
      <c r="C5" s="5"/>
      <c r="D5" s="4" t="s">
        <v>17</v>
      </c>
      <c r="E5" s="16">
        <v>31</v>
      </c>
      <c r="F5" s="4" t="s">
        <v>4</v>
      </c>
    </row>
    <row r="6" spans="3:13" ht="16.5" customHeight="1" x14ac:dyDescent="0.15">
      <c r="D6" s="96" t="s">
        <v>9</v>
      </c>
      <c r="E6" s="193" t="s">
        <v>59</v>
      </c>
      <c r="F6" s="182" t="s">
        <v>29</v>
      </c>
      <c r="G6" s="86" t="s">
        <v>11</v>
      </c>
      <c r="H6" s="73"/>
      <c r="I6" s="74"/>
      <c r="J6" s="101" t="s">
        <v>62</v>
      </c>
      <c r="K6" s="101" t="s">
        <v>60</v>
      </c>
      <c r="L6" s="191" t="s">
        <v>47</v>
      </c>
      <c r="M6" s="104" t="s">
        <v>61</v>
      </c>
    </row>
    <row r="7" spans="3:13" ht="16.5" customHeight="1" x14ac:dyDescent="0.15">
      <c r="D7" s="96"/>
      <c r="E7" s="194"/>
      <c r="F7" s="182"/>
      <c r="G7" s="75"/>
      <c r="H7" s="71"/>
      <c r="I7" s="76"/>
      <c r="J7" s="102"/>
      <c r="K7" s="102"/>
      <c r="L7" s="191"/>
      <c r="M7" s="105"/>
    </row>
    <row r="8" spans="3:13" ht="16.5" customHeight="1" x14ac:dyDescent="0.15">
      <c r="D8" s="96"/>
      <c r="E8" s="194"/>
      <c r="F8" s="182"/>
      <c r="G8" s="75"/>
      <c r="H8" s="71"/>
      <c r="I8" s="76"/>
      <c r="J8" s="102"/>
      <c r="K8" s="102"/>
      <c r="L8" s="191"/>
      <c r="M8" s="105"/>
    </row>
    <row r="9" spans="3:13" ht="16.5" customHeight="1" x14ac:dyDescent="0.15">
      <c r="D9" s="96"/>
      <c r="E9" s="194"/>
      <c r="F9" s="182"/>
      <c r="G9" s="75"/>
      <c r="H9" s="71"/>
      <c r="I9" s="76"/>
      <c r="J9" s="102"/>
      <c r="K9" s="102"/>
      <c r="L9" s="191"/>
      <c r="M9" s="105"/>
    </row>
    <row r="10" spans="3:13" ht="16.5" customHeight="1" x14ac:dyDescent="0.15">
      <c r="D10" s="96"/>
      <c r="E10" s="98"/>
      <c r="F10" s="182"/>
      <c r="G10" s="77"/>
      <c r="H10" s="78"/>
      <c r="I10" s="79"/>
      <c r="J10" s="103"/>
      <c r="K10" s="103"/>
      <c r="L10" s="191"/>
      <c r="M10" s="106"/>
    </row>
    <row r="11" spans="3:13" ht="16.5" customHeight="1" x14ac:dyDescent="0.15">
      <c r="D11" s="96" t="s">
        <v>0</v>
      </c>
      <c r="E11" s="97" t="s">
        <v>50</v>
      </c>
      <c r="F11" s="192">
        <v>1.5</v>
      </c>
      <c r="G11" s="189">
        <v>98</v>
      </c>
      <c r="H11" s="189">
        <v>123</v>
      </c>
      <c r="I11" s="189">
        <v>148</v>
      </c>
      <c r="J11" s="42">
        <v>0</v>
      </c>
      <c r="K11" s="43"/>
      <c r="L11" s="44">
        <v>782.3</v>
      </c>
      <c r="M11" s="40"/>
    </row>
    <row r="12" spans="3:13" ht="16.5" customHeight="1" x14ac:dyDescent="0.15">
      <c r="D12" s="96"/>
      <c r="E12" s="97"/>
      <c r="F12" s="192"/>
      <c r="G12" s="190"/>
      <c r="H12" s="190"/>
      <c r="I12" s="190"/>
      <c r="J12" s="187">
        <v>1.3</v>
      </c>
      <c r="K12" s="46"/>
      <c r="L12" s="185">
        <f>+L11+(L14-L11)/F11*(J12-J11)</f>
        <v>879.45333333333326</v>
      </c>
      <c r="M12" s="40"/>
    </row>
    <row r="13" spans="3:13" ht="16.5" customHeight="1" x14ac:dyDescent="0.15">
      <c r="D13" s="96"/>
      <c r="E13" s="97"/>
      <c r="F13" s="192"/>
      <c r="G13" s="131">
        <f>+G11+1</f>
        <v>99</v>
      </c>
      <c r="H13" s="131">
        <f>+H11+1</f>
        <v>124</v>
      </c>
      <c r="I13" s="131">
        <f>+I11+1</f>
        <v>149</v>
      </c>
      <c r="J13" s="188"/>
      <c r="K13" s="133">
        <f>+J14-J12</f>
        <v>0.19999999999999996</v>
      </c>
      <c r="L13" s="186"/>
      <c r="M13" s="15">
        <f>0.5*((L12+L14)*K13+(L15+L16)*K15)/(K13+K15)</f>
        <v>1337.9073570019723</v>
      </c>
    </row>
    <row r="14" spans="3:13" ht="16.5" customHeight="1" x14ac:dyDescent="0.15">
      <c r="D14" s="96"/>
      <c r="E14" s="97"/>
      <c r="F14" s="192"/>
      <c r="G14" s="136"/>
      <c r="H14" s="136"/>
      <c r="I14" s="136"/>
      <c r="J14" s="20">
        <f>+F11</f>
        <v>1.5</v>
      </c>
      <c r="K14" s="135"/>
      <c r="L14" s="44">
        <v>894.4</v>
      </c>
      <c r="M14" s="31"/>
    </row>
    <row r="15" spans="3:13" ht="16.5" customHeight="1" x14ac:dyDescent="0.15">
      <c r="D15" s="96" t="s">
        <v>1</v>
      </c>
      <c r="E15" s="97" t="s">
        <v>50</v>
      </c>
      <c r="F15" s="192">
        <v>1.3</v>
      </c>
      <c r="G15" s="136"/>
      <c r="H15" s="136"/>
      <c r="I15" s="136"/>
      <c r="J15" s="42">
        <f>+J14</f>
        <v>1.5</v>
      </c>
      <c r="K15" s="133">
        <f>+J16-J15</f>
        <v>1.1000000000000001</v>
      </c>
      <c r="L15" s="44">
        <v>1357.5</v>
      </c>
      <c r="M15" s="31"/>
    </row>
    <row r="16" spans="3:13" ht="16.5" customHeight="1" x14ac:dyDescent="0.15">
      <c r="D16" s="96"/>
      <c r="E16" s="97"/>
      <c r="F16" s="192"/>
      <c r="G16" s="132"/>
      <c r="H16" s="132"/>
      <c r="I16" s="132"/>
      <c r="J16" s="183">
        <f>+J12+E4</f>
        <v>2.6</v>
      </c>
      <c r="K16" s="135"/>
      <c r="L16" s="185">
        <f>+L15+(L18-L15)/F15*(J16-J15)</f>
        <v>1482.3076923076924</v>
      </c>
      <c r="M16" s="15">
        <f>+M13</f>
        <v>1337.9073570019723</v>
      </c>
    </row>
    <row r="17" spans="4:13" ht="16.5" customHeight="1" x14ac:dyDescent="0.15">
      <c r="D17" s="96"/>
      <c r="E17" s="97"/>
      <c r="F17" s="192"/>
      <c r="G17" s="72">
        <f>+G13+1</f>
        <v>100</v>
      </c>
      <c r="H17" s="72">
        <f>+H13+1</f>
        <v>125</v>
      </c>
      <c r="I17" s="72">
        <f>+I13+1</f>
        <v>150</v>
      </c>
      <c r="J17" s="184"/>
      <c r="K17" s="133">
        <f>+J18-J16</f>
        <v>0.19999999999999973</v>
      </c>
      <c r="L17" s="186"/>
      <c r="M17" s="15">
        <f>0.5*((L16+L18)*K17+(L19+L20)*K19)/(K17+K19)</f>
        <v>610.56213017751452</v>
      </c>
    </row>
    <row r="18" spans="4:13" ht="16.5" customHeight="1" x14ac:dyDescent="0.15">
      <c r="D18" s="96"/>
      <c r="E18" s="97"/>
      <c r="F18" s="192"/>
      <c r="G18" s="72"/>
      <c r="H18" s="72"/>
      <c r="I18" s="72"/>
      <c r="J18" s="20">
        <f>+J15+F15</f>
        <v>2.8</v>
      </c>
      <c r="K18" s="135"/>
      <c r="L18" s="44">
        <v>1505</v>
      </c>
      <c r="M18" s="40"/>
    </row>
    <row r="19" spans="4:13" ht="16.5" customHeight="1" x14ac:dyDescent="0.15">
      <c r="D19" s="96" t="s">
        <v>2</v>
      </c>
      <c r="E19" s="180" t="s">
        <v>57</v>
      </c>
      <c r="F19" s="192">
        <v>2.9</v>
      </c>
      <c r="G19" s="72"/>
      <c r="H19" s="72"/>
      <c r="I19" s="72"/>
      <c r="J19" s="42">
        <f>+J18</f>
        <v>2.8</v>
      </c>
      <c r="K19" s="133">
        <f>+J20-J19</f>
        <v>1.1000000000000005</v>
      </c>
      <c r="L19" s="44">
        <v>450</v>
      </c>
      <c r="M19" s="40"/>
    </row>
    <row r="20" spans="4:13" ht="16.5" customHeight="1" x14ac:dyDescent="0.15">
      <c r="D20" s="96"/>
      <c r="E20" s="180"/>
      <c r="F20" s="192"/>
      <c r="G20" s="72"/>
      <c r="H20" s="72"/>
      <c r="I20" s="72"/>
      <c r="J20" s="183">
        <f>+J16+E4</f>
        <v>3.9000000000000004</v>
      </c>
      <c r="K20" s="135"/>
      <c r="L20" s="185">
        <f>+L19+(L24-L19)/F19*(J20-J19)</f>
        <v>450</v>
      </c>
      <c r="M20" s="15">
        <f>+M17</f>
        <v>610.56213017751452</v>
      </c>
    </row>
    <row r="21" spans="4:13" ht="16.5" customHeight="1" x14ac:dyDescent="0.15">
      <c r="D21" s="96"/>
      <c r="E21" s="180"/>
      <c r="F21" s="192"/>
      <c r="G21" s="131">
        <f>+G17+1</f>
        <v>101</v>
      </c>
      <c r="H21" s="131">
        <f>+H17+1</f>
        <v>126</v>
      </c>
      <c r="I21" s="131">
        <f>+I17+1</f>
        <v>151</v>
      </c>
      <c r="J21" s="184"/>
      <c r="K21" s="45"/>
      <c r="L21" s="186"/>
      <c r="M21" s="40"/>
    </row>
    <row r="22" spans="4:13" ht="16.5" customHeight="1" x14ac:dyDescent="0.15">
      <c r="D22" s="96"/>
      <c r="E22" s="180"/>
      <c r="F22" s="192"/>
      <c r="G22" s="132"/>
      <c r="H22" s="132"/>
      <c r="I22" s="132"/>
      <c r="J22" s="183">
        <f>+J20+E4</f>
        <v>5.2</v>
      </c>
      <c r="K22" s="45"/>
      <c r="L22" s="185">
        <f>+L19+(L24-L19)/F19*(J22-J19)</f>
        <v>450</v>
      </c>
      <c r="M22" s="40"/>
    </row>
    <row r="23" spans="4:13" ht="16.5" customHeight="1" x14ac:dyDescent="0.15">
      <c r="D23" s="96"/>
      <c r="E23" s="180"/>
      <c r="F23" s="192"/>
      <c r="G23" s="131">
        <f>+G21+1</f>
        <v>102</v>
      </c>
      <c r="H23" s="131">
        <f>+H21+1</f>
        <v>127</v>
      </c>
      <c r="I23" s="131">
        <f>+I21+1</f>
        <v>152</v>
      </c>
      <c r="J23" s="184"/>
      <c r="K23" s="133">
        <f>+J24-J22</f>
        <v>0.49999999999999911</v>
      </c>
      <c r="L23" s="186"/>
      <c r="M23" s="15">
        <f>0.5*((L22+L24)*K23+(L25+L26)*K25)/(K23+K25)</f>
        <v>1171.0461538461545</v>
      </c>
    </row>
    <row r="24" spans="4:13" ht="16.5" customHeight="1" x14ac:dyDescent="0.15">
      <c r="D24" s="96"/>
      <c r="E24" s="180"/>
      <c r="F24" s="192"/>
      <c r="G24" s="136"/>
      <c r="H24" s="136"/>
      <c r="I24" s="136"/>
      <c r="J24" s="20">
        <f>+J19+F19</f>
        <v>5.6999999999999993</v>
      </c>
      <c r="K24" s="135"/>
      <c r="L24" s="44">
        <v>450</v>
      </c>
      <c r="M24" s="40"/>
    </row>
    <row r="25" spans="4:13" ht="16.5" customHeight="1" x14ac:dyDescent="0.15">
      <c r="D25" s="96" t="s">
        <v>3</v>
      </c>
      <c r="E25" s="97" t="s">
        <v>50</v>
      </c>
      <c r="F25" s="192">
        <v>2.6</v>
      </c>
      <c r="G25" s="136"/>
      <c r="H25" s="136"/>
      <c r="I25" s="136"/>
      <c r="J25" s="42">
        <f>+J24</f>
        <v>5.6999999999999993</v>
      </c>
      <c r="K25" s="133">
        <f>+J26-J25</f>
        <v>0.80000000000000071</v>
      </c>
      <c r="L25" s="44">
        <v>1580.1</v>
      </c>
      <c r="M25" s="40"/>
    </row>
    <row r="26" spans="4:13" ht="16.5" customHeight="1" x14ac:dyDescent="0.15">
      <c r="D26" s="96"/>
      <c r="E26" s="97"/>
      <c r="F26" s="192"/>
      <c r="G26" s="132"/>
      <c r="H26" s="132"/>
      <c r="I26" s="132"/>
      <c r="J26" s="183">
        <f>+J22+E4</f>
        <v>6.5</v>
      </c>
      <c r="K26" s="135"/>
      <c r="L26" s="185">
        <f>+L25+(L30-L25)/F25*(J26-J25)</f>
        <v>1663.3</v>
      </c>
      <c r="M26" s="15">
        <f>+M23</f>
        <v>1171.0461538461545</v>
      </c>
    </row>
    <row r="27" spans="4:13" ht="16.5" customHeight="1" x14ac:dyDescent="0.15">
      <c r="D27" s="96"/>
      <c r="E27" s="97"/>
      <c r="F27" s="192"/>
      <c r="G27" s="72">
        <f>+G23+1</f>
        <v>103</v>
      </c>
      <c r="H27" s="72">
        <f>+H23+1</f>
        <v>128</v>
      </c>
      <c r="I27" s="72">
        <f>+I23+1</f>
        <v>153</v>
      </c>
      <c r="J27" s="184"/>
      <c r="K27" s="45"/>
      <c r="L27" s="186"/>
      <c r="M27" s="40"/>
    </row>
    <row r="28" spans="4:13" ht="16.5" customHeight="1" x14ac:dyDescent="0.15">
      <c r="D28" s="96"/>
      <c r="E28" s="97"/>
      <c r="F28" s="192"/>
      <c r="G28" s="72"/>
      <c r="H28" s="72"/>
      <c r="I28" s="72"/>
      <c r="J28" s="183">
        <f>+J26+E4</f>
        <v>7.8</v>
      </c>
      <c r="K28" s="45"/>
      <c r="L28" s="185">
        <f>+L25+(L30-L25)/F25*(J28-J25)</f>
        <v>1798.5</v>
      </c>
      <c r="M28" s="40"/>
    </row>
    <row r="29" spans="4:13" ht="16.5" customHeight="1" x14ac:dyDescent="0.15">
      <c r="D29" s="96"/>
      <c r="E29" s="97"/>
      <c r="F29" s="192"/>
      <c r="G29" s="131">
        <f>+G27+1</f>
        <v>104</v>
      </c>
      <c r="H29" s="131">
        <f>+H27+1</f>
        <v>129</v>
      </c>
      <c r="I29" s="131">
        <f>+I27+1</f>
        <v>154</v>
      </c>
      <c r="J29" s="184"/>
      <c r="K29" s="133">
        <f>+J30-J28</f>
        <v>0.49999999999999911</v>
      </c>
      <c r="L29" s="186"/>
      <c r="M29" s="15">
        <f>0.5*((L28+L30)*K29+(L31+L32)*K31)/(K29+K31)</f>
        <v>1776.1923076923076</v>
      </c>
    </row>
    <row r="30" spans="4:13" ht="16.5" customHeight="1" x14ac:dyDescent="0.15">
      <c r="D30" s="96"/>
      <c r="E30" s="97"/>
      <c r="F30" s="192"/>
      <c r="G30" s="136"/>
      <c r="H30" s="136"/>
      <c r="I30" s="136"/>
      <c r="J30" s="20">
        <f>+J25+F25</f>
        <v>8.2999999999999989</v>
      </c>
      <c r="K30" s="135"/>
      <c r="L30" s="44">
        <v>1850.5</v>
      </c>
      <c r="M30" s="40"/>
    </row>
    <row r="31" spans="4:13" ht="16.5" customHeight="1" x14ac:dyDescent="0.15">
      <c r="D31" s="96" t="s">
        <v>13</v>
      </c>
      <c r="E31" s="180" t="s">
        <v>57</v>
      </c>
      <c r="F31" s="192">
        <v>0.6</v>
      </c>
      <c r="G31" s="136"/>
      <c r="H31" s="136"/>
      <c r="I31" s="136"/>
      <c r="J31" s="42">
        <f>+J30</f>
        <v>8.2999999999999989</v>
      </c>
      <c r="K31" s="133">
        <f>+J32-J31</f>
        <v>0.80000000000000071</v>
      </c>
      <c r="L31" s="44">
        <v>1746</v>
      </c>
      <c r="M31" s="40"/>
    </row>
    <row r="32" spans="4:13" ht="16.5" customHeight="1" x14ac:dyDescent="0.15">
      <c r="D32" s="96"/>
      <c r="E32" s="180"/>
      <c r="F32" s="192"/>
      <c r="G32" s="132"/>
      <c r="H32" s="132"/>
      <c r="I32" s="132"/>
      <c r="J32" s="183">
        <f>+J28+E4</f>
        <v>9.1</v>
      </c>
      <c r="K32" s="135"/>
      <c r="L32" s="185">
        <f>+L31+(L34-L31)/F31*(J32-J31)</f>
        <v>1746</v>
      </c>
      <c r="M32" s="15">
        <f>+M29</f>
        <v>1776.1923076923076</v>
      </c>
    </row>
    <row r="33" spans="4:13" ht="16.5" customHeight="1" x14ac:dyDescent="0.15">
      <c r="D33" s="96"/>
      <c r="E33" s="180"/>
      <c r="F33" s="192"/>
      <c r="G33" s="131">
        <f>+G29+1</f>
        <v>105</v>
      </c>
      <c r="H33" s="131">
        <f>+H29+1</f>
        <v>130</v>
      </c>
      <c r="I33" s="131">
        <f>+I29+1</f>
        <v>155</v>
      </c>
      <c r="J33" s="184"/>
      <c r="K33" s="133">
        <f>+J34-J32</f>
        <v>-0.20000000000000107</v>
      </c>
      <c r="L33" s="186"/>
      <c r="M33" s="15">
        <f>0.5*((L32+L34)*K33+(L35+L36)*K35)/(K33+K35)</f>
        <v>2113.8066801619443</v>
      </c>
    </row>
    <row r="34" spans="4:13" ht="16.5" customHeight="1" x14ac:dyDescent="0.15">
      <c r="D34" s="96"/>
      <c r="E34" s="180"/>
      <c r="F34" s="192"/>
      <c r="G34" s="136"/>
      <c r="H34" s="136"/>
      <c r="I34" s="136"/>
      <c r="J34" s="20">
        <f>+J31+F31</f>
        <v>8.8999999999999986</v>
      </c>
      <c r="K34" s="135"/>
      <c r="L34" s="44">
        <v>1746</v>
      </c>
      <c r="M34" s="40"/>
    </row>
    <row r="35" spans="4:13" ht="16.5" customHeight="1" x14ac:dyDescent="0.15">
      <c r="D35" s="96" t="s">
        <v>14</v>
      </c>
      <c r="E35" s="97" t="s">
        <v>50</v>
      </c>
      <c r="F35" s="192">
        <v>9.5</v>
      </c>
      <c r="G35" s="136"/>
      <c r="H35" s="136"/>
      <c r="I35" s="136"/>
      <c r="J35" s="42">
        <f>+J34</f>
        <v>8.8999999999999986</v>
      </c>
      <c r="K35" s="133">
        <f>+J36-J35</f>
        <v>1.5000000000000018</v>
      </c>
      <c r="L35" s="44">
        <v>1983.3</v>
      </c>
      <c r="M35" s="40"/>
    </row>
    <row r="36" spans="4:13" ht="16.5" customHeight="1" x14ac:dyDescent="0.15">
      <c r="D36" s="96"/>
      <c r="E36" s="97"/>
      <c r="F36" s="192"/>
      <c r="G36" s="132"/>
      <c r="H36" s="132"/>
      <c r="I36" s="132"/>
      <c r="J36" s="183">
        <f>+J32+E4</f>
        <v>10.4</v>
      </c>
      <c r="K36" s="135"/>
      <c r="L36" s="185">
        <f>+L35+(L50-L35)/F35*(J36-J35)</f>
        <v>2146.2315789473687</v>
      </c>
      <c r="M36" s="15">
        <f>+M33</f>
        <v>2113.8066801619443</v>
      </c>
    </row>
    <row r="37" spans="4:13" ht="16.5" customHeight="1" x14ac:dyDescent="0.15">
      <c r="D37" s="96"/>
      <c r="E37" s="97"/>
      <c r="F37" s="192"/>
      <c r="G37" s="131">
        <f>+G33+1</f>
        <v>106</v>
      </c>
      <c r="H37" s="131">
        <f>+H33+1</f>
        <v>131</v>
      </c>
      <c r="I37" s="131">
        <f>+I33+1</f>
        <v>156</v>
      </c>
      <c r="J37" s="184"/>
      <c r="K37" s="45"/>
      <c r="L37" s="186"/>
      <c r="M37" s="40"/>
    </row>
    <row r="38" spans="4:13" ht="16.5" customHeight="1" x14ac:dyDescent="0.15">
      <c r="D38" s="96"/>
      <c r="E38" s="97"/>
      <c r="F38" s="192"/>
      <c r="G38" s="132"/>
      <c r="H38" s="132"/>
      <c r="I38" s="132"/>
      <c r="J38" s="183">
        <f>+J36+E4</f>
        <v>11.700000000000001</v>
      </c>
      <c r="K38" s="45"/>
      <c r="L38" s="185">
        <f>+L35+(L50-L35)/F35*(J38-J35)</f>
        <v>2287.4389473684214</v>
      </c>
      <c r="M38" s="40"/>
    </row>
    <row r="39" spans="4:13" ht="16.5" customHeight="1" x14ac:dyDescent="0.15">
      <c r="D39" s="96"/>
      <c r="E39" s="97"/>
      <c r="F39" s="192"/>
      <c r="G39" s="131">
        <f>+G37+1</f>
        <v>107</v>
      </c>
      <c r="H39" s="131">
        <f>+H37+1</f>
        <v>132</v>
      </c>
      <c r="I39" s="131">
        <f>+I37+1</f>
        <v>157</v>
      </c>
      <c r="J39" s="184"/>
      <c r="K39" s="45"/>
      <c r="L39" s="186"/>
      <c r="M39" s="40"/>
    </row>
    <row r="40" spans="4:13" ht="16.5" customHeight="1" x14ac:dyDescent="0.15">
      <c r="D40" s="96"/>
      <c r="E40" s="97"/>
      <c r="F40" s="192"/>
      <c r="G40" s="132"/>
      <c r="H40" s="132"/>
      <c r="I40" s="132"/>
      <c r="J40" s="183">
        <f>+J38+E4</f>
        <v>13.000000000000002</v>
      </c>
      <c r="K40" s="45"/>
      <c r="L40" s="185">
        <f>+L35+(L50-L35)/F35*(J40-J35)</f>
        <v>2428.6463157894741</v>
      </c>
      <c r="M40" s="40"/>
    </row>
    <row r="41" spans="4:13" ht="16.5" customHeight="1" x14ac:dyDescent="0.15">
      <c r="D41" s="96"/>
      <c r="E41" s="97"/>
      <c r="F41" s="192"/>
      <c r="G41" s="131">
        <f>+G39+1</f>
        <v>108</v>
      </c>
      <c r="H41" s="131">
        <f>+H39+1</f>
        <v>133</v>
      </c>
      <c r="I41" s="131">
        <f>+I39+1</f>
        <v>158</v>
      </c>
      <c r="J41" s="184"/>
      <c r="K41" s="45"/>
      <c r="L41" s="186"/>
      <c r="M41" s="40"/>
    </row>
    <row r="42" spans="4:13" ht="16.5" customHeight="1" x14ac:dyDescent="0.15">
      <c r="D42" s="96"/>
      <c r="E42" s="97"/>
      <c r="F42" s="192"/>
      <c r="G42" s="132"/>
      <c r="H42" s="132"/>
      <c r="I42" s="132"/>
      <c r="J42" s="183">
        <f>+J40+E4</f>
        <v>14.300000000000002</v>
      </c>
      <c r="K42" s="45"/>
      <c r="L42" s="185">
        <f>+L35+(L50-L35)/F35*(J42-J35)</f>
        <v>2569.8536842105268</v>
      </c>
      <c r="M42" s="40"/>
    </row>
    <row r="43" spans="4:13" ht="16.5" customHeight="1" x14ac:dyDescent="0.15">
      <c r="D43" s="96"/>
      <c r="E43" s="97"/>
      <c r="F43" s="192"/>
      <c r="G43" s="131">
        <f>+G41+1</f>
        <v>109</v>
      </c>
      <c r="H43" s="131">
        <f>+H41+1</f>
        <v>134</v>
      </c>
      <c r="I43" s="131">
        <f>+I41+1</f>
        <v>159</v>
      </c>
      <c r="J43" s="184"/>
      <c r="K43" s="45"/>
      <c r="L43" s="186"/>
      <c r="M43" s="40"/>
    </row>
    <row r="44" spans="4:13" ht="16.5" customHeight="1" x14ac:dyDescent="0.15">
      <c r="D44" s="96"/>
      <c r="E44" s="97"/>
      <c r="F44" s="192"/>
      <c r="G44" s="132"/>
      <c r="H44" s="132"/>
      <c r="I44" s="132"/>
      <c r="J44" s="183">
        <f>+J42+E4</f>
        <v>15.600000000000003</v>
      </c>
      <c r="K44" s="45"/>
      <c r="L44" s="185">
        <f>+L35+(L50-L35)/F35*(J44-J35)</f>
        <v>2711.0610526315795</v>
      </c>
      <c r="M44" s="40"/>
    </row>
    <row r="45" spans="4:13" ht="16.5" customHeight="1" x14ac:dyDescent="0.15">
      <c r="D45" s="96"/>
      <c r="E45" s="97"/>
      <c r="F45" s="192"/>
      <c r="G45" s="131">
        <f>+G43+1</f>
        <v>110</v>
      </c>
      <c r="H45" s="131">
        <f>+H43+1</f>
        <v>135</v>
      </c>
      <c r="I45" s="131">
        <f>+I43+1</f>
        <v>160</v>
      </c>
      <c r="J45" s="184"/>
      <c r="K45" s="45"/>
      <c r="L45" s="186"/>
      <c r="M45" s="40"/>
    </row>
    <row r="46" spans="4:13" ht="16.5" customHeight="1" x14ac:dyDescent="0.15">
      <c r="D46" s="96"/>
      <c r="E46" s="97"/>
      <c r="F46" s="192"/>
      <c r="G46" s="132"/>
      <c r="H46" s="132"/>
      <c r="I46" s="132"/>
      <c r="J46" s="183">
        <f>+J44+E4</f>
        <v>16.900000000000002</v>
      </c>
      <c r="K46" s="45"/>
      <c r="L46" s="185">
        <f>+L35+(L50-L35)/F35*(J46-J35)</f>
        <v>2852.2684210526318</v>
      </c>
      <c r="M46" s="40"/>
    </row>
    <row r="47" spans="4:13" ht="16.5" customHeight="1" x14ac:dyDescent="0.15">
      <c r="D47" s="96"/>
      <c r="E47" s="97"/>
      <c r="F47" s="192"/>
      <c r="G47" s="131">
        <f>+G45+1</f>
        <v>111</v>
      </c>
      <c r="H47" s="131">
        <f>+H45+1</f>
        <v>136</v>
      </c>
      <c r="I47" s="131">
        <f>+I45+1</f>
        <v>161</v>
      </c>
      <c r="J47" s="184"/>
      <c r="K47" s="45"/>
      <c r="L47" s="186"/>
      <c r="M47" s="40"/>
    </row>
    <row r="48" spans="4:13" ht="16.5" customHeight="1" x14ac:dyDescent="0.15">
      <c r="D48" s="96"/>
      <c r="E48" s="97"/>
      <c r="F48" s="192"/>
      <c r="G48" s="132"/>
      <c r="H48" s="132"/>
      <c r="I48" s="132"/>
      <c r="J48" s="183">
        <f>+J46+E4</f>
        <v>18.200000000000003</v>
      </c>
      <c r="K48" s="45"/>
      <c r="L48" s="185">
        <f>+L35+(L50-L35)/F35*(J48-J35)</f>
        <v>2993.4757894736845</v>
      </c>
      <c r="M48" s="40"/>
    </row>
    <row r="49" spans="4:13" ht="16.5" customHeight="1" x14ac:dyDescent="0.15">
      <c r="D49" s="96"/>
      <c r="E49" s="97"/>
      <c r="F49" s="192"/>
      <c r="G49" s="131">
        <f>+G47+1</f>
        <v>112</v>
      </c>
      <c r="H49" s="131">
        <f>+H47+1</f>
        <v>137</v>
      </c>
      <c r="I49" s="131">
        <f>+I47+1</f>
        <v>162</v>
      </c>
      <c r="J49" s="184"/>
      <c r="K49" s="133">
        <f>+J50-J48</f>
        <v>0.19999999999999574</v>
      </c>
      <c r="L49" s="186"/>
      <c r="M49" s="15">
        <f>0.5*((L48+L50)*K49+(L51+L52)*K51)/(K49+K51)</f>
        <v>1132.3596761133529</v>
      </c>
    </row>
    <row r="50" spans="4:13" ht="16.5" customHeight="1" x14ac:dyDescent="0.15">
      <c r="D50" s="96"/>
      <c r="E50" s="97"/>
      <c r="F50" s="192"/>
      <c r="G50" s="136"/>
      <c r="H50" s="136"/>
      <c r="I50" s="136"/>
      <c r="J50" s="20">
        <f>+J35+F35</f>
        <v>18.399999999999999</v>
      </c>
      <c r="K50" s="135"/>
      <c r="L50" s="44">
        <v>3015.2</v>
      </c>
      <c r="M50" s="40"/>
    </row>
    <row r="51" spans="4:13" ht="16.5" customHeight="1" x14ac:dyDescent="0.15">
      <c r="D51" s="96" t="s">
        <v>15</v>
      </c>
      <c r="E51" s="180" t="s">
        <v>57</v>
      </c>
      <c r="F51" s="192">
        <v>12.6</v>
      </c>
      <c r="G51" s="136"/>
      <c r="H51" s="136"/>
      <c r="I51" s="136"/>
      <c r="J51" s="42">
        <f>+J50</f>
        <v>18.399999999999999</v>
      </c>
      <c r="K51" s="133">
        <f>+J52-J51</f>
        <v>1.100000000000005</v>
      </c>
      <c r="L51" s="44">
        <v>792</v>
      </c>
      <c r="M51" s="40"/>
    </row>
    <row r="52" spans="4:13" ht="16.5" customHeight="1" x14ac:dyDescent="0.15">
      <c r="D52" s="96"/>
      <c r="E52" s="180"/>
      <c r="F52" s="192"/>
      <c r="G52" s="132"/>
      <c r="H52" s="132"/>
      <c r="I52" s="132"/>
      <c r="J52" s="183">
        <f>+J48+E4</f>
        <v>19.500000000000004</v>
      </c>
      <c r="K52" s="135"/>
      <c r="L52" s="185">
        <f>+L51+(L70-L51)/F51*(J52-J51)</f>
        <v>792</v>
      </c>
      <c r="M52" s="15">
        <f>+M49</f>
        <v>1132.3596761133529</v>
      </c>
    </row>
    <row r="53" spans="4:13" ht="16.5" customHeight="1" x14ac:dyDescent="0.15">
      <c r="D53" s="96"/>
      <c r="E53" s="180"/>
      <c r="F53" s="192"/>
      <c r="G53" s="131">
        <f>+G49+1</f>
        <v>113</v>
      </c>
      <c r="H53" s="131">
        <f>+H49+1</f>
        <v>138</v>
      </c>
      <c r="I53" s="131">
        <f>+I49+1</f>
        <v>163</v>
      </c>
      <c r="J53" s="184"/>
      <c r="K53" s="45"/>
      <c r="L53" s="186"/>
      <c r="M53" s="40"/>
    </row>
    <row r="54" spans="4:13" ht="16.5" customHeight="1" x14ac:dyDescent="0.15">
      <c r="D54" s="96"/>
      <c r="E54" s="180"/>
      <c r="F54" s="192"/>
      <c r="G54" s="132"/>
      <c r="H54" s="132"/>
      <c r="I54" s="132"/>
      <c r="J54" s="183">
        <f>+J52+$E$4</f>
        <v>20.800000000000004</v>
      </c>
      <c r="K54" s="45"/>
      <c r="L54" s="185">
        <f>+L51+(L70-L51)/F51*(J54-J51)</f>
        <v>792</v>
      </c>
      <c r="M54" s="40"/>
    </row>
    <row r="55" spans="4:13" ht="16.5" customHeight="1" x14ac:dyDescent="0.15">
      <c r="D55" s="96"/>
      <c r="E55" s="180"/>
      <c r="F55" s="192"/>
      <c r="G55" s="131">
        <f>+G53+1</f>
        <v>114</v>
      </c>
      <c r="H55" s="131">
        <f>+H53+1</f>
        <v>139</v>
      </c>
      <c r="I55" s="131">
        <f>+I53+1</f>
        <v>164</v>
      </c>
      <c r="J55" s="184"/>
      <c r="K55" s="45"/>
      <c r="L55" s="186"/>
      <c r="M55" s="40"/>
    </row>
    <row r="56" spans="4:13" ht="16.5" customHeight="1" x14ac:dyDescent="0.15">
      <c r="D56" s="96"/>
      <c r="E56" s="180"/>
      <c r="F56" s="192"/>
      <c r="G56" s="132"/>
      <c r="H56" s="132"/>
      <c r="I56" s="132"/>
      <c r="J56" s="183">
        <f>+J54+$E$4</f>
        <v>22.100000000000005</v>
      </c>
      <c r="K56" s="45"/>
      <c r="L56" s="185">
        <f>+L51+(L70-L51)/F51*(J56-J51)</f>
        <v>792</v>
      </c>
      <c r="M56" s="40"/>
    </row>
    <row r="57" spans="4:13" ht="16.5" customHeight="1" x14ac:dyDescent="0.15">
      <c r="D57" s="96"/>
      <c r="E57" s="180"/>
      <c r="F57" s="192"/>
      <c r="G57" s="131">
        <f>+G55+1</f>
        <v>115</v>
      </c>
      <c r="H57" s="131">
        <f>+H55+1</f>
        <v>140</v>
      </c>
      <c r="I57" s="131">
        <f>+I55+1</f>
        <v>165</v>
      </c>
      <c r="J57" s="184"/>
      <c r="K57" s="45"/>
      <c r="L57" s="186"/>
      <c r="M57" s="40"/>
    </row>
    <row r="58" spans="4:13" ht="16.5" customHeight="1" x14ac:dyDescent="0.15">
      <c r="D58" s="96"/>
      <c r="E58" s="180"/>
      <c r="F58" s="192"/>
      <c r="G58" s="132"/>
      <c r="H58" s="132"/>
      <c r="I58" s="132"/>
      <c r="J58" s="183">
        <f>+J56+$E$4</f>
        <v>23.400000000000006</v>
      </c>
      <c r="K58" s="45"/>
      <c r="L58" s="185">
        <f>+L51+(L70-L51)/F51*(J58-J51)</f>
        <v>792</v>
      </c>
      <c r="M58" s="40"/>
    </row>
    <row r="59" spans="4:13" ht="16.5" customHeight="1" x14ac:dyDescent="0.15">
      <c r="D59" s="96"/>
      <c r="E59" s="180"/>
      <c r="F59" s="192"/>
      <c r="G59" s="131">
        <f>+G57+1</f>
        <v>116</v>
      </c>
      <c r="H59" s="131">
        <f>+H57+1</f>
        <v>141</v>
      </c>
      <c r="I59" s="131">
        <f>+I57+1</f>
        <v>166</v>
      </c>
      <c r="J59" s="184"/>
      <c r="K59" s="45"/>
      <c r="L59" s="186"/>
      <c r="M59" s="40"/>
    </row>
    <row r="60" spans="4:13" ht="16.5" customHeight="1" x14ac:dyDescent="0.15">
      <c r="D60" s="96"/>
      <c r="E60" s="180"/>
      <c r="F60" s="192"/>
      <c r="G60" s="132"/>
      <c r="H60" s="132"/>
      <c r="I60" s="132"/>
      <c r="J60" s="183">
        <f>+J58+$E$4</f>
        <v>24.700000000000006</v>
      </c>
      <c r="K60" s="45"/>
      <c r="L60" s="185">
        <f>+L51+(L70-L51)/F51*(J60-J51)</f>
        <v>792</v>
      </c>
      <c r="M60" s="40"/>
    </row>
    <row r="61" spans="4:13" ht="16.5" customHeight="1" x14ac:dyDescent="0.15">
      <c r="D61" s="96"/>
      <c r="E61" s="180"/>
      <c r="F61" s="192"/>
      <c r="G61" s="131">
        <f>+G59+1</f>
        <v>117</v>
      </c>
      <c r="H61" s="131">
        <f>+H59+1</f>
        <v>142</v>
      </c>
      <c r="I61" s="131">
        <f>+I59+1</f>
        <v>167</v>
      </c>
      <c r="J61" s="184"/>
      <c r="K61" s="45"/>
      <c r="L61" s="186"/>
      <c r="M61" s="40"/>
    </row>
    <row r="62" spans="4:13" ht="16.5" customHeight="1" x14ac:dyDescent="0.15">
      <c r="D62" s="96"/>
      <c r="E62" s="180"/>
      <c r="F62" s="192"/>
      <c r="G62" s="132"/>
      <c r="H62" s="132"/>
      <c r="I62" s="132"/>
      <c r="J62" s="183">
        <f>+J60+$E$4</f>
        <v>26.000000000000007</v>
      </c>
      <c r="K62" s="45"/>
      <c r="L62" s="185">
        <f>+L51+(L70-L51)/F51*(J62-J51)</f>
        <v>792</v>
      </c>
      <c r="M62" s="40"/>
    </row>
    <row r="63" spans="4:13" ht="16.5" customHeight="1" x14ac:dyDescent="0.15">
      <c r="D63" s="96"/>
      <c r="E63" s="180"/>
      <c r="F63" s="192"/>
      <c r="G63" s="131">
        <f>+G61+1</f>
        <v>118</v>
      </c>
      <c r="H63" s="131">
        <f>+H61+1</f>
        <v>143</v>
      </c>
      <c r="I63" s="131">
        <f>+I61+1</f>
        <v>168</v>
      </c>
      <c r="J63" s="184"/>
      <c r="K63" s="45"/>
      <c r="L63" s="186"/>
      <c r="M63" s="40"/>
    </row>
    <row r="64" spans="4:13" ht="16.5" customHeight="1" x14ac:dyDescent="0.15">
      <c r="D64" s="96"/>
      <c r="E64" s="180"/>
      <c r="F64" s="192"/>
      <c r="G64" s="132"/>
      <c r="H64" s="132"/>
      <c r="I64" s="132"/>
      <c r="J64" s="183">
        <f>+J62+$E$4</f>
        <v>27.300000000000008</v>
      </c>
      <c r="K64" s="45"/>
      <c r="L64" s="185">
        <f>+L51+(L70-L51)/F51*(J64-J51)</f>
        <v>792</v>
      </c>
      <c r="M64" s="40"/>
    </row>
    <row r="65" spans="3:15" ht="16.5" customHeight="1" x14ac:dyDescent="0.15">
      <c r="D65" s="96"/>
      <c r="E65" s="180"/>
      <c r="F65" s="192"/>
      <c r="G65" s="131">
        <f>+G63+1</f>
        <v>119</v>
      </c>
      <c r="H65" s="131">
        <f>+H63+1</f>
        <v>144</v>
      </c>
      <c r="I65" s="131">
        <f>+I63+1</f>
        <v>169</v>
      </c>
      <c r="J65" s="184"/>
      <c r="K65" s="45"/>
      <c r="L65" s="186"/>
      <c r="M65" s="40"/>
    </row>
    <row r="66" spans="3:15" ht="16.5" customHeight="1" x14ac:dyDescent="0.15">
      <c r="D66" s="96"/>
      <c r="E66" s="180"/>
      <c r="F66" s="192"/>
      <c r="G66" s="132"/>
      <c r="H66" s="132"/>
      <c r="I66" s="132"/>
      <c r="J66" s="183">
        <f>+J64+$E$4</f>
        <v>28.600000000000009</v>
      </c>
      <c r="K66" s="45"/>
      <c r="L66" s="185">
        <f>+L51+(L70-L51)/F51*(J66-J51)</f>
        <v>792</v>
      </c>
      <c r="M66" s="40"/>
    </row>
    <row r="67" spans="3:15" ht="16.5" customHeight="1" x14ac:dyDescent="0.15">
      <c r="D67" s="96"/>
      <c r="E67" s="180"/>
      <c r="F67" s="192"/>
      <c r="G67" s="131">
        <f>+G65+1</f>
        <v>120</v>
      </c>
      <c r="H67" s="131">
        <f>+H65+1</f>
        <v>145</v>
      </c>
      <c r="I67" s="131">
        <f>+I65+1</f>
        <v>170</v>
      </c>
      <c r="J67" s="184"/>
      <c r="K67" s="45"/>
      <c r="L67" s="186"/>
      <c r="M67" s="40"/>
    </row>
    <row r="68" spans="3:15" ht="16.5" customHeight="1" x14ac:dyDescent="0.15">
      <c r="D68" s="96"/>
      <c r="E68" s="180"/>
      <c r="F68" s="192"/>
      <c r="G68" s="132"/>
      <c r="H68" s="132"/>
      <c r="I68" s="132"/>
      <c r="J68" s="183">
        <f>+J66+$E$4</f>
        <v>29.900000000000009</v>
      </c>
      <c r="K68" s="45"/>
      <c r="L68" s="185">
        <f>+L51+(L70-L51)/F51*(J68-J51)</f>
        <v>792</v>
      </c>
      <c r="M68" s="40"/>
    </row>
    <row r="69" spans="3:15" ht="16.5" customHeight="1" x14ac:dyDescent="0.15">
      <c r="D69" s="96"/>
      <c r="E69" s="180"/>
      <c r="F69" s="192"/>
      <c r="G69" s="131">
        <f>+G67+1</f>
        <v>121</v>
      </c>
      <c r="H69" s="131">
        <f>+H67+1</f>
        <v>146</v>
      </c>
      <c r="I69" s="131">
        <f>+I67+1</f>
        <v>171</v>
      </c>
      <c r="J69" s="184"/>
      <c r="K69" s="45"/>
      <c r="L69" s="186"/>
      <c r="M69" s="40"/>
    </row>
    <row r="70" spans="3:15" ht="16.5" customHeight="1" x14ac:dyDescent="0.15">
      <c r="D70" s="96"/>
      <c r="E70" s="180"/>
      <c r="F70" s="192"/>
      <c r="G70" s="132"/>
      <c r="H70" s="132"/>
      <c r="I70" s="132"/>
      <c r="J70" s="20">
        <f>+J51+F51</f>
        <v>31</v>
      </c>
      <c r="K70" s="24"/>
      <c r="L70" s="44">
        <v>792</v>
      </c>
      <c r="M70" s="27"/>
    </row>
    <row r="74" spans="3:15" ht="16.5" customHeight="1" x14ac:dyDescent="0.15">
      <c r="C74" s="5" t="s">
        <v>21</v>
      </c>
      <c r="D74" s="4" t="s">
        <v>72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3:15" ht="16.5" customHeight="1" x14ac:dyDescent="0.15">
      <c r="C75" s="5" t="s">
        <v>5</v>
      </c>
      <c r="D75" s="4" t="s">
        <v>71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3:15" ht="16.5" customHeight="1" x14ac:dyDescent="0.15">
      <c r="D76" s="3" t="s">
        <v>48</v>
      </c>
      <c r="E76" s="4" t="s">
        <v>49</v>
      </c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3:15" ht="16.5" customHeight="1" x14ac:dyDescent="0.15">
      <c r="D77" s="4" t="s">
        <v>50</v>
      </c>
      <c r="E77" s="9" t="s">
        <v>51</v>
      </c>
      <c r="F77" s="9" t="s">
        <v>53</v>
      </c>
      <c r="G77" s="9" t="s">
        <v>54</v>
      </c>
      <c r="H77" s="9" t="s">
        <v>55</v>
      </c>
      <c r="I77" s="9" t="s">
        <v>56</v>
      </c>
      <c r="J77" s="4"/>
      <c r="K77" s="4"/>
      <c r="L77" s="4"/>
      <c r="M77" s="4"/>
      <c r="N77" s="4"/>
      <c r="O77" s="4"/>
    </row>
    <row r="78" spans="3:15" ht="16.5" customHeight="1" x14ac:dyDescent="0.15">
      <c r="D78" s="4"/>
      <c r="E78" s="9" t="s">
        <v>52</v>
      </c>
      <c r="F78" s="19">
        <v>2.8460000000000001</v>
      </c>
      <c r="G78" s="19">
        <v>0.95299999999999996</v>
      </c>
      <c r="H78" s="19">
        <v>0.49399999999999999</v>
      </c>
      <c r="I78" s="19">
        <v>0.38119999999999998</v>
      </c>
      <c r="J78" s="4"/>
      <c r="K78" s="4"/>
      <c r="L78" s="4"/>
      <c r="M78" s="4"/>
      <c r="N78" s="4"/>
      <c r="O78" s="4"/>
    </row>
    <row r="79" spans="3:15" ht="16.5" customHeight="1" x14ac:dyDescent="0.15">
      <c r="D79" s="4" t="s">
        <v>57</v>
      </c>
      <c r="E79" s="3" t="s">
        <v>58</v>
      </c>
      <c r="F79" s="11">
        <v>1</v>
      </c>
      <c r="G79" s="4"/>
      <c r="H79" s="4"/>
      <c r="I79" s="4"/>
      <c r="J79" s="4"/>
      <c r="K79" s="4"/>
      <c r="L79" s="4"/>
      <c r="M79" s="4"/>
      <c r="N79" s="4"/>
      <c r="O79" s="4"/>
    </row>
    <row r="80" spans="3:15" s="4" customFormat="1" ht="16.5" customHeight="1" x14ac:dyDescent="0.15">
      <c r="C80" s="5"/>
      <c r="D80" s="4" t="s">
        <v>12</v>
      </c>
      <c r="E80" s="12">
        <f>+E4</f>
        <v>1.3</v>
      </c>
      <c r="F80" s="4" t="s">
        <v>4</v>
      </c>
    </row>
    <row r="81" spans="2:15" ht="16.5" customHeight="1" x14ac:dyDescent="0.15">
      <c r="B81" s="181" t="s">
        <v>9</v>
      </c>
      <c r="C81" s="181"/>
      <c r="D81" s="95" t="s">
        <v>59</v>
      </c>
      <c r="E81" s="81" t="s">
        <v>11</v>
      </c>
      <c r="F81" s="82"/>
      <c r="G81" s="83"/>
      <c r="H81" s="67" t="s">
        <v>66</v>
      </c>
      <c r="I81" s="182" t="s">
        <v>63</v>
      </c>
      <c r="J81" s="82" t="s">
        <v>67</v>
      </c>
      <c r="K81" s="82"/>
      <c r="L81" s="82"/>
      <c r="M81" s="81" t="s">
        <v>69</v>
      </c>
      <c r="N81" s="82"/>
      <c r="O81" s="83"/>
    </row>
    <row r="82" spans="2:15" ht="16.5" customHeight="1" x14ac:dyDescent="0.15">
      <c r="B82" s="181"/>
      <c r="C82" s="181"/>
      <c r="D82" s="95"/>
      <c r="E82" s="84"/>
      <c r="F82" s="66"/>
      <c r="G82" s="85"/>
      <c r="H82" s="67"/>
      <c r="I82" s="182"/>
      <c r="J82" s="66" t="s">
        <v>68</v>
      </c>
      <c r="K82" s="66"/>
      <c r="L82" s="66"/>
      <c r="M82" s="84" t="s">
        <v>70</v>
      </c>
      <c r="N82" s="66"/>
      <c r="O82" s="85"/>
    </row>
    <row r="83" spans="2:15" ht="16.5" customHeight="1" x14ac:dyDescent="0.15">
      <c r="B83" s="181"/>
      <c r="C83" s="181"/>
      <c r="D83" s="95"/>
      <c r="E83" s="87"/>
      <c r="F83" s="70"/>
      <c r="G83" s="88"/>
      <c r="H83" s="67"/>
      <c r="I83" s="182"/>
      <c r="J83" s="22" t="s">
        <v>54</v>
      </c>
      <c r="K83" s="9" t="s">
        <v>55</v>
      </c>
      <c r="L83" s="23" t="s">
        <v>56</v>
      </c>
      <c r="M83" s="9" t="s">
        <v>54</v>
      </c>
      <c r="N83" s="9" t="s">
        <v>55</v>
      </c>
      <c r="O83" s="9" t="s">
        <v>56</v>
      </c>
    </row>
    <row r="84" spans="2:15" ht="16.5" customHeight="1" x14ac:dyDescent="0.15">
      <c r="B84" s="96" t="s">
        <v>0</v>
      </c>
      <c r="C84" s="96"/>
      <c r="D84" s="178" t="s">
        <v>50</v>
      </c>
      <c r="E84" s="189">
        <v>98</v>
      </c>
      <c r="F84" s="189">
        <v>123</v>
      </c>
      <c r="G84" s="189">
        <v>148</v>
      </c>
      <c r="H84" s="23" t="s">
        <v>64</v>
      </c>
      <c r="I84" s="15">
        <f>+L11</f>
        <v>782.3</v>
      </c>
      <c r="J84" s="47">
        <f t="shared" ref="J84:J113" si="0">+$G$78*I84</f>
        <v>745.53189999999995</v>
      </c>
      <c r="K84" s="15">
        <f t="shared" ref="K84:K113" si="1">+$H$78*I84</f>
        <v>386.45619999999997</v>
      </c>
      <c r="L84" s="48">
        <f t="shared" ref="L84:L113" si="2">+$I$78*I84</f>
        <v>298.21275999999995</v>
      </c>
      <c r="M84" s="15">
        <f t="shared" ref="M84:M131" si="3">+$E$80*J84</f>
        <v>969.19146999999998</v>
      </c>
      <c r="N84" s="15">
        <f t="shared" ref="N84:N131" si="4">+$E$80*K84</f>
        <v>502.39305999999999</v>
      </c>
      <c r="O84" s="15">
        <f t="shared" ref="O84:O131" si="5">+$E$80*L84</f>
        <v>387.67658799999992</v>
      </c>
    </row>
    <row r="85" spans="2:15" ht="16.5" customHeight="1" x14ac:dyDescent="0.15">
      <c r="B85" s="96"/>
      <c r="C85" s="96"/>
      <c r="D85" s="178"/>
      <c r="E85" s="190"/>
      <c r="F85" s="190"/>
      <c r="G85" s="190"/>
      <c r="H85" s="23" t="s">
        <v>65</v>
      </c>
      <c r="I85" s="15">
        <f>+L12</f>
        <v>879.45333333333326</v>
      </c>
      <c r="J85" s="47">
        <f t="shared" si="0"/>
        <v>838.11902666666651</v>
      </c>
      <c r="K85" s="15">
        <f t="shared" si="1"/>
        <v>434.44994666666662</v>
      </c>
      <c r="L85" s="48">
        <f t="shared" si="2"/>
        <v>335.24761066666662</v>
      </c>
      <c r="M85" s="15">
        <f t="shared" si="3"/>
        <v>1089.5547346666665</v>
      </c>
      <c r="N85" s="15">
        <f t="shared" si="4"/>
        <v>564.78493066666658</v>
      </c>
      <c r="O85" s="15">
        <f t="shared" si="5"/>
        <v>435.82189386666664</v>
      </c>
    </row>
    <row r="86" spans="2:15" ht="16.5" customHeight="1" x14ac:dyDescent="0.15">
      <c r="B86" s="96"/>
      <c r="C86" s="96"/>
      <c r="D86" s="178"/>
      <c r="E86" s="72">
        <f>+E84+1</f>
        <v>99</v>
      </c>
      <c r="F86" s="72">
        <f>+F84+1</f>
        <v>124</v>
      </c>
      <c r="G86" s="72">
        <f>+G84+1</f>
        <v>149</v>
      </c>
      <c r="H86" s="23" t="s">
        <v>64</v>
      </c>
      <c r="I86" s="15">
        <f>+M13</f>
        <v>1337.9073570019723</v>
      </c>
      <c r="J86" s="47">
        <f t="shared" si="0"/>
        <v>1275.0257112228796</v>
      </c>
      <c r="K86" s="15">
        <f t="shared" si="1"/>
        <v>660.92623435897428</v>
      </c>
      <c r="L86" s="48">
        <f t="shared" si="2"/>
        <v>510.01028448915179</v>
      </c>
      <c r="M86" s="15">
        <f t="shared" si="3"/>
        <v>1657.5334245897436</v>
      </c>
      <c r="N86" s="15">
        <f t="shared" si="4"/>
        <v>859.20410466666658</v>
      </c>
      <c r="O86" s="15">
        <f t="shared" si="5"/>
        <v>663.01336983589738</v>
      </c>
    </row>
    <row r="87" spans="2:15" ht="16.5" customHeight="1" x14ac:dyDescent="0.15">
      <c r="B87" s="96" t="s">
        <v>1</v>
      </c>
      <c r="C87" s="96"/>
      <c r="D87" s="178" t="s">
        <v>50</v>
      </c>
      <c r="E87" s="72"/>
      <c r="F87" s="72"/>
      <c r="G87" s="72"/>
      <c r="H87" s="23" t="s">
        <v>65</v>
      </c>
      <c r="I87" s="15">
        <f>+M16</f>
        <v>1337.9073570019723</v>
      </c>
      <c r="J87" s="47">
        <f t="shared" si="0"/>
        <v>1275.0257112228796</v>
      </c>
      <c r="K87" s="15">
        <f t="shared" si="1"/>
        <v>660.92623435897428</v>
      </c>
      <c r="L87" s="48">
        <f t="shared" si="2"/>
        <v>510.01028448915179</v>
      </c>
      <c r="M87" s="15">
        <f t="shared" si="3"/>
        <v>1657.5334245897436</v>
      </c>
      <c r="N87" s="15">
        <f t="shared" si="4"/>
        <v>859.20410466666658</v>
      </c>
      <c r="O87" s="15">
        <f t="shared" si="5"/>
        <v>663.01336983589738</v>
      </c>
    </row>
    <row r="88" spans="2:15" ht="16.5" customHeight="1" x14ac:dyDescent="0.15">
      <c r="B88" s="96"/>
      <c r="C88" s="96"/>
      <c r="D88" s="178"/>
      <c r="E88" s="72">
        <f>+E86+1</f>
        <v>100</v>
      </c>
      <c r="F88" s="72">
        <f>+F86+1</f>
        <v>125</v>
      </c>
      <c r="G88" s="72">
        <f>+G86+1</f>
        <v>150</v>
      </c>
      <c r="H88" s="23" t="s">
        <v>64</v>
      </c>
      <c r="I88" s="15">
        <f>+M17</f>
        <v>610.56213017751452</v>
      </c>
      <c r="J88" s="47">
        <f t="shared" si="0"/>
        <v>581.86571005917131</v>
      </c>
      <c r="K88" s="15">
        <f t="shared" si="1"/>
        <v>301.61769230769215</v>
      </c>
      <c r="L88" s="48">
        <f t="shared" si="2"/>
        <v>232.74628402366852</v>
      </c>
      <c r="M88" s="15">
        <f t="shared" si="3"/>
        <v>756.4254230769227</v>
      </c>
      <c r="N88" s="15">
        <f t="shared" si="4"/>
        <v>392.10299999999984</v>
      </c>
      <c r="O88" s="15">
        <f t="shared" si="5"/>
        <v>302.57016923076907</v>
      </c>
    </row>
    <row r="89" spans="2:15" ht="16.5" customHeight="1" x14ac:dyDescent="0.15">
      <c r="B89" s="96"/>
      <c r="C89" s="96"/>
      <c r="D89" s="178"/>
      <c r="E89" s="72"/>
      <c r="F89" s="72"/>
      <c r="G89" s="72"/>
      <c r="H89" s="23" t="s">
        <v>65</v>
      </c>
      <c r="I89" s="15">
        <f>+M20</f>
        <v>610.56213017751452</v>
      </c>
      <c r="J89" s="47">
        <f t="shared" si="0"/>
        <v>581.86571005917131</v>
      </c>
      <c r="K89" s="15">
        <f t="shared" si="1"/>
        <v>301.61769230769215</v>
      </c>
      <c r="L89" s="48">
        <f t="shared" si="2"/>
        <v>232.74628402366852</v>
      </c>
      <c r="M89" s="15">
        <f t="shared" si="3"/>
        <v>756.4254230769227</v>
      </c>
      <c r="N89" s="15">
        <f t="shared" si="4"/>
        <v>392.10299999999984</v>
      </c>
      <c r="O89" s="15">
        <f t="shared" si="5"/>
        <v>302.57016923076907</v>
      </c>
    </row>
    <row r="90" spans="2:15" ht="16.5" customHeight="1" x14ac:dyDescent="0.15">
      <c r="B90" s="96"/>
      <c r="C90" s="96"/>
      <c r="D90" s="178"/>
      <c r="E90" s="72">
        <f>+E88+1</f>
        <v>101</v>
      </c>
      <c r="F90" s="72">
        <f>+F88+1</f>
        <v>126</v>
      </c>
      <c r="G90" s="72">
        <f>+G88+1</f>
        <v>151</v>
      </c>
      <c r="H90" s="23" t="s">
        <v>64</v>
      </c>
      <c r="I90" s="15">
        <f>+L20</f>
        <v>450</v>
      </c>
      <c r="J90" s="47">
        <f t="shared" si="0"/>
        <v>428.84999999999997</v>
      </c>
      <c r="K90" s="15">
        <f t="shared" si="1"/>
        <v>222.3</v>
      </c>
      <c r="L90" s="48">
        <f t="shared" si="2"/>
        <v>171.54</v>
      </c>
      <c r="M90" s="15">
        <f t="shared" si="3"/>
        <v>557.505</v>
      </c>
      <c r="N90" s="15">
        <f t="shared" si="4"/>
        <v>288.99</v>
      </c>
      <c r="O90" s="15">
        <f t="shared" si="5"/>
        <v>223.00200000000001</v>
      </c>
    </row>
    <row r="91" spans="2:15" ht="16.5" customHeight="1" x14ac:dyDescent="0.15">
      <c r="B91" s="96" t="s">
        <v>2</v>
      </c>
      <c r="C91" s="96"/>
      <c r="D91" s="179" t="s">
        <v>57</v>
      </c>
      <c r="E91" s="72"/>
      <c r="F91" s="72"/>
      <c r="G91" s="72"/>
      <c r="H91" s="23" t="s">
        <v>65</v>
      </c>
      <c r="I91" s="15">
        <f>+L22</f>
        <v>450</v>
      </c>
      <c r="J91" s="47">
        <f t="shared" si="0"/>
        <v>428.84999999999997</v>
      </c>
      <c r="K91" s="15">
        <f t="shared" si="1"/>
        <v>222.3</v>
      </c>
      <c r="L91" s="48">
        <f t="shared" si="2"/>
        <v>171.54</v>
      </c>
      <c r="M91" s="15">
        <f t="shared" si="3"/>
        <v>557.505</v>
      </c>
      <c r="N91" s="15">
        <f t="shared" si="4"/>
        <v>288.99</v>
      </c>
      <c r="O91" s="15">
        <f t="shared" si="5"/>
        <v>223.00200000000001</v>
      </c>
    </row>
    <row r="92" spans="2:15" ht="16.5" customHeight="1" x14ac:dyDescent="0.15">
      <c r="B92" s="96"/>
      <c r="C92" s="96"/>
      <c r="D92" s="179"/>
      <c r="E92" s="72">
        <f>+E90+1</f>
        <v>102</v>
      </c>
      <c r="F92" s="72">
        <f>+F90+1</f>
        <v>127</v>
      </c>
      <c r="G92" s="72">
        <f>+G90+1</f>
        <v>152</v>
      </c>
      <c r="H92" s="23" t="s">
        <v>64</v>
      </c>
      <c r="I92" s="15">
        <f>+M23</f>
        <v>1171.0461538461545</v>
      </c>
      <c r="J92" s="47">
        <f t="shared" si="0"/>
        <v>1116.0069846153851</v>
      </c>
      <c r="K92" s="15">
        <f t="shared" si="1"/>
        <v>578.49680000000035</v>
      </c>
      <c r="L92" s="48">
        <f t="shared" si="2"/>
        <v>446.40279384615411</v>
      </c>
      <c r="M92" s="15">
        <f t="shared" si="3"/>
        <v>1450.8090800000007</v>
      </c>
      <c r="N92" s="15">
        <f t="shared" si="4"/>
        <v>752.04584000000045</v>
      </c>
      <c r="O92" s="15">
        <f t="shared" si="5"/>
        <v>580.32363200000032</v>
      </c>
    </row>
    <row r="93" spans="2:15" ht="16.5" customHeight="1" x14ac:dyDescent="0.15">
      <c r="B93" s="96" t="s">
        <v>3</v>
      </c>
      <c r="C93" s="96"/>
      <c r="D93" s="178" t="s">
        <v>50</v>
      </c>
      <c r="E93" s="72"/>
      <c r="F93" s="72"/>
      <c r="G93" s="72"/>
      <c r="H93" s="23" t="s">
        <v>65</v>
      </c>
      <c r="I93" s="15">
        <f>+M26</f>
        <v>1171.0461538461545</v>
      </c>
      <c r="J93" s="47">
        <f t="shared" si="0"/>
        <v>1116.0069846153851</v>
      </c>
      <c r="K93" s="15">
        <f t="shared" si="1"/>
        <v>578.49680000000035</v>
      </c>
      <c r="L93" s="48">
        <f t="shared" si="2"/>
        <v>446.40279384615411</v>
      </c>
      <c r="M93" s="15">
        <f t="shared" si="3"/>
        <v>1450.8090800000007</v>
      </c>
      <c r="N93" s="15">
        <f t="shared" si="4"/>
        <v>752.04584000000045</v>
      </c>
      <c r="O93" s="15">
        <f t="shared" si="5"/>
        <v>580.32363200000032</v>
      </c>
    </row>
    <row r="94" spans="2:15" ht="16.5" customHeight="1" x14ac:dyDescent="0.15">
      <c r="B94" s="96"/>
      <c r="C94" s="96"/>
      <c r="D94" s="178"/>
      <c r="E94" s="72">
        <f>+E92+1</f>
        <v>103</v>
      </c>
      <c r="F94" s="72">
        <f>+F92+1</f>
        <v>128</v>
      </c>
      <c r="G94" s="72">
        <f>+G92+1</f>
        <v>153</v>
      </c>
      <c r="H94" s="23" t="s">
        <v>64</v>
      </c>
      <c r="I94" s="15">
        <f>+L26</f>
        <v>1663.3</v>
      </c>
      <c r="J94" s="47">
        <f t="shared" si="0"/>
        <v>1585.1248999999998</v>
      </c>
      <c r="K94" s="15">
        <f t="shared" si="1"/>
        <v>821.67020000000002</v>
      </c>
      <c r="L94" s="48">
        <f t="shared" si="2"/>
        <v>634.04995999999994</v>
      </c>
      <c r="M94" s="15">
        <f t="shared" si="3"/>
        <v>2060.66237</v>
      </c>
      <c r="N94" s="15">
        <f t="shared" si="4"/>
        <v>1068.1712600000001</v>
      </c>
      <c r="O94" s="15">
        <f t="shared" si="5"/>
        <v>824.264948</v>
      </c>
    </row>
    <row r="95" spans="2:15" ht="16.5" customHeight="1" x14ac:dyDescent="0.15">
      <c r="B95" s="96"/>
      <c r="C95" s="96"/>
      <c r="D95" s="178"/>
      <c r="E95" s="72"/>
      <c r="F95" s="72"/>
      <c r="G95" s="72"/>
      <c r="H95" s="23" t="s">
        <v>65</v>
      </c>
      <c r="I95" s="15">
        <f>+L28</f>
        <v>1798.5</v>
      </c>
      <c r="J95" s="47">
        <f t="shared" si="0"/>
        <v>1713.9704999999999</v>
      </c>
      <c r="K95" s="15">
        <f t="shared" si="1"/>
        <v>888.45899999999995</v>
      </c>
      <c r="L95" s="48">
        <f t="shared" si="2"/>
        <v>685.58819999999992</v>
      </c>
      <c r="M95" s="15">
        <f t="shared" si="3"/>
        <v>2228.16165</v>
      </c>
      <c r="N95" s="15">
        <f t="shared" si="4"/>
        <v>1154.9966999999999</v>
      </c>
      <c r="O95" s="15">
        <f t="shared" si="5"/>
        <v>891.26465999999994</v>
      </c>
    </row>
    <row r="96" spans="2:15" ht="16.5" customHeight="1" x14ac:dyDescent="0.15">
      <c r="B96" s="96"/>
      <c r="C96" s="96"/>
      <c r="D96" s="178"/>
      <c r="E96" s="72">
        <f>+E94+1</f>
        <v>104</v>
      </c>
      <c r="F96" s="72">
        <f>+F94+1</f>
        <v>129</v>
      </c>
      <c r="G96" s="72">
        <f>+G94+1</f>
        <v>154</v>
      </c>
      <c r="H96" s="23" t="s">
        <v>64</v>
      </c>
      <c r="I96" s="15">
        <f>+M29</f>
        <v>1776.1923076923076</v>
      </c>
      <c r="J96" s="47">
        <f t="shared" si="0"/>
        <v>1692.7112692307692</v>
      </c>
      <c r="K96" s="15">
        <f t="shared" si="1"/>
        <v>877.43899999999996</v>
      </c>
      <c r="L96" s="48">
        <f t="shared" si="2"/>
        <v>677.08450769230762</v>
      </c>
      <c r="M96" s="15">
        <f t="shared" si="3"/>
        <v>2200.5246499999998</v>
      </c>
      <c r="N96" s="15">
        <f t="shared" si="4"/>
        <v>1140.6706999999999</v>
      </c>
      <c r="O96" s="15">
        <f t="shared" si="5"/>
        <v>880.20985999999994</v>
      </c>
    </row>
    <row r="97" spans="2:15" ht="16.5" customHeight="1" x14ac:dyDescent="0.15">
      <c r="B97" s="96" t="s">
        <v>13</v>
      </c>
      <c r="C97" s="96"/>
      <c r="D97" s="179" t="s">
        <v>57</v>
      </c>
      <c r="E97" s="72"/>
      <c r="F97" s="72"/>
      <c r="G97" s="72"/>
      <c r="H97" s="23" t="s">
        <v>65</v>
      </c>
      <c r="I97" s="15">
        <f>+M32</f>
        <v>1776.1923076923076</v>
      </c>
      <c r="J97" s="47">
        <f t="shared" si="0"/>
        <v>1692.7112692307692</v>
      </c>
      <c r="K97" s="15">
        <f t="shared" si="1"/>
        <v>877.43899999999996</v>
      </c>
      <c r="L97" s="48">
        <f t="shared" si="2"/>
        <v>677.08450769230762</v>
      </c>
      <c r="M97" s="15">
        <f t="shared" si="3"/>
        <v>2200.5246499999998</v>
      </c>
      <c r="N97" s="15">
        <f t="shared" si="4"/>
        <v>1140.6706999999999</v>
      </c>
      <c r="O97" s="15">
        <f t="shared" si="5"/>
        <v>880.20985999999994</v>
      </c>
    </row>
    <row r="98" spans="2:15" ht="16.5" customHeight="1" x14ac:dyDescent="0.15">
      <c r="B98" s="96"/>
      <c r="C98" s="96"/>
      <c r="D98" s="179"/>
      <c r="E98" s="72">
        <f>+E96+1</f>
        <v>105</v>
      </c>
      <c r="F98" s="72">
        <f>+F96+1</f>
        <v>130</v>
      </c>
      <c r="G98" s="72">
        <f>+G96+1</f>
        <v>155</v>
      </c>
      <c r="H98" s="23" t="s">
        <v>64</v>
      </c>
      <c r="I98" s="15">
        <f>+M33</f>
        <v>2113.8066801619443</v>
      </c>
      <c r="J98" s="47">
        <f t="shared" si="0"/>
        <v>2014.4577661943329</v>
      </c>
      <c r="K98" s="15">
        <f t="shared" si="1"/>
        <v>1044.2205000000006</v>
      </c>
      <c r="L98" s="48">
        <f t="shared" si="2"/>
        <v>805.7831064777331</v>
      </c>
      <c r="M98" s="15">
        <f t="shared" si="3"/>
        <v>2618.7950960526327</v>
      </c>
      <c r="N98" s="15">
        <f t="shared" si="4"/>
        <v>1357.4866500000007</v>
      </c>
      <c r="O98" s="15">
        <f t="shared" si="5"/>
        <v>1047.518038421053</v>
      </c>
    </row>
    <row r="99" spans="2:15" ht="16.5" customHeight="1" x14ac:dyDescent="0.15">
      <c r="B99" s="96" t="s">
        <v>14</v>
      </c>
      <c r="C99" s="96"/>
      <c r="D99" s="178" t="s">
        <v>50</v>
      </c>
      <c r="E99" s="72"/>
      <c r="F99" s="72"/>
      <c r="G99" s="72"/>
      <c r="H99" s="23" t="s">
        <v>65</v>
      </c>
      <c r="I99" s="15">
        <f>+M36</f>
        <v>2113.8066801619443</v>
      </c>
      <c r="J99" s="47">
        <f t="shared" si="0"/>
        <v>2014.4577661943329</v>
      </c>
      <c r="K99" s="15">
        <f t="shared" si="1"/>
        <v>1044.2205000000006</v>
      </c>
      <c r="L99" s="48">
        <f t="shared" si="2"/>
        <v>805.7831064777331</v>
      </c>
      <c r="M99" s="15">
        <f t="shared" si="3"/>
        <v>2618.7950960526327</v>
      </c>
      <c r="N99" s="15">
        <f t="shared" si="4"/>
        <v>1357.4866500000007</v>
      </c>
      <c r="O99" s="15">
        <f t="shared" si="5"/>
        <v>1047.518038421053</v>
      </c>
    </row>
    <row r="100" spans="2:15" ht="16.5" customHeight="1" x14ac:dyDescent="0.15">
      <c r="B100" s="96"/>
      <c r="C100" s="96"/>
      <c r="D100" s="178"/>
      <c r="E100" s="72">
        <f>+E98+1</f>
        <v>106</v>
      </c>
      <c r="F100" s="72">
        <f>+F98+1</f>
        <v>131</v>
      </c>
      <c r="G100" s="72">
        <f>+G98+1</f>
        <v>156</v>
      </c>
      <c r="H100" s="23" t="s">
        <v>64</v>
      </c>
      <c r="I100" s="15">
        <f>+L36</f>
        <v>2146.2315789473687</v>
      </c>
      <c r="J100" s="47">
        <f t="shared" si="0"/>
        <v>2045.3586947368424</v>
      </c>
      <c r="K100" s="15">
        <f t="shared" si="1"/>
        <v>1060.2384000000002</v>
      </c>
      <c r="L100" s="48">
        <f t="shared" si="2"/>
        <v>818.14347789473686</v>
      </c>
      <c r="M100" s="15">
        <f t="shared" si="3"/>
        <v>2658.9663031578953</v>
      </c>
      <c r="N100" s="15">
        <f t="shared" si="4"/>
        <v>1378.3099200000004</v>
      </c>
      <c r="O100" s="15">
        <f t="shared" si="5"/>
        <v>1063.5865212631579</v>
      </c>
    </row>
    <row r="101" spans="2:15" ht="16.5" customHeight="1" x14ac:dyDescent="0.15">
      <c r="B101" s="96"/>
      <c r="C101" s="96"/>
      <c r="D101" s="178"/>
      <c r="E101" s="72"/>
      <c r="F101" s="72"/>
      <c r="G101" s="72"/>
      <c r="H101" s="23" t="s">
        <v>65</v>
      </c>
      <c r="I101" s="15">
        <f>+L38</f>
        <v>2287.4389473684214</v>
      </c>
      <c r="J101" s="47">
        <f t="shared" si="0"/>
        <v>2179.9293168421054</v>
      </c>
      <c r="K101" s="15">
        <f t="shared" si="1"/>
        <v>1129.9948400000001</v>
      </c>
      <c r="L101" s="48">
        <f t="shared" si="2"/>
        <v>871.97172673684224</v>
      </c>
      <c r="M101" s="15">
        <f t="shared" si="3"/>
        <v>2833.908111894737</v>
      </c>
      <c r="N101" s="15">
        <f t="shared" si="4"/>
        <v>1468.9932920000001</v>
      </c>
      <c r="O101" s="15">
        <f t="shared" si="5"/>
        <v>1133.5632447578951</v>
      </c>
    </row>
    <row r="102" spans="2:15" ht="16.5" customHeight="1" x14ac:dyDescent="0.15">
      <c r="B102" s="96"/>
      <c r="C102" s="96"/>
      <c r="D102" s="178"/>
      <c r="E102" s="72">
        <f>+E100+1</f>
        <v>107</v>
      </c>
      <c r="F102" s="72">
        <f>+F100+1</f>
        <v>132</v>
      </c>
      <c r="G102" s="72">
        <f>+G100+1</f>
        <v>157</v>
      </c>
      <c r="H102" s="23" t="s">
        <v>64</v>
      </c>
      <c r="I102" s="15">
        <f>+L38</f>
        <v>2287.4389473684214</v>
      </c>
      <c r="J102" s="47">
        <f t="shared" si="0"/>
        <v>2179.9293168421054</v>
      </c>
      <c r="K102" s="15">
        <f t="shared" si="1"/>
        <v>1129.9948400000001</v>
      </c>
      <c r="L102" s="48">
        <f t="shared" si="2"/>
        <v>871.97172673684224</v>
      </c>
      <c r="M102" s="15">
        <f t="shared" si="3"/>
        <v>2833.908111894737</v>
      </c>
      <c r="N102" s="15">
        <f t="shared" si="4"/>
        <v>1468.9932920000001</v>
      </c>
      <c r="O102" s="15">
        <f t="shared" si="5"/>
        <v>1133.5632447578951</v>
      </c>
    </row>
    <row r="103" spans="2:15" ht="16.5" customHeight="1" x14ac:dyDescent="0.15">
      <c r="B103" s="96"/>
      <c r="C103" s="96"/>
      <c r="D103" s="178"/>
      <c r="E103" s="72"/>
      <c r="F103" s="72"/>
      <c r="G103" s="72"/>
      <c r="H103" s="23" t="s">
        <v>65</v>
      </c>
      <c r="I103" s="15">
        <f>+L40</f>
        <v>2428.6463157894741</v>
      </c>
      <c r="J103" s="47">
        <f t="shared" si="0"/>
        <v>2314.4999389473687</v>
      </c>
      <c r="K103" s="15">
        <f t="shared" si="1"/>
        <v>1199.7512800000002</v>
      </c>
      <c r="L103" s="48">
        <f t="shared" si="2"/>
        <v>925.79997557894751</v>
      </c>
      <c r="M103" s="15">
        <f t="shared" si="3"/>
        <v>3008.8499206315796</v>
      </c>
      <c r="N103" s="15">
        <f t="shared" si="4"/>
        <v>1559.6766640000003</v>
      </c>
      <c r="O103" s="15">
        <f t="shared" si="5"/>
        <v>1203.5399682526318</v>
      </c>
    </row>
    <row r="104" spans="2:15" ht="16.5" customHeight="1" x14ac:dyDescent="0.15">
      <c r="B104" s="96"/>
      <c r="C104" s="96"/>
      <c r="D104" s="178"/>
      <c r="E104" s="72">
        <f>+E102+1</f>
        <v>108</v>
      </c>
      <c r="F104" s="72">
        <f>+F102+1</f>
        <v>133</v>
      </c>
      <c r="G104" s="72">
        <f>+G102+1</f>
        <v>158</v>
      </c>
      <c r="H104" s="23" t="s">
        <v>64</v>
      </c>
      <c r="I104" s="15">
        <f>+L40</f>
        <v>2428.6463157894741</v>
      </c>
      <c r="J104" s="47">
        <f t="shared" si="0"/>
        <v>2314.4999389473687</v>
      </c>
      <c r="K104" s="15">
        <f t="shared" si="1"/>
        <v>1199.7512800000002</v>
      </c>
      <c r="L104" s="48">
        <f t="shared" si="2"/>
        <v>925.79997557894751</v>
      </c>
      <c r="M104" s="15">
        <f t="shared" si="3"/>
        <v>3008.8499206315796</v>
      </c>
      <c r="N104" s="15">
        <f t="shared" si="4"/>
        <v>1559.6766640000003</v>
      </c>
      <c r="O104" s="15">
        <f t="shared" si="5"/>
        <v>1203.5399682526318</v>
      </c>
    </row>
    <row r="105" spans="2:15" ht="16.5" customHeight="1" x14ac:dyDescent="0.15">
      <c r="B105" s="96"/>
      <c r="C105" s="96"/>
      <c r="D105" s="178"/>
      <c r="E105" s="72"/>
      <c r="F105" s="72"/>
      <c r="G105" s="72"/>
      <c r="H105" s="23" t="s">
        <v>65</v>
      </c>
      <c r="I105" s="15">
        <f>+L42</f>
        <v>2569.8536842105268</v>
      </c>
      <c r="J105" s="47">
        <f t="shared" si="0"/>
        <v>2449.070561052632</v>
      </c>
      <c r="K105" s="15">
        <f t="shared" si="1"/>
        <v>1269.5077200000003</v>
      </c>
      <c r="L105" s="48">
        <f t="shared" si="2"/>
        <v>979.62822442105278</v>
      </c>
      <c r="M105" s="15">
        <f t="shared" si="3"/>
        <v>3183.7917293684218</v>
      </c>
      <c r="N105" s="15">
        <f t="shared" si="4"/>
        <v>1650.3600360000005</v>
      </c>
      <c r="O105" s="15">
        <f t="shared" si="5"/>
        <v>1273.5166917473687</v>
      </c>
    </row>
    <row r="106" spans="2:15" ht="16.5" customHeight="1" x14ac:dyDescent="0.15">
      <c r="B106" s="96"/>
      <c r="C106" s="96"/>
      <c r="D106" s="178"/>
      <c r="E106" s="72">
        <f>+E104+1</f>
        <v>109</v>
      </c>
      <c r="F106" s="72">
        <f>+F104+1</f>
        <v>134</v>
      </c>
      <c r="G106" s="72">
        <f>+G104+1</f>
        <v>159</v>
      </c>
      <c r="H106" s="23" t="s">
        <v>64</v>
      </c>
      <c r="I106" s="15">
        <f>+L42</f>
        <v>2569.8536842105268</v>
      </c>
      <c r="J106" s="47">
        <f t="shared" si="0"/>
        <v>2449.070561052632</v>
      </c>
      <c r="K106" s="15">
        <f t="shared" si="1"/>
        <v>1269.5077200000003</v>
      </c>
      <c r="L106" s="48">
        <f t="shared" si="2"/>
        <v>979.62822442105278</v>
      </c>
      <c r="M106" s="15">
        <f t="shared" si="3"/>
        <v>3183.7917293684218</v>
      </c>
      <c r="N106" s="15">
        <f t="shared" si="4"/>
        <v>1650.3600360000005</v>
      </c>
      <c r="O106" s="15">
        <f t="shared" si="5"/>
        <v>1273.5166917473687</v>
      </c>
    </row>
    <row r="107" spans="2:15" ht="16.5" customHeight="1" x14ac:dyDescent="0.15">
      <c r="B107" s="96"/>
      <c r="C107" s="96"/>
      <c r="D107" s="178"/>
      <c r="E107" s="72"/>
      <c r="F107" s="72"/>
      <c r="G107" s="72"/>
      <c r="H107" s="23" t="s">
        <v>65</v>
      </c>
      <c r="I107" s="15">
        <f>+L44</f>
        <v>2711.0610526315795</v>
      </c>
      <c r="J107" s="47">
        <f t="shared" si="0"/>
        <v>2583.6411831578953</v>
      </c>
      <c r="K107" s="15">
        <f t="shared" si="1"/>
        <v>1339.2641600000002</v>
      </c>
      <c r="L107" s="48">
        <f t="shared" si="2"/>
        <v>1033.4564732631582</v>
      </c>
      <c r="M107" s="15">
        <f t="shared" si="3"/>
        <v>3358.733538105264</v>
      </c>
      <c r="N107" s="15">
        <f t="shared" si="4"/>
        <v>1741.0434080000002</v>
      </c>
      <c r="O107" s="15">
        <f t="shared" si="5"/>
        <v>1343.4934152421056</v>
      </c>
    </row>
    <row r="108" spans="2:15" ht="16.5" customHeight="1" x14ac:dyDescent="0.15">
      <c r="B108" s="96"/>
      <c r="C108" s="96"/>
      <c r="D108" s="178"/>
      <c r="E108" s="72">
        <f>+E106+1</f>
        <v>110</v>
      </c>
      <c r="F108" s="72">
        <f>+F106+1</f>
        <v>135</v>
      </c>
      <c r="G108" s="72">
        <f>+G106+1</f>
        <v>160</v>
      </c>
      <c r="H108" s="23" t="s">
        <v>64</v>
      </c>
      <c r="I108" s="15">
        <f>+L44</f>
        <v>2711.0610526315795</v>
      </c>
      <c r="J108" s="47">
        <f t="shared" si="0"/>
        <v>2583.6411831578953</v>
      </c>
      <c r="K108" s="15">
        <f t="shared" si="1"/>
        <v>1339.2641600000002</v>
      </c>
      <c r="L108" s="48">
        <f t="shared" si="2"/>
        <v>1033.4564732631582</v>
      </c>
      <c r="M108" s="15">
        <f t="shared" si="3"/>
        <v>3358.733538105264</v>
      </c>
      <c r="N108" s="15">
        <f t="shared" si="4"/>
        <v>1741.0434080000002</v>
      </c>
      <c r="O108" s="15">
        <f t="shared" si="5"/>
        <v>1343.4934152421056</v>
      </c>
    </row>
    <row r="109" spans="2:15" ht="16.5" customHeight="1" x14ac:dyDescent="0.15">
      <c r="B109" s="96"/>
      <c r="C109" s="96"/>
      <c r="D109" s="178"/>
      <c r="E109" s="72"/>
      <c r="F109" s="72"/>
      <c r="G109" s="72"/>
      <c r="H109" s="23" t="s">
        <v>65</v>
      </c>
      <c r="I109" s="15">
        <f>+L46</f>
        <v>2852.2684210526318</v>
      </c>
      <c r="J109" s="47">
        <f t="shared" si="0"/>
        <v>2718.2118052631581</v>
      </c>
      <c r="K109" s="15">
        <f t="shared" si="1"/>
        <v>1409.0206000000001</v>
      </c>
      <c r="L109" s="48">
        <f t="shared" si="2"/>
        <v>1087.2847221052632</v>
      </c>
      <c r="M109" s="15">
        <f t="shared" si="3"/>
        <v>3533.6753468421057</v>
      </c>
      <c r="N109" s="15">
        <f t="shared" si="4"/>
        <v>1831.7267800000002</v>
      </c>
      <c r="O109" s="15">
        <f t="shared" si="5"/>
        <v>1413.4701387368423</v>
      </c>
    </row>
    <row r="110" spans="2:15" ht="16.5" customHeight="1" x14ac:dyDescent="0.15">
      <c r="B110" s="96"/>
      <c r="C110" s="96"/>
      <c r="D110" s="178"/>
      <c r="E110" s="72">
        <f>+E108+1</f>
        <v>111</v>
      </c>
      <c r="F110" s="72">
        <f>+F108+1</f>
        <v>136</v>
      </c>
      <c r="G110" s="72">
        <f>+G108+1</f>
        <v>161</v>
      </c>
      <c r="H110" s="23" t="s">
        <v>64</v>
      </c>
      <c r="I110" s="15">
        <f>+L46</f>
        <v>2852.2684210526318</v>
      </c>
      <c r="J110" s="47">
        <f t="shared" si="0"/>
        <v>2718.2118052631581</v>
      </c>
      <c r="K110" s="15">
        <f t="shared" si="1"/>
        <v>1409.0206000000001</v>
      </c>
      <c r="L110" s="48">
        <f t="shared" si="2"/>
        <v>1087.2847221052632</v>
      </c>
      <c r="M110" s="15">
        <f t="shared" si="3"/>
        <v>3533.6753468421057</v>
      </c>
      <c r="N110" s="15">
        <f t="shared" si="4"/>
        <v>1831.7267800000002</v>
      </c>
      <c r="O110" s="15">
        <f t="shared" si="5"/>
        <v>1413.4701387368423</v>
      </c>
    </row>
    <row r="111" spans="2:15" ht="16.5" customHeight="1" x14ac:dyDescent="0.15">
      <c r="B111" s="96"/>
      <c r="C111" s="96"/>
      <c r="D111" s="178"/>
      <c r="E111" s="72"/>
      <c r="F111" s="72"/>
      <c r="G111" s="72"/>
      <c r="H111" s="23" t="s">
        <v>65</v>
      </c>
      <c r="I111" s="15">
        <f>+L48</f>
        <v>2993.4757894736845</v>
      </c>
      <c r="J111" s="47">
        <f t="shared" si="0"/>
        <v>2852.7824273684214</v>
      </c>
      <c r="K111" s="15">
        <f t="shared" si="1"/>
        <v>1478.7770400000002</v>
      </c>
      <c r="L111" s="48">
        <f t="shared" si="2"/>
        <v>1141.1129709473685</v>
      </c>
      <c r="M111" s="15">
        <f t="shared" si="3"/>
        <v>3708.6171555789479</v>
      </c>
      <c r="N111" s="15">
        <f t="shared" si="4"/>
        <v>1922.4101520000004</v>
      </c>
      <c r="O111" s="15">
        <f t="shared" si="5"/>
        <v>1483.446862231579</v>
      </c>
    </row>
    <row r="112" spans="2:15" ht="16.5" customHeight="1" x14ac:dyDescent="0.15">
      <c r="B112" s="96"/>
      <c r="C112" s="96"/>
      <c r="D112" s="178"/>
      <c r="E112" s="72">
        <f>+E110+1</f>
        <v>112</v>
      </c>
      <c r="F112" s="72">
        <f>+F110+1</f>
        <v>137</v>
      </c>
      <c r="G112" s="72">
        <f>+G110+1</f>
        <v>162</v>
      </c>
      <c r="H112" s="23" t="s">
        <v>64</v>
      </c>
      <c r="I112" s="15">
        <f>+M49</f>
        <v>1132.3596761133529</v>
      </c>
      <c r="J112" s="47">
        <f t="shared" si="0"/>
        <v>1079.1387713360252</v>
      </c>
      <c r="K112" s="15">
        <f t="shared" si="1"/>
        <v>559.38567999999634</v>
      </c>
      <c r="L112" s="48">
        <f t="shared" si="2"/>
        <v>431.6555085344101</v>
      </c>
      <c r="M112" s="15">
        <f t="shared" si="3"/>
        <v>1402.8804027368328</v>
      </c>
      <c r="N112" s="15">
        <f t="shared" si="4"/>
        <v>727.2013839999953</v>
      </c>
      <c r="O112" s="15">
        <f t="shared" si="5"/>
        <v>561.15216109473317</v>
      </c>
    </row>
    <row r="113" spans="2:15" ht="16.5" customHeight="1" x14ac:dyDescent="0.15">
      <c r="B113" s="96" t="s">
        <v>15</v>
      </c>
      <c r="C113" s="96"/>
      <c r="D113" s="179" t="s">
        <v>57</v>
      </c>
      <c r="E113" s="72"/>
      <c r="F113" s="72"/>
      <c r="G113" s="72"/>
      <c r="H113" s="23" t="s">
        <v>65</v>
      </c>
      <c r="I113" s="15">
        <f>+M52</f>
        <v>1132.3596761133529</v>
      </c>
      <c r="J113" s="47">
        <f t="shared" si="0"/>
        <v>1079.1387713360252</v>
      </c>
      <c r="K113" s="15">
        <f t="shared" si="1"/>
        <v>559.38567999999634</v>
      </c>
      <c r="L113" s="48">
        <f t="shared" si="2"/>
        <v>431.6555085344101</v>
      </c>
      <c r="M113" s="15">
        <f t="shared" si="3"/>
        <v>1402.8804027368328</v>
      </c>
      <c r="N113" s="15">
        <f t="shared" si="4"/>
        <v>727.2013839999953</v>
      </c>
      <c r="O113" s="15">
        <f t="shared" si="5"/>
        <v>561.15216109473317</v>
      </c>
    </row>
    <row r="114" spans="2:15" ht="16.5" customHeight="1" x14ac:dyDescent="0.15">
      <c r="B114" s="96"/>
      <c r="C114" s="96"/>
      <c r="D114" s="179"/>
      <c r="E114" s="72">
        <f>+E112+1</f>
        <v>113</v>
      </c>
      <c r="F114" s="72">
        <f>+F112+1</f>
        <v>138</v>
      </c>
      <c r="G114" s="72">
        <f>+G112+1</f>
        <v>163</v>
      </c>
      <c r="H114" s="23" t="s">
        <v>64</v>
      </c>
      <c r="I114" s="15">
        <f>+L52</f>
        <v>792</v>
      </c>
      <c r="J114" s="47">
        <f t="shared" ref="J114:L131" si="6">+I114</f>
        <v>792</v>
      </c>
      <c r="K114" s="15">
        <f t="shared" si="6"/>
        <v>792</v>
      </c>
      <c r="L114" s="48">
        <f t="shared" si="6"/>
        <v>792</v>
      </c>
      <c r="M114" s="15">
        <f t="shared" si="3"/>
        <v>1029.6000000000001</v>
      </c>
      <c r="N114" s="15">
        <f t="shared" si="4"/>
        <v>1029.6000000000001</v>
      </c>
      <c r="O114" s="15">
        <f t="shared" si="5"/>
        <v>1029.6000000000001</v>
      </c>
    </row>
    <row r="115" spans="2:15" ht="16.5" customHeight="1" x14ac:dyDescent="0.15">
      <c r="B115" s="96"/>
      <c r="C115" s="96"/>
      <c r="D115" s="179"/>
      <c r="E115" s="72"/>
      <c r="F115" s="72"/>
      <c r="G115" s="72"/>
      <c r="H115" s="23" t="s">
        <v>65</v>
      </c>
      <c r="I115" s="15">
        <f>+L54</f>
        <v>792</v>
      </c>
      <c r="J115" s="47">
        <f t="shared" si="6"/>
        <v>792</v>
      </c>
      <c r="K115" s="15">
        <f t="shared" si="6"/>
        <v>792</v>
      </c>
      <c r="L115" s="48">
        <f t="shared" si="6"/>
        <v>792</v>
      </c>
      <c r="M115" s="15">
        <f t="shared" si="3"/>
        <v>1029.6000000000001</v>
      </c>
      <c r="N115" s="15">
        <f t="shared" si="4"/>
        <v>1029.6000000000001</v>
      </c>
      <c r="O115" s="15">
        <f t="shared" si="5"/>
        <v>1029.6000000000001</v>
      </c>
    </row>
    <row r="116" spans="2:15" ht="16.5" customHeight="1" x14ac:dyDescent="0.15">
      <c r="B116" s="96"/>
      <c r="C116" s="96"/>
      <c r="D116" s="179"/>
      <c r="E116" s="72">
        <f>+E114+1</f>
        <v>114</v>
      </c>
      <c r="F116" s="72">
        <f>+F114+1</f>
        <v>139</v>
      </c>
      <c r="G116" s="72">
        <f>+G114+1</f>
        <v>164</v>
      </c>
      <c r="H116" s="23" t="s">
        <v>64</v>
      </c>
      <c r="I116" s="15">
        <f>+L54</f>
        <v>792</v>
      </c>
      <c r="J116" s="47">
        <f t="shared" si="6"/>
        <v>792</v>
      </c>
      <c r="K116" s="15">
        <f t="shared" si="6"/>
        <v>792</v>
      </c>
      <c r="L116" s="48">
        <f t="shared" si="6"/>
        <v>792</v>
      </c>
      <c r="M116" s="15">
        <f t="shared" si="3"/>
        <v>1029.6000000000001</v>
      </c>
      <c r="N116" s="15">
        <f t="shared" si="4"/>
        <v>1029.6000000000001</v>
      </c>
      <c r="O116" s="15">
        <f t="shared" si="5"/>
        <v>1029.6000000000001</v>
      </c>
    </row>
    <row r="117" spans="2:15" ht="16.5" customHeight="1" x14ac:dyDescent="0.15">
      <c r="B117" s="96"/>
      <c r="C117" s="96"/>
      <c r="D117" s="179"/>
      <c r="E117" s="72"/>
      <c r="F117" s="72"/>
      <c r="G117" s="72"/>
      <c r="H117" s="23" t="s">
        <v>65</v>
      </c>
      <c r="I117" s="15">
        <f>+L56</f>
        <v>792</v>
      </c>
      <c r="J117" s="47">
        <f t="shared" si="6"/>
        <v>792</v>
      </c>
      <c r="K117" s="15">
        <f t="shared" si="6"/>
        <v>792</v>
      </c>
      <c r="L117" s="48">
        <f t="shared" si="6"/>
        <v>792</v>
      </c>
      <c r="M117" s="15">
        <f t="shared" si="3"/>
        <v>1029.6000000000001</v>
      </c>
      <c r="N117" s="15">
        <f t="shared" si="4"/>
        <v>1029.6000000000001</v>
      </c>
      <c r="O117" s="15">
        <f t="shared" si="5"/>
        <v>1029.6000000000001</v>
      </c>
    </row>
    <row r="118" spans="2:15" ht="16.5" customHeight="1" x14ac:dyDescent="0.15">
      <c r="B118" s="96"/>
      <c r="C118" s="96"/>
      <c r="D118" s="179"/>
      <c r="E118" s="72">
        <f>+E116+1</f>
        <v>115</v>
      </c>
      <c r="F118" s="72">
        <f>+F116+1</f>
        <v>140</v>
      </c>
      <c r="G118" s="72">
        <f>+G116+1</f>
        <v>165</v>
      </c>
      <c r="H118" s="23" t="s">
        <v>64</v>
      </c>
      <c r="I118" s="15">
        <f>+L56</f>
        <v>792</v>
      </c>
      <c r="J118" s="47">
        <f t="shared" si="6"/>
        <v>792</v>
      </c>
      <c r="K118" s="15">
        <f t="shared" si="6"/>
        <v>792</v>
      </c>
      <c r="L118" s="48">
        <f t="shared" si="6"/>
        <v>792</v>
      </c>
      <c r="M118" s="15">
        <f t="shared" si="3"/>
        <v>1029.6000000000001</v>
      </c>
      <c r="N118" s="15">
        <f t="shared" si="4"/>
        <v>1029.6000000000001</v>
      </c>
      <c r="O118" s="15">
        <f t="shared" si="5"/>
        <v>1029.6000000000001</v>
      </c>
    </row>
    <row r="119" spans="2:15" ht="16.5" customHeight="1" x14ac:dyDescent="0.15">
      <c r="B119" s="96"/>
      <c r="C119" s="96"/>
      <c r="D119" s="179"/>
      <c r="E119" s="72"/>
      <c r="F119" s="72"/>
      <c r="G119" s="72"/>
      <c r="H119" s="23" t="s">
        <v>65</v>
      </c>
      <c r="I119" s="15">
        <f>+L58</f>
        <v>792</v>
      </c>
      <c r="J119" s="47">
        <f t="shared" si="6"/>
        <v>792</v>
      </c>
      <c r="K119" s="15">
        <f t="shared" si="6"/>
        <v>792</v>
      </c>
      <c r="L119" s="48">
        <f t="shared" si="6"/>
        <v>792</v>
      </c>
      <c r="M119" s="15">
        <f t="shared" si="3"/>
        <v>1029.6000000000001</v>
      </c>
      <c r="N119" s="15">
        <f t="shared" si="4"/>
        <v>1029.6000000000001</v>
      </c>
      <c r="O119" s="15">
        <f t="shared" si="5"/>
        <v>1029.6000000000001</v>
      </c>
    </row>
    <row r="120" spans="2:15" ht="16.5" customHeight="1" x14ac:dyDescent="0.15">
      <c r="B120" s="96"/>
      <c r="C120" s="96"/>
      <c r="D120" s="179"/>
      <c r="E120" s="72">
        <f>+E118+1</f>
        <v>116</v>
      </c>
      <c r="F120" s="72">
        <f>+F118+1</f>
        <v>141</v>
      </c>
      <c r="G120" s="72">
        <f>+G118+1</f>
        <v>166</v>
      </c>
      <c r="H120" s="23" t="s">
        <v>64</v>
      </c>
      <c r="I120" s="15">
        <f>+L58</f>
        <v>792</v>
      </c>
      <c r="J120" s="47">
        <f t="shared" si="6"/>
        <v>792</v>
      </c>
      <c r="K120" s="15">
        <f t="shared" si="6"/>
        <v>792</v>
      </c>
      <c r="L120" s="48">
        <f t="shared" si="6"/>
        <v>792</v>
      </c>
      <c r="M120" s="15">
        <f t="shared" si="3"/>
        <v>1029.6000000000001</v>
      </c>
      <c r="N120" s="15">
        <f t="shared" si="4"/>
        <v>1029.6000000000001</v>
      </c>
      <c r="O120" s="15">
        <f t="shared" si="5"/>
        <v>1029.6000000000001</v>
      </c>
    </row>
    <row r="121" spans="2:15" ht="16.5" customHeight="1" x14ac:dyDescent="0.15">
      <c r="B121" s="96"/>
      <c r="C121" s="96"/>
      <c r="D121" s="179"/>
      <c r="E121" s="72"/>
      <c r="F121" s="72"/>
      <c r="G121" s="72"/>
      <c r="H121" s="23" t="s">
        <v>65</v>
      </c>
      <c r="I121" s="15">
        <f>+L60</f>
        <v>792</v>
      </c>
      <c r="J121" s="47">
        <f t="shared" si="6"/>
        <v>792</v>
      </c>
      <c r="K121" s="15">
        <f t="shared" si="6"/>
        <v>792</v>
      </c>
      <c r="L121" s="48">
        <f t="shared" si="6"/>
        <v>792</v>
      </c>
      <c r="M121" s="15">
        <f t="shared" si="3"/>
        <v>1029.6000000000001</v>
      </c>
      <c r="N121" s="15">
        <f t="shared" si="4"/>
        <v>1029.6000000000001</v>
      </c>
      <c r="O121" s="15">
        <f t="shared" si="5"/>
        <v>1029.6000000000001</v>
      </c>
    </row>
    <row r="122" spans="2:15" ht="16.5" customHeight="1" x14ac:dyDescent="0.15">
      <c r="B122" s="96"/>
      <c r="C122" s="96"/>
      <c r="D122" s="179"/>
      <c r="E122" s="72">
        <f>+E120+1</f>
        <v>117</v>
      </c>
      <c r="F122" s="72">
        <f>+F120+1</f>
        <v>142</v>
      </c>
      <c r="G122" s="72">
        <f>+G120+1</f>
        <v>167</v>
      </c>
      <c r="H122" s="23" t="s">
        <v>64</v>
      </c>
      <c r="I122" s="15">
        <f>+L60</f>
        <v>792</v>
      </c>
      <c r="J122" s="47">
        <f t="shared" si="6"/>
        <v>792</v>
      </c>
      <c r="K122" s="15">
        <f t="shared" si="6"/>
        <v>792</v>
      </c>
      <c r="L122" s="48">
        <f t="shared" si="6"/>
        <v>792</v>
      </c>
      <c r="M122" s="15">
        <f t="shared" si="3"/>
        <v>1029.6000000000001</v>
      </c>
      <c r="N122" s="15">
        <f t="shared" si="4"/>
        <v>1029.6000000000001</v>
      </c>
      <c r="O122" s="15">
        <f t="shared" si="5"/>
        <v>1029.6000000000001</v>
      </c>
    </row>
    <row r="123" spans="2:15" ht="16.5" customHeight="1" x14ac:dyDescent="0.15">
      <c r="B123" s="96"/>
      <c r="C123" s="96"/>
      <c r="D123" s="179"/>
      <c r="E123" s="72"/>
      <c r="F123" s="72"/>
      <c r="G123" s="72"/>
      <c r="H123" s="23" t="s">
        <v>65</v>
      </c>
      <c r="I123" s="15">
        <f>+L62</f>
        <v>792</v>
      </c>
      <c r="J123" s="47">
        <f t="shared" si="6"/>
        <v>792</v>
      </c>
      <c r="K123" s="15">
        <f t="shared" si="6"/>
        <v>792</v>
      </c>
      <c r="L123" s="48">
        <f t="shared" si="6"/>
        <v>792</v>
      </c>
      <c r="M123" s="15">
        <f t="shared" si="3"/>
        <v>1029.6000000000001</v>
      </c>
      <c r="N123" s="15">
        <f t="shared" si="4"/>
        <v>1029.6000000000001</v>
      </c>
      <c r="O123" s="15">
        <f t="shared" si="5"/>
        <v>1029.6000000000001</v>
      </c>
    </row>
    <row r="124" spans="2:15" ht="16.5" customHeight="1" x14ac:dyDescent="0.15">
      <c r="B124" s="96"/>
      <c r="C124" s="96"/>
      <c r="D124" s="179"/>
      <c r="E124" s="72">
        <f>+E122+1</f>
        <v>118</v>
      </c>
      <c r="F124" s="72">
        <f>+F122+1</f>
        <v>143</v>
      </c>
      <c r="G124" s="72">
        <f>+G122+1</f>
        <v>168</v>
      </c>
      <c r="H124" s="23" t="s">
        <v>64</v>
      </c>
      <c r="I124" s="15">
        <f>+L62</f>
        <v>792</v>
      </c>
      <c r="J124" s="47">
        <f t="shared" si="6"/>
        <v>792</v>
      </c>
      <c r="K124" s="15">
        <f t="shared" si="6"/>
        <v>792</v>
      </c>
      <c r="L124" s="48">
        <f t="shared" si="6"/>
        <v>792</v>
      </c>
      <c r="M124" s="15">
        <f t="shared" si="3"/>
        <v>1029.6000000000001</v>
      </c>
      <c r="N124" s="15">
        <f t="shared" si="4"/>
        <v>1029.6000000000001</v>
      </c>
      <c r="O124" s="15">
        <f t="shared" si="5"/>
        <v>1029.6000000000001</v>
      </c>
    </row>
    <row r="125" spans="2:15" ht="16.5" customHeight="1" x14ac:dyDescent="0.15">
      <c r="B125" s="96"/>
      <c r="C125" s="96"/>
      <c r="D125" s="179"/>
      <c r="E125" s="72"/>
      <c r="F125" s="72"/>
      <c r="G125" s="72"/>
      <c r="H125" s="23" t="s">
        <v>65</v>
      </c>
      <c r="I125" s="15">
        <f>+L64</f>
        <v>792</v>
      </c>
      <c r="J125" s="47">
        <f t="shared" si="6"/>
        <v>792</v>
      </c>
      <c r="K125" s="15">
        <f t="shared" si="6"/>
        <v>792</v>
      </c>
      <c r="L125" s="48">
        <f t="shared" si="6"/>
        <v>792</v>
      </c>
      <c r="M125" s="15">
        <f t="shared" si="3"/>
        <v>1029.6000000000001</v>
      </c>
      <c r="N125" s="15">
        <f t="shared" si="4"/>
        <v>1029.6000000000001</v>
      </c>
      <c r="O125" s="15">
        <f t="shared" si="5"/>
        <v>1029.6000000000001</v>
      </c>
    </row>
    <row r="126" spans="2:15" ht="16.5" customHeight="1" x14ac:dyDescent="0.15">
      <c r="B126" s="96"/>
      <c r="C126" s="96"/>
      <c r="D126" s="179"/>
      <c r="E126" s="72">
        <f>+E124+1</f>
        <v>119</v>
      </c>
      <c r="F126" s="72">
        <f>+F124+1</f>
        <v>144</v>
      </c>
      <c r="G126" s="72">
        <f>+G124+1</f>
        <v>169</v>
      </c>
      <c r="H126" s="23" t="s">
        <v>64</v>
      </c>
      <c r="I126" s="15">
        <f>+L64</f>
        <v>792</v>
      </c>
      <c r="J126" s="47">
        <f t="shared" si="6"/>
        <v>792</v>
      </c>
      <c r="K126" s="15">
        <f t="shared" si="6"/>
        <v>792</v>
      </c>
      <c r="L126" s="48">
        <f t="shared" si="6"/>
        <v>792</v>
      </c>
      <c r="M126" s="15">
        <f t="shared" si="3"/>
        <v>1029.6000000000001</v>
      </c>
      <c r="N126" s="15">
        <f t="shared" si="4"/>
        <v>1029.6000000000001</v>
      </c>
      <c r="O126" s="15">
        <f t="shared" si="5"/>
        <v>1029.6000000000001</v>
      </c>
    </row>
    <row r="127" spans="2:15" ht="16.5" customHeight="1" x14ac:dyDescent="0.15">
      <c r="B127" s="96"/>
      <c r="C127" s="96"/>
      <c r="D127" s="179"/>
      <c r="E127" s="72"/>
      <c r="F127" s="72"/>
      <c r="G127" s="72"/>
      <c r="H127" s="23" t="s">
        <v>65</v>
      </c>
      <c r="I127" s="15">
        <f>+L66</f>
        <v>792</v>
      </c>
      <c r="J127" s="47">
        <f t="shared" si="6"/>
        <v>792</v>
      </c>
      <c r="K127" s="15">
        <f t="shared" si="6"/>
        <v>792</v>
      </c>
      <c r="L127" s="48">
        <f t="shared" si="6"/>
        <v>792</v>
      </c>
      <c r="M127" s="15">
        <f t="shared" si="3"/>
        <v>1029.6000000000001</v>
      </c>
      <c r="N127" s="15">
        <f t="shared" si="4"/>
        <v>1029.6000000000001</v>
      </c>
      <c r="O127" s="15">
        <f t="shared" si="5"/>
        <v>1029.6000000000001</v>
      </c>
    </row>
    <row r="128" spans="2:15" ht="16.5" customHeight="1" x14ac:dyDescent="0.15">
      <c r="B128" s="96"/>
      <c r="C128" s="96"/>
      <c r="D128" s="179"/>
      <c r="E128" s="72">
        <f>+E126+1</f>
        <v>120</v>
      </c>
      <c r="F128" s="72">
        <f>+F126+1</f>
        <v>145</v>
      </c>
      <c r="G128" s="72">
        <f>+G126+1</f>
        <v>170</v>
      </c>
      <c r="H128" s="23" t="s">
        <v>64</v>
      </c>
      <c r="I128" s="15">
        <f>+L66</f>
        <v>792</v>
      </c>
      <c r="J128" s="47">
        <f t="shared" si="6"/>
        <v>792</v>
      </c>
      <c r="K128" s="15">
        <f t="shared" si="6"/>
        <v>792</v>
      </c>
      <c r="L128" s="48">
        <f t="shared" si="6"/>
        <v>792</v>
      </c>
      <c r="M128" s="15">
        <f t="shared" si="3"/>
        <v>1029.6000000000001</v>
      </c>
      <c r="N128" s="15">
        <f t="shared" si="4"/>
        <v>1029.6000000000001</v>
      </c>
      <c r="O128" s="15">
        <f t="shared" si="5"/>
        <v>1029.6000000000001</v>
      </c>
    </row>
    <row r="129" spans="2:15" ht="16.5" customHeight="1" x14ac:dyDescent="0.15">
      <c r="B129" s="96"/>
      <c r="C129" s="96"/>
      <c r="D129" s="179"/>
      <c r="E129" s="72"/>
      <c r="F129" s="72"/>
      <c r="G129" s="72"/>
      <c r="H129" s="23" t="s">
        <v>65</v>
      </c>
      <c r="I129" s="15">
        <f>+L68</f>
        <v>792</v>
      </c>
      <c r="J129" s="47">
        <f t="shared" si="6"/>
        <v>792</v>
      </c>
      <c r="K129" s="15">
        <f t="shared" si="6"/>
        <v>792</v>
      </c>
      <c r="L129" s="48">
        <f t="shared" si="6"/>
        <v>792</v>
      </c>
      <c r="M129" s="15">
        <f t="shared" si="3"/>
        <v>1029.6000000000001</v>
      </c>
      <c r="N129" s="15">
        <f t="shared" si="4"/>
        <v>1029.6000000000001</v>
      </c>
      <c r="O129" s="15">
        <f t="shared" si="5"/>
        <v>1029.6000000000001</v>
      </c>
    </row>
    <row r="130" spans="2:15" ht="16.5" customHeight="1" x14ac:dyDescent="0.15">
      <c r="B130" s="96"/>
      <c r="C130" s="96"/>
      <c r="D130" s="179"/>
      <c r="E130" s="72">
        <f>+E128+1</f>
        <v>121</v>
      </c>
      <c r="F130" s="72">
        <f>+F128+1</f>
        <v>146</v>
      </c>
      <c r="G130" s="72">
        <f>+G128+1</f>
        <v>171</v>
      </c>
      <c r="H130" s="23" t="s">
        <v>64</v>
      </c>
      <c r="I130" s="15">
        <f>+L68</f>
        <v>792</v>
      </c>
      <c r="J130" s="47">
        <f t="shared" si="6"/>
        <v>792</v>
      </c>
      <c r="K130" s="15">
        <f t="shared" si="6"/>
        <v>792</v>
      </c>
      <c r="L130" s="48">
        <f t="shared" si="6"/>
        <v>792</v>
      </c>
      <c r="M130" s="15">
        <f t="shared" si="3"/>
        <v>1029.6000000000001</v>
      </c>
      <c r="N130" s="15">
        <f t="shared" si="4"/>
        <v>1029.6000000000001</v>
      </c>
      <c r="O130" s="15">
        <f t="shared" si="5"/>
        <v>1029.6000000000001</v>
      </c>
    </row>
    <row r="131" spans="2:15" ht="16.5" customHeight="1" x14ac:dyDescent="0.15">
      <c r="B131" s="96"/>
      <c r="C131" s="96"/>
      <c r="D131" s="179"/>
      <c r="E131" s="72"/>
      <c r="F131" s="72"/>
      <c r="G131" s="72"/>
      <c r="H131" s="23" t="s">
        <v>65</v>
      </c>
      <c r="I131" s="15">
        <f>+L70</f>
        <v>792</v>
      </c>
      <c r="J131" s="47">
        <f t="shared" si="6"/>
        <v>792</v>
      </c>
      <c r="K131" s="15">
        <f t="shared" si="6"/>
        <v>792</v>
      </c>
      <c r="L131" s="48">
        <f t="shared" si="6"/>
        <v>792</v>
      </c>
      <c r="M131" s="15">
        <f t="shared" si="3"/>
        <v>1029.6000000000001</v>
      </c>
      <c r="N131" s="15">
        <f t="shared" si="4"/>
        <v>1029.6000000000001</v>
      </c>
      <c r="O131" s="15">
        <f t="shared" si="5"/>
        <v>1029.6000000000001</v>
      </c>
    </row>
    <row r="134" spans="2:15" ht="16.5" customHeight="1" x14ac:dyDescent="0.15">
      <c r="C134" s="5"/>
    </row>
    <row r="135" spans="2:15" ht="16.5" customHeight="1" x14ac:dyDescent="0.15">
      <c r="C135" s="7" t="s">
        <v>22</v>
      </c>
      <c r="D135" s="4" t="s">
        <v>75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2:15" ht="16.5" customHeight="1" x14ac:dyDescent="0.15">
      <c r="C136" s="7"/>
      <c r="D136" s="4" t="s">
        <v>12</v>
      </c>
      <c r="E136" s="12">
        <f>+E80</f>
        <v>1.3</v>
      </c>
      <c r="F136" s="4" t="s">
        <v>4</v>
      </c>
      <c r="G136" s="4"/>
      <c r="H136" s="4"/>
      <c r="I136" s="4"/>
      <c r="J136" s="4"/>
      <c r="K136" s="4"/>
      <c r="L136" s="4"/>
      <c r="M136" s="4"/>
      <c r="N136" s="4"/>
      <c r="O136" s="4"/>
    </row>
    <row r="137" spans="2:15" ht="16.5" customHeight="1" x14ac:dyDescent="0.15">
      <c r="C137" s="7"/>
      <c r="D137" s="4" t="s">
        <v>10</v>
      </c>
      <c r="E137" s="18">
        <v>3</v>
      </c>
      <c r="F137" s="4" t="s">
        <v>16</v>
      </c>
      <c r="G137" s="6" t="s">
        <v>73</v>
      </c>
      <c r="H137" s="4"/>
      <c r="I137" s="4"/>
      <c r="J137" s="4"/>
      <c r="K137" s="4"/>
      <c r="L137" s="4"/>
      <c r="M137" s="4"/>
      <c r="N137" s="4"/>
      <c r="O137" s="4"/>
    </row>
    <row r="138" spans="2:15" ht="16.5" customHeight="1" x14ac:dyDescent="0.15">
      <c r="C138" s="7"/>
      <c r="D138" s="4"/>
      <c r="E138" s="18">
        <v>2</v>
      </c>
      <c r="F138" s="4" t="s">
        <v>16</v>
      </c>
      <c r="G138" s="4" t="s">
        <v>74</v>
      </c>
      <c r="H138" s="4"/>
      <c r="I138" s="4"/>
      <c r="J138" s="4"/>
      <c r="K138" s="4"/>
      <c r="L138" s="4"/>
      <c r="M138" s="4"/>
      <c r="N138" s="4"/>
      <c r="O138" s="4"/>
    </row>
    <row r="139" spans="2:15" ht="16.5" customHeight="1" x14ac:dyDescent="0.15">
      <c r="C139" s="7"/>
      <c r="D139" s="81" t="s">
        <v>11</v>
      </c>
      <c r="E139" s="82"/>
      <c r="F139" s="82"/>
      <c r="G139" s="174" t="s">
        <v>78</v>
      </c>
      <c r="H139" s="174"/>
      <c r="I139" s="174"/>
      <c r="J139" s="174"/>
      <c r="K139" s="174"/>
      <c r="L139" s="174"/>
      <c r="M139" s="4"/>
    </row>
    <row r="140" spans="2:15" ht="16.5" customHeight="1" x14ac:dyDescent="0.15">
      <c r="C140" s="7"/>
      <c r="D140" s="84"/>
      <c r="E140" s="66"/>
      <c r="F140" s="66"/>
      <c r="G140" s="174"/>
      <c r="H140" s="174"/>
      <c r="I140" s="174"/>
      <c r="J140" s="174"/>
      <c r="K140" s="174"/>
      <c r="L140" s="174"/>
      <c r="M140" s="4"/>
    </row>
    <row r="141" spans="2:15" ht="16.5" customHeight="1" x14ac:dyDescent="0.15">
      <c r="C141" s="7"/>
      <c r="D141" s="87"/>
      <c r="E141" s="70"/>
      <c r="F141" s="70"/>
      <c r="G141" s="173" t="s">
        <v>76</v>
      </c>
      <c r="H141" s="173"/>
      <c r="I141" s="176"/>
      <c r="J141" s="172" t="s">
        <v>77</v>
      </c>
      <c r="K141" s="173"/>
      <c r="L141" s="173"/>
      <c r="M141" s="4"/>
    </row>
    <row r="142" spans="2:15" ht="16.5" customHeight="1" x14ac:dyDescent="0.15">
      <c r="C142" s="7"/>
      <c r="D142" s="80">
        <v>98</v>
      </c>
      <c r="E142" s="80">
        <v>123</v>
      </c>
      <c r="F142" s="177">
        <v>148</v>
      </c>
      <c r="G142" s="49">
        <f t="shared" ref="G142:G189" si="7">+$E$137*O84</f>
        <v>1163.0297639999999</v>
      </c>
      <c r="H142" s="49">
        <f t="shared" ref="H142:H189" si="8">+$E$138*N84</f>
        <v>1004.78612</v>
      </c>
      <c r="I142" s="50">
        <f t="shared" ref="I142:I189" si="9">+$E$137*M84</f>
        <v>2907.5744100000002</v>
      </c>
      <c r="J142" s="51">
        <f t="shared" ref="J142:J189" si="10">+I142</f>
        <v>2907.5744100000002</v>
      </c>
      <c r="K142" s="49">
        <f t="shared" ref="K142:K189" si="11">+H142</f>
        <v>1004.78612</v>
      </c>
      <c r="L142" s="49">
        <f t="shared" ref="L142:L189" si="12">+G142</f>
        <v>1163.0297639999999</v>
      </c>
      <c r="M142" s="4"/>
    </row>
    <row r="143" spans="2:15" ht="16.5" customHeight="1" x14ac:dyDescent="0.15">
      <c r="C143" s="7"/>
      <c r="D143" s="80"/>
      <c r="E143" s="80"/>
      <c r="F143" s="177"/>
      <c r="G143" s="59">
        <f t="shared" si="7"/>
        <v>1307.4656815999999</v>
      </c>
      <c r="H143" s="59">
        <f t="shared" si="8"/>
        <v>1129.5698613333332</v>
      </c>
      <c r="I143" s="60">
        <f t="shared" si="9"/>
        <v>3268.6642039999997</v>
      </c>
      <c r="J143" s="61">
        <f t="shared" si="10"/>
        <v>3268.6642039999997</v>
      </c>
      <c r="K143" s="59">
        <f t="shared" si="11"/>
        <v>1129.5698613333332</v>
      </c>
      <c r="L143" s="59">
        <f t="shared" si="12"/>
        <v>1307.4656815999999</v>
      </c>
      <c r="M143" s="4"/>
    </row>
    <row r="144" spans="2:15" ht="16.5" customHeight="1" x14ac:dyDescent="0.15">
      <c r="C144" s="7"/>
      <c r="D144" s="72">
        <f>+D142+1</f>
        <v>99</v>
      </c>
      <c r="E144" s="72">
        <f>+E142+1</f>
        <v>124</v>
      </c>
      <c r="F144" s="175">
        <f>+F142+1</f>
        <v>149</v>
      </c>
      <c r="G144" s="49">
        <f t="shared" si="7"/>
        <v>1989.0401095076923</v>
      </c>
      <c r="H144" s="49">
        <f t="shared" si="8"/>
        <v>1718.4082093333332</v>
      </c>
      <c r="I144" s="50">
        <f t="shared" si="9"/>
        <v>4972.6002737692306</v>
      </c>
      <c r="J144" s="51">
        <f t="shared" si="10"/>
        <v>4972.6002737692306</v>
      </c>
      <c r="K144" s="49">
        <f t="shared" si="11"/>
        <v>1718.4082093333332</v>
      </c>
      <c r="L144" s="49">
        <f t="shared" si="12"/>
        <v>1989.0401095076923</v>
      </c>
      <c r="M144" s="4"/>
    </row>
    <row r="145" spans="3:13" ht="16.5" customHeight="1" x14ac:dyDescent="0.15">
      <c r="C145" s="7"/>
      <c r="D145" s="72"/>
      <c r="E145" s="72"/>
      <c r="F145" s="175"/>
      <c r="G145" s="59">
        <f t="shared" si="7"/>
        <v>1989.0401095076923</v>
      </c>
      <c r="H145" s="59">
        <f t="shared" si="8"/>
        <v>1718.4082093333332</v>
      </c>
      <c r="I145" s="60">
        <f t="shared" si="9"/>
        <v>4972.6002737692306</v>
      </c>
      <c r="J145" s="61">
        <f t="shared" si="10"/>
        <v>4972.6002737692306</v>
      </c>
      <c r="K145" s="59">
        <f t="shared" si="11"/>
        <v>1718.4082093333332</v>
      </c>
      <c r="L145" s="59">
        <f t="shared" si="12"/>
        <v>1989.0401095076923</v>
      </c>
      <c r="M145" s="4"/>
    </row>
    <row r="146" spans="3:13" ht="16.5" customHeight="1" x14ac:dyDescent="0.15">
      <c r="C146" s="7"/>
      <c r="D146" s="72">
        <f>+D144+1</f>
        <v>100</v>
      </c>
      <c r="E146" s="72">
        <f>+E144+1</f>
        <v>125</v>
      </c>
      <c r="F146" s="175">
        <f>+F144+1</f>
        <v>150</v>
      </c>
      <c r="G146" s="49">
        <f t="shared" si="7"/>
        <v>907.71050769230715</v>
      </c>
      <c r="H146" s="49">
        <f t="shared" si="8"/>
        <v>784.20599999999968</v>
      </c>
      <c r="I146" s="50">
        <f t="shared" si="9"/>
        <v>2269.2762692307679</v>
      </c>
      <c r="J146" s="51">
        <f t="shared" si="10"/>
        <v>2269.2762692307679</v>
      </c>
      <c r="K146" s="49">
        <f t="shared" si="11"/>
        <v>784.20599999999968</v>
      </c>
      <c r="L146" s="49">
        <f t="shared" si="12"/>
        <v>907.71050769230715</v>
      </c>
      <c r="M146" s="4"/>
    </row>
    <row r="147" spans="3:13" ht="16.5" customHeight="1" x14ac:dyDescent="0.15">
      <c r="C147" s="7"/>
      <c r="D147" s="72"/>
      <c r="E147" s="72"/>
      <c r="F147" s="175"/>
      <c r="G147" s="59">
        <f t="shared" si="7"/>
        <v>907.71050769230715</v>
      </c>
      <c r="H147" s="59">
        <f t="shared" si="8"/>
        <v>784.20599999999968</v>
      </c>
      <c r="I147" s="60">
        <f t="shared" si="9"/>
        <v>2269.2762692307679</v>
      </c>
      <c r="J147" s="61">
        <f t="shared" si="10"/>
        <v>2269.2762692307679</v>
      </c>
      <c r="K147" s="59">
        <f t="shared" si="11"/>
        <v>784.20599999999968</v>
      </c>
      <c r="L147" s="59">
        <f t="shared" si="12"/>
        <v>907.71050769230715</v>
      </c>
      <c r="M147" s="4"/>
    </row>
    <row r="148" spans="3:13" ht="16.5" customHeight="1" x14ac:dyDescent="0.15">
      <c r="C148" s="7"/>
      <c r="D148" s="72">
        <f>+D146+1</f>
        <v>101</v>
      </c>
      <c r="E148" s="72">
        <f>+E146+1</f>
        <v>126</v>
      </c>
      <c r="F148" s="175">
        <f>+F146+1</f>
        <v>151</v>
      </c>
      <c r="G148" s="49">
        <f t="shared" si="7"/>
        <v>669.00600000000009</v>
      </c>
      <c r="H148" s="49">
        <f t="shared" si="8"/>
        <v>577.98</v>
      </c>
      <c r="I148" s="50">
        <f t="shared" si="9"/>
        <v>1672.5149999999999</v>
      </c>
      <c r="J148" s="51">
        <f t="shared" si="10"/>
        <v>1672.5149999999999</v>
      </c>
      <c r="K148" s="49">
        <f t="shared" si="11"/>
        <v>577.98</v>
      </c>
      <c r="L148" s="49">
        <f t="shared" si="12"/>
        <v>669.00600000000009</v>
      </c>
      <c r="M148" s="4"/>
    </row>
    <row r="149" spans="3:13" ht="16.5" customHeight="1" x14ac:dyDescent="0.15">
      <c r="C149" s="7"/>
      <c r="D149" s="72"/>
      <c r="E149" s="72"/>
      <c r="F149" s="175"/>
      <c r="G149" s="59">
        <f t="shared" si="7"/>
        <v>669.00600000000009</v>
      </c>
      <c r="H149" s="59">
        <f t="shared" si="8"/>
        <v>577.98</v>
      </c>
      <c r="I149" s="60">
        <f t="shared" si="9"/>
        <v>1672.5149999999999</v>
      </c>
      <c r="J149" s="61">
        <f t="shared" si="10"/>
        <v>1672.5149999999999</v>
      </c>
      <c r="K149" s="59">
        <f t="shared" si="11"/>
        <v>577.98</v>
      </c>
      <c r="L149" s="59">
        <f t="shared" si="12"/>
        <v>669.00600000000009</v>
      </c>
      <c r="M149" s="4"/>
    </row>
    <row r="150" spans="3:13" ht="16.5" customHeight="1" x14ac:dyDescent="0.15">
      <c r="C150" s="7"/>
      <c r="D150" s="72">
        <f>+D148+1</f>
        <v>102</v>
      </c>
      <c r="E150" s="72">
        <f>+E148+1</f>
        <v>127</v>
      </c>
      <c r="F150" s="175">
        <f>+F148+1</f>
        <v>152</v>
      </c>
      <c r="G150" s="49">
        <f t="shared" si="7"/>
        <v>1740.9708960000009</v>
      </c>
      <c r="H150" s="49">
        <f t="shared" si="8"/>
        <v>1504.0916800000009</v>
      </c>
      <c r="I150" s="50">
        <f t="shared" si="9"/>
        <v>4352.4272400000018</v>
      </c>
      <c r="J150" s="51">
        <f t="shared" si="10"/>
        <v>4352.4272400000018</v>
      </c>
      <c r="K150" s="49">
        <f t="shared" si="11"/>
        <v>1504.0916800000009</v>
      </c>
      <c r="L150" s="49">
        <f t="shared" si="12"/>
        <v>1740.9708960000009</v>
      </c>
      <c r="M150" s="4"/>
    </row>
    <row r="151" spans="3:13" ht="16.5" customHeight="1" x14ac:dyDescent="0.15">
      <c r="C151" s="7"/>
      <c r="D151" s="72"/>
      <c r="E151" s="72"/>
      <c r="F151" s="175"/>
      <c r="G151" s="59">
        <f t="shared" si="7"/>
        <v>1740.9708960000009</v>
      </c>
      <c r="H151" s="59">
        <f t="shared" si="8"/>
        <v>1504.0916800000009</v>
      </c>
      <c r="I151" s="60">
        <f t="shared" si="9"/>
        <v>4352.4272400000018</v>
      </c>
      <c r="J151" s="61">
        <f t="shared" si="10"/>
        <v>4352.4272400000018</v>
      </c>
      <c r="K151" s="59">
        <f t="shared" si="11"/>
        <v>1504.0916800000009</v>
      </c>
      <c r="L151" s="59">
        <f t="shared" si="12"/>
        <v>1740.9708960000009</v>
      </c>
      <c r="M151" s="4"/>
    </row>
    <row r="152" spans="3:13" ht="16.5" customHeight="1" x14ac:dyDescent="0.15">
      <c r="C152" s="7"/>
      <c r="D152" s="72">
        <f>+D150+1</f>
        <v>103</v>
      </c>
      <c r="E152" s="72">
        <f>+E150+1</f>
        <v>128</v>
      </c>
      <c r="F152" s="175">
        <f>+F150+1</f>
        <v>153</v>
      </c>
      <c r="G152" s="49">
        <f t="shared" si="7"/>
        <v>2472.794844</v>
      </c>
      <c r="H152" s="49">
        <f t="shared" si="8"/>
        <v>2136.3425200000001</v>
      </c>
      <c r="I152" s="50">
        <f t="shared" si="9"/>
        <v>6181.98711</v>
      </c>
      <c r="J152" s="51">
        <f t="shared" si="10"/>
        <v>6181.98711</v>
      </c>
      <c r="K152" s="49">
        <f t="shared" si="11"/>
        <v>2136.3425200000001</v>
      </c>
      <c r="L152" s="49">
        <f t="shared" si="12"/>
        <v>2472.794844</v>
      </c>
      <c r="M152" s="4"/>
    </row>
    <row r="153" spans="3:13" ht="16.5" customHeight="1" x14ac:dyDescent="0.15">
      <c r="C153" s="7"/>
      <c r="D153" s="72"/>
      <c r="E153" s="72"/>
      <c r="F153" s="175"/>
      <c r="G153" s="59">
        <f t="shared" si="7"/>
        <v>2673.7939799999999</v>
      </c>
      <c r="H153" s="59">
        <f t="shared" si="8"/>
        <v>2309.9933999999998</v>
      </c>
      <c r="I153" s="60">
        <f t="shared" si="9"/>
        <v>6684.48495</v>
      </c>
      <c r="J153" s="61">
        <f t="shared" si="10"/>
        <v>6684.48495</v>
      </c>
      <c r="K153" s="59">
        <f t="shared" si="11"/>
        <v>2309.9933999999998</v>
      </c>
      <c r="L153" s="59">
        <f t="shared" si="12"/>
        <v>2673.7939799999999</v>
      </c>
      <c r="M153" s="4"/>
    </row>
    <row r="154" spans="3:13" ht="16.5" customHeight="1" x14ac:dyDescent="0.15">
      <c r="C154" s="7"/>
      <c r="D154" s="72">
        <f>+D152+1</f>
        <v>104</v>
      </c>
      <c r="E154" s="72">
        <f>+E152+1</f>
        <v>129</v>
      </c>
      <c r="F154" s="175">
        <f>+F152+1</f>
        <v>154</v>
      </c>
      <c r="G154" s="49">
        <f t="shared" si="7"/>
        <v>2640.6295799999998</v>
      </c>
      <c r="H154" s="49">
        <f t="shared" si="8"/>
        <v>2281.3413999999998</v>
      </c>
      <c r="I154" s="50">
        <f t="shared" si="9"/>
        <v>6601.57395</v>
      </c>
      <c r="J154" s="51">
        <f t="shared" si="10"/>
        <v>6601.57395</v>
      </c>
      <c r="K154" s="49">
        <f t="shared" si="11"/>
        <v>2281.3413999999998</v>
      </c>
      <c r="L154" s="49">
        <f t="shared" si="12"/>
        <v>2640.6295799999998</v>
      </c>
      <c r="M154" s="4"/>
    </row>
    <row r="155" spans="3:13" ht="16.5" customHeight="1" x14ac:dyDescent="0.15">
      <c r="C155" s="7"/>
      <c r="D155" s="72"/>
      <c r="E155" s="72"/>
      <c r="F155" s="175"/>
      <c r="G155" s="59">
        <f t="shared" si="7"/>
        <v>2640.6295799999998</v>
      </c>
      <c r="H155" s="59">
        <f t="shared" si="8"/>
        <v>2281.3413999999998</v>
      </c>
      <c r="I155" s="60">
        <f t="shared" si="9"/>
        <v>6601.57395</v>
      </c>
      <c r="J155" s="61">
        <f t="shared" si="10"/>
        <v>6601.57395</v>
      </c>
      <c r="K155" s="59">
        <f t="shared" si="11"/>
        <v>2281.3413999999998</v>
      </c>
      <c r="L155" s="59">
        <f t="shared" si="12"/>
        <v>2640.6295799999998</v>
      </c>
      <c r="M155" s="4"/>
    </row>
    <row r="156" spans="3:13" ht="16.5" customHeight="1" x14ac:dyDescent="0.15">
      <c r="C156" s="7"/>
      <c r="D156" s="72">
        <f>+D154+1</f>
        <v>105</v>
      </c>
      <c r="E156" s="72">
        <f>+E154+1</f>
        <v>130</v>
      </c>
      <c r="F156" s="175">
        <f>+F154+1</f>
        <v>155</v>
      </c>
      <c r="G156" s="49">
        <f t="shared" si="7"/>
        <v>3142.554115263159</v>
      </c>
      <c r="H156" s="49">
        <f t="shared" si="8"/>
        <v>2714.9733000000015</v>
      </c>
      <c r="I156" s="50">
        <f t="shared" si="9"/>
        <v>7856.3852881578987</v>
      </c>
      <c r="J156" s="51">
        <f t="shared" si="10"/>
        <v>7856.3852881578987</v>
      </c>
      <c r="K156" s="49">
        <f t="shared" si="11"/>
        <v>2714.9733000000015</v>
      </c>
      <c r="L156" s="49">
        <f t="shared" si="12"/>
        <v>3142.554115263159</v>
      </c>
      <c r="M156" s="4"/>
    </row>
    <row r="157" spans="3:13" ht="16.5" customHeight="1" x14ac:dyDescent="0.15">
      <c r="C157" s="7"/>
      <c r="D157" s="72"/>
      <c r="E157" s="72"/>
      <c r="F157" s="175"/>
      <c r="G157" s="59">
        <f t="shared" si="7"/>
        <v>3142.554115263159</v>
      </c>
      <c r="H157" s="59">
        <f t="shared" si="8"/>
        <v>2714.9733000000015</v>
      </c>
      <c r="I157" s="60">
        <f t="shared" si="9"/>
        <v>7856.3852881578987</v>
      </c>
      <c r="J157" s="61">
        <f t="shared" si="10"/>
        <v>7856.3852881578987</v>
      </c>
      <c r="K157" s="59">
        <f t="shared" si="11"/>
        <v>2714.9733000000015</v>
      </c>
      <c r="L157" s="59">
        <f t="shared" si="12"/>
        <v>3142.554115263159</v>
      </c>
      <c r="M157" s="4"/>
    </row>
    <row r="158" spans="3:13" ht="16.5" customHeight="1" x14ac:dyDescent="0.15">
      <c r="C158" s="7"/>
      <c r="D158" s="72">
        <f>+D156+1</f>
        <v>106</v>
      </c>
      <c r="E158" s="72">
        <f>+E156+1</f>
        <v>131</v>
      </c>
      <c r="F158" s="175">
        <f>+F156+1</f>
        <v>156</v>
      </c>
      <c r="G158" s="49">
        <f t="shared" si="7"/>
        <v>3190.7595637894738</v>
      </c>
      <c r="H158" s="49">
        <f t="shared" si="8"/>
        <v>2756.6198400000007</v>
      </c>
      <c r="I158" s="50">
        <f t="shared" si="9"/>
        <v>7976.8989094736862</v>
      </c>
      <c r="J158" s="51">
        <f t="shared" si="10"/>
        <v>7976.8989094736862</v>
      </c>
      <c r="K158" s="49">
        <f t="shared" si="11"/>
        <v>2756.6198400000007</v>
      </c>
      <c r="L158" s="49">
        <f t="shared" si="12"/>
        <v>3190.7595637894738</v>
      </c>
      <c r="M158" s="4"/>
    </row>
    <row r="159" spans="3:13" ht="16.5" customHeight="1" x14ac:dyDescent="0.15">
      <c r="C159" s="7"/>
      <c r="D159" s="72"/>
      <c r="E159" s="72"/>
      <c r="F159" s="175"/>
      <c r="G159" s="59">
        <f t="shared" si="7"/>
        <v>3400.6897342736852</v>
      </c>
      <c r="H159" s="59">
        <f t="shared" si="8"/>
        <v>2937.9865840000002</v>
      </c>
      <c r="I159" s="60">
        <f t="shared" si="9"/>
        <v>8501.7243356842118</v>
      </c>
      <c r="J159" s="61">
        <f t="shared" si="10"/>
        <v>8501.7243356842118</v>
      </c>
      <c r="K159" s="59">
        <f t="shared" si="11"/>
        <v>2937.9865840000002</v>
      </c>
      <c r="L159" s="59">
        <f t="shared" si="12"/>
        <v>3400.6897342736852</v>
      </c>
      <c r="M159" s="4"/>
    </row>
    <row r="160" spans="3:13" ht="16.5" customHeight="1" x14ac:dyDescent="0.15">
      <c r="C160" s="7"/>
      <c r="D160" s="72">
        <f>+D158+1</f>
        <v>107</v>
      </c>
      <c r="E160" s="72">
        <f>+E158+1</f>
        <v>132</v>
      </c>
      <c r="F160" s="175">
        <f>+F158+1</f>
        <v>157</v>
      </c>
      <c r="G160" s="49">
        <f t="shared" si="7"/>
        <v>3400.6897342736852</v>
      </c>
      <c r="H160" s="49">
        <f t="shared" si="8"/>
        <v>2937.9865840000002</v>
      </c>
      <c r="I160" s="50">
        <f t="shared" si="9"/>
        <v>8501.7243356842118</v>
      </c>
      <c r="J160" s="51">
        <f t="shared" si="10"/>
        <v>8501.7243356842118</v>
      </c>
      <c r="K160" s="49">
        <f t="shared" si="11"/>
        <v>2937.9865840000002</v>
      </c>
      <c r="L160" s="49">
        <f t="shared" si="12"/>
        <v>3400.6897342736852</v>
      </c>
      <c r="M160" s="4"/>
    </row>
    <row r="161" spans="3:13" ht="16.5" customHeight="1" x14ac:dyDescent="0.15">
      <c r="C161" s="7"/>
      <c r="D161" s="72"/>
      <c r="E161" s="72"/>
      <c r="F161" s="175"/>
      <c r="G161" s="59">
        <f t="shared" si="7"/>
        <v>3610.6199047578953</v>
      </c>
      <c r="H161" s="59">
        <f t="shared" si="8"/>
        <v>3119.3533280000006</v>
      </c>
      <c r="I161" s="60">
        <f t="shared" si="9"/>
        <v>9026.5497618947393</v>
      </c>
      <c r="J161" s="61">
        <f t="shared" si="10"/>
        <v>9026.5497618947393</v>
      </c>
      <c r="K161" s="59">
        <f t="shared" si="11"/>
        <v>3119.3533280000006</v>
      </c>
      <c r="L161" s="59">
        <f t="shared" si="12"/>
        <v>3610.6199047578953</v>
      </c>
      <c r="M161" s="4"/>
    </row>
    <row r="162" spans="3:13" ht="16.5" customHeight="1" x14ac:dyDescent="0.15">
      <c r="C162" s="7"/>
      <c r="D162" s="72">
        <f>+D160+1</f>
        <v>108</v>
      </c>
      <c r="E162" s="72">
        <f>+E160+1</f>
        <v>133</v>
      </c>
      <c r="F162" s="175">
        <f>+F160+1</f>
        <v>158</v>
      </c>
      <c r="G162" s="49">
        <f t="shared" si="7"/>
        <v>3610.6199047578953</v>
      </c>
      <c r="H162" s="49">
        <f t="shared" si="8"/>
        <v>3119.3533280000006</v>
      </c>
      <c r="I162" s="50">
        <f t="shared" si="9"/>
        <v>9026.5497618947393</v>
      </c>
      <c r="J162" s="51">
        <f t="shared" si="10"/>
        <v>9026.5497618947393</v>
      </c>
      <c r="K162" s="49">
        <f t="shared" si="11"/>
        <v>3119.3533280000006</v>
      </c>
      <c r="L162" s="49">
        <f t="shared" si="12"/>
        <v>3610.6199047578953</v>
      </c>
      <c r="M162" s="4"/>
    </row>
    <row r="163" spans="3:13" ht="16.5" customHeight="1" x14ac:dyDescent="0.15">
      <c r="C163" s="7"/>
      <c r="D163" s="72"/>
      <c r="E163" s="72"/>
      <c r="F163" s="175"/>
      <c r="G163" s="59">
        <f t="shared" si="7"/>
        <v>3820.5500752421058</v>
      </c>
      <c r="H163" s="59">
        <f t="shared" si="8"/>
        <v>3300.720072000001</v>
      </c>
      <c r="I163" s="60">
        <f t="shared" si="9"/>
        <v>9551.3751881052649</v>
      </c>
      <c r="J163" s="61">
        <f t="shared" si="10"/>
        <v>9551.3751881052649</v>
      </c>
      <c r="K163" s="59">
        <f t="shared" si="11"/>
        <v>3300.720072000001</v>
      </c>
      <c r="L163" s="59">
        <f t="shared" si="12"/>
        <v>3820.5500752421058</v>
      </c>
      <c r="M163" s="4"/>
    </row>
    <row r="164" spans="3:13" ht="16.5" customHeight="1" x14ac:dyDescent="0.15">
      <c r="C164" s="7"/>
      <c r="D164" s="72">
        <f>+D162+1</f>
        <v>109</v>
      </c>
      <c r="E164" s="72">
        <f>+E162+1</f>
        <v>134</v>
      </c>
      <c r="F164" s="175">
        <f>+F162+1</f>
        <v>159</v>
      </c>
      <c r="G164" s="49">
        <f t="shared" si="7"/>
        <v>3820.5500752421058</v>
      </c>
      <c r="H164" s="49">
        <f t="shared" si="8"/>
        <v>3300.720072000001</v>
      </c>
      <c r="I164" s="50">
        <f t="shared" si="9"/>
        <v>9551.3751881052649</v>
      </c>
      <c r="J164" s="51">
        <f t="shared" si="10"/>
        <v>9551.3751881052649</v>
      </c>
      <c r="K164" s="49">
        <f t="shared" si="11"/>
        <v>3300.720072000001</v>
      </c>
      <c r="L164" s="49">
        <f t="shared" si="12"/>
        <v>3820.5500752421058</v>
      </c>
      <c r="M164" s="4"/>
    </row>
    <row r="165" spans="3:13" ht="16.5" customHeight="1" x14ac:dyDescent="0.15">
      <c r="C165" s="7"/>
      <c r="D165" s="72"/>
      <c r="E165" s="72"/>
      <c r="F165" s="175"/>
      <c r="G165" s="59">
        <f t="shared" si="7"/>
        <v>4030.4802457263168</v>
      </c>
      <c r="H165" s="59">
        <f t="shared" si="8"/>
        <v>3482.0868160000005</v>
      </c>
      <c r="I165" s="60">
        <f t="shared" si="9"/>
        <v>10076.200614315792</v>
      </c>
      <c r="J165" s="61">
        <f t="shared" si="10"/>
        <v>10076.200614315792</v>
      </c>
      <c r="K165" s="59">
        <f t="shared" si="11"/>
        <v>3482.0868160000005</v>
      </c>
      <c r="L165" s="59">
        <f t="shared" si="12"/>
        <v>4030.4802457263168</v>
      </c>
      <c r="M165" s="4"/>
    </row>
    <row r="166" spans="3:13" ht="16.5" customHeight="1" x14ac:dyDescent="0.15">
      <c r="C166" s="7"/>
      <c r="D166" s="72">
        <f>+D164+1</f>
        <v>110</v>
      </c>
      <c r="E166" s="72">
        <f>+E164+1</f>
        <v>135</v>
      </c>
      <c r="F166" s="175">
        <f>+F164+1</f>
        <v>160</v>
      </c>
      <c r="G166" s="49">
        <f t="shared" si="7"/>
        <v>4030.4802457263168</v>
      </c>
      <c r="H166" s="49">
        <f t="shared" si="8"/>
        <v>3482.0868160000005</v>
      </c>
      <c r="I166" s="50">
        <f t="shared" si="9"/>
        <v>10076.200614315792</v>
      </c>
      <c r="J166" s="51">
        <f t="shared" si="10"/>
        <v>10076.200614315792</v>
      </c>
      <c r="K166" s="49">
        <f t="shared" si="11"/>
        <v>3482.0868160000005</v>
      </c>
      <c r="L166" s="49">
        <f t="shared" si="12"/>
        <v>4030.4802457263168</v>
      </c>
      <c r="M166" s="4"/>
    </row>
    <row r="167" spans="3:13" ht="16.5" customHeight="1" x14ac:dyDescent="0.15">
      <c r="C167" s="7"/>
      <c r="D167" s="72"/>
      <c r="E167" s="72"/>
      <c r="F167" s="175"/>
      <c r="G167" s="59">
        <f t="shared" si="7"/>
        <v>4240.4104162105268</v>
      </c>
      <c r="H167" s="59">
        <f t="shared" si="8"/>
        <v>3663.4535600000004</v>
      </c>
      <c r="I167" s="60">
        <f t="shared" si="9"/>
        <v>10601.026040526318</v>
      </c>
      <c r="J167" s="61">
        <f t="shared" si="10"/>
        <v>10601.026040526318</v>
      </c>
      <c r="K167" s="59">
        <f t="shared" si="11"/>
        <v>3663.4535600000004</v>
      </c>
      <c r="L167" s="59">
        <f t="shared" si="12"/>
        <v>4240.4104162105268</v>
      </c>
      <c r="M167" s="4"/>
    </row>
    <row r="168" spans="3:13" ht="16.5" customHeight="1" x14ac:dyDescent="0.15">
      <c r="C168" s="7"/>
      <c r="D168" s="72">
        <f>+D166+1</f>
        <v>111</v>
      </c>
      <c r="E168" s="72">
        <f>+E166+1</f>
        <v>136</v>
      </c>
      <c r="F168" s="175">
        <f>+F166+1</f>
        <v>161</v>
      </c>
      <c r="G168" s="49">
        <f t="shared" si="7"/>
        <v>4240.4104162105268</v>
      </c>
      <c r="H168" s="49">
        <f t="shared" si="8"/>
        <v>3663.4535600000004</v>
      </c>
      <c r="I168" s="50">
        <f t="shared" si="9"/>
        <v>10601.026040526318</v>
      </c>
      <c r="J168" s="51">
        <f t="shared" si="10"/>
        <v>10601.026040526318</v>
      </c>
      <c r="K168" s="49">
        <f t="shared" si="11"/>
        <v>3663.4535600000004</v>
      </c>
      <c r="L168" s="49">
        <f t="shared" si="12"/>
        <v>4240.4104162105268</v>
      </c>
      <c r="M168" s="4"/>
    </row>
    <row r="169" spans="3:13" ht="16.5" customHeight="1" x14ac:dyDescent="0.15">
      <c r="C169" s="7"/>
      <c r="D169" s="72"/>
      <c r="E169" s="72"/>
      <c r="F169" s="175"/>
      <c r="G169" s="59">
        <f t="shared" si="7"/>
        <v>4450.3405866947369</v>
      </c>
      <c r="H169" s="59">
        <f t="shared" si="8"/>
        <v>3844.8203040000008</v>
      </c>
      <c r="I169" s="60">
        <f t="shared" si="9"/>
        <v>11125.851466736844</v>
      </c>
      <c r="J169" s="61">
        <f t="shared" si="10"/>
        <v>11125.851466736844</v>
      </c>
      <c r="K169" s="59">
        <f t="shared" si="11"/>
        <v>3844.8203040000008</v>
      </c>
      <c r="L169" s="59">
        <f t="shared" si="12"/>
        <v>4450.3405866947369</v>
      </c>
      <c r="M169" s="4"/>
    </row>
    <row r="170" spans="3:13" ht="16.5" customHeight="1" x14ac:dyDescent="0.15">
      <c r="C170" s="7"/>
      <c r="D170" s="72">
        <f>+D168+1</f>
        <v>112</v>
      </c>
      <c r="E170" s="72">
        <f>+E168+1</f>
        <v>137</v>
      </c>
      <c r="F170" s="175">
        <f>+F168+1</f>
        <v>162</v>
      </c>
      <c r="G170" s="49">
        <f t="shared" si="7"/>
        <v>1683.4564832841995</v>
      </c>
      <c r="H170" s="49">
        <f t="shared" si="8"/>
        <v>1454.4027679999906</v>
      </c>
      <c r="I170" s="50">
        <f t="shared" si="9"/>
        <v>4208.641208210498</v>
      </c>
      <c r="J170" s="51">
        <f t="shared" si="10"/>
        <v>4208.641208210498</v>
      </c>
      <c r="K170" s="49">
        <f t="shared" si="11"/>
        <v>1454.4027679999906</v>
      </c>
      <c r="L170" s="49">
        <f t="shared" si="12"/>
        <v>1683.4564832841995</v>
      </c>
      <c r="M170" s="4"/>
    </row>
    <row r="171" spans="3:13" ht="16.5" customHeight="1" x14ac:dyDescent="0.15">
      <c r="C171" s="7"/>
      <c r="D171" s="72"/>
      <c r="E171" s="72"/>
      <c r="F171" s="175"/>
      <c r="G171" s="59">
        <f t="shared" si="7"/>
        <v>1683.4564832841995</v>
      </c>
      <c r="H171" s="59">
        <f t="shared" si="8"/>
        <v>1454.4027679999906</v>
      </c>
      <c r="I171" s="60">
        <f t="shared" si="9"/>
        <v>4208.641208210498</v>
      </c>
      <c r="J171" s="61">
        <f t="shared" si="10"/>
        <v>4208.641208210498</v>
      </c>
      <c r="K171" s="59">
        <f t="shared" si="11"/>
        <v>1454.4027679999906</v>
      </c>
      <c r="L171" s="59">
        <f t="shared" si="12"/>
        <v>1683.4564832841995</v>
      </c>
      <c r="M171" s="4"/>
    </row>
    <row r="172" spans="3:13" ht="16.5" customHeight="1" x14ac:dyDescent="0.15">
      <c r="C172" s="7"/>
      <c r="D172" s="72">
        <f>+D170+1</f>
        <v>113</v>
      </c>
      <c r="E172" s="72">
        <f>+E170+1</f>
        <v>138</v>
      </c>
      <c r="F172" s="175">
        <f>+F170+1</f>
        <v>163</v>
      </c>
      <c r="G172" s="49">
        <f t="shared" si="7"/>
        <v>3088.8</v>
      </c>
      <c r="H172" s="49">
        <f t="shared" si="8"/>
        <v>2059.2000000000003</v>
      </c>
      <c r="I172" s="50">
        <f t="shared" si="9"/>
        <v>3088.8</v>
      </c>
      <c r="J172" s="51">
        <f t="shared" si="10"/>
        <v>3088.8</v>
      </c>
      <c r="K172" s="49">
        <f t="shared" si="11"/>
        <v>2059.2000000000003</v>
      </c>
      <c r="L172" s="49">
        <f t="shared" si="12"/>
        <v>3088.8</v>
      </c>
      <c r="M172" s="4"/>
    </row>
    <row r="173" spans="3:13" ht="16.5" customHeight="1" x14ac:dyDescent="0.15">
      <c r="C173" s="7"/>
      <c r="D173" s="72"/>
      <c r="E173" s="72"/>
      <c r="F173" s="175"/>
      <c r="G173" s="59">
        <f t="shared" si="7"/>
        <v>3088.8</v>
      </c>
      <c r="H173" s="59">
        <f t="shared" si="8"/>
        <v>2059.2000000000003</v>
      </c>
      <c r="I173" s="60">
        <f t="shared" si="9"/>
        <v>3088.8</v>
      </c>
      <c r="J173" s="61">
        <f t="shared" si="10"/>
        <v>3088.8</v>
      </c>
      <c r="K173" s="59">
        <f t="shared" si="11"/>
        <v>2059.2000000000003</v>
      </c>
      <c r="L173" s="59">
        <f t="shared" si="12"/>
        <v>3088.8</v>
      </c>
      <c r="M173" s="4"/>
    </row>
    <row r="174" spans="3:13" ht="16.5" customHeight="1" x14ac:dyDescent="0.15">
      <c r="C174" s="7"/>
      <c r="D174" s="72">
        <f>+D172+1</f>
        <v>114</v>
      </c>
      <c r="E174" s="72">
        <f>+E172+1</f>
        <v>139</v>
      </c>
      <c r="F174" s="175">
        <f>+F172+1</f>
        <v>164</v>
      </c>
      <c r="G174" s="49">
        <f t="shared" si="7"/>
        <v>3088.8</v>
      </c>
      <c r="H174" s="49">
        <f t="shared" si="8"/>
        <v>2059.2000000000003</v>
      </c>
      <c r="I174" s="50">
        <f t="shared" si="9"/>
        <v>3088.8</v>
      </c>
      <c r="J174" s="51">
        <f t="shared" si="10"/>
        <v>3088.8</v>
      </c>
      <c r="K174" s="49">
        <f t="shared" si="11"/>
        <v>2059.2000000000003</v>
      </c>
      <c r="L174" s="49">
        <f t="shared" si="12"/>
        <v>3088.8</v>
      </c>
      <c r="M174" s="4"/>
    </row>
    <row r="175" spans="3:13" ht="16.5" customHeight="1" x14ac:dyDescent="0.15">
      <c r="C175" s="7"/>
      <c r="D175" s="72"/>
      <c r="E175" s="72"/>
      <c r="F175" s="175"/>
      <c r="G175" s="59">
        <f t="shared" si="7"/>
        <v>3088.8</v>
      </c>
      <c r="H175" s="59">
        <f t="shared" si="8"/>
        <v>2059.2000000000003</v>
      </c>
      <c r="I175" s="60">
        <f t="shared" si="9"/>
        <v>3088.8</v>
      </c>
      <c r="J175" s="61">
        <f t="shared" si="10"/>
        <v>3088.8</v>
      </c>
      <c r="K175" s="59">
        <f t="shared" si="11"/>
        <v>2059.2000000000003</v>
      </c>
      <c r="L175" s="59">
        <f t="shared" si="12"/>
        <v>3088.8</v>
      </c>
      <c r="M175" s="4"/>
    </row>
    <row r="176" spans="3:13" ht="16.5" customHeight="1" x14ac:dyDescent="0.15">
      <c r="C176" s="7"/>
      <c r="D176" s="72">
        <f>+D174+1</f>
        <v>115</v>
      </c>
      <c r="E176" s="72">
        <f>+E174+1</f>
        <v>140</v>
      </c>
      <c r="F176" s="175">
        <f>+F174+1</f>
        <v>165</v>
      </c>
      <c r="G176" s="49">
        <f t="shared" si="7"/>
        <v>3088.8</v>
      </c>
      <c r="H176" s="49">
        <f t="shared" si="8"/>
        <v>2059.2000000000003</v>
      </c>
      <c r="I176" s="50">
        <f t="shared" si="9"/>
        <v>3088.8</v>
      </c>
      <c r="J176" s="51">
        <f t="shared" si="10"/>
        <v>3088.8</v>
      </c>
      <c r="K176" s="49">
        <f t="shared" si="11"/>
        <v>2059.2000000000003</v>
      </c>
      <c r="L176" s="49">
        <f t="shared" si="12"/>
        <v>3088.8</v>
      </c>
      <c r="M176" s="4"/>
    </row>
    <row r="177" spans="3:15" ht="16.5" customHeight="1" x14ac:dyDescent="0.15">
      <c r="C177" s="7"/>
      <c r="D177" s="72"/>
      <c r="E177" s="72"/>
      <c r="F177" s="175"/>
      <c r="G177" s="59">
        <f t="shared" si="7"/>
        <v>3088.8</v>
      </c>
      <c r="H177" s="59">
        <f t="shared" si="8"/>
        <v>2059.2000000000003</v>
      </c>
      <c r="I177" s="60">
        <f t="shared" si="9"/>
        <v>3088.8</v>
      </c>
      <c r="J177" s="61">
        <f t="shared" si="10"/>
        <v>3088.8</v>
      </c>
      <c r="K177" s="59">
        <f t="shared" si="11"/>
        <v>2059.2000000000003</v>
      </c>
      <c r="L177" s="59">
        <f t="shared" si="12"/>
        <v>3088.8</v>
      </c>
      <c r="M177" s="4"/>
    </row>
    <row r="178" spans="3:15" ht="16.5" customHeight="1" x14ac:dyDescent="0.15">
      <c r="C178" s="7"/>
      <c r="D178" s="72">
        <f>+D176+1</f>
        <v>116</v>
      </c>
      <c r="E178" s="72">
        <f>+E176+1</f>
        <v>141</v>
      </c>
      <c r="F178" s="175">
        <f>+F176+1</f>
        <v>166</v>
      </c>
      <c r="G178" s="49">
        <f t="shared" si="7"/>
        <v>3088.8</v>
      </c>
      <c r="H178" s="49">
        <f t="shared" si="8"/>
        <v>2059.2000000000003</v>
      </c>
      <c r="I178" s="50">
        <f t="shared" si="9"/>
        <v>3088.8</v>
      </c>
      <c r="J178" s="51">
        <f t="shared" si="10"/>
        <v>3088.8</v>
      </c>
      <c r="K178" s="49">
        <f t="shared" si="11"/>
        <v>2059.2000000000003</v>
      </c>
      <c r="L178" s="49">
        <f t="shared" si="12"/>
        <v>3088.8</v>
      </c>
      <c r="M178" s="4"/>
    </row>
    <row r="179" spans="3:15" ht="16.5" customHeight="1" x14ac:dyDescent="0.15">
      <c r="C179" s="7"/>
      <c r="D179" s="72"/>
      <c r="E179" s="72"/>
      <c r="F179" s="175"/>
      <c r="G179" s="59">
        <f t="shared" si="7"/>
        <v>3088.8</v>
      </c>
      <c r="H179" s="59">
        <f t="shared" si="8"/>
        <v>2059.2000000000003</v>
      </c>
      <c r="I179" s="60">
        <f t="shared" si="9"/>
        <v>3088.8</v>
      </c>
      <c r="J179" s="61">
        <f t="shared" si="10"/>
        <v>3088.8</v>
      </c>
      <c r="K179" s="59">
        <f t="shared" si="11"/>
        <v>2059.2000000000003</v>
      </c>
      <c r="L179" s="59">
        <f t="shared" si="12"/>
        <v>3088.8</v>
      </c>
      <c r="M179" s="4"/>
    </row>
    <row r="180" spans="3:15" ht="16.5" customHeight="1" x14ac:dyDescent="0.15">
      <c r="C180" s="7"/>
      <c r="D180" s="72">
        <f>+D178+1</f>
        <v>117</v>
      </c>
      <c r="E180" s="72">
        <f>+E178+1</f>
        <v>142</v>
      </c>
      <c r="F180" s="175">
        <f>+F178+1</f>
        <v>167</v>
      </c>
      <c r="G180" s="49">
        <f t="shared" si="7"/>
        <v>3088.8</v>
      </c>
      <c r="H180" s="49">
        <f t="shared" si="8"/>
        <v>2059.2000000000003</v>
      </c>
      <c r="I180" s="50">
        <f t="shared" si="9"/>
        <v>3088.8</v>
      </c>
      <c r="J180" s="51">
        <f t="shared" si="10"/>
        <v>3088.8</v>
      </c>
      <c r="K180" s="49">
        <f t="shared" si="11"/>
        <v>2059.2000000000003</v>
      </c>
      <c r="L180" s="49">
        <f t="shared" si="12"/>
        <v>3088.8</v>
      </c>
      <c r="M180" s="4"/>
    </row>
    <row r="181" spans="3:15" ht="16.5" customHeight="1" x14ac:dyDescent="0.15">
      <c r="C181" s="7"/>
      <c r="D181" s="72"/>
      <c r="E181" s="72"/>
      <c r="F181" s="175"/>
      <c r="G181" s="59">
        <f t="shared" si="7"/>
        <v>3088.8</v>
      </c>
      <c r="H181" s="59">
        <f t="shared" si="8"/>
        <v>2059.2000000000003</v>
      </c>
      <c r="I181" s="60">
        <f t="shared" si="9"/>
        <v>3088.8</v>
      </c>
      <c r="J181" s="61">
        <f t="shared" si="10"/>
        <v>3088.8</v>
      </c>
      <c r="K181" s="59">
        <f t="shared" si="11"/>
        <v>2059.2000000000003</v>
      </c>
      <c r="L181" s="59">
        <f t="shared" si="12"/>
        <v>3088.8</v>
      </c>
      <c r="M181" s="4"/>
    </row>
    <row r="182" spans="3:15" ht="16.5" customHeight="1" x14ac:dyDescent="0.15">
      <c r="C182" s="7"/>
      <c r="D182" s="72">
        <f>+D180+1</f>
        <v>118</v>
      </c>
      <c r="E182" s="72">
        <f>+E180+1</f>
        <v>143</v>
      </c>
      <c r="F182" s="175">
        <f>+F180+1</f>
        <v>168</v>
      </c>
      <c r="G182" s="49">
        <f t="shared" si="7"/>
        <v>3088.8</v>
      </c>
      <c r="H182" s="49">
        <f t="shared" si="8"/>
        <v>2059.2000000000003</v>
      </c>
      <c r="I182" s="50">
        <f t="shared" si="9"/>
        <v>3088.8</v>
      </c>
      <c r="J182" s="51">
        <f t="shared" si="10"/>
        <v>3088.8</v>
      </c>
      <c r="K182" s="49">
        <f t="shared" si="11"/>
        <v>2059.2000000000003</v>
      </c>
      <c r="L182" s="49">
        <f t="shared" si="12"/>
        <v>3088.8</v>
      </c>
      <c r="M182" s="4"/>
    </row>
    <row r="183" spans="3:15" ht="16.5" customHeight="1" x14ac:dyDescent="0.15">
      <c r="C183" s="7"/>
      <c r="D183" s="72"/>
      <c r="E183" s="72"/>
      <c r="F183" s="175"/>
      <c r="G183" s="59">
        <f t="shared" si="7"/>
        <v>3088.8</v>
      </c>
      <c r="H183" s="59">
        <f t="shared" si="8"/>
        <v>2059.2000000000003</v>
      </c>
      <c r="I183" s="60">
        <f t="shared" si="9"/>
        <v>3088.8</v>
      </c>
      <c r="J183" s="61">
        <f t="shared" si="10"/>
        <v>3088.8</v>
      </c>
      <c r="K183" s="59">
        <f t="shared" si="11"/>
        <v>2059.2000000000003</v>
      </c>
      <c r="L183" s="59">
        <f t="shared" si="12"/>
        <v>3088.8</v>
      </c>
      <c r="M183" s="4"/>
    </row>
    <row r="184" spans="3:15" ht="16.5" customHeight="1" x14ac:dyDescent="0.15">
      <c r="C184" s="7"/>
      <c r="D184" s="72">
        <f>+D182+1</f>
        <v>119</v>
      </c>
      <c r="E184" s="72">
        <f>+E182+1</f>
        <v>144</v>
      </c>
      <c r="F184" s="175">
        <f>+F182+1</f>
        <v>169</v>
      </c>
      <c r="G184" s="49">
        <f t="shared" si="7"/>
        <v>3088.8</v>
      </c>
      <c r="H184" s="49">
        <f t="shared" si="8"/>
        <v>2059.2000000000003</v>
      </c>
      <c r="I184" s="50">
        <f t="shared" si="9"/>
        <v>3088.8</v>
      </c>
      <c r="J184" s="51">
        <f t="shared" si="10"/>
        <v>3088.8</v>
      </c>
      <c r="K184" s="49">
        <f t="shared" si="11"/>
        <v>2059.2000000000003</v>
      </c>
      <c r="L184" s="49">
        <f t="shared" si="12"/>
        <v>3088.8</v>
      </c>
      <c r="M184" s="4"/>
    </row>
    <row r="185" spans="3:15" ht="16.5" customHeight="1" x14ac:dyDescent="0.15">
      <c r="C185" s="7"/>
      <c r="D185" s="72"/>
      <c r="E185" s="72"/>
      <c r="F185" s="175"/>
      <c r="G185" s="59">
        <f t="shared" si="7"/>
        <v>3088.8</v>
      </c>
      <c r="H185" s="59">
        <f t="shared" si="8"/>
        <v>2059.2000000000003</v>
      </c>
      <c r="I185" s="60">
        <f t="shared" si="9"/>
        <v>3088.8</v>
      </c>
      <c r="J185" s="61">
        <f t="shared" si="10"/>
        <v>3088.8</v>
      </c>
      <c r="K185" s="59">
        <f t="shared" si="11"/>
        <v>2059.2000000000003</v>
      </c>
      <c r="L185" s="59">
        <f t="shared" si="12"/>
        <v>3088.8</v>
      </c>
      <c r="M185" s="4"/>
    </row>
    <row r="186" spans="3:15" ht="16.5" customHeight="1" x14ac:dyDescent="0.15">
      <c r="C186" s="7"/>
      <c r="D186" s="72">
        <f>+D184+1</f>
        <v>120</v>
      </c>
      <c r="E186" s="72">
        <f>+E184+1</f>
        <v>145</v>
      </c>
      <c r="F186" s="175">
        <f>+F184+1</f>
        <v>170</v>
      </c>
      <c r="G186" s="49">
        <f t="shared" si="7"/>
        <v>3088.8</v>
      </c>
      <c r="H186" s="49">
        <f t="shared" si="8"/>
        <v>2059.2000000000003</v>
      </c>
      <c r="I186" s="50">
        <f t="shared" si="9"/>
        <v>3088.8</v>
      </c>
      <c r="J186" s="51">
        <f t="shared" si="10"/>
        <v>3088.8</v>
      </c>
      <c r="K186" s="49">
        <f t="shared" si="11"/>
        <v>2059.2000000000003</v>
      </c>
      <c r="L186" s="49">
        <f t="shared" si="12"/>
        <v>3088.8</v>
      </c>
      <c r="M186" s="4"/>
    </row>
    <row r="187" spans="3:15" ht="16.5" customHeight="1" x14ac:dyDescent="0.15">
      <c r="C187" s="7"/>
      <c r="D187" s="72"/>
      <c r="E187" s="72"/>
      <c r="F187" s="175"/>
      <c r="G187" s="59">
        <f t="shared" si="7"/>
        <v>3088.8</v>
      </c>
      <c r="H187" s="59">
        <f t="shared" si="8"/>
        <v>2059.2000000000003</v>
      </c>
      <c r="I187" s="60">
        <f t="shared" si="9"/>
        <v>3088.8</v>
      </c>
      <c r="J187" s="61">
        <f t="shared" si="10"/>
        <v>3088.8</v>
      </c>
      <c r="K187" s="59">
        <f t="shared" si="11"/>
        <v>2059.2000000000003</v>
      </c>
      <c r="L187" s="59">
        <f t="shared" si="12"/>
        <v>3088.8</v>
      </c>
      <c r="M187" s="4"/>
    </row>
    <row r="188" spans="3:15" ht="16.5" customHeight="1" x14ac:dyDescent="0.15">
      <c r="C188" s="7"/>
      <c r="D188" s="72">
        <f>+D186+1</f>
        <v>121</v>
      </c>
      <c r="E188" s="72">
        <f>+E186+1</f>
        <v>146</v>
      </c>
      <c r="F188" s="175">
        <f>+F186+1</f>
        <v>171</v>
      </c>
      <c r="G188" s="49">
        <f t="shared" si="7"/>
        <v>3088.8</v>
      </c>
      <c r="H188" s="49">
        <f t="shared" si="8"/>
        <v>2059.2000000000003</v>
      </c>
      <c r="I188" s="50">
        <f t="shared" si="9"/>
        <v>3088.8</v>
      </c>
      <c r="J188" s="51">
        <f t="shared" si="10"/>
        <v>3088.8</v>
      </c>
      <c r="K188" s="49">
        <f t="shared" si="11"/>
        <v>2059.2000000000003</v>
      </c>
      <c r="L188" s="49">
        <f t="shared" si="12"/>
        <v>3088.8</v>
      </c>
      <c r="M188" s="4"/>
    </row>
    <row r="189" spans="3:15" ht="16.5" customHeight="1" x14ac:dyDescent="0.15">
      <c r="C189" s="7"/>
      <c r="D189" s="72"/>
      <c r="E189" s="72"/>
      <c r="F189" s="175"/>
      <c r="G189" s="59">
        <f t="shared" si="7"/>
        <v>3088.8</v>
      </c>
      <c r="H189" s="59">
        <f t="shared" si="8"/>
        <v>2059.2000000000003</v>
      </c>
      <c r="I189" s="60">
        <f t="shared" si="9"/>
        <v>3088.8</v>
      </c>
      <c r="J189" s="61">
        <f t="shared" si="10"/>
        <v>3088.8</v>
      </c>
      <c r="K189" s="59">
        <f t="shared" si="11"/>
        <v>2059.2000000000003</v>
      </c>
      <c r="L189" s="59">
        <f t="shared" si="12"/>
        <v>3088.8</v>
      </c>
      <c r="M189" s="4"/>
    </row>
    <row r="190" spans="3:15" ht="16.5" customHeight="1" x14ac:dyDescent="0.15"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3:15" ht="16.5" customHeight="1" x14ac:dyDescent="0.15"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</sheetData>
  <mergeCells count="330">
    <mergeCell ref="L6:L10"/>
    <mergeCell ref="M6:M10"/>
    <mergeCell ref="D11:D14"/>
    <mergeCell ref="E11:E14"/>
    <mergeCell ref="F11:F14"/>
    <mergeCell ref="G11:G12"/>
    <mergeCell ref="H11:H12"/>
    <mergeCell ref="I11:I12"/>
    <mergeCell ref="J12:J13"/>
    <mergeCell ref="L12:L13"/>
    <mergeCell ref="D6:D10"/>
    <mergeCell ref="E6:E10"/>
    <mergeCell ref="F6:F10"/>
    <mergeCell ref="G6:I10"/>
    <mergeCell ref="J6:J10"/>
    <mergeCell ref="K6:K10"/>
    <mergeCell ref="L16:L17"/>
    <mergeCell ref="G17:G20"/>
    <mergeCell ref="H17:H20"/>
    <mergeCell ref="I17:I20"/>
    <mergeCell ref="K17:K18"/>
    <mergeCell ref="D19:D24"/>
    <mergeCell ref="E19:E24"/>
    <mergeCell ref="F19:F24"/>
    <mergeCell ref="K19:K20"/>
    <mergeCell ref="J20:J21"/>
    <mergeCell ref="G13:G16"/>
    <mergeCell ref="H13:H16"/>
    <mergeCell ref="I13:I16"/>
    <mergeCell ref="K13:K14"/>
    <mergeCell ref="D15:D18"/>
    <mergeCell ref="E15:E18"/>
    <mergeCell ref="F15:F18"/>
    <mergeCell ref="K15:K16"/>
    <mergeCell ref="J16:J17"/>
    <mergeCell ref="L20:L21"/>
    <mergeCell ref="G21:G22"/>
    <mergeCell ref="H21:H22"/>
    <mergeCell ref="I21:I22"/>
    <mergeCell ref="J22:J23"/>
    <mergeCell ref="L22:L23"/>
    <mergeCell ref="G23:G26"/>
    <mergeCell ref="H23:H26"/>
    <mergeCell ref="I23:I26"/>
    <mergeCell ref="K23:K24"/>
    <mergeCell ref="L28:L29"/>
    <mergeCell ref="G29:G32"/>
    <mergeCell ref="H29:H32"/>
    <mergeCell ref="I29:I32"/>
    <mergeCell ref="K29:K30"/>
    <mergeCell ref="L26:L27"/>
    <mergeCell ref="L32:L33"/>
    <mergeCell ref="D31:D34"/>
    <mergeCell ref="E31:E34"/>
    <mergeCell ref="F31:F34"/>
    <mergeCell ref="K31:K32"/>
    <mergeCell ref="J32:J33"/>
    <mergeCell ref="D25:D30"/>
    <mergeCell ref="E25:E30"/>
    <mergeCell ref="F25:F30"/>
    <mergeCell ref="K25:K26"/>
    <mergeCell ref="J26:J27"/>
    <mergeCell ref="G27:G28"/>
    <mergeCell ref="H27:H28"/>
    <mergeCell ref="I27:I28"/>
    <mergeCell ref="J28:J29"/>
    <mergeCell ref="G33:G36"/>
    <mergeCell ref="H33:H36"/>
    <mergeCell ref="I33:I36"/>
    <mergeCell ref="K33:K34"/>
    <mergeCell ref="D35:D50"/>
    <mergeCell ref="E35:E50"/>
    <mergeCell ref="F35:F50"/>
    <mergeCell ref="K35:K36"/>
    <mergeCell ref="J36:J37"/>
    <mergeCell ref="J46:J47"/>
    <mergeCell ref="L36:L37"/>
    <mergeCell ref="G37:G38"/>
    <mergeCell ref="H37:H38"/>
    <mergeCell ref="I37:I38"/>
    <mergeCell ref="J38:J39"/>
    <mergeCell ref="L38:L39"/>
    <mergeCell ref="G39:G40"/>
    <mergeCell ref="H39:H40"/>
    <mergeCell ref="I39:I40"/>
    <mergeCell ref="J40:J41"/>
    <mergeCell ref="L40:L41"/>
    <mergeCell ref="G41:G42"/>
    <mergeCell ref="H41:H42"/>
    <mergeCell ref="I41:I42"/>
    <mergeCell ref="J42:J43"/>
    <mergeCell ref="L42:L43"/>
    <mergeCell ref="G43:G44"/>
    <mergeCell ref="H43:H44"/>
    <mergeCell ref="I43:I44"/>
    <mergeCell ref="J44:J45"/>
    <mergeCell ref="L44:L45"/>
    <mergeCell ref="G45:G46"/>
    <mergeCell ref="H45:H46"/>
    <mergeCell ref="I45:I46"/>
    <mergeCell ref="H65:H66"/>
    <mergeCell ref="L46:L47"/>
    <mergeCell ref="G47:G48"/>
    <mergeCell ref="H47:H48"/>
    <mergeCell ref="I47:I48"/>
    <mergeCell ref="J48:J49"/>
    <mergeCell ref="L48:L49"/>
    <mergeCell ref="G49:G52"/>
    <mergeCell ref="H49:H52"/>
    <mergeCell ref="I49:I52"/>
    <mergeCell ref="K49:K50"/>
    <mergeCell ref="I69:I70"/>
    <mergeCell ref="J56:J57"/>
    <mergeCell ref="L56:L57"/>
    <mergeCell ref="G57:G58"/>
    <mergeCell ref="H57:H58"/>
    <mergeCell ref="I57:I58"/>
    <mergeCell ref="J58:J59"/>
    <mergeCell ref="L58:L59"/>
    <mergeCell ref="G59:G60"/>
    <mergeCell ref="H59:H60"/>
    <mergeCell ref="I59:I60"/>
    <mergeCell ref="J60:J61"/>
    <mergeCell ref="L60:L61"/>
    <mergeCell ref="G61:G62"/>
    <mergeCell ref="H61:H62"/>
    <mergeCell ref="I61:I62"/>
    <mergeCell ref="J62:J63"/>
    <mergeCell ref="L62:L63"/>
    <mergeCell ref="G63:G64"/>
    <mergeCell ref="H63:H64"/>
    <mergeCell ref="I63:I64"/>
    <mergeCell ref="J64:J65"/>
    <mergeCell ref="L64:L65"/>
    <mergeCell ref="G65:G66"/>
    <mergeCell ref="B81:C83"/>
    <mergeCell ref="D81:D83"/>
    <mergeCell ref="E81:G83"/>
    <mergeCell ref="H81:H83"/>
    <mergeCell ref="I81:I83"/>
    <mergeCell ref="J81:L81"/>
    <mergeCell ref="M81:O81"/>
    <mergeCell ref="J82:L82"/>
    <mergeCell ref="M82:O82"/>
    <mergeCell ref="D51:D70"/>
    <mergeCell ref="E51:E70"/>
    <mergeCell ref="F51:F70"/>
    <mergeCell ref="K51:K52"/>
    <mergeCell ref="J52:J53"/>
    <mergeCell ref="L52:L53"/>
    <mergeCell ref="G53:G54"/>
    <mergeCell ref="H53:H54"/>
    <mergeCell ref="I53:I54"/>
    <mergeCell ref="J54:J55"/>
    <mergeCell ref="L54:L55"/>
    <mergeCell ref="G55:G56"/>
    <mergeCell ref="H55:H56"/>
    <mergeCell ref="I55:I56"/>
    <mergeCell ref="I65:I66"/>
    <mergeCell ref="J66:J67"/>
    <mergeCell ref="L66:L67"/>
    <mergeCell ref="G67:G68"/>
    <mergeCell ref="H67:H68"/>
    <mergeCell ref="I67:I68"/>
    <mergeCell ref="J68:J69"/>
    <mergeCell ref="L68:L69"/>
    <mergeCell ref="G69:G70"/>
    <mergeCell ref="H69:H70"/>
    <mergeCell ref="B84:C86"/>
    <mergeCell ref="D84:D86"/>
    <mergeCell ref="E84:E85"/>
    <mergeCell ref="F84:F85"/>
    <mergeCell ref="G84:G85"/>
    <mergeCell ref="E86:E87"/>
    <mergeCell ref="F86:F87"/>
    <mergeCell ref="G86:G87"/>
    <mergeCell ref="B87:C90"/>
    <mergeCell ref="D87:D90"/>
    <mergeCell ref="E88:E89"/>
    <mergeCell ref="F88:F89"/>
    <mergeCell ref="G88:G89"/>
    <mergeCell ref="E90:E91"/>
    <mergeCell ref="F90:F91"/>
    <mergeCell ref="G90:G91"/>
    <mergeCell ref="B91:C92"/>
    <mergeCell ref="B97:C98"/>
    <mergeCell ref="D97:D98"/>
    <mergeCell ref="E98:E99"/>
    <mergeCell ref="F98:F99"/>
    <mergeCell ref="G98:G99"/>
    <mergeCell ref="B99:C112"/>
    <mergeCell ref="D99:D112"/>
    <mergeCell ref="E100:E101"/>
    <mergeCell ref="D91:D92"/>
    <mergeCell ref="E92:E93"/>
    <mergeCell ref="F92:F93"/>
    <mergeCell ref="G92:G93"/>
    <mergeCell ref="B93:C96"/>
    <mergeCell ref="D93:D96"/>
    <mergeCell ref="E94:E95"/>
    <mergeCell ref="F94:F95"/>
    <mergeCell ref="G94:G95"/>
    <mergeCell ref="E96:E97"/>
    <mergeCell ref="F100:F101"/>
    <mergeCell ref="G100:G101"/>
    <mergeCell ref="E102:E103"/>
    <mergeCell ref="F102:F103"/>
    <mergeCell ref="G102:G103"/>
    <mergeCell ref="E104:E105"/>
    <mergeCell ref="F104:F105"/>
    <mergeCell ref="G104:G105"/>
    <mergeCell ref="F96:F97"/>
    <mergeCell ref="G96:G97"/>
    <mergeCell ref="E110:E111"/>
    <mergeCell ref="F110:F111"/>
    <mergeCell ref="G110:G111"/>
    <mergeCell ref="E112:E113"/>
    <mergeCell ref="F112:F113"/>
    <mergeCell ref="G112:G113"/>
    <mergeCell ref="E106:E107"/>
    <mergeCell ref="F106:F107"/>
    <mergeCell ref="G106:G107"/>
    <mergeCell ref="E108:E109"/>
    <mergeCell ref="F108:F109"/>
    <mergeCell ref="G108:G109"/>
    <mergeCell ref="B113:C131"/>
    <mergeCell ref="D113:D131"/>
    <mergeCell ref="E114:E115"/>
    <mergeCell ref="F114:F115"/>
    <mergeCell ref="G114:G115"/>
    <mergeCell ref="E116:E117"/>
    <mergeCell ref="F116:F117"/>
    <mergeCell ref="G116:G117"/>
    <mergeCell ref="E118:E119"/>
    <mergeCell ref="F118:F119"/>
    <mergeCell ref="E124:E125"/>
    <mergeCell ref="F124:F125"/>
    <mergeCell ref="G124:G125"/>
    <mergeCell ref="E126:E127"/>
    <mergeCell ref="F126:F127"/>
    <mergeCell ref="G126:G127"/>
    <mergeCell ref="G118:G119"/>
    <mergeCell ref="E120:E121"/>
    <mergeCell ref="F120:F121"/>
    <mergeCell ref="G120:G121"/>
    <mergeCell ref="E122:E123"/>
    <mergeCell ref="F122:F123"/>
    <mergeCell ref="G122:G123"/>
    <mergeCell ref="D139:F141"/>
    <mergeCell ref="G139:L140"/>
    <mergeCell ref="G141:I141"/>
    <mergeCell ref="J141:L141"/>
    <mergeCell ref="D142:D143"/>
    <mergeCell ref="E142:E143"/>
    <mergeCell ref="F142:F143"/>
    <mergeCell ref="E128:E129"/>
    <mergeCell ref="F128:F129"/>
    <mergeCell ref="G128:G129"/>
    <mergeCell ref="E130:E131"/>
    <mergeCell ref="F130:F131"/>
    <mergeCell ref="G130:G131"/>
    <mergeCell ref="D148:D149"/>
    <mergeCell ref="E148:E149"/>
    <mergeCell ref="F148:F149"/>
    <mergeCell ref="D150:D151"/>
    <mergeCell ref="E150:E151"/>
    <mergeCell ref="F150:F151"/>
    <mergeCell ref="D144:D145"/>
    <mergeCell ref="E144:E145"/>
    <mergeCell ref="F144:F145"/>
    <mergeCell ref="D146:D147"/>
    <mergeCell ref="E146:E147"/>
    <mergeCell ref="F146:F147"/>
    <mergeCell ref="D156:D157"/>
    <mergeCell ref="E156:E157"/>
    <mergeCell ref="F156:F157"/>
    <mergeCell ref="D158:D159"/>
    <mergeCell ref="E158:E159"/>
    <mergeCell ref="F158:F159"/>
    <mergeCell ref="D152:D153"/>
    <mergeCell ref="E152:E153"/>
    <mergeCell ref="F152:F153"/>
    <mergeCell ref="D154:D155"/>
    <mergeCell ref="E154:E155"/>
    <mergeCell ref="F154:F155"/>
    <mergeCell ref="D164:D165"/>
    <mergeCell ref="E164:E165"/>
    <mergeCell ref="F164:F165"/>
    <mergeCell ref="D166:D167"/>
    <mergeCell ref="E166:E167"/>
    <mergeCell ref="F166:F167"/>
    <mergeCell ref="D160:D161"/>
    <mergeCell ref="E160:E161"/>
    <mergeCell ref="F160:F161"/>
    <mergeCell ref="D162:D163"/>
    <mergeCell ref="E162:E163"/>
    <mergeCell ref="F162:F163"/>
    <mergeCell ref="F172:F173"/>
    <mergeCell ref="D174:D175"/>
    <mergeCell ref="E174:E175"/>
    <mergeCell ref="F174:F175"/>
    <mergeCell ref="D168:D169"/>
    <mergeCell ref="E168:E169"/>
    <mergeCell ref="F168:F169"/>
    <mergeCell ref="D170:D171"/>
    <mergeCell ref="E170:E171"/>
    <mergeCell ref="F170:F171"/>
    <mergeCell ref="D188:D189"/>
    <mergeCell ref="E188:E189"/>
    <mergeCell ref="F188:F189"/>
    <mergeCell ref="D184:D185"/>
    <mergeCell ref="E184:E185"/>
    <mergeCell ref="F184:F185"/>
    <mergeCell ref="D186:D187"/>
    <mergeCell ref="E186:E187"/>
    <mergeCell ref="F186:F187"/>
    <mergeCell ref="D180:D181"/>
    <mergeCell ref="E180:E181"/>
    <mergeCell ref="F180:F181"/>
    <mergeCell ref="D182:D183"/>
    <mergeCell ref="E182:E183"/>
    <mergeCell ref="F182:F183"/>
    <mergeCell ref="D176:D177"/>
    <mergeCell ref="E176:E177"/>
    <mergeCell ref="F176:F177"/>
    <mergeCell ref="D178:D179"/>
    <mergeCell ref="E178:E179"/>
    <mergeCell ref="F178:F179"/>
    <mergeCell ref="D172:D173"/>
    <mergeCell ref="E172:E173"/>
  </mergeCells>
  <phoneticPr fontId="1"/>
  <pageMargins left="0.78740157480314965" right="0.27559055118110237" top="0.59055118110236227" bottom="0.15748031496062992" header="0.78740157480314965" footer="0.15748031496062992"/>
  <pageSetup paperSize="9" scale="70" orientation="portrait" r:id="rId1"/>
  <headerFooter alignWithMargins="0"/>
  <rowBreaks count="2" manualBreakCount="2">
    <brk id="72" max="15" man="1"/>
    <brk id="133" max="15" man="1"/>
  </rowBreaks>
  <ignoredErrors>
    <ignoredError sqref="I101:I13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022-6C65-4172-BECD-CA2C1BF84134}">
  <dimension ref="C2:AD128"/>
  <sheetViews>
    <sheetView tabSelected="1" view="pageBreakPreview" topLeftCell="A133" zoomScale="75" zoomScaleNormal="75" zoomScaleSheetLayoutView="75" workbookViewId="0"/>
  </sheetViews>
  <sheetFormatPr defaultColWidth="2.625" defaultRowHeight="16.5" customHeight="1" x14ac:dyDescent="0.15"/>
  <cols>
    <col min="1" max="2" width="2.625" style="4" customWidth="1"/>
    <col min="3" max="3" width="2.625" style="5" customWidth="1"/>
    <col min="4" max="4" width="6.625" style="4" customWidth="1"/>
    <col min="5" max="7" width="8.625" style="4" customWidth="1"/>
    <col min="8" max="11" width="6.625" style="4" customWidth="1"/>
    <col min="12" max="13" width="4.625" style="4" customWidth="1"/>
    <col min="14" max="14" width="8.625" style="4" customWidth="1"/>
    <col min="15" max="16" width="10.625" style="4" customWidth="1"/>
    <col min="17" max="17" width="8.625" style="4" customWidth="1"/>
    <col min="18" max="18" width="2.625" style="4"/>
    <col min="19" max="30" width="10.625" style="4" customWidth="1"/>
    <col min="31" max="16384" width="2.625" style="4"/>
  </cols>
  <sheetData>
    <row r="2" spans="3:30" ht="16.5" customHeight="1" x14ac:dyDescent="0.15">
      <c r="C2" s="5" t="s">
        <v>22</v>
      </c>
      <c r="D2" s="4" t="s">
        <v>25</v>
      </c>
    </row>
    <row r="3" spans="3:30" ht="16.5" customHeight="1" x14ac:dyDescent="0.15">
      <c r="D3" s="4" t="s">
        <v>12</v>
      </c>
      <c r="E3" s="16">
        <v>1.3</v>
      </c>
      <c r="F3" s="4" t="s">
        <v>4</v>
      </c>
    </row>
    <row r="4" spans="3:30" ht="16.5" customHeight="1" x14ac:dyDescent="0.15">
      <c r="D4" s="4" t="s">
        <v>80</v>
      </c>
      <c r="E4" s="12">
        <f>+PI()*E3</f>
        <v>4.0840704496667311</v>
      </c>
      <c r="F4" s="4" t="s">
        <v>4</v>
      </c>
    </row>
    <row r="5" spans="3:30" ht="16.5" customHeight="1" x14ac:dyDescent="0.15">
      <c r="D5" s="4" t="s">
        <v>17</v>
      </c>
      <c r="E5" s="16">
        <v>31</v>
      </c>
      <c r="F5" s="4" t="s">
        <v>4</v>
      </c>
    </row>
    <row r="6" spans="3:30" ht="16.5" customHeight="1" x14ac:dyDescent="0.15">
      <c r="D6" s="4" t="s">
        <v>27</v>
      </c>
      <c r="E6" s="16">
        <v>4.9450000000000003</v>
      </c>
      <c r="F6" s="4" t="s">
        <v>4</v>
      </c>
    </row>
    <row r="7" spans="3:30" ht="16.5" customHeight="1" x14ac:dyDescent="0.15">
      <c r="D7" s="4" t="s">
        <v>10</v>
      </c>
      <c r="E7" s="18">
        <v>3</v>
      </c>
      <c r="F7" s="4" t="s">
        <v>16</v>
      </c>
    </row>
    <row r="8" spans="3:30" ht="16.5" customHeight="1" x14ac:dyDescent="0.15">
      <c r="D8" s="96" t="s">
        <v>9</v>
      </c>
      <c r="E8" s="101" t="s">
        <v>29</v>
      </c>
      <c r="F8" s="101" t="s">
        <v>30</v>
      </c>
      <c r="G8" s="104" t="s">
        <v>33</v>
      </c>
      <c r="H8" s="89" t="s">
        <v>31</v>
      </c>
      <c r="I8" s="90"/>
      <c r="J8" s="89" t="s">
        <v>32</v>
      </c>
      <c r="K8" s="90"/>
      <c r="L8" s="81" t="s">
        <v>26</v>
      </c>
      <c r="M8" s="83"/>
      <c r="N8" s="101" t="s">
        <v>34</v>
      </c>
      <c r="O8" s="89" t="s">
        <v>35</v>
      </c>
      <c r="P8" s="90"/>
      <c r="S8" s="72" t="s">
        <v>26</v>
      </c>
      <c r="T8" s="72" t="s">
        <v>97</v>
      </c>
      <c r="U8" s="96" t="s">
        <v>102</v>
      </c>
      <c r="V8" s="96"/>
      <c r="W8" s="96"/>
      <c r="X8" s="96" t="s">
        <v>103</v>
      </c>
      <c r="Y8" s="96"/>
      <c r="Z8" s="96"/>
      <c r="AA8" s="9" t="s">
        <v>104</v>
      </c>
      <c r="AB8" s="9" t="s">
        <v>102</v>
      </c>
      <c r="AC8" s="9" t="s">
        <v>103</v>
      </c>
      <c r="AD8" s="9" t="s">
        <v>104</v>
      </c>
    </row>
    <row r="9" spans="3:30" ht="16.5" customHeight="1" x14ac:dyDescent="0.15">
      <c r="D9" s="96"/>
      <c r="E9" s="102"/>
      <c r="F9" s="102"/>
      <c r="G9" s="105"/>
      <c r="H9" s="91"/>
      <c r="I9" s="92"/>
      <c r="J9" s="91"/>
      <c r="K9" s="92"/>
      <c r="L9" s="84"/>
      <c r="M9" s="85"/>
      <c r="N9" s="102"/>
      <c r="O9" s="91"/>
      <c r="P9" s="92"/>
      <c r="S9" s="72"/>
      <c r="T9" s="72"/>
      <c r="U9" s="32" t="s">
        <v>96</v>
      </c>
      <c r="V9" s="96" t="s">
        <v>99</v>
      </c>
      <c r="W9" s="96"/>
      <c r="X9" s="32" t="s">
        <v>96</v>
      </c>
      <c r="Y9" s="96" t="s">
        <v>99</v>
      </c>
      <c r="Z9" s="96"/>
      <c r="AA9" s="32" t="s">
        <v>96</v>
      </c>
      <c r="AB9" s="32" t="s">
        <v>96</v>
      </c>
      <c r="AC9" s="32" t="s">
        <v>96</v>
      </c>
      <c r="AD9" s="32" t="s">
        <v>96</v>
      </c>
    </row>
    <row r="10" spans="3:30" ht="16.5" customHeight="1" x14ac:dyDescent="0.15">
      <c r="D10" s="96"/>
      <c r="E10" s="102"/>
      <c r="F10" s="102"/>
      <c r="G10" s="105"/>
      <c r="H10" s="91"/>
      <c r="I10" s="92"/>
      <c r="J10" s="91"/>
      <c r="K10" s="92"/>
      <c r="L10" s="84"/>
      <c r="M10" s="85"/>
      <c r="N10" s="102"/>
      <c r="O10" s="91"/>
      <c r="P10" s="92"/>
      <c r="S10" s="72"/>
      <c r="T10" s="72"/>
      <c r="U10" s="62" t="s">
        <v>100</v>
      </c>
      <c r="V10" s="62" t="s">
        <v>100</v>
      </c>
      <c r="W10" s="62" t="s">
        <v>101</v>
      </c>
      <c r="X10" s="62" t="s">
        <v>100</v>
      </c>
      <c r="Y10" s="62" t="s">
        <v>100</v>
      </c>
      <c r="Z10" s="62" t="s">
        <v>101</v>
      </c>
      <c r="AA10" s="62" t="s">
        <v>100</v>
      </c>
      <c r="AB10" s="62" t="s">
        <v>101</v>
      </c>
      <c r="AC10" s="62" t="s">
        <v>101</v>
      </c>
      <c r="AD10" s="62" t="s">
        <v>101</v>
      </c>
    </row>
    <row r="11" spans="3:30" ht="16.5" customHeight="1" x14ac:dyDescent="0.15">
      <c r="D11" s="96"/>
      <c r="E11" s="102"/>
      <c r="F11" s="102"/>
      <c r="G11" s="105"/>
      <c r="H11" s="91"/>
      <c r="I11" s="92"/>
      <c r="J11" s="91"/>
      <c r="K11" s="92"/>
      <c r="L11" s="84"/>
      <c r="M11" s="85"/>
      <c r="N11" s="102"/>
      <c r="O11" s="93"/>
      <c r="P11" s="94"/>
      <c r="S11" s="10">
        <f>+L13</f>
        <v>98</v>
      </c>
      <c r="T11" s="10"/>
      <c r="U11" s="56"/>
      <c r="V11" s="63"/>
      <c r="W11" s="63"/>
      <c r="X11" s="56"/>
      <c r="Y11" s="63"/>
      <c r="Z11" s="63"/>
      <c r="AA11" s="63"/>
      <c r="AB11" s="63"/>
      <c r="AC11" s="63"/>
      <c r="AD11" s="63"/>
    </row>
    <row r="12" spans="3:30" ht="16.5" customHeight="1" x14ac:dyDescent="0.15">
      <c r="D12" s="96"/>
      <c r="E12" s="103"/>
      <c r="F12" s="103"/>
      <c r="G12" s="106"/>
      <c r="H12" s="93"/>
      <c r="I12" s="94"/>
      <c r="J12" s="93"/>
      <c r="K12" s="94"/>
      <c r="L12" s="87"/>
      <c r="M12" s="88"/>
      <c r="N12" s="103"/>
      <c r="O12" s="13" t="s">
        <v>18</v>
      </c>
      <c r="P12" s="34">
        <f>+E7</f>
        <v>3</v>
      </c>
      <c r="S12" s="10">
        <f>+S11+1</f>
        <v>99</v>
      </c>
      <c r="T12" s="10"/>
      <c r="U12" s="56"/>
      <c r="V12" s="63"/>
      <c r="W12" s="63"/>
      <c r="X12" s="56"/>
      <c r="Y12" s="63"/>
      <c r="Z12" s="63"/>
      <c r="AA12" s="63"/>
      <c r="AB12" s="63"/>
      <c r="AC12" s="63"/>
      <c r="AD12" s="63"/>
    </row>
    <row r="13" spans="3:30" ht="16.5" customHeight="1" x14ac:dyDescent="0.15">
      <c r="D13" s="119" t="s">
        <v>0</v>
      </c>
      <c r="E13" s="164">
        <v>1.5</v>
      </c>
      <c r="F13" s="160" t="s">
        <v>8</v>
      </c>
      <c r="G13" s="166">
        <v>2000</v>
      </c>
      <c r="H13" s="36">
        <f>+E3/2</f>
        <v>0.65</v>
      </c>
      <c r="I13" s="20"/>
      <c r="J13" s="37" t="s">
        <v>8</v>
      </c>
      <c r="K13" s="37" t="s">
        <v>8</v>
      </c>
      <c r="L13" s="38">
        <v>98</v>
      </c>
      <c r="M13" s="38">
        <v>148</v>
      </c>
      <c r="N13" s="33" t="s">
        <v>8</v>
      </c>
      <c r="O13" s="33" t="s">
        <v>8</v>
      </c>
      <c r="P13" s="33" t="s">
        <v>8</v>
      </c>
      <c r="S13" s="10">
        <f t="shared" ref="S13:S35" si="0">+S12+1</f>
        <v>100</v>
      </c>
      <c r="T13" s="10"/>
      <c r="U13" s="56"/>
      <c r="V13" s="63"/>
      <c r="W13" s="63"/>
      <c r="X13" s="56"/>
      <c r="Y13" s="63"/>
      <c r="Z13" s="63"/>
      <c r="AA13" s="63"/>
      <c r="AB13" s="63"/>
      <c r="AC13" s="63"/>
      <c r="AD13" s="63"/>
    </row>
    <row r="14" spans="3:30" ht="16.5" customHeight="1" x14ac:dyDescent="0.15">
      <c r="D14" s="121"/>
      <c r="E14" s="165"/>
      <c r="F14" s="161"/>
      <c r="G14" s="167"/>
      <c r="H14" s="114">
        <f>+E3</f>
        <v>1.3</v>
      </c>
      <c r="I14" s="20">
        <f>+E13-H13</f>
        <v>0.85</v>
      </c>
      <c r="J14" s="146" t="s">
        <v>8</v>
      </c>
      <c r="K14" s="37" t="s">
        <v>8</v>
      </c>
      <c r="L14" s="131">
        <f>+L13+1</f>
        <v>99</v>
      </c>
      <c r="M14" s="131">
        <f>+M13+1</f>
        <v>149</v>
      </c>
      <c r="N14" s="154" t="s">
        <v>8</v>
      </c>
      <c r="O14" s="154" t="s">
        <v>8</v>
      </c>
      <c r="P14" s="154" t="s">
        <v>8</v>
      </c>
      <c r="S14" s="10">
        <f t="shared" si="0"/>
        <v>101</v>
      </c>
      <c r="T14" s="10"/>
      <c r="U14" s="56"/>
      <c r="V14" s="63"/>
      <c r="W14" s="63"/>
      <c r="X14" s="56"/>
      <c r="Y14" s="63"/>
      <c r="Z14" s="63"/>
      <c r="AA14" s="63"/>
      <c r="AB14" s="63"/>
      <c r="AC14" s="63"/>
      <c r="AD14" s="63"/>
    </row>
    <row r="15" spans="3:30" ht="16.5" customHeight="1" x14ac:dyDescent="0.15">
      <c r="D15" s="112" t="s">
        <v>1</v>
      </c>
      <c r="E15" s="148">
        <v>1.3</v>
      </c>
      <c r="F15" s="151" t="s">
        <v>8</v>
      </c>
      <c r="G15" s="142">
        <v>10571</v>
      </c>
      <c r="H15" s="114"/>
      <c r="I15" s="20">
        <f>+H14-I14</f>
        <v>0.45000000000000007</v>
      </c>
      <c r="J15" s="144"/>
      <c r="K15" s="37" t="s">
        <v>8</v>
      </c>
      <c r="L15" s="132"/>
      <c r="M15" s="132"/>
      <c r="N15" s="99"/>
      <c r="O15" s="99"/>
      <c r="P15" s="99"/>
      <c r="S15" s="10">
        <f t="shared" si="0"/>
        <v>102</v>
      </c>
      <c r="T15" s="10" t="s">
        <v>98</v>
      </c>
      <c r="U15" s="56">
        <f>+P20</f>
        <v>51631.124929970531</v>
      </c>
      <c r="V15" s="58">
        <f>+'周面支持力(4P右)'!P20</f>
        <v>361.44023479550589</v>
      </c>
      <c r="W15" s="58">
        <f>+V15</f>
        <v>361.44023479550589</v>
      </c>
      <c r="X15" s="56">
        <f>+U15</f>
        <v>51631.124929970531</v>
      </c>
      <c r="Y15" s="58">
        <f>+V15</f>
        <v>361.44023479550589</v>
      </c>
      <c r="Z15" s="58">
        <f>+Y15</f>
        <v>361.44023479550589</v>
      </c>
      <c r="AA15" s="56">
        <f>+X15</f>
        <v>51631.124929970531</v>
      </c>
      <c r="AB15" s="56">
        <f>+AA15</f>
        <v>51631.124929970531</v>
      </c>
      <c r="AC15" s="56">
        <f t="shared" ref="AC15:AD15" si="1">+AB15</f>
        <v>51631.124929970531</v>
      </c>
      <c r="AD15" s="56">
        <f t="shared" si="1"/>
        <v>51631.124929970531</v>
      </c>
    </row>
    <row r="16" spans="3:30" ht="16.5" customHeight="1" x14ac:dyDescent="0.15">
      <c r="D16" s="112"/>
      <c r="E16" s="138"/>
      <c r="F16" s="152"/>
      <c r="G16" s="143"/>
      <c r="H16" s="114">
        <f>+H14</f>
        <v>1.3</v>
      </c>
      <c r="I16" s="20">
        <f>+E15-I15</f>
        <v>0.85</v>
      </c>
      <c r="J16" s="146" t="s">
        <v>8</v>
      </c>
      <c r="K16" s="37" t="s">
        <v>8</v>
      </c>
      <c r="L16" s="131">
        <f>+L14+1</f>
        <v>100</v>
      </c>
      <c r="M16" s="131">
        <f>+M14+1</f>
        <v>150</v>
      </c>
      <c r="N16" s="154" t="s">
        <v>8</v>
      </c>
      <c r="O16" s="154" t="s">
        <v>8</v>
      </c>
      <c r="P16" s="154" t="s">
        <v>8</v>
      </c>
      <c r="S16" s="10">
        <f t="shared" si="0"/>
        <v>103</v>
      </c>
      <c r="T16" s="10" t="s">
        <v>98</v>
      </c>
      <c r="U16" s="56">
        <f>+P22</f>
        <v>145628.55887308138</v>
      </c>
      <c r="V16" s="58">
        <f>+'周面支持力(4P右)'!P22</f>
        <v>1529.0759763552244</v>
      </c>
      <c r="W16" s="58">
        <f t="shared" ref="W16:W34" si="2">+V16</f>
        <v>1529.0759763552244</v>
      </c>
      <c r="X16" s="56">
        <f t="shared" ref="X16:Y34" si="3">+U16</f>
        <v>145628.55887308138</v>
      </c>
      <c r="Y16" s="58">
        <f t="shared" si="3"/>
        <v>1529.0759763552244</v>
      </c>
      <c r="Z16" s="58">
        <f t="shared" ref="Z16:Z34" si="4">+Y16</f>
        <v>1529.0759763552244</v>
      </c>
      <c r="AA16" s="56">
        <f t="shared" ref="AA16:AA34" si="5">+X16</f>
        <v>145628.55887308138</v>
      </c>
      <c r="AB16" s="56">
        <f t="shared" ref="AB16:AD31" si="6">+AA16</f>
        <v>145628.55887308138</v>
      </c>
      <c r="AC16" s="56">
        <f t="shared" si="6"/>
        <v>145628.55887308138</v>
      </c>
      <c r="AD16" s="56">
        <f t="shared" si="6"/>
        <v>145628.55887308138</v>
      </c>
    </row>
    <row r="17" spans="4:30" ht="16.5" customHeight="1" x14ac:dyDescent="0.15">
      <c r="D17" s="112" t="s">
        <v>2</v>
      </c>
      <c r="E17" s="138">
        <v>2.9</v>
      </c>
      <c r="F17" s="113">
        <f>+E13+E15+E17-E6</f>
        <v>0.75499999999999901</v>
      </c>
      <c r="G17" s="139">
        <v>3765</v>
      </c>
      <c r="H17" s="114"/>
      <c r="I17" s="20">
        <f>+H16-I16</f>
        <v>0.45000000000000007</v>
      </c>
      <c r="J17" s="144"/>
      <c r="K17" s="37" t="s">
        <v>8</v>
      </c>
      <c r="L17" s="132"/>
      <c r="M17" s="132"/>
      <c r="N17" s="99"/>
      <c r="O17" s="99"/>
      <c r="P17" s="99"/>
      <c r="S17" s="10">
        <f t="shared" si="0"/>
        <v>104</v>
      </c>
      <c r="T17" s="10" t="s">
        <v>98</v>
      </c>
      <c r="U17" s="56">
        <f>+P24</f>
        <v>155635.55249237732</v>
      </c>
      <c r="V17" s="58">
        <f>+'周面支持力(4P右)'!P24</f>
        <v>1495.2598730319837</v>
      </c>
      <c r="W17" s="58">
        <f t="shared" si="2"/>
        <v>1495.2598730319837</v>
      </c>
      <c r="X17" s="56">
        <f t="shared" si="3"/>
        <v>155635.55249237732</v>
      </c>
      <c r="Y17" s="58">
        <f t="shared" si="3"/>
        <v>1495.2598730319837</v>
      </c>
      <c r="Z17" s="58">
        <f t="shared" si="4"/>
        <v>1495.2598730319837</v>
      </c>
      <c r="AA17" s="56">
        <f t="shared" si="5"/>
        <v>155635.55249237732</v>
      </c>
      <c r="AB17" s="56">
        <f t="shared" si="6"/>
        <v>155635.55249237732</v>
      </c>
      <c r="AC17" s="56">
        <f t="shared" si="6"/>
        <v>155635.55249237732</v>
      </c>
      <c r="AD17" s="56">
        <f t="shared" si="6"/>
        <v>155635.55249237732</v>
      </c>
    </row>
    <row r="18" spans="4:30" ht="16.5" customHeight="1" x14ac:dyDescent="0.15">
      <c r="D18" s="112"/>
      <c r="E18" s="138"/>
      <c r="F18" s="113"/>
      <c r="G18" s="139"/>
      <c r="H18" s="114">
        <f t="shared" ref="H18" si="7">+H16</f>
        <v>1.3</v>
      </c>
      <c r="I18" s="114"/>
      <c r="J18" s="146" t="s">
        <v>8</v>
      </c>
      <c r="K18" s="146"/>
      <c r="L18" s="74">
        <f t="shared" ref="L18:M18" si="8">+L16+1</f>
        <v>101</v>
      </c>
      <c r="M18" s="131">
        <f t="shared" si="8"/>
        <v>151</v>
      </c>
      <c r="N18" s="154" t="s">
        <v>8</v>
      </c>
      <c r="O18" s="154" t="s">
        <v>8</v>
      </c>
      <c r="P18" s="154" t="s">
        <v>8</v>
      </c>
      <c r="S18" s="10">
        <f t="shared" si="0"/>
        <v>105</v>
      </c>
      <c r="T18" s="10" t="s">
        <v>98</v>
      </c>
      <c r="U18" s="56">
        <f>+P26</f>
        <v>223253.66909580704</v>
      </c>
      <c r="V18" s="58">
        <f>+'周面支持力(4P右)'!P26</f>
        <v>1927.5178894247106</v>
      </c>
      <c r="W18" s="58">
        <f t="shared" si="2"/>
        <v>1927.5178894247106</v>
      </c>
      <c r="X18" s="56">
        <f t="shared" si="3"/>
        <v>223253.66909580704</v>
      </c>
      <c r="Y18" s="58">
        <f t="shared" si="3"/>
        <v>1927.5178894247106</v>
      </c>
      <c r="Z18" s="58">
        <f t="shared" si="4"/>
        <v>1927.5178894247106</v>
      </c>
      <c r="AA18" s="56">
        <f t="shared" si="5"/>
        <v>223253.66909580704</v>
      </c>
      <c r="AB18" s="56">
        <f t="shared" si="6"/>
        <v>223253.66909580704</v>
      </c>
      <c r="AC18" s="56">
        <f t="shared" si="6"/>
        <v>223253.66909580704</v>
      </c>
      <c r="AD18" s="56">
        <f t="shared" si="6"/>
        <v>223253.66909580704</v>
      </c>
    </row>
    <row r="19" spans="4:30" ht="16.5" customHeight="1" x14ac:dyDescent="0.15">
      <c r="D19" s="112"/>
      <c r="E19" s="138"/>
      <c r="F19" s="113"/>
      <c r="G19" s="139"/>
      <c r="H19" s="114"/>
      <c r="I19" s="114"/>
      <c r="J19" s="144"/>
      <c r="K19" s="144"/>
      <c r="L19" s="79"/>
      <c r="M19" s="132"/>
      <c r="N19" s="99"/>
      <c r="O19" s="99"/>
      <c r="P19" s="99"/>
      <c r="S19" s="10">
        <f t="shared" si="0"/>
        <v>106</v>
      </c>
      <c r="T19" s="10" t="s">
        <v>98</v>
      </c>
      <c r="U19" s="56">
        <f>+P28</f>
        <v>218434.87437224528</v>
      </c>
      <c r="V19" s="58">
        <f>+'周面支持力(4P右)'!P28</f>
        <v>2293.6139645328362</v>
      </c>
      <c r="W19" s="58">
        <f t="shared" si="2"/>
        <v>2293.6139645328362</v>
      </c>
      <c r="X19" s="56">
        <f t="shared" si="3"/>
        <v>218434.87437224528</v>
      </c>
      <c r="Y19" s="58">
        <f t="shared" si="3"/>
        <v>2293.6139645328362</v>
      </c>
      <c r="Z19" s="58">
        <f t="shared" si="4"/>
        <v>2293.6139645328362</v>
      </c>
      <c r="AA19" s="56">
        <f t="shared" si="5"/>
        <v>218434.87437224528</v>
      </c>
      <c r="AB19" s="56">
        <f t="shared" si="6"/>
        <v>218434.87437224528</v>
      </c>
      <c r="AC19" s="56">
        <f t="shared" si="6"/>
        <v>218434.87437224528</v>
      </c>
      <c r="AD19" s="56">
        <f t="shared" si="6"/>
        <v>218434.87437224528</v>
      </c>
    </row>
    <row r="20" spans="4:30" ht="16.5" customHeight="1" x14ac:dyDescent="0.15">
      <c r="D20" s="112"/>
      <c r="E20" s="138"/>
      <c r="F20" s="113"/>
      <c r="G20" s="139"/>
      <c r="H20" s="114">
        <f t="shared" ref="H20" si="9">+H18</f>
        <v>1.3</v>
      </c>
      <c r="I20" s="20">
        <f>+E17-I17-H18</f>
        <v>1.1499999999999997</v>
      </c>
      <c r="J20" s="114">
        <f>+E3</f>
        <v>1.3</v>
      </c>
      <c r="K20" s="20">
        <f>+F17</f>
        <v>0.75499999999999901</v>
      </c>
      <c r="L20" s="74">
        <f t="shared" ref="L20:M20" si="10">+L18+1</f>
        <v>102</v>
      </c>
      <c r="M20" s="131">
        <f t="shared" si="10"/>
        <v>152</v>
      </c>
      <c r="N20" s="150">
        <f>+G17*K20+G21*K21</f>
        <v>4214.0249999999996</v>
      </c>
      <c r="O20" s="150">
        <f>+E4*N20</f>
        <v>17210.374976656844</v>
      </c>
      <c r="P20" s="149">
        <f>+E7*O20</f>
        <v>51631.124929970531</v>
      </c>
      <c r="S20" s="10">
        <f t="shared" si="0"/>
        <v>107</v>
      </c>
      <c r="T20" s="10" t="s">
        <v>98</v>
      </c>
      <c r="U20" s="56">
        <f>+P30</f>
        <v>218434.87437224528</v>
      </c>
      <c r="V20" s="58">
        <f>+'周面支持力(4P右)'!P30</f>
        <v>2293.6139645328362</v>
      </c>
      <c r="W20" s="58">
        <f t="shared" si="2"/>
        <v>2293.6139645328362</v>
      </c>
      <c r="X20" s="56">
        <f t="shared" si="3"/>
        <v>218434.87437224528</v>
      </c>
      <c r="Y20" s="58">
        <f t="shared" si="3"/>
        <v>2293.6139645328362</v>
      </c>
      <c r="Z20" s="58">
        <f t="shared" si="4"/>
        <v>2293.6139645328362</v>
      </c>
      <c r="AA20" s="56">
        <f t="shared" si="5"/>
        <v>218434.87437224528</v>
      </c>
      <c r="AB20" s="56">
        <f t="shared" si="6"/>
        <v>218434.87437224528</v>
      </c>
      <c r="AC20" s="56">
        <f t="shared" si="6"/>
        <v>218434.87437224528</v>
      </c>
      <c r="AD20" s="56">
        <f t="shared" si="6"/>
        <v>218434.87437224528</v>
      </c>
    </row>
    <row r="21" spans="4:30" ht="16.5" customHeight="1" x14ac:dyDescent="0.15">
      <c r="D21" s="112" t="s">
        <v>3</v>
      </c>
      <c r="E21" s="138">
        <v>2.6</v>
      </c>
      <c r="F21" s="113">
        <f>+E21</f>
        <v>2.6</v>
      </c>
      <c r="G21" s="139">
        <v>9143</v>
      </c>
      <c r="H21" s="114"/>
      <c r="I21" s="20">
        <f>+H20-I20</f>
        <v>0.15000000000000036</v>
      </c>
      <c r="J21" s="114"/>
      <c r="K21" s="20">
        <f>+I21</f>
        <v>0.15000000000000036</v>
      </c>
      <c r="L21" s="79"/>
      <c r="M21" s="132"/>
      <c r="N21" s="123"/>
      <c r="O21" s="123"/>
      <c r="P21" s="124"/>
      <c r="S21" s="10">
        <f t="shared" si="0"/>
        <v>108</v>
      </c>
      <c r="T21" s="10" t="s">
        <v>98</v>
      </c>
      <c r="U21" s="56">
        <f>+P32</f>
        <v>218434.87437224528</v>
      </c>
      <c r="V21" s="58">
        <f>+'周面支持力(4P右)'!P32</f>
        <v>2293.6139645328362</v>
      </c>
      <c r="W21" s="58">
        <f t="shared" si="2"/>
        <v>2293.6139645328362</v>
      </c>
      <c r="X21" s="56">
        <f t="shared" si="3"/>
        <v>218434.87437224528</v>
      </c>
      <c r="Y21" s="58">
        <f t="shared" si="3"/>
        <v>2293.6139645328362</v>
      </c>
      <c r="Z21" s="58">
        <f t="shared" si="4"/>
        <v>2293.6139645328362</v>
      </c>
      <c r="AA21" s="56">
        <f t="shared" si="5"/>
        <v>218434.87437224528</v>
      </c>
      <c r="AB21" s="56">
        <f t="shared" si="6"/>
        <v>218434.87437224528</v>
      </c>
      <c r="AC21" s="56">
        <f t="shared" si="6"/>
        <v>218434.87437224528</v>
      </c>
      <c r="AD21" s="56">
        <f t="shared" si="6"/>
        <v>218434.87437224528</v>
      </c>
    </row>
    <row r="22" spans="4:30" ht="16.5" customHeight="1" x14ac:dyDescent="0.15">
      <c r="D22" s="112"/>
      <c r="E22" s="138"/>
      <c r="F22" s="113"/>
      <c r="G22" s="139"/>
      <c r="H22" s="114">
        <f t="shared" ref="H22:J22" si="11">+H20</f>
        <v>1.3</v>
      </c>
      <c r="I22" s="144"/>
      <c r="J22" s="114">
        <f t="shared" si="11"/>
        <v>1.3</v>
      </c>
      <c r="K22" s="144"/>
      <c r="L22" s="131">
        <f t="shared" ref="L22:M22" si="12">+L20+1</f>
        <v>103</v>
      </c>
      <c r="M22" s="131">
        <f t="shared" si="12"/>
        <v>153</v>
      </c>
      <c r="N22" s="150">
        <f>+G21*J22</f>
        <v>11885.9</v>
      </c>
      <c r="O22" s="150">
        <f>+E4*N22</f>
        <v>48542.852957693794</v>
      </c>
      <c r="P22" s="149">
        <f>+E7*O22</f>
        <v>145628.55887308138</v>
      </c>
      <c r="S22" s="10">
        <f t="shared" si="0"/>
        <v>109</v>
      </c>
      <c r="T22" s="10" t="s">
        <v>98</v>
      </c>
      <c r="U22" s="56">
        <f>+P34</f>
        <v>218434.87437224528</v>
      </c>
      <c r="V22" s="58">
        <f>+'周面支持力(4P右)'!P34</f>
        <v>2293.6139645328362</v>
      </c>
      <c r="W22" s="58">
        <f t="shared" si="2"/>
        <v>2293.6139645328362</v>
      </c>
      <c r="X22" s="56">
        <f t="shared" si="3"/>
        <v>218434.87437224528</v>
      </c>
      <c r="Y22" s="58">
        <f t="shared" si="3"/>
        <v>2293.6139645328362</v>
      </c>
      <c r="Z22" s="58">
        <f t="shared" si="4"/>
        <v>2293.6139645328362</v>
      </c>
      <c r="AA22" s="56">
        <f t="shared" si="5"/>
        <v>218434.87437224528</v>
      </c>
      <c r="AB22" s="56">
        <f t="shared" si="6"/>
        <v>218434.87437224528</v>
      </c>
      <c r="AC22" s="56">
        <f t="shared" si="6"/>
        <v>218434.87437224528</v>
      </c>
      <c r="AD22" s="56">
        <f t="shared" si="6"/>
        <v>218434.87437224528</v>
      </c>
    </row>
    <row r="23" spans="4:30" ht="16.5" customHeight="1" x14ac:dyDescent="0.15">
      <c r="D23" s="112"/>
      <c r="E23" s="138"/>
      <c r="F23" s="113"/>
      <c r="G23" s="139"/>
      <c r="H23" s="114"/>
      <c r="I23" s="144"/>
      <c r="J23" s="114"/>
      <c r="K23" s="144"/>
      <c r="L23" s="132"/>
      <c r="M23" s="132"/>
      <c r="N23" s="123"/>
      <c r="O23" s="123"/>
      <c r="P23" s="124"/>
      <c r="S23" s="10">
        <f t="shared" si="0"/>
        <v>110</v>
      </c>
      <c r="T23" s="10" t="s">
        <v>98</v>
      </c>
      <c r="U23" s="56">
        <f>+P36</f>
        <v>218434.87437224528</v>
      </c>
      <c r="V23" s="58">
        <f>+'周面支持力(4P右)'!P36</f>
        <v>2293.6139645328362</v>
      </c>
      <c r="W23" s="58">
        <f t="shared" si="2"/>
        <v>2293.6139645328362</v>
      </c>
      <c r="X23" s="56">
        <f t="shared" si="3"/>
        <v>218434.87437224528</v>
      </c>
      <c r="Y23" s="58">
        <f t="shared" si="3"/>
        <v>2293.6139645328362</v>
      </c>
      <c r="Z23" s="58">
        <f t="shared" si="4"/>
        <v>2293.6139645328362</v>
      </c>
      <c r="AA23" s="56">
        <f t="shared" si="5"/>
        <v>218434.87437224528</v>
      </c>
      <c r="AB23" s="56">
        <f t="shared" si="6"/>
        <v>218434.87437224528</v>
      </c>
      <c r="AC23" s="56">
        <f t="shared" si="6"/>
        <v>218434.87437224528</v>
      </c>
      <c r="AD23" s="56">
        <f t="shared" si="6"/>
        <v>218434.87437224528</v>
      </c>
    </row>
    <row r="24" spans="4:30" ht="16.5" customHeight="1" x14ac:dyDescent="0.15">
      <c r="D24" s="112"/>
      <c r="E24" s="138"/>
      <c r="F24" s="113"/>
      <c r="G24" s="139"/>
      <c r="H24" s="114">
        <f t="shared" ref="H24:J24" si="13">+H22</f>
        <v>1.3</v>
      </c>
      <c r="I24" s="20">
        <f>+E21-I21-H22</f>
        <v>1.1499999999999997</v>
      </c>
      <c r="J24" s="114">
        <f t="shared" si="13"/>
        <v>1.3</v>
      </c>
      <c r="K24" s="20">
        <f>+I24</f>
        <v>1.1499999999999997</v>
      </c>
      <c r="L24" s="131">
        <f t="shared" ref="L24:M24" si="14">+L22+1</f>
        <v>104</v>
      </c>
      <c r="M24" s="131">
        <f t="shared" si="14"/>
        <v>154</v>
      </c>
      <c r="N24" s="123">
        <f>+G21*K24+G25*K25</f>
        <v>12702.650000000001</v>
      </c>
      <c r="O24" s="150">
        <f>+E4*N24</f>
        <v>51878.517497459106</v>
      </c>
      <c r="P24" s="149">
        <f>+E7*O24</f>
        <v>155635.55249237732</v>
      </c>
      <c r="S24" s="10">
        <f t="shared" si="0"/>
        <v>111</v>
      </c>
      <c r="T24" s="10" t="s">
        <v>98</v>
      </c>
      <c r="U24" s="56">
        <f>+P38</f>
        <v>218434.87437224528</v>
      </c>
      <c r="V24" s="58">
        <f>+'周面支持力(4P右)'!P38</f>
        <v>2293.6139645328362</v>
      </c>
      <c r="W24" s="58">
        <f t="shared" si="2"/>
        <v>2293.6139645328362</v>
      </c>
      <c r="X24" s="56">
        <f t="shared" si="3"/>
        <v>218434.87437224528</v>
      </c>
      <c r="Y24" s="58">
        <f t="shared" si="3"/>
        <v>2293.6139645328362</v>
      </c>
      <c r="Z24" s="58">
        <f t="shared" si="4"/>
        <v>2293.6139645328362</v>
      </c>
      <c r="AA24" s="56">
        <f t="shared" si="5"/>
        <v>218434.87437224528</v>
      </c>
      <c r="AB24" s="56">
        <f t="shared" si="6"/>
        <v>218434.87437224528</v>
      </c>
      <c r="AC24" s="56">
        <f t="shared" si="6"/>
        <v>218434.87437224528</v>
      </c>
      <c r="AD24" s="56">
        <f t="shared" si="6"/>
        <v>218434.87437224528</v>
      </c>
    </row>
    <row r="25" spans="4:30" ht="16.5" customHeight="1" x14ac:dyDescent="0.15">
      <c r="D25" s="112" t="s">
        <v>13</v>
      </c>
      <c r="E25" s="138">
        <v>0.6</v>
      </c>
      <c r="F25" s="113">
        <f>+E25</f>
        <v>0.6</v>
      </c>
      <c r="G25" s="139">
        <v>14588</v>
      </c>
      <c r="H25" s="114"/>
      <c r="I25" s="20">
        <f>+H24-I24</f>
        <v>0.15000000000000036</v>
      </c>
      <c r="J25" s="114"/>
      <c r="K25" s="20">
        <f t="shared" ref="K25:K27" si="15">+I25</f>
        <v>0.15000000000000036</v>
      </c>
      <c r="L25" s="132"/>
      <c r="M25" s="132"/>
      <c r="N25" s="123"/>
      <c r="O25" s="123"/>
      <c r="P25" s="124"/>
      <c r="S25" s="10">
        <f t="shared" si="0"/>
        <v>112</v>
      </c>
      <c r="T25" s="10" t="s">
        <v>98</v>
      </c>
      <c r="U25" s="56">
        <f>+P40</f>
        <v>179145.70823940641</v>
      </c>
      <c r="V25" s="58">
        <f>+'周面支持力(4P右)'!P40</f>
        <v>1693.7456968857882</v>
      </c>
      <c r="W25" s="58">
        <f t="shared" si="2"/>
        <v>1693.7456968857882</v>
      </c>
      <c r="X25" s="56">
        <f t="shared" si="3"/>
        <v>179145.70823940641</v>
      </c>
      <c r="Y25" s="58">
        <f t="shared" si="3"/>
        <v>1693.7456968857882</v>
      </c>
      <c r="Z25" s="58">
        <f t="shared" si="4"/>
        <v>1693.7456968857882</v>
      </c>
      <c r="AA25" s="56">
        <f t="shared" si="5"/>
        <v>179145.70823940641</v>
      </c>
      <c r="AB25" s="56">
        <f t="shared" si="6"/>
        <v>179145.70823940641</v>
      </c>
      <c r="AC25" s="56">
        <f t="shared" si="6"/>
        <v>179145.70823940641</v>
      </c>
      <c r="AD25" s="56">
        <f t="shared" si="6"/>
        <v>179145.70823940641</v>
      </c>
    </row>
    <row r="26" spans="4:30" ht="16.5" customHeight="1" x14ac:dyDescent="0.15">
      <c r="D26" s="112"/>
      <c r="E26" s="138"/>
      <c r="F26" s="113"/>
      <c r="G26" s="139"/>
      <c r="H26" s="114">
        <f t="shared" ref="H26:J40" si="16">+H24</f>
        <v>1.3</v>
      </c>
      <c r="I26" s="20">
        <f>+E25-I25</f>
        <v>0.44999999999999962</v>
      </c>
      <c r="J26" s="114">
        <f t="shared" si="16"/>
        <v>1.3</v>
      </c>
      <c r="K26" s="20">
        <f t="shared" si="15"/>
        <v>0.44999999999999962</v>
      </c>
      <c r="L26" s="131">
        <f t="shared" ref="L26:M26" si="17">+L24+1</f>
        <v>105</v>
      </c>
      <c r="M26" s="131">
        <f t="shared" si="17"/>
        <v>155</v>
      </c>
      <c r="N26" s="123">
        <f>+G25*K26+G27*K27</f>
        <v>18221.5</v>
      </c>
      <c r="O26" s="150">
        <f>+E4*N26</f>
        <v>74417.889698602346</v>
      </c>
      <c r="P26" s="149">
        <f>+E7*O26</f>
        <v>223253.66909580704</v>
      </c>
      <c r="S26" s="10">
        <f t="shared" si="0"/>
        <v>113</v>
      </c>
      <c r="T26" s="10" t="s">
        <v>98</v>
      </c>
      <c r="U26" s="56">
        <f>+P42</f>
        <v>104932.83887737725</v>
      </c>
      <c r="V26" s="58">
        <f>+'周面支持力(4P右)'!P42</f>
        <v>560.66119133024893</v>
      </c>
      <c r="W26" s="58">
        <f t="shared" si="2"/>
        <v>560.66119133024893</v>
      </c>
      <c r="X26" s="56">
        <f t="shared" si="3"/>
        <v>104932.83887737725</v>
      </c>
      <c r="Y26" s="58">
        <f t="shared" si="3"/>
        <v>560.66119133024893</v>
      </c>
      <c r="Z26" s="58">
        <f t="shared" si="4"/>
        <v>560.66119133024893</v>
      </c>
      <c r="AA26" s="56">
        <f t="shared" si="5"/>
        <v>104932.83887737725</v>
      </c>
      <c r="AB26" s="56">
        <f t="shared" si="6"/>
        <v>104932.83887737725</v>
      </c>
      <c r="AC26" s="56">
        <f t="shared" si="6"/>
        <v>104932.83887737725</v>
      </c>
      <c r="AD26" s="56">
        <f t="shared" si="6"/>
        <v>104932.83887737725</v>
      </c>
    </row>
    <row r="27" spans="4:30" ht="16.5" customHeight="1" x14ac:dyDescent="0.15">
      <c r="D27" s="119" t="s">
        <v>14</v>
      </c>
      <c r="E27" s="109">
        <v>9.5</v>
      </c>
      <c r="F27" s="125">
        <f>+E27</f>
        <v>9.5</v>
      </c>
      <c r="G27" s="116">
        <v>13714</v>
      </c>
      <c r="H27" s="114"/>
      <c r="I27" s="20">
        <f>+H26-I26</f>
        <v>0.85000000000000042</v>
      </c>
      <c r="J27" s="114"/>
      <c r="K27" s="20">
        <f t="shared" si="15"/>
        <v>0.85000000000000042</v>
      </c>
      <c r="L27" s="132"/>
      <c r="M27" s="132"/>
      <c r="N27" s="123"/>
      <c r="O27" s="123"/>
      <c r="P27" s="124"/>
      <c r="S27" s="10">
        <f t="shared" si="0"/>
        <v>114</v>
      </c>
      <c r="T27" s="10" t="s">
        <v>98</v>
      </c>
      <c r="U27" s="56">
        <f>+P44</f>
        <v>104932.83887737725</v>
      </c>
      <c r="V27" s="58">
        <f>+'周面支持力(4P右)'!P44</f>
        <v>560.66119133024893</v>
      </c>
      <c r="W27" s="58">
        <f t="shared" si="2"/>
        <v>560.66119133024893</v>
      </c>
      <c r="X27" s="56">
        <f t="shared" si="3"/>
        <v>104932.83887737725</v>
      </c>
      <c r="Y27" s="58">
        <f t="shared" si="3"/>
        <v>560.66119133024893</v>
      </c>
      <c r="Z27" s="58">
        <f t="shared" si="4"/>
        <v>560.66119133024893</v>
      </c>
      <c r="AA27" s="56">
        <f t="shared" si="5"/>
        <v>104932.83887737725</v>
      </c>
      <c r="AB27" s="56">
        <f t="shared" si="6"/>
        <v>104932.83887737725</v>
      </c>
      <c r="AC27" s="56">
        <f t="shared" si="6"/>
        <v>104932.83887737725</v>
      </c>
      <c r="AD27" s="56">
        <f t="shared" si="6"/>
        <v>104932.83887737725</v>
      </c>
    </row>
    <row r="28" spans="4:30" ht="16.5" customHeight="1" x14ac:dyDescent="0.15">
      <c r="D28" s="120"/>
      <c r="E28" s="111"/>
      <c r="F28" s="126"/>
      <c r="G28" s="117"/>
      <c r="H28" s="114">
        <f t="shared" si="16"/>
        <v>1.3</v>
      </c>
      <c r="I28" s="140"/>
      <c r="J28" s="114">
        <f t="shared" si="16"/>
        <v>1.3</v>
      </c>
      <c r="K28" s="140"/>
      <c r="L28" s="131">
        <f>+L26+1</f>
        <v>106</v>
      </c>
      <c r="M28" s="131">
        <f>+M26+1</f>
        <v>156</v>
      </c>
      <c r="N28" s="107">
        <f>+G27*J28</f>
        <v>17828.2</v>
      </c>
      <c r="O28" s="150">
        <f>+E4*N28</f>
        <v>72811.624790748421</v>
      </c>
      <c r="P28" s="149">
        <f>+E7*O28</f>
        <v>218434.87437224528</v>
      </c>
      <c r="S28" s="10">
        <f t="shared" si="0"/>
        <v>115</v>
      </c>
      <c r="T28" s="10" t="s">
        <v>98</v>
      </c>
      <c r="U28" s="56">
        <f>+P46</f>
        <v>104932.83887737725</v>
      </c>
      <c r="V28" s="58">
        <f>+'周面支持力(4P右)'!P46</f>
        <v>560.66119133024893</v>
      </c>
      <c r="W28" s="58">
        <f t="shared" si="2"/>
        <v>560.66119133024893</v>
      </c>
      <c r="X28" s="56">
        <f t="shared" si="3"/>
        <v>104932.83887737725</v>
      </c>
      <c r="Y28" s="58">
        <f t="shared" si="3"/>
        <v>560.66119133024893</v>
      </c>
      <c r="Z28" s="58">
        <f t="shared" si="4"/>
        <v>560.66119133024893</v>
      </c>
      <c r="AA28" s="56">
        <f t="shared" si="5"/>
        <v>104932.83887737725</v>
      </c>
      <c r="AB28" s="56">
        <f t="shared" si="6"/>
        <v>104932.83887737725</v>
      </c>
      <c r="AC28" s="56">
        <f t="shared" si="6"/>
        <v>104932.83887737725</v>
      </c>
      <c r="AD28" s="56">
        <f t="shared" si="6"/>
        <v>104932.83887737725</v>
      </c>
    </row>
    <row r="29" spans="4:30" ht="16.5" customHeight="1" x14ac:dyDescent="0.15">
      <c r="D29" s="120"/>
      <c r="E29" s="111"/>
      <c r="F29" s="126"/>
      <c r="G29" s="117"/>
      <c r="H29" s="114"/>
      <c r="I29" s="141"/>
      <c r="J29" s="114"/>
      <c r="K29" s="141"/>
      <c r="L29" s="132"/>
      <c r="M29" s="132"/>
      <c r="N29" s="108"/>
      <c r="O29" s="123"/>
      <c r="P29" s="124"/>
      <c r="S29" s="10">
        <f t="shared" si="0"/>
        <v>116</v>
      </c>
      <c r="T29" s="10" t="s">
        <v>98</v>
      </c>
      <c r="U29" s="56">
        <f>+P48</f>
        <v>104932.83887737725</v>
      </c>
      <c r="V29" s="58">
        <f>+'周面支持力(4P右)'!P48</f>
        <v>560.66119133024893</v>
      </c>
      <c r="W29" s="58">
        <f t="shared" si="2"/>
        <v>560.66119133024893</v>
      </c>
      <c r="X29" s="56">
        <f t="shared" si="3"/>
        <v>104932.83887737725</v>
      </c>
      <c r="Y29" s="58">
        <f t="shared" si="3"/>
        <v>560.66119133024893</v>
      </c>
      <c r="Z29" s="58">
        <f t="shared" si="4"/>
        <v>560.66119133024893</v>
      </c>
      <c r="AA29" s="56">
        <f t="shared" si="5"/>
        <v>104932.83887737725</v>
      </c>
      <c r="AB29" s="56">
        <f t="shared" si="6"/>
        <v>104932.83887737725</v>
      </c>
      <c r="AC29" s="56">
        <f t="shared" si="6"/>
        <v>104932.83887737725</v>
      </c>
      <c r="AD29" s="56">
        <f t="shared" si="6"/>
        <v>104932.83887737725</v>
      </c>
    </row>
    <row r="30" spans="4:30" ht="16.5" customHeight="1" x14ac:dyDescent="0.15">
      <c r="D30" s="120"/>
      <c r="E30" s="111"/>
      <c r="F30" s="126"/>
      <c r="G30" s="117"/>
      <c r="H30" s="114">
        <f t="shared" si="16"/>
        <v>1.3</v>
      </c>
      <c r="I30" s="140"/>
      <c r="J30" s="114">
        <f t="shared" si="16"/>
        <v>1.3</v>
      </c>
      <c r="K30" s="140"/>
      <c r="L30" s="131">
        <f t="shared" ref="L30:M30" si="18">+L28+1</f>
        <v>107</v>
      </c>
      <c r="M30" s="131">
        <f t="shared" si="18"/>
        <v>157</v>
      </c>
      <c r="N30" s="107">
        <f>+G27*J30</f>
        <v>17828.2</v>
      </c>
      <c r="O30" s="150">
        <f>+E4*N30</f>
        <v>72811.624790748421</v>
      </c>
      <c r="P30" s="149">
        <f>+E7*O30</f>
        <v>218434.87437224528</v>
      </c>
      <c r="S30" s="10">
        <f t="shared" si="0"/>
        <v>117</v>
      </c>
      <c r="T30" s="10" t="s">
        <v>98</v>
      </c>
      <c r="U30" s="56">
        <f>+P50</f>
        <v>104932.83887737725</v>
      </c>
      <c r="V30" s="58">
        <f>+'周面支持力(4P右)'!P50</f>
        <v>560.66119133024893</v>
      </c>
      <c r="W30" s="58">
        <f t="shared" si="2"/>
        <v>560.66119133024893</v>
      </c>
      <c r="X30" s="56">
        <f t="shared" si="3"/>
        <v>104932.83887737725</v>
      </c>
      <c r="Y30" s="58">
        <f t="shared" si="3"/>
        <v>560.66119133024893</v>
      </c>
      <c r="Z30" s="58">
        <f t="shared" si="4"/>
        <v>560.66119133024893</v>
      </c>
      <c r="AA30" s="56">
        <f t="shared" si="5"/>
        <v>104932.83887737725</v>
      </c>
      <c r="AB30" s="56">
        <f t="shared" si="6"/>
        <v>104932.83887737725</v>
      </c>
      <c r="AC30" s="56">
        <f t="shared" si="6"/>
        <v>104932.83887737725</v>
      </c>
      <c r="AD30" s="56">
        <f t="shared" si="6"/>
        <v>104932.83887737725</v>
      </c>
    </row>
    <row r="31" spans="4:30" ht="16.5" customHeight="1" x14ac:dyDescent="0.15">
      <c r="D31" s="120"/>
      <c r="E31" s="111"/>
      <c r="F31" s="126"/>
      <c r="G31" s="117"/>
      <c r="H31" s="114"/>
      <c r="I31" s="141"/>
      <c r="J31" s="114"/>
      <c r="K31" s="141"/>
      <c r="L31" s="132"/>
      <c r="M31" s="132"/>
      <c r="N31" s="108"/>
      <c r="O31" s="123"/>
      <c r="P31" s="124"/>
      <c r="S31" s="10">
        <f t="shared" si="0"/>
        <v>118</v>
      </c>
      <c r="T31" s="10" t="s">
        <v>98</v>
      </c>
      <c r="U31" s="56">
        <f>+P52</f>
        <v>104932.83887737725</v>
      </c>
      <c r="V31" s="58">
        <f>+'周面支持力(4P右)'!P52</f>
        <v>560.66119133024893</v>
      </c>
      <c r="W31" s="58">
        <f t="shared" si="2"/>
        <v>560.66119133024893</v>
      </c>
      <c r="X31" s="56">
        <f t="shared" si="3"/>
        <v>104932.83887737725</v>
      </c>
      <c r="Y31" s="58">
        <f t="shared" si="3"/>
        <v>560.66119133024893</v>
      </c>
      <c r="Z31" s="58">
        <f t="shared" si="4"/>
        <v>560.66119133024893</v>
      </c>
      <c r="AA31" s="56">
        <f t="shared" si="5"/>
        <v>104932.83887737725</v>
      </c>
      <c r="AB31" s="56">
        <f t="shared" si="6"/>
        <v>104932.83887737725</v>
      </c>
      <c r="AC31" s="56">
        <f t="shared" si="6"/>
        <v>104932.83887737725</v>
      </c>
      <c r="AD31" s="56">
        <f t="shared" si="6"/>
        <v>104932.83887737725</v>
      </c>
    </row>
    <row r="32" spans="4:30" ht="16.5" customHeight="1" x14ac:dyDescent="0.15">
      <c r="D32" s="120"/>
      <c r="E32" s="111"/>
      <c r="F32" s="126"/>
      <c r="G32" s="117"/>
      <c r="H32" s="114">
        <f t="shared" si="16"/>
        <v>1.3</v>
      </c>
      <c r="I32" s="140"/>
      <c r="J32" s="114">
        <f t="shared" si="16"/>
        <v>1.3</v>
      </c>
      <c r="K32" s="140"/>
      <c r="L32" s="131">
        <f t="shared" ref="L32:M32" si="19">+L30+1</f>
        <v>108</v>
      </c>
      <c r="M32" s="131">
        <f t="shared" si="19"/>
        <v>158</v>
      </c>
      <c r="N32" s="107">
        <f>+G27*J32</f>
        <v>17828.2</v>
      </c>
      <c r="O32" s="150">
        <f>+E4*N32</f>
        <v>72811.624790748421</v>
      </c>
      <c r="P32" s="149">
        <f>+E7*O32</f>
        <v>218434.87437224528</v>
      </c>
      <c r="S32" s="10">
        <f t="shared" si="0"/>
        <v>119</v>
      </c>
      <c r="T32" s="10" t="s">
        <v>98</v>
      </c>
      <c r="U32" s="56">
        <f>+P54</f>
        <v>104932.83887737725</v>
      </c>
      <c r="V32" s="58">
        <f>+'周面支持力(4P右)'!P54</f>
        <v>560.66119133024893</v>
      </c>
      <c r="W32" s="58">
        <f t="shared" si="2"/>
        <v>560.66119133024893</v>
      </c>
      <c r="X32" s="56">
        <f t="shared" si="3"/>
        <v>104932.83887737725</v>
      </c>
      <c r="Y32" s="58">
        <f t="shared" si="3"/>
        <v>560.66119133024893</v>
      </c>
      <c r="Z32" s="58">
        <f t="shared" si="4"/>
        <v>560.66119133024893</v>
      </c>
      <c r="AA32" s="56">
        <f t="shared" si="5"/>
        <v>104932.83887737725</v>
      </c>
      <c r="AB32" s="56">
        <f t="shared" ref="AB32:AD34" si="20">+AA32</f>
        <v>104932.83887737725</v>
      </c>
      <c r="AC32" s="56">
        <f t="shared" si="20"/>
        <v>104932.83887737725</v>
      </c>
      <c r="AD32" s="56">
        <f t="shared" si="20"/>
        <v>104932.83887737725</v>
      </c>
    </row>
    <row r="33" spans="4:30" ht="16.5" customHeight="1" x14ac:dyDescent="0.15">
      <c r="D33" s="120"/>
      <c r="E33" s="111"/>
      <c r="F33" s="126"/>
      <c r="G33" s="117"/>
      <c r="H33" s="114"/>
      <c r="I33" s="141"/>
      <c r="J33" s="114"/>
      <c r="K33" s="141"/>
      <c r="L33" s="132"/>
      <c r="M33" s="132"/>
      <c r="N33" s="108"/>
      <c r="O33" s="123"/>
      <c r="P33" s="124"/>
      <c r="S33" s="10">
        <f t="shared" si="0"/>
        <v>120</v>
      </c>
      <c r="T33" s="10" t="s">
        <v>98</v>
      </c>
      <c r="U33" s="56">
        <f>+P56</f>
        <v>104932.83887737725</v>
      </c>
      <c r="V33" s="58">
        <f>+'周面支持力(4P右)'!P56</f>
        <v>560.66119133024893</v>
      </c>
      <c r="W33" s="58">
        <f t="shared" si="2"/>
        <v>560.66119133024893</v>
      </c>
      <c r="X33" s="56">
        <f t="shared" si="3"/>
        <v>104932.83887737725</v>
      </c>
      <c r="Y33" s="58">
        <f t="shared" si="3"/>
        <v>560.66119133024893</v>
      </c>
      <c r="Z33" s="58">
        <f t="shared" si="4"/>
        <v>560.66119133024893</v>
      </c>
      <c r="AA33" s="56">
        <f t="shared" si="5"/>
        <v>104932.83887737725</v>
      </c>
      <c r="AB33" s="56">
        <f t="shared" si="20"/>
        <v>104932.83887737725</v>
      </c>
      <c r="AC33" s="56">
        <f t="shared" si="20"/>
        <v>104932.83887737725</v>
      </c>
      <c r="AD33" s="56">
        <f t="shared" si="20"/>
        <v>104932.83887737725</v>
      </c>
    </row>
    <row r="34" spans="4:30" ht="16.5" customHeight="1" x14ac:dyDescent="0.15">
      <c r="D34" s="120"/>
      <c r="E34" s="111"/>
      <c r="F34" s="126"/>
      <c r="G34" s="117"/>
      <c r="H34" s="114">
        <f t="shared" si="16"/>
        <v>1.3</v>
      </c>
      <c r="I34" s="145"/>
      <c r="J34" s="114">
        <f t="shared" si="16"/>
        <v>1.3</v>
      </c>
      <c r="K34" s="145"/>
      <c r="L34" s="131">
        <f t="shared" ref="L34:M34" si="21">+L32+1</f>
        <v>109</v>
      </c>
      <c r="M34" s="131">
        <f t="shared" si="21"/>
        <v>159</v>
      </c>
      <c r="N34" s="107">
        <f>+G27*J34</f>
        <v>17828.2</v>
      </c>
      <c r="O34" s="150">
        <f>+E4*N34</f>
        <v>72811.624790748421</v>
      </c>
      <c r="P34" s="149">
        <f>+E7*O34</f>
        <v>218434.87437224528</v>
      </c>
      <c r="S34" s="10">
        <f t="shared" si="0"/>
        <v>121</v>
      </c>
      <c r="T34" s="10" t="s">
        <v>98</v>
      </c>
      <c r="U34" s="56">
        <f>+P58</f>
        <v>36322.90576524588</v>
      </c>
      <c r="V34" s="58">
        <f>+'周面支持力(4P右)'!P58</f>
        <v>194.07502776816258</v>
      </c>
      <c r="W34" s="58">
        <f t="shared" si="2"/>
        <v>194.07502776816258</v>
      </c>
      <c r="X34" s="56">
        <f t="shared" si="3"/>
        <v>36322.90576524588</v>
      </c>
      <c r="Y34" s="58">
        <f t="shared" si="3"/>
        <v>194.07502776816258</v>
      </c>
      <c r="Z34" s="58">
        <f t="shared" si="4"/>
        <v>194.07502776816258</v>
      </c>
      <c r="AA34" s="56">
        <f t="shared" si="5"/>
        <v>36322.90576524588</v>
      </c>
      <c r="AB34" s="56">
        <f t="shared" si="20"/>
        <v>36322.90576524588</v>
      </c>
      <c r="AC34" s="56">
        <f t="shared" si="20"/>
        <v>36322.90576524588</v>
      </c>
      <c r="AD34" s="56">
        <f t="shared" si="20"/>
        <v>36322.90576524588</v>
      </c>
    </row>
    <row r="35" spans="4:30" ht="16.5" customHeight="1" x14ac:dyDescent="0.15">
      <c r="D35" s="120"/>
      <c r="E35" s="111"/>
      <c r="F35" s="126"/>
      <c r="G35" s="117"/>
      <c r="H35" s="114"/>
      <c r="I35" s="145"/>
      <c r="J35" s="114"/>
      <c r="K35" s="145"/>
      <c r="L35" s="132"/>
      <c r="M35" s="132"/>
      <c r="N35" s="108"/>
      <c r="O35" s="123"/>
      <c r="P35" s="124"/>
      <c r="S35" s="10">
        <f t="shared" si="0"/>
        <v>122</v>
      </c>
      <c r="T35" s="10"/>
      <c r="U35" s="56"/>
      <c r="V35" s="63"/>
      <c r="W35" s="63"/>
      <c r="X35" s="56"/>
      <c r="Y35" s="63"/>
      <c r="Z35" s="63"/>
      <c r="AA35" s="56"/>
      <c r="AB35" s="56"/>
      <c r="AC35" s="56"/>
      <c r="AD35" s="56"/>
    </row>
    <row r="36" spans="4:30" ht="16.5" customHeight="1" x14ac:dyDescent="0.15">
      <c r="D36" s="120"/>
      <c r="E36" s="111"/>
      <c r="F36" s="126"/>
      <c r="G36" s="117"/>
      <c r="H36" s="114">
        <f t="shared" si="16"/>
        <v>1.3</v>
      </c>
      <c r="I36" s="145"/>
      <c r="J36" s="114">
        <f t="shared" si="16"/>
        <v>1.3</v>
      </c>
      <c r="K36" s="145"/>
      <c r="L36" s="131">
        <f t="shared" ref="L36:M36" si="22">+L34+1</f>
        <v>110</v>
      </c>
      <c r="M36" s="131">
        <f t="shared" si="22"/>
        <v>160</v>
      </c>
      <c r="N36" s="107">
        <f>+G27*J36</f>
        <v>17828.2</v>
      </c>
      <c r="O36" s="150">
        <f>+E4*N36</f>
        <v>72811.624790748421</v>
      </c>
      <c r="P36" s="149">
        <f>+E7*O36</f>
        <v>218434.87437224528</v>
      </c>
    </row>
    <row r="37" spans="4:30" ht="16.5" customHeight="1" x14ac:dyDescent="0.15">
      <c r="D37" s="120"/>
      <c r="E37" s="111"/>
      <c r="F37" s="126"/>
      <c r="G37" s="117"/>
      <c r="H37" s="114"/>
      <c r="I37" s="145"/>
      <c r="J37" s="114"/>
      <c r="K37" s="145"/>
      <c r="L37" s="132"/>
      <c r="M37" s="132"/>
      <c r="N37" s="108"/>
      <c r="O37" s="123"/>
      <c r="P37" s="124"/>
    </row>
    <row r="38" spans="4:30" ht="16.5" customHeight="1" x14ac:dyDescent="0.15">
      <c r="D38" s="120"/>
      <c r="E38" s="111"/>
      <c r="F38" s="126"/>
      <c r="G38" s="117"/>
      <c r="H38" s="114">
        <f t="shared" si="16"/>
        <v>1.3</v>
      </c>
      <c r="I38" s="145"/>
      <c r="J38" s="114">
        <f t="shared" si="16"/>
        <v>1.3</v>
      </c>
      <c r="K38" s="145"/>
      <c r="L38" s="131">
        <f>+L36+1</f>
        <v>111</v>
      </c>
      <c r="M38" s="131">
        <f>+M36+1</f>
        <v>161</v>
      </c>
      <c r="N38" s="107">
        <f>+G27*J38</f>
        <v>17828.2</v>
      </c>
      <c r="O38" s="150">
        <f>+E4*N38</f>
        <v>72811.624790748421</v>
      </c>
      <c r="P38" s="149">
        <f>+E7*O38</f>
        <v>218434.87437224528</v>
      </c>
    </row>
    <row r="39" spans="4:30" ht="16.5" customHeight="1" x14ac:dyDescent="0.15">
      <c r="D39" s="120"/>
      <c r="E39" s="111"/>
      <c r="F39" s="126"/>
      <c r="G39" s="117"/>
      <c r="H39" s="114"/>
      <c r="I39" s="145"/>
      <c r="J39" s="114"/>
      <c r="K39" s="145"/>
      <c r="L39" s="132"/>
      <c r="M39" s="132"/>
      <c r="N39" s="108"/>
      <c r="O39" s="123"/>
      <c r="P39" s="124"/>
    </row>
    <row r="40" spans="4:30" ht="16.5" customHeight="1" x14ac:dyDescent="0.15">
      <c r="D40" s="121"/>
      <c r="E40" s="110"/>
      <c r="F40" s="127"/>
      <c r="G40" s="118"/>
      <c r="H40" s="114">
        <f t="shared" si="16"/>
        <v>1.3</v>
      </c>
      <c r="I40" s="20">
        <f>+E27-I27-H28-H30-H32-H34-H36-H38</f>
        <v>0.8500000000000012</v>
      </c>
      <c r="J40" s="114">
        <f t="shared" si="16"/>
        <v>1.3</v>
      </c>
      <c r="K40" s="20">
        <f t="shared" ref="K40:K41" si="23">+I40</f>
        <v>0.8500000000000012</v>
      </c>
      <c r="L40" s="131">
        <f t="shared" ref="L40:M40" si="24">+L38+1</f>
        <v>112</v>
      </c>
      <c r="M40" s="131">
        <f t="shared" si="24"/>
        <v>162</v>
      </c>
      <c r="N40" s="107">
        <f>+G27*K40+G41*K41</f>
        <v>14621.500000000007</v>
      </c>
      <c r="O40" s="150">
        <f>+E4*N40</f>
        <v>59715.23607980214</v>
      </c>
      <c r="P40" s="149">
        <f>+E7*O40</f>
        <v>179145.70823940641</v>
      </c>
    </row>
    <row r="41" spans="4:30" ht="16.5" customHeight="1" x14ac:dyDescent="0.15">
      <c r="D41" s="112" t="s">
        <v>15</v>
      </c>
      <c r="E41" s="138">
        <v>12.6</v>
      </c>
      <c r="F41" s="113">
        <f>+E41-E3</f>
        <v>11.299999999999999</v>
      </c>
      <c r="G41" s="139">
        <v>6588</v>
      </c>
      <c r="H41" s="114"/>
      <c r="I41" s="20">
        <f>+H42-I40</f>
        <v>0.44999999999999885</v>
      </c>
      <c r="J41" s="114"/>
      <c r="K41" s="20">
        <f t="shared" si="23"/>
        <v>0.44999999999999885</v>
      </c>
      <c r="L41" s="132"/>
      <c r="M41" s="132"/>
      <c r="N41" s="108"/>
      <c r="O41" s="123"/>
      <c r="P41" s="124"/>
    </row>
    <row r="42" spans="4:30" ht="16.5" customHeight="1" x14ac:dyDescent="0.15">
      <c r="D42" s="112"/>
      <c r="E42" s="138"/>
      <c r="F42" s="113"/>
      <c r="G42" s="139"/>
      <c r="H42" s="114">
        <f t="shared" ref="H42:J56" si="25">+H40</f>
        <v>1.3</v>
      </c>
      <c r="I42" s="156"/>
      <c r="J42" s="114">
        <f t="shared" si="25"/>
        <v>1.3</v>
      </c>
      <c r="K42" s="156"/>
      <c r="L42" s="131">
        <f t="shared" ref="L42:M42" si="26">+L40+1</f>
        <v>113</v>
      </c>
      <c r="M42" s="131">
        <f t="shared" si="26"/>
        <v>163</v>
      </c>
      <c r="N42" s="107">
        <f>+G41*J42</f>
        <v>8564.4</v>
      </c>
      <c r="O42" s="150">
        <f>+E4*N42</f>
        <v>34977.612959125749</v>
      </c>
      <c r="P42" s="149">
        <f>+E7*O42</f>
        <v>104932.83887737725</v>
      </c>
    </row>
    <row r="43" spans="4:30" ht="16.5" customHeight="1" x14ac:dyDescent="0.15">
      <c r="D43" s="112"/>
      <c r="E43" s="138"/>
      <c r="F43" s="113"/>
      <c r="G43" s="139"/>
      <c r="H43" s="114"/>
      <c r="I43" s="157"/>
      <c r="J43" s="114"/>
      <c r="K43" s="157"/>
      <c r="L43" s="132"/>
      <c r="M43" s="132"/>
      <c r="N43" s="108"/>
      <c r="O43" s="123"/>
      <c r="P43" s="124"/>
    </row>
    <row r="44" spans="4:30" ht="16.5" customHeight="1" x14ac:dyDescent="0.15">
      <c r="D44" s="112"/>
      <c r="E44" s="138"/>
      <c r="F44" s="113"/>
      <c r="G44" s="139"/>
      <c r="H44" s="114">
        <f t="shared" si="25"/>
        <v>1.3</v>
      </c>
      <c r="I44" s="114"/>
      <c r="J44" s="114">
        <f t="shared" si="25"/>
        <v>1.3</v>
      </c>
      <c r="K44" s="114"/>
      <c r="L44" s="131">
        <f t="shared" ref="L44:M44" si="27">+L42+1</f>
        <v>114</v>
      </c>
      <c r="M44" s="131">
        <f t="shared" si="27"/>
        <v>164</v>
      </c>
      <c r="N44" s="107">
        <f>+G41*J44</f>
        <v>8564.4</v>
      </c>
      <c r="O44" s="150">
        <f>+E4*N44</f>
        <v>34977.612959125749</v>
      </c>
      <c r="P44" s="149">
        <f>+E7*O44</f>
        <v>104932.83887737725</v>
      </c>
    </row>
    <row r="45" spans="4:30" ht="16.5" customHeight="1" x14ac:dyDescent="0.15">
      <c r="D45" s="112"/>
      <c r="E45" s="138"/>
      <c r="F45" s="113"/>
      <c r="G45" s="139"/>
      <c r="H45" s="114"/>
      <c r="I45" s="114"/>
      <c r="J45" s="114"/>
      <c r="K45" s="114"/>
      <c r="L45" s="132"/>
      <c r="M45" s="132"/>
      <c r="N45" s="108"/>
      <c r="O45" s="123"/>
      <c r="P45" s="124"/>
    </row>
    <row r="46" spans="4:30" ht="16.5" customHeight="1" x14ac:dyDescent="0.15">
      <c r="D46" s="112"/>
      <c r="E46" s="138"/>
      <c r="F46" s="113"/>
      <c r="G46" s="139"/>
      <c r="H46" s="114">
        <f t="shared" si="25"/>
        <v>1.3</v>
      </c>
      <c r="I46" s="114"/>
      <c r="J46" s="114">
        <f t="shared" si="25"/>
        <v>1.3</v>
      </c>
      <c r="K46" s="114"/>
      <c r="L46" s="131">
        <f t="shared" ref="L46:M46" si="28">+L44+1</f>
        <v>115</v>
      </c>
      <c r="M46" s="131">
        <f t="shared" si="28"/>
        <v>165</v>
      </c>
      <c r="N46" s="107">
        <f>+G41*J46</f>
        <v>8564.4</v>
      </c>
      <c r="O46" s="150">
        <f>+E4*N46</f>
        <v>34977.612959125749</v>
      </c>
      <c r="P46" s="149">
        <f>+E7*O46</f>
        <v>104932.83887737725</v>
      </c>
    </row>
    <row r="47" spans="4:30" ht="16.5" customHeight="1" x14ac:dyDescent="0.15">
      <c r="D47" s="112"/>
      <c r="E47" s="138"/>
      <c r="F47" s="113"/>
      <c r="G47" s="139"/>
      <c r="H47" s="114"/>
      <c r="I47" s="114"/>
      <c r="J47" s="114"/>
      <c r="K47" s="114"/>
      <c r="L47" s="132"/>
      <c r="M47" s="132"/>
      <c r="N47" s="108"/>
      <c r="O47" s="123"/>
      <c r="P47" s="124"/>
    </row>
    <row r="48" spans="4:30" ht="16.5" customHeight="1" x14ac:dyDescent="0.15">
      <c r="D48" s="112"/>
      <c r="E48" s="138"/>
      <c r="F48" s="113"/>
      <c r="G48" s="139"/>
      <c r="H48" s="114">
        <f t="shared" si="25"/>
        <v>1.3</v>
      </c>
      <c r="I48" s="114"/>
      <c r="J48" s="114">
        <f t="shared" si="25"/>
        <v>1.3</v>
      </c>
      <c r="K48" s="114"/>
      <c r="L48" s="131">
        <f t="shared" ref="L48:M48" si="29">+L46+1</f>
        <v>116</v>
      </c>
      <c r="M48" s="131">
        <f t="shared" si="29"/>
        <v>166</v>
      </c>
      <c r="N48" s="107">
        <f>+G41*J48</f>
        <v>8564.4</v>
      </c>
      <c r="O48" s="150">
        <f>+E4*N48</f>
        <v>34977.612959125749</v>
      </c>
      <c r="P48" s="149">
        <f>+E7*O48</f>
        <v>104932.83887737725</v>
      </c>
    </row>
    <row r="49" spans="4:16" ht="16.5" customHeight="1" x14ac:dyDescent="0.15">
      <c r="D49" s="112"/>
      <c r="E49" s="138"/>
      <c r="F49" s="113"/>
      <c r="G49" s="139"/>
      <c r="H49" s="114"/>
      <c r="I49" s="114"/>
      <c r="J49" s="114"/>
      <c r="K49" s="114"/>
      <c r="L49" s="132"/>
      <c r="M49" s="132"/>
      <c r="N49" s="108"/>
      <c r="O49" s="123"/>
      <c r="P49" s="124"/>
    </row>
    <row r="50" spans="4:16" ht="16.5" customHeight="1" x14ac:dyDescent="0.15">
      <c r="D50" s="112"/>
      <c r="E50" s="138"/>
      <c r="F50" s="113"/>
      <c r="G50" s="139"/>
      <c r="H50" s="114">
        <f t="shared" si="25"/>
        <v>1.3</v>
      </c>
      <c r="I50" s="114"/>
      <c r="J50" s="114">
        <f t="shared" si="25"/>
        <v>1.3</v>
      </c>
      <c r="K50" s="114"/>
      <c r="L50" s="131">
        <f>+L48+1</f>
        <v>117</v>
      </c>
      <c r="M50" s="131">
        <f>+M48+1</f>
        <v>167</v>
      </c>
      <c r="N50" s="107">
        <f>+G41*J50</f>
        <v>8564.4</v>
      </c>
      <c r="O50" s="150">
        <f>+E4*N50</f>
        <v>34977.612959125749</v>
      </c>
      <c r="P50" s="149">
        <f>+E7*O50</f>
        <v>104932.83887737725</v>
      </c>
    </row>
    <row r="51" spans="4:16" ht="16.5" customHeight="1" x14ac:dyDescent="0.15">
      <c r="D51" s="112"/>
      <c r="E51" s="138"/>
      <c r="F51" s="113"/>
      <c r="G51" s="139"/>
      <c r="H51" s="114"/>
      <c r="I51" s="114"/>
      <c r="J51" s="114"/>
      <c r="K51" s="114"/>
      <c r="L51" s="132"/>
      <c r="M51" s="132"/>
      <c r="N51" s="108"/>
      <c r="O51" s="123"/>
      <c r="P51" s="124"/>
    </row>
    <row r="52" spans="4:16" ht="16.5" customHeight="1" x14ac:dyDescent="0.15">
      <c r="D52" s="112"/>
      <c r="E52" s="138"/>
      <c r="F52" s="113"/>
      <c r="G52" s="139"/>
      <c r="H52" s="114">
        <f t="shared" si="25"/>
        <v>1.3</v>
      </c>
      <c r="I52" s="114"/>
      <c r="J52" s="114">
        <f t="shared" si="25"/>
        <v>1.3</v>
      </c>
      <c r="K52" s="114"/>
      <c r="L52" s="131">
        <f t="shared" ref="L52:M52" si="30">+L50+1</f>
        <v>118</v>
      </c>
      <c r="M52" s="131">
        <f t="shared" si="30"/>
        <v>168</v>
      </c>
      <c r="N52" s="107">
        <f>+G41*J52</f>
        <v>8564.4</v>
      </c>
      <c r="O52" s="150">
        <f>+E4*N52</f>
        <v>34977.612959125749</v>
      </c>
      <c r="P52" s="149">
        <f>+E7*O52</f>
        <v>104932.83887737725</v>
      </c>
    </row>
    <row r="53" spans="4:16" ht="16.5" customHeight="1" x14ac:dyDescent="0.15">
      <c r="D53" s="112"/>
      <c r="E53" s="138"/>
      <c r="F53" s="113"/>
      <c r="G53" s="139"/>
      <c r="H53" s="114"/>
      <c r="I53" s="114"/>
      <c r="J53" s="114"/>
      <c r="K53" s="114"/>
      <c r="L53" s="132"/>
      <c r="M53" s="132"/>
      <c r="N53" s="108"/>
      <c r="O53" s="123"/>
      <c r="P53" s="124"/>
    </row>
    <row r="54" spans="4:16" ht="16.5" customHeight="1" x14ac:dyDescent="0.15">
      <c r="D54" s="112"/>
      <c r="E54" s="138"/>
      <c r="F54" s="113"/>
      <c r="G54" s="139"/>
      <c r="H54" s="114">
        <f t="shared" si="25"/>
        <v>1.3</v>
      </c>
      <c r="I54" s="114"/>
      <c r="J54" s="114">
        <f t="shared" si="25"/>
        <v>1.3</v>
      </c>
      <c r="K54" s="114"/>
      <c r="L54" s="131">
        <f t="shared" ref="L54:M54" si="31">+L52+1</f>
        <v>119</v>
      </c>
      <c r="M54" s="131">
        <f t="shared" si="31"/>
        <v>169</v>
      </c>
      <c r="N54" s="107">
        <f>+G41*J54</f>
        <v>8564.4</v>
      </c>
      <c r="O54" s="150">
        <f>+E4*N54</f>
        <v>34977.612959125749</v>
      </c>
      <c r="P54" s="149">
        <f>+E7*O54</f>
        <v>104932.83887737725</v>
      </c>
    </row>
    <row r="55" spans="4:16" ht="16.5" customHeight="1" x14ac:dyDescent="0.15">
      <c r="D55" s="112"/>
      <c r="E55" s="138"/>
      <c r="F55" s="113"/>
      <c r="G55" s="139"/>
      <c r="H55" s="114"/>
      <c r="I55" s="114"/>
      <c r="J55" s="114"/>
      <c r="K55" s="114"/>
      <c r="L55" s="132"/>
      <c r="M55" s="132"/>
      <c r="N55" s="108"/>
      <c r="O55" s="123"/>
      <c r="P55" s="124"/>
    </row>
    <row r="56" spans="4:16" ht="16.5" customHeight="1" x14ac:dyDescent="0.15">
      <c r="D56" s="112"/>
      <c r="E56" s="138"/>
      <c r="F56" s="113"/>
      <c r="G56" s="139"/>
      <c r="H56" s="114">
        <f t="shared" si="25"/>
        <v>1.3</v>
      </c>
      <c r="I56" s="114"/>
      <c r="J56" s="114">
        <f t="shared" si="25"/>
        <v>1.3</v>
      </c>
      <c r="K56" s="114"/>
      <c r="L56" s="131">
        <f t="shared" ref="L56:M56" si="32">+L54+1</f>
        <v>120</v>
      </c>
      <c r="M56" s="131">
        <f t="shared" si="32"/>
        <v>170</v>
      </c>
      <c r="N56" s="107">
        <f>+G41*J56</f>
        <v>8564.4</v>
      </c>
      <c r="O56" s="150">
        <f>+E4*N56</f>
        <v>34977.612959125749</v>
      </c>
      <c r="P56" s="149">
        <f>+E7*O56</f>
        <v>104932.83887737725</v>
      </c>
    </row>
    <row r="57" spans="4:16" ht="16.5" customHeight="1" x14ac:dyDescent="0.15">
      <c r="D57" s="112"/>
      <c r="E57" s="138"/>
      <c r="F57" s="113"/>
      <c r="G57" s="139"/>
      <c r="H57" s="114"/>
      <c r="I57" s="114"/>
      <c r="J57" s="114"/>
      <c r="K57" s="114"/>
      <c r="L57" s="132"/>
      <c r="M57" s="132"/>
      <c r="N57" s="108"/>
      <c r="O57" s="123"/>
      <c r="P57" s="124"/>
    </row>
    <row r="58" spans="4:16" ht="16.5" customHeight="1" x14ac:dyDescent="0.15">
      <c r="D58" s="112"/>
      <c r="E58" s="138"/>
      <c r="F58" s="113"/>
      <c r="G58" s="139"/>
      <c r="H58" s="147">
        <v>1.2</v>
      </c>
      <c r="I58" s="114"/>
      <c r="J58" s="114">
        <f>+F41-K41-J42-J44-J46-J48-J50-J52-J54-J56</f>
        <v>0.44999999999999885</v>
      </c>
      <c r="K58" s="114"/>
      <c r="L58" s="131">
        <f t="shared" ref="L58:M58" si="33">+L56+1</f>
        <v>121</v>
      </c>
      <c r="M58" s="131">
        <f t="shared" si="33"/>
        <v>171</v>
      </c>
      <c r="N58" s="107">
        <f>+G41*J58</f>
        <v>2964.5999999999922</v>
      </c>
      <c r="O58" s="150">
        <f>+E4*N58</f>
        <v>12107.635255081959</v>
      </c>
      <c r="P58" s="149">
        <f>+E7*O58</f>
        <v>36322.90576524588</v>
      </c>
    </row>
    <row r="59" spans="4:16" ht="16.5" customHeight="1" x14ac:dyDescent="0.15">
      <c r="D59" s="112"/>
      <c r="E59" s="138"/>
      <c r="F59" s="113"/>
      <c r="G59" s="139"/>
      <c r="H59" s="147"/>
      <c r="I59" s="114"/>
      <c r="J59" s="114"/>
      <c r="K59" s="114"/>
      <c r="L59" s="132"/>
      <c r="M59" s="132"/>
      <c r="N59" s="108"/>
      <c r="O59" s="123"/>
      <c r="P59" s="124"/>
    </row>
    <row r="60" spans="4:16" ht="16.5" customHeight="1" x14ac:dyDescent="0.15">
      <c r="D60" s="112"/>
      <c r="E60" s="138"/>
      <c r="F60" s="113"/>
      <c r="G60" s="139"/>
      <c r="H60" s="20">
        <f>+E41-I41-H42-H44-H46-H48-H50-H52-H54-H56-H58</f>
        <v>0.54999999999999893</v>
      </c>
      <c r="I60" s="26"/>
      <c r="J60" s="37" t="s">
        <v>8</v>
      </c>
      <c r="K60" s="26"/>
      <c r="L60" s="10">
        <f>+L58+1</f>
        <v>122</v>
      </c>
      <c r="M60" s="10">
        <f>+M58+1</f>
        <v>172</v>
      </c>
      <c r="N60" s="33" t="s">
        <v>8</v>
      </c>
      <c r="O60" s="33" t="s">
        <v>8</v>
      </c>
      <c r="P60" s="33" t="s">
        <v>8</v>
      </c>
    </row>
    <row r="61" spans="4:16" ht="16.5" customHeight="1" x14ac:dyDescent="0.15">
      <c r="D61" s="27" t="s">
        <v>28</v>
      </c>
      <c r="E61" s="20">
        <f>SUM(E13:E60)</f>
        <v>31</v>
      </c>
      <c r="F61" s="20">
        <f>SUM(F13:F60)</f>
        <v>24.754999999999995</v>
      </c>
      <c r="G61" s="26"/>
      <c r="H61" s="20">
        <f>SUM(H12:H60)</f>
        <v>31.000000000000007</v>
      </c>
      <c r="I61" s="26"/>
      <c r="J61" s="20">
        <f>SUM(J18:J59)</f>
        <v>25.150000000000006</v>
      </c>
      <c r="K61" s="67"/>
      <c r="L61" s="68"/>
      <c r="M61" s="68"/>
      <c r="N61" s="68"/>
      <c r="O61" s="68"/>
      <c r="P61" s="69"/>
    </row>
    <row r="65" spans="3:30" ht="16.5" customHeight="1" x14ac:dyDescent="0.15">
      <c r="C65" s="5" t="s">
        <v>23</v>
      </c>
      <c r="D65" s="4" t="s">
        <v>24</v>
      </c>
    </row>
    <row r="66" spans="3:30" ht="16.5" customHeight="1" x14ac:dyDescent="0.15">
      <c r="D66" s="4" t="s">
        <v>12</v>
      </c>
      <c r="E66" s="12">
        <f>+E3</f>
        <v>1.3</v>
      </c>
      <c r="F66" s="4" t="s">
        <v>4</v>
      </c>
    </row>
    <row r="67" spans="3:30" ht="16.5" customHeight="1" x14ac:dyDescent="0.15">
      <c r="D67" s="4" t="s">
        <v>80</v>
      </c>
      <c r="E67" s="12">
        <f>+PI()*E66</f>
        <v>4.0840704496667311</v>
      </c>
      <c r="F67" s="4" t="s">
        <v>4</v>
      </c>
    </row>
    <row r="68" spans="3:30" ht="16.5" customHeight="1" x14ac:dyDescent="0.15">
      <c r="D68" s="4" t="s">
        <v>17</v>
      </c>
      <c r="E68" s="12">
        <f>+E5</f>
        <v>31</v>
      </c>
      <c r="F68" s="4" t="s">
        <v>4</v>
      </c>
    </row>
    <row r="69" spans="3:30" ht="16.5" customHeight="1" x14ac:dyDescent="0.15">
      <c r="D69" s="4" t="s">
        <v>27</v>
      </c>
      <c r="E69" s="12">
        <f>+E6</f>
        <v>4.9450000000000003</v>
      </c>
      <c r="F69" s="4" t="s">
        <v>4</v>
      </c>
    </row>
    <row r="70" spans="3:30" ht="16.5" customHeight="1" x14ac:dyDescent="0.15">
      <c r="D70" s="4" t="s">
        <v>10</v>
      </c>
      <c r="E70" s="18">
        <v>2</v>
      </c>
      <c r="F70" s="4" t="s">
        <v>16</v>
      </c>
    </row>
    <row r="71" spans="3:30" ht="16.5" customHeight="1" x14ac:dyDescent="0.15">
      <c r="D71" s="96" t="s">
        <v>9</v>
      </c>
      <c r="E71" s="101" t="s">
        <v>29</v>
      </c>
      <c r="F71" s="101" t="s">
        <v>30</v>
      </c>
      <c r="G71" s="104" t="s">
        <v>33</v>
      </c>
      <c r="H71" s="89" t="s">
        <v>31</v>
      </c>
      <c r="I71" s="90"/>
      <c r="J71" s="89" t="s">
        <v>32</v>
      </c>
      <c r="K71" s="90"/>
      <c r="L71" s="81" t="s">
        <v>26</v>
      </c>
      <c r="M71" s="83"/>
      <c r="N71" s="101" t="s">
        <v>34</v>
      </c>
      <c r="O71" s="89" t="s">
        <v>35</v>
      </c>
      <c r="P71" s="90"/>
      <c r="S71" s="72" t="s">
        <v>26</v>
      </c>
      <c r="T71" s="72" t="s">
        <v>97</v>
      </c>
      <c r="U71" s="96" t="s">
        <v>102</v>
      </c>
      <c r="V71" s="96"/>
      <c r="W71" s="96"/>
      <c r="X71" s="96" t="s">
        <v>103</v>
      </c>
      <c r="Y71" s="96"/>
      <c r="Z71" s="96"/>
      <c r="AA71" s="9" t="s">
        <v>104</v>
      </c>
      <c r="AB71" s="9" t="s">
        <v>102</v>
      </c>
      <c r="AC71" s="9" t="s">
        <v>103</v>
      </c>
      <c r="AD71" s="9" t="s">
        <v>104</v>
      </c>
    </row>
    <row r="72" spans="3:30" ht="16.5" customHeight="1" x14ac:dyDescent="0.15">
      <c r="D72" s="96"/>
      <c r="E72" s="102"/>
      <c r="F72" s="102"/>
      <c r="G72" s="105"/>
      <c r="H72" s="91"/>
      <c r="I72" s="92"/>
      <c r="J72" s="91"/>
      <c r="K72" s="92"/>
      <c r="L72" s="84"/>
      <c r="M72" s="85"/>
      <c r="N72" s="102"/>
      <c r="O72" s="91"/>
      <c r="P72" s="92"/>
      <c r="S72" s="72"/>
      <c r="T72" s="72"/>
      <c r="U72" s="32" t="s">
        <v>96</v>
      </c>
      <c r="V72" s="96" t="s">
        <v>99</v>
      </c>
      <c r="W72" s="96"/>
      <c r="X72" s="32" t="s">
        <v>96</v>
      </c>
      <c r="Y72" s="96" t="s">
        <v>99</v>
      </c>
      <c r="Z72" s="96"/>
      <c r="AA72" s="32" t="s">
        <v>96</v>
      </c>
      <c r="AB72" s="32" t="s">
        <v>96</v>
      </c>
      <c r="AC72" s="32" t="s">
        <v>96</v>
      </c>
      <c r="AD72" s="32" t="s">
        <v>96</v>
      </c>
    </row>
    <row r="73" spans="3:30" ht="16.5" customHeight="1" x14ac:dyDescent="0.15">
      <c r="D73" s="96"/>
      <c r="E73" s="102"/>
      <c r="F73" s="102"/>
      <c r="G73" s="105"/>
      <c r="H73" s="91"/>
      <c r="I73" s="92"/>
      <c r="J73" s="91"/>
      <c r="K73" s="92"/>
      <c r="L73" s="84"/>
      <c r="M73" s="85"/>
      <c r="N73" s="102"/>
      <c r="O73" s="91"/>
      <c r="P73" s="92"/>
      <c r="S73" s="72"/>
      <c r="T73" s="72"/>
      <c r="U73" s="62" t="s">
        <v>100</v>
      </c>
      <c r="V73" s="62" t="s">
        <v>100</v>
      </c>
      <c r="W73" s="62" t="s">
        <v>101</v>
      </c>
      <c r="X73" s="62" t="s">
        <v>100</v>
      </c>
      <c r="Y73" s="62" t="s">
        <v>100</v>
      </c>
      <c r="Z73" s="62" t="s">
        <v>101</v>
      </c>
      <c r="AA73" s="62" t="s">
        <v>100</v>
      </c>
      <c r="AB73" s="62" t="s">
        <v>101</v>
      </c>
      <c r="AC73" s="62" t="s">
        <v>101</v>
      </c>
      <c r="AD73" s="62" t="s">
        <v>101</v>
      </c>
    </row>
    <row r="74" spans="3:30" ht="16.5" customHeight="1" x14ac:dyDescent="0.15">
      <c r="D74" s="96"/>
      <c r="E74" s="102"/>
      <c r="F74" s="102"/>
      <c r="G74" s="105"/>
      <c r="H74" s="91"/>
      <c r="I74" s="92"/>
      <c r="J74" s="91"/>
      <c r="K74" s="92"/>
      <c r="L74" s="84"/>
      <c r="M74" s="85"/>
      <c r="N74" s="102"/>
      <c r="O74" s="93"/>
      <c r="P74" s="94"/>
      <c r="S74" s="10">
        <f>+L76</f>
        <v>123</v>
      </c>
      <c r="T74" s="10"/>
      <c r="U74" s="56"/>
      <c r="V74" s="63"/>
      <c r="W74" s="63"/>
      <c r="X74" s="56"/>
      <c r="Y74" s="63"/>
      <c r="Z74" s="63"/>
      <c r="AA74" s="63"/>
      <c r="AB74" s="63"/>
      <c r="AC74" s="63"/>
      <c r="AD74" s="63"/>
    </row>
    <row r="75" spans="3:30" ht="16.5" customHeight="1" x14ac:dyDescent="0.15">
      <c r="D75" s="96"/>
      <c r="E75" s="103"/>
      <c r="F75" s="103"/>
      <c r="G75" s="106"/>
      <c r="H75" s="93"/>
      <c r="I75" s="94"/>
      <c r="J75" s="93"/>
      <c r="K75" s="94"/>
      <c r="L75" s="87"/>
      <c r="M75" s="88"/>
      <c r="N75" s="103"/>
      <c r="O75" s="13" t="s">
        <v>18</v>
      </c>
      <c r="P75" s="34">
        <f>+E70</f>
        <v>2</v>
      </c>
      <c r="S75" s="10">
        <f>+S74+1</f>
        <v>124</v>
      </c>
      <c r="T75" s="10"/>
      <c r="U75" s="56"/>
      <c r="V75" s="63"/>
      <c r="W75" s="63"/>
      <c r="X75" s="56"/>
      <c r="Y75" s="63"/>
      <c r="Z75" s="63"/>
      <c r="AA75" s="63"/>
      <c r="AB75" s="63"/>
      <c r="AC75" s="63"/>
      <c r="AD75" s="63"/>
    </row>
    <row r="76" spans="3:30" ht="16.5" customHeight="1" x14ac:dyDescent="0.15">
      <c r="D76" s="119" t="s">
        <v>0</v>
      </c>
      <c r="E76" s="158">
        <f>+E13</f>
        <v>1.5</v>
      </c>
      <c r="F76" s="160" t="s">
        <v>8</v>
      </c>
      <c r="G76" s="162">
        <f>+G13</f>
        <v>2000</v>
      </c>
      <c r="H76" s="36">
        <f>+E66/2</f>
        <v>0.65</v>
      </c>
      <c r="I76" s="20"/>
      <c r="J76" s="37" t="s">
        <v>8</v>
      </c>
      <c r="K76" s="37" t="s">
        <v>8</v>
      </c>
      <c r="L76" s="38">
        <v>123</v>
      </c>
      <c r="M76" s="17"/>
      <c r="N76" s="33" t="s">
        <v>8</v>
      </c>
      <c r="O76" s="33" t="s">
        <v>8</v>
      </c>
      <c r="P76" s="33" t="s">
        <v>8</v>
      </c>
      <c r="S76" s="10">
        <f t="shared" ref="S76:S98" si="34">+S75+1</f>
        <v>125</v>
      </c>
      <c r="T76" s="10"/>
      <c r="U76" s="56"/>
      <c r="V76" s="63"/>
      <c r="W76" s="63"/>
      <c r="X76" s="56"/>
      <c r="Y76" s="63"/>
      <c r="Z76" s="63"/>
      <c r="AA76" s="63"/>
      <c r="AB76" s="63"/>
      <c r="AC76" s="63"/>
      <c r="AD76" s="63"/>
    </row>
    <row r="77" spans="3:30" ht="16.5" customHeight="1" x14ac:dyDescent="0.15">
      <c r="D77" s="121"/>
      <c r="E77" s="159"/>
      <c r="F77" s="161"/>
      <c r="G77" s="163"/>
      <c r="H77" s="114">
        <f>+E66</f>
        <v>1.3</v>
      </c>
      <c r="I77" s="20">
        <f>+E76-H76</f>
        <v>0.85</v>
      </c>
      <c r="J77" s="146" t="s">
        <v>8</v>
      </c>
      <c r="K77" s="37" t="s">
        <v>8</v>
      </c>
      <c r="L77" s="131">
        <f>+L76+1</f>
        <v>124</v>
      </c>
      <c r="M77" s="131"/>
      <c r="N77" s="154" t="s">
        <v>8</v>
      </c>
      <c r="O77" s="154" t="s">
        <v>8</v>
      </c>
      <c r="P77" s="154" t="s">
        <v>8</v>
      </c>
      <c r="S77" s="10">
        <f t="shared" si="34"/>
        <v>126</v>
      </c>
      <c r="T77" s="10"/>
      <c r="U77" s="56"/>
      <c r="V77" s="63"/>
      <c r="W77" s="63"/>
      <c r="X77" s="56"/>
      <c r="Y77" s="63"/>
      <c r="Z77" s="63"/>
      <c r="AA77" s="63"/>
      <c r="AB77" s="63"/>
      <c r="AC77" s="63"/>
      <c r="AD77" s="63"/>
    </row>
    <row r="78" spans="3:30" ht="16.5" customHeight="1" x14ac:dyDescent="0.15">
      <c r="D78" s="112" t="s">
        <v>1</v>
      </c>
      <c r="E78" s="155">
        <f>+E15</f>
        <v>1.3</v>
      </c>
      <c r="F78" s="151" t="s">
        <v>8</v>
      </c>
      <c r="G78" s="153">
        <f>+G15</f>
        <v>10571</v>
      </c>
      <c r="H78" s="114"/>
      <c r="I78" s="20">
        <f>+H77-I77</f>
        <v>0.45000000000000007</v>
      </c>
      <c r="J78" s="144"/>
      <c r="K78" s="37" t="s">
        <v>8</v>
      </c>
      <c r="L78" s="132"/>
      <c r="M78" s="132"/>
      <c r="N78" s="99"/>
      <c r="O78" s="99"/>
      <c r="P78" s="99"/>
      <c r="S78" s="10">
        <f t="shared" si="34"/>
        <v>127</v>
      </c>
      <c r="T78" s="10" t="s">
        <v>98</v>
      </c>
      <c r="U78" s="56">
        <f>+P83</f>
        <v>34420.749953313687</v>
      </c>
      <c r="V78" s="58">
        <f>+'周面支持力(4P右)'!P83</f>
        <v>240.96015653033726</v>
      </c>
      <c r="W78" s="58">
        <f>+V78</f>
        <v>240.96015653033726</v>
      </c>
      <c r="X78" s="56">
        <f>+U78</f>
        <v>34420.749953313687</v>
      </c>
      <c r="Y78" s="58">
        <f>+V78</f>
        <v>240.96015653033726</v>
      </c>
      <c r="Z78" s="58">
        <f>+Y78</f>
        <v>240.96015653033726</v>
      </c>
      <c r="AA78" s="56">
        <f>+X78</f>
        <v>34420.749953313687</v>
      </c>
      <c r="AB78" s="56">
        <f>+AA78</f>
        <v>34420.749953313687</v>
      </c>
      <c r="AC78" s="56">
        <f t="shared" ref="AC78:AD78" si="35">+AB78</f>
        <v>34420.749953313687</v>
      </c>
      <c r="AD78" s="56">
        <f t="shared" si="35"/>
        <v>34420.749953313687</v>
      </c>
    </row>
    <row r="79" spans="3:30" ht="16.5" customHeight="1" x14ac:dyDescent="0.15">
      <c r="D79" s="112"/>
      <c r="E79" s="113"/>
      <c r="F79" s="152"/>
      <c r="G79" s="122"/>
      <c r="H79" s="114">
        <f>+H77</f>
        <v>1.3</v>
      </c>
      <c r="I79" s="20">
        <f>+E78-I78</f>
        <v>0.85</v>
      </c>
      <c r="J79" s="146" t="s">
        <v>8</v>
      </c>
      <c r="K79" s="37" t="s">
        <v>8</v>
      </c>
      <c r="L79" s="131">
        <f>+L77+1</f>
        <v>125</v>
      </c>
      <c r="M79" s="131"/>
      <c r="N79" s="154" t="s">
        <v>8</v>
      </c>
      <c r="O79" s="154" t="s">
        <v>8</v>
      </c>
      <c r="P79" s="154" t="s">
        <v>8</v>
      </c>
      <c r="S79" s="10">
        <f t="shared" si="34"/>
        <v>128</v>
      </c>
      <c r="T79" s="10" t="s">
        <v>98</v>
      </c>
      <c r="U79" s="56">
        <f>+P85</f>
        <v>97085.705915387589</v>
      </c>
      <c r="V79" s="58">
        <f>+'周面支持力(4P右)'!P85</f>
        <v>1019.3839842368162</v>
      </c>
      <c r="W79" s="58">
        <f t="shared" ref="W79:W97" si="36">+V79</f>
        <v>1019.3839842368162</v>
      </c>
      <c r="X79" s="56">
        <f t="shared" ref="X79:X97" si="37">+U79</f>
        <v>97085.705915387589</v>
      </c>
      <c r="Y79" s="58">
        <f t="shared" ref="Y79:Y97" si="38">+V79</f>
        <v>1019.3839842368162</v>
      </c>
      <c r="Z79" s="58">
        <f t="shared" ref="Z79:Z97" si="39">+Y79</f>
        <v>1019.3839842368162</v>
      </c>
      <c r="AA79" s="56">
        <f t="shared" ref="AA79:AA97" si="40">+X79</f>
        <v>97085.705915387589</v>
      </c>
      <c r="AB79" s="56">
        <f t="shared" ref="AB79:AD79" si="41">+AA79</f>
        <v>97085.705915387589</v>
      </c>
      <c r="AC79" s="56">
        <f t="shared" si="41"/>
        <v>97085.705915387589</v>
      </c>
      <c r="AD79" s="56">
        <f t="shared" si="41"/>
        <v>97085.705915387589</v>
      </c>
    </row>
    <row r="80" spans="3:30" ht="16.5" customHeight="1" x14ac:dyDescent="0.15">
      <c r="D80" s="112" t="s">
        <v>2</v>
      </c>
      <c r="E80" s="113">
        <f>+E17</f>
        <v>2.9</v>
      </c>
      <c r="F80" s="113">
        <f>+E76+E78+E80-E69</f>
        <v>0.75499999999999901</v>
      </c>
      <c r="G80" s="122">
        <f>+G17</f>
        <v>3765</v>
      </c>
      <c r="H80" s="114"/>
      <c r="I80" s="20">
        <f>+H79-I79</f>
        <v>0.45000000000000007</v>
      </c>
      <c r="J80" s="144"/>
      <c r="K80" s="37" t="s">
        <v>8</v>
      </c>
      <c r="L80" s="132"/>
      <c r="M80" s="132"/>
      <c r="N80" s="99"/>
      <c r="O80" s="99"/>
      <c r="P80" s="99"/>
      <c r="S80" s="10">
        <f t="shared" si="34"/>
        <v>129</v>
      </c>
      <c r="T80" s="10" t="s">
        <v>98</v>
      </c>
      <c r="U80" s="56">
        <f>+P87</f>
        <v>103757.03499491821</v>
      </c>
      <c r="V80" s="58">
        <f>+'周面支持力(4P右)'!P87</f>
        <v>996.83991535465577</v>
      </c>
      <c r="W80" s="58">
        <f t="shared" si="36"/>
        <v>996.83991535465577</v>
      </c>
      <c r="X80" s="56">
        <f t="shared" si="37"/>
        <v>103757.03499491821</v>
      </c>
      <c r="Y80" s="58">
        <f t="shared" si="38"/>
        <v>996.83991535465577</v>
      </c>
      <c r="Z80" s="58">
        <f t="shared" si="39"/>
        <v>996.83991535465577</v>
      </c>
      <c r="AA80" s="56">
        <f t="shared" si="40"/>
        <v>103757.03499491821</v>
      </c>
      <c r="AB80" s="56">
        <f t="shared" ref="AB80:AD80" si="42">+AA80</f>
        <v>103757.03499491821</v>
      </c>
      <c r="AC80" s="56">
        <f t="shared" si="42"/>
        <v>103757.03499491821</v>
      </c>
      <c r="AD80" s="56">
        <f t="shared" si="42"/>
        <v>103757.03499491821</v>
      </c>
    </row>
    <row r="81" spans="4:30" ht="16.5" customHeight="1" x14ac:dyDescent="0.15">
      <c r="D81" s="112"/>
      <c r="E81" s="113"/>
      <c r="F81" s="113"/>
      <c r="G81" s="122"/>
      <c r="H81" s="114">
        <f t="shared" ref="H81" si="43">+H79</f>
        <v>1.3</v>
      </c>
      <c r="I81" s="114"/>
      <c r="J81" s="146" t="s">
        <v>8</v>
      </c>
      <c r="K81" s="146"/>
      <c r="L81" s="74">
        <f t="shared" ref="L81" si="44">+L79+1</f>
        <v>126</v>
      </c>
      <c r="M81" s="131"/>
      <c r="N81" s="154" t="s">
        <v>8</v>
      </c>
      <c r="O81" s="154" t="s">
        <v>8</v>
      </c>
      <c r="P81" s="154" t="s">
        <v>8</v>
      </c>
      <c r="S81" s="10">
        <f t="shared" si="34"/>
        <v>130</v>
      </c>
      <c r="T81" s="10" t="s">
        <v>98</v>
      </c>
      <c r="U81" s="56">
        <f>+P89</f>
        <v>148835.77939720469</v>
      </c>
      <c r="V81" s="58">
        <f>+'周面支持力(4P右)'!P89</f>
        <v>1285.0119262831404</v>
      </c>
      <c r="W81" s="58">
        <f t="shared" si="36"/>
        <v>1285.0119262831404</v>
      </c>
      <c r="X81" s="56">
        <f t="shared" si="37"/>
        <v>148835.77939720469</v>
      </c>
      <c r="Y81" s="58">
        <f t="shared" si="38"/>
        <v>1285.0119262831404</v>
      </c>
      <c r="Z81" s="58">
        <f t="shared" si="39"/>
        <v>1285.0119262831404</v>
      </c>
      <c r="AA81" s="56">
        <f t="shared" si="40"/>
        <v>148835.77939720469</v>
      </c>
      <c r="AB81" s="56">
        <f t="shared" ref="AB81:AD81" si="45">+AA81</f>
        <v>148835.77939720469</v>
      </c>
      <c r="AC81" s="56">
        <f t="shared" si="45"/>
        <v>148835.77939720469</v>
      </c>
      <c r="AD81" s="56">
        <f t="shared" si="45"/>
        <v>148835.77939720469</v>
      </c>
    </row>
    <row r="82" spans="4:30" ht="16.5" customHeight="1" x14ac:dyDescent="0.15">
      <c r="D82" s="112"/>
      <c r="E82" s="113"/>
      <c r="F82" s="113"/>
      <c r="G82" s="122"/>
      <c r="H82" s="114"/>
      <c r="I82" s="114"/>
      <c r="J82" s="144"/>
      <c r="K82" s="144"/>
      <c r="L82" s="79"/>
      <c r="M82" s="132"/>
      <c r="N82" s="99"/>
      <c r="O82" s="99"/>
      <c r="P82" s="99"/>
      <c r="S82" s="10">
        <f t="shared" si="34"/>
        <v>131</v>
      </c>
      <c r="T82" s="10" t="s">
        <v>98</v>
      </c>
      <c r="U82" s="56">
        <f>+P91</f>
        <v>145623.24958149684</v>
      </c>
      <c r="V82" s="58">
        <f>+'周面支持力(4P右)'!P91</f>
        <v>1529.0759763552242</v>
      </c>
      <c r="W82" s="58">
        <f t="shared" si="36"/>
        <v>1529.0759763552242</v>
      </c>
      <c r="X82" s="56">
        <f t="shared" si="37"/>
        <v>145623.24958149684</v>
      </c>
      <c r="Y82" s="58">
        <f t="shared" si="38"/>
        <v>1529.0759763552242</v>
      </c>
      <c r="Z82" s="58">
        <f t="shared" si="39"/>
        <v>1529.0759763552242</v>
      </c>
      <c r="AA82" s="56">
        <f t="shared" si="40"/>
        <v>145623.24958149684</v>
      </c>
      <c r="AB82" s="56">
        <f t="shared" ref="AB82:AD82" si="46">+AA82</f>
        <v>145623.24958149684</v>
      </c>
      <c r="AC82" s="56">
        <f t="shared" si="46"/>
        <v>145623.24958149684</v>
      </c>
      <c r="AD82" s="56">
        <f t="shared" si="46"/>
        <v>145623.24958149684</v>
      </c>
    </row>
    <row r="83" spans="4:30" ht="16.5" customHeight="1" x14ac:dyDescent="0.15">
      <c r="D83" s="112"/>
      <c r="E83" s="113"/>
      <c r="F83" s="113"/>
      <c r="G83" s="122"/>
      <c r="H83" s="114">
        <f t="shared" ref="H83" si="47">+H81</f>
        <v>1.3</v>
      </c>
      <c r="I83" s="20">
        <f>+E80-I80-H81</f>
        <v>1.1499999999999997</v>
      </c>
      <c r="J83" s="114">
        <f>+E66</f>
        <v>1.3</v>
      </c>
      <c r="K83" s="20">
        <f>+F80</f>
        <v>0.75499999999999901</v>
      </c>
      <c r="L83" s="74">
        <f t="shared" ref="L83" si="48">+L81+1</f>
        <v>127</v>
      </c>
      <c r="M83" s="131"/>
      <c r="N83" s="150">
        <f>+G80*K83+G84*K84</f>
        <v>4214.0249999999996</v>
      </c>
      <c r="O83" s="150">
        <f>+E67*N83</f>
        <v>17210.374976656844</v>
      </c>
      <c r="P83" s="149">
        <f>+E70*O83</f>
        <v>34420.749953313687</v>
      </c>
      <c r="S83" s="10">
        <f t="shared" si="34"/>
        <v>132</v>
      </c>
      <c r="T83" s="10" t="s">
        <v>98</v>
      </c>
      <c r="U83" s="56">
        <f>+P93</f>
        <v>145623.24958149684</v>
      </c>
      <c r="V83" s="58">
        <f>+'周面支持力(4P右)'!P93</f>
        <v>1529.0759763552242</v>
      </c>
      <c r="W83" s="58">
        <f t="shared" si="36"/>
        <v>1529.0759763552242</v>
      </c>
      <c r="X83" s="56">
        <f t="shared" si="37"/>
        <v>145623.24958149684</v>
      </c>
      <c r="Y83" s="58">
        <f t="shared" si="38"/>
        <v>1529.0759763552242</v>
      </c>
      <c r="Z83" s="58">
        <f t="shared" si="39"/>
        <v>1529.0759763552242</v>
      </c>
      <c r="AA83" s="56">
        <f t="shared" si="40"/>
        <v>145623.24958149684</v>
      </c>
      <c r="AB83" s="56">
        <f t="shared" ref="AB83:AD83" si="49">+AA83</f>
        <v>145623.24958149684</v>
      </c>
      <c r="AC83" s="56">
        <f t="shared" si="49"/>
        <v>145623.24958149684</v>
      </c>
      <c r="AD83" s="56">
        <f t="shared" si="49"/>
        <v>145623.24958149684</v>
      </c>
    </row>
    <row r="84" spans="4:30" ht="16.5" customHeight="1" x14ac:dyDescent="0.15">
      <c r="D84" s="112" t="s">
        <v>3</v>
      </c>
      <c r="E84" s="113">
        <f>+E21</f>
        <v>2.6</v>
      </c>
      <c r="F84" s="113">
        <f>+E84</f>
        <v>2.6</v>
      </c>
      <c r="G84" s="122">
        <f>+G21</f>
        <v>9143</v>
      </c>
      <c r="H84" s="114"/>
      <c r="I84" s="20">
        <f>+H83-I83</f>
        <v>0.15000000000000036</v>
      </c>
      <c r="J84" s="114"/>
      <c r="K84" s="20">
        <f>+I84</f>
        <v>0.15000000000000036</v>
      </c>
      <c r="L84" s="79"/>
      <c r="M84" s="132"/>
      <c r="N84" s="123"/>
      <c r="O84" s="123"/>
      <c r="P84" s="124"/>
      <c r="S84" s="10">
        <f t="shared" si="34"/>
        <v>133</v>
      </c>
      <c r="T84" s="10" t="s">
        <v>98</v>
      </c>
      <c r="U84" s="56">
        <f>+P95</f>
        <v>145623.24958149684</v>
      </c>
      <c r="V84" s="58">
        <f>+'周面支持力(4P右)'!P95</f>
        <v>1529.0759763552242</v>
      </c>
      <c r="W84" s="58">
        <f t="shared" si="36"/>
        <v>1529.0759763552242</v>
      </c>
      <c r="X84" s="56">
        <f t="shared" si="37"/>
        <v>145623.24958149684</v>
      </c>
      <c r="Y84" s="58">
        <f t="shared" si="38"/>
        <v>1529.0759763552242</v>
      </c>
      <c r="Z84" s="58">
        <f t="shared" si="39"/>
        <v>1529.0759763552242</v>
      </c>
      <c r="AA84" s="56">
        <f t="shared" si="40"/>
        <v>145623.24958149684</v>
      </c>
      <c r="AB84" s="56">
        <f t="shared" ref="AB84:AD84" si="50">+AA84</f>
        <v>145623.24958149684</v>
      </c>
      <c r="AC84" s="56">
        <f t="shared" si="50"/>
        <v>145623.24958149684</v>
      </c>
      <c r="AD84" s="56">
        <f t="shared" si="50"/>
        <v>145623.24958149684</v>
      </c>
    </row>
    <row r="85" spans="4:30" ht="16.5" customHeight="1" x14ac:dyDescent="0.15">
      <c r="D85" s="112"/>
      <c r="E85" s="113"/>
      <c r="F85" s="113"/>
      <c r="G85" s="122"/>
      <c r="H85" s="114">
        <f t="shared" ref="H85" si="51">+H83</f>
        <v>1.3</v>
      </c>
      <c r="I85" s="144"/>
      <c r="J85" s="114">
        <f t="shared" ref="J85" si="52">+J83</f>
        <v>1.3</v>
      </c>
      <c r="K85" s="144"/>
      <c r="L85" s="131">
        <f t="shared" ref="L85" si="53">+L83+1</f>
        <v>128</v>
      </c>
      <c r="M85" s="131"/>
      <c r="N85" s="150">
        <f>+G84*J85</f>
        <v>11885.9</v>
      </c>
      <c r="O85" s="150">
        <f>+E67*N85</f>
        <v>48542.852957693794</v>
      </c>
      <c r="P85" s="149">
        <f>+E70*O85</f>
        <v>97085.705915387589</v>
      </c>
      <c r="S85" s="10">
        <f t="shared" si="34"/>
        <v>134</v>
      </c>
      <c r="T85" s="10" t="s">
        <v>98</v>
      </c>
      <c r="U85" s="56">
        <f>+P97</f>
        <v>145623.24958149684</v>
      </c>
      <c r="V85" s="58">
        <f>+'周面支持力(4P右)'!P97</f>
        <v>1529.0759763552242</v>
      </c>
      <c r="W85" s="58">
        <f t="shared" si="36"/>
        <v>1529.0759763552242</v>
      </c>
      <c r="X85" s="56">
        <f t="shared" si="37"/>
        <v>145623.24958149684</v>
      </c>
      <c r="Y85" s="58">
        <f t="shared" si="38"/>
        <v>1529.0759763552242</v>
      </c>
      <c r="Z85" s="58">
        <f t="shared" si="39"/>
        <v>1529.0759763552242</v>
      </c>
      <c r="AA85" s="56">
        <f t="shared" si="40"/>
        <v>145623.24958149684</v>
      </c>
      <c r="AB85" s="56">
        <f t="shared" ref="AB85:AD85" si="54">+AA85</f>
        <v>145623.24958149684</v>
      </c>
      <c r="AC85" s="56">
        <f t="shared" si="54"/>
        <v>145623.24958149684</v>
      </c>
      <c r="AD85" s="56">
        <f t="shared" si="54"/>
        <v>145623.24958149684</v>
      </c>
    </row>
    <row r="86" spans="4:30" ht="16.5" customHeight="1" x14ac:dyDescent="0.15">
      <c r="D86" s="112"/>
      <c r="E86" s="113"/>
      <c r="F86" s="113"/>
      <c r="G86" s="122"/>
      <c r="H86" s="114"/>
      <c r="I86" s="144"/>
      <c r="J86" s="114"/>
      <c r="K86" s="144"/>
      <c r="L86" s="132"/>
      <c r="M86" s="132"/>
      <c r="N86" s="123"/>
      <c r="O86" s="123"/>
      <c r="P86" s="124"/>
      <c r="S86" s="10">
        <f t="shared" si="34"/>
        <v>135</v>
      </c>
      <c r="T86" s="10" t="s">
        <v>98</v>
      </c>
      <c r="U86" s="56">
        <f>+P99</f>
        <v>145623.24958149684</v>
      </c>
      <c r="V86" s="58">
        <f>+'周面支持力(4P右)'!P99</f>
        <v>1529.0759763552242</v>
      </c>
      <c r="W86" s="58">
        <f t="shared" si="36"/>
        <v>1529.0759763552242</v>
      </c>
      <c r="X86" s="56">
        <f t="shared" si="37"/>
        <v>145623.24958149684</v>
      </c>
      <c r="Y86" s="58">
        <f t="shared" si="38"/>
        <v>1529.0759763552242</v>
      </c>
      <c r="Z86" s="58">
        <f t="shared" si="39"/>
        <v>1529.0759763552242</v>
      </c>
      <c r="AA86" s="56">
        <f t="shared" si="40"/>
        <v>145623.24958149684</v>
      </c>
      <c r="AB86" s="56">
        <f t="shared" ref="AB86:AD86" si="55">+AA86</f>
        <v>145623.24958149684</v>
      </c>
      <c r="AC86" s="56">
        <f t="shared" si="55"/>
        <v>145623.24958149684</v>
      </c>
      <c r="AD86" s="56">
        <f t="shared" si="55"/>
        <v>145623.24958149684</v>
      </c>
    </row>
    <row r="87" spans="4:30" ht="16.5" customHeight="1" x14ac:dyDescent="0.15">
      <c r="D87" s="112"/>
      <c r="E87" s="113"/>
      <c r="F87" s="113"/>
      <c r="G87" s="122"/>
      <c r="H87" s="114">
        <f t="shared" ref="H87" si="56">+H85</f>
        <v>1.3</v>
      </c>
      <c r="I87" s="20">
        <f>+E84-I84-H85</f>
        <v>1.1499999999999997</v>
      </c>
      <c r="J87" s="114">
        <f t="shared" ref="J87" si="57">+J85</f>
        <v>1.3</v>
      </c>
      <c r="K87" s="20">
        <f>+I87</f>
        <v>1.1499999999999997</v>
      </c>
      <c r="L87" s="131">
        <f t="shared" ref="L87" si="58">+L85+1</f>
        <v>129</v>
      </c>
      <c r="M87" s="131"/>
      <c r="N87" s="123">
        <f>+G84*K87+G88*K88</f>
        <v>12702.650000000001</v>
      </c>
      <c r="O87" s="150">
        <f>+E67*N87</f>
        <v>51878.517497459106</v>
      </c>
      <c r="P87" s="149">
        <f>+E70*O87</f>
        <v>103757.03499491821</v>
      </c>
      <c r="S87" s="10">
        <f t="shared" si="34"/>
        <v>136</v>
      </c>
      <c r="T87" s="10" t="s">
        <v>98</v>
      </c>
      <c r="U87" s="56">
        <f>+P101</f>
        <v>145623.24958149684</v>
      </c>
      <c r="V87" s="58">
        <f>+'周面支持力(4P右)'!P101</f>
        <v>1529.0759763552242</v>
      </c>
      <c r="W87" s="58">
        <f t="shared" si="36"/>
        <v>1529.0759763552242</v>
      </c>
      <c r="X87" s="56">
        <f t="shared" si="37"/>
        <v>145623.24958149684</v>
      </c>
      <c r="Y87" s="58">
        <f t="shared" si="38"/>
        <v>1529.0759763552242</v>
      </c>
      <c r="Z87" s="58">
        <f t="shared" si="39"/>
        <v>1529.0759763552242</v>
      </c>
      <c r="AA87" s="56">
        <f t="shared" si="40"/>
        <v>145623.24958149684</v>
      </c>
      <c r="AB87" s="56">
        <f t="shared" ref="AB87:AD87" si="59">+AA87</f>
        <v>145623.24958149684</v>
      </c>
      <c r="AC87" s="56">
        <f t="shared" si="59"/>
        <v>145623.24958149684</v>
      </c>
      <c r="AD87" s="56">
        <f t="shared" si="59"/>
        <v>145623.24958149684</v>
      </c>
    </row>
    <row r="88" spans="4:30" ht="16.5" customHeight="1" x14ac:dyDescent="0.15">
      <c r="D88" s="112" t="s">
        <v>13</v>
      </c>
      <c r="E88" s="113">
        <f>+E25</f>
        <v>0.6</v>
      </c>
      <c r="F88" s="113">
        <f>+E88</f>
        <v>0.6</v>
      </c>
      <c r="G88" s="122">
        <f>+G25</f>
        <v>14588</v>
      </c>
      <c r="H88" s="114"/>
      <c r="I88" s="20">
        <f>+H87-I87</f>
        <v>0.15000000000000036</v>
      </c>
      <c r="J88" s="114"/>
      <c r="K88" s="20">
        <f t="shared" ref="K88:K90" si="60">+I88</f>
        <v>0.15000000000000036</v>
      </c>
      <c r="L88" s="132"/>
      <c r="M88" s="132"/>
      <c r="N88" s="123"/>
      <c r="O88" s="123"/>
      <c r="P88" s="124"/>
      <c r="S88" s="10">
        <f t="shared" si="34"/>
        <v>137</v>
      </c>
      <c r="T88" s="10" t="s">
        <v>98</v>
      </c>
      <c r="U88" s="56">
        <f>+P103</f>
        <v>119430.47215960428</v>
      </c>
      <c r="V88" s="58">
        <f>+'周面支持力(4P右)'!P103</f>
        <v>1129.1637979238587</v>
      </c>
      <c r="W88" s="58">
        <f t="shared" si="36"/>
        <v>1129.1637979238587</v>
      </c>
      <c r="X88" s="56">
        <f t="shared" si="37"/>
        <v>119430.47215960428</v>
      </c>
      <c r="Y88" s="58">
        <f t="shared" si="38"/>
        <v>1129.1637979238587</v>
      </c>
      <c r="Z88" s="58">
        <f t="shared" si="39"/>
        <v>1129.1637979238587</v>
      </c>
      <c r="AA88" s="56">
        <f t="shared" si="40"/>
        <v>119430.47215960428</v>
      </c>
      <c r="AB88" s="56">
        <f t="shared" ref="AB88:AD88" si="61">+AA88</f>
        <v>119430.47215960428</v>
      </c>
      <c r="AC88" s="56">
        <f t="shared" si="61"/>
        <v>119430.47215960428</v>
      </c>
      <c r="AD88" s="56">
        <f t="shared" si="61"/>
        <v>119430.47215960428</v>
      </c>
    </row>
    <row r="89" spans="4:30" ht="16.5" customHeight="1" x14ac:dyDescent="0.15">
      <c r="D89" s="112"/>
      <c r="E89" s="113"/>
      <c r="F89" s="113"/>
      <c r="G89" s="122"/>
      <c r="H89" s="114">
        <f t="shared" ref="H89" si="62">+H87</f>
        <v>1.3</v>
      </c>
      <c r="I89" s="20">
        <f>+E88-I88</f>
        <v>0.44999999999999962</v>
      </c>
      <c r="J89" s="114">
        <f t="shared" ref="J89" si="63">+J87</f>
        <v>1.3</v>
      </c>
      <c r="K89" s="20">
        <f t="shared" si="60"/>
        <v>0.44999999999999962</v>
      </c>
      <c r="L89" s="131">
        <f t="shared" ref="L89" si="64">+L87+1</f>
        <v>130</v>
      </c>
      <c r="M89" s="131"/>
      <c r="N89" s="123">
        <f>+G88*K89+G90*K90</f>
        <v>18221.5</v>
      </c>
      <c r="O89" s="150">
        <f>+E67*N89</f>
        <v>74417.889698602346</v>
      </c>
      <c r="P89" s="149">
        <f>+E70*O89</f>
        <v>148835.77939720469</v>
      </c>
      <c r="S89" s="10">
        <f t="shared" si="34"/>
        <v>138</v>
      </c>
      <c r="T89" s="10" t="s">
        <v>98</v>
      </c>
      <c r="U89" s="56">
        <f>+P105</f>
        <v>69955.225918251497</v>
      </c>
      <c r="V89" s="58">
        <f>+'周面支持力(4P右)'!P105</f>
        <v>373.77412755349928</v>
      </c>
      <c r="W89" s="58">
        <f t="shared" si="36"/>
        <v>373.77412755349928</v>
      </c>
      <c r="X89" s="56">
        <f t="shared" si="37"/>
        <v>69955.225918251497</v>
      </c>
      <c r="Y89" s="58">
        <f t="shared" si="38"/>
        <v>373.77412755349928</v>
      </c>
      <c r="Z89" s="58">
        <f t="shared" si="39"/>
        <v>373.77412755349928</v>
      </c>
      <c r="AA89" s="56">
        <f t="shared" si="40"/>
        <v>69955.225918251497</v>
      </c>
      <c r="AB89" s="56">
        <f t="shared" ref="AB89:AD89" si="65">+AA89</f>
        <v>69955.225918251497</v>
      </c>
      <c r="AC89" s="56">
        <f t="shared" si="65"/>
        <v>69955.225918251497</v>
      </c>
      <c r="AD89" s="56">
        <f t="shared" si="65"/>
        <v>69955.225918251497</v>
      </c>
    </row>
    <row r="90" spans="4:30" ht="16.5" customHeight="1" x14ac:dyDescent="0.15">
      <c r="D90" s="119" t="s">
        <v>14</v>
      </c>
      <c r="E90" s="125">
        <f>+E27</f>
        <v>9.5</v>
      </c>
      <c r="F90" s="125">
        <f>+E90</f>
        <v>9.5</v>
      </c>
      <c r="G90" s="128">
        <f>+G27</f>
        <v>13714</v>
      </c>
      <c r="H90" s="114"/>
      <c r="I90" s="20">
        <f>+H89-I89</f>
        <v>0.85000000000000042</v>
      </c>
      <c r="J90" s="114"/>
      <c r="K90" s="20">
        <f t="shared" si="60"/>
        <v>0.85000000000000042</v>
      </c>
      <c r="L90" s="132"/>
      <c r="M90" s="132"/>
      <c r="N90" s="123"/>
      <c r="O90" s="123"/>
      <c r="P90" s="124"/>
      <c r="S90" s="10">
        <f t="shared" si="34"/>
        <v>139</v>
      </c>
      <c r="T90" s="10" t="s">
        <v>98</v>
      </c>
      <c r="U90" s="56">
        <f>+P107</f>
        <v>69955.225918251497</v>
      </c>
      <c r="V90" s="58">
        <f>+'周面支持力(4P右)'!P107</f>
        <v>373.77412755349928</v>
      </c>
      <c r="W90" s="58">
        <f t="shared" si="36"/>
        <v>373.77412755349928</v>
      </c>
      <c r="X90" s="56">
        <f t="shared" si="37"/>
        <v>69955.225918251497</v>
      </c>
      <c r="Y90" s="58">
        <f t="shared" si="38"/>
        <v>373.77412755349928</v>
      </c>
      <c r="Z90" s="58">
        <f t="shared" si="39"/>
        <v>373.77412755349928</v>
      </c>
      <c r="AA90" s="56">
        <f t="shared" si="40"/>
        <v>69955.225918251497</v>
      </c>
      <c r="AB90" s="56">
        <f t="shared" ref="AB90:AD90" si="66">+AA90</f>
        <v>69955.225918251497</v>
      </c>
      <c r="AC90" s="56">
        <f t="shared" si="66"/>
        <v>69955.225918251497</v>
      </c>
      <c r="AD90" s="56">
        <f t="shared" si="66"/>
        <v>69955.225918251497</v>
      </c>
    </row>
    <row r="91" spans="4:30" ht="16.5" customHeight="1" x14ac:dyDescent="0.15">
      <c r="D91" s="120"/>
      <c r="E91" s="126"/>
      <c r="F91" s="126"/>
      <c r="G91" s="129"/>
      <c r="H91" s="114">
        <f t="shared" ref="H91" si="67">+H89</f>
        <v>1.3</v>
      </c>
      <c r="I91" s="140"/>
      <c r="J91" s="114">
        <f t="shared" ref="J91" si="68">+J89</f>
        <v>1.3</v>
      </c>
      <c r="K91" s="140"/>
      <c r="L91" s="131">
        <f>+L89+1</f>
        <v>131</v>
      </c>
      <c r="M91" s="131"/>
      <c r="N91" s="107">
        <f>+G90*J91</f>
        <v>17828.2</v>
      </c>
      <c r="O91" s="150">
        <f>+E67*N91</f>
        <v>72811.624790748421</v>
      </c>
      <c r="P91" s="149">
        <f>+E70*O91</f>
        <v>145623.24958149684</v>
      </c>
      <c r="S91" s="10">
        <f t="shared" si="34"/>
        <v>140</v>
      </c>
      <c r="T91" s="10" t="s">
        <v>98</v>
      </c>
      <c r="U91" s="56">
        <f>+P109</f>
        <v>69955.225918251497</v>
      </c>
      <c r="V91" s="58">
        <f>+'周面支持力(4P右)'!P109</f>
        <v>373.77412755349928</v>
      </c>
      <c r="W91" s="58">
        <f t="shared" si="36"/>
        <v>373.77412755349928</v>
      </c>
      <c r="X91" s="56">
        <f t="shared" si="37"/>
        <v>69955.225918251497</v>
      </c>
      <c r="Y91" s="58">
        <f t="shared" si="38"/>
        <v>373.77412755349928</v>
      </c>
      <c r="Z91" s="58">
        <f t="shared" si="39"/>
        <v>373.77412755349928</v>
      </c>
      <c r="AA91" s="56">
        <f t="shared" si="40"/>
        <v>69955.225918251497</v>
      </c>
      <c r="AB91" s="56">
        <f t="shared" ref="AB91:AD91" si="69">+AA91</f>
        <v>69955.225918251497</v>
      </c>
      <c r="AC91" s="56">
        <f t="shared" si="69"/>
        <v>69955.225918251497</v>
      </c>
      <c r="AD91" s="56">
        <f t="shared" si="69"/>
        <v>69955.225918251497</v>
      </c>
    </row>
    <row r="92" spans="4:30" ht="16.5" customHeight="1" x14ac:dyDescent="0.15">
      <c r="D92" s="120"/>
      <c r="E92" s="126"/>
      <c r="F92" s="126"/>
      <c r="G92" s="129"/>
      <c r="H92" s="114"/>
      <c r="I92" s="141"/>
      <c r="J92" s="114"/>
      <c r="K92" s="141"/>
      <c r="L92" s="132"/>
      <c r="M92" s="132"/>
      <c r="N92" s="108"/>
      <c r="O92" s="123"/>
      <c r="P92" s="124"/>
      <c r="S92" s="10">
        <f t="shared" si="34"/>
        <v>141</v>
      </c>
      <c r="T92" s="10" t="s">
        <v>98</v>
      </c>
      <c r="U92" s="56">
        <f>+P111</f>
        <v>69955.225918251497</v>
      </c>
      <c r="V92" s="58">
        <f>+'周面支持力(4P右)'!P111</f>
        <v>373.77412755349928</v>
      </c>
      <c r="W92" s="58">
        <f t="shared" si="36"/>
        <v>373.77412755349928</v>
      </c>
      <c r="X92" s="56">
        <f t="shared" si="37"/>
        <v>69955.225918251497</v>
      </c>
      <c r="Y92" s="58">
        <f t="shared" si="38"/>
        <v>373.77412755349928</v>
      </c>
      <c r="Z92" s="58">
        <f t="shared" si="39"/>
        <v>373.77412755349928</v>
      </c>
      <c r="AA92" s="56">
        <f t="shared" si="40"/>
        <v>69955.225918251497</v>
      </c>
      <c r="AB92" s="56">
        <f t="shared" ref="AB92:AD92" si="70">+AA92</f>
        <v>69955.225918251497</v>
      </c>
      <c r="AC92" s="56">
        <f t="shared" si="70"/>
        <v>69955.225918251497</v>
      </c>
      <c r="AD92" s="56">
        <f t="shared" si="70"/>
        <v>69955.225918251497</v>
      </c>
    </row>
    <row r="93" spans="4:30" ht="16.5" customHeight="1" x14ac:dyDescent="0.15">
      <c r="D93" s="120"/>
      <c r="E93" s="126"/>
      <c r="F93" s="126"/>
      <c r="G93" s="129"/>
      <c r="H93" s="114">
        <f t="shared" ref="H93" si="71">+H91</f>
        <v>1.3</v>
      </c>
      <c r="I93" s="140"/>
      <c r="J93" s="114">
        <f t="shared" ref="J93" si="72">+J91</f>
        <v>1.3</v>
      </c>
      <c r="K93" s="140"/>
      <c r="L93" s="131">
        <f t="shared" ref="L93" si="73">+L91+1</f>
        <v>132</v>
      </c>
      <c r="M93" s="131"/>
      <c r="N93" s="107">
        <f>+G90*J93</f>
        <v>17828.2</v>
      </c>
      <c r="O93" s="150">
        <f>+E67*N93</f>
        <v>72811.624790748421</v>
      </c>
      <c r="P93" s="149">
        <f>+E70*O93</f>
        <v>145623.24958149684</v>
      </c>
      <c r="S93" s="10">
        <f t="shared" si="34"/>
        <v>142</v>
      </c>
      <c r="T93" s="10" t="s">
        <v>98</v>
      </c>
      <c r="U93" s="56">
        <f>+P113</f>
        <v>69955.225918251497</v>
      </c>
      <c r="V93" s="58">
        <f>+'周面支持力(4P右)'!P113</f>
        <v>373.77412755349928</v>
      </c>
      <c r="W93" s="58">
        <f t="shared" si="36"/>
        <v>373.77412755349928</v>
      </c>
      <c r="X93" s="56">
        <f t="shared" si="37"/>
        <v>69955.225918251497</v>
      </c>
      <c r="Y93" s="58">
        <f t="shared" si="38"/>
        <v>373.77412755349928</v>
      </c>
      <c r="Z93" s="58">
        <f t="shared" si="39"/>
        <v>373.77412755349928</v>
      </c>
      <c r="AA93" s="56">
        <f t="shared" si="40"/>
        <v>69955.225918251497</v>
      </c>
      <c r="AB93" s="56">
        <f t="shared" ref="AB93:AD93" si="74">+AA93</f>
        <v>69955.225918251497</v>
      </c>
      <c r="AC93" s="56">
        <f t="shared" si="74"/>
        <v>69955.225918251497</v>
      </c>
      <c r="AD93" s="56">
        <f t="shared" si="74"/>
        <v>69955.225918251497</v>
      </c>
    </row>
    <row r="94" spans="4:30" ht="16.5" customHeight="1" x14ac:dyDescent="0.15">
      <c r="D94" s="120"/>
      <c r="E94" s="126"/>
      <c r="F94" s="126"/>
      <c r="G94" s="129"/>
      <c r="H94" s="114"/>
      <c r="I94" s="141"/>
      <c r="J94" s="114"/>
      <c r="K94" s="141"/>
      <c r="L94" s="132"/>
      <c r="M94" s="132"/>
      <c r="N94" s="108"/>
      <c r="O94" s="123"/>
      <c r="P94" s="124"/>
      <c r="S94" s="10">
        <f t="shared" si="34"/>
        <v>143</v>
      </c>
      <c r="T94" s="10" t="s">
        <v>98</v>
      </c>
      <c r="U94" s="56">
        <f>+P115</f>
        <v>69955.225918251497</v>
      </c>
      <c r="V94" s="58">
        <f>+'周面支持力(4P右)'!P115</f>
        <v>373.77412755349928</v>
      </c>
      <c r="W94" s="58">
        <f t="shared" si="36"/>
        <v>373.77412755349928</v>
      </c>
      <c r="X94" s="56">
        <f t="shared" si="37"/>
        <v>69955.225918251497</v>
      </c>
      <c r="Y94" s="58">
        <f t="shared" si="38"/>
        <v>373.77412755349928</v>
      </c>
      <c r="Z94" s="58">
        <f t="shared" si="39"/>
        <v>373.77412755349928</v>
      </c>
      <c r="AA94" s="56">
        <f t="shared" si="40"/>
        <v>69955.225918251497</v>
      </c>
      <c r="AB94" s="56">
        <f t="shared" ref="AB94:AD94" si="75">+AA94</f>
        <v>69955.225918251497</v>
      </c>
      <c r="AC94" s="56">
        <f t="shared" si="75"/>
        <v>69955.225918251497</v>
      </c>
      <c r="AD94" s="56">
        <f t="shared" si="75"/>
        <v>69955.225918251497</v>
      </c>
    </row>
    <row r="95" spans="4:30" ht="16.5" customHeight="1" x14ac:dyDescent="0.15">
      <c r="D95" s="120"/>
      <c r="E95" s="126"/>
      <c r="F95" s="126"/>
      <c r="G95" s="129"/>
      <c r="H95" s="114">
        <f t="shared" ref="H95" si="76">+H93</f>
        <v>1.3</v>
      </c>
      <c r="I95" s="140"/>
      <c r="J95" s="114">
        <f t="shared" ref="J95" si="77">+J93</f>
        <v>1.3</v>
      </c>
      <c r="K95" s="140"/>
      <c r="L95" s="131">
        <f t="shared" ref="L95" si="78">+L93+1</f>
        <v>133</v>
      </c>
      <c r="M95" s="131"/>
      <c r="N95" s="107">
        <f>+G90*J95</f>
        <v>17828.2</v>
      </c>
      <c r="O95" s="150">
        <f>+E67*N95</f>
        <v>72811.624790748421</v>
      </c>
      <c r="P95" s="149">
        <f>+E70*O95</f>
        <v>145623.24958149684</v>
      </c>
      <c r="S95" s="10">
        <f t="shared" si="34"/>
        <v>144</v>
      </c>
      <c r="T95" s="10" t="s">
        <v>98</v>
      </c>
      <c r="U95" s="56">
        <f>+P117</f>
        <v>69955.225918251497</v>
      </c>
      <c r="V95" s="58">
        <f>+'周面支持力(4P右)'!P117</f>
        <v>373.77412755349928</v>
      </c>
      <c r="W95" s="58">
        <f t="shared" si="36"/>
        <v>373.77412755349928</v>
      </c>
      <c r="X95" s="56">
        <f t="shared" si="37"/>
        <v>69955.225918251497</v>
      </c>
      <c r="Y95" s="58">
        <f t="shared" si="38"/>
        <v>373.77412755349928</v>
      </c>
      <c r="Z95" s="58">
        <f t="shared" si="39"/>
        <v>373.77412755349928</v>
      </c>
      <c r="AA95" s="56">
        <f t="shared" si="40"/>
        <v>69955.225918251497</v>
      </c>
      <c r="AB95" s="56">
        <f t="shared" ref="AB95:AD95" si="79">+AA95</f>
        <v>69955.225918251497</v>
      </c>
      <c r="AC95" s="56">
        <f t="shared" si="79"/>
        <v>69955.225918251497</v>
      </c>
      <c r="AD95" s="56">
        <f t="shared" si="79"/>
        <v>69955.225918251497</v>
      </c>
    </row>
    <row r="96" spans="4:30" ht="16.5" customHeight="1" x14ac:dyDescent="0.15">
      <c r="D96" s="120"/>
      <c r="E96" s="126"/>
      <c r="F96" s="126"/>
      <c r="G96" s="129"/>
      <c r="H96" s="114"/>
      <c r="I96" s="141"/>
      <c r="J96" s="114"/>
      <c r="K96" s="141"/>
      <c r="L96" s="132"/>
      <c r="M96" s="132"/>
      <c r="N96" s="108"/>
      <c r="O96" s="123"/>
      <c r="P96" s="124"/>
      <c r="S96" s="10">
        <f t="shared" si="34"/>
        <v>145</v>
      </c>
      <c r="T96" s="10" t="s">
        <v>98</v>
      </c>
      <c r="U96" s="56">
        <f>+P119</f>
        <v>69955.225918251497</v>
      </c>
      <c r="V96" s="58">
        <f>+'周面支持力(4P右)'!P119</f>
        <v>373.77412755349928</v>
      </c>
      <c r="W96" s="58">
        <f t="shared" si="36"/>
        <v>373.77412755349928</v>
      </c>
      <c r="X96" s="56">
        <f t="shared" si="37"/>
        <v>69955.225918251497</v>
      </c>
      <c r="Y96" s="58">
        <f t="shared" si="38"/>
        <v>373.77412755349928</v>
      </c>
      <c r="Z96" s="58">
        <f t="shared" si="39"/>
        <v>373.77412755349928</v>
      </c>
      <c r="AA96" s="56">
        <f t="shared" si="40"/>
        <v>69955.225918251497</v>
      </c>
      <c r="AB96" s="56">
        <f t="shared" ref="AB96:AD96" si="80">+AA96</f>
        <v>69955.225918251497</v>
      </c>
      <c r="AC96" s="56">
        <f t="shared" si="80"/>
        <v>69955.225918251497</v>
      </c>
      <c r="AD96" s="56">
        <f t="shared" si="80"/>
        <v>69955.225918251497</v>
      </c>
    </row>
    <row r="97" spans="4:30" ht="16.5" customHeight="1" x14ac:dyDescent="0.15">
      <c r="D97" s="120"/>
      <c r="E97" s="126"/>
      <c r="F97" s="126"/>
      <c r="G97" s="129"/>
      <c r="H97" s="114">
        <f t="shared" ref="H97" si="81">+H95</f>
        <v>1.3</v>
      </c>
      <c r="I97" s="145"/>
      <c r="J97" s="114">
        <f t="shared" ref="J97" si="82">+J95</f>
        <v>1.3</v>
      </c>
      <c r="K97" s="145"/>
      <c r="L97" s="131">
        <f t="shared" ref="L97" si="83">+L95+1</f>
        <v>134</v>
      </c>
      <c r="M97" s="131"/>
      <c r="N97" s="107">
        <f>+G90*J97</f>
        <v>17828.2</v>
      </c>
      <c r="O97" s="150">
        <f>+E67*N97</f>
        <v>72811.624790748421</v>
      </c>
      <c r="P97" s="149">
        <f>+E70*O97</f>
        <v>145623.24958149684</v>
      </c>
      <c r="S97" s="10">
        <f t="shared" si="34"/>
        <v>146</v>
      </c>
      <c r="T97" s="10" t="s">
        <v>98</v>
      </c>
      <c r="U97" s="56">
        <f>+P121</f>
        <v>24215.270510163919</v>
      </c>
      <c r="V97" s="58">
        <f>+'周面支持力(4P右)'!P121</f>
        <v>129.38335184544172</v>
      </c>
      <c r="W97" s="58">
        <f t="shared" si="36"/>
        <v>129.38335184544172</v>
      </c>
      <c r="X97" s="56">
        <f t="shared" si="37"/>
        <v>24215.270510163919</v>
      </c>
      <c r="Y97" s="58">
        <f t="shared" si="38"/>
        <v>129.38335184544172</v>
      </c>
      <c r="Z97" s="58">
        <f t="shared" si="39"/>
        <v>129.38335184544172</v>
      </c>
      <c r="AA97" s="56">
        <f t="shared" si="40"/>
        <v>24215.270510163919</v>
      </c>
      <c r="AB97" s="56">
        <f t="shared" ref="AB97:AD97" si="84">+AA97</f>
        <v>24215.270510163919</v>
      </c>
      <c r="AC97" s="56">
        <f t="shared" si="84"/>
        <v>24215.270510163919</v>
      </c>
      <c r="AD97" s="56">
        <f t="shared" si="84"/>
        <v>24215.270510163919</v>
      </c>
    </row>
    <row r="98" spans="4:30" ht="16.5" customHeight="1" x14ac:dyDescent="0.15">
      <c r="D98" s="120"/>
      <c r="E98" s="126"/>
      <c r="F98" s="126"/>
      <c r="G98" s="129"/>
      <c r="H98" s="114"/>
      <c r="I98" s="145"/>
      <c r="J98" s="114"/>
      <c r="K98" s="145"/>
      <c r="L98" s="132"/>
      <c r="M98" s="132"/>
      <c r="N98" s="108"/>
      <c r="O98" s="123"/>
      <c r="P98" s="124"/>
      <c r="S98" s="10">
        <f t="shared" si="34"/>
        <v>147</v>
      </c>
      <c r="T98" s="10"/>
      <c r="U98" s="56"/>
      <c r="V98" s="63"/>
      <c r="W98" s="63"/>
      <c r="X98" s="56"/>
      <c r="Y98" s="63"/>
      <c r="Z98" s="63"/>
      <c r="AA98" s="56"/>
      <c r="AB98" s="56"/>
      <c r="AC98" s="56"/>
      <c r="AD98" s="56"/>
    </row>
    <row r="99" spans="4:30" ht="16.5" customHeight="1" x14ac:dyDescent="0.15">
      <c r="D99" s="120"/>
      <c r="E99" s="126"/>
      <c r="F99" s="126"/>
      <c r="G99" s="129"/>
      <c r="H99" s="114">
        <f t="shared" ref="H99" si="85">+H97</f>
        <v>1.3</v>
      </c>
      <c r="I99" s="145"/>
      <c r="J99" s="114">
        <f t="shared" ref="J99" si="86">+J97</f>
        <v>1.3</v>
      </c>
      <c r="K99" s="145"/>
      <c r="L99" s="131">
        <f t="shared" ref="L99" si="87">+L97+1</f>
        <v>135</v>
      </c>
      <c r="M99" s="131"/>
      <c r="N99" s="107">
        <f>+G90*J99</f>
        <v>17828.2</v>
      </c>
      <c r="O99" s="150">
        <f>+E67*N99</f>
        <v>72811.624790748421</v>
      </c>
      <c r="P99" s="149">
        <f>+E70*O99</f>
        <v>145623.24958149684</v>
      </c>
    </row>
    <row r="100" spans="4:30" ht="16.5" customHeight="1" x14ac:dyDescent="0.15">
      <c r="D100" s="120"/>
      <c r="E100" s="126"/>
      <c r="F100" s="126"/>
      <c r="G100" s="129"/>
      <c r="H100" s="114"/>
      <c r="I100" s="145"/>
      <c r="J100" s="114"/>
      <c r="K100" s="145"/>
      <c r="L100" s="132"/>
      <c r="M100" s="132"/>
      <c r="N100" s="108"/>
      <c r="O100" s="123"/>
      <c r="P100" s="124"/>
    </row>
    <row r="101" spans="4:30" ht="16.5" customHeight="1" x14ac:dyDescent="0.15">
      <c r="D101" s="120"/>
      <c r="E101" s="126"/>
      <c r="F101" s="126"/>
      <c r="G101" s="129"/>
      <c r="H101" s="114">
        <f t="shared" ref="H101" si="88">+H99</f>
        <v>1.3</v>
      </c>
      <c r="I101" s="145"/>
      <c r="J101" s="114">
        <f t="shared" ref="J101" si="89">+J99</f>
        <v>1.3</v>
      </c>
      <c r="K101" s="145"/>
      <c r="L101" s="131">
        <f>+L99+1</f>
        <v>136</v>
      </c>
      <c r="M101" s="131"/>
      <c r="N101" s="107">
        <f>+G90*J101</f>
        <v>17828.2</v>
      </c>
      <c r="O101" s="150">
        <f>+E67*N101</f>
        <v>72811.624790748421</v>
      </c>
      <c r="P101" s="149">
        <f>+E70*O101</f>
        <v>145623.24958149684</v>
      </c>
      <c r="S101" s="72" t="s">
        <v>26</v>
      </c>
      <c r="T101" s="72" t="s">
        <v>97</v>
      </c>
      <c r="U101" s="96" t="s">
        <v>102</v>
      </c>
      <c r="V101" s="96"/>
      <c r="W101" s="96"/>
      <c r="X101" s="96" t="s">
        <v>103</v>
      </c>
      <c r="Y101" s="96"/>
      <c r="Z101" s="96"/>
      <c r="AA101" s="9" t="s">
        <v>104</v>
      </c>
      <c r="AB101" s="9" t="s">
        <v>102</v>
      </c>
      <c r="AC101" s="9" t="s">
        <v>103</v>
      </c>
      <c r="AD101" s="9" t="s">
        <v>104</v>
      </c>
    </row>
    <row r="102" spans="4:30" ht="16.5" customHeight="1" x14ac:dyDescent="0.15">
      <c r="D102" s="120"/>
      <c r="E102" s="126"/>
      <c r="F102" s="126"/>
      <c r="G102" s="129"/>
      <c r="H102" s="114"/>
      <c r="I102" s="145"/>
      <c r="J102" s="114"/>
      <c r="K102" s="145"/>
      <c r="L102" s="132"/>
      <c r="M102" s="132"/>
      <c r="N102" s="108"/>
      <c r="O102" s="123"/>
      <c r="P102" s="124"/>
      <c r="S102" s="72"/>
      <c r="T102" s="72"/>
      <c r="U102" s="32" t="s">
        <v>96</v>
      </c>
      <c r="V102" s="96" t="s">
        <v>99</v>
      </c>
      <c r="W102" s="96"/>
      <c r="X102" s="32" t="s">
        <v>96</v>
      </c>
      <c r="Y102" s="96" t="s">
        <v>99</v>
      </c>
      <c r="Z102" s="96"/>
      <c r="AA102" s="32" t="s">
        <v>96</v>
      </c>
      <c r="AB102" s="32" t="s">
        <v>96</v>
      </c>
      <c r="AC102" s="32" t="s">
        <v>96</v>
      </c>
      <c r="AD102" s="32" t="s">
        <v>96</v>
      </c>
    </row>
    <row r="103" spans="4:30" ht="16.5" customHeight="1" x14ac:dyDescent="0.15">
      <c r="D103" s="121"/>
      <c r="E103" s="127"/>
      <c r="F103" s="127"/>
      <c r="G103" s="130"/>
      <c r="H103" s="114">
        <f t="shared" ref="H103" si="90">+H101</f>
        <v>1.3</v>
      </c>
      <c r="I103" s="20">
        <f>+E90-I90-H91-H93-H95-H97-H99-H101</f>
        <v>0.8500000000000012</v>
      </c>
      <c r="J103" s="114">
        <f t="shared" ref="J103" si="91">+J101</f>
        <v>1.3</v>
      </c>
      <c r="K103" s="20">
        <f t="shared" ref="K103:K104" si="92">+I103</f>
        <v>0.8500000000000012</v>
      </c>
      <c r="L103" s="131">
        <f t="shared" ref="L103" si="93">+L101+1</f>
        <v>137</v>
      </c>
      <c r="M103" s="131"/>
      <c r="N103" s="107">
        <f>+G90*K103+G104*K104</f>
        <v>14621.500000000007</v>
      </c>
      <c r="O103" s="150">
        <f>+E67*N103</f>
        <v>59715.23607980214</v>
      </c>
      <c r="P103" s="149">
        <f>+E70*O103</f>
        <v>119430.47215960428</v>
      </c>
      <c r="S103" s="72"/>
      <c r="T103" s="72"/>
      <c r="U103" s="62" t="s">
        <v>100</v>
      </c>
      <c r="V103" s="62" t="s">
        <v>100</v>
      </c>
      <c r="W103" s="62" t="s">
        <v>101</v>
      </c>
      <c r="X103" s="62" t="s">
        <v>100</v>
      </c>
      <c r="Y103" s="62" t="s">
        <v>100</v>
      </c>
      <c r="Z103" s="62" t="s">
        <v>101</v>
      </c>
      <c r="AA103" s="62" t="s">
        <v>100</v>
      </c>
      <c r="AB103" s="62" t="s">
        <v>101</v>
      </c>
      <c r="AC103" s="62" t="s">
        <v>101</v>
      </c>
      <c r="AD103" s="62" t="s">
        <v>101</v>
      </c>
    </row>
    <row r="104" spans="4:30" ht="16.5" customHeight="1" x14ac:dyDescent="0.15">
      <c r="D104" s="112" t="s">
        <v>15</v>
      </c>
      <c r="E104" s="113">
        <f>+E41</f>
        <v>12.6</v>
      </c>
      <c r="F104" s="113">
        <f>+E104-E66</f>
        <v>11.299999999999999</v>
      </c>
      <c r="G104" s="122">
        <f>+G41</f>
        <v>6588</v>
      </c>
      <c r="H104" s="114"/>
      <c r="I104" s="20">
        <f>+H105-I103</f>
        <v>0.44999999999999885</v>
      </c>
      <c r="J104" s="114"/>
      <c r="K104" s="20">
        <f t="shared" si="92"/>
        <v>0.44999999999999885</v>
      </c>
      <c r="L104" s="132"/>
      <c r="M104" s="132"/>
      <c r="N104" s="108"/>
      <c r="O104" s="123"/>
      <c r="P104" s="124"/>
      <c r="S104" s="10">
        <f>+M13</f>
        <v>148</v>
      </c>
      <c r="T104" s="10"/>
      <c r="U104" s="56"/>
      <c r="V104" s="63"/>
      <c r="W104" s="63"/>
      <c r="X104" s="56"/>
      <c r="Y104" s="63"/>
      <c r="Z104" s="63"/>
      <c r="AA104" s="63"/>
      <c r="AB104" s="63"/>
      <c r="AC104" s="63"/>
      <c r="AD104" s="63"/>
    </row>
    <row r="105" spans="4:30" ht="16.5" customHeight="1" x14ac:dyDescent="0.15">
      <c r="D105" s="112"/>
      <c r="E105" s="113"/>
      <c r="F105" s="113"/>
      <c r="G105" s="122"/>
      <c r="H105" s="114">
        <f t="shared" ref="H105" si="94">+H103</f>
        <v>1.3</v>
      </c>
      <c r="I105" s="156"/>
      <c r="J105" s="114">
        <f t="shared" ref="J105" si="95">+J103</f>
        <v>1.3</v>
      </c>
      <c r="K105" s="156"/>
      <c r="L105" s="131">
        <f t="shared" ref="L105" si="96">+L103+1</f>
        <v>138</v>
      </c>
      <c r="M105" s="131"/>
      <c r="N105" s="107">
        <f>+G104*J105</f>
        <v>8564.4</v>
      </c>
      <c r="O105" s="150">
        <f>+E67*N105</f>
        <v>34977.612959125749</v>
      </c>
      <c r="P105" s="149">
        <f>+E70*O105</f>
        <v>69955.225918251497</v>
      </c>
      <c r="S105" s="10">
        <f>+S104+1</f>
        <v>149</v>
      </c>
      <c r="T105" s="10"/>
      <c r="U105" s="56"/>
      <c r="V105" s="63"/>
      <c r="W105" s="63"/>
      <c r="X105" s="56"/>
      <c r="Y105" s="63"/>
      <c r="Z105" s="63"/>
      <c r="AA105" s="63"/>
      <c r="AB105" s="63"/>
      <c r="AC105" s="63"/>
      <c r="AD105" s="63"/>
    </row>
    <row r="106" spans="4:30" ht="16.5" customHeight="1" x14ac:dyDescent="0.15">
      <c r="D106" s="112"/>
      <c r="E106" s="113"/>
      <c r="F106" s="113"/>
      <c r="G106" s="122"/>
      <c r="H106" s="114"/>
      <c r="I106" s="157"/>
      <c r="J106" s="114"/>
      <c r="K106" s="157"/>
      <c r="L106" s="132"/>
      <c r="M106" s="132"/>
      <c r="N106" s="108"/>
      <c r="O106" s="123"/>
      <c r="P106" s="124"/>
      <c r="S106" s="10">
        <f t="shared" ref="S106:S128" si="97">+S105+1</f>
        <v>150</v>
      </c>
      <c r="T106" s="10"/>
      <c r="U106" s="56"/>
      <c r="V106" s="63"/>
      <c r="W106" s="63"/>
      <c r="X106" s="56"/>
      <c r="Y106" s="63"/>
      <c r="Z106" s="63"/>
      <c r="AA106" s="63"/>
      <c r="AB106" s="63"/>
      <c r="AC106" s="63"/>
      <c r="AD106" s="63"/>
    </row>
    <row r="107" spans="4:30" ht="16.5" customHeight="1" x14ac:dyDescent="0.15">
      <c r="D107" s="112"/>
      <c r="E107" s="113"/>
      <c r="F107" s="113"/>
      <c r="G107" s="122"/>
      <c r="H107" s="114">
        <f t="shared" ref="H107" si="98">+H105</f>
        <v>1.3</v>
      </c>
      <c r="I107" s="114"/>
      <c r="J107" s="114">
        <f t="shared" ref="J107" si="99">+J105</f>
        <v>1.3</v>
      </c>
      <c r="K107" s="114"/>
      <c r="L107" s="131">
        <f t="shared" ref="L107" si="100">+L105+1</f>
        <v>139</v>
      </c>
      <c r="M107" s="131"/>
      <c r="N107" s="107">
        <f>+G104*J107</f>
        <v>8564.4</v>
      </c>
      <c r="O107" s="150">
        <f>+E67*N107</f>
        <v>34977.612959125749</v>
      </c>
      <c r="P107" s="149">
        <f>+E70*O107</f>
        <v>69955.225918251497</v>
      </c>
      <c r="S107" s="10">
        <f t="shared" si="97"/>
        <v>151</v>
      </c>
      <c r="T107" s="10"/>
      <c r="U107" s="56"/>
      <c r="V107" s="63"/>
      <c r="W107" s="63"/>
      <c r="X107" s="56"/>
      <c r="Y107" s="63"/>
      <c r="Z107" s="63"/>
      <c r="AA107" s="63"/>
      <c r="AB107" s="63"/>
      <c r="AC107" s="63"/>
      <c r="AD107" s="63"/>
    </row>
    <row r="108" spans="4:30" ht="16.5" customHeight="1" x14ac:dyDescent="0.15">
      <c r="D108" s="112"/>
      <c r="E108" s="113"/>
      <c r="F108" s="113"/>
      <c r="G108" s="122"/>
      <c r="H108" s="114"/>
      <c r="I108" s="114"/>
      <c r="J108" s="114"/>
      <c r="K108" s="114"/>
      <c r="L108" s="132"/>
      <c r="M108" s="132"/>
      <c r="N108" s="108"/>
      <c r="O108" s="123"/>
      <c r="P108" s="124"/>
      <c r="S108" s="10">
        <f t="shared" si="97"/>
        <v>152</v>
      </c>
      <c r="T108" s="10" t="s">
        <v>98</v>
      </c>
      <c r="U108" s="56">
        <f>+U15</f>
        <v>51631.124929970531</v>
      </c>
      <c r="V108" s="58">
        <f>+V15</f>
        <v>361.44023479550589</v>
      </c>
      <c r="W108" s="58">
        <f>+V108</f>
        <v>361.44023479550589</v>
      </c>
      <c r="X108" s="56">
        <f>+U108</f>
        <v>51631.124929970531</v>
      </c>
      <c r="Y108" s="58">
        <f>+V108</f>
        <v>361.44023479550589</v>
      </c>
      <c r="Z108" s="58">
        <f>+Y108</f>
        <v>361.44023479550589</v>
      </c>
      <c r="AA108" s="56">
        <f>+X108</f>
        <v>51631.124929970531</v>
      </c>
      <c r="AB108" s="56">
        <f>+AA108</f>
        <v>51631.124929970531</v>
      </c>
      <c r="AC108" s="56">
        <f t="shared" ref="AC108:AD108" si="101">+AB108</f>
        <v>51631.124929970531</v>
      </c>
      <c r="AD108" s="56">
        <f t="shared" si="101"/>
        <v>51631.124929970531</v>
      </c>
    </row>
    <row r="109" spans="4:30" ht="16.5" customHeight="1" x14ac:dyDescent="0.15">
      <c r="D109" s="112"/>
      <c r="E109" s="113"/>
      <c r="F109" s="113"/>
      <c r="G109" s="122"/>
      <c r="H109" s="114">
        <f t="shared" ref="H109" si="102">+H107</f>
        <v>1.3</v>
      </c>
      <c r="I109" s="114"/>
      <c r="J109" s="114">
        <f t="shared" ref="J109" si="103">+J107</f>
        <v>1.3</v>
      </c>
      <c r="K109" s="114"/>
      <c r="L109" s="131">
        <f t="shared" ref="L109" si="104">+L107+1</f>
        <v>140</v>
      </c>
      <c r="M109" s="131"/>
      <c r="N109" s="107">
        <f>+G104*J109</f>
        <v>8564.4</v>
      </c>
      <c r="O109" s="150">
        <f>+E67*N109</f>
        <v>34977.612959125749</v>
      </c>
      <c r="P109" s="149">
        <f>+E70*O109</f>
        <v>69955.225918251497</v>
      </c>
      <c r="S109" s="10">
        <f t="shared" si="97"/>
        <v>153</v>
      </c>
      <c r="T109" s="10" t="s">
        <v>98</v>
      </c>
      <c r="U109" s="56">
        <f t="shared" ref="U109:V127" si="105">+U16</f>
        <v>145628.55887308138</v>
      </c>
      <c r="V109" s="58">
        <f t="shared" si="105"/>
        <v>1529.0759763552244</v>
      </c>
      <c r="W109" s="58">
        <f t="shared" ref="W109:W127" si="106">+V109</f>
        <v>1529.0759763552244</v>
      </c>
      <c r="X109" s="56">
        <f t="shared" ref="X109:X127" si="107">+U109</f>
        <v>145628.55887308138</v>
      </c>
      <c r="Y109" s="58">
        <f t="shared" ref="Y109:Y127" si="108">+V109</f>
        <v>1529.0759763552244</v>
      </c>
      <c r="Z109" s="58">
        <f t="shared" ref="Z109:Z127" si="109">+Y109</f>
        <v>1529.0759763552244</v>
      </c>
      <c r="AA109" s="56">
        <f t="shared" ref="AA109:AA127" si="110">+X109</f>
        <v>145628.55887308138</v>
      </c>
      <c r="AB109" s="56">
        <f t="shared" ref="AB109:AD109" si="111">+AA109</f>
        <v>145628.55887308138</v>
      </c>
      <c r="AC109" s="56">
        <f t="shared" si="111"/>
        <v>145628.55887308138</v>
      </c>
      <c r="AD109" s="56">
        <f t="shared" si="111"/>
        <v>145628.55887308138</v>
      </c>
    </row>
    <row r="110" spans="4:30" ht="16.5" customHeight="1" x14ac:dyDescent="0.15">
      <c r="D110" s="112"/>
      <c r="E110" s="113"/>
      <c r="F110" s="113"/>
      <c r="G110" s="122"/>
      <c r="H110" s="114"/>
      <c r="I110" s="114"/>
      <c r="J110" s="114"/>
      <c r="K110" s="114"/>
      <c r="L110" s="132"/>
      <c r="M110" s="132"/>
      <c r="N110" s="108"/>
      <c r="O110" s="123"/>
      <c r="P110" s="124"/>
      <c r="S110" s="10">
        <f t="shared" si="97"/>
        <v>154</v>
      </c>
      <c r="T110" s="10" t="s">
        <v>98</v>
      </c>
      <c r="U110" s="56">
        <f t="shared" si="105"/>
        <v>155635.55249237732</v>
      </c>
      <c r="V110" s="58">
        <f t="shared" si="105"/>
        <v>1495.2598730319837</v>
      </c>
      <c r="W110" s="58">
        <f t="shared" si="106"/>
        <v>1495.2598730319837</v>
      </c>
      <c r="X110" s="56">
        <f t="shared" si="107"/>
        <v>155635.55249237732</v>
      </c>
      <c r="Y110" s="58">
        <f t="shared" si="108"/>
        <v>1495.2598730319837</v>
      </c>
      <c r="Z110" s="58">
        <f t="shared" si="109"/>
        <v>1495.2598730319837</v>
      </c>
      <c r="AA110" s="56">
        <f t="shared" si="110"/>
        <v>155635.55249237732</v>
      </c>
      <c r="AB110" s="56">
        <f t="shared" ref="AB110:AD110" si="112">+AA110</f>
        <v>155635.55249237732</v>
      </c>
      <c r="AC110" s="56">
        <f t="shared" si="112"/>
        <v>155635.55249237732</v>
      </c>
      <c r="AD110" s="56">
        <f t="shared" si="112"/>
        <v>155635.55249237732</v>
      </c>
    </row>
    <row r="111" spans="4:30" ht="16.5" customHeight="1" x14ac:dyDescent="0.15">
      <c r="D111" s="112"/>
      <c r="E111" s="113"/>
      <c r="F111" s="113"/>
      <c r="G111" s="122"/>
      <c r="H111" s="114">
        <f t="shared" ref="H111" si="113">+H109</f>
        <v>1.3</v>
      </c>
      <c r="I111" s="114"/>
      <c r="J111" s="114">
        <f t="shared" ref="J111" si="114">+J109</f>
        <v>1.3</v>
      </c>
      <c r="K111" s="114"/>
      <c r="L111" s="131">
        <f t="shared" ref="L111" si="115">+L109+1</f>
        <v>141</v>
      </c>
      <c r="M111" s="131"/>
      <c r="N111" s="107">
        <f>+G104*J111</f>
        <v>8564.4</v>
      </c>
      <c r="O111" s="150">
        <f>+E67*N111</f>
        <v>34977.612959125749</v>
      </c>
      <c r="P111" s="149">
        <f>+E70*O111</f>
        <v>69955.225918251497</v>
      </c>
      <c r="S111" s="10">
        <f t="shared" si="97"/>
        <v>155</v>
      </c>
      <c r="T111" s="10" t="s">
        <v>98</v>
      </c>
      <c r="U111" s="56">
        <f t="shared" si="105"/>
        <v>223253.66909580704</v>
      </c>
      <c r="V111" s="58">
        <f t="shared" si="105"/>
        <v>1927.5178894247106</v>
      </c>
      <c r="W111" s="58">
        <f t="shared" si="106"/>
        <v>1927.5178894247106</v>
      </c>
      <c r="X111" s="56">
        <f t="shared" si="107"/>
        <v>223253.66909580704</v>
      </c>
      <c r="Y111" s="58">
        <f t="shared" si="108"/>
        <v>1927.5178894247106</v>
      </c>
      <c r="Z111" s="58">
        <f t="shared" si="109"/>
        <v>1927.5178894247106</v>
      </c>
      <c r="AA111" s="56">
        <f t="shared" si="110"/>
        <v>223253.66909580704</v>
      </c>
      <c r="AB111" s="56">
        <f t="shared" ref="AB111:AD111" si="116">+AA111</f>
        <v>223253.66909580704</v>
      </c>
      <c r="AC111" s="56">
        <f t="shared" si="116"/>
        <v>223253.66909580704</v>
      </c>
      <c r="AD111" s="56">
        <f t="shared" si="116"/>
        <v>223253.66909580704</v>
      </c>
    </row>
    <row r="112" spans="4:30" ht="16.5" customHeight="1" x14ac:dyDescent="0.15">
      <c r="D112" s="112"/>
      <c r="E112" s="113"/>
      <c r="F112" s="113"/>
      <c r="G112" s="122"/>
      <c r="H112" s="114"/>
      <c r="I112" s="114"/>
      <c r="J112" s="114"/>
      <c r="K112" s="114"/>
      <c r="L112" s="132"/>
      <c r="M112" s="132"/>
      <c r="N112" s="108"/>
      <c r="O112" s="123"/>
      <c r="P112" s="124"/>
      <c r="S112" s="10">
        <f t="shared" si="97"/>
        <v>156</v>
      </c>
      <c r="T112" s="10" t="s">
        <v>98</v>
      </c>
      <c r="U112" s="56">
        <f t="shared" si="105"/>
        <v>218434.87437224528</v>
      </c>
      <c r="V112" s="58">
        <f t="shared" si="105"/>
        <v>2293.6139645328362</v>
      </c>
      <c r="W112" s="58">
        <f t="shared" si="106"/>
        <v>2293.6139645328362</v>
      </c>
      <c r="X112" s="56">
        <f t="shared" si="107"/>
        <v>218434.87437224528</v>
      </c>
      <c r="Y112" s="58">
        <f t="shared" si="108"/>
        <v>2293.6139645328362</v>
      </c>
      <c r="Z112" s="58">
        <f t="shared" si="109"/>
        <v>2293.6139645328362</v>
      </c>
      <c r="AA112" s="56">
        <f t="shared" si="110"/>
        <v>218434.87437224528</v>
      </c>
      <c r="AB112" s="56">
        <f t="shared" ref="AB112:AD112" si="117">+AA112</f>
        <v>218434.87437224528</v>
      </c>
      <c r="AC112" s="56">
        <f t="shared" si="117"/>
        <v>218434.87437224528</v>
      </c>
      <c r="AD112" s="56">
        <f t="shared" si="117"/>
        <v>218434.87437224528</v>
      </c>
    </row>
    <row r="113" spans="4:30" ht="16.5" customHeight="1" x14ac:dyDescent="0.15">
      <c r="D113" s="112"/>
      <c r="E113" s="113"/>
      <c r="F113" s="113"/>
      <c r="G113" s="122"/>
      <c r="H113" s="114">
        <f t="shared" ref="H113" si="118">+H111</f>
        <v>1.3</v>
      </c>
      <c r="I113" s="114"/>
      <c r="J113" s="114">
        <f t="shared" ref="J113" si="119">+J111</f>
        <v>1.3</v>
      </c>
      <c r="K113" s="114"/>
      <c r="L113" s="131">
        <f>+L111+1</f>
        <v>142</v>
      </c>
      <c r="M113" s="131"/>
      <c r="N113" s="107">
        <f>+G104*J113</f>
        <v>8564.4</v>
      </c>
      <c r="O113" s="150">
        <f>+E67*N113</f>
        <v>34977.612959125749</v>
      </c>
      <c r="P113" s="149">
        <f>+E70*O113</f>
        <v>69955.225918251497</v>
      </c>
      <c r="S113" s="10">
        <f t="shared" si="97"/>
        <v>157</v>
      </c>
      <c r="T113" s="10" t="s">
        <v>98</v>
      </c>
      <c r="U113" s="56">
        <f t="shared" si="105"/>
        <v>218434.87437224528</v>
      </c>
      <c r="V113" s="58">
        <f t="shared" si="105"/>
        <v>2293.6139645328362</v>
      </c>
      <c r="W113" s="58">
        <f t="shared" si="106"/>
        <v>2293.6139645328362</v>
      </c>
      <c r="X113" s="56">
        <f t="shared" si="107"/>
        <v>218434.87437224528</v>
      </c>
      <c r="Y113" s="58">
        <f t="shared" si="108"/>
        <v>2293.6139645328362</v>
      </c>
      <c r="Z113" s="58">
        <f t="shared" si="109"/>
        <v>2293.6139645328362</v>
      </c>
      <c r="AA113" s="56">
        <f t="shared" si="110"/>
        <v>218434.87437224528</v>
      </c>
      <c r="AB113" s="56">
        <f t="shared" ref="AB113:AD113" si="120">+AA113</f>
        <v>218434.87437224528</v>
      </c>
      <c r="AC113" s="56">
        <f t="shared" si="120"/>
        <v>218434.87437224528</v>
      </c>
      <c r="AD113" s="56">
        <f t="shared" si="120"/>
        <v>218434.87437224528</v>
      </c>
    </row>
    <row r="114" spans="4:30" ht="16.5" customHeight="1" x14ac:dyDescent="0.15">
      <c r="D114" s="112"/>
      <c r="E114" s="113"/>
      <c r="F114" s="113"/>
      <c r="G114" s="122"/>
      <c r="H114" s="114"/>
      <c r="I114" s="114"/>
      <c r="J114" s="114"/>
      <c r="K114" s="114"/>
      <c r="L114" s="132"/>
      <c r="M114" s="132"/>
      <c r="N114" s="108"/>
      <c r="O114" s="123"/>
      <c r="P114" s="124"/>
      <c r="S114" s="10">
        <f t="shared" si="97"/>
        <v>158</v>
      </c>
      <c r="T114" s="10" t="s">
        <v>98</v>
      </c>
      <c r="U114" s="56">
        <f t="shared" si="105"/>
        <v>218434.87437224528</v>
      </c>
      <c r="V114" s="58">
        <f t="shared" si="105"/>
        <v>2293.6139645328362</v>
      </c>
      <c r="W114" s="58">
        <f t="shared" si="106"/>
        <v>2293.6139645328362</v>
      </c>
      <c r="X114" s="56">
        <f t="shared" si="107"/>
        <v>218434.87437224528</v>
      </c>
      <c r="Y114" s="58">
        <f t="shared" si="108"/>
        <v>2293.6139645328362</v>
      </c>
      <c r="Z114" s="58">
        <f t="shared" si="109"/>
        <v>2293.6139645328362</v>
      </c>
      <c r="AA114" s="56">
        <f t="shared" si="110"/>
        <v>218434.87437224528</v>
      </c>
      <c r="AB114" s="56">
        <f t="shared" ref="AB114:AD114" si="121">+AA114</f>
        <v>218434.87437224528</v>
      </c>
      <c r="AC114" s="56">
        <f t="shared" si="121"/>
        <v>218434.87437224528</v>
      </c>
      <c r="AD114" s="56">
        <f t="shared" si="121"/>
        <v>218434.87437224528</v>
      </c>
    </row>
    <row r="115" spans="4:30" ht="16.5" customHeight="1" x14ac:dyDescent="0.15">
      <c r="D115" s="112"/>
      <c r="E115" s="113"/>
      <c r="F115" s="113"/>
      <c r="G115" s="122"/>
      <c r="H115" s="114">
        <f t="shared" ref="H115" si="122">+H113</f>
        <v>1.3</v>
      </c>
      <c r="I115" s="114"/>
      <c r="J115" s="114">
        <f t="shared" ref="J115" si="123">+J113</f>
        <v>1.3</v>
      </c>
      <c r="K115" s="114"/>
      <c r="L115" s="131">
        <f t="shared" ref="L115" si="124">+L113+1</f>
        <v>143</v>
      </c>
      <c r="M115" s="131"/>
      <c r="N115" s="107">
        <f>+G104*J115</f>
        <v>8564.4</v>
      </c>
      <c r="O115" s="150">
        <f>+E67*N115</f>
        <v>34977.612959125749</v>
      </c>
      <c r="P115" s="149">
        <f>+E70*O115</f>
        <v>69955.225918251497</v>
      </c>
      <c r="S115" s="10">
        <f t="shared" si="97"/>
        <v>159</v>
      </c>
      <c r="T115" s="10" t="s">
        <v>98</v>
      </c>
      <c r="U115" s="56">
        <f t="shared" si="105"/>
        <v>218434.87437224528</v>
      </c>
      <c r="V115" s="58">
        <f t="shared" si="105"/>
        <v>2293.6139645328362</v>
      </c>
      <c r="W115" s="58">
        <f t="shared" si="106"/>
        <v>2293.6139645328362</v>
      </c>
      <c r="X115" s="56">
        <f t="shared" si="107"/>
        <v>218434.87437224528</v>
      </c>
      <c r="Y115" s="58">
        <f t="shared" si="108"/>
        <v>2293.6139645328362</v>
      </c>
      <c r="Z115" s="58">
        <f t="shared" si="109"/>
        <v>2293.6139645328362</v>
      </c>
      <c r="AA115" s="56">
        <f t="shared" si="110"/>
        <v>218434.87437224528</v>
      </c>
      <c r="AB115" s="56">
        <f t="shared" ref="AB115:AD115" si="125">+AA115</f>
        <v>218434.87437224528</v>
      </c>
      <c r="AC115" s="56">
        <f t="shared" si="125"/>
        <v>218434.87437224528</v>
      </c>
      <c r="AD115" s="56">
        <f t="shared" si="125"/>
        <v>218434.87437224528</v>
      </c>
    </row>
    <row r="116" spans="4:30" ht="16.5" customHeight="1" x14ac:dyDescent="0.15">
      <c r="D116" s="112"/>
      <c r="E116" s="113"/>
      <c r="F116" s="113"/>
      <c r="G116" s="122"/>
      <c r="H116" s="114"/>
      <c r="I116" s="114"/>
      <c r="J116" s="114"/>
      <c r="K116" s="114"/>
      <c r="L116" s="132"/>
      <c r="M116" s="132"/>
      <c r="N116" s="108"/>
      <c r="O116" s="123"/>
      <c r="P116" s="124"/>
      <c r="S116" s="10">
        <f t="shared" si="97"/>
        <v>160</v>
      </c>
      <c r="T116" s="10" t="s">
        <v>98</v>
      </c>
      <c r="U116" s="56">
        <f t="shared" si="105"/>
        <v>218434.87437224528</v>
      </c>
      <c r="V116" s="58">
        <f t="shared" si="105"/>
        <v>2293.6139645328362</v>
      </c>
      <c r="W116" s="58">
        <f t="shared" si="106"/>
        <v>2293.6139645328362</v>
      </c>
      <c r="X116" s="56">
        <f t="shared" si="107"/>
        <v>218434.87437224528</v>
      </c>
      <c r="Y116" s="58">
        <f t="shared" si="108"/>
        <v>2293.6139645328362</v>
      </c>
      <c r="Z116" s="58">
        <f t="shared" si="109"/>
        <v>2293.6139645328362</v>
      </c>
      <c r="AA116" s="56">
        <f t="shared" si="110"/>
        <v>218434.87437224528</v>
      </c>
      <c r="AB116" s="56">
        <f t="shared" ref="AB116:AD116" si="126">+AA116</f>
        <v>218434.87437224528</v>
      </c>
      <c r="AC116" s="56">
        <f t="shared" si="126"/>
        <v>218434.87437224528</v>
      </c>
      <c r="AD116" s="56">
        <f t="shared" si="126"/>
        <v>218434.87437224528</v>
      </c>
    </row>
    <row r="117" spans="4:30" ht="16.5" customHeight="1" x14ac:dyDescent="0.15">
      <c r="D117" s="112"/>
      <c r="E117" s="113"/>
      <c r="F117" s="113"/>
      <c r="G117" s="122"/>
      <c r="H117" s="114">
        <f t="shared" ref="H117" si="127">+H115</f>
        <v>1.3</v>
      </c>
      <c r="I117" s="114"/>
      <c r="J117" s="114">
        <f t="shared" ref="J117" si="128">+J115</f>
        <v>1.3</v>
      </c>
      <c r="K117" s="114"/>
      <c r="L117" s="131">
        <f t="shared" ref="L117" si="129">+L115+1</f>
        <v>144</v>
      </c>
      <c r="M117" s="131"/>
      <c r="N117" s="107">
        <f>+G104*J117</f>
        <v>8564.4</v>
      </c>
      <c r="O117" s="150">
        <f>+E67*N117</f>
        <v>34977.612959125749</v>
      </c>
      <c r="P117" s="149">
        <f>+E70*O117</f>
        <v>69955.225918251497</v>
      </c>
      <c r="S117" s="10">
        <f t="shared" si="97"/>
        <v>161</v>
      </c>
      <c r="T117" s="10" t="s">
        <v>98</v>
      </c>
      <c r="U117" s="56">
        <f t="shared" si="105"/>
        <v>218434.87437224528</v>
      </c>
      <c r="V117" s="58">
        <f t="shared" si="105"/>
        <v>2293.6139645328362</v>
      </c>
      <c r="W117" s="58">
        <f t="shared" si="106"/>
        <v>2293.6139645328362</v>
      </c>
      <c r="X117" s="56">
        <f t="shared" si="107"/>
        <v>218434.87437224528</v>
      </c>
      <c r="Y117" s="58">
        <f t="shared" si="108"/>
        <v>2293.6139645328362</v>
      </c>
      <c r="Z117" s="58">
        <f t="shared" si="109"/>
        <v>2293.6139645328362</v>
      </c>
      <c r="AA117" s="56">
        <f t="shared" si="110"/>
        <v>218434.87437224528</v>
      </c>
      <c r="AB117" s="56">
        <f t="shared" ref="AB117:AD117" si="130">+AA117</f>
        <v>218434.87437224528</v>
      </c>
      <c r="AC117" s="56">
        <f t="shared" si="130"/>
        <v>218434.87437224528</v>
      </c>
      <c r="AD117" s="56">
        <f t="shared" si="130"/>
        <v>218434.87437224528</v>
      </c>
    </row>
    <row r="118" spans="4:30" ht="16.5" customHeight="1" x14ac:dyDescent="0.15">
      <c r="D118" s="112"/>
      <c r="E118" s="113"/>
      <c r="F118" s="113"/>
      <c r="G118" s="122"/>
      <c r="H118" s="114"/>
      <c r="I118" s="114"/>
      <c r="J118" s="114"/>
      <c r="K118" s="114"/>
      <c r="L118" s="132"/>
      <c r="M118" s="132"/>
      <c r="N118" s="108"/>
      <c r="O118" s="123"/>
      <c r="P118" s="124"/>
      <c r="S118" s="10">
        <f t="shared" si="97"/>
        <v>162</v>
      </c>
      <c r="T118" s="10" t="s">
        <v>98</v>
      </c>
      <c r="U118" s="56">
        <f t="shared" si="105"/>
        <v>179145.70823940641</v>
      </c>
      <c r="V118" s="58">
        <f t="shared" si="105"/>
        <v>1693.7456968857882</v>
      </c>
      <c r="W118" s="58">
        <f t="shared" si="106"/>
        <v>1693.7456968857882</v>
      </c>
      <c r="X118" s="56">
        <f t="shared" si="107"/>
        <v>179145.70823940641</v>
      </c>
      <c r="Y118" s="58">
        <f t="shared" si="108"/>
        <v>1693.7456968857882</v>
      </c>
      <c r="Z118" s="58">
        <f t="shared" si="109"/>
        <v>1693.7456968857882</v>
      </c>
      <c r="AA118" s="56">
        <f t="shared" si="110"/>
        <v>179145.70823940641</v>
      </c>
      <c r="AB118" s="56">
        <f t="shared" ref="AB118:AD118" si="131">+AA118</f>
        <v>179145.70823940641</v>
      </c>
      <c r="AC118" s="56">
        <f t="shared" si="131"/>
        <v>179145.70823940641</v>
      </c>
      <c r="AD118" s="56">
        <f t="shared" si="131"/>
        <v>179145.70823940641</v>
      </c>
    </row>
    <row r="119" spans="4:30" ht="16.5" customHeight="1" x14ac:dyDescent="0.15">
      <c r="D119" s="112"/>
      <c r="E119" s="113"/>
      <c r="F119" s="113"/>
      <c r="G119" s="122"/>
      <c r="H119" s="114">
        <f t="shared" ref="H119" si="132">+H117</f>
        <v>1.3</v>
      </c>
      <c r="I119" s="114"/>
      <c r="J119" s="114">
        <f t="shared" ref="J119" si="133">+J117</f>
        <v>1.3</v>
      </c>
      <c r="K119" s="114"/>
      <c r="L119" s="131">
        <f t="shared" ref="L119" si="134">+L117+1</f>
        <v>145</v>
      </c>
      <c r="M119" s="131"/>
      <c r="N119" s="107">
        <f>+G104*J119</f>
        <v>8564.4</v>
      </c>
      <c r="O119" s="150">
        <f>+E67*N119</f>
        <v>34977.612959125749</v>
      </c>
      <c r="P119" s="149">
        <f>+E70*O119</f>
        <v>69955.225918251497</v>
      </c>
      <c r="S119" s="10">
        <f t="shared" si="97"/>
        <v>163</v>
      </c>
      <c r="T119" s="10" t="s">
        <v>98</v>
      </c>
      <c r="U119" s="56">
        <f t="shared" si="105"/>
        <v>104932.83887737725</v>
      </c>
      <c r="V119" s="58">
        <f t="shared" si="105"/>
        <v>560.66119133024893</v>
      </c>
      <c r="W119" s="58">
        <f t="shared" si="106"/>
        <v>560.66119133024893</v>
      </c>
      <c r="X119" s="56">
        <f t="shared" si="107"/>
        <v>104932.83887737725</v>
      </c>
      <c r="Y119" s="58">
        <f t="shared" si="108"/>
        <v>560.66119133024893</v>
      </c>
      <c r="Z119" s="58">
        <f t="shared" si="109"/>
        <v>560.66119133024893</v>
      </c>
      <c r="AA119" s="56">
        <f t="shared" si="110"/>
        <v>104932.83887737725</v>
      </c>
      <c r="AB119" s="56">
        <f t="shared" ref="AB119:AD119" si="135">+AA119</f>
        <v>104932.83887737725</v>
      </c>
      <c r="AC119" s="56">
        <f t="shared" si="135"/>
        <v>104932.83887737725</v>
      </c>
      <c r="AD119" s="56">
        <f t="shared" si="135"/>
        <v>104932.83887737725</v>
      </c>
    </row>
    <row r="120" spans="4:30" ht="16.5" customHeight="1" x14ac:dyDescent="0.15">
      <c r="D120" s="112"/>
      <c r="E120" s="113"/>
      <c r="F120" s="113"/>
      <c r="G120" s="122"/>
      <c r="H120" s="114"/>
      <c r="I120" s="114"/>
      <c r="J120" s="114"/>
      <c r="K120" s="114"/>
      <c r="L120" s="132"/>
      <c r="M120" s="132"/>
      <c r="N120" s="108"/>
      <c r="O120" s="123"/>
      <c r="P120" s="124"/>
      <c r="S120" s="10">
        <f t="shared" si="97"/>
        <v>164</v>
      </c>
      <c r="T120" s="10" t="s">
        <v>98</v>
      </c>
      <c r="U120" s="56">
        <f t="shared" si="105"/>
        <v>104932.83887737725</v>
      </c>
      <c r="V120" s="58">
        <f t="shared" si="105"/>
        <v>560.66119133024893</v>
      </c>
      <c r="W120" s="58">
        <f t="shared" si="106"/>
        <v>560.66119133024893</v>
      </c>
      <c r="X120" s="56">
        <f t="shared" si="107"/>
        <v>104932.83887737725</v>
      </c>
      <c r="Y120" s="58">
        <f t="shared" si="108"/>
        <v>560.66119133024893</v>
      </c>
      <c r="Z120" s="58">
        <f t="shared" si="109"/>
        <v>560.66119133024893</v>
      </c>
      <c r="AA120" s="56">
        <f t="shared" si="110"/>
        <v>104932.83887737725</v>
      </c>
      <c r="AB120" s="56">
        <f t="shared" ref="AB120:AD120" si="136">+AA120</f>
        <v>104932.83887737725</v>
      </c>
      <c r="AC120" s="56">
        <f t="shared" si="136"/>
        <v>104932.83887737725</v>
      </c>
      <c r="AD120" s="56">
        <f t="shared" si="136"/>
        <v>104932.83887737725</v>
      </c>
    </row>
    <row r="121" spans="4:30" ht="16.5" customHeight="1" x14ac:dyDescent="0.15">
      <c r="D121" s="112"/>
      <c r="E121" s="113"/>
      <c r="F121" s="113"/>
      <c r="G121" s="122"/>
      <c r="H121" s="114">
        <f>+H58</f>
        <v>1.2</v>
      </c>
      <c r="I121" s="114"/>
      <c r="J121" s="114">
        <f>+F104-K104-J105-J107-J109-J111-J113-J115-J117-J119</f>
        <v>0.44999999999999885</v>
      </c>
      <c r="K121" s="114"/>
      <c r="L121" s="131">
        <f t="shared" ref="L121" si="137">+L119+1</f>
        <v>146</v>
      </c>
      <c r="M121" s="131"/>
      <c r="N121" s="107">
        <f>+G104*J121</f>
        <v>2964.5999999999922</v>
      </c>
      <c r="O121" s="150">
        <f>+E67*N121</f>
        <v>12107.635255081959</v>
      </c>
      <c r="P121" s="149">
        <f>+E70*O121</f>
        <v>24215.270510163919</v>
      </c>
      <c r="S121" s="10">
        <f t="shared" si="97"/>
        <v>165</v>
      </c>
      <c r="T121" s="10" t="s">
        <v>98</v>
      </c>
      <c r="U121" s="56">
        <f t="shared" si="105"/>
        <v>104932.83887737725</v>
      </c>
      <c r="V121" s="58">
        <f t="shared" si="105"/>
        <v>560.66119133024893</v>
      </c>
      <c r="W121" s="58">
        <f t="shared" si="106"/>
        <v>560.66119133024893</v>
      </c>
      <c r="X121" s="56">
        <f t="shared" si="107"/>
        <v>104932.83887737725</v>
      </c>
      <c r="Y121" s="58">
        <f t="shared" si="108"/>
        <v>560.66119133024893</v>
      </c>
      <c r="Z121" s="58">
        <f t="shared" si="109"/>
        <v>560.66119133024893</v>
      </c>
      <c r="AA121" s="56">
        <f t="shared" si="110"/>
        <v>104932.83887737725</v>
      </c>
      <c r="AB121" s="56">
        <f t="shared" ref="AB121:AD121" si="138">+AA121</f>
        <v>104932.83887737725</v>
      </c>
      <c r="AC121" s="56">
        <f t="shared" si="138"/>
        <v>104932.83887737725</v>
      </c>
      <c r="AD121" s="56">
        <f t="shared" si="138"/>
        <v>104932.83887737725</v>
      </c>
    </row>
    <row r="122" spans="4:30" ht="16.5" customHeight="1" x14ac:dyDescent="0.15">
      <c r="D122" s="112"/>
      <c r="E122" s="113"/>
      <c r="F122" s="113"/>
      <c r="G122" s="122"/>
      <c r="H122" s="114"/>
      <c r="I122" s="114"/>
      <c r="J122" s="114"/>
      <c r="K122" s="114"/>
      <c r="L122" s="132"/>
      <c r="M122" s="132"/>
      <c r="N122" s="108"/>
      <c r="O122" s="123"/>
      <c r="P122" s="124"/>
      <c r="S122" s="10">
        <f t="shared" si="97"/>
        <v>166</v>
      </c>
      <c r="T122" s="10" t="s">
        <v>98</v>
      </c>
      <c r="U122" s="56">
        <f t="shared" si="105"/>
        <v>104932.83887737725</v>
      </c>
      <c r="V122" s="58">
        <f t="shared" si="105"/>
        <v>560.66119133024893</v>
      </c>
      <c r="W122" s="58">
        <f t="shared" si="106"/>
        <v>560.66119133024893</v>
      </c>
      <c r="X122" s="56">
        <f t="shared" si="107"/>
        <v>104932.83887737725</v>
      </c>
      <c r="Y122" s="58">
        <f t="shared" si="108"/>
        <v>560.66119133024893</v>
      </c>
      <c r="Z122" s="58">
        <f t="shared" si="109"/>
        <v>560.66119133024893</v>
      </c>
      <c r="AA122" s="56">
        <f t="shared" si="110"/>
        <v>104932.83887737725</v>
      </c>
      <c r="AB122" s="56">
        <f t="shared" ref="AB122:AD122" si="139">+AA122</f>
        <v>104932.83887737725</v>
      </c>
      <c r="AC122" s="56">
        <f t="shared" si="139"/>
        <v>104932.83887737725</v>
      </c>
      <c r="AD122" s="56">
        <f t="shared" si="139"/>
        <v>104932.83887737725</v>
      </c>
    </row>
    <row r="123" spans="4:30" ht="16.5" customHeight="1" x14ac:dyDescent="0.15">
      <c r="D123" s="112"/>
      <c r="E123" s="113"/>
      <c r="F123" s="113"/>
      <c r="G123" s="122"/>
      <c r="H123" s="20">
        <f>+E104-I104-H105-H107-H109-H111-H113-H115-H117-H119-H121</f>
        <v>0.54999999999999893</v>
      </c>
      <c r="I123" s="26"/>
      <c r="J123" s="37" t="s">
        <v>8</v>
      </c>
      <c r="K123" s="26"/>
      <c r="L123" s="10">
        <f>+L121+1</f>
        <v>147</v>
      </c>
      <c r="M123" s="10"/>
      <c r="N123" s="33" t="s">
        <v>8</v>
      </c>
      <c r="O123" s="33" t="s">
        <v>8</v>
      </c>
      <c r="P123" s="33" t="s">
        <v>8</v>
      </c>
      <c r="S123" s="10">
        <f t="shared" si="97"/>
        <v>167</v>
      </c>
      <c r="T123" s="10" t="s">
        <v>98</v>
      </c>
      <c r="U123" s="56">
        <f t="shared" si="105"/>
        <v>104932.83887737725</v>
      </c>
      <c r="V123" s="58">
        <f t="shared" si="105"/>
        <v>560.66119133024893</v>
      </c>
      <c r="W123" s="58">
        <f t="shared" si="106"/>
        <v>560.66119133024893</v>
      </c>
      <c r="X123" s="56">
        <f t="shared" si="107"/>
        <v>104932.83887737725</v>
      </c>
      <c r="Y123" s="58">
        <f t="shared" si="108"/>
        <v>560.66119133024893</v>
      </c>
      <c r="Z123" s="58">
        <f t="shared" si="109"/>
        <v>560.66119133024893</v>
      </c>
      <c r="AA123" s="56">
        <f t="shared" si="110"/>
        <v>104932.83887737725</v>
      </c>
      <c r="AB123" s="56">
        <f t="shared" ref="AB123:AD123" si="140">+AA123</f>
        <v>104932.83887737725</v>
      </c>
      <c r="AC123" s="56">
        <f t="shared" si="140"/>
        <v>104932.83887737725</v>
      </c>
      <c r="AD123" s="56">
        <f t="shared" si="140"/>
        <v>104932.83887737725</v>
      </c>
    </row>
    <row r="124" spans="4:30" ht="16.5" customHeight="1" x14ac:dyDescent="0.15">
      <c r="D124" s="27" t="s">
        <v>28</v>
      </c>
      <c r="E124" s="20">
        <f>SUM(E76:E123)</f>
        <v>31</v>
      </c>
      <c r="F124" s="20">
        <f>SUM(F76:F123)</f>
        <v>24.754999999999995</v>
      </c>
      <c r="G124" s="26"/>
      <c r="H124" s="20">
        <f>SUM(H75:H123)</f>
        <v>31.000000000000007</v>
      </c>
      <c r="I124" s="26"/>
      <c r="J124" s="20">
        <f>SUM(J81:J122)</f>
        <v>25.150000000000006</v>
      </c>
      <c r="K124" s="67"/>
      <c r="L124" s="68"/>
      <c r="M124" s="68"/>
      <c r="N124" s="68"/>
      <c r="O124" s="68"/>
      <c r="P124" s="69"/>
      <c r="S124" s="10">
        <f t="shared" si="97"/>
        <v>168</v>
      </c>
      <c r="T124" s="10" t="s">
        <v>98</v>
      </c>
      <c r="U124" s="56">
        <f t="shared" si="105"/>
        <v>104932.83887737725</v>
      </c>
      <c r="V124" s="58">
        <f t="shared" si="105"/>
        <v>560.66119133024893</v>
      </c>
      <c r="W124" s="58">
        <f t="shared" si="106"/>
        <v>560.66119133024893</v>
      </c>
      <c r="X124" s="56">
        <f t="shared" si="107"/>
        <v>104932.83887737725</v>
      </c>
      <c r="Y124" s="58">
        <f t="shared" si="108"/>
        <v>560.66119133024893</v>
      </c>
      <c r="Z124" s="58">
        <f t="shared" si="109"/>
        <v>560.66119133024893</v>
      </c>
      <c r="AA124" s="56">
        <f t="shared" si="110"/>
        <v>104932.83887737725</v>
      </c>
      <c r="AB124" s="56">
        <f t="shared" ref="AB124:AD124" si="141">+AA124</f>
        <v>104932.83887737725</v>
      </c>
      <c r="AC124" s="56">
        <f t="shared" si="141"/>
        <v>104932.83887737725</v>
      </c>
      <c r="AD124" s="56">
        <f t="shared" si="141"/>
        <v>104932.83887737725</v>
      </c>
    </row>
    <row r="125" spans="4:30" ht="16.5" customHeight="1" x14ac:dyDescent="0.15">
      <c r="S125" s="10">
        <f t="shared" si="97"/>
        <v>169</v>
      </c>
      <c r="T125" s="10" t="s">
        <v>98</v>
      </c>
      <c r="U125" s="56">
        <f t="shared" si="105"/>
        <v>104932.83887737725</v>
      </c>
      <c r="V125" s="58">
        <f t="shared" si="105"/>
        <v>560.66119133024893</v>
      </c>
      <c r="W125" s="58">
        <f t="shared" si="106"/>
        <v>560.66119133024893</v>
      </c>
      <c r="X125" s="56">
        <f t="shared" si="107"/>
        <v>104932.83887737725</v>
      </c>
      <c r="Y125" s="58">
        <f t="shared" si="108"/>
        <v>560.66119133024893</v>
      </c>
      <c r="Z125" s="58">
        <f t="shared" si="109"/>
        <v>560.66119133024893</v>
      </c>
      <c r="AA125" s="56">
        <f t="shared" si="110"/>
        <v>104932.83887737725</v>
      </c>
      <c r="AB125" s="56">
        <f t="shared" ref="AB125:AD125" si="142">+AA125</f>
        <v>104932.83887737725</v>
      </c>
      <c r="AC125" s="56">
        <f t="shared" si="142"/>
        <v>104932.83887737725</v>
      </c>
      <c r="AD125" s="56">
        <f t="shared" si="142"/>
        <v>104932.83887737725</v>
      </c>
    </row>
    <row r="126" spans="4:30" ht="16.5" customHeight="1" x14ac:dyDescent="0.15">
      <c r="S126" s="10">
        <f t="shared" si="97"/>
        <v>170</v>
      </c>
      <c r="T126" s="10" t="s">
        <v>98</v>
      </c>
      <c r="U126" s="56">
        <f t="shared" si="105"/>
        <v>104932.83887737725</v>
      </c>
      <c r="V126" s="58">
        <f t="shared" si="105"/>
        <v>560.66119133024893</v>
      </c>
      <c r="W126" s="58">
        <f t="shared" si="106"/>
        <v>560.66119133024893</v>
      </c>
      <c r="X126" s="56">
        <f t="shared" si="107"/>
        <v>104932.83887737725</v>
      </c>
      <c r="Y126" s="58">
        <f t="shared" si="108"/>
        <v>560.66119133024893</v>
      </c>
      <c r="Z126" s="58">
        <f t="shared" si="109"/>
        <v>560.66119133024893</v>
      </c>
      <c r="AA126" s="56">
        <f t="shared" si="110"/>
        <v>104932.83887737725</v>
      </c>
      <c r="AB126" s="56">
        <f t="shared" ref="AB126:AD126" si="143">+AA126</f>
        <v>104932.83887737725</v>
      </c>
      <c r="AC126" s="56">
        <f t="shared" si="143"/>
        <v>104932.83887737725</v>
      </c>
      <c r="AD126" s="56">
        <f t="shared" si="143"/>
        <v>104932.83887737725</v>
      </c>
    </row>
    <row r="127" spans="4:30" ht="16.5" customHeight="1" x14ac:dyDescent="0.15">
      <c r="S127" s="10">
        <f t="shared" si="97"/>
        <v>171</v>
      </c>
      <c r="T127" s="10" t="s">
        <v>98</v>
      </c>
      <c r="U127" s="56">
        <f t="shared" si="105"/>
        <v>36322.90576524588</v>
      </c>
      <c r="V127" s="58">
        <f t="shared" si="105"/>
        <v>194.07502776816258</v>
      </c>
      <c r="W127" s="58">
        <f t="shared" si="106"/>
        <v>194.07502776816258</v>
      </c>
      <c r="X127" s="56">
        <f t="shared" si="107"/>
        <v>36322.90576524588</v>
      </c>
      <c r="Y127" s="58">
        <f t="shared" si="108"/>
        <v>194.07502776816258</v>
      </c>
      <c r="Z127" s="58">
        <f t="shared" si="109"/>
        <v>194.07502776816258</v>
      </c>
      <c r="AA127" s="56">
        <f t="shared" si="110"/>
        <v>36322.90576524588</v>
      </c>
      <c r="AB127" s="56">
        <f t="shared" ref="AB127:AD127" si="144">+AA127</f>
        <v>36322.90576524588</v>
      </c>
      <c r="AC127" s="56">
        <f t="shared" si="144"/>
        <v>36322.90576524588</v>
      </c>
      <c r="AD127" s="56">
        <f t="shared" si="144"/>
        <v>36322.90576524588</v>
      </c>
    </row>
    <row r="128" spans="4:30" ht="16.5" customHeight="1" x14ac:dyDescent="0.15">
      <c r="S128" s="10">
        <f t="shared" si="97"/>
        <v>172</v>
      </c>
      <c r="T128" s="10"/>
      <c r="U128" s="56"/>
      <c r="V128" s="63"/>
      <c r="W128" s="63"/>
      <c r="X128" s="56"/>
      <c r="Y128" s="63"/>
      <c r="Z128" s="63"/>
      <c r="AA128" s="56"/>
      <c r="AB128" s="56"/>
      <c r="AC128" s="56"/>
      <c r="AD128" s="56"/>
    </row>
  </sheetData>
  <mergeCells count="484">
    <mergeCell ref="L8:M12"/>
    <mergeCell ref="N8:N12"/>
    <mergeCell ref="O8:P11"/>
    <mergeCell ref="D13:D14"/>
    <mergeCell ref="E13:E14"/>
    <mergeCell ref="F13:F14"/>
    <mergeCell ref="G13:G14"/>
    <mergeCell ref="H14:H15"/>
    <mergeCell ref="J14:J15"/>
    <mergeCell ref="L14:L15"/>
    <mergeCell ref="D8:D12"/>
    <mergeCell ref="E8:E12"/>
    <mergeCell ref="F8:F12"/>
    <mergeCell ref="G8:G12"/>
    <mergeCell ref="H8:I12"/>
    <mergeCell ref="J8:K12"/>
    <mergeCell ref="M14:M15"/>
    <mergeCell ref="N14:N15"/>
    <mergeCell ref="O14:O15"/>
    <mergeCell ref="P14:P15"/>
    <mergeCell ref="D15:D16"/>
    <mergeCell ref="E15:E16"/>
    <mergeCell ref="F15:F16"/>
    <mergeCell ref="G15:G16"/>
    <mergeCell ref="H16:H17"/>
    <mergeCell ref="J16:J17"/>
    <mergeCell ref="L16:L17"/>
    <mergeCell ref="M16:M17"/>
    <mergeCell ref="N16:N17"/>
    <mergeCell ref="O16:O17"/>
    <mergeCell ref="P16:P17"/>
    <mergeCell ref="D17:D20"/>
    <mergeCell ref="E17:E20"/>
    <mergeCell ref="F17:F20"/>
    <mergeCell ref="G17:G20"/>
    <mergeCell ref="H18:H19"/>
    <mergeCell ref="D21:D24"/>
    <mergeCell ref="E21:E24"/>
    <mergeCell ref="F21:F24"/>
    <mergeCell ref="G21:G24"/>
    <mergeCell ref="H22:H23"/>
    <mergeCell ref="I22:I23"/>
    <mergeCell ref="O18:O19"/>
    <mergeCell ref="P18:P19"/>
    <mergeCell ref="H20:H21"/>
    <mergeCell ref="J20:J21"/>
    <mergeCell ref="L20:L21"/>
    <mergeCell ref="M20:M21"/>
    <mergeCell ref="N20:N21"/>
    <mergeCell ref="O20:O21"/>
    <mergeCell ref="P20:P21"/>
    <mergeCell ref="I18:I19"/>
    <mergeCell ref="J18:J19"/>
    <mergeCell ref="K18:K19"/>
    <mergeCell ref="L18:L19"/>
    <mergeCell ref="M18:M19"/>
    <mergeCell ref="N18:N19"/>
    <mergeCell ref="P22:P23"/>
    <mergeCell ref="H24:H25"/>
    <mergeCell ref="J24:J25"/>
    <mergeCell ref="L24:L25"/>
    <mergeCell ref="M24:M25"/>
    <mergeCell ref="N24:N25"/>
    <mergeCell ref="O24:O25"/>
    <mergeCell ref="P24:P25"/>
    <mergeCell ref="J22:J23"/>
    <mergeCell ref="K22:K23"/>
    <mergeCell ref="L22:L23"/>
    <mergeCell ref="M22:M23"/>
    <mergeCell ref="N22:N23"/>
    <mergeCell ref="O22:O23"/>
    <mergeCell ref="L26:L27"/>
    <mergeCell ref="M26:M27"/>
    <mergeCell ref="N26:N27"/>
    <mergeCell ref="O26:O27"/>
    <mergeCell ref="P26:P27"/>
    <mergeCell ref="D27:D40"/>
    <mergeCell ref="E27:E40"/>
    <mergeCell ref="F27:F40"/>
    <mergeCell ref="G27:G40"/>
    <mergeCell ref="H28:H29"/>
    <mergeCell ref="D25:D26"/>
    <mergeCell ref="E25:E26"/>
    <mergeCell ref="F25:F26"/>
    <mergeCell ref="G25:G26"/>
    <mergeCell ref="H26:H27"/>
    <mergeCell ref="J26:J27"/>
    <mergeCell ref="O28:O29"/>
    <mergeCell ref="P28:P29"/>
    <mergeCell ref="H30:H31"/>
    <mergeCell ref="I30:I31"/>
    <mergeCell ref="J30:J31"/>
    <mergeCell ref="K30:K31"/>
    <mergeCell ref="L30:L31"/>
    <mergeCell ref="M30:M31"/>
    <mergeCell ref="N30:N31"/>
    <mergeCell ref="O30:O31"/>
    <mergeCell ref="I28:I29"/>
    <mergeCell ref="J28:J29"/>
    <mergeCell ref="K28:K29"/>
    <mergeCell ref="L28:L29"/>
    <mergeCell ref="M28:M29"/>
    <mergeCell ref="N28:N29"/>
    <mergeCell ref="P30:P31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N34:N35"/>
    <mergeCell ref="O34:O35"/>
    <mergeCell ref="P34:P35"/>
    <mergeCell ref="H36:H37"/>
    <mergeCell ref="I36:I37"/>
    <mergeCell ref="J36:J37"/>
    <mergeCell ref="K36:K37"/>
    <mergeCell ref="L36:L37"/>
    <mergeCell ref="M36:M37"/>
    <mergeCell ref="N36:N37"/>
    <mergeCell ref="H34:H35"/>
    <mergeCell ref="I34:I35"/>
    <mergeCell ref="J34:J35"/>
    <mergeCell ref="K34:K35"/>
    <mergeCell ref="L34:L35"/>
    <mergeCell ref="M34:M35"/>
    <mergeCell ref="P38:P39"/>
    <mergeCell ref="H40:H41"/>
    <mergeCell ref="J40:J41"/>
    <mergeCell ref="L40:L41"/>
    <mergeCell ref="M40:M41"/>
    <mergeCell ref="N40:N41"/>
    <mergeCell ref="O40:O41"/>
    <mergeCell ref="P40:P41"/>
    <mergeCell ref="O36:O37"/>
    <mergeCell ref="P36:P37"/>
    <mergeCell ref="H38:H39"/>
    <mergeCell ref="I38:I39"/>
    <mergeCell ref="J38:J39"/>
    <mergeCell ref="K38:K39"/>
    <mergeCell ref="L38:L39"/>
    <mergeCell ref="M38:M39"/>
    <mergeCell ref="N38:N39"/>
    <mergeCell ref="O38:O39"/>
    <mergeCell ref="P42:P43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J42:J43"/>
    <mergeCell ref="K42:K43"/>
    <mergeCell ref="L42:L43"/>
    <mergeCell ref="M42:M43"/>
    <mergeCell ref="N42:N43"/>
    <mergeCell ref="O42:O43"/>
    <mergeCell ref="H42:H43"/>
    <mergeCell ref="I42:I43"/>
    <mergeCell ref="P46:P47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J46:J47"/>
    <mergeCell ref="K46:K47"/>
    <mergeCell ref="L46:L47"/>
    <mergeCell ref="M46:M47"/>
    <mergeCell ref="N46:N47"/>
    <mergeCell ref="O46:O47"/>
    <mergeCell ref="H46:H47"/>
    <mergeCell ref="I46:I47"/>
    <mergeCell ref="P50:P51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J50:J51"/>
    <mergeCell ref="K50:K51"/>
    <mergeCell ref="L50:L51"/>
    <mergeCell ref="M50:M51"/>
    <mergeCell ref="N50:N51"/>
    <mergeCell ref="O50:O51"/>
    <mergeCell ref="H50:H51"/>
    <mergeCell ref="I50:I51"/>
    <mergeCell ref="N54:N55"/>
    <mergeCell ref="O54:O55"/>
    <mergeCell ref="P54:P55"/>
    <mergeCell ref="H56:H57"/>
    <mergeCell ref="I56:I57"/>
    <mergeCell ref="J56:J57"/>
    <mergeCell ref="K56:K57"/>
    <mergeCell ref="L56:L57"/>
    <mergeCell ref="M56:M57"/>
    <mergeCell ref="N56:N57"/>
    <mergeCell ref="H54:H55"/>
    <mergeCell ref="I54:I55"/>
    <mergeCell ref="J54:J55"/>
    <mergeCell ref="K54:K55"/>
    <mergeCell ref="L54:L55"/>
    <mergeCell ref="M54:M55"/>
    <mergeCell ref="O56:O57"/>
    <mergeCell ref="P56:P57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K61:P61"/>
    <mergeCell ref="D71:D75"/>
    <mergeCell ref="E71:E75"/>
    <mergeCell ref="F71:F75"/>
    <mergeCell ref="G71:G75"/>
    <mergeCell ref="H71:I75"/>
    <mergeCell ref="J71:K75"/>
    <mergeCell ref="L71:M75"/>
    <mergeCell ref="N71:N75"/>
    <mergeCell ref="D41:D60"/>
    <mergeCell ref="E41:E60"/>
    <mergeCell ref="F41:F60"/>
    <mergeCell ref="G41:G60"/>
    <mergeCell ref="O71:P74"/>
    <mergeCell ref="D76:D77"/>
    <mergeCell ref="E76:E77"/>
    <mergeCell ref="F76:F77"/>
    <mergeCell ref="G76:G77"/>
    <mergeCell ref="H77:H78"/>
    <mergeCell ref="J77:J78"/>
    <mergeCell ref="L77:L78"/>
    <mergeCell ref="M77:M78"/>
    <mergeCell ref="N77:N78"/>
    <mergeCell ref="O77:O78"/>
    <mergeCell ref="P77:P78"/>
    <mergeCell ref="D78:D79"/>
    <mergeCell ref="E78:E79"/>
    <mergeCell ref="F78:F79"/>
    <mergeCell ref="G78:G79"/>
    <mergeCell ref="H79:H80"/>
    <mergeCell ref="J79:J80"/>
    <mergeCell ref="L79:L80"/>
    <mergeCell ref="M79:M80"/>
    <mergeCell ref="K81:K82"/>
    <mergeCell ref="L81:L82"/>
    <mergeCell ref="M81:M82"/>
    <mergeCell ref="N81:N82"/>
    <mergeCell ref="O81:O82"/>
    <mergeCell ref="P81:P82"/>
    <mergeCell ref="N79:N80"/>
    <mergeCell ref="O79:O80"/>
    <mergeCell ref="P79:P80"/>
    <mergeCell ref="P83:P84"/>
    <mergeCell ref="D84:D87"/>
    <mergeCell ref="E84:E87"/>
    <mergeCell ref="F84:F87"/>
    <mergeCell ref="G84:G87"/>
    <mergeCell ref="H85:H86"/>
    <mergeCell ref="I85:I86"/>
    <mergeCell ref="J85:J86"/>
    <mergeCell ref="K85:K86"/>
    <mergeCell ref="L85:L86"/>
    <mergeCell ref="H83:H84"/>
    <mergeCell ref="J83:J84"/>
    <mergeCell ref="L83:L84"/>
    <mergeCell ref="M83:M84"/>
    <mergeCell ref="N83:N84"/>
    <mergeCell ref="O83:O84"/>
    <mergeCell ref="D80:D83"/>
    <mergeCell ref="E80:E83"/>
    <mergeCell ref="F80:F83"/>
    <mergeCell ref="G80:G83"/>
    <mergeCell ref="H81:H82"/>
    <mergeCell ref="I81:I82"/>
    <mergeCell ref="J81:J82"/>
    <mergeCell ref="M85:M86"/>
    <mergeCell ref="N85:N86"/>
    <mergeCell ref="O85:O86"/>
    <mergeCell ref="P85:P86"/>
    <mergeCell ref="H87:H88"/>
    <mergeCell ref="J87:J88"/>
    <mergeCell ref="L87:L88"/>
    <mergeCell ref="M87:M88"/>
    <mergeCell ref="N87:N88"/>
    <mergeCell ref="O87:O88"/>
    <mergeCell ref="P87:P88"/>
    <mergeCell ref="D88:D89"/>
    <mergeCell ref="E88:E89"/>
    <mergeCell ref="F88:F89"/>
    <mergeCell ref="G88:G89"/>
    <mergeCell ref="H89:H90"/>
    <mergeCell ref="J89:J90"/>
    <mergeCell ref="L89:L90"/>
    <mergeCell ref="M89:M90"/>
    <mergeCell ref="N89:N90"/>
    <mergeCell ref="O89:O90"/>
    <mergeCell ref="P89:P90"/>
    <mergeCell ref="D90:D103"/>
    <mergeCell ref="E90:E103"/>
    <mergeCell ref="F90:F103"/>
    <mergeCell ref="G90:G103"/>
    <mergeCell ref="H91:H92"/>
    <mergeCell ref="I91:I92"/>
    <mergeCell ref="J91:J92"/>
    <mergeCell ref="K91:K92"/>
    <mergeCell ref="L91:L92"/>
    <mergeCell ref="M91:M92"/>
    <mergeCell ref="N91:N92"/>
    <mergeCell ref="O91:O92"/>
    <mergeCell ref="P91:P92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P97:P98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N103:N104"/>
    <mergeCell ref="O103:O104"/>
    <mergeCell ref="M103:M104"/>
    <mergeCell ref="H97:H98"/>
    <mergeCell ref="I97:I98"/>
    <mergeCell ref="J97:J98"/>
    <mergeCell ref="K97:K98"/>
    <mergeCell ref="L97:L98"/>
    <mergeCell ref="M97:M98"/>
    <mergeCell ref="N97:N98"/>
    <mergeCell ref="O97:O98"/>
    <mergeCell ref="P99:P100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D104:D123"/>
    <mergeCell ref="E104:E123"/>
    <mergeCell ref="F104:F123"/>
    <mergeCell ref="G104:G123"/>
    <mergeCell ref="H105:H106"/>
    <mergeCell ref="I105:I106"/>
    <mergeCell ref="J105:J106"/>
    <mergeCell ref="K105:K106"/>
    <mergeCell ref="L105:L106"/>
    <mergeCell ref="H103:H104"/>
    <mergeCell ref="J103:J104"/>
    <mergeCell ref="L103:L104"/>
    <mergeCell ref="H111:H112"/>
    <mergeCell ref="I111:I112"/>
    <mergeCell ref="J111:J112"/>
    <mergeCell ref="K111:K112"/>
    <mergeCell ref="L111:L112"/>
    <mergeCell ref="H113:H114"/>
    <mergeCell ref="I113:I114"/>
    <mergeCell ref="J113:J114"/>
    <mergeCell ref="K113:K114"/>
    <mergeCell ref="L113:L114"/>
    <mergeCell ref="K115:K116"/>
    <mergeCell ref="L115:L116"/>
    <mergeCell ref="M111:M112"/>
    <mergeCell ref="N111:N112"/>
    <mergeCell ref="O111:O112"/>
    <mergeCell ref="N107:N108"/>
    <mergeCell ref="O107:O108"/>
    <mergeCell ref="H109:H110"/>
    <mergeCell ref="I109:I110"/>
    <mergeCell ref="J109:J110"/>
    <mergeCell ref="K109:K110"/>
    <mergeCell ref="L109:L110"/>
    <mergeCell ref="M109:M110"/>
    <mergeCell ref="N109:N110"/>
    <mergeCell ref="H107:H108"/>
    <mergeCell ref="I107:I108"/>
    <mergeCell ref="J107:J108"/>
    <mergeCell ref="K107:K108"/>
    <mergeCell ref="L107:L108"/>
    <mergeCell ref="M107:M108"/>
    <mergeCell ref="M113:M114"/>
    <mergeCell ref="N113:N114"/>
    <mergeCell ref="O113:O114"/>
    <mergeCell ref="P113:P114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N115:N116"/>
    <mergeCell ref="O115:O116"/>
    <mergeCell ref="H117:H118"/>
    <mergeCell ref="I117:I118"/>
    <mergeCell ref="J117:J118"/>
    <mergeCell ref="K117:K118"/>
    <mergeCell ref="L117:L118"/>
    <mergeCell ref="M117:M118"/>
    <mergeCell ref="N117:N118"/>
    <mergeCell ref="H115:H116"/>
    <mergeCell ref="I115:I116"/>
    <mergeCell ref="J115:J116"/>
    <mergeCell ref="M115:M116"/>
    <mergeCell ref="H121:H122"/>
    <mergeCell ref="I121:I122"/>
    <mergeCell ref="J121:J122"/>
    <mergeCell ref="K121:K122"/>
    <mergeCell ref="L121:L122"/>
    <mergeCell ref="M121:M122"/>
    <mergeCell ref="N121:N122"/>
    <mergeCell ref="O121:O122"/>
    <mergeCell ref="P121:P122"/>
    <mergeCell ref="K124:P124"/>
    <mergeCell ref="S8:S10"/>
    <mergeCell ref="T8:T10"/>
    <mergeCell ref="U8:W8"/>
    <mergeCell ref="X8:Z8"/>
    <mergeCell ref="V9:W9"/>
    <mergeCell ref="Y9:Z9"/>
    <mergeCell ref="S71:S73"/>
    <mergeCell ref="T71:T73"/>
    <mergeCell ref="U71:W71"/>
    <mergeCell ref="P119:P120"/>
    <mergeCell ref="O117:O118"/>
    <mergeCell ref="P117:P118"/>
    <mergeCell ref="P115:P116"/>
    <mergeCell ref="P111:P112"/>
    <mergeCell ref="O109:O110"/>
    <mergeCell ref="P109:P110"/>
    <mergeCell ref="P107:P108"/>
    <mergeCell ref="M105:M106"/>
    <mergeCell ref="N105:N106"/>
    <mergeCell ref="O105:O106"/>
    <mergeCell ref="P105:P106"/>
    <mergeCell ref="P103:P104"/>
    <mergeCell ref="X71:Z71"/>
    <mergeCell ref="V72:W72"/>
    <mergeCell ref="Y72:Z72"/>
    <mergeCell ref="S101:S103"/>
    <mergeCell ref="T101:T103"/>
    <mergeCell ref="U101:W101"/>
    <mergeCell ref="X101:Z101"/>
    <mergeCell ref="V102:W102"/>
    <mergeCell ref="Y102:Z102"/>
  </mergeCells>
  <phoneticPr fontId="1"/>
  <pageMargins left="0.78740157480314965" right="0.27559055118110237" top="0.59055118110236227" bottom="0.15748031496062992" header="0.78740157480314965" footer="0.15748031496062992"/>
  <pageSetup paperSize="9" scale="81" orientation="portrait" r:id="rId1"/>
  <headerFooter alignWithMargins="0"/>
  <rowBreaks count="1" manualBreakCount="1">
    <brk id="63" max="16" man="1"/>
  </rowBreaks>
  <ignoredErrors>
    <ignoredError sqref="I16:N17 I40 L79:N80 I103 I21:N27 I20:J20 L20:N20 I18:I19 K18:M19 I79:I89 L83:N90 L81:M82 Z15:Z34 Z78:Z97 Z108:Z127 AA15:AA34 AA78:AA97 AA108:AA127 F80:F123 E6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645B-CAE8-472D-B857-43283D9D7E9C}">
  <dimension ref="C2:P124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4" customWidth="1"/>
    <col min="3" max="3" width="2.625" style="5" customWidth="1"/>
    <col min="4" max="4" width="6.625" style="4" customWidth="1"/>
    <col min="5" max="7" width="8.625" style="4" customWidth="1"/>
    <col min="8" max="11" width="6.625" style="4" customWidth="1"/>
    <col min="12" max="13" width="4.625" style="4" customWidth="1"/>
    <col min="14" max="14" width="8.625" style="4" customWidth="1"/>
    <col min="15" max="16" width="10.625" style="4" customWidth="1"/>
    <col min="17" max="17" width="2.625" style="4" customWidth="1"/>
    <col min="18" max="16384" width="2.625" style="4"/>
  </cols>
  <sheetData>
    <row r="2" spans="3:16" ht="16.5" customHeight="1" x14ac:dyDescent="0.15">
      <c r="C2" s="5" t="s">
        <v>22</v>
      </c>
      <c r="D2" s="4" t="s">
        <v>25</v>
      </c>
    </row>
    <row r="3" spans="3:16" ht="16.5" customHeight="1" x14ac:dyDescent="0.15">
      <c r="D3" s="4" t="s">
        <v>12</v>
      </c>
      <c r="E3" s="16">
        <v>1.3</v>
      </c>
      <c r="F3" s="4" t="s">
        <v>4</v>
      </c>
    </row>
    <row r="4" spans="3:16" ht="16.5" customHeight="1" x14ac:dyDescent="0.15">
      <c r="D4" s="4" t="s">
        <v>80</v>
      </c>
      <c r="E4" s="12">
        <f>+PI()*E3</f>
        <v>4.0840704496667311</v>
      </c>
      <c r="F4" s="4" t="s">
        <v>4</v>
      </c>
    </row>
    <row r="5" spans="3:16" ht="16.5" customHeight="1" x14ac:dyDescent="0.15">
      <c r="D5" s="4" t="s">
        <v>17</v>
      </c>
      <c r="E5" s="16">
        <v>31</v>
      </c>
      <c r="F5" s="4" t="s">
        <v>4</v>
      </c>
    </row>
    <row r="6" spans="3:16" ht="16.5" customHeight="1" x14ac:dyDescent="0.15">
      <c r="D6" s="4" t="s">
        <v>27</v>
      </c>
      <c r="E6" s="16">
        <v>4.9450000000000003</v>
      </c>
      <c r="F6" s="4" t="s">
        <v>4</v>
      </c>
    </row>
    <row r="7" spans="3:16" ht="16.5" customHeight="1" x14ac:dyDescent="0.15">
      <c r="D7" s="4" t="s">
        <v>10</v>
      </c>
      <c r="E7" s="18">
        <v>3</v>
      </c>
      <c r="F7" s="4" t="s">
        <v>16</v>
      </c>
    </row>
    <row r="8" spans="3:16" ht="16.5" customHeight="1" x14ac:dyDescent="0.15">
      <c r="D8" s="96" t="s">
        <v>9</v>
      </c>
      <c r="E8" s="101" t="s">
        <v>29</v>
      </c>
      <c r="F8" s="101" t="s">
        <v>81</v>
      </c>
      <c r="G8" s="104" t="s">
        <v>83</v>
      </c>
      <c r="H8" s="89" t="s">
        <v>31</v>
      </c>
      <c r="I8" s="90"/>
      <c r="J8" s="89" t="s">
        <v>32</v>
      </c>
      <c r="K8" s="90"/>
      <c r="L8" s="81" t="s">
        <v>26</v>
      </c>
      <c r="M8" s="83"/>
      <c r="N8" s="101" t="s">
        <v>82</v>
      </c>
      <c r="O8" s="89" t="s">
        <v>84</v>
      </c>
      <c r="P8" s="90"/>
    </row>
    <row r="9" spans="3:16" ht="16.5" customHeight="1" x14ac:dyDescent="0.15">
      <c r="D9" s="96"/>
      <c r="E9" s="102"/>
      <c r="F9" s="102"/>
      <c r="G9" s="105"/>
      <c r="H9" s="91"/>
      <c r="I9" s="92"/>
      <c r="J9" s="91"/>
      <c r="K9" s="92"/>
      <c r="L9" s="84"/>
      <c r="M9" s="85"/>
      <c r="N9" s="102"/>
      <c r="O9" s="91"/>
      <c r="P9" s="92"/>
    </row>
    <row r="10" spans="3:16" ht="16.5" customHeight="1" x14ac:dyDescent="0.15">
      <c r="D10" s="96"/>
      <c r="E10" s="102"/>
      <c r="F10" s="102"/>
      <c r="G10" s="105"/>
      <c r="H10" s="91"/>
      <c r="I10" s="92"/>
      <c r="J10" s="91"/>
      <c r="K10" s="92"/>
      <c r="L10" s="84"/>
      <c r="M10" s="85"/>
      <c r="N10" s="102"/>
      <c r="O10" s="91"/>
      <c r="P10" s="92"/>
    </row>
    <row r="11" spans="3:16" ht="16.5" customHeight="1" x14ac:dyDescent="0.15">
      <c r="D11" s="96"/>
      <c r="E11" s="102"/>
      <c r="F11" s="102"/>
      <c r="G11" s="105"/>
      <c r="H11" s="91"/>
      <c r="I11" s="92"/>
      <c r="J11" s="91"/>
      <c r="K11" s="92"/>
      <c r="L11" s="84"/>
      <c r="M11" s="85"/>
      <c r="N11" s="102"/>
      <c r="O11" s="93"/>
      <c r="P11" s="94"/>
    </row>
    <row r="12" spans="3:16" ht="16.5" customHeight="1" x14ac:dyDescent="0.15">
      <c r="D12" s="96"/>
      <c r="E12" s="103"/>
      <c r="F12" s="103"/>
      <c r="G12" s="106"/>
      <c r="H12" s="93"/>
      <c r="I12" s="94"/>
      <c r="J12" s="93"/>
      <c r="K12" s="94"/>
      <c r="L12" s="87"/>
      <c r="M12" s="88"/>
      <c r="N12" s="103"/>
      <c r="O12" s="13" t="s">
        <v>18</v>
      </c>
      <c r="P12" s="34">
        <f>+E7</f>
        <v>3</v>
      </c>
    </row>
    <row r="13" spans="3:16" ht="16.5" customHeight="1" x14ac:dyDescent="0.15">
      <c r="D13" s="119" t="s">
        <v>0</v>
      </c>
      <c r="E13" s="164">
        <v>1.5</v>
      </c>
      <c r="F13" s="160" t="s">
        <v>8</v>
      </c>
      <c r="G13" s="212">
        <v>21</v>
      </c>
      <c r="H13" s="36">
        <f>+E3/2</f>
        <v>0.65</v>
      </c>
      <c r="I13" s="20"/>
      <c r="J13" s="37" t="s">
        <v>8</v>
      </c>
      <c r="K13" s="37" t="s">
        <v>8</v>
      </c>
      <c r="L13" s="38">
        <v>98</v>
      </c>
      <c r="M13" s="38">
        <v>148</v>
      </c>
      <c r="N13" s="33" t="s">
        <v>8</v>
      </c>
      <c r="O13" s="33" t="s">
        <v>8</v>
      </c>
      <c r="P13" s="33" t="s">
        <v>8</v>
      </c>
    </row>
    <row r="14" spans="3:16" ht="16.5" customHeight="1" x14ac:dyDescent="0.15">
      <c r="D14" s="121"/>
      <c r="E14" s="165"/>
      <c r="F14" s="161"/>
      <c r="G14" s="213"/>
      <c r="H14" s="114">
        <f>+E3</f>
        <v>1.3</v>
      </c>
      <c r="I14" s="20">
        <f>+E13-H13</f>
        <v>0.85</v>
      </c>
      <c r="J14" s="146" t="s">
        <v>8</v>
      </c>
      <c r="K14" s="37" t="s">
        <v>8</v>
      </c>
      <c r="L14" s="131">
        <f>+L13+1</f>
        <v>99</v>
      </c>
      <c r="M14" s="131">
        <f>+M13+1</f>
        <v>149</v>
      </c>
      <c r="N14" s="154" t="s">
        <v>8</v>
      </c>
      <c r="O14" s="154" t="s">
        <v>8</v>
      </c>
      <c r="P14" s="154" t="s">
        <v>8</v>
      </c>
    </row>
    <row r="15" spans="3:16" ht="16.5" customHeight="1" x14ac:dyDescent="0.15">
      <c r="D15" s="112" t="s">
        <v>1</v>
      </c>
      <c r="E15" s="148">
        <v>1.3</v>
      </c>
      <c r="F15" s="151" t="s">
        <v>8</v>
      </c>
      <c r="G15" s="202">
        <v>111</v>
      </c>
      <c r="H15" s="114"/>
      <c r="I15" s="20">
        <f>+H14-I14</f>
        <v>0.45000000000000007</v>
      </c>
      <c r="J15" s="144"/>
      <c r="K15" s="37" t="s">
        <v>8</v>
      </c>
      <c r="L15" s="132"/>
      <c r="M15" s="132"/>
      <c r="N15" s="99"/>
      <c r="O15" s="99"/>
      <c r="P15" s="99"/>
    </row>
    <row r="16" spans="3:16" ht="16.5" customHeight="1" x14ac:dyDescent="0.15">
      <c r="D16" s="112"/>
      <c r="E16" s="138"/>
      <c r="F16" s="152"/>
      <c r="G16" s="203"/>
      <c r="H16" s="114">
        <f>+H14</f>
        <v>1.3</v>
      </c>
      <c r="I16" s="20">
        <f>+E15-I15</f>
        <v>0.85</v>
      </c>
      <c r="J16" s="146" t="s">
        <v>8</v>
      </c>
      <c r="K16" s="37" t="s">
        <v>8</v>
      </c>
      <c r="L16" s="131">
        <f>+L14+1</f>
        <v>100</v>
      </c>
      <c r="M16" s="131">
        <f>+M14+1</f>
        <v>150</v>
      </c>
      <c r="N16" s="154" t="s">
        <v>8</v>
      </c>
      <c r="O16" s="154" t="s">
        <v>8</v>
      </c>
      <c r="P16" s="154" t="s">
        <v>8</v>
      </c>
    </row>
    <row r="17" spans="4:16" ht="16.5" customHeight="1" x14ac:dyDescent="0.15">
      <c r="D17" s="112" t="s">
        <v>2</v>
      </c>
      <c r="E17" s="138">
        <v>2.9</v>
      </c>
      <c r="F17" s="113">
        <f>+E13+E15+E17-E6</f>
        <v>0.75499999999999901</v>
      </c>
      <c r="G17" s="201">
        <v>20</v>
      </c>
      <c r="H17" s="114"/>
      <c r="I17" s="20">
        <f>+H16-I16</f>
        <v>0.45000000000000007</v>
      </c>
      <c r="J17" s="144"/>
      <c r="K17" s="37" t="s">
        <v>8</v>
      </c>
      <c r="L17" s="132"/>
      <c r="M17" s="132"/>
      <c r="N17" s="99"/>
      <c r="O17" s="99"/>
      <c r="P17" s="99"/>
    </row>
    <row r="18" spans="4:16" ht="16.5" customHeight="1" x14ac:dyDescent="0.15">
      <c r="D18" s="112"/>
      <c r="E18" s="138"/>
      <c r="F18" s="113"/>
      <c r="G18" s="201"/>
      <c r="H18" s="114">
        <f t="shared" ref="H18" si="0">+H16</f>
        <v>1.3</v>
      </c>
      <c r="I18" s="114"/>
      <c r="J18" s="146" t="s">
        <v>8</v>
      </c>
      <c r="K18" s="146"/>
      <c r="L18" s="74">
        <f t="shared" ref="L18:M18" si="1">+L16+1</f>
        <v>101</v>
      </c>
      <c r="M18" s="131">
        <f t="shared" si="1"/>
        <v>151</v>
      </c>
      <c r="N18" s="154" t="s">
        <v>8</v>
      </c>
      <c r="O18" s="154" t="s">
        <v>8</v>
      </c>
      <c r="P18" s="154" t="s">
        <v>8</v>
      </c>
    </row>
    <row r="19" spans="4:16" ht="16.5" customHeight="1" x14ac:dyDescent="0.15">
      <c r="D19" s="112"/>
      <c r="E19" s="138"/>
      <c r="F19" s="113"/>
      <c r="G19" s="201"/>
      <c r="H19" s="114"/>
      <c r="I19" s="114"/>
      <c r="J19" s="144"/>
      <c r="K19" s="144"/>
      <c r="L19" s="79"/>
      <c r="M19" s="132"/>
      <c r="N19" s="99"/>
      <c r="O19" s="99"/>
      <c r="P19" s="99"/>
    </row>
    <row r="20" spans="4:16" ht="16.5" customHeight="1" x14ac:dyDescent="0.15">
      <c r="D20" s="112"/>
      <c r="E20" s="138"/>
      <c r="F20" s="113"/>
      <c r="G20" s="201"/>
      <c r="H20" s="114">
        <f t="shared" ref="H20" si="2">+H18</f>
        <v>1.3</v>
      </c>
      <c r="I20" s="20">
        <f>+E17-I17-H18</f>
        <v>1.1499999999999997</v>
      </c>
      <c r="J20" s="114">
        <f>+E3</f>
        <v>1.3</v>
      </c>
      <c r="K20" s="20">
        <f>+F17</f>
        <v>0.75499999999999901</v>
      </c>
      <c r="L20" s="74">
        <f t="shared" ref="L20:M20" si="3">+L18+1</f>
        <v>102</v>
      </c>
      <c r="M20" s="131">
        <f t="shared" si="3"/>
        <v>152</v>
      </c>
      <c r="N20" s="198">
        <f>+G17*K20+G21*K21</f>
        <v>29.500000000000014</v>
      </c>
      <c r="O20" s="198">
        <f>+E4*N20</f>
        <v>120.48007826516863</v>
      </c>
      <c r="P20" s="199">
        <f>+E7*O20</f>
        <v>361.44023479550589</v>
      </c>
    </row>
    <row r="21" spans="4:16" ht="16.5" customHeight="1" x14ac:dyDescent="0.15">
      <c r="D21" s="112" t="s">
        <v>3</v>
      </c>
      <c r="E21" s="138">
        <v>2.6</v>
      </c>
      <c r="F21" s="113">
        <f>+E21</f>
        <v>2.6</v>
      </c>
      <c r="G21" s="201">
        <v>96</v>
      </c>
      <c r="H21" s="114"/>
      <c r="I21" s="20">
        <f>+H20-I20</f>
        <v>0.15000000000000036</v>
      </c>
      <c r="J21" s="114"/>
      <c r="K21" s="20">
        <f>+I21</f>
        <v>0.15000000000000036</v>
      </c>
      <c r="L21" s="79"/>
      <c r="M21" s="132"/>
      <c r="N21" s="195"/>
      <c r="O21" s="195"/>
      <c r="P21" s="196"/>
    </row>
    <row r="22" spans="4:16" ht="16.5" customHeight="1" x14ac:dyDescent="0.15">
      <c r="D22" s="112"/>
      <c r="E22" s="138"/>
      <c r="F22" s="113"/>
      <c r="G22" s="201"/>
      <c r="H22" s="114">
        <f t="shared" ref="H22:J22" si="4">+H20</f>
        <v>1.3</v>
      </c>
      <c r="I22" s="144"/>
      <c r="J22" s="114">
        <f t="shared" si="4"/>
        <v>1.3</v>
      </c>
      <c r="K22" s="144"/>
      <c r="L22" s="131">
        <f t="shared" ref="L22:M22" si="5">+L20+1</f>
        <v>103</v>
      </c>
      <c r="M22" s="131">
        <f t="shared" si="5"/>
        <v>153</v>
      </c>
      <c r="N22" s="198">
        <f>+G21*J22</f>
        <v>124.80000000000001</v>
      </c>
      <c r="O22" s="198">
        <f>+E4*N22</f>
        <v>509.69199211840811</v>
      </c>
      <c r="P22" s="199">
        <f>+E7*O22</f>
        <v>1529.0759763552244</v>
      </c>
    </row>
    <row r="23" spans="4:16" ht="16.5" customHeight="1" x14ac:dyDescent="0.15">
      <c r="D23" s="112"/>
      <c r="E23" s="138"/>
      <c r="F23" s="113"/>
      <c r="G23" s="201"/>
      <c r="H23" s="114"/>
      <c r="I23" s="144"/>
      <c r="J23" s="114"/>
      <c r="K23" s="144"/>
      <c r="L23" s="132"/>
      <c r="M23" s="132"/>
      <c r="N23" s="195"/>
      <c r="O23" s="195"/>
      <c r="P23" s="196"/>
    </row>
    <row r="24" spans="4:16" ht="16.5" customHeight="1" x14ac:dyDescent="0.15">
      <c r="D24" s="112"/>
      <c r="E24" s="138"/>
      <c r="F24" s="113"/>
      <c r="G24" s="201"/>
      <c r="H24" s="114">
        <f t="shared" ref="H24:J24" si="6">+H22</f>
        <v>1.3</v>
      </c>
      <c r="I24" s="20">
        <f>+E21-I21-H22</f>
        <v>1.1499999999999997</v>
      </c>
      <c r="J24" s="114">
        <f t="shared" si="6"/>
        <v>1.3</v>
      </c>
      <c r="K24" s="20">
        <f>+I24</f>
        <v>1.1499999999999997</v>
      </c>
      <c r="L24" s="131">
        <f t="shared" ref="L24:M24" si="7">+L22+1</f>
        <v>104</v>
      </c>
      <c r="M24" s="131">
        <f t="shared" si="7"/>
        <v>154</v>
      </c>
      <c r="N24" s="195">
        <f>+G21*K24+G25*K25</f>
        <v>122.04</v>
      </c>
      <c r="O24" s="198">
        <f>+E4*N24</f>
        <v>498.41995767732789</v>
      </c>
      <c r="P24" s="199">
        <f>+E7*O24</f>
        <v>1495.2598730319837</v>
      </c>
    </row>
    <row r="25" spans="4:16" ht="16.5" customHeight="1" x14ac:dyDescent="0.15">
      <c r="D25" s="112" t="s">
        <v>13</v>
      </c>
      <c r="E25" s="138">
        <v>0.6</v>
      </c>
      <c r="F25" s="113">
        <f>+E25</f>
        <v>0.6</v>
      </c>
      <c r="G25" s="201">
        <v>77.599999999999994</v>
      </c>
      <c r="H25" s="114"/>
      <c r="I25" s="20">
        <f>+H24-I24</f>
        <v>0.15000000000000036</v>
      </c>
      <c r="J25" s="114"/>
      <c r="K25" s="20">
        <f t="shared" ref="K25:K27" si="8">+I25</f>
        <v>0.15000000000000036</v>
      </c>
      <c r="L25" s="132"/>
      <c r="M25" s="132"/>
      <c r="N25" s="195"/>
      <c r="O25" s="195"/>
      <c r="P25" s="196"/>
    </row>
    <row r="26" spans="4:16" ht="16.5" customHeight="1" x14ac:dyDescent="0.15">
      <c r="D26" s="112"/>
      <c r="E26" s="138"/>
      <c r="F26" s="113"/>
      <c r="G26" s="201"/>
      <c r="H26" s="114">
        <f t="shared" ref="H26:J40" si="9">+H24</f>
        <v>1.3</v>
      </c>
      <c r="I26" s="20">
        <f>+E25-I25</f>
        <v>0.44999999999999962</v>
      </c>
      <c r="J26" s="114">
        <f t="shared" si="9"/>
        <v>1.3</v>
      </c>
      <c r="K26" s="20">
        <f t="shared" si="8"/>
        <v>0.44999999999999962</v>
      </c>
      <c r="L26" s="131">
        <f t="shared" ref="L26:M26" si="10">+L24+1</f>
        <v>105</v>
      </c>
      <c r="M26" s="131">
        <f t="shared" si="10"/>
        <v>155</v>
      </c>
      <c r="N26" s="195">
        <f>+G25*K26+G27*K27</f>
        <v>157.32000000000002</v>
      </c>
      <c r="O26" s="198">
        <f>+E4*N26</f>
        <v>642.50596314157019</v>
      </c>
      <c r="P26" s="199">
        <f>+E7*O26</f>
        <v>1927.5178894247106</v>
      </c>
    </row>
    <row r="27" spans="4:16" ht="16.5" customHeight="1" x14ac:dyDescent="0.15">
      <c r="D27" s="119" t="s">
        <v>14</v>
      </c>
      <c r="E27" s="109">
        <v>9.5</v>
      </c>
      <c r="F27" s="125">
        <f>+E27</f>
        <v>9.5</v>
      </c>
      <c r="G27" s="209">
        <v>144</v>
      </c>
      <c r="H27" s="114"/>
      <c r="I27" s="20">
        <f>+H26-I26</f>
        <v>0.85000000000000042</v>
      </c>
      <c r="J27" s="114"/>
      <c r="K27" s="20">
        <f t="shared" si="8"/>
        <v>0.85000000000000042</v>
      </c>
      <c r="L27" s="132"/>
      <c r="M27" s="132"/>
      <c r="N27" s="195"/>
      <c r="O27" s="195"/>
      <c r="P27" s="196"/>
    </row>
    <row r="28" spans="4:16" ht="16.5" customHeight="1" x14ac:dyDescent="0.15">
      <c r="D28" s="120"/>
      <c r="E28" s="111"/>
      <c r="F28" s="126"/>
      <c r="G28" s="210"/>
      <c r="H28" s="114">
        <f t="shared" si="9"/>
        <v>1.3</v>
      </c>
      <c r="I28" s="140"/>
      <c r="J28" s="114">
        <f t="shared" si="9"/>
        <v>1.3</v>
      </c>
      <c r="K28" s="140"/>
      <c r="L28" s="131">
        <f>+L26+1</f>
        <v>106</v>
      </c>
      <c r="M28" s="131">
        <f>+M26+1</f>
        <v>156</v>
      </c>
      <c r="N28" s="185">
        <f>+G27*J28</f>
        <v>187.20000000000002</v>
      </c>
      <c r="O28" s="198">
        <f>+E4*N28</f>
        <v>764.53798817761208</v>
      </c>
      <c r="P28" s="199">
        <f>+E7*O28</f>
        <v>2293.6139645328362</v>
      </c>
    </row>
    <row r="29" spans="4:16" ht="16.5" customHeight="1" x14ac:dyDescent="0.15">
      <c r="D29" s="120"/>
      <c r="E29" s="111"/>
      <c r="F29" s="126"/>
      <c r="G29" s="210"/>
      <c r="H29" s="114"/>
      <c r="I29" s="141"/>
      <c r="J29" s="114"/>
      <c r="K29" s="141"/>
      <c r="L29" s="132"/>
      <c r="M29" s="132"/>
      <c r="N29" s="186"/>
      <c r="O29" s="195"/>
      <c r="P29" s="196"/>
    </row>
    <row r="30" spans="4:16" ht="16.5" customHeight="1" x14ac:dyDescent="0.15">
      <c r="D30" s="120"/>
      <c r="E30" s="111"/>
      <c r="F30" s="126"/>
      <c r="G30" s="210"/>
      <c r="H30" s="114">
        <f t="shared" si="9"/>
        <v>1.3</v>
      </c>
      <c r="I30" s="140"/>
      <c r="J30" s="114">
        <f t="shared" si="9"/>
        <v>1.3</v>
      </c>
      <c r="K30" s="140"/>
      <c r="L30" s="131">
        <f t="shared" ref="L30:M30" si="11">+L28+1</f>
        <v>107</v>
      </c>
      <c r="M30" s="131">
        <f t="shared" si="11"/>
        <v>157</v>
      </c>
      <c r="N30" s="185">
        <f>+G27*J30</f>
        <v>187.20000000000002</v>
      </c>
      <c r="O30" s="198">
        <f>+E4*N30</f>
        <v>764.53798817761208</v>
      </c>
      <c r="P30" s="199">
        <f>+E7*O30</f>
        <v>2293.6139645328362</v>
      </c>
    </row>
    <row r="31" spans="4:16" ht="16.5" customHeight="1" x14ac:dyDescent="0.15">
      <c r="D31" s="120"/>
      <c r="E31" s="111"/>
      <c r="F31" s="126"/>
      <c r="G31" s="210"/>
      <c r="H31" s="114"/>
      <c r="I31" s="141"/>
      <c r="J31" s="114"/>
      <c r="K31" s="141"/>
      <c r="L31" s="132"/>
      <c r="M31" s="132"/>
      <c r="N31" s="186"/>
      <c r="O31" s="195"/>
      <c r="P31" s="196"/>
    </row>
    <row r="32" spans="4:16" ht="16.5" customHeight="1" x14ac:dyDescent="0.15">
      <c r="D32" s="120"/>
      <c r="E32" s="111"/>
      <c r="F32" s="126"/>
      <c r="G32" s="210"/>
      <c r="H32" s="114">
        <f t="shared" si="9"/>
        <v>1.3</v>
      </c>
      <c r="I32" s="140"/>
      <c r="J32" s="114">
        <f t="shared" si="9"/>
        <v>1.3</v>
      </c>
      <c r="K32" s="140"/>
      <c r="L32" s="131">
        <f t="shared" ref="L32:M32" si="12">+L30+1</f>
        <v>108</v>
      </c>
      <c r="M32" s="131">
        <f t="shared" si="12"/>
        <v>158</v>
      </c>
      <c r="N32" s="185">
        <f>+G27*J32</f>
        <v>187.20000000000002</v>
      </c>
      <c r="O32" s="198">
        <f>+E4*N32</f>
        <v>764.53798817761208</v>
      </c>
      <c r="P32" s="199">
        <f>+E7*O32</f>
        <v>2293.6139645328362</v>
      </c>
    </row>
    <row r="33" spans="4:16" ht="16.5" customHeight="1" x14ac:dyDescent="0.15">
      <c r="D33" s="120"/>
      <c r="E33" s="111"/>
      <c r="F33" s="126"/>
      <c r="G33" s="210"/>
      <c r="H33" s="114"/>
      <c r="I33" s="141"/>
      <c r="J33" s="114"/>
      <c r="K33" s="141"/>
      <c r="L33" s="132"/>
      <c r="M33" s="132"/>
      <c r="N33" s="186"/>
      <c r="O33" s="195"/>
      <c r="P33" s="196"/>
    </row>
    <row r="34" spans="4:16" ht="16.5" customHeight="1" x14ac:dyDescent="0.15">
      <c r="D34" s="120"/>
      <c r="E34" s="111"/>
      <c r="F34" s="126"/>
      <c r="G34" s="210"/>
      <c r="H34" s="114">
        <f t="shared" si="9"/>
        <v>1.3</v>
      </c>
      <c r="I34" s="145"/>
      <c r="J34" s="114">
        <f t="shared" si="9"/>
        <v>1.3</v>
      </c>
      <c r="K34" s="145"/>
      <c r="L34" s="131">
        <f t="shared" ref="L34:M34" si="13">+L32+1</f>
        <v>109</v>
      </c>
      <c r="M34" s="131">
        <f t="shared" si="13"/>
        <v>159</v>
      </c>
      <c r="N34" s="185">
        <f>+G27*J34</f>
        <v>187.20000000000002</v>
      </c>
      <c r="O34" s="198">
        <f>+E4*N34</f>
        <v>764.53798817761208</v>
      </c>
      <c r="P34" s="199">
        <f>+E7*O34</f>
        <v>2293.6139645328362</v>
      </c>
    </row>
    <row r="35" spans="4:16" ht="16.5" customHeight="1" x14ac:dyDescent="0.15">
      <c r="D35" s="120"/>
      <c r="E35" s="111"/>
      <c r="F35" s="126"/>
      <c r="G35" s="210"/>
      <c r="H35" s="114"/>
      <c r="I35" s="145"/>
      <c r="J35" s="114"/>
      <c r="K35" s="145"/>
      <c r="L35" s="132"/>
      <c r="M35" s="132"/>
      <c r="N35" s="186"/>
      <c r="O35" s="195"/>
      <c r="P35" s="196"/>
    </row>
    <row r="36" spans="4:16" ht="16.5" customHeight="1" x14ac:dyDescent="0.15">
      <c r="D36" s="120"/>
      <c r="E36" s="111"/>
      <c r="F36" s="126"/>
      <c r="G36" s="210"/>
      <c r="H36" s="114">
        <f t="shared" si="9"/>
        <v>1.3</v>
      </c>
      <c r="I36" s="145"/>
      <c r="J36" s="114">
        <f t="shared" si="9"/>
        <v>1.3</v>
      </c>
      <c r="K36" s="145"/>
      <c r="L36" s="131">
        <f t="shared" ref="L36:M36" si="14">+L34+1</f>
        <v>110</v>
      </c>
      <c r="M36" s="131">
        <f t="shared" si="14"/>
        <v>160</v>
      </c>
      <c r="N36" s="185">
        <f>+G27*J36</f>
        <v>187.20000000000002</v>
      </c>
      <c r="O36" s="198">
        <f>+E4*N36</f>
        <v>764.53798817761208</v>
      </c>
      <c r="P36" s="199">
        <f>+E7*O36</f>
        <v>2293.6139645328362</v>
      </c>
    </row>
    <row r="37" spans="4:16" ht="16.5" customHeight="1" x14ac:dyDescent="0.15">
      <c r="D37" s="120"/>
      <c r="E37" s="111"/>
      <c r="F37" s="126"/>
      <c r="G37" s="210"/>
      <c r="H37" s="114"/>
      <c r="I37" s="145"/>
      <c r="J37" s="114"/>
      <c r="K37" s="145"/>
      <c r="L37" s="132"/>
      <c r="M37" s="132"/>
      <c r="N37" s="186"/>
      <c r="O37" s="195"/>
      <c r="P37" s="196"/>
    </row>
    <row r="38" spans="4:16" ht="16.5" customHeight="1" x14ac:dyDescent="0.15">
      <c r="D38" s="120"/>
      <c r="E38" s="111"/>
      <c r="F38" s="126"/>
      <c r="G38" s="210"/>
      <c r="H38" s="114">
        <f t="shared" si="9"/>
        <v>1.3</v>
      </c>
      <c r="I38" s="145"/>
      <c r="J38" s="114">
        <f t="shared" si="9"/>
        <v>1.3</v>
      </c>
      <c r="K38" s="145"/>
      <c r="L38" s="131">
        <f>+L36+1</f>
        <v>111</v>
      </c>
      <c r="M38" s="131">
        <f>+M36+1</f>
        <v>161</v>
      </c>
      <c r="N38" s="185">
        <f>+G27*J38</f>
        <v>187.20000000000002</v>
      </c>
      <c r="O38" s="198">
        <f>+E4*N38</f>
        <v>764.53798817761208</v>
      </c>
      <c r="P38" s="199">
        <f>+E7*O38</f>
        <v>2293.6139645328362</v>
      </c>
    </row>
    <row r="39" spans="4:16" ht="16.5" customHeight="1" x14ac:dyDescent="0.15">
      <c r="D39" s="120"/>
      <c r="E39" s="111"/>
      <c r="F39" s="126"/>
      <c r="G39" s="210"/>
      <c r="H39" s="114"/>
      <c r="I39" s="145"/>
      <c r="J39" s="114"/>
      <c r="K39" s="145"/>
      <c r="L39" s="132"/>
      <c r="M39" s="132"/>
      <c r="N39" s="186"/>
      <c r="O39" s="195"/>
      <c r="P39" s="196"/>
    </row>
    <row r="40" spans="4:16" ht="16.5" customHeight="1" x14ac:dyDescent="0.15">
      <c r="D40" s="121"/>
      <c r="E40" s="110"/>
      <c r="F40" s="127"/>
      <c r="G40" s="211"/>
      <c r="H40" s="114">
        <f t="shared" si="9"/>
        <v>1.3</v>
      </c>
      <c r="I40" s="20">
        <f>+E27-I27-H28-H30-H32-H34-H36-H38</f>
        <v>0.8500000000000012</v>
      </c>
      <c r="J40" s="114">
        <f t="shared" si="9"/>
        <v>1.3</v>
      </c>
      <c r="K40" s="20">
        <f t="shared" ref="K40:K41" si="15">+I40</f>
        <v>0.8500000000000012</v>
      </c>
      <c r="L40" s="131">
        <f t="shared" ref="L40:M40" si="16">+L38+1</f>
        <v>112</v>
      </c>
      <c r="M40" s="131">
        <f t="shared" si="16"/>
        <v>162</v>
      </c>
      <c r="N40" s="185">
        <f>+G27*K40+G41*K41</f>
        <v>138.24000000000012</v>
      </c>
      <c r="O40" s="198">
        <f>+E4*N40</f>
        <v>564.58189896192937</v>
      </c>
      <c r="P40" s="199">
        <f>+E7*O40</f>
        <v>1693.7456968857882</v>
      </c>
    </row>
    <row r="41" spans="4:16" ht="16.5" customHeight="1" x14ac:dyDescent="0.15">
      <c r="D41" s="112" t="s">
        <v>15</v>
      </c>
      <c r="E41" s="138">
        <v>12.6</v>
      </c>
      <c r="F41" s="113">
        <f>+E41-E3</f>
        <v>11.299999999999999</v>
      </c>
      <c r="G41" s="201">
        <v>35.200000000000003</v>
      </c>
      <c r="H41" s="114"/>
      <c r="I41" s="20">
        <f>+H42-I40</f>
        <v>0.44999999999999885</v>
      </c>
      <c r="J41" s="114"/>
      <c r="K41" s="20">
        <f t="shared" si="15"/>
        <v>0.44999999999999885</v>
      </c>
      <c r="L41" s="132"/>
      <c r="M41" s="132"/>
      <c r="N41" s="186"/>
      <c r="O41" s="195"/>
      <c r="P41" s="196"/>
    </row>
    <row r="42" spans="4:16" ht="16.5" customHeight="1" x14ac:dyDescent="0.15">
      <c r="D42" s="112"/>
      <c r="E42" s="138"/>
      <c r="F42" s="113"/>
      <c r="G42" s="201"/>
      <c r="H42" s="114">
        <f t="shared" ref="H42:J56" si="17">+H40</f>
        <v>1.3</v>
      </c>
      <c r="I42" s="156"/>
      <c r="J42" s="114">
        <f t="shared" si="17"/>
        <v>1.3</v>
      </c>
      <c r="K42" s="156"/>
      <c r="L42" s="131">
        <f t="shared" ref="L42:M42" si="18">+L40+1</f>
        <v>113</v>
      </c>
      <c r="M42" s="131">
        <f t="shared" si="18"/>
        <v>163</v>
      </c>
      <c r="N42" s="185">
        <f>+G41*J42</f>
        <v>45.760000000000005</v>
      </c>
      <c r="O42" s="198">
        <f>+E4*N42</f>
        <v>186.88706377674964</v>
      </c>
      <c r="P42" s="199">
        <f>+E7*O42</f>
        <v>560.66119133024893</v>
      </c>
    </row>
    <row r="43" spans="4:16" ht="16.5" customHeight="1" x14ac:dyDescent="0.15">
      <c r="D43" s="112"/>
      <c r="E43" s="138"/>
      <c r="F43" s="113"/>
      <c r="G43" s="201"/>
      <c r="H43" s="114"/>
      <c r="I43" s="157"/>
      <c r="J43" s="114"/>
      <c r="K43" s="157"/>
      <c r="L43" s="132"/>
      <c r="M43" s="132"/>
      <c r="N43" s="186"/>
      <c r="O43" s="195"/>
      <c r="P43" s="196"/>
    </row>
    <row r="44" spans="4:16" ht="16.5" customHeight="1" x14ac:dyDescent="0.15">
      <c r="D44" s="112"/>
      <c r="E44" s="138"/>
      <c r="F44" s="113"/>
      <c r="G44" s="201"/>
      <c r="H44" s="114">
        <f t="shared" si="17"/>
        <v>1.3</v>
      </c>
      <c r="I44" s="114"/>
      <c r="J44" s="114">
        <f t="shared" si="17"/>
        <v>1.3</v>
      </c>
      <c r="K44" s="114"/>
      <c r="L44" s="131">
        <f t="shared" ref="L44:M44" si="19">+L42+1</f>
        <v>114</v>
      </c>
      <c r="M44" s="131">
        <f t="shared" si="19"/>
        <v>164</v>
      </c>
      <c r="N44" s="185">
        <f>+G41*J44</f>
        <v>45.760000000000005</v>
      </c>
      <c r="O44" s="198">
        <f>+E4*N44</f>
        <v>186.88706377674964</v>
      </c>
      <c r="P44" s="199">
        <f>+E7*O44</f>
        <v>560.66119133024893</v>
      </c>
    </row>
    <row r="45" spans="4:16" ht="16.5" customHeight="1" x14ac:dyDescent="0.15">
      <c r="D45" s="112"/>
      <c r="E45" s="138"/>
      <c r="F45" s="113"/>
      <c r="G45" s="201"/>
      <c r="H45" s="114"/>
      <c r="I45" s="114"/>
      <c r="J45" s="114"/>
      <c r="K45" s="114"/>
      <c r="L45" s="132"/>
      <c r="M45" s="132"/>
      <c r="N45" s="186"/>
      <c r="O45" s="195"/>
      <c r="P45" s="196"/>
    </row>
    <row r="46" spans="4:16" ht="16.5" customHeight="1" x14ac:dyDescent="0.15">
      <c r="D46" s="112"/>
      <c r="E46" s="138"/>
      <c r="F46" s="113"/>
      <c r="G46" s="201"/>
      <c r="H46" s="114">
        <f t="shared" si="17"/>
        <v>1.3</v>
      </c>
      <c r="I46" s="114"/>
      <c r="J46" s="114">
        <f t="shared" si="17"/>
        <v>1.3</v>
      </c>
      <c r="K46" s="114"/>
      <c r="L46" s="131">
        <f t="shared" ref="L46:M46" si="20">+L44+1</f>
        <v>115</v>
      </c>
      <c r="M46" s="131">
        <f t="shared" si="20"/>
        <v>165</v>
      </c>
      <c r="N46" s="185">
        <f>+G41*J46</f>
        <v>45.760000000000005</v>
      </c>
      <c r="O46" s="198">
        <f>+E4*N46</f>
        <v>186.88706377674964</v>
      </c>
      <c r="P46" s="199">
        <f>+E7*O46</f>
        <v>560.66119133024893</v>
      </c>
    </row>
    <row r="47" spans="4:16" ht="16.5" customHeight="1" x14ac:dyDescent="0.15">
      <c r="D47" s="112"/>
      <c r="E47" s="138"/>
      <c r="F47" s="113"/>
      <c r="G47" s="201"/>
      <c r="H47" s="114"/>
      <c r="I47" s="114"/>
      <c r="J47" s="114"/>
      <c r="K47" s="114"/>
      <c r="L47" s="132"/>
      <c r="M47" s="132"/>
      <c r="N47" s="186"/>
      <c r="O47" s="195"/>
      <c r="P47" s="196"/>
    </row>
    <row r="48" spans="4:16" ht="16.5" customHeight="1" x14ac:dyDescent="0.15">
      <c r="D48" s="112"/>
      <c r="E48" s="138"/>
      <c r="F48" s="113"/>
      <c r="G48" s="201"/>
      <c r="H48" s="114">
        <f t="shared" si="17"/>
        <v>1.3</v>
      </c>
      <c r="I48" s="114"/>
      <c r="J48" s="114">
        <f t="shared" si="17"/>
        <v>1.3</v>
      </c>
      <c r="K48" s="114"/>
      <c r="L48" s="131">
        <f t="shared" ref="L48:M48" si="21">+L46+1</f>
        <v>116</v>
      </c>
      <c r="M48" s="131">
        <f t="shared" si="21"/>
        <v>166</v>
      </c>
      <c r="N48" s="185">
        <f>+G41*J48</f>
        <v>45.760000000000005</v>
      </c>
      <c r="O48" s="198">
        <f>+E4*N48</f>
        <v>186.88706377674964</v>
      </c>
      <c r="P48" s="199">
        <f>+E7*O48</f>
        <v>560.66119133024893</v>
      </c>
    </row>
    <row r="49" spans="4:16" ht="16.5" customHeight="1" x14ac:dyDescent="0.15">
      <c r="D49" s="112"/>
      <c r="E49" s="138"/>
      <c r="F49" s="113"/>
      <c r="G49" s="201"/>
      <c r="H49" s="114"/>
      <c r="I49" s="114"/>
      <c r="J49" s="114"/>
      <c r="K49" s="114"/>
      <c r="L49" s="132"/>
      <c r="M49" s="132"/>
      <c r="N49" s="186"/>
      <c r="O49" s="195"/>
      <c r="P49" s="196"/>
    </row>
    <row r="50" spans="4:16" ht="16.5" customHeight="1" x14ac:dyDescent="0.15">
      <c r="D50" s="112"/>
      <c r="E50" s="138"/>
      <c r="F50" s="113"/>
      <c r="G50" s="201"/>
      <c r="H50" s="114">
        <f t="shared" si="17"/>
        <v>1.3</v>
      </c>
      <c r="I50" s="114"/>
      <c r="J50" s="114">
        <f t="shared" si="17"/>
        <v>1.3</v>
      </c>
      <c r="K50" s="114"/>
      <c r="L50" s="131">
        <f>+L48+1</f>
        <v>117</v>
      </c>
      <c r="M50" s="131">
        <f>+M48+1</f>
        <v>167</v>
      </c>
      <c r="N50" s="185">
        <f>+G41*J50</f>
        <v>45.760000000000005</v>
      </c>
      <c r="O50" s="198">
        <f>+E4*N50</f>
        <v>186.88706377674964</v>
      </c>
      <c r="P50" s="199">
        <f>+E7*O50</f>
        <v>560.66119133024893</v>
      </c>
    </row>
    <row r="51" spans="4:16" ht="16.5" customHeight="1" x14ac:dyDescent="0.15">
      <c r="D51" s="112"/>
      <c r="E51" s="138"/>
      <c r="F51" s="113"/>
      <c r="G51" s="201"/>
      <c r="H51" s="114"/>
      <c r="I51" s="114"/>
      <c r="J51" s="114"/>
      <c r="K51" s="114"/>
      <c r="L51" s="132"/>
      <c r="M51" s="132"/>
      <c r="N51" s="186"/>
      <c r="O51" s="195"/>
      <c r="P51" s="196"/>
    </row>
    <row r="52" spans="4:16" ht="16.5" customHeight="1" x14ac:dyDescent="0.15">
      <c r="D52" s="112"/>
      <c r="E52" s="138"/>
      <c r="F52" s="113"/>
      <c r="G52" s="201"/>
      <c r="H52" s="114">
        <f t="shared" si="17"/>
        <v>1.3</v>
      </c>
      <c r="I52" s="114"/>
      <c r="J52" s="114">
        <f t="shared" si="17"/>
        <v>1.3</v>
      </c>
      <c r="K52" s="114"/>
      <c r="L52" s="131">
        <f t="shared" ref="L52:M52" si="22">+L50+1</f>
        <v>118</v>
      </c>
      <c r="M52" s="131">
        <f t="shared" si="22"/>
        <v>168</v>
      </c>
      <c r="N52" s="185">
        <f>+G41*J52</f>
        <v>45.760000000000005</v>
      </c>
      <c r="O52" s="198">
        <f>+E4*N52</f>
        <v>186.88706377674964</v>
      </c>
      <c r="P52" s="199">
        <f>+E7*O52</f>
        <v>560.66119133024893</v>
      </c>
    </row>
    <row r="53" spans="4:16" ht="16.5" customHeight="1" x14ac:dyDescent="0.15">
      <c r="D53" s="112"/>
      <c r="E53" s="138"/>
      <c r="F53" s="113"/>
      <c r="G53" s="201"/>
      <c r="H53" s="114"/>
      <c r="I53" s="114"/>
      <c r="J53" s="114"/>
      <c r="K53" s="114"/>
      <c r="L53" s="132"/>
      <c r="M53" s="132"/>
      <c r="N53" s="186"/>
      <c r="O53" s="195"/>
      <c r="P53" s="196"/>
    </row>
    <row r="54" spans="4:16" ht="16.5" customHeight="1" x14ac:dyDescent="0.15">
      <c r="D54" s="112"/>
      <c r="E54" s="138"/>
      <c r="F54" s="113"/>
      <c r="G54" s="201"/>
      <c r="H54" s="114">
        <f t="shared" si="17"/>
        <v>1.3</v>
      </c>
      <c r="I54" s="114"/>
      <c r="J54" s="114">
        <f t="shared" si="17"/>
        <v>1.3</v>
      </c>
      <c r="K54" s="114"/>
      <c r="L54" s="131">
        <f t="shared" ref="L54:M54" si="23">+L52+1</f>
        <v>119</v>
      </c>
      <c r="M54" s="131">
        <f t="shared" si="23"/>
        <v>169</v>
      </c>
      <c r="N54" s="185">
        <f>+G41*J54</f>
        <v>45.760000000000005</v>
      </c>
      <c r="O54" s="198">
        <f>+E4*N54</f>
        <v>186.88706377674964</v>
      </c>
      <c r="P54" s="199">
        <f>+E7*O54</f>
        <v>560.66119133024893</v>
      </c>
    </row>
    <row r="55" spans="4:16" ht="16.5" customHeight="1" x14ac:dyDescent="0.15">
      <c r="D55" s="112"/>
      <c r="E55" s="138"/>
      <c r="F55" s="113"/>
      <c r="G55" s="201"/>
      <c r="H55" s="114"/>
      <c r="I55" s="114"/>
      <c r="J55" s="114"/>
      <c r="K55" s="114"/>
      <c r="L55" s="132"/>
      <c r="M55" s="132"/>
      <c r="N55" s="186"/>
      <c r="O55" s="195"/>
      <c r="P55" s="196"/>
    </row>
    <row r="56" spans="4:16" ht="16.5" customHeight="1" x14ac:dyDescent="0.15">
      <c r="D56" s="112"/>
      <c r="E56" s="138"/>
      <c r="F56" s="113"/>
      <c r="G56" s="201"/>
      <c r="H56" s="114">
        <f t="shared" si="17"/>
        <v>1.3</v>
      </c>
      <c r="I56" s="114"/>
      <c r="J56" s="114">
        <f t="shared" si="17"/>
        <v>1.3</v>
      </c>
      <c r="K56" s="114"/>
      <c r="L56" s="131">
        <f t="shared" ref="L56:M56" si="24">+L54+1</f>
        <v>120</v>
      </c>
      <c r="M56" s="131">
        <f t="shared" si="24"/>
        <v>170</v>
      </c>
      <c r="N56" s="185">
        <f>+G41*J56</f>
        <v>45.760000000000005</v>
      </c>
      <c r="O56" s="198">
        <f>+E4*N56</f>
        <v>186.88706377674964</v>
      </c>
      <c r="P56" s="199">
        <f>+E7*O56</f>
        <v>560.66119133024893</v>
      </c>
    </row>
    <row r="57" spans="4:16" ht="16.5" customHeight="1" x14ac:dyDescent="0.15">
      <c r="D57" s="112"/>
      <c r="E57" s="138"/>
      <c r="F57" s="113"/>
      <c r="G57" s="201"/>
      <c r="H57" s="114"/>
      <c r="I57" s="114"/>
      <c r="J57" s="114"/>
      <c r="K57" s="114"/>
      <c r="L57" s="132"/>
      <c r="M57" s="132"/>
      <c r="N57" s="186"/>
      <c r="O57" s="195"/>
      <c r="P57" s="196"/>
    </row>
    <row r="58" spans="4:16" ht="16.5" customHeight="1" x14ac:dyDescent="0.15">
      <c r="D58" s="112"/>
      <c r="E58" s="138"/>
      <c r="F58" s="113"/>
      <c r="G58" s="201"/>
      <c r="H58" s="147">
        <v>1.2</v>
      </c>
      <c r="I58" s="114"/>
      <c r="J58" s="114">
        <f>+F41-K41-J42-J44-J46-J48-J50-J52-J54-J56</f>
        <v>0.44999999999999885</v>
      </c>
      <c r="K58" s="114"/>
      <c r="L58" s="131">
        <f t="shared" ref="L58:M58" si="25">+L56+1</f>
        <v>121</v>
      </c>
      <c r="M58" s="131">
        <f t="shared" si="25"/>
        <v>171</v>
      </c>
      <c r="N58" s="185">
        <f>+G41*J58</f>
        <v>15.839999999999961</v>
      </c>
      <c r="O58" s="198">
        <f>+E4*N58</f>
        <v>64.691675922720862</v>
      </c>
      <c r="P58" s="199">
        <f>+E7*O58</f>
        <v>194.07502776816258</v>
      </c>
    </row>
    <row r="59" spans="4:16" ht="16.5" customHeight="1" x14ac:dyDescent="0.15">
      <c r="D59" s="112"/>
      <c r="E59" s="138"/>
      <c r="F59" s="113"/>
      <c r="G59" s="201"/>
      <c r="H59" s="147"/>
      <c r="I59" s="114"/>
      <c r="J59" s="114"/>
      <c r="K59" s="114"/>
      <c r="L59" s="132"/>
      <c r="M59" s="132"/>
      <c r="N59" s="186"/>
      <c r="O59" s="195"/>
      <c r="P59" s="196"/>
    </row>
    <row r="60" spans="4:16" ht="16.5" customHeight="1" x14ac:dyDescent="0.15">
      <c r="D60" s="112"/>
      <c r="E60" s="138"/>
      <c r="F60" s="113"/>
      <c r="G60" s="201"/>
      <c r="H60" s="20">
        <f>+E41-I41-H42-H44-H46-H48-H50-H52-H54-H56-H58</f>
        <v>0.54999999999999893</v>
      </c>
      <c r="I60" s="26"/>
      <c r="J60" s="37" t="s">
        <v>8</v>
      </c>
      <c r="K60" s="26"/>
      <c r="L60" s="10">
        <f>+L58+1</f>
        <v>122</v>
      </c>
      <c r="M60" s="10">
        <f>+M58+1</f>
        <v>172</v>
      </c>
      <c r="N60" s="33" t="s">
        <v>8</v>
      </c>
      <c r="O60" s="33" t="s">
        <v>8</v>
      </c>
      <c r="P60" s="33" t="s">
        <v>8</v>
      </c>
    </row>
    <row r="61" spans="4:16" ht="16.5" customHeight="1" x14ac:dyDescent="0.15">
      <c r="D61" s="27" t="s">
        <v>28</v>
      </c>
      <c r="E61" s="20">
        <f>SUM(E13:E60)</f>
        <v>31</v>
      </c>
      <c r="F61" s="20">
        <f>SUM(F13:F60)</f>
        <v>24.754999999999995</v>
      </c>
      <c r="G61" s="15"/>
      <c r="H61" s="20">
        <f>SUM(H12:H60)</f>
        <v>31.000000000000007</v>
      </c>
      <c r="I61" s="26"/>
      <c r="J61" s="20">
        <f>SUM(J18:J59)</f>
        <v>25.150000000000006</v>
      </c>
      <c r="K61" s="67"/>
      <c r="L61" s="68"/>
      <c r="M61" s="68"/>
      <c r="N61" s="68"/>
      <c r="O61" s="68"/>
      <c r="P61" s="69"/>
    </row>
    <row r="65" spans="3:16" ht="16.5" customHeight="1" x14ac:dyDescent="0.15">
      <c r="C65" s="5" t="s">
        <v>23</v>
      </c>
      <c r="D65" s="4" t="s">
        <v>24</v>
      </c>
    </row>
    <row r="66" spans="3:16" ht="16.5" customHeight="1" x14ac:dyDescent="0.15">
      <c r="D66" s="4" t="s">
        <v>12</v>
      </c>
      <c r="E66" s="12">
        <f>+E3</f>
        <v>1.3</v>
      </c>
      <c r="F66" s="4" t="s">
        <v>4</v>
      </c>
    </row>
    <row r="67" spans="3:16" ht="16.5" customHeight="1" x14ac:dyDescent="0.15">
      <c r="D67" s="4" t="s">
        <v>80</v>
      </c>
      <c r="E67" s="12">
        <f>+PI()*E66</f>
        <v>4.0840704496667311</v>
      </c>
      <c r="F67" s="4" t="s">
        <v>4</v>
      </c>
    </row>
    <row r="68" spans="3:16" ht="16.5" customHeight="1" x14ac:dyDescent="0.15">
      <c r="D68" s="4" t="s">
        <v>17</v>
      </c>
      <c r="E68" s="12">
        <f>+E5</f>
        <v>31</v>
      </c>
      <c r="F68" s="4" t="s">
        <v>4</v>
      </c>
    </row>
    <row r="69" spans="3:16" ht="16.5" customHeight="1" x14ac:dyDescent="0.15">
      <c r="D69" s="4" t="s">
        <v>27</v>
      </c>
      <c r="E69" s="12">
        <f>+E6</f>
        <v>4.9450000000000003</v>
      </c>
      <c r="F69" s="4" t="s">
        <v>4</v>
      </c>
    </row>
    <row r="70" spans="3:16" ht="16.5" customHeight="1" x14ac:dyDescent="0.15">
      <c r="D70" s="4" t="s">
        <v>10</v>
      </c>
      <c r="E70" s="18">
        <v>2</v>
      </c>
      <c r="F70" s="4" t="s">
        <v>16</v>
      </c>
    </row>
    <row r="71" spans="3:16" ht="16.5" customHeight="1" x14ac:dyDescent="0.15">
      <c r="D71" s="96" t="s">
        <v>9</v>
      </c>
      <c r="E71" s="101" t="s">
        <v>29</v>
      </c>
      <c r="F71" s="101" t="s">
        <v>81</v>
      </c>
      <c r="G71" s="104" t="s">
        <v>83</v>
      </c>
      <c r="H71" s="89" t="s">
        <v>31</v>
      </c>
      <c r="I71" s="90"/>
      <c r="J71" s="89" t="s">
        <v>32</v>
      </c>
      <c r="K71" s="90"/>
      <c r="L71" s="81" t="s">
        <v>26</v>
      </c>
      <c r="M71" s="83"/>
      <c r="N71" s="101" t="s">
        <v>82</v>
      </c>
      <c r="O71" s="89" t="s">
        <v>84</v>
      </c>
      <c r="P71" s="90"/>
    </row>
    <row r="72" spans="3:16" ht="16.5" customHeight="1" x14ac:dyDescent="0.15">
      <c r="D72" s="96"/>
      <c r="E72" s="102"/>
      <c r="F72" s="102"/>
      <c r="G72" s="105"/>
      <c r="H72" s="91"/>
      <c r="I72" s="92"/>
      <c r="J72" s="91"/>
      <c r="K72" s="92"/>
      <c r="L72" s="84"/>
      <c r="M72" s="85"/>
      <c r="N72" s="102"/>
      <c r="O72" s="91"/>
      <c r="P72" s="92"/>
    </row>
    <row r="73" spans="3:16" ht="16.5" customHeight="1" x14ac:dyDescent="0.15">
      <c r="D73" s="96"/>
      <c r="E73" s="102"/>
      <c r="F73" s="102"/>
      <c r="G73" s="105"/>
      <c r="H73" s="91"/>
      <c r="I73" s="92"/>
      <c r="J73" s="91"/>
      <c r="K73" s="92"/>
      <c r="L73" s="84"/>
      <c r="M73" s="85"/>
      <c r="N73" s="102"/>
      <c r="O73" s="91"/>
      <c r="P73" s="92"/>
    </row>
    <row r="74" spans="3:16" ht="16.5" customHeight="1" x14ac:dyDescent="0.15">
      <c r="D74" s="96"/>
      <c r="E74" s="102"/>
      <c r="F74" s="102"/>
      <c r="G74" s="105"/>
      <c r="H74" s="91"/>
      <c r="I74" s="92"/>
      <c r="J74" s="91"/>
      <c r="K74" s="92"/>
      <c r="L74" s="84"/>
      <c r="M74" s="85"/>
      <c r="N74" s="102"/>
      <c r="O74" s="93"/>
      <c r="P74" s="94"/>
    </row>
    <row r="75" spans="3:16" ht="16.5" customHeight="1" x14ac:dyDescent="0.15">
      <c r="D75" s="96"/>
      <c r="E75" s="103"/>
      <c r="F75" s="103"/>
      <c r="G75" s="106"/>
      <c r="H75" s="93"/>
      <c r="I75" s="94"/>
      <c r="J75" s="93"/>
      <c r="K75" s="94"/>
      <c r="L75" s="87"/>
      <c r="M75" s="88"/>
      <c r="N75" s="103"/>
      <c r="O75" s="13" t="s">
        <v>18</v>
      </c>
      <c r="P75" s="34">
        <f>+E70</f>
        <v>2</v>
      </c>
    </row>
    <row r="76" spans="3:16" ht="16.5" customHeight="1" x14ac:dyDescent="0.15">
      <c r="D76" s="119" t="s">
        <v>0</v>
      </c>
      <c r="E76" s="158">
        <f>+E13</f>
        <v>1.5</v>
      </c>
      <c r="F76" s="160" t="s">
        <v>8</v>
      </c>
      <c r="G76" s="207">
        <f>+G13</f>
        <v>21</v>
      </c>
      <c r="H76" s="36">
        <f>+E66/2</f>
        <v>0.65</v>
      </c>
      <c r="I76" s="20"/>
      <c r="J76" s="37" t="s">
        <v>8</v>
      </c>
      <c r="K76" s="37" t="s">
        <v>8</v>
      </c>
      <c r="L76" s="38">
        <v>98</v>
      </c>
      <c r="M76" s="17"/>
      <c r="N76" s="33" t="s">
        <v>8</v>
      </c>
      <c r="O76" s="33" t="s">
        <v>8</v>
      </c>
      <c r="P76" s="33" t="s">
        <v>8</v>
      </c>
    </row>
    <row r="77" spans="3:16" ht="16.5" customHeight="1" x14ac:dyDescent="0.15">
      <c r="D77" s="121"/>
      <c r="E77" s="159"/>
      <c r="F77" s="161"/>
      <c r="G77" s="208"/>
      <c r="H77" s="114">
        <f>+E66</f>
        <v>1.3</v>
      </c>
      <c r="I77" s="20">
        <f>+E76-H76</f>
        <v>0.85</v>
      </c>
      <c r="J77" s="146" t="s">
        <v>8</v>
      </c>
      <c r="K77" s="37" t="s">
        <v>8</v>
      </c>
      <c r="L77" s="131">
        <f>+L76+1</f>
        <v>99</v>
      </c>
      <c r="M77" s="131"/>
      <c r="N77" s="154" t="s">
        <v>8</v>
      </c>
      <c r="O77" s="154" t="s">
        <v>8</v>
      </c>
      <c r="P77" s="154" t="s">
        <v>8</v>
      </c>
    </row>
    <row r="78" spans="3:16" ht="16.5" customHeight="1" x14ac:dyDescent="0.15">
      <c r="D78" s="112" t="s">
        <v>1</v>
      </c>
      <c r="E78" s="155">
        <f>+E15</f>
        <v>1.3</v>
      </c>
      <c r="F78" s="151" t="s">
        <v>8</v>
      </c>
      <c r="G78" s="200">
        <f>+G15</f>
        <v>111</v>
      </c>
      <c r="H78" s="114"/>
      <c r="I78" s="20">
        <f>+H77-I77</f>
        <v>0.45000000000000007</v>
      </c>
      <c r="J78" s="144"/>
      <c r="K78" s="37" t="s">
        <v>8</v>
      </c>
      <c r="L78" s="132"/>
      <c r="M78" s="132"/>
      <c r="N78" s="99"/>
      <c r="O78" s="99"/>
      <c r="P78" s="99"/>
    </row>
    <row r="79" spans="3:16" ht="16.5" customHeight="1" x14ac:dyDescent="0.15">
      <c r="D79" s="112"/>
      <c r="E79" s="113"/>
      <c r="F79" s="152"/>
      <c r="G79" s="197"/>
      <c r="H79" s="114">
        <f>+H77</f>
        <v>1.3</v>
      </c>
      <c r="I79" s="20">
        <f>+E78-I78</f>
        <v>0.85</v>
      </c>
      <c r="J79" s="146" t="s">
        <v>8</v>
      </c>
      <c r="K79" s="37" t="s">
        <v>8</v>
      </c>
      <c r="L79" s="131">
        <f>+L77+1</f>
        <v>100</v>
      </c>
      <c r="M79" s="131"/>
      <c r="N79" s="154" t="s">
        <v>8</v>
      </c>
      <c r="O79" s="154" t="s">
        <v>8</v>
      </c>
      <c r="P79" s="154" t="s">
        <v>8</v>
      </c>
    </row>
    <row r="80" spans="3:16" ht="16.5" customHeight="1" x14ac:dyDescent="0.15">
      <c r="D80" s="112" t="s">
        <v>2</v>
      </c>
      <c r="E80" s="113">
        <f>+E17</f>
        <v>2.9</v>
      </c>
      <c r="F80" s="113">
        <f>+E76+E78+E80-E69</f>
        <v>0.75499999999999901</v>
      </c>
      <c r="G80" s="197">
        <f>+G17</f>
        <v>20</v>
      </c>
      <c r="H80" s="114"/>
      <c r="I80" s="20">
        <f>+H79-I79</f>
        <v>0.45000000000000007</v>
      </c>
      <c r="J80" s="144"/>
      <c r="K80" s="37" t="s">
        <v>8</v>
      </c>
      <c r="L80" s="132"/>
      <c r="M80" s="132"/>
      <c r="N80" s="99"/>
      <c r="O80" s="99"/>
      <c r="P80" s="99"/>
    </row>
    <row r="81" spans="4:16" ht="16.5" customHeight="1" x14ac:dyDescent="0.15">
      <c r="D81" s="112"/>
      <c r="E81" s="113"/>
      <c r="F81" s="113"/>
      <c r="G81" s="197"/>
      <c r="H81" s="114">
        <f t="shared" ref="H81" si="26">+H79</f>
        <v>1.3</v>
      </c>
      <c r="I81" s="114"/>
      <c r="J81" s="146" t="s">
        <v>8</v>
      </c>
      <c r="K81" s="146"/>
      <c r="L81" s="74">
        <f t="shared" ref="L81" si="27">+L79+1</f>
        <v>101</v>
      </c>
      <c r="M81" s="131"/>
      <c r="N81" s="154" t="s">
        <v>8</v>
      </c>
      <c r="O81" s="154" t="s">
        <v>8</v>
      </c>
      <c r="P81" s="154" t="s">
        <v>8</v>
      </c>
    </row>
    <row r="82" spans="4:16" ht="16.5" customHeight="1" x14ac:dyDescent="0.15">
      <c r="D82" s="112"/>
      <c r="E82" s="113"/>
      <c r="F82" s="113"/>
      <c r="G82" s="197"/>
      <c r="H82" s="114"/>
      <c r="I82" s="114"/>
      <c r="J82" s="144"/>
      <c r="K82" s="144"/>
      <c r="L82" s="79"/>
      <c r="M82" s="132"/>
      <c r="N82" s="99"/>
      <c r="O82" s="99"/>
      <c r="P82" s="99"/>
    </row>
    <row r="83" spans="4:16" ht="16.5" customHeight="1" x14ac:dyDescent="0.15">
      <c r="D83" s="112"/>
      <c r="E83" s="113"/>
      <c r="F83" s="113"/>
      <c r="G83" s="197"/>
      <c r="H83" s="114">
        <f t="shared" ref="H83" si="28">+H81</f>
        <v>1.3</v>
      </c>
      <c r="I83" s="20">
        <f>+E80-I80-H81</f>
        <v>1.1499999999999997</v>
      </c>
      <c r="J83" s="114">
        <f>+E66</f>
        <v>1.3</v>
      </c>
      <c r="K83" s="20">
        <f>+F80</f>
        <v>0.75499999999999901</v>
      </c>
      <c r="L83" s="74">
        <f t="shared" ref="L83" si="29">+L81+1</f>
        <v>102</v>
      </c>
      <c r="M83" s="131"/>
      <c r="N83" s="198">
        <f>+G80*K83+G84*K84</f>
        <v>29.500000000000014</v>
      </c>
      <c r="O83" s="198">
        <f>+E67*N83</f>
        <v>120.48007826516863</v>
      </c>
      <c r="P83" s="199">
        <f>+E70*O83</f>
        <v>240.96015653033726</v>
      </c>
    </row>
    <row r="84" spans="4:16" ht="16.5" customHeight="1" x14ac:dyDescent="0.15">
      <c r="D84" s="112" t="s">
        <v>3</v>
      </c>
      <c r="E84" s="113">
        <f>+E21</f>
        <v>2.6</v>
      </c>
      <c r="F84" s="113">
        <f>+E84</f>
        <v>2.6</v>
      </c>
      <c r="G84" s="197">
        <f>+G21</f>
        <v>96</v>
      </c>
      <c r="H84" s="114"/>
      <c r="I84" s="20">
        <f>+H83-I83</f>
        <v>0.15000000000000036</v>
      </c>
      <c r="J84" s="114"/>
      <c r="K84" s="20">
        <f>+I84</f>
        <v>0.15000000000000036</v>
      </c>
      <c r="L84" s="79"/>
      <c r="M84" s="132"/>
      <c r="N84" s="195"/>
      <c r="O84" s="195"/>
      <c r="P84" s="196"/>
    </row>
    <row r="85" spans="4:16" ht="16.5" customHeight="1" x14ac:dyDescent="0.15">
      <c r="D85" s="112"/>
      <c r="E85" s="113"/>
      <c r="F85" s="113"/>
      <c r="G85" s="197"/>
      <c r="H85" s="114">
        <f t="shared" ref="H85" si="30">+H83</f>
        <v>1.3</v>
      </c>
      <c r="I85" s="144"/>
      <c r="J85" s="114">
        <f t="shared" ref="J85" si="31">+J83</f>
        <v>1.3</v>
      </c>
      <c r="K85" s="144"/>
      <c r="L85" s="131">
        <f t="shared" ref="L85" si="32">+L83+1</f>
        <v>103</v>
      </c>
      <c r="M85" s="131"/>
      <c r="N85" s="198">
        <f>+G84*J85</f>
        <v>124.80000000000001</v>
      </c>
      <c r="O85" s="198">
        <f>+E67*N85</f>
        <v>509.69199211840811</v>
      </c>
      <c r="P85" s="199">
        <f>+E70*O85</f>
        <v>1019.3839842368162</v>
      </c>
    </row>
    <row r="86" spans="4:16" ht="16.5" customHeight="1" x14ac:dyDescent="0.15">
      <c r="D86" s="112"/>
      <c r="E86" s="113"/>
      <c r="F86" s="113"/>
      <c r="G86" s="197"/>
      <c r="H86" s="114"/>
      <c r="I86" s="144"/>
      <c r="J86" s="114"/>
      <c r="K86" s="144"/>
      <c r="L86" s="132"/>
      <c r="M86" s="132"/>
      <c r="N86" s="195"/>
      <c r="O86" s="195"/>
      <c r="P86" s="196"/>
    </row>
    <row r="87" spans="4:16" ht="16.5" customHeight="1" x14ac:dyDescent="0.15">
      <c r="D87" s="112"/>
      <c r="E87" s="113"/>
      <c r="F87" s="113"/>
      <c r="G87" s="197"/>
      <c r="H87" s="114">
        <f t="shared" ref="H87" si="33">+H85</f>
        <v>1.3</v>
      </c>
      <c r="I87" s="20">
        <f>+E84-I84-H85</f>
        <v>1.1499999999999997</v>
      </c>
      <c r="J87" s="114">
        <f t="shared" ref="J87" si="34">+J85</f>
        <v>1.3</v>
      </c>
      <c r="K87" s="20">
        <f>+I87</f>
        <v>1.1499999999999997</v>
      </c>
      <c r="L87" s="131">
        <f t="shared" ref="L87" si="35">+L85+1</f>
        <v>104</v>
      </c>
      <c r="M87" s="131"/>
      <c r="N87" s="195">
        <f>+G84*K87+G88*K88</f>
        <v>122.04</v>
      </c>
      <c r="O87" s="198">
        <f>+E67*N87</f>
        <v>498.41995767732789</v>
      </c>
      <c r="P87" s="199">
        <f>+E70*O87</f>
        <v>996.83991535465577</v>
      </c>
    </row>
    <row r="88" spans="4:16" ht="16.5" customHeight="1" x14ac:dyDescent="0.15">
      <c r="D88" s="112" t="s">
        <v>13</v>
      </c>
      <c r="E88" s="113">
        <f>+E25</f>
        <v>0.6</v>
      </c>
      <c r="F88" s="113">
        <f>+E88</f>
        <v>0.6</v>
      </c>
      <c r="G88" s="197">
        <f>+G25</f>
        <v>77.599999999999994</v>
      </c>
      <c r="H88" s="114"/>
      <c r="I88" s="20">
        <f>+H87-I87</f>
        <v>0.15000000000000036</v>
      </c>
      <c r="J88" s="114"/>
      <c r="K88" s="20">
        <f t="shared" ref="K88:K90" si="36">+I88</f>
        <v>0.15000000000000036</v>
      </c>
      <c r="L88" s="132"/>
      <c r="M88" s="132"/>
      <c r="N88" s="195"/>
      <c r="O88" s="195"/>
      <c r="P88" s="196"/>
    </row>
    <row r="89" spans="4:16" ht="16.5" customHeight="1" x14ac:dyDescent="0.15">
      <c r="D89" s="112"/>
      <c r="E89" s="113"/>
      <c r="F89" s="113"/>
      <c r="G89" s="197"/>
      <c r="H89" s="114">
        <f t="shared" ref="H89" si="37">+H87</f>
        <v>1.3</v>
      </c>
      <c r="I89" s="20">
        <f>+E88-I88</f>
        <v>0.44999999999999962</v>
      </c>
      <c r="J89" s="114">
        <f t="shared" ref="J89" si="38">+J87</f>
        <v>1.3</v>
      </c>
      <c r="K89" s="20">
        <f t="shared" si="36"/>
        <v>0.44999999999999962</v>
      </c>
      <c r="L89" s="131">
        <f t="shared" ref="L89" si="39">+L87+1</f>
        <v>105</v>
      </c>
      <c r="M89" s="131"/>
      <c r="N89" s="195">
        <f>+G88*K89+G90*K90</f>
        <v>157.32000000000002</v>
      </c>
      <c r="O89" s="198">
        <f>+E67*N89</f>
        <v>642.50596314157019</v>
      </c>
      <c r="P89" s="199">
        <f>+E70*O89</f>
        <v>1285.0119262831404</v>
      </c>
    </row>
    <row r="90" spans="4:16" ht="16.5" customHeight="1" x14ac:dyDescent="0.15">
      <c r="D90" s="119" t="s">
        <v>14</v>
      </c>
      <c r="E90" s="125">
        <f>+E27</f>
        <v>9.5</v>
      </c>
      <c r="F90" s="125">
        <f>+E90</f>
        <v>9.5</v>
      </c>
      <c r="G90" s="204">
        <f>+G27</f>
        <v>144</v>
      </c>
      <c r="H90" s="114"/>
      <c r="I90" s="20">
        <f>+H89-I89</f>
        <v>0.85000000000000042</v>
      </c>
      <c r="J90" s="114"/>
      <c r="K90" s="20">
        <f t="shared" si="36"/>
        <v>0.85000000000000042</v>
      </c>
      <c r="L90" s="132"/>
      <c r="M90" s="132"/>
      <c r="N90" s="195"/>
      <c r="O90" s="195"/>
      <c r="P90" s="196"/>
    </row>
    <row r="91" spans="4:16" ht="16.5" customHeight="1" x14ac:dyDescent="0.15">
      <c r="D91" s="120"/>
      <c r="E91" s="126"/>
      <c r="F91" s="126"/>
      <c r="G91" s="205"/>
      <c r="H91" s="114">
        <f t="shared" ref="H91" si="40">+H89</f>
        <v>1.3</v>
      </c>
      <c r="I91" s="140"/>
      <c r="J91" s="114">
        <f t="shared" ref="J91" si="41">+J89</f>
        <v>1.3</v>
      </c>
      <c r="K91" s="140"/>
      <c r="L91" s="131">
        <f>+L89+1</f>
        <v>106</v>
      </c>
      <c r="M91" s="131"/>
      <c r="N91" s="185">
        <f>+G90*J91</f>
        <v>187.20000000000002</v>
      </c>
      <c r="O91" s="198">
        <f>+E67*N91</f>
        <v>764.53798817761208</v>
      </c>
      <c r="P91" s="199">
        <f>+E70*O91</f>
        <v>1529.0759763552242</v>
      </c>
    </row>
    <row r="92" spans="4:16" ht="16.5" customHeight="1" x14ac:dyDescent="0.15">
      <c r="D92" s="120"/>
      <c r="E92" s="126"/>
      <c r="F92" s="126"/>
      <c r="G92" s="205"/>
      <c r="H92" s="114"/>
      <c r="I92" s="141"/>
      <c r="J92" s="114"/>
      <c r="K92" s="141"/>
      <c r="L92" s="132"/>
      <c r="M92" s="132"/>
      <c r="N92" s="186"/>
      <c r="O92" s="195"/>
      <c r="P92" s="196"/>
    </row>
    <row r="93" spans="4:16" ht="16.5" customHeight="1" x14ac:dyDescent="0.15">
      <c r="D93" s="120"/>
      <c r="E93" s="126"/>
      <c r="F93" s="126"/>
      <c r="G93" s="205"/>
      <c r="H93" s="114">
        <f t="shared" ref="H93" si="42">+H91</f>
        <v>1.3</v>
      </c>
      <c r="I93" s="140"/>
      <c r="J93" s="114">
        <f t="shared" ref="J93" si="43">+J91</f>
        <v>1.3</v>
      </c>
      <c r="K93" s="140"/>
      <c r="L93" s="131">
        <f t="shared" ref="L93" si="44">+L91+1</f>
        <v>107</v>
      </c>
      <c r="M93" s="131"/>
      <c r="N93" s="185">
        <f>+G90*J93</f>
        <v>187.20000000000002</v>
      </c>
      <c r="O93" s="198">
        <f>+E67*N93</f>
        <v>764.53798817761208</v>
      </c>
      <c r="P93" s="199">
        <f>+E70*O93</f>
        <v>1529.0759763552242</v>
      </c>
    </row>
    <row r="94" spans="4:16" ht="16.5" customHeight="1" x14ac:dyDescent="0.15">
      <c r="D94" s="120"/>
      <c r="E94" s="126"/>
      <c r="F94" s="126"/>
      <c r="G94" s="205"/>
      <c r="H94" s="114"/>
      <c r="I94" s="141"/>
      <c r="J94" s="114"/>
      <c r="K94" s="141"/>
      <c r="L94" s="132"/>
      <c r="M94" s="132"/>
      <c r="N94" s="186"/>
      <c r="O94" s="195"/>
      <c r="P94" s="196"/>
    </row>
    <row r="95" spans="4:16" ht="16.5" customHeight="1" x14ac:dyDescent="0.15">
      <c r="D95" s="120"/>
      <c r="E95" s="126"/>
      <c r="F95" s="126"/>
      <c r="G95" s="205"/>
      <c r="H95" s="114">
        <f t="shared" ref="H95" si="45">+H93</f>
        <v>1.3</v>
      </c>
      <c r="I95" s="140"/>
      <c r="J95" s="114">
        <f t="shared" ref="J95" si="46">+J93</f>
        <v>1.3</v>
      </c>
      <c r="K95" s="140"/>
      <c r="L95" s="131">
        <f t="shared" ref="L95" si="47">+L93+1</f>
        <v>108</v>
      </c>
      <c r="M95" s="131"/>
      <c r="N95" s="185">
        <f>+G90*J95</f>
        <v>187.20000000000002</v>
      </c>
      <c r="O95" s="198">
        <f>+E67*N95</f>
        <v>764.53798817761208</v>
      </c>
      <c r="P95" s="199">
        <f>+E70*O95</f>
        <v>1529.0759763552242</v>
      </c>
    </row>
    <row r="96" spans="4:16" ht="16.5" customHeight="1" x14ac:dyDescent="0.15">
      <c r="D96" s="120"/>
      <c r="E96" s="126"/>
      <c r="F96" s="126"/>
      <c r="G96" s="205"/>
      <c r="H96" s="114"/>
      <c r="I96" s="141"/>
      <c r="J96" s="114"/>
      <c r="K96" s="141"/>
      <c r="L96" s="132"/>
      <c r="M96" s="132"/>
      <c r="N96" s="186"/>
      <c r="O96" s="195"/>
      <c r="P96" s="196"/>
    </row>
    <row r="97" spans="4:16" ht="16.5" customHeight="1" x14ac:dyDescent="0.15">
      <c r="D97" s="120"/>
      <c r="E97" s="126"/>
      <c r="F97" s="126"/>
      <c r="G97" s="205"/>
      <c r="H97" s="114">
        <f t="shared" ref="H97" si="48">+H95</f>
        <v>1.3</v>
      </c>
      <c r="I97" s="145"/>
      <c r="J97" s="114">
        <f t="shared" ref="J97" si="49">+J95</f>
        <v>1.3</v>
      </c>
      <c r="K97" s="145"/>
      <c r="L97" s="131">
        <f t="shared" ref="L97" si="50">+L95+1</f>
        <v>109</v>
      </c>
      <c r="M97" s="131"/>
      <c r="N97" s="185">
        <f>+G90*J97</f>
        <v>187.20000000000002</v>
      </c>
      <c r="O97" s="198">
        <f>+E67*N97</f>
        <v>764.53798817761208</v>
      </c>
      <c r="P97" s="199">
        <f>+E70*O97</f>
        <v>1529.0759763552242</v>
      </c>
    </row>
    <row r="98" spans="4:16" ht="16.5" customHeight="1" x14ac:dyDescent="0.15">
      <c r="D98" s="120"/>
      <c r="E98" s="126"/>
      <c r="F98" s="126"/>
      <c r="G98" s="205"/>
      <c r="H98" s="114"/>
      <c r="I98" s="145"/>
      <c r="J98" s="114"/>
      <c r="K98" s="145"/>
      <c r="L98" s="132"/>
      <c r="M98" s="132"/>
      <c r="N98" s="186"/>
      <c r="O98" s="195"/>
      <c r="P98" s="196"/>
    </row>
    <row r="99" spans="4:16" ht="16.5" customHeight="1" x14ac:dyDescent="0.15">
      <c r="D99" s="120"/>
      <c r="E99" s="126"/>
      <c r="F99" s="126"/>
      <c r="G99" s="205"/>
      <c r="H99" s="114">
        <f t="shared" ref="H99" si="51">+H97</f>
        <v>1.3</v>
      </c>
      <c r="I99" s="145"/>
      <c r="J99" s="114">
        <f t="shared" ref="J99" si="52">+J97</f>
        <v>1.3</v>
      </c>
      <c r="K99" s="145"/>
      <c r="L99" s="131">
        <f t="shared" ref="L99" si="53">+L97+1</f>
        <v>110</v>
      </c>
      <c r="M99" s="131"/>
      <c r="N99" s="185">
        <f>+G90*J99</f>
        <v>187.20000000000002</v>
      </c>
      <c r="O99" s="198">
        <f>+E67*N99</f>
        <v>764.53798817761208</v>
      </c>
      <c r="P99" s="199">
        <f>+E70*O99</f>
        <v>1529.0759763552242</v>
      </c>
    </row>
    <row r="100" spans="4:16" ht="16.5" customHeight="1" x14ac:dyDescent="0.15">
      <c r="D100" s="120"/>
      <c r="E100" s="126"/>
      <c r="F100" s="126"/>
      <c r="G100" s="205"/>
      <c r="H100" s="114"/>
      <c r="I100" s="145"/>
      <c r="J100" s="114"/>
      <c r="K100" s="145"/>
      <c r="L100" s="132"/>
      <c r="M100" s="132"/>
      <c r="N100" s="186"/>
      <c r="O100" s="195"/>
      <c r="P100" s="196"/>
    </row>
    <row r="101" spans="4:16" ht="16.5" customHeight="1" x14ac:dyDescent="0.15">
      <c r="D101" s="120"/>
      <c r="E101" s="126"/>
      <c r="F101" s="126"/>
      <c r="G101" s="205"/>
      <c r="H101" s="114">
        <f t="shared" ref="H101" si="54">+H99</f>
        <v>1.3</v>
      </c>
      <c r="I101" s="145"/>
      <c r="J101" s="114">
        <f t="shared" ref="J101" si="55">+J99</f>
        <v>1.3</v>
      </c>
      <c r="K101" s="145"/>
      <c r="L101" s="131">
        <f>+L99+1</f>
        <v>111</v>
      </c>
      <c r="M101" s="131"/>
      <c r="N101" s="185">
        <f>+G90*J101</f>
        <v>187.20000000000002</v>
      </c>
      <c r="O101" s="198">
        <f>+E67*N101</f>
        <v>764.53798817761208</v>
      </c>
      <c r="P101" s="199">
        <f>+E70*O101</f>
        <v>1529.0759763552242</v>
      </c>
    </row>
    <row r="102" spans="4:16" ht="16.5" customHeight="1" x14ac:dyDescent="0.15">
      <c r="D102" s="120"/>
      <c r="E102" s="126"/>
      <c r="F102" s="126"/>
      <c r="G102" s="205"/>
      <c r="H102" s="114"/>
      <c r="I102" s="145"/>
      <c r="J102" s="114"/>
      <c r="K102" s="145"/>
      <c r="L102" s="132"/>
      <c r="M102" s="132"/>
      <c r="N102" s="186"/>
      <c r="O102" s="195"/>
      <c r="P102" s="196"/>
    </row>
    <row r="103" spans="4:16" ht="16.5" customHeight="1" x14ac:dyDescent="0.15">
      <c r="D103" s="121"/>
      <c r="E103" s="127"/>
      <c r="F103" s="127"/>
      <c r="G103" s="206"/>
      <c r="H103" s="114">
        <f t="shared" ref="H103" si="56">+H101</f>
        <v>1.3</v>
      </c>
      <c r="I103" s="20">
        <f>+E90-I90-H91-H93-H95-H97-H99-H101</f>
        <v>0.8500000000000012</v>
      </c>
      <c r="J103" s="114">
        <f t="shared" ref="J103" si="57">+J101</f>
        <v>1.3</v>
      </c>
      <c r="K103" s="20">
        <f t="shared" ref="K103:K104" si="58">+I103</f>
        <v>0.8500000000000012</v>
      </c>
      <c r="L103" s="131">
        <f t="shared" ref="L103" si="59">+L101+1</f>
        <v>112</v>
      </c>
      <c r="M103" s="131"/>
      <c r="N103" s="185">
        <f>+G90*K103+G104*K104</f>
        <v>138.24000000000012</v>
      </c>
      <c r="O103" s="198">
        <f>+E67*N103</f>
        <v>564.58189896192937</v>
      </c>
      <c r="P103" s="199">
        <f>+E70*O103</f>
        <v>1129.1637979238587</v>
      </c>
    </row>
    <row r="104" spans="4:16" ht="16.5" customHeight="1" x14ac:dyDescent="0.15">
      <c r="D104" s="112" t="s">
        <v>15</v>
      </c>
      <c r="E104" s="113">
        <f>+E41</f>
        <v>12.6</v>
      </c>
      <c r="F104" s="113">
        <f>+E104-E66</f>
        <v>11.299999999999999</v>
      </c>
      <c r="G104" s="197">
        <f>+G41</f>
        <v>35.200000000000003</v>
      </c>
      <c r="H104" s="114"/>
      <c r="I104" s="20">
        <f>+H105-I103</f>
        <v>0.44999999999999885</v>
      </c>
      <c r="J104" s="114"/>
      <c r="K104" s="20">
        <f t="shared" si="58"/>
        <v>0.44999999999999885</v>
      </c>
      <c r="L104" s="132"/>
      <c r="M104" s="132"/>
      <c r="N104" s="186"/>
      <c r="O104" s="195"/>
      <c r="P104" s="196"/>
    </row>
    <row r="105" spans="4:16" ht="16.5" customHeight="1" x14ac:dyDescent="0.15">
      <c r="D105" s="112"/>
      <c r="E105" s="113"/>
      <c r="F105" s="113"/>
      <c r="G105" s="197"/>
      <c r="H105" s="114">
        <f t="shared" ref="H105" si="60">+H103</f>
        <v>1.3</v>
      </c>
      <c r="I105" s="156"/>
      <c r="J105" s="114">
        <f t="shared" ref="J105" si="61">+J103</f>
        <v>1.3</v>
      </c>
      <c r="K105" s="156"/>
      <c r="L105" s="131">
        <f t="shared" ref="L105" si="62">+L103+1</f>
        <v>113</v>
      </c>
      <c r="M105" s="131"/>
      <c r="N105" s="185">
        <f>+G104*J105</f>
        <v>45.760000000000005</v>
      </c>
      <c r="O105" s="198">
        <f>+E67*N105</f>
        <v>186.88706377674964</v>
      </c>
      <c r="P105" s="199">
        <f>+E70*O105</f>
        <v>373.77412755349928</v>
      </c>
    </row>
    <row r="106" spans="4:16" ht="16.5" customHeight="1" x14ac:dyDescent="0.15">
      <c r="D106" s="112"/>
      <c r="E106" s="113"/>
      <c r="F106" s="113"/>
      <c r="G106" s="197"/>
      <c r="H106" s="114"/>
      <c r="I106" s="157"/>
      <c r="J106" s="114"/>
      <c r="K106" s="157"/>
      <c r="L106" s="132"/>
      <c r="M106" s="132"/>
      <c r="N106" s="186"/>
      <c r="O106" s="195"/>
      <c r="P106" s="196"/>
    </row>
    <row r="107" spans="4:16" ht="16.5" customHeight="1" x14ac:dyDescent="0.15">
      <c r="D107" s="112"/>
      <c r="E107" s="113"/>
      <c r="F107" s="113"/>
      <c r="G107" s="197"/>
      <c r="H107" s="114">
        <f t="shared" ref="H107" si="63">+H105</f>
        <v>1.3</v>
      </c>
      <c r="I107" s="114"/>
      <c r="J107" s="114">
        <f t="shared" ref="J107" si="64">+J105</f>
        <v>1.3</v>
      </c>
      <c r="K107" s="114"/>
      <c r="L107" s="131">
        <f t="shared" ref="L107" si="65">+L105+1</f>
        <v>114</v>
      </c>
      <c r="M107" s="131"/>
      <c r="N107" s="185">
        <f>+G104*J107</f>
        <v>45.760000000000005</v>
      </c>
      <c r="O107" s="198">
        <f>+E67*N107</f>
        <v>186.88706377674964</v>
      </c>
      <c r="P107" s="199">
        <f>+E70*O107</f>
        <v>373.77412755349928</v>
      </c>
    </row>
    <row r="108" spans="4:16" ht="16.5" customHeight="1" x14ac:dyDescent="0.15">
      <c r="D108" s="112"/>
      <c r="E108" s="113"/>
      <c r="F108" s="113"/>
      <c r="G108" s="197"/>
      <c r="H108" s="114"/>
      <c r="I108" s="114"/>
      <c r="J108" s="114"/>
      <c r="K108" s="114"/>
      <c r="L108" s="132"/>
      <c r="M108" s="132"/>
      <c r="N108" s="186"/>
      <c r="O108" s="195"/>
      <c r="P108" s="196"/>
    </row>
    <row r="109" spans="4:16" ht="16.5" customHeight="1" x14ac:dyDescent="0.15">
      <c r="D109" s="112"/>
      <c r="E109" s="113"/>
      <c r="F109" s="113"/>
      <c r="G109" s="197"/>
      <c r="H109" s="114">
        <f t="shared" ref="H109" si="66">+H107</f>
        <v>1.3</v>
      </c>
      <c r="I109" s="114"/>
      <c r="J109" s="114">
        <f t="shared" ref="J109" si="67">+J107</f>
        <v>1.3</v>
      </c>
      <c r="K109" s="114"/>
      <c r="L109" s="131">
        <f t="shared" ref="L109" si="68">+L107+1</f>
        <v>115</v>
      </c>
      <c r="M109" s="131"/>
      <c r="N109" s="185">
        <f>+G104*J109</f>
        <v>45.760000000000005</v>
      </c>
      <c r="O109" s="198">
        <f>+E67*N109</f>
        <v>186.88706377674964</v>
      </c>
      <c r="P109" s="199">
        <f>+E70*O109</f>
        <v>373.77412755349928</v>
      </c>
    </row>
    <row r="110" spans="4:16" ht="16.5" customHeight="1" x14ac:dyDescent="0.15">
      <c r="D110" s="112"/>
      <c r="E110" s="113"/>
      <c r="F110" s="113"/>
      <c r="G110" s="197"/>
      <c r="H110" s="114"/>
      <c r="I110" s="114"/>
      <c r="J110" s="114"/>
      <c r="K110" s="114"/>
      <c r="L110" s="132"/>
      <c r="M110" s="132"/>
      <c r="N110" s="186"/>
      <c r="O110" s="195"/>
      <c r="P110" s="196"/>
    </row>
    <row r="111" spans="4:16" ht="16.5" customHeight="1" x14ac:dyDescent="0.15">
      <c r="D111" s="112"/>
      <c r="E111" s="113"/>
      <c r="F111" s="113"/>
      <c r="G111" s="197"/>
      <c r="H111" s="114">
        <f t="shared" ref="H111" si="69">+H109</f>
        <v>1.3</v>
      </c>
      <c r="I111" s="114"/>
      <c r="J111" s="114">
        <f t="shared" ref="J111" si="70">+J109</f>
        <v>1.3</v>
      </c>
      <c r="K111" s="114"/>
      <c r="L111" s="131">
        <f t="shared" ref="L111" si="71">+L109+1</f>
        <v>116</v>
      </c>
      <c r="M111" s="131"/>
      <c r="N111" s="185">
        <f>+G104*J111</f>
        <v>45.760000000000005</v>
      </c>
      <c r="O111" s="198">
        <f>+E67*N111</f>
        <v>186.88706377674964</v>
      </c>
      <c r="P111" s="199">
        <f>+E70*O111</f>
        <v>373.77412755349928</v>
      </c>
    </row>
    <row r="112" spans="4:16" ht="16.5" customHeight="1" x14ac:dyDescent="0.15">
      <c r="D112" s="112"/>
      <c r="E112" s="113"/>
      <c r="F112" s="113"/>
      <c r="G112" s="197"/>
      <c r="H112" s="114"/>
      <c r="I112" s="114"/>
      <c r="J112" s="114"/>
      <c r="K112" s="114"/>
      <c r="L112" s="132"/>
      <c r="M112" s="132"/>
      <c r="N112" s="186"/>
      <c r="O112" s="195"/>
      <c r="P112" s="196"/>
    </row>
    <row r="113" spans="4:16" ht="16.5" customHeight="1" x14ac:dyDescent="0.15">
      <c r="D113" s="112"/>
      <c r="E113" s="113"/>
      <c r="F113" s="113"/>
      <c r="G113" s="197"/>
      <c r="H113" s="114">
        <f t="shared" ref="H113" si="72">+H111</f>
        <v>1.3</v>
      </c>
      <c r="I113" s="114"/>
      <c r="J113" s="114">
        <f t="shared" ref="J113" si="73">+J111</f>
        <v>1.3</v>
      </c>
      <c r="K113" s="114"/>
      <c r="L113" s="131">
        <f>+L111+1</f>
        <v>117</v>
      </c>
      <c r="M113" s="131"/>
      <c r="N113" s="185">
        <f>+G104*J113</f>
        <v>45.760000000000005</v>
      </c>
      <c r="O113" s="198">
        <f>+E67*N113</f>
        <v>186.88706377674964</v>
      </c>
      <c r="P113" s="199">
        <f>+E70*O113</f>
        <v>373.77412755349928</v>
      </c>
    </row>
    <row r="114" spans="4:16" ht="16.5" customHeight="1" x14ac:dyDescent="0.15">
      <c r="D114" s="112"/>
      <c r="E114" s="113"/>
      <c r="F114" s="113"/>
      <c r="G114" s="197"/>
      <c r="H114" s="114"/>
      <c r="I114" s="114"/>
      <c r="J114" s="114"/>
      <c r="K114" s="114"/>
      <c r="L114" s="132"/>
      <c r="M114" s="132"/>
      <c r="N114" s="186"/>
      <c r="O114" s="195"/>
      <c r="P114" s="196"/>
    </row>
    <row r="115" spans="4:16" ht="16.5" customHeight="1" x14ac:dyDescent="0.15">
      <c r="D115" s="112"/>
      <c r="E115" s="113"/>
      <c r="F115" s="113"/>
      <c r="G115" s="197"/>
      <c r="H115" s="114">
        <f t="shared" ref="H115" si="74">+H113</f>
        <v>1.3</v>
      </c>
      <c r="I115" s="114"/>
      <c r="J115" s="114">
        <f t="shared" ref="J115" si="75">+J113</f>
        <v>1.3</v>
      </c>
      <c r="K115" s="114"/>
      <c r="L115" s="131">
        <f t="shared" ref="L115" si="76">+L113+1</f>
        <v>118</v>
      </c>
      <c r="M115" s="131"/>
      <c r="N115" s="185">
        <f>+G104*J115</f>
        <v>45.760000000000005</v>
      </c>
      <c r="O115" s="198">
        <f>+E67*N115</f>
        <v>186.88706377674964</v>
      </c>
      <c r="P115" s="199">
        <f>+E70*O115</f>
        <v>373.77412755349928</v>
      </c>
    </row>
    <row r="116" spans="4:16" ht="16.5" customHeight="1" x14ac:dyDescent="0.15">
      <c r="D116" s="112"/>
      <c r="E116" s="113"/>
      <c r="F116" s="113"/>
      <c r="G116" s="197"/>
      <c r="H116" s="114"/>
      <c r="I116" s="114"/>
      <c r="J116" s="114"/>
      <c r="K116" s="114"/>
      <c r="L116" s="132"/>
      <c r="M116" s="132"/>
      <c r="N116" s="186"/>
      <c r="O116" s="195"/>
      <c r="P116" s="196"/>
    </row>
    <row r="117" spans="4:16" ht="16.5" customHeight="1" x14ac:dyDescent="0.15">
      <c r="D117" s="112"/>
      <c r="E117" s="113"/>
      <c r="F117" s="113"/>
      <c r="G117" s="197"/>
      <c r="H117" s="114">
        <f t="shared" ref="H117" si="77">+H115</f>
        <v>1.3</v>
      </c>
      <c r="I117" s="114"/>
      <c r="J117" s="114">
        <f t="shared" ref="J117" si="78">+J115</f>
        <v>1.3</v>
      </c>
      <c r="K117" s="114"/>
      <c r="L117" s="131">
        <f t="shared" ref="L117" si="79">+L115+1</f>
        <v>119</v>
      </c>
      <c r="M117" s="131"/>
      <c r="N117" s="185">
        <f>+G104*J117</f>
        <v>45.760000000000005</v>
      </c>
      <c r="O117" s="198">
        <f>+E67*N117</f>
        <v>186.88706377674964</v>
      </c>
      <c r="P117" s="199">
        <f>+E70*O117</f>
        <v>373.77412755349928</v>
      </c>
    </row>
    <row r="118" spans="4:16" ht="16.5" customHeight="1" x14ac:dyDescent="0.15">
      <c r="D118" s="112"/>
      <c r="E118" s="113"/>
      <c r="F118" s="113"/>
      <c r="G118" s="197"/>
      <c r="H118" s="114"/>
      <c r="I118" s="114"/>
      <c r="J118" s="114"/>
      <c r="K118" s="114"/>
      <c r="L118" s="132"/>
      <c r="M118" s="132"/>
      <c r="N118" s="186"/>
      <c r="O118" s="195"/>
      <c r="P118" s="196"/>
    </row>
    <row r="119" spans="4:16" ht="16.5" customHeight="1" x14ac:dyDescent="0.15">
      <c r="D119" s="112"/>
      <c r="E119" s="113"/>
      <c r="F119" s="113"/>
      <c r="G119" s="197"/>
      <c r="H119" s="114">
        <f t="shared" ref="H119" si="80">+H117</f>
        <v>1.3</v>
      </c>
      <c r="I119" s="114"/>
      <c r="J119" s="114">
        <f t="shared" ref="J119" si="81">+J117</f>
        <v>1.3</v>
      </c>
      <c r="K119" s="114"/>
      <c r="L119" s="131">
        <f t="shared" ref="L119" si="82">+L117+1</f>
        <v>120</v>
      </c>
      <c r="M119" s="131"/>
      <c r="N119" s="185">
        <f>+G104*J119</f>
        <v>45.760000000000005</v>
      </c>
      <c r="O119" s="198">
        <f>+E67*N119</f>
        <v>186.88706377674964</v>
      </c>
      <c r="P119" s="199">
        <f>+E70*O119</f>
        <v>373.77412755349928</v>
      </c>
    </row>
    <row r="120" spans="4:16" ht="16.5" customHeight="1" x14ac:dyDescent="0.15">
      <c r="D120" s="112"/>
      <c r="E120" s="113"/>
      <c r="F120" s="113"/>
      <c r="G120" s="197"/>
      <c r="H120" s="114"/>
      <c r="I120" s="114"/>
      <c r="J120" s="114"/>
      <c r="K120" s="114"/>
      <c r="L120" s="132"/>
      <c r="M120" s="132"/>
      <c r="N120" s="186"/>
      <c r="O120" s="195"/>
      <c r="P120" s="196"/>
    </row>
    <row r="121" spans="4:16" ht="16.5" customHeight="1" x14ac:dyDescent="0.15">
      <c r="D121" s="112"/>
      <c r="E121" s="113"/>
      <c r="F121" s="113"/>
      <c r="G121" s="197"/>
      <c r="H121" s="114">
        <f>+H58</f>
        <v>1.2</v>
      </c>
      <c r="I121" s="114"/>
      <c r="J121" s="114">
        <f>+F104-K104-J105-J107-J109-J111-J113-J115-J117-J119</f>
        <v>0.44999999999999885</v>
      </c>
      <c r="K121" s="114"/>
      <c r="L121" s="131">
        <f t="shared" ref="L121" si="83">+L119+1</f>
        <v>121</v>
      </c>
      <c r="M121" s="131"/>
      <c r="N121" s="185">
        <f>+G104*J121</f>
        <v>15.839999999999961</v>
      </c>
      <c r="O121" s="198">
        <f>+E67*N121</f>
        <v>64.691675922720862</v>
      </c>
      <c r="P121" s="199">
        <f>+E70*O121</f>
        <v>129.38335184544172</v>
      </c>
    </row>
    <row r="122" spans="4:16" ht="16.5" customHeight="1" x14ac:dyDescent="0.15">
      <c r="D122" s="112"/>
      <c r="E122" s="113"/>
      <c r="F122" s="113"/>
      <c r="G122" s="197"/>
      <c r="H122" s="114"/>
      <c r="I122" s="114"/>
      <c r="J122" s="114"/>
      <c r="K122" s="114"/>
      <c r="L122" s="132"/>
      <c r="M122" s="132"/>
      <c r="N122" s="186"/>
      <c r="O122" s="195"/>
      <c r="P122" s="196"/>
    </row>
    <row r="123" spans="4:16" ht="16.5" customHeight="1" x14ac:dyDescent="0.15">
      <c r="D123" s="112"/>
      <c r="E123" s="113"/>
      <c r="F123" s="113"/>
      <c r="G123" s="197"/>
      <c r="H123" s="20">
        <f>+E104-I104-H105-H107-H109-H111-H113-H115-H117-H119-H121</f>
        <v>0.54999999999999893</v>
      </c>
      <c r="I123" s="26"/>
      <c r="J123" s="37" t="s">
        <v>8</v>
      </c>
      <c r="K123" s="26"/>
      <c r="L123" s="10">
        <f>+L121+1</f>
        <v>122</v>
      </c>
      <c r="M123" s="10"/>
      <c r="N123" s="33" t="s">
        <v>8</v>
      </c>
      <c r="O123" s="33" t="s">
        <v>8</v>
      </c>
      <c r="P123" s="33" t="s">
        <v>8</v>
      </c>
    </row>
    <row r="124" spans="4:16" ht="16.5" customHeight="1" x14ac:dyDescent="0.15">
      <c r="D124" s="27" t="s">
        <v>28</v>
      </c>
      <c r="E124" s="20">
        <f>SUM(E76:E123)</f>
        <v>31</v>
      </c>
      <c r="F124" s="20">
        <f>SUM(F76:F123)</f>
        <v>24.754999999999995</v>
      </c>
      <c r="G124" s="26"/>
      <c r="H124" s="20">
        <f>SUM(H75:H123)</f>
        <v>31.000000000000007</v>
      </c>
      <c r="I124" s="26"/>
      <c r="J124" s="20">
        <f>SUM(J81:J122)</f>
        <v>25.150000000000006</v>
      </c>
      <c r="K124" s="67"/>
      <c r="L124" s="68"/>
      <c r="M124" s="68"/>
      <c r="N124" s="68"/>
      <c r="O124" s="68"/>
      <c r="P124" s="69"/>
    </row>
  </sheetData>
  <mergeCells count="466">
    <mergeCell ref="L8:M12"/>
    <mergeCell ref="N8:N12"/>
    <mergeCell ref="O8:P11"/>
    <mergeCell ref="D13:D14"/>
    <mergeCell ref="E13:E14"/>
    <mergeCell ref="F13:F14"/>
    <mergeCell ref="G13:G14"/>
    <mergeCell ref="H14:H15"/>
    <mergeCell ref="J14:J15"/>
    <mergeCell ref="L14:L15"/>
    <mergeCell ref="D8:D12"/>
    <mergeCell ref="E8:E12"/>
    <mergeCell ref="F8:F12"/>
    <mergeCell ref="G8:G12"/>
    <mergeCell ref="H8:I12"/>
    <mergeCell ref="J8:K12"/>
    <mergeCell ref="M14:M15"/>
    <mergeCell ref="N14:N15"/>
    <mergeCell ref="O14:O15"/>
    <mergeCell ref="P14:P15"/>
    <mergeCell ref="D15:D16"/>
    <mergeCell ref="E15:E16"/>
    <mergeCell ref="F15:F16"/>
    <mergeCell ref="G15:G16"/>
    <mergeCell ref="H16:H17"/>
    <mergeCell ref="J16:J17"/>
    <mergeCell ref="L16:L17"/>
    <mergeCell ref="M16:M17"/>
    <mergeCell ref="N16:N17"/>
    <mergeCell ref="O16:O17"/>
    <mergeCell ref="P16:P17"/>
    <mergeCell ref="D17:D20"/>
    <mergeCell ref="E17:E20"/>
    <mergeCell ref="F17:F20"/>
    <mergeCell ref="G17:G20"/>
    <mergeCell ref="H18:H19"/>
    <mergeCell ref="D21:D24"/>
    <mergeCell ref="E21:E24"/>
    <mergeCell ref="F21:F24"/>
    <mergeCell ref="G21:G24"/>
    <mergeCell ref="H22:H23"/>
    <mergeCell ref="I22:I23"/>
    <mergeCell ref="O18:O19"/>
    <mergeCell ref="P18:P19"/>
    <mergeCell ref="H20:H21"/>
    <mergeCell ref="J20:J21"/>
    <mergeCell ref="L20:L21"/>
    <mergeCell ref="M20:M21"/>
    <mergeCell ref="N20:N21"/>
    <mergeCell ref="O20:O21"/>
    <mergeCell ref="P20:P21"/>
    <mergeCell ref="I18:I19"/>
    <mergeCell ref="J18:J19"/>
    <mergeCell ref="K18:K19"/>
    <mergeCell ref="L18:L19"/>
    <mergeCell ref="M18:M19"/>
    <mergeCell ref="N18:N19"/>
    <mergeCell ref="P22:P23"/>
    <mergeCell ref="H24:H25"/>
    <mergeCell ref="J24:J25"/>
    <mergeCell ref="L24:L25"/>
    <mergeCell ref="M24:M25"/>
    <mergeCell ref="N24:N25"/>
    <mergeCell ref="O24:O25"/>
    <mergeCell ref="P24:P25"/>
    <mergeCell ref="J22:J23"/>
    <mergeCell ref="K22:K23"/>
    <mergeCell ref="L22:L23"/>
    <mergeCell ref="M22:M23"/>
    <mergeCell ref="N22:N23"/>
    <mergeCell ref="O22:O23"/>
    <mergeCell ref="L26:L27"/>
    <mergeCell ref="M26:M27"/>
    <mergeCell ref="N26:N27"/>
    <mergeCell ref="O26:O27"/>
    <mergeCell ref="P26:P27"/>
    <mergeCell ref="D27:D40"/>
    <mergeCell ref="E27:E40"/>
    <mergeCell ref="F27:F40"/>
    <mergeCell ref="G27:G40"/>
    <mergeCell ref="H28:H29"/>
    <mergeCell ref="D25:D26"/>
    <mergeCell ref="E25:E26"/>
    <mergeCell ref="F25:F26"/>
    <mergeCell ref="G25:G26"/>
    <mergeCell ref="H26:H27"/>
    <mergeCell ref="J26:J27"/>
    <mergeCell ref="O28:O29"/>
    <mergeCell ref="P28:P29"/>
    <mergeCell ref="H30:H31"/>
    <mergeCell ref="I30:I31"/>
    <mergeCell ref="J30:J31"/>
    <mergeCell ref="K30:K31"/>
    <mergeCell ref="L30:L31"/>
    <mergeCell ref="M30:M31"/>
    <mergeCell ref="N30:N31"/>
    <mergeCell ref="O30:O31"/>
    <mergeCell ref="I28:I29"/>
    <mergeCell ref="J28:J29"/>
    <mergeCell ref="K28:K29"/>
    <mergeCell ref="L28:L29"/>
    <mergeCell ref="M28:M29"/>
    <mergeCell ref="N28:N29"/>
    <mergeCell ref="P30:P31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N34:N35"/>
    <mergeCell ref="O34:O35"/>
    <mergeCell ref="P34:P35"/>
    <mergeCell ref="H36:H37"/>
    <mergeCell ref="I36:I37"/>
    <mergeCell ref="J36:J37"/>
    <mergeCell ref="K36:K37"/>
    <mergeCell ref="L36:L37"/>
    <mergeCell ref="M36:M37"/>
    <mergeCell ref="N36:N37"/>
    <mergeCell ref="H34:H35"/>
    <mergeCell ref="I34:I35"/>
    <mergeCell ref="J34:J35"/>
    <mergeCell ref="K34:K35"/>
    <mergeCell ref="L34:L35"/>
    <mergeCell ref="M34:M35"/>
    <mergeCell ref="P38:P39"/>
    <mergeCell ref="H40:H41"/>
    <mergeCell ref="J40:J41"/>
    <mergeCell ref="L40:L41"/>
    <mergeCell ref="M40:M41"/>
    <mergeCell ref="N40:N41"/>
    <mergeCell ref="O40:O41"/>
    <mergeCell ref="P40:P41"/>
    <mergeCell ref="O36:O37"/>
    <mergeCell ref="P36:P37"/>
    <mergeCell ref="H38:H39"/>
    <mergeCell ref="I38:I39"/>
    <mergeCell ref="J38:J39"/>
    <mergeCell ref="K38:K39"/>
    <mergeCell ref="L38:L39"/>
    <mergeCell ref="M38:M39"/>
    <mergeCell ref="N38:N39"/>
    <mergeCell ref="O38:O39"/>
    <mergeCell ref="P42:P43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J42:J43"/>
    <mergeCell ref="K42:K43"/>
    <mergeCell ref="L42:L43"/>
    <mergeCell ref="M42:M43"/>
    <mergeCell ref="N42:N43"/>
    <mergeCell ref="O42:O43"/>
    <mergeCell ref="H42:H43"/>
    <mergeCell ref="I42:I43"/>
    <mergeCell ref="P46:P47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J46:J47"/>
    <mergeCell ref="K46:K47"/>
    <mergeCell ref="L46:L47"/>
    <mergeCell ref="M46:M47"/>
    <mergeCell ref="N46:N47"/>
    <mergeCell ref="O46:O47"/>
    <mergeCell ref="H46:H47"/>
    <mergeCell ref="I46:I47"/>
    <mergeCell ref="P50:P51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J50:J51"/>
    <mergeCell ref="K50:K51"/>
    <mergeCell ref="L50:L51"/>
    <mergeCell ref="M50:M51"/>
    <mergeCell ref="N50:N51"/>
    <mergeCell ref="O50:O51"/>
    <mergeCell ref="H50:H51"/>
    <mergeCell ref="I50:I51"/>
    <mergeCell ref="N54:N55"/>
    <mergeCell ref="O54:O55"/>
    <mergeCell ref="P54:P55"/>
    <mergeCell ref="H56:H57"/>
    <mergeCell ref="I56:I57"/>
    <mergeCell ref="J56:J57"/>
    <mergeCell ref="K56:K57"/>
    <mergeCell ref="L56:L57"/>
    <mergeCell ref="M56:M57"/>
    <mergeCell ref="N56:N57"/>
    <mergeCell ref="H54:H55"/>
    <mergeCell ref="I54:I55"/>
    <mergeCell ref="J54:J55"/>
    <mergeCell ref="K54:K55"/>
    <mergeCell ref="L54:L55"/>
    <mergeCell ref="M54:M55"/>
    <mergeCell ref="O56:O57"/>
    <mergeCell ref="P56:P57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K61:P61"/>
    <mergeCell ref="D71:D75"/>
    <mergeCell ref="E71:E75"/>
    <mergeCell ref="F71:F75"/>
    <mergeCell ref="G71:G75"/>
    <mergeCell ref="H71:I75"/>
    <mergeCell ref="J71:K75"/>
    <mergeCell ref="L71:M75"/>
    <mergeCell ref="N71:N75"/>
    <mergeCell ref="D41:D60"/>
    <mergeCell ref="E41:E60"/>
    <mergeCell ref="F41:F60"/>
    <mergeCell ref="G41:G60"/>
    <mergeCell ref="O71:P74"/>
    <mergeCell ref="D76:D77"/>
    <mergeCell ref="E76:E77"/>
    <mergeCell ref="F76:F77"/>
    <mergeCell ref="G76:G77"/>
    <mergeCell ref="H77:H78"/>
    <mergeCell ref="J77:J78"/>
    <mergeCell ref="L77:L78"/>
    <mergeCell ref="M77:M78"/>
    <mergeCell ref="N77:N78"/>
    <mergeCell ref="O77:O78"/>
    <mergeCell ref="P77:P78"/>
    <mergeCell ref="D78:D79"/>
    <mergeCell ref="E78:E79"/>
    <mergeCell ref="F78:F79"/>
    <mergeCell ref="G78:G79"/>
    <mergeCell ref="H79:H80"/>
    <mergeCell ref="J79:J80"/>
    <mergeCell ref="L79:L80"/>
    <mergeCell ref="M79:M80"/>
    <mergeCell ref="K81:K82"/>
    <mergeCell ref="L81:L82"/>
    <mergeCell ref="M81:M82"/>
    <mergeCell ref="N81:N82"/>
    <mergeCell ref="O81:O82"/>
    <mergeCell ref="P81:P82"/>
    <mergeCell ref="N79:N80"/>
    <mergeCell ref="O79:O80"/>
    <mergeCell ref="P79:P80"/>
    <mergeCell ref="P83:P84"/>
    <mergeCell ref="D84:D87"/>
    <mergeCell ref="E84:E87"/>
    <mergeCell ref="F84:F87"/>
    <mergeCell ref="G84:G87"/>
    <mergeCell ref="H85:H86"/>
    <mergeCell ref="I85:I86"/>
    <mergeCell ref="J85:J86"/>
    <mergeCell ref="K85:K86"/>
    <mergeCell ref="L85:L86"/>
    <mergeCell ref="H83:H84"/>
    <mergeCell ref="J83:J84"/>
    <mergeCell ref="L83:L84"/>
    <mergeCell ref="M83:M84"/>
    <mergeCell ref="N83:N84"/>
    <mergeCell ref="O83:O84"/>
    <mergeCell ref="D80:D83"/>
    <mergeCell ref="E80:E83"/>
    <mergeCell ref="F80:F83"/>
    <mergeCell ref="G80:G83"/>
    <mergeCell ref="H81:H82"/>
    <mergeCell ref="I81:I82"/>
    <mergeCell ref="J81:J82"/>
    <mergeCell ref="M85:M86"/>
    <mergeCell ref="N85:N86"/>
    <mergeCell ref="O85:O86"/>
    <mergeCell ref="P85:P86"/>
    <mergeCell ref="H87:H88"/>
    <mergeCell ref="J87:J88"/>
    <mergeCell ref="L87:L88"/>
    <mergeCell ref="M87:M88"/>
    <mergeCell ref="N87:N88"/>
    <mergeCell ref="O87:O88"/>
    <mergeCell ref="P87:P88"/>
    <mergeCell ref="D88:D89"/>
    <mergeCell ref="E88:E89"/>
    <mergeCell ref="F88:F89"/>
    <mergeCell ref="G88:G89"/>
    <mergeCell ref="H89:H90"/>
    <mergeCell ref="J89:J90"/>
    <mergeCell ref="L89:L90"/>
    <mergeCell ref="M89:M90"/>
    <mergeCell ref="N89:N90"/>
    <mergeCell ref="O89:O90"/>
    <mergeCell ref="P89:P90"/>
    <mergeCell ref="D90:D103"/>
    <mergeCell ref="E90:E103"/>
    <mergeCell ref="F90:F103"/>
    <mergeCell ref="G90:G103"/>
    <mergeCell ref="H91:H92"/>
    <mergeCell ref="I91:I92"/>
    <mergeCell ref="J91:J92"/>
    <mergeCell ref="K91:K92"/>
    <mergeCell ref="L91:L92"/>
    <mergeCell ref="M91:M92"/>
    <mergeCell ref="N91:N92"/>
    <mergeCell ref="O91:O92"/>
    <mergeCell ref="P91:P92"/>
    <mergeCell ref="H93:H94"/>
    <mergeCell ref="I93:I94"/>
    <mergeCell ref="J93:J94"/>
    <mergeCell ref="K93:K94"/>
    <mergeCell ref="L93:L94"/>
    <mergeCell ref="M93:M94"/>
    <mergeCell ref="N93:N94"/>
    <mergeCell ref="O93:O94"/>
    <mergeCell ref="P93:P94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H101:H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P103:P104"/>
    <mergeCell ref="D104:D123"/>
    <mergeCell ref="E104:E123"/>
    <mergeCell ref="F104:F123"/>
    <mergeCell ref="G104:G123"/>
    <mergeCell ref="H105:H106"/>
    <mergeCell ref="I105:I106"/>
    <mergeCell ref="J105:J106"/>
    <mergeCell ref="K105:K106"/>
    <mergeCell ref="L105:L106"/>
    <mergeCell ref="H103:H104"/>
    <mergeCell ref="J103:J104"/>
    <mergeCell ref="L103:L104"/>
    <mergeCell ref="M103:M104"/>
    <mergeCell ref="N103:N104"/>
    <mergeCell ref="O103:O104"/>
    <mergeCell ref="M105:M106"/>
    <mergeCell ref="N105:N106"/>
    <mergeCell ref="O105:O106"/>
    <mergeCell ref="P105:P106"/>
    <mergeCell ref="H107:H108"/>
    <mergeCell ref="I107:I108"/>
    <mergeCell ref="J107:J108"/>
    <mergeCell ref="K107:K108"/>
    <mergeCell ref="L107:L108"/>
    <mergeCell ref="M107:M108"/>
    <mergeCell ref="N107:N108"/>
    <mergeCell ref="O107:O108"/>
    <mergeCell ref="P107:P108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H111:H112"/>
    <mergeCell ref="I111:I112"/>
    <mergeCell ref="J111:J112"/>
    <mergeCell ref="K111:K112"/>
    <mergeCell ref="L111:L112"/>
    <mergeCell ref="M111:M112"/>
    <mergeCell ref="N111:N112"/>
    <mergeCell ref="O111:O112"/>
    <mergeCell ref="P111:P112"/>
    <mergeCell ref="H113:H114"/>
    <mergeCell ref="I113:I114"/>
    <mergeCell ref="J113:J114"/>
    <mergeCell ref="K113:K114"/>
    <mergeCell ref="L113:L114"/>
    <mergeCell ref="M113:M114"/>
    <mergeCell ref="N113:N114"/>
    <mergeCell ref="O113:O114"/>
    <mergeCell ref="P113:P114"/>
    <mergeCell ref="N115:N116"/>
    <mergeCell ref="O115:O116"/>
    <mergeCell ref="P115:P116"/>
    <mergeCell ref="H117:H118"/>
    <mergeCell ref="I117:I118"/>
    <mergeCell ref="J117:J118"/>
    <mergeCell ref="K117:K118"/>
    <mergeCell ref="L117:L118"/>
    <mergeCell ref="M117:M118"/>
    <mergeCell ref="N117:N118"/>
    <mergeCell ref="H115:H116"/>
    <mergeCell ref="I115:I116"/>
    <mergeCell ref="J115:J116"/>
    <mergeCell ref="K115:K116"/>
    <mergeCell ref="L115:L116"/>
    <mergeCell ref="M115:M116"/>
    <mergeCell ref="O117:O118"/>
    <mergeCell ref="P117:P118"/>
    <mergeCell ref="H119:H120"/>
    <mergeCell ref="I119:I120"/>
    <mergeCell ref="J119:J120"/>
    <mergeCell ref="K119:K120"/>
    <mergeCell ref="L119:L120"/>
    <mergeCell ref="M119:M120"/>
    <mergeCell ref="N119:N120"/>
    <mergeCell ref="O119:O120"/>
    <mergeCell ref="K124:P124"/>
    <mergeCell ref="P119:P120"/>
    <mergeCell ref="H121:H122"/>
    <mergeCell ref="I121:I122"/>
    <mergeCell ref="J121:J122"/>
    <mergeCell ref="K121:K122"/>
    <mergeCell ref="L121:L122"/>
    <mergeCell ref="M121:M122"/>
    <mergeCell ref="N121:N122"/>
    <mergeCell ref="O121:O122"/>
    <mergeCell ref="P121:P122"/>
  </mergeCells>
  <phoneticPr fontId="1"/>
  <pageMargins left="0.78740157480314965" right="0.27559055118110237" top="0.59055118110236227" bottom="0.15748031496062992" header="0.78740157480314965" footer="0.15748031496062992"/>
  <pageSetup paperSize="9" scale="81" orientation="portrait" r:id="rId1"/>
  <headerFooter alignWithMargins="0"/>
  <rowBreaks count="1" manualBreakCount="1">
    <brk id="63" max="17" man="1"/>
  </rowBreaks>
  <ignoredErrors>
    <ignoredError sqref="I79:N90 I103 I16:M41 N22 E67 F88:F123 F80:F8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0F0D-2761-4851-9BAB-9B73C1A0628B}">
  <dimension ref="C2:AD11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1" customWidth="1"/>
    <col min="3" max="3" width="2.625" style="8" customWidth="1"/>
    <col min="4" max="5" width="8.625" style="1" customWidth="1"/>
    <col min="6" max="7" width="15.625" style="1" customWidth="1"/>
    <col min="8" max="9" width="2.625" style="1" customWidth="1"/>
    <col min="10" max="18" width="2.625" style="1"/>
    <col min="19" max="30" width="10.625" style="1" customWidth="1"/>
    <col min="31" max="16384" width="2.625" style="1"/>
  </cols>
  <sheetData>
    <row r="2" spans="3:30" ht="16.5" customHeight="1" x14ac:dyDescent="0.15">
      <c r="C2" s="8" t="s">
        <v>6</v>
      </c>
      <c r="D2" s="1" t="s">
        <v>40</v>
      </c>
    </row>
    <row r="3" spans="3:30" ht="16.5" customHeight="1" x14ac:dyDescent="0.15">
      <c r="D3" s="72"/>
      <c r="E3" s="72" t="s">
        <v>26</v>
      </c>
      <c r="F3" s="168" t="s">
        <v>41</v>
      </c>
      <c r="G3" s="169"/>
      <c r="S3" s="72" t="s">
        <v>26</v>
      </c>
      <c r="T3" s="72" t="s">
        <v>97</v>
      </c>
      <c r="U3" s="96" t="s">
        <v>102</v>
      </c>
      <c r="V3" s="96"/>
      <c r="W3" s="96"/>
      <c r="X3" s="96" t="s">
        <v>103</v>
      </c>
      <c r="Y3" s="96"/>
      <c r="Z3" s="96"/>
      <c r="AA3" s="9" t="s">
        <v>104</v>
      </c>
      <c r="AB3" s="9" t="s">
        <v>102</v>
      </c>
      <c r="AC3" s="9" t="s">
        <v>103</v>
      </c>
      <c r="AD3" s="9" t="s">
        <v>104</v>
      </c>
    </row>
    <row r="4" spans="3:30" ht="16.5" customHeight="1" x14ac:dyDescent="0.15">
      <c r="D4" s="72"/>
      <c r="E4" s="72"/>
      <c r="F4" s="170" t="s">
        <v>44</v>
      </c>
      <c r="G4" s="171"/>
      <c r="S4" s="72"/>
      <c r="T4" s="72"/>
      <c r="U4" s="32" t="s">
        <v>96</v>
      </c>
      <c r="V4" s="96" t="s">
        <v>99</v>
      </c>
      <c r="W4" s="96"/>
      <c r="X4" s="32" t="s">
        <v>96</v>
      </c>
      <c r="Y4" s="96" t="s">
        <v>99</v>
      </c>
      <c r="Z4" s="96"/>
      <c r="AA4" s="32" t="s">
        <v>96</v>
      </c>
      <c r="AB4" s="32" t="s">
        <v>96</v>
      </c>
      <c r="AC4" s="32" t="s">
        <v>96</v>
      </c>
      <c r="AD4" s="32" t="s">
        <v>96</v>
      </c>
    </row>
    <row r="5" spans="3:30" ht="16.5" customHeight="1" x14ac:dyDescent="0.15">
      <c r="D5" s="72"/>
      <c r="E5" s="72"/>
      <c r="F5" s="52" t="s">
        <v>42</v>
      </c>
      <c r="G5" s="52" t="s">
        <v>43</v>
      </c>
      <c r="S5" s="72"/>
      <c r="T5" s="72"/>
      <c r="U5" s="62" t="s">
        <v>100</v>
      </c>
      <c r="V5" s="62" t="s">
        <v>100</v>
      </c>
      <c r="W5" s="62" t="s">
        <v>101</v>
      </c>
      <c r="X5" s="62" t="s">
        <v>100</v>
      </c>
      <c r="Y5" s="62" t="s">
        <v>100</v>
      </c>
      <c r="Z5" s="62" t="s">
        <v>101</v>
      </c>
      <c r="AA5" s="62" t="s">
        <v>100</v>
      </c>
      <c r="AB5" s="62" t="s">
        <v>101</v>
      </c>
      <c r="AC5" s="62" t="s">
        <v>101</v>
      </c>
      <c r="AD5" s="62" t="s">
        <v>101</v>
      </c>
    </row>
    <row r="6" spans="3:30" ht="16.5" customHeight="1" x14ac:dyDescent="0.15">
      <c r="D6" s="72" t="s">
        <v>45</v>
      </c>
      <c r="E6" s="10">
        <v>41</v>
      </c>
      <c r="F6" s="53">
        <v>218048</v>
      </c>
      <c r="G6" s="53">
        <v>58945</v>
      </c>
      <c r="S6" s="10">
        <f>+E6</f>
        <v>41</v>
      </c>
      <c r="T6" s="10" t="s">
        <v>98</v>
      </c>
      <c r="U6" s="14">
        <f>+F6</f>
        <v>218048</v>
      </c>
      <c r="V6" s="14">
        <f>+先端支持力!F6</f>
        <v>4778.3999999999996</v>
      </c>
      <c r="W6" s="14"/>
      <c r="X6" s="14">
        <f>+G6</f>
        <v>58945</v>
      </c>
      <c r="Y6" s="14">
        <f>+先端支持力!G6</f>
        <v>11149.5</v>
      </c>
      <c r="Z6" s="14"/>
      <c r="AA6" s="14">
        <f>+X6</f>
        <v>58945</v>
      </c>
      <c r="AB6" s="14">
        <f>+U6</f>
        <v>218048</v>
      </c>
      <c r="AC6" s="14">
        <f>+X6</f>
        <v>58945</v>
      </c>
      <c r="AD6" s="14">
        <f>+AA6</f>
        <v>58945</v>
      </c>
    </row>
    <row r="7" spans="3:30" ht="16.5" customHeight="1" x14ac:dyDescent="0.15">
      <c r="D7" s="72"/>
      <c r="E7" s="10">
        <v>66</v>
      </c>
      <c r="F7" s="53">
        <v>109024</v>
      </c>
      <c r="G7" s="53">
        <v>29473</v>
      </c>
      <c r="S7" s="10">
        <f t="shared" ref="S7:S11" si="0">+E7</f>
        <v>66</v>
      </c>
      <c r="T7" s="10" t="s">
        <v>98</v>
      </c>
      <c r="U7" s="14">
        <f t="shared" ref="U7:U11" si="1">+F7</f>
        <v>109024</v>
      </c>
      <c r="V7" s="14">
        <f>+先端支持力!F7</f>
        <v>2389.1999999999998</v>
      </c>
      <c r="W7" s="14"/>
      <c r="X7" s="14">
        <f t="shared" ref="X7:X11" si="2">+G7</f>
        <v>29473</v>
      </c>
      <c r="Y7" s="14">
        <f>+先端支持力!G7</f>
        <v>5574.8</v>
      </c>
      <c r="Z7" s="14"/>
      <c r="AA7" s="14">
        <f t="shared" ref="AA7:AA11" si="3">+X7</f>
        <v>29473</v>
      </c>
      <c r="AB7" s="14">
        <f t="shared" ref="AB7:AB11" si="4">+U7</f>
        <v>109024</v>
      </c>
      <c r="AC7" s="14">
        <f t="shared" ref="AC7:AC11" si="5">+X7</f>
        <v>29473</v>
      </c>
      <c r="AD7" s="14">
        <f t="shared" ref="AD7:AD11" si="6">+AA7</f>
        <v>29473</v>
      </c>
    </row>
    <row r="8" spans="3:30" ht="16.5" customHeight="1" x14ac:dyDescent="0.15">
      <c r="D8" s="72"/>
      <c r="E8" s="10">
        <v>91</v>
      </c>
      <c r="F8" s="54">
        <f>+F6</f>
        <v>218048</v>
      </c>
      <c r="G8" s="54">
        <f>+G6</f>
        <v>58945</v>
      </c>
      <c r="S8" s="10">
        <f t="shared" si="0"/>
        <v>91</v>
      </c>
      <c r="T8" s="10" t="s">
        <v>98</v>
      </c>
      <c r="U8" s="14">
        <f t="shared" si="1"/>
        <v>218048</v>
      </c>
      <c r="V8" s="14">
        <f>+先端支持力!F8</f>
        <v>4778.3999999999996</v>
      </c>
      <c r="W8" s="14"/>
      <c r="X8" s="14">
        <f t="shared" si="2"/>
        <v>58945</v>
      </c>
      <c r="Y8" s="14">
        <f>+先端支持力!G8</f>
        <v>11149.5</v>
      </c>
      <c r="Z8" s="14"/>
      <c r="AA8" s="14">
        <f t="shared" si="3"/>
        <v>58945</v>
      </c>
      <c r="AB8" s="14">
        <f t="shared" si="4"/>
        <v>218048</v>
      </c>
      <c r="AC8" s="14">
        <f t="shared" si="5"/>
        <v>58945</v>
      </c>
      <c r="AD8" s="14">
        <f t="shared" si="6"/>
        <v>58945</v>
      </c>
    </row>
    <row r="9" spans="3:30" ht="16.5" customHeight="1" x14ac:dyDescent="0.15">
      <c r="D9" s="72" t="s">
        <v>46</v>
      </c>
      <c r="E9" s="10">
        <v>122</v>
      </c>
      <c r="F9" s="53">
        <v>327072</v>
      </c>
      <c r="G9" s="53">
        <v>88418</v>
      </c>
      <c r="S9" s="10">
        <f t="shared" si="0"/>
        <v>122</v>
      </c>
      <c r="T9" s="10" t="s">
        <v>98</v>
      </c>
      <c r="U9" s="14">
        <f t="shared" si="1"/>
        <v>327072</v>
      </c>
      <c r="V9" s="14">
        <f>+先端支持力!F9</f>
        <v>7167.5</v>
      </c>
      <c r="W9" s="14"/>
      <c r="X9" s="14">
        <f t="shared" si="2"/>
        <v>88418</v>
      </c>
      <c r="Y9" s="14">
        <f>+先端支持力!G9</f>
        <v>16724.3</v>
      </c>
      <c r="Z9" s="14"/>
      <c r="AA9" s="14">
        <f t="shared" si="3"/>
        <v>88418</v>
      </c>
      <c r="AB9" s="14">
        <f t="shared" si="4"/>
        <v>327072</v>
      </c>
      <c r="AC9" s="14">
        <f t="shared" si="5"/>
        <v>88418</v>
      </c>
      <c r="AD9" s="14">
        <f t="shared" si="6"/>
        <v>88418</v>
      </c>
    </row>
    <row r="10" spans="3:30" ht="16.5" customHeight="1" x14ac:dyDescent="0.15">
      <c r="D10" s="72"/>
      <c r="E10" s="10">
        <v>147</v>
      </c>
      <c r="F10" s="53">
        <v>218048</v>
      </c>
      <c r="G10" s="53">
        <v>58945</v>
      </c>
      <c r="S10" s="10">
        <f t="shared" si="0"/>
        <v>147</v>
      </c>
      <c r="T10" s="10" t="s">
        <v>98</v>
      </c>
      <c r="U10" s="14">
        <f t="shared" si="1"/>
        <v>218048</v>
      </c>
      <c r="V10" s="14">
        <f>+先端支持力!F10</f>
        <v>4778.3999999999996</v>
      </c>
      <c r="W10" s="14"/>
      <c r="X10" s="14">
        <f t="shared" si="2"/>
        <v>58945</v>
      </c>
      <c r="Y10" s="14">
        <f>+先端支持力!G10</f>
        <v>11149.5</v>
      </c>
      <c r="Z10" s="14"/>
      <c r="AA10" s="14">
        <f t="shared" si="3"/>
        <v>58945</v>
      </c>
      <c r="AB10" s="14">
        <f t="shared" si="4"/>
        <v>218048</v>
      </c>
      <c r="AC10" s="14">
        <f t="shared" si="5"/>
        <v>58945</v>
      </c>
      <c r="AD10" s="14">
        <f t="shared" si="6"/>
        <v>58945</v>
      </c>
    </row>
    <row r="11" spans="3:30" ht="16.5" customHeight="1" x14ac:dyDescent="0.15">
      <c r="D11" s="72"/>
      <c r="E11" s="10">
        <v>172</v>
      </c>
      <c r="F11" s="54">
        <f>+F9</f>
        <v>327072</v>
      </c>
      <c r="G11" s="54">
        <f>+G9</f>
        <v>88418</v>
      </c>
      <c r="S11" s="10">
        <f t="shared" si="0"/>
        <v>172</v>
      </c>
      <c r="T11" s="10" t="s">
        <v>98</v>
      </c>
      <c r="U11" s="14">
        <f t="shared" si="1"/>
        <v>327072</v>
      </c>
      <c r="V11" s="14">
        <f>+先端支持力!F11</f>
        <v>7167.5</v>
      </c>
      <c r="W11" s="14"/>
      <c r="X11" s="14">
        <f t="shared" si="2"/>
        <v>88418</v>
      </c>
      <c r="Y11" s="14">
        <f>+先端支持力!G11</f>
        <v>16724.3</v>
      </c>
      <c r="Z11" s="14"/>
      <c r="AA11" s="14">
        <f t="shared" si="3"/>
        <v>88418</v>
      </c>
      <c r="AB11" s="14">
        <f t="shared" si="4"/>
        <v>327072</v>
      </c>
      <c r="AC11" s="14">
        <f t="shared" si="5"/>
        <v>88418</v>
      </c>
      <c r="AD11" s="14">
        <f t="shared" si="6"/>
        <v>88418</v>
      </c>
    </row>
  </sheetData>
  <mergeCells count="12">
    <mergeCell ref="D9:D11"/>
    <mergeCell ref="F3:G3"/>
    <mergeCell ref="E3:E5"/>
    <mergeCell ref="F4:G4"/>
    <mergeCell ref="D6:D8"/>
    <mergeCell ref="D3:D5"/>
    <mergeCell ref="S3:S5"/>
    <mergeCell ref="T3:T5"/>
    <mergeCell ref="U3:W3"/>
    <mergeCell ref="X3:Z3"/>
    <mergeCell ref="V4:W4"/>
    <mergeCell ref="Y4:Z4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F908-6E9A-4037-B6BF-DE3545562D58}">
  <dimension ref="C2:G11"/>
  <sheetViews>
    <sheetView view="pageBreakPreview" zoomScale="75" zoomScaleNormal="75" zoomScaleSheetLayoutView="75" workbookViewId="0"/>
  </sheetViews>
  <sheetFormatPr defaultColWidth="2.625" defaultRowHeight="16.5" customHeight="1" x14ac:dyDescent="0.15"/>
  <cols>
    <col min="1" max="2" width="2.625" style="4"/>
    <col min="3" max="3" width="2.625" style="5"/>
    <col min="4" max="5" width="8.625" style="1" customWidth="1"/>
    <col min="6" max="7" width="15.625" style="1" customWidth="1"/>
    <col min="8" max="16384" width="2.625" style="4"/>
  </cols>
  <sheetData>
    <row r="2" spans="3:7" ht="16.5" customHeight="1" x14ac:dyDescent="0.15">
      <c r="C2" s="7" t="s">
        <v>85</v>
      </c>
      <c r="D2" s="1" t="s">
        <v>86</v>
      </c>
    </row>
    <row r="3" spans="3:7" ht="16.5" customHeight="1" x14ac:dyDescent="0.15">
      <c r="D3" s="72"/>
      <c r="E3" s="72" t="s">
        <v>26</v>
      </c>
      <c r="F3" s="168" t="s">
        <v>87</v>
      </c>
      <c r="G3" s="169"/>
    </row>
    <row r="4" spans="3:7" ht="16.5" customHeight="1" x14ac:dyDescent="0.15">
      <c r="D4" s="72"/>
      <c r="E4" s="72"/>
      <c r="F4" s="170" t="s">
        <v>88</v>
      </c>
      <c r="G4" s="171"/>
    </row>
    <row r="5" spans="3:7" ht="16.5" customHeight="1" x14ac:dyDescent="0.15">
      <c r="D5" s="72"/>
      <c r="E5" s="72"/>
      <c r="F5" s="52" t="s">
        <v>89</v>
      </c>
      <c r="G5" s="52" t="s">
        <v>90</v>
      </c>
    </row>
    <row r="6" spans="3:7" ht="16.5" customHeight="1" x14ac:dyDescent="0.15">
      <c r="D6" s="72" t="s">
        <v>45</v>
      </c>
      <c r="E6" s="10">
        <v>41</v>
      </c>
      <c r="F6" s="55">
        <v>4778.3999999999996</v>
      </c>
      <c r="G6" s="55">
        <v>11149.5</v>
      </c>
    </row>
    <row r="7" spans="3:7" ht="16.5" customHeight="1" x14ac:dyDescent="0.15">
      <c r="D7" s="72"/>
      <c r="E7" s="10">
        <v>66</v>
      </c>
      <c r="F7" s="55">
        <v>2389.1999999999998</v>
      </c>
      <c r="G7" s="55">
        <v>5574.8</v>
      </c>
    </row>
    <row r="8" spans="3:7" ht="16.5" customHeight="1" x14ac:dyDescent="0.15">
      <c r="D8" s="72"/>
      <c r="E8" s="10">
        <v>91</v>
      </c>
      <c r="F8" s="49">
        <f>+F6</f>
        <v>4778.3999999999996</v>
      </c>
      <c r="G8" s="49">
        <f>+G6</f>
        <v>11149.5</v>
      </c>
    </row>
    <row r="9" spans="3:7" ht="16.5" customHeight="1" x14ac:dyDescent="0.15">
      <c r="D9" s="72" t="s">
        <v>46</v>
      </c>
      <c r="E9" s="10">
        <v>122</v>
      </c>
      <c r="F9" s="55">
        <v>7167.5</v>
      </c>
      <c r="G9" s="55">
        <v>16724.3</v>
      </c>
    </row>
    <row r="10" spans="3:7" ht="16.5" customHeight="1" x14ac:dyDescent="0.15">
      <c r="D10" s="72"/>
      <c r="E10" s="10">
        <v>147</v>
      </c>
      <c r="F10" s="55">
        <v>4778.3999999999996</v>
      </c>
      <c r="G10" s="55">
        <v>11149.5</v>
      </c>
    </row>
    <row r="11" spans="3:7" ht="16.5" customHeight="1" x14ac:dyDescent="0.15">
      <c r="D11" s="72"/>
      <c r="E11" s="10">
        <v>172</v>
      </c>
      <c r="F11" s="49">
        <f>+F9</f>
        <v>7167.5</v>
      </c>
      <c r="G11" s="49">
        <f>+G9</f>
        <v>16724.3</v>
      </c>
    </row>
  </sheetData>
  <mergeCells count="6">
    <mergeCell ref="D9:D11"/>
    <mergeCell ref="F4:G4"/>
    <mergeCell ref="D3:D5"/>
    <mergeCell ref="E3:E5"/>
    <mergeCell ref="F3:G3"/>
    <mergeCell ref="D6:D8"/>
  </mergeCells>
  <phoneticPr fontId="1"/>
  <pageMargins left="0.78740157480314965" right="0.27559055118110237" top="0.59055118110236227" bottom="0.15748031496062992" header="0.78740157480314965" footer="0.1574803149606299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水平地盤ばね定数(4P右)</vt:lpstr>
      <vt:lpstr>有効抵抗土圧(4P右)</vt:lpstr>
      <vt:lpstr>鉛直せん断地盤ばね定数(4P右)</vt:lpstr>
      <vt:lpstr>周面支持力(4P右)</vt:lpstr>
      <vt:lpstr>杭先端のばね定数（節点ばね）</vt:lpstr>
      <vt:lpstr>先端支持力</vt:lpstr>
      <vt:lpstr>'鉛直せん断地盤ばね定数(4P右)'!Print_Area</vt:lpstr>
      <vt:lpstr>'杭先端のばね定数（節点ばね）'!Print_Area</vt:lpstr>
      <vt:lpstr>'周面支持力(4P右)'!Print_Area</vt:lpstr>
      <vt:lpstr>'水平地盤ばね定数(4P右)'!Print_Area</vt:lpstr>
      <vt:lpstr>先端支持力!Print_Area</vt:lpstr>
      <vt:lpstr>'有効抵抗土圧(4P右)'!Print_Area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大槻浩宣</dc:creator>
  <cp:lastModifiedBy>ようすけ 笹澤</cp:lastModifiedBy>
  <cp:lastPrinted>2026-09-09T14:43:21Z</cp:lastPrinted>
  <dcterms:created xsi:type="dcterms:W3CDTF">1998-07-21T04:52:32Z</dcterms:created>
  <dcterms:modified xsi:type="dcterms:W3CDTF">2026-09-17T04:58:47Z</dcterms:modified>
</cp:coreProperties>
</file>