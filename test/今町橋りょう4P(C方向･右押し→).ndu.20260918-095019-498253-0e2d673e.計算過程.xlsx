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水平地盤ばね" sheetId="1" r:id="rId1"/>
    <sheet name="有効抵抗土圧" sheetId="2" r:id="rId2"/>
    <sheet name="杭周面ばね" sheetId="3" r:id="rId3"/>
    <sheet name="杭周面の支持力" sheetId="4" r:id="rId4"/>
    <sheet name="杭先端ばね" sheetId="5" r:id="rId5"/>
  </sheets>
  <definedNames>
    <definedName name="_xlnm.Print_Area" localSheetId="1">有効抵抗土圧!$A$1:$AA$63</definedName>
    <definedName name="_xlnm.Print_Area" localSheetId="4">杭先端ばね!$A$1:$C$14</definedName>
    <definedName name="_xlnm.Print_Area" localSheetId="3">杭周面の支持力!$A$1:$U$37</definedName>
    <definedName name="_xlnm.Print_Area" localSheetId="2">杭周面ばね!$A$1:$U$37</definedName>
    <definedName name="_xlnm.Print_Area" localSheetId="0">水平地盤ばね!$A$1:$U$34</definedName>
    <definedName name="_xlnm.Print_Titles" localSheetId="1">有効抵抗土圧!$1:$2</definedName>
    <definedName name="_xlnm.Print_Titles" localSheetId="3">杭周面の支持力!$1:$2</definedName>
    <definedName name="_xlnm.Print_Titles" localSheetId="2">杭周面ばね!$1:$2</definedName>
    <definedName name="_xlnm.Print_Titles" localSheetId="0">水平地盤ばね!$1:$2</definedName>
  </definedNames>
  <calcPr calcId="124519" fullCalcOnLoad="1"/>
</workbook>
</file>

<file path=xl/sharedStrings.xml><?xml version="1.0" encoding="utf-8"?>
<sst xmlns="http://schemas.openxmlformats.org/spreadsheetml/2006/main" count="126" uniqueCount="30">
  <si>
    <t>水平地盤ばね</t>
  </si>
  <si>
    <t>（２）直角方向</t>
  </si>
  <si>
    <t>層番号</t>
  </si>
  <si>
    <t>層厚
(m)</t>
  </si>
  <si>
    <t>水平地盤反力係数
Kh
(kN/m²)</t>
  </si>
  <si>
    <t>部材長
(m)</t>
  </si>
  <si>
    <t>部材番号</t>
  </si>
  <si>
    <t>各部材の水平ばね定数
Kh
(kN/m²)</t>
  </si>
  <si>
    <t>Σ</t>
  </si>
  <si>
    <t>有効抵抗土圧</t>
  </si>
  <si>
    <t>（２）直角方向・応答変位法の場合</t>
  </si>
  <si>
    <t>有効抵抗
土圧力
pe(z)
(kN/m)</t>
  </si>
  <si>
    <t>深さ
z
(m)</t>
  </si>
  <si>
    <t>部材
番号</t>
  </si>
  <si>
    <t>鉛直せん断地盤ばね定数</t>
  </si>
  <si>
    <t>鉛直せん断地盤ばね定数
Kv
(kN/m²)</t>
  </si>
  <si>
    <t>分布幅
(m)</t>
  </si>
  <si>
    <t>節点番号</t>
  </si>
  <si>
    <t>各節点の鉛直ばね定数
Kv
(kN/m)</t>
  </si>
  <si>
    <t>杭周面の支持力</t>
  </si>
  <si>
    <t>周面支持力度
rfk
(kN/m)</t>
  </si>
  <si>
    <t>各節点の周面支持力
Rfk
(kN)</t>
  </si>
  <si>
    <t>杭先端のばね定数</t>
  </si>
  <si>
    <t>杭先端の鉛直地盤ばね定数
Ktv(kN/m)</t>
  </si>
  <si>
    <t>短期（第１勾配）</t>
  </si>
  <si>
    <t>短期（第２勾配）</t>
  </si>
  <si>
    <t>先端支持力</t>
  </si>
  <si>
    <t>杭先端の鉛直地盤支持力
(kN)</t>
  </si>
  <si>
    <t>降伏点</t>
  </si>
  <si>
    <t>終局点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</si>
</sst>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"/>
    <numFmt numFmtId="166" formatCode="0.0"/>
  </numFmts>
  <fonts count="2">
    <font>
      <sz val="11"/>
      <color theme="1"/>
      <name val="Calibri"/>
      <family val="2"/>
      <scheme val="none"/>
    </font>
    <font>
      <sz val="10"/>
      <color rgb="FF202B3C"/>
      <name val="ＭＳ 明朝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16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right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165" fontId="1" fillId="0" borderId="4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horizontal="righ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right" vertical="center" wrapText="1"/>
    </xf>
    <xf numFmtId="165" fontId="1" fillId="0" borderId="9" xfId="0" applyNumberFormat="1" applyFont="1" applyBorder="1" applyAlignment="1">
      <alignment horizontal="right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left" vertical="center"/>
    </xf>
    <xf numFmtId="166" fontId="1" fillId="0" borderId="1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center" vertical="top" wrapText="1"/>
    </xf>
    <xf numFmtId="165" fontId="1" fillId="0" borderId="7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top" wrapText="1"/>
    </xf>
    <xf numFmtId="165" fontId="1" fillId="0" borderId="5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right" wrapText="1"/>
    </xf>
    <xf numFmtId="166" fontId="1" fillId="0" borderId="10" xfId="0" applyNumberFormat="1" applyFont="1" applyBorder="1" applyAlignment="1">
      <alignment horizontal="center" wrapText="1"/>
    </xf>
    <xf numFmtId="1" fontId="1" fillId="0" borderId="10" xfId="0" applyNumberFormat="1" applyFont="1" applyBorder="1" applyAlignment="1">
      <alignment horizontal="center" vertical="top" wrapText="1"/>
    </xf>
    <xf numFmtId="165" fontId="1" fillId="0" borderId="10" xfId="0" applyNumberFormat="1" applyFont="1" applyBorder="1" applyAlignment="1">
      <alignment horizontal="right" vertical="top" wrapText="1"/>
    </xf>
    <xf numFmtId="166" fontId="1" fillId="0" borderId="4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right" vertical="center" wrapText="1"/>
    </xf>
    <xf numFmtId="165" fontId="1" fillId="0" borderId="12" xfId="0" applyNumberFormat="1" applyFont="1" applyBorder="1" applyAlignment="1">
      <alignment horizontal="righ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6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showGridLines="0" tabSelected="1" zoomScale="85" zoomScaleNormal="85" workbookViewId="0"/>
  </sheetViews>
  <sheetFormatPr defaultRowHeight="23" customHeight="1"/>
  <cols>
    <col min="1" max="2" width="8.7109375" customWidth="1"/>
    <col min="3" max="3" width="16.85546875" customWidth="1"/>
    <col min="4" max="6" width="9.5703125" customWidth="1"/>
    <col min="7" max="7" width="20.7109375" customWidth="1"/>
    <col min="8" max="9" width="8.7109375" customWidth="1"/>
    <col min="10" max="10" width="16.85546875" customWidth="1"/>
    <col min="11" max="13" width="9.5703125" customWidth="1"/>
    <col min="14" max="14" width="20.7109375" customWidth="1"/>
    <col min="15" max="16" width="8.7109375" customWidth="1"/>
    <col min="17" max="17" width="16.85546875" customWidth="1"/>
    <col min="18" max="20" width="9.5703125" customWidth="1"/>
    <col min="21" max="21" width="20.7109375" customWidth="1"/>
  </cols>
  <sheetData>
    <row r="1" spans="1:21" ht="24" customHeight="1">
      <c r="A1" s="1" t="s">
        <v>0</v>
      </c>
      <c r="B1" s="1" t="s">
        <v>1</v>
      </c>
      <c r="C1" s="2"/>
      <c r="D1" s="2"/>
      <c r="E1" s="2"/>
      <c r="F1" s="2"/>
      <c r="G1" s="2"/>
      <c r="H1" s="1" t="s">
        <v>0</v>
      </c>
      <c r="I1" s="1" t="s">
        <v>1</v>
      </c>
      <c r="J1" s="2"/>
      <c r="K1" s="2"/>
      <c r="L1" s="2"/>
      <c r="M1" s="2"/>
      <c r="N1" s="2"/>
      <c r="O1" s="1" t="s">
        <v>0</v>
      </c>
      <c r="P1" s="1" t="s">
        <v>1</v>
      </c>
      <c r="Q1" s="2"/>
      <c r="R1" s="2"/>
      <c r="S1" s="2"/>
      <c r="T1" s="2"/>
      <c r="U1" s="2"/>
    </row>
    <row r="2" spans="1:21" ht="48.75" customHeight="1">
      <c r="A2" s="3" t="s">
        <v>2</v>
      </c>
      <c r="B2" s="3" t="s">
        <v>3</v>
      </c>
      <c r="C2" s="3" t="s">
        <v>4</v>
      </c>
      <c r="D2" s="3" t="s">
        <v>5</v>
      </c>
      <c r="E2" s="3"/>
      <c r="F2" s="3" t="s">
        <v>6</v>
      </c>
      <c r="G2" s="3" t="s">
        <v>7</v>
      </c>
      <c r="H2" s="3" t="s">
        <v>2</v>
      </c>
      <c r="I2" s="3" t="s">
        <v>3</v>
      </c>
      <c r="J2" s="3" t="s">
        <v>4</v>
      </c>
      <c r="K2" s="3" t="s">
        <v>5</v>
      </c>
      <c r="L2" s="3"/>
      <c r="M2" s="3" t="s">
        <v>6</v>
      </c>
      <c r="N2" s="3" t="s">
        <v>7</v>
      </c>
      <c r="O2" s="3" t="s">
        <v>2</v>
      </c>
      <c r="P2" s="3" t="s">
        <v>3</v>
      </c>
      <c r="Q2" s="3" t="s">
        <v>4</v>
      </c>
      <c r="R2" s="3" t="s">
        <v>5</v>
      </c>
      <c r="S2" s="3"/>
      <c r="T2" s="3" t="s">
        <v>6</v>
      </c>
      <c r="U2" s="3" t="s">
        <v>7</v>
      </c>
    </row>
    <row r="3" spans="1:21" ht="21.75" customHeight="1">
      <c r="A3" s="4">
        <v>1</v>
      </c>
      <c r="B3" s="5">
        <v>3.3</v>
      </c>
      <c r="C3" s="3">
        <v>50638</v>
      </c>
      <c r="D3" s="6">
        <v>1.3</v>
      </c>
      <c r="E3" s="7"/>
      <c r="F3" s="8">
        <v>18</v>
      </c>
      <c r="G3" s="3">
        <f>C3</f>
        <v>50638.0</v>
      </c>
      <c r="H3" s="4">
        <v>1</v>
      </c>
      <c r="I3" s="5">
        <v>3.3</v>
      </c>
      <c r="J3" s="3">
        <v>25319</v>
      </c>
      <c r="K3" s="6">
        <v>1.3</v>
      </c>
      <c r="L3" s="7"/>
      <c r="M3" s="8">
        <v>43</v>
      </c>
      <c r="N3" s="3">
        <f>J3</f>
        <v>25319.0</v>
      </c>
      <c r="O3" s="4">
        <v>1</v>
      </c>
      <c r="P3" s="5">
        <v>3.3</v>
      </c>
      <c r="Q3" s="3">
        <f>C3</f>
        <v>50638.0</v>
      </c>
      <c r="R3" s="6">
        <v>1.3</v>
      </c>
      <c r="S3" s="7"/>
      <c r="T3" s="8">
        <v>68</v>
      </c>
      <c r="U3" s="3">
        <f>Q3</f>
        <v>50638.0</v>
      </c>
    </row>
    <row r="4" spans="1:21" ht="21.75" customHeight="1">
      <c r="A4" s="9"/>
      <c r="B4" s="10"/>
      <c r="C4" s="3">
        <f>C3</f>
        <v>50638.0</v>
      </c>
      <c r="D4" s="6">
        <v>1.3</v>
      </c>
      <c r="E4" s="7"/>
      <c r="F4" s="8">
        <v>19</v>
      </c>
      <c r="G4" s="3">
        <f>C4</f>
        <v>50638.0</v>
      </c>
      <c r="H4" s="9"/>
      <c r="I4" s="10"/>
      <c r="J4" s="3">
        <f>J3</f>
        <v>25319.0</v>
      </c>
      <c r="K4" s="6">
        <v>1.3</v>
      </c>
      <c r="L4" s="7"/>
      <c r="M4" s="8">
        <v>44</v>
      </c>
      <c r="N4" s="3">
        <f>J4</f>
        <v>25319.0</v>
      </c>
      <c r="O4" s="9"/>
      <c r="P4" s="10"/>
      <c r="Q4" s="3">
        <f>C3</f>
        <v>50638.0</v>
      </c>
      <c r="R4" s="6">
        <v>1.3</v>
      </c>
      <c r="S4" s="7"/>
      <c r="T4" s="8">
        <v>69</v>
      </c>
      <c r="U4" s="3">
        <f>Q4</f>
        <v>50638.0</v>
      </c>
    </row>
    <row r="5" spans="1:21" ht="21.75" customHeight="1">
      <c r="A5" s="9"/>
      <c r="B5" s="10"/>
      <c r="C5" s="3">
        <f>C3</f>
        <v>50638.0</v>
      </c>
      <c r="D5" s="11">
        <v>1.3</v>
      </c>
      <c r="E5" s="12">
        <v>0.7</v>
      </c>
      <c r="F5" s="13">
        <v>20</v>
      </c>
      <c r="G5" s="4">
        <f>(SUM((C5*E5),(C6*E6))/D5)</f>
        <v>150801.53846153847</v>
      </c>
      <c r="H5" s="9"/>
      <c r="I5" s="10"/>
      <c r="J5" s="3">
        <f>J3</f>
        <v>25319.0</v>
      </c>
      <c r="K5" s="11">
        <v>1.3</v>
      </c>
      <c r="L5" s="12">
        <v>0.7</v>
      </c>
      <c r="M5" s="13">
        <v>45</v>
      </c>
      <c r="N5" s="4">
        <f>(SUM((J5*L5),(J6*L6))/K5)</f>
        <v>75400.53846153845</v>
      </c>
      <c r="O5" s="9"/>
      <c r="P5" s="10"/>
      <c r="Q5" s="3">
        <f>C3</f>
        <v>50638.0</v>
      </c>
      <c r="R5" s="11">
        <v>1.3</v>
      </c>
      <c r="S5" s="12">
        <v>0.7</v>
      </c>
      <c r="T5" s="13">
        <v>70</v>
      </c>
      <c r="U5" s="4">
        <f>(SUM((Q5*S5),(Q6*S6))/R5)</f>
        <v>150801.53846153847</v>
      </c>
    </row>
    <row r="6" spans="1:21" ht="21.75" customHeight="1">
      <c r="A6" s="4">
        <v>2</v>
      </c>
      <c r="B6" s="5">
        <v>1.3</v>
      </c>
      <c r="C6" s="3">
        <v>267659</v>
      </c>
      <c r="D6" s="14"/>
      <c r="E6" s="15">
        <v>0.6</v>
      </c>
      <c r="F6" s="16"/>
      <c r="G6" s="17"/>
      <c r="H6" s="4">
        <v>2</v>
      </c>
      <c r="I6" s="5">
        <v>1.3</v>
      </c>
      <c r="J6" s="3">
        <v>133829</v>
      </c>
      <c r="K6" s="14"/>
      <c r="L6" s="15">
        <v>0.6</v>
      </c>
      <c r="M6" s="16"/>
      <c r="N6" s="17"/>
      <c r="O6" s="4">
        <v>2</v>
      </c>
      <c r="P6" s="5">
        <v>1.3</v>
      </c>
      <c r="Q6" s="3">
        <f>C6</f>
        <v>267659.0</v>
      </c>
      <c r="R6" s="14"/>
      <c r="S6" s="15">
        <v>0.6</v>
      </c>
      <c r="T6" s="16"/>
      <c r="U6" s="17"/>
    </row>
    <row r="7" spans="1:21" ht="21.75" customHeight="1">
      <c r="A7" s="9"/>
      <c r="B7" s="10"/>
      <c r="C7" s="3">
        <f>C6</f>
        <v>267659.0</v>
      </c>
      <c r="D7" s="11">
        <v>1.3</v>
      </c>
      <c r="E7" s="12">
        <v>0.7</v>
      </c>
      <c r="F7" s="13">
        <v>21</v>
      </c>
      <c r="G7" s="4">
        <f>(SUM((C7*E7),(C8*E8))/D7)</f>
        <v>188118.84615384616</v>
      </c>
      <c r="H7" s="9"/>
      <c r="I7" s="10"/>
      <c r="J7" s="3">
        <f>J6</f>
        <v>133829.0</v>
      </c>
      <c r="K7" s="11">
        <v>1.3</v>
      </c>
      <c r="L7" s="12">
        <v>0.7</v>
      </c>
      <c r="M7" s="13">
        <v>46</v>
      </c>
      <c r="N7" s="4">
        <f>(SUM((J7*L7),(J8*L8))/K7)</f>
        <v>94059.15384615384</v>
      </c>
      <c r="O7" s="9"/>
      <c r="P7" s="10"/>
      <c r="Q7" s="3">
        <f>C6</f>
        <v>267659.0</v>
      </c>
      <c r="R7" s="11">
        <v>1.3</v>
      </c>
      <c r="S7" s="12">
        <v>0.7</v>
      </c>
      <c r="T7" s="13">
        <v>71</v>
      </c>
      <c r="U7" s="4">
        <f>(SUM((Q7*S7),(Q8*S8))/R7)</f>
        <v>188118.84615384616</v>
      </c>
    </row>
    <row r="8" spans="1:21" ht="21.75" customHeight="1">
      <c r="A8" s="4">
        <v>3</v>
      </c>
      <c r="B8" s="5">
        <v>2.9</v>
      </c>
      <c r="C8" s="3">
        <v>95322</v>
      </c>
      <c r="D8" s="14"/>
      <c r="E8" s="15">
        <v>0.6</v>
      </c>
      <c r="F8" s="16"/>
      <c r="G8" s="17"/>
      <c r="H8" s="4">
        <v>3</v>
      </c>
      <c r="I8" s="5">
        <v>2.9</v>
      </c>
      <c r="J8" s="3">
        <v>47661</v>
      </c>
      <c r="K8" s="14"/>
      <c r="L8" s="15">
        <v>0.6</v>
      </c>
      <c r="M8" s="16"/>
      <c r="N8" s="17"/>
      <c r="O8" s="4">
        <v>3</v>
      </c>
      <c r="P8" s="5">
        <v>2.9</v>
      </c>
      <c r="Q8" s="3">
        <f>C8</f>
        <v>95322.0</v>
      </c>
      <c r="R8" s="14"/>
      <c r="S8" s="15">
        <v>0.6</v>
      </c>
      <c r="T8" s="16"/>
      <c r="U8" s="17"/>
    </row>
    <row r="9" spans="1:21" ht="21.75" customHeight="1">
      <c r="A9" s="9"/>
      <c r="B9" s="10"/>
      <c r="C9" s="3">
        <f>C8</f>
        <v>95322.0</v>
      </c>
      <c r="D9" s="6">
        <v>1.3</v>
      </c>
      <c r="E9" s="7"/>
      <c r="F9" s="8">
        <v>22</v>
      </c>
      <c r="G9" s="3">
        <f>C9</f>
        <v>95322.0</v>
      </c>
      <c r="H9" s="9"/>
      <c r="I9" s="10"/>
      <c r="J9" s="3">
        <f>J8</f>
        <v>47661.0</v>
      </c>
      <c r="K9" s="6">
        <v>1.3</v>
      </c>
      <c r="L9" s="7"/>
      <c r="M9" s="8">
        <v>47</v>
      </c>
      <c r="N9" s="3">
        <f>J9</f>
        <v>47661.0</v>
      </c>
      <c r="O9" s="9"/>
      <c r="P9" s="10"/>
      <c r="Q9" s="3">
        <f>C8</f>
        <v>95322.0</v>
      </c>
      <c r="R9" s="6">
        <v>1.3</v>
      </c>
      <c r="S9" s="7"/>
      <c r="T9" s="8">
        <v>72</v>
      </c>
      <c r="U9" s="3">
        <f>Q9</f>
        <v>95322.0</v>
      </c>
    </row>
    <row r="10" spans="1:21" ht="21.75" customHeight="1">
      <c r="A10" s="9"/>
      <c r="B10" s="10"/>
      <c r="C10" s="3">
        <f>C8</f>
        <v>95322.0</v>
      </c>
      <c r="D10" s="11">
        <v>1.3</v>
      </c>
      <c r="E10" s="12">
        <v>1</v>
      </c>
      <c r="F10" s="13">
        <v>23</v>
      </c>
      <c r="G10" s="4">
        <f>(SUM((C10*E10),(C11*E11))/D10)</f>
        <v>126744.92307692306</v>
      </c>
      <c r="H10" s="9"/>
      <c r="I10" s="10"/>
      <c r="J10" s="3">
        <f>J8</f>
        <v>47661.0</v>
      </c>
      <c r="K10" s="11">
        <v>1.3</v>
      </c>
      <c r="L10" s="12">
        <v>1</v>
      </c>
      <c r="M10" s="13">
        <v>48</v>
      </c>
      <c r="N10" s="4">
        <f>(SUM((J10*L10),(J11*L11))/K10)</f>
        <v>63372.46153846153</v>
      </c>
      <c r="O10" s="9"/>
      <c r="P10" s="10"/>
      <c r="Q10" s="3">
        <f>C8</f>
        <v>95322.0</v>
      </c>
      <c r="R10" s="11">
        <v>1.3</v>
      </c>
      <c r="S10" s="12">
        <v>1</v>
      </c>
      <c r="T10" s="13">
        <v>73</v>
      </c>
      <c r="U10" s="4">
        <f>(SUM((Q10*S10),(Q11*S11))/R10)</f>
        <v>126744.92307692306</v>
      </c>
    </row>
    <row r="11" spans="1:21" ht="21.75" customHeight="1">
      <c r="A11" s="4">
        <v>4</v>
      </c>
      <c r="B11" s="5">
        <v>2.6</v>
      </c>
      <c r="C11" s="3">
        <v>231488</v>
      </c>
      <c r="D11" s="14"/>
      <c r="E11" s="15">
        <v>0.3</v>
      </c>
      <c r="F11" s="16"/>
      <c r="G11" s="17"/>
      <c r="H11" s="4">
        <v>4</v>
      </c>
      <c r="I11" s="5">
        <v>2.6</v>
      </c>
      <c r="J11" s="3">
        <v>115744</v>
      </c>
      <c r="K11" s="14"/>
      <c r="L11" s="15">
        <v>0.3</v>
      </c>
      <c r="M11" s="16"/>
      <c r="N11" s="17"/>
      <c r="O11" s="4">
        <v>4</v>
      </c>
      <c r="P11" s="5">
        <v>2.6</v>
      </c>
      <c r="Q11" s="3">
        <f>C11</f>
        <v>231488.0</v>
      </c>
      <c r="R11" s="14"/>
      <c r="S11" s="15">
        <v>0.3</v>
      </c>
      <c r="T11" s="16"/>
      <c r="U11" s="17"/>
    </row>
    <row r="12" spans="1:21" ht="21.75" customHeight="1">
      <c r="A12" s="9"/>
      <c r="B12" s="10"/>
      <c r="C12" s="3">
        <f>C11</f>
        <v>231488.0</v>
      </c>
      <c r="D12" s="6">
        <v>1.3</v>
      </c>
      <c r="E12" s="7"/>
      <c r="F12" s="8">
        <v>24</v>
      </c>
      <c r="G12" s="3">
        <f>C12</f>
        <v>231488.0</v>
      </c>
      <c r="H12" s="9"/>
      <c r="I12" s="10"/>
      <c r="J12" s="3">
        <f>J11</f>
        <v>115744.0</v>
      </c>
      <c r="K12" s="6">
        <v>1.3</v>
      </c>
      <c r="L12" s="7"/>
      <c r="M12" s="8">
        <v>49</v>
      </c>
      <c r="N12" s="3">
        <f>J12</f>
        <v>115744.0</v>
      </c>
      <c r="O12" s="9"/>
      <c r="P12" s="10"/>
      <c r="Q12" s="3">
        <f>C11</f>
        <v>231488.0</v>
      </c>
      <c r="R12" s="6">
        <v>1.3</v>
      </c>
      <c r="S12" s="7"/>
      <c r="T12" s="8">
        <v>74</v>
      </c>
      <c r="U12" s="3">
        <f>Q12</f>
        <v>231488.0</v>
      </c>
    </row>
    <row r="13" spans="1:21" ht="21.75" customHeight="1">
      <c r="A13" s="9"/>
      <c r="B13" s="10"/>
      <c r="C13" s="3">
        <f>C11</f>
        <v>231488.0</v>
      </c>
      <c r="D13" s="11">
        <v>1.3</v>
      </c>
      <c r="E13" s="12">
        <v>1</v>
      </c>
      <c r="F13" s="13">
        <v>25</v>
      </c>
      <c r="G13" s="4">
        <f>(SUM((C13*E13),(C14*E14))/D13)</f>
        <v>263304.8461538461</v>
      </c>
      <c r="H13" s="9"/>
      <c r="I13" s="10"/>
      <c r="J13" s="3">
        <f>J11</f>
        <v>115744.0</v>
      </c>
      <c r="K13" s="11">
        <v>1.3</v>
      </c>
      <c r="L13" s="12">
        <v>1</v>
      </c>
      <c r="M13" s="13">
        <v>50</v>
      </c>
      <c r="N13" s="4">
        <f>(SUM((J13*L13),(J14*L14))/K13)</f>
        <v>131652.3076923077</v>
      </c>
      <c r="O13" s="9"/>
      <c r="P13" s="10"/>
      <c r="Q13" s="3">
        <f>C11</f>
        <v>231488.0</v>
      </c>
      <c r="R13" s="11">
        <v>1.3</v>
      </c>
      <c r="S13" s="12">
        <v>1</v>
      </c>
      <c r="T13" s="13">
        <v>75</v>
      </c>
      <c r="U13" s="4">
        <f>(SUM((Q13*S13),(Q14*S14))/R13)</f>
        <v>263304.8461538461</v>
      </c>
    </row>
    <row r="14" spans="1:21" ht="21.75" customHeight="1">
      <c r="A14" s="4">
        <v>5</v>
      </c>
      <c r="B14" s="5">
        <v>0.6</v>
      </c>
      <c r="C14" s="3">
        <v>369361</v>
      </c>
      <c r="D14" s="14"/>
      <c r="E14" s="15">
        <v>0.3</v>
      </c>
      <c r="F14" s="16"/>
      <c r="G14" s="17"/>
      <c r="H14" s="4">
        <v>5</v>
      </c>
      <c r="I14" s="5">
        <v>0.6</v>
      </c>
      <c r="J14" s="3">
        <v>184680</v>
      </c>
      <c r="K14" s="14"/>
      <c r="L14" s="15">
        <v>0.3</v>
      </c>
      <c r="M14" s="16"/>
      <c r="N14" s="17"/>
      <c r="O14" s="4">
        <v>5</v>
      </c>
      <c r="P14" s="5">
        <v>0.6</v>
      </c>
      <c r="Q14" s="3">
        <f>C14</f>
        <v>369361.0</v>
      </c>
      <c r="R14" s="14"/>
      <c r="S14" s="15">
        <v>0.3</v>
      </c>
      <c r="T14" s="16"/>
      <c r="U14" s="17"/>
    </row>
    <row r="15" spans="1:21" ht="21.75" customHeight="1">
      <c r="A15" s="9"/>
      <c r="B15" s="10"/>
      <c r="C15" s="3">
        <f>C14</f>
        <v>369361.0</v>
      </c>
      <c r="D15" s="11">
        <v>1.3</v>
      </c>
      <c r="E15" s="12">
        <v>0.3</v>
      </c>
      <c r="F15" s="13">
        <v>26</v>
      </c>
      <c r="G15" s="4">
        <f>(SUM((C15*E15),(C16*E16))/D15)</f>
        <v>352338.6923076923</v>
      </c>
      <c r="H15" s="9"/>
      <c r="I15" s="10"/>
      <c r="J15" s="3">
        <f>J14</f>
        <v>184680.0</v>
      </c>
      <c r="K15" s="11">
        <v>1.3</v>
      </c>
      <c r="L15" s="12">
        <v>0.3</v>
      </c>
      <c r="M15" s="13">
        <v>51</v>
      </c>
      <c r="N15" s="4">
        <f>(SUM((J15*L15),(J16*L16))/K15)</f>
        <v>176169.23076923075</v>
      </c>
      <c r="O15" s="9"/>
      <c r="P15" s="10"/>
      <c r="Q15" s="3">
        <f>C14</f>
        <v>369361.0</v>
      </c>
      <c r="R15" s="11">
        <v>1.3</v>
      </c>
      <c r="S15" s="12">
        <v>0.3</v>
      </c>
      <c r="T15" s="13">
        <v>76</v>
      </c>
      <c r="U15" s="4">
        <f>(SUM((Q15*S15),(Q16*S16))/R15)</f>
        <v>352338.6923076923</v>
      </c>
    </row>
    <row r="16" spans="1:21" ht="21.75" customHeight="1">
      <c r="A16" s="4">
        <v>6</v>
      </c>
      <c r="B16" s="5">
        <v>9.5</v>
      </c>
      <c r="C16" s="3">
        <v>347232</v>
      </c>
      <c r="D16" s="14"/>
      <c r="E16" s="15">
        <v>1</v>
      </c>
      <c r="F16" s="16"/>
      <c r="G16" s="17"/>
      <c r="H16" s="4">
        <v>6</v>
      </c>
      <c r="I16" s="5">
        <v>9.5</v>
      </c>
      <c r="J16" s="3">
        <v>173616</v>
      </c>
      <c r="K16" s="14"/>
      <c r="L16" s="15">
        <v>1</v>
      </c>
      <c r="M16" s="16"/>
      <c r="N16" s="17"/>
      <c r="O16" s="4">
        <v>6</v>
      </c>
      <c r="P16" s="5">
        <v>9.5</v>
      </c>
      <c r="Q16" s="3">
        <f>C16</f>
        <v>347232.0</v>
      </c>
      <c r="R16" s="14"/>
      <c r="S16" s="15">
        <v>1</v>
      </c>
      <c r="T16" s="16"/>
      <c r="U16" s="17"/>
    </row>
    <row r="17" spans="1:21" ht="21.75" customHeight="1">
      <c r="A17" s="9"/>
      <c r="B17" s="10"/>
      <c r="C17" s="3">
        <f>C16</f>
        <v>347232.0</v>
      </c>
      <c r="D17" s="6">
        <v>1.3</v>
      </c>
      <c r="E17" s="7"/>
      <c r="F17" s="8">
        <v>27</v>
      </c>
      <c r="G17" s="3">
        <f>C17</f>
        <v>347232.0</v>
      </c>
      <c r="H17" s="9"/>
      <c r="I17" s="10"/>
      <c r="J17" s="3">
        <f>J16</f>
        <v>173616.0</v>
      </c>
      <c r="K17" s="6">
        <v>1.3</v>
      </c>
      <c r="L17" s="7"/>
      <c r="M17" s="8">
        <v>52</v>
      </c>
      <c r="N17" s="3">
        <f>J17</f>
        <v>173616.0</v>
      </c>
      <c r="O17" s="9"/>
      <c r="P17" s="10"/>
      <c r="Q17" s="3">
        <f>C16</f>
        <v>347232.0</v>
      </c>
      <c r="R17" s="6">
        <v>1.3</v>
      </c>
      <c r="S17" s="7"/>
      <c r="T17" s="8">
        <v>77</v>
      </c>
      <c r="U17" s="3">
        <f>Q17</f>
        <v>347232.0</v>
      </c>
    </row>
    <row r="18" spans="1:21" ht="21.75" customHeight="1">
      <c r="A18" s="9"/>
      <c r="B18" s="10"/>
      <c r="C18" s="3">
        <f>C16</f>
        <v>347232.0</v>
      </c>
      <c r="D18" s="6">
        <v>1.3</v>
      </c>
      <c r="E18" s="7"/>
      <c r="F18" s="8">
        <v>28</v>
      </c>
      <c r="G18" s="3">
        <f>C18</f>
        <v>347232.0</v>
      </c>
      <c r="H18" s="9"/>
      <c r="I18" s="10"/>
      <c r="J18" s="3">
        <f>J16</f>
        <v>173616.0</v>
      </c>
      <c r="K18" s="6">
        <v>1.3</v>
      </c>
      <c r="L18" s="7"/>
      <c r="M18" s="8">
        <v>53</v>
      </c>
      <c r="N18" s="3">
        <f>J18</f>
        <v>173616.0</v>
      </c>
      <c r="O18" s="9"/>
      <c r="P18" s="10"/>
      <c r="Q18" s="3">
        <f>C16</f>
        <v>347232.0</v>
      </c>
      <c r="R18" s="6">
        <v>1.3</v>
      </c>
      <c r="S18" s="7"/>
      <c r="T18" s="8">
        <v>78</v>
      </c>
      <c r="U18" s="3">
        <f>Q18</f>
        <v>347232.0</v>
      </c>
    </row>
    <row r="19" spans="1:21" ht="21.75" customHeight="1">
      <c r="A19" s="9"/>
      <c r="B19" s="10"/>
      <c r="C19" s="3">
        <f>C16</f>
        <v>347232.0</v>
      </c>
      <c r="D19" s="6">
        <v>1.3</v>
      </c>
      <c r="E19" s="7"/>
      <c r="F19" s="8">
        <v>29</v>
      </c>
      <c r="G19" s="3">
        <f>C19</f>
        <v>347232.0</v>
      </c>
      <c r="H19" s="9"/>
      <c r="I19" s="10"/>
      <c r="J19" s="3">
        <f>J16</f>
        <v>173616.0</v>
      </c>
      <c r="K19" s="6">
        <v>1.3</v>
      </c>
      <c r="L19" s="7"/>
      <c r="M19" s="8">
        <v>54</v>
      </c>
      <c r="N19" s="3">
        <f>J19</f>
        <v>173616.0</v>
      </c>
      <c r="O19" s="9"/>
      <c r="P19" s="10"/>
      <c r="Q19" s="3">
        <f>C16</f>
        <v>347232.0</v>
      </c>
      <c r="R19" s="6">
        <v>1.3</v>
      </c>
      <c r="S19" s="7"/>
      <c r="T19" s="8">
        <v>79</v>
      </c>
      <c r="U19" s="3">
        <f>Q19</f>
        <v>347232.0</v>
      </c>
    </row>
    <row r="20" spans="1:21" ht="21.75" customHeight="1">
      <c r="A20" s="9"/>
      <c r="B20" s="10"/>
      <c r="C20" s="3">
        <f>C16</f>
        <v>347232.0</v>
      </c>
      <c r="D20" s="6">
        <v>1.3</v>
      </c>
      <c r="E20" s="7"/>
      <c r="F20" s="8">
        <v>30</v>
      </c>
      <c r="G20" s="3">
        <f>C20</f>
        <v>347232.0</v>
      </c>
      <c r="H20" s="9"/>
      <c r="I20" s="10"/>
      <c r="J20" s="3">
        <f>J16</f>
        <v>173616.0</v>
      </c>
      <c r="K20" s="6">
        <v>1.3</v>
      </c>
      <c r="L20" s="7"/>
      <c r="M20" s="8">
        <v>55</v>
      </c>
      <c r="N20" s="3">
        <f>J20</f>
        <v>173616.0</v>
      </c>
      <c r="O20" s="9"/>
      <c r="P20" s="10"/>
      <c r="Q20" s="3">
        <f>C16</f>
        <v>347232.0</v>
      </c>
      <c r="R20" s="6">
        <v>1.3</v>
      </c>
      <c r="S20" s="7"/>
      <c r="T20" s="8">
        <v>80</v>
      </c>
      <c r="U20" s="3">
        <f>Q20</f>
        <v>347232.0</v>
      </c>
    </row>
    <row r="21" spans="1:21" ht="21.75" customHeight="1">
      <c r="A21" s="9"/>
      <c r="B21" s="10"/>
      <c r="C21" s="3">
        <f>C16</f>
        <v>347232.0</v>
      </c>
      <c r="D21" s="6">
        <v>1.3</v>
      </c>
      <c r="E21" s="7"/>
      <c r="F21" s="8">
        <v>31</v>
      </c>
      <c r="G21" s="3">
        <f>C21</f>
        <v>347232.0</v>
      </c>
      <c r="H21" s="9"/>
      <c r="I21" s="10"/>
      <c r="J21" s="3">
        <f>J16</f>
        <v>173616.0</v>
      </c>
      <c r="K21" s="6">
        <v>1.3</v>
      </c>
      <c r="L21" s="7"/>
      <c r="M21" s="8">
        <v>56</v>
      </c>
      <c r="N21" s="3">
        <f>J21</f>
        <v>173616.0</v>
      </c>
      <c r="O21" s="9"/>
      <c r="P21" s="10"/>
      <c r="Q21" s="3">
        <f>C16</f>
        <v>347232.0</v>
      </c>
      <c r="R21" s="6">
        <v>1.3</v>
      </c>
      <c r="S21" s="7"/>
      <c r="T21" s="8">
        <v>81</v>
      </c>
      <c r="U21" s="3">
        <f>Q21</f>
        <v>347232.0</v>
      </c>
    </row>
    <row r="22" spans="1:21" ht="21.75" customHeight="1">
      <c r="A22" s="9"/>
      <c r="B22" s="10"/>
      <c r="C22" s="3">
        <f>C16</f>
        <v>347232.0</v>
      </c>
      <c r="D22" s="6">
        <v>1.3</v>
      </c>
      <c r="E22" s="7"/>
      <c r="F22" s="8">
        <v>32</v>
      </c>
      <c r="G22" s="3">
        <f>C22</f>
        <v>347232.0</v>
      </c>
      <c r="H22" s="9"/>
      <c r="I22" s="10"/>
      <c r="J22" s="3">
        <f>J16</f>
        <v>173616.0</v>
      </c>
      <c r="K22" s="6">
        <v>1.3</v>
      </c>
      <c r="L22" s="7"/>
      <c r="M22" s="8">
        <v>57</v>
      </c>
      <c r="N22" s="3">
        <f>J22</f>
        <v>173616.0</v>
      </c>
      <c r="O22" s="9"/>
      <c r="P22" s="10"/>
      <c r="Q22" s="3">
        <f>C16</f>
        <v>347232.0</v>
      </c>
      <c r="R22" s="6">
        <v>1.3</v>
      </c>
      <c r="S22" s="7"/>
      <c r="T22" s="8">
        <v>82</v>
      </c>
      <c r="U22" s="3">
        <f>Q22</f>
        <v>347232.0</v>
      </c>
    </row>
    <row r="23" spans="1:21" ht="21.75" customHeight="1">
      <c r="A23" s="9"/>
      <c r="B23" s="10"/>
      <c r="C23" s="3">
        <f>C16</f>
        <v>347232.0</v>
      </c>
      <c r="D23" s="11">
        <v>1.3</v>
      </c>
      <c r="E23" s="12">
        <v>0.7</v>
      </c>
      <c r="F23" s="13">
        <v>33</v>
      </c>
      <c r="G23" s="4">
        <f>(SUM((C23*E23),(C24*E24))/D23)</f>
        <v>263959.3846153846</v>
      </c>
      <c r="H23" s="9"/>
      <c r="I23" s="10"/>
      <c r="J23" s="3">
        <f>J16</f>
        <v>173616.0</v>
      </c>
      <c r="K23" s="11">
        <v>1.3</v>
      </c>
      <c r="L23" s="12">
        <v>0.7</v>
      </c>
      <c r="M23" s="13">
        <v>58</v>
      </c>
      <c r="N23" s="4">
        <f>(SUM((J23*L23),(J24*L24))/K23)</f>
        <v>131979.6923076923</v>
      </c>
      <c r="O23" s="9"/>
      <c r="P23" s="10"/>
      <c r="Q23" s="3">
        <f>C16</f>
        <v>347232.0</v>
      </c>
      <c r="R23" s="11">
        <v>1.3</v>
      </c>
      <c r="S23" s="12">
        <v>0.7</v>
      </c>
      <c r="T23" s="13">
        <v>83</v>
      </c>
      <c r="U23" s="4">
        <f>(SUM((Q23*S23),(Q24*S24))/R23)</f>
        <v>263959.3846153846</v>
      </c>
    </row>
    <row r="24" spans="1:21" ht="21.75" customHeight="1">
      <c r="A24" s="4">
        <v>7</v>
      </c>
      <c r="B24" s="5">
        <v>10.8</v>
      </c>
      <c r="C24" s="3">
        <v>166808</v>
      </c>
      <c r="D24" s="14"/>
      <c r="E24" s="15">
        <v>0.6</v>
      </c>
      <c r="F24" s="16"/>
      <c r="G24" s="17"/>
      <c r="H24" s="4">
        <v>7</v>
      </c>
      <c r="I24" s="5">
        <v>10.8</v>
      </c>
      <c r="J24" s="3">
        <v>83404</v>
      </c>
      <c r="K24" s="14"/>
      <c r="L24" s="15">
        <v>0.6</v>
      </c>
      <c r="M24" s="16"/>
      <c r="N24" s="17"/>
      <c r="O24" s="4">
        <v>7</v>
      </c>
      <c r="P24" s="5">
        <v>10.8</v>
      </c>
      <c r="Q24" s="3">
        <f>C24</f>
        <v>166808.0</v>
      </c>
      <c r="R24" s="14"/>
      <c r="S24" s="15">
        <v>0.6</v>
      </c>
      <c r="T24" s="16"/>
      <c r="U24" s="17"/>
    </row>
    <row r="25" spans="1:21" ht="21.75" customHeight="1">
      <c r="A25" s="9"/>
      <c r="B25" s="10"/>
      <c r="C25" s="3">
        <f>C24</f>
        <v>166808.0</v>
      </c>
      <c r="D25" s="6">
        <v>1.3</v>
      </c>
      <c r="E25" s="7"/>
      <c r="F25" s="8">
        <v>34</v>
      </c>
      <c r="G25" s="3">
        <f>C25</f>
        <v>166808.0</v>
      </c>
      <c r="H25" s="9"/>
      <c r="I25" s="10"/>
      <c r="J25" s="3">
        <f>J24</f>
        <v>83404.0</v>
      </c>
      <c r="K25" s="6">
        <v>1.3</v>
      </c>
      <c r="L25" s="7"/>
      <c r="M25" s="8">
        <v>59</v>
      </c>
      <c r="N25" s="3">
        <f>J25</f>
        <v>83404.0</v>
      </c>
      <c r="O25" s="9"/>
      <c r="P25" s="10"/>
      <c r="Q25" s="3">
        <f>C24</f>
        <v>166808.0</v>
      </c>
      <c r="R25" s="6">
        <v>1.3</v>
      </c>
      <c r="S25" s="7"/>
      <c r="T25" s="8">
        <v>84</v>
      </c>
      <c r="U25" s="3">
        <f>Q25</f>
        <v>166808.0</v>
      </c>
    </row>
    <row r="26" spans="1:21" ht="21.75" customHeight="1">
      <c r="A26" s="9"/>
      <c r="B26" s="10"/>
      <c r="C26" s="3">
        <f>C24</f>
        <v>166808.0</v>
      </c>
      <c r="D26" s="6">
        <v>1.3</v>
      </c>
      <c r="E26" s="7"/>
      <c r="F26" s="8">
        <v>35</v>
      </c>
      <c r="G26" s="3">
        <f>C26</f>
        <v>166808.0</v>
      </c>
      <c r="H26" s="9"/>
      <c r="I26" s="10"/>
      <c r="J26" s="3">
        <f>J24</f>
        <v>83404.0</v>
      </c>
      <c r="K26" s="6">
        <v>1.3</v>
      </c>
      <c r="L26" s="7"/>
      <c r="M26" s="8">
        <v>60</v>
      </c>
      <c r="N26" s="3">
        <f>J26</f>
        <v>83404.0</v>
      </c>
      <c r="O26" s="9"/>
      <c r="P26" s="10"/>
      <c r="Q26" s="3">
        <f>C24</f>
        <v>166808.0</v>
      </c>
      <c r="R26" s="6">
        <v>1.3</v>
      </c>
      <c r="S26" s="7"/>
      <c r="T26" s="8">
        <v>85</v>
      </c>
      <c r="U26" s="3">
        <f>Q26</f>
        <v>166808.0</v>
      </c>
    </row>
    <row r="27" spans="1:21" ht="21.75" customHeight="1">
      <c r="A27" s="9"/>
      <c r="B27" s="10"/>
      <c r="C27" s="3">
        <f>C24</f>
        <v>166808.0</v>
      </c>
      <c r="D27" s="6">
        <v>1.3</v>
      </c>
      <c r="E27" s="7"/>
      <c r="F27" s="8">
        <v>36</v>
      </c>
      <c r="G27" s="3">
        <f>C27</f>
        <v>166808.0</v>
      </c>
      <c r="H27" s="9"/>
      <c r="I27" s="10"/>
      <c r="J27" s="3">
        <f>J24</f>
        <v>83404.0</v>
      </c>
      <c r="K27" s="6">
        <v>1.3</v>
      </c>
      <c r="L27" s="7"/>
      <c r="M27" s="8">
        <v>61</v>
      </c>
      <c r="N27" s="3">
        <f>J27</f>
        <v>83404.0</v>
      </c>
      <c r="O27" s="9"/>
      <c r="P27" s="10"/>
      <c r="Q27" s="3">
        <f>C24</f>
        <v>166808.0</v>
      </c>
      <c r="R27" s="6">
        <v>1.3</v>
      </c>
      <c r="S27" s="7"/>
      <c r="T27" s="8">
        <v>86</v>
      </c>
      <c r="U27" s="3">
        <f>Q27</f>
        <v>166808.0</v>
      </c>
    </row>
    <row r="28" spans="1:21" ht="21.75" customHeight="1">
      <c r="A28" s="9"/>
      <c r="B28" s="10"/>
      <c r="C28" s="3">
        <f>C24</f>
        <v>166808.0</v>
      </c>
      <c r="D28" s="6">
        <v>1.3</v>
      </c>
      <c r="E28" s="7"/>
      <c r="F28" s="8">
        <v>37</v>
      </c>
      <c r="G28" s="3">
        <f>C28</f>
        <v>166808.0</v>
      </c>
      <c r="H28" s="9"/>
      <c r="I28" s="10"/>
      <c r="J28" s="3">
        <f>J24</f>
        <v>83404.0</v>
      </c>
      <c r="K28" s="6">
        <v>1.3</v>
      </c>
      <c r="L28" s="7"/>
      <c r="M28" s="8">
        <v>62</v>
      </c>
      <c r="N28" s="3">
        <f>J28</f>
        <v>83404.0</v>
      </c>
      <c r="O28" s="9"/>
      <c r="P28" s="10"/>
      <c r="Q28" s="3">
        <f>C24</f>
        <v>166808.0</v>
      </c>
      <c r="R28" s="6">
        <v>1.3</v>
      </c>
      <c r="S28" s="7"/>
      <c r="T28" s="8">
        <v>87</v>
      </c>
      <c r="U28" s="3">
        <f>Q28</f>
        <v>166808.0</v>
      </c>
    </row>
    <row r="29" spans="1:21" ht="21.75" customHeight="1">
      <c r="A29" s="9"/>
      <c r="B29" s="10"/>
      <c r="C29" s="3">
        <f>C24</f>
        <v>166808.0</v>
      </c>
      <c r="D29" s="6">
        <v>1.3</v>
      </c>
      <c r="E29" s="7"/>
      <c r="F29" s="8">
        <v>38</v>
      </c>
      <c r="G29" s="3">
        <f>C29</f>
        <v>166808.0</v>
      </c>
      <c r="H29" s="9"/>
      <c r="I29" s="10"/>
      <c r="J29" s="3">
        <f>J24</f>
        <v>83404.0</v>
      </c>
      <c r="K29" s="6">
        <v>1.3</v>
      </c>
      <c r="L29" s="7"/>
      <c r="M29" s="8">
        <v>63</v>
      </c>
      <c r="N29" s="3">
        <f>J29</f>
        <v>83404.0</v>
      </c>
      <c r="O29" s="9"/>
      <c r="P29" s="10"/>
      <c r="Q29" s="3">
        <f>C24</f>
        <v>166808.0</v>
      </c>
      <c r="R29" s="6">
        <v>1.3</v>
      </c>
      <c r="S29" s="7"/>
      <c r="T29" s="8">
        <v>88</v>
      </c>
      <c r="U29" s="3">
        <f>Q29</f>
        <v>166808.0</v>
      </c>
    </row>
    <row r="30" spans="1:21" ht="21.75" customHeight="1">
      <c r="A30" s="9"/>
      <c r="B30" s="10"/>
      <c r="C30" s="3">
        <f>C24</f>
        <v>166808.0</v>
      </c>
      <c r="D30" s="6">
        <v>1.3</v>
      </c>
      <c r="E30" s="7"/>
      <c r="F30" s="8">
        <v>39</v>
      </c>
      <c r="G30" s="3">
        <f>C30</f>
        <v>166808.0</v>
      </c>
      <c r="H30" s="9"/>
      <c r="I30" s="10"/>
      <c r="J30" s="3">
        <f>J24</f>
        <v>83404.0</v>
      </c>
      <c r="K30" s="6">
        <v>1.3</v>
      </c>
      <c r="L30" s="7"/>
      <c r="M30" s="8">
        <v>64</v>
      </c>
      <c r="N30" s="3">
        <f>J30</f>
        <v>83404.0</v>
      </c>
      <c r="O30" s="9"/>
      <c r="P30" s="10"/>
      <c r="Q30" s="3">
        <f>C24</f>
        <v>166808.0</v>
      </c>
      <c r="R30" s="6">
        <v>1.3</v>
      </c>
      <c r="S30" s="7"/>
      <c r="T30" s="8">
        <v>89</v>
      </c>
      <c r="U30" s="3">
        <f>Q30</f>
        <v>166808.0</v>
      </c>
    </row>
    <row r="31" spans="1:21" ht="21.75" customHeight="1">
      <c r="A31" s="9"/>
      <c r="B31" s="10"/>
      <c r="C31" s="3">
        <f>C24</f>
        <v>166808.0</v>
      </c>
      <c r="D31" s="6">
        <v>1.3</v>
      </c>
      <c r="E31" s="7"/>
      <c r="F31" s="8">
        <v>40</v>
      </c>
      <c r="G31" s="3">
        <f>C31</f>
        <v>166808.0</v>
      </c>
      <c r="H31" s="9"/>
      <c r="I31" s="10"/>
      <c r="J31" s="3">
        <f>J24</f>
        <v>83404.0</v>
      </c>
      <c r="K31" s="6">
        <v>1.3</v>
      </c>
      <c r="L31" s="7"/>
      <c r="M31" s="8">
        <v>65</v>
      </c>
      <c r="N31" s="3">
        <f>J31</f>
        <v>83404.0</v>
      </c>
      <c r="O31" s="9"/>
      <c r="P31" s="10"/>
      <c r="Q31" s="3">
        <f>C24</f>
        <v>166808.0</v>
      </c>
      <c r="R31" s="6">
        <v>1.3</v>
      </c>
      <c r="S31" s="7"/>
      <c r="T31" s="8">
        <v>90</v>
      </c>
      <c r="U31" s="3">
        <f>Q31</f>
        <v>166808.0</v>
      </c>
    </row>
    <row r="32" spans="1:21" ht="21.75" customHeight="1">
      <c r="A32" s="17"/>
      <c r="B32" s="18"/>
      <c r="C32" s="3">
        <f>C24</f>
        <v>166808.0</v>
      </c>
      <c r="D32" s="6">
        <v>1.1</v>
      </c>
      <c r="E32" s="7"/>
      <c r="F32" s="8">
        <v>41</v>
      </c>
      <c r="G32" s="3">
        <f>C32</f>
        <v>166808.0</v>
      </c>
      <c r="H32" s="17"/>
      <c r="I32" s="18"/>
      <c r="J32" s="3">
        <f>J24</f>
        <v>83404.0</v>
      </c>
      <c r="K32" s="6">
        <v>1.1</v>
      </c>
      <c r="L32" s="7"/>
      <c r="M32" s="8">
        <v>66</v>
      </c>
      <c r="N32" s="3">
        <f>J32</f>
        <v>83404.0</v>
      </c>
      <c r="O32" s="17"/>
      <c r="P32" s="18"/>
      <c r="Q32" s="3">
        <f>C24</f>
        <v>166808.0</v>
      </c>
      <c r="R32" s="6">
        <v>1.1</v>
      </c>
      <c r="S32" s="7"/>
      <c r="T32" s="8">
        <v>91</v>
      </c>
      <c r="U32" s="3">
        <f>Q32</f>
        <v>166808.0</v>
      </c>
    </row>
    <row r="33" spans="1:21" ht="21.75" customHeight="1">
      <c r="A33" s="3" t="s">
        <v>8</v>
      </c>
      <c r="B33" s="19">
        <f>SUM(B3,B6,B8,B11,B14,B16,B24)</f>
        <v>31.0</v>
      </c>
      <c r="C33" s="3"/>
      <c r="D33" s="6">
        <f>SUM(D3,D4,D5,D7,D9,D10,D12,D13,D15,D17,D18,D19,D20,D21,D22,D23,D25,D26,D27,D28,D29,D30,D31,D32)</f>
        <v>31.0</v>
      </c>
      <c r="E33" s="20"/>
      <c r="F33" s="3"/>
      <c r="G33" s="3"/>
      <c r="H33" s="3" t="s">
        <v>8</v>
      </c>
      <c r="I33" s="19">
        <f>SUM(I3,I6,I8,I11,I14,I16,I24)</f>
        <v>31.0</v>
      </c>
      <c r="J33" s="3"/>
      <c r="K33" s="6">
        <f>SUM(K3,K4,K5,K7,K9,K10,K12,K13,K15,K17,K18,K19,K20,K21,K22,K23,K25,K26,K27,K28,K29,K30,K31,K32)</f>
        <v>31.0</v>
      </c>
      <c r="L33" s="20"/>
      <c r="M33" s="3"/>
      <c r="N33" s="3"/>
      <c r="O33" s="3" t="s">
        <v>8</v>
      </c>
      <c r="P33" s="19">
        <f>SUM(P3,P6,P8,P11,P14,P16,P24)</f>
        <v>31.0</v>
      </c>
      <c r="Q33" s="3"/>
      <c r="R33" s="6">
        <f>SUM(R3,R4,R5,R7,R9,R10,R12,R13,R15,R17,R18,R19,R20,R21,R22,R23,R25,R26,R27,R28,R29,R30,R31,R32)</f>
        <v>31.0</v>
      </c>
      <c r="S33" s="20"/>
      <c r="T33" s="3"/>
      <c r="U33" s="3"/>
    </row>
    <row r="34" spans="1:21" ht="23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</sheetData>
  <mergeCells count="3">
    <mergeCell ref="D2:E2"/>
    <mergeCell ref="K2:L2"/>
    <mergeCell ref="R2:S2"/>
  </mergeCells>
  <pageMargins left="0.7" right="0.7" top="0.75" bottom="0.75" header="0.3" footer="0.3"/>
  <pageSetup paperSize="9" scale="90" pageOrder="overThenDown" orientation="portrait"/>
  <headerFooter>
    <oddFooter>&amp;L水平地盤ばね&amp;R&amp;P / &amp;N</oddFooter>
  </headerFooter>
  <colBreaks count="2" manualBreakCount="2">
    <brk id="7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4"/>
  <sheetViews>
    <sheetView showGridLines="0" zoomScale="85" zoomScaleNormal="85" workbookViewId="0"/>
  </sheetViews>
  <sheetFormatPr defaultRowHeight="23" customHeight="1"/>
  <cols>
    <col min="1" max="1" width="8.7109375" customWidth="1"/>
    <col min="2" max="2" width="9" customWidth="1"/>
    <col min="3" max="3" width="12.5703125" customWidth="1"/>
    <col min="4" max="5" width="7.7109375" customWidth="1"/>
    <col min="6" max="6" width="8.7109375" customWidth="1"/>
    <col min="7" max="7" width="13.5703125" customWidth="1"/>
    <col min="8" max="8" width="6.28515625" customWidth="1"/>
    <col min="9" max="9" width="11.5703125" customWidth="1"/>
    <col min="10" max="10" width="8.7109375" customWidth="1"/>
    <col min="11" max="11" width="9" customWidth="1"/>
    <col min="12" max="12" width="12.5703125" customWidth="1"/>
    <col min="13" max="14" width="7.7109375" customWidth="1"/>
    <col min="15" max="15" width="8.7109375" customWidth="1"/>
    <col min="16" max="16" width="13.5703125" customWidth="1"/>
    <col min="17" max="17" width="6.28515625" customWidth="1"/>
    <col min="18" max="18" width="11.5703125" customWidth="1"/>
    <col min="19" max="19" width="8.7109375" customWidth="1"/>
    <col min="20" max="20" width="9" customWidth="1"/>
    <col min="21" max="21" width="12.5703125" customWidth="1"/>
    <col min="22" max="23" width="7.7109375" customWidth="1"/>
    <col min="24" max="24" width="8.7109375" customWidth="1"/>
    <col min="25" max="25" width="13.5703125" customWidth="1"/>
    <col min="26" max="26" width="6.28515625" customWidth="1"/>
    <col min="27" max="27" width="11.5703125" customWidth="1"/>
  </cols>
  <sheetData>
    <row r="1" spans="1:27" ht="24" customHeight="1">
      <c r="A1" s="21" t="s">
        <v>9</v>
      </c>
      <c r="B1" s="21" t="s">
        <v>10</v>
      </c>
      <c r="C1" s="2"/>
      <c r="D1" s="2"/>
      <c r="E1" s="2"/>
      <c r="F1" s="2"/>
      <c r="G1" s="2"/>
      <c r="H1" s="2"/>
      <c r="I1" s="2"/>
      <c r="J1" s="21" t="s">
        <v>9</v>
      </c>
      <c r="K1" s="21" t="s">
        <v>10</v>
      </c>
      <c r="L1" s="2"/>
      <c r="M1" s="2"/>
      <c r="N1" s="2"/>
      <c r="O1" s="2"/>
      <c r="P1" s="2"/>
      <c r="Q1" s="2"/>
      <c r="R1" s="2"/>
      <c r="S1" s="21" t="s">
        <v>9</v>
      </c>
      <c r="T1" s="21" t="s">
        <v>10</v>
      </c>
      <c r="U1" s="2"/>
      <c r="V1" s="2"/>
      <c r="W1" s="2"/>
      <c r="X1" s="2"/>
      <c r="Y1" s="2"/>
      <c r="Z1" s="2"/>
      <c r="AA1" s="2"/>
    </row>
    <row r="2" spans="1:27" ht="48" customHeight="1">
      <c r="A2" s="22" t="s">
        <v>2</v>
      </c>
      <c r="B2" s="22" t="s">
        <v>3</v>
      </c>
      <c r="C2" s="22" t="s">
        <v>11</v>
      </c>
      <c r="D2" s="22" t="s">
        <v>5</v>
      </c>
      <c r="E2" s="22"/>
      <c r="F2" s="22" t="s">
        <v>12</v>
      </c>
      <c r="G2" s="22" t="s">
        <v>11</v>
      </c>
      <c r="H2" s="22" t="s">
        <v>13</v>
      </c>
      <c r="I2" s="22" t="s">
        <v>11</v>
      </c>
      <c r="J2" s="22" t="s">
        <v>2</v>
      </c>
      <c r="K2" s="22" t="s">
        <v>3</v>
      </c>
      <c r="L2" s="22" t="s">
        <v>11</v>
      </c>
      <c r="M2" s="22" t="s">
        <v>5</v>
      </c>
      <c r="N2" s="22"/>
      <c r="O2" s="22" t="s">
        <v>12</v>
      </c>
      <c r="P2" s="22" t="s">
        <v>11</v>
      </c>
      <c r="Q2" s="22" t="s">
        <v>13</v>
      </c>
      <c r="R2" s="22" t="s">
        <v>11</v>
      </c>
      <c r="S2" s="22" t="s">
        <v>2</v>
      </c>
      <c r="T2" s="22" t="s">
        <v>3</v>
      </c>
      <c r="U2" s="22" t="s">
        <v>11</v>
      </c>
      <c r="V2" s="22" t="s">
        <v>5</v>
      </c>
      <c r="W2" s="22"/>
      <c r="X2" s="22" t="s">
        <v>12</v>
      </c>
      <c r="Y2" s="22" t="s">
        <v>11</v>
      </c>
      <c r="Z2" s="22" t="s">
        <v>13</v>
      </c>
      <c r="AA2" s="22" t="s">
        <v>11</v>
      </c>
    </row>
    <row r="3" spans="1:27" ht="16.5" customHeight="1">
      <c r="A3" s="23">
        <v>1</v>
      </c>
      <c r="B3" s="24">
        <v>3.3</v>
      </c>
      <c r="C3" s="25">
        <v>1788.9</v>
      </c>
      <c r="D3" s="6">
        <v>1.3</v>
      </c>
      <c r="E3" s="26"/>
      <c r="F3" s="24">
        <v>0</v>
      </c>
      <c r="G3" s="25">
        <f>(C3+(((C8-C3)*(F3-0))/B3))</f>
        <v>1788.9</v>
      </c>
      <c r="H3" s="8">
        <v>18</v>
      </c>
      <c r="I3" s="25">
        <f>G3</f>
        <v>1788.9</v>
      </c>
      <c r="J3" s="23">
        <v>1</v>
      </c>
      <c r="K3" s="24">
        <v>3.3</v>
      </c>
      <c r="L3" s="25">
        <v>715.5</v>
      </c>
      <c r="M3" s="6">
        <v>1.3</v>
      </c>
      <c r="N3" s="26"/>
      <c r="O3" s="24">
        <v>0</v>
      </c>
      <c r="P3" s="25">
        <f>(L3+(((L8-L3)*(O3-0))/K3))</f>
        <v>715.5</v>
      </c>
      <c r="Q3" s="8">
        <v>43</v>
      </c>
      <c r="R3" s="25">
        <f>P3</f>
        <v>715.5</v>
      </c>
      <c r="S3" s="23">
        <v>1</v>
      </c>
      <c r="T3" s="24">
        <v>3.3</v>
      </c>
      <c r="U3" s="25">
        <v>1252.2</v>
      </c>
      <c r="V3" s="6">
        <v>1.3</v>
      </c>
      <c r="W3" s="26"/>
      <c r="X3" s="24">
        <v>0</v>
      </c>
      <c r="Y3" s="25">
        <f>(U3+(((U8-U3)*(X3-0))/T3))</f>
        <v>1252.2</v>
      </c>
      <c r="Z3" s="8">
        <v>68</v>
      </c>
      <c r="AA3" s="25">
        <f>Y3</f>
        <v>1252.2</v>
      </c>
    </row>
    <row r="4" spans="1:27" ht="16.5" customHeight="1">
      <c r="A4" s="27"/>
      <c r="B4" s="28"/>
      <c r="C4" s="29"/>
      <c r="D4" s="6"/>
      <c r="E4" s="30"/>
      <c r="F4" s="31">
        <v>1.3</v>
      </c>
      <c r="G4" s="32">
        <f>(C3+(((C8-C3)*(F4-0))/B3))</f>
        <v>2122.8424242424244</v>
      </c>
      <c r="H4" s="8"/>
      <c r="I4" s="32">
        <f>G4</f>
        <v>2122.8424242424244</v>
      </c>
      <c r="J4" s="27"/>
      <c r="K4" s="28"/>
      <c r="L4" s="29"/>
      <c r="M4" s="6"/>
      <c r="N4" s="30"/>
      <c r="O4" s="31">
        <v>1.3</v>
      </c>
      <c r="P4" s="32">
        <f>(L3+(((L8-L3)*(O4-0))/K3))</f>
        <v>849.1242424242424</v>
      </c>
      <c r="Q4" s="8"/>
      <c r="R4" s="32">
        <f>P4</f>
        <v>849.1242424242424</v>
      </c>
      <c r="S4" s="27"/>
      <c r="T4" s="28"/>
      <c r="U4" s="29"/>
      <c r="V4" s="6"/>
      <c r="W4" s="30"/>
      <c r="X4" s="31">
        <v>1.3</v>
      </c>
      <c r="Y4" s="32">
        <f>(U3+(((U8-U3)*(X4-0))/T3))</f>
        <v>1485.9636363636364</v>
      </c>
      <c r="Z4" s="8"/>
      <c r="AA4" s="32">
        <f>Y4</f>
        <v>1485.9636363636364</v>
      </c>
    </row>
    <row r="5" spans="1:27" ht="16.5" customHeight="1">
      <c r="A5" s="27"/>
      <c r="B5" s="28"/>
      <c r="C5" s="29"/>
      <c r="D5" s="6">
        <v>1.3</v>
      </c>
      <c r="E5" s="26"/>
      <c r="F5" s="24">
        <v>1.3</v>
      </c>
      <c r="G5" s="25">
        <f>(C3+(((C8-C3)*(F5-0))/B3))</f>
        <v>2122.8424242424244</v>
      </c>
      <c r="H5" s="8">
        <v>19</v>
      </c>
      <c r="I5" s="25">
        <f>G5</f>
        <v>2122.8424242424244</v>
      </c>
      <c r="J5" s="27"/>
      <c r="K5" s="28"/>
      <c r="L5" s="29"/>
      <c r="M5" s="6">
        <v>1.3</v>
      </c>
      <c r="N5" s="26"/>
      <c r="O5" s="24">
        <v>1.3</v>
      </c>
      <c r="P5" s="25">
        <f>(L3+(((L8-L3)*(O5-0))/K3))</f>
        <v>849.1242424242424</v>
      </c>
      <c r="Q5" s="8">
        <v>44</v>
      </c>
      <c r="R5" s="25">
        <f>P5</f>
        <v>849.1242424242424</v>
      </c>
      <c r="S5" s="27"/>
      <c r="T5" s="28"/>
      <c r="U5" s="29"/>
      <c r="V5" s="6">
        <v>1.3</v>
      </c>
      <c r="W5" s="26"/>
      <c r="X5" s="24">
        <v>1.3</v>
      </c>
      <c r="Y5" s="25">
        <f>(U3+(((U8-U3)*(X5-0))/T3))</f>
        <v>1485.9636363636364</v>
      </c>
      <c r="Z5" s="8">
        <v>69</v>
      </c>
      <c r="AA5" s="25">
        <f>Y5</f>
        <v>1485.9636363636364</v>
      </c>
    </row>
    <row r="6" spans="1:27" ht="16.5" customHeight="1">
      <c r="A6" s="27"/>
      <c r="B6" s="28"/>
      <c r="C6" s="29"/>
      <c r="D6" s="6"/>
      <c r="E6" s="30"/>
      <c r="F6" s="31">
        <v>2.6</v>
      </c>
      <c r="G6" s="32">
        <f>(C3+(((C8-C3)*(F6-0))/B3))</f>
        <v>2456.784848484848</v>
      </c>
      <c r="H6" s="8"/>
      <c r="I6" s="32">
        <f>G6</f>
        <v>2456.784848484848</v>
      </c>
      <c r="J6" s="27"/>
      <c r="K6" s="28"/>
      <c r="L6" s="29"/>
      <c r="M6" s="6"/>
      <c r="N6" s="30"/>
      <c r="O6" s="31">
        <v>2.6</v>
      </c>
      <c r="P6" s="32">
        <f>(L3+(((L8-L3)*(O6-0))/K3))</f>
        <v>982.7484848484848</v>
      </c>
      <c r="Q6" s="8"/>
      <c r="R6" s="32">
        <f>P6</f>
        <v>982.7484848484848</v>
      </c>
      <c r="S6" s="27"/>
      <c r="T6" s="28"/>
      <c r="U6" s="29"/>
      <c r="V6" s="6"/>
      <c r="W6" s="30"/>
      <c r="X6" s="31">
        <v>2.6</v>
      </c>
      <c r="Y6" s="32">
        <f>(U3+(((U8-U3)*(X6-0))/T3))</f>
        <v>1719.7272727272727</v>
      </c>
      <c r="Z6" s="8"/>
      <c r="AA6" s="32">
        <f>Y6</f>
        <v>1719.7272727272727</v>
      </c>
    </row>
    <row r="7" spans="1:27" ht="16.5" customHeight="1">
      <c r="A7" s="27"/>
      <c r="B7" s="28"/>
      <c r="C7" s="29"/>
      <c r="D7" s="6">
        <v>1.3</v>
      </c>
      <c r="E7" s="19">
        <v>0.7</v>
      </c>
      <c r="F7" s="24">
        <v>2.6</v>
      </c>
      <c r="G7" s="25">
        <f>(C3+(((C8-C3)*(F7-0))/B3))</f>
        <v>2456.784848484848</v>
      </c>
      <c r="H7" s="8">
        <v>20</v>
      </c>
      <c r="I7" s="25">
        <f>(SUM((((G7+G8)/2)*E7),(((G9+G10)/2)*E9))/D7)</f>
        <v>3259.045033171956</v>
      </c>
      <c r="J7" s="27"/>
      <c r="K7" s="28"/>
      <c r="L7" s="29"/>
      <c r="M7" s="6">
        <v>1.3</v>
      </c>
      <c r="N7" s="19">
        <v>0.7</v>
      </c>
      <c r="O7" s="24">
        <v>2.6</v>
      </c>
      <c r="P7" s="25">
        <f>(L3+(((L8-L3)*(O7-0))/K3))</f>
        <v>982.7484848484848</v>
      </c>
      <c r="Q7" s="8">
        <v>45</v>
      </c>
      <c r="R7" s="25">
        <f>(SUM((((P7+P8)/2)*N7),(((P9+P10)/2)*N9))/M7)</f>
        <v>1303.6313968083196</v>
      </c>
      <c r="S7" s="27"/>
      <c r="T7" s="28"/>
      <c r="U7" s="29"/>
      <c r="V7" s="6">
        <v>1.3</v>
      </c>
      <c r="W7" s="19">
        <v>0.7</v>
      </c>
      <c r="X7" s="24">
        <v>2.6</v>
      </c>
      <c r="Y7" s="25">
        <f>(U3+(((U8-U3)*(X7-0))/T3))</f>
        <v>1719.7272727272727</v>
      </c>
      <c r="Z7" s="8">
        <v>70</v>
      </c>
      <c r="AA7" s="25">
        <f>(SUM((((Y7+Y8)/2)*W7),(((Y9+Y10)/2)*W9))/V7)</f>
        <v>2281.319472834857</v>
      </c>
    </row>
    <row r="8" spans="1:27" ht="16.5" customHeight="1">
      <c r="A8" s="33"/>
      <c r="B8" s="34"/>
      <c r="C8" s="32">
        <v>2636.6</v>
      </c>
      <c r="D8" s="6"/>
      <c r="E8" s="19"/>
      <c r="F8" s="31">
        <v>3.3</v>
      </c>
      <c r="G8" s="32">
        <f>(C3+(((C8-C3)*(F8-0))/B3))</f>
        <v>2636.6</v>
      </c>
      <c r="H8" s="8"/>
      <c r="I8" s="29"/>
      <c r="J8" s="33"/>
      <c r="K8" s="34"/>
      <c r="L8" s="32">
        <v>1054.7</v>
      </c>
      <c r="M8" s="6"/>
      <c r="N8" s="19"/>
      <c r="O8" s="31">
        <v>3.3</v>
      </c>
      <c r="P8" s="32">
        <f>(L3+(((L8-L3)*(O8-0))/K3))</f>
        <v>1054.7</v>
      </c>
      <c r="Q8" s="8"/>
      <c r="R8" s="29"/>
      <c r="S8" s="33"/>
      <c r="T8" s="34"/>
      <c r="U8" s="32">
        <v>1845.6</v>
      </c>
      <c r="V8" s="6"/>
      <c r="W8" s="19"/>
      <c r="X8" s="31">
        <v>3.3</v>
      </c>
      <c r="Y8" s="32">
        <f>(U3+(((U8-U3)*(X8-0))/T3))</f>
        <v>1845.6</v>
      </c>
      <c r="Z8" s="8"/>
      <c r="AA8" s="29"/>
    </row>
    <row r="9" spans="1:27" ht="16.5" customHeight="1">
      <c r="A9" s="23">
        <v>2</v>
      </c>
      <c r="B9" s="24">
        <v>1.3</v>
      </c>
      <c r="C9" s="25">
        <v>4001.6</v>
      </c>
      <c r="D9" s="6"/>
      <c r="E9" s="19">
        <v>0.6</v>
      </c>
      <c r="F9" s="24">
        <v>3.3</v>
      </c>
      <c r="G9" s="25">
        <f>(C9+(((C12-C9)*(F9-3.300))/B9))</f>
        <v>4001.6</v>
      </c>
      <c r="H9" s="8"/>
      <c r="I9" s="29"/>
      <c r="J9" s="23">
        <v>2</v>
      </c>
      <c r="K9" s="24">
        <v>1.3</v>
      </c>
      <c r="L9" s="25">
        <v>1600.6</v>
      </c>
      <c r="M9" s="6"/>
      <c r="N9" s="19">
        <v>0.6</v>
      </c>
      <c r="O9" s="24">
        <v>3.3</v>
      </c>
      <c r="P9" s="25">
        <f>(L9+(((L12-L9)*(O9-3.300))/K9))</f>
        <v>1600.6</v>
      </c>
      <c r="Q9" s="8"/>
      <c r="R9" s="29"/>
      <c r="S9" s="23">
        <v>2</v>
      </c>
      <c r="T9" s="24">
        <v>1.3</v>
      </c>
      <c r="U9" s="25">
        <v>2801.1</v>
      </c>
      <c r="V9" s="6"/>
      <c r="W9" s="19">
        <v>0.6</v>
      </c>
      <c r="X9" s="24">
        <v>3.3</v>
      </c>
      <c r="Y9" s="25">
        <f>(U9+(((U12-U9)*(X9-3.300))/T9))</f>
        <v>2801.1</v>
      </c>
      <c r="Z9" s="8"/>
      <c r="AA9" s="29"/>
    </row>
    <row r="10" spans="1:27" ht="16.5" customHeight="1">
      <c r="A10" s="27"/>
      <c r="B10" s="28"/>
      <c r="C10" s="29"/>
      <c r="D10" s="6"/>
      <c r="E10" s="19"/>
      <c r="F10" s="31">
        <v>3.9</v>
      </c>
      <c r="G10" s="32">
        <f>(C9+(((C12-C9)*(F10-3.300))/B9))</f>
        <v>4178.6461538461535</v>
      </c>
      <c r="H10" s="8"/>
      <c r="I10" s="32">
        <f>I7</f>
        <v>3259.045033171956</v>
      </c>
      <c r="J10" s="27"/>
      <c r="K10" s="28"/>
      <c r="L10" s="29"/>
      <c r="M10" s="6"/>
      <c r="N10" s="19"/>
      <c r="O10" s="31">
        <v>3.9</v>
      </c>
      <c r="P10" s="32">
        <f>(L9+(((L12-L9)*(O10-3.300))/K9))</f>
        <v>1671.4461538461537</v>
      </c>
      <c r="Q10" s="8"/>
      <c r="R10" s="32">
        <f>R7</f>
        <v>1303.6313968083196</v>
      </c>
      <c r="S10" s="27"/>
      <c r="T10" s="28"/>
      <c r="U10" s="29"/>
      <c r="V10" s="6"/>
      <c r="W10" s="19"/>
      <c r="X10" s="31">
        <v>3.9</v>
      </c>
      <c r="Y10" s="32">
        <f>(U9+(((U12-U9)*(X10-3.300))/T9))</f>
        <v>2925.0692307692307</v>
      </c>
      <c r="Z10" s="8"/>
      <c r="AA10" s="32">
        <f>AA7</f>
        <v>2281.319472834857</v>
      </c>
    </row>
    <row r="11" spans="1:27" ht="16.5" customHeight="1">
      <c r="A11" s="27"/>
      <c r="B11" s="28"/>
      <c r="C11" s="29"/>
      <c r="D11" s="6">
        <v>1.3</v>
      </c>
      <c r="E11" s="19">
        <v>0.7</v>
      </c>
      <c r="F11" s="24">
        <v>3.9</v>
      </c>
      <c r="G11" s="25">
        <f>(C9+(((C12-C9)*(F11-3.300))/B9))</f>
        <v>4178.6461538461535</v>
      </c>
      <c r="H11" s="8">
        <v>21</v>
      </c>
      <c r="I11" s="25">
        <f>(SUM((((G11+G12)/2)*E11),(((G13+G14)/2)*E13))/D11)</f>
        <v>2845.650887573964</v>
      </c>
      <c r="J11" s="27"/>
      <c r="K11" s="28"/>
      <c r="L11" s="29"/>
      <c r="M11" s="6">
        <v>1.3</v>
      </c>
      <c r="N11" s="19">
        <v>0.7</v>
      </c>
      <c r="O11" s="24">
        <v>3.9</v>
      </c>
      <c r="P11" s="25">
        <f>(L9+(((L12-L9)*(O11-3.300))/K9))</f>
        <v>1671.4461538461537</v>
      </c>
      <c r="Q11" s="8">
        <v>46</v>
      </c>
      <c r="R11" s="25">
        <f>(SUM((((P11+P12)/2)*N11),(((P13+P14)/2)*N13))/M11)</f>
        <v>1192.2624260355028</v>
      </c>
      <c r="S11" s="27"/>
      <c r="T11" s="28"/>
      <c r="U11" s="29"/>
      <c r="V11" s="6">
        <v>1.3</v>
      </c>
      <c r="W11" s="19">
        <v>0.7</v>
      </c>
      <c r="X11" s="24">
        <v>3.9</v>
      </c>
      <c r="Y11" s="25">
        <f>(U9+(((U12-U9)*(X11-3.300))/T9))</f>
        <v>2925.0692307692307</v>
      </c>
      <c r="Z11" s="8">
        <v>71</v>
      </c>
      <c r="AA11" s="25">
        <f>(SUM((((Y11+Y12)/2)*W11),(((Y13+Y14)/2)*W13))/V11)</f>
        <v>2153.9763313609465</v>
      </c>
    </row>
    <row r="12" spans="1:27" ht="16.5" customHeight="1">
      <c r="A12" s="33"/>
      <c r="B12" s="34"/>
      <c r="C12" s="32">
        <v>4385.2</v>
      </c>
      <c r="D12" s="6"/>
      <c r="E12" s="19"/>
      <c r="F12" s="31">
        <v>4.6</v>
      </c>
      <c r="G12" s="32">
        <f>(C9+(((C12-C9)*(F12-3.300))/B9))</f>
        <v>4385.2</v>
      </c>
      <c r="H12" s="8"/>
      <c r="I12" s="29"/>
      <c r="J12" s="33"/>
      <c r="K12" s="34"/>
      <c r="L12" s="32">
        <v>1754.1</v>
      </c>
      <c r="M12" s="6"/>
      <c r="N12" s="19"/>
      <c r="O12" s="31">
        <v>4.6</v>
      </c>
      <c r="P12" s="32">
        <f>(L9+(((L12-L9)*(O12-3.300))/K9))</f>
        <v>1754.1</v>
      </c>
      <c r="Q12" s="8"/>
      <c r="R12" s="29"/>
      <c r="S12" s="33"/>
      <c r="T12" s="34"/>
      <c r="U12" s="32">
        <v>3069.7</v>
      </c>
      <c r="V12" s="6"/>
      <c r="W12" s="19"/>
      <c r="X12" s="31">
        <v>4.6</v>
      </c>
      <c r="Y12" s="32">
        <f>(U9+(((U12-U9)*(X12-3.300))/T9))</f>
        <v>3069.7</v>
      </c>
      <c r="Z12" s="8"/>
      <c r="AA12" s="29"/>
    </row>
    <row r="13" spans="1:27" ht="16.5" customHeight="1">
      <c r="A13" s="23">
        <v>3</v>
      </c>
      <c r="B13" s="24">
        <v>2.9</v>
      </c>
      <c r="C13" s="25">
        <v>1170</v>
      </c>
      <c r="D13" s="6"/>
      <c r="E13" s="19">
        <v>0.6</v>
      </c>
      <c r="F13" s="24">
        <v>4.6</v>
      </c>
      <c r="G13" s="25">
        <f>(C13+(((C18-C13)*(F13-4.600))/B13))</f>
        <v>1170.0</v>
      </c>
      <c r="H13" s="8"/>
      <c r="I13" s="29"/>
      <c r="J13" s="23">
        <v>3</v>
      </c>
      <c r="K13" s="24">
        <v>2.9</v>
      </c>
      <c r="L13" s="25">
        <v>585</v>
      </c>
      <c r="M13" s="6"/>
      <c r="N13" s="19">
        <v>0.6</v>
      </c>
      <c r="O13" s="24">
        <v>4.6</v>
      </c>
      <c r="P13" s="25">
        <f>(L13+(((L18-L13)*(O13-4.600))/K13))</f>
        <v>585.0</v>
      </c>
      <c r="Q13" s="8"/>
      <c r="R13" s="29"/>
      <c r="S13" s="23">
        <v>3</v>
      </c>
      <c r="T13" s="24">
        <v>2.9</v>
      </c>
      <c r="U13" s="25">
        <v>1170</v>
      </c>
      <c r="V13" s="6"/>
      <c r="W13" s="19">
        <v>0.6</v>
      </c>
      <c r="X13" s="24">
        <v>4.6</v>
      </c>
      <c r="Y13" s="25">
        <f>(U13+(((U18-U13)*(X13-4.600))/T13))</f>
        <v>1170.0</v>
      </c>
      <c r="Z13" s="8"/>
      <c r="AA13" s="29"/>
    </row>
    <row r="14" spans="1:27" ht="16.5" customHeight="1">
      <c r="A14" s="27"/>
      <c r="B14" s="28"/>
      <c r="C14" s="29"/>
      <c r="D14" s="6"/>
      <c r="E14" s="19"/>
      <c r="F14" s="31">
        <v>5.2</v>
      </c>
      <c r="G14" s="32">
        <f>(C13+(((C18-C13)*(F14-4.600))/B13))</f>
        <v>1170.0</v>
      </c>
      <c r="H14" s="8"/>
      <c r="I14" s="32">
        <f>I11</f>
        <v>2845.650887573964</v>
      </c>
      <c r="J14" s="27"/>
      <c r="K14" s="28"/>
      <c r="L14" s="29"/>
      <c r="M14" s="6"/>
      <c r="N14" s="19"/>
      <c r="O14" s="31">
        <v>5.2</v>
      </c>
      <c r="P14" s="32">
        <f>(L13+(((L18-L13)*(O14-4.600))/K13))</f>
        <v>585.0</v>
      </c>
      <c r="Q14" s="8"/>
      <c r="R14" s="32">
        <f>R11</f>
        <v>1192.2624260355028</v>
      </c>
      <c r="S14" s="27"/>
      <c r="T14" s="28"/>
      <c r="U14" s="29"/>
      <c r="V14" s="6"/>
      <c r="W14" s="19"/>
      <c r="X14" s="31">
        <v>5.2</v>
      </c>
      <c r="Y14" s="32">
        <f>(U13+(((U18-U13)*(X14-4.600))/T13))</f>
        <v>1170.0</v>
      </c>
      <c r="Z14" s="8"/>
      <c r="AA14" s="32">
        <f>AA11</f>
        <v>2153.9763313609465</v>
      </c>
    </row>
    <row r="15" spans="1:27" ht="16.5" customHeight="1">
      <c r="A15" s="27"/>
      <c r="B15" s="28"/>
      <c r="C15" s="29"/>
      <c r="D15" s="6">
        <v>1.3</v>
      </c>
      <c r="E15" s="26"/>
      <c r="F15" s="24">
        <v>5.2</v>
      </c>
      <c r="G15" s="25">
        <f>(C13+(((C18-C13)*(F15-4.600))/B13))</f>
        <v>1170.0</v>
      </c>
      <c r="H15" s="8">
        <v>22</v>
      </c>
      <c r="I15" s="25">
        <f>G15</f>
        <v>1170.0</v>
      </c>
      <c r="J15" s="27"/>
      <c r="K15" s="28"/>
      <c r="L15" s="29"/>
      <c r="M15" s="6">
        <v>1.3</v>
      </c>
      <c r="N15" s="26"/>
      <c r="O15" s="24">
        <v>5.2</v>
      </c>
      <c r="P15" s="25">
        <f>(L13+(((L18-L13)*(O15-4.600))/K13))</f>
        <v>585.0</v>
      </c>
      <c r="Q15" s="8">
        <v>47</v>
      </c>
      <c r="R15" s="25">
        <f>P15</f>
        <v>585.0</v>
      </c>
      <c r="S15" s="27"/>
      <c r="T15" s="28"/>
      <c r="U15" s="29"/>
      <c r="V15" s="6">
        <v>1.3</v>
      </c>
      <c r="W15" s="26"/>
      <c r="X15" s="24">
        <v>5.2</v>
      </c>
      <c r="Y15" s="25">
        <f>(U13+(((U18-U13)*(X15-4.600))/T13))</f>
        <v>1170.0</v>
      </c>
      <c r="Z15" s="8">
        <v>72</v>
      </c>
      <c r="AA15" s="25">
        <f>Y15</f>
        <v>1170.0</v>
      </c>
    </row>
    <row r="16" spans="1:27" ht="16.5" customHeight="1">
      <c r="A16" s="27"/>
      <c r="B16" s="28"/>
      <c r="C16" s="29"/>
      <c r="D16" s="6"/>
      <c r="E16" s="30"/>
      <c r="F16" s="31">
        <v>6.5</v>
      </c>
      <c r="G16" s="32">
        <f>(C13+(((C18-C13)*(F16-4.600))/B13))</f>
        <v>1170.0</v>
      </c>
      <c r="H16" s="8"/>
      <c r="I16" s="32">
        <f>G16</f>
        <v>1170.0</v>
      </c>
      <c r="J16" s="27"/>
      <c r="K16" s="28"/>
      <c r="L16" s="29"/>
      <c r="M16" s="6"/>
      <c r="N16" s="30"/>
      <c r="O16" s="31">
        <v>6.5</v>
      </c>
      <c r="P16" s="32">
        <f>(L13+(((L18-L13)*(O16-4.600))/K13))</f>
        <v>585.0</v>
      </c>
      <c r="Q16" s="8"/>
      <c r="R16" s="32">
        <f>P16</f>
        <v>585.0</v>
      </c>
      <c r="S16" s="27"/>
      <c r="T16" s="28"/>
      <c r="U16" s="29"/>
      <c r="V16" s="6"/>
      <c r="W16" s="30"/>
      <c r="X16" s="31">
        <v>6.5</v>
      </c>
      <c r="Y16" s="32">
        <f>(U13+(((U18-U13)*(X16-4.600))/T13))</f>
        <v>1170.0</v>
      </c>
      <c r="Z16" s="8"/>
      <c r="AA16" s="32">
        <f>Y16</f>
        <v>1170.0</v>
      </c>
    </row>
    <row r="17" spans="1:27" ht="16.5" customHeight="1">
      <c r="A17" s="27"/>
      <c r="B17" s="28"/>
      <c r="C17" s="29"/>
      <c r="D17" s="6">
        <v>1.3</v>
      </c>
      <c r="E17" s="19">
        <v>1</v>
      </c>
      <c r="F17" s="24">
        <v>6.5</v>
      </c>
      <c r="G17" s="25">
        <f>(C13+(((C18-C13)*(F17-4.600))/B13))</f>
        <v>1170.0</v>
      </c>
      <c r="H17" s="8">
        <v>23</v>
      </c>
      <c r="I17" s="25">
        <f>(SUM((((G17+G18)/2)*E17),(((G19+G20)/2)*E19))/D17)</f>
        <v>1957.259467455621</v>
      </c>
      <c r="J17" s="27"/>
      <c r="K17" s="28"/>
      <c r="L17" s="29"/>
      <c r="M17" s="6">
        <v>1.3</v>
      </c>
      <c r="N17" s="19">
        <v>1</v>
      </c>
      <c r="O17" s="24">
        <v>6.5</v>
      </c>
      <c r="P17" s="25">
        <f>(L13+(((L18-L13)*(O17-4.600))/K13))</f>
        <v>585.0</v>
      </c>
      <c r="Q17" s="8">
        <v>48</v>
      </c>
      <c r="R17" s="25">
        <f>(SUM((((P17+P18)/2)*N17),(((P19+P20)/2)*N19))/M17)</f>
        <v>872.9130177514792</v>
      </c>
      <c r="S17" s="27"/>
      <c r="T17" s="28"/>
      <c r="U17" s="29"/>
      <c r="V17" s="6">
        <v>1.3</v>
      </c>
      <c r="W17" s="19">
        <v>1</v>
      </c>
      <c r="X17" s="24">
        <v>6.5</v>
      </c>
      <c r="Y17" s="25">
        <f>(U13+(((U18-U13)*(X17-4.600))/T13))</f>
        <v>1170.0</v>
      </c>
      <c r="Z17" s="8">
        <v>73</v>
      </c>
      <c r="AA17" s="25">
        <f>(SUM((((Y17+Y18)/2)*W17),(((Y19+Y20)/2)*W19))/V17)</f>
        <v>1640.0760355029586</v>
      </c>
    </row>
    <row r="18" spans="1:27" ht="16.5" customHeight="1">
      <c r="A18" s="33"/>
      <c r="B18" s="34"/>
      <c r="C18" s="32">
        <v>1170</v>
      </c>
      <c r="D18" s="6"/>
      <c r="E18" s="19"/>
      <c r="F18" s="31">
        <v>7.5</v>
      </c>
      <c r="G18" s="32">
        <f>(C13+(((C18-C13)*(F18-4.600))/B13))</f>
        <v>1170.0</v>
      </c>
      <c r="H18" s="8"/>
      <c r="I18" s="29"/>
      <c r="J18" s="33"/>
      <c r="K18" s="34"/>
      <c r="L18" s="32">
        <v>585</v>
      </c>
      <c r="M18" s="6"/>
      <c r="N18" s="19"/>
      <c r="O18" s="31">
        <v>7.5</v>
      </c>
      <c r="P18" s="32">
        <f>(L13+(((L18-L13)*(O18-4.600))/K13))</f>
        <v>585.0</v>
      </c>
      <c r="Q18" s="8"/>
      <c r="R18" s="29"/>
      <c r="S18" s="33"/>
      <c r="T18" s="34"/>
      <c r="U18" s="32">
        <v>1170</v>
      </c>
      <c r="V18" s="6"/>
      <c r="W18" s="19"/>
      <c r="X18" s="31">
        <v>7.5</v>
      </c>
      <c r="Y18" s="32">
        <f>(U13+(((U18-U13)*(X18-4.600))/T13))</f>
        <v>1170.0</v>
      </c>
      <c r="Z18" s="8"/>
      <c r="AA18" s="29"/>
    </row>
    <row r="19" spans="1:27" ht="16.5" customHeight="1">
      <c r="A19" s="23">
        <v>4</v>
      </c>
      <c r="B19" s="24">
        <v>2.6</v>
      </c>
      <c r="C19" s="25">
        <v>4540.9</v>
      </c>
      <c r="D19" s="6"/>
      <c r="E19" s="19">
        <v>0.3</v>
      </c>
      <c r="F19" s="24">
        <v>7.5</v>
      </c>
      <c r="G19" s="25">
        <f>(C19+(((C24-C19)*(F19-7.500))/B19))</f>
        <v>4540.9</v>
      </c>
      <c r="H19" s="8"/>
      <c r="I19" s="29"/>
      <c r="J19" s="23">
        <v>4</v>
      </c>
      <c r="K19" s="24">
        <v>2.6</v>
      </c>
      <c r="L19" s="25">
        <v>1816.4</v>
      </c>
      <c r="M19" s="6"/>
      <c r="N19" s="19">
        <v>0.3</v>
      </c>
      <c r="O19" s="24">
        <v>7.5</v>
      </c>
      <c r="P19" s="25">
        <f>(L19+(((L24-L19)*(O19-7.500))/K19))</f>
        <v>1816.4</v>
      </c>
      <c r="Q19" s="8"/>
      <c r="R19" s="29"/>
      <c r="S19" s="23">
        <v>4</v>
      </c>
      <c r="T19" s="24">
        <v>2.6</v>
      </c>
      <c r="U19" s="25">
        <v>3178.6</v>
      </c>
      <c r="V19" s="6"/>
      <c r="W19" s="19">
        <v>0.3</v>
      </c>
      <c r="X19" s="24">
        <v>7.5</v>
      </c>
      <c r="Y19" s="25">
        <f>(U19+(((U24-U19)*(X19-7.500))/T19))</f>
        <v>3178.6</v>
      </c>
      <c r="Z19" s="8"/>
      <c r="AA19" s="29"/>
    </row>
    <row r="20" spans="1:27" ht="16.5" customHeight="1">
      <c r="A20" s="27"/>
      <c r="B20" s="28"/>
      <c r="C20" s="29"/>
      <c r="D20" s="6"/>
      <c r="E20" s="19"/>
      <c r="F20" s="31">
        <v>7.8</v>
      </c>
      <c r="G20" s="32">
        <f>(C19+(((C24-C19)*(F20-7.500))/B19))</f>
        <v>4622.015384615384</v>
      </c>
      <c r="H20" s="8"/>
      <c r="I20" s="32">
        <f>I17</f>
        <v>1957.259467455621</v>
      </c>
      <c r="J20" s="27"/>
      <c r="K20" s="28"/>
      <c r="L20" s="29"/>
      <c r="M20" s="6"/>
      <c r="N20" s="19"/>
      <c r="O20" s="31">
        <v>7.8</v>
      </c>
      <c r="P20" s="32">
        <f>(L19+(((L24-L19)*(O20-7.500))/K19))</f>
        <v>1848.8461538461538</v>
      </c>
      <c r="Q20" s="8"/>
      <c r="R20" s="32">
        <f>R17</f>
        <v>872.9130177514792</v>
      </c>
      <c r="S20" s="27"/>
      <c r="T20" s="28"/>
      <c r="U20" s="29"/>
      <c r="V20" s="6"/>
      <c r="W20" s="19"/>
      <c r="X20" s="31">
        <v>7.8</v>
      </c>
      <c r="Y20" s="32">
        <f>(U19+(((U24-U19)*(X20-7.500))/T19))</f>
        <v>3235.3923076923074</v>
      </c>
      <c r="Z20" s="8"/>
      <c r="AA20" s="32">
        <f>AA17</f>
        <v>1640.0760355029586</v>
      </c>
    </row>
    <row r="21" spans="1:27" ht="16.5" customHeight="1">
      <c r="A21" s="27"/>
      <c r="B21" s="28"/>
      <c r="C21" s="29"/>
      <c r="D21" s="6">
        <v>1.3</v>
      </c>
      <c r="E21" s="26"/>
      <c r="F21" s="24">
        <v>7.8</v>
      </c>
      <c r="G21" s="25">
        <f>(C19+(((C24-C19)*(F21-7.500))/B19))</f>
        <v>4622.015384615384</v>
      </c>
      <c r="H21" s="8">
        <v>24</v>
      </c>
      <c r="I21" s="25">
        <f>G21</f>
        <v>4622.015384615384</v>
      </c>
      <c r="J21" s="27"/>
      <c r="K21" s="28"/>
      <c r="L21" s="29"/>
      <c r="M21" s="6">
        <v>1.3</v>
      </c>
      <c r="N21" s="26"/>
      <c r="O21" s="24">
        <v>7.8</v>
      </c>
      <c r="P21" s="25">
        <f>(L19+(((L24-L19)*(O21-7.500))/K19))</f>
        <v>1848.8461538461538</v>
      </c>
      <c r="Q21" s="8">
        <v>49</v>
      </c>
      <c r="R21" s="25">
        <f>P21</f>
        <v>1848.8461538461538</v>
      </c>
      <c r="S21" s="27"/>
      <c r="T21" s="28"/>
      <c r="U21" s="29"/>
      <c r="V21" s="6">
        <v>1.3</v>
      </c>
      <c r="W21" s="26"/>
      <c r="X21" s="24">
        <v>7.8</v>
      </c>
      <c r="Y21" s="25">
        <f>(U19+(((U24-U19)*(X21-7.500))/T19))</f>
        <v>3235.3923076923074</v>
      </c>
      <c r="Z21" s="8">
        <v>74</v>
      </c>
      <c r="AA21" s="25">
        <f>Y21</f>
        <v>3235.3923076923074</v>
      </c>
    </row>
    <row r="22" spans="1:27" ht="16.5" customHeight="1">
      <c r="A22" s="27"/>
      <c r="B22" s="28"/>
      <c r="C22" s="29"/>
      <c r="D22" s="6"/>
      <c r="E22" s="30"/>
      <c r="F22" s="31">
        <v>9.1</v>
      </c>
      <c r="G22" s="32">
        <f>(C19+(((C24-C19)*(F22-7.500))/B19))</f>
        <v>4973.515384615384</v>
      </c>
      <c r="H22" s="8"/>
      <c r="I22" s="32">
        <f>G22</f>
        <v>4973.515384615384</v>
      </c>
      <c r="J22" s="27"/>
      <c r="K22" s="28"/>
      <c r="L22" s="29"/>
      <c r="M22" s="6"/>
      <c r="N22" s="30"/>
      <c r="O22" s="31">
        <v>9.1</v>
      </c>
      <c r="P22" s="32">
        <f>(L19+(((L24-L19)*(O22-7.500))/K19))</f>
        <v>1989.4461538461537</v>
      </c>
      <c r="Q22" s="8"/>
      <c r="R22" s="32">
        <f>P22</f>
        <v>1989.4461538461537</v>
      </c>
      <c r="S22" s="27"/>
      <c r="T22" s="28"/>
      <c r="U22" s="29"/>
      <c r="V22" s="6"/>
      <c r="W22" s="30"/>
      <c r="X22" s="31">
        <v>9.1</v>
      </c>
      <c r="Y22" s="32">
        <f>(U19+(((U24-U19)*(X22-7.500))/T19))</f>
        <v>3481.492307692308</v>
      </c>
      <c r="Z22" s="8"/>
      <c r="AA22" s="32">
        <f>Y22</f>
        <v>3481.492307692308</v>
      </c>
    </row>
    <row r="23" spans="1:27" ht="16.5" customHeight="1">
      <c r="A23" s="27"/>
      <c r="B23" s="28"/>
      <c r="C23" s="29"/>
      <c r="D23" s="6">
        <v>1.3</v>
      </c>
      <c r="E23" s="19">
        <v>1</v>
      </c>
      <c r="F23" s="24">
        <v>9.1</v>
      </c>
      <c r="G23" s="25">
        <f>(C19+(((C24-C19)*(F23-7.500))/B19))</f>
        <v>4973.515384615384</v>
      </c>
      <c r="H23" s="8">
        <v>25</v>
      </c>
      <c r="I23" s="25">
        <f>(SUM((((G23+G24)/2)*E23),(((G25+G26)/2)*E25))/D23)</f>
        <v>4977.375147928994</v>
      </c>
      <c r="J23" s="27"/>
      <c r="K23" s="28"/>
      <c r="L23" s="29"/>
      <c r="M23" s="6">
        <v>1.3</v>
      </c>
      <c r="N23" s="19">
        <v>1</v>
      </c>
      <c r="O23" s="24">
        <v>9.1</v>
      </c>
      <c r="P23" s="25">
        <f>(L19+(((L24-L19)*(O23-7.500))/K19))</f>
        <v>1989.4461538461537</v>
      </c>
      <c r="Q23" s="8">
        <v>50</v>
      </c>
      <c r="R23" s="25">
        <f>(SUM((((P23+P24)/2)*N23),(((P25+P26)/2)*N25))/M23)</f>
        <v>2095.740828402367</v>
      </c>
      <c r="S23" s="27"/>
      <c r="T23" s="28"/>
      <c r="U23" s="29"/>
      <c r="V23" s="6">
        <v>1.3</v>
      </c>
      <c r="W23" s="19">
        <v>1</v>
      </c>
      <c r="X23" s="24">
        <v>9.1</v>
      </c>
      <c r="Y23" s="25">
        <f>(U19+(((U24-U19)*(X23-7.500))/T19))</f>
        <v>3481.492307692308</v>
      </c>
      <c r="Z23" s="8">
        <v>75</v>
      </c>
      <c r="AA23" s="25">
        <f>(SUM((((Y23+Y24)/2)*W23),(((Y25+Y26)/2)*W25))/V23)</f>
        <v>3798.481656804734</v>
      </c>
    </row>
    <row r="24" spans="1:27" ht="16.5" customHeight="1">
      <c r="A24" s="33"/>
      <c r="B24" s="34"/>
      <c r="C24" s="32">
        <v>5243.9</v>
      </c>
      <c r="D24" s="6"/>
      <c r="E24" s="19"/>
      <c r="F24" s="31">
        <v>10.1</v>
      </c>
      <c r="G24" s="32">
        <f>(C19+(((C24-C19)*(F24-7.500))/B19))</f>
        <v>5243.9</v>
      </c>
      <c r="H24" s="8"/>
      <c r="I24" s="29"/>
      <c r="J24" s="33"/>
      <c r="K24" s="34"/>
      <c r="L24" s="32">
        <v>2097.6</v>
      </c>
      <c r="M24" s="6"/>
      <c r="N24" s="19"/>
      <c r="O24" s="31">
        <v>10.1</v>
      </c>
      <c r="P24" s="32">
        <f>(L19+(((L24-L19)*(O24-7.500))/K19))</f>
        <v>2097.6</v>
      </c>
      <c r="Q24" s="8"/>
      <c r="R24" s="29"/>
      <c r="S24" s="33"/>
      <c r="T24" s="34"/>
      <c r="U24" s="32">
        <v>3670.8</v>
      </c>
      <c r="V24" s="6"/>
      <c r="W24" s="19"/>
      <c r="X24" s="31">
        <v>10.1</v>
      </c>
      <c r="Y24" s="32">
        <f>(U19+(((U24-U19)*(X24-7.500))/T19))</f>
        <v>3670.8</v>
      </c>
      <c r="Z24" s="8"/>
      <c r="AA24" s="29"/>
    </row>
    <row r="25" spans="1:27" ht="16.5" customHeight="1">
      <c r="A25" s="23">
        <v>5</v>
      </c>
      <c r="B25" s="24">
        <v>0.6</v>
      </c>
      <c r="C25" s="25">
        <v>4539.6</v>
      </c>
      <c r="D25" s="6"/>
      <c r="E25" s="19">
        <v>0.3</v>
      </c>
      <c r="F25" s="24">
        <v>10.1</v>
      </c>
      <c r="G25" s="25">
        <f>(C25+(((C28-C25)*(F25-10.100))/B25))</f>
        <v>4539.6</v>
      </c>
      <c r="H25" s="8"/>
      <c r="I25" s="29"/>
      <c r="J25" s="23">
        <v>5</v>
      </c>
      <c r="K25" s="24">
        <v>0.6</v>
      </c>
      <c r="L25" s="25">
        <v>2269.8</v>
      </c>
      <c r="M25" s="6"/>
      <c r="N25" s="19">
        <v>0.3</v>
      </c>
      <c r="O25" s="24">
        <v>10.1</v>
      </c>
      <c r="P25" s="25">
        <f>(L25+(((L28-L25)*(O25-10.100))/K25))</f>
        <v>2269.8</v>
      </c>
      <c r="Q25" s="8"/>
      <c r="R25" s="29"/>
      <c r="S25" s="23">
        <v>5</v>
      </c>
      <c r="T25" s="24">
        <v>0.6</v>
      </c>
      <c r="U25" s="25">
        <v>4539.6</v>
      </c>
      <c r="V25" s="6"/>
      <c r="W25" s="19">
        <v>0.3</v>
      </c>
      <c r="X25" s="24">
        <v>10.1</v>
      </c>
      <c r="Y25" s="25">
        <f>(U25+(((U28-U25)*(X25-10.100))/T25))</f>
        <v>4539.6</v>
      </c>
      <c r="Z25" s="8"/>
      <c r="AA25" s="29"/>
    </row>
    <row r="26" spans="1:27" ht="16.5" customHeight="1">
      <c r="A26" s="27"/>
      <c r="B26" s="28"/>
      <c r="C26" s="29"/>
      <c r="D26" s="6"/>
      <c r="E26" s="19"/>
      <c r="F26" s="31">
        <v>10.4</v>
      </c>
      <c r="G26" s="32">
        <f>(C25+(((C28-C25)*(F26-10.100))/B25))</f>
        <v>4539.6</v>
      </c>
      <c r="H26" s="8"/>
      <c r="I26" s="32">
        <f>I23</f>
        <v>4977.375147928994</v>
      </c>
      <c r="J26" s="27"/>
      <c r="K26" s="28"/>
      <c r="L26" s="29"/>
      <c r="M26" s="6"/>
      <c r="N26" s="19"/>
      <c r="O26" s="31">
        <v>10.4</v>
      </c>
      <c r="P26" s="32">
        <f>(L25+(((L28-L25)*(O26-10.100))/K25))</f>
        <v>2269.8</v>
      </c>
      <c r="Q26" s="8"/>
      <c r="R26" s="32">
        <f>R23</f>
        <v>2095.740828402367</v>
      </c>
      <c r="S26" s="27"/>
      <c r="T26" s="28"/>
      <c r="U26" s="29"/>
      <c r="V26" s="6"/>
      <c r="W26" s="19"/>
      <c r="X26" s="31">
        <v>10.4</v>
      </c>
      <c r="Y26" s="32">
        <f>(U25+(((U28-U25)*(X26-10.100))/T25))</f>
        <v>4539.6</v>
      </c>
      <c r="Z26" s="8"/>
      <c r="AA26" s="32">
        <f>AA23</f>
        <v>3798.481656804734</v>
      </c>
    </row>
    <row r="27" spans="1:27" ht="16.5" customHeight="1">
      <c r="A27" s="27"/>
      <c r="B27" s="28"/>
      <c r="C27" s="29"/>
      <c r="D27" s="6">
        <v>1.3</v>
      </c>
      <c r="E27" s="19">
        <v>0.3</v>
      </c>
      <c r="F27" s="24">
        <v>10.4</v>
      </c>
      <c r="G27" s="25">
        <f>(C25+(((C28-C25)*(F27-10.100))/B25))</f>
        <v>4539.6</v>
      </c>
      <c r="H27" s="8">
        <v>26</v>
      </c>
      <c r="I27" s="25">
        <f>(SUM((((G27+G28)/2)*E27),(((G29+G30)/2)*E29))/D27)</f>
        <v>5470.446153846154</v>
      </c>
      <c r="J27" s="27"/>
      <c r="K27" s="28"/>
      <c r="L27" s="29"/>
      <c r="M27" s="6">
        <v>1.3</v>
      </c>
      <c r="N27" s="19">
        <v>0.3</v>
      </c>
      <c r="O27" s="24">
        <v>10.4</v>
      </c>
      <c r="P27" s="25">
        <f>(L25+(((L28-L25)*(O27-10.100))/K25))</f>
        <v>2269.8</v>
      </c>
      <c r="Q27" s="8">
        <v>51</v>
      </c>
      <c r="R27" s="25">
        <f>(SUM((((P27+P28)/2)*N27),(((P29+P30)/2)*N29))/M27)</f>
        <v>2292.9376518218623</v>
      </c>
      <c r="S27" s="27"/>
      <c r="T27" s="28"/>
      <c r="U27" s="29"/>
      <c r="V27" s="6">
        <v>1.3</v>
      </c>
      <c r="W27" s="19">
        <v>0.3</v>
      </c>
      <c r="X27" s="24">
        <v>10.4</v>
      </c>
      <c r="Y27" s="25">
        <f>(U25+(((U28-U25)*(X27-10.100))/T25))</f>
        <v>4539.6</v>
      </c>
      <c r="Z27" s="8">
        <v>76</v>
      </c>
      <c r="AA27" s="25">
        <f>(SUM((((Y27+Y28)/2)*W27),(((Y29+Y30)/2)*W29))/V27)</f>
        <v>4143.555465587045</v>
      </c>
    </row>
    <row r="28" spans="1:27" ht="16.5" customHeight="1">
      <c r="A28" s="33"/>
      <c r="B28" s="34"/>
      <c r="C28" s="32">
        <v>4539.6</v>
      </c>
      <c r="D28" s="6"/>
      <c r="E28" s="19"/>
      <c r="F28" s="31">
        <v>10.7</v>
      </c>
      <c r="G28" s="32">
        <f>(C25+(((C28-C25)*(F28-10.100))/B25))</f>
        <v>4539.6</v>
      </c>
      <c r="H28" s="8"/>
      <c r="I28" s="29"/>
      <c r="J28" s="33"/>
      <c r="K28" s="34"/>
      <c r="L28" s="32">
        <v>2269.8</v>
      </c>
      <c r="M28" s="6"/>
      <c r="N28" s="19"/>
      <c r="O28" s="31">
        <v>10.7</v>
      </c>
      <c r="P28" s="32">
        <f>(L25+(((L28-L25)*(O28-10.100))/K25))</f>
        <v>2269.8</v>
      </c>
      <c r="Q28" s="8"/>
      <c r="R28" s="29"/>
      <c r="S28" s="33"/>
      <c r="T28" s="34"/>
      <c r="U28" s="32">
        <v>4539.6</v>
      </c>
      <c r="V28" s="6"/>
      <c r="W28" s="19"/>
      <c r="X28" s="31">
        <v>10.7</v>
      </c>
      <c r="Y28" s="32">
        <f>(U25+(((U28-U25)*(X28-10.100))/T25))</f>
        <v>4539.6</v>
      </c>
      <c r="Z28" s="8"/>
      <c r="AA28" s="29"/>
    </row>
    <row r="29" spans="1:27" ht="16.5" customHeight="1">
      <c r="A29" s="23">
        <v>6</v>
      </c>
      <c r="B29" s="24">
        <v>9.5</v>
      </c>
      <c r="C29" s="25">
        <v>5608.5</v>
      </c>
      <c r="D29" s="6"/>
      <c r="E29" s="19">
        <v>1</v>
      </c>
      <c r="F29" s="24">
        <v>10.7</v>
      </c>
      <c r="G29" s="25">
        <f>(C29+(((C44-C29)*(F29-10.700))/B29))</f>
        <v>5608.5</v>
      </c>
      <c r="H29" s="8"/>
      <c r="I29" s="29"/>
      <c r="J29" s="23">
        <v>6</v>
      </c>
      <c r="K29" s="24">
        <v>9.5</v>
      </c>
      <c r="L29" s="25">
        <v>2243.4</v>
      </c>
      <c r="M29" s="6"/>
      <c r="N29" s="19">
        <v>1</v>
      </c>
      <c r="O29" s="24">
        <v>10.7</v>
      </c>
      <c r="P29" s="25">
        <f>(L29+(((L44-L29)*(O29-10.700))/K29))</f>
        <v>2243.4</v>
      </c>
      <c r="Q29" s="8"/>
      <c r="R29" s="29"/>
      <c r="S29" s="23">
        <v>6</v>
      </c>
      <c r="T29" s="24">
        <v>9.5</v>
      </c>
      <c r="U29" s="25">
        <v>3925.9</v>
      </c>
      <c r="V29" s="6"/>
      <c r="W29" s="19">
        <v>1</v>
      </c>
      <c r="X29" s="24">
        <v>10.7</v>
      </c>
      <c r="Y29" s="25">
        <f>(U29+(((U44-U29)*(X29-10.700))/T29))</f>
        <v>3925.9</v>
      </c>
      <c r="Z29" s="8"/>
      <c r="AA29" s="29"/>
    </row>
    <row r="30" spans="1:27" ht="16.5" customHeight="1">
      <c r="A30" s="27"/>
      <c r="B30" s="28"/>
      <c r="C30" s="29"/>
      <c r="D30" s="6"/>
      <c r="E30" s="19"/>
      <c r="F30" s="31">
        <v>11.7</v>
      </c>
      <c r="G30" s="32">
        <f>(C29+(((C44-C29)*(F30-10.700))/B29))</f>
        <v>5890.9</v>
      </c>
      <c r="H30" s="8"/>
      <c r="I30" s="32">
        <f>I27</f>
        <v>5470.446153846154</v>
      </c>
      <c r="J30" s="27"/>
      <c r="K30" s="28"/>
      <c r="L30" s="29"/>
      <c r="M30" s="6"/>
      <c r="N30" s="19"/>
      <c r="O30" s="31">
        <v>11.7</v>
      </c>
      <c r="P30" s="32">
        <f>(L29+(((L44-L29)*(O30-10.700))/K29))</f>
        <v>2356.3578947368424</v>
      </c>
      <c r="Q30" s="8"/>
      <c r="R30" s="32">
        <f>R27</f>
        <v>2292.9376518218623</v>
      </c>
      <c r="S30" s="27"/>
      <c r="T30" s="28"/>
      <c r="U30" s="29"/>
      <c r="V30" s="6"/>
      <c r="W30" s="19"/>
      <c r="X30" s="31">
        <v>11.7</v>
      </c>
      <c r="Y30" s="32">
        <f>(U29+(((U44-U29)*(X30-10.700))/T29))</f>
        <v>4123.5842105263155</v>
      </c>
      <c r="Z30" s="8"/>
      <c r="AA30" s="32">
        <f>AA27</f>
        <v>4143.555465587045</v>
      </c>
    </row>
    <row r="31" spans="1:27" ht="16.5" customHeight="1">
      <c r="A31" s="27"/>
      <c r="B31" s="28"/>
      <c r="C31" s="29"/>
      <c r="D31" s="6">
        <v>1.3</v>
      </c>
      <c r="E31" s="26"/>
      <c r="F31" s="24">
        <v>11.7</v>
      </c>
      <c r="G31" s="25">
        <f>(C29+(((C44-C29)*(F31-10.700))/B29))</f>
        <v>5890.9</v>
      </c>
      <c r="H31" s="8">
        <v>27</v>
      </c>
      <c r="I31" s="25">
        <f>G31</f>
        <v>5890.9</v>
      </c>
      <c r="J31" s="27"/>
      <c r="K31" s="28"/>
      <c r="L31" s="29"/>
      <c r="M31" s="6">
        <v>1.3</v>
      </c>
      <c r="N31" s="26"/>
      <c r="O31" s="24">
        <v>11.7</v>
      </c>
      <c r="P31" s="25">
        <f>(L29+(((L44-L29)*(O31-10.700))/K29))</f>
        <v>2356.3578947368424</v>
      </c>
      <c r="Q31" s="8">
        <v>52</v>
      </c>
      <c r="R31" s="25">
        <f>P31</f>
        <v>2356.3578947368424</v>
      </c>
      <c r="S31" s="27"/>
      <c r="T31" s="28"/>
      <c r="U31" s="29"/>
      <c r="V31" s="6">
        <v>1.3</v>
      </c>
      <c r="W31" s="26"/>
      <c r="X31" s="24">
        <v>11.7</v>
      </c>
      <c r="Y31" s="25">
        <f>(U29+(((U44-U29)*(X31-10.700))/T29))</f>
        <v>4123.5842105263155</v>
      </c>
      <c r="Z31" s="8">
        <v>77</v>
      </c>
      <c r="AA31" s="25">
        <f>Y31</f>
        <v>4123.5842105263155</v>
      </c>
    </row>
    <row r="32" spans="1:27" ht="16.5" customHeight="1">
      <c r="A32" s="27"/>
      <c r="B32" s="28"/>
      <c r="C32" s="29"/>
      <c r="D32" s="6"/>
      <c r="E32" s="30"/>
      <c r="F32" s="31">
        <v>13</v>
      </c>
      <c r="G32" s="32">
        <f>(C29+(((C44-C29)*(F32-10.700))/B29))</f>
        <v>6258.02</v>
      </c>
      <c r="H32" s="8"/>
      <c r="I32" s="32">
        <f>G32</f>
        <v>6258.02</v>
      </c>
      <c r="J32" s="27"/>
      <c r="K32" s="28"/>
      <c r="L32" s="29"/>
      <c r="M32" s="6"/>
      <c r="N32" s="30"/>
      <c r="O32" s="31">
        <v>13</v>
      </c>
      <c r="P32" s="32">
        <f>(L29+(((L44-L29)*(O32-10.700))/K29))</f>
        <v>2503.203157894737</v>
      </c>
      <c r="Q32" s="8"/>
      <c r="R32" s="32">
        <f>P32</f>
        <v>2503.203157894737</v>
      </c>
      <c r="S32" s="27"/>
      <c r="T32" s="28"/>
      <c r="U32" s="29"/>
      <c r="V32" s="6"/>
      <c r="W32" s="30"/>
      <c r="X32" s="31">
        <v>13</v>
      </c>
      <c r="Y32" s="32">
        <f>(U29+(((U44-U29)*(X32-10.700))/T29))</f>
        <v>4380.573684210526</v>
      </c>
      <c r="Z32" s="8"/>
      <c r="AA32" s="32">
        <f>Y32</f>
        <v>4380.573684210526</v>
      </c>
    </row>
    <row r="33" spans="1:27" ht="16.5" customHeight="1">
      <c r="A33" s="27"/>
      <c r="B33" s="28"/>
      <c r="C33" s="29"/>
      <c r="D33" s="6">
        <v>1.3</v>
      </c>
      <c r="E33" s="26"/>
      <c r="F33" s="24">
        <v>13</v>
      </c>
      <c r="G33" s="25">
        <f>(C29+(((C44-C29)*(F33-10.700))/B29))</f>
        <v>6258.02</v>
      </c>
      <c r="H33" s="8">
        <v>28</v>
      </c>
      <c r="I33" s="25">
        <f>G33</f>
        <v>6258.02</v>
      </c>
      <c r="J33" s="27"/>
      <c r="K33" s="28"/>
      <c r="L33" s="29"/>
      <c r="M33" s="6">
        <v>1.3</v>
      </c>
      <c r="N33" s="26"/>
      <c r="O33" s="24">
        <v>13</v>
      </c>
      <c r="P33" s="25">
        <f>(L29+(((L44-L29)*(O33-10.700))/K29))</f>
        <v>2503.203157894737</v>
      </c>
      <c r="Q33" s="8">
        <v>53</v>
      </c>
      <c r="R33" s="25">
        <f>P33</f>
        <v>2503.203157894737</v>
      </c>
      <c r="S33" s="27"/>
      <c r="T33" s="28"/>
      <c r="U33" s="29"/>
      <c r="V33" s="6">
        <v>1.3</v>
      </c>
      <c r="W33" s="26"/>
      <c r="X33" s="24">
        <v>13</v>
      </c>
      <c r="Y33" s="25">
        <f>(U29+(((U44-U29)*(X33-10.700))/T29))</f>
        <v>4380.573684210526</v>
      </c>
      <c r="Z33" s="8">
        <v>78</v>
      </c>
      <c r="AA33" s="25">
        <f>Y33</f>
        <v>4380.573684210526</v>
      </c>
    </row>
    <row r="34" spans="1:27" ht="16.5" customHeight="1">
      <c r="A34" s="27"/>
      <c r="B34" s="28"/>
      <c r="C34" s="29"/>
      <c r="D34" s="6"/>
      <c r="E34" s="30"/>
      <c r="F34" s="31">
        <v>14.3</v>
      </c>
      <c r="G34" s="32">
        <f>(C29+(((C44-C29)*(F34-10.700))/B29))</f>
        <v>6625.14</v>
      </c>
      <c r="H34" s="8"/>
      <c r="I34" s="32">
        <f>G34</f>
        <v>6625.14</v>
      </c>
      <c r="J34" s="27"/>
      <c r="K34" s="28"/>
      <c r="L34" s="29"/>
      <c r="M34" s="6"/>
      <c r="N34" s="30"/>
      <c r="O34" s="31">
        <v>14.3</v>
      </c>
      <c r="P34" s="32">
        <f>(L29+(((L44-L29)*(O34-10.700))/K29))</f>
        <v>2650.048421052632</v>
      </c>
      <c r="Q34" s="8"/>
      <c r="R34" s="32">
        <f>P34</f>
        <v>2650.048421052632</v>
      </c>
      <c r="S34" s="27"/>
      <c r="T34" s="28"/>
      <c r="U34" s="29"/>
      <c r="V34" s="6"/>
      <c r="W34" s="30"/>
      <c r="X34" s="31">
        <v>14.3</v>
      </c>
      <c r="Y34" s="32">
        <f>(U29+(((U44-U29)*(X34-10.700))/T29))</f>
        <v>4637.563157894737</v>
      </c>
      <c r="Z34" s="8"/>
      <c r="AA34" s="32">
        <f>Y34</f>
        <v>4637.563157894737</v>
      </c>
    </row>
    <row r="35" spans="1:27" ht="16.5" customHeight="1">
      <c r="A35" s="27"/>
      <c r="B35" s="28"/>
      <c r="C35" s="29"/>
      <c r="D35" s="6">
        <v>1.3</v>
      </c>
      <c r="E35" s="26"/>
      <c r="F35" s="24">
        <v>14.3</v>
      </c>
      <c r="G35" s="25">
        <f>(C29+(((C44-C29)*(F35-10.700))/B29))</f>
        <v>6625.14</v>
      </c>
      <c r="H35" s="8">
        <v>29</v>
      </c>
      <c r="I35" s="25">
        <f>G35</f>
        <v>6625.14</v>
      </c>
      <c r="J35" s="27"/>
      <c r="K35" s="28"/>
      <c r="L35" s="29"/>
      <c r="M35" s="6">
        <v>1.3</v>
      </c>
      <c r="N35" s="26"/>
      <c r="O35" s="24">
        <v>14.3</v>
      </c>
      <c r="P35" s="25">
        <f>(L29+(((L44-L29)*(O35-10.700))/K29))</f>
        <v>2650.048421052632</v>
      </c>
      <c r="Q35" s="8">
        <v>54</v>
      </c>
      <c r="R35" s="25">
        <f>P35</f>
        <v>2650.048421052632</v>
      </c>
      <c r="S35" s="27"/>
      <c r="T35" s="28"/>
      <c r="U35" s="29"/>
      <c r="V35" s="6">
        <v>1.3</v>
      </c>
      <c r="W35" s="26"/>
      <c r="X35" s="24">
        <v>14.3</v>
      </c>
      <c r="Y35" s="25">
        <f>(U29+(((U44-U29)*(X35-10.700))/T29))</f>
        <v>4637.563157894737</v>
      </c>
      <c r="Z35" s="8">
        <v>79</v>
      </c>
      <c r="AA35" s="25">
        <f>Y35</f>
        <v>4637.563157894737</v>
      </c>
    </row>
    <row r="36" spans="1:27" ht="16.5" customHeight="1">
      <c r="A36" s="27"/>
      <c r="B36" s="28"/>
      <c r="C36" s="29"/>
      <c r="D36" s="6"/>
      <c r="E36" s="30"/>
      <c r="F36" s="31">
        <v>15.6</v>
      </c>
      <c r="G36" s="32">
        <f>(C29+(((C44-C29)*(F36-10.700))/B29))</f>
        <v>6992.26</v>
      </c>
      <c r="H36" s="8"/>
      <c r="I36" s="32">
        <f>G36</f>
        <v>6992.26</v>
      </c>
      <c r="J36" s="27"/>
      <c r="K36" s="28"/>
      <c r="L36" s="29"/>
      <c r="M36" s="6"/>
      <c r="N36" s="30"/>
      <c r="O36" s="31">
        <v>15.6</v>
      </c>
      <c r="P36" s="32">
        <f>(L29+(((L44-L29)*(O36-10.700))/K29))</f>
        <v>2796.8936842105263</v>
      </c>
      <c r="Q36" s="8"/>
      <c r="R36" s="32">
        <f>P36</f>
        <v>2796.8936842105263</v>
      </c>
      <c r="S36" s="27"/>
      <c r="T36" s="28"/>
      <c r="U36" s="29"/>
      <c r="V36" s="6"/>
      <c r="W36" s="30"/>
      <c r="X36" s="31">
        <v>15.6</v>
      </c>
      <c r="Y36" s="32">
        <f>(U29+(((U44-U29)*(X36-10.700))/T29))</f>
        <v>4894.5526315789475</v>
      </c>
      <c r="Z36" s="8"/>
      <c r="AA36" s="32">
        <f>Y36</f>
        <v>4894.5526315789475</v>
      </c>
    </row>
    <row r="37" spans="1:27" ht="16.5" customHeight="1">
      <c r="A37" s="27"/>
      <c r="B37" s="28"/>
      <c r="C37" s="29"/>
      <c r="D37" s="6">
        <v>1.3</v>
      </c>
      <c r="E37" s="26"/>
      <c r="F37" s="24">
        <v>15.6</v>
      </c>
      <c r="G37" s="25">
        <f>(C29+(((C44-C29)*(F37-10.700))/B29))</f>
        <v>6992.26</v>
      </c>
      <c r="H37" s="8">
        <v>30</v>
      </c>
      <c r="I37" s="25">
        <f>G37</f>
        <v>6992.26</v>
      </c>
      <c r="J37" s="27"/>
      <c r="K37" s="28"/>
      <c r="L37" s="29"/>
      <c r="M37" s="6">
        <v>1.3</v>
      </c>
      <c r="N37" s="26"/>
      <c r="O37" s="24">
        <v>15.6</v>
      </c>
      <c r="P37" s="25">
        <f>(L29+(((L44-L29)*(O37-10.700))/K29))</f>
        <v>2796.8936842105263</v>
      </c>
      <c r="Q37" s="8">
        <v>55</v>
      </c>
      <c r="R37" s="25">
        <f>P37</f>
        <v>2796.8936842105263</v>
      </c>
      <c r="S37" s="27"/>
      <c r="T37" s="28"/>
      <c r="U37" s="29"/>
      <c r="V37" s="6">
        <v>1.3</v>
      </c>
      <c r="W37" s="26"/>
      <c r="X37" s="24">
        <v>15.6</v>
      </c>
      <c r="Y37" s="25">
        <f>(U29+(((U44-U29)*(X37-10.700))/T29))</f>
        <v>4894.5526315789475</v>
      </c>
      <c r="Z37" s="8">
        <v>80</v>
      </c>
      <c r="AA37" s="25">
        <f>Y37</f>
        <v>4894.5526315789475</v>
      </c>
    </row>
    <row r="38" spans="1:27" ht="16.5" customHeight="1">
      <c r="A38" s="27"/>
      <c r="B38" s="28"/>
      <c r="C38" s="29"/>
      <c r="D38" s="6"/>
      <c r="E38" s="30"/>
      <c r="F38" s="31">
        <v>16.9</v>
      </c>
      <c r="G38" s="32">
        <f>(C29+(((C44-C29)*(F38-10.700))/B29))</f>
        <v>7359.379999999999</v>
      </c>
      <c r="H38" s="8"/>
      <c r="I38" s="32">
        <f>G38</f>
        <v>7359.379999999999</v>
      </c>
      <c r="J38" s="27"/>
      <c r="K38" s="28"/>
      <c r="L38" s="29"/>
      <c r="M38" s="6"/>
      <c r="N38" s="30"/>
      <c r="O38" s="31">
        <v>16.9</v>
      </c>
      <c r="P38" s="32">
        <f>(L29+(((L44-L29)*(O38-10.700))/K29))</f>
        <v>2943.738947368421</v>
      </c>
      <c r="Q38" s="8"/>
      <c r="R38" s="32">
        <f>P38</f>
        <v>2943.738947368421</v>
      </c>
      <c r="S38" s="27"/>
      <c r="T38" s="28"/>
      <c r="U38" s="29"/>
      <c r="V38" s="6"/>
      <c r="W38" s="30"/>
      <c r="X38" s="31">
        <v>16.9</v>
      </c>
      <c r="Y38" s="32">
        <f>(U29+(((U44-U29)*(X38-10.700))/T29))</f>
        <v>5151.542105263157</v>
      </c>
      <c r="Z38" s="8"/>
      <c r="AA38" s="32">
        <f>Y38</f>
        <v>5151.542105263157</v>
      </c>
    </row>
    <row r="39" spans="1:27" ht="16.5" customHeight="1">
      <c r="A39" s="27"/>
      <c r="B39" s="28"/>
      <c r="C39" s="29"/>
      <c r="D39" s="6">
        <v>1.3</v>
      </c>
      <c r="E39" s="26"/>
      <c r="F39" s="24">
        <v>16.9</v>
      </c>
      <c r="G39" s="25">
        <f>(C29+(((C44-C29)*(F39-10.700))/B29))</f>
        <v>7359.379999999999</v>
      </c>
      <c r="H39" s="8">
        <v>31</v>
      </c>
      <c r="I39" s="25">
        <f>G39</f>
        <v>7359.379999999999</v>
      </c>
      <c r="J39" s="27"/>
      <c r="K39" s="28"/>
      <c r="L39" s="29"/>
      <c r="M39" s="6">
        <v>1.3</v>
      </c>
      <c r="N39" s="26"/>
      <c r="O39" s="24">
        <v>16.9</v>
      </c>
      <c r="P39" s="25">
        <f>(L29+(((L44-L29)*(O39-10.700))/K29))</f>
        <v>2943.738947368421</v>
      </c>
      <c r="Q39" s="8">
        <v>56</v>
      </c>
      <c r="R39" s="25">
        <f>P39</f>
        <v>2943.738947368421</v>
      </c>
      <c r="S39" s="27"/>
      <c r="T39" s="28"/>
      <c r="U39" s="29"/>
      <c r="V39" s="6">
        <v>1.3</v>
      </c>
      <c r="W39" s="26"/>
      <c r="X39" s="24">
        <v>16.9</v>
      </c>
      <c r="Y39" s="25">
        <f>(U29+(((U44-U29)*(X39-10.700))/T29))</f>
        <v>5151.542105263157</v>
      </c>
      <c r="Z39" s="8">
        <v>81</v>
      </c>
      <c r="AA39" s="25">
        <f>Y39</f>
        <v>5151.542105263157</v>
      </c>
    </row>
    <row r="40" spans="1:27" ht="16.5" customHeight="1">
      <c r="A40" s="27"/>
      <c r="B40" s="28"/>
      <c r="C40" s="29"/>
      <c r="D40" s="6"/>
      <c r="E40" s="30"/>
      <c r="F40" s="31">
        <v>18.2</v>
      </c>
      <c r="G40" s="32">
        <f>(C29+(((C44-C29)*(F40-10.700))/B29))</f>
        <v>7726.499999999999</v>
      </c>
      <c r="H40" s="8"/>
      <c r="I40" s="32">
        <f>G40</f>
        <v>7726.499999999999</v>
      </c>
      <c r="J40" s="27"/>
      <c r="K40" s="28"/>
      <c r="L40" s="29"/>
      <c r="M40" s="6"/>
      <c r="N40" s="30"/>
      <c r="O40" s="31">
        <v>18.2</v>
      </c>
      <c r="P40" s="32">
        <f>(L29+(((L44-L29)*(O40-10.700))/K29))</f>
        <v>3090.584210526316</v>
      </c>
      <c r="Q40" s="8"/>
      <c r="R40" s="32">
        <f>P40</f>
        <v>3090.584210526316</v>
      </c>
      <c r="S40" s="27"/>
      <c r="T40" s="28"/>
      <c r="U40" s="29"/>
      <c r="V40" s="6"/>
      <c r="W40" s="30"/>
      <c r="X40" s="31">
        <v>18.2</v>
      </c>
      <c r="Y40" s="32">
        <f>(U29+(((U44-U29)*(X40-10.700))/T29))</f>
        <v>5408.531578947368</v>
      </c>
      <c r="Z40" s="8"/>
      <c r="AA40" s="32">
        <f>Y40</f>
        <v>5408.531578947368</v>
      </c>
    </row>
    <row r="41" spans="1:27" ht="16.5" customHeight="1">
      <c r="A41" s="27"/>
      <c r="B41" s="28"/>
      <c r="C41" s="29"/>
      <c r="D41" s="6">
        <v>1.3</v>
      </c>
      <c r="E41" s="26"/>
      <c r="F41" s="24">
        <v>18.2</v>
      </c>
      <c r="G41" s="25">
        <f>(C29+(((C44-C29)*(F41-10.700))/B29))</f>
        <v>7726.499999999999</v>
      </c>
      <c r="H41" s="8">
        <v>32</v>
      </c>
      <c r="I41" s="25">
        <f>G41</f>
        <v>7726.499999999999</v>
      </c>
      <c r="J41" s="27"/>
      <c r="K41" s="28"/>
      <c r="L41" s="29"/>
      <c r="M41" s="6">
        <v>1.3</v>
      </c>
      <c r="N41" s="26"/>
      <c r="O41" s="24">
        <v>18.2</v>
      </c>
      <c r="P41" s="25">
        <f>(L29+(((L44-L29)*(O41-10.700))/K29))</f>
        <v>3090.584210526316</v>
      </c>
      <c r="Q41" s="8">
        <v>57</v>
      </c>
      <c r="R41" s="25">
        <f>P41</f>
        <v>3090.584210526316</v>
      </c>
      <c r="S41" s="27"/>
      <c r="T41" s="28"/>
      <c r="U41" s="29"/>
      <c r="V41" s="6">
        <v>1.3</v>
      </c>
      <c r="W41" s="26"/>
      <c r="X41" s="24">
        <v>18.2</v>
      </c>
      <c r="Y41" s="25">
        <f>(U29+(((U44-U29)*(X41-10.700))/T29))</f>
        <v>5408.531578947368</v>
      </c>
      <c r="Z41" s="8">
        <v>82</v>
      </c>
      <c r="AA41" s="25">
        <f>Y41</f>
        <v>5408.531578947368</v>
      </c>
    </row>
    <row r="42" spans="1:27" ht="16.5" customHeight="1">
      <c r="A42" s="27"/>
      <c r="B42" s="28"/>
      <c r="C42" s="29"/>
      <c r="D42" s="6"/>
      <c r="E42" s="30"/>
      <c r="F42" s="31">
        <v>19.5</v>
      </c>
      <c r="G42" s="32">
        <f>(C29+(((C44-C29)*(F42-10.700))/B29))</f>
        <v>8093.619999999999</v>
      </c>
      <c r="H42" s="8"/>
      <c r="I42" s="32">
        <f>G42</f>
        <v>8093.619999999999</v>
      </c>
      <c r="J42" s="27"/>
      <c r="K42" s="28"/>
      <c r="L42" s="29"/>
      <c r="M42" s="6"/>
      <c r="N42" s="30"/>
      <c r="O42" s="31">
        <v>19.5</v>
      </c>
      <c r="P42" s="32">
        <f>(L29+(((L44-L29)*(O42-10.700))/K29))</f>
        <v>3237.4294736842107</v>
      </c>
      <c r="Q42" s="8"/>
      <c r="R42" s="32">
        <f>P42</f>
        <v>3237.4294736842107</v>
      </c>
      <c r="S42" s="27"/>
      <c r="T42" s="28"/>
      <c r="U42" s="29"/>
      <c r="V42" s="6"/>
      <c r="W42" s="30"/>
      <c r="X42" s="31">
        <v>19.5</v>
      </c>
      <c r="Y42" s="32">
        <f>(U29+(((U44-U29)*(X42-10.700))/T29))</f>
        <v>5665.521052631579</v>
      </c>
      <c r="Z42" s="8"/>
      <c r="AA42" s="32">
        <f>Y42</f>
        <v>5665.521052631579</v>
      </c>
    </row>
    <row r="43" spans="1:27" ht="16.5" customHeight="1">
      <c r="A43" s="27"/>
      <c r="B43" s="28"/>
      <c r="C43" s="29"/>
      <c r="D43" s="6">
        <v>1.3</v>
      </c>
      <c r="E43" s="19">
        <v>0.7</v>
      </c>
      <c r="F43" s="24">
        <v>19.5</v>
      </c>
      <c r="G43" s="25">
        <f>(C29+(((C44-C29)*(F43-10.700))/B29))</f>
        <v>8093.619999999999</v>
      </c>
      <c r="H43" s="8">
        <v>33</v>
      </c>
      <c r="I43" s="25">
        <f>(SUM((((G43+G44)/2)*E43),(((G45+G46)/2)*E45))/D43)</f>
        <v>5361.724615384614</v>
      </c>
      <c r="J43" s="27"/>
      <c r="K43" s="28"/>
      <c r="L43" s="29"/>
      <c r="M43" s="6">
        <v>1.3</v>
      </c>
      <c r="N43" s="19">
        <v>0.7</v>
      </c>
      <c r="O43" s="24">
        <v>19.5</v>
      </c>
      <c r="P43" s="25">
        <f>(L29+(((L44-L29)*(O43-10.700))/K29))</f>
        <v>3237.4294736842107</v>
      </c>
      <c r="Q43" s="8">
        <v>58</v>
      </c>
      <c r="R43" s="25">
        <f>(SUM((((P43+P44)/2)*N43),(((P45+P46)/2)*N45))/M43)</f>
        <v>2239.7194736842102</v>
      </c>
      <c r="S43" s="27"/>
      <c r="T43" s="28"/>
      <c r="U43" s="29"/>
      <c r="V43" s="6">
        <v>1.3</v>
      </c>
      <c r="W43" s="19">
        <v>0.7</v>
      </c>
      <c r="X43" s="24">
        <v>19.5</v>
      </c>
      <c r="Y43" s="25">
        <f>(U29+(((U44-U29)*(X43-10.700))/T29))</f>
        <v>5665.521052631579</v>
      </c>
      <c r="Z43" s="8">
        <v>83</v>
      </c>
      <c r="AA43" s="25">
        <f>(SUM((((Y43+Y44)/2)*W43),(((Y45+Y46)/2)*W45))/V43)</f>
        <v>4038.321052631578</v>
      </c>
    </row>
    <row r="44" spans="1:27" ht="16.5" customHeight="1">
      <c r="A44" s="33"/>
      <c r="B44" s="34"/>
      <c r="C44" s="32">
        <v>8291.299999999999</v>
      </c>
      <c r="D44" s="6"/>
      <c r="E44" s="19"/>
      <c r="F44" s="31">
        <v>20.2</v>
      </c>
      <c r="G44" s="32">
        <f>(C29+(((C44-C29)*(F44-10.700))/B29))</f>
        <v>8291.3</v>
      </c>
      <c r="H44" s="8"/>
      <c r="I44" s="29"/>
      <c r="J44" s="33"/>
      <c r="K44" s="34"/>
      <c r="L44" s="32">
        <v>3316.5</v>
      </c>
      <c r="M44" s="6"/>
      <c r="N44" s="19"/>
      <c r="O44" s="31">
        <v>20.2</v>
      </c>
      <c r="P44" s="32">
        <f>(L29+(((L44-L29)*(O44-10.700))/K29))</f>
        <v>3316.5</v>
      </c>
      <c r="Q44" s="8"/>
      <c r="R44" s="29"/>
      <c r="S44" s="33"/>
      <c r="T44" s="34"/>
      <c r="U44" s="32">
        <v>5803.9</v>
      </c>
      <c r="V44" s="6"/>
      <c r="W44" s="19"/>
      <c r="X44" s="31">
        <v>20.2</v>
      </c>
      <c r="Y44" s="32">
        <f>(U29+(((U44-U29)*(X44-10.700))/T29))</f>
        <v>5803.9</v>
      </c>
      <c r="Z44" s="8"/>
      <c r="AA44" s="29"/>
    </row>
    <row r="45" spans="1:27" ht="16.5" customHeight="1">
      <c r="A45" s="23">
        <v>7</v>
      </c>
      <c r="B45" s="24">
        <v>10.8</v>
      </c>
      <c r="C45" s="25">
        <v>2059.2</v>
      </c>
      <c r="D45" s="6"/>
      <c r="E45" s="19">
        <v>0.6</v>
      </c>
      <c r="F45" s="24">
        <v>20.2</v>
      </c>
      <c r="G45" s="25">
        <f>(C45+(((C62-C45)*(F45-20.200))/B45))</f>
        <v>2059.2</v>
      </c>
      <c r="H45" s="8"/>
      <c r="I45" s="29"/>
      <c r="J45" s="23">
        <v>7</v>
      </c>
      <c r="K45" s="24">
        <v>10.8</v>
      </c>
      <c r="L45" s="25">
        <v>1029.6</v>
      </c>
      <c r="M45" s="6"/>
      <c r="N45" s="19">
        <v>0.6</v>
      </c>
      <c r="O45" s="24">
        <v>20.2</v>
      </c>
      <c r="P45" s="25">
        <f>(L45+(((L62-L45)*(O45-20.200))/K45))</f>
        <v>1029.6</v>
      </c>
      <c r="Q45" s="8"/>
      <c r="R45" s="29"/>
      <c r="S45" s="23">
        <v>7</v>
      </c>
      <c r="T45" s="24">
        <v>10.8</v>
      </c>
      <c r="U45" s="25">
        <v>2059.2</v>
      </c>
      <c r="V45" s="6"/>
      <c r="W45" s="19">
        <v>0.6</v>
      </c>
      <c r="X45" s="24">
        <v>20.2</v>
      </c>
      <c r="Y45" s="25">
        <f>(U45+(((U62-U45)*(X45-20.200))/T45))</f>
        <v>2059.2</v>
      </c>
      <c r="Z45" s="8"/>
      <c r="AA45" s="29"/>
    </row>
    <row r="46" spans="1:27" ht="16.5" customHeight="1">
      <c r="A46" s="27"/>
      <c r="B46" s="28"/>
      <c r="C46" s="29"/>
      <c r="D46" s="6"/>
      <c r="E46" s="19"/>
      <c r="F46" s="31">
        <v>20.8</v>
      </c>
      <c r="G46" s="32">
        <f>(C45+(((C62-C45)*(F46-20.200))/B45))</f>
        <v>2059.2</v>
      </c>
      <c r="H46" s="8"/>
      <c r="I46" s="32">
        <f>I43</f>
        <v>5361.724615384614</v>
      </c>
      <c r="J46" s="27"/>
      <c r="K46" s="28"/>
      <c r="L46" s="29"/>
      <c r="M46" s="6"/>
      <c r="N46" s="19"/>
      <c r="O46" s="31">
        <v>20.8</v>
      </c>
      <c r="P46" s="32">
        <f>(L45+(((L62-L45)*(O46-20.200))/K45))</f>
        <v>1029.6</v>
      </c>
      <c r="Q46" s="8"/>
      <c r="R46" s="32">
        <f>R43</f>
        <v>2239.7194736842102</v>
      </c>
      <c r="S46" s="27"/>
      <c r="T46" s="28"/>
      <c r="U46" s="29"/>
      <c r="V46" s="6"/>
      <c r="W46" s="19"/>
      <c r="X46" s="31">
        <v>20.8</v>
      </c>
      <c r="Y46" s="32">
        <f>(U45+(((U62-U45)*(X46-20.200))/T45))</f>
        <v>2059.2</v>
      </c>
      <c r="Z46" s="8"/>
      <c r="AA46" s="32">
        <f>AA43</f>
        <v>4038.321052631578</v>
      </c>
    </row>
    <row r="47" spans="1:27" ht="16.5" customHeight="1">
      <c r="A47" s="27"/>
      <c r="B47" s="28"/>
      <c r="C47" s="29"/>
      <c r="D47" s="6">
        <v>1.3</v>
      </c>
      <c r="E47" s="26"/>
      <c r="F47" s="24">
        <v>20.8</v>
      </c>
      <c r="G47" s="25">
        <f>(C45+(((C62-C45)*(F47-20.200))/B45))</f>
        <v>2059.2</v>
      </c>
      <c r="H47" s="8">
        <v>34</v>
      </c>
      <c r="I47" s="25">
        <f>G47</f>
        <v>2059.2</v>
      </c>
      <c r="J47" s="27"/>
      <c r="K47" s="28"/>
      <c r="L47" s="29"/>
      <c r="M47" s="6">
        <v>1.3</v>
      </c>
      <c r="N47" s="26"/>
      <c r="O47" s="24">
        <v>20.8</v>
      </c>
      <c r="P47" s="25">
        <f>(L45+(((L62-L45)*(O47-20.200))/K45))</f>
        <v>1029.6</v>
      </c>
      <c r="Q47" s="8">
        <v>59</v>
      </c>
      <c r="R47" s="25">
        <f>P47</f>
        <v>1029.6</v>
      </c>
      <c r="S47" s="27"/>
      <c r="T47" s="28"/>
      <c r="U47" s="29"/>
      <c r="V47" s="6">
        <v>1.3</v>
      </c>
      <c r="W47" s="26"/>
      <c r="X47" s="24">
        <v>20.8</v>
      </c>
      <c r="Y47" s="25">
        <f>(U45+(((U62-U45)*(X47-20.200))/T45))</f>
        <v>2059.2</v>
      </c>
      <c r="Z47" s="8">
        <v>84</v>
      </c>
      <c r="AA47" s="25">
        <f>Y47</f>
        <v>2059.2</v>
      </c>
    </row>
    <row r="48" spans="1:27" ht="16.5" customHeight="1">
      <c r="A48" s="27"/>
      <c r="B48" s="28"/>
      <c r="C48" s="29"/>
      <c r="D48" s="6"/>
      <c r="E48" s="30"/>
      <c r="F48" s="31">
        <v>22.1</v>
      </c>
      <c r="G48" s="32">
        <f>(C45+(((C62-C45)*(F48-20.200))/B45))</f>
        <v>2059.2</v>
      </c>
      <c r="H48" s="8"/>
      <c r="I48" s="32">
        <f>G48</f>
        <v>2059.2</v>
      </c>
      <c r="J48" s="27"/>
      <c r="K48" s="28"/>
      <c r="L48" s="29"/>
      <c r="M48" s="6"/>
      <c r="N48" s="30"/>
      <c r="O48" s="31">
        <v>22.1</v>
      </c>
      <c r="P48" s="32">
        <f>(L45+(((L62-L45)*(O48-20.200))/K45))</f>
        <v>1029.6</v>
      </c>
      <c r="Q48" s="8"/>
      <c r="R48" s="32">
        <f>P48</f>
        <v>1029.6</v>
      </c>
      <c r="S48" s="27"/>
      <c r="T48" s="28"/>
      <c r="U48" s="29"/>
      <c r="V48" s="6"/>
      <c r="W48" s="30"/>
      <c r="X48" s="31">
        <v>22.1</v>
      </c>
      <c r="Y48" s="32">
        <f>(U45+(((U62-U45)*(X48-20.200))/T45))</f>
        <v>2059.2</v>
      </c>
      <c r="Z48" s="8"/>
      <c r="AA48" s="32">
        <f>Y48</f>
        <v>2059.2</v>
      </c>
    </row>
    <row r="49" spans="1:27" ht="16.5" customHeight="1">
      <c r="A49" s="27"/>
      <c r="B49" s="28"/>
      <c r="C49" s="29"/>
      <c r="D49" s="6">
        <v>1.3</v>
      </c>
      <c r="E49" s="26"/>
      <c r="F49" s="24">
        <v>22.1</v>
      </c>
      <c r="G49" s="25">
        <f>(C45+(((C62-C45)*(F49-20.200))/B45))</f>
        <v>2059.2</v>
      </c>
      <c r="H49" s="8">
        <v>35</v>
      </c>
      <c r="I49" s="25">
        <f>G49</f>
        <v>2059.2</v>
      </c>
      <c r="J49" s="27"/>
      <c r="K49" s="28"/>
      <c r="L49" s="29"/>
      <c r="M49" s="6">
        <v>1.3</v>
      </c>
      <c r="N49" s="26"/>
      <c r="O49" s="24">
        <v>22.1</v>
      </c>
      <c r="P49" s="25">
        <f>(L45+(((L62-L45)*(O49-20.200))/K45))</f>
        <v>1029.6</v>
      </c>
      <c r="Q49" s="8">
        <v>60</v>
      </c>
      <c r="R49" s="25">
        <f>P49</f>
        <v>1029.6</v>
      </c>
      <c r="S49" s="27"/>
      <c r="T49" s="28"/>
      <c r="U49" s="29"/>
      <c r="V49" s="6">
        <v>1.3</v>
      </c>
      <c r="W49" s="26"/>
      <c r="X49" s="24">
        <v>22.1</v>
      </c>
      <c r="Y49" s="25">
        <f>(U45+(((U62-U45)*(X49-20.200))/T45))</f>
        <v>2059.2</v>
      </c>
      <c r="Z49" s="8">
        <v>85</v>
      </c>
      <c r="AA49" s="25">
        <f>Y49</f>
        <v>2059.2</v>
      </c>
    </row>
    <row r="50" spans="1:27" ht="16.5" customHeight="1">
      <c r="A50" s="27"/>
      <c r="B50" s="28"/>
      <c r="C50" s="29"/>
      <c r="D50" s="6"/>
      <c r="E50" s="30"/>
      <c r="F50" s="31">
        <v>23.4</v>
      </c>
      <c r="G50" s="32">
        <f>(C45+(((C62-C45)*(F50-20.200))/B45))</f>
        <v>2059.2</v>
      </c>
      <c r="H50" s="8"/>
      <c r="I50" s="32">
        <f>G50</f>
        <v>2059.2</v>
      </c>
      <c r="J50" s="27"/>
      <c r="K50" s="28"/>
      <c r="L50" s="29"/>
      <c r="M50" s="6"/>
      <c r="N50" s="30"/>
      <c r="O50" s="31">
        <v>23.4</v>
      </c>
      <c r="P50" s="32">
        <f>(L45+(((L62-L45)*(O50-20.200))/K45))</f>
        <v>1029.6</v>
      </c>
      <c r="Q50" s="8"/>
      <c r="R50" s="32">
        <f>P50</f>
        <v>1029.6</v>
      </c>
      <c r="S50" s="27"/>
      <c r="T50" s="28"/>
      <c r="U50" s="29"/>
      <c r="V50" s="6"/>
      <c r="W50" s="30"/>
      <c r="X50" s="31">
        <v>23.4</v>
      </c>
      <c r="Y50" s="32">
        <f>(U45+(((U62-U45)*(X50-20.200))/T45))</f>
        <v>2059.2</v>
      </c>
      <c r="Z50" s="8"/>
      <c r="AA50" s="32">
        <f>Y50</f>
        <v>2059.2</v>
      </c>
    </row>
    <row r="51" spans="1:27" ht="16.5" customHeight="1">
      <c r="A51" s="27"/>
      <c r="B51" s="28"/>
      <c r="C51" s="29"/>
      <c r="D51" s="6">
        <v>1.3</v>
      </c>
      <c r="E51" s="26"/>
      <c r="F51" s="24">
        <v>23.4</v>
      </c>
      <c r="G51" s="25">
        <f>(C45+(((C62-C45)*(F51-20.200))/B45))</f>
        <v>2059.2</v>
      </c>
      <c r="H51" s="8">
        <v>36</v>
      </c>
      <c r="I51" s="25">
        <f>G51</f>
        <v>2059.2</v>
      </c>
      <c r="J51" s="27"/>
      <c r="K51" s="28"/>
      <c r="L51" s="29"/>
      <c r="M51" s="6">
        <v>1.3</v>
      </c>
      <c r="N51" s="26"/>
      <c r="O51" s="24">
        <v>23.4</v>
      </c>
      <c r="P51" s="25">
        <f>(L45+(((L62-L45)*(O51-20.200))/K45))</f>
        <v>1029.6</v>
      </c>
      <c r="Q51" s="8">
        <v>61</v>
      </c>
      <c r="R51" s="25">
        <f>P51</f>
        <v>1029.6</v>
      </c>
      <c r="S51" s="27"/>
      <c r="T51" s="28"/>
      <c r="U51" s="29"/>
      <c r="V51" s="6">
        <v>1.3</v>
      </c>
      <c r="W51" s="26"/>
      <c r="X51" s="24">
        <v>23.4</v>
      </c>
      <c r="Y51" s="25">
        <f>(U45+(((U62-U45)*(X51-20.200))/T45))</f>
        <v>2059.2</v>
      </c>
      <c r="Z51" s="8">
        <v>86</v>
      </c>
      <c r="AA51" s="25">
        <f>Y51</f>
        <v>2059.2</v>
      </c>
    </row>
    <row r="52" spans="1:27" ht="16.5" customHeight="1">
      <c r="A52" s="27"/>
      <c r="B52" s="28"/>
      <c r="C52" s="29"/>
      <c r="D52" s="6"/>
      <c r="E52" s="30"/>
      <c r="F52" s="31">
        <v>24.7</v>
      </c>
      <c r="G52" s="32">
        <f>(C45+(((C62-C45)*(F52-20.200))/B45))</f>
        <v>2059.2</v>
      </c>
      <c r="H52" s="8"/>
      <c r="I52" s="32">
        <f>G52</f>
        <v>2059.2</v>
      </c>
      <c r="J52" s="27"/>
      <c r="K52" s="28"/>
      <c r="L52" s="29"/>
      <c r="M52" s="6"/>
      <c r="N52" s="30"/>
      <c r="O52" s="31">
        <v>24.7</v>
      </c>
      <c r="P52" s="32">
        <f>(L45+(((L62-L45)*(O52-20.200))/K45))</f>
        <v>1029.6</v>
      </c>
      <c r="Q52" s="8"/>
      <c r="R52" s="32">
        <f>P52</f>
        <v>1029.6</v>
      </c>
      <c r="S52" s="27"/>
      <c r="T52" s="28"/>
      <c r="U52" s="29"/>
      <c r="V52" s="6"/>
      <c r="W52" s="30"/>
      <c r="X52" s="31">
        <v>24.7</v>
      </c>
      <c r="Y52" s="32">
        <f>(U45+(((U62-U45)*(X52-20.200))/T45))</f>
        <v>2059.2</v>
      </c>
      <c r="Z52" s="8"/>
      <c r="AA52" s="32">
        <f>Y52</f>
        <v>2059.2</v>
      </c>
    </row>
    <row r="53" spans="1:27" ht="16.5" customHeight="1">
      <c r="A53" s="27"/>
      <c r="B53" s="28"/>
      <c r="C53" s="29"/>
      <c r="D53" s="6">
        <v>1.3</v>
      </c>
      <c r="E53" s="26"/>
      <c r="F53" s="24">
        <v>24.7</v>
      </c>
      <c r="G53" s="25">
        <f>(C45+(((C62-C45)*(F53-20.200))/B45))</f>
        <v>2059.2</v>
      </c>
      <c r="H53" s="8">
        <v>37</v>
      </c>
      <c r="I53" s="25">
        <f>G53</f>
        <v>2059.2</v>
      </c>
      <c r="J53" s="27"/>
      <c r="K53" s="28"/>
      <c r="L53" s="29"/>
      <c r="M53" s="6">
        <v>1.3</v>
      </c>
      <c r="N53" s="26"/>
      <c r="O53" s="24">
        <v>24.7</v>
      </c>
      <c r="P53" s="25">
        <f>(L45+(((L62-L45)*(O53-20.200))/K45))</f>
        <v>1029.6</v>
      </c>
      <c r="Q53" s="8">
        <v>62</v>
      </c>
      <c r="R53" s="25">
        <f>P53</f>
        <v>1029.6</v>
      </c>
      <c r="S53" s="27"/>
      <c r="T53" s="28"/>
      <c r="U53" s="29"/>
      <c r="V53" s="6">
        <v>1.3</v>
      </c>
      <c r="W53" s="26"/>
      <c r="X53" s="24">
        <v>24.7</v>
      </c>
      <c r="Y53" s="25">
        <f>(U45+(((U62-U45)*(X53-20.200))/T45))</f>
        <v>2059.2</v>
      </c>
      <c r="Z53" s="8">
        <v>87</v>
      </c>
      <c r="AA53" s="25">
        <f>Y53</f>
        <v>2059.2</v>
      </c>
    </row>
    <row r="54" spans="1:27" ht="16.5" customHeight="1">
      <c r="A54" s="27"/>
      <c r="B54" s="28"/>
      <c r="C54" s="29"/>
      <c r="D54" s="6"/>
      <c r="E54" s="30"/>
      <c r="F54" s="31">
        <v>26</v>
      </c>
      <c r="G54" s="32">
        <f>(C45+(((C62-C45)*(F54-20.200))/B45))</f>
        <v>2059.2</v>
      </c>
      <c r="H54" s="8"/>
      <c r="I54" s="32">
        <f>G54</f>
        <v>2059.2</v>
      </c>
      <c r="J54" s="27"/>
      <c r="K54" s="28"/>
      <c r="L54" s="29"/>
      <c r="M54" s="6"/>
      <c r="N54" s="30"/>
      <c r="O54" s="31">
        <v>26</v>
      </c>
      <c r="P54" s="32">
        <f>(L45+(((L62-L45)*(O54-20.200))/K45))</f>
        <v>1029.6</v>
      </c>
      <c r="Q54" s="8"/>
      <c r="R54" s="32">
        <f>P54</f>
        <v>1029.6</v>
      </c>
      <c r="S54" s="27"/>
      <c r="T54" s="28"/>
      <c r="U54" s="29"/>
      <c r="V54" s="6"/>
      <c r="W54" s="30"/>
      <c r="X54" s="31">
        <v>26</v>
      </c>
      <c r="Y54" s="32">
        <f>(U45+(((U62-U45)*(X54-20.200))/T45))</f>
        <v>2059.2</v>
      </c>
      <c r="Z54" s="8"/>
      <c r="AA54" s="32">
        <f>Y54</f>
        <v>2059.2</v>
      </c>
    </row>
    <row r="55" spans="1:27" ht="16.5" customHeight="1">
      <c r="A55" s="27"/>
      <c r="B55" s="28"/>
      <c r="C55" s="29"/>
      <c r="D55" s="6">
        <v>1.3</v>
      </c>
      <c r="E55" s="26"/>
      <c r="F55" s="24">
        <v>26</v>
      </c>
      <c r="G55" s="25">
        <f>(C45+(((C62-C45)*(F55-20.200))/B45))</f>
        <v>2059.2</v>
      </c>
      <c r="H55" s="8">
        <v>38</v>
      </c>
      <c r="I55" s="25">
        <f>G55</f>
        <v>2059.2</v>
      </c>
      <c r="J55" s="27"/>
      <c r="K55" s="28"/>
      <c r="L55" s="29"/>
      <c r="M55" s="6">
        <v>1.3</v>
      </c>
      <c r="N55" s="26"/>
      <c r="O55" s="24">
        <v>26</v>
      </c>
      <c r="P55" s="25">
        <f>(L45+(((L62-L45)*(O55-20.200))/K45))</f>
        <v>1029.6</v>
      </c>
      <c r="Q55" s="8">
        <v>63</v>
      </c>
      <c r="R55" s="25">
        <f>P55</f>
        <v>1029.6</v>
      </c>
      <c r="S55" s="27"/>
      <c r="T55" s="28"/>
      <c r="U55" s="29"/>
      <c r="V55" s="6">
        <v>1.3</v>
      </c>
      <c r="W55" s="26"/>
      <c r="X55" s="24">
        <v>26</v>
      </c>
      <c r="Y55" s="25">
        <f>(U45+(((U62-U45)*(X55-20.200))/T45))</f>
        <v>2059.2</v>
      </c>
      <c r="Z55" s="8">
        <v>88</v>
      </c>
      <c r="AA55" s="25">
        <f>Y55</f>
        <v>2059.2</v>
      </c>
    </row>
    <row r="56" spans="1:27" ht="16.5" customHeight="1">
      <c r="A56" s="27"/>
      <c r="B56" s="28"/>
      <c r="C56" s="29"/>
      <c r="D56" s="6"/>
      <c r="E56" s="30"/>
      <c r="F56" s="31">
        <v>27.3</v>
      </c>
      <c r="G56" s="32">
        <f>(C45+(((C62-C45)*(F56-20.200))/B45))</f>
        <v>2059.2</v>
      </c>
      <c r="H56" s="8"/>
      <c r="I56" s="32">
        <f>G56</f>
        <v>2059.2</v>
      </c>
      <c r="J56" s="27"/>
      <c r="K56" s="28"/>
      <c r="L56" s="29"/>
      <c r="M56" s="6"/>
      <c r="N56" s="30"/>
      <c r="O56" s="31">
        <v>27.3</v>
      </c>
      <c r="P56" s="32">
        <f>(L45+(((L62-L45)*(O56-20.200))/K45))</f>
        <v>1029.6</v>
      </c>
      <c r="Q56" s="8"/>
      <c r="R56" s="32">
        <f>P56</f>
        <v>1029.6</v>
      </c>
      <c r="S56" s="27"/>
      <c r="T56" s="28"/>
      <c r="U56" s="29"/>
      <c r="V56" s="6"/>
      <c r="W56" s="30"/>
      <c r="X56" s="31">
        <v>27.3</v>
      </c>
      <c r="Y56" s="32">
        <f>(U45+(((U62-U45)*(X56-20.200))/T45))</f>
        <v>2059.2</v>
      </c>
      <c r="Z56" s="8"/>
      <c r="AA56" s="32">
        <f>Y56</f>
        <v>2059.2</v>
      </c>
    </row>
    <row r="57" spans="1:27" ht="16.5" customHeight="1">
      <c r="A57" s="27"/>
      <c r="B57" s="28"/>
      <c r="C57" s="29"/>
      <c r="D57" s="6">
        <v>1.3</v>
      </c>
      <c r="E57" s="26"/>
      <c r="F57" s="24">
        <v>27.3</v>
      </c>
      <c r="G57" s="25">
        <f>(C45+(((C62-C45)*(F57-20.200))/B45))</f>
        <v>2059.2</v>
      </c>
      <c r="H57" s="8">
        <v>39</v>
      </c>
      <c r="I57" s="25">
        <f>G57</f>
        <v>2059.2</v>
      </c>
      <c r="J57" s="27"/>
      <c r="K57" s="28"/>
      <c r="L57" s="29"/>
      <c r="M57" s="6">
        <v>1.3</v>
      </c>
      <c r="N57" s="26"/>
      <c r="O57" s="24">
        <v>27.3</v>
      </c>
      <c r="P57" s="25">
        <f>(L45+(((L62-L45)*(O57-20.200))/K45))</f>
        <v>1029.6</v>
      </c>
      <c r="Q57" s="8">
        <v>64</v>
      </c>
      <c r="R57" s="25">
        <f>P57</f>
        <v>1029.6</v>
      </c>
      <c r="S57" s="27"/>
      <c r="T57" s="28"/>
      <c r="U57" s="29"/>
      <c r="V57" s="6">
        <v>1.3</v>
      </c>
      <c r="W57" s="26"/>
      <c r="X57" s="24">
        <v>27.3</v>
      </c>
      <c r="Y57" s="25">
        <f>(U45+(((U62-U45)*(X57-20.200))/T45))</f>
        <v>2059.2</v>
      </c>
      <c r="Z57" s="8">
        <v>89</v>
      </c>
      <c r="AA57" s="25">
        <f>Y57</f>
        <v>2059.2</v>
      </c>
    </row>
    <row r="58" spans="1:27" ht="16.5" customHeight="1">
      <c r="A58" s="27"/>
      <c r="B58" s="28"/>
      <c r="C58" s="29"/>
      <c r="D58" s="6"/>
      <c r="E58" s="30"/>
      <c r="F58" s="31">
        <v>28.6</v>
      </c>
      <c r="G58" s="32">
        <f>(C45+(((C62-C45)*(F58-20.200))/B45))</f>
        <v>2059.2</v>
      </c>
      <c r="H58" s="8"/>
      <c r="I58" s="32">
        <f>G58</f>
        <v>2059.2</v>
      </c>
      <c r="J58" s="27"/>
      <c r="K58" s="28"/>
      <c r="L58" s="29"/>
      <c r="M58" s="6"/>
      <c r="N58" s="30"/>
      <c r="O58" s="31">
        <v>28.6</v>
      </c>
      <c r="P58" s="32">
        <f>(L45+(((L62-L45)*(O58-20.200))/K45))</f>
        <v>1029.6</v>
      </c>
      <c r="Q58" s="8"/>
      <c r="R58" s="32">
        <f>P58</f>
        <v>1029.6</v>
      </c>
      <c r="S58" s="27"/>
      <c r="T58" s="28"/>
      <c r="U58" s="29"/>
      <c r="V58" s="6"/>
      <c r="W58" s="30"/>
      <c r="X58" s="31">
        <v>28.6</v>
      </c>
      <c r="Y58" s="32">
        <f>(U45+(((U62-U45)*(X58-20.200))/T45))</f>
        <v>2059.2</v>
      </c>
      <c r="Z58" s="8"/>
      <c r="AA58" s="32">
        <f>Y58</f>
        <v>2059.2</v>
      </c>
    </row>
    <row r="59" spans="1:27" ht="16.5" customHeight="1">
      <c r="A59" s="27"/>
      <c r="B59" s="28"/>
      <c r="C59" s="29"/>
      <c r="D59" s="6">
        <v>1.3</v>
      </c>
      <c r="E59" s="26"/>
      <c r="F59" s="24">
        <v>28.6</v>
      </c>
      <c r="G59" s="25">
        <f>(C45+(((C62-C45)*(F59-20.200))/B45))</f>
        <v>2059.2</v>
      </c>
      <c r="H59" s="8">
        <v>40</v>
      </c>
      <c r="I59" s="25">
        <f>G59</f>
        <v>2059.2</v>
      </c>
      <c r="J59" s="27"/>
      <c r="K59" s="28"/>
      <c r="L59" s="29"/>
      <c r="M59" s="6">
        <v>1.3</v>
      </c>
      <c r="N59" s="26"/>
      <c r="O59" s="24">
        <v>28.6</v>
      </c>
      <c r="P59" s="25">
        <f>(L45+(((L62-L45)*(O59-20.200))/K45))</f>
        <v>1029.6</v>
      </c>
      <c r="Q59" s="8">
        <v>65</v>
      </c>
      <c r="R59" s="25">
        <f>P59</f>
        <v>1029.6</v>
      </c>
      <c r="S59" s="27"/>
      <c r="T59" s="28"/>
      <c r="U59" s="29"/>
      <c r="V59" s="6">
        <v>1.3</v>
      </c>
      <c r="W59" s="26"/>
      <c r="X59" s="24">
        <v>28.6</v>
      </c>
      <c r="Y59" s="25">
        <f>(U45+(((U62-U45)*(X59-20.200))/T45))</f>
        <v>2059.2</v>
      </c>
      <c r="Z59" s="8">
        <v>90</v>
      </c>
      <c r="AA59" s="25">
        <f>Y59</f>
        <v>2059.2</v>
      </c>
    </row>
    <row r="60" spans="1:27" ht="16.5" customHeight="1">
      <c r="A60" s="27"/>
      <c r="B60" s="28"/>
      <c r="C60" s="29"/>
      <c r="D60" s="6"/>
      <c r="E60" s="30"/>
      <c r="F60" s="31">
        <v>29.9</v>
      </c>
      <c r="G60" s="32">
        <f>(C45+(((C62-C45)*(F60-20.200))/B45))</f>
        <v>2059.2</v>
      </c>
      <c r="H60" s="8"/>
      <c r="I60" s="32">
        <f>G60</f>
        <v>2059.2</v>
      </c>
      <c r="J60" s="27"/>
      <c r="K60" s="28"/>
      <c r="L60" s="29"/>
      <c r="M60" s="6"/>
      <c r="N60" s="30"/>
      <c r="O60" s="31">
        <v>29.9</v>
      </c>
      <c r="P60" s="32">
        <f>(L45+(((L62-L45)*(O60-20.200))/K45))</f>
        <v>1029.6</v>
      </c>
      <c r="Q60" s="8"/>
      <c r="R60" s="32">
        <f>P60</f>
        <v>1029.6</v>
      </c>
      <c r="S60" s="27"/>
      <c r="T60" s="28"/>
      <c r="U60" s="29"/>
      <c r="V60" s="6"/>
      <c r="W60" s="30"/>
      <c r="X60" s="31">
        <v>29.9</v>
      </c>
      <c r="Y60" s="32">
        <f>(U45+(((U62-U45)*(X60-20.200))/T45))</f>
        <v>2059.2</v>
      </c>
      <c r="Z60" s="8"/>
      <c r="AA60" s="32">
        <f>Y60</f>
        <v>2059.2</v>
      </c>
    </row>
    <row r="61" spans="1:27" ht="16.5" customHeight="1">
      <c r="A61" s="27"/>
      <c r="B61" s="28"/>
      <c r="C61" s="29"/>
      <c r="D61" s="6">
        <v>1.1</v>
      </c>
      <c r="E61" s="26"/>
      <c r="F61" s="24">
        <v>29.9</v>
      </c>
      <c r="G61" s="25">
        <f>(C45+(((C62-C45)*(F61-20.200))/B45))</f>
        <v>2059.2</v>
      </c>
      <c r="H61" s="8">
        <v>41</v>
      </c>
      <c r="I61" s="25">
        <f>G61</f>
        <v>2059.2</v>
      </c>
      <c r="J61" s="27"/>
      <c r="K61" s="28"/>
      <c r="L61" s="29"/>
      <c r="M61" s="6">
        <v>1.1</v>
      </c>
      <c r="N61" s="26"/>
      <c r="O61" s="24">
        <v>29.9</v>
      </c>
      <c r="P61" s="25">
        <f>(L45+(((L62-L45)*(O61-20.200))/K45))</f>
        <v>1029.6</v>
      </c>
      <c r="Q61" s="8">
        <v>66</v>
      </c>
      <c r="R61" s="25">
        <f>P61</f>
        <v>1029.6</v>
      </c>
      <c r="S61" s="27"/>
      <c r="T61" s="28"/>
      <c r="U61" s="29"/>
      <c r="V61" s="6">
        <v>1.1</v>
      </c>
      <c r="W61" s="26"/>
      <c r="X61" s="24">
        <v>29.9</v>
      </c>
      <c r="Y61" s="25">
        <f>(U45+(((U62-U45)*(X61-20.200))/T45))</f>
        <v>2059.2</v>
      </c>
      <c r="Z61" s="8">
        <v>91</v>
      </c>
      <c r="AA61" s="25">
        <f>Y61</f>
        <v>2059.2</v>
      </c>
    </row>
    <row r="62" spans="1:27" ht="16.5" customHeight="1">
      <c r="A62" s="33"/>
      <c r="B62" s="34"/>
      <c r="C62" s="32">
        <v>2059.2</v>
      </c>
      <c r="D62" s="6"/>
      <c r="E62" s="30"/>
      <c r="F62" s="31">
        <v>31</v>
      </c>
      <c r="G62" s="32">
        <f>(C45+(((C62-C45)*(F62-20.200))/B45))</f>
        <v>2059.2</v>
      </c>
      <c r="H62" s="8"/>
      <c r="I62" s="32">
        <f>G62</f>
        <v>2059.2</v>
      </c>
      <c r="J62" s="33"/>
      <c r="K62" s="34"/>
      <c r="L62" s="32">
        <v>1029.6</v>
      </c>
      <c r="M62" s="6"/>
      <c r="N62" s="30"/>
      <c r="O62" s="31">
        <v>31</v>
      </c>
      <c r="P62" s="32">
        <f>(L45+(((L62-L45)*(O62-20.200))/K45))</f>
        <v>1029.6</v>
      </c>
      <c r="Q62" s="8"/>
      <c r="R62" s="32">
        <f>P62</f>
        <v>1029.6</v>
      </c>
      <c r="S62" s="33"/>
      <c r="T62" s="34"/>
      <c r="U62" s="32">
        <v>2059.2</v>
      </c>
      <c r="V62" s="6"/>
      <c r="W62" s="30"/>
      <c r="X62" s="31">
        <v>31</v>
      </c>
      <c r="Y62" s="32">
        <f>(U45+(((U62-U45)*(X62-20.200))/T45))</f>
        <v>2059.2</v>
      </c>
      <c r="Z62" s="8"/>
      <c r="AA62" s="32">
        <f>Y62</f>
        <v>2059.2</v>
      </c>
    </row>
    <row r="63" spans="1:27" ht="16.5" customHeight="1">
      <c r="A63" s="22" t="s">
        <v>8</v>
      </c>
      <c r="B63" s="19">
        <f>SUM(B3,B9,B13,B19,B25,B29,B45)</f>
        <v>31.0</v>
      </c>
      <c r="C63" s="22"/>
      <c r="D63" s="6">
        <f>SUM(D3,D5,D7,D11,D15,D17,D21,D23,D27,D31,D33,D35,D37,D39,D41,D43,D47,D49,D51,D53,D55,D57,D59,D61)</f>
        <v>31.0</v>
      </c>
      <c r="E63" s="35"/>
      <c r="F63" s="22"/>
      <c r="G63" s="22"/>
      <c r="H63" s="22"/>
      <c r="I63" s="22"/>
      <c r="J63" s="22" t="s">
        <v>8</v>
      </c>
      <c r="K63" s="19">
        <f>SUM(K3,K9,K13,K19,K25,K29,K45)</f>
        <v>31.0</v>
      </c>
      <c r="L63" s="22"/>
      <c r="M63" s="6">
        <f>SUM(M3,M5,M7,M11,M15,M17,M21,M23,M27,M31,M33,M35,M37,M39,M41,M43,M47,M49,M51,M53,M55,M57,M59,M61)</f>
        <v>31.0</v>
      </c>
      <c r="N63" s="35"/>
      <c r="O63" s="22"/>
      <c r="P63" s="22"/>
      <c r="Q63" s="22"/>
      <c r="R63" s="22"/>
      <c r="S63" s="22" t="s">
        <v>8</v>
      </c>
      <c r="T63" s="19">
        <f>SUM(T3,T9,T13,T19,T25,T29,T45)</f>
        <v>31.0</v>
      </c>
      <c r="U63" s="22"/>
      <c r="V63" s="6">
        <f>SUM(V3,V5,V7,V11,V15,V17,V21,V23,V27,V31,V33,V35,V37,V39,V41,V43,V47,V49,V51,V53,V55,V57,V59,V61)</f>
        <v>31.0</v>
      </c>
      <c r="W63" s="35"/>
      <c r="X63" s="22"/>
      <c r="Y63" s="22"/>
      <c r="Z63" s="22"/>
      <c r="AA63" s="22"/>
    </row>
    <row r="64" spans="1:2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</sheetData>
  <mergeCells count="183">
    <mergeCell ref="D2:E2"/>
    <mergeCell ref="M2:N2"/>
    <mergeCell ref="V2:W2"/>
    <mergeCell ref="D3:D4"/>
    <mergeCell ref="H3:H4"/>
    <mergeCell ref="M3:M4"/>
    <mergeCell ref="Q3:Q4"/>
    <mergeCell ref="V3:V4"/>
    <mergeCell ref="Z3:Z4"/>
    <mergeCell ref="D5:D6"/>
    <mergeCell ref="H5:H6"/>
    <mergeCell ref="M5:M6"/>
    <mergeCell ref="Q5:Q6"/>
    <mergeCell ref="V5:V6"/>
    <mergeCell ref="Z5:Z6"/>
    <mergeCell ref="D7:D10"/>
    <mergeCell ref="E7:E8"/>
    <mergeCell ref="H7:H10"/>
    <mergeCell ref="M7:M10"/>
    <mergeCell ref="N7:N8"/>
    <mergeCell ref="Q7:Q10"/>
    <mergeCell ref="V7:V10"/>
    <mergeCell ref="W7:W8"/>
    <mergeCell ref="Z7:Z10"/>
    <mergeCell ref="E9:E10"/>
    <mergeCell ref="N9:N10"/>
    <mergeCell ref="W9:W10"/>
    <mergeCell ref="D11:D14"/>
    <mergeCell ref="E11:E12"/>
    <mergeCell ref="H11:H14"/>
    <mergeCell ref="M11:M14"/>
    <mergeCell ref="N11:N12"/>
    <mergeCell ref="Q11:Q14"/>
    <mergeCell ref="V11:V14"/>
    <mergeCell ref="W11:W12"/>
    <mergeCell ref="Z11:Z14"/>
    <mergeCell ref="E13:E14"/>
    <mergeCell ref="N13:N14"/>
    <mergeCell ref="W13:W14"/>
    <mergeCell ref="D15:D16"/>
    <mergeCell ref="H15:H16"/>
    <mergeCell ref="M15:M16"/>
    <mergeCell ref="Q15:Q16"/>
    <mergeCell ref="V15:V16"/>
    <mergeCell ref="Z15:Z16"/>
    <mergeCell ref="D17:D20"/>
    <mergeCell ref="E17:E18"/>
    <mergeCell ref="H17:H20"/>
    <mergeCell ref="M17:M20"/>
    <mergeCell ref="N17:N18"/>
    <mergeCell ref="Q17:Q20"/>
    <mergeCell ref="V17:V20"/>
    <mergeCell ref="W17:W18"/>
    <mergeCell ref="Z17:Z20"/>
    <mergeCell ref="E19:E20"/>
    <mergeCell ref="N19:N20"/>
    <mergeCell ref="W19:W20"/>
    <mergeCell ref="D21:D22"/>
    <mergeCell ref="H21:H22"/>
    <mergeCell ref="M21:M22"/>
    <mergeCell ref="Q21:Q22"/>
    <mergeCell ref="V21:V22"/>
    <mergeCell ref="Z21:Z22"/>
    <mergeCell ref="D23:D26"/>
    <mergeCell ref="E23:E24"/>
    <mergeCell ref="H23:H26"/>
    <mergeCell ref="M23:M26"/>
    <mergeCell ref="N23:N24"/>
    <mergeCell ref="Q23:Q26"/>
    <mergeCell ref="V23:V26"/>
    <mergeCell ref="W23:W24"/>
    <mergeCell ref="Z23:Z26"/>
    <mergeCell ref="E25:E26"/>
    <mergeCell ref="N25:N26"/>
    <mergeCell ref="W25:W26"/>
    <mergeCell ref="D27:D30"/>
    <mergeCell ref="E27:E28"/>
    <mergeCell ref="H27:H30"/>
    <mergeCell ref="M27:M30"/>
    <mergeCell ref="N27:N28"/>
    <mergeCell ref="Q27:Q30"/>
    <mergeCell ref="V27:V30"/>
    <mergeCell ref="W27:W28"/>
    <mergeCell ref="Z27:Z30"/>
    <mergeCell ref="E29:E30"/>
    <mergeCell ref="N29:N30"/>
    <mergeCell ref="W29:W30"/>
    <mergeCell ref="D31:D32"/>
    <mergeCell ref="H31:H32"/>
    <mergeCell ref="M31:M32"/>
    <mergeCell ref="Q31:Q32"/>
    <mergeCell ref="V31:V32"/>
    <mergeCell ref="Z31:Z32"/>
    <mergeCell ref="D33:D34"/>
    <mergeCell ref="H33:H34"/>
    <mergeCell ref="M33:M34"/>
    <mergeCell ref="Q33:Q34"/>
    <mergeCell ref="V33:V34"/>
    <mergeCell ref="Z33:Z34"/>
    <mergeCell ref="D35:D36"/>
    <mergeCell ref="H35:H36"/>
    <mergeCell ref="M35:M36"/>
    <mergeCell ref="Q35:Q36"/>
    <mergeCell ref="V35:V36"/>
    <mergeCell ref="Z35:Z36"/>
    <mergeCell ref="D37:D38"/>
    <mergeCell ref="H37:H38"/>
    <mergeCell ref="M37:M38"/>
    <mergeCell ref="Q37:Q38"/>
    <mergeCell ref="V37:V38"/>
    <mergeCell ref="Z37:Z38"/>
    <mergeCell ref="D39:D40"/>
    <mergeCell ref="H39:H40"/>
    <mergeCell ref="M39:M40"/>
    <mergeCell ref="Q39:Q40"/>
    <mergeCell ref="V39:V40"/>
    <mergeCell ref="Z39:Z40"/>
    <mergeCell ref="D41:D42"/>
    <mergeCell ref="H41:H42"/>
    <mergeCell ref="M41:M42"/>
    <mergeCell ref="Q41:Q42"/>
    <mergeCell ref="V41:V42"/>
    <mergeCell ref="Z41:Z42"/>
    <mergeCell ref="D43:D46"/>
    <mergeCell ref="E43:E44"/>
    <mergeCell ref="H43:H46"/>
    <mergeCell ref="M43:M46"/>
    <mergeCell ref="N43:N44"/>
    <mergeCell ref="Q43:Q46"/>
    <mergeCell ref="V43:V46"/>
    <mergeCell ref="W43:W44"/>
    <mergeCell ref="Z43:Z46"/>
    <mergeCell ref="E45:E46"/>
    <mergeCell ref="N45:N46"/>
    <mergeCell ref="W45:W46"/>
    <mergeCell ref="D47:D48"/>
    <mergeCell ref="H47:H48"/>
    <mergeCell ref="M47:M48"/>
    <mergeCell ref="Q47:Q48"/>
    <mergeCell ref="V47:V48"/>
    <mergeCell ref="Z47:Z48"/>
    <mergeCell ref="D49:D50"/>
    <mergeCell ref="H49:H50"/>
    <mergeCell ref="M49:M50"/>
    <mergeCell ref="Q49:Q50"/>
    <mergeCell ref="V49:V50"/>
    <mergeCell ref="Z49:Z50"/>
    <mergeCell ref="D51:D52"/>
    <mergeCell ref="H51:H52"/>
    <mergeCell ref="M51:M52"/>
    <mergeCell ref="Q51:Q52"/>
    <mergeCell ref="V51:V52"/>
    <mergeCell ref="Z51:Z52"/>
    <mergeCell ref="D53:D54"/>
    <mergeCell ref="H53:H54"/>
    <mergeCell ref="M53:M54"/>
    <mergeCell ref="Q53:Q54"/>
    <mergeCell ref="V53:V54"/>
    <mergeCell ref="Z53:Z54"/>
    <mergeCell ref="D55:D56"/>
    <mergeCell ref="H55:H56"/>
    <mergeCell ref="M55:M56"/>
    <mergeCell ref="Q55:Q56"/>
    <mergeCell ref="V55:V56"/>
    <mergeCell ref="Z55:Z56"/>
    <mergeCell ref="D57:D58"/>
    <mergeCell ref="H57:H58"/>
    <mergeCell ref="M57:M58"/>
    <mergeCell ref="Q57:Q58"/>
    <mergeCell ref="V57:V58"/>
    <mergeCell ref="Z57:Z58"/>
    <mergeCell ref="D59:D60"/>
    <mergeCell ref="H59:H60"/>
    <mergeCell ref="M59:M60"/>
    <mergeCell ref="Q59:Q60"/>
    <mergeCell ref="V59:V60"/>
    <mergeCell ref="Z59:Z60"/>
    <mergeCell ref="D61:D62"/>
    <mergeCell ref="H61:H62"/>
    <mergeCell ref="M61:M62"/>
    <mergeCell ref="Q61:Q62"/>
    <mergeCell ref="V61:V62"/>
    <mergeCell ref="Z61:Z62"/>
  </mergeCells>
  <pageMargins left="0.7086614173228347" right="0.7086614173228347" top="0.7480314960629921" bottom="0.7480314960629921" header="0.3" footer="0.3"/>
  <pageSetup paperSize="9" orientation="portrait"/>
  <headerFooter>
    <oddFooter>&amp;L有効抵抗土圧&amp;R&amp;P / &amp;N</oddFooter>
  </headerFooter>
  <rowBreaks count="1" manualBreakCount="1">
    <brk id="42" max="16383" man="1"/>
  </rowBreaks>
  <colBreaks count="2" manualBreakCount="2">
    <brk id="9" max="1048575" man="1"/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36" t="s">
        <v>14</v>
      </c>
      <c r="B1" s="36" t="s">
        <v>1</v>
      </c>
      <c r="C1" s="2"/>
      <c r="D1" s="2"/>
      <c r="E1" s="2"/>
      <c r="F1" s="2"/>
      <c r="G1" s="2"/>
      <c r="H1" s="36" t="s">
        <v>14</v>
      </c>
      <c r="I1" s="36" t="s">
        <v>1</v>
      </c>
      <c r="J1" s="2"/>
      <c r="K1" s="2"/>
      <c r="L1" s="2"/>
      <c r="M1" s="2"/>
      <c r="N1" s="2"/>
      <c r="O1" s="36" t="s">
        <v>14</v>
      </c>
      <c r="P1" s="36" t="s">
        <v>1</v>
      </c>
      <c r="Q1" s="2"/>
      <c r="R1" s="2"/>
      <c r="S1" s="2"/>
      <c r="T1" s="2"/>
      <c r="U1" s="2"/>
    </row>
    <row r="2" spans="1:21" ht="48.75" customHeight="1">
      <c r="A2" s="8" t="s">
        <v>2</v>
      </c>
      <c r="B2" s="8" t="s">
        <v>3</v>
      </c>
      <c r="C2" s="8" t="s">
        <v>15</v>
      </c>
      <c r="D2" s="8" t="s">
        <v>16</v>
      </c>
      <c r="E2" s="8"/>
      <c r="F2" s="8" t="s">
        <v>17</v>
      </c>
      <c r="G2" s="8" t="s">
        <v>18</v>
      </c>
      <c r="H2" s="8" t="s">
        <v>2</v>
      </c>
      <c r="I2" s="8" t="s">
        <v>3</v>
      </c>
      <c r="J2" s="8" t="s">
        <v>15</v>
      </c>
      <c r="K2" s="8" t="s">
        <v>16</v>
      </c>
      <c r="L2" s="8"/>
      <c r="M2" s="8" t="s">
        <v>17</v>
      </c>
      <c r="N2" s="8" t="s">
        <v>18</v>
      </c>
      <c r="O2" s="8" t="s">
        <v>2</v>
      </c>
      <c r="P2" s="8" t="s">
        <v>3</v>
      </c>
      <c r="Q2" s="8" t="s">
        <v>15</v>
      </c>
      <c r="R2" s="8" t="s">
        <v>16</v>
      </c>
      <c r="S2" s="8"/>
      <c r="T2" s="8" t="s">
        <v>17</v>
      </c>
      <c r="U2" s="8" t="s">
        <v>18</v>
      </c>
    </row>
    <row r="3" spans="1:21" ht="18" customHeight="1">
      <c r="A3" s="13">
        <v>1</v>
      </c>
      <c r="B3" s="5">
        <v>3.3</v>
      </c>
      <c r="C3" s="4">
        <v>0</v>
      </c>
      <c r="D3" s="6">
        <v>0.65</v>
      </c>
      <c r="E3" s="7"/>
      <c r="F3" s="8">
        <v>17</v>
      </c>
      <c r="G3" s="3">
        <f>(C3*D3)</f>
        <v>0.0</v>
      </c>
      <c r="H3" s="13">
        <v>1</v>
      </c>
      <c r="I3" s="5">
        <v>3.3</v>
      </c>
      <c r="J3" s="4">
        <v>0</v>
      </c>
      <c r="K3" s="6">
        <v>0.65</v>
      </c>
      <c r="L3" s="7"/>
      <c r="M3" s="8">
        <v>42</v>
      </c>
      <c r="N3" s="3">
        <f>(J3*K3)</f>
        <v>0.0</v>
      </c>
      <c r="O3" s="13">
        <v>1</v>
      </c>
      <c r="P3" s="5">
        <v>3.3</v>
      </c>
      <c r="Q3" s="4">
        <v>0</v>
      </c>
      <c r="R3" s="6">
        <v>0.65</v>
      </c>
      <c r="S3" s="7"/>
      <c r="T3" s="8">
        <v>67</v>
      </c>
      <c r="U3" s="3">
        <f>(Q3*R3)</f>
        <v>0.0</v>
      </c>
    </row>
    <row r="4" spans="1:21" ht="18" customHeight="1">
      <c r="A4" s="37"/>
      <c r="B4" s="10"/>
      <c r="C4" s="9"/>
      <c r="D4" s="6">
        <v>1.3</v>
      </c>
      <c r="E4" s="7"/>
      <c r="F4" s="8">
        <v>18</v>
      </c>
      <c r="G4" s="3">
        <f>(C3*D4)</f>
        <v>0.0</v>
      </c>
      <c r="H4" s="37"/>
      <c r="I4" s="10"/>
      <c r="J4" s="9"/>
      <c r="K4" s="6">
        <v>1.3</v>
      </c>
      <c r="L4" s="7"/>
      <c r="M4" s="8">
        <v>43</v>
      </c>
      <c r="N4" s="3">
        <f>(J3*K4)</f>
        <v>0.0</v>
      </c>
      <c r="O4" s="37"/>
      <c r="P4" s="10"/>
      <c r="Q4" s="9"/>
      <c r="R4" s="6">
        <v>1.3</v>
      </c>
      <c r="S4" s="7"/>
      <c r="T4" s="8">
        <v>68</v>
      </c>
      <c r="U4" s="3">
        <f>(Q3*R4)</f>
        <v>0.0</v>
      </c>
    </row>
    <row r="5" spans="1:21" ht="18" customHeight="1">
      <c r="A5" s="37"/>
      <c r="B5" s="10"/>
      <c r="C5" s="9"/>
      <c r="D5" s="6">
        <v>1.3</v>
      </c>
      <c r="E5" s="7"/>
      <c r="F5" s="8">
        <v>19</v>
      </c>
      <c r="G5" s="3">
        <f>(C3*D5)</f>
        <v>0.0</v>
      </c>
      <c r="H5" s="37"/>
      <c r="I5" s="10"/>
      <c r="J5" s="9"/>
      <c r="K5" s="6">
        <v>1.3</v>
      </c>
      <c r="L5" s="7"/>
      <c r="M5" s="8">
        <v>44</v>
      </c>
      <c r="N5" s="3">
        <f>(J3*K5)</f>
        <v>0.0</v>
      </c>
      <c r="O5" s="37"/>
      <c r="P5" s="10"/>
      <c r="Q5" s="9"/>
      <c r="R5" s="6">
        <v>1.3</v>
      </c>
      <c r="S5" s="7"/>
      <c r="T5" s="8">
        <v>69</v>
      </c>
      <c r="U5" s="3">
        <f>(Q3*R5)</f>
        <v>0.0</v>
      </c>
    </row>
    <row r="6" spans="1:21" ht="18" customHeight="1">
      <c r="A6" s="37"/>
      <c r="B6" s="10"/>
      <c r="C6" s="9"/>
      <c r="D6" s="11">
        <v>1.3</v>
      </c>
      <c r="E6" s="12">
        <v>0.05</v>
      </c>
      <c r="F6" s="13">
        <v>20</v>
      </c>
      <c r="G6" s="4">
        <f>SUM((C3*E6),(C7*E7))</f>
        <v>0.0</v>
      </c>
      <c r="H6" s="37"/>
      <c r="I6" s="10"/>
      <c r="J6" s="9"/>
      <c r="K6" s="11">
        <v>1.3</v>
      </c>
      <c r="L6" s="12">
        <v>0.05</v>
      </c>
      <c r="M6" s="13">
        <v>45</v>
      </c>
      <c r="N6" s="4">
        <f>SUM((J3*L6),(J7*L7))</f>
        <v>0.0</v>
      </c>
      <c r="O6" s="37"/>
      <c r="P6" s="10"/>
      <c r="Q6" s="9"/>
      <c r="R6" s="11">
        <v>1.3</v>
      </c>
      <c r="S6" s="12">
        <v>0.05</v>
      </c>
      <c r="T6" s="13">
        <v>70</v>
      </c>
      <c r="U6" s="4">
        <f>SUM((Q3*S6),(Q7*S7))</f>
        <v>0.0</v>
      </c>
    </row>
    <row r="7" spans="1:21" ht="18" customHeight="1">
      <c r="A7" s="13">
        <v>2</v>
      </c>
      <c r="B7" s="5">
        <v>1.3</v>
      </c>
      <c r="C7" s="4">
        <v>0</v>
      </c>
      <c r="D7" s="14"/>
      <c r="E7" s="15">
        <v>1.25</v>
      </c>
      <c r="F7" s="16"/>
      <c r="G7" s="17"/>
      <c r="H7" s="13">
        <v>2</v>
      </c>
      <c r="I7" s="5">
        <v>1.3</v>
      </c>
      <c r="J7" s="4">
        <v>0</v>
      </c>
      <c r="K7" s="14"/>
      <c r="L7" s="15">
        <v>1.25</v>
      </c>
      <c r="M7" s="16"/>
      <c r="N7" s="17"/>
      <c r="O7" s="13">
        <v>2</v>
      </c>
      <c r="P7" s="5">
        <v>1.3</v>
      </c>
      <c r="Q7" s="4">
        <v>0</v>
      </c>
      <c r="R7" s="14"/>
      <c r="S7" s="15">
        <v>1.25</v>
      </c>
      <c r="T7" s="16"/>
      <c r="U7" s="17"/>
    </row>
    <row r="8" spans="1:21" ht="18" customHeight="1">
      <c r="A8" s="37"/>
      <c r="B8" s="10"/>
      <c r="C8" s="9"/>
      <c r="D8" s="11">
        <v>1.3</v>
      </c>
      <c r="E8" s="12">
        <v>0.05</v>
      </c>
      <c r="F8" s="13">
        <v>21</v>
      </c>
      <c r="G8" s="4">
        <f>SUM((C7*E8),(C9*E9),(C10*E10))</f>
        <v>29490.209</v>
      </c>
      <c r="H8" s="37"/>
      <c r="I8" s="10"/>
      <c r="J8" s="9"/>
      <c r="K8" s="11">
        <v>1.3</v>
      </c>
      <c r="L8" s="12">
        <v>0.05</v>
      </c>
      <c r="M8" s="13">
        <v>46</v>
      </c>
      <c r="N8" s="4">
        <f>SUM((J7*L8),(J9*L9),(J10*L10))</f>
        <v>14745.583999999999</v>
      </c>
      <c r="O8" s="37"/>
      <c r="P8" s="10"/>
      <c r="Q8" s="9"/>
      <c r="R8" s="11">
        <v>1.3</v>
      </c>
      <c r="S8" s="12">
        <v>0.05</v>
      </c>
      <c r="T8" s="13">
        <v>71</v>
      </c>
      <c r="U8" s="4">
        <f>SUM((Q7*S8),(Q9*S9),(Q10*S10))</f>
        <v>29490.209</v>
      </c>
    </row>
    <row r="9" spans="1:21" ht="18" customHeight="1">
      <c r="A9" s="13">
        <v>3</v>
      </c>
      <c r="B9" s="5">
        <v>0.291</v>
      </c>
      <c r="C9" s="4">
        <v>0</v>
      </c>
      <c r="D9" s="38"/>
      <c r="E9" s="39">
        <v>0.291</v>
      </c>
      <c r="F9" s="37"/>
      <c r="G9" s="9"/>
      <c r="H9" s="13">
        <v>3</v>
      </c>
      <c r="I9" s="5">
        <v>0.291</v>
      </c>
      <c r="J9" s="4">
        <v>0</v>
      </c>
      <c r="K9" s="38"/>
      <c r="L9" s="39">
        <v>0.291</v>
      </c>
      <c r="M9" s="37"/>
      <c r="N9" s="9"/>
      <c r="O9" s="13">
        <v>3</v>
      </c>
      <c r="P9" s="5">
        <v>0.291</v>
      </c>
      <c r="Q9" s="4">
        <v>0</v>
      </c>
      <c r="R9" s="38"/>
      <c r="S9" s="39">
        <v>0.291</v>
      </c>
      <c r="T9" s="37"/>
      <c r="U9" s="9"/>
    </row>
    <row r="10" spans="1:21" ht="18" customHeight="1">
      <c r="A10" s="37"/>
      <c r="B10" s="5">
        <v>2.609</v>
      </c>
      <c r="C10" s="4">
        <v>30751</v>
      </c>
      <c r="D10" s="14"/>
      <c r="E10" s="15">
        <v>0.959</v>
      </c>
      <c r="F10" s="16"/>
      <c r="G10" s="17"/>
      <c r="H10" s="37"/>
      <c r="I10" s="5">
        <v>2.609</v>
      </c>
      <c r="J10" s="4">
        <v>15376</v>
      </c>
      <c r="K10" s="14"/>
      <c r="L10" s="15">
        <v>0.959</v>
      </c>
      <c r="M10" s="16"/>
      <c r="N10" s="17"/>
      <c r="O10" s="37"/>
      <c r="P10" s="5">
        <v>2.609</v>
      </c>
      <c r="Q10" s="4">
        <f>C10</f>
        <v>30751.0</v>
      </c>
      <c r="R10" s="14"/>
      <c r="S10" s="15">
        <v>0.959</v>
      </c>
      <c r="T10" s="16"/>
      <c r="U10" s="17"/>
    </row>
    <row r="11" spans="1:21" ht="18" customHeight="1">
      <c r="A11" s="37"/>
      <c r="B11" s="10"/>
      <c r="C11" s="9"/>
      <c r="D11" s="6">
        <v>1.3</v>
      </c>
      <c r="E11" s="7"/>
      <c r="F11" s="8">
        <v>22</v>
      </c>
      <c r="G11" s="3">
        <f>(C10*D11)</f>
        <v>39976.3</v>
      </c>
      <c r="H11" s="37"/>
      <c r="I11" s="10"/>
      <c r="J11" s="9"/>
      <c r="K11" s="6">
        <v>1.3</v>
      </c>
      <c r="L11" s="7"/>
      <c r="M11" s="8">
        <v>47</v>
      </c>
      <c r="N11" s="3">
        <f>(J10*K11)</f>
        <v>19988.8</v>
      </c>
      <c r="O11" s="37"/>
      <c r="P11" s="10"/>
      <c r="Q11" s="9"/>
      <c r="R11" s="6">
        <v>1.3</v>
      </c>
      <c r="S11" s="7"/>
      <c r="T11" s="8">
        <v>72</v>
      </c>
      <c r="U11" s="3">
        <f>(Q10*R11)</f>
        <v>39976.3</v>
      </c>
    </row>
    <row r="12" spans="1:21" ht="18" customHeight="1">
      <c r="A12" s="37"/>
      <c r="B12" s="10"/>
      <c r="C12" s="9"/>
      <c r="D12" s="11">
        <v>1.3</v>
      </c>
      <c r="E12" s="12">
        <v>0.35</v>
      </c>
      <c r="F12" s="13">
        <v>23</v>
      </c>
      <c r="G12" s="4">
        <f>SUM((C10*E12),(C13*E13))</f>
        <v>81708.85</v>
      </c>
      <c r="H12" s="37"/>
      <c r="I12" s="10"/>
      <c r="J12" s="9"/>
      <c r="K12" s="11">
        <v>1.3</v>
      </c>
      <c r="L12" s="12">
        <v>0.35</v>
      </c>
      <c r="M12" s="13">
        <v>48</v>
      </c>
      <c r="N12" s="4">
        <f>SUM((J10*L12),(J13*L13))</f>
        <v>40854.6</v>
      </c>
      <c r="O12" s="37"/>
      <c r="P12" s="10"/>
      <c r="Q12" s="9"/>
      <c r="R12" s="11">
        <v>1.3</v>
      </c>
      <c r="S12" s="12">
        <v>0.35</v>
      </c>
      <c r="T12" s="13">
        <v>73</v>
      </c>
      <c r="U12" s="4">
        <f>SUM((Q10*S12),(Q13*S13))</f>
        <v>81708.85</v>
      </c>
    </row>
    <row r="13" spans="1:21" ht="18" customHeight="1">
      <c r="A13" s="13">
        <v>4</v>
      </c>
      <c r="B13" s="5">
        <v>2.6</v>
      </c>
      <c r="C13" s="4">
        <v>74680</v>
      </c>
      <c r="D13" s="14"/>
      <c r="E13" s="15">
        <v>0.95</v>
      </c>
      <c r="F13" s="16"/>
      <c r="G13" s="17"/>
      <c r="H13" s="13">
        <v>4</v>
      </c>
      <c r="I13" s="5">
        <v>2.6</v>
      </c>
      <c r="J13" s="4">
        <v>37340</v>
      </c>
      <c r="K13" s="14"/>
      <c r="L13" s="15">
        <v>0.95</v>
      </c>
      <c r="M13" s="16"/>
      <c r="N13" s="17"/>
      <c r="O13" s="13">
        <v>4</v>
      </c>
      <c r="P13" s="5">
        <v>2.6</v>
      </c>
      <c r="Q13" s="4">
        <f>C13</f>
        <v>74680.0</v>
      </c>
      <c r="R13" s="14"/>
      <c r="S13" s="15">
        <v>0.95</v>
      </c>
      <c r="T13" s="16"/>
      <c r="U13" s="17"/>
    </row>
    <row r="14" spans="1:21" ht="18" customHeight="1">
      <c r="A14" s="37"/>
      <c r="B14" s="10"/>
      <c r="C14" s="9"/>
      <c r="D14" s="6">
        <v>1.3</v>
      </c>
      <c r="E14" s="7"/>
      <c r="F14" s="8">
        <v>24</v>
      </c>
      <c r="G14" s="3">
        <f>(C13*D14)</f>
        <v>97084.0</v>
      </c>
      <c r="H14" s="37"/>
      <c r="I14" s="10"/>
      <c r="J14" s="9"/>
      <c r="K14" s="6">
        <v>1.3</v>
      </c>
      <c r="L14" s="7"/>
      <c r="M14" s="8">
        <v>49</v>
      </c>
      <c r="N14" s="3">
        <f>(J13*K14)</f>
        <v>48542.0</v>
      </c>
      <c r="O14" s="37"/>
      <c r="P14" s="10"/>
      <c r="Q14" s="9"/>
      <c r="R14" s="6">
        <v>1.3</v>
      </c>
      <c r="S14" s="7"/>
      <c r="T14" s="8">
        <v>74</v>
      </c>
      <c r="U14" s="3">
        <f>(Q13*R14)</f>
        <v>97084.0</v>
      </c>
    </row>
    <row r="15" spans="1:21" ht="18" customHeight="1">
      <c r="A15" s="37"/>
      <c r="B15" s="10"/>
      <c r="C15" s="9"/>
      <c r="D15" s="11">
        <v>1.3</v>
      </c>
      <c r="E15" s="12">
        <v>0.35</v>
      </c>
      <c r="F15" s="13">
        <v>25</v>
      </c>
      <c r="G15" s="4">
        <f>SUM((C13*E15),(C16*E16),(C17*E17))</f>
        <v>136839.8</v>
      </c>
      <c r="H15" s="37"/>
      <c r="I15" s="10"/>
      <c r="J15" s="9"/>
      <c r="K15" s="11">
        <v>1.3</v>
      </c>
      <c r="L15" s="12">
        <v>0.35</v>
      </c>
      <c r="M15" s="13">
        <v>50</v>
      </c>
      <c r="N15" s="4">
        <f>SUM((J13*L15),(J16*L16),(J17*L17))</f>
        <v>68419.9</v>
      </c>
      <c r="O15" s="37"/>
      <c r="P15" s="10"/>
      <c r="Q15" s="9"/>
      <c r="R15" s="11">
        <v>1.3</v>
      </c>
      <c r="S15" s="12">
        <v>0.35</v>
      </c>
      <c r="T15" s="13">
        <v>75</v>
      </c>
      <c r="U15" s="4">
        <f>SUM((Q13*S15),(Q16*S16),(Q17*S17))</f>
        <v>136839.8</v>
      </c>
    </row>
    <row r="16" spans="1:21" ht="18" customHeight="1">
      <c r="A16" s="13">
        <v>5</v>
      </c>
      <c r="B16" s="5">
        <v>0.6</v>
      </c>
      <c r="C16" s="4">
        <v>119158</v>
      </c>
      <c r="D16" s="38"/>
      <c r="E16" s="39">
        <v>0.6</v>
      </c>
      <c r="F16" s="37"/>
      <c r="G16" s="9"/>
      <c r="H16" s="13">
        <v>5</v>
      </c>
      <c r="I16" s="5">
        <v>0.6</v>
      </c>
      <c r="J16" s="4">
        <v>59579</v>
      </c>
      <c r="K16" s="38"/>
      <c r="L16" s="39">
        <v>0.6</v>
      </c>
      <c r="M16" s="37"/>
      <c r="N16" s="9"/>
      <c r="O16" s="13">
        <v>5</v>
      </c>
      <c r="P16" s="5">
        <v>0.6</v>
      </c>
      <c r="Q16" s="4">
        <f>C16</f>
        <v>119158.0</v>
      </c>
      <c r="R16" s="38"/>
      <c r="S16" s="39">
        <v>0.6</v>
      </c>
      <c r="T16" s="37"/>
      <c r="U16" s="9"/>
    </row>
    <row r="17" spans="1:21" ht="18" customHeight="1">
      <c r="A17" s="13">
        <v>6</v>
      </c>
      <c r="B17" s="5">
        <v>9.5</v>
      </c>
      <c r="C17" s="4">
        <v>112020</v>
      </c>
      <c r="D17" s="14"/>
      <c r="E17" s="15">
        <v>0.35</v>
      </c>
      <c r="F17" s="16"/>
      <c r="G17" s="17"/>
      <c r="H17" s="13">
        <v>6</v>
      </c>
      <c r="I17" s="5">
        <v>9.5</v>
      </c>
      <c r="J17" s="4">
        <v>56010</v>
      </c>
      <c r="K17" s="14"/>
      <c r="L17" s="15">
        <v>0.35</v>
      </c>
      <c r="M17" s="16"/>
      <c r="N17" s="17"/>
      <c r="O17" s="13">
        <v>6</v>
      </c>
      <c r="P17" s="5">
        <v>9.5</v>
      </c>
      <c r="Q17" s="4">
        <f>C17</f>
        <v>112020.0</v>
      </c>
      <c r="R17" s="14"/>
      <c r="S17" s="15">
        <v>0.35</v>
      </c>
      <c r="T17" s="16"/>
      <c r="U17" s="17"/>
    </row>
    <row r="18" spans="1:21" ht="18" customHeight="1">
      <c r="A18" s="37"/>
      <c r="B18" s="10"/>
      <c r="C18" s="9"/>
      <c r="D18" s="6">
        <v>1.3</v>
      </c>
      <c r="E18" s="7"/>
      <c r="F18" s="8">
        <v>26</v>
      </c>
      <c r="G18" s="3">
        <f>(C17*D18)</f>
        <v>145626.0</v>
      </c>
      <c r="H18" s="37"/>
      <c r="I18" s="10"/>
      <c r="J18" s="9"/>
      <c r="K18" s="6">
        <v>1.3</v>
      </c>
      <c r="L18" s="7"/>
      <c r="M18" s="8">
        <v>51</v>
      </c>
      <c r="N18" s="3">
        <f>(J17*K18)</f>
        <v>72813.0</v>
      </c>
      <c r="O18" s="37"/>
      <c r="P18" s="10"/>
      <c r="Q18" s="9"/>
      <c r="R18" s="6">
        <v>1.3</v>
      </c>
      <c r="S18" s="7"/>
      <c r="T18" s="8">
        <v>76</v>
      </c>
      <c r="U18" s="3">
        <f>(Q17*R18)</f>
        <v>145626.0</v>
      </c>
    </row>
    <row r="19" spans="1:21" ht="18" customHeight="1">
      <c r="A19" s="37"/>
      <c r="B19" s="10"/>
      <c r="C19" s="9"/>
      <c r="D19" s="6">
        <v>1.3</v>
      </c>
      <c r="E19" s="7"/>
      <c r="F19" s="8">
        <v>27</v>
      </c>
      <c r="G19" s="3">
        <f>(C17*D19)</f>
        <v>145626.0</v>
      </c>
      <c r="H19" s="37"/>
      <c r="I19" s="10"/>
      <c r="J19" s="9"/>
      <c r="K19" s="6">
        <v>1.3</v>
      </c>
      <c r="L19" s="7"/>
      <c r="M19" s="8">
        <v>52</v>
      </c>
      <c r="N19" s="3">
        <f>(J17*K19)</f>
        <v>72813.0</v>
      </c>
      <c r="O19" s="37"/>
      <c r="P19" s="10"/>
      <c r="Q19" s="9"/>
      <c r="R19" s="6">
        <v>1.3</v>
      </c>
      <c r="S19" s="7"/>
      <c r="T19" s="8">
        <v>77</v>
      </c>
      <c r="U19" s="3">
        <f>(Q17*R19)</f>
        <v>145626.0</v>
      </c>
    </row>
    <row r="20" spans="1:21" ht="18" customHeight="1">
      <c r="A20" s="37"/>
      <c r="B20" s="10"/>
      <c r="C20" s="9"/>
      <c r="D20" s="6">
        <v>1.3</v>
      </c>
      <c r="E20" s="7"/>
      <c r="F20" s="8">
        <v>28</v>
      </c>
      <c r="G20" s="3">
        <f>(C17*D20)</f>
        <v>145626.0</v>
      </c>
      <c r="H20" s="37"/>
      <c r="I20" s="10"/>
      <c r="J20" s="9"/>
      <c r="K20" s="6">
        <v>1.3</v>
      </c>
      <c r="L20" s="7"/>
      <c r="M20" s="8">
        <v>53</v>
      </c>
      <c r="N20" s="3">
        <f>(J17*K20)</f>
        <v>72813.0</v>
      </c>
      <c r="O20" s="37"/>
      <c r="P20" s="10"/>
      <c r="Q20" s="9"/>
      <c r="R20" s="6">
        <v>1.3</v>
      </c>
      <c r="S20" s="7"/>
      <c r="T20" s="8">
        <v>78</v>
      </c>
      <c r="U20" s="3">
        <f>(Q17*R20)</f>
        <v>145626.0</v>
      </c>
    </row>
    <row r="21" spans="1:21" ht="18" customHeight="1">
      <c r="A21" s="37"/>
      <c r="B21" s="10"/>
      <c r="C21" s="9"/>
      <c r="D21" s="6">
        <v>1.3</v>
      </c>
      <c r="E21" s="7"/>
      <c r="F21" s="8">
        <v>29</v>
      </c>
      <c r="G21" s="3">
        <f>(C17*D21)</f>
        <v>145626.0</v>
      </c>
      <c r="H21" s="37"/>
      <c r="I21" s="10"/>
      <c r="J21" s="9"/>
      <c r="K21" s="6">
        <v>1.3</v>
      </c>
      <c r="L21" s="7"/>
      <c r="M21" s="8">
        <v>54</v>
      </c>
      <c r="N21" s="3">
        <f>(J17*K21)</f>
        <v>72813.0</v>
      </c>
      <c r="O21" s="37"/>
      <c r="P21" s="10"/>
      <c r="Q21" s="9"/>
      <c r="R21" s="6">
        <v>1.3</v>
      </c>
      <c r="S21" s="7"/>
      <c r="T21" s="8">
        <v>79</v>
      </c>
      <c r="U21" s="3">
        <f>(Q17*R21)</f>
        <v>145626.0</v>
      </c>
    </row>
    <row r="22" spans="1:21" ht="18" customHeight="1">
      <c r="A22" s="37"/>
      <c r="B22" s="10"/>
      <c r="C22" s="9"/>
      <c r="D22" s="6">
        <v>1.3</v>
      </c>
      <c r="E22" s="7"/>
      <c r="F22" s="8">
        <v>30</v>
      </c>
      <c r="G22" s="3">
        <f>(C17*D22)</f>
        <v>145626.0</v>
      </c>
      <c r="H22" s="37"/>
      <c r="I22" s="10"/>
      <c r="J22" s="9"/>
      <c r="K22" s="6">
        <v>1.3</v>
      </c>
      <c r="L22" s="7"/>
      <c r="M22" s="8">
        <v>55</v>
      </c>
      <c r="N22" s="3">
        <f>(J17*K22)</f>
        <v>72813.0</v>
      </c>
      <c r="O22" s="37"/>
      <c r="P22" s="10"/>
      <c r="Q22" s="9"/>
      <c r="R22" s="6">
        <v>1.3</v>
      </c>
      <c r="S22" s="7"/>
      <c r="T22" s="8">
        <v>80</v>
      </c>
      <c r="U22" s="3">
        <f>(Q17*R22)</f>
        <v>145626.0</v>
      </c>
    </row>
    <row r="23" spans="1:21" ht="18" customHeight="1">
      <c r="A23" s="37"/>
      <c r="B23" s="10"/>
      <c r="C23" s="9"/>
      <c r="D23" s="6">
        <v>1.3</v>
      </c>
      <c r="E23" s="7"/>
      <c r="F23" s="8">
        <v>31</v>
      </c>
      <c r="G23" s="3">
        <f>(C17*D23)</f>
        <v>145626.0</v>
      </c>
      <c r="H23" s="37"/>
      <c r="I23" s="10"/>
      <c r="J23" s="9"/>
      <c r="K23" s="6">
        <v>1.3</v>
      </c>
      <c r="L23" s="7"/>
      <c r="M23" s="8">
        <v>56</v>
      </c>
      <c r="N23" s="3">
        <f>(J17*K23)</f>
        <v>72813.0</v>
      </c>
      <c r="O23" s="37"/>
      <c r="P23" s="10"/>
      <c r="Q23" s="9"/>
      <c r="R23" s="6">
        <v>1.3</v>
      </c>
      <c r="S23" s="7"/>
      <c r="T23" s="8">
        <v>81</v>
      </c>
      <c r="U23" s="3">
        <f>(Q17*R23)</f>
        <v>145626.0</v>
      </c>
    </row>
    <row r="24" spans="1:21" ht="18" customHeight="1">
      <c r="A24" s="37"/>
      <c r="B24" s="10"/>
      <c r="C24" s="9"/>
      <c r="D24" s="6">
        <v>1.3</v>
      </c>
      <c r="E24" s="7"/>
      <c r="F24" s="8">
        <v>32</v>
      </c>
      <c r="G24" s="3">
        <f>(C17*D24)</f>
        <v>145626.0</v>
      </c>
      <c r="H24" s="37"/>
      <c r="I24" s="10"/>
      <c r="J24" s="9"/>
      <c r="K24" s="6">
        <v>1.3</v>
      </c>
      <c r="L24" s="7"/>
      <c r="M24" s="8">
        <v>57</v>
      </c>
      <c r="N24" s="3">
        <f>(J17*K24)</f>
        <v>72813.0</v>
      </c>
      <c r="O24" s="37"/>
      <c r="P24" s="10"/>
      <c r="Q24" s="9"/>
      <c r="R24" s="6">
        <v>1.3</v>
      </c>
      <c r="S24" s="7"/>
      <c r="T24" s="8">
        <v>82</v>
      </c>
      <c r="U24" s="3">
        <f>(Q17*R24)</f>
        <v>145626.0</v>
      </c>
    </row>
    <row r="25" spans="1:21" ht="18" customHeight="1">
      <c r="A25" s="37"/>
      <c r="B25" s="10"/>
      <c r="C25" s="9"/>
      <c r="D25" s="11">
        <v>1.3</v>
      </c>
      <c r="E25" s="12">
        <v>0.05</v>
      </c>
      <c r="F25" s="13">
        <v>33</v>
      </c>
      <c r="G25" s="4">
        <f>SUM((C17*E25),(C26*E26))</f>
        <v>72867.25</v>
      </c>
      <c r="H25" s="37"/>
      <c r="I25" s="10"/>
      <c r="J25" s="9"/>
      <c r="K25" s="11">
        <v>1.3</v>
      </c>
      <c r="L25" s="12">
        <v>0.05</v>
      </c>
      <c r="M25" s="13">
        <v>58</v>
      </c>
      <c r="N25" s="4">
        <f>SUM((J17*L25),(J26*L26))</f>
        <v>36434.25</v>
      </c>
      <c r="O25" s="37"/>
      <c r="P25" s="10"/>
      <c r="Q25" s="9"/>
      <c r="R25" s="11">
        <v>1.3</v>
      </c>
      <c r="S25" s="12">
        <v>0.05</v>
      </c>
      <c r="T25" s="13">
        <v>83</v>
      </c>
      <c r="U25" s="4">
        <f>SUM((Q17*S25),(Q26*S26))</f>
        <v>72867.25</v>
      </c>
    </row>
    <row r="26" spans="1:21" ht="18" customHeight="1">
      <c r="A26" s="13">
        <v>7</v>
      </c>
      <c r="B26" s="5">
        <v>9.5</v>
      </c>
      <c r="C26" s="4">
        <v>53813</v>
      </c>
      <c r="D26" s="14"/>
      <c r="E26" s="15">
        <v>1.25</v>
      </c>
      <c r="F26" s="16"/>
      <c r="G26" s="17"/>
      <c r="H26" s="13">
        <v>7</v>
      </c>
      <c r="I26" s="5">
        <v>9.5</v>
      </c>
      <c r="J26" s="4">
        <v>26907</v>
      </c>
      <c r="K26" s="14"/>
      <c r="L26" s="15">
        <v>1.25</v>
      </c>
      <c r="M26" s="16"/>
      <c r="N26" s="17"/>
      <c r="O26" s="13">
        <v>7</v>
      </c>
      <c r="P26" s="5">
        <v>9.5</v>
      </c>
      <c r="Q26" s="4">
        <f>C26</f>
        <v>53813.0</v>
      </c>
      <c r="R26" s="14"/>
      <c r="S26" s="15">
        <v>1.25</v>
      </c>
      <c r="T26" s="16"/>
      <c r="U26" s="17"/>
    </row>
    <row r="27" spans="1:21" ht="18" customHeight="1">
      <c r="A27" s="37"/>
      <c r="B27" s="10"/>
      <c r="C27" s="9"/>
      <c r="D27" s="6">
        <v>1.3</v>
      </c>
      <c r="E27" s="7"/>
      <c r="F27" s="8">
        <v>34</v>
      </c>
      <c r="G27" s="3">
        <f>(C26*D27)</f>
        <v>69956.90000000001</v>
      </c>
      <c r="H27" s="37"/>
      <c r="I27" s="10"/>
      <c r="J27" s="9"/>
      <c r="K27" s="6">
        <v>1.3</v>
      </c>
      <c r="L27" s="7"/>
      <c r="M27" s="8">
        <v>59</v>
      </c>
      <c r="N27" s="3">
        <f>(J26*K27)</f>
        <v>34979.1</v>
      </c>
      <c r="O27" s="37"/>
      <c r="P27" s="10"/>
      <c r="Q27" s="9"/>
      <c r="R27" s="6">
        <v>1.3</v>
      </c>
      <c r="S27" s="7"/>
      <c r="T27" s="8">
        <v>84</v>
      </c>
      <c r="U27" s="3">
        <f>(Q26*R27)</f>
        <v>69956.90000000001</v>
      </c>
    </row>
    <row r="28" spans="1:21" ht="18" customHeight="1">
      <c r="A28" s="37"/>
      <c r="B28" s="10"/>
      <c r="C28" s="9"/>
      <c r="D28" s="6">
        <v>1.3</v>
      </c>
      <c r="E28" s="7"/>
      <c r="F28" s="8">
        <v>35</v>
      </c>
      <c r="G28" s="3">
        <f>(C26*D28)</f>
        <v>69956.90000000001</v>
      </c>
      <c r="H28" s="37"/>
      <c r="I28" s="10"/>
      <c r="J28" s="9"/>
      <c r="K28" s="6">
        <v>1.3</v>
      </c>
      <c r="L28" s="7"/>
      <c r="M28" s="8">
        <v>60</v>
      </c>
      <c r="N28" s="3">
        <f>(J26*K28)</f>
        <v>34979.1</v>
      </c>
      <c r="O28" s="37"/>
      <c r="P28" s="10"/>
      <c r="Q28" s="9"/>
      <c r="R28" s="6">
        <v>1.3</v>
      </c>
      <c r="S28" s="7"/>
      <c r="T28" s="8">
        <v>85</v>
      </c>
      <c r="U28" s="3">
        <f>(Q26*R28)</f>
        <v>69956.90000000001</v>
      </c>
    </row>
    <row r="29" spans="1:21" ht="18" customHeight="1">
      <c r="A29" s="37"/>
      <c r="B29" s="10"/>
      <c r="C29" s="9"/>
      <c r="D29" s="6">
        <v>1.3</v>
      </c>
      <c r="E29" s="7"/>
      <c r="F29" s="8">
        <v>36</v>
      </c>
      <c r="G29" s="3">
        <f>(C26*D29)</f>
        <v>69956.90000000001</v>
      </c>
      <c r="H29" s="37"/>
      <c r="I29" s="10"/>
      <c r="J29" s="9"/>
      <c r="K29" s="6">
        <v>1.3</v>
      </c>
      <c r="L29" s="7"/>
      <c r="M29" s="8">
        <v>61</v>
      </c>
      <c r="N29" s="3">
        <f>(J26*K29)</f>
        <v>34979.1</v>
      </c>
      <c r="O29" s="37"/>
      <c r="P29" s="10"/>
      <c r="Q29" s="9"/>
      <c r="R29" s="6">
        <v>1.3</v>
      </c>
      <c r="S29" s="7"/>
      <c r="T29" s="8">
        <v>86</v>
      </c>
      <c r="U29" s="3">
        <f>(Q26*R29)</f>
        <v>69956.90000000001</v>
      </c>
    </row>
    <row r="30" spans="1:21" ht="18" customHeight="1">
      <c r="A30" s="37"/>
      <c r="B30" s="10"/>
      <c r="C30" s="9"/>
      <c r="D30" s="6">
        <v>1.3</v>
      </c>
      <c r="E30" s="7"/>
      <c r="F30" s="8">
        <v>37</v>
      </c>
      <c r="G30" s="3">
        <f>(C26*D30)</f>
        <v>69956.90000000001</v>
      </c>
      <c r="H30" s="37"/>
      <c r="I30" s="10"/>
      <c r="J30" s="9"/>
      <c r="K30" s="6">
        <v>1.3</v>
      </c>
      <c r="L30" s="7"/>
      <c r="M30" s="8">
        <v>62</v>
      </c>
      <c r="N30" s="3">
        <f>(J26*K30)</f>
        <v>34979.1</v>
      </c>
      <c r="O30" s="37"/>
      <c r="P30" s="10"/>
      <c r="Q30" s="9"/>
      <c r="R30" s="6">
        <v>1.3</v>
      </c>
      <c r="S30" s="7"/>
      <c r="T30" s="8">
        <v>87</v>
      </c>
      <c r="U30" s="3">
        <f>(Q26*R30)</f>
        <v>69956.90000000001</v>
      </c>
    </row>
    <row r="31" spans="1:21" ht="18" customHeight="1">
      <c r="A31" s="37"/>
      <c r="B31" s="10"/>
      <c r="C31" s="9"/>
      <c r="D31" s="6">
        <v>1.3</v>
      </c>
      <c r="E31" s="7"/>
      <c r="F31" s="8">
        <v>38</v>
      </c>
      <c r="G31" s="3">
        <f>(C26*D31)</f>
        <v>69956.90000000001</v>
      </c>
      <c r="H31" s="37"/>
      <c r="I31" s="10"/>
      <c r="J31" s="9"/>
      <c r="K31" s="6">
        <v>1.3</v>
      </c>
      <c r="L31" s="7"/>
      <c r="M31" s="8">
        <v>63</v>
      </c>
      <c r="N31" s="3">
        <f>(J26*K31)</f>
        <v>34979.1</v>
      </c>
      <c r="O31" s="37"/>
      <c r="P31" s="10"/>
      <c r="Q31" s="9"/>
      <c r="R31" s="6">
        <v>1.3</v>
      </c>
      <c r="S31" s="7"/>
      <c r="T31" s="8">
        <v>88</v>
      </c>
      <c r="U31" s="3">
        <f>(Q26*R31)</f>
        <v>69956.90000000001</v>
      </c>
    </row>
    <row r="32" spans="1:21" ht="18" customHeight="1">
      <c r="A32" s="37"/>
      <c r="B32" s="10"/>
      <c r="C32" s="9"/>
      <c r="D32" s="6">
        <v>1.3</v>
      </c>
      <c r="E32" s="7"/>
      <c r="F32" s="8">
        <v>39</v>
      </c>
      <c r="G32" s="3">
        <f>(C26*D32)</f>
        <v>69956.90000000001</v>
      </c>
      <c r="H32" s="37"/>
      <c r="I32" s="10"/>
      <c r="J32" s="9"/>
      <c r="K32" s="6">
        <v>1.3</v>
      </c>
      <c r="L32" s="7"/>
      <c r="M32" s="8">
        <v>64</v>
      </c>
      <c r="N32" s="3">
        <f>(J26*K32)</f>
        <v>34979.1</v>
      </c>
      <c r="O32" s="37"/>
      <c r="P32" s="10"/>
      <c r="Q32" s="9"/>
      <c r="R32" s="6">
        <v>1.3</v>
      </c>
      <c r="S32" s="7"/>
      <c r="T32" s="8">
        <v>89</v>
      </c>
      <c r="U32" s="3">
        <f>(Q26*R32)</f>
        <v>69956.90000000001</v>
      </c>
    </row>
    <row r="33" spans="1:21" ht="18" customHeight="1">
      <c r="A33" s="37"/>
      <c r="B33" s="10"/>
      <c r="C33" s="9"/>
      <c r="D33" s="11">
        <v>1.2</v>
      </c>
      <c r="E33" s="12">
        <v>0.45</v>
      </c>
      <c r="F33" s="13">
        <v>40</v>
      </c>
      <c r="G33" s="4">
        <f>SUM((C26*E33),(C34*E34))</f>
        <v>24215.850000000002</v>
      </c>
      <c r="H33" s="37"/>
      <c r="I33" s="10"/>
      <c r="J33" s="9"/>
      <c r="K33" s="11">
        <v>1.2</v>
      </c>
      <c r="L33" s="12">
        <v>0.45</v>
      </c>
      <c r="M33" s="13">
        <v>65</v>
      </c>
      <c r="N33" s="4">
        <f>SUM((J26*L33),(J34*L34))</f>
        <v>12108.15</v>
      </c>
      <c r="O33" s="37"/>
      <c r="P33" s="10"/>
      <c r="Q33" s="9"/>
      <c r="R33" s="11">
        <v>1.2</v>
      </c>
      <c r="S33" s="12">
        <v>0.45</v>
      </c>
      <c r="T33" s="13">
        <v>90</v>
      </c>
      <c r="U33" s="4">
        <f>SUM((Q26*S33),(Q34*S34))</f>
        <v>24215.850000000002</v>
      </c>
    </row>
    <row r="34" spans="1:21" ht="18" customHeight="1">
      <c r="A34" s="37"/>
      <c r="B34" s="5">
        <v>1.3</v>
      </c>
      <c r="C34" s="4">
        <v>0</v>
      </c>
      <c r="D34" s="14"/>
      <c r="E34" s="15">
        <v>0.75</v>
      </c>
      <c r="F34" s="16"/>
      <c r="G34" s="17"/>
      <c r="H34" s="37"/>
      <c r="I34" s="5">
        <v>1.3</v>
      </c>
      <c r="J34" s="4">
        <v>0</v>
      </c>
      <c r="K34" s="14"/>
      <c r="L34" s="15">
        <v>0.75</v>
      </c>
      <c r="M34" s="16"/>
      <c r="N34" s="17"/>
      <c r="O34" s="37"/>
      <c r="P34" s="5">
        <v>1.3</v>
      </c>
      <c r="Q34" s="4">
        <v>0</v>
      </c>
      <c r="R34" s="14"/>
      <c r="S34" s="15">
        <v>0.75</v>
      </c>
      <c r="T34" s="16"/>
      <c r="U34" s="17"/>
    </row>
    <row r="35" spans="1:21" ht="18" customHeight="1">
      <c r="A35" s="16"/>
      <c r="B35" s="18"/>
      <c r="C35" s="17"/>
      <c r="D35" s="6">
        <v>0.55</v>
      </c>
      <c r="E35" s="7"/>
      <c r="F35" s="8">
        <v>41</v>
      </c>
      <c r="G35" s="3">
        <f>(C34*D35)</f>
        <v>0.0</v>
      </c>
      <c r="H35" s="16"/>
      <c r="I35" s="18"/>
      <c r="J35" s="17"/>
      <c r="K35" s="6">
        <v>0.55</v>
      </c>
      <c r="L35" s="7"/>
      <c r="M35" s="8">
        <v>66</v>
      </c>
      <c r="N35" s="3">
        <f>(J34*K35)</f>
        <v>0.0</v>
      </c>
      <c r="O35" s="16"/>
      <c r="P35" s="18"/>
      <c r="Q35" s="17"/>
      <c r="R35" s="6">
        <v>0.55</v>
      </c>
      <c r="S35" s="7"/>
      <c r="T35" s="8">
        <v>91</v>
      </c>
      <c r="U35" s="3">
        <f>(Q34*R35)</f>
        <v>0.0</v>
      </c>
    </row>
    <row r="36" spans="1:21" ht="18" customHeight="1">
      <c r="A36" s="8" t="s">
        <v>8</v>
      </c>
      <c r="B36" s="19">
        <f>SUM(B3,B7,B9,B10,B13,B16,B17,B26,B34)</f>
        <v>31.0</v>
      </c>
      <c r="C36" s="8"/>
      <c r="D36" s="6">
        <f>SUM(D3,D4,D5,D6,D8,D11,D12,D14,D15,D18,D19,D20,D21,D22,D23,D24,D25,D27,D28,D29,D30,D31,D32,D33,D35)</f>
        <v>31.0</v>
      </c>
      <c r="E36" s="40"/>
      <c r="F36" s="8"/>
      <c r="G36" s="8"/>
      <c r="H36" s="8" t="s">
        <v>8</v>
      </c>
      <c r="I36" s="19">
        <f>SUM(I3,I7,I9,I10,I13,I16,I17,I26,I34)</f>
        <v>31.0</v>
      </c>
      <c r="J36" s="8"/>
      <c r="K36" s="6">
        <f>SUM(K3,K4,K5,K6,K8,K11,K12,K14,K15,K18,K19,K20,K21,K22,K23,K24,K25,K27,K28,K29,K30,K31,K32,K33,K35)</f>
        <v>31.0</v>
      </c>
      <c r="L36" s="40"/>
      <c r="M36" s="8"/>
      <c r="N36" s="8"/>
      <c r="O36" s="8" t="s">
        <v>8</v>
      </c>
      <c r="P36" s="19">
        <f>SUM(P3,P7,P9,P10,P13,P16,P17,P26,P34)</f>
        <v>31.0</v>
      </c>
      <c r="Q36" s="8"/>
      <c r="R36" s="6">
        <f>SUM(R3,R4,R5,R6,R8,R11,R12,R14,R15,R18,R19,R20,R21,R22,R23,R24,R25,R27,R28,R29,R30,R31,R32,R33,R35)</f>
        <v>31.0</v>
      </c>
      <c r="S36" s="40"/>
      <c r="T36" s="8"/>
      <c r="U36" s="8"/>
    </row>
    <row r="37" spans="1:2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&amp;L杭周面ばね&amp;R&amp;P / &amp;N</oddFooter>
  </headerFooter>
  <colBreaks count="2" manualBreakCount="2">
    <brk id="7" max="1048575" man="1"/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36" t="s">
        <v>19</v>
      </c>
      <c r="B1" s="36" t="s">
        <v>1</v>
      </c>
      <c r="C1" s="2"/>
      <c r="D1" s="2"/>
      <c r="E1" s="2"/>
      <c r="F1" s="2"/>
      <c r="G1" s="2"/>
      <c r="H1" s="36" t="s">
        <v>19</v>
      </c>
      <c r="I1" s="36" t="s">
        <v>1</v>
      </c>
      <c r="J1" s="2"/>
      <c r="K1" s="2"/>
      <c r="L1" s="2"/>
      <c r="M1" s="2"/>
      <c r="N1" s="2"/>
      <c r="O1" s="36" t="s">
        <v>19</v>
      </c>
      <c r="P1" s="36" t="s">
        <v>1</v>
      </c>
      <c r="Q1" s="2"/>
      <c r="R1" s="2"/>
      <c r="S1" s="2"/>
      <c r="T1" s="2"/>
      <c r="U1" s="2"/>
    </row>
    <row r="2" spans="1:21" ht="48.75" customHeight="1">
      <c r="A2" s="8" t="s">
        <v>2</v>
      </c>
      <c r="B2" s="8" t="s">
        <v>3</v>
      </c>
      <c r="C2" s="8" t="s">
        <v>20</v>
      </c>
      <c r="D2" s="8" t="s">
        <v>16</v>
      </c>
      <c r="E2" s="8"/>
      <c r="F2" s="8" t="s">
        <v>17</v>
      </c>
      <c r="G2" s="8" t="s">
        <v>21</v>
      </c>
      <c r="H2" s="8" t="s">
        <v>2</v>
      </c>
      <c r="I2" s="8" t="s">
        <v>3</v>
      </c>
      <c r="J2" s="8" t="s">
        <v>20</v>
      </c>
      <c r="K2" s="8" t="s">
        <v>16</v>
      </c>
      <c r="L2" s="8"/>
      <c r="M2" s="8" t="s">
        <v>17</v>
      </c>
      <c r="N2" s="8" t="s">
        <v>21</v>
      </c>
      <c r="O2" s="8" t="s">
        <v>2</v>
      </c>
      <c r="P2" s="8" t="s">
        <v>3</v>
      </c>
      <c r="Q2" s="8" t="s">
        <v>20</v>
      </c>
      <c r="R2" s="8" t="s">
        <v>16</v>
      </c>
      <c r="S2" s="8"/>
      <c r="T2" s="8" t="s">
        <v>17</v>
      </c>
      <c r="U2" s="8" t="s">
        <v>21</v>
      </c>
    </row>
    <row r="3" spans="1:21" ht="18" customHeight="1">
      <c r="A3" s="13">
        <v>1</v>
      </c>
      <c r="B3" s="5">
        <v>3.3</v>
      </c>
      <c r="C3" s="41">
        <v>0</v>
      </c>
      <c r="D3" s="6">
        <v>0.65</v>
      </c>
      <c r="E3" s="7"/>
      <c r="F3" s="8">
        <v>17</v>
      </c>
      <c r="G3" s="22">
        <f>(C3*D3)</f>
        <v>0.0</v>
      </c>
      <c r="H3" s="13">
        <v>1</v>
      </c>
      <c r="I3" s="5">
        <v>3.3</v>
      </c>
      <c r="J3" s="41">
        <v>0</v>
      </c>
      <c r="K3" s="6">
        <v>0.65</v>
      </c>
      <c r="L3" s="7"/>
      <c r="M3" s="8">
        <v>42</v>
      </c>
      <c r="N3" s="22">
        <f>(J3*K3)</f>
        <v>0.0</v>
      </c>
      <c r="O3" s="13">
        <v>1</v>
      </c>
      <c r="P3" s="5">
        <v>3.3</v>
      </c>
      <c r="Q3" s="41">
        <v>0</v>
      </c>
      <c r="R3" s="6">
        <v>0.65</v>
      </c>
      <c r="S3" s="7"/>
      <c r="T3" s="8">
        <v>67</v>
      </c>
      <c r="U3" s="22">
        <f>(Q3*R3)</f>
        <v>0.0</v>
      </c>
    </row>
    <row r="4" spans="1:21" ht="18" customHeight="1">
      <c r="A4" s="37"/>
      <c r="B4" s="10"/>
      <c r="C4" s="42"/>
      <c r="D4" s="6">
        <v>1.3</v>
      </c>
      <c r="E4" s="7"/>
      <c r="F4" s="8">
        <v>18</v>
      </c>
      <c r="G4" s="22">
        <f>(C3*D4)</f>
        <v>0.0</v>
      </c>
      <c r="H4" s="37"/>
      <c r="I4" s="10"/>
      <c r="J4" s="42"/>
      <c r="K4" s="6">
        <v>1.3</v>
      </c>
      <c r="L4" s="7"/>
      <c r="M4" s="8">
        <v>43</v>
      </c>
      <c r="N4" s="22">
        <f>(J3*K4)</f>
        <v>0.0</v>
      </c>
      <c r="O4" s="37"/>
      <c r="P4" s="10"/>
      <c r="Q4" s="42"/>
      <c r="R4" s="6">
        <v>1.3</v>
      </c>
      <c r="S4" s="7"/>
      <c r="T4" s="8">
        <v>68</v>
      </c>
      <c r="U4" s="22">
        <f>(Q3*R4)</f>
        <v>0.0</v>
      </c>
    </row>
    <row r="5" spans="1:21" ht="18" customHeight="1">
      <c r="A5" s="37"/>
      <c r="B5" s="10"/>
      <c r="C5" s="42"/>
      <c r="D5" s="6">
        <v>1.3</v>
      </c>
      <c r="E5" s="7"/>
      <c r="F5" s="8">
        <v>19</v>
      </c>
      <c r="G5" s="22">
        <f>(C3*D5)</f>
        <v>0.0</v>
      </c>
      <c r="H5" s="37"/>
      <c r="I5" s="10"/>
      <c r="J5" s="42"/>
      <c r="K5" s="6">
        <v>1.3</v>
      </c>
      <c r="L5" s="7"/>
      <c r="M5" s="8">
        <v>44</v>
      </c>
      <c r="N5" s="22">
        <f>(J3*K5)</f>
        <v>0.0</v>
      </c>
      <c r="O5" s="37"/>
      <c r="P5" s="10"/>
      <c r="Q5" s="42"/>
      <c r="R5" s="6">
        <v>1.3</v>
      </c>
      <c r="S5" s="7"/>
      <c r="T5" s="8">
        <v>69</v>
      </c>
      <c r="U5" s="22">
        <f>(Q3*R5)</f>
        <v>0.0</v>
      </c>
    </row>
    <row r="6" spans="1:21" ht="18" customHeight="1">
      <c r="A6" s="37"/>
      <c r="B6" s="10"/>
      <c r="C6" s="42"/>
      <c r="D6" s="11">
        <v>1.3</v>
      </c>
      <c r="E6" s="12">
        <v>0.05</v>
      </c>
      <c r="F6" s="13">
        <v>20</v>
      </c>
      <c r="G6" s="41">
        <f>SUM((C3*E6),(C7*E7))</f>
        <v>0.0</v>
      </c>
      <c r="H6" s="37"/>
      <c r="I6" s="10"/>
      <c r="J6" s="42"/>
      <c r="K6" s="11">
        <v>1.3</v>
      </c>
      <c r="L6" s="12">
        <v>0.05</v>
      </c>
      <c r="M6" s="13">
        <v>45</v>
      </c>
      <c r="N6" s="41">
        <f>SUM((J3*L6),(J7*L7))</f>
        <v>0.0</v>
      </c>
      <c r="O6" s="37"/>
      <c r="P6" s="10"/>
      <c r="Q6" s="42"/>
      <c r="R6" s="11">
        <v>1.3</v>
      </c>
      <c r="S6" s="12">
        <v>0.05</v>
      </c>
      <c r="T6" s="13">
        <v>70</v>
      </c>
      <c r="U6" s="41">
        <f>SUM((Q3*S6),(Q7*S7))</f>
        <v>0.0</v>
      </c>
    </row>
    <row r="7" spans="1:21" ht="18" customHeight="1">
      <c r="A7" s="13">
        <v>2</v>
      </c>
      <c r="B7" s="5">
        <v>1.3</v>
      </c>
      <c r="C7" s="41">
        <v>0</v>
      </c>
      <c r="D7" s="14"/>
      <c r="E7" s="15">
        <v>1.25</v>
      </c>
      <c r="F7" s="16"/>
      <c r="G7" s="43"/>
      <c r="H7" s="13">
        <v>2</v>
      </c>
      <c r="I7" s="5">
        <v>1.3</v>
      </c>
      <c r="J7" s="41">
        <v>0</v>
      </c>
      <c r="K7" s="14"/>
      <c r="L7" s="15">
        <v>1.25</v>
      </c>
      <c r="M7" s="16"/>
      <c r="N7" s="43"/>
      <c r="O7" s="13">
        <v>2</v>
      </c>
      <c r="P7" s="5">
        <v>1.3</v>
      </c>
      <c r="Q7" s="41">
        <v>0</v>
      </c>
      <c r="R7" s="14"/>
      <c r="S7" s="15">
        <v>1.25</v>
      </c>
      <c r="T7" s="16"/>
      <c r="U7" s="43"/>
    </row>
    <row r="8" spans="1:21" ht="18" customHeight="1">
      <c r="A8" s="37"/>
      <c r="B8" s="10"/>
      <c r="C8" s="42"/>
      <c r="D8" s="11">
        <v>1.3</v>
      </c>
      <c r="E8" s="12">
        <v>0.05</v>
      </c>
      <c r="F8" s="13">
        <v>21</v>
      </c>
      <c r="G8" s="41">
        <f>SUM((C7*E8),(C9*E9),(C10*E10))</f>
        <v>187.964</v>
      </c>
      <c r="H8" s="37"/>
      <c r="I8" s="10"/>
      <c r="J8" s="42"/>
      <c r="K8" s="11">
        <v>1.3</v>
      </c>
      <c r="L8" s="12">
        <v>0.05</v>
      </c>
      <c r="M8" s="13">
        <v>46</v>
      </c>
      <c r="N8" s="41">
        <f>SUM((J7*L8),(J9*L9),(J10*L10))</f>
        <v>93.982</v>
      </c>
      <c r="O8" s="37"/>
      <c r="P8" s="10"/>
      <c r="Q8" s="42"/>
      <c r="R8" s="11">
        <v>1.3</v>
      </c>
      <c r="S8" s="12">
        <v>0.05</v>
      </c>
      <c r="T8" s="13">
        <v>71</v>
      </c>
      <c r="U8" s="41">
        <f>SUM((Q7*S8),(Q9*S9),(Q10*S10))</f>
        <v>187.964</v>
      </c>
    </row>
    <row r="9" spans="1:21" ht="18" customHeight="1">
      <c r="A9" s="13">
        <v>3</v>
      </c>
      <c r="B9" s="5">
        <v>0.291</v>
      </c>
      <c r="C9" s="41">
        <v>0</v>
      </c>
      <c r="D9" s="38"/>
      <c r="E9" s="39">
        <v>0.291</v>
      </c>
      <c r="F9" s="37"/>
      <c r="G9" s="42"/>
      <c r="H9" s="13">
        <v>3</v>
      </c>
      <c r="I9" s="5">
        <v>0.291</v>
      </c>
      <c r="J9" s="41">
        <v>0</v>
      </c>
      <c r="K9" s="38"/>
      <c r="L9" s="39">
        <v>0.291</v>
      </c>
      <c r="M9" s="37"/>
      <c r="N9" s="42"/>
      <c r="O9" s="13">
        <v>3</v>
      </c>
      <c r="P9" s="5">
        <v>0.291</v>
      </c>
      <c r="Q9" s="41">
        <v>0</v>
      </c>
      <c r="R9" s="38"/>
      <c r="S9" s="39">
        <v>0.291</v>
      </c>
      <c r="T9" s="37"/>
      <c r="U9" s="42"/>
    </row>
    <row r="10" spans="1:21" ht="18" customHeight="1">
      <c r="A10" s="37"/>
      <c r="B10" s="5">
        <v>2.609</v>
      </c>
      <c r="C10" s="41">
        <v>196</v>
      </c>
      <c r="D10" s="14"/>
      <c r="E10" s="15">
        <v>0.959</v>
      </c>
      <c r="F10" s="16"/>
      <c r="G10" s="43"/>
      <c r="H10" s="37"/>
      <c r="I10" s="5">
        <v>2.609</v>
      </c>
      <c r="J10" s="41">
        <v>98</v>
      </c>
      <c r="K10" s="14"/>
      <c r="L10" s="15">
        <v>0.959</v>
      </c>
      <c r="M10" s="16"/>
      <c r="N10" s="43"/>
      <c r="O10" s="37"/>
      <c r="P10" s="5">
        <v>2.609</v>
      </c>
      <c r="Q10" s="41">
        <f>C10</f>
        <v>196.0</v>
      </c>
      <c r="R10" s="14"/>
      <c r="S10" s="15">
        <v>0.959</v>
      </c>
      <c r="T10" s="16"/>
      <c r="U10" s="43"/>
    </row>
    <row r="11" spans="1:21" ht="18" customHeight="1">
      <c r="A11" s="37"/>
      <c r="B11" s="10"/>
      <c r="C11" s="42"/>
      <c r="D11" s="6">
        <v>1.3</v>
      </c>
      <c r="E11" s="7"/>
      <c r="F11" s="8">
        <v>22</v>
      </c>
      <c r="G11" s="22">
        <f>(C10*D11)</f>
        <v>254.8</v>
      </c>
      <c r="H11" s="37"/>
      <c r="I11" s="10"/>
      <c r="J11" s="42"/>
      <c r="K11" s="6">
        <v>1.3</v>
      </c>
      <c r="L11" s="7"/>
      <c r="M11" s="8">
        <v>47</v>
      </c>
      <c r="N11" s="22">
        <f>(J10*K11)</f>
        <v>127.4</v>
      </c>
      <c r="O11" s="37"/>
      <c r="P11" s="10"/>
      <c r="Q11" s="42"/>
      <c r="R11" s="6">
        <v>1.3</v>
      </c>
      <c r="S11" s="7"/>
      <c r="T11" s="8">
        <v>72</v>
      </c>
      <c r="U11" s="22">
        <f>(Q10*R11)</f>
        <v>254.8</v>
      </c>
    </row>
    <row r="12" spans="1:21" ht="18" customHeight="1">
      <c r="A12" s="37"/>
      <c r="B12" s="10"/>
      <c r="C12" s="42"/>
      <c r="D12" s="11">
        <v>1.3</v>
      </c>
      <c r="E12" s="12">
        <v>0.35</v>
      </c>
      <c r="F12" s="13">
        <v>23</v>
      </c>
      <c r="G12" s="41">
        <f>SUM((C10*E12),(C13*E13))</f>
        <v>962.55</v>
      </c>
      <c r="H12" s="37"/>
      <c r="I12" s="10"/>
      <c r="J12" s="42"/>
      <c r="K12" s="11">
        <v>1.3</v>
      </c>
      <c r="L12" s="12">
        <v>0.35</v>
      </c>
      <c r="M12" s="13">
        <v>48</v>
      </c>
      <c r="N12" s="41">
        <f>SUM((J10*L12),(J13*L13))</f>
        <v>481.275</v>
      </c>
      <c r="O12" s="37"/>
      <c r="P12" s="10"/>
      <c r="Q12" s="42"/>
      <c r="R12" s="11">
        <v>1.3</v>
      </c>
      <c r="S12" s="12">
        <v>0.35</v>
      </c>
      <c r="T12" s="13">
        <v>73</v>
      </c>
      <c r="U12" s="41">
        <f>SUM((Q10*S12),(Q13*S13))</f>
        <v>962.55</v>
      </c>
    </row>
    <row r="13" spans="1:21" ht="18" customHeight="1">
      <c r="A13" s="13">
        <v>4</v>
      </c>
      <c r="B13" s="5">
        <v>2.6</v>
      </c>
      <c r="C13" s="41">
        <v>941</v>
      </c>
      <c r="D13" s="14"/>
      <c r="E13" s="15">
        <v>0.95</v>
      </c>
      <c r="F13" s="16"/>
      <c r="G13" s="43"/>
      <c r="H13" s="13">
        <v>4</v>
      </c>
      <c r="I13" s="5">
        <v>2.6</v>
      </c>
      <c r="J13" s="41">
        <v>470.5</v>
      </c>
      <c r="K13" s="14"/>
      <c r="L13" s="15">
        <v>0.95</v>
      </c>
      <c r="M13" s="16"/>
      <c r="N13" s="43"/>
      <c r="O13" s="13">
        <v>4</v>
      </c>
      <c r="P13" s="5">
        <v>2.6</v>
      </c>
      <c r="Q13" s="41">
        <f>C13</f>
        <v>941.0</v>
      </c>
      <c r="R13" s="14"/>
      <c r="S13" s="15">
        <v>0.95</v>
      </c>
      <c r="T13" s="16"/>
      <c r="U13" s="43"/>
    </row>
    <row r="14" spans="1:21" ht="18" customHeight="1">
      <c r="A14" s="37"/>
      <c r="B14" s="10"/>
      <c r="C14" s="42"/>
      <c r="D14" s="6">
        <v>1.3</v>
      </c>
      <c r="E14" s="7"/>
      <c r="F14" s="8">
        <v>24</v>
      </c>
      <c r="G14" s="22">
        <f>(C13*D14)</f>
        <v>1223.3</v>
      </c>
      <c r="H14" s="37"/>
      <c r="I14" s="10"/>
      <c r="J14" s="42"/>
      <c r="K14" s="6">
        <v>1.3</v>
      </c>
      <c r="L14" s="7"/>
      <c r="M14" s="8">
        <v>49</v>
      </c>
      <c r="N14" s="22">
        <f>(J13*K14)</f>
        <v>611.65</v>
      </c>
      <c r="O14" s="37"/>
      <c r="P14" s="10"/>
      <c r="Q14" s="42"/>
      <c r="R14" s="6">
        <v>1.3</v>
      </c>
      <c r="S14" s="7"/>
      <c r="T14" s="8">
        <v>74</v>
      </c>
      <c r="U14" s="22">
        <f>(Q13*R14)</f>
        <v>1223.3</v>
      </c>
    </row>
    <row r="15" spans="1:21" ht="18" customHeight="1">
      <c r="A15" s="37"/>
      <c r="B15" s="10"/>
      <c r="C15" s="42"/>
      <c r="D15" s="11">
        <v>1.3</v>
      </c>
      <c r="E15" s="12">
        <v>0.35</v>
      </c>
      <c r="F15" s="13">
        <v>25</v>
      </c>
      <c r="G15" s="41">
        <f>SUM((C13*E15),(C16*E16),(C17*E17))</f>
        <v>1279.735</v>
      </c>
      <c r="H15" s="37"/>
      <c r="I15" s="10"/>
      <c r="J15" s="42"/>
      <c r="K15" s="11">
        <v>1.3</v>
      </c>
      <c r="L15" s="12">
        <v>0.35</v>
      </c>
      <c r="M15" s="13">
        <v>50</v>
      </c>
      <c r="N15" s="41">
        <f>SUM((J13*L15),(J16*L16),(J17*L17))</f>
        <v>639.85</v>
      </c>
      <c r="O15" s="37"/>
      <c r="P15" s="10"/>
      <c r="Q15" s="42"/>
      <c r="R15" s="11">
        <v>1.3</v>
      </c>
      <c r="S15" s="12">
        <v>0.35</v>
      </c>
      <c r="T15" s="13">
        <v>75</v>
      </c>
      <c r="U15" s="41">
        <f>SUM((Q13*S15),(Q16*S16),(Q17*S17))</f>
        <v>1279.735</v>
      </c>
    </row>
    <row r="16" spans="1:21" ht="18" customHeight="1">
      <c r="A16" s="13">
        <v>5</v>
      </c>
      <c r="B16" s="5">
        <v>0.6</v>
      </c>
      <c r="C16" s="41">
        <v>760.6</v>
      </c>
      <c r="D16" s="38"/>
      <c r="E16" s="39">
        <v>0.6</v>
      </c>
      <c r="F16" s="37"/>
      <c r="G16" s="42"/>
      <c r="H16" s="13">
        <v>5</v>
      </c>
      <c r="I16" s="5">
        <v>0.6</v>
      </c>
      <c r="J16" s="41">
        <v>380.3</v>
      </c>
      <c r="K16" s="38"/>
      <c r="L16" s="39">
        <v>0.6</v>
      </c>
      <c r="M16" s="37"/>
      <c r="N16" s="42"/>
      <c r="O16" s="13">
        <v>5</v>
      </c>
      <c r="P16" s="5">
        <v>0.6</v>
      </c>
      <c r="Q16" s="41">
        <f>C16</f>
        <v>760.6</v>
      </c>
      <c r="R16" s="38"/>
      <c r="S16" s="39">
        <v>0.6</v>
      </c>
      <c r="T16" s="37"/>
      <c r="U16" s="42"/>
    </row>
    <row r="17" spans="1:21" ht="18" customHeight="1">
      <c r="A17" s="13">
        <v>6</v>
      </c>
      <c r="B17" s="5">
        <v>9.5</v>
      </c>
      <c r="C17" s="41">
        <v>1411.5</v>
      </c>
      <c r="D17" s="14"/>
      <c r="E17" s="15">
        <v>0.35</v>
      </c>
      <c r="F17" s="16"/>
      <c r="G17" s="43"/>
      <c r="H17" s="13">
        <v>6</v>
      </c>
      <c r="I17" s="5">
        <v>9.5</v>
      </c>
      <c r="J17" s="41">
        <v>705.7</v>
      </c>
      <c r="K17" s="14"/>
      <c r="L17" s="15">
        <v>0.35</v>
      </c>
      <c r="M17" s="16"/>
      <c r="N17" s="43"/>
      <c r="O17" s="13">
        <v>6</v>
      </c>
      <c r="P17" s="5">
        <v>9.5</v>
      </c>
      <c r="Q17" s="41">
        <f>C17</f>
        <v>1411.5</v>
      </c>
      <c r="R17" s="14"/>
      <c r="S17" s="15">
        <v>0.35</v>
      </c>
      <c r="T17" s="16"/>
      <c r="U17" s="43"/>
    </row>
    <row r="18" spans="1:21" ht="18" customHeight="1">
      <c r="A18" s="37"/>
      <c r="B18" s="10"/>
      <c r="C18" s="42"/>
      <c r="D18" s="6">
        <v>1.3</v>
      </c>
      <c r="E18" s="7"/>
      <c r="F18" s="8">
        <v>26</v>
      </c>
      <c r="G18" s="22">
        <f>(C17*D18)</f>
        <v>1834.95</v>
      </c>
      <c r="H18" s="37"/>
      <c r="I18" s="10"/>
      <c r="J18" s="42"/>
      <c r="K18" s="6">
        <v>1.3</v>
      </c>
      <c r="L18" s="7"/>
      <c r="M18" s="8">
        <v>51</v>
      </c>
      <c r="N18" s="22">
        <f>(J17*K18)</f>
        <v>917.4100000000001</v>
      </c>
      <c r="O18" s="37"/>
      <c r="P18" s="10"/>
      <c r="Q18" s="42"/>
      <c r="R18" s="6">
        <v>1.3</v>
      </c>
      <c r="S18" s="7"/>
      <c r="T18" s="8">
        <v>76</v>
      </c>
      <c r="U18" s="22">
        <f>(Q17*R18)</f>
        <v>1834.95</v>
      </c>
    </row>
    <row r="19" spans="1:21" ht="18" customHeight="1">
      <c r="A19" s="37"/>
      <c r="B19" s="10"/>
      <c r="C19" s="42"/>
      <c r="D19" s="6">
        <v>1.3</v>
      </c>
      <c r="E19" s="7"/>
      <c r="F19" s="8">
        <v>27</v>
      </c>
      <c r="G19" s="22">
        <f>(C17*D19)</f>
        <v>1834.95</v>
      </c>
      <c r="H19" s="37"/>
      <c r="I19" s="10"/>
      <c r="J19" s="42"/>
      <c r="K19" s="6">
        <v>1.3</v>
      </c>
      <c r="L19" s="7"/>
      <c r="M19" s="8">
        <v>52</v>
      </c>
      <c r="N19" s="22">
        <f>(J17*K19)</f>
        <v>917.4100000000001</v>
      </c>
      <c r="O19" s="37"/>
      <c r="P19" s="10"/>
      <c r="Q19" s="42"/>
      <c r="R19" s="6">
        <v>1.3</v>
      </c>
      <c r="S19" s="7"/>
      <c r="T19" s="8">
        <v>77</v>
      </c>
      <c r="U19" s="22">
        <f>(Q17*R19)</f>
        <v>1834.95</v>
      </c>
    </row>
    <row r="20" spans="1:21" ht="18" customHeight="1">
      <c r="A20" s="37"/>
      <c r="B20" s="10"/>
      <c r="C20" s="42"/>
      <c r="D20" s="6">
        <v>1.3</v>
      </c>
      <c r="E20" s="7"/>
      <c r="F20" s="8">
        <v>28</v>
      </c>
      <c r="G20" s="22">
        <f>(C17*D20)</f>
        <v>1834.95</v>
      </c>
      <c r="H20" s="37"/>
      <c r="I20" s="10"/>
      <c r="J20" s="42"/>
      <c r="K20" s="6">
        <v>1.3</v>
      </c>
      <c r="L20" s="7"/>
      <c r="M20" s="8">
        <v>53</v>
      </c>
      <c r="N20" s="22">
        <f>(J17*K20)</f>
        <v>917.4100000000001</v>
      </c>
      <c r="O20" s="37"/>
      <c r="P20" s="10"/>
      <c r="Q20" s="42"/>
      <c r="R20" s="6">
        <v>1.3</v>
      </c>
      <c r="S20" s="7"/>
      <c r="T20" s="8">
        <v>78</v>
      </c>
      <c r="U20" s="22">
        <f>(Q17*R20)</f>
        <v>1834.95</v>
      </c>
    </row>
    <row r="21" spans="1:21" ht="18" customHeight="1">
      <c r="A21" s="37"/>
      <c r="B21" s="10"/>
      <c r="C21" s="42"/>
      <c r="D21" s="6">
        <v>1.3</v>
      </c>
      <c r="E21" s="7"/>
      <c r="F21" s="8">
        <v>29</v>
      </c>
      <c r="G21" s="22">
        <f>(C17*D21)</f>
        <v>1834.95</v>
      </c>
      <c r="H21" s="37"/>
      <c r="I21" s="10"/>
      <c r="J21" s="42"/>
      <c r="K21" s="6">
        <v>1.3</v>
      </c>
      <c r="L21" s="7"/>
      <c r="M21" s="8">
        <v>54</v>
      </c>
      <c r="N21" s="22">
        <f>(J17*K21)</f>
        <v>917.4100000000001</v>
      </c>
      <c r="O21" s="37"/>
      <c r="P21" s="10"/>
      <c r="Q21" s="42"/>
      <c r="R21" s="6">
        <v>1.3</v>
      </c>
      <c r="S21" s="7"/>
      <c r="T21" s="8">
        <v>79</v>
      </c>
      <c r="U21" s="22">
        <f>(Q17*R21)</f>
        <v>1834.95</v>
      </c>
    </row>
    <row r="22" spans="1:21" ht="18" customHeight="1">
      <c r="A22" s="37"/>
      <c r="B22" s="10"/>
      <c r="C22" s="42"/>
      <c r="D22" s="6">
        <v>1.3</v>
      </c>
      <c r="E22" s="7"/>
      <c r="F22" s="8">
        <v>30</v>
      </c>
      <c r="G22" s="22">
        <f>(C17*D22)</f>
        <v>1834.95</v>
      </c>
      <c r="H22" s="37"/>
      <c r="I22" s="10"/>
      <c r="J22" s="42"/>
      <c r="K22" s="6">
        <v>1.3</v>
      </c>
      <c r="L22" s="7"/>
      <c r="M22" s="8">
        <v>55</v>
      </c>
      <c r="N22" s="22">
        <f>(J17*K22)</f>
        <v>917.4100000000001</v>
      </c>
      <c r="O22" s="37"/>
      <c r="P22" s="10"/>
      <c r="Q22" s="42"/>
      <c r="R22" s="6">
        <v>1.3</v>
      </c>
      <c r="S22" s="7"/>
      <c r="T22" s="8">
        <v>80</v>
      </c>
      <c r="U22" s="22">
        <f>(Q17*R22)</f>
        <v>1834.95</v>
      </c>
    </row>
    <row r="23" spans="1:21" ht="18" customHeight="1">
      <c r="A23" s="37"/>
      <c r="B23" s="10"/>
      <c r="C23" s="42"/>
      <c r="D23" s="6">
        <v>1.3</v>
      </c>
      <c r="E23" s="7"/>
      <c r="F23" s="8">
        <v>31</v>
      </c>
      <c r="G23" s="22">
        <f>(C17*D23)</f>
        <v>1834.95</v>
      </c>
      <c r="H23" s="37"/>
      <c r="I23" s="10"/>
      <c r="J23" s="42"/>
      <c r="K23" s="6">
        <v>1.3</v>
      </c>
      <c r="L23" s="7"/>
      <c r="M23" s="8">
        <v>56</v>
      </c>
      <c r="N23" s="22">
        <f>(J17*K23)</f>
        <v>917.4100000000001</v>
      </c>
      <c r="O23" s="37"/>
      <c r="P23" s="10"/>
      <c r="Q23" s="42"/>
      <c r="R23" s="6">
        <v>1.3</v>
      </c>
      <c r="S23" s="7"/>
      <c r="T23" s="8">
        <v>81</v>
      </c>
      <c r="U23" s="22">
        <f>(Q17*R23)</f>
        <v>1834.95</v>
      </c>
    </row>
    <row r="24" spans="1:21" ht="18" customHeight="1">
      <c r="A24" s="37"/>
      <c r="B24" s="10"/>
      <c r="C24" s="42"/>
      <c r="D24" s="6">
        <v>1.3</v>
      </c>
      <c r="E24" s="7"/>
      <c r="F24" s="8">
        <v>32</v>
      </c>
      <c r="G24" s="22">
        <f>(C17*D24)</f>
        <v>1834.95</v>
      </c>
      <c r="H24" s="37"/>
      <c r="I24" s="10"/>
      <c r="J24" s="42"/>
      <c r="K24" s="6">
        <v>1.3</v>
      </c>
      <c r="L24" s="7"/>
      <c r="M24" s="8">
        <v>57</v>
      </c>
      <c r="N24" s="22">
        <f>(J17*K24)</f>
        <v>917.4100000000001</v>
      </c>
      <c r="O24" s="37"/>
      <c r="P24" s="10"/>
      <c r="Q24" s="42"/>
      <c r="R24" s="6">
        <v>1.3</v>
      </c>
      <c r="S24" s="7"/>
      <c r="T24" s="8">
        <v>82</v>
      </c>
      <c r="U24" s="22">
        <f>(Q17*R24)</f>
        <v>1834.95</v>
      </c>
    </row>
    <row r="25" spans="1:21" ht="18" customHeight="1">
      <c r="A25" s="37"/>
      <c r="B25" s="10"/>
      <c r="C25" s="42"/>
      <c r="D25" s="11">
        <v>1.3</v>
      </c>
      <c r="E25" s="12">
        <v>0.05</v>
      </c>
      <c r="F25" s="13">
        <v>33</v>
      </c>
      <c r="G25" s="41">
        <f>SUM((C17*E25),(C26*E26))</f>
        <v>501.825</v>
      </c>
      <c r="H25" s="37"/>
      <c r="I25" s="10"/>
      <c r="J25" s="42"/>
      <c r="K25" s="11">
        <v>1.3</v>
      </c>
      <c r="L25" s="12">
        <v>0.05</v>
      </c>
      <c r="M25" s="13">
        <v>58</v>
      </c>
      <c r="N25" s="41">
        <f>SUM((J17*L25),(J26*L26))</f>
        <v>250.91</v>
      </c>
      <c r="O25" s="37"/>
      <c r="P25" s="10"/>
      <c r="Q25" s="42"/>
      <c r="R25" s="11">
        <v>1.3</v>
      </c>
      <c r="S25" s="12">
        <v>0.05</v>
      </c>
      <c r="T25" s="13">
        <v>83</v>
      </c>
      <c r="U25" s="41">
        <f>SUM((Q17*S25),(Q26*S26))</f>
        <v>501.825</v>
      </c>
    </row>
    <row r="26" spans="1:21" ht="18" customHeight="1">
      <c r="A26" s="13">
        <v>7</v>
      </c>
      <c r="B26" s="5">
        <v>9.5</v>
      </c>
      <c r="C26" s="41">
        <v>345</v>
      </c>
      <c r="D26" s="14"/>
      <c r="E26" s="15">
        <v>1.25</v>
      </c>
      <c r="F26" s="16"/>
      <c r="G26" s="43"/>
      <c r="H26" s="13">
        <v>7</v>
      </c>
      <c r="I26" s="5">
        <v>9.5</v>
      </c>
      <c r="J26" s="41">
        <v>172.5</v>
      </c>
      <c r="K26" s="14"/>
      <c r="L26" s="15">
        <v>1.25</v>
      </c>
      <c r="M26" s="16"/>
      <c r="N26" s="43"/>
      <c r="O26" s="13">
        <v>7</v>
      </c>
      <c r="P26" s="5">
        <v>9.5</v>
      </c>
      <c r="Q26" s="41">
        <f>C26</f>
        <v>345.0</v>
      </c>
      <c r="R26" s="14"/>
      <c r="S26" s="15">
        <v>1.25</v>
      </c>
      <c r="T26" s="16"/>
      <c r="U26" s="43"/>
    </row>
    <row r="27" spans="1:21" ht="18" customHeight="1">
      <c r="A27" s="37"/>
      <c r="B27" s="10"/>
      <c r="C27" s="42"/>
      <c r="D27" s="6">
        <v>1.3</v>
      </c>
      <c r="E27" s="7"/>
      <c r="F27" s="8">
        <v>34</v>
      </c>
      <c r="G27" s="22">
        <f>(C26*D27)</f>
        <v>448.5</v>
      </c>
      <c r="H27" s="37"/>
      <c r="I27" s="10"/>
      <c r="J27" s="42"/>
      <c r="K27" s="6">
        <v>1.3</v>
      </c>
      <c r="L27" s="7"/>
      <c r="M27" s="8">
        <v>59</v>
      </c>
      <c r="N27" s="22">
        <f>(J26*K27)</f>
        <v>224.25</v>
      </c>
      <c r="O27" s="37"/>
      <c r="P27" s="10"/>
      <c r="Q27" s="42"/>
      <c r="R27" s="6">
        <v>1.3</v>
      </c>
      <c r="S27" s="7"/>
      <c r="T27" s="8">
        <v>84</v>
      </c>
      <c r="U27" s="22">
        <f>(Q26*R27)</f>
        <v>448.5</v>
      </c>
    </row>
    <row r="28" spans="1:21" ht="18" customHeight="1">
      <c r="A28" s="37"/>
      <c r="B28" s="10"/>
      <c r="C28" s="42"/>
      <c r="D28" s="6">
        <v>1.3</v>
      </c>
      <c r="E28" s="7"/>
      <c r="F28" s="8">
        <v>35</v>
      </c>
      <c r="G28" s="22">
        <f>(C26*D28)</f>
        <v>448.5</v>
      </c>
      <c r="H28" s="37"/>
      <c r="I28" s="10"/>
      <c r="J28" s="42"/>
      <c r="K28" s="6">
        <v>1.3</v>
      </c>
      <c r="L28" s="7"/>
      <c r="M28" s="8">
        <v>60</v>
      </c>
      <c r="N28" s="22">
        <f>(J26*K28)</f>
        <v>224.25</v>
      </c>
      <c r="O28" s="37"/>
      <c r="P28" s="10"/>
      <c r="Q28" s="42"/>
      <c r="R28" s="6">
        <v>1.3</v>
      </c>
      <c r="S28" s="7"/>
      <c r="T28" s="8">
        <v>85</v>
      </c>
      <c r="U28" s="22">
        <f>(Q26*R28)</f>
        <v>448.5</v>
      </c>
    </row>
    <row r="29" spans="1:21" ht="18" customHeight="1">
      <c r="A29" s="37"/>
      <c r="B29" s="10"/>
      <c r="C29" s="42"/>
      <c r="D29" s="6">
        <v>1.3</v>
      </c>
      <c r="E29" s="7"/>
      <c r="F29" s="8">
        <v>36</v>
      </c>
      <c r="G29" s="22">
        <f>(C26*D29)</f>
        <v>448.5</v>
      </c>
      <c r="H29" s="37"/>
      <c r="I29" s="10"/>
      <c r="J29" s="42"/>
      <c r="K29" s="6">
        <v>1.3</v>
      </c>
      <c r="L29" s="7"/>
      <c r="M29" s="8">
        <v>61</v>
      </c>
      <c r="N29" s="22">
        <f>(J26*K29)</f>
        <v>224.25</v>
      </c>
      <c r="O29" s="37"/>
      <c r="P29" s="10"/>
      <c r="Q29" s="42"/>
      <c r="R29" s="6">
        <v>1.3</v>
      </c>
      <c r="S29" s="7"/>
      <c r="T29" s="8">
        <v>86</v>
      </c>
      <c r="U29" s="22">
        <f>(Q26*R29)</f>
        <v>448.5</v>
      </c>
    </row>
    <row r="30" spans="1:21" ht="18" customHeight="1">
      <c r="A30" s="37"/>
      <c r="B30" s="10"/>
      <c r="C30" s="42"/>
      <c r="D30" s="6">
        <v>1.3</v>
      </c>
      <c r="E30" s="7"/>
      <c r="F30" s="8">
        <v>37</v>
      </c>
      <c r="G30" s="22">
        <f>(C26*D30)</f>
        <v>448.5</v>
      </c>
      <c r="H30" s="37"/>
      <c r="I30" s="10"/>
      <c r="J30" s="42"/>
      <c r="K30" s="6">
        <v>1.3</v>
      </c>
      <c r="L30" s="7"/>
      <c r="M30" s="8">
        <v>62</v>
      </c>
      <c r="N30" s="22">
        <f>(J26*K30)</f>
        <v>224.25</v>
      </c>
      <c r="O30" s="37"/>
      <c r="P30" s="10"/>
      <c r="Q30" s="42"/>
      <c r="R30" s="6">
        <v>1.3</v>
      </c>
      <c r="S30" s="7"/>
      <c r="T30" s="8">
        <v>87</v>
      </c>
      <c r="U30" s="22">
        <f>(Q26*R30)</f>
        <v>448.5</v>
      </c>
    </row>
    <row r="31" spans="1:21" ht="18" customHeight="1">
      <c r="A31" s="37"/>
      <c r="B31" s="10"/>
      <c r="C31" s="42"/>
      <c r="D31" s="6">
        <v>1.3</v>
      </c>
      <c r="E31" s="7"/>
      <c r="F31" s="8">
        <v>38</v>
      </c>
      <c r="G31" s="22">
        <f>(C26*D31)</f>
        <v>448.5</v>
      </c>
      <c r="H31" s="37"/>
      <c r="I31" s="10"/>
      <c r="J31" s="42"/>
      <c r="K31" s="6">
        <v>1.3</v>
      </c>
      <c r="L31" s="7"/>
      <c r="M31" s="8">
        <v>63</v>
      </c>
      <c r="N31" s="22">
        <f>(J26*K31)</f>
        <v>224.25</v>
      </c>
      <c r="O31" s="37"/>
      <c r="P31" s="10"/>
      <c r="Q31" s="42"/>
      <c r="R31" s="6">
        <v>1.3</v>
      </c>
      <c r="S31" s="7"/>
      <c r="T31" s="8">
        <v>88</v>
      </c>
      <c r="U31" s="22">
        <f>(Q26*R31)</f>
        <v>448.5</v>
      </c>
    </row>
    <row r="32" spans="1:21" ht="18" customHeight="1">
      <c r="A32" s="37"/>
      <c r="B32" s="10"/>
      <c r="C32" s="42"/>
      <c r="D32" s="6">
        <v>1.3</v>
      </c>
      <c r="E32" s="7"/>
      <c r="F32" s="8">
        <v>39</v>
      </c>
      <c r="G32" s="22">
        <f>(C26*D32)</f>
        <v>448.5</v>
      </c>
      <c r="H32" s="37"/>
      <c r="I32" s="10"/>
      <c r="J32" s="42"/>
      <c r="K32" s="6">
        <v>1.3</v>
      </c>
      <c r="L32" s="7"/>
      <c r="M32" s="8">
        <v>64</v>
      </c>
      <c r="N32" s="22">
        <f>(J26*K32)</f>
        <v>224.25</v>
      </c>
      <c r="O32" s="37"/>
      <c r="P32" s="10"/>
      <c r="Q32" s="42"/>
      <c r="R32" s="6">
        <v>1.3</v>
      </c>
      <c r="S32" s="7"/>
      <c r="T32" s="8">
        <v>89</v>
      </c>
      <c r="U32" s="22">
        <f>(Q26*R32)</f>
        <v>448.5</v>
      </c>
    </row>
    <row r="33" spans="1:21" ht="18" customHeight="1">
      <c r="A33" s="37"/>
      <c r="B33" s="10"/>
      <c r="C33" s="42"/>
      <c r="D33" s="11">
        <v>1.2</v>
      </c>
      <c r="E33" s="12">
        <v>0.45</v>
      </c>
      <c r="F33" s="13">
        <v>40</v>
      </c>
      <c r="G33" s="41">
        <f>SUM((C26*E33),(C34*E34))</f>
        <v>155.25</v>
      </c>
      <c r="H33" s="37"/>
      <c r="I33" s="10"/>
      <c r="J33" s="42"/>
      <c r="K33" s="11">
        <v>1.2</v>
      </c>
      <c r="L33" s="12">
        <v>0.45</v>
      </c>
      <c r="M33" s="13">
        <v>65</v>
      </c>
      <c r="N33" s="41">
        <f>SUM((J26*L33),(J34*L34))</f>
        <v>77.625</v>
      </c>
      <c r="O33" s="37"/>
      <c r="P33" s="10"/>
      <c r="Q33" s="42"/>
      <c r="R33" s="11">
        <v>1.2</v>
      </c>
      <c r="S33" s="12">
        <v>0.45</v>
      </c>
      <c r="T33" s="13">
        <v>90</v>
      </c>
      <c r="U33" s="41">
        <f>SUM((Q26*S33),(Q34*S34))</f>
        <v>155.25</v>
      </c>
    </row>
    <row r="34" spans="1:21" ht="18" customHeight="1">
      <c r="A34" s="37"/>
      <c r="B34" s="5">
        <v>1.3</v>
      </c>
      <c r="C34" s="41">
        <v>0</v>
      </c>
      <c r="D34" s="14"/>
      <c r="E34" s="15">
        <v>0.75</v>
      </c>
      <c r="F34" s="16"/>
      <c r="G34" s="43"/>
      <c r="H34" s="37"/>
      <c r="I34" s="5">
        <v>1.3</v>
      </c>
      <c r="J34" s="41">
        <v>0</v>
      </c>
      <c r="K34" s="14"/>
      <c r="L34" s="15">
        <v>0.75</v>
      </c>
      <c r="M34" s="16"/>
      <c r="N34" s="43"/>
      <c r="O34" s="37"/>
      <c r="P34" s="5">
        <v>1.3</v>
      </c>
      <c r="Q34" s="41">
        <v>0</v>
      </c>
      <c r="R34" s="14"/>
      <c r="S34" s="15">
        <v>0.75</v>
      </c>
      <c r="T34" s="16"/>
      <c r="U34" s="43"/>
    </row>
    <row r="35" spans="1:21" ht="18" customHeight="1">
      <c r="A35" s="16"/>
      <c r="B35" s="18"/>
      <c r="C35" s="43"/>
      <c r="D35" s="6">
        <v>0.55</v>
      </c>
      <c r="E35" s="7"/>
      <c r="F35" s="8">
        <v>41</v>
      </c>
      <c r="G35" s="22">
        <f>(C34*D35)</f>
        <v>0.0</v>
      </c>
      <c r="H35" s="16"/>
      <c r="I35" s="18"/>
      <c r="J35" s="43"/>
      <c r="K35" s="6">
        <v>0.55</v>
      </c>
      <c r="L35" s="7"/>
      <c r="M35" s="8">
        <v>66</v>
      </c>
      <c r="N35" s="22">
        <f>(J34*K35)</f>
        <v>0.0</v>
      </c>
      <c r="O35" s="16"/>
      <c r="P35" s="18"/>
      <c r="Q35" s="43"/>
      <c r="R35" s="6">
        <v>0.55</v>
      </c>
      <c r="S35" s="7"/>
      <c r="T35" s="8">
        <v>91</v>
      </c>
      <c r="U35" s="22">
        <f>(Q34*R35)</f>
        <v>0.0</v>
      </c>
    </row>
    <row r="36" spans="1:21" ht="18" customHeight="1">
      <c r="A36" s="8" t="s">
        <v>8</v>
      </c>
      <c r="B36" s="19">
        <f>SUM(B3,B7,B9,B10,B13,B16,B17,B26,B34)</f>
        <v>31.0</v>
      </c>
      <c r="C36" s="8"/>
      <c r="D36" s="6">
        <f>SUM(D3,D4,D5,D6,D8,D11,D12,D14,D15,D18,D19,D20,D21,D22,D23,D24,D25,D27,D28,D29,D30,D31,D32,D33,D35)</f>
        <v>31.0</v>
      </c>
      <c r="E36" s="40"/>
      <c r="F36" s="8"/>
      <c r="G36" s="8"/>
      <c r="H36" s="8" t="s">
        <v>8</v>
      </c>
      <c r="I36" s="19">
        <f>SUM(I3,I7,I9,I10,I13,I16,I17,I26,I34)</f>
        <v>31.0</v>
      </c>
      <c r="J36" s="8"/>
      <c r="K36" s="6">
        <f>SUM(K3,K4,K5,K6,K8,K11,K12,K14,K15,K18,K19,K20,K21,K22,K23,K24,K25,K27,K28,K29,K30,K31,K32,K33,K35)</f>
        <v>31.0</v>
      </c>
      <c r="L36" s="40"/>
      <c r="M36" s="8"/>
      <c r="N36" s="8"/>
      <c r="O36" s="8" t="s">
        <v>8</v>
      </c>
      <c r="P36" s="19">
        <f>SUM(P3,P7,P9,P10,P13,P16,P17,P26,P34)</f>
        <v>31.0</v>
      </c>
      <c r="Q36" s="8"/>
      <c r="R36" s="6">
        <f>SUM(R3,R4,R5,R6,R8,R11,R12,R14,R15,R18,R19,R20,R21,R22,R23,R24,R25,R27,R28,R29,R30,R31,R32,R33,R35)</f>
        <v>31.0</v>
      </c>
      <c r="S36" s="40"/>
      <c r="T36" s="8"/>
      <c r="U36" s="8"/>
    </row>
    <row r="37" spans="1:2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&amp;L杭周面の支持力&amp;R&amp;P / &amp;N</oddFooter>
  </headerFooter>
  <colBreaks count="2" manualBreakCount="2">
    <brk id="7" max="1048575" man="1"/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23" customHeight="1"/>
  <cols>
    <col min="1" max="1" width="9.7109375" customWidth="1"/>
    <col min="2" max="3" width="25.140625" customWidth="1"/>
  </cols>
  <sheetData>
    <row r="1" spans="1:3" ht="18.75" customHeight="1">
      <c r="A1" s="36" t="s">
        <v>22</v>
      </c>
      <c r="B1" s="44"/>
      <c r="C1" s="45" t="s">
        <v>1</v>
      </c>
    </row>
    <row r="2" spans="1:3" ht="30.75" customHeight="1">
      <c r="A2" s="8" t="s">
        <v>17</v>
      </c>
      <c r="B2" s="8" t="s">
        <v>23</v>
      </c>
      <c r="C2" s="8"/>
    </row>
    <row r="3" spans="1:3" ht="18.75" customHeight="1">
      <c r="A3" s="8"/>
      <c r="B3" s="8" t="s">
        <v>24</v>
      </c>
      <c r="C3" s="8" t="s">
        <v>25</v>
      </c>
    </row>
    <row r="4" spans="1:3" ht="18.75" customHeight="1">
      <c r="A4" s="46">
        <v>41</v>
      </c>
      <c r="B4" s="47">
        <v>218048</v>
      </c>
      <c r="C4" s="47">
        <v>58945</v>
      </c>
    </row>
    <row r="5" spans="1:3" ht="18.75" customHeight="1">
      <c r="A5" s="46">
        <v>66</v>
      </c>
      <c r="B5" s="47">
        <v>109024</v>
      </c>
      <c r="C5" s="47">
        <v>29473</v>
      </c>
    </row>
    <row r="6" spans="1:3" ht="18.75" customHeight="1">
      <c r="A6" s="46">
        <v>91</v>
      </c>
      <c r="B6" s="47">
        <f>B4</f>
        <v>218048.0</v>
      </c>
      <c r="C6" s="47">
        <f>C4</f>
        <v>58945.0</v>
      </c>
    </row>
    <row r="7" spans="1:3" ht="18.75" customHeight="1">
      <c r="A7" s="44"/>
      <c r="B7" s="44"/>
      <c r="C7" s="44"/>
    </row>
    <row r="8" spans="1:3" ht="18.75" customHeight="1">
      <c r="A8" s="44"/>
      <c r="B8" s="44"/>
      <c r="C8" s="44"/>
    </row>
    <row r="9" spans="1:3" ht="18.75" customHeight="1">
      <c r="A9" s="36" t="s">
        <v>26</v>
      </c>
      <c r="B9" s="44"/>
      <c r="C9" s="45" t="s">
        <v>1</v>
      </c>
    </row>
    <row r="10" spans="1:3" ht="30.75" customHeight="1">
      <c r="A10" s="8" t="s">
        <v>17</v>
      </c>
      <c r="B10" s="8" t="s">
        <v>27</v>
      </c>
      <c r="C10" s="8"/>
    </row>
    <row r="11" spans="1:3" ht="18.75" customHeight="1">
      <c r="A11" s="8"/>
      <c r="B11" s="8" t="s">
        <v>28</v>
      </c>
      <c r="C11" s="8" t="s">
        <v>29</v>
      </c>
    </row>
    <row r="12" spans="1:3" ht="18.75" customHeight="1">
      <c r="A12" s="46">
        <v>41</v>
      </c>
      <c r="B12" s="48">
        <v>4778.4</v>
      </c>
      <c r="C12" s="48">
        <v>11149.5</v>
      </c>
    </row>
    <row r="13" spans="1:3" ht="18.75" customHeight="1">
      <c r="A13" s="46">
        <v>66</v>
      </c>
      <c r="B13" s="48">
        <v>2389.2</v>
      </c>
      <c r="C13" s="48">
        <v>5574.8</v>
      </c>
    </row>
    <row r="14" spans="1:3" ht="18.75" customHeight="1">
      <c r="A14" s="46">
        <v>91</v>
      </c>
      <c r="B14" s="48">
        <f>B12</f>
        <v>4778.4</v>
      </c>
      <c r="C14" s="48">
        <f>C12</f>
        <v>11149.5</v>
      </c>
    </row>
  </sheetData>
  <mergeCells count="4">
    <mergeCell ref="A2:A3"/>
    <mergeCell ref="B2:C2"/>
    <mergeCell ref="A10:A11"/>
    <mergeCell ref="B10:C10"/>
  </mergeCells>
  <pageMargins left="0.7" right="0.7" top="0.75" bottom="0.75" header="0.3" footer="0.3"/>
  <pageSetup paperSize="9" orientation="portrait"/>
  <headerFooter>
    <oddFooter>&amp;L杭先端ばね&amp;R&amp;P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水平地盤ばね</vt:lpstr>
      <vt:lpstr>有効抵抗土圧</vt:lpstr>
      <vt:lpstr>杭周面ばね</vt:lpstr>
      <vt:lpstr>杭周面の支持力</vt:lpstr>
      <vt:lpstr>杭先端ばね</vt:lpstr>
      <vt:lpstr>有効抵抗土圧!Print_Area</vt:lpstr>
      <vt:lpstr>杭先端ばね!Print_Area</vt:lpstr>
      <vt:lpstr>杭周面の支持力!Print_Area</vt:lpstr>
      <vt:lpstr>杭周面ばね!Print_Area</vt:lpstr>
      <vt:lpstr>水平地盤ばね!Print_Area</vt:lpstr>
      <vt:lpstr>有効抵抗土圧!Print_Titles</vt:lpstr>
      <vt:lpstr>杭周面の支持力!Print_Titles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2026-09-18T00:50:19Z</dcterms:created>
  <dcterms:modified xsi:type="dcterms:W3CDTF">2026-09-18T00:50:19Z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DCConverter.RunId">
    <vt:lpwstr>20260918-095019-498253-0e2d673e</vt:lpwstr>
  </property>
  <property fmtid="{D5CDD505-2E9C-101B-9397-08002B2CF9AE}" pid="3" name="SDCConverter.Mode">
    <vt:lpwstr>saved</vt:lpwstr>
  </property>
  <property fmtid="{D5CDD505-2E9C-101B-9397-08002B2CF9AE}" pid="4" name="SDCConverter.Status">
    <vt:lpwstr>モデル保存と同一実行</vt:lpwstr>
  </property>
  <property fmtid="{D5CDD505-2E9C-101B-9397-08002B2CF9AE}" pid="5" name="SDCConverter.OutputSHA256">
    <vt:lpwstr>13f1a41894536a5b4b7d725257b151e6bdbc712029732ac624d5bcce48ea5d8d</vt:lpwstr>
  </property>
  <property fmtid="{D5CDD505-2E9C-101B-9397-08002B2CF9AE}" pid="6" name="SDCConverter.SDCDirection">
    <vt:lpwstr>（２）直角方向</vt:lpwstr>
  </property>
  <property fmtid="{D5CDD505-2E9C-101B-9397-08002B2CF9AE}" pid="7" name="SDCConverter.PressureCase">
    <vt:lpwstr>・応答変位法の場合</vt:lpwstr>
  </property>
</Properties>
</file>